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obbieOrvis\Models\EPS Structure Research\eps-us-develop\InputData\trans\VWSPbV\"/>
    </mc:Choice>
  </mc:AlternateContent>
  <xr:revisionPtr revIDLastSave="0" documentId="13_ncr:1_{280518DC-CFE2-4494-8DB4-03D631A5B169}" xr6:coauthVersionLast="47" xr6:coauthVersionMax="47" xr10:uidLastSave="{00000000-0000-0000-0000-000000000000}"/>
  <bookViews>
    <workbookView xWindow="-120" yWindow="-120" windowWidth="57840" windowHeight="23520" xr2:uid="{00000000-000D-0000-FFFF-FFFF00000000}"/>
  </bookViews>
  <sheets>
    <sheet name="About" sheetId="1" r:id="rId1"/>
    <sheet name="Assumptions" sheetId="2" r:id="rId2"/>
    <sheet name="AVL (EPS input)" sheetId="3" r:id="rId3"/>
    <sheet name="Calibrated parameters" sheetId="4" r:id="rId4"/>
    <sheet name="Calcs" sheetId="5" r:id="rId5"/>
    <sheet name="Checks" sheetId="6" r:id="rId6"/>
    <sheet name="VWSPbV-psgr" sheetId="7" r:id="rId7"/>
    <sheet name="VWSPbV-frgt"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6" l="1"/>
  <c r="B4" i="6"/>
  <c r="D4" i="6" s="1"/>
  <c r="CI55" i="5"/>
  <c r="CH55" i="5"/>
  <c r="CG55" i="5"/>
  <c r="CF55" i="5"/>
  <c r="CE55" i="5"/>
  <c r="CD55" i="5"/>
  <c r="CC55" i="5"/>
  <c r="CB55" i="5"/>
  <c r="CA55" i="5"/>
  <c r="BZ55" i="5"/>
  <c r="BY55" i="5"/>
  <c r="BX55" i="5"/>
  <c r="BW55" i="5"/>
  <c r="BV55" i="5"/>
  <c r="BU55" i="5"/>
  <c r="BT55" i="5"/>
  <c r="BS55" i="5"/>
  <c r="BR55" i="5"/>
  <c r="BQ55" i="5"/>
  <c r="BP55" i="5"/>
  <c r="BO55" i="5"/>
  <c r="BN55" i="5"/>
  <c r="BM55" i="5"/>
  <c r="BL55" i="5"/>
  <c r="BK55" i="5"/>
  <c r="BJ55" i="5"/>
  <c r="BI55" i="5"/>
  <c r="BH55" i="5"/>
  <c r="BG55" i="5"/>
  <c r="BF55" i="5"/>
  <c r="BE55" i="5"/>
  <c r="BD55" i="5"/>
  <c r="BC55" i="5"/>
  <c r="BB55" i="5"/>
  <c r="BA55" i="5"/>
  <c r="AZ55" i="5"/>
  <c r="AY55" i="5"/>
  <c r="AX55" i="5"/>
  <c r="AW55" i="5"/>
  <c r="AV55" i="5"/>
  <c r="AU55" i="5"/>
  <c r="AT55" i="5"/>
  <c r="AS55" i="5"/>
  <c r="AR55" i="5"/>
  <c r="AQ55" i="5"/>
  <c r="AP55" i="5"/>
  <c r="AO55" i="5"/>
  <c r="AN55" i="5"/>
  <c r="AM55" i="5"/>
  <c r="AL55" i="5"/>
  <c r="AK55" i="5"/>
  <c r="AJ55" i="5"/>
  <c r="AI55" i="5"/>
  <c r="AH55" i="5"/>
  <c r="AG55" i="5"/>
  <c r="AF55" i="5"/>
  <c r="AE55" i="5"/>
  <c r="AD55" i="5"/>
  <c r="AC55" i="5"/>
  <c r="AB55" i="5"/>
  <c r="AA55" i="5"/>
  <c r="Z55" i="5"/>
  <c r="Y55" i="5"/>
  <c r="X55" i="5"/>
  <c r="W55" i="5"/>
  <c r="V55" i="5"/>
  <c r="U55" i="5"/>
  <c r="T55" i="5"/>
  <c r="S55" i="5"/>
  <c r="R55" i="5"/>
  <c r="Q55" i="5"/>
  <c r="P55" i="5"/>
  <c r="O55" i="5"/>
  <c r="N55" i="5"/>
  <c r="M55" i="5"/>
  <c r="L55" i="5"/>
  <c r="K55" i="5"/>
  <c r="J55" i="5"/>
  <c r="I55" i="5"/>
  <c r="H55" i="5"/>
  <c r="G55" i="5"/>
  <c r="F55" i="5"/>
  <c r="E55" i="5"/>
  <c r="D55" i="5"/>
  <c r="C55" i="5"/>
  <c r="B55" i="5"/>
  <c r="CI54" i="5"/>
  <c r="CH54" i="5"/>
  <c r="CG54" i="5"/>
  <c r="CF54" i="5"/>
  <c r="CE54" i="5"/>
  <c r="CD54" i="5"/>
  <c r="CC54" i="5"/>
  <c r="CB54" i="5"/>
  <c r="CA54" i="5"/>
  <c r="BZ54" i="5"/>
  <c r="BY54" i="5"/>
  <c r="BX54" i="5"/>
  <c r="BW54" i="5"/>
  <c r="BV54" i="5"/>
  <c r="BU54" i="5"/>
  <c r="BT54" i="5"/>
  <c r="BS54" i="5"/>
  <c r="BR54" i="5"/>
  <c r="BQ54" i="5"/>
  <c r="BP54" i="5"/>
  <c r="BO54" i="5"/>
  <c r="BN54" i="5"/>
  <c r="BM54" i="5"/>
  <c r="BL54" i="5"/>
  <c r="BK54" i="5"/>
  <c r="BJ54" i="5"/>
  <c r="BI54" i="5"/>
  <c r="BH54" i="5"/>
  <c r="BG54" i="5"/>
  <c r="BF54" i="5"/>
  <c r="BE54" i="5"/>
  <c r="BD54" i="5"/>
  <c r="BC54" i="5"/>
  <c r="BB54" i="5"/>
  <c r="BA54" i="5"/>
  <c r="AZ54" i="5"/>
  <c r="AY54" i="5"/>
  <c r="AX54" i="5"/>
  <c r="AW54" i="5"/>
  <c r="AV54" i="5"/>
  <c r="AU54" i="5"/>
  <c r="AT54" i="5"/>
  <c r="AS54" i="5"/>
  <c r="AR54" i="5"/>
  <c r="AQ54" i="5"/>
  <c r="AP54" i="5"/>
  <c r="AO54" i="5"/>
  <c r="AN54" i="5"/>
  <c r="AM54" i="5"/>
  <c r="AL54" i="5"/>
  <c r="AK54" i="5"/>
  <c r="AJ54" i="5"/>
  <c r="AI54" i="5"/>
  <c r="AH54" i="5"/>
  <c r="AG54" i="5"/>
  <c r="AF54" i="5"/>
  <c r="AE54" i="5"/>
  <c r="AD54" i="5"/>
  <c r="AC54" i="5"/>
  <c r="AB54" i="5"/>
  <c r="AA54" i="5"/>
  <c r="Z54" i="5"/>
  <c r="Y54" i="5"/>
  <c r="X54" i="5"/>
  <c r="W54" i="5"/>
  <c r="V54" i="5"/>
  <c r="U54" i="5"/>
  <c r="T54" i="5"/>
  <c r="S54" i="5"/>
  <c r="R54" i="5"/>
  <c r="Q54" i="5"/>
  <c r="P54" i="5"/>
  <c r="O54" i="5"/>
  <c r="N54" i="5"/>
  <c r="M54" i="5"/>
  <c r="L54" i="5"/>
  <c r="K54" i="5"/>
  <c r="J54" i="5"/>
  <c r="I54" i="5"/>
  <c r="H54" i="5"/>
  <c r="G54" i="5"/>
  <c r="F54" i="5"/>
  <c r="E54" i="5"/>
  <c r="D54" i="5"/>
  <c r="C54" i="5"/>
  <c r="B54" i="5"/>
  <c r="CI53" i="5"/>
  <c r="CH53" i="5"/>
  <c r="CG53" i="5"/>
  <c r="CF53" i="5"/>
  <c r="CE53" i="5"/>
  <c r="CD53" i="5"/>
  <c r="CC53" i="5"/>
  <c r="CB53" i="5"/>
  <c r="CA53" i="5"/>
  <c r="BZ53" i="5"/>
  <c r="BY53" i="5"/>
  <c r="BX53" i="5"/>
  <c r="BW53" i="5"/>
  <c r="BV53" i="5"/>
  <c r="BU53" i="5"/>
  <c r="BT53" i="5"/>
  <c r="BS53" i="5"/>
  <c r="BR53" i="5"/>
  <c r="BQ53" i="5"/>
  <c r="BP53" i="5"/>
  <c r="BO53" i="5"/>
  <c r="BN53" i="5"/>
  <c r="BM53" i="5"/>
  <c r="BL53" i="5"/>
  <c r="BK53" i="5"/>
  <c r="BJ53" i="5"/>
  <c r="BI53" i="5"/>
  <c r="BH53" i="5"/>
  <c r="BG53" i="5"/>
  <c r="BF53" i="5"/>
  <c r="BE53" i="5"/>
  <c r="BD53" i="5"/>
  <c r="BC53" i="5"/>
  <c r="BB53" i="5"/>
  <c r="BA53" i="5"/>
  <c r="AZ53" i="5"/>
  <c r="AY53" i="5"/>
  <c r="AX53" i="5"/>
  <c r="AW53" i="5"/>
  <c r="AV53" i="5"/>
  <c r="AU53" i="5"/>
  <c r="AT53" i="5"/>
  <c r="AS53" i="5"/>
  <c r="AR53" i="5"/>
  <c r="AQ53" i="5"/>
  <c r="AP53" i="5"/>
  <c r="AO53" i="5"/>
  <c r="AN53" i="5"/>
  <c r="AM53" i="5"/>
  <c r="AL53" i="5"/>
  <c r="AK53" i="5"/>
  <c r="AJ53" i="5"/>
  <c r="AI53" i="5"/>
  <c r="AH53" i="5"/>
  <c r="AG53" i="5"/>
  <c r="AF53" i="5"/>
  <c r="AE53" i="5"/>
  <c r="AD53" i="5"/>
  <c r="AC53" i="5"/>
  <c r="AB53" i="5"/>
  <c r="AA53" i="5"/>
  <c r="Z53" i="5"/>
  <c r="Y53" i="5"/>
  <c r="X53" i="5"/>
  <c r="W53" i="5"/>
  <c r="V53" i="5"/>
  <c r="U53" i="5"/>
  <c r="T53" i="5"/>
  <c r="S53" i="5"/>
  <c r="R53" i="5"/>
  <c r="Q53" i="5"/>
  <c r="P53" i="5"/>
  <c r="O53" i="5"/>
  <c r="N53" i="5"/>
  <c r="M53" i="5"/>
  <c r="L53" i="5"/>
  <c r="K53" i="5"/>
  <c r="J53" i="5"/>
  <c r="I53" i="5"/>
  <c r="H53" i="5"/>
  <c r="G53" i="5"/>
  <c r="F53" i="5"/>
  <c r="E53" i="5"/>
  <c r="D53" i="5"/>
  <c r="C53" i="5"/>
  <c r="B53" i="5"/>
  <c r="CI52" i="5"/>
  <c r="CH52" i="5"/>
  <c r="CG52" i="5"/>
  <c r="CF52" i="5"/>
  <c r="CE52" i="5"/>
  <c r="CD52" i="5"/>
  <c r="CC52" i="5"/>
  <c r="CB52" i="5"/>
  <c r="CA52" i="5"/>
  <c r="BZ52" i="5"/>
  <c r="BY52" i="5"/>
  <c r="BX52" i="5"/>
  <c r="BW52" i="5"/>
  <c r="BV52" i="5"/>
  <c r="BU52" i="5"/>
  <c r="BT52" i="5"/>
  <c r="BS52" i="5"/>
  <c r="BR52" i="5"/>
  <c r="BQ52" i="5"/>
  <c r="BP52" i="5"/>
  <c r="BO52" i="5"/>
  <c r="BN52" i="5"/>
  <c r="BM52" i="5"/>
  <c r="BL52" i="5"/>
  <c r="BK52" i="5"/>
  <c r="BJ52" i="5"/>
  <c r="BI52" i="5"/>
  <c r="BH52" i="5"/>
  <c r="BG52" i="5"/>
  <c r="BF52" i="5"/>
  <c r="BE52" i="5"/>
  <c r="BD52" i="5"/>
  <c r="BC52" i="5"/>
  <c r="BB52" i="5"/>
  <c r="BA52" i="5"/>
  <c r="AZ52" i="5"/>
  <c r="AY52" i="5"/>
  <c r="AX52" i="5"/>
  <c r="AW52" i="5"/>
  <c r="AV52" i="5"/>
  <c r="AU52" i="5"/>
  <c r="AT52" i="5"/>
  <c r="AS52" i="5"/>
  <c r="AR52" i="5"/>
  <c r="AQ52" i="5"/>
  <c r="AP52" i="5"/>
  <c r="AO52" i="5"/>
  <c r="AN52" i="5"/>
  <c r="AM52" i="5"/>
  <c r="AL52" i="5"/>
  <c r="AK52" i="5"/>
  <c r="AJ52" i="5"/>
  <c r="AI52" i="5"/>
  <c r="AH52" i="5"/>
  <c r="AG52" i="5"/>
  <c r="AF52" i="5"/>
  <c r="AE52" i="5"/>
  <c r="AD52" i="5"/>
  <c r="AC52" i="5"/>
  <c r="AB52" i="5"/>
  <c r="AA52" i="5"/>
  <c r="Z52" i="5"/>
  <c r="Y52" i="5"/>
  <c r="X52" i="5"/>
  <c r="W52" i="5"/>
  <c r="V52" i="5"/>
  <c r="U52" i="5"/>
  <c r="T52" i="5"/>
  <c r="S52" i="5"/>
  <c r="R52" i="5"/>
  <c r="Q52" i="5"/>
  <c r="P52" i="5"/>
  <c r="O52" i="5"/>
  <c r="N52" i="5"/>
  <c r="M52" i="5"/>
  <c r="L52" i="5"/>
  <c r="K52" i="5"/>
  <c r="J52" i="5"/>
  <c r="I52" i="5"/>
  <c r="H52" i="5"/>
  <c r="G52" i="5"/>
  <c r="F52" i="5"/>
  <c r="E52" i="5"/>
  <c r="D52" i="5"/>
  <c r="C52" i="5"/>
  <c r="B52" i="5"/>
  <c r="CI51" i="5"/>
  <c r="CH51" i="5"/>
  <c r="CG51" i="5"/>
  <c r="CF51" i="5"/>
  <c r="CE51" i="5"/>
  <c r="CD51" i="5"/>
  <c r="CC51" i="5"/>
  <c r="CB51" i="5"/>
  <c r="CA51" i="5"/>
  <c r="BZ51" i="5"/>
  <c r="BY51" i="5"/>
  <c r="BX51" i="5"/>
  <c r="BW51" i="5"/>
  <c r="BV51" i="5"/>
  <c r="BU51" i="5"/>
  <c r="BT51" i="5"/>
  <c r="BS51" i="5"/>
  <c r="BR51" i="5"/>
  <c r="BQ51" i="5"/>
  <c r="BP51" i="5"/>
  <c r="BO51" i="5"/>
  <c r="BN51" i="5"/>
  <c r="BM51" i="5"/>
  <c r="BL51" i="5"/>
  <c r="BK51" i="5"/>
  <c r="BJ51" i="5"/>
  <c r="BI51" i="5"/>
  <c r="BH51" i="5"/>
  <c r="BG51" i="5"/>
  <c r="BF51" i="5"/>
  <c r="BE51" i="5"/>
  <c r="BD51" i="5"/>
  <c r="BC51" i="5"/>
  <c r="BB51" i="5"/>
  <c r="BA51" i="5"/>
  <c r="AZ51" i="5"/>
  <c r="AY51" i="5"/>
  <c r="AX51" i="5"/>
  <c r="AW51" i="5"/>
  <c r="AV51" i="5"/>
  <c r="AU51" i="5"/>
  <c r="AT51" i="5"/>
  <c r="AS51" i="5"/>
  <c r="AR51" i="5"/>
  <c r="AQ51" i="5"/>
  <c r="AP51" i="5"/>
  <c r="AO51" i="5"/>
  <c r="AN51" i="5"/>
  <c r="AM51" i="5"/>
  <c r="AL51" i="5"/>
  <c r="AK51" i="5"/>
  <c r="AJ51" i="5"/>
  <c r="AI51" i="5"/>
  <c r="AH51" i="5"/>
  <c r="AG51" i="5"/>
  <c r="AF51" i="5"/>
  <c r="AE51" i="5"/>
  <c r="AD51" i="5"/>
  <c r="AC51" i="5"/>
  <c r="AB51" i="5"/>
  <c r="AA51" i="5"/>
  <c r="Z51" i="5"/>
  <c r="Y51" i="5"/>
  <c r="X51" i="5"/>
  <c r="W51" i="5"/>
  <c r="V51" i="5"/>
  <c r="U51" i="5"/>
  <c r="T51" i="5"/>
  <c r="S51" i="5"/>
  <c r="R51" i="5"/>
  <c r="Q51" i="5"/>
  <c r="P51" i="5"/>
  <c r="O51" i="5"/>
  <c r="N51" i="5"/>
  <c r="M51" i="5"/>
  <c r="L51" i="5"/>
  <c r="K51" i="5"/>
  <c r="J51" i="5"/>
  <c r="I51" i="5"/>
  <c r="H51" i="5"/>
  <c r="G51" i="5"/>
  <c r="F51" i="5"/>
  <c r="E51" i="5"/>
  <c r="D51" i="5"/>
  <c r="C51" i="5"/>
  <c r="B51" i="5"/>
  <c r="CI50" i="5"/>
  <c r="CH50" i="5"/>
  <c r="CG50" i="5"/>
  <c r="CF50" i="5"/>
  <c r="CE50" i="5"/>
  <c r="CD50" i="5"/>
  <c r="CC50" i="5"/>
  <c r="CB50" i="5"/>
  <c r="CA50" i="5"/>
  <c r="BZ50" i="5"/>
  <c r="BY50" i="5"/>
  <c r="BX50" i="5"/>
  <c r="BW50" i="5"/>
  <c r="BV50" i="5"/>
  <c r="BU50" i="5"/>
  <c r="BT50" i="5"/>
  <c r="BS50" i="5"/>
  <c r="BR50" i="5"/>
  <c r="BQ50" i="5"/>
  <c r="BP50" i="5"/>
  <c r="BO50" i="5"/>
  <c r="BN50" i="5"/>
  <c r="BM50" i="5"/>
  <c r="BL50" i="5"/>
  <c r="BK50" i="5"/>
  <c r="BJ50" i="5"/>
  <c r="BI50" i="5"/>
  <c r="BH50" i="5"/>
  <c r="BG50" i="5"/>
  <c r="BF50" i="5"/>
  <c r="BE50" i="5"/>
  <c r="BD50" i="5"/>
  <c r="BC50" i="5"/>
  <c r="BB50" i="5"/>
  <c r="BA50" i="5"/>
  <c r="AZ50" i="5"/>
  <c r="AY50" i="5"/>
  <c r="AX50" i="5"/>
  <c r="AW50" i="5"/>
  <c r="AV50" i="5"/>
  <c r="AU50" i="5"/>
  <c r="AT50" i="5"/>
  <c r="AS50" i="5"/>
  <c r="AR50" i="5"/>
  <c r="AQ50" i="5"/>
  <c r="AP50" i="5"/>
  <c r="AO50" i="5"/>
  <c r="AN50" i="5"/>
  <c r="AM50" i="5"/>
  <c r="AL50" i="5"/>
  <c r="AK50" i="5"/>
  <c r="AJ50" i="5"/>
  <c r="AI50" i="5"/>
  <c r="AH50" i="5"/>
  <c r="AG50" i="5"/>
  <c r="AF50" i="5"/>
  <c r="AE50" i="5"/>
  <c r="AD50" i="5"/>
  <c r="AC50" i="5"/>
  <c r="AB50" i="5"/>
  <c r="AA50" i="5"/>
  <c r="Z50" i="5"/>
  <c r="Y50" i="5"/>
  <c r="X50" i="5"/>
  <c r="W50" i="5"/>
  <c r="V50" i="5"/>
  <c r="U50" i="5"/>
  <c r="T50" i="5"/>
  <c r="S50" i="5"/>
  <c r="R50" i="5"/>
  <c r="Q50" i="5"/>
  <c r="P50" i="5"/>
  <c r="O50" i="5"/>
  <c r="N50" i="5"/>
  <c r="M50" i="5"/>
  <c r="L50" i="5"/>
  <c r="K50" i="5"/>
  <c r="J50" i="5"/>
  <c r="I50" i="5"/>
  <c r="H50" i="5"/>
  <c r="G50" i="5"/>
  <c r="F50" i="5"/>
  <c r="E50" i="5"/>
  <c r="D50" i="5"/>
  <c r="C50" i="5"/>
  <c r="B50" i="5"/>
  <c r="CI46" i="5"/>
  <c r="CH46" i="5"/>
  <c r="CG46" i="5"/>
  <c r="CF46" i="5"/>
  <c r="CE46" i="5"/>
  <c r="CD46" i="5"/>
  <c r="CC46" i="5"/>
  <c r="CB46" i="5"/>
  <c r="CA46" i="5"/>
  <c r="BZ46" i="5"/>
  <c r="BY46" i="5"/>
  <c r="BX46" i="5"/>
  <c r="BW46" i="5"/>
  <c r="BV46" i="5"/>
  <c r="BU46" i="5"/>
  <c r="BT46" i="5"/>
  <c r="BS46" i="5"/>
  <c r="BR46" i="5"/>
  <c r="BQ46" i="5"/>
  <c r="BP46" i="5"/>
  <c r="BO46" i="5"/>
  <c r="BN46" i="5"/>
  <c r="BM46" i="5"/>
  <c r="BL46" i="5"/>
  <c r="BK46" i="5"/>
  <c r="BJ46" i="5"/>
  <c r="BI46" i="5"/>
  <c r="BH46" i="5"/>
  <c r="BG46" i="5"/>
  <c r="BF46" i="5"/>
  <c r="BE46" i="5"/>
  <c r="BD46" i="5"/>
  <c r="BC46" i="5"/>
  <c r="BB46" i="5"/>
  <c r="BA46" i="5"/>
  <c r="AZ46" i="5"/>
  <c r="AY46" i="5"/>
  <c r="AX46" i="5"/>
  <c r="AW46" i="5"/>
  <c r="AV46" i="5"/>
  <c r="AU46" i="5"/>
  <c r="AT46" i="5"/>
  <c r="AS46" i="5"/>
  <c r="AR46" i="5"/>
  <c r="AQ46" i="5"/>
  <c r="AP46" i="5"/>
  <c r="AO46" i="5"/>
  <c r="AN46" i="5"/>
  <c r="AM46" i="5"/>
  <c r="AL46" i="5"/>
  <c r="AK46" i="5"/>
  <c r="AJ46" i="5"/>
  <c r="AI46" i="5"/>
  <c r="AH46" i="5"/>
  <c r="AG46" i="5"/>
  <c r="AF46" i="5"/>
  <c r="AE46" i="5"/>
  <c r="AD46" i="5"/>
  <c r="AC46" i="5"/>
  <c r="AB46" i="5"/>
  <c r="AA46" i="5"/>
  <c r="Z46" i="5"/>
  <c r="Y46" i="5"/>
  <c r="X46" i="5"/>
  <c r="W46" i="5"/>
  <c r="V46" i="5"/>
  <c r="U46" i="5"/>
  <c r="T46" i="5"/>
  <c r="S46" i="5"/>
  <c r="R46" i="5"/>
  <c r="Q46" i="5"/>
  <c r="P46" i="5"/>
  <c r="O46" i="5"/>
  <c r="N46" i="5"/>
  <c r="M46" i="5"/>
  <c r="L46" i="5"/>
  <c r="K46" i="5"/>
  <c r="J46" i="5"/>
  <c r="I46" i="5"/>
  <c r="H46" i="5"/>
  <c r="G46" i="5"/>
  <c r="F46" i="5"/>
  <c r="E46" i="5"/>
  <c r="D46" i="5"/>
  <c r="C46" i="5"/>
  <c r="B46" i="5"/>
  <c r="CI45" i="5"/>
  <c r="CH45" i="5"/>
  <c r="CG45" i="5"/>
  <c r="CF45" i="5"/>
  <c r="CE45" i="5"/>
  <c r="CD45" i="5"/>
  <c r="CC45" i="5"/>
  <c r="CB45" i="5"/>
  <c r="CA45" i="5"/>
  <c r="BZ45" i="5"/>
  <c r="BY45" i="5"/>
  <c r="BX45" i="5"/>
  <c r="BW45" i="5"/>
  <c r="BV45" i="5"/>
  <c r="BU45" i="5"/>
  <c r="BT45" i="5"/>
  <c r="BS45" i="5"/>
  <c r="BR45" i="5"/>
  <c r="BQ45" i="5"/>
  <c r="BP45" i="5"/>
  <c r="BO45" i="5"/>
  <c r="BN45" i="5"/>
  <c r="BM45" i="5"/>
  <c r="BL45" i="5"/>
  <c r="BK45" i="5"/>
  <c r="BJ45" i="5"/>
  <c r="BI45" i="5"/>
  <c r="BH45" i="5"/>
  <c r="BG45" i="5"/>
  <c r="BF45" i="5"/>
  <c r="BE45" i="5"/>
  <c r="BD45" i="5"/>
  <c r="BC45" i="5"/>
  <c r="BB45" i="5"/>
  <c r="BA45" i="5"/>
  <c r="AZ45" i="5"/>
  <c r="AY45" i="5"/>
  <c r="AX45" i="5"/>
  <c r="AW45" i="5"/>
  <c r="AV45" i="5"/>
  <c r="AU45" i="5"/>
  <c r="AT45" i="5"/>
  <c r="AS45" i="5"/>
  <c r="AR45" i="5"/>
  <c r="AQ45" i="5"/>
  <c r="AP45" i="5"/>
  <c r="AO45" i="5"/>
  <c r="AN45" i="5"/>
  <c r="AM45" i="5"/>
  <c r="AL45" i="5"/>
  <c r="AK45" i="5"/>
  <c r="AJ45" i="5"/>
  <c r="AI45" i="5"/>
  <c r="AH45" i="5"/>
  <c r="AG45" i="5"/>
  <c r="AF45" i="5"/>
  <c r="AE45" i="5"/>
  <c r="AD45" i="5"/>
  <c r="AC45" i="5"/>
  <c r="AB45" i="5"/>
  <c r="AA45" i="5"/>
  <c r="Z45" i="5"/>
  <c r="Y45" i="5"/>
  <c r="X45" i="5"/>
  <c r="W45" i="5"/>
  <c r="V45" i="5"/>
  <c r="U45" i="5"/>
  <c r="T45" i="5"/>
  <c r="S45" i="5"/>
  <c r="R45" i="5"/>
  <c r="Q45" i="5"/>
  <c r="P45" i="5"/>
  <c r="O45" i="5"/>
  <c r="N45" i="5"/>
  <c r="M45" i="5"/>
  <c r="L45" i="5"/>
  <c r="K45" i="5"/>
  <c r="J45" i="5"/>
  <c r="I45" i="5"/>
  <c r="H45" i="5"/>
  <c r="G45" i="5"/>
  <c r="F45" i="5"/>
  <c r="E45" i="5"/>
  <c r="D45" i="5"/>
  <c r="C45" i="5"/>
  <c r="B45" i="5"/>
  <c r="CI44" i="5"/>
  <c r="CH44" i="5"/>
  <c r="CG44" i="5"/>
  <c r="CF44" i="5"/>
  <c r="CE44" i="5"/>
  <c r="CD44" i="5"/>
  <c r="CC44" i="5"/>
  <c r="CB44" i="5"/>
  <c r="CA44" i="5"/>
  <c r="BZ44" i="5"/>
  <c r="BY44" i="5"/>
  <c r="BX44" i="5"/>
  <c r="BW44" i="5"/>
  <c r="BV44" i="5"/>
  <c r="BU44" i="5"/>
  <c r="BT44" i="5"/>
  <c r="BS44" i="5"/>
  <c r="BR44" i="5"/>
  <c r="BQ44" i="5"/>
  <c r="BP44" i="5"/>
  <c r="BO44" i="5"/>
  <c r="BN44" i="5"/>
  <c r="BM44" i="5"/>
  <c r="BL44" i="5"/>
  <c r="BK44" i="5"/>
  <c r="BJ44" i="5"/>
  <c r="BI44" i="5"/>
  <c r="BH44" i="5"/>
  <c r="BG44" i="5"/>
  <c r="BF44" i="5"/>
  <c r="BE44" i="5"/>
  <c r="BD44" i="5"/>
  <c r="BC44" i="5"/>
  <c r="BB44" i="5"/>
  <c r="BA44" i="5"/>
  <c r="AZ44" i="5"/>
  <c r="AY44" i="5"/>
  <c r="AX44" i="5"/>
  <c r="AW44" i="5"/>
  <c r="AV44" i="5"/>
  <c r="AU44" i="5"/>
  <c r="AT44" i="5"/>
  <c r="AS44" i="5"/>
  <c r="AR44" i="5"/>
  <c r="AQ44" i="5"/>
  <c r="AP44" i="5"/>
  <c r="AO44" i="5"/>
  <c r="AN44" i="5"/>
  <c r="AM44" i="5"/>
  <c r="AL44" i="5"/>
  <c r="AK44" i="5"/>
  <c r="AJ44" i="5"/>
  <c r="AI44" i="5"/>
  <c r="AH44" i="5"/>
  <c r="AG44" i="5"/>
  <c r="AF44" i="5"/>
  <c r="AE44" i="5"/>
  <c r="AD44" i="5"/>
  <c r="AC44" i="5"/>
  <c r="AB44" i="5"/>
  <c r="AA44" i="5"/>
  <c r="Z44" i="5"/>
  <c r="Y44" i="5"/>
  <c r="X44" i="5"/>
  <c r="W44" i="5"/>
  <c r="V44" i="5"/>
  <c r="U44" i="5"/>
  <c r="T44" i="5"/>
  <c r="S44" i="5"/>
  <c r="R44" i="5"/>
  <c r="Q44" i="5"/>
  <c r="P44" i="5"/>
  <c r="O44" i="5"/>
  <c r="N44" i="5"/>
  <c r="M44" i="5"/>
  <c r="L44" i="5"/>
  <c r="K44" i="5"/>
  <c r="J44" i="5"/>
  <c r="I44" i="5"/>
  <c r="H44" i="5"/>
  <c r="G44" i="5"/>
  <c r="F44" i="5"/>
  <c r="E44" i="5"/>
  <c r="D44" i="5"/>
  <c r="C44" i="5"/>
  <c r="B44" i="5"/>
  <c r="CI43" i="5"/>
  <c r="CH43" i="5"/>
  <c r="CG43" i="5"/>
  <c r="CF43" i="5"/>
  <c r="CE43" i="5"/>
  <c r="CD43" i="5"/>
  <c r="CC43" i="5"/>
  <c r="CB43" i="5"/>
  <c r="CA43" i="5"/>
  <c r="BZ43" i="5"/>
  <c r="BY43" i="5"/>
  <c r="BX43" i="5"/>
  <c r="BW43" i="5"/>
  <c r="BV43" i="5"/>
  <c r="BU43" i="5"/>
  <c r="BT43" i="5"/>
  <c r="BS43" i="5"/>
  <c r="BR43" i="5"/>
  <c r="BQ43" i="5"/>
  <c r="BP43" i="5"/>
  <c r="BO43" i="5"/>
  <c r="BN43" i="5"/>
  <c r="BM43" i="5"/>
  <c r="BL43" i="5"/>
  <c r="BK43" i="5"/>
  <c r="BJ43" i="5"/>
  <c r="BI43" i="5"/>
  <c r="BH43" i="5"/>
  <c r="BG43" i="5"/>
  <c r="BF43" i="5"/>
  <c r="BE43" i="5"/>
  <c r="BD43" i="5"/>
  <c r="BC43" i="5"/>
  <c r="BB43" i="5"/>
  <c r="BA43" i="5"/>
  <c r="AZ43" i="5"/>
  <c r="AY43" i="5"/>
  <c r="AX43" i="5"/>
  <c r="AW43" i="5"/>
  <c r="AV43" i="5"/>
  <c r="AU43" i="5"/>
  <c r="AT43" i="5"/>
  <c r="AS43" i="5"/>
  <c r="AR43" i="5"/>
  <c r="AQ43" i="5"/>
  <c r="AP43" i="5"/>
  <c r="AO43" i="5"/>
  <c r="AN43" i="5"/>
  <c r="AM43" i="5"/>
  <c r="AL43" i="5"/>
  <c r="AK43" i="5"/>
  <c r="AJ43" i="5"/>
  <c r="AI43" i="5"/>
  <c r="AH43" i="5"/>
  <c r="AG43" i="5"/>
  <c r="AF43" i="5"/>
  <c r="AE43" i="5"/>
  <c r="AD43" i="5"/>
  <c r="AC43" i="5"/>
  <c r="AB43" i="5"/>
  <c r="AA43" i="5"/>
  <c r="Z43" i="5"/>
  <c r="Y43" i="5"/>
  <c r="X43" i="5"/>
  <c r="W43" i="5"/>
  <c r="V43" i="5"/>
  <c r="U43" i="5"/>
  <c r="T43" i="5"/>
  <c r="S43" i="5"/>
  <c r="R43" i="5"/>
  <c r="Q43" i="5"/>
  <c r="P43" i="5"/>
  <c r="O43" i="5"/>
  <c r="N43" i="5"/>
  <c r="M43" i="5"/>
  <c r="L43" i="5"/>
  <c r="K43" i="5"/>
  <c r="J43" i="5"/>
  <c r="I43" i="5"/>
  <c r="H43" i="5"/>
  <c r="G43" i="5"/>
  <c r="F43" i="5"/>
  <c r="E43" i="5"/>
  <c r="D43" i="5"/>
  <c r="C43" i="5"/>
  <c r="B43" i="5"/>
  <c r="CI42" i="5"/>
  <c r="CH42" i="5"/>
  <c r="CG42" i="5"/>
  <c r="CF42" i="5"/>
  <c r="CE42" i="5"/>
  <c r="CD42" i="5"/>
  <c r="CC42" i="5"/>
  <c r="CB42" i="5"/>
  <c r="CA42" i="5"/>
  <c r="BZ42" i="5"/>
  <c r="BY42" i="5"/>
  <c r="BX42" i="5"/>
  <c r="BW42" i="5"/>
  <c r="BV42" i="5"/>
  <c r="BU42" i="5"/>
  <c r="BT42" i="5"/>
  <c r="BS42" i="5"/>
  <c r="BR42" i="5"/>
  <c r="BQ42" i="5"/>
  <c r="BP42" i="5"/>
  <c r="BO42" i="5"/>
  <c r="BN42" i="5"/>
  <c r="BM42" i="5"/>
  <c r="BL42" i="5"/>
  <c r="BK42" i="5"/>
  <c r="BJ42" i="5"/>
  <c r="BI42" i="5"/>
  <c r="BH42" i="5"/>
  <c r="BG42" i="5"/>
  <c r="BF42" i="5"/>
  <c r="BE42" i="5"/>
  <c r="BD42" i="5"/>
  <c r="BC42" i="5"/>
  <c r="BB42" i="5"/>
  <c r="BA42" i="5"/>
  <c r="AZ42" i="5"/>
  <c r="AY42" i="5"/>
  <c r="AX42" i="5"/>
  <c r="AW42" i="5"/>
  <c r="AV42" i="5"/>
  <c r="AU42" i="5"/>
  <c r="AT42" i="5"/>
  <c r="AS42" i="5"/>
  <c r="AR42" i="5"/>
  <c r="AQ42" i="5"/>
  <c r="AP42" i="5"/>
  <c r="AO42" i="5"/>
  <c r="AN42" i="5"/>
  <c r="AM42" i="5"/>
  <c r="AL42" i="5"/>
  <c r="AK42" i="5"/>
  <c r="AJ42" i="5"/>
  <c r="AI42" i="5"/>
  <c r="AH42" i="5"/>
  <c r="AG42" i="5"/>
  <c r="AF42" i="5"/>
  <c r="AE42" i="5"/>
  <c r="AD42" i="5"/>
  <c r="AC42" i="5"/>
  <c r="AB42" i="5"/>
  <c r="AA42" i="5"/>
  <c r="Z42" i="5"/>
  <c r="Y42" i="5"/>
  <c r="X42" i="5"/>
  <c r="W42" i="5"/>
  <c r="V42" i="5"/>
  <c r="U42" i="5"/>
  <c r="T42" i="5"/>
  <c r="S42" i="5"/>
  <c r="R42" i="5"/>
  <c r="Q42" i="5"/>
  <c r="P42" i="5"/>
  <c r="O42" i="5"/>
  <c r="N42" i="5"/>
  <c r="M42" i="5"/>
  <c r="L42" i="5"/>
  <c r="K42" i="5"/>
  <c r="J42" i="5"/>
  <c r="I42" i="5"/>
  <c r="H42" i="5"/>
  <c r="G42" i="5"/>
  <c r="F42" i="5"/>
  <c r="E42" i="5"/>
  <c r="D42" i="5"/>
  <c r="C42" i="5"/>
  <c r="B42" i="5"/>
  <c r="CI41" i="5"/>
  <c r="CH41" i="5"/>
  <c r="CG41" i="5"/>
  <c r="CF41" i="5"/>
  <c r="CE41" i="5"/>
  <c r="CD41" i="5"/>
  <c r="CC41" i="5"/>
  <c r="CB41" i="5"/>
  <c r="CA41" i="5"/>
  <c r="BZ41" i="5"/>
  <c r="BY41" i="5"/>
  <c r="BX41" i="5"/>
  <c r="BW41" i="5"/>
  <c r="BV41" i="5"/>
  <c r="BU41" i="5"/>
  <c r="BT41" i="5"/>
  <c r="BS41" i="5"/>
  <c r="BR41" i="5"/>
  <c r="BQ41" i="5"/>
  <c r="BP41" i="5"/>
  <c r="BO41" i="5"/>
  <c r="BN41" i="5"/>
  <c r="BM41" i="5"/>
  <c r="BL41" i="5"/>
  <c r="BK41" i="5"/>
  <c r="BJ41" i="5"/>
  <c r="BI41" i="5"/>
  <c r="BH41" i="5"/>
  <c r="BG41" i="5"/>
  <c r="BF41" i="5"/>
  <c r="BE41" i="5"/>
  <c r="BD41" i="5"/>
  <c r="BC41" i="5"/>
  <c r="BB41" i="5"/>
  <c r="BA41" i="5"/>
  <c r="AZ41" i="5"/>
  <c r="AY41" i="5"/>
  <c r="AX41" i="5"/>
  <c r="AW41" i="5"/>
  <c r="AV41" i="5"/>
  <c r="AU41" i="5"/>
  <c r="AT41" i="5"/>
  <c r="AS41" i="5"/>
  <c r="AR41" i="5"/>
  <c r="AQ41" i="5"/>
  <c r="AP41" i="5"/>
  <c r="AO41" i="5"/>
  <c r="AN41" i="5"/>
  <c r="AM41" i="5"/>
  <c r="AL41" i="5"/>
  <c r="AK41" i="5"/>
  <c r="AJ41" i="5"/>
  <c r="AI41" i="5"/>
  <c r="AH41" i="5"/>
  <c r="AG41" i="5"/>
  <c r="AF41" i="5"/>
  <c r="AE41" i="5"/>
  <c r="AD41" i="5"/>
  <c r="AC41" i="5"/>
  <c r="AB41" i="5"/>
  <c r="AA41" i="5"/>
  <c r="Z41" i="5"/>
  <c r="Y41" i="5"/>
  <c r="X41" i="5"/>
  <c r="W41" i="5"/>
  <c r="V41" i="5"/>
  <c r="U41" i="5"/>
  <c r="T41" i="5"/>
  <c r="S41" i="5"/>
  <c r="R41" i="5"/>
  <c r="Q41" i="5"/>
  <c r="P41" i="5"/>
  <c r="O41" i="5"/>
  <c r="N41" i="5"/>
  <c r="M41" i="5"/>
  <c r="L41" i="5"/>
  <c r="K41" i="5"/>
  <c r="J41" i="5"/>
  <c r="I41" i="5"/>
  <c r="H41" i="5"/>
  <c r="G41" i="5"/>
  <c r="F41" i="5"/>
  <c r="E41" i="5"/>
  <c r="D41" i="5"/>
  <c r="C41" i="5"/>
  <c r="B41" i="5"/>
  <c r="CI37" i="5"/>
  <c r="CH37" i="5"/>
  <c r="CG37" i="5"/>
  <c r="CF37" i="5"/>
  <c r="CE37" i="5"/>
  <c r="CD37" i="5"/>
  <c r="CC37" i="5"/>
  <c r="CB37" i="5"/>
  <c r="CA37" i="5"/>
  <c r="BZ37" i="5"/>
  <c r="BY37" i="5"/>
  <c r="BX37" i="5"/>
  <c r="BW37" i="5"/>
  <c r="BV37" i="5"/>
  <c r="BU37" i="5"/>
  <c r="BT37" i="5"/>
  <c r="BS37" i="5"/>
  <c r="BR37" i="5"/>
  <c r="BQ37" i="5"/>
  <c r="BP37" i="5"/>
  <c r="BO37" i="5"/>
  <c r="BN37" i="5"/>
  <c r="BM37" i="5"/>
  <c r="BL37" i="5"/>
  <c r="BK37" i="5"/>
  <c r="BJ37" i="5"/>
  <c r="BI37" i="5"/>
  <c r="BH37" i="5"/>
  <c r="BG37" i="5"/>
  <c r="BF37" i="5"/>
  <c r="BE37" i="5"/>
  <c r="BD37" i="5"/>
  <c r="BC37" i="5"/>
  <c r="BB37" i="5"/>
  <c r="BA37" i="5"/>
  <c r="AZ37" i="5"/>
  <c r="AY37" i="5"/>
  <c r="AX37" i="5"/>
  <c r="AW37" i="5"/>
  <c r="AV37" i="5"/>
  <c r="AU37" i="5"/>
  <c r="AT37" i="5"/>
  <c r="AS37" i="5"/>
  <c r="AR37" i="5"/>
  <c r="AQ37" i="5"/>
  <c r="AP37" i="5"/>
  <c r="AO37" i="5"/>
  <c r="AN37" i="5"/>
  <c r="AM37" i="5"/>
  <c r="AL37" i="5"/>
  <c r="AK37" i="5"/>
  <c r="AJ37" i="5"/>
  <c r="AI37" i="5"/>
  <c r="AH37" i="5"/>
  <c r="AG37" i="5"/>
  <c r="AF37" i="5"/>
  <c r="AE37" i="5"/>
  <c r="AD37" i="5"/>
  <c r="AC37" i="5"/>
  <c r="AB37" i="5"/>
  <c r="AA37" i="5"/>
  <c r="Z37" i="5"/>
  <c r="Y37" i="5"/>
  <c r="X37" i="5"/>
  <c r="W37" i="5"/>
  <c r="V37" i="5"/>
  <c r="U37" i="5"/>
  <c r="T37" i="5"/>
  <c r="S37" i="5"/>
  <c r="R37" i="5"/>
  <c r="Q37" i="5"/>
  <c r="P37" i="5"/>
  <c r="O37" i="5"/>
  <c r="N37" i="5"/>
  <c r="M37" i="5"/>
  <c r="L37" i="5"/>
  <c r="K37" i="5"/>
  <c r="J37" i="5"/>
  <c r="I37" i="5"/>
  <c r="H37" i="5"/>
  <c r="G37" i="5"/>
  <c r="F37" i="5"/>
  <c r="E37" i="5"/>
  <c r="D37" i="5"/>
  <c r="C37" i="5"/>
  <c r="B37" i="5"/>
  <c r="CI36" i="5"/>
  <c r="CH36" i="5"/>
  <c r="CG36" i="5"/>
  <c r="CF36" i="5"/>
  <c r="CE36" i="5"/>
  <c r="CD36" i="5"/>
  <c r="CC36" i="5"/>
  <c r="CB36" i="5"/>
  <c r="CA36" i="5"/>
  <c r="BZ36" i="5"/>
  <c r="BY36" i="5"/>
  <c r="BX36" i="5"/>
  <c r="BW36" i="5"/>
  <c r="BV36" i="5"/>
  <c r="BU36" i="5"/>
  <c r="BT36" i="5"/>
  <c r="BS36" i="5"/>
  <c r="BR36" i="5"/>
  <c r="BQ36" i="5"/>
  <c r="BP36" i="5"/>
  <c r="BO36" i="5"/>
  <c r="BN36" i="5"/>
  <c r="BM36" i="5"/>
  <c r="BL36" i="5"/>
  <c r="BK36" i="5"/>
  <c r="BJ36" i="5"/>
  <c r="BI36" i="5"/>
  <c r="BH36" i="5"/>
  <c r="BG36" i="5"/>
  <c r="BF36" i="5"/>
  <c r="BE36" i="5"/>
  <c r="BD36" i="5"/>
  <c r="BC36" i="5"/>
  <c r="BB36" i="5"/>
  <c r="BA36" i="5"/>
  <c r="AZ36" i="5"/>
  <c r="AY36" i="5"/>
  <c r="AX36" i="5"/>
  <c r="AW36" i="5"/>
  <c r="AV36" i="5"/>
  <c r="AU36" i="5"/>
  <c r="AT36" i="5"/>
  <c r="AS36" i="5"/>
  <c r="AR36" i="5"/>
  <c r="AQ36" i="5"/>
  <c r="AP36" i="5"/>
  <c r="AO36" i="5"/>
  <c r="AN36" i="5"/>
  <c r="AM36" i="5"/>
  <c r="AL36" i="5"/>
  <c r="AK36" i="5"/>
  <c r="AJ36" i="5"/>
  <c r="AI36" i="5"/>
  <c r="AH36" i="5"/>
  <c r="AG36" i="5"/>
  <c r="AF36" i="5"/>
  <c r="AE36" i="5"/>
  <c r="AD36" i="5"/>
  <c r="AC36" i="5"/>
  <c r="AB36" i="5"/>
  <c r="AA36" i="5"/>
  <c r="Z36" i="5"/>
  <c r="Y36" i="5"/>
  <c r="X36" i="5"/>
  <c r="W36" i="5"/>
  <c r="V36" i="5"/>
  <c r="U36" i="5"/>
  <c r="T36" i="5"/>
  <c r="S36" i="5"/>
  <c r="R36" i="5"/>
  <c r="Q36" i="5"/>
  <c r="P36" i="5"/>
  <c r="O36" i="5"/>
  <c r="N36" i="5"/>
  <c r="M36" i="5"/>
  <c r="L36" i="5"/>
  <c r="K36" i="5"/>
  <c r="J36" i="5"/>
  <c r="I36" i="5"/>
  <c r="H36" i="5"/>
  <c r="G36" i="5"/>
  <c r="F36" i="5"/>
  <c r="E36" i="5"/>
  <c r="D36" i="5"/>
  <c r="C36" i="5"/>
  <c r="B36" i="5"/>
  <c r="CI35" i="5"/>
  <c r="CH35" i="5"/>
  <c r="CG35" i="5"/>
  <c r="CF35" i="5"/>
  <c r="CE35" i="5"/>
  <c r="CD35" i="5"/>
  <c r="CC35" i="5"/>
  <c r="CB35" i="5"/>
  <c r="CA35" i="5"/>
  <c r="BZ35" i="5"/>
  <c r="BY35" i="5"/>
  <c r="BX35" i="5"/>
  <c r="BW35" i="5"/>
  <c r="BV35" i="5"/>
  <c r="BU35" i="5"/>
  <c r="BT35" i="5"/>
  <c r="BS35" i="5"/>
  <c r="BR35" i="5"/>
  <c r="BQ35" i="5"/>
  <c r="BP35" i="5"/>
  <c r="BO35" i="5"/>
  <c r="BN35" i="5"/>
  <c r="BM35" i="5"/>
  <c r="BL35" i="5"/>
  <c r="BK35" i="5"/>
  <c r="BJ35" i="5"/>
  <c r="BI35" i="5"/>
  <c r="BH35" i="5"/>
  <c r="BG35" i="5"/>
  <c r="BF35" i="5"/>
  <c r="BE35" i="5"/>
  <c r="BD35" i="5"/>
  <c r="BC35" i="5"/>
  <c r="BB35" i="5"/>
  <c r="BA35" i="5"/>
  <c r="AZ35" i="5"/>
  <c r="AY35" i="5"/>
  <c r="AX35" i="5"/>
  <c r="AW35" i="5"/>
  <c r="AV35" i="5"/>
  <c r="AU35" i="5"/>
  <c r="AT35" i="5"/>
  <c r="AS35" i="5"/>
  <c r="AR35" i="5"/>
  <c r="AQ35" i="5"/>
  <c r="AP35" i="5"/>
  <c r="AO35" i="5"/>
  <c r="AN35" i="5"/>
  <c r="AM35" i="5"/>
  <c r="AL35" i="5"/>
  <c r="AK35" i="5"/>
  <c r="AJ35" i="5"/>
  <c r="AI35" i="5"/>
  <c r="AH35" i="5"/>
  <c r="AG35" i="5"/>
  <c r="AF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CI34" i="5"/>
  <c r="CH34" i="5"/>
  <c r="CG34" i="5"/>
  <c r="CF34" i="5"/>
  <c r="CE34" i="5"/>
  <c r="CD34" i="5"/>
  <c r="CC34" i="5"/>
  <c r="CB34" i="5"/>
  <c r="CA34" i="5"/>
  <c r="BZ34" i="5"/>
  <c r="BY34" i="5"/>
  <c r="BX34" i="5"/>
  <c r="BW34" i="5"/>
  <c r="BV34" i="5"/>
  <c r="BU34" i="5"/>
  <c r="BT34" i="5"/>
  <c r="BS34" i="5"/>
  <c r="BR34" i="5"/>
  <c r="BQ34" i="5"/>
  <c r="BP34" i="5"/>
  <c r="BO34" i="5"/>
  <c r="BN34" i="5"/>
  <c r="BM34" i="5"/>
  <c r="BL34" i="5"/>
  <c r="BK34" i="5"/>
  <c r="BJ34" i="5"/>
  <c r="BI34" i="5"/>
  <c r="BH34" i="5"/>
  <c r="BG34" i="5"/>
  <c r="BF34" i="5"/>
  <c r="BE34" i="5"/>
  <c r="BD34" i="5"/>
  <c r="BC34" i="5"/>
  <c r="BB34" i="5"/>
  <c r="BA34" i="5"/>
  <c r="AZ34" i="5"/>
  <c r="AY34" i="5"/>
  <c r="AX34" i="5"/>
  <c r="AW34" i="5"/>
  <c r="AV34" i="5"/>
  <c r="AU34" i="5"/>
  <c r="AT34" i="5"/>
  <c r="AS34" i="5"/>
  <c r="AR34" i="5"/>
  <c r="AQ34" i="5"/>
  <c r="AP34" i="5"/>
  <c r="AO34" i="5"/>
  <c r="AN34" i="5"/>
  <c r="AM34" i="5"/>
  <c r="AL34" i="5"/>
  <c r="AK34" i="5"/>
  <c r="AJ34" i="5"/>
  <c r="AI34" i="5"/>
  <c r="AH34" i="5"/>
  <c r="AG34" i="5"/>
  <c r="AF34" i="5"/>
  <c r="AE34" i="5"/>
  <c r="AD34" i="5"/>
  <c r="AC34" i="5"/>
  <c r="AB34" i="5"/>
  <c r="AA34" i="5"/>
  <c r="Z34" i="5"/>
  <c r="Y34" i="5"/>
  <c r="X34" i="5"/>
  <c r="W34" i="5"/>
  <c r="V34" i="5"/>
  <c r="U34" i="5"/>
  <c r="T34" i="5"/>
  <c r="S34" i="5"/>
  <c r="R34" i="5"/>
  <c r="Q34" i="5"/>
  <c r="P34" i="5"/>
  <c r="O34" i="5"/>
  <c r="N34" i="5"/>
  <c r="M34" i="5"/>
  <c r="L34" i="5"/>
  <c r="K34" i="5"/>
  <c r="J34" i="5"/>
  <c r="I34" i="5"/>
  <c r="H34" i="5"/>
  <c r="G34" i="5"/>
  <c r="F34" i="5"/>
  <c r="E34" i="5"/>
  <c r="D34" i="5"/>
  <c r="C34" i="5"/>
  <c r="B34" i="5"/>
  <c r="CI33" i="5"/>
  <c r="CH33" i="5"/>
  <c r="CG33" i="5"/>
  <c r="CF33" i="5"/>
  <c r="CE33" i="5"/>
  <c r="CD33" i="5"/>
  <c r="CC33" i="5"/>
  <c r="CB33" i="5"/>
  <c r="CA33" i="5"/>
  <c r="BZ33" i="5"/>
  <c r="BY33" i="5"/>
  <c r="BX33" i="5"/>
  <c r="BW33" i="5"/>
  <c r="BV33" i="5"/>
  <c r="BU33" i="5"/>
  <c r="BT33" i="5"/>
  <c r="BS33" i="5"/>
  <c r="BR33" i="5"/>
  <c r="BQ33" i="5"/>
  <c r="BP33" i="5"/>
  <c r="BO33" i="5"/>
  <c r="BN33" i="5"/>
  <c r="BM33" i="5"/>
  <c r="BL33" i="5"/>
  <c r="BK33" i="5"/>
  <c r="BJ33" i="5"/>
  <c r="BI33" i="5"/>
  <c r="BH33" i="5"/>
  <c r="BG33" i="5"/>
  <c r="BF33" i="5"/>
  <c r="BE33" i="5"/>
  <c r="BD33" i="5"/>
  <c r="BC33" i="5"/>
  <c r="BB33" i="5"/>
  <c r="BA33" i="5"/>
  <c r="AZ33" i="5"/>
  <c r="AY33" i="5"/>
  <c r="AX33" i="5"/>
  <c r="AW33" i="5"/>
  <c r="AV33" i="5"/>
  <c r="AU33" i="5"/>
  <c r="AT33" i="5"/>
  <c r="AS33" i="5"/>
  <c r="AR33" i="5"/>
  <c r="AQ33" i="5"/>
  <c r="AP33" i="5"/>
  <c r="AO33" i="5"/>
  <c r="AN33" i="5"/>
  <c r="AM33" i="5"/>
  <c r="AL33" i="5"/>
  <c r="AK33" i="5"/>
  <c r="AJ33" i="5"/>
  <c r="AI33" i="5"/>
  <c r="AH33" i="5"/>
  <c r="AG33" i="5"/>
  <c r="AF33" i="5"/>
  <c r="AE33" i="5"/>
  <c r="AD33" i="5"/>
  <c r="AC33" i="5"/>
  <c r="AB33" i="5"/>
  <c r="AA33" i="5"/>
  <c r="Z33" i="5"/>
  <c r="Y33" i="5"/>
  <c r="X33" i="5"/>
  <c r="W33" i="5"/>
  <c r="V33" i="5"/>
  <c r="U33" i="5"/>
  <c r="T33" i="5"/>
  <c r="S33" i="5"/>
  <c r="R33" i="5"/>
  <c r="Q33" i="5"/>
  <c r="P33" i="5"/>
  <c r="O33" i="5"/>
  <c r="N33" i="5"/>
  <c r="M33" i="5"/>
  <c r="L33" i="5"/>
  <c r="K33" i="5"/>
  <c r="J33" i="5"/>
  <c r="I33" i="5"/>
  <c r="H33" i="5"/>
  <c r="G33" i="5"/>
  <c r="F33" i="5"/>
  <c r="E33" i="5"/>
  <c r="D33" i="5"/>
  <c r="C33" i="5"/>
  <c r="B33" i="5"/>
  <c r="CI32" i="5"/>
  <c r="CH32" i="5"/>
  <c r="CG32" i="5"/>
  <c r="CF32" i="5"/>
  <c r="CE32" i="5"/>
  <c r="CD32" i="5"/>
  <c r="CC32" i="5"/>
  <c r="CB32" i="5"/>
  <c r="CA32" i="5"/>
  <c r="BZ32" i="5"/>
  <c r="BY32" i="5"/>
  <c r="BX32" i="5"/>
  <c r="BW32" i="5"/>
  <c r="BV32" i="5"/>
  <c r="BU32" i="5"/>
  <c r="BT32" i="5"/>
  <c r="BS32" i="5"/>
  <c r="BR32" i="5"/>
  <c r="BQ32" i="5"/>
  <c r="BP32" i="5"/>
  <c r="BO32" i="5"/>
  <c r="BN32" i="5"/>
  <c r="BM32" i="5"/>
  <c r="BL32" i="5"/>
  <c r="BK32" i="5"/>
  <c r="BJ32" i="5"/>
  <c r="BI32" i="5"/>
  <c r="BH32" i="5"/>
  <c r="BG32" i="5"/>
  <c r="BF32" i="5"/>
  <c r="BE32" i="5"/>
  <c r="BD32" i="5"/>
  <c r="BC32" i="5"/>
  <c r="BB32" i="5"/>
  <c r="BA32" i="5"/>
  <c r="AZ32" i="5"/>
  <c r="AY32" i="5"/>
  <c r="AX32" i="5"/>
  <c r="AW32" i="5"/>
  <c r="AV32" i="5"/>
  <c r="AU32" i="5"/>
  <c r="AT32" i="5"/>
  <c r="AS32" i="5"/>
  <c r="AR32" i="5"/>
  <c r="AQ32" i="5"/>
  <c r="AP32" i="5"/>
  <c r="AO32" i="5"/>
  <c r="AN32" i="5"/>
  <c r="AM32" i="5"/>
  <c r="AL32" i="5"/>
  <c r="AK32" i="5"/>
  <c r="AJ32" i="5"/>
  <c r="AI32" i="5"/>
  <c r="AH32" i="5"/>
  <c r="AG32" i="5"/>
  <c r="AF32" i="5"/>
  <c r="AE32" i="5"/>
  <c r="AD32" i="5"/>
  <c r="AC32" i="5"/>
  <c r="AB32" i="5"/>
  <c r="AA32" i="5"/>
  <c r="Z32" i="5"/>
  <c r="Y32" i="5"/>
  <c r="X32" i="5"/>
  <c r="W32" i="5"/>
  <c r="V32" i="5"/>
  <c r="U32" i="5"/>
  <c r="T32" i="5"/>
  <c r="S32" i="5"/>
  <c r="R32" i="5"/>
  <c r="Q32" i="5"/>
  <c r="P32" i="5"/>
  <c r="O32" i="5"/>
  <c r="N32" i="5"/>
  <c r="M32" i="5"/>
  <c r="L32" i="5"/>
  <c r="K32" i="5"/>
  <c r="J32" i="5"/>
  <c r="I32" i="5"/>
  <c r="H32" i="5"/>
  <c r="G32" i="5"/>
  <c r="F32" i="5"/>
  <c r="E32" i="5"/>
  <c r="D32" i="5"/>
  <c r="C32" i="5"/>
  <c r="B32" i="5"/>
  <c r="CI28" i="5"/>
  <c r="CH28" i="5"/>
  <c r="CG28" i="5"/>
  <c r="CF28" i="5"/>
  <c r="CE28" i="5"/>
  <c r="CD28" i="5"/>
  <c r="CC28" i="5"/>
  <c r="CB28" i="5"/>
  <c r="CA28" i="5"/>
  <c r="BZ28" i="5"/>
  <c r="BY28" i="5"/>
  <c r="BX28" i="5"/>
  <c r="BW28" i="5"/>
  <c r="BV28" i="5"/>
  <c r="BU28" i="5"/>
  <c r="BT28" i="5"/>
  <c r="BS28" i="5"/>
  <c r="BR28" i="5"/>
  <c r="BQ28" i="5"/>
  <c r="BP28" i="5"/>
  <c r="BO28" i="5"/>
  <c r="BN28" i="5"/>
  <c r="BM28" i="5"/>
  <c r="BL28" i="5"/>
  <c r="BK28" i="5"/>
  <c r="BJ28" i="5"/>
  <c r="BI28" i="5"/>
  <c r="BH28" i="5"/>
  <c r="BG28" i="5"/>
  <c r="BF28" i="5"/>
  <c r="BE28" i="5"/>
  <c r="BD28" i="5"/>
  <c r="BC28" i="5"/>
  <c r="BB28" i="5"/>
  <c r="BA28" i="5"/>
  <c r="AZ28" i="5"/>
  <c r="AY28" i="5"/>
  <c r="AX28" i="5"/>
  <c r="AW28" i="5"/>
  <c r="AV28" i="5"/>
  <c r="AU28" i="5"/>
  <c r="AT28" i="5"/>
  <c r="AS28" i="5"/>
  <c r="AR28" i="5"/>
  <c r="AQ28" i="5"/>
  <c r="AP28" i="5"/>
  <c r="AO28" i="5"/>
  <c r="AN28" i="5"/>
  <c r="AM28" i="5"/>
  <c r="AL28" i="5"/>
  <c r="AK28" i="5"/>
  <c r="AJ28" i="5"/>
  <c r="AI28" i="5"/>
  <c r="AH28" i="5"/>
  <c r="AG28" i="5"/>
  <c r="AF28" i="5"/>
  <c r="AE28" i="5"/>
  <c r="AD28" i="5"/>
  <c r="AC28" i="5"/>
  <c r="AB28" i="5"/>
  <c r="AA28" i="5"/>
  <c r="Z28" i="5"/>
  <c r="Y28" i="5"/>
  <c r="X28" i="5"/>
  <c r="W28" i="5"/>
  <c r="V28" i="5"/>
  <c r="U28" i="5"/>
  <c r="T28" i="5"/>
  <c r="S28" i="5"/>
  <c r="R28" i="5"/>
  <c r="Q28" i="5"/>
  <c r="P28" i="5"/>
  <c r="O28" i="5"/>
  <c r="N28" i="5"/>
  <c r="M28" i="5"/>
  <c r="L28" i="5"/>
  <c r="K28" i="5"/>
  <c r="J28" i="5"/>
  <c r="I28" i="5"/>
  <c r="H28" i="5"/>
  <c r="G28" i="5"/>
  <c r="F28" i="5"/>
  <c r="E28" i="5"/>
  <c r="D28" i="5"/>
  <c r="C28" i="5"/>
  <c r="B28" i="5"/>
  <c r="CI27" i="5"/>
  <c r="CH27" i="5"/>
  <c r="CG27" i="5"/>
  <c r="CF27" i="5"/>
  <c r="CE27" i="5"/>
  <c r="CD27" i="5"/>
  <c r="CC27" i="5"/>
  <c r="CB27" i="5"/>
  <c r="CA27" i="5"/>
  <c r="BZ27" i="5"/>
  <c r="BY27" i="5"/>
  <c r="BX27" i="5"/>
  <c r="BW27" i="5"/>
  <c r="BV27" i="5"/>
  <c r="BU27" i="5"/>
  <c r="BT27" i="5"/>
  <c r="BS27" i="5"/>
  <c r="BR27" i="5"/>
  <c r="BQ27" i="5"/>
  <c r="BP27" i="5"/>
  <c r="BO27" i="5"/>
  <c r="BN27" i="5"/>
  <c r="BM27" i="5"/>
  <c r="BL27" i="5"/>
  <c r="BK27" i="5"/>
  <c r="BJ27" i="5"/>
  <c r="BI27" i="5"/>
  <c r="BH27" i="5"/>
  <c r="BG27" i="5"/>
  <c r="BF27" i="5"/>
  <c r="BE27" i="5"/>
  <c r="BD27" i="5"/>
  <c r="BC27" i="5"/>
  <c r="BB27" i="5"/>
  <c r="BA27" i="5"/>
  <c r="AZ27" i="5"/>
  <c r="AY27" i="5"/>
  <c r="AX27" i="5"/>
  <c r="AW27" i="5"/>
  <c r="AV27" i="5"/>
  <c r="AU27" i="5"/>
  <c r="AT27" i="5"/>
  <c r="AS27" i="5"/>
  <c r="AR27" i="5"/>
  <c r="AQ27" i="5"/>
  <c r="AP27" i="5"/>
  <c r="AO27" i="5"/>
  <c r="AN27" i="5"/>
  <c r="AM27" i="5"/>
  <c r="AL27" i="5"/>
  <c r="AK27" i="5"/>
  <c r="AJ27" i="5"/>
  <c r="AI27" i="5"/>
  <c r="AH27" i="5"/>
  <c r="AG27" i="5"/>
  <c r="AF27" i="5"/>
  <c r="AE27" i="5"/>
  <c r="AD27" i="5"/>
  <c r="AC27" i="5"/>
  <c r="AB27" i="5"/>
  <c r="AA27" i="5"/>
  <c r="Z27" i="5"/>
  <c r="Y27" i="5"/>
  <c r="X27" i="5"/>
  <c r="W27" i="5"/>
  <c r="V27" i="5"/>
  <c r="U27" i="5"/>
  <c r="T27" i="5"/>
  <c r="S27" i="5"/>
  <c r="R27" i="5"/>
  <c r="Q27" i="5"/>
  <c r="P27" i="5"/>
  <c r="O27" i="5"/>
  <c r="N27" i="5"/>
  <c r="M27" i="5"/>
  <c r="L27" i="5"/>
  <c r="K27" i="5"/>
  <c r="J27" i="5"/>
  <c r="I27" i="5"/>
  <c r="H27" i="5"/>
  <c r="G27" i="5"/>
  <c r="F27" i="5"/>
  <c r="E27" i="5"/>
  <c r="D27" i="5"/>
  <c r="C27" i="5"/>
  <c r="B27" i="5"/>
  <c r="CI26" i="5"/>
  <c r="CH26" i="5"/>
  <c r="CG26" i="5"/>
  <c r="CF26" i="5"/>
  <c r="CE26" i="5"/>
  <c r="CD26" i="5"/>
  <c r="CC26" i="5"/>
  <c r="CB26" i="5"/>
  <c r="CA26" i="5"/>
  <c r="BZ26" i="5"/>
  <c r="BY26" i="5"/>
  <c r="BX26" i="5"/>
  <c r="BW26" i="5"/>
  <c r="BV26" i="5"/>
  <c r="BU26" i="5"/>
  <c r="BT26" i="5"/>
  <c r="BS26" i="5"/>
  <c r="BR26" i="5"/>
  <c r="BQ26" i="5"/>
  <c r="BP26" i="5"/>
  <c r="BO26" i="5"/>
  <c r="BN26" i="5"/>
  <c r="BM26" i="5"/>
  <c r="BL26" i="5"/>
  <c r="BK26" i="5"/>
  <c r="BJ26" i="5"/>
  <c r="BI26" i="5"/>
  <c r="BH26" i="5"/>
  <c r="BG26" i="5"/>
  <c r="BF26" i="5"/>
  <c r="BE26" i="5"/>
  <c r="BD26" i="5"/>
  <c r="BC26" i="5"/>
  <c r="BB26" i="5"/>
  <c r="BA26" i="5"/>
  <c r="AZ26" i="5"/>
  <c r="AY26" i="5"/>
  <c r="AX26" i="5"/>
  <c r="AW26" i="5"/>
  <c r="AV26" i="5"/>
  <c r="AU26" i="5"/>
  <c r="AT26" i="5"/>
  <c r="AS26" i="5"/>
  <c r="AR26" i="5"/>
  <c r="AQ26" i="5"/>
  <c r="AP26" i="5"/>
  <c r="AO26" i="5"/>
  <c r="AN26" i="5"/>
  <c r="AM26" i="5"/>
  <c r="AL26" i="5"/>
  <c r="AK26" i="5"/>
  <c r="AJ26" i="5"/>
  <c r="AI26" i="5"/>
  <c r="AH26" i="5"/>
  <c r="AG26" i="5"/>
  <c r="AF26" i="5"/>
  <c r="AE26" i="5"/>
  <c r="AD26" i="5"/>
  <c r="AC26" i="5"/>
  <c r="AB26" i="5"/>
  <c r="AA26" i="5"/>
  <c r="Z26" i="5"/>
  <c r="Y26" i="5"/>
  <c r="X26" i="5"/>
  <c r="W26" i="5"/>
  <c r="V26" i="5"/>
  <c r="U26" i="5"/>
  <c r="T26" i="5"/>
  <c r="S26" i="5"/>
  <c r="R26" i="5"/>
  <c r="Q26" i="5"/>
  <c r="P26" i="5"/>
  <c r="O26" i="5"/>
  <c r="N26" i="5"/>
  <c r="M26" i="5"/>
  <c r="L26" i="5"/>
  <c r="K26" i="5"/>
  <c r="J26" i="5"/>
  <c r="I26" i="5"/>
  <c r="H26" i="5"/>
  <c r="G26" i="5"/>
  <c r="F26" i="5"/>
  <c r="E26" i="5"/>
  <c r="D26" i="5"/>
  <c r="C26" i="5"/>
  <c r="B26" i="5"/>
  <c r="CI25" i="5"/>
  <c r="CH25" i="5"/>
  <c r="CG25" i="5"/>
  <c r="CF25" i="5"/>
  <c r="CE25" i="5"/>
  <c r="CD25" i="5"/>
  <c r="CC25" i="5"/>
  <c r="CB25" i="5"/>
  <c r="CA25" i="5"/>
  <c r="BZ25" i="5"/>
  <c r="BY25" i="5"/>
  <c r="BX25" i="5"/>
  <c r="BW25" i="5"/>
  <c r="BV25" i="5"/>
  <c r="BU25" i="5"/>
  <c r="BT25" i="5"/>
  <c r="BS25" i="5"/>
  <c r="BR25" i="5"/>
  <c r="BQ25" i="5"/>
  <c r="BP25" i="5"/>
  <c r="BO25" i="5"/>
  <c r="BN25" i="5"/>
  <c r="BM25" i="5"/>
  <c r="BL25" i="5"/>
  <c r="BK25" i="5"/>
  <c r="BJ25" i="5"/>
  <c r="BI25" i="5"/>
  <c r="BH25" i="5"/>
  <c r="BG25" i="5"/>
  <c r="BF25" i="5"/>
  <c r="BE25" i="5"/>
  <c r="BD25" i="5"/>
  <c r="BC25" i="5"/>
  <c r="BB25" i="5"/>
  <c r="BA25" i="5"/>
  <c r="AZ25" i="5"/>
  <c r="AY25" i="5"/>
  <c r="AX25" i="5"/>
  <c r="AW25" i="5"/>
  <c r="AV25" i="5"/>
  <c r="AU25" i="5"/>
  <c r="AT25" i="5"/>
  <c r="AS25" i="5"/>
  <c r="AR25" i="5"/>
  <c r="AQ25" i="5"/>
  <c r="AP25" i="5"/>
  <c r="AO25" i="5"/>
  <c r="AN25" i="5"/>
  <c r="AM25" i="5"/>
  <c r="AL25" i="5"/>
  <c r="AK25" i="5"/>
  <c r="AJ25" i="5"/>
  <c r="AI25" i="5"/>
  <c r="AH25" i="5"/>
  <c r="AG25" i="5"/>
  <c r="AF25" i="5"/>
  <c r="AE25" i="5"/>
  <c r="AD25" i="5"/>
  <c r="AC25" i="5"/>
  <c r="AB25" i="5"/>
  <c r="AA25" i="5"/>
  <c r="Z25" i="5"/>
  <c r="Y25" i="5"/>
  <c r="X25" i="5"/>
  <c r="W25" i="5"/>
  <c r="V25" i="5"/>
  <c r="U25" i="5"/>
  <c r="T25" i="5"/>
  <c r="S25" i="5"/>
  <c r="R25" i="5"/>
  <c r="Q25" i="5"/>
  <c r="P25" i="5"/>
  <c r="O25" i="5"/>
  <c r="N25" i="5"/>
  <c r="M25" i="5"/>
  <c r="L25" i="5"/>
  <c r="K25" i="5"/>
  <c r="J25" i="5"/>
  <c r="I25" i="5"/>
  <c r="H25" i="5"/>
  <c r="G25" i="5"/>
  <c r="F25" i="5"/>
  <c r="E25" i="5"/>
  <c r="D25" i="5"/>
  <c r="C25" i="5"/>
  <c r="B25" i="5"/>
  <c r="CI24" i="5"/>
  <c r="CH24" i="5"/>
  <c r="CG24" i="5"/>
  <c r="CF24" i="5"/>
  <c r="CE24" i="5"/>
  <c r="CD24" i="5"/>
  <c r="CC24" i="5"/>
  <c r="CB24" i="5"/>
  <c r="CA24" i="5"/>
  <c r="BZ24" i="5"/>
  <c r="BY24" i="5"/>
  <c r="BX24" i="5"/>
  <c r="BW24" i="5"/>
  <c r="BV24" i="5"/>
  <c r="BU24" i="5"/>
  <c r="BT24" i="5"/>
  <c r="BS24" i="5"/>
  <c r="BR24" i="5"/>
  <c r="BQ24" i="5"/>
  <c r="BP24" i="5"/>
  <c r="BO24" i="5"/>
  <c r="BN24" i="5"/>
  <c r="BM24" i="5"/>
  <c r="BL24" i="5"/>
  <c r="BK24" i="5"/>
  <c r="BJ24" i="5"/>
  <c r="BI24" i="5"/>
  <c r="BH24" i="5"/>
  <c r="BG24" i="5"/>
  <c r="BF24" i="5"/>
  <c r="BE24" i="5"/>
  <c r="BD24" i="5"/>
  <c r="BC24" i="5"/>
  <c r="BB24" i="5"/>
  <c r="BA24" i="5"/>
  <c r="AZ24" i="5"/>
  <c r="AY24" i="5"/>
  <c r="AX24" i="5"/>
  <c r="AW24" i="5"/>
  <c r="AV24" i="5"/>
  <c r="AU24" i="5"/>
  <c r="AT24" i="5"/>
  <c r="AS24" i="5"/>
  <c r="AR24" i="5"/>
  <c r="AQ24" i="5"/>
  <c r="AP24" i="5"/>
  <c r="AO24" i="5"/>
  <c r="AN24" i="5"/>
  <c r="AM24" i="5"/>
  <c r="AL24" i="5"/>
  <c r="AK24" i="5"/>
  <c r="AJ24" i="5"/>
  <c r="AI24" i="5"/>
  <c r="AH24" i="5"/>
  <c r="AG24" i="5"/>
  <c r="AF24" i="5"/>
  <c r="AE24" i="5"/>
  <c r="AD24" i="5"/>
  <c r="AC24" i="5"/>
  <c r="AB24" i="5"/>
  <c r="AA24" i="5"/>
  <c r="Z24" i="5"/>
  <c r="Y24" i="5"/>
  <c r="X24" i="5"/>
  <c r="W24" i="5"/>
  <c r="V24" i="5"/>
  <c r="U24" i="5"/>
  <c r="T24" i="5"/>
  <c r="S24" i="5"/>
  <c r="R24" i="5"/>
  <c r="Q24" i="5"/>
  <c r="P24" i="5"/>
  <c r="O24" i="5"/>
  <c r="N24" i="5"/>
  <c r="M24" i="5"/>
  <c r="L24" i="5"/>
  <c r="K24" i="5"/>
  <c r="J24" i="5"/>
  <c r="I24" i="5"/>
  <c r="H24" i="5"/>
  <c r="G24" i="5"/>
  <c r="F24" i="5"/>
  <c r="E24" i="5"/>
  <c r="D24" i="5"/>
  <c r="C24" i="5"/>
  <c r="B24" i="5"/>
  <c r="CI23" i="5"/>
  <c r="CH23" i="5"/>
  <c r="CG23" i="5"/>
  <c r="CF23" i="5"/>
  <c r="CE23" i="5"/>
  <c r="CD23" i="5"/>
  <c r="CC23" i="5"/>
  <c r="CB23" i="5"/>
  <c r="CA23" i="5"/>
  <c r="BZ23" i="5"/>
  <c r="BY23" i="5"/>
  <c r="BX23" i="5"/>
  <c r="BW23" i="5"/>
  <c r="BV23" i="5"/>
  <c r="BU23" i="5"/>
  <c r="BT23" i="5"/>
  <c r="BS23" i="5"/>
  <c r="BR23" i="5"/>
  <c r="BQ23" i="5"/>
  <c r="BP23" i="5"/>
  <c r="BO23" i="5"/>
  <c r="BN23" i="5"/>
  <c r="BM23" i="5"/>
  <c r="BL23" i="5"/>
  <c r="BK23" i="5"/>
  <c r="BJ23" i="5"/>
  <c r="BI23" i="5"/>
  <c r="BH23" i="5"/>
  <c r="BG23" i="5"/>
  <c r="BF23" i="5"/>
  <c r="BE23" i="5"/>
  <c r="BD23" i="5"/>
  <c r="BC23" i="5"/>
  <c r="BB23" i="5"/>
  <c r="BA23" i="5"/>
  <c r="AZ23" i="5"/>
  <c r="AY23" i="5"/>
  <c r="AX23" i="5"/>
  <c r="AW23" i="5"/>
  <c r="AV23" i="5"/>
  <c r="AU23" i="5"/>
  <c r="AT23" i="5"/>
  <c r="AS23" i="5"/>
  <c r="AR23" i="5"/>
  <c r="AQ23" i="5"/>
  <c r="AP23" i="5"/>
  <c r="AO23" i="5"/>
  <c r="AN23" i="5"/>
  <c r="AM23" i="5"/>
  <c r="AL23" i="5"/>
  <c r="AK23" i="5"/>
  <c r="AJ23" i="5"/>
  <c r="AI23" i="5"/>
  <c r="AH23" i="5"/>
  <c r="AG23" i="5"/>
  <c r="AF23" i="5"/>
  <c r="AE23" i="5"/>
  <c r="AD23" i="5"/>
  <c r="AC23" i="5"/>
  <c r="AB23" i="5"/>
  <c r="AA23" i="5"/>
  <c r="Z23" i="5"/>
  <c r="Y23" i="5"/>
  <c r="X23" i="5"/>
  <c r="W23" i="5"/>
  <c r="V23" i="5"/>
  <c r="U23" i="5"/>
  <c r="T23" i="5"/>
  <c r="S23" i="5"/>
  <c r="R23" i="5"/>
  <c r="Q23" i="5"/>
  <c r="P23" i="5"/>
  <c r="O23" i="5"/>
  <c r="N23" i="5"/>
  <c r="M23" i="5"/>
  <c r="L23" i="5"/>
  <c r="K23" i="5"/>
  <c r="J23" i="5"/>
  <c r="I23" i="5"/>
  <c r="H23" i="5"/>
  <c r="G23" i="5"/>
  <c r="F23" i="5"/>
  <c r="E23" i="5"/>
  <c r="D23" i="5"/>
  <c r="C23" i="5"/>
  <c r="B23" i="5"/>
  <c r="B5" i="6" s="1"/>
  <c r="D5" i="6" s="1"/>
  <c r="CI19" i="5"/>
  <c r="CI7" i="8" s="1"/>
  <c r="CH19" i="5"/>
  <c r="CH7" i="8" s="1"/>
  <c r="CG19" i="5"/>
  <c r="CG7" i="8" s="1"/>
  <c r="CF19" i="5"/>
  <c r="CF7" i="8" s="1"/>
  <c r="CE19" i="5"/>
  <c r="CE7" i="8" s="1"/>
  <c r="CD19" i="5"/>
  <c r="CD7" i="8" s="1"/>
  <c r="CC19" i="5"/>
  <c r="CC7" i="8" s="1"/>
  <c r="CB19" i="5"/>
  <c r="CB7" i="8" s="1"/>
  <c r="CA19" i="5"/>
  <c r="CA7" i="8" s="1"/>
  <c r="BZ19" i="5"/>
  <c r="BZ7" i="8" s="1"/>
  <c r="BY19" i="5"/>
  <c r="BY7" i="8" s="1"/>
  <c r="BX19" i="5"/>
  <c r="BX7" i="8" s="1"/>
  <c r="BW19" i="5"/>
  <c r="BW7" i="8" s="1"/>
  <c r="BV19" i="5"/>
  <c r="BV7" i="8" s="1"/>
  <c r="BU19" i="5"/>
  <c r="BU7" i="8" s="1"/>
  <c r="BT19" i="5"/>
  <c r="BT7" i="8" s="1"/>
  <c r="BS19" i="5"/>
  <c r="BS7" i="8" s="1"/>
  <c r="BR19" i="5"/>
  <c r="BR7" i="8" s="1"/>
  <c r="BQ19" i="5"/>
  <c r="BQ7" i="8" s="1"/>
  <c r="BP19" i="5"/>
  <c r="BP7" i="8" s="1"/>
  <c r="BO19" i="5"/>
  <c r="BO7" i="8" s="1"/>
  <c r="BN19" i="5"/>
  <c r="BN7" i="8" s="1"/>
  <c r="BM19" i="5"/>
  <c r="BM7" i="8" s="1"/>
  <c r="BL19" i="5"/>
  <c r="BL7" i="8" s="1"/>
  <c r="BK19" i="5"/>
  <c r="BK7" i="8" s="1"/>
  <c r="BJ19" i="5"/>
  <c r="BJ7" i="8" s="1"/>
  <c r="BI19" i="5"/>
  <c r="BI7" i="8" s="1"/>
  <c r="BH19" i="5"/>
  <c r="BH7" i="8" s="1"/>
  <c r="BG19" i="5"/>
  <c r="BG7" i="8" s="1"/>
  <c r="BF19" i="5"/>
  <c r="BF7" i="8" s="1"/>
  <c r="BE19" i="5"/>
  <c r="BE7" i="8" s="1"/>
  <c r="BD19" i="5"/>
  <c r="BD7" i="8" s="1"/>
  <c r="BC19" i="5"/>
  <c r="BC7" i="8" s="1"/>
  <c r="BB19" i="5"/>
  <c r="BB7" i="8" s="1"/>
  <c r="BA19" i="5"/>
  <c r="BA7" i="8" s="1"/>
  <c r="AZ19" i="5"/>
  <c r="AZ7" i="8" s="1"/>
  <c r="AY19" i="5"/>
  <c r="AY7" i="8" s="1"/>
  <c r="AX19" i="5"/>
  <c r="AX7" i="8" s="1"/>
  <c r="AW19" i="5"/>
  <c r="AW7" i="8" s="1"/>
  <c r="AV19" i="5"/>
  <c r="AV7" i="8" s="1"/>
  <c r="AU19" i="5"/>
  <c r="AU7" i="8" s="1"/>
  <c r="AT19" i="5"/>
  <c r="AT7" i="8" s="1"/>
  <c r="AS19" i="5"/>
  <c r="AS7" i="8" s="1"/>
  <c r="AR19" i="5"/>
  <c r="AR7" i="8" s="1"/>
  <c r="AQ19" i="5"/>
  <c r="AQ7" i="8" s="1"/>
  <c r="AP19" i="5"/>
  <c r="AP7" i="8" s="1"/>
  <c r="AO19" i="5"/>
  <c r="AO7" i="8" s="1"/>
  <c r="AN19" i="5"/>
  <c r="AN7" i="8" s="1"/>
  <c r="AM19" i="5"/>
  <c r="AM7" i="8" s="1"/>
  <c r="AL19" i="5"/>
  <c r="AL7" i="8" s="1"/>
  <c r="AK19" i="5"/>
  <c r="AK7" i="8" s="1"/>
  <c r="AJ19" i="5"/>
  <c r="AJ7" i="8" s="1"/>
  <c r="AI19" i="5"/>
  <c r="AI7" i="8" s="1"/>
  <c r="AH19" i="5"/>
  <c r="AH7" i="8" s="1"/>
  <c r="AG19" i="5"/>
  <c r="AG7" i="8" s="1"/>
  <c r="AF19" i="5"/>
  <c r="AF7" i="8" s="1"/>
  <c r="AE19" i="5"/>
  <c r="AE7" i="8" s="1"/>
  <c r="AD19" i="5"/>
  <c r="AD7" i="8" s="1"/>
  <c r="AC19" i="5"/>
  <c r="AC7" i="8" s="1"/>
  <c r="AB19" i="5"/>
  <c r="AB7" i="8" s="1"/>
  <c r="AA19" i="5"/>
  <c r="AA7" i="8" s="1"/>
  <c r="Z19" i="5"/>
  <c r="Z7" i="8" s="1"/>
  <c r="Y19" i="5"/>
  <c r="Y7" i="8" s="1"/>
  <c r="X19" i="5"/>
  <c r="X7" i="8" s="1"/>
  <c r="W19" i="5"/>
  <c r="W7" i="8" s="1"/>
  <c r="V19" i="5"/>
  <c r="V7" i="8" s="1"/>
  <c r="U19" i="5"/>
  <c r="U7" i="8" s="1"/>
  <c r="T19" i="5"/>
  <c r="T7" i="8" s="1"/>
  <c r="S19" i="5"/>
  <c r="S7" i="8" s="1"/>
  <c r="R19" i="5"/>
  <c r="R7" i="8" s="1"/>
  <c r="Q19" i="5"/>
  <c r="Q7" i="8" s="1"/>
  <c r="P19" i="5"/>
  <c r="P7" i="8" s="1"/>
  <c r="O19" i="5"/>
  <c r="O7" i="8" s="1"/>
  <c r="N19" i="5"/>
  <c r="N7" i="8" s="1"/>
  <c r="M19" i="5"/>
  <c r="M7" i="8" s="1"/>
  <c r="L19" i="5"/>
  <c r="L7" i="8" s="1"/>
  <c r="K19" i="5"/>
  <c r="K7" i="8" s="1"/>
  <c r="J19" i="5"/>
  <c r="J7" i="8" s="1"/>
  <c r="I19" i="5"/>
  <c r="I7" i="8" s="1"/>
  <c r="H19" i="5"/>
  <c r="H7" i="8" s="1"/>
  <c r="G19" i="5"/>
  <c r="G7" i="8" s="1"/>
  <c r="F19" i="5"/>
  <c r="F7" i="8" s="1"/>
  <c r="E19" i="5"/>
  <c r="E7" i="8" s="1"/>
  <c r="D19" i="5"/>
  <c r="D7" i="8" s="1"/>
  <c r="C19" i="5"/>
  <c r="C7" i="8" s="1"/>
  <c r="B19" i="5"/>
  <c r="B7" i="8" s="1"/>
  <c r="CI18" i="5"/>
  <c r="CI6" i="8" s="1"/>
  <c r="CH18" i="5"/>
  <c r="CH6" i="8" s="1"/>
  <c r="CG18" i="5"/>
  <c r="CG6" i="8" s="1"/>
  <c r="CF18" i="5"/>
  <c r="CF6" i="8" s="1"/>
  <c r="CE18" i="5"/>
  <c r="CE6" i="8" s="1"/>
  <c r="CD18" i="5"/>
  <c r="CD6" i="8" s="1"/>
  <c r="CC18" i="5"/>
  <c r="CC6" i="8" s="1"/>
  <c r="CB18" i="5"/>
  <c r="CB6" i="8" s="1"/>
  <c r="CA18" i="5"/>
  <c r="CA6" i="8" s="1"/>
  <c r="BZ18" i="5"/>
  <c r="BZ6" i="8" s="1"/>
  <c r="BY18" i="5"/>
  <c r="BY6" i="8" s="1"/>
  <c r="BX18" i="5"/>
  <c r="BX6" i="8" s="1"/>
  <c r="BW18" i="5"/>
  <c r="BW6" i="8" s="1"/>
  <c r="BV18" i="5"/>
  <c r="BV6" i="8" s="1"/>
  <c r="BU18" i="5"/>
  <c r="BU6" i="8" s="1"/>
  <c r="BT18" i="5"/>
  <c r="BT6" i="8" s="1"/>
  <c r="BS18" i="5"/>
  <c r="BS6" i="8" s="1"/>
  <c r="BR18" i="5"/>
  <c r="BR6" i="8" s="1"/>
  <c r="BQ18" i="5"/>
  <c r="BQ6" i="8" s="1"/>
  <c r="BP18" i="5"/>
  <c r="BP6" i="8" s="1"/>
  <c r="BO18" i="5"/>
  <c r="BO6" i="8" s="1"/>
  <c r="BN18" i="5"/>
  <c r="BN6" i="8" s="1"/>
  <c r="BM18" i="5"/>
  <c r="BM6" i="8" s="1"/>
  <c r="BL18" i="5"/>
  <c r="BL6" i="8" s="1"/>
  <c r="BK18" i="5"/>
  <c r="BK6" i="8" s="1"/>
  <c r="BJ18" i="5"/>
  <c r="BJ6" i="8" s="1"/>
  <c r="BI18" i="5"/>
  <c r="BI6" i="8" s="1"/>
  <c r="BH18" i="5"/>
  <c r="BH6" i="8" s="1"/>
  <c r="BG18" i="5"/>
  <c r="BG6" i="8" s="1"/>
  <c r="BF18" i="5"/>
  <c r="BF6" i="8" s="1"/>
  <c r="BE18" i="5"/>
  <c r="BE6" i="8" s="1"/>
  <c r="BD18" i="5"/>
  <c r="BD6" i="8" s="1"/>
  <c r="BC18" i="5"/>
  <c r="BC6" i="8" s="1"/>
  <c r="BB18" i="5"/>
  <c r="BB6" i="8" s="1"/>
  <c r="BA18" i="5"/>
  <c r="BA6" i="8" s="1"/>
  <c r="AZ18" i="5"/>
  <c r="AZ6" i="8" s="1"/>
  <c r="AY18" i="5"/>
  <c r="AY6" i="8" s="1"/>
  <c r="AX18" i="5"/>
  <c r="AX6" i="8" s="1"/>
  <c r="AW18" i="5"/>
  <c r="AW6" i="8" s="1"/>
  <c r="AV18" i="5"/>
  <c r="AV6" i="8" s="1"/>
  <c r="AU18" i="5"/>
  <c r="AU6" i="8" s="1"/>
  <c r="AT18" i="5"/>
  <c r="AT6" i="8" s="1"/>
  <c r="AS18" i="5"/>
  <c r="AS6" i="8" s="1"/>
  <c r="AR18" i="5"/>
  <c r="AR6" i="8" s="1"/>
  <c r="AQ18" i="5"/>
  <c r="AQ6" i="8" s="1"/>
  <c r="AP18" i="5"/>
  <c r="AP6" i="8" s="1"/>
  <c r="AO18" i="5"/>
  <c r="AO6" i="8" s="1"/>
  <c r="AN18" i="5"/>
  <c r="AN6" i="8" s="1"/>
  <c r="AM18" i="5"/>
  <c r="AM6" i="8" s="1"/>
  <c r="AL18" i="5"/>
  <c r="AL6" i="8" s="1"/>
  <c r="AK18" i="5"/>
  <c r="AK6" i="8" s="1"/>
  <c r="AJ18" i="5"/>
  <c r="AJ6" i="8" s="1"/>
  <c r="AI18" i="5"/>
  <c r="AI6" i="8" s="1"/>
  <c r="AH18" i="5"/>
  <c r="AH6" i="8" s="1"/>
  <c r="AG18" i="5"/>
  <c r="AG6" i="8" s="1"/>
  <c r="AF18" i="5"/>
  <c r="AF6" i="8" s="1"/>
  <c r="AE18" i="5"/>
  <c r="AE6" i="8" s="1"/>
  <c r="AD18" i="5"/>
  <c r="AD6" i="8" s="1"/>
  <c r="AC18" i="5"/>
  <c r="AC6" i="8" s="1"/>
  <c r="AB18" i="5"/>
  <c r="AB6" i="8" s="1"/>
  <c r="AA18" i="5"/>
  <c r="AA6" i="8" s="1"/>
  <c r="Z18" i="5"/>
  <c r="Z6" i="8" s="1"/>
  <c r="Y18" i="5"/>
  <c r="Y6" i="8" s="1"/>
  <c r="X18" i="5"/>
  <c r="X6" i="8" s="1"/>
  <c r="W18" i="5"/>
  <c r="W6" i="8" s="1"/>
  <c r="V18" i="5"/>
  <c r="V6" i="8" s="1"/>
  <c r="U18" i="5"/>
  <c r="U6" i="8" s="1"/>
  <c r="T18" i="5"/>
  <c r="T6" i="8" s="1"/>
  <c r="S18" i="5"/>
  <c r="S6" i="8" s="1"/>
  <c r="R18" i="5"/>
  <c r="R6" i="8" s="1"/>
  <c r="Q18" i="5"/>
  <c r="Q6" i="8" s="1"/>
  <c r="P18" i="5"/>
  <c r="P6" i="8" s="1"/>
  <c r="O18" i="5"/>
  <c r="O6" i="8" s="1"/>
  <c r="N18" i="5"/>
  <c r="N6" i="8" s="1"/>
  <c r="M18" i="5"/>
  <c r="M6" i="8" s="1"/>
  <c r="L18" i="5"/>
  <c r="L6" i="8" s="1"/>
  <c r="K18" i="5"/>
  <c r="K6" i="8" s="1"/>
  <c r="J18" i="5"/>
  <c r="J6" i="8" s="1"/>
  <c r="I18" i="5"/>
  <c r="I6" i="8" s="1"/>
  <c r="H18" i="5"/>
  <c r="H6" i="8" s="1"/>
  <c r="G18" i="5"/>
  <c r="G6" i="8" s="1"/>
  <c r="F18" i="5"/>
  <c r="F6" i="8" s="1"/>
  <c r="E18" i="5"/>
  <c r="E6" i="8" s="1"/>
  <c r="D18" i="5"/>
  <c r="D6" i="8" s="1"/>
  <c r="C18" i="5"/>
  <c r="C6" i="8" s="1"/>
  <c r="B18" i="5"/>
  <c r="B6" i="8" s="1"/>
  <c r="CI17" i="5"/>
  <c r="CI5" i="8" s="1"/>
  <c r="CH17" i="5"/>
  <c r="CH5" i="8" s="1"/>
  <c r="CG17" i="5"/>
  <c r="CG5" i="8" s="1"/>
  <c r="CF17" i="5"/>
  <c r="CF5" i="8" s="1"/>
  <c r="CE17" i="5"/>
  <c r="CE5" i="8" s="1"/>
  <c r="CD17" i="5"/>
  <c r="CD5" i="8" s="1"/>
  <c r="CC17" i="5"/>
  <c r="CC5" i="8" s="1"/>
  <c r="CB17" i="5"/>
  <c r="CB5" i="8" s="1"/>
  <c r="CA17" i="5"/>
  <c r="CA5" i="8" s="1"/>
  <c r="BZ17" i="5"/>
  <c r="BZ5" i="8" s="1"/>
  <c r="BY17" i="5"/>
  <c r="BY5" i="8" s="1"/>
  <c r="BX17" i="5"/>
  <c r="BX5" i="8" s="1"/>
  <c r="BW17" i="5"/>
  <c r="BW5" i="8" s="1"/>
  <c r="BV17" i="5"/>
  <c r="BV5" i="8" s="1"/>
  <c r="BU17" i="5"/>
  <c r="BU5" i="8" s="1"/>
  <c r="BT17" i="5"/>
  <c r="BT5" i="8" s="1"/>
  <c r="BS17" i="5"/>
  <c r="BS5" i="8" s="1"/>
  <c r="BR17" i="5"/>
  <c r="BR5" i="8" s="1"/>
  <c r="BQ17" i="5"/>
  <c r="BQ5" i="8" s="1"/>
  <c r="BP17" i="5"/>
  <c r="BP5" i="8" s="1"/>
  <c r="BO17" i="5"/>
  <c r="BO5" i="8" s="1"/>
  <c r="BN17" i="5"/>
  <c r="BN5" i="8" s="1"/>
  <c r="BM17" i="5"/>
  <c r="BM5" i="8" s="1"/>
  <c r="BL17" i="5"/>
  <c r="BL5" i="8" s="1"/>
  <c r="BK17" i="5"/>
  <c r="BK5" i="8" s="1"/>
  <c r="BJ17" i="5"/>
  <c r="BJ5" i="8" s="1"/>
  <c r="BI17" i="5"/>
  <c r="BI5" i="8" s="1"/>
  <c r="BH17" i="5"/>
  <c r="BH5" i="8" s="1"/>
  <c r="BG17" i="5"/>
  <c r="BG5" i="8" s="1"/>
  <c r="BF17" i="5"/>
  <c r="BF5" i="8" s="1"/>
  <c r="BE17" i="5"/>
  <c r="BE5" i="8" s="1"/>
  <c r="BD17" i="5"/>
  <c r="BD5" i="8" s="1"/>
  <c r="BC17" i="5"/>
  <c r="BC5" i="8" s="1"/>
  <c r="BB17" i="5"/>
  <c r="BB5" i="8" s="1"/>
  <c r="BA17" i="5"/>
  <c r="BA5" i="8" s="1"/>
  <c r="AZ17" i="5"/>
  <c r="AZ5" i="8" s="1"/>
  <c r="AY17" i="5"/>
  <c r="AY5" i="8" s="1"/>
  <c r="AX17" i="5"/>
  <c r="AX5" i="8" s="1"/>
  <c r="AW17" i="5"/>
  <c r="AW5" i="8" s="1"/>
  <c r="AV17" i="5"/>
  <c r="AV5" i="8" s="1"/>
  <c r="AU17" i="5"/>
  <c r="AU5" i="8" s="1"/>
  <c r="AT17" i="5"/>
  <c r="AT5" i="8" s="1"/>
  <c r="AS17" i="5"/>
  <c r="AS5" i="8" s="1"/>
  <c r="AR17" i="5"/>
  <c r="AR5" i="8" s="1"/>
  <c r="AQ17" i="5"/>
  <c r="AQ5" i="8" s="1"/>
  <c r="AP17" i="5"/>
  <c r="AP5" i="8" s="1"/>
  <c r="AO17" i="5"/>
  <c r="AO5" i="8" s="1"/>
  <c r="AN17" i="5"/>
  <c r="AN5" i="8" s="1"/>
  <c r="AM17" i="5"/>
  <c r="AM5" i="8" s="1"/>
  <c r="AL17" i="5"/>
  <c r="AL5" i="8" s="1"/>
  <c r="AK17" i="5"/>
  <c r="AK5" i="8" s="1"/>
  <c r="AJ17" i="5"/>
  <c r="AJ5" i="8" s="1"/>
  <c r="AI17" i="5"/>
  <c r="AI5" i="8" s="1"/>
  <c r="AH17" i="5"/>
  <c r="AH5" i="8" s="1"/>
  <c r="AG17" i="5"/>
  <c r="AG5" i="8" s="1"/>
  <c r="AF17" i="5"/>
  <c r="AF5" i="8" s="1"/>
  <c r="AE17" i="5"/>
  <c r="AE5" i="8" s="1"/>
  <c r="AD17" i="5"/>
  <c r="AD5" i="8" s="1"/>
  <c r="AC17" i="5"/>
  <c r="AC5" i="8" s="1"/>
  <c r="AB17" i="5"/>
  <c r="AB5" i="8" s="1"/>
  <c r="AA17" i="5"/>
  <c r="AA5" i="8" s="1"/>
  <c r="Z17" i="5"/>
  <c r="Z5" i="8" s="1"/>
  <c r="Y17" i="5"/>
  <c r="Y5" i="8" s="1"/>
  <c r="X17" i="5"/>
  <c r="X5" i="8" s="1"/>
  <c r="W17" i="5"/>
  <c r="W5" i="8" s="1"/>
  <c r="V17" i="5"/>
  <c r="V5" i="8" s="1"/>
  <c r="U17" i="5"/>
  <c r="U5" i="8" s="1"/>
  <c r="T17" i="5"/>
  <c r="T5" i="8" s="1"/>
  <c r="S17" i="5"/>
  <c r="S5" i="8" s="1"/>
  <c r="R17" i="5"/>
  <c r="R5" i="8" s="1"/>
  <c r="Q17" i="5"/>
  <c r="Q5" i="8" s="1"/>
  <c r="P17" i="5"/>
  <c r="P5" i="8" s="1"/>
  <c r="O17" i="5"/>
  <c r="O5" i="8" s="1"/>
  <c r="N17" i="5"/>
  <c r="N5" i="8" s="1"/>
  <c r="M17" i="5"/>
  <c r="M5" i="8" s="1"/>
  <c r="L17" i="5"/>
  <c r="L5" i="8" s="1"/>
  <c r="K17" i="5"/>
  <c r="K5" i="8" s="1"/>
  <c r="J17" i="5"/>
  <c r="J5" i="8" s="1"/>
  <c r="I17" i="5"/>
  <c r="I5" i="8" s="1"/>
  <c r="H17" i="5"/>
  <c r="H5" i="8" s="1"/>
  <c r="G17" i="5"/>
  <c r="G5" i="8" s="1"/>
  <c r="F17" i="5"/>
  <c r="F5" i="8" s="1"/>
  <c r="E17" i="5"/>
  <c r="E5" i="8" s="1"/>
  <c r="D17" i="5"/>
  <c r="D5" i="8" s="1"/>
  <c r="C17" i="5"/>
  <c r="C5" i="8" s="1"/>
  <c r="B17" i="5"/>
  <c r="B5" i="8" s="1"/>
  <c r="CI16" i="5"/>
  <c r="CI4" i="8" s="1"/>
  <c r="CH16" i="5"/>
  <c r="CH4" i="8" s="1"/>
  <c r="CG16" i="5"/>
  <c r="CG4" i="8" s="1"/>
  <c r="CF16" i="5"/>
  <c r="CF4" i="8" s="1"/>
  <c r="CE16" i="5"/>
  <c r="CE4" i="8" s="1"/>
  <c r="CD16" i="5"/>
  <c r="CD4" i="8" s="1"/>
  <c r="CC16" i="5"/>
  <c r="CC4" i="8" s="1"/>
  <c r="CB16" i="5"/>
  <c r="CB4" i="8" s="1"/>
  <c r="CA16" i="5"/>
  <c r="CA4" i="8" s="1"/>
  <c r="BZ16" i="5"/>
  <c r="BZ4" i="8" s="1"/>
  <c r="BY16" i="5"/>
  <c r="BY4" i="8" s="1"/>
  <c r="BX16" i="5"/>
  <c r="BX4" i="8" s="1"/>
  <c r="BW16" i="5"/>
  <c r="BW4" i="8" s="1"/>
  <c r="BV16" i="5"/>
  <c r="BV4" i="8" s="1"/>
  <c r="BU16" i="5"/>
  <c r="BU4" i="8" s="1"/>
  <c r="BT16" i="5"/>
  <c r="BT4" i="8" s="1"/>
  <c r="BS16" i="5"/>
  <c r="BS4" i="8" s="1"/>
  <c r="BR16" i="5"/>
  <c r="BR4" i="8" s="1"/>
  <c r="BQ16" i="5"/>
  <c r="BQ4" i="8" s="1"/>
  <c r="BP16" i="5"/>
  <c r="BP4" i="8" s="1"/>
  <c r="BO16" i="5"/>
  <c r="BO4" i="8" s="1"/>
  <c r="BN16" i="5"/>
  <c r="BN4" i="8" s="1"/>
  <c r="BM16" i="5"/>
  <c r="BM4" i="8" s="1"/>
  <c r="BL16" i="5"/>
  <c r="BL4" i="8" s="1"/>
  <c r="BK16" i="5"/>
  <c r="BK4" i="8" s="1"/>
  <c r="BJ16" i="5"/>
  <c r="BJ4" i="8" s="1"/>
  <c r="BI16" i="5"/>
  <c r="BI4" i="8" s="1"/>
  <c r="BH16" i="5"/>
  <c r="BH4" i="8" s="1"/>
  <c r="BG16" i="5"/>
  <c r="BG4" i="8" s="1"/>
  <c r="BF16" i="5"/>
  <c r="BF4" i="8" s="1"/>
  <c r="BE16" i="5"/>
  <c r="BE4" i="8" s="1"/>
  <c r="BD16" i="5"/>
  <c r="BD4" i="8" s="1"/>
  <c r="BC16" i="5"/>
  <c r="BC4" i="8" s="1"/>
  <c r="BB16" i="5"/>
  <c r="BB4" i="8" s="1"/>
  <c r="BA16" i="5"/>
  <c r="BA4" i="8" s="1"/>
  <c r="AZ16" i="5"/>
  <c r="AZ4" i="8" s="1"/>
  <c r="AY16" i="5"/>
  <c r="AY4" i="8" s="1"/>
  <c r="AX16" i="5"/>
  <c r="AX4" i="8" s="1"/>
  <c r="AW16" i="5"/>
  <c r="AW4" i="8" s="1"/>
  <c r="AV16" i="5"/>
  <c r="AV4" i="8" s="1"/>
  <c r="AU16" i="5"/>
  <c r="AU4" i="8" s="1"/>
  <c r="AT16" i="5"/>
  <c r="AT4" i="8" s="1"/>
  <c r="AS16" i="5"/>
  <c r="AS4" i="8" s="1"/>
  <c r="AR16" i="5"/>
  <c r="AR4" i="8" s="1"/>
  <c r="AQ16" i="5"/>
  <c r="AQ4" i="8" s="1"/>
  <c r="AP16" i="5"/>
  <c r="AP4" i="8" s="1"/>
  <c r="AO16" i="5"/>
  <c r="AO4" i="8" s="1"/>
  <c r="AN16" i="5"/>
  <c r="AN4" i="8" s="1"/>
  <c r="AM16" i="5"/>
  <c r="AM4" i="8" s="1"/>
  <c r="AL16" i="5"/>
  <c r="AL4" i="8" s="1"/>
  <c r="AK16" i="5"/>
  <c r="AK4" i="8" s="1"/>
  <c r="AJ16" i="5"/>
  <c r="AJ4" i="8" s="1"/>
  <c r="AI16" i="5"/>
  <c r="AI4" i="8" s="1"/>
  <c r="AH16" i="5"/>
  <c r="AH4" i="8" s="1"/>
  <c r="AG16" i="5"/>
  <c r="AG4" i="8" s="1"/>
  <c r="AF16" i="5"/>
  <c r="AF4" i="8" s="1"/>
  <c r="AE16" i="5"/>
  <c r="AE4" i="8" s="1"/>
  <c r="AD16" i="5"/>
  <c r="AD4" i="8" s="1"/>
  <c r="AC16" i="5"/>
  <c r="AC4" i="8" s="1"/>
  <c r="AB16" i="5"/>
  <c r="AB4" i="8" s="1"/>
  <c r="AA16" i="5"/>
  <c r="AA4" i="8" s="1"/>
  <c r="Z16" i="5"/>
  <c r="Z4" i="8" s="1"/>
  <c r="Y16" i="5"/>
  <c r="Y4" i="8" s="1"/>
  <c r="X16" i="5"/>
  <c r="X4" i="8" s="1"/>
  <c r="W16" i="5"/>
  <c r="W4" i="8" s="1"/>
  <c r="V16" i="5"/>
  <c r="V4" i="8" s="1"/>
  <c r="U16" i="5"/>
  <c r="U4" i="8" s="1"/>
  <c r="T16" i="5"/>
  <c r="T4" i="8" s="1"/>
  <c r="S16" i="5"/>
  <c r="S4" i="8" s="1"/>
  <c r="R16" i="5"/>
  <c r="R4" i="8" s="1"/>
  <c r="Q16" i="5"/>
  <c r="Q4" i="8" s="1"/>
  <c r="P16" i="5"/>
  <c r="P4" i="8" s="1"/>
  <c r="O16" i="5"/>
  <c r="O4" i="8" s="1"/>
  <c r="N16" i="5"/>
  <c r="N4" i="8" s="1"/>
  <c r="M16" i="5"/>
  <c r="M4" i="8" s="1"/>
  <c r="L16" i="5"/>
  <c r="L4" i="8" s="1"/>
  <c r="K16" i="5"/>
  <c r="K4" i="8" s="1"/>
  <c r="J16" i="5"/>
  <c r="J4" i="8" s="1"/>
  <c r="I16" i="5"/>
  <c r="I4" i="8" s="1"/>
  <c r="H16" i="5"/>
  <c r="H4" i="8" s="1"/>
  <c r="G16" i="5"/>
  <c r="G4" i="8" s="1"/>
  <c r="F16" i="5"/>
  <c r="F4" i="8" s="1"/>
  <c r="E16" i="5"/>
  <c r="E4" i="8" s="1"/>
  <c r="D16" i="5"/>
  <c r="D4" i="8" s="1"/>
  <c r="C16" i="5"/>
  <c r="C4" i="8" s="1"/>
  <c r="B16" i="5"/>
  <c r="B4" i="8" s="1"/>
  <c r="CI15" i="5"/>
  <c r="CI3" i="8" s="1"/>
  <c r="CH15" i="5"/>
  <c r="CH3" i="8" s="1"/>
  <c r="CG15" i="5"/>
  <c r="CG3" i="8" s="1"/>
  <c r="CF15" i="5"/>
  <c r="CF3" i="8" s="1"/>
  <c r="CE15" i="5"/>
  <c r="CE3" i="8" s="1"/>
  <c r="CD15" i="5"/>
  <c r="CD3" i="8" s="1"/>
  <c r="CC15" i="5"/>
  <c r="CC3" i="8" s="1"/>
  <c r="CB15" i="5"/>
  <c r="CB3" i="8" s="1"/>
  <c r="CA15" i="5"/>
  <c r="CA3" i="8" s="1"/>
  <c r="BZ15" i="5"/>
  <c r="BZ3" i="8" s="1"/>
  <c r="BY15" i="5"/>
  <c r="BY3" i="8" s="1"/>
  <c r="BX15" i="5"/>
  <c r="BX3" i="8" s="1"/>
  <c r="BW15" i="5"/>
  <c r="BW3" i="8" s="1"/>
  <c r="BV15" i="5"/>
  <c r="BV3" i="8" s="1"/>
  <c r="BU15" i="5"/>
  <c r="BU3" i="8" s="1"/>
  <c r="BT15" i="5"/>
  <c r="BT3" i="8" s="1"/>
  <c r="BS15" i="5"/>
  <c r="BS3" i="8" s="1"/>
  <c r="BR15" i="5"/>
  <c r="BR3" i="8" s="1"/>
  <c r="BQ15" i="5"/>
  <c r="BQ3" i="8" s="1"/>
  <c r="BP15" i="5"/>
  <c r="BP3" i="8" s="1"/>
  <c r="BO15" i="5"/>
  <c r="BO3" i="8" s="1"/>
  <c r="BN15" i="5"/>
  <c r="BN3" i="8" s="1"/>
  <c r="BM15" i="5"/>
  <c r="BM3" i="8" s="1"/>
  <c r="BL15" i="5"/>
  <c r="BL3" i="8" s="1"/>
  <c r="BK15" i="5"/>
  <c r="BK3" i="8" s="1"/>
  <c r="BJ15" i="5"/>
  <c r="BJ3" i="8" s="1"/>
  <c r="BI15" i="5"/>
  <c r="BI3" i="8" s="1"/>
  <c r="BH15" i="5"/>
  <c r="BH3" i="8" s="1"/>
  <c r="BG15" i="5"/>
  <c r="BG3" i="8" s="1"/>
  <c r="BF15" i="5"/>
  <c r="BF3" i="8" s="1"/>
  <c r="BE15" i="5"/>
  <c r="BE3" i="8" s="1"/>
  <c r="BD15" i="5"/>
  <c r="BD3" i="8" s="1"/>
  <c r="BC15" i="5"/>
  <c r="BC3" i="8" s="1"/>
  <c r="BB15" i="5"/>
  <c r="BB3" i="8" s="1"/>
  <c r="BA15" i="5"/>
  <c r="BA3" i="8" s="1"/>
  <c r="AZ15" i="5"/>
  <c r="AZ3" i="8" s="1"/>
  <c r="AY15" i="5"/>
  <c r="AY3" i="8" s="1"/>
  <c r="AX15" i="5"/>
  <c r="AX3" i="8" s="1"/>
  <c r="AW15" i="5"/>
  <c r="AW3" i="8" s="1"/>
  <c r="AV15" i="5"/>
  <c r="AV3" i="8" s="1"/>
  <c r="AU15" i="5"/>
  <c r="AU3" i="8" s="1"/>
  <c r="AT15" i="5"/>
  <c r="AT3" i="8" s="1"/>
  <c r="AS15" i="5"/>
  <c r="AS3" i="8" s="1"/>
  <c r="AR15" i="5"/>
  <c r="AR3" i="8" s="1"/>
  <c r="AQ15" i="5"/>
  <c r="AQ3" i="8" s="1"/>
  <c r="AP15" i="5"/>
  <c r="AP3" i="8" s="1"/>
  <c r="AO15" i="5"/>
  <c r="AO3" i="8" s="1"/>
  <c r="AN15" i="5"/>
  <c r="AN3" i="8" s="1"/>
  <c r="AM15" i="5"/>
  <c r="AM3" i="8" s="1"/>
  <c r="AL15" i="5"/>
  <c r="AL3" i="8" s="1"/>
  <c r="AK15" i="5"/>
  <c r="AK3" i="8" s="1"/>
  <c r="AJ15" i="5"/>
  <c r="AJ3" i="8" s="1"/>
  <c r="AI15" i="5"/>
  <c r="AI3" i="8" s="1"/>
  <c r="AH15" i="5"/>
  <c r="AH3" i="8" s="1"/>
  <c r="AG15" i="5"/>
  <c r="AG3" i="8" s="1"/>
  <c r="AF15" i="5"/>
  <c r="AF3" i="8" s="1"/>
  <c r="AE15" i="5"/>
  <c r="AE3" i="8" s="1"/>
  <c r="AD15" i="5"/>
  <c r="AD3" i="8" s="1"/>
  <c r="AC15" i="5"/>
  <c r="AC3" i="8" s="1"/>
  <c r="AB15" i="5"/>
  <c r="AB3" i="8" s="1"/>
  <c r="AA15" i="5"/>
  <c r="AA3" i="8" s="1"/>
  <c r="Z15" i="5"/>
  <c r="Z3" i="8" s="1"/>
  <c r="Y15" i="5"/>
  <c r="Y3" i="8" s="1"/>
  <c r="X15" i="5"/>
  <c r="X3" i="8" s="1"/>
  <c r="W15" i="5"/>
  <c r="W3" i="8" s="1"/>
  <c r="V15" i="5"/>
  <c r="V3" i="8" s="1"/>
  <c r="U15" i="5"/>
  <c r="U3" i="8" s="1"/>
  <c r="T15" i="5"/>
  <c r="T3" i="8" s="1"/>
  <c r="S15" i="5"/>
  <c r="S3" i="8" s="1"/>
  <c r="R15" i="5"/>
  <c r="R3" i="8" s="1"/>
  <c r="Q15" i="5"/>
  <c r="Q3" i="8" s="1"/>
  <c r="P15" i="5"/>
  <c r="P3" i="8" s="1"/>
  <c r="O15" i="5"/>
  <c r="O3" i="8" s="1"/>
  <c r="N15" i="5"/>
  <c r="N3" i="8" s="1"/>
  <c r="M15" i="5"/>
  <c r="M3" i="8" s="1"/>
  <c r="L15" i="5"/>
  <c r="L3" i="8" s="1"/>
  <c r="K15" i="5"/>
  <c r="K3" i="8" s="1"/>
  <c r="J15" i="5"/>
  <c r="J3" i="8" s="1"/>
  <c r="I15" i="5"/>
  <c r="I3" i="8" s="1"/>
  <c r="H15" i="5"/>
  <c r="H3" i="8" s="1"/>
  <c r="G15" i="5"/>
  <c r="G3" i="8" s="1"/>
  <c r="F15" i="5"/>
  <c r="F3" i="8" s="1"/>
  <c r="E15" i="5"/>
  <c r="E3" i="8" s="1"/>
  <c r="D15" i="5"/>
  <c r="D3" i="8" s="1"/>
  <c r="C15" i="5"/>
  <c r="C3" i="8" s="1"/>
  <c r="B15" i="5"/>
  <c r="B3" i="8" s="1"/>
  <c r="CI14" i="5"/>
  <c r="CI2" i="8" s="1"/>
  <c r="CH14" i="5"/>
  <c r="CH2" i="8" s="1"/>
  <c r="CG14" i="5"/>
  <c r="CG2" i="8" s="1"/>
  <c r="CF14" i="5"/>
  <c r="CF2" i="8" s="1"/>
  <c r="CE14" i="5"/>
  <c r="CE2" i="8" s="1"/>
  <c r="CD14" i="5"/>
  <c r="CD2" i="8" s="1"/>
  <c r="CC14" i="5"/>
  <c r="CC2" i="8" s="1"/>
  <c r="CB14" i="5"/>
  <c r="CB2" i="8" s="1"/>
  <c r="CA14" i="5"/>
  <c r="CA2" i="8" s="1"/>
  <c r="BZ14" i="5"/>
  <c r="BZ2" i="8" s="1"/>
  <c r="BY14" i="5"/>
  <c r="BY2" i="8" s="1"/>
  <c r="BX14" i="5"/>
  <c r="BX2" i="8" s="1"/>
  <c r="BW14" i="5"/>
  <c r="BW2" i="8" s="1"/>
  <c r="BV14" i="5"/>
  <c r="BV2" i="8" s="1"/>
  <c r="BU14" i="5"/>
  <c r="BU2" i="8" s="1"/>
  <c r="BT14" i="5"/>
  <c r="BT2" i="8" s="1"/>
  <c r="BS14" i="5"/>
  <c r="BS2" i="8" s="1"/>
  <c r="BR14" i="5"/>
  <c r="BR2" i="8" s="1"/>
  <c r="BQ14" i="5"/>
  <c r="BQ2" i="8" s="1"/>
  <c r="BP14" i="5"/>
  <c r="BP2" i="8" s="1"/>
  <c r="BO14" i="5"/>
  <c r="BO2" i="8" s="1"/>
  <c r="BN14" i="5"/>
  <c r="BN2" i="8" s="1"/>
  <c r="BM14" i="5"/>
  <c r="BM2" i="8" s="1"/>
  <c r="BL14" i="5"/>
  <c r="BL2" i="8" s="1"/>
  <c r="BK14" i="5"/>
  <c r="BK2" i="8" s="1"/>
  <c r="BJ14" i="5"/>
  <c r="BJ2" i="8" s="1"/>
  <c r="BI14" i="5"/>
  <c r="BI2" i="8" s="1"/>
  <c r="BH14" i="5"/>
  <c r="BH2" i="8" s="1"/>
  <c r="BG14" i="5"/>
  <c r="BG2" i="8" s="1"/>
  <c r="BF14" i="5"/>
  <c r="BF2" i="8" s="1"/>
  <c r="BE14" i="5"/>
  <c r="BE2" i="8" s="1"/>
  <c r="BD14" i="5"/>
  <c r="BD2" i="8" s="1"/>
  <c r="BC14" i="5"/>
  <c r="BC2" i="8" s="1"/>
  <c r="BB14" i="5"/>
  <c r="BB2" i="8" s="1"/>
  <c r="BA14" i="5"/>
  <c r="BA2" i="8" s="1"/>
  <c r="AZ14" i="5"/>
  <c r="AZ2" i="8" s="1"/>
  <c r="AY14" i="5"/>
  <c r="AY2" i="8" s="1"/>
  <c r="AX14" i="5"/>
  <c r="AX2" i="8" s="1"/>
  <c r="AW14" i="5"/>
  <c r="AW2" i="8" s="1"/>
  <c r="AV14" i="5"/>
  <c r="AV2" i="8" s="1"/>
  <c r="AU14" i="5"/>
  <c r="AU2" i="8" s="1"/>
  <c r="AT14" i="5"/>
  <c r="AT2" i="8" s="1"/>
  <c r="AS14" i="5"/>
  <c r="AS2" i="8" s="1"/>
  <c r="AR14" i="5"/>
  <c r="AR2" i="8" s="1"/>
  <c r="AQ14" i="5"/>
  <c r="AQ2" i="8" s="1"/>
  <c r="AP14" i="5"/>
  <c r="AP2" i="8" s="1"/>
  <c r="AO14" i="5"/>
  <c r="AO2" i="8" s="1"/>
  <c r="AN14" i="5"/>
  <c r="AN2" i="8" s="1"/>
  <c r="AM14" i="5"/>
  <c r="AM2" i="8" s="1"/>
  <c r="AL14" i="5"/>
  <c r="AL2" i="8" s="1"/>
  <c r="AK14" i="5"/>
  <c r="AK2" i="8" s="1"/>
  <c r="AJ14" i="5"/>
  <c r="AJ2" i="8" s="1"/>
  <c r="AI14" i="5"/>
  <c r="AI2" i="8" s="1"/>
  <c r="AH14" i="5"/>
  <c r="AH2" i="8" s="1"/>
  <c r="AG14" i="5"/>
  <c r="AG2" i="8" s="1"/>
  <c r="AF14" i="5"/>
  <c r="AF2" i="8" s="1"/>
  <c r="AE14" i="5"/>
  <c r="AE2" i="8" s="1"/>
  <c r="AD14" i="5"/>
  <c r="AD2" i="8" s="1"/>
  <c r="AC14" i="5"/>
  <c r="AC2" i="8" s="1"/>
  <c r="AB14" i="5"/>
  <c r="AB2" i="8" s="1"/>
  <c r="AA14" i="5"/>
  <c r="AA2" i="8" s="1"/>
  <c r="Z14" i="5"/>
  <c r="Z2" i="8" s="1"/>
  <c r="Y14" i="5"/>
  <c r="Y2" i="8" s="1"/>
  <c r="X14" i="5"/>
  <c r="X2" i="8" s="1"/>
  <c r="W14" i="5"/>
  <c r="W2" i="8" s="1"/>
  <c r="V14" i="5"/>
  <c r="V2" i="8" s="1"/>
  <c r="U14" i="5"/>
  <c r="U2" i="8" s="1"/>
  <c r="T14" i="5"/>
  <c r="T2" i="8" s="1"/>
  <c r="S14" i="5"/>
  <c r="S2" i="8" s="1"/>
  <c r="R14" i="5"/>
  <c r="R2" i="8" s="1"/>
  <c r="Q14" i="5"/>
  <c r="Q2" i="8" s="1"/>
  <c r="P14" i="5"/>
  <c r="P2" i="8" s="1"/>
  <c r="O14" i="5"/>
  <c r="O2" i="8" s="1"/>
  <c r="N14" i="5"/>
  <c r="N2" i="8" s="1"/>
  <c r="M14" i="5"/>
  <c r="M2" i="8" s="1"/>
  <c r="L14" i="5"/>
  <c r="L2" i="8" s="1"/>
  <c r="K14" i="5"/>
  <c r="K2" i="8" s="1"/>
  <c r="J14" i="5"/>
  <c r="J2" i="8" s="1"/>
  <c r="I14" i="5"/>
  <c r="I2" i="8" s="1"/>
  <c r="H14" i="5"/>
  <c r="H2" i="8" s="1"/>
  <c r="G14" i="5"/>
  <c r="G2" i="8" s="1"/>
  <c r="F14" i="5"/>
  <c r="F2" i="8" s="1"/>
  <c r="E14" i="5"/>
  <c r="E2" i="8" s="1"/>
  <c r="D14" i="5"/>
  <c r="D2" i="8" s="1"/>
  <c r="C14" i="5"/>
  <c r="C2" i="8" s="1"/>
  <c r="B14" i="5"/>
  <c r="B2" i="8" s="1"/>
  <c r="CI10" i="5"/>
  <c r="CI7" i="7" s="1"/>
  <c r="CH10" i="5"/>
  <c r="CH7" i="7" s="1"/>
  <c r="CG10" i="5"/>
  <c r="CG7" i="7" s="1"/>
  <c r="CF10" i="5"/>
  <c r="CF7" i="7" s="1"/>
  <c r="CE10" i="5"/>
  <c r="CE7" i="7" s="1"/>
  <c r="CD10" i="5"/>
  <c r="CD7" i="7" s="1"/>
  <c r="CC10" i="5"/>
  <c r="CC7" i="7" s="1"/>
  <c r="CB10" i="5"/>
  <c r="CB7" i="7" s="1"/>
  <c r="CA10" i="5"/>
  <c r="CA7" i="7" s="1"/>
  <c r="BZ10" i="5"/>
  <c r="BZ7" i="7" s="1"/>
  <c r="BY10" i="5"/>
  <c r="BY7" i="7" s="1"/>
  <c r="BX10" i="5"/>
  <c r="BX7" i="7" s="1"/>
  <c r="BW10" i="5"/>
  <c r="BW7" i="7" s="1"/>
  <c r="BV10" i="5"/>
  <c r="BV7" i="7" s="1"/>
  <c r="BU10" i="5"/>
  <c r="BU7" i="7" s="1"/>
  <c r="BT10" i="5"/>
  <c r="BT7" i="7" s="1"/>
  <c r="BS10" i="5"/>
  <c r="BS7" i="7" s="1"/>
  <c r="BR10" i="5"/>
  <c r="BR7" i="7" s="1"/>
  <c r="BQ10" i="5"/>
  <c r="BQ7" i="7" s="1"/>
  <c r="BP10" i="5"/>
  <c r="BP7" i="7" s="1"/>
  <c r="BO10" i="5"/>
  <c r="BO7" i="7" s="1"/>
  <c r="BN10" i="5"/>
  <c r="BN7" i="7" s="1"/>
  <c r="BM10" i="5"/>
  <c r="BM7" i="7" s="1"/>
  <c r="BL10" i="5"/>
  <c r="BL7" i="7" s="1"/>
  <c r="BK10" i="5"/>
  <c r="BK7" i="7" s="1"/>
  <c r="BJ10" i="5"/>
  <c r="BJ7" i="7" s="1"/>
  <c r="BI10" i="5"/>
  <c r="BI7" i="7" s="1"/>
  <c r="BH10" i="5"/>
  <c r="BH7" i="7" s="1"/>
  <c r="BG10" i="5"/>
  <c r="BG7" i="7" s="1"/>
  <c r="BF10" i="5"/>
  <c r="BF7" i="7" s="1"/>
  <c r="BE10" i="5"/>
  <c r="BE7" i="7" s="1"/>
  <c r="BD10" i="5"/>
  <c r="BD7" i="7" s="1"/>
  <c r="BC10" i="5"/>
  <c r="BC7" i="7" s="1"/>
  <c r="BB10" i="5"/>
  <c r="BB7" i="7" s="1"/>
  <c r="BA10" i="5"/>
  <c r="BA7" i="7" s="1"/>
  <c r="AZ10" i="5"/>
  <c r="AZ7" i="7" s="1"/>
  <c r="AY10" i="5"/>
  <c r="AY7" i="7" s="1"/>
  <c r="AX10" i="5"/>
  <c r="AX7" i="7" s="1"/>
  <c r="AW10" i="5"/>
  <c r="AW7" i="7" s="1"/>
  <c r="AV10" i="5"/>
  <c r="AV7" i="7" s="1"/>
  <c r="AU10" i="5"/>
  <c r="AU7" i="7" s="1"/>
  <c r="AT10" i="5"/>
  <c r="AT7" i="7" s="1"/>
  <c r="AS10" i="5"/>
  <c r="AS7" i="7" s="1"/>
  <c r="AR10" i="5"/>
  <c r="AR7" i="7" s="1"/>
  <c r="AQ10" i="5"/>
  <c r="AQ7" i="7" s="1"/>
  <c r="AP10" i="5"/>
  <c r="AP7" i="7" s="1"/>
  <c r="AO10" i="5"/>
  <c r="AO7" i="7" s="1"/>
  <c r="AN10" i="5"/>
  <c r="AN7" i="7" s="1"/>
  <c r="AM10" i="5"/>
  <c r="AM7" i="7" s="1"/>
  <c r="AL10" i="5"/>
  <c r="AL7" i="7" s="1"/>
  <c r="AK10" i="5"/>
  <c r="AK7" i="7" s="1"/>
  <c r="AJ10" i="5"/>
  <c r="AJ7" i="7" s="1"/>
  <c r="AI10" i="5"/>
  <c r="AI7" i="7" s="1"/>
  <c r="AH10" i="5"/>
  <c r="AH7" i="7" s="1"/>
  <c r="AG10" i="5"/>
  <c r="AG7" i="7" s="1"/>
  <c r="AF10" i="5"/>
  <c r="AF7" i="7" s="1"/>
  <c r="AE10" i="5"/>
  <c r="AE7" i="7" s="1"/>
  <c r="AD10" i="5"/>
  <c r="AD7" i="7" s="1"/>
  <c r="AC10" i="5"/>
  <c r="AC7" i="7" s="1"/>
  <c r="AB10" i="5"/>
  <c r="AB7" i="7" s="1"/>
  <c r="AA10" i="5"/>
  <c r="AA7" i="7" s="1"/>
  <c r="Z10" i="5"/>
  <c r="Z7" i="7" s="1"/>
  <c r="Y10" i="5"/>
  <c r="Y7" i="7" s="1"/>
  <c r="X10" i="5"/>
  <c r="X7" i="7" s="1"/>
  <c r="W10" i="5"/>
  <c r="W7" i="7" s="1"/>
  <c r="V10" i="5"/>
  <c r="V7" i="7" s="1"/>
  <c r="U10" i="5"/>
  <c r="U7" i="7" s="1"/>
  <c r="T10" i="5"/>
  <c r="T7" i="7" s="1"/>
  <c r="S10" i="5"/>
  <c r="S7" i="7" s="1"/>
  <c r="R10" i="5"/>
  <c r="R7" i="7" s="1"/>
  <c r="Q10" i="5"/>
  <c r="Q7" i="7" s="1"/>
  <c r="P10" i="5"/>
  <c r="P7" i="7" s="1"/>
  <c r="O10" i="5"/>
  <c r="O7" i="7" s="1"/>
  <c r="N10" i="5"/>
  <c r="N7" i="7" s="1"/>
  <c r="M10" i="5"/>
  <c r="M7" i="7" s="1"/>
  <c r="L10" i="5"/>
  <c r="L7" i="7" s="1"/>
  <c r="K10" i="5"/>
  <c r="K7" i="7" s="1"/>
  <c r="J10" i="5"/>
  <c r="J7" i="7" s="1"/>
  <c r="I10" i="5"/>
  <c r="I7" i="7" s="1"/>
  <c r="H10" i="5"/>
  <c r="H7" i="7" s="1"/>
  <c r="G10" i="5"/>
  <c r="G7" i="7" s="1"/>
  <c r="F10" i="5"/>
  <c r="F7" i="7" s="1"/>
  <c r="E10" i="5"/>
  <c r="E7" i="7" s="1"/>
  <c r="D10" i="5"/>
  <c r="D7" i="7" s="1"/>
  <c r="C10" i="5"/>
  <c r="C7" i="7" s="1"/>
  <c r="B10" i="5"/>
  <c r="B7" i="7" s="1"/>
  <c r="CI9" i="5"/>
  <c r="CI6" i="7" s="1"/>
  <c r="CH9" i="5"/>
  <c r="CH6" i="7" s="1"/>
  <c r="CG9" i="5"/>
  <c r="CG6" i="7" s="1"/>
  <c r="CF9" i="5"/>
  <c r="CF6" i="7" s="1"/>
  <c r="CE9" i="5"/>
  <c r="CE6" i="7" s="1"/>
  <c r="CD9" i="5"/>
  <c r="CD6" i="7" s="1"/>
  <c r="CC9" i="5"/>
  <c r="CC6" i="7" s="1"/>
  <c r="CB9" i="5"/>
  <c r="CB6" i="7" s="1"/>
  <c r="CA9" i="5"/>
  <c r="CA6" i="7" s="1"/>
  <c r="BZ9" i="5"/>
  <c r="BZ6" i="7" s="1"/>
  <c r="BY9" i="5"/>
  <c r="BY6" i="7" s="1"/>
  <c r="BX9" i="5"/>
  <c r="BX6" i="7" s="1"/>
  <c r="BW9" i="5"/>
  <c r="BW6" i="7" s="1"/>
  <c r="BV9" i="5"/>
  <c r="BV6" i="7" s="1"/>
  <c r="BU9" i="5"/>
  <c r="BU6" i="7" s="1"/>
  <c r="BT9" i="5"/>
  <c r="BT6" i="7" s="1"/>
  <c r="BS9" i="5"/>
  <c r="BS6" i="7" s="1"/>
  <c r="BR9" i="5"/>
  <c r="BR6" i="7" s="1"/>
  <c r="BQ9" i="5"/>
  <c r="BQ6" i="7" s="1"/>
  <c r="BP9" i="5"/>
  <c r="BP6" i="7" s="1"/>
  <c r="BO9" i="5"/>
  <c r="BO6" i="7" s="1"/>
  <c r="BN9" i="5"/>
  <c r="BN6" i="7" s="1"/>
  <c r="BM9" i="5"/>
  <c r="BM6" i="7" s="1"/>
  <c r="BL9" i="5"/>
  <c r="BL6" i="7" s="1"/>
  <c r="BK9" i="5"/>
  <c r="BK6" i="7" s="1"/>
  <c r="BJ9" i="5"/>
  <c r="BJ6" i="7" s="1"/>
  <c r="BI9" i="5"/>
  <c r="BI6" i="7" s="1"/>
  <c r="BH9" i="5"/>
  <c r="BH6" i="7" s="1"/>
  <c r="BG9" i="5"/>
  <c r="BG6" i="7" s="1"/>
  <c r="BF9" i="5"/>
  <c r="BF6" i="7" s="1"/>
  <c r="BE9" i="5"/>
  <c r="BE6" i="7" s="1"/>
  <c r="BD9" i="5"/>
  <c r="BD6" i="7" s="1"/>
  <c r="BC9" i="5"/>
  <c r="BC6" i="7" s="1"/>
  <c r="BB9" i="5"/>
  <c r="BB6" i="7" s="1"/>
  <c r="BA9" i="5"/>
  <c r="BA6" i="7" s="1"/>
  <c r="AZ9" i="5"/>
  <c r="AZ6" i="7" s="1"/>
  <c r="AY9" i="5"/>
  <c r="AY6" i="7" s="1"/>
  <c r="AX9" i="5"/>
  <c r="AX6" i="7" s="1"/>
  <c r="AW9" i="5"/>
  <c r="AW6" i="7" s="1"/>
  <c r="AV9" i="5"/>
  <c r="AV6" i="7" s="1"/>
  <c r="AU9" i="5"/>
  <c r="AU6" i="7" s="1"/>
  <c r="AT9" i="5"/>
  <c r="AT6" i="7" s="1"/>
  <c r="AS9" i="5"/>
  <c r="AS6" i="7" s="1"/>
  <c r="AR9" i="5"/>
  <c r="AR6" i="7" s="1"/>
  <c r="AQ9" i="5"/>
  <c r="AQ6" i="7" s="1"/>
  <c r="AP9" i="5"/>
  <c r="AP6" i="7" s="1"/>
  <c r="AO9" i="5"/>
  <c r="AO6" i="7" s="1"/>
  <c r="AN9" i="5"/>
  <c r="AN6" i="7" s="1"/>
  <c r="AM9" i="5"/>
  <c r="AM6" i="7" s="1"/>
  <c r="AL9" i="5"/>
  <c r="AL6" i="7" s="1"/>
  <c r="AK9" i="5"/>
  <c r="AK6" i="7" s="1"/>
  <c r="AJ9" i="5"/>
  <c r="AJ6" i="7" s="1"/>
  <c r="AI9" i="5"/>
  <c r="AI6" i="7" s="1"/>
  <c r="AH9" i="5"/>
  <c r="AH6" i="7" s="1"/>
  <c r="AG9" i="5"/>
  <c r="AG6" i="7" s="1"/>
  <c r="AF9" i="5"/>
  <c r="AF6" i="7" s="1"/>
  <c r="AE9" i="5"/>
  <c r="AE6" i="7" s="1"/>
  <c r="AD9" i="5"/>
  <c r="AD6" i="7" s="1"/>
  <c r="AC9" i="5"/>
  <c r="AC6" i="7" s="1"/>
  <c r="AB9" i="5"/>
  <c r="AB6" i="7" s="1"/>
  <c r="AA9" i="5"/>
  <c r="AA6" i="7" s="1"/>
  <c r="Z9" i="5"/>
  <c r="Z6" i="7" s="1"/>
  <c r="Y9" i="5"/>
  <c r="Y6" i="7" s="1"/>
  <c r="X9" i="5"/>
  <c r="X6" i="7" s="1"/>
  <c r="W9" i="5"/>
  <c r="W6" i="7" s="1"/>
  <c r="V9" i="5"/>
  <c r="V6" i="7" s="1"/>
  <c r="U9" i="5"/>
  <c r="U6" i="7" s="1"/>
  <c r="T9" i="5"/>
  <c r="T6" i="7" s="1"/>
  <c r="S9" i="5"/>
  <c r="S6" i="7" s="1"/>
  <c r="R9" i="5"/>
  <c r="R6" i="7" s="1"/>
  <c r="Q9" i="5"/>
  <c r="Q6" i="7" s="1"/>
  <c r="P9" i="5"/>
  <c r="P6" i="7" s="1"/>
  <c r="O9" i="5"/>
  <c r="O6" i="7" s="1"/>
  <c r="N9" i="5"/>
  <c r="N6" i="7" s="1"/>
  <c r="M9" i="5"/>
  <c r="M6" i="7" s="1"/>
  <c r="L9" i="5"/>
  <c r="L6" i="7" s="1"/>
  <c r="K9" i="5"/>
  <c r="K6" i="7" s="1"/>
  <c r="J9" i="5"/>
  <c r="J6" i="7" s="1"/>
  <c r="I9" i="5"/>
  <c r="I6" i="7" s="1"/>
  <c r="H9" i="5"/>
  <c r="H6" i="7" s="1"/>
  <c r="G9" i="5"/>
  <c r="G6" i="7" s="1"/>
  <c r="F9" i="5"/>
  <c r="F6" i="7" s="1"/>
  <c r="E9" i="5"/>
  <c r="E6" i="7" s="1"/>
  <c r="D9" i="5"/>
  <c r="D6" i="7" s="1"/>
  <c r="C9" i="5"/>
  <c r="C6" i="7" s="1"/>
  <c r="B9" i="5"/>
  <c r="B6" i="7" s="1"/>
  <c r="CI8" i="5"/>
  <c r="CI5" i="7" s="1"/>
  <c r="CH8" i="5"/>
  <c r="CH5" i="7" s="1"/>
  <c r="CG8" i="5"/>
  <c r="CG5" i="7" s="1"/>
  <c r="CF8" i="5"/>
  <c r="CF5" i="7" s="1"/>
  <c r="CE8" i="5"/>
  <c r="CE5" i="7" s="1"/>
  <c r="CD8" i="5"/>
  <c r="CD5" i="7" s="1"/>
  <c r="CC8" i="5"/>
  <c r="CC5" i="7" s="1"/>
  <c r="CB8" i="5"/>
  <c r="CB5" i="7" s="1"/>
  <c r="CA8" i="5"/>
  <c r="CA5" i="7" s="1"/>
  <c r="BZ8" i="5"/>
  <c r="BZ5" i="7" s="1"/>
  <c r="BY8" i="5"/>
  <c r="BY5" i="7" s="1"/>
  <c r="BX8" i="5"/>
  <c r="BX5" i="7" s="1"/>
  <c r="BW8" i="5"/>
  <c r="BW5" i="7" s="1"/>
  <c r="BV8" i="5"/>
  <c r="BV5" i="7" s="1"/>
  <c r="BU8" i="5"/>
  <c r="BU5" i="7" s="1"/>
  <c r="BT8" i="5"/>
  <c r="BT5" i="7" s="1"/>
  <c r="BS8" i="5"/>
  <c r="BS5" i="7" s="1"/>
  <c r="BR8" i="5"/>
  <c r="BR5" i="7" s="1"/>
  <c r="BQ8" i="5"/>
  <c r="BQ5" i="7" s="1"/>
  <c r="BP8" i="5"/>
  <c r="BP5" i="7" s="1"/>
  <c r="BO8" i="5"/>
  <c r="BO5" i="7" s="1"/>
  <c r="BN8" i="5"/>
  <c r="BN5" i="7" s="1"/>
  <c r="BM8" i="5"/>
  <c r="BM5" i="7" s="1"/>
  <c r="BL8" i="5"/>
  <c r="BL5" i="7" s="1"/>
  <c r="BK8" i="5"/>
  <c r="BK5" i="7" s="1"/>
  <c r="BJ8" i="5"/>
  <c r="BJ5" i="7" s="1"/>
  <c r="BI8" i="5"/>
  <c r="BI5" i="7" s="1"/>
  <c r="BH8" i="5"/>
  <c r="BH5" i="7" s="1"/>
  <c r="BG8" i="5"/>
  <c r="BG5" i="7" s="1"/>
  <c r="BF8" i="5"/>
  <c r="BF5" i="7" s="1"/>
  <c r="BE8" i="5"/>
  <c r="BE5" i="7" s="1"/>
  <c r="BD8" i="5"/>
  <c r="BD5" i="7" s="1"/>
  <c r="BC8" i="5"/>
  <c r="BC5" i="7" s="1"/>
  <c r="BB8" i="5"/>
  <c r="BB5" i="7" s="1"/>
  <c r="BA8" i="5"/>
  <c r="BA5" i="7" s="1"/>
  <c r="AZ8" i="5"/>
  <c r="AZ5" i="7" s="1"/>
  <c r="AY8" i="5"/>
  <c r="AY5" i="7" s="1"/>
  <c r="AX8" i="5"/>
  <c r="AX5" i="7" s="1"/>
  <c r="AW8" i="5"/>
  <c r="AW5" i="7" s="1"/>
  <c r="AV8" i="5"/>
  <c r="AV5" i="7" s="1"/>
  <c r="AU8" i="5"/>
  <c r="AU5" i="7" s="1"/>
  <c r="AT8" i="5"/>
  <c r="AT5" i="7" s="1"/>
  <c r="AS8" i="5"/>
  <c r="AS5" i="7" s="1"/>
  <c r="AR8" i="5"/>
  <c r="AR5" i="7" s="1"/>
  <c r="AQ8" i="5"/>
  <c r="AQ5" i="7" s="1"/>
  <c r="AP8" i="5"/>
  <c r="AP5" i="7" s="1"/>
  <c r="AO8" i="5"/>
  <c r="AO5" i="7" s="1"/>
  <c r="AN8" i="5"/>
  <c r="AN5" i="7" s="1"/>
  <c r="AM8" i="5"/>
  <c r="AM5" i="7" s="1"/>
  <c r="AL8" i="5"/>
  <c r="AL5" i="7" s="1"/>
  <c r="AK8" i="5"/>
  <c r="AK5" i="7" s="1"/>
  <c r="AJ8" i="5"/>
  <c r="AJ5" i="7" s="1"/>
  <c r="AI8" i="5"/>
  <c r="AI5" i="7" s="1"/>
  <c r="AH8" i="5"/>
  <c r="AH5" i="7" s="1"/>
  <c r="AG8" i="5"/>
  <c r="AG5" i="7" s="1"/>
  <c r="AF8" i="5"/>
  <c r="AF5" i="7" s="1"/>
  <c r="AE8" i="5"/>
  <c r="AE5" i="7" s="1"/>
  <c r="AD8" i="5"/>
  <c r="AD5" i="7" s="1"/>
  <c r="AC8" i="5"/>
  <c r="AC5" i="7" s="1"/>
  <c r="AB8" i="5"/>
  <c r="AB5" i="7" s="1"/>
  <c r="AA8" i="5"/>
  <c r="AA5" i="7" s="1"/>
  <c r="Z8" i="5"/>
  <c r="Z5" i="7" s="1"/>
  <c r="Y8" i="5"/>
  <c r="Y5" i="7" s="1"/>
  <c r="X8" i="5"/>
  <c r="X5" i="7" s="1"/>
  <c r="W8" i="5"/>
  <c r="W5" i="7" s="1"/>
  <c r="V8" i="5"/>
  <c r="V5" i="7" s="1"/>
  <c r="U8" i="5"/>
  <c r="U5" i="7" s="1"/>
  <c r="T8" i="5"/>
  <c r="T5" i="7" s="1"/>
  <c r="S8" i="5"/>
  <c r="S5" i="7" s="1"/>
  <c r="R8" i="5"/>
  <c r="R5" i="7" s="1"/>
  <c r="Q8" i="5"/>
  <c r="Q5" i="7" s="1"/>
  <c r="P8" i="5"/>
  <c r="P5" i="7" s="1"/>
  <c r="O8" i="5"/>
  <c r="O5" i="7" s="1"/>
  <c r="N8" i="5"/>
  <c r="N5" i="7" s="1"/>
  <c r="M8" i="5"/>
  <c r="M5" i="7" s="1"/>
  <c r="L8" i="5"/>
  <c r="L5" i="7" s="1"/>
  <c r="K8" i="5"/>
  <c r="K5" i="7" s="1"/>
  <c r="J8" i="5"/>
  <c r="J5" i="7" s="1"/>
  <c r="I8" i="5"/>
  <c r="I5" i="7" s="1"/>
  <c r="H8" i="5"/>
  <c r="H5" i="7" s="1"/>
  <c r="G8" i="5"/>
  <c r="G5" i="7" s="1"/>
  <c r="F8" i="5"/>
  <c r="F5" i="7" s="1"/>
  <c r="E8" i="5"/>
  <c r="E5" i="7" s="1"/>
  <c r="D8" i="5"/>
  <c r="D5" i="7" s="1"/>
  <c r="C8" i="5"/>
  <c r="C5" i="7" s="1"/>
  <c r="B8" i="5"/>
  <c r="B5" i="7" s="1"/>
  <c r="CI7" i="5"/>
  <c r="CI4" i="7" s="1"/>
  <c r="CH7" i="5"/>
  <c r="CH4" i="7" s="1"/>
  <c r="CG7" i="5"/>
  <c r="CG4" i="7" s="1"/>
  <c r="CF7" i="5"/>
  <c r="CF4" i="7" s="1"/>
  <c r="CE7" i="5"/>
  <c r="CE4" i="7" s="1"/>
  <c r="CD7" i="5"/>
  <c r="CD4" i="7" s="1"/>
  <c r="CC7" i="5"/>
  <c r="CC4" i="7" s="1"/>
  <c r="CB7" i="5"/>
  <c r="CB4" i="7" s="1"/>
  <c r="CA7" i="5"/>
  <c r="CA4" i="7" s="1"/>
  <c r="BZ7" i="5"/>
  <c r="BZ4" i="7" s="1"/>
  <c r="BY7" i="5"/>
  <c r="BY4" i="7" s="1"/>
  <c r="BX7" i="5"/>
  <c r="BX4" i="7" s="1"/>
  <c r="BW7" i="5"/>
  <c r="BW4" i="7" s="1"/>
  <c r="BV7" i="5"/>
  <c r="BV4" i="7" s="1"/>
  <c r="BU7" i="5"/>
  <c r="BU4" i="7" s="1"/>
  <c r="BT7" i="5"/>
  <c r="BT4" i="7" s="1"/>
  <c r="BS7" i="5"/>
  <c r="BS4" i="7" s="1"/>
  <c r="BR7" i="5"/>
  <c r="BR4" i="7" s="1"/>
  <c r="BQ7" i="5"/>
  <c r="BQ4" i="7" s="1"/>
  <c r="BP7" i="5"/>
  <c r="BP4" i="7" s="1"/>
  <c r="BO7" i="5"/>
  <c r="BO4" i="7" s="1"/>
  <c r="BN7" i="5"/>
  <c r="BN4" i="7" s="1"/>
  <c r="BM7" i="5"/>
  <c r="BM4" i="7" s="1"/>
  <c r="BL7" i="5"/>
  <c r="BL4" i="7" s="1"/>
  <c r="BK7" i="5"/>
  <c r="BK4" i="7" s="1"/>
  <c r="BJ7" i="5"/>
  <c r="BJ4" i="7" s="1"/>
  <c r="BI7" i="5"/>
  <c r="BI4" i="7" s="1"/>
  <c r="BH7" i="5"/>
  <c r="BH4" i="7" s="1"/>
  <c r="BG7" i="5"/>
  <c r="BG4" i="7" s="1"/>
  <c r="BF7" i="5"/>
  <c r="BF4" i="7" s="1"/>
  <c r="BE7" i="5"/>
  <c r="BE4" i="7" s="1"/>
  <c r="BD7" i="5"/>
  <c r="BD4" i="7" s="1"/>
  <c r="BC7" i="5"/>
  <c r="BC4" i="7" s="1"/>
  <c r="BB7" i="5"/>
  <c r="BB4" i="7" s="1"/>
  <c r="BA7" i="5"/>
  <c r="BA4" i="7" s="1"/>
  <c r="AZ7" i="5"/>
  <c r="AZ4" i="7" s="1"/>
  <c r="AY7" i="5"/>
  <c r="AY4" i="7" s="1"/>
  <c r="AX7" i="5"/>
  <c r="AX4" i="7" s="1"/>
  <c r="AW7" i="5"/>
  <c r="AW4" i="7" s="1"/>
  <c r="AV7" i="5"/>
  <c r="AV4" i="7" s="1"/>
  <c r="AU7" i="5"/>
  <c r="AU4" i="7" s="1"/>
  <c r="AT7" i="5"/>
  <c r="AT4" i="7" s="1"/>
  <c r="AS7" i="5"/>
  <c r="AS4" i="7" s="1"/>
  <c r="AR7" i="5"/>
  <c r="AR4" i="7" s="1"/>
  <c r="AQ7" i="5"/>
  <c r="AQ4" i="7" s="1"/>
  <c r="AP7" i="5"/>
  <c r="AP4" i="7" s="1"/>
  <c r="AO7" i="5"/>
  <c r="AO4" i="7" s="1"/>
  <c r="AN7" i="5"/>
  <c r="AN4" i="7" s="1"/>
  <c r="AM7" i="5"/>
  <c r="AM4" i="7" s="1"/>
  <c r="AL7" i="5"/>
  <c r="AL4" i="7" s="1"/>
  <c r="AK7" i="5"/>
  <c r="AK4" i="7" s="1"/>
  <c r="AJ7" i="5"/>
  <c r="AJ4" i="7" s="1"/>
  <c r="AI7" i="5"/>
  <c r="AI4" i="7" s="1"/>
  <c r="AH7" i="5"/>
  <c r="AH4" i="7" s="1"/>
  <c r="AG7" i="5"/>
  <c r="AG4" i="7" s="1"/>
  <c r="AF7" i="5"/>
  <c r="AF4" i="7" s="1"/>
  <c r="AE7" i="5"/>
  <c r="AE4" i="7" s="1"/>
  <c r="AD7" i="5"/>
  <c r="AD4" i="7" s="1"/>
  <c r="AC7" i="5"/>
  <c r="AC4" i="7" s="1"/>
  <c r="AB7" i="5"/>
  <c r="AB4" i="7" s="1"/>
  <c r="AA7" i="5"/>
  <c r="AA4" i="7" s="1"/>
  <c r="Z7" i="5"/>
  <c r="Z4" i="7" s="1"/>
  <c r="Y7" i="5"/>
  <c r="Y4" i="7" s="1"/>
  <c r="X7" i="5"/>
  <c r="X4" i="7" s="1"/>
  <c r="W7" i="5"/>
  <c r="W4" i="7" s="1"/>
  <c r="V7" i="5"/>
  <c r="V4" i="7" s="1"/>
  <c r="U7" i="5"/>
  <c r="U4" i="7" s="1"/>
  <c r="T7" i="5"/>
  <c r="T4" i="7" s="1"/>
  <c r="S7" i="5"/>
  <c r="S4" i="7" s="1"/>
  <c r="R7" i="5"/>
  <c r="R4" i="7" s="1"/>
  <c r="Q7" i="5"/>
  <c r="Q4" i="7" s="1"/>
  <c r="P7" i="5"/>
  <c r="P4" i="7" s="1"/>
  <c r="O7" i="5"/>
  <c r="O4" i="7" s="1"/>
  <c r="N7" i="5"/>
  <c r="N4" i="7" s="1"/>
  <c r="M7" i="5"/>
  <c r="M4" i="7" s="1"/>
  <c r="L7" i="5"/>
  <c r="L4" i="7" s="1"/>
  <c r="K7" i="5"/>
  <c r="K4" i="7" s="1"/>
  <c r="J7" i="5"/>
  <c r="J4" i="7" s="1"/>
  <c r="I7" i="5"/>
  <c r="I4" i="7" s="1"/>
  <c r="H7" i="5"/>
  <c r="H4" i="7" s="1"/>
  <c r="G7" i="5"/>
  <c r="G4" i="7" s="1"/>
  <c r="F7" i="5"/>
  <c r="F4" i="7" s="1"/>
  <c r="E7" i="5"/>
  <c r="E4" i="7" s="1"/>
  <c r="D7" i="5"/>
  <c r="D4" i="7" s="1"/>
  <c r="C7" i="5"/>
  <c r="C4" i="7" s="1"/>
  <c r="B7" i="5"/>
  <c r="B4" i="7" s="1"/>
  <c r="CI6" i="5"/>
  <c r="CI3" i="7" s="1"/>
  <c r="CH6" i="5"/>
  <c r="CH3" i="7" s="1"/>
  <c r="CG6" i="5"/>
  <c r="CG3" i="7" s="1"/>
  <c r="CF6" i="5"/>
  <c r="CF3" i="7" s="1"/>
  <c r="CE6" i="5"/>
  <c r="CE3" i="7" s="1"/>
  <c r="CD6" i="5"/>
  <c r="CD3" i="7" s="1"/>
  <c r="CC6" i="5"/>
  <c r="CC3" i="7" s="1"/>
  <c r="CB6" i="5"/>
  <c r="CB3" i="7" s="1"/>
  <c r="CA6" i="5"/>
  <c r="CA3" i="7" s="1"/>
  <c r="BZ6" i="5"/>
  <c r="BZ3" i="7" s="1"/>
  <c r="BY6" i="5"/>
  <c r="BY3" i="7" s="1"/>
  <c r="BX6" i="5"/>
  <c r="BX3" i="7" s="1"/>
  <c r="BW6" i="5"/>
  <c r="BW3" i="7" s="1"/>
  <c r="BV6" i="5"/>
  <c r="BV3" i="7" s="1"/>
  <c r="BU6" i="5"/>
  <c r="BU3" i="7" s="1"/>
  <c r="BT6" i="5"/>
  <c r="BT3" i="7" s="1"/>
  <c r="BS6" i="5"/>
  <c r="BS3" i="7" s="1"/>
  <c r="BR6" i="5"/>
  <c r="BR3" i="7" s="1"/>
  <c r="BQ6" i="5"/>
  <c r="BQ3" i="7" s="1"/>
  <c r="BP6" i="5"/>
  <c r="BP3" i="7" s="1"/>
  <c r="BO6" i="5"/>
  <c r="BO3" i="7" s="1"/>
  <c r="BN6" i="5"/>
  <c r="BN3" i="7" s="1"/>
  <c r="BM6" i="5"/>
  <c r="BM3" i="7" s="1"/>
  <c r="BL6" i="5"/>
  <c r="BL3" i="7" s="1"/>
  <c r="BK6" i="5"/>
  <c r="BK3" i="7" s="1"/>
  <c r="BJ6" i="5"/>
  <c r="BJ3" i="7" s="1"/>
  <c r="BI6" i="5"/>
  <c r="BI3" i="7" s="1"/>
  <c r="BH6" i="5"/>
  <c r="BH3" i="7" s="1"/>
  <c r="BG6" i="5"/>
  <c r="BG3" i="7" s="1"/>
  <c r="BF6" i="5"/>
  <c r="BF3" i="7" s="1"/>
  <c r="BE6" i="5"/>
  <c r="BE3" i="7" s="1"/>
  <c r="BD6" i="5"/>
  <c r="BD3" i="7" s="1"/>
  <c r="BC6" i="5"/>
  <c r="BC3" i="7" s="1"/>
  <c r="BB6" i="5"/>
  <c r="BB3" i="7" s="1"/>
  <c r="BA6" i="5"/>
  <c r="BA3" i="7" s="1"/>
  <c r="AZ6" i="5"/>
  <c r="AZ3" i="7" s="1"/>
  <c r="AY6" i="5"/>
  <c r="AY3" i="7" s="1"/>
  <c r="AX6" i="5"/>
  <c r="AX3" i="7" s="1"/>
  <c r="AW6" i="5"/>
  <c r="AW3" i="7" s="1"/>
  <c r="AV6" i="5"/>
  <c r="AV3" i="7" s="1"/>
  <c r="AU6" i="5"/>
  <c r="AU3" i="7" s="1"/>
  <c r="AT6" i="5"/>
  <c r="AT3" i="7" s="1"/>
  <c r="AS6" i="5"/>
  <c r="AS3" i="7" s="1"/>
  <c r="AR6" i="5"/>
  <c r="AR3" i="7" s="1"/>
  <c r="AQ6" i="5"/>
  <c r="AQ3" i="7" s="1"/>
  <c r="AP6" i="5"/>
  <c r="AP3" i="7" s="1"/>
  <c r="AO6" i="5"/>
  <c r="AO3" i="7" s="1"/>
  <c r="AN6" i="5"/>
  <c r="AN3" i="7" s="1"/>
  <c r="AM6" i="5"/>
  <c r="AM3" i="7" s="1"/>
  <c r="AL6" i="5"/>
  <c r="AL3" i="7" s="1"/>
  <c r="AK6" i="5"/>
  <c r="AK3" i="7" s="1"/>
  <c r="AJ6" i="5"/>
  <c r="AJ3" i="7" s="1"/>
  <c r="AI6" i="5"/>
  <c r="AI3" i="7" s="1"/>
  <c r="AH6" i="5"/>
  <c r="AH3" i="7" s="1"/>
  <c r="AG6" i="5"/>
  <c r="AG3" i="7" s="1"/>
  <c r="AF6" i="5"/>
  <c r="AF3" i="7" s="1"/>
  <c r="AE6" i="5"/>
  <c r="AE3" i="7" s="1"/>
  <c r="AD6" i="5"/>
  <c r="AD3" i="7" s="1"/>
  <c r="AC6" i="5"/>
  <c r="AC3" i="7" s="1"/>
  <c r="AB6" i="5"/>
  <c r="AB3" i="7" s="1"/>
  <c r="AA6" i="5"/>
  <c r="AA3" i="7" s="1"/>
  <c r="Z6" i="5"/>
  <c r="Z3" i="7" s="1"/>
  <c r="Y6" i="5"/>
  <c r="Y3" i="7" s="1"/>
  <c r="X6" i="5"/>
  <c r="X3" i="7" s="1"/>
  <c r="W6" i="5"/>
  <c r="W3" i="7" s="1"/>
  <c r="V6" i="5"/>
  <c r="V3" i="7" s="1"/>
  <c r="U6" i="5"/>
  <c r="U3" i="7" s="1"/>
  <c r="T6" i="5"/>
  <c r="T3" i="7" s="1"/>
  <c r="S6" i="5"/>
  <c r="S3" i="7" s="1"/>
  <c r="R6" i="5"/>
  <c r="R3" i="7" s="1"/>
  <c r="Q6" i="5"/>
  <c r="Q3" i="7" s="1"/>
  <c r="P6" i="5"/>
  <c r="P3" i="7" s="1"/>
  <c r="O6" i="5"/>
  <c r="O3" i="7" s="1"/>
  <c r="N6" i="5"/>
  <c r="N3" i="7" s="1"/>
  <c r="M6" i="5"/>
  <c r="M3" i="7" s="1"/>
  <c r="L6" i="5"/>
  <c r="L3" i="7" s="1"/>
  <c r="K6" i="5"/>
  <c r="K3" i="7" s="1"/>
  <c r="J6" i="5"/>
  <c r="J3" i="7" s="1"/>
  <c r="I6" i="5"/>
  <c r="I3" i="7" s="1"/>
  <c r="H6" i="5"/>
  <c r="H3" i="7" s="1"/>
  <c r="G6" i="5"/>
  <c r="G3" i="7" s="1"/>
  <c r="F6" i="5"/>
  <c r="F3" i="7" s="1"/>
  <c r="E6" i="5"/>
  <c r="E3" i="7" s="1"/>
  <c r="D6" i="5"/>
  <c r="D3" i="7" s="1"/>
  <c r="C6" i="5"/>
  <c r="C3" i="7" s="1"/>
  <c r="B6" i="5"/>
  <c r="B3" i="7" s="1"/>
  <c r="CI5" i="5"/>
  <c r="CI2" i="7" s="1"/>
  <c r="CH5" i="5"/>
  <c r="CH2" i="7" s="1"/>
  <c r="CG5" i="5"/>
  <c r="CG2" i="7" s="1"/>
  <c r="CF5" i="5"/>
  <c r="CF2" i="7" s="1"/>
  <c r="CE5" i="5"/>
  <c r="CE2" i="7" s="1"/>
  <c r="CD5" i="5"/>
  <c r="CD2" i="7" s="1"/>
  <c r="CC5" i="5"/>
  <c r="CC2" i="7" s="1"/>
  <c r="CB5" i="5"/>
  <c r="CB2" i="7" s="1"/>
  <c r="CA5" i="5"/>
  <c r="CA2" i="7" s="1"/>
  <c r="BZ5" i="5"/>
  <c r="BZ2" i="7" s="1"/>
  <c r="BY5" i="5"/>
  <c r="BY2" i="7" s="1"/>
  <c r="BX5" i="5"/>
  <c r="BX2" i="7" s="1"/>
  <c r="BW5" i="5"/>
  <c r="BW2" i="7" s="1"/>
  <c r="BV5" i="5"/>
  <c r="BV2" i="7" s="1"/>
  <c r="BU5" i="5"/>
  <c r="BU2" i="7" s="1"/>
  <c r="BT5" i="5"/>
  <c r="BT2" i="7" s="1"/>
  <c r="BS5" i="5"/>
  <c r="BS2" i="7" s="1"/>
  <c r="BR5" i="5"/>
  <c r="BR2" i="7" s="1"/>
  <c r="BQ5" i="5"/>
  <c r="BQ2" i="7" s="1"/>
  <c r="BP5" i="5"/>
  <c r="BP2" i="7" s="1"/>
  <c r="BO5" i="5"/>
  <c r="BO2" i="7" s="1"/>
  <c r="BN5" i="5"/>
  <c r="BN2" i="7" s="1"/>
  <c r="BM5" i="5"/>
  <c r="BM2" i="7" s="1"/>
  <c r="BL5" i="5"/>
  <c r="BL2" i="7" s="1"/>
  <c r="BK5" i="5"/>
  <c r="BK2" i="7" s="1"/>
  <c r="BJ5" i="5"/>
  <c r="BJ2" i="7" s="1"/>
  <c r="BI5" i="5"/>
  <c r="BI2" i="7" s="1"/>
  <c r="BH5" i="5"/>
  <c r="BH2" i="7" s="1"/>
  <c r="BG5" i="5"/>
  <c r="BG2" i="7" s="1"/>
  <c r="BF5" i="5"/>
  <c r="BF2" i="7" s="1"/>
  <c r="BE5" i="5"/>
  <c r="BE2" i="7" s="1"/>
  <c r="BD5" i="5"/>
  <c r="BD2" i="7" s="1"/>
  <c r="BC5" i="5"/>
  <c r="BC2" i="7" s="1"/>
  <c r="BB5" i="5"/>
  <c r="BB2" i="7" s="1"/>
  <c r="BA5" i="5"/>
  <c r="BA2" i="7" s="1"/>
  <c r="AZ5" i="5"/>
  <c r="AZ2" i="7" s="1"/>
  <c r="AY5" i="5"/>
  <c r="AY2" i="7" s="1"/>
  <c r="AX5" i="5"/>
  <c r="AX2" i="7" s="1"/>
  <c r="AW5" i="5"/>
  <c r="AW2" i="7" s="1"/>
  <c r="AV5" i="5"/>
  <c r="AV2" i="7" s="1"/>
  <c r="AU5" i="5"/>
  <c r="AU2" i="7" s="1"/>
  <c r="AT5" i="5"/>
  <c r="AT2" i="7" s="1"/>
  <c r="AS5" i="5"/>
  <c r="AS2" i="7" s="1"/>
  <c r="AR5" i="5"/>
  <c r="AR2" i="7" s="1"/>
  <c r="AQ5" i="5"/>
  <c r="AQ2" i="7" s="1"/>
  <c r="AP5" i="5"/>
  <c r="AP2" i="7" s="1"/>
  <c r="AO5" i="5"/>
  <c r="AO2" i="7" s="1"/>
  <c r="AN5" i="5"/>
  <c r="AN2" i="7" s="1"/>
  <c r="AM5" i="5"/>
  <c r="AM2" i="7" s="1"/>
  <c r="AL5" i="5"/>
  <c r="AL2" i="7" s="1"/>
  <c r="AK5" i="5"/>
  <c r="AK2" i="7" s="1"/>
  <c r="AJ5" i="5"/>
  <c r="AJ2" i="7" s="1"/>
  <c r="AI5" i="5"/>
  <c r="AI2" i="7" s="1"/>
  <c r="AH5" i="5"/>
  <c r="AH2" i="7" s="1"/>
  <c r="AG5" i="5"/>
  <c r="AG2" i="7" s="1"/>
  <c r="AF5" i="5"/>
  <c r="AF2" i="7" s="1"/>
  <c r="AE5" i="5"/>
  <c r="AE2" i="7" s="1"/>
  <c r="AD5" i="5"/>
  <c r="AD2" i="7" s="1"/>
  <c r="AC5" i="5"/>
  <c r="AC2" i="7" s="1"/>
  <c r="AB5" i="5"/>
  <c r="AB2" i="7" s="1"/>
  <c r="AA5" i="5"/>
  <c r="AA2" i="7" s="1"/>
  <c r="Z5" i="5"/>
  <c r="Z2" i="7" s="1"/>
  <c r="Y5" i="5"/>
  <c r="Y2" i="7" s="1"/>
  <c r="X5" i="5"/>
  <c r="X2" i="7" s="1"/>
  <c r="W5" i="5"/>
  <c r="W2" i="7" s="1"/>
  <c r="V5" i="5"/>
  <c r="V2" i="7" s="1"/>
  <c r="U5" i="5"/>
  <c r="U2" i="7" s="1"/>
  <c r="T5" i="5"/>
  <c r="T2" i="7" s="1"/>
  <c r="S5" i="5"/>
  <c r="S2" i="7" s="1"/>
  <c r="R5" i="5"/>
  <c r="R2" i="7" s="1"/>
  <c r="Q5" i="5"/>
  <c r="Q2" i="7" s="1"/>
  <c r="P5" i="5"/>
  <c r="P2" i="7" s="1"/>
  <c r="O5" i="5"/>
  <c r="O2" i="7" s="1"/>
  <c r="N5" i="5"/>
  <c r="N2" i="7" s="1"/>
  <c r="M5" i="5"/>
  <c r="M2" i="7" s="1"/>
  <c r="L5" i="5"/>
  <c r="L2" i="7" s="1"/>
  <c r="K5" i="5"/>
  <c r="K2" i="7" s="1"/>
  <c r="J5" i="5"/>
  <c r="J2" i="7" s="1"/>
  <c r="I5" i="5"/>
  <c r="I2" i="7" s="1"/>
  <c r="H5" i="5"/>
  <c r="H2" i="7" s="1"/>
  <c r="G5" i="5"/>
  <c r="G2" i="7" s="1"/>
  <c r="F5" i="5"/>
  <c r="F2" i="7" s="1"/>
  <c r="E5" i="5"/>
  <c r="E2" i="7" s="1"/>
  <c r="D5" i="5"/>
  <c r="D2" i="7" s="1"/>
  <c r="C5" i="5"/>
  <c r="C2" i="7" s="1"/>
  <c r="B5" i="5"/>
  <c r="B2" i="7" s="1"/>
</calcChain>
</file>

<file path=xl/sharedStrings.xml><?xml version="1.0" encoding="utf-8"?>
<sst xmlns="http://schemas.openxmlformats.org/spreadsheetml/2006/main" count="663" uniqueCount="165">
  <si>
    <t>VWSPbV Vehicle Weibull Shape Parameter by Vintage</t>
  </si>
  <si>
    <t>Sources:</t>
  </si>
  <si>
    <t>Fitted survival parameters (data-rich tier)</t>
  </si>
  <si>
    <t>Vehicle-vintaging pilot survival calibration</t>
  </si>
  <si>
    <t>prototype/v9_params.py (passenger LDVs: car/light-truck mixture per model year, fitted to NEMS AEO2026 survival and S&amp;P age data; freight LDVs: NEMS truck curves 1-7) and prototype/truck_survival.py hdv (class 7-8: NEMS curves 8-11)</t>
  </si>
  <si>
    <t>https://github.com/EIAgov/NEMS/tree/AEO2026-Public-Release/input/tdm</t>
  </si>
  <si>
    <t>per_vintage_params_v9.csv and freight_hdv.json pasted on tab 'Calibrated parameters' as values (fits cannot be Excel formulas). These are today's fits; an eps-calibrate survival step is to produce them for any region.</t>
  </si>
  <si>
    <t>Average vehicle lifetime (default tier)</t>
  </si>
  <si>
    <t>EPS input AVL (Avg Vehicle Lifetime)</t>
  </si>
  <si>
    <t>InputData/trans/AVL/AVL.csv</t>
  </si>
  <si>
    <t>https://github.com/EnergyInnovation/eps-us</t>
  </si>
  <si>
    <t>Pasted on tab 'AVL (EPS input)'. For vehicle types without survival data the median life equals AVL.</t>
  </si>
  <si>
    <t>Default survival shapes</t>
  </si>
  <si>
    <t>U.S. Environmental Protection Agency</t>
  </si>
  <si>
    <t>Population and Activity of Onroad Vehicles in MOVES5, EPA-420-R-24-019, Table C-1 survival by age</t>
  </si>
  <si>
    <t>https://www.epa.gov/moves/moves-onroad-technical-reports</t>
  </si>
  <si>
    <t>Weibull fits to MOVES5 Table C-1 (vintaging project data/survival-mileage/fits.csv): heavy-duty k = 2.094, motorcycle k = 1.062, used rounded (2.09, 1.06) on 'Assumptions'; other default-tier types use k = 2.</t>
  </si>
  <si>
    <t>Notes:</t>
  </si>
  <si>
    <t>What this is</t>
  </si>
  <si>
    <t>Weibull shape by model year (dimensionless): one of the three Weibull parameters that set each model year's survival curve, S(a) = exp(-(max(0, a - location) / scale)^shape).</t>
  </si>
  <si>
    <t>How each vehicle type is treated</t>
  </si>
  <si>
    <t>Passenger LDVs, freight LDVs (class 2b-6) and heavy trucks (class 7-8) have survival curves fitted to data; every other type uses a default curve whose median life is the lifetime in the AVL file and whose shape is set on 'Assumptions'. The type-by-type notes below say which and why.</t>
  </si>
  <si>
    <t>Passenger LDVs</t>
  </si>
  <si>
    <t>Fitted per model year as a mixture of car and light-truck curves, matched to NEMS's AEO 2026 survival rates and S&amp;P registration ages. Cars and light trucks retire differently and their sales mix has shifted toward trucks, so one curve for all years would misplace the retirements of the vehicles already in the fleet.</t>
  </si>
  <si>
    <t>Freight LDVs (class 2b-6) and heavy trucks (class 7-8)</t>
  </si>
  <si>
    <t>NEMS's truck survival curves by size class, weighted by the registered stock. These are the only published U.S. truck survival curves by class; the model's class 2b-6 and 7-8 groups are built from them.</t>
  </si>
  <si>
    <t>Buses</t>
  </si>
  <si>
    <t>Default curve: median life 13 years (AVL) with the shape fitted to EPA MOVES5 heavy-duty survival (2.09). No bus-specific survival data exist; MOVES's heavy-duty shape is the closest published curve.</t>
  </si>
  <si>
    <t>Motorbikes</t>
  </si>
  <si>
    <t>Default curve: median life 22 years (AVL) with the shape fitted to MOVES5 motorcycle survival (1.06, close to a constant retirement rate), which is how motorcycles leave the fleet.</t>
  </si>
  <si>
    <t>Aircraft, rail, ships and boats</t>
  </si>
  <si>
    <t>Default curves: median life from the AVL file (24 years aircraft, 47 passenger rail, 34 freight rail, 38 recreational boats, 33 freight ships) with shape 2, a broad hump of retirements around the median. Nothing published describes the survival of these fleets year by year; the medians come from stock-flows and asset-life references documented in the AVL file.</t>
  </si>
  <si>
    <t>Companion workbooks</t>
  </si>
  <si>
    <t>VWSPbV (shape), VWSbV (scale) and VWLbV (location) hold the same calculation; each exports its own parameter.</t>
  </si>
  <si>
    <t>Assumptions</t>
  </si>
  <si>
    <t>Default-tier Weibull shapes by vehicle type (location 0; scale set by median = AVL).</t>
  </si>
  <si>
    <t>Vehicle type</t>
  </si>
  <si>
    <t>Shape (default tier)</t>
  </si>
  <si>
    <t>Why</t>
  </si>
  <si>
    <t>LDVs</t>
  </si>
  <si>
    <t>Pilot default</t>
  </si>
  <si>
    <t>HDVs</t>
  </si>
  <si>
    <t>MOVES5 Table C-1 heavy-duty fit, k = 2.094, rounded</t>
  </si>
  <si>
    <t>aircraft</t>
  </si>
  <si>
    <t>rail</t>
  </si>
  <si>
    <t>ships</t>
  </si>
  <si>
    <t>motorbikes</t>
  </si>
  <si>
    <t>MOVES5 Table C-1 motorcycle fit, k = 1.062, rounded</t>
  </si>
  <si>
    <t>Vehicle Lifetime (years)</t>
  </si>
  <si>
    <t>Passenger</t>
  </si>
  <si>
    <t>Freight</t>
  </si>
  <si>
    <t>Fitted values (not formulas): per_vintage_params_v9.csv from the pilot's survival calibration, 2026-09-24.</t>
  </si>
  <si>
    <t>cargo_type</t>
  </si>
  <si>
    <t>vehicle_type</t>
  </si>
  <si>
    <t>model_year</t>
  </si>
  <si>
    <t>shape</t>
  </si>
  <si>
    <t>scale</t>
  </si>
  <si>
    <t>location</t>
  </si>
  <si>
    <t>fit_rmse</t>
  </si>
  <si>
    <t>passenger</t>
  </si>
  <si>
    <t>freight</t>
  </si>
  <si>
    <t>Freight HDVs (class 7-8), all model years: freight_hdv.json from truck_survival.py hdv</t>
  </si>
  <si>
    <t>median</t>
  </si>
  <si>
    <t>freight HDVs</t>
  </si>
  <si>
    <t>NEMS AEO2026 trnhdvx.xlsx SURV_D/SURV_ND curves 8-11 (class 7-8), weighted by 2024 stock of vintages 1-5</t>
  </si>
  <si>
    <t>Weibull parameters by vehicle type, cargo type and model year</t>
  </si>
  <si>
    <t>Fitted tier reads the calibrated table; default tier: shape from Assumptions, scale = AVL / LN(2)^(1/shape), location 0.</t>
  </si>
  <si>
    <t>Weibull shape</t>
  </si>
  <si>
    <t>Weibull scale</t>
  </si>
  <si>
    <t>Weibull location</t>
  </si>
  <si>
    <t>Checks</t>
  </si>
  <si>
    <t>Is every calibrated model year present, and are all scales positive? 1 = problem.</t>
  </si>
  <si>
    <t>Check</t>
  </si>
  <si>
    <t>Value</t>
  </si>
  <si>
    <t>Expected</t>
  </si>
  <si>
    <t>CHECK: 1 = problem</t>
  </si>
  <si>
    <t>Calibrated rows for LDVs, both cargo types (expected: model years x 2)</t>
  </si>
  <si>
    <t>Smallest scale anywhere (must be &gt; 0)</t>
  </si>
  <si>
    <t>Weibull shape by model year (dimensionless)</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</si>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</sst>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u/>
      <sz val="11"/>
      <color rgb="FF0563C1"/>
      <name val="Calibri"/>
    </font>
    <font>
      <b/>
      <sz val="11"/>
      <name val="Calibri"/>
    </font>
    <font>
      <i/>
      <sz val="11"/>
      <name val="Calibri"/>
    </font>
  </fonts>
  <fills count="4">
    <fill>
      <patternFill patternType="none"/>
    </fill>
    <fill>
      <patternFill patternType="gray125"/>
    </fill>
    <fill>
      <patternFill patternType="solid">
        <fgColor rgb="FFD9D9D9"/>
        <bgColor rgb="FFD9D9D9"/>
      </patternFill>
    </fill>
    <fill>
      <patternFill patternType="solid">
        <fgColor rgb="FFDDEBF7"/>
        <bgColor rgb="FFDDEBF7"/>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top" wrapText="1"/>
    </xf>
    <xf numFmtId="0" fontId="3" fillId="3" borderId="0" xfId="0" applyFont="1" applyFill="1"/>
    <xf numFmtId="0" fontId="0" fillId="3" borderId="0" xfId="0" applyFill="1"/>
    <xf numFmtId="0" fontId="4" fillId="0" borderId="0" xfId="0" applyFont="1" applyAlignment="1">
      <alignment horizontal="left" vertical="top"/>
    </xf>
    <xf numFmtId="0" fontId="1" fillId="0" borderId="0" xfId="0" applyFont="1" applyAlignment="1">
      <alignment vertical="top" wrapText="1"/>
    </xf>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epa.gov/moves/moves-onroad-technical-reports" TargetMode="External"/><Relationship Id="rId2" Type="http://schemas.openxmlformats.org/officeDocument/2006/relationships/hyperlink" Target="https://github.com/EnergyInnovation/eps-us" TargetMode="External"/><Relationship Id="rId1" Type="http://schemas.openxmlformats.org/officeDocument/2006/relationships/hyperlink" Target="https://github.com/EIAgov/NEMS/tree/AEO2026-Public-Release/input/td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3"/>
  <sheetViews>
    <sheetView tabSelected="1" workbookViewId="0"/>
  </sheetViews>
  <sheetFormatPr defaultRowHeight="15" x14ac:dyDescent="0.25"/>
  <cols>
    <col min="1" max="1" width="16" customWidth="1"/>
    <col min="2" max="2" width="118" customWidth="1"/>
  </cols>
  <sheetData>
    <row r="1" spans="1:2" x14ac:dyDescent="0.25">
      <c r="A1" s="1" t="s">
        <v>0</v>
      </c>
    </row>
    <row r="3" spans="1:2" x14ac:dyDescent="0.25">
      <c r="A3" s="1" t="s">
        <v>1</v>
      </c>
      <c r="B3" s="2" t="s">
        <v>2</v>
      </c>
    </row>
    <row r="4" spans="1:2" x14ac:dyDescent="0.25">
      <c r="B4" s="3" t="s">
        <v>3</v>
      </c>
    </row>
    <row r="5" spans="1:2" ht="30" x14ac:dyDescent="0.25">
      <c r="B5" s="3" t="s">
        <v>4</v>
      </c>
    </row>
    <row r="6" spans="1:2" x14ac:dyDescent="0.25">
      <c r="B6" s="3">
        <v>2026</v>
      </c>
    </row>
    <row r="7" spans="1:2" x14ac:dyDescent="0.25">
      <c r="B7" s="4" t="s">
        <v>5</v>
      </c>
    </row>
    <row r="8" spans="1:2" ht="30" x14ac:dyDescent="0.25">
      <c r="B8" s="3" t="s">
        <v>6</v>
      </c>
    </row>
    <row r="10" spans="1:2" x14ac:dyDescent="0.25">
      <c r="B10" s="2" t="s">
        <v>7</v>
      </c>
    </row>
    <row r="11" spans="1:2" x14ac:dyDescent="0.25">
      <c r="B11" s="3" t="s">
        <v>8</v>
      </c>
    </row>
    <row r="12" spans="1:2" x14ac:dyDescent="0.25">
      <c r="B12" s="3" t="s">
        <v>9</v>
      </c>
    </row>
    <row r="13" spans="1:2" x14ac:dyDescent="0.25">
      <c r="B13" s="3">
        <v>2026</v>
      </c>
    </row>
    <row r="14" spans="1:2" x14ac:dyDescent="0.25">
      <c r="B14" s="4" t="s">
        <v>10</v>
      </c>
    </row>
    <row r="15" spans="1:2" x14ac:dyDescent="0.25">
      <c r="B15" s="3" t="s">
        <v>11</v>
      </c>
    </row>
    <row r="17" spans="1:2" x14ac:dyDescent="0.25">
      <c r="B17" s="2" t="s">
        <v>12</v>
      </c>
    </row>
    <row r="18" spans="1:2" x14ac:dyDescent="0.25">
      <c r="B18" s="3" t="s">
        <v>13</v>
      </c>
    </row>
    <row r="19" spans="1:2" x14ac:dyDescent="0.25">
      <c r="B19" s="3" t="s">
        <v>14</v>
      </c>
    </row>
    <row r="20" spans="1:2" x14ac:dyDescent="0.25">
      <c r="B20" s="3">
        <v>2024</v>
      </c>
    </row>
    <row r="21" spans="1:2" x14ac:dyDescent="0.25">
      <c r="B21" s="4" t="s">
        <v>15</v>
      </c>
    </row>
    <row r="22" spans="1:2" ht="30" x14ac:dyDescent="0.25">
      <c r="B22" s="3" t="s">
        <v>16</v>
      </c>
    </row>
    <row r="25" spans="1:2" x14ac:dyDescent="0.25">
      <c r="A25" s="1" t="s">
        <v>17</v>
      </c>
    </row>
    <row r="26" spans="1:2" ht="30" x14ac:dyDescent="0.25">
      <c r="A26" s="5" t="s">
        <v>18</v>
      </c>
      <c r="B26" s="3" t="s">
        <v>19</v>
      </c>
    </row>
    <row r="27" spans="1:2" ht="45" x14ac:dyDescent="0.25">
      <c r="A27" s="5" t="s">
        <v>20</v>
      </c>
      <c r="B27" s="3" t="s">
        <v>21</v>
      </c>
    </row>
    <row r="28" spans="1:2" ht="45" x14ac:dyDescent="0.25">
      <c r="A28" s="5" t="s">
        <v>22</v>
      </c>
      <c r="B28" s="3" t="s">
        <v>23</v>
      </c>
    </row>
    <row r="29" spans="1:2" ht="60" x14ac:dyDescent="0.25">
      <c r="A29" s="5" t="s">
        <v>24</v>
      </c>
      <c r="B29" s="3" t="s">
        <v>25</v>
      </c>
    </row>
    <row r="30" spans="1:2" ht="30" x14ac:dyDescent="0.25">
      <c r="A30" s="5" t="s">
        <v>26</v>
      </c>
      <c r="B30" s="3" t="s">
        <v>27</v>
      </c>
    </row>
    <row r="31" spans="1:2" ht="30" x14ac:dyDescent="0.25">
      <c r="A31" s="5" t="s">
        <v>28</v>
      </c>
      <c r="B31" s="3" t="s">
        <v>29</v>
      </c>
    </row>
    <row r="32" spans="1:2" ht="45" x14ac:dyDescent="0.25">
      <c r="A32" s="5" t="s">
        <v>30</v>
      </c>
      <c r="B32" s="3" t="s">
        <v>31</v>
      </c>
    </row>
    <row r="33" spans="1:2" ht="30" x14ac:dyDescent="0.25">
      <c r="A33" s="5" t="s">
        <v>32</v>
      </c>
      <c r="B33" s="3" t="s">
        <v>33</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
  <sheetViews>
    <sheetView workbookViewId="0"/>
  </sheetViews>
  <sheetFormatPr defaultRowHeight="15" x14ac:dyDescent="0.25"/>
  <cols>
    <col min="1" max="1" width="60" customWidth="1"/>
  </cols>
  <sheetData>
    <row r="1" spans="1:3" x14ac:dyDescent="0.25">
      <c r="A1" s="6" t="s">
        <v>34</v>
      </c>
      <c r="B1" s="7"/>
      <c r="C1" s="7"/>
    </row>
    <row r="2" spans="1:3" x14ac:dyDescent="0.25">
      <c r="A2" s="8" t="s">
        <v>35</v>
      </c>
    </row>
    <row r="3" spans="1:3" ht="20.100000000000001" customHeight="1" x14ac:dyDescent="0.25">
      <c r="A3" s="9" t="s">
        <v>36</v>
      </c>
      <c r="B3" s="9" t="s">
        <v>37</v>
      </c>
      <c r="C3" s="9" t="s">
        <v>38</v>
      </c>
    </row>
    <row r="4" spans="1:3" x14ac:dyDescent="0.25">
      <c r="A4" t="s">
        <v>39</v>
      </c>
      <c r="B4">
        <v>2</v>
      </c>
      <c r="C4" t="s">
        <v>40</v>
      </c>
    </row>
    <row r="5" spans="1:3" x14ac:dyDescent="0.25">
      <c r="A5" t="s">
        <v>41</v>
      </c>
      <c r="B5">
        <v>2.09</v>
      </c>
      <c r="C5" t="s">
        <v>42</v>
      </c>
    </row>
    <row r="6" spans="1:3" x14ac:dyDescent="0.25">
      <c r="A6" t="s">
        <v>43</v>
      </c>
      <c r="B6">
        <v>2</v>
      </c>
      <c r="C6" t="s">
        <v>40</v>
      </c>
    </row>
    <row r="7" spans="1:3" x14ac:dyDescent="0.25">
      <c r="A7" t="s">
        <v>44</v>
      </c>
      <c r="B7">
        <v>2</v>
      </c>
      <c r="C7" t="s">
        <v>40</v>
      </c>
    </row>
    <row r="8" spans="1:3" x14ac:dyDescent="0.25">
      <c r="A8" t="s">
        <v>45</v>
      </c>
      <c r="B8">
        <v>2</v>
      </c>
      <c r="C8" t="s">
        <v>40</v>
      </c>
    </row>
    <row r="9" spans="1:3" x14ac:dyDescent="0.25">
      <c r="A9" t="s">
        <v>46</v>
      </c>
      <c r="B9">
        <v>1.06</v>
      </c>
      <c r="C9" t="s">
        <v>47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workbookViewId="0"/>
  </sheetViews>
  <sheetFormatPr defaultRowHeight="15" x14ac:dyDescent="0.25"/>
  <sheetData>
    <row r="1" spans="1:3" x14ac:dyDescent="0.25">
      <c r="A1" s="1" t="s">
        <v>48</v>
      </c>
      <c r="B1" s="1" t="s">
        <v>49</v>
      </c>
      <c r="C1" s="1" t="s">
        <v>50</v>
      </c>
    </row>
    <row r="2" spans="1:3" x14ac:dyDescent="0.25">
      <c r="A2" t="s">
        <v>39</v>
      </c>
      <c r="B2">
        <v>17</v>
      </c>
      <c r="C2">
        <v>15</v>
      </c>
    </row>
    <row r="3" spans="1:3" x14ac:dyDescent="0.25">
      <c r="A3" t="s">
        <v>41</v>
      </c>
      <c r="B3">
        <v>13</v>
      </c>
      <c r="C3">
        <v>20</v>
      </c>
    </row>
    <row r="4" spans="1:3" x14ac:dyDescent="0.25">
      <c r="A4" t="s">
        <v>43</v>
      </c>
      <c r="B4">
        <v>24</v>
      </c>
      <c r="C4">
        <v>24</v>
      </c>
    </row>
    <row r="5" spans="1:3" x14ac:dyDescent="0.25">
      <c r="A5" t="s">
        <v>44</v>
      </c>
      <c r="B5">
        <v>47</v>
      </c>
      <c r="C5">
        <v>34</v>
      </c>
    </row>
    <row r="6" spans="1:3" x14ac:dyDescent="0.25">
      <c r="A6" t="s">
        <v>45</v>
      </c>
      <c r="B6">
        <v>38</v>
      </c>
      <c r="C6">
        <v>33</v>
      </c>
    </row>
    <row r="7" spans="1:3" x14ac:dyDescent="0.25">
      <c r="A7" t="s">
        <v>46</v>
      </c>
      <c r="B7">
        <v>22</v>
      </c>
      <c r="C7">
        <v>22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81"/>
  <sheetViews>
    <sheetView workbookViewId="0"/>
  </sheetViews>
  <sheetFormatPr defaultRowHeight="15" x14ac:dyDescent="0.25"/>
  <sheetData>
    <row r="1" spans="1:7" x14ac:dyDescent="0.25">
      <c r="A1" s="10" t="s">
        <v>51</v>
      </c>
    </row>
    <row r="3" spans="1:7" x14ac:dyDescent="0.25">
      <c r="A3" s="1" t="s">
        <v>52</v>
      </c>
      <c r="B3" s="1" t="s">
        <v>53</v>
      </c>
      <c r="C3" s="1" t="s">
        <v>54</v>
      </c>
      <c r="D3" s="1" t="s">
        <v>55</v>
      </c>
      <c r="E3" s="1" t="s">
        <v>56</v>
      </c>
      <c r="F3" s="1" t="s">
        <v>57</v>
      </c>
      <c r="G3" s="1" t="s">
        <v>58</v>
      </c>
    </row>
    <row r="4" spans="1:7" x14ac:dyDescent="0.25">
      <c r="A4" t="s">
        <v>59</v>
      </c>
      <c r="B4" t="s">
        <v>39</v>
      </c>
      <c r="C4">
        <v>1965</v>
      </c>
      <c r="D4">
        <v>1.6299000928983449</v>
      </c>
      <c r="E4">
        <v>11.94471623726777</v>
      </c>
      <c r="F4">
        <v>3.0544348141309432</v>
      </c>
      <c r="G4">
        <v>3.367700651436266E-3</v>
      </c>
    </row>
    <row r="5" spans="1:7" x14ac:dyDescent="0.25">
      <c r="A5" t="s">
        <v>59</v>
      </c>
      <c r="B5" t="s">
        <v>39</v>
      </c>
      <c r="C5">
        <v>1966</v>
      </c>
      <c r="D5">
        <v>1.629900148568743</v>
      </c>
      <c r="E5">
        <v>11.94471668767043</v>
      </c>
      <c r="F5">
        <v>3.0544346099397011</v>
      </c>
      <c r="G5">
        <v>3.367700674171721E-3</v>
      </c>
    </row>
    <row r="6" spans="1:7" x14ac:dyDescent="0.25">
      <c r="A6" t="s">
        <v>59</v>
      </c>
      <c r="B6" t="s">
        <v>39</v>
      </c>
      <c r="C6">
        <v>1967</v>
      </c>
      <c r="D6">
        <v>1.629900158188121</v>
      </c>
      <c r="E6">
        <v>11.94471715772023</v>
      </c>
      <c r="F6">
        <v>3.054434666327607</v>
      </c>
      <c r="G6">
        <v>3.367700718454973E-3</v>
      </c>
    </row>
    <row r="7" spans="1:7" x14ac:dyDescent="0.25">
      <c r="A7" t="s">
        <v>59</v>
      </c>
      <c r="B7" t="s">
        <v>39</v>
      </c>
      <c r="C7">
        <v>1968</v>
      </c>
      <c r="D7">
        <v>1.629900171904143</v>
      </c>
      <c r="E7">
        <v>11.944718042982609</v>
      </c>
      <c r="F7">
        <v>3.054434806367035</v>
      </c>
      <c r="G7">
        <v>3.3677008047061931E-3</v>
      </c>
    </row>
    <row r="8" spans="1:7" x14ac:dyDescent="0.25">
      <c r="A8" t="s">
        <v>59</v>
      </c>
      <c r="B8" t="s">
        <v>39</v>
      </c>
      <c r="C8">
        <v>1969</v>
      </c>
      <c r="D8">
        <v>1.6299001978454939</v>
      </c>
      <c r="E8">
        <v>11.94471976621964</v>
      </c>
      <c r="F8">
        <v>3.0544350803083891</v>
      </c>
      <c r="G8">
        <v>3.367700972697727E-3</v>
      </c>
    </row>
    <row r="9" spans="1:7" x14ac:dyDescent="0.25">
      <c r="A9" t="s">
        <v>59</v>
      </c>
      <c r="B9" t="s">
        <v>39</v>
      </c>
      <c r="C9">
        <v>1970</v>
      </c>
      <c r="D9">
        <v>1.6299002493497821</v>
      </c>
      <c r="E9">
        <v>11.94472312505648</v>
      </c>
      <c r="F9">
        <v>3.054435611517615</v>
      </c>
      <c r="G9">
        <v>3.367701299889561E-3</v>
      </c>
    </row>
    <row r="10" spans="1:7" x14ac:dyDescent="0.25">
      <c r="A10" t="s">
        <v>59</v>
      </c>
      <c r="B10" t="s">
        <v>39</v>
      </c>
      <c r="C10">
        <v>1971</v>
      </c>
      <c r="D10">
        <v>1.62990034594016</v>
      </c>
      <c r="E10">
        <v>11.944729648515439</v>
      </c>
      <c r="F10">
        <v>3.0544366628523272</v>
      </c>
      <c r="G10">
        <v>3.3677019371304122E-3</v>
      </c>
    </row>
    <row r="11" spans="1:7" x14ac:dyDescent="0.25">
      <c r="A11" t="s">
        <v>59</v>
      </c>
      <c r="B11" t="s">
        <v>39</v>
      </c>
      <c r="C11">
        <v>1972</v>
      </c>
      <c r="D11">
        <v>1.6299005432656051</v>
      </c>
      <c r="E11">
        <v>11.944742411671649</v>
      </c>
      <c r="F11">
        <v>3.0544386591821788</v>
      </c>
      <c r="G11">
        <v>3.3677031781479709E-3</v>
      </c>
    </row>
    <row r="12" spans="1:7" x14ac:dyDescent="0.25">
      <c r="A12" t="s">
        <v>59</v>
      </c>
      <c r="B12" t="s">
        <v>39</v>
      </c>
      <c r="C12">
        <v>1973</v>
      </c>
      <c r="D12">
        <v>1.6299003679356641</v>
      </c>
      <c r="E12">
        <v>11.944764388440699</v>
      </c>
      <c r="F12">
        <v>3.0544451981500789</v>
      </c>
      <c r="G12">
        <v>3.367705594688508E-3</v>
      </c>
    </row>
    <row r="13" spans="1:7" x14ac:dyDescent="0.25">
      <c r="A13" t="s">
        <v>59</v>
      </c>
      <c r="B13" t="s">
        <v>39</v>
      </c>
      <c r="C13">
        <v>1974</v>
      </c>
      <c r="D13">
        <v>1.6299005791527219</v>
      </c>
      <c r="E13">
        <v>11.94481003126492</v>
      </c>
      <c r="F13">
        <v>3.0544553233128169</v>
      </c>
      <c r="G13">
        <v>3.3677102991567362E-3</v>
      </c>
    </row>
    <row r="14" spans="1:7" x14ac:dyDescent="0.25">
      <c r="A14" t="s">
        <v>59</v>
      </c>
      <c r="B14" t="s">
        <v>39</v>
      </c>
      <c r="C14">
        <v>1975</v>
      </c>
      <c r="D14">
        <v>1.6299010026337</v>
      </c>
      <c r="E14">
        <v>11.94489900883138</v>
      </c>
      <c r="F14">
        <v>3.0544749699141112</v>
      </c>
      <c r="G14">
        <v>3.367719453357784E-3</v>
      </c>
    </row>
    <row r="15" spans="1:7" x14ac:dyDescent="0.25">
      <c r="A15" t="s">
        <v>59</v>
      </c>
      <c r="B15" t="s">
        <v>39</v>
      </c>
      <c r="C15">
        <v>1976</v>
      </c>
      <c r="D15">
        <v>1.617994119695668</v>
      </c>
      <c r="E15">
        <v>11.91856802181654</v>
      </c>
      <c r="F15">
        <v>3.136395728692472</v>
      </c>
      <c r="G15">
        <v>3.6088161634363252E-3</v>
      </c>
    </row>
    <row r="16" spans="1:7" x14ac:dyDescent="0.25">
      <c r="A16" t="s">
        <v>59</v>
      </c>
      <c r="B16" t="s">
        <v>39</v>
      </c>
      <c r="C16">
        <v>1977</v>
      </c>
      <c r="D16">
        <v>1.626331009483118</v>
      </c>
      <c r="E16">
        <v>11.93748009766998</v>
      </c>
      <c r="F16">
        <v>3.0790681717691339</v>
      </c>
      <c r="G16">
        <v>3.440366544441634E-3</v>
      </c>
    </row>
    <row r="17" spans="1:7" x14ac:dyDescent="0.25">
      <c r="A17" t="s">
        <v>59</v>
      </c>
      <c r="B17" t="s">
        <v>39</v>
      </c>
      <c r="C17">
        <v>1978</v>
      </c>
      <c r="D17">
        <v>1.608136866444791</v>
      </c>
      <c r="E17">
        <v>11.897379199455481</v>
      </c>
      <c r="F17">
        <v>3.205060854848202</v>
      </c>
      <c r="G17">
        <v>3.806128979048654E-3</v>
      </c>
    </row>
    <row r="18" spans="1:7" x14ac:dyDescent="0.25">
      <c r="A18" t="s">
        <v>59</v>
      </c>
      <c r="B18" t="s">
        <v>39</v>
      </c>
      <c r="C18">
        <v>1979</v>
      </c>
      <c r="D18">
        <v>1.610925004999926</v>
      </c>
      <c r="E18">
        <v>11.904936805022061</v>
      </c>
      <c r="F18">
        <v>3.185992918005788</v>
      </c>
      <c r="G18">
        <v>3.750957058649754E-3</v>
      </c>
    </row>
    <row r="19" spans="1:7" x14ac:dyDescent="0.25">
      <c r="A19" t="s">
        <v>59</v>
      </c>
      <c r="B19" t="s">
        <v>39</v>
      </c>
      <c r="C19">
        <v>1980</v>
      </c>
      <c r="D19">
        <v>1.6550088846306159</v>
      </c>
      <c r="E19">
        <v>12.02832429576757</v>
      </c>
      <c r="F19">
        <v>2.889834051729764</v>
      </c>
      <c r="G19">
        <v>2.9523944099170869E-3</v>
      </c>
    </row>
    <row r="20" spans="1:7" x14ac:dyDescent="0.25">
      <c r="A20" t="s">
        <v>59</v>
      </c>
      <c r="B20" t="s">
        <v>39</v>
      </c>
      <c r="C20">
        <v>1981</v>
      </c>
      <c r="D20">
        <v>1.6483168386288931</v>
      </c>
      <c r="E20">
        <v>12.0126294561928</v>
      </c>
      <c r="F20">
        <v>2.9351098043419199</v>
      </c>
      <c r="G20">
        <v>3.070368848483199E-3</v>
      </c>
    </row>
    <row r="21" spans="1:7" x14ac:dyDescent="0.25">
      <c r="A21" t="s">
        <v>59</v>
      </c>
      <c r="B21" t="s">
        <v>39</v>
      </c>
      <c r="C21">
        <v>1982</v>
      </c>
      <c r="D21">
        <v>1.6286658501102369</v>
      </c>
      <c r="E21">
        <v>11.96127468865544</v>
      </c>
      <c r="F21">
        <v>3.0677269273660861</v>
      </c>
      <c r="G21">
        <v>3.3960200819040109E-3</v>
      </c>
    </row>
    <row r="22" spans="1:7" x14ac:dyDescent="0.25">
      <c r="A22" t="s">
        <v>59</v>
      </c>
      <c r="B22" t="s">
        <v>39</v>
      </c>
      <c r="C22">
        <v>1983</v>
      </c>
      <c r="D22">
        <v>1.6120068162328429</v>
      </c>
      <c r="E22">
        <v>11.942381774391469</v>
      </c>
      <c r="F22">
        <v>3.1874060051023219</v>
      </c>
      <c r="G22">
        <v>3.7348983838072251E-3</v>
      </c>
    </row>
    <row r="23" spans="1:7" x14ac:dyDescent="0.25">
      <c r="A23" t="s">
        <v>59</v>
      </c>
      <c r="B23" t="s">
        <v>39</v>
      </c>
      <c r="C23">
        <v>1984</v>
      </c>
      <c r="D23">
        <v>1.6024123281259981</v>
      </c>
      <c r="E23">
        <v>11.95580083443031</v>
      </c>
      <c r="F23">
        <v>3.263541037409547</v>
      </c>
      <c r="G23">
        <v>3.9303054609360561E-3</v>
      </c>
    </row>
    <row r="24" spans="1:7" x14ac:dyDescent="0.25">
      <c r="A24" t="s">
        <v>59</v>
      </c>
      <c r="B24" t="s">
        <v>39</v>
      </c>
      <c r="C24">
        <v>1985</v>
      </c>
      <c r="D24">
        <v>1.5940953124623021</v>
      </c>
      <c r="E24">
        <v>12.00325624208099</v>
      </c>
      <c r="F24">
        <v>3.3398121947080388</v>
      </c>
      <c r="G24">
        <v>4.1028932559576238E-3</v>
      </c>
    </row>
    <row r="25" spans="1:7" x14ac:dyDescent="0.25">
      <c r="A25" t="s">
        <v>59</v>
      </c>
      <c r="B25" t="s">
        <v>39</v>
      </c>
      <c r="C25">
        <v>1986</v>
      </c>
      <c r="D25">
        <v>1.5732869500119731</v>
      </c>
      <c r="E25">
        <v>12.07495767762958</v>
      </c>
      <c r="F25">
        <v>3.5231910146599592</v>
      </c>
      <c r="G25">
        <v>4.5108370319922849E-3</v>
      </c>
    </row>
    <row r="26" spans="1:7" x14ac:dyDescent="0.25">
      <c r="A26" t="s">
        <v>59</v>
      </c>
      <c r="B26" t="s">
        <v>39</v>
      </c>
      <c r="C26">
        <v>1987</v>
      </c>
      <c r="D26">
        <v>1.5794217351536499</v>
      </c>
      <c r="E26">
        <v>12.30852464897867</v>
      </c>
      <c r="F26">
        <v>3.5392892593140459</v>
      </c>
      <c r="G26">
        <v>4.4440196143473677E-3</v>
      </c>
    </row>
    <row r="27" spans="1:7" x14ac:dyDescent="0.25">
      <c r="A27" t="s">
        <v>59</v>
      </c>
      <c r="B27" t="s">
        <v>39</v>
      </c>
      <c r="C27">
        <v>1988</v>
      </c>
      <c r="D27">
        <v>1.565556855794402</v>
      </c>
      <c r="E27">
        <v>12.62151154726121</v>
      </c>
      <c r="F27">
        <v>3.7457600637855921</v>
      </c>
      <c r="G27">
        <v>4.750874722389135E-3</v>
      </c>
    </row>
    <row r="28" spans="1:7" x14ac:dyDescent="0.25">
      <c r="A28" t="s">
        <v>59</v>
      </c>
      <c r="B28" t="s">
        <v>39</v>
      </c>
      <c r="C28">
        <v>1989</v>
      </c>
      <c r="D28">
        <v>1.545617039662778</v>
      </c>
      <c r="E28">
        <v>13.01668629524684</v>
      </c>
      <c r="F28">
        <v>4.0461371583731598</v>
      </c>
      <c r="G28">
        <v>4.9683023558584919E-3</v>
      </c>
    </row>
    <row r="29" spans="1:7" x14ac:dyDescent="0.25">
      <c r="A29" t="s">
        <v>59</v>
      </c>
      <c r="B29" t="s">
        <v>39</v>
      </c>
      <c r="C29">
        <v>1990</v>
      </c>
      <c r="D29">
        <v>1.553204985980593</v>
      </c>
      <c r="E29">
        <v>13.716020547610981</v>
      </c>
      <c r="F29">
        <v>4.1890126123008109</v>
      </c>
      <c r="G29">
        <v>5.0138219428870652E-3</v>
      </c>
    </row>
    <row r="30" spans="1:7" x14ac:dyDescent="0.25">
      <c r="A30" t="s">
        <v>59</v>
      </c>
      <c r="B30" t="s">
        <v>39</v>
      </c>
      <c r="C30">
        <v>1991</v>
      </c>
      <c r="D30">
        <v>1.552624808508035</v>
      </c>
      <c r="E30">
        <v>14.403166113023239</v>
      </c>
      <c r="F30">
        <v>4.401432171059624</v>
      </c>
      <c r="G30">
        <v>5.2188251243759321E-3</v>
      </c>
    </row>
    <row r="31" spans="1:7" x14ac:dyDescent="0.25">
      <c r="A31" t="s">
        <v>59</v>
      </c>
      <c r="B31" t="s">
        <v>39</v>
      </c>
      <c r="C31">
        <v>1992</v>
      </c>
      <c r="D31">
        <v>1.5467009989087019</v>
      </c>
      <c r="E31">
        <v>14.933761428442081</v>
      </c>
      <c r="F31">
        <v>4.6286448595077676</v>
      </c>
      <c r="G31">
        <v>5.4870262552936359E-3</v>
      </c>
    </row>
    <row r="32" spans="1:7" x14ac:dyDescent="0.25">
      <c r="A32" t="s">
        <v>59</v>
      </c>
      <c r="B32" t="s">
        <v>39</v>
      </c>
      <c r="C32">
        <v>1993</v>
      </c>
      <c r="D32">
        <v>1.5380473999496049</v>
      </c>
      <c r="E32">
        <v>15.2755735056984</v>
      </c>
      <c r="F32">
        <v>4.8257695046360487</v>
      </c>
      <c r="G32">
        <v>5.6654557144812084E-3</v>
      </c>
    </row>
    <row r="33" spans="1:7" x14ac:dyDescent="0.25">
      <c r="A33" t="s">
        <v>59</v>
      </c>
      <c r="B33" t="s">
        <v>39</v>
      </c>
      <c r="C33">
        <v>1994</v>
      </c>
      <c r="D33">
        <v>1.4913173039305101</v>
      </c>
      <c r="E33">
        <v>15.293362328881949</v>
      </c>
      <c r="F33">
        <v>5.3421177621162244</v>
      </c>
      <c r="G33">
        <v>6.2100226812196778E-3</v>
      </c>
    </row>
    <row r="34" spans="1:7" x14ac:dyDescent="0.25">
      <c r="A34" t="s">
        <v>59</v>
      </c>
      <c r="B34" t="s">
        <v>39</v>
      </c>
      <c r="C34">
        <v>1995</v>
      </c>
      <c r="D34">
        <v>1.502179332512686</v>
      </c>
      <c r="E34">
        <v>15.46615052908321</v>
      </c>
      <c r="F34">
        <v>5.2788415792163166</v>
      </c>
      <c r="G34">
        <v>6.0917110683423991E-3</v>
      </c>
    </row>
    <row r="35" spans="1:7" x14ac:dyDescent="0.25">
      <c r="A35" t="s">
        <v>59</v>
      </c>
      <c r="B35" t="s">
        <v>39</v>
      </c>
      <c r="C35">
        <v>1996</v>
      </c>
      <c r="D35">
        <v>1.4948479288431991</v>
      </c>
      <c r="E35">
        <v>15.516429486016539</v>
      </c>
      <c r="F35">
        <v>5.3784475065670154</v>
      </c>
      <c r="G35">
        <v>6.2207795710561356E-3</v>
      </c>
    </row>
    <row r="36" spans="1:7" x14ac:dyDescent="0.25">
      <c r="A36" t="s">
        <v>59</v>
      </c>
      <c r="B36" t="s">
        <v>39</v>
      </c>
      <c r="C36">
        <v>1997</v>
      </c>
      <c r="D36">
        <v>1.482049895482578</v>
      </c>
      <c r="E36">
        <v>15.510256773993589</v>
      </c>
      <c r="F36">
        <v>5.5231642258452363</v>
      </c>
      <c r="G36">
        <v>6.4093699821702616E-3</v>
      </c>
    </row>
    <row r="37" spans="1:7" x14ac:dyDescent="0.25">
      <c r="A37" t="s">
        <v>59</v>
      </c>
      <c r="B37" t="s">
        <v>39</v>
      </c>
      <c r="C37">
        <v>1998</v>
      </c>
      <c r="D37">
        <v>1.4697994022185501</v>
      </c>
      <c r="E37">
        <v>15.48179506565908</v>
      </c>
      <c r="F37">
        <v>5.6564433653390358</v>
      </c>
      <c r="G37">
        <v>6.5653734243411024E-3</v>
      </c>
    </row>
    <row r="38" spans="1:7" x14ac:dyDescent="0.25">
      <c r="A38" t="s">
        <v>59</v>
      </c>
      <c r="B38" t="s">
        <v>39</v>
      </c>
      <c r="C38">
        <v>1999</v>
      </c>
      <c r="D38">
        <v>1.4696965649611911</v>
      </c>
      <c r="E38">
        <v>15.49143172116924</v>
      </c>
      <c r="F38">
        <v>5.6611983410400466</v>
      </c>
      <c r="G38">
        <v>6.5694309473341463E-3</v>
      </c>
    </row>
    <row r="39" spans="1:7" x14ac:dyDescent="0.25">
      <c r="A39" t="s">
        <v>59</v>
      </c>
      <c r="B39" t="s">
        <v>39</v>
      </c>
      <c r="C39">
        <v>2000</v>
      </c>
      <c r="D39">
        <v>1.473305283083334</v>
      </c>
      <c r="E39">
        <v>15.511661635671979</v>
      </c>
      <c r="F39">
        <v>5.6259413732133634</v>
      </c>
      <c r="G39">
        <v>6.529389269524323E-3</v>
      </c>
    </row>
    <row r="40" spans="1:7" x14ac:dyDescent="0.25">
      <c r="A40" t="s">
        <v>59</v>
      </c>
      <c r="B40" t="s">
        <v>39</v>
      </c>
      <c r="C40">
        <v>2001</v>
      </c>
      <c r="D40">
        <v>1.4721586373573481</v>
      </c>
      <c r="E40">
        <v>15.50964214139861</v>
      </c>
      <c r="F40">
        <v>5.6387348810984763</v>
      </c>
      <c r="G40">
        <v>6.5436364619184161E-3</v>
      </c>
    </row>
    <row r="41" spans="1:7" x14ac:dyDescent="0.25">
      <c r="A41" t="s">
        <v>59</v>
      </c>
      <c r="B41" t="s">
        <v>39</v>
      </c>
      <c r="C41">
        <v>2002</v>
      </c>
      <c r="D41">
        <v>1.426469547356594</v>
      </c>
      <c r="E41">
        <v>15.19166207735103</v>
      </c>
      <c r="F41">
        <v>6.0741711989709373</v>
      </c>
      <c r="G41">
        <v>6.766642026921765E-3</v>
      </c>
    </row>
    <row r="42" spans="1:7" x14ac:dyDescent="0.25">
      <c r="A42" t="s">
        <v>59</v>
      </c>
      <c r="B42" t="s">
        <v>39</v>
      </c>
      <c r="C42">
        <v>2003</v>
      </c>
      <c r="D42">
        <v>1.4191868031193331</v>
      </c>
      <c r="E42">
        <v>15.17260977563083</v>
      </c>
      <c r="F42">
        <v>6.1543287076812669</v>
      </c>
      <c r="G42">
        <v>6.7996967814076513E-3</v>
      </c>
    </row>
    <row r="43" spans="1:7" x14ac:dyDescent="0.25">
      <c r="A43" t="s">
        <v>59</v>
      </c>
      <c r="B43" t="s">
        <v>39</v>
      </c>
      <c r="C43">
        <v>2004</v>
      </c>
      <c r="D43">
        <v>1.4097246889059121</v>
      </c>
      <c r="E43">
        <v>15.14697631334988</v>
      </c>
      <c r="F43">
        <v>6.2593885600093229</v>
      </c>
      <c r="G43">
        <v>6.8410728607338949E-3</v>
      </c>
    </row>
    <row r="44" spans="1:7" x14ac:dyDescent="0.25">
      <c r="A44" t="s">
        <v>59</v>
      </c>
      <c r="B44" t="s">
        <v>39</v>
      </c>
      <c r="C44">
        <v>2005</v>
      </c>
      <c r="D44">
        <v>1.428456628663882</v>
      </c>
      <c r="E44">
        <v>15.198412226726131</v>
      </c>
      <c r="F44">
        <v>6.0530443452648948</v>
      </c>
      <c r="G44">
        <v>6.7577389803327361E-3</v>
      </c>
    </row>
    <row r="45" spans="1:7" x14ac:dyDescent="0.25">
      <c r="A45" t="s">
        <v>59</v>
      </c>
      <c r="B45" t="s">
        <v>39</v>
      </c>
      <c r="C45">
        <v>2006</v>
      </c>
      <c r="D45">
        <v>1.467094004013191</v>
      </c>
      <c r="E45">
        <v>15.490640404661971</v>
      </c>
      <c r="F45">
        <v>5.6918311657191332</v>
      </c>
      <c r="G45">
        <v>6.6008407782899951E-3</v>
      </c>
    </row>
    <row r="46" spans="1:7" x14ac:dyDescent="0.25">
      <c r="A46" t="s">
        <v>59</v>
      </c>
      <c r="B46" t="s">
        <v>39</v>
      </c>
      <c r="C46">
        <v>2007</v>
      </c>
      <c r="D46">
        <v>1.4742333248274959</v>
      </c>
      <c r="E46">
        <v>15.520904090847621</v>
      </c>
      <c r="F46">
        <v>5.6183676259912687</v>
      </c>
      <c r="G46">
        <v>6.5199838902242268E-3</v>
      </c>
    </row>
    <row r="47" spans="1:7" x14ac:dyDescent="0.25">
      <c r="A47" t="s">
        <v>59</v>
      </c>
      <c r="B47" t="s">
        <v>39</v>
      </c>
      <c r="C47">
        <v>2008</v>
      </c>
      <c r="D47">
        <v>1.47679324382471</v>
      </c>
      <c r="E47">
        <v>15.53114821950887</v>
      </c>
      <c r="F47">
        <v>5.5919818349086796</v>
      </c>
      <c r="G47">
        <v>6.4888854140130849E-3</v>
      </c>
    </row>
    <row r="48" spans="1:7" x14ac:dyDescent="0.25">
      <c r="A48" t="s">
        <v>59</v>
      </c>
      <c r="B48" t="s">
        <v>39</v>
      </c>
      <c r="C48">
        <v>2009</v>
      </c>
      <c r="D48">
        <v>1.5253886957382301</v>
      </c>
      <c r="E48">
        <v>15.69520701936653</v>
      </c>
      <c r="F48">
        <v>5.0968029886014614</v>
      </c>
      <c r="G48">
        <v>5.7753324136687548E-3</v>
      </c>
    </row>
    <row r="49" spans="1:7" x14ac:dyDescent="0.25">
      <c r="A49" t="s">
        <v>59</v>
      </c>
      <c r="B49" t="s">
        <v>39</v>
      </c>
      <c r="C49">
        <v>2010</v>
      </c>
      <c r="D49">
        <v>1.4988048573228669</v>
      </c>
      <c r="E49">
        <v>15.610407303405641</v>
      </c>
      <c r="F49">
        <v>5.3656552486278777</v>
      </c>
      <c r="G49">
        <v>6.1879133423284388E-3</v>
      </c>
    </row>
    <row r="50" spans="1:7" x14ac:dyDescent="0.25">
      <c r="A50" t="s">
        <v>59</v>
      </c>
      <c r="B50" t="s">
        <v>39</v>
      </c>
      <c r="C50">
        <v>2011</v>
      </c>
      <c r="D50">
        <v>1.466587323359599</v>
      </c>
      <c r="E50">
        <v>15.48849101895339</v>
      </c>
      <c r="F50">
        <v>5.6970700004680834</v>
      </c>
      <c r="G50">
        <v>6.6062601392760448E-3</v>
      </c>
    </row>
    <row r="51" spans="1:7" x14ac:dyDescent="0.25">
      <c r="A51" t="s">
        <v>59</v>
      </c>
      <c r="B51" t="s">
        <v>39</v>
      </c>
      <c r="C51">
        <v>2012</v>
      </c>
      <c r="D51">
        <v>1.508949126671332</v>
      </c>
      <c r="E51">
        <v>15.643616856243989</v>
      </c>
      <c r="F51">
        <v>5.2623366186135394</v>
      </c>
      <c r="G51">
        <v>6.0347954225950058E-3</v>
      </c>
    </row>
    <row r="52" spans="1:7" x14ac:dyDescent="0.25">
      <c r="A52" t="s">
        <v>59</v>
      </c>
      <c r="B52" t="s">
        <v>39</v>
      </c>
      <c r="C52">
        <v>2013</v>
      </c>
      <c r="D52">
        <v>1.507128837256055</v>
      </c>
      <c r="E52">
        <v>15.637758123181939</v>
      </c>
      <c r="F52">
        <v>5.2808151600339039</v>
      </c>
      <c r="G52">
        <v>6.0627509820760494E-3</v>
      </c>
    </row>
    <row r="53" spans="1:7" x14ac:dyDescent="0.25">
      <c r="A53" t="s">
        <v>59</v>
      </c>
      <c r="B53" t="s">
        <v>39</v>
      </c>
      <c r="C53">
        <v>2014</v>
      </c>
      <c r="D53">
        <v>1.4770418702477051</v>
      </c>
      <c r="E53">
        <v>15.532169440420921</v>
      </c>
      <c r="F53">
        <v>5.589428674091927</v>
      </c>
      <c r="G53">
        <v>6.4858507525580797E-3</v>
      </c>
    </row>
    <row r="54" spans="1:7" x14ac:dyDescent="0.25">
      <c r="A54" t="s">
        <v>59</v>
      </c>
      <c r="B54" t="s">
        <v>39</v>
      </c>
      <c r="C54">
        <v>2015</v>
      </c>
      <c r="D54">
        <v>1.4631751811985241</v>
      </c>
      <c r="E54">
        <v>15.47284498032813</v>
      </c>
      <c r="F54">
        <v>5.7320288193080664</v>
      </c>
      <c r="G54">
        <v>6.6410350901403301E-3</v>
      </c>
    </row>
    <row r="55" spans="1:7" x14ac:dyDescent="0.25">
      <c r="A55" t="s">
        <v>59</v>
      </c>
      <c r="B55" t="s">
        <v>39</v>
      </c>
      <c r="C55">
        <v>2016</v>
      </c>
      <c r="D55">
        <v>1.441179276525802</v>
      </c>
      <c r="E55">
        <v>15.334849558358099</v>
      </c>
      <c r="F55">
        <v>5.9476973314662578</v>
      </c>
      <c r="G55">
        <v>6.77676162361929E-3</v>
      </c>
    </row>
    <row r="56" spans="1:7" x14ac:dyDescent="0.25">
      <c r="A56" t="s">
        <v>59</v>
      </c>
      <c r="B56" t="s">
        <v>39</v>
      </c>
      <c r="C56">
        <v>2017</v>
      </c>
      <c r="D56">
        <v>1.4127373797759999</v>
      </c>
      <c r="E56">
        <v>15.155728164163239</v>
      </c>
      <c r="F56">
        <v>6.2260156196726539</v>
      </c>
      <c r="G56">
        <v>6.8282594389952453E-3</v>
      </c>
    </row>
    <row r="57" spans="1:7" x14ac:dyDescent="0.25">
      <c r="A57" t="s">
        <v>59</v>
      </c>
      <c r="B57" t="s">
        <v>39</v>
      </c>
      <c r="C57">
        <v>2018</v>
      </c>
      <c r="D57">
        <v>1.3885918681960241</v>
      </c>
      <c r="E57">
        <v>15.08531442443264</v>
      </c>
      <c r="F57">
        <v>6.4978535617770454</v>
      </c>
      <c r="G57">
        <v>6.9205878416481147E-3</v>
      </c>
    </row>
    <row r="58" spans="1:7" x14ac:dyDescent="0.25">
      <c r="A58" t="s">
        <v>59</v>
      </c>
      <c r="B58" t="s">
        <v>39</v>
      </c>
      <c r="C58">
        <v>2019</v>
      </c>
      <c r="D58">
        <v>1.368943889921713</v>
      </c>
      <c r="E58">
        <v>15.0133654747876</v>
      </c>
      <c r="F58">
        <v>6.7210684711688904</v>
      </c>
      <c r="G58">
        <v>6.9631824689734721E-3</v>
      </c>
    </row>
    <row r="59" spans="1:7" x14ac:dyDescent="0.25">
      <c r="A59" t="s">
        <v>59</v>
      </c>
      <c r="B59" t="s">
        <v>39</v>
      </c>
      <c r="C59">
        <v>2020</v>
      </c>
      <c r="D59">
        <v>1.3659324822525249</v>
      </c>
      <c r="E59">
        <v>14.99970170200227</v>
      </c>
      <c r="F59">
        <v>6.754836209317876</v>
      </c>
      <c r="G59">
        <v>6.965654931468274E-3</v>
      </c>
    </row>
    <row r="60" spans="1:7" x14ac:dyDescent="0.25">
      <c r="A60" t="s">
        <v>59</v>
      </c>
      <c r="B60" t="s">
        <v>39</v>
      </c>
      <c r="C60">
        <v>2021</v>
      </c>
      <c r="D60">
        <v>1.304838497718851</v>
      </c>
      <c r="E60">
        <v>14.6113262103491</v>
      </c>
      <c r="F60">
        <v>7.4002262254089652</v>
      </c>
      <c r="G60">
        <v>6.5645790181593092E-3</v>
      </c>
    </row>
    <row r="61" spans="1:7" x14ac:dyDescent="0.25">
      <c r="A61" t="s">
        <v>59</v>
      </c>
      <c r="B61" t="s">
        <v>39</v>
      </c>
      <c r="C61">
        <v>2022</v>
      </c>
      <c r="D61">
        <v>1.304262070434435</v>
      </c>
      <c r="E61">
        <v>14.610364201850841</v>
      </c>
      <c r="F61">
        <v>7.4076016231817761</v>
      </c>
      <c r="G61">
        <v>6.5546644525193336E-3</v>
      </c>
    </row>
    <row r="62" spans="1:7" x14ac:dyDescent="0.25">
      <c r="A62" t="s">
        <v>59</v>
      </c>
      <c r="B62" t="s">
        <v>39</v>
      </c>
      <c r="C62">
        <v>2023</v>
      </c>
      <c r="D62">
        <v>1.3065703986090309</v>
      </c>
      <c r="E62">
        <v>14.614196649905249</v>
      </c>
      <c r="F62">
        <v>7.378109687312425</v>
      </c>
      <c r="G62">
        <v>6.5943085950564131E-3</v>
      </c>
    </row>
    <row r="63" spans="1:7" x14ac:dyDescent="0.25">
      <c r="A63" t="s">
        <v>59</v>
      </c>
      <c r="B63" t="s">
        <v>39</v>
      </c>
      <c r="C63">
        <v>2024</v>
      </c>
      <c r="D63">
        <v>1.293918333145732</v>
      </c>
      <c r="E63">
        <v>14.592116373028279</v>
      </c>
      <c r="F63">
        <v>7.5410303025174024</v>
      </c>
      <c r="G63">
        <v>6.3752555926249888E-3</v>
      </c>
    </row>
    <row r="64" spans="1:7" x14ac:dyDescent="0.25">
      <c r="A64" t="s">
        <v>59</v>
      </c>
      <c r="B64" t="s">
        <v>39</v>
      </c>
      <c r="C64">
        <v>2025</v>
      </c>
      <c r="D64">
        <v>1.290958415051398</v>
      </c>
      <c r="E64">
        <v>14.586328950668181</v>
      </c>
      <c r="F64">
        <v>7.5795005924254282</v>
      </c>
      <c r="G64">
        <v>6.3235343457066322E-3</v>
      </c>
    </row>
    <row r="65" spans="1:7" x14ac:dyDescent="0.25">
      <c r="A65" t="s">
        <v>59</v>
      </c>
      <c r="B65" t="s">
        <v>39</v>
      </c>
      <c r="C65">
        <v>2026</v>
      </c>
      <c r="D65">
        <v>1.2909583228184189</v>
      </c>
      <c r="E65">
        <v>14.58632755653581</v>
      </c>
      <c r="F65">
        <v>7.5795018741077378</v>
      </c>
      <c r="G65">
        <v>6.3235343457601189E-3</v>
      </c>
    </row>
    <row r="66" spans="1:7" x14ac:dyDescent="0.25">
      <c r="A66" t="s">
        <v>59</v>
      </c>
      <c r="B66" t="s">
        <v>39</v>
      </c>
      <c r="C66">
        <v>2027</v>
      </c>
      <c r="D66">
        <v>1.288608231459341</v>
      </c>
      <c r="E66">
        <v>14.581453998295119</v>
      </c>
      <c r="F66">
        <v>7.6100917281322502</v>
      </c>
      <c r="G66">
        <v>6.2824211239318776E-3</v>
      </c>
    </row>
    <row r="67" spans="1:7" x14ac:dyDescent="0.25">
      <c r="A67" t="s">
        <v>59</v>
      </c>
      <c r="B67" t="s">
        <v>39</v>
      </c>
      <c r="C67">
        <v>2028</v>
      </c>
      <c r="D67">
        <v>1.286235108662438</v>
      </c>
      <c r="E67">
        <v>14.57621455530977</v>
      </c>
      <c r="F67">
        <v>7.6409936209596721</v>
      </c>
      <c r="G67">
        <v>6.2409267143469114E-3</v>
      </c>
    </row>
    <row r="68" spans="1:7" x14ac:dyDescent="0.25">
      <c r="A68" t="s">
        <v>59</v>
      </c>
      <c r="B68" t="s">
        <v>39</v>
      </c>
      <c r="C68">
        <v>2029</v>
      </c>
      <c r="D68">
        <v>1.283829421438794</v>
      </c>
      <c r="E68">
        <v>14.57050386971189</v>
      </c>
      <c r="F68">
        <v>7.6722969584562906</v>
      </c>
      <c r="G68">
        <v>6.1989626731406176E-3</v>
      </c>
    </row>
    <row r="69" spans="1:7" x14ac:dyDescent="0.25">
      <c r="A69" t="s">
        <v>59</v>
      </c>
      <c r="B69" t="s">
        <v>39</v>
      </c>
      <c r="C69">
        <v>2030</v>
      </c>
      <c r="D69">
        <v>1.2813779734113999</v>
      </c>
      <c r="E69">
        <v>14.564175626718519</v>
      </c>
      <c r="F69">
        <v>7.7041260189926799</v>
      </c>
      <c r="G69">
        <v>6.156418574678928E-3</v>
      </c>
    </row>
    <row r="70" spans="1:7" x14ac:dyDescent="0.25">
      <c r="A70" t="s">
        <v>59</v>
      </c>
      <c r="B70" t="s">
        <v>39</v>
      </c>
      <c r="C70">
        <v>2031</v>
      </c>
      <c r="D70">
        <v>1.2814857399637449</v>
      </c>
      <c r="E70">
        <v>14.56445674027535</v>
      </c>
      <c r="F70">
        <v>7.7027277441570856</v>
      </c>
      <c r="G70">
        <v>6.1582981368125669E-3</v>
      </c>
    </row>
    <row r="71" spans="1:7" x14ac:dyDescent="0.25">
      <c r="A71" t="s">
        <v>59</v>
      </c>
      <c r="B71" t="s">
        <v>39</v>
      </c>
      <c r="C71">
        <v>2032</v>
      </c>
      <c r="D71">
        <v>1.281594332998891</v>
      </c>
      <c r="E71">
        <v>14.564748497276121</v>
      </c>
      <c r="F71">
        <v>7.7013198654884762</v>
      </c>
      <c r="G71">
        <v>6.1601763319190199E-3</v>
      </c>
    </row>
    <row r="72" spans="1:7" x14ac:dyDescent="0.25">
      <c r="A72" t="s">
        <v>59</v>
      </c>
      <c r="B72" t="s">
        <v>39</v>
      </c>
      <c r="C72">
        <v>2033</v>
      </c>
      <c r="D72">
        <v>1.28170280696008</v>
      </c>
      <c r="E72">
        <v>14.56503872578944</v>
      </c>
      <c r="F72">
        <v>7.6999132860988677</v>
      </c>
      <c r="G72">
        <v>6.1620531730747427E-3</v>
      </c>
    </row>
    <row r="73" spans="1:7" x14ac:dyDescent="0.25">
      <c r="A73" t="s">
        <v>59</v>
      </c>
      <c r="B73" t="s">
        <v>39</v>
      </c>
      <c r="C73">
        <v>2034</v>
      </c>
      <c r="D73">
        <v>1.2818111611667791</v>
      </c>
      <c r="E73">
        <v>14.565327415018549</v>
      </c>
      <c r="F73">
        <v>7.6985080155685814</v>
      </c>
      <c r="G73">
        <v>6.1639286733831331E-3</v>
      </c>
    </row>
    <row r="74" spans="1:7" x14ac:dyDescent="0.25">
      <c r="A74" t="s">
        <v>59</v>
      </c>
      <c r="B74" t="s">
        <v>39</v>
      </c>
      <c r="C74">
        <v>2035</v>
      </c>
      <c r="D74">
        <v>1.2819193993325051</v>
      </c>
      <c r="E74">
        <v>14.56561460462207</v>
      </c>
      <c r="F74">
        <v>7.6971040219724429</v>
      </c>
      <c r="G74">
        <v>6.1658028457889872E-3</v>
      </c>
    </row>
    <row r="75" spans="1:7" x14ac:dyDescent="0.25">
      <c r="A75" t="s">
        <v>59</v>
      </c>
      <c r="B75" t="s">
        <v>39</v>
      </c>
      <c r="C75">
        <v>2036</v>
      </c>
      <c r="D75">
        <v>1.282027524529763</v>
      </c>
      <c r="E75">
        <v>14.5659003275193</v>
      </c>
      <c r="F75">
        <v>7.6957012778014722</v>
      </c>
      <c r="G75">
        <v>6.167675703082208E-3</v>
      </c>
    </row>
    <row r="76" spans="1:7" x14ac:dyDescent="0.25">
      <c r="A76" t="s">
        <v>59</v>
      </c>
      <c r="B76" t="s">
        <v>39</v>
      </c>
      <c r="C76">
        <v>2037</v>
      </c>
      <c r="D76">
        <v>1.282135535415112</v>
      </c>
      <c r="E76">
        <v>14.566184572553819</v>
      </c>
      <c r="F76">
        <v>7.6942997904327957</v>
      </c>
      <c r="G76">
        <v>6.1695472579009567E-3</v>
      </c>
    </row>
    <row r="77" spans="1:7" x14ac:dyDescent="0.25">
      <c r="A77" t="s">
        <v>59</v>
      </c>
      <c r="B77" t="s">
        <v>39</v>
      </c>
      <c r="C77">
        <v>2038</v>
      </c>
      <c r="D77">
        <v>1.28224343427242</v>
      </c>
      <c r="E77">
        <v>14.56646736416393</v>
      </c>
      <c r="F77">
        <v>7.6928995392728892</v>
      </c>
      <c r="G77">
        <v>6.1714175227336396E-3</v>
      </c>
    </row>
    <row r="78" spans="1:7" x14ac:dyDescent="0.25">
      <c r="A78" t="s">
        <v>59</v>
      </c>
      <c r="B78" t="s">
        <v>39</v>
      </c>
      <c r="C78">
        <v>2039</v>
      </c>
      <c r="D78">
        <v>1.2823512252697979</v>
      </c>
      <c r="E78">
        <v>14.56674874469841</v>
      </c>
      <c r="F78">
        <v>7.6915004899005996</v>
      </c>
      <c r="G78">
        <v>6.1732865099218166E-3</v>
      </c>
    </row>
    <row r="79" spans="1:7" x14ac:dyDescent="0.25">
      <c r="A79" t="s">
        <v>59</v>
      </c>
      <c r="B79" t="s">
        <v>39</v>
      </c>
      <c r="C79">
        <v>2040</v>
      </c>
      <c r="D79">
        <v>1.2824589077697099</v>
      </c>
      <c r="E79">
        <v>14.56702871211888</v>
      </c>
      <c r="F79">
        <v>7.6901026439320406</v>
      </c>
      <c r="G79">
        <v>6.1751542316633538E-3</v>
      </c>
    </row>
    <row r="80" spans="1:7" x14ac:dyDescent="0.25">
      <c r="A80" t="s">
        <v>59</v>
      </c>
      <c r="B80" t="s">
        <v>39</v>
      </c>
      <c r="C80">
        <v>2041</v>
      </c>
      <c r="D80">
        <v>1.282135228918879</v>
      </c>
      <c r="E80">
        <v>14.566192722826329</v>
      </c>
      <c r="F80">
        <v>7.6943049854647318</v>
      </c>
      <c r="G80">
        <v>6.169526836585359E-3</v>
      </c>
    </row>
    <row r="81" spans="1:7" x14ac:dyDescent="0.25">
      <c r="A81" t="s">
        <v>59</v>
      </c>
      <c r="B81" t="s">
        <v>39</v>
      </c>
      <c r="C81">
        <v>2042</v>
      </c>
      <c r="D81">
        <v>1.28180972902485</v>
      </c>
      <c r="E81">
        <v>14.56533310697502</v>
      </c>
      <c r="F81">
        <v>7.6985279351819056</v>
      </c>
      <c r="G81">
        <v>6.1638877447245666E-3</v>
      </c>
    </row>
    <row r="82" spans="1:7" x14ac:dyDescent="0.25">
      <c r="A82" t="s">
        <v>59</v>
      </c>
      <c r="B82" t="s">
        <v>39</v>
      </c>
      <c r="C82">
        <v>2043</v>
      </c>
      <c r="D82">
        <v>1.28148317504855</v>
      </c>
      <c r="E82">
        <v>14.564459881971789</v>
      </c>
      <c r="F82">
        <v>7.7027624669716754</v>
      </c>
      <c r="G82">
        <v>6.1582366111285836E-3</v>
      </c>
    </row>
    <row r="83" spans="1:7" x14ac:dyDescent="0.25">
      <c r="A83" t="s">
        <v>59</v>
      </c>
      <c r="B83" t="s">
        <v>39</v>
      </c>
      <c r="C83">
        <v>2044</v>
      </c>
      <c r="D83">
        <v>1.2811555221152859</v>
      </c>
      <c r="E83">
        <v>14.56357254501339</v>
      </c>
      <c r="F83">
        <v>7.7070090059466976</v>
      </c>
      <c r="G83">
        <v>6.1525730779536363E-3</v>
      </c>
    </row>
    <row r="84" spans="1:7" x14ac:dyDescent="0.25">
      <c r="A84" t="s">
        <v>59</v>
      </c>
      <c r="B84" t="s">
        <v>39</v>
      </c>
      <c r="C84">
        <v>2045</v>
      </c>
      <c r="D84">
        <v>1.2808267150688011</v>
      </c>
      <c r="E84">
        <v>14.562670489283221</v>
      </c>
      <c r="F84">
        <v>7.7112680695103739</v>
      </c>
      <c r="G84">
        <v>6.1468967738771991E-3</v>
      </c>
    </row>
    <row r="85" spans="1:7" x14ac:dyDescent="0.25">
      <c r="A85" t="s">
        <v>59</v>
      </c>
      <c r="B85" t="s">
        <v>39</v>
      </c>
      <c r="C85">
        <v>2046</v>
      </c>
      <c r="D85">
        <v>1.280496697539786</v>
      </c>
      <c r="E85">
        <v>14.56175309209859</v>
      </c>
      <c r="F85">
        <v>7.715540185296156</v>
      </c>
      <c r="G85">
        <v>6.1412073133111991E-3</v>
      </c>
    </row>
    <row r="86" spans="1:7" x14ac:dyDescent="0.25">
      <c r="A86" t="s">
        <v>59</v>
      </c>
      <c r="B86" t="s">
        <v>39</v>
      </c>
      <c r="C86">
        <v>2047</v>
      </c>
      <c r="D86">
        <v>1.280165409984829</v>
      </c>
      <c r="E86">
        <v>14.560819688141679</v>
      </c>
      <c r="F86">
        <v>7.71982591950621</v>
      </c>
      <c r="G86">
        <v>6.1355042955437067E-3</v>
      </c>
    </row>
    <row r="87" spans="1:7" x14ac:dyDescent="0.25">
      <c r="A87" t="s">
        <v>59</v>
      </c>
      <c r="B87" t="s">
        <v>39</v>
      </c>
      <c r="C87">
        <v>2048</v>
      </c>
      <c r="D87">
        <v>1.279832788952775</v>
      </c>
      <c r="E87">
        <v>14.55986957452685</v>
      </c>
      <c r="F87">
        <v>7.7241258699039568</v>
      </c>
      <c r="G87">
        <v>6.1297873038104666E-3</v>
      </c>
    </row>
    <row r="88" spans="1:7" x14ac:dyDescent="0.25">
      <c r="A88" t="s">
        <v>59</v>
      </c>
      <c r="B88" t="s">
        <v>39</v>
      </c>
      <c r="C88">
        <v>2049</v>
      </c>
      <c r="D88">
        <v>1.2794987668040481</v>
      </c>
      <c r="E88">
        <v>14.558902007652049</v>
      </c>
      <c r="F88">
        <v>7.7284406659913056</v>
      </c>
      <c r="G88">
        <v>6.1240559042847233E-3</v>
      </c>
    </row>
    <row r="89" spans="1:7" x14ac:dyDescent="0.25">
      <c r="A89" t="s">
        <v>59</v>
      </c>
      <c r="B89" t="s">
        <v>39</v>
      </c>
      <c r="C89">
        <v>2050</v>
      </c>
      <c r="D89">
        <v>1.2791622325450389</v>
      </c>
      <c r="E89">
        <v>14.55790317911211</v>
      </c>
      <c r="F89">
        <v>7.7327825831181007</v>
      </c>
      <c r="G89">
        <v>6.1183096444081837E-3</v>
      </c>
    </row>
    <row r="90" spans="1:7" x14ac:dyDescent="0.25">
      <c r="A90" t="s">
        <v>60</v>
      </c>
      <c r="B90" t="s">
        <v>39</v>
      </c>
      <c r="C90">
        <v>1965</v>
      </c>
      <c r="D90">
        <v>1.8724510623865149</v>
      </c>
      <c r="E90">
        <v>29.182825188088831</v>
      </c>
      <c r="F90">
        <v>6.2684780795034128E-24</v>
      </c>
      <c r="G90">
        <v>0</v>
      </c>
    </row>
    <row r="91" spans="1:7" x14ac:dyDescent="0.25">
      <c r="A91" t="s">
        <v>60</v>
      </c>
      <c r="B91" t="s">
        <v>39</v>
      </c>
      <c r="C91">
        <v>1966</v>
      </c>
      <c r="D91">
        <v>1.8724510623865149</v>
      </c>
      <c r="E91">
        <v>29.182825188088831</v>
      </c>
      <c r="F91">
        <v>6.2684780795034128E-24</v>
      </c>
      <c r="G91">
        <v>0</v>
      </c>
    </row>
    <row r="92" spans="1:7" x14ac:dyDescent="0.25">
      <c r="A92" t="s">
        <v>60</v>
      </c>
      <c r="B92" t="s">
        <v>39</v>
      </c>
      <c r="C92">
        <v>1967</v>
      </c>
      <c r="D92">
        <v>1.8724510623865149</v>
      </c>
      <c r="E92">
        <v>29.182825188088831</v>
      </c>
      <c r="F92">
        <v>6.2684780795034128E-24</v>
      </c>
      <c r="G92">
        <v>0</v>
      </c>
    </row>
    <row r="93" spans="1:7" x14ac:dyDescent="0.25">
      <c r="A93" t="s">
        <v>60</v>
      </c>
      <c r="B93" t="s">
        <v>39</v>
      </c>
      <c r="C93">
        <v>1968</v>
      </c>
      <c r="D93">
        <v>1.8724510623865149</v>
      </c>
      <c r="E93">
        <v>29.182825188088831</v>
      </c>
      <c r="F93">
        <v>6.2684780795034128E-24</v>
      </c>
      <c r="G93">
        <v>0</v>
      </c>
    </row>
    <row r="94" spans="1:7" x14ac:dyDescent="0.25">
      <c r="A94" t="s">
        <v>60</v>
      </c>
      <c r="B94" t="s">
        <v>39</v>
      </c>
      <c r="C94">
        <v>1969</v>
      </c>
      <c r="D94">
        <v>1.8724510623865149</v>
      </c>
      <c r="E94">
        <v>29.182825188088831</v>
      </c>
      <c r="F94">
        <v>6.2684780795034128E-24</v>
      </c>
      <c r="G94">
        <v>0</v>
      </c>
    </row>
    <row r="95" spans="1:7" x14ac:dyDescent="0.25">
      <c r="A95" t="s">
        <v>60</v>
      </c>
      <c r="B95" t="s">
        <v>39</v>
      </c>
      <c r="C95">
        <v>1970</v>
      </c>
      <c r="D95">
        <v>1.8724510623865149</v>
      </c>
      <c r="E95">
        <v>29.182825188088831</v>
      </c>
      <c r="F95">
        <v>6.2684780795034128E-24</v>
      </c>
      <c r="G95">
        <v>0</v>
      </c>
    </row>
    <row r="96" spans="1:7" x14ac:dyDescent="0.25">
      <c r="A96" t="s">
        <v>60</v>
      </c>
      <c r="B96" t="s">
        <v>39</v>
      </c>
      <c r="C96">
        <v>1971</v>
      </c>
      <c r="D96">
        <v>1.8724510623865149</v>
      </c>
      <c r="E96">
        <v>29.182825188088831</v>
      </c>
      <c r="F96">
        <v>6.2684780795034128E-24</v>
      </c>
      <c r="G96">
        <v>0</v>
      </c>
    </row>
    <row r="97" spans="1:7" x14ac:dyDescent="0.25">
      <c r="A97" t="s">
        <v>60</v>
      </c>
      <c r="B97" t="s">
        <v>39</v>
      </c>
      <c r="C97">
        <v>1972</v>
      </c>
      <c r="D97">
        <v>1.8724510623865149</v>
      </c>
      <c r="E97">
        <v>29.182825188088831</v>
      </c>
      <c r="F97">
        <v>6.2684780795034128E-24</v>
      </c>
      <c r="G97">
        <v>0</v>
      </c>
    </row>
    <row r="98" spans="1:7" x14ac:dyDescent="0.25">
      <c r="A98" t="s">
        <v>60</v>
      </c>
      <c r="B98" t="s">
        <v>39</v>
      </c>
      <c r="C98">
        <v>1973</v>
      </c>
      <c r="D98">
        <v>1.8724510623865149</v>
      </c>
      <c r="E98">
        <v>29.182825188088831</v>
      </c>
      <c r="F98">
        <v>6.2684780795034128E-24</v>
      </c>
      <c r="G98">
        <v>0</v>
      </c>
    </row>
    <row r="99" spans="1:7" x14ac:dyDescent="0.25">
      <c r="A99" t="s">
        <v>60</v>
      </c>
      <c r="B99" t="s">
        <v>39</v>
      </c>
      <c r="C99">
        <v>1974</v>
      </c>
      <c r="D99">
        <v>1.8724510623865149</v>
      </c>
      <c r="E99">
        <v>29.182825188088831</v>
      </c>
      <c r="F99">
        <v>6.2684780795034128E-24</v>
      </c>
      <c r="G99">
        <v>0</v>
      </c>
    </row>
    <row r="100" spans="1:7" x14ac:dyDescent="0.25">
      <c r="A100" t="s">
        <v>60</v>
      </c>
      <c r="B100" t="s">
        <v>39</v>
      </c>
      <c r="C100">
        <v>1975</v>
      </c>
      <c r="D100">
        <v>1.8724510623865149</v>
      </c>
      <c r="E100">
        <v>29.182825188088831</v>
      </c>
      <c r="F100">
        <v>6.2684780795034128E-24</v>
      </c>
      <c r="G100">
        <v>0</v>
      </c>
    </row>
    <row r="101" spans="1:7" x14ac:dyDescent="0.25">
      <c r="A101" t="s">
        <v>60</v>
      </c>
      <c r="B101" t="s">
        <v>39</v>
      </c>
      <c r="C101">
        <v>1976</v>
      </c>
      <c r="D101">
        <v>1.8724510623865149</v>
      </c>
      <c r="E101">
        <v>29.182825188088831</v>
      </c>
      <c r="F101">
        <v>6.2684780795034128E-24</v>
      </c>
      <c r="G101">
        <v>0</v>
      </c>
    </row>
    <row r="102" spans="1:7" x14ac:dyDescent="0.25">
      <c r="A102" t="s">
        <v>60</v>
      </c>
      <c r="B102" t="s">
        <v>39</v>
      </c>
      <c r="C102">
        <v>1977</v>
      </c>
      <c r="D102">
        <v>1.8724510623865149</v>
      </c>
      <c r="E102">
        <v>29.182825188088831</v>
      </c>
      <c r="F102">
        <v>6.2684780795034128E-24</v>
      </c>
      <c r="G102">
        <v>0</v>
      </c>
    </row>
    <row r="103" spans="1:7" x14ac:dyDescent="0.25">
      <c r="A103" t="s">
        <v>60</v>
      </c>
      <c r="B103" t="s">
        <v>39</v>
      </c>
      <c r="C103">
        <v>1978</v>
      </c>
      <c r="D103">
        <v>1.8724510623865149</v>
      </c>
      <c r="E103">
        <v>29.182825188088831</v>
      </c>
      <c r="F103">
        <v>6.2684780795034128E-24</v>
      </c>
      <c r="G103">
        <v>0</v>
      </c>
    </row>
    <row r="104" spans="1:7" x14ac:dyDescent="0.25">
      <c r="A104" t="s">
        <v>60</v>
      </c>
      <c r="B104" t="s">
        <v>39</v>
      </c>
      <c r="C104">
        <v>1979</v>
      </c>
      <c r="D104">
        <v>1.8724510623865149</v>
      </c>
      <c r="E104">
        <v>29.182825188088831</v>
      </c>
      <c r="F104">
        <v>6.2684780795034128E-24</v>
      </c>
      <c r="G104">
        <v>0</v>
      </c>
    </row>
    <row r="105" spans="1:7" x14ac:dyDescent="0.25">
      <c r="A105" t="s">
        <v>60</v>
      </c>
      <c r="B105" t="s">
        <v>39</v>
      </c>
      <c r="C105">
        <v>1980</v>
      </c>
      <c r="D105">
        <v>1.8724510623865149</v>
      </c>
      <c r="E105">
        <v>29.182825188088831</v>
      </c>
      <c r="F105">
        <v>6.2684780795034128E-24</v>
      </c>
      <c r="G105">
        <v>0</v>
      </c>
    </row>
    <row r="106" spans="1:7" x14ac:dyDescent="0.25">
      <c r="A106" t="s">
        <v>60</v>
      </c>
      <c r="B106" t="s">
        <v>39</v>
      </c>
      <c r="C106">
        <v>1981</v>
      </c>
      <c r="D106">
        <v>1.8724510623865149</v>
      </c>
      <c r="E106">
        <v>29.182825188088831</v>
      </c>
      <c r="F106">
        <v>6.2684780795034128E-24</v>
      </c>
      <c r="G106">
        <v>0</v>
      </c>
    </row>
    <row r="107" spans="1:7" x14ac:dyDescent="0.25">
      <c r="A107" t="s">
        <v>60</v>
      </c>
      <c r="B107" t="s">
        <v>39</v>
      </c>
      <c r="C107">
        <v>1982</v>
      </c>
      <c r="D107">
        <v>1.8724510623865149</v>
      </c>
      <c r="E107">
        <v>29.182825188088831</v>
      </c>
      <c r="F107">
        <v>6.2684780795034128E-24</v>
      </c>
      <c r="G107">
        <v>0</v>
      </c>
    </row>
    <row r="108" spans="1:7" x14ac:dyDescent="0.25">
      <c r="A108" t="s">
        <v>60</v>
      </c>
      <c r="B108" t="s">
        <v>39</v>
      </c>
      <c r="C108">
        <v>1983</v>
      </c>
      <c r="D108">
        <v>1.8724510623865149</v>
      </c>
      <c r="E108">
        <v>29.182825188088831</v>
      </c>
      <c r="F108">
        <v>6.2684780795034128E-24</v>
      </c>
      <c r="G108">
        <v>0</v>
      </c>
    </row>
    <row r="109" spans="1:7" x14ac:dyDescent="0.25">
      <c r="A109" t="s">
        <v>60</v>
      </c>
      <c r="B109" t="s">
        <v>39</v>
      </c>
      <c r="C109">
        <v>1984</v>
      </c>
      <c r="D109">
        <v>1.8724510623865149</v>
      </c>
      <c r="E109">
        <v>29.182825188088831</v>
      </c>
      <c r="F109">
        <v>6.2684780795034128E-24</v>
      </c>
      <c r="G109">
        <v>0</v>
      </c>
    </row>
    <row r="110" spans="1:7" x14ac:dyDescent="0.25">
      <c r="A110" t="s">
        <v>60</v>
      </c>
      <c r="B110" t="s">
        <v>39</v>
      </c>
      <c r="C110">
        <v>1985</v>
      </c>
      <c r="D110">
        <v>1.8724510623865149</v>
      </c>
      <c r="E110">
        <v>29.182825188088831</v>
      </c>
      <c r="F110">
        <v>6.2684780795034128E-24</v>
      </c>
      <c r="G110">
        <v>0</v>
      </c>
    </row>
    <row r="111" spans="1:7" x14ac:dyDescent="0.25">
      <c r="A111" t="s">
        <v>60</v>
      </c>
      <c r="B111" t="s">
        <v>39</v>
      </c>
      <c r="C111">
        <v>1986</v>
      </c>
      <c r="D111">
        <v>1.8724510623865149</v>
      </c>
      <c r="E111">
        <v>29.182825188088831</v>
      </c>
      <c r="F111">
        <v>6.2684780795034128E-24</v>
      </c>
      <c r="G111">
        <v>0</v>
      </c>
    </row>
    <row r="112" spans="1:7" x14ac:dyDescent="0.25">
      <c r="A112" t="s">
        <v>60</v>
      </c>
      <c r="B112" t="s">
        <v>39</v>
      </c>
      <c r="C112">
        <v>1987</v>
      </c>
      <c r="D112">
        <v>1.8724510623865149</v>
      </c>
      <c r="E112">
        <v>29.182825188088831</v>
      </c>
      <c r="F112">
        <v>6.2684780795034128E-24</v>
      </c>
      <c r="G112">
        <v>0</v>
      </c>
    </row>
    <row r="113" spans="1:7" x14ac:dyDescent="0.25">
      <c r="A113" t="s">
        <v>60</v>
      </c>
      <c r="B113" t="s">
        <v>39</v>
      </c>
      <c r="C113">
        <v>1988</v>
      </c>
      <c r="D113">
        <v>1.8724510623865149</v>
      </c>
      <c r="E113">
        <v>29.182825188088831</v>
      </c>
      <c r="F113">
        <v>6.2684780795034128E-24</v>
      </c>
      <c r="G113">
        <v>0</v>
      </c>
    </row>
    <row r="114" spans="1:7" x14ac:dyDescent="0.25">
      <c r="A114" t="s">
        <v>60</v>
      </c>
      <c r="B114" t="s">
        <v>39</v>
      </c>
      <c r="C114">
        <v>1989</v>
      </c>
      <c r="D114">
        <v>1.8724510623865149</v>
      </c>
      <c r="E114">
        <v>29.182825188088831</v>
      </c>
      <c r="F114">
        <v>6.2684780795034128E-24</v>
      </c>
      <c r="G114">
        <v>0</v>
      </c>
    </row>
    <row r="115" spans="1:7" x14ac:dyDescent="0.25">
      <c r="A115" t="s">
        <v>60</v>
      </c>
      <c r="B115" t="s">
        <v>39</v>
      </c>
      <c r="C115">
        <v>1990</v>
      </c>
      <c r="D115">
        <v>1.8724510623865149</v>
      </c>
      <c r="E115">
        <v>29.182825188088831</v>
      </c>
      <c r="F115">
        <v>6.2684780795034128E-24</v>
      </c>
      <c r="G115">
        <v>0</v>
      </c>
    </row>
    <row r="116" spans="1:7" x14ac:dyDescent="0.25">
      <c r="A116" t="s">
        <v>60</v>
      </c>
      <c r="B116" t="s">
        <v>39</v>
      </c>
      <c r="C116">
        <v>1991</v>
      </c>
      <c r="D116">
        <v>1.8724510623865149</v>
      </c>
      <c r="E116">
        <v>29.182825188088831</v>
      </c>
      <c r="F116">
        <v>6.2684780795034128E-24</v>
      </c>
      <c r="G116">
        <v>0</v>
      </c>
    </row>
    <row r="117" spans="1:7" x14ac:dyDescent="0.25">
      <c r="A117" t="s">
        <v>60</v>
      </c>
      <c r="B117" t="s">
        <v>39</v>
      </c>
      <c r="C117">
        <v>1992</v>
      </c>
      <c r="D117">
        <v>1.8724510623865149</v>
      </c>
      <c r="E117">
        <v>29.182825188088831</v>
      </c>
      <c r="F117">
        <v>6.2684780795034128E-24</v>
      </c>
      <c r="G117">
        <v>0</v>
      </c>
    </row>
    <row r="118" spans="1:7" x14ac:dyDescent="0.25">
      <c r="A118" t="s">
        <v>60</v>
      </c>
      <c r="B118" t="s">
        <v>39</v>
      </c>
      <c r="C118">
        <v>1993</v>
      </c>
      <c r="D118">
        <v>1.8724510623865149</v>
      </c>
      <c r="E118">
        <v>29.182825188088831</v>
      </c>
      <c r="F118">
        <v>6.2684780795034128E-24</v>
      </c>
      <c r="G118">
        <v>0</v>
      </c>
    </row>
    <row r="119" spans="1:7" x14ac:dyDescent="0.25">
      <c r="A119" t="s">
        <v>60</v>
      </c>
      <c r="B119" t="s">
        <v>39</v>
      </c>
      <c r="C119">
        <v>1994</v>
      </c>
      <c r="D119">
        <v>1.8724510623865149</v>
      </c>
      <c r="E119">
        <v>29.182825188088831</v>
      </c>
      <c r="F119">
        <v>6.2684780795034128E-24</v>
      </c>
      <c r="G119">
        <v>0</v>
      </c>
    </row>
    <row r="120" spans="1:7" x14ac:dyDescent="0.25">
      <c r="A120" t="s">
        <v>60</v>
      </c>
      <c r="B120" t="s">
        <v>39</v>
      </c>
      <c r="C120">
        <v>1995</v>
      </c>
      <c r="D120">
        <v>1.8724510623865149</v>
      </c>
      <c r="E120">
        <v>29.182825188088831</v>
      </c>
      <c r="F120">
        <v>6.2684780795034128E-24</v>
      </c>
      <c r="G120">
        <v>0</v>
      </c>
    </row>
    <row r="121" spans="1:7" x14ac:dyDescent="0.25">
      <c r="A121" t="s">
        <v>60</v>
      </c>
      <c r="B121" t="s">
        <v>39</v>
      </c>
      <c r="C121">
        <v>1996</v>
      </c>
      <c r="D121">
        <v>1.8724510623865149</v>
      </c>
      <c r="E121">
        <v>29.182825188088831</v>
      </c>
      <c r="F121">
        <v>6.2684780795034128E-24</v>
      </c>
      <c r="G121">
        <v>0</v>
      </c>
    </row>
    <row r="122" spans="1:7" x14ac:dyDescent="0.25">
      <c r="A122" t="s">
        <v>60</v>
      </c>
      <c r="B122" t="s">
        <v>39</v>
      </c>
      <c r="C122">
        <v>1997</v>
      </c>
      <c r="D122">
        <v>1.8724510623865149</v>
      </c>
      <c r="E122">
        <v>29.182825188088831</v>
      </c>
      <c r="F122">
        <v>6.2684780795034128E-24</v>
      </c>
      <c r="G122">
        <v>0</v>
      </c>
    </row>
    <row r="123" spans="1:7" x14ac:dyDescent="0.25">
      <c r="A123" t="s">
        <v>60</v>
      </c>
      <c r="B123" t="s">
        <v>39</v>
      </c>
      <c r="C123">
        <v>1998</v>
      </c>
      <c r="D123">
        <v>1.8724510623865149</v>
      </c>
      <c r="E123">
        <v>29.182825188088831</v>
      </c>
      <c r="F123">
        <v>6.2684780795034128E-24</v>
      </c>
      <c r="G123">
        <v>0</v>
      </c>
    </row>
    <row r="124" spans="1:7" x14ac:dyDescent="0.25">
      <c r="A124" t="s">
        <v>60</v>
      </c>
      <c r="B124" t="s">
        <v>39</v>
      </c>
      <c r="C124">
        <v>1999</v>
      </c>
      <c r="D124">
        <v>1.8724510623865149</v>
      </c>
      <c r="E124">
        <v>29.182825188088831</v>
      </c>
      <c r="F124">
        <v>6.2684780795034128E-24</v>
      </c>
      <c r="G124">
        <v>0</v>
      </c>
    </row>
    <row r="125" spans="1:7" x14ac:dyDescent="0.25">
      <c r="A125" t="s">
        <v>60</v>
      </c>
      <c r="B125" t="s">
        <v>39</v>
      </c>
      <c r="C125">
        <v>2000</v>
      </c>
      <c r="D125">
        <v>1.8724510623865149</v>
      </c>
      <c r="E125">
        <v>29.182825188088831</v>
      </c>
      <c r="F125">
        <v>6.2684780795034128E-24</v>
      </c>
      <c r="G125">
        <v>0</v>
      </c>
    </row>
    <row r="126" spans="1:7" x14ac:dyDescent="0.25">
      <c r="A126" t="s">
        <v>60</v>
      </c>
      <c r="B126" t="s">
        <v>39</v>
      </c>
      <c r="C126">
        <v>2001</v>
      </c>
      <c r="D126">
        <v>1.8724510623865149</v>
      </c>
      <c r="E126">
        <v>29.182825188088831</v>
      </c>
      <c r="F126">
        <v>6.2684780795034128E-24</v>
      </c>
      <c r="G126">
        <v>0</v>
      </c>
    </row>
    <row r="127" spans="1:7" x14ac:dyDescent="0.25">
      <c r="A127" t="s">
        <v>60</v>
      </c>
      <c r="B127" t="s">
        <v>39</v>
      </c>
      <c r="C127">
        <v>2002</v>
      </c>
      <c r="D127">
        <v>1.8724510623865149</v>
      </c>
      <c r="E127">
        <v>29.182825188088831</v>
      </c>
      <c r="F127">
        <v>6.2684780795034128E-24</v>
      </c>
      <c r="G127">
        <v>0</v>
      </c>
    </row>
    <row r="128" spans="1:7" x14ac:dyDescent="0.25">
      <c r="A128" t="s">
        <v>60</v>
      </c>
      <c r="B128" t="s">
        <v>39</v>
      </c>
      <c r="C128">
        <v>2003</v>
      </c>
      <c r="D128">
        <v>1.8724510623865149</v>
      </c>
      <c r="E128">
        <v>29.182825188088831</v>
      </c>
      <c r="F128">
        <v>6.2684780795034128E-24</v>
      </c>
      <c r="G128">
        <v>0</v>
      </c>
    </row>
    <row r="129" spans="1:7" x14ac:dyDescent="0.25">
      <c r="A129" t="s">
        <v>60</v>
      </c>
      <c r="B129" t="s">
        <v>39</v>
      </c>
      <c r="C129">
        <v>2004</v>
      </c>
      <c r="D129">
        <v>1.8724510623865149</v>
      </c>
      <c r="E129">
        <v>29.182825188088831</v>
      </c>
      <c r="F129">
        <v>6.2684780795034128E-24</v>
      </c>
      <c r="G129">
        <v>0</v>
      </c>
    </row>
    <row r="130" spans="1:7" x14ac:dyDescent="0.25">
      <c r="A130" t="s">
        <v>60</v>
      </c>
      <c r="B130" t="s">
        <v>39</v>
      </c>
      <c r="C130">
        <v>2005</v>
      </c>
      <c r="D130">
        <v>1.8724510623865149</v>
      </c>
      <c r="E130">
        <v>29.182825188088831</v>
      </c>
      <c r="F130">
        <v>6.2684780795034128E-24</v>
      </c>
      <c r="G130">
        <v>0</v>
      </c>
    </row>
    <row r="131" spans="1:7" x14ac:dyDescent="0.25">
      <c r="A131" t="s">
        <v>60</v>
      </c>
      <c r="B131" t="s">
        <v>39</v>
      </c>
      <c r="C131">
        <v>2006</v>
      </c>
      <c r="D131">
        <v>1.8724510623865149</v>
      </c>
      <c r="E131">
        <v>29.182825188088831</v>
      </c>
      <c r="F131">
        <v>6.2684780795034128E-24</v>
      </c>
      <c r="G131">
        <v>0</v>
      </c>
    </row>
    <row r="132" spans="1:7" x14ac:dyDescent="0.25">
      <c r="A132" t="s">
        <v>60</v>
      </c>
      <c r="B132" t="s">
        <v>39</v>
      </c>
      <c r="C132">
        <v>2007</v>
      </c>
      <c r="D132">
        <v>1.8724510623865149</v>
      </c>
      <c r="E132">
        <v>29.182825188088831</v>
      </c>
      <c r="F132">
        <v>6.2684780795034128E-24</v>
      </c>
      <c r="G132">
        <v>0</v>
      </c>
    </row>
    <row r="133" spans="1:7" x14ac:dyDescent="0.25">
      <c r="A133" t="s">
        <v>60</v>
      </c>
      <c r="B133" t="s">
        <v>39</v>
      </c>
      <c r="C133">
        <v>2008</v>
      </c>
      <c r="D133">
        <v>1.8724510623865149</v>
      </c>
      <c r="E133">
        <v>29.182825188088831</v>
      </c>
      <c r="F133">
        <v>6.2684780795034128E-24</v>
      </c>
      <c r="G133">
        <v>0</v>
      </c>
    </row>
    <row r="134" spans="1:7" x14ac:dyDescent="0.25">
      <c r="A134" t="s">
        <v>60</v>
      </c>
      <c r="B134" t="s">
        <v>39</v>
      </c>
      <c r="C134">
        <v>2009</v>
      </c>
      <c r="D134">
        <v>1.8724510623865149</v>
      </c>
      <c r="E134">
        <v>29.182825188088831</v>
      </c>
      <c r="F134">
        <v>6.2684780795034128E-24</v>
      </c>
      <c r="G134">
        <v>0</v>
      </c>
    </row>
    <row r="135" spans="1:7" x14ac:dyDescent="0.25">
      <c r="A135" t="s">
        <v>60</v>
      </c>
      <c r="B135" t="s">
        <v>39</v>
      </c>
      <c r="C135">
        <v>2010</v>
      </c>
      <c r="D135">
        <v>1.8724510623865149</v>
      </c>
      <c r="E135">
        <v>29.182825188088831</v>
      </c>
      <c r="F135">
        <v>6.2684780795034128E-24</v>
      </c>
      <c r="G135">
        <v>0</v>
      </c>
    </row>
    <row r="136" spans="1:7" x14ac:dyDescent="0.25">
      <c r="A136" t="s">
        <v>60</v>
      </c>
      <c r="B136" t="s">
        <v>39</v>
      </c>
      <c r="C136">
        <v>2011</v>
      </c>
      <c r="D136">
        <v>1.8724510623865149</v>
      </c>
      <c r="E136">
        <v>29.182825188088831</v>
      </c>
      <c r="F136">
        <v>6.2684780795034128E-24</v>
      </c>
      <c r="G136">
        <v>0</v>
      </c>
    </row>
    <row r="137" spans="1:7" x14ac:dyDescent="0.25">
      <c r="A137" t="s">
        <v>60</v>
      </c>
      <c r="B137" t="s">
        <v>39</v>
      </c>
      <c r="C137">
        <v>2012</v>
      </c>
      <c r="D137">
        <v>1.8724510623865149</v>
      </c>
      <c r="E137">
        <v>29.182825188088831</v>
      </c>
      <c r="F137">
        <v>6.2684780795034128E-24</v>
      </c>
      <c r="G137">
        <v>0</v>
      </c>
    </row>
    <row r="138" spans="1:7" x14ac:dyDescent="0.25">
      <c r="A138" t="s">
        <v>60</v>
      </c>
      <c r="B138" t="s">
        <v>39</v>
      </c>
      <c r="C138">
        <v>2013</v>
      </c>
      <c r="D138">
        <v>1.8724510623865149</v>
      </c>
      <c r="E138">
        <v>29.182825188088831</v>
      </c>
      <c r="F138">
        <v>6.2684780795034128E-24</v>
      </c>
      <c r="G138">
        <v>0</v>
      </c>
    </row>
    <row r="139" spans="1:7" x14ac:dyDescent="0.25">
      <c r="A139" t="s">
        <v>60</v>
      </c>
      <c r="B139" t="s">
        <v>39</v>
      </c>
      <c r="C139">
        <v>2014</v>
      </c>
      <c r="D139">
        <v>1.8724510623865149</v>
      </c>
      <c r="E139">
        <v>29.182825188088831</v>
      </c>
      <c r="F139">
        <v>6.2684780795034128E-24</v>
      </c>
      <c r="G139">
        <v>0</v>
      </c>
    </row>
    <row r="140" spans="1:7" x14ac:dyDescent="0.25">
      <c r="A140" t="s">
        <v>60</v>
      </c>
      <c r="B140" t="s">
        <v>39</v>
      </c>
      <c r="C140">
        <v>2015</v>
      </c>
      <c r="D140">
        <v>1.8724510623865149</v>
      </c>
      <c r="E140">
        <v>29.182825188088831</v>
      </c>
      <c r="F140">
        <v>6.2684780795034128E-24</v>
      </c>
      <c r="G140">
        <v>0</v>
      </c>
    </row>
    <row r="141" spans="1:7" x14ac:dyDescent="0.25">
      <c r="A141" t="s">
        <v>60</v>
      </c>
      <c r="B141" t="s">
        <v>39</v>
      </c>
      <c r="C141">
        <v>2016</v>
      </c>
      <c r="D141">
        <v>1.8724510623865149</v>
      </c>
      <c r="E141">
        <v>29.182825188088831</v>
      </c>
      <c r="F141">
        <v>6.2684780795034128E-24</v>
      </c>
      <c r="G141">
        <v>0</v>
      </c>
    </row>
    <row r="142" spans="1:7" x14ac:dyDescent="0.25">
      <c r="A142" t="s">
        <v>60</v>
      </c>
      <c r="B142" t="s">
        <v>39</v>
      </c>
      <c r="C142">
        <v>2017</v>
      </c>
      <c r="D142">
        <v>1.8724510623865149</v>
      </c>
      <c r="E142">
        <v>29.182825188088831</v>
      </c>
      <c r="F142">
        <v>6.2684780795034128E-24</v>
      </c>
      <c r="G142">
        <v>0</v>
      </c>
    </row>
    <row r="143" spans="1:7" x14ac:dyDescent="0.25">
      <c r="A143" t="s">
        <v>60</v>
      </c>
      <c r="B143" t="s">
        <v>39</v>
      </c>
      <c r="C143">
        <v>2018</v>
      </c>
      <c r="D143">
        <v>1.8724510623865149</v>
      </c>
      <c r="E143">
        <v>29.182825188088831</v>
      </c>
      <c r="F143">
        <v>6.2684780795034128E-24</v>
      </c>
      <c r="G143">
        <v>0</v>
      </c>
    </row>
    <row r="144" spans="1:7" x14ac:dyDescent="0.25">
      <c r="A144" t="s">
        <v>60</v>
      </c>
      <c r="B144" t="s">
        <v>39</v>
      </c>
      <c r="C144">
        <v>2019</v>
      </c>
      <c r="D144">
        <v>1.8724510623865149</v>
      </c>
      <c r="E144">
        <v>29.182825188088831</v>
      </c>
      <c r="F144">
        <v>6.2684780795034128E-24</v>
      </c>
      <c r="G144">
        <v>0</v>
      </c>
    </row>
    <row r="145" spans="1:7" x14ac:dyDescent="0.25">
      <c r="A145" t="s">
        <v>60</v>
      </c>
      <c r="B145" t="s">
        <v>39</v>
      </c>
      <c r="C145">
        <v>2020</v>
      </c>
      <c r="D145">
        <v>1.8724510623865149</v>
      </c>
      <c r="E145">
        <v>29.182825188088831</v>
      </c>
      <c r="F145">
        <v>6.2684780795034128E-24</v>
      </c>
      <c r="G145">
        <v>0</v>
      </c>
    </row>
    <row r="146" spans="1:7" x14ac:dyDescent="0.25">
      <c r="A146" t="s">
        <v>60</v>
      </c>
      <c r="B146" t="s">
        <v>39</v>
      </c>
      <c r="C146">
        <v>2021</v>
      </c>
      <c r="D146">
        <v>1.8724510623865149</v>
      </c>
      <c r="E146">
        <v>29.182825188088831</v>
      </c>
      <c r="F146">
        <v>6.2684780795034128E-24</v>
      </c>
      <c r="G146">
        <v>0</v>
      </c>
    </row>
    <row r="147" spans="1:7" x14ac:dyDescent="0.25">
      <c r="A147" t="s">
        <v>60</v>
      </c>
      <c r="B147" t="s">
        <v>39</v>
      </c>
      <c r="C147">
        <v>2022</v>
      </c>
      <c r="D147">
        <v>1.8724510623865149</v>
      </c>
      <c r="E147">
        <v>29.182825188088831</v>
      </c>
      <c r="F147">
        <v>6.2684780795034128E-24</v>
      </c>
      <c r="G147">
        <v>0</v>
      </c>
    </row>
    <row r="148" spans="1:7" x14ac:dyDescent="0.25">
      <c r="A148" t="s">
        <v>60</v>
      </c>
      <c r="B148" t="s">
        <v>39</v>
      </c>
      <c r="C148">
        <v>2023</v>
      </c>
      <c r="D148">
        <v>1.8724510623865149</v>
      </c>
      <c r="E148">
        <v>29.182825188088831</v>
      </c>
      <c r="F148">
        <v>6.2684780795034128E-24</v>
      </c>
      <c r="G148">
        <v>0</v>
      </c>
    </row>
    <row r="149" spans="1:7" x14ac:dyDescent="0.25">
      <c r="A149" t="s">
        <v>60</v>
      </c>
      <c r="B149" t="s">
        <v>39</v>
      </c>
      <c r="C149">
        <v>2024</v>
      </c>
      <c r="D149">
        <v>1.8724510623865149</v>
      </c>
      <c r="E149">
        <v>29.182825188088831</v>
      </c>
      <c r="F149">
        <v>6.2684780795034128E-24</v>
      </c>
      <c r="G149">
        <v>0</v>
      </c>
    </row>
    <row r="150" spans="1:7" x14ac:dyDescent="0.25">
      <c r="A150" t="s">
        <v>60</v>
      </c>
      <c r="B150" t="s">
        <v>39</v>
      </c>
      <c r="C150">
        <v>2025</v>
      </c>
      <c r="D150">
        <v>1.8724510623865149</v>
      </c>
      <c r="E150">
        <v>29.182825188088831</v>
      </c>
      <c r="F150">
        <v>6.2684780795034128E-24</v>
      </c>
      <c r="G150">
        <v>0</v>
      </c>
    </row>
    <row r="151" spans="1:7" x14ac:dyDescent="0.25">
      <c r="A151" t="s">
        <v>60</v>
      </c>
      <c r="B151" t="s">
        <v>39</v>
      </c>
      <c r="C151">
        <v>2026</v>
      </c>
      <c r="D151">
        <v>1.8724510623865149</v>
      </c>
      <c r="E151">
        <v>29.182825188088831</v>
      </c>
      <c r="F151">
        <v>6.2684780795034128E-24</v>
      </c>
      <c r="G151">
        <v>0</v>
      </c>
    </row>
    <row r="152" spans="1:7" x14ac:dyDescent="0.25">
      <c r="A152" t="s">
        <v>60</v>
      </c>
      <c r="B152" t="s">
        <v>39</v>
      </c>
      <c r="C152">
        <v>2027</v>
      </c>
      <c r="D152">
        <v>1.8724510623865149</v>
      </c>
      <c r="E152">
        <v>29.182825188088831</v>
      </c>
      <c r="F152">
        <v>6.2684780795034128E-24</v>
      </c>
      <c r="G152">
        <v>0</v>
      </c>
    </row>
    <row r="153" spans="1:7" x14ac:dyDescent="0.25">
      <c r="A153" t="s">
        <v>60</v>
      </c>
      <c r="B153" t="s">
        <v>39</v>
      </c>
      <c r="C153">
        <v>2028</v>
      </c>
      <c r="D153">
        <v>1.8724510623865149</v>
      </c>
      <c r="E153">
        <v>29.182825188088831</v>
      </c>
      <c r="F153">
        <v>6.2684780795034128E-24</v>
      </c>
      <c r="G153">
        <v>0</v>
      </c>
    </row>
    <row r="154" spans="1:7" x14ac:dyDescent="0.25">
      <c r="A154" t="s">
        <v>60</v>
      </c>
      <c r="B154" t="s">
        <v>39</v>
      </c>
      <c r="C154">
        <v>2029</v>
      </c>
      <c r="D154">
        <v>1.8724510623865149</v>
      </c>
      <c r="E154">
        <v>29.182825188088831</v>
      </c>
      <c r="F154">
        <v>6.2684780795034128E-24</v>
      </c>
      <c r="G154">
        <v>0</v>
      </c>
    </row>
    <row r="155" spans="1:7" x14ac:dyDescent="0.25">
      <c r="A155" t="s">
        <v>60</v>
      </c>
      <c r="B155" t="s">
        <v>39</v>
      </c>
      <c r="C155">
        <v>2030</v>
      </c>
      <c r="D155">
        <v>1.8724510623865149</v>
      </c>
      <c r="E155">
        <v>29.182825188088831</v>
      </c>
      <c r="F155">
        <v>6.2684780795034128E-24</v>
      </c>
      <c r="G155">
        <v>0</v>
      </c>
    </row>
    <row r="156" spans="1:7" x14ac:dyDescent="0.25">
      <c r="A156" t="s">
        <v>60</v>
      </c>
      <c r="B156" t="s">
        <v>39</v>
      </c>
      <c r="C156">
        <v>2031</v>
      </c>
      <c r="D156">
        <v>1.8724510623865149</v>
      </c>
      <c r="E156">
        <v>29.182825188088831</v>
      </c>
      <c r="F156">
        <v>6.2684780795034128E-24</v>
      </c>
      <c r="G156">
        <v>0</v>
      </c>
    </row>
    <row r="157" spans="1:7" x14ac:dyDescent="0.25">
      <c r="A157" t="s">
        <v>60</v>
      </c>
      <c r="B157" t="s">
        <v>39</v>
      </c>
      <c r="C157">
        <v>2032</v>
      </c>
      <c r="D157">
        <v>1.8724510623865149</v>
      </c>
      <c r="E157">
        <v>29.182825188088831</v>
      </c>
      <c r="F157">
        <v>6.2684780795034128E-24</v>
      </c>
      <c r="G157">
        <v>0</v>
      </c>
    </row>
    <row r="158" spans="1:7" x14ac:dyDescent="0.25">
      <c r="A158" t="s">
        <v>60</v>
      </c>
      <c r="B158" t="s">
        <v>39</v>
      </c>
      <c r="C158">
        <v>2033</v>
      </c>
      <c r="D158">
        <v>1.8724510623865149</v>
      </c>
      <c r="E158">
        <v>29.182825188088831</v>
      </c>
      <c r="F158">
        <v>6.2684780795034128E-24</v>
      </c>
      <c r="G158">
        <v>0</v>
      </c>
    </row>
    <row r="159" spans="1:7" x14ac:dyDescent="0.25">
      <c r="A159" t="s">
        <v>60</v>
      </c>
      <c r="B159" t="s">
        <v>39</v>
      </c>
      <c r="C159">
        <v>2034</v>
      </c>
      <c r="D159">
        <v>1.8724510623865149</v>
      </c>
      <c r="E159">
        <v>29.182825188088831</v>
      </c>
      <c r="F159">
        <v>6.2684780795034128E-24</v>
      </c>
      <c r="G159">
        <v>0</v>
      </c>
    </row>
    <row r="160" spans="1:7" x14ac:dyDescent="0.25">
      <c r="A160" t="s">
        <v>60</v>
      </c>
      <c r="B160" t="s">
        <v>39</v>
      </c>
      <c r="C160">
        <v>2035</v>
      </c>
      <c r="D160">
        <v>1.8724510623865149</v>
      </c>
      <c r="E160">
        <v>29.182825188088831</v>
      </c>
      <c r="F160">
        <v>6.2684780795034128E-24</v>
      </c>
      <c r="G160">
        <v>0</v>
      </c>
    </row>
    <row r="161" spans="1:7" x14ac:dyDescent="0.25">
      <c r="A161" t="s">
        <v>60</v>
      </c>
      <c r="B161" t="s">
        <v>39</v>
      </c>
      <c r="C161">
        <v>2036</v>
      </c>
      <c r="D161">
        <v>1.8724510623865149</v>
      </c>
      <c r="E161">
        <v>29.182825188088831</v>
      </c>
      <c r="F161">
        <v>6.2684780795034128E-24</v>
      </c>
      <c r="G161">
        <v>0</v>
      </c>
    </row>
    <row r="162" spans="1:7" x14ac:dyDescent="0.25">
      <c r="A162" t="s">
        <v>60</v>
      </c>
      <c r="B162" t="s">
        <v>39</v>
      </c>
      <c r="C162">
        <v>2037</v>
      </c>
      <c r="D162">
        <v>1.8724510623865149</v>
      </c>
      <c r="E162">
        <v>29.182825188088831</v>
      </c>
      <c r="F162">
        <v>6.2684780795034128E-24</v>
      </c>
      <c r="G162">
        <v>0</v>
      </c>
    </row>
    <row r="163" spans="1:7" x14ac:dyDescent="0.25">
      <c r="A163" t="s">
        <v>60</v>
      </c>
      <c r="B163" t="s">
        <v>39</v>
      </c>
      <c r="C163">
        <v>2038</v>
      </c>
      <c r="D163">
        <v>1.8724510623865149</v>
      </c>
      <c r="E163">
        <v>29.182825188088831</v>
      </c>
      <c r="F163">
        <v>6.2684780795034128E-24</v>
      </c>
      <c r="G163">
        <v>0</v>
      </c>
    </row>
    <row r="164" spans="1:7" x14ac:dyDescent="0.25">
      <c r="A164" t="s">
        <v>60</v>
      </c>
      <c r="B164" t="s">
        <v>39</v>
      </c>
      <c r="C164">
        <v>2039</v>
      </c>
      <c r="D164">
        <v>1.8724510623865149</v>
      </c>
      <c r="E164">
        <v>29.182825188088831</v>
      </c>
      <c r="F164">
        <v>6.2684780795034128E-24</v>
      </c>
      <c r="G164">
        <v>0</v>
      </c>
    </row>
    <row r="165" spans="1:7" x14ac:dyDescent="0.25">
      <c r="A165" t="s">
        <v>60</v>
      </c>
      <c r="B165" t="s">
        <v>39</v>
      </c>
      <c r="C165">
        <v>2040</v>
      </c>
      <c r="D165">
        <v>1.8724510623865149</v>
      </c>
      <c r="E165">
        <v>29.182825188088831</v>
      </c>
      <c r="F165">
        <v>6.2684780795034128E-24</v>
      </c>
      <c r="G165">
        <v>0</v>
      </c>
    </row>
    <row r="166" spans="1:7" x14ac:dyDescent="0.25">
      <c r="A166" t="s">
        <v>60</v>
      </c>
      <c r="B166" t="s">
        <v>39</v>
      </c>
      <c r="C166">
        <v>2041</v>
      </c>
      <c r="D166">
        <v>1.8724510623865149</v>
      </c>
      <c r="E166">
        <v>29.182825188088831</v>
      </c>
      <c r="F166">
        <v>6.2684780795034128E-24</v>
      </c>
      <c r="G166">
        <v>0</v>
      </c>
    </row>
    <row r="167" spans="1:7" x14ac:dyDescent="0.25">
      <c r="A167" t="s">
        <v>60</v>
      </c>
      <c r="B167" t="s">
        <v>39</v>
      </c>
      <c r="C167">
        <v>2042</v>
      </c>
      <c r="D167">
        <v>1.8724510623865149</v>
      </c>
      <c r="E167">
        <v>29.182825188088831</v>
      </c>
      <c r="F167">
        <v>6.2684780795034128E-24</v>
      </c>
      <c r="G167">
        <v>0</v>
      </c>
    </row>
    <row r="168" spans="1:7" x14ac:dyDescent="0.25">
      <c r="A168" t="s">
        <v>60</v>
      </c>
      <c r="B168" t="s">
        <v>39</v>
      </c>
      <c r="C168">
        <v>2043</v>
      </c>
      <c r="D168">
        <v>1.8724510623865149</v>
      </c>
      <c r="E168">
        <v>29.182825188088831</v>
      </c>
      <c r="F168">
        <v>6.2684780795034128E-24</v>
      </c>
      <c r="G168">
        <v>0</v>
      </c>
    </row>
    <row r="169" spans="1:7" x14ac:dyDescent="0.25">
      <c r="A169" t="s">
        <v>60</v>
      </c>
      <c r="B169" t="s">
        <v>39</v>
      </c>
      <c r="C169">
        <v>2044</v>
      </c>
      <c r="D169">
        <v>1.8724510623865149</v>
      </c>
      <c r="E169">
        <v>29.182825188088831</v>
      </c>
      <c r="F169">
        <v>6.2684780795034128E-24</v>
      </c>
      <c r="G169">
        <v>0</v>
      </c>
    </row>
    <row r="170" spans="1:7" x14ac:dyDescent="0.25">
      <c r="A170" t="s">
        <v>60</v>
      </c>
      <c r="B170" t="s">
        <v>39</v>
      </c>
      <c r="C170">
        <v>2045</v>
      </c>
      <c r="D170">
        <v>1.8724510623865149</v>
      </c>
      <c r="E170">
        <v>29.182825188088831</v>
      </c>
      <c r="F170">
        <v>6.2684780795034128E-24</v>
      </c>
      <c r="G170">
        <v>0</v>
      </c>
    </row>
    <row r="171" spans="1:7" x14ac:dyDescent="0.25">
      <c r="A171" t="s">
        <v>60</v>
      </c>
      <c r="B171" t="s">
        <v>39</v>
      </c>
      <c r="C171">
        <v>2046</v>
      </c>
      <c r="D171">
        <v>1.8724510623865149</v>
      </c>
      <c r="E171">
        <v>29.182825188088831</v>
      </c>
      <c r="F171">
        <v>6.2684780795034128E-24</v>
      </c>
      <c r="G171">
        <v>0</v>
      </c>
    </row>
    <row r="172" spans="1:7" x14ac:dyDescent="0.25">
      <c r="A172" t="s">
        <v>60</v>
      </c>
      <c r="B172" t="s">
        <v>39</v>
      </c>
      <c r="C172">
        <v>2047</v>
      </c>
      <c r="D172">
        <v>1.8724510623865149</v>
      </c>
      <c r="E172">
        <v>29.182825188088831</v>
      </c>
      <c r="F172">
        <v>6.2684780795034128E-24</v>
      </c>
      <c r="G172">
        <v>0</v>
      </c>
    </row>
    <row r="173" spans="1:7" x14ac:dyDescent="0.25">
      <c r="A173" t="s">
        <v>60</v>
      </c>
      <c r="B173" t="s">
        <v>39</v>
      </c>
      <c r="C173">
        <v>2048</v>
      </c>
      <c r="D173">
        <v>1.8724510623865149</v>
      </c>
      <c r="E173">
        <v>29.182825188088831</v>
      </c>
      <c r="F173">
        <v>6.2684780795034128E-24</v>
      </c>
      <c r="G173">
        <v>0</v>
      </c>
    </row>
    <row r="174" spans="1:7" x14ac:dyDescent="0.25">
      <c r="A174" t="s">
        <v>60</v>
      </c>
      <c r="B174" t="s">
        <v>39</v>
      </c>
      <c r="C174">
        <v>2049</v>
      </c>
      <c r="D174">
        <v>1.8724510623865149</v>
      </c>
      <c r="E174">
        <v>29.182825188088831</v>
      </c>
      <c r="F174">
        <v>6.2684780795034128E-24</v>
      </c>
      <c r="G174">
        <v>0</v>
      </c>
    </row>
    <row r="175" spans="1:7" x14ac:dyDescent="0.25">
      <c r="A175" t="s">
        <v>60</v>
      </c>
      <c r="B175" t="s">
        <v>39</v>
      </c>
      <c r="C175">
        <v>2050</v>
      </c>
      <c r="D175">
        <v>1.8724510623865149</v>
      </c>
      <c r="E175">
        <v>29.182825188088831</v>
      </c>
      <c r="F175">
        <v>6.2684780795034128E-24</v>
      </c>
      <c r="G175">
        <v>0</v>
      </c>
    </row>
    <row r="178" spans="1:5" x14ac:dyDescent="0.25">
      <c r="A178" s="1" t="s">
        <v>61</v>
      </c>
    </row>
    <row r="179" spans="1:5" x14ac:dyDescent="0.25">
      <c r="B179" s="1" t="s">
        <v>55</v>
      </c>
      <c r="C179" s="1" t="s">
        <v>56</v>
      </c>
      <c r="D179" s="1" t="s">
        <v>57</v>
      </c>
      <c r="E179" s="1" t="s">
        <v>62</v>
      </c>
    </row>
    <row r="180" spans="1:5" x14ac:dyDescent="0.25">
      <c r="A180" t="s">
        <v>63</v>
      </c>
      <c r="B180">
        <v>1.059414187321968</v>
      </c>
      <c r="C180">
        <v>26.25477995660405</v>
      </c>
      <c r="D180">
        <v>2.8181258712397961</v>
      </c>
      <c r="E180">
        <v>21.394488848634388</v>
      </c>
    </row>
    <row r="181" spans="1:5" x14ac:dyDescent="0.25">
      <c r="A181" t="s">
        <v>64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55"/>
  <sheetViews>
    <sheetView workbookViewId="0"/>
  </sheetViews>
  <sheetFormatPr defaultRowHeight="15" x14ac:dyDescent="0.25"/>
  <cols>
    <col min="1" max="1" width="26" customWidth="1"/>
  </cols>
  <sheetData>
    <row r="1" spans="1:87" x14ac:dyDescent="0.25">
      <c r="A1" s="6" t="s">
        <v>65</v>
      </c>
      <c r="B1" s="7"/>
      <c r="C1" s="7"/>
      <c r="D1" s="7"/>
      <c r="E1" s="7"/>
      <c r="F1" s="7"/>
      <c r="G1" s="7"/>
      <c r="H1" s="7"/>
      <c r="I1" s="7"/>
      <c r="J1" s="7"/>
    </row>
    <row r="2" spans="1:87" x14ac:dyDescent="0.25">
      <c r="A2" s="8" t="s">
        <v>66</v>
      </c>
    </row>
    <row r="3" spans="1:87" x14ac:dyDescent="0.25">
      <c r="A3" s="1" t="s">
        <v>67</v>
      </c>
    </row>
    <row r="4" spans="1:87" x14ac:dyDescent="0.25">
      <c r="A4" s="1" t="s">
        <v>59</v>
      </c>
      <c r="B4" s="1">
        <v>1965</v>
      </c>
      <c r="C4" s="1">
        <v>1966</v>
      </c>
      <c r="D4" s="1">
        <v>1967</v>
      </c>
      <c r="E4" s="1">
        <v>1968</v>
      </c>
      <c r="F4" s="1">
        <v>1969</v>
      </c>
      <c r="G4" s="1">
        <v>1970</v>
      </c>
      <c r="H4" s="1">
        <v>1971</v>
      </c>
      <c r="I4" s="1">
        <v>1972</v>
      </c>
      <c r="J4" s="1">
        <v>1973</v>
      </c>
      <c r="K4" s="1">
        <v>1974</v>
      </c>
      <c r="L4" s="1">
        <v>1975</v>
      </c>
      <c r="M4" s="1">
        <v>1976</v>
      </c>
      <c r="N4" s="1">
        <v>1977</v>
      </c>
      <c r="O4" s="1">
        <v>1978</v>
      </c>
      <c r="P4" s="1">
        <v>1979</v>
      </c>
      <c r="Q4" s="1">
        <v>1980</v>
      </c>
      <c r="R4" s="1">
        <v>1981</v>
      </c>
      <c r="S4" s="1">
        <v>1982</v>
      </c>
      <c r="T4" s="1">
        <v>1983</v>
      </c>
      <c r="U4" s="1">
        <v>1984</v>
      </c>
      <c r="V4" s="1">
        <v>1985</v>
      </c>
      <c r="W4" s="1">
        <v>1986</v>
      </c>
      <c r="X4" s="1">
        <v>1987</v>
      </c>
      <c r="Y4" s="1">
        <v>1988</v>
      </c>
      <c r="Z4" s="1">
        <v>1989</v>
      </c>
      <c r="AA4" s="1">
        <v>1990</v>
      </c>
      <c r="AB4" s="1">
        <v>1991</v>
      </c>
      <c r="AC4" s="1">
        <v>1992</v>
      </c>
      <c r="AD4" s="1">
        <v>1993</v>
      </c>
      <c r="AE4" s="1">
        <v>1994</v>
      </c>
      <c r="AF4" s="1">
        <v>1995</v>
      </c>
      <c r="AG4" s="1">
        <v>1996</v>
      </c>
      <c r="AH4" s="1">
        <v>1997</v>
      </c>
      <c r="AI4" s="1">
        <v>1998</v>
      </c>
      <c r="AJ4" s="1">
        <v>1999</v>
      </c>
      <c r="AK4" s="1">
        <v>2000</v>
      </c>
      <c r="AL4" s="1">
        <v>2001</v>
      </c>
      <c r="AM4" s="1">
        <v>2002</v>
      </c>
      <c r="AN4" s="1">
        <v>2003</v>
      </c>
      <c r="AO4" s="1">
        <v>2004</v>
      </c>
      <c r="AP4" s="1">
        <v>2005</v>
      </c>
      <c r="AQ4" s="1">
        <v>2006</v>
      </c>
      <c r="AR4" s="1">
        <v>2007</v>
      </c>
      <c r="AS4" s="1">
        <v>2008</v>
      </c>
      <c r="AT4" s="1">
        <v>2009</v>
      </c>
      <c r="AU4" s="1">
        <v>2010</v>
      </c>
      <c r="AV4" s="1">
        <v>2011</v>
      </c>
      <c r="AW4" s="1">
        <v>2012</v>
      </c>
      <c r="AX4" s="1">
        <v>2013</v>
      </c>
      <c r="AY4" s="1">
        <v>2014</v>
      </c>
      <c r="AZ4" s="1">
        <v>2015</v>
      </c>
      <c r="BA4" s="1">
        <v>2016</v>
      </c>
      <c r="BB4" s="1">
        <v>2017</v>
      </c>
      <c r="BC4" s="1">
        <v>2018</v>
      </c>
      <c r="BD4" s="1">
        <v>2019</v>
      </c>
      <c r="BE4" s="1">
        <v>2020</v>
      </c>
      <c r="BF4" s="1">
        <v>2021</v>
      </c>
      <c r="BG4" s="1">
        <v>2022</v>
      </c>
      <c r="BH4" s="1">
        <v>2023</v>
      </c>
      <c r="BI4" s="1">
        <v>2024</v>
      </c>
      <c r="BJ4" s="1">
        <v>2025</v>
      </c>
      <c r="BK4" s="1">
        <v>2026</v>
      </c>
      <c r="BL4" s="1">
        <v>2027</v>
      </c>
      <c r="BM4" s="1">
        <v>2028</v>
      </c>
      <c r="BN4" s="1">
        <v>2029</v>
      </c>
      <c r="BO4" s="1">
        <v>2030</v>
      </c>
      <c r="BP4" s="1">
        <v>2031</v>
      </c>
      <c r="BQ4" s="1">
        <v>2032</v>
      </c>
      <c r="BR4" s="1">
        <v>2033</v>
      </c>
      <c r="BS4" s="1">
        <v>2034</v>
      </c>
      <c r="BT4" s="1">
        <v>2035</v>
      </c>
      <c r="BU4" s="1">
        <v>2036</v>
      </c>
      <c r="BV4" s="1">
        <v>2037</v>
      </c>
      <c r="BW4" s="1">
        <v>2038</v>
      </c>
      <c r="BX4" s="1">
        <v>2039</v>
      </c>
      <c r="BY4" s="1">
        <v>2040</v>
      </c>
      <c r="BZ4" s="1">
        <v>2041</v>
      </c>
      <c r="CA4" s="1">
        <v>2042</v>
      </c>
      <c r="CB4" s="1">
        <v>2043</v>
      </c>
      <c r="CC4" s="1">
        <v>2044</v>
      </c>
      <c r="CD4" s="1">
        <v>2045</v>
      </c>
      <c r="CE4" s="1">
        <v>2046</v>
      </c>
      <c r="CF4" s="1">
        <v>2047</v>
      </c>
      <c r="CG4" s="1">
        <v>2048</v>
      </c>
      <c r="CH4" s="1">
        <v>2049</v>
      </c>
      <c r="CI4" s="1">
        <v>2050</v>
      </c>
    </row>
    <row r="5" spans="1:87" x14ac:dyDescent="0.25">
      <c r="A5" t="s">
        <v>39</v>
      </c>
      <c r="B5">
        <f>SUMIFS('Calibrated parameters'!$D$4:$D$175,'Calibrated parameters'!$A$4:$A$175,$A$4,'Calibrated parameters'!$B$4:$B$175,$A5,'Calibrated parameters'!$C$4:$C$175,B$4)</f>
        <v>1.6299000928983449</v>
      </c>
      <c r="C5">
        <f>SUMIFS('Calibrated parameters'!$D$4:$D$175,'Calibrated parameters'!$A$4:$A$175,$A$4,'Calibrated parameters'!$B$4:$B$175,$A5,'Calibrated parameters'!$C$4:$C$175,C$4)</f>
        <v>1.629900148568743</v>
      </c>
      <c r="D5">
        <f>SUMIFS('Calibrated parameters'!$D$4:$D$175,'Calibrated parameters'!$A$4:$A$175,$A$4,'Calibrated parameters'!$B$4:$B$175,$A5,'Calibrated parameters'!$C$4:$C$175,D$4)</f>
        <v>1.629900158188121</v>
      </c>
      <c r="E5">
        <f>SUMIFS('Calibrated parameters'!$D$4:$D$175,'Calibrated parameters'!$A$4:$A$175,$A$4,'Calibrated parameters'!$B$4:$B$175,$A5,'Calibrated parameters'!$C$4:$C$175,E$4)</f>
        <v>1.629900171904143</v>
      </c>
      <c r="F5">
        <f>SUMIFS('Calibrated parameters'!$D$4:$D$175,'Calibrated parameters'!$A$4:$A$175,$A$4,'Calibrated parameters'!$B$4:$B$175,$A5,'Calibrated parameters'!$C$4:$C$175,F$4)</f>
        <v>1.6299001978454939</v>
      </c>
      <c r="G5">
        <f>SUMIFS('Calibrated parameters'!$D$4:$D$175,'Calibrated parameters'!$A$4:$A$175,$A$4,'Calibrated parameters'!$B$4:$B$175,$A5,'Calibrated parameters'!$C$4:$C$175,G$4)</f>
        <v>1.6299002493497821</v>
      </c>
      <c r="H5">
        <f>SUMIFS('Calibrated parameters'!$D$4:$D$175,'Calibrated parameters'!$A$4:$A$175,$A$4,'Calibrated parameters'!$B$4:$B$175,$A5,'Calibrated parameters'!$C$4:$C$175,H$4)</f>
        <v>1.62990034594016</v>
      </c>
      <c r="I5">
        <f>SUMIFS('Calibrated parameters'!$D$4:$D$175,'Calibrated parameters'!$A$4:$A$175,$A$4,'Calibrated parameters'!$B$4:$B$175,$A5,'Calibrated parameters'!$C$4:$C$175,I$4)</f>
        <v>1.6299005432656051</v>
      </c>
      <c r="J5">
        <f>SUMIFS('Calibrated parameters'!$D$4:$D$175,'Calibrated parameters'!$A$4:$A$175,$A$4,'Calibrated parameters'!$B$4:$B$175,$A5,'Calibrated parameters'!$C$4:$C$175,J$4)</f>
        <v>1.6299003679356641</v>
      </c>
      <c r="K5">
        <f>SUMIFS('Calibrated parameters'!$D$4:$D$175,'Calibrated parameters'!$A$4:$A$175,$A$4,'Calibrated parameters'!$B$4:$B$175,$A5,'Calibrated parameters'!$C$4:$C$175,K$4)</f>
        <v>1.6299005791527219</v>
      </c>
      <c r="L5">
        <f>SUMIFS('Calibrated parameters'!$D$4:$D$175,'Calibrated parameters'!$A$4:$A$175,$A$4,'Calibrated parameters'!$B$4:$B$175,$A5,'Calibrated parameters'!$C$4:$C$175,L$4)</f>
        <v>1.6299010026337</v>
      </c>
      <c r="M5">
        <f>SUMIFS('Calibrated parameters'!$D$4:$D$175,'Calibrated parameters'!$A$4:$A$175,$A$4,'Calibrated parameters'!$B$4:$B$175,$A5,'Calibrated parameters'!$C$4:$C$175,M$4)</f>
        <v>1.617994119695668</v>
      </c>
      <c r="N5">
        <f>SUMIFS('Calibrated parameters'!$D$4:$D$175,'Calibrated parameters'!$A$4:$A$175,$A$4,'Calibrated parameters'!$B$4:$B$175,$A5,'Calibrated parameters'!$C$4:$C$175,N$4)</f>
        <v>1.626331009483118</v>
      </c>
      <c r="O5">
        <f>SUMIFS('Calibrated parameters'!$D$4:$D$175,'Calibrated parameters'!$A$4:$A$175,$A$4,'Calibrated parameters'!$B$4:$B$175,$A5,'Calibrated parameters'!$C$4:$C$175,O$4)</f>
        <v>1.608136866444791</v>
      </c>
      <c r="P5">
        <f>SUMIFS('Calibrated parameters'!$D$4:$D$175,'Calibrated parameters'!$A$4:$A$175,$A$4,'Calibrated parameters'!$B$4:$B$175,$A5,'Calibrated parameters'!$C$4:$C$175,P$4)</f>
        <v>1.610925004999926</v>
      </c>
      <c r="Q5">
        <f>SUMIFS('Calibrated parameters'!$D$4:$D$175,'Calibrated parameters'!$A$4:$A$175,$A$4,'Calibrated parameters'!$B$4:$B$175,$A5,'Calibrated parameters'!$C$4:$C$175,Q$4)</f>
        <v>1.6550088846306159</v>
      </c>
      <c r="R5">
        <f>SUMIFS('Calibrated parameters'!$D$4:$D$175,'Calibrated parameters'!$A$4:$A$175,$A$4,'Calibrated parameters'!$B$4:$B$175,$A5,'Calibrated parameters'!$C$4:$C$175,R$4)</f>
        <v>1.6483168386288931</v>
      </c>
      <c r="S5">
        <f>SUMIFS('Calibrated parameters'!$D$4:$D$175,'Calibrated parameters'!$A$4:$A$175,$A$4,'Calibrated parameters'!$B$4:$B$175,$A5,'Calibrated parameters'!$C$4:$C$175,S$4)</f>
        <v>1.6286658501102369</v>
      </c>
      <c r="T5">
        <f>SUMIFS('Calibrated parameters'!$D$4:$D$175,'Calibrated parameters'!$A$4:$A$175,$A$4,'Calibrated parameters'!$B$4:$B$175,$A5,'Calibrated parameters'!$C$4:$C$175,T$4)</f>
        <v>1.6120068162328429</v>
      </c>
      <c r="U5">
        <f>SUMIFS('Calibrated parameters'!$D$4:$D$175,'Calibrated parameters'!$A$4:$A$175,$A$4,'Calibrated parameters'!$B$4:$B$175,$A5,'Calibrated parameters'!$C$4:$C$175,U$4)</f>
        <v>1.6024123281259981</v>
      </c>
      <c r="V5">
        <f>SUMIFS('Calibrated parameters'!$D$4:$D$175,'Calibrated parameters'!$A$4:$A$175,$A$4,'Calibrated parameters'!$B$4:$B$175,$A5,'Calibrated parameters'!$C$4:$C$175,V$4)</f>
        <v>1.5940953124623021</v>
      </c>
      <c r="W5">
        <f>SUMIFS('Calibrated parameters'!$D$4:$D$175,'Calibrated parameters'!$A$4:$A$175,$A$4,'Calibrated parameters'!$B$4:$B$175,$A5,'Calibrated parameters'!$C$4:$C$175,W$4)</f>
        <v>1.5732869500119731</v>
      </c>
      <c r="X5">
        <f>SUMIFS('Calibrated parameters'!$D$4:$D$175,'Calibrated parameters'!$A$4:$A$175,$A$4,'Calibrated parameters'!$B$4:$B$175,$A5,'Calibrated parameters'!$C$4:$C$175,X$4)</f>
        <v>1.5794217351536499</v>
      </c>
      <c r="Y5">
        <f>SUMIFS('Calibrated parameters'!$D$4:$D$175,'Calibrated parameters'!$A$4:$A$175,$A$4,'Calibrated parameters'!$B$4:$B$175,$A5,'Calibrated parameters'!$C$4:$C$175,Y$4)</f>
        <v>1.565556855794402</v>
      </c>
      <c r="Z5">
        <f>SUMIFS('Calibrated parameters'!$D$4:$D$175,'Calibrated parameters'!$A$4:$A$175,$A$4,'Calibrated parameters'!$B$4:$B$175,$A5,'Calibrated parameters'!$C$4:$C$175,Z$4)</f>
        <v>1.545617039662778</v>
      </c>
      <c r="AA5">
        <f>SUMIFS('Calibrated parameters'!$D$4:$D$175,'Calibrated parameters'!$A$4:$A$175,$A$4,'Calibrated parameters'!$B$4:$B$175,$A5,'Calibrated parameters'!$C$4:$C$175,AA$4)</f>
        <v>1.553204985980593</v>
      </c>
      <c r="AB5">
        <f>SUMIFS('Calibrated parameters'!$D$4:$D$175,'Calibrated parameters'!$A$4:$A$175,$A$4,'Calibrated parameters'!$B$4:$B$175,$A5,'Calibrated parameters'!$C$4:$C$175,AB$4)</f>
        <v>1.552624808508035</v>
      </c>
      <c r="AC5">
        <f>SUMIFS('Calibrated parameters'!$D$4:$D$175,'Calibrated parameters'!$A$4:$A$175,$A$4,'Calibrated parameters'!$B$4:$B$175,$A5,'Calibrated parameters'!$C$4:$C$175,AC$4)</f>
        <v>1.5467009989087019</v>
      </c>
      <c r="AD5">
        <f>SUMIFS('Calibrated parameters'!$D$4:$D$175,'Calibrated parameters'!$A$4:$A$175,$A$4,'Calibrated parameters'!$B$4:$B$175,$A5,'Calibrated parameters'!$C$4:$C$175,AD$4)</f>
        <v>1.5380473999496049</v>
      </c>
      <c r="AE5">
        <f>SUMIFS('Calibrated parameters'!$D$4:$D$175,'Calibrated parameters'!$A$4:$A$175,$A$4,'Calibrated parameters'!$B$4:$B$175,$A5,'Calibrated parameters'!$C$4:$C$175,AE$4)</f>
        <v>1.4913173039305101</v>
      </c>
      <c r="AF5">
        <f>SUMIFS('Calibrated parameters'!$D$4:$D$175,'Calibrated parameters'!$A$4:$A$175,$A$4,'Calibrated parameters'!$B$4:$B$175,$A5,'Calibrated parameters'!$C$4:$C$175,AF$4)</f>
        <v>1.502179332512686</v>
      </c>
      <c r="AG5">
        <f>SUMIFS('Calibrated parameters'!$D$4:$D$175,'Calibrated parameters'!$A$4:$A$175,$A$4,'Calibrated parameters'!$B$4:$B$175,$A5,'Calibrated parameters'!$C$4:$C$175,AG$4)</f>
        <v>1.4948479288431991</v>
      </c>
      <c r="AH5">
        <f>SUMIFS('Calibrated parameters'!$D$4:$D$175,'Calibrated parameters'!$A$4:$A$175,$A$4,'Calibrated parameters'!$B$4:$B$175,$A5,'Calibrated parameters'!$C$4:$C$175,AH$4)</f>
        <v>1.482049895482578</v>
      </c>
      <c r="AI5">
        <f>SUMIFS('Calibrated parameters'!$D$4:$D$175,'Calibrated parameters'!$A$4:$A$175,$A$4,'Calibrated parameters'!$B$4:$B$175,$A5,'Calibrated parameters'!$C$4:$C$175,AI$4)</f>
        <v>1.4697994022185501</v>
      </c>
      <c r="AJ5">
        <f>SUMIFS('Calibrated parameters'!$D$4:$D$175,'Calibrated parameters'!$A$4:$A$175,$A$4,'Calibrated parameters'!$B$4:$B$175,$A5,'Calibrated parameters'!$C$4:$C$175,AJ$4)</f>
        <v>1.4696965649611911</v>
      </c>
      <c r="AK5">
        <f>SUMIFS('Calibrated parameters'!$D$4:$D$175,'Calibrated parameters'!$A$4:$A$175,$A$4,'Calibrated parameters'!$B$4:$B$175,$A5,'Calibrated parameters'!$C$4:$C$175,AK$4)</f>
        <v>1.473305283083334</v>
      </c>
      <c r="AL5">
        <f>SUMIFS('Calibrated parameters'!$D$4:$D$175,'Calibrated parameters'!$A$4:$A$175,$A$4,'Calibrated parameters'!$B$4:$B$175,$A5,'Calibrated parameters'!$C$4:$C$175,AL$4)</f>
        <v>1.4721586373573481</v>
      </c>
      <c r="AM5">
        <f>SUMIFS('Calibrated parameters'!$D$4:$D$175,'Calibrated parameters'!$A$4:$A$175,$A$4,'Calibrated parameters'!$B$4:$B$175,$A5,'Calibrated parameters'!$C$4:$C$175,AM$4)</f>
        <v>1.426469547356594</v>
      </c>
      <c r="AN5">
        <f>SUMIFS('Calibrated parameters'!$D$4:$D$175,'Calibrated parameters'!$A$4:$A$175,$A$4,'Calibrated parameters'!$B$4:$B$175,$A5,'Calibrated parameters'!$C$4:$C$175,AN$4)</f>
        <v>1.4191868031193331</v>
      </c>
      <c r="AO5">
        <f>SUMIFS('Calibrated parameters'!$D$4:$D$175,'Calibrated parameters'!$A$4:$A$175,$A$4,'Calibrated parameters'!$B$4:$B$175,$A5,'Calibrated parameters'!$C$4:$C$175,AO$4)</f>
        <v>1.4097246889059121</v>
      </c>
      <c r="AP5">
        <f>SUMIFS('Calibrated parameters'!$D$4:$D$175,'Calibrated parameters'!$A$4:$A$175,$A$4,'Calibrated parameters'!$B$4:$B$175,$A5,'Calibrated parameters'!$C$4:$C$175,AP$4)</f>
        <v>1.428456628663882</v>
      </c>
      <c r="AQ5">
        <f>SUMIFS('Calibrated parameters'!$D$4:$D$175,'Calibrated parameters'!$A$4:$A$175,$A$4,'Calibrated parameters'!$B$4:$B$175,$A5,'Calibrated parameters'!$C$4:$C$175,AQ$4)</f>
        <v>1.467094004013191</v>
      </c>
      <c r="AR5">
        <f>SUMIFS('Calibrated parameters'!$D$4:$D$175,'Calibrated parameters'!$A$4:$A$175,$A$4,'Calibrated parameters'!$B$4:$B$175,$A5,'Calibrated parameters'!$C$4:$C$175,AR$4)</f>
        <v>1.4742333248274959</v>
      </c>
      <c r="AS5">
        <f>SUMIFS('Calibrated parameters'!$D$4:$D$175,'Calibrated parameters'!$A$4:$A$175,$A$4,'Calibrated parameters'!$B$4:$B$175,$A5,'Calibrated parameters'!$C$4:$C$175,AS$4)</f>
        <v>1.47679324382471</v>
      </c>
      <c r="AT5">
        <f>SUMIFS('Calibrated parameters'!$D$4:$D$175,'Calibrated parameters'!$A$4:$A$175,$A$4,'Calibrated parameters'!$B$4:$B$175,$A5,'Calibrated parameters'!$C$4:$C$175,AT$4)</f>
        <v>1.5253886957382301</v>
      </c>
      <c r="AU5">
        <f>SUMIFS('Calibrated parameters'!$D$4:$D$175,'Calibrated parameters'!$A$4:$A$175,$A$4,'Calibrated parameters'!$B$4:$B$175,$A5,'Calibrated parameters'!$C$4:$C$175,AU$4)</f>
        <v>1.4988048573228669</v>
      </c>
      <c r="AV5">
        <f>SUMIFS('Calibrated parameters'!$D$4:$D$175,'Calibrated parameters'!$A$4:$A$175,$A$4,'Calibrated parameters'!$B$4:$B$175,$A5,'Calibrated parameters'!$C$4:$C$175,AV$4)</f>
        <v>1.466587323359599</v>
      </c>
      <c r="AW5">
        <f>SUMIFS('Calibrated parameters'!$D$4:$D$175,'Calibrated parameters'!$A$4:$A$175,$A$4,'Calibrated parameters'!$B$4:$B$175,$A5,'Calibrated parameters'!$C$4:$C$175,AW$4)</f>
        <v>1.508949126671332</v>
      </c>
      <c r="AX5">
        <f>SUMIFS('Calibrated parameters'!$D$4:$D$175,'Calibrated parameters'!$A$4:$A$175,$A$4,'Calibrated parameters'!$B$4:$B$175,$A5,'Calibrated parameters'!$C$4:$C$175,AX$4)</f>
        <v>1.507128837256055</v>
      </c>
      <c r="AY5">
        <f>SUMIFS('Calibrated parameters'!$D$4:$D$175,'Calibrated parameters'!$A$4:$A$175,$A$4,'Calibrated parameters'!$B$4:$B$175,$A5,'Calibrated parameters'!$C$4:$C$175,AY$4)</f>
        <v>1.4770418702477051</v>
      </c>
      <c r="AZ5">
        <f>SUMIFS('Calibrated parameters'!$D$4:$D$175,'Calibrated parameters'!$A$4:$A$175,$A$4,'Calibrated parameters'!$B$4:$B$175,$A5,'Calibrated parameters'!$C$4:$C$175,AZ$4)</f>
        <v>1.4631751811985241</v>
      </c>
      <c r="BA5">
        <f>SUMIFS('Calibrated parameters'!$D$4:$D$175,'Calibrated parameters'!$A$4:$A$175,$A$4,'Calibrated parameters'!$B$4:$B$175,$A5,'Calibrated parameters'!$C$4:$C$175,BA$4)</f>
        <v>1.441179276525802</v>
      </c>
      <c r="BB5">
        <f>SUMIFS('Calibrated parameters'!$D$4:$D$175,'Calibrated parameters'!$A$4:$A$175,$A$4,'Calibrated parameters'!$B$4:$B$175,$A5,'Calibrated parameters'!$C$4:$C$175,BB$4)</f>
        <v>1.4127373797759999</v>
      </c>
      <c r="BC5">
        <f>SUMIFS('Calibrated parameters'!$D$4:$D$175,'Calibrated parameters'!$A$4:$A$175,$A$4,'Calibrated parameters'!$B$4:$B$175,$A5,'Calibrated parameters'!$C$4:$C$175,BC$4)</f>
        <v>1.3885918681960241</v>
      </c>
      <c r="BD5">
        <f>SUMIFS('Calibrated parameters'!$D$4:$D$175,'Calibrated parameters'!$A$4:$A$175,$A$4,'Calibrated parameters'!$B$4:$B$175,$A5,'Calibrated parameters'!$C$4:$C$175,BD$4)</f>
        <v>1.368943889921713</v>
      </c>
      <c r="BE5">
        <f>SUMIFS('Calibrated parameters'!$D$4:$D$175,'Calibrated parameters'!$A$4:$A$175,$A$4,'Calibrated parameters'!$B$4:$B$175,$A5,'Calibrated parameters'!$C$4:$C$175,BE$4)</f>
        <v>1.3659324822525249</v>
      </c>
      <c r="BF5">
        <f>SUMIFS('Calibrated parameters'!$D$4:$D$175,'Calibrated parameters'!$A$4:$A$175,$A$4,'Calibrated parameters'!$B$4:$B$175,$A5,'Calibrated parameters'!$C$4:$C$175,BF$4)</f>
        <v>1.304838497718851</v>
      </c>
      <c r="BG5">
        <f>SUMIFS('Calibrated parameters'!$D$4:$D$175,'Calibrated parameters'!$A$4:$A$175,$A$4,'Calibrated parameters'!$B$4:$B$175,$A5,'Calibrated parameters'!$C$4:$C$175,BG$4)</f>
        <v>1.304262070434435</v>
      </c>
      <c r="BH5">
        <f>SUMIFS('Calibrated parameters'!$D$4:$D$175,'Calibrated parameters'!$A$4:$A$175,$A$4,'Calibrated parameters'!$B$4:$B$175,$A5,'Calibrated parameters'!$C$4:$C$175,BH$4)</f>
        <v>1.3065703986090309</v>
      </c>
      <c r="BI5">
        <f>SUMIFS('Calibrated parameters'!$D$4:$D$175,'Calibrated parameters'!$A$4:$A$175,$A$4,'Calibrated parameters'!$B$4:$B$175,$A5,'Calibrated parameters'!$C$4:$C$175,BI$4)</f>
        <v>1.293918333145732</v>
      </c>
      <c r="BJ5">
        <f>SUMIFS('Calibrated parameters'!$D$4:$D$175,'Calibrated parameters'!$A$4:$A$175,$A$4,'Calibrated parameters'!$B$4:$B$175,$A5,'Calibrated parameters'!$C$4:$C$175,BJ$4)</f>
        <v>1.290958415051398</v>
      </c>
      <c r="BK5">
        <f>SUMIFS('Calibrated parameters'!$D$4:$D$175,'Calibrated parameters'!$A$4:$A$175,$A$4,'Calibrated parameters'!$B$4:$B$175,$A5,'Calibrated parameters'!$C$4:$C$175,BK$4)</f>
        <v>1.2909583228184189</v>
      </c>
      <c r="BL5">
        <f>SUMIFS('Calibrated parameters'!$D$4:$D$175,'Calibrated parameters'!$A$4:$A$175,$A$4,'Calibrated parameters'!$B$4:$B$175,$A5,'Calibrated parameters'!$C$4:$C$175,BL$4)</f>
        <v>1.288608231459341</v>
      </c>
      <c r="BM5">
        <f>SUMIFS('Calibrated parameters'!$D$4:$D$175,'Calibrated parameters'!$A$4:$A$175,$A$4,'Calibrated parameters'!$B$4:$B$175,$A5,'Calibrated parameters'!$C$4:$C$175,BM$4)</f>
        <v>1.286235108662438</v>
      </c>
      <c r="BN5">
        <f>SUMIFS('Calibrated parameters'!$D$4:$D$175,'Calibrated parameters'!$A$4:$A$175,$A$4,'Calibrated parameters'!$B$4:$B$175,$A5,'Calibrated parameters'!$C$4:$C$175,BN$4)</f>
        <v>1.283829421438794</v>
      </c>
      <c r="BO5">
        <f>SUMIFS('Calibrated parameters'!$D$4:$D$175,'Calibrated parameters'!$A$4:$A$175,$A$4,'Calibrated parameters'!$B$4:$B$175,$A5,'Calibrated parameters'!$C$4:$C$175,BO$4)</f>
        <v>1.2813779734113999</v>
      </c>
      <c r="BP5">
        <f>SUMIFS('Calibrated parameters'!$D$4:$D$175,'Calibrated parameters'!$A$4:$A$175,$A$4,'Calibrated parameters'!$B$4:$B$175,$A5,'Calibrated parameters'!$C$4:$C$175,BP$4)</f>
        <v>1.2814857399637449</v>
      </c>
      <c r="BQ5">
        <f>SUMIFS('Calibrated parameters'!$D$4:$D$175,'Calibrated parameters'!$A$4:$A$175,$A$4,'Calibrated parameters'!$B$4:$B$175,$A5,'Calibrated parameters'!$C$4:$C$175,BQ$4)</f>
        <v>1.281594332998891</v>
      </c>
      <c r="BR5">
        <f>SUMIFS('Calibrated parameters'!$D$4:$D$175,'Calibrated parameters'!$A$4:$A$175,$A$4,'Calibrated parameters'!$B$4:$B$175,$A5,'Calibrated parameters'!$C$4:$C$175,BR$4)</f>
        <v>1.28170280696008</v>
      </c>
      <c r="BS5">
        <f>SUMIFS('Calibrated parameters'!$D$4:$D$175,'Calibrated parameters'!$A$4:$A$175,$A$4,'Calibrated parameters'!$B$4:$B$175,$A5,'Calibrated parameters'!$C$4:$C$175,BS$4)</f>
        <v>1.2818111611667791</v>
      </c>
      <c r="BT5">
        <f>SUMIFS('Calibrated parameters'!$D$4:$D$175,'Calibrated parameters'!$A$4:$A$175,$A$4,'Calibrated parameters'!$B$4:$B$175,$A5,'Calibrated parameters'!$C$4:$C$175,BT$4)</f>
        <v>1.2819193993325051</v>
      </c>
      <c r="BU5">
        <f>SUMIFS('Calibrated parameters'!$D$4:$D$175,'Calibrated parameters'!$A$4:$A$175,$A$4,'Calibrated parameters'!$B$4:$B$175,$A5,'Calibrated parameters'!$C$4:$C$175,BU$4)</f>
        <v>1.282027524529763</v>
      </c>
      <c r="BV5">
        <f>SUMIFS('Calibrated parameters'!$D$4:$D$175,'Calibrated parameters'!$A$4:$A$175,$A$4,'Calibrated parameters'!$B$4:$B$175,$A5,'Calibrated parameters'!$C$4:$C$175,BV$4)</f>
        <v>1.282135535415112</v>
      </c>
      <c r="BW5">
        <f>SUMIFS('Calibrated parameters'!$D$4:$D$175,'Calibrated parameters'!$A$4:$A$175,$A$4,'Calibrated parameters'!$B$4:$B$175,$A5,'Calibrated parameters'!$C$4:$C$175,BW$4)</f>
        <v>1.28224343427242</v>
      </c>
      <c r="BX5">
        <f>SUMIFS('Calibrated parameters'!$D$4:$D$175,'Calibrated parameters'!$A$4:$A$175,$A$4,'Calibrated parameters'!$B$4:$B$175,$A5,'Calibrated parameters'!$C$4:$C$175,BX$4)</f>
        <v>1.2823512252697979</v>
      </c>
      <c r="BY5">
        <f>SUMIFS('Calibrated parameters'!$D$4:$D$175,'Calibrated parameters'!$A$4:$A$175,$A$4,'Calibrated parameters'!$B$4:$B$175,$A5,'Calibrated parameters'!$C$4:$C$175,BY$4)</f>
        <v>1.2824589077697099</v>
      </c>
      <c r="BZ5">
        <f>SUMIFS('Calibrated parameters'!$D$4:$D$175,'Calibrated parameters'!$A$4:$A$175,$A$4,'Calibrated parameters'!$B$4:$B$175,$A5,'Calibrated parameters'!$C$4:$C$175,BZ$4)</f>
        <v>1.282135228918879</v>
      </c>
      <c r="CA5">
        <f>SUMIFS('Calibrated parameters'!$D$4:$D$175,'Calibrated parameters'!$A$4:$A$175,$A$4,'Calibrated parameters'!$B$4:$B$175,$A5,'Calibrated parameters'!$C$4:$C$175,CA$4)</f>
        <v>1.28180972902485</v>
      </c>
      <c r="CB5">
        <f>SUMIFS('Calibrated parameters'!$D$4:$D$175,'Calibrated parameters'!$A$4:$A$175,$A$4,'Calibrated parameters'!$B$4:$B$175,$A5,'Calibrated parameters'!$C$4:$C$175,CB$4)</f>
        <v>1.28148317504855</v>
      </c>
      <c r="CC5">
        <f>SUMIFS('Calibrated parameters'!$D$4:$D$175,'Calibrated parameters'!$A$4:$A$175,$A$4,'Calibrated parameters'!$B$4:$B$175,$A5,'Calibrated parameters'!$C$4:$C$175,CC$4)</f>
        <v>1.2811555221152859</v>
      </c>
      <c r="CD5">
        <f>SUMIFS('Calibrated parameters'!$D$4:$D$175,'Calibrated parameters'!$A$4:$A$175,$A$4,'Calibrated parameters'!$B$4:$B$175,$A5,'Calibrated parameters'!$C$4:$C$175,CD$4)</f>
        <v>1.2808267150688011</v>
      </c>
      <c r="CE5">
        <f>SUMIFS('Calibrated parameters'!$D$4:$D$175,'Calibrated parameters'!$A$4:$A$175,$A$4,'Calibrated parameters'!$B$4:$B$175,$A5,'Calibrated parameters'!$C$4:$C$175,CE$4)</f>
        <v>1.280496697539786</v>
      </c>
      <c r="CF5">
        <f>SUMIFS('Calibrated parameters'!$D$4:$D$175,'Calibrated parameters'!$A$4:$A$175,$A$4,'Calibrated parameters'!$B$4:$B$175,$A5,'Calibrated parameters'!$C$4:$C$175,CF$4)</f>
        <v>1.280165409984829</v>
      </c>
      <c r="CG5">
        <f>SUMIFS('Calibrated parameters'!$D$4:$D$175,'Calibrated parameters'!$A$4:$A$175,$A$4,'Calibrated parameters'!$B$4:$B$175,$A5,'Calibrated parameters'!$C$4:$C$175,CG$4)</f>
        <v>1.279832788952775</v>
      </c>
      <c r="CH5">
        <f>SUMIFS('Calibrated parameters'!$D$4:$D$175,'Calibrated parameters'!$A$4:$A$175,$A$4,'Calibrated parameters'!$B$4:$B$175,$A5,'Calibrated parameters'!$C$4:$C$175,CH$4)</f>
        <v>1.2794987668040481</v>
      </c>
      <c r="CI5">
        <f>SUMIFS('Calibrated parameters'!$D$4:$D$175,'Calibrated parameters'!$A$4:$A$175,$A$4,'Calibrated parameters'!$B$4:$B$175,$A5,'Calibrated parameters'!$C$4:$C$175,CI$4)</f>
        <v>1.2791622325450389</v>
      </c>
    </row>
    <row r="6" spans="1:87" x14ac:dyDescent="0.25">
      <c r="A6" t="s">
        <v>41</v>
      </c>
      <c r="B6">
        <f>Assumptions!$B$5</f>
        <v>2.09</v>
      </c>
      <c r="C6">
        <f>Assumptions!$B$5</f>
        <v>2.09</v>
      </c>
      <c r="D6">
        <f>Assumptions!$B$5</f>
        <v>2.09</v>
      </c>
      <c r="E6">
        <f>Assumptions!$B$5</f>
        <v>2.09</v>
      </c>
      <c r="F6">
        <f>Assumptions!$B$5</f>
        <v>2.09</v>
      </c>
      <c r="G6">
        <f>Assumptions!$B$5</f>
        <v>2.09</v>
      </c>
      <c r="H6">
        <f>Assumptions!$B$5</f>
        <v>2.09</v>
      </c>
      <c r="I6">
        <f>Assumptions!$B$5</f>
        <v>2.09</v>
      </c>
      <c r="J6">
        <f>Assumptions!$B$5</f>
        <v>2.09</v>
      </c>
      <c r="K6">
        <f>Assumptions!$B$5</f>
        <v>2.09</v>
      </c>
      <c r="L6">
        <f>Assumptions!$B$5</f>
        <v>2.09</v>
      </c>
      <c r="M6">
        <f>Assumptions!$B$5</f>
        <v>2.09</v>
      </c>
      <c r="N6">
        <f>Assumptions!$B$5</f>
        <v>2.09</v>
      </c>
      <c r="O6">
        <f>Assumptions!$B$5</f>
        <v>2.09</v>
      </c>
      <c r="P6">
        <f>Assumptions!$B$5</f>
        <v>2.09</v>
      </c>
      <c r="Q6">
        <f>Assumptions!$B$5</f>
        <v>2.09</v>
      </c>
      <c r="R6">
        <f>Assumptions!$B$5</f>
        <v>2.09</v>
      </c>
      <c r="S6">
        <f>Assumptions!$B$5</f>
        <v>2.09</v>
      </c>
      <c r="T6">
        <f>Assumptions!$B$5</f>
        <v>2.09</v>
      </c>
      <c r="U6">
        <f>Assumptions!$B$5</f>
        <v>2.09</v>
      </c>
      <c r="V6">
        <f>Assumptions!$B$5</f>
        <v>2.09</v>
      </c>
      <c r="W6">
        <f>Assumptions!$B$5</f>
        <v>2.09</v>
      </c>
      <c r="X6">
        <f>Assumptions!$B$5</f>
        <v>2.09</v>
      </c>
      <c r="Y6">
        <f>Assumptions!$B$5</f>
        <v>2.09</v>
      </c>
      <c r="Z6">
        <f>Assumptions!$B$5</f>
        <v>2.09</v>
      </c>
      <c r="AA6">
        <f>Assumptions!$B$5</f>
        <v>2.09</v>
      </c>
      <c r="AB6">
        <f>Assumptions!$B$5</f>
        <v>2.09</v>
      </c>
      <c r="AC6">
        <f>Assumptions!$B$5</f>
        <v>2.09</v>
      </c>
      <c r="AD6">
        <f>Assumptions!$B$5</f>
        <v>2.09</v>
      </c>
      <c r="AE6">
        <f>Assumptions!$B$5</f>
        <v>2.09</v>
      </c>
      <c r="AF6">
        <f>Assumptions!$B$5</f>
        <v>2.09</v>
      </c>
      <c r="AG6">
        <f>Assumptions!$B$5</f>
        <v>2.09</v>
      </c>
      <c r="AH6">
        <f>Assumptions!$B$5</f>
        <v>2.09</v>
      </c>
      <c r="AI6">
        <f>Assumptions!$B$5</f>
        <v>2.09</v>
      </c>
      <c r="AJ6">
        <f>Assumptions!$B$5</f>
        <v>2.09</v>
      </c>
      <c r="AK6">
        <f>Assumptions!$B$5</f>
        <v>2.09</v>
      </c>
      <c r="AL6">
        <f>Assumptions!$B$5</f>
        <v>2.09</v>
      </c>
      <c r="AM6">
        <f>Assumptions!$B$5</f>
        <v>2.09</v>
      </c>
      <c r="AN6">
        <f>Assumptions!$B$5</f>
        <v>2.09</v>
      </c>
      <c r="AO6">
        <f>Assumptions!$B$5</f>
        <v>2.09</v>
      </c>
      <c r="AP6">
        <f>Assumptions!$B$5</f>
        <v>2.09</v>
      </c>
      <c r="AQ6">
        <f>Assumptions!$B$5</f>
        <v>2.09</v>
      </c>
      <c r="AR6">
        <f>Assumptions!$B$5</f>
        <v>2.09</v>
      </c>
      <c r="AS6">
        <f>Assumptions!$B$5</f>
        <v>2.09</v>
      </c>
      <c r="AT6">
        <f>Assumptions!$B$5</f>
        <v>2.09</v>
      </c>
      <c r="AU6">
        <f>Assumptions!$B$5</f>
        <v>2.09</v>
      </c>
      <c r="AV6">
        <f>Assumptions!$B$5</f>
        <v>2.09</v>
      </c>
      <c r="AW6">
        <f>Assumptions!$B$5</f>
        <v>2.09</v>
      </c>
      <c r="AX6">
        <f>Assumptions!$B$5</f>
        <v>2.09</v>
      </c>
      <c r="AY6">
        <f>Assumptions!$B$5</f>
        <v>2.09</v>
      </c>
      <c r="AZ6">
        <f>Assumptions!$B$5</f>
        <v>2.09</v>
      </c>
      <c r="BA6">
        <f>Assumptions!$B$5</f>
        <v>2.09</v>
      </c>
      <c r="BB6">
        <f>Assumptions!$B$5</f>
        <v>2.09</v>
      </c>
      <c r="BC6">
        <f>Assumptions!$B$5</f>
        <v>2.09</v>
      </c>
      <c r="BD6">
        <f>Assumptions!$B$5</f>
        <v>2.09</v>
      </c>
      <c r="BE6">
        <f>Assumptions!$B$5</f>
        <v>2.09</v>
      </c>
      <c r="BF6">
        <f>Assumptions!$B$5</f>
        <v>2.09</v>
      </c>
      <c r="BG6">
        <f>Assumptions!$B$5</f>
        <v>2.09</v>
      </c>
      <c r="BH6">
        <f>Assumptions!$B$5</f>
        <v>2.09</v>
      </c>
      <c r="BI6">
        <f>Assumptions!$B$5</f>
        <v>2.09</v>
      </c>
      <c r="BJ6">
        <f>Assumptions!$B$5</f>
        <v>2.09</v>
      </c>
      <c r="BK6">
        <f>Assumptions!$B$5</f>
        <v>2.09</v>
      </c>
      <c r="BL6">
        <f>Assumptions!$B$5</f>
        <v>2.09</v>
      </c>
      <c r="BM6">
        <f>Assumptions!$B$5</f>
        <v>2.09</v>
      </c>
      <c r="BN6">
        <f>Assumptions!$B$5</f>
        <v>2.09</v>
      </c>
      <c r="BO6">
        <f>Assumptions!$B$5</f>
        <v>2.09</v>
      </c>
      <c r="BP6">
        <f>Assumptions!$B$5</f>
        <v>2.09</v>
      </c>
      <c r="BQ6">
        <f>Assumptions!$B$5</f>
        <v>2.09</v>
      </c>
      <c r="BR6">
        <f>Assumptions!$B$5</f>
        <v>2.09</v>
      </c>
      <c r="BS6">
        <f>Assumptions!$B$5</f>
        <v>2.09</v>
      </c>
      <c r="BT6">
        <f>Assumptions!$B$5</f>
        <v>2.09</v>
      </c>
      <c r="BU6">
        <f>Assumptions!$B$5</f>
        <v>2.09</v>
      </c>
      <c r="BV6">
        <f>Assumptions!$B$5</f>
        <v>2.09</v>
      </c>
      <c r="BW6">
        <f>Assumptions!$B$5</f>
        <v>2.09</v>
      </c>
      <c r="BX6">
        <f>Assumptions!$B$5</f>
        <v>2.09</v>
      </c>
      <c r="BY6">
        <f>Assumptions!$B$5</f>
        <v>2.09</v>
      </c>
      <c r="BZ6">
        <f>Assumptions!$B$5</f>
        <v>2.09</v>
      </c>
      <c r="CA6">
        <f>Assumptions!$B$5</f>
        <v>2.09</v>
      </c>
      <c r="CB6">
        <f>Assumptions!$B$5</f>
        <v>2.09</v>
      </c>
      <c r="CC6">
        <f>Assumptions!$B$5</f>
        <v>2.09</v>
      </c>
      <c r="CD6">
        <f>Assumptions!$B$5</f>
        <v>2.09</v>
      </c>
      <c r="CE6">
        <f>Assumptions!$B$5</f>
        <v>2.09</v>
      </c>
      <c r="CF6">
        <f>Assumptions!$B$5</f>
        <v>2.09</v>
      </c>
      <c r="CG6">
        <f>Assumptions!$B$5</f>
        <v>2.09</v>
      </c>
      <c r="CH6">
        <f>Assumptions!$B$5</f>
        <v>2.09</v>
      </c>
      <c r="CI6">
        <f>Assumptions!$B$5</f>
        <v>2.09</v>
      </c>
    </row>
    <row r="7" spans="1:87" x14ac:dyDescent="0.25">
      <c r="A7" t="s">
        <v>43</v>
      </c>
      <c r="B7">
        <f>Assumptions!$B$6</f>
        <v>2</v>
      </c>
      <c r="C7">
        <f>Assumptions!$B$6</f>
        <v>2</v>
      </c>
      <c r="D7">
        <f>Assumptions!$B$6</f>
        <v>2</v>
      </c>
      <c r="E7">
        <f>Assumptions!$B$6</f>
        <v>2</v>
      </c>
      <c r="F7">
        <f>Assumptions!$B$6</f>
        <v>2</v>
      </c>
      <c r="G7">
        <f>Assumptions!$B$6</f>
        <v>2</v>
      </c>
      <c r="H7">
        <f>Assumptions!$B$6</f>
        <v>2</v>
      </c>
      <c r="I7">
        <f>Assumptions!$B$6</f>
        <v>2</v>
      </c>
      <c r="J7">
        <f>Assumptions!$B$6</f>
        <v>2</v>
      </c>
      <c r="K7">
        <f>Assumptions!$B$6</f>
        <v>2</v>
      </c>
      <c r="L7">
        <f>Assumptions!$B$6</f>
        <v>2</v>
      </c>
      <c r="M7">
        <f>Assumptions!$B$6</f>
        <v>2</v>
      </c>
      <c r="N7">
        <f>Assumptions!$B$6</f>
        <v>2</v>
      </c>
      <c r="O7">
        <f>Assumptions!$B$6</f>
        <v>2</v>
      </c>
      <c r="P7">
        <f>Assumptions!$B$6</f>
        <v>2</v>
      </c>
      <c r="Q7">
        <f>Assumptions!$B$6</f>
        <v>2</v>
      </c>
      <c r="R7">
        <f>Assumptions!$B$6</f>
        <v>2</v>
      </c>
      <c r="S7">
        <f>Assumptions!$B$6</f>
        <v>2</v>
      </c>
      <c r="T7">
        <f>Assumptions!$B$6</f>
        <v>2</v>
      </c>
      <c r="U7">
        <f>Assumptions!$B$6</f>
        <v>2</v>
      </c>
      <c r="V7">
        <f>Assumptions!$B$6</f>
        <v>2</v>
      </c>
      <c r="W7">
        <f>Assumptions!$B$6</f>
        <v>2</v>
      </c>
      <c r="X7">
        <f>Assumptions!$B$6</f>
        <v>2</v>
      </c>
      <c r="Y7">
        <f>Assumptions!$B$6</f>
        <v>2</v>
      </c>
      <c r="Z7">
        <f>Assumptions!$B$6</f>
        <v>2</v>
      </c>
      <c r="AA7">
        <f>Assumptions!$B$6</f>
        <v>2</v>
      </c>
      <c r="AB7">
        <f>Assumptions!$B$6</f>
        <v>2</v>
      </c>
      <c r="AC7">
        <f>Assumptions!$B$6</f>
        <v>2</v>
      </c>
      <c r="AD7">
        <f>Assumptions!$B$6</f>
        <v>2</v>
      </c>
      <c r="AE7">
        <f>Assumptions!$B$6</f>
        <v>2</v>
      </c>
      <c r="AF7">
        <f>Assumptions!$B$6</f>
        <v>2</v>
      </c>
      <c r="AG7">
        <f>Assumptions!$B$6</f>
        <v>2</v>
      </c>
      <c r="AH7">
        <f>Assumptions!$B$6</f>
        <v>2</v>
      </c>
      <c r="AI7">
        <f>Assumptions!$B$6</f>
        <v>2</v>
      </c>
      <c r="AJ7">
        <f>Assumptions!$B$6</f>
        <v>2</v>
      </c>
      <c r="AK7">
        <f>Assumptions!$B$6</f>
        <v>2</v>
      </c>
      <c r="AL7">
        <f>Assumptions!$B$6</f>
        <v>2</v>
      </c>
      <c r="AM7">
        <f>Assumptions!$B$6</f>
        <v>2</v>
      </c>
      <c r="AN7">
        <f>Assumptions!$B$6</f>
        <v>2</v>
      </c>
      <c r="AO7">
        <f>Assumptions!$B$6</f>
        <v>2</v>
      </c>
      <c r="AP7">
        <f>Assumptions!$B$6</f>
        <v>2</v>
      </c>
      <c r="AQ7">
        <f>Assumptions!$B$6</f>
        <v>2</v>
      </c>
      <c r="AR7">
        <f>Assumptions!$B$6</f>
        <v>2</v>
      </c>
      <c r="AS7">
        <f>Assumptions!$B$6</f>
        <v>2</v>
      </c>
      <c r="AT7">
        <f>Assumptions!$B$6</f>
        <v>2</v>
      </c>
      <c r="AU7">
        <f>Assumptions!$B$6</f>
        <v>2</v>
      </c>
      <c r="AV7">
        <f>Assumptions!$B$6</f>
        <v>2</v>
      </c>
      <c r="AW7">
        <f>Assumptions!$B$6</f>
        <v>2</v>
      </c>
      <c r="AX7">
        <f>Assumptions!$B$6</f>
        <v>2</v>
      </c>
      <c r="AY7">
        <f>Assumptions!$B$6</f>
        <v>2</v>
      </c>
      <c r="AZ7">
        <f>Assumptions!$B$6</f>
        <v>2</v>
      </c>
      <c r="BA7">
        <f>Assumptions!$B$6</f>
        <v>2</v>
      </c>
      <c r="BB7">
        <f>Assumptions!$B$6</f>
        <v>2</v>
      </c>
      <c r="BC7">
        <f>Assumptions!$B$6</f>
        <v>2</v>
      </c>
      <c r="BD7">
        <f>Assumptions!$B$6</f>
        <v>2</v>
      </c>
      <c r="BE7">
        <f>Assumptions!$B$6</f>
        <v>2</v>
      </c>
      <c r="BF7">
        <f>Assumptions!$B$6</f>
        <v>2</v>
      </c>
      <c r="BG7">
        <f>Assumptions!$B$6</f>
        <v>2</v>
      </c>
      <c r="BH7">
        <f>Assumptions!$B$6</f>
        <v>2</v>
      </c>
      <c r="BI7">
        <f>Assumptions!$B$6</f>
        <v>2</v>
      </c>
      <c r="BJ7">
        <f>Assumptions!$B$6</f>
        <v>2</v>
      </c>
      <c r="BK7">
        <f>Assumptions!$B$6</f>
        <v>2</v>
      </c>
      <c r="BL7">
        <f>Assumptions!$B$6</f>
        <v>2</v>
      </c>
      <c r="BM7">
        <f>Assumptions!$B$6</f>
        <v>2</v>
      </c>
      <c r="BN7">
        <f>Assumptions!$B$6</f>
        <v>2</v>
      </c>
      <c r="BO7">
        <f>Assumptions!$B$6</f>
        <v>2</v>
      </c>
      <c r="BP7">
        <f>Assumptions!$B$6</f>
        <v>2</v>
      </c>
      <c r="BQ7">
        <f>Assumptions!$B$6</f>
        <v>2</v>
      </c>
      <c r="BR7">
        <f>Assumptions!$B$6</f>
        <v>2</v>
      </c>
      <c r="BS7">
        <f>Assumptions!$B$6</f>
        <v>2</v>
      </c>
      <c r="BT7">
        <f>Assumptions!$B$6</f>
        <v>2</v>
      </c>
      <c r="BU7">
        <f>Assumptions!$B$6</f>
        <v>2</v>
      </c>
      <c r="BV7">
        <f>Assumptions!$B$6</f>
        <v>2</v>
      </c>
      <c r="BW7">
        <f>Assumptions!$B$6</f>
        <v>2</v>
      </c>
      <c r="BX7">
        <f>Assumptions!$B$6</f>
        <v>2</v>
      </c>
      <c r="BY7">
        <f>Assumptions!$B$6</f>
        <v>2</v>
      </c>
      <c r="BZ7">
        <f>Assumptions!$B$6</f>
        <v>2</v>
      </c>
      <c r="CA7">
        <f>Assumptions!$B$6</f>
        <v>2</v>
      </c>
      <c r="CB7">
        <f>Assumptions!$B$6</f>
        <v>2</v>
      </c>
      <c r="CC7">
        <f>Assumptions!$B$6</f>
        <v>2</v>
      </c>
      <c r="CD7">
        <f>Assumptions!$B$6</f>
        <v>2</v>
      </c>
      <c r="CE7">
        <f>Assumptions!$B$6</f>
        <v>2</v>
      </c>
      <c r="CF7">
        <f>Assumptions!$B$6</f>
        <v>2</v>
      </c>
      <c r="CG7">
        <f>Assumptions!$B$6</f>
        <v>2</v>
      </c>
      <c r="CH7">
        <f>Assumptions!$B$6</f>
        <v>2</v>
      </c>
      <c r="CI7">
        <f>Assumptions!$B$6</f>
        <v>2</v>
      </c>
    </row>
    <row r="8" spans="1:87" x14ac:dyDescent="0.25">
      <c r="A8" t="s">
        <v>44</v>
      </c>
      <c r="B8">
        <f>Assumptions!$B$7</f>
        <v>2</v>
      </c>
      <c r="C8">
        <f>Assumptions!$B$7</f>
        <v>2</v>
      </c>
      <c r="D8">
        <f>Assumptions!$B$7</f>
        <v>2</v>
      </c>
      <c r="E8">
        <f>Assumptions!$B$7</f>
        <v>2</v>
      </c>
      <c r="F8">
        <f>Assumptions!$B$7</f>
        <v>2</v>
      </c>
      <c r="G8">
        <f>Assumptions!$B$7</f>
        <v>2</v>
      </c>
      <c r="H8">
        <f>Assumptions!$B$7</f>
        <v>2</v>
      </c>
      <c r="I8">
        <f>Assumptions!$B$7</f>
        <v>2</v>
      </c>
      <c r="J8">
        <f>Assumptions!$B$7</f>
        <v>2</v>
      </c>
      <c r="K8">
        <f>Assumptions!$B$7</f>
        <v>2</v>
      </c>
      <c r="L8">
        <f>Assumptions!$B$7</f>
        <v>2</v>
      </c>
      <c r="M8">
        <f>Assumptions!$B$7</f>
        <v>2</v>
      </c>
      <c r="N8">
        <f>Assumptions!$B$7</f>
        <v>2</v>
      </c>
      <c r="O8">
        <f>Assumptions!$B$7</f>
        <v>2</v>
      </c>
      <c r="P8">
        <f>Assumptions!$B$7</f>
        <v>2</v>
      </c>
      <c r="Q8">
        <f>Assumptions!$B$7</f>
        <v>2</v>
      </c>
      <c r="R8">
        <f>Assumptions!$B$7</f>
        <v>2</v>
      </c>
      <c r="S8">
        <f>Assumptions!$B$7</f>
        <v>2</v>
      </c>
      <c r="T8">
        <f>Assumptions!$B$7</f>
        <v>2</v>
      </c>
      <c r="U8">
        <f>Assumptions!$B$7</f>
        <v>2</v>
      </c>
      <c r="V8">
        <f>Assumptions!$B$7</f>
        <v>2</v>
      </c>
      <c r="W8">
        <f>Assumptions!$B$7</f>
        <v>2</v>
      </c>
      <c r="X8">
        <f>Assumptions!$B$7</f>
        <v>2</v>
      </c>
      <c r="Y8">
        <f>Assumptions!$B$7</f>
        <v>2</v>
      </c>
      <c r="Z8">
        <f>Assumptions!$B$7</f>
        <v>2</v>
      </c>
      <c r="AA8">
        <f>Assumptions!$B$7</f>
        <v>2</v>
      </c>
      <c r="AB8">
        <f>Assumptions!$B$7</f>
        <v>2</v>
      </c>
      <c r="AC8">
        <f>Assumptions!$B$7</f>
        <v>2</v>
      </c>
      <c r="AD8">
        <f>Assumptions!$B$7</f>
        <v>2</v>
      </c>
      <c r="AE8">
        <f>Assumptions!$B$7</f>
        <v>2</v>
      </c>
      <c r="AF8">
        <f>Assumptions!$B$7</f>
        <v>2</v>
      </c>
      <c r="AG8">
        <f>Assumptions!$B$7</f>
        <v>2</v>
      </c>
      <c r="AH8">
        <f>Assumptions!$B$7</f>
        <v>2</v>
      </c>
      <c r="AI8">
        <f>Assumptions!$B$7</f>
        <v>2</v>
      </c>
      <c r="AJ8">
        <f>Assumptions!$B$7</f>
        <v>2</v>
      </c>
      <c r="AK8">
        <f>Assumptions!$B$7</f>
        <v>2</v>
      </c>
      <c r="AL8">
        <f>Assumptions!$B$7</f>
        <v>2</v>
      </c>
      <c r="AM8">
        <f>Assumptions!$B$7</f>
        <v>2</v>
      </c>
      <c r="AN8">
        <f>Assumptions!$B$7</f>
        <v>2</v>
      </c>
      <c r="AO8">
        <f>Assumptions!$B$7</f>
        <v>2</v>
      </c>
      <c r="AP8">
        <f>Assumptions!$B$7</f>
        <v>2</v>
      </c>
      <c r="AQ8">
        <f>Assumptions!$B$7</f>
        <v>2</v>
      </c>
      <c r="AR8">
        <f>Assumptions!$B$7</f>
        <v>2</v>
      </c>
      <c r="AS8">
        <f>Assumptions!$B$7</f>
        <v>2</v>
      </c>
      <c r="AT8">
        <f>Assumptions!$B$7</f>
        <v>2</v>
      </c>
      <c r="AU8">
        <f>Assumptions!$B$7</f>
        <v>2</v>
      </c>
      <c r="AV8">
        <f>Assumptions!$B$7</f>
        <v>2</v>
      </c>
      <c r="AW8">
        <f>Assumptions!$B$7</f>
        <v>2</v>
      </c>
      <c r="AX8">
        <f>Assumptions!$B$7</f>
        <v>2</v>
      </c>
      <c r="AY8">
        <f>Assumptions!$B$7</f>
        <v>2</v>
      </c>
      <c r="AZ8">
        <f>Assumptions!$B$7</f>
        <v>2</v>
      </c>
      <c r="BA8">
        <f>Assumptions!$B$7</f>
        <v>2</v>
      </c>
      <c r="BB8">
        <f>Assumptions!$B$7</f>
        <v>2</v>
      </c>
      <c r="BC8">
        <f>Assumptions!$B$7</f>
        <v>2</v>
      </c>
      <c r="BD8">
        <f>Assumptions!$B$7</f>
        <v>2</v>
      </c>
      <c r="BE8">
        <f>Assumptions!$B$7</f>
        <v>2</v>
      </c>
      <c r="BF8">
        <f>Assumptions!$B$7</f>
        <v>2</v>
      </c>
      <c r="BG8">
        <f>Assumptions!$B$7</f>
        <v>2</v>
      </c>
      <c r="BH8">
        <f>Assumptions!$B$7</f>
        <v>2</v>
      </c>
      <c r="BI8">
        <f>Assumptions!$B$7</f>
        <v>2</v>
      </c>
      <c r="BJ8">
        <f>Assumptions!$B$7</f>
        <v>2</v>
      </c>
      <c r="BK8">
        <f>Assumptions!$B$7</f>
        <v>2</v>
      </c>
      <c r="BL8">
        <f>Assumptions!$B$7</f>
        <v>2</v>
      </c>
      <c r="BM8">
        <f>Assumptions!$B$7</f>
        <v>2</v>
      </c>
      <c r="BN8">
        <f>Assumptions!$B$7</f>
        <v>2</v>
      </c>
      <c r="BO8">
        <f>Assumptions!$B$7</f>
        <v>2</v>
      </c>
      <c r="BP8">
        <f>Assumptions!$B$7</f>
        <v>2</v>
      </c>
      <c r="BQ8">
        <f>Assumptions!$B$7</f>
        <v>2</v>
      </c>
      <c r="BR8">
        <f>Assumptions!$B$7</f>
        <v>2</v>
      </c>
      <c r="BS8">
        <f>Assumptions!$B$7</f>
        <v>2</v>
      </c>
      <c r="BT8">
        <f>Assumptions!$B$7</f>
        <v>2</v>
      </c>
      <c r="BU8">
        <f>Assumptions!$B$7</f>
        <v>2</v>
      </c>
      <c r="BV8">
        <f>Assumptions!$B$7</f>
        <v>2</v>
      </c>
      <c r="BW8">
        <f>Assumptions!$B$7</f>
        <v>2</v>
      </c>
      <c r="BX8">
        <f>Assumptions!$B$7</f>
        <v>2</v>
      </c>
      <c r="BY8">
        <f>Assumptions!$B$7</f>
        <v>2</v>
      </c>
      <c r="BZ8">
        <f>Assumptions!$B$7</f>
        <v>2</v>
      </c>
      <c r="CA8">
        <f>Assumptions!$B$7</f>
        <v>2</v>
      </c>
      <c r="CB8">
        <f>Assumptions!$B$7</f>
        <v>2</v>
      </c>
      <c r="CC8">
        <f>Assumptions!$B$7</f>
        <v>2</v>
      </c>
      <c r="CD8">
        <f>Assumptions!$B$7</f>
        <v>2</v>
      </c>
      <c r="CE8">
        <f>Assumptions!$B$7</f>
        <v>2</v>
      </c>
      <c r="CF8">
        <f>Assumptions!$B$7</f>
        <v>2</v>
      </c>
      <c r="CG8">
        <f>Assumptions!$B$7</f>
        <v>2</v>
      </c>
      <c r="CH8">
        <f>Assumptions!$B$7</f>
        <v>2</v>
      </c>
      <c r="CI8">
        <f>Assumptions!$B$7</f>
        <v>2</v>
      </c>
    </row>
    <row r="9" spans="1:87" x14ac:dyDescent="0.25">
      <c r="A9" t="s">
        <v>45</v>
      </c>
      <c r="B9">
        <f>Assumptions!$B$8</f>
        <v>2</v>
      </c>
      <c r="C9">
        <f>Assumptions!$B$8</f>
        <v>2</v>
      </c>
      <c r="D9">
        <f>Assumptions!$B$8</f>
        <v>2</v>
      </c>
      <c r="E9">
        <f>Assumptions!$B$8</f>
        <v>2</v>
      </c>
      <c r="F9">
        <f>Assumptions!$B$8</f>
        <v>2</v>
      </c>
      <c r="G9">
        <f>Assumptions!$B$8</f>
        <v>2</v>
      </c>
      <c r="H9">
        <f>Assumptions!$B$8</f>
        <v>2</v>
      </c>
      <c r="I9">
        <f>Assumptions!$B$8</f>
        <v>2</v>
      </c>
      <c r="J9">
        <f>Assumptions!$B$8</f>
        <v>2</v>
      </c>
      <c r="K9">
        <f>Assumptions!$B$8</f>
        <v>2</v>
      </c>
      <c r="L9">
        <f>Assumptions!$B$8</f>
        <v>2</v>
      </c>
      <c r="M9">
        <f>Assumptions!$B$8</f>
        <v>2</v>
      </c>
      <c r="N9">
        <f>Assumptions!$B$8</f>
        <v>2</v>
      </c>
      <c r="O9">
        <f>Assumptions!$B$8</f>
        <v>2</v>
      </c>
      <c r="P9">
        <f>Assumptions!$B$8</f>
        <v>2</v>
      </c>
      <c r="Q9">
        <f>Assumptions!$B$8</f>
        <v>2</v>
      </c>
      <c r="R9">
        <f>Assumptions!$B$8</f>
        <v>2</v>
      </c>
      <c r="S9">
        <f>Assumptions!$B$8</f>
        <v>2</v>
      </c>
      <c r="T9">
        <f>Assumptions!$B$8</f>
        <v>2</v>
      </c>
      <c r="U9">
        <f>Assumptions!$B$8</f>
        <v>2</v>
      </c>
      <c r="V9">
        <f>Assumptions!$B$8</f>
        <v>2</v>
      </c>
      <c r="W9">
        <f>Assumptions!$B$8</f>
        <v>2</v>
      </c>
      <c r="X9">
        <f>Assumptions!$B$8</f>
        <v>2</v>
      </c>
      <c r="Y9">
        <f>Assumptions!$B$8</f>
        <v>2</v>
      </c>
      <c r="Z9">
        <f>Assumptions!$B$8</f>
        <v>2</v>
      </c>
      <c r="AA9">
        <f>Assumptions!$B$8</f>
        <v>2</v>
      </c>
      <c r="AB9">
        <f>Assumptions!$B$8</f>
        <v>2</v>
      </c>
      <c r="AC9">
        <f>Assumptions!$B$8</f>
        <v>2</v>
      </c>
      <c r="AD9">
        <f>Assumptions!$B$8</f>
        <v>2</v>
      </c>
      <c r="AE9">
        <f>Assumptions!$B$8</f>
        <v>2</v>
      </c>
      <c r="AF9">
        <f>Assumptions!$B$8</f>
        <v>2</v>
      </c>
      <c r="AG9">
        <f>Assumptions!$B$8</f>
        <v>2</v>
      </c>
      <c r="AH9">
        <f>Assumptions!$B$8</f>
        <v>2</v>
      </c>
      <c r="AI9">
        <f>Assumptions!$B$8</f>
        <v>2</v>
      </c>
      <c r="AJ9">
        <f>Assumptions!$B$8</f>
        <v>2</v>
      </c>
      <c r="AK9">
        <f>Assumptions!$B$8</f>
        <v>2</v>
      </c>
      <c r="AL9">
        <f>Assumptions!$B$8</f>
        <v>2</v>
      </c>
      <c r="AM9">
        <f>Assumptions!$B$8</f>
        <v>2</v>
      </c>
      <c r="AN9">
        <f>Assumptions!$B$8</f>
        <v>2</v>
      </c>
      <c r="AO9">
        <f>Assumptions!$B$8</f>
        <v>2</v>
      </c>
      <c r="AP9">
        <f>Assumptions!$B$8</f>
        <v>2</v>
      </c>
      <c r="AQ9">
        <f>Assumptions!$B$8</f>
        <v>2</v>
      </c>
      <c r="AR9">
        <f>Assumptions!$B$8</f>
        <v>2</v>
      </c>
      <c r="AS9">
        <f>Assumptions!$B$8</f>
        <v>2</v>
      </c>
      <c r="AT9">
        <f>Assumptions!$B$8</f>
        <v>2</v>
      </c>
      <c r="AU9">
        <f>Assumptions!$B$8</f>
        <v>2</v>
      </c>
      <c r="AV9">
        <f>Assumptions!$B$8</f>
        <v>2</v>
      </c>
      <c r="AW9">
        <f>Assumptions!$B$8</f>
        <v>2</v>
      </c>
      <c r="AX9">
        <f>Assumptions!$B$8</f>
        <v>2</v>
      </c>
      <c r="AY9">
        <f>Assumptions!$B$8</f>
        <v>2</v>
      </c>
      <c r="AZ9">
        <f>Assumptions!$B$8</f>
        <v>2</v>
      </c>
      <c r="BA9">
        <f>Assumptions!$B$8</f>
        <v>2</v>
      </c>
      <c r="BB9">
        <f>Assumptions!$B$8</f>
        <v>2</v>
      </c>
      <c r="BC9">
        <f>Assumptions!$B$8</f>
        <v>2</v>
      </c>
      <c r="BD9">
        <f>Assumptions!$B$8</f>
        <v>2</v>
      </c>
      <c r="BE9">
        <f>Assumptions!$B$8</f>
        <v>2</v>
      </c>
      <c r="BF9">
        <f>Assumptions!$B$8</f>
        <v>2</v>
      </c>
      <c r="BG9">
        <f>Assumptions!$B$8</f>
        <v>2</v>
      </c>
      <c r="BH9">
        <f>Assumptions!$B$8</f>
        <v>2</v>
      </c>
      <c r="BI9">
        <f>Assumptions!$B$8</f>
        <v>2</v>
      </c>
      <c r="BJ9">
        <f>Assumptions!$B$8</f>
        <v>2</v>
      </c>
      <c r="BK9">
        <f>Assumptions!$B$8</f>
        <v>2</v>
      </c>
      <c r="BL9">
        <f>Assumptions!$B$8</f>
        <v>2</v>
      </c>
      <c r="BM9">
        <f>Assumptions!$B$8</f>
        <v>2</v>
      </c>
      <c r="BN9">
        <f>Assumptions!$B$8</f>
        <v>2</v>
      </c>
      <c r="BO9">
        <f>Assumptions!$B$8</f>
        <v>2</v>
      </c>
      <c r="BP9">
        <f>Assumptions!$B$8</f>
        <v>2</v>
      </c>
      <c r="BQ9">
        <f>Assumptions!$B$8</f>
        <v>2</v>
      </c>
      <c r="BR9">
        <f>Assumptions!$B$8</f>
        <v>2</v>
      </c>
      <c r="BS9">
        <f>Assumptions!$B$8</f>
        <v>2</v>
      </c>
      <c r="BT9">
        <f>Assumptions!$B$8</f>
        <v>2</v>
      </c>
      <c r="BU9">
        <f>Assumptions!$B$8</f>
        <v>2</v>
      </c>
      <c r="BV9">
        <f>Assumptions!$B$8</f>
        <v>2</v>
      </c>
      <c r="BW9">
        <f>Assumptions!$B$8</f>
        <v>2</v>
      </c>
      <c r="BX9">
        <f>Assumptions!$B$8</f>
        <v>2</v>
      </c>
      <c r="BY9">
        <f>Assumptions!$B$8</f>
        <v>2</v>
      </c>
      <c r="BZ9">
        <f>Assumptions!$B$8</f>
        <v>2</v>
      </c>
      <c r="CA9">
        <f>Assumptions!$B$8</f>
        <v>2</v>
      </c>
      <c r="CB9">
        <f>Assumptions!$B$8</f>
        <v>2</v>
      </c>
      <c r="CC9">
        <f>Assumptions!$B$8</f>
        <v>2</v>
      </c>
      <c r="CD9">
        <f>Assumptions!$B$8</f>
        <v>2</v>
      </c>
      <c r="CE9">
        <f>Assumptions!$B$8</f>
        <v>2</v>
      </c>
      <c r="CF9">
        <f>Assumptions!$B$8</f>
        <v>2</v>
      </c>
      <c r="CG9">
        <f>Assumptions!$B$8</f>
        <v>2</v>
      </c>
      <c r="CH9">
        <f>Assumptions!$B$8</f>
        <v>2</v>
      </c>
      <c r="CI9">
        <f>Assumptions!$B$8</f>
        <v>2</v>
      </c>
    </row>
    <row r="10" spans="1:87" x14ac:dyDescent="0.25">
      <c r="A10" t="s">
        <v>46</v>
      </c>
      <c r="B10">
        <f>Assumptions!$B$9</f>
        <v>1.06</v>
      </c>
      <c r="C10">
        <f>Assumptions!$B$9</f>
        <v>1.06</v>
      </c>
      <c r="D10">
        <f>Assumptions!$B$9</f>
        <v>1.06</v>
      </c>
      <c r="E10">
        <f>Assumptions!$B$9</f>
        <v>1.06</v>
      </c>
      <c r="F10">
        <f>Assumptions!$B$9</f>
        <v>1.06</v>
      </c>
      <c r="G10">
        <f>Assumptions!$B$9</f>
        <v>1.06</v>
      </c>
      <c r="H10">
        <f>Assumptions!$B$9</f>
        <v>1.06</v>
      </c>
      <c r="I10">
        <f>Assumptions!$B$9</f>
        <v>1.06</v>
      </c>
      <c r="J10">
        <f>Assumptions!$B$9</f>
        <v>1.06</v>
      </c>
      <c r="K10">
        <f>Assumptions!$B$9</f>
        <v>1.06</v>
      </c>
      <c r="L10">
        <f>Assumptions!$B$9</f>
        <v>1.06</v>
      </c>
      <c r="M10">
        <f>Assumptions!$B$9</f>
        <v>1.06</v>
      </c>
      <c r="N10">
        <f>Assumptions!$B$9</f>
        <v>1.06</v>
      </c>
      <c r="O10">
        <f>Assumptions!$B$9</f>
        <v>1.06</v>
      </c>
      <c r="P10">
        <f>Assumptions!$B$9</f>
        <v>1.06</v>
      </c>
      <c r="Q10">
        <f>Assumptions!$B$9</f>
        <v>1.06</v>
      </c>
      <c r="R10">
        <f>Assumptions!$B$9</f>
        <v>1.06</v>
      </c>
      <c r="S10">
        <f>Assumptions!$B$9</f>
        <v>1.06</v>
      </c>
      <c r="T10">
        <f>Assumptions!$B$9</f>
        <v>1.06</v>
      </c>
      <c r="U10">
        <f>Assumptions!$B$9</f>
        <v>1.06</v>
      </c>
      <c r="V10">
        <f>Assumptions!$B$9</f>
        <v>1.06</v>
      </c>
      <c r="W10">
        <f>Assumptions!$B$9</f>
        <v>1.06</v>
      </c>
      <c r="X10">
        <f>Assumptions!$B$9</f>
        <v>1.06</v>
      </c>
      <c r="Y10">
        <f>Assumptions!$B$9</f>
        <v>1.06</v>
      </c>
      <c r="Z10">
        <f>Assumptions!$B$9</f>
        <v>1.06</v>
      </c>
      <c r="AA10">
        <f>Assumptions!$B$9</f>
        <v>1.06</v>
      </c>
      <c r="AB10">
        <f>Assumptions!$B$9</f>
        <v>1.06</v>
      </c>
      <c r="AC10">
        <f>Assumptions!$B$9</f>
        <v>1.06</v>
      </c>
      <c r="AD10">
        <f>Assumptions!$B$9</f>
        <v>1.06</v>
      </c>
      <c r="AE10">
        <f>Assumptions!$B$9</f>
        <v>1.06</v>
      </c>
      <c r="AF10">
        <f>Assumptions!$B$9</f>
        <v>1.06</v>
      </c>
      <c r="AG10">
        <f>Assumptions!$B$9</f>
        <v>1.06</v>
      </c>
      <c r="AH10">
        <f>Assumptions!$B$9</f>
        <v>1.06</v>
      </c>
      <c r="AI10">
        <f>Assumptions!$B$9</f>
        <v>1.06</v>
      </c>
      <c r="AJ10">
        <f>Assumptions!$B$9</f>
        <v>1.06</v>
      </c>
      <c r="AK10">
        <f>Assumptions!$B$9</f>
        <v>1.06</v>
      </c>
      <c r="AL10">
        <f>Assumptions!$B$9</f>
        <v>1.06</v>
      </c>
      <c r="AM10">
        <f>Assumptions!$B$9</f>
        <v>1.06</v>
      </c>
      <c r="AN10">
        <f>Assumptions!$B$9</f>
        <v>1.06</v>
      </c>
      <c r="AO10">
        <f>Assumptions!$B$9</f>
        <v>1.06</v>
      </c>
      <c r="AP10">
        <f>Assumptions!$B$9</f>
        <v>1.06</v>
      </c>
      <c r="AQ10">
        <f>Assumptions!$B$9</f>
        <v>1.06</v>
      </c>
      <c r="AR10">
        <f>Assumptions!$B$9</f>
        <v>1.06</v>
      </c>
      <c r="AS10">
        <f>Assumptions!$B$9</f>
        <v>1.06</v>
      </c>
      <c r="AT10">
        <f>Assumptions!$B$9</f>
        <v>1.06</v>
      </c>
      <c r="AU10">
        <f>Assumptions!$B$9</f>
        <v>1.06</v>
      </c>
      <c r="AV10">
        <f>Assumptions!$B$9</f>
        <v>1.06</v>
      </c>
      <c r="AW10">
        <f>Assumptions!$B$9</f>
        <v>1.06</v>
      </c>
      <c r="AX10">
        <f>Assumptions!$B$9</f>
        <v>1.06</v>
      </c>
      <c r="AY10">
        <f>Assumptions!$B$9</f>
        <v>1.06</v>
      </c>
      <c r="AZ10">
        <f>Assumptions!$B$9</f>
        <v>1.06</v>
      </c>
      <c r="BA10">
        <f>Assumptions!$B$9</f>
        <v>1.06</v>
      </c>
      <c r="BB10">
        <f>Assumptions!$B$9</f>
        <v>1.06</v>
      </c>
      <c r="BC10">
        <f>Assumptions!$B$9</f>
        <v>1.06</v>
      </c>
      <c r="BD10">
        <f>Assumptions!$B$9</f>
        <v>1.06</v>
      </c>
      <c r="BE10">
        <f>Assumptions!$B$9</f>
        <v>1.06</v>
      </c>
      <c r="BF10">
        <f>Assumptions!$B$9</f>
        <v>1.06</v>
      </c>
      <c r="BG10">
        <f>Assumptions!$B$9</f>
        <v>1.06</v>
      </c>
      <c r="BH10">
        <f>Assumptions!$B$9</f>
        <v>1.06</v>
      </c>
      <c r="BI10">
        <f>Assumptions!$B$9</f>
        <v>1.06</v>
      </c>
      <c r="BJ10">
        <f>Assumptions!$B$9</f>
        <v>1.06</v>
      </c>
      <c r="BK10">
        <f>Assumptions!$B$9</f>
        <v>1.06</v>
      </c>
      <c r="BL10">
        <f>Assumptions!$B$9</f>
        <v>1.06</v>
      </c>
      <c r="BM10">
        <f>Assumptions!$B$9</f>
        <v>1.06</v>
      </c>
      <c r="BN10">
        <f>Assumptions!$B$9</f>
        <v>1.06</v>
      </c>
      <c r="BO10">
        <f>Assumptions!$B$9</f>
        <v>1.06</v>
      </c>
      <c r="BP10">
        <f>Assumptions!$B$9</f>
        <v>1.06</v>
      </c>
      <c r="BQ10">
        <f>Assumptions!$B$9</f>
        <v>1.06</v>
      </c>
      <c r="BR10">
        <f>Assumptions!$B$9</f>
        <v>1.06</v>
      </c>
      <c r="BS10">
        <f>Assumptions!$B$9</f>
        <v>1.06</v>
      </c>
      <c r="BT10">
        <f>Assumptions!$B$9</f>
        <v>1.06</v>
      </c>
      <c r="BU10">
        <f>Assumptions!$B$9</f>
        <v>1.06</v>
      </c>
      <c r="BV10">
        <f>Assumptions!$B$9</f>
        <v>1.06</v>
      </c>
      <c r="BW10">
        <f>Assumptions!$B$9</f>
        <v>1.06</v>
      </c>
      <c r="BX10">
        <f>Assumptions!$B$9</f>
        <v>1.06</v>
      </c>
      <c r="BY10">
        <f>Assumptions!$B$9</f>
        <v>1.06</v>
      </c>
      <c r="BZ10">
        <f>Assumptions!$B$9</f>
        <v>1.06</v>
      </c>
      <c r="CA10">
        <f>Assumptions!$B$9</f>
        <v>1.06</v>
      </c>
      <c r="CB10">
        <f>Assumptions!$B$9</f>
        <v>1.06</v>
      </c>
      <c r="CC10">
        <f>Assumptions!$B$9</f>
        <v>1.06</v>
      </c>
      <c r="CD10">
        <f>Assumptions!$B$9</f>
        <v>1.06</v>
      </c>
      <c r="CE10">
        <f>Assumptions!$B$9</f>
        <v>1.06</v>
      </c>
      <c r="CF10">
        <f>Assumptions!$B$9</f>
        <v>1.06</v>
      </c>
      <c r="CG10">
        <f>Assumptions!$B$9</f>
        <v>1.06</v>
      </c>
      <c r="CH10">
        <f>Assumptions!$B$9</f>
        <v>1.06</v>
      </c>
      <c r="CI10">
        <f>Assumptions!$B$9</f>
        <v>1.06</v>
      </c>
    </row>
    <row r="12" spans="1:87" x14ac:dyDescent="0.25">
      <c r="A12" s="1" t="s">
        <v>67</v>
      </c>
    </row>
    <row r="13" spans="1:87" x14ac:dyDescent="0.25">
      <c r="A13" s="1" t="s">
        <v>60</v>
      </c>
      <c r="B13" s="1">
        <v>1965</v>
      </c>
      <c r="C13" s="1">
        <v>1966</v>
      </c>
      <c r="D13" s="1">
        <v>1967</v>
      </c>
      <c r="E13" s="1">
        <v>1968</v>
      </c>
      <c r="F13" s="1">
        <v>1969</v>
      </c>
      <c r="G13" s="1">
        <v>1970</v>
      </c>
      <c r="H13" s="1">
        <v>1971</v>
      </c>
      <c r="I13" s="1">
        <v>1972</v>
      </c>
      <c r="J13" s="1">
        <v>1973</v>
      </c>
      <c r="K13" s="1">
        <v>1974</v>
      </c>
      <c r="L13" s="1">
        <v>1975</v>
      </c>
      <c r="M13" s="1">
        <v>1976</v>
      </c>
      <c r="N13" s="1">
        <v>1977</v>
      </c>
      <c r="O13" s="1">
        <v>1978</v>
      </c>
      <c r="P13" s="1">
        <v>1979</v>
      </c>
      <c r="Q13" s="1">
        <v>1980</v>
      </c>
      <c r="R13" s="1">
        <v>1981</v>
      </c>
      <c r="S13" s="1">
        <v>1982</v>
      </c>
      <c r="T13" s="1">
        <v>1983</v>
      </c>
      <c r="U13" s="1">
        <v>1984</v>
      </c>
      <c r="V13" s="1">
        <v>1985</v>
      </c>
      <c r="W13" s="1">
        <v>1986</v>
      </c>
      <c r="X13" s="1">
        <v>1987</v>
      </c>
      <c r="Y13" s="1">
        <v>1988</v>
      </c>
      <c r="Z13" s="1">
        <v>1989</v>
      </c>
      <c r="AA13" s="1">
        <v>1990</v>
      </c>
      <c r="AB13" s="1">
        <v>1991</v>
      </c>
      <c r="AC13" s="1">
        <v>1992</v>
      </c>
      <c r="AD13" s="1">
        <v>1993</v>
      </c>
      <c r="AE13" s="1">
        <v>1994</v>
      </c>
      <c r="AF13" s="1">
        <v>1995</v>
      </c>
      <c r="AG13" s="1">
        <v>1996</v>
      </c>
      <c r="AH13" s="1">
        <v>1997</v>
      </c>
      <c r="AI13" s="1">
        <v>1998</v>
      </c>
      <c r="AJ13" s="1">
        <v>1999</v>
      </c>
      <c r="AK13" s="1">
        <v>2000</v>
      </c>
      <c r="AL13" s="1">
        <v>2001</v>
      </c>
      <c r="AM13" s="1">
        <v>2002</v>
      </c>
      <c r="AN13" s="1">
        <v>2003</v>
      </c>
      <c r="AO13" s="1">
        <v>2004</v>
      </c>
      <c r="AP13" s="1">
        <v>2005</v>
      </c>
      <c r="AQ13" s="1">
        <v>2006</v>
      </c>
      <c r="AR13" s="1">
        <v>2007</v>
      </c>
      <c r="AS13" s="1">
        <v>2008</v>
      </c>
      <c r="AT13" s="1">
        <v>2009</v>
      </c>
      <c r="AU13" s="1">
        <v>2010</v>
      </c>
      <c r="AV13" s="1">
        <v>2011</v>
      </c>
      <c r="AW13" s="1">
        <v>2012</v>
      </c>
      <c r="AX13" s="1">
        <v>2013</v>
      </c>
      <c r="AY13" s="1">
        <v>2014</v>
      </c>
      <c r="AZ13" s="1">
        <v>2015</v>
      </c>
      <c r="BA13" s="1">
        <v>2016</v>
      </c>
      <c r="BB13" s="1">
        <v>2017</v>
      </c>
      <c r="BC13" s="1">
        <v>2018</v>
      </c>
      <c r="BD13" s="1">
        <v>2019</v>
      </c>
      <c r="BE13" s="1">
        <v>2020</v>
      </c>
      <c r="BF13" s="1">
        <v>2021</v>
      </c>
      <c r="BG13" s="1">
        <v>2022</v>
      </c>
      <c r="BH13" s="1">
        <v>2023</v>
      </c>
      <c r="BI13" s="1">
        <v>2024</v>
      </c>
      <c r="BJ13" s="1">
        <v>2025</v>
      </c>
      <c r="BK13" s="1">
        <v>2026</v>
      </c>
      <c r="BL13" s="1">
        <v>2027</v>
      </c>
      <c r="BM13" s="1">
        <v>2028</v>
      </c>
      <c r="BN13" s="1">
        <v>2029</v>
      </c>
      <c r="BO13" s="1">
        <v>2030</v>
      </c>
      <c r="BP13" s="1">
        <v>2031</v>
      </c>
      <c r="BQ13" s="1">
        <v>2032</v>
      </c>
      <c r="BR13" s="1">
        <v>2033</v>
      </c>
      <c r="BS13" s="1">
        <v>2034</v>
      </c>
      <c r="BT13" s="1">
        <v>2035</v>
      </c>
      <c r="BU13" s="1">
        <v>2036</v>
      </c>
      <c r="BV13" s="1">
        <v>2037</v>
      </c>
      <c r="BW13" s="1">
        <v>2038</v>
      </c>
      <c r="BX13" s="1">
        <v>2039</v>
      </c>
      <c r="BY13" s="1">
        <v>2040</v>
      </c>
      <c r="BZ13" s="1">
        <v>2041</v>
      </c>
      <c r="CA13" s="1">
        <v>2042</v>
      </c>
      <c r="CB13" s="1">
        <v>2043</v>
      </c>
      <c r="CC13" s="1">
        <v>2044</v>
      </c>
      <c r="CD13" s="1">
        <v>2045</v>
      </c>
      <c r="CE13" s="1">
        <v>2046</v>
      </c>
      <c r="CF13" s="1">
        <v>2047</v>
      </c>
      <c r="CG13" s="1">
        <v>2048</v>
      </c>
      <c r="CH13" s="1">
        <v>2049</v>
      </c>
      <c r="CI13" s="1">
        <v>2050</v>
      </c>
    </row>
    <row r="14" spans="1:87" x14ac:dyDescent="0.25">
      <c r="A14" t="s">
        <v>39</v>
      </c>
      <c r="B14">
        <f>SUMIFS('Calibrated parameters'!$D$4:$D$175,'Calibrated parameters'!$A$4:$A$175,$A$13,'Calibrated parameters'!$B$4:$B$175,$A14,'Calibrated parameters'!$C$4:$C$175,B$13)</f>
        <v>1.8724510623865149</v>
      </c>
      <c r="C14">
        <f>SUMIFS('Calibrated parameters'!$D$4:$D$175,'Calibrated parameters'!$A$4:$A$175,$A$13,'Calibrated parameters'!$B$4:$B$175,$A14,'Calibrated parameters'!$C$4:$C$175,C$13)</f>
        <v>1.8724510623865149</v>
      </c>
      <c r="D14">
        <f>SUMIFS('Calibrated parameters'!$D$4:$D$175,'Calibrated parameters'!$A$4:$A$175,$A$13,'Calibrated parameters'!$B$4:$B$175,$A14,'Calibrated parameters'!$C$4:$C$175,D$13)</f>
        <v>1.8724510623865149</v>
      </c>
      <c r="E14">
        <f>SUMIFS('Calibrated parameters'!$D$4:$D$175,'Calibrated parameters'!$A$4:$A$175,$A$13,'Calibrated parameters'!$B$4:$B$175,$A14,'Calibrated parameters'!$C$4:$C$175,E$13)</f>
        <v>1.8724510623865149</v>
      </c>
      <c r="F14">
        <f>SUMIFS('Calibrated parameters'!$D$4:$D$175,'Calibrated parameters'!$A$4:$A$175,$A$13,'Calibrated parameters'!$B$4:$B$175,$A14,'Calibrated parameters'!$C$4:$C$175,F$13)</f>
        <v>1.8724510623865149</v>
      </c>
      <c r="G14">
        <f>SUMIFS('Calibrated parameters'!$D$4:$D$175,'Calibrated parameters'!$A$4:$A$175,$A$13,'Calibrated parameters'!$B$4:$B$175,$A14,'Calibrated parameters'!$C$4:$C$175,G$13)</f>
        <v>1.8724510623865149</v>
      </c>
      <c r="H14">
        <f>SUMIFS('Calibrated parameters'!$D$4:$D$175,'Calibrated parameters'!$A$4:$A$175,$A$13,'Calibrated parameters'!$B$4:$B$175,$A14,'Calibrated parameters'!$C$4:$C$175,H$13)</f>
        <v>1.8724510623865149</v>
      </c>
      <c r="I14">
        <f>SUMIFS('Calibrated parameters'!$D$4:$D$175,'Calibrated parameters'!$A$4:$A$175,$A$13,'Calibrated parameters'!$B$4:$B$175,$A14,'Calibrated parameters'!$C$4:$C$175,I$13)</f>
        <v>1.8724510623865149</v>
      </c>
      <c r="J14">
        <f>SUMIFS('Calibrated parameters'!$D$4:$D$175,'Calibrated parameters'!$A$4:$A$175,$A$13,'Calibrated parameters'!$B$4:$B$175,$A14,'Calibrated parameters'!$C$4:$C$175,J$13)</f>
        <v>1.8724510623865149</v>
      </c>
      <c r="K14">
        <f>SUMIFS('Calibrated parameters'!$D$4:$D$175,'Calibrated parameters'!$A$4:$A$175,$A$13,'Calibrated parameters'!$B$4:$B$175,$A14,'Calibrated parameters'!$C$4:$C$175,K$13)</f>
        <v>1.8724510623865149</v>
      </c>
      <c r="L14">
        <f>SUMIFS('Calibrated parameters'!$D$4:$D$175,'Calibrated parameters'!$A$4:$A$175,$A$13,'Calibrated parameters'!$B$4:$B$175,$A14,'Calibrated parameters'!$C$4:$C$175,L$13)</f>
        <v>1.8724510623865149</v>
      </c>
      <c r="M14">
        <f>SUMIFS('Calibrated parameters'!$D$4:$D$175,'Calibrated parameters'!$A$4:$A$175,$A$13,'Calibrated parameters'!$B$4:$B$175,$A14,'Calibrated parameters'!$C$4:$C$175,M$13)</f>
        <v>1.8724510623865149</v>
      </c>
      <c r="N14">
        <f>SUMIFS('Calibrated parameters'!$D$4:$D$175,'Calibrated parameters'!$A$4:$A$175,$A$13,'Calibrated parameters'!$B$4:$B$175,$A14,'Calibrated parameters'!$C$4:$C$175,N$13)</f>
        <v>1.8724510623865149</v>
      </c>
      <c r="O14">
        <f>SUMIFS('Calibrated parameters'!$D$4:$D$175,'Calibrated parameters'!$A$4:$A$175,$A$13,'Calibrated parameters'!$B$4:$B$175,$A14,'Calibrated parameters'!$C$4:$C$175,O$13)</f>
        <v>1.8724510623865149</v>
      </c>
      <c r="P14">
        <f>SUMIFS('Calibrated parameters'!$D$4:$D$175,'Calibrated parameters'!$A$4:$A$175,$A$13,'Calibrated parameters'!$B$4:$B$175,$A14,'Calibrated parameters'!$C$4:$C$175,P$13)</f>
        <v>1.8724510623865149</v>
      </c>
      <c r="Q14">
        <f>SUMIFS('Calibrated parameters'!$D$4:$D$175,'Calibrated parameters'!$A$4:$A$175,$A$13,'Calibrated parameters'!$B$4:$B$175,$A14,'Calibrated parameters'!$C$4:$C$175,Q$13)</f>
        <v>1.8724510623865149</v>
      </c>
      <c r="R14">
        <f>SUMIFS('Calibrated parameters'!$D$4:$D$175,'Calibrated parameters'!$A$4:$A$175,$A$13,'Calibrated parameters'!$B$4:$B$175,$A14,'Calibrated parameters'!$C$4:$C$175,R$13)</f>
        <v>1.8724510623865149</v>
      </c>
      <c r="S14">
        <f>SUMIFS('Calibrated parameters'!$D$4:$D$175,'Calibrated parameters'!$A$4:$A$175,$A$13,'Calibrated parameters'!$B$4:$B$175,$A14,'Calibrated parameters'!$C$4:$C$175,S$13)</f>
        <v>1.8724510623865149</v>
      </c>
      <c r="T14">
        <f>SUMIFS('Calibrated parameters'!$D$4:$D$175,'Calibrated parameters'!$A$4:$A$175,$A$13,'Calibrated parameters'!$B$4:$B$175,$A14,'Calibrated parameters'!$C$4:$C$175,T$13)</f>
        <v>1.8724510623865149</v>
      </c>
      <c r="U14">
        <f>SUMIFS('Calibrated parameters'!$D$4:$D$175,'Calibrated parameters'!$A$4:$A$175,$A$13,'Calibrated parameters'!$B$4:$B$175,$A14,'Calibrated parameters'!$C$4:$C$175,U$13)</f>
        <v>1.8724510623865149</v>
      </c>
      <c r="V14">
        <f>SUMIFS('Calibrated parameters'!$D$4:$D$175,'Calibrated parameters'!$A$4:$A$175,$A$13,'Calibrated parameters'!$B$4:$B$175,$A14,'Calibrated parameters'!$C$4:$C$175,V$13)</f>
        <v>1.8724510623865149</v>
      </c>
      <c r="W14">
        <f>SUMIFS('Calibrated parameters'!$D$4:$D$175,'Calibrated parameters'!$A$4:$A$175,$A$13,'Calibrated parameters'!$B$4:$B$175,$A14,'Calibrated parameters'!$C$4:$C$175,W$13)</f>
        <v>1.8724510623865149</v>
      </c>
      <c r="X14">
        <f>SUMIFS('Calibrated parameters'!$D$4:$D$175,'Calibrated parameters'!$A$4:$A$175,$A$13,'Calibrated parameters'!$B$4:$B$175,$A14,'Calibrated parameters'!$C$4:$C$175,X$13)</f>
        <v>1.8724510623865149</v>
      </c>
      <c r="Y14">
        <f>SUMIFS('Calibrated parameters'!$D$4:$D$175,'Calibrated parameters'!$A$4:$A$175,$A$13,'Calibrated parameters'!$B$4:$B$175,$A14,'Calibrated parameters'!$C$4:$C$175,Y$13)</f>
        <v>1.8724510623865149</v>
      </c>
      <c r="Z14">
        <f>SUMIFS('Calibrated parameters'!$D$4:$D$175,'Calibrated parameters'!$A$4:$A$175,$A$13,'Calibrated parameters'!$B$4:$B$175,$A14,'Calibrated parameters'!$C$4:$C$175,Z$13)</f>
        <v>1.8724510623865149</v>
      </c>
      <c r="AA14">
        <f>SUMIFS('Calibrated parameters'!$D$4:$D$175,'Calibrated parameters'!$A$4:$A$175,$A$13,'Calibrated parameters'!$B$4:$B$175,$A14,'Calibrated parameters'!$C$4:$C$175,AA$13)</f>
        <v>1.8724510623865149</v>
      </c>
      <c r="AB14">
        <f>SUMIFS('Calibrated parameters'!$D$4:$D$175,'Calibrated parameters'!$A$4:$A$175,$A$13,'Calibrated parameters'!$B$4:$B$175,$A14,'Calibrated parameters'!$C$4:$C$175,AB$13)</f>
        <v>1.8724510623865149</v>
      </c>
      <c r="AC14">
        <f>SUMIFS('Calibrated parameters'!$D$4:$D$175,'Calibrated parameters'!$A$4:$A$175,$A$13,'Calibrated parameters'!$B$4:$B$175,$A14,'Calibrated parameters'!$C$4:$C$175,AC$13)</f>
        <v>1.8724510623865149</v>
      </c>
      <c r="AD14">
        <f>SUMIFS('Calibrated parameters'!$D$4:$D$175,'Calibrated parameters'!$A$4:$A$175,$A$13,'Calibrated parameters'!$B$4:$B$175,$A14,'Calibrated parameters'!$C$4:$C$175,AD$13)</f>
        <v>1.8724510623865149</v>
      </c>
      <c r="AE14">
        <f>SUMIFS('Calibrated parameters'!$D$4:$D$175,'Calibrated parameters'!$A$4:$A$175,$A$13,'Calibrated parameters'!$B$4:$B$175,$A14,'Calibrated parameters'!$C$4:$C$175,AE$13)</f>
        <v>1.8724510623865149</v>
      </c>
      <c r="AF14">
        <f>SUMIFS('Calibrated parameters'!$D$4:$D$175,'Calibrated parameters'!$A$4:$A$175,$A$13,'Calibrated parameters'!$B$4:$B$175,$A14,'Calibrated parameters'!$C$4:$C$175,AF$13)</f>
        <v>1.8724510623865149</v>
      </c>
      <c r="AG14">
        <f>SUMIFS('Calibrated parameters'!$D$4:$D$175,'Calibrated parameters'!$A$4:$A$175,$A$13,'Calibrated parameters'!$B$4:$B$175,$A14,'Calibrated parameters'!$C$4:$C$175,AG$13)</f>
        <v>1.8724510623865149</v>
      </c>
      <c r="AH14">
        <f>SUMIFS('Calibrated parameters'!$D$4:$D$175,'Calibrated parameters'!$A$4:$A$175,$A$13,'Calibrated parameters'!$B$4:$B$175,$A14,'Calibrated parameters'!$C$4:$C$175,AH$13)</f>
        <v>1.8724510623865149</v>
      </c>
      <c r="AI14">
        <f>SUMIFS('Calibrated parameters'!$D$4:$D$175,'Calibrated parameters'!$A$4:$A$175,$A$13,'Calibrated parameters'!$B$4:$B$175,$A14,'Calibrated parameters'!$C$4:$C$175,AI$13)</f>
        <v>1.8724510623865149</v>
      </c>
      <c r="AJ14">
        <f>SUMIFS('Calibrated parameters'!$D$4:$D$175,'Calibrated parameters'!$A$4:$A$175,$A$13,'Calibrated parameters'!$B$4:$B$175,$A14,'Calibrated parameters'!$C$4:$C$175,AJ$13)</f>
        <v>1.8724510623865149</v>
      </c>
      <c r="AK14">
        <f>SUMIFS('Calibrated parameters'!$D$4:$D$175,'Calibrated parameters'!$A$4:$A$175,$A$13,'Calibrated parameters'!$B$4:$B$175,$A14,'Calibrated parameters'!$C$4:$C$175,AK$13)</f>
        <v>1.8724510623865149</v>
      </c>
      <c r="AL14">
        <f>SUMIFS('Calibrated parameters'!$D$4:$D$175,'Calibrated parameters'!$A$4:$A$175,$A$13,'Calibrated parameters'!$B$4:$B$175,$A14,'Calibrated parameters'!$C$4:$C$175,AL$13)</f>
        <v>1.8724510623865149</v>
      </c>
      <c r="AM14">
        <f>SUMIFS('Calibrated parameters'!$D$4:$D$175,'Calibrated parameters'!$A$4:$A$175,$A$13,'Calibrated parameters'!$B$4:$B$175,$A14,'Calibrated parameters'!$C$4:$C$175,AM$13)</f>
        <v>1.8724510623865149</v>
      </c>
      <c r="AN14">
        <f>SUMIFS('Calibrated parameters'!$D$4:$D$175,'Calibrated parameters'!$A$4:$A$175,$A$13,'Calibrated parameters'!$B$4:$B$175,$A14,'Calibrated parameters'!$C$4:$C$175,AN$13)</f>
        <v>1.8724510623865149</v>
      </c>
      <c r="AO14">
        <f>SUMIFS('Calibrated parameters'!$D$4:$D$175,'Calibrated parameters'!$A$4:$A$175,$A$13,'Calibrated parameters'!$B$4:$B$175,$A14,'Calibrated parameters'!$C$4:$C$175,AO$13)</f>
        <v>1.8724510623865149</v>
      </c>
      <c r="AP14">
        <f>SUMIFS('Calibrated parameters'!$D$4:$D$175,'Calibrated parameters'!$A$4:$A$175,$A$13,'Calibrated parameters'!$B$4:$B$175,$A14,'Calibrated parameters'!$C$4:$C$175,AP$13)</f>
        <v>1.8724510623865149</v>
      </c>
      <c r="AQ14">
        <f>SUMIFS('Calibrated parameters'!$D$4:$D$175,'Calibrated parameters'!$A$4:$A$175,$A$13,'Calibrated parameters'!$B$4:$B$175,$A14,'Calibrated parameters'!$C$4:$C$175,AQ$13)</f>
        <v>1.8724510623865149</v>
      </c>
      <c r="AR14">
        <f>SUMIFS('Calibrated parameters'!$D$4:$D$175,'Calibrated parameters'!$A$4:$A$175,$A$13,'Calibrated parameters'!$B$4:$B$175,$A14,'Calibrated parameters'!$C$4:$C$175,AR$13)</f>
        <v>1.8724510623865149</v>
      </c>
      <c r="AS14">
        <f>SUMIFS('Calibrated parameters'!$D$4:$D$175,'Calibrated parameters'!$A$4:$A$175,$A$13,'Calibrated parameters'!$B$4:$B$175,$A14,'Calibrated parameters'!$C$4:$C$175,AS$13)</f>
        <v>1.8724510623865149</v>
      </c>
      <c r="AT14">
        <f>SUMIFS('Calibrated parameters'!$D$4:$D$175,'Calibrated parameters'!$A$4:$A$175,$A$13,'Calibrated parameters'!$B$4:$B$175,$A14,'Calibrated parameters'!$C$4:$C$175,AT$13)</f>
        <v>1.8724510623865149</v>
      </c>
      <c r="AU14">
        <f>SUMIFS('Calibrated parameters'!$D$4:$D$175,'Calibrated parameters'!$A$4:$A$175,$A$13,'Calibrated parameters'!$B$4:$B$175,$A14,'Calibrated parameters'!$C$4:$C$175,AU$13)</f>
        <v>1.8724510623865149</v>
      </c>
      <c r="AV14">
        <f>SUMIFS('Calibrated parameters'!$D$4:$D$175,'Calibrated parameters'!$A$4:$A$175,$A$13,'Calibrated parameters'!$B$4:$B$175,$A14,'Calibrated parameters'!$C$4:$C$175,AV$13)</f>
        <v>1.8724510623865149</v>
      </c>
      <c r="AW14">
        <f>SUMIFS('Calibrated parameters'!$D$4:$D$175,'Calibrated parameters'!$A$4:$A$175,$A$13,'Calibrated parameters'!$B$4:$B$175,$A14,'Calibrated parameters'!$C$4:$C$175,AW$13)</f>
        <v>1.8724510623865149</v>
      </c>
      <c r="AX14">
        <f>SUMIFS('Calibrated parameters'!$D$4:$D$175,'Calibrated parameters'!$A$4:$A$175,$A$13,'Calibrated parameters'!$B$4:$B$175,$A14,'Calibrated parameters'!$C$4:$C$175,AX$13)</f>
        <v>1.8724510623865149</v>
      </c>
      <c r="AY14">
        <f>SUMIFS('Calibrated parameters'!$D$4:$D$175,'Calibrated parameters'!$A$4:$A$175,$A$13,'Calibrated parameters'!$B$4:$B$175,$A14,'Calibrated parameters'!$C$4:$C$175,AY$13)</f>
        <v>1.8724510623865149</v>
      </c>
      <c r="AZ14">
        <f>SUMIFS('Calibrated parameters'!$D$4:$D$175,'Calibrated parameters'!$A$4:$A$175,$A$13,'Calibrated parameters'!$B$4:$B$175,$A14,'Calibrated parameters'!$C$4:$C$175,AZ$13)</f>
        <v>1.8724510623865149</v>
      </c>
      <c r="BA14">
        <f>SUMIFS('Calibrated parameters'!$D$4:$D$175,'Calibrated parameters'!$A$4:$A$175,$A$13,'Calibrated parameters'!$B$4:$B$175,$A14,'Calibrated parameters'!$C$4:$C$175,BA$13)</f>
        <v>1.8724510623865149</v>
      </c>
      <c r="BB14">
        <f>SUMIFS('Calibrated parameters'!$D$4:$D$175,'Calibrated parameters'!$A$4:$A$175,$A$13,'Calibrated parameters'!$B$4:$B$175,$A14,'Calibrated parameters'!$C$4:$C$175,BB$13)</f>
        <v>1.8724510623865149</v>
      </c>
      <c r="BC14">
        <f>SUMIFS('Calibrated parameters'!$D$4:$D$175,'Calibrated parameters'!$A$4:$A$175,$A$13,'Calibrated parameters'!$B$4:$B$175,$A14,'Calibrated parameters'!$C$4:$C$175,BC$13)</f>
        <v>1.8724510623865149</v>
      </c>
      <c r="BD14">
        <f>SUMIFS('Calibrated parameters'!$D$4:$D$175,'Calibrated parameters'!$A$4:$A$175,$A$13,'Calibrated parameters'!$B$4:$B$175,$A14,'Calibrated parameters'!$C$4:$C$175,BD$13)</f>
        <v>1.8724510623865149</v>
      </c>
      <c r="BE14">
        <f>SUMIFS('Calibrated parameters'!$D$4:$D$175,'Calibrated parameters'!$A$4:$A$175,$A$13,'Calibrated parameters'!$B$4:$B$175,$A14,'Calibrated parameters'!$C$4:$C$175,BE$13)</f>
        <v>1.8724510623865149</v>
      </c>
      <c r="BF14">
        <f>SUMIFS('Calibrated parameters'!$D$4:$D$175,'Calibrated parameters'!$A$4:$A$175,$A$13,'Calibrated parameters'!$B$4:$B$175,$A14,'Calibrated parameters'!$C$4:$C$175,BF$13)</f>
        <v>1.8724510623865149</v>
      </c>
      <c r="BG14">
        <f>SUMIFS('Calibrated parameters'!$D$4:$D$175,'Calibrated parameters'!$A$4:$A$175,$A$13,'Calibrated parameters'!$B$4:$B$175,$A14,'Calibrated parameters'!$C$4:$C$175,BG$13)</f>
        <v>1.8724510623865149</v>
      </c>
      <c r="BH14">
        <f>SUMIFS('Calibrated parameters'!$D$4:$D$175,'Calibrated parameters'!$A$4:$A$175,$A$13,'Calibrated parameters'!$B$4:$B$175,$A14,'Calibrated parameters'!$C$4:$C$175,BH$13)</f>
        <v>1.8724510623865149</v>
      </c>
      <c r="BI14">
        <f>SUMIFS('Calibrated parameters'!$D$4:$D$175,'Calibrated parameters'!$A$4:$A$175,$A$13,'Calibrated parameters'!$B$4:$B$175,$A14,'Calibrated parameters'!$C$4:$C$175,BI$13)</f>
        <v>1.8724510623865149</v>
      </c>
      <c r="BJ14">
        <f>SUMIFS('Calibrated parameters'!$D$4:$D$175,'Calibrated parameters'!$A$4:$A$175,$A$13,'Calibrated parameters'!$B$4:$B$175,$A14,'Calibrated parameters'!$C$4:$C$175,BJ$13)</f>
        <v>1.8724510623865149</v>
      </c>
      <c r="BK14">
        <f>SUMIFS('Calibrated parameters'!$D$4:$D$175,'Calibrated parameters'!$A$4:$A$175,$A$13,'Calibrated parameters'!$B$4:$B$175,$A14,'Calibrated parameters'!$C$4:$C$175,BK$13)</f>
        <v>1.8724510623865149</v>
      </c>
      <c r="BL14">
        <f>SUMIFS('Calibrated parameters'!$D$4:$D$175,'Calibrated parameters'!$A$4:$A$175,$A$13,'Calibrated parameters'!$B$4:$B$175,$A14,'Calibrated parameters'!$C$4:$C$175,BL$13)</f>
        <v>1.8724510623865149</v>
      </c>
      <c r="BM14">
        <f>SUMIFS('Calibrated parameters'!$D$4:$D$175,'Calibrated parameters'!$A$4:$A$175,$A$13,'Calibrated parameters'!$B$4:$B$175,$A14,'Calibrated parameters'!$C$4:$C$175,BM$13)</f>
        <v>1.8724510623865149</v>
      </c>
      <c r="BN14">
        <f>SUMIFS('Calibrated parameters'!$D$4:$D$175,'Calibrated parameters'!$A$4:$A$175,$A$13,'Calibrated parameters'!$B$4:$B$175,$A14,'Calibrated parameters'!$C$4:$C$175,BN$13)</f>
        <v>1.8724510623865149</v>
      </c>
      <c r="BO14">
        <f>SUMIFS('Calibrated parameters'!$D$4:$D$175,'Calibrated parameters'!$A$4:$A$175,$A$13,'Calibrated parameters'!$B$4:$B$175,$A14,'Calibrated parameters'!$C$4:$C$175,BO$13)</f>
        <v>1.8724510623865149</v>
      </c>
      <c r="BP14">
        <f>SUMIFS('Calibrated parameters'!$D$4:$D$175,'Calibrated parameters'!$A$4:$A$175,$A$13,'Calibrated parameters'!$B$4:$B$175,$A14,'Calibrated parameters'!$C$4:$C$175,BP$13)</f>
        <v>1.8724510623865149</v>
      </c>
      <c r="BQ14">
        <f>SUMIFS('Calibrated parameters'!$D$4:$D$175,'Calibrated parameters'!$A$4:$A$175,$A$13,'Calibrated parameters'!$B$4:$B$175,$A14,'Calibrated parameters'!$C$4:$C$175,BQ$13)</f>
        <v>1.8724510623865149</v>
      </c>
      <c r="BR14">
        <f>SUMIFS('Calibrated parameters'!$D$4:$D$175,'Calibrated parameters'!$A$4:$A$175,$A$13,'Calibrated parameters'!$B$4:$B$175,$A14,'Calibrated parameters'!$C$4:$C$175,BR$13)</f>
        <v>1.8724510623865149</v>
      </c>
      <c r="BS14">
        <f>SUMIFS('Calibrated parameters'!$D$4:$D$175,'Calibrated parameters'!$A$4:$A$175,$A$13,'Calibrated parameters'!$B$4:$B$175,$A14,'Calibrated parameters'!$C$4:$C$175,BS$13)</f>
        <v>1.8724510623865149</v>
      </c>
      <c r="BT14">
        <f>SUMIFS('Calibrated parameters'!$D$4:$D$175,'Calibrated parameters'!$A$4:$A$175,$A$13,'Calibrated parameters'!$B$4:$B$175,$A14,'Calibrated parameters'!$C$4:$C$175,BT$13)</f>
        <v>1.8724510623865149</v>
      </c>
      <c r="BU14">
        <f>SUMIFS('Calibrated parameters'!$D$4:$D$175,'Calibrated parameters'!$A$4:$A$175,$A$13,'Calibrated parameters'!$B$4:$B$175,$A14,'Calibrated parameters'!$C$4:$C$175,BU$13)</f>
        <v>1.8724510623865149</v>
      </c>
      <c r="BV14">
        <f>SUMIFS('Calibrated parameters'!$D$4:$D$175,'Calibrated parameters'!$A$4:$A$175,$A$13,'Calibrated parameters'!$B$4:$B$175,$A14,'Calibrated parameters'!$C$4:$C$175,BV$13)</f>
        <v>1.8724510623865149</v>
      </c>
      <c r="BW14">
        <f>SUMIFS('Calibrated parameters'!$D$4:$D$175,'Calibrated parameters'!$A$4:$A$175,$A$13,'Calibrated parameters'!$B$4:$B$175,$A14,'Calibrated parameters'!$C$4:$C$175,BW$13)</f>
        <v>1.8724510623865149</v>
      </c>
      <c r="BX14">
        <f>SUMIFS('Calibrated parameters'!$D$4:$D$175,'Calibrated parameters'!$A$4:$A$175,$A$13,'Calibrated parameters'!$B$4:$B$175,$A14,'Calibrated parameters'!$C$4:$C$175,BX$13)</f>
        <v>1.8724510623865149</v>
      </c>
      <c r="BY14">
        <f>SUMIFS('Calibrated parameters'!$D$4:$D$175,'Calibrated parameters'!$A$4:$A$175,$A$13,'Calibrated parameters'!$B$4:$B$175,$A14,'Calibrated parameters'!$C$4:$C$175,BY$13)</f>
        <v>1.8724510623865149</v>
      </c>
      <c r="BZ14">
        <f>SUMIFS('Calibrated parameters'!$D$4:$D$175,'Calibrated parameters'!$A$4:$A$175,$A$13,'Calibrated parameters'!$B$4:$B$175,$A14,'Calibrated parameters'!$C$4:$C$175,BZ$13)</f>
        <v>1.8724510623865149</v>
      </c>
      <c r="CA14">
        <f>SUMIFS('Calibrated parameters'!$D$4:$D$175,'Calibrated parameters'!$A$4:$A$175,$A$13,'Calibrated parameters'!$B$4:$B$175,$A14,'Calibrated parameters'!$C$4:$C$175,CA$13)</f>
        <v>1.8724510623865149</v>
      </c>
      <c r="CB14">
        <f>SUMIFS('Calibrated parameters'!$D$4:$D$175,'Calibrated parameters'!$A$4:$A$175,$A$13,'Calibrated parameters'!$B$4:$B$175,$A14,'Calibrated parameters'!$C$4:$C$175,CB$13)</f>
        <v>1.8724510623865149</v>
      </c>
      <c r="CC14">
        <f>SUMIFS('Calibrated parameters'!$D$4:$D$175,'Calibrated parameters'!$A$4:$A$175,$A$13,'Calibrated parameters'!$B$4:$B$175,$A14,'Calibrated parameters'!$C$4:$C$175,CC$13)</f>
        <v>1.8724510623865149</v>
      </c>
      <c r="CD14">
        <f>SUMIFS('Calibrated parameters'!$D$4:$D$175,'Calibrated parameters'!$A$4:$A$175,$A$13,'Calibrated parameters'!$B$4:$B$175,$A14,'Calibrated parameters'!$C$4:$C$175,CD$13)</f>
        <v>1.8724510623865149</v>
      </c>
      <c r="CE14">
        <f>SUMIFS('Calibrated parameters'!$D$4:$D$175,'Calibrated parameters'!$A$4:$A$175,$A$13,'Calibrated parameters'!$B$4:$B$175,$A14,'Calibrated parameters'!$C$4:$C$175,CE$13)</f>
        <v>1.8724510623865149</v>
      </c>
      <c r="CF14">
        <f>SUMIFS('Calibrated parameters'!$D$4:$D$175,'Calibrated parameters'!$A$4:$A$175,$A$13,'Calibrated parameters'!$B$4:$B$175,$A14,'Calibrated parameters'!$C$4:$C$175,CF$13)</f>
        <v>1.8724510623865149</v>
      </c>
      <c r="CG14">
        <f>SUMIFS('Calibrated parameters'!$D$4:$D$175,'Calibrated parameters'!$A$4:$A$175,$A$13,'Calibrated parameters'!$B$4:$B$175,$A14,'Calibrated parameters'!$C$4:$C$175,CG$13)</f>
        <v>1.8724510623865149</v>
      </c>
      <c r="CH14">
        <f>SUMIFS('Calibrated parameters'!$D$4:$D$175,'Calibrated parameters'!$A$4:$A$175,$A$13,'Calibrated parameters'!$B$4:$B$175,$A14,'Calibrated parameters'!$C$4:$C$175,CH$13)</f>
        <v>1.8724510623865149</v>
      </c>
      <c r="CI14">
        <f>SUMIFS('Calibrated parameters'!$D$4:$D$175,'Calibrated parameters'!$A$4:$A$175,$A$13,'Calibrated parameters'!$B$4:$B$175,$A14,'Calibrated parameters'!$C$4:$C$175,CI$13)</f>
        <v>1.8724510623865149</v>
      </c>
    </row>
    <row r="15" spans="1:87" x14ac:dyDescent="0.25">
      <c r="A15" t="s">
        <v>41</v>
      </c>
      <c r="B15">
        <f>'Calibrated parameters'!$B$180</f>
        <v>1.059414187321968</v>
      </c>
      <c r="C15">
        <f>'Calibrated parameters'!$B$180</f>
        <v>1.059414187321968</v>
      </c>
      <c r="D15">
        <f>'Calibrated parameters'!$B$180</f>
        <v>1.059414187321968</v>
      </c>
      <c r="E15">
        <f>'Calibrated parameters'!$B$180</f>
        <v>1.059414187321968</v>
      </c>
      <c r="F15">
        <f>'Calibrated parameters'!$B$180</f>
        <v>1.059414187321968</v>
      </c>
      <c r="G15">
        <f>'Calibrated parameters'!$B$180</f>
        <v>1.059414187321968</v>
      </c>
      <c r="H15">
        <f>'Calibrated parameters'!$B$180</f>
        <v>1.059414187321968</v>
      </c>
      <c r="I15">
        <f>'Calibrated parameters'!$B$180</f>
        <v>1.059414187321968</v>
      </c>
      <c r="J15">
        <f>'Calibrated parameters'!$B$180</f>
        <v>1.059414187321968</v>
      </c>
      <c r="K15">
        <f>'Calibrated parameters'!$B$180</f>
        <v>1.059414187321968</v>
      </c>
      <c r="L15">
        <f>'Calibrated parameters'!$B$180</f>
        <v>1.059414187321968</v>
      </c>
      <c r="M15">
        <f>'Calibrated parameters'!$B$180</f>
        <v>1.059414187321968</v>
      </c>
      <c r="N15">
        <f>'Calibrated parameters'!$B$180</f>
        <v>1.059414187321968</v>
      </c>
      <c r="O15">
        <f>'Calibrated parameters'!$B$180</f>
        <v>1.059414187321968</v>
      </c>
      <c r="P15">
        <f>'Calibrated parameters'!$B$180</f>
        <v>1.059414187321968</v>
      </c>
      <c r="Q15">
        <f>'Calibrated parameters'!$B$180</f>
        <v>1.059414187321968</v>
      </c>
      <c r="R15">
        <f>'Calibrated parameters'!$B$180</f>
        <v>1.059414187321968</v>
      </c>
      <c r="S15">
        <f>'Calibrated parameters'!$B$180</f>
        <v>1.059414187321968</v>
      </c>
      <c r="T15">
        <f>'Calibrated parameters'!$B$180</f>
        <v>1.059414187321968</v>
      </c>
      <c r="U15">
        <f>'Calibrated parameters'!$B$180</f>
        <v>1.059414187321968</v>
      </c>
      <c r="V15">
        <f>'Calibrated parameters'!$B$180</f>
        <v>1.059414187321968</v>
      </c>
      <c r="W15">
        <f>'Calibrated parameters'!$B$180</f>
        <v>1.059414187321968</v>
      </c>
      <c r="X15">
        <f>'Calibrated parameters'!$B$180</f>
        <v>1.059414187321968</v>
      </c>
      <c r="Y15">
        <f>'Calibrated parameters'!$B$180</f>
        <v>1.059414187321968</v>
      </c>
      <c r="Z15">
        <f>'Calibrated parameters'!$B$180</f>
        <v>1.059414187321968</v>
      </c>
      <c r="AA15">
        <f>'Calibrated parameters'!$B$180</f>
        <v>1.059414187321968</v>
      </c>
      <c r="AB15">
        <f>'Calibrated parameters'!$B$180</f>
        <v>1.059414187321968</v>
      </c>
      <c r="AC15">
        <f>'Calibrated parameters'!$B$180</f>
        <v>1.059414187321968</v>
      </c>
      <c r="AD15">
        <f>'Calibrated parameters'!$B$180</f>
        <v>1.059414187321968</v>
      </c>
      <c r="AE15">
        <f>'Calibrated parameters'!$B$180</f>
        <v>1.059414187321968</v>
      </c>
      <c r="AF15">
        <f>'Calibrated parameters'!$B$180</f>
        <v>1.059414187321968</v>
      </c>
      <c r="AG15">
        <f>'Calibrated parameters'!$B$180</f>
        <v>1.059414187321968</v>
      </c>
      <c r="AH15">
        <f>'Calibrated parameters'!$B$180</f>
        <v>1.059414187321968</v>
      </c>
      <c r="AI15">
        <f>'Calibrated parameters'!$B$180</f>
        <v>1.059414187321968</v>
      </c>
      <c r="AJ15">
        <f>'Calibrated parameters'!$B$180</f>
        <v>1.059414187321968</v>
      </c>
      <c r="AK15">
        <f>'Calibrated parameters'!$B$180</f>
        <v>1.059414187321968</v>
      </c>
      <c r="AL15">
        <f>'Calibrated parameters'!$B$180</f>
        <v>1.059414187321968</v>
      </c>
      <c r="AM15">
        <f>'Calibrated parameters'!$B$180</f>
        <v>1.059414187321968</v>
      </c>
      <c r="AN15">
        <f>'Calibrated parameters'!$B$180</f>
        <v>1.059414187321968</v>
      </c>
      <c r="AO15">
        <f>'Calibrated parameters'!$B$180</f>
        <v>1.059414187321968</v>
      </c>
      <c r="AP15">
        <f>'Calibrated parameters'!$B$180</f>
        <v>1.059414187321968</v>
      </c>
      <c r="AQ15">
        <f>'Calibrated parameters'!$B$180</f>
        <v>1.059414187321968</v>
      </c>
      <c r="AR15">
        <f>'Calibrated parameters'!$B$180</f>
        <v>1.059414187321968</v>
      </c>
      <c r="AS15">
        <f>'Calibrated parameters'!$B$180</f>
        <v>1.059414187321968</v>
      </c>
      <c r="AT15">
        <f>'Calibrated parameters'!$B$180</f>
        <v>1.059414187321968</v>
      </c>
      <c r="AU15">
        <f>'Calibrated parameters'!$B$180</f>
        <v>1.059414187321968</v>
      </c>
      <c r="AV15">
        <f>'Calibrated parameters'!$B$180</f>
        <v>1.059414187321968</v>
      </c>
      <c r="AW15">
        <f>'Calibrated parameters'!$B$180</f>
        <v>1.059414187321968</v>
      </c>
      <c r="AX15">
        <f>'Calibrated parameters'!$B$180</f>
        <v>1.059414187321968</v>
      </c>
      <c r="AY15">
        <f>'Calibrated parameters'!$B$180</f>
        <v>1.059414187321968</v>
      </c>
      <c r="AZ15">
        <f>'Calibrated parameters'!$B$180</f>
        <v>1.059414187321968</v>
      </c>
      <c r="BA15">
        <f>'Calibrated parameters'!$B$180</f>
        <v>1.059414187321968</v>
      </c>
      <c r="BB15">
        <f>'Calibrated parameters'!$B$180</f>
        <v>1.059414187321968</v>
      </c>
      <c r="BC15">
        <f>'Calibrated parameters'!$B$180</f>
        <v>1.059414187321968</v>
      </c>
      <c r="BD15">
        <f>'Calibrated parameters'!$B$180</f>
        <v>1.059414187321968</v>
      </c>
      <c r="BE15">
        <f>'Calibrated parameters'!$B$180</f>
        <v>1.059414187321968</v>
      </c>
      <c r="BF15">
        <f>'Calibrated parameters'!$B$180</f>
        <v>1.059414187321968</v>
      </c>
      <c r="BG15">
        <f>'Calibrated parameters'!$B$180</f>
        <v>1.059414187321968</v>
      </c>
      <c r="BH15">
        <f>'Calibrated parameters'!$B$180</f>
        <v>1.059414187321968</v>
      </c>
      <c r="BI15">
        <f>'Calibrated parameters'!$B$180</f>
        <v>1.059414187321968</v>
      </c>
      <c r="BJ15">
        <f>'Calibrated parameters'!$B$180</f>
        <v>1.059414187321968</v>
      </c>
      <c r="BK15">
        <f>'Calibrated parameters'!$B$180</f>
        <v>1.059414187321968</v>
      </c>
      <c r="BL15">
        <f>'Calibrated parameters'!$B$180</f>
        <v>1.059414187321968</v>
      </c>
      <c r="BM15">
        <f>'Calibrated parameters'!$B$180</f>
        <v>1.059414187321968</v>
      </c>
      <c r="BN15">
        <f>'Calibrated parameters'!$B$180</f>
        <v>1.059414187321968</v>
      </c>
      <c r="BO15">
        <f>'Calibrated parameters'!$B$180</f>
        <v>1.059414187321968</v>
      </c>
      <c r="BP15">
        <f>'Calibrated parameters'!$B$180</f>
        <v>1.059414187321968</v>
      </c>
      <c r="BQ15">
        <f>'Calibrated parameters'!$B$180</f>
        <v>1.059414187321968</v>
      </c>
      <c r="BR15">
        <f>'Calibrated parameters'!$B$180</f>
        <v>1.059414187321968</v>
      </c>
      <c r="BS15">
        <f>'Calibrated parameters'!$B$180</f>
        <v>1.059414187321968</v>
      </c>
      <c r="BT15">
        <f>'Calibrated parameters'!$B$180</f>
        <v>1.059414187321968</v>
      </c>
      <c r="BU15">
        <f>'Calibrated parameters'!$B$180</f>
        <v>1.059414187321968</v>
      </c>
      <c r="BV15">
        <f>'Calibrated parameters'!$B$180</f>
        <v>1.059414187321968</v>
      </c>
      <c r="BW15">
        <f>'Calibrated parameters'!$B$180</f>
        <v>1.059414187321968</v>
      </c>
      <c r="BX15">
        <f>'Calibrated parameters'!$B$180</f>
        <v>1.059414187321968</v>
      </c>
      <c r="BY15">
        <f>'Calibrated parameters'!$B$180</f>
        <v>1.059414187321968</v>
      </c>
      <c r="BZ15">
        <f>'Calibrated parameters'!$B$180</f>
        <v>1.059414187321968</v>
      </c>
      <c r="CA15">
        <f>'Calibrated parameters'!$B$180</f>
        <v>1.059414187321968</v>
      </c>
      <c r="CB15">
        <f>'Calibrated parameters'!$B$180</f>
        <v>1.059414187321968</v>
      </c>
      <c r="CC15">
        <f>'Calibrated parameters'!$B$180</f>
        <v>1.059414187321968</v>
      </c>
      <c r="CD15">
        <f>'Calibrated parameters'!$B$180</f>
        <v>1.059414187321968</v>
      </c>
      <c r="CE15">
        <f>'Calibrated parameters'!$B$180</f>
        <v>1.059414187321968</v>
      </c>
      <c r="CF15">
        <f>'Calibrated parameters'!$B$180</f>
        <v>1.059414187321968</v>
      </c>
      <c r="CG15">
        <f>'Calibrated parameters'!$B$180</f>
        <v>1.059414187321968</v>
      </c>
      <c r="CH15">
        <f>'Calibrated parameters'!$B$180</f>
        <v>1.059414187321968</v>
      </c>
      <c r="CI15">
        <f>'Calibrated parameters'!$B$180</f>
        <v>1.059414187321968</v>
      </c>
    </row>
    <row r="16" spans="1:87" x14ac:dyDescent="0.25">
      <c r="A16" t="s">
        <v>43</v>
      </c>
      <c r="B16">
        <f>Assumptions!$B$6</f>
        <v>2</v>
      </c>
      <c r="C16">
        <f>Assumptions!$B$6</f>
        <v>2</v>
      </c>
      <c r="D16">
        <f>Assumptions!$B$6</f>
        <v>2</v>
      </c>
      <c r="E16">
        <f>Assumptions!$B$6</f>
        <v>2</v>
      </c>
      <c r="F16">
        <f>Assumptions!$B$6</f>
        <v>2</v>
      </c>
      <c r="G16">
        <f>Assumptions!$B$6</f>
        <v>2</v>
      </c>
      <c r="H16">
        <f>Assumptions!$B$6</f>
        <v>2</v>
      </c>
      <c r="I16">
        <f>Assumptions!$B$6</f>
        <v>2</v>
      </c>
      <c r="J16">
        <f>Assumptions!$B$6</f>
        <v>2</v>
      </c>
      <c r="K16">
        <f>Assumptions!$B$6</f>
        <v>2</v>
      </c>
      <c r="L16">
        <f>Assumptions!$B$6</f>
        <v>2</v>
      </c>
      <c r="M16">
        <f>Assumptions!$B$6</f>
        <v>2</v>
      </c>
      <c r="N16">
        <f>Assumptions!$B$6</f>
        <v>2</v>
      </c>
      <c r="O16">
        <f>Assumptions!$B$6</f>
        <v>2</v>
      </c>
      <c r="P16">
        <f>Assumptions!$B$6</f>
        <v>2</v>
      </c>
      <c r="Q16">
        <f>Assumptions!$B$6</f>
        <v>2</v>
      </c>
      <c r="R16">
        <f>Assumptions!$B$6</f>
        <v>2</v>
      </c>
      <c r="S16">
        <f>Assumptions!$B$6</f>
        <v>2</v>
      </c>
      <c r="T16">
        <f>Assumptions!$B$6</f>
        <v>2</v>
      </c>
      <c r="U16">
        <f>Assumptions!$B$6</f>
        <v>2</v>
      </c>
      <c r="V16">
        <f>Assumptions!$B$6</f>
        <v>2</v>
      </c>
      <c r="W16">
        <f>Assumptions!$B$6</f>
        <v>2</v>
      </c>
      <c r="X16">
        <f>Assumptions!$B$6</f>
        <v>2</v>
      </c>
      <c r="Y16">
        <f>Assumptions!$B$6</f>
        <v>2</v>
      </c>
      <c r="Z16">
        <f>Assumptions!$B$6</f>
        <v>2</v>
      </c>
      <c r="AA16">
        <f>Assumptions!$B$6</f>
        <v>2</v>
      </c>
      <c r="AB16">
        <f>Assumptions!$B$6</f>
        <v>2</v>
      </c>
      <c r="AC16">
        <f>Assumptions!$B$6</f>
        <v>2</v>
      </c>
      <c r="AD16">
        <f>Assumptions!$B$6</f>
        <v>2</v>
      </c>
      <c r="AE16">
        <f>Assumptions!$B$6</f>
        <v>2</v>
      </c>
      <c r="AF16">
        <f>Assumptions!$B$6</f>
        <v>2</v>
      </c>
      <c r="AG16">
        <f>Assumptions!$B$6</f>
        <v>2</v>
      </c>
      <c r="AH16">
        <f>Assumptions!$B$6</f>
        <v>2</v>
      </c>
      <c r="AI16">
        <f>Assumptions!$B$6</f>
        <v>2</v>
      </c>
      <c r="AJ16">
        <f>Assumptions!$B$6</f>
        <v>2</v>
      </c>
      <c r="AK16">
        <f>Assumptions!$B$6</f>
        <v>2</v>
      </c>
      <c r="AL16">
        <f>Assumptions!$B$6</f>
        <v>2</v>
      </c>
      <c r="AM16">
        <f>Assumptions!$B$6</f>
        <v>2</v>
      </c>
      <c r="AN16">
        <f>Assumptions!$B$6</f>
        <v>2</v>
      </c>
      <c r="AO16">
        <f>Assumptions!$B$6</f>
        <v>2</v>
      </c>
      <c r="AP16">
        <f>Assumptions!$B$6</f>
        <v>2</v>
      </c>
      <c r="AQ16">
        <f>Assumptions!$B$6</f>
        <v>2</v>
      </c>
      <c r="AR16">
        <f>Assumptions!$B$6</f>
        <v>2</v>
      </c>
      <c r="AS16">
        <f>Assumptions!$B$6</f>
        <v>2</v>
      </c>
      <c r="AT16">
        <f>Assumptions!$B$6</f>
        <v>2</v>
      </c>
      <c r="AU16">
        <f>Assumptions!$B$6</f>
        <v>2</v>
      </c>
      <c r="AV16">
        <f>Assumptions!$B$6</f>
        <v>2</v>
      </c>
      <c r="AW16">
        <f>Assumptions!$B$6</f>
        <v>2</v>
      </c>
      <c r="AX16">
        <f>Assumptions!$B$6</f>
        <v>2</v>
      </c>
      <c r="AY16">
        <f>Assumptions!$B$6</f>
        <v>2</v>
      </c>
      <c r="AZ16">
        <f>Assumptions!$B$6</f>
        <v>2</v>
      </c>
      <c r="BA16">
        <f>Assumptions!$B$6</f>
        <v>2</v>
      </c>
      <c r="BB16">
        <f>Assumptions!$B$6</f>
        <v>2</v>
      </c>
      <c r="BC16">
        <f>Assumptions!$B$6</f>
        <v>2</v>
      </c>
      <c r="BD16">
        <f>Assumptions!$B$6</f>
        <v>2</v>
      </c>
      <c r="BE16">
        <f>Assumptions!$B$6</f>
        <v>2</v>
      </c>
      <c r="BF16">
        <f>Assumptions!$B$6</f>
        <v>2</v>
      </c>
      <c r="BG16">
        <f>Assumptions!$B$6</f>
        <v>2</v>
      </c>
      <c r="BH16">
        <f>Assumptions!$B$6</f>
        <v>2</v>
      </c>
      <c r="BI16">
        <f>Assumptions!$B$6</f>
        <v>2</v>
      </c>
      <c r="BJ16">
        <f>Assumptions!$B$6</f>
        <v>2</v>
      </c>
      <c r="BK16">
        <f>Assumptions!$B$6</f>
        <v>2</v>
      </c>
      <c r="BL16">
        <f>Assumptions!$B$6</f>
        <v>2</v>
      </c>
      <c r="BM16">
        <f>Assumptions!$B$6</f>
        <v>2</v>
      </c>
      <c r="BN16">
        <f>Assumptions!$B$6</f>
        <v>2</v>
      </c>
      <c r="BO16">
        <f>Assumptions!$B$6</f>
        <v>2</v>
      </c>
      <c r="BP16">
        <f>Assumptions!$B$6</f>
        <v>2</v>
      </c>
      <c r="BQ16">
        <f>Assumptions!$B$6</f>
        <v>2</v>
      </c>
      <c r="BR16">
        <f>Assumptions!$B$6</f>
        <v>2</v>
      </c>
      <c r="BS16">
        <f>Assumptions!$B$6</f>
        <v>2</v>
      </c>
      <c r="BT16">
        <f>Assumptions!$B$6</f>
        <v>2</v>
      </c>
      <c r="BU16">
        <f>Assumptions!$B$6</f>
        <v>2</v>
      </c>
      <c r="BV16">
        <f>Assumptions!$B$6</f>
        <v>2</v>
      </c>
      <c r="BW16">
        <f>Assumptions!$B$6</f>
        <v>2</v>
      </c>
      <c r="BX16">
        <f>Assumptions!$B$6</f>
        <v>2</v>
      </c>
      <c r="BY16">
        <f>Assumptions!$B$6</f>
        <v>2</v>
      </c>
      <c r="BZ16">
        <f>Assumptions!$B$6</f>
        <v>2</v>
      </c>
      <c r="CA16">
        <f>Assumptions!$B$6</f>
        <v>2</v>
      </c>
      <c r="CB16">
        <f>Assumptions!$B$6</f>
        <v>2</v>
      </c>
      <c r="CC16">
        <f>Assumptions!$B$6</f>
        <v>2</v>
      </c>
      <c r="CD16">
        <f>Assumptions!$B$6</f>
        <v>2</v>
      </c>
      <c r="CE16">
        <f>Assumptions!$B$6</f>
        <v>2</v>
      </c>
      <c r="CF16">
        <f>Assumptions!$B$6</f>
        <v>2</v>
      </c>
      <c r="CG16">
        <f>Assumptions!$B$6</f>
        <v>2</v>
      </c>
      <c r="CH16">
        <f>Assumptions!$B$6</f>
        <v>2</v>
      </c>
      <c r="CI16">
        <f>Assumptions!$B$6</f>
        <v>2</v>
      </c>
    </row>
    <row r="17" spans="1:87" x14ac:dyDescent="0.25">
      <c r="A17" t="s">
        <v>44</v>
      </c>
      <c r="B17">
        <f>Assumptions!$B$7</f>
        <v>2</v>
      </c>
      <c r="C17">
        <f>Assumptions!$B$7</f>
        <v>2</v>
      </c>
      <c r="D17">
        <f>Assumptions!$B$7</f>
        <v>2</v>
      </c>
      <c r="E17">
        <f>Assumptions!$B$7</f>
        <v>2</v>
      </c>
      <c r="F17">
        <f>Assumptions!$B$7</f>
        <v>2</v>
      </c>
      <c r="G17">
        <f>Assumptions!$B$7</f>
        <v>2</v>
      </c>
      <c r="H17">
        <f>Assumptions!$B$7</f>
        <v>2</v>
      </c>
      <c r="I17">
        <f>Assumptions!$B$7</f>
        <v>2</v>
      </c>
      <c r="J17">
        <f>Assumptions!$B$7</f>
        <v>2</v>
      </c>
      <c r="K17">
        <f>Assumptions!$B$7</f>
        <v>2</v>
      </c>
      <c r="L17">
        <f>Assumptions!$B$7</f>
        <v>2</v>
      </c>
      <c r="M17">
        <f>Assumptions!$B$7</f>
        <v>2</v>
      </c>
      <c r="N17">
        <f>Assumptions!$B$7</f>
        <v>2</v>
      </c>
      <c r="O17">
        <f>Assumptions!$B$7</f>
        <v>2</v>
      </c>
      <c r="P17">
        <f>Assumptions!$B$7</f>
        <v>2</v>
      </c>
      <c r="Q17">
        <f>Assumptions!$B$7</f>
        <v>2</v>
      </c>
      <c r="R17">
        <f>Assumptions!$B$7</f>
        <v>2</v>
      </c>
      <c r="S17">
        <f>Assumptions!$B$7</f>
        <v>2</v>
      </c>
      <c r="T17">
        <f>Assumptions!$B$7</f>
        <v>2</v>
      </c>
      <c r="U17">
        <f>Assumptions!$B$7</f>
        <v>2</v>
      </c>
      <c r="V17">
        <f>Assumptions!$B$7</f>
        <v>2</v>
      </c>
      <c r="W17">
        <f>Assumptions!$B$7</f>
        <v>2</v>
      </c>
      <c r="X17">
        <f>Assumptions!$B$7</f>
        <v>2</v>
      </c>
      <c r="Y17">
        <f>Assumptions!$B$7</f>
        <v>2</v>
      </c>
      <c r="Z17">
        <f>Assumptions!$B$7</f>
        <v>2</v>
      </c>
      <c r="AA17">
        <f>Assumptions!$B$7</f>
        <v>2</v>
      </c>
      <c r="AB17">
        <f>Assumptions!$B$7</f>
        <v>2</v>
      </c>
      <c r="AC17">
        <f>Assumptions!$B$7</f>
        <v>2</v>
      </c>
      <c r="AD17">
        <f>Assumptions!$B$7</f>
        <v>2</v>
      </c>
      <c r="AE17">
        <f>Assumptions!$B$7</f>
        <v>2</v>
      </c>
      <c r="AF17">
        <f>Assumptions!$B$7</f>
        <v>2</v>
      </c>
      <c r="AG17">
        <f>Assumptions!$B$7</f>
        <v>2</v>
      </c>
      <c r="AH17">
        <f>Assumptions!$B$7</f>
        <v>2</v>
      </c>
      <c r="AI17">
        <f>Assumptions!$B$7</f>
        <v>2</v>
      </c>
      <c r="AJ17">
        <f>Assumptions!$B$7</f>
        <v>2</v>
      </c>
      <c r="AK17">
        <f>Assumptions!$B$7</f>
        <v>2</v>
      </c>
      <c r="AL17">
        <f>Assumptions!$B$7</f>
        <v>2</v>
      </c>
      <c r="AM17">
        <f>Assumptions!$B$7</f>
        <v>2</v>
      </c>
      <c r="AN17">
        <f>Assumptions!$B$7</f>
        <v>2</v>
      </c>
      <c r="AO17">
        <f>Assumptions!$B$7</f>
        <v>2</v>
      </c>
      <c r="AP17">
        <f>Assumptions!$B$7</f>
        <v>2</v>
      </c>
      <c r="AQ17">
        <f>Assumptions!$B$7</f>
        <v>2</v>
      </c>
      <c r="AR17">
        <f>Assumptions!$B$7</f>
        <v>2</v>
      </c>
      <c r="AS17">
        <f>Assumptions!$B$7</f>
        <v>2</v>
      </c>
      <c r="AT17">
        <f>Assumptions!$B$7</f>
        <v>2</v>
      </c>
      <c r="AU17">
        <f>Assumptions!$B$7</f>
        <v>2</v>
      </c>
      <c r="AV17">
        <f>Assumptions!$B$7</f>
        <v>2</v>
      </c>
      <c r="AW17">
        <f>Assumptions!$B$7</f>
        <v>2</v>
      </c>
      <c r="AX17">
        <f>Assumptions!$B$7</f>
        <v>2</v>
      </c>
      <c r="AY17">
        <f>Assumptions!$B$7</f>
        <v>2</v>
      </c>
      <c r="AZ17">
        <f>Assumptions!$B$7</f>
        <v>2</v>
      </c>
      <c r="BA17">
        <f>Assumptions!$B$7</f>
        <v>2</v>
      </c>
      <c r="BB17">
        <f>Assumptions!$B$7</f>
        <v>2</v>
      </c>
      <c r="BC17">
        <f>Assumptions!$B$7</f>
        <v>2</v>
      </c>
      <c r="BD17">
        <f>Assumptions!$B$7</f>
        <v>2</v>
      </c>
      <c r="BE17">
        <f>Assumptions!$B$7</f>
        <v>2</v>
      </c>
      <c r="BF17">
        <f>Assumptions!$B$7</f>
        <v>2</v>
      </c>
      <c r="BG17">
        <f>Assumptions!$B$7</f>
        <v>2</v>
      </c>
      <c r="BH17">
        <f>Assumptions!$B$7</f>
        <v>2</v>
      </c>
      <c r="BI17">
        <f>Assumptions!$B$7</f>
        <v>2</v>
      </c>
      <c r="BJ17">
        <f>Assumptions!$B$7</f>
        <v>2</v>
      </c>
      <c r="BK17">
        <f>Assumptions!$B$7</f>
        <v>2</v>
      </c>
      <c r="BL17">
        <f>Assumptions!$B$7</f>
        <v>2</v>
      </c>
      <c r="BM17">
        <f>Assumptions!$B$7</f>
        <v>2</v>
      </c>
      <c r="BN17">
        <f>Assumptions!$B$7</f>
        <v>2</v>
      </c>
      <c r="BO17">
        <f>Assumptions!$B$7</f>
        <v>2</v>
      </c>
      <c r="BP17">
        <f>Assumptions!$B$7</f>
        <v>2</v>
      </c>
      <c r="BQ17">
        <f>Assumptions!$B$7</f>
        <v>2</v>
      </c>
      <c r="BR17">
        <f>Assumptions!$B$7</f>
        <v>2</v>
      </c>
      <c r="BS17">
        <f>Assumptions!$B$7</f>
        <v>2</v>
      </c>
      <c r="BT17">
        <f>Assumptions!$B$7</f>
        <v>2</v>
      </c>
      <c r="BU17">
        <f>Assumptions!$B$7</f>
        <v>2</v>
      </c>
      <c r="BV17">
        <f>Assumptions!$B$7</f>
        <v>2</v>
      </c>
      <c r="BW17">
        <f>Assumptions!$B$7</f>
        <v>2</v>
      </c>
      <c r="BX17">
        <f>Assumptions!$B$7</f>
        <v>2</v>
      </c>
      <c r="BY17">
        <f>Assumptions!$B$7</f>
        <v>2</v>
      </c>
      <c r="BZ17">
        <f>Assumptions!$B$7</f>
        <v>2</v>
      </c>
      <c r="CA17">
        <f>Assumptions!$B$7</f>
        <v>2</v>
      </c>
      <c r="CB17">
        <f>Assumptions!$B$7</f>
        <v>2</v>
      </c>
      <c r="CC17">
        <f>Assumptions!$B$7</f>
        <v>2</v>
      </c>
      <c r="CD17">
        <f>Assumptions!$B$7</f>
        <v>2</v>
      </c>
      <c r="CE17">
        <f>Assumptions!$B$7</f>
        <v>2</v>
      </c>
      <c r="CF17">
        <f>Assumptions!$B$7</f>
        <v>2</v>
      </c>
      <c r="CG17">
        <f>Assumptions!$B$7</f>
        <v>2</v>
      </c>
      <c r="CH17">
        <f>Assumptions!$B$7</f>
        <v>2</v>
      </c>
      <c r="CI17">
        <f>Assumptions!$B$7</f>
        <v>2</v>
      </c>
    </row>
    <row r="18" spans="1:87" x14ac:dyDescent="0.25">
      <c r="A18" t="s">
        <v>45</v>
      </c>
      <c r="B18">
        <f>Assumptions!$B$8</f>
        <v>2</v>
      </c>
      <c r="C18">
        <f>Assumptions!$B$8</f>
        <v>2</v>
      </c>
      <c r="D18">
        <f>Assumptions!$B$8</f>
        <v>2</v>
      </c>
      <c r="E18">
        <f>Assumptions!$B$8</f>
        <v>2</v>
      </c>
      <c r="F18">
        <f>Assumptions!$B$8</f>
        <v>2</v>
      </c>
      <c r="G18">
        <f>Assumptions!$B$8</f>
        <v>2</v>
      </c>
      <c r="H18">
        <f>Assumptions!$B$8</f>
        <v>2</v>
      </c>
      <c r="I18">
        <f>Assumptions!$B$8</f>
        <v>2</v>
      </c>
      <c r="J18">
        <f>Assumptions!$B$8</f>
        <v>2</v>
      </c>
      <c r="K18">
        <f>Assumptions!$B$8</f>
        <v>2</v>
      </c>
      <c r="L18">
        <f>Assumptions!$B$8</f>
        <v>2</v>
      </c>
      <c r="M18">
        <f>Assumptions!$B$8</f>
        <v>2</v>
      </c>
      <c r="N18">
        <f>Assumptions!$B$8</f>
        <v>2</v>
      </c>
      <c r="O18">
        <f>Assumptions!$B$8</f>
        <v>2</v>
      </c>
      <c r="P18">
        <f>Assumptions!$B$8</f>
        <v>2</v>
      </c>
      <c r="Q18">
        <f>Assumptions!$B$8</f>
        <v>2</v>
      </c>
      <c r="R18">
        <f>Assumptions!$B$8</f>
        <v>2</v>
      </c>
      <c r="S18">
        <f>Assumptions!$B$8</f>
        <v>2</v>
      </c>
      <c r="T18">
        <f>Assumptions!$B$8</f>
        <v>2</v>
      </c>
      <c r="U18">
        <f>Assumptions!$B$8</f>
        <v>2</v>
      </c>
      <c r="V18">
        <f>Assumptions!$B$8</f>
        <v>2</v>
      </c>
      <c r="W18">
        <f>Assumptions!$B$8</f>
        <v>2</v>
      </c>
      <c r="X18">
        <f>Assumptions!$B$8</f>
        <v>2</v>
      </c>
      <c r="Y18">
        <f>Assumptions!$B$8</f>
        <v>2</v>
      </c>
      <c r="Z18">
        <f>Assumptions!$B$8</f>
        <v>2</v>
      </c>
      <c r="AA18">
        <f>Assumptions!$B$8</f>
        <v>2</v>
      </c>
      <c r="AB18">
        <f>Assumptions!$B$8</f>
        <v>2</v>
      </c>
      <c r="AC18">
        <f>Assumptions!$B$8</f>
        <v>2</v>
      </c>
      <c r="AD18">
        <f>Assumptions!$B$8</f>
        <v>2</v>
      </c>
      <c r="AE18">
        <f>Assumptions!$B$8</f>
        <v>2</v>
      </c>
      <c r="AF18">
        <f>Assumptions!$B$8</f>
        <v>2</v>
      </c>
      <c r="AG18">
        <f>Assumptions!$B$8</f>
        <v>2</v>
      </c>
      <c r="AH18">
        <f>Assumptions!$B$8</f>
        <v>2</v>
      </c>
      <c r="AI18">
        <f>Assumptions!$B$8</f>
        <v>2</v>
      </c>
      <c r="AJ18">
        <f>Assumptions!$B$8</f>
        <v>2</v>
      </c>
      <c r="AK18">
        <f>Assumptions!$B$8</f>
        <v>2</v>
      </c>
      <c r="AL18">
        <f>Assumptions!$B$8</f>
        <v>2</v>
      </c>
      <c r="AM18">
        <f>Assumptions!$B$8</f>
        <v>2</v>
      </c>
      <c r="AN18">
        <f>Assumptions!$B$8</f>
        <v>2</v>
      </c>
      <c r="AO18">
        <f>Assumptions!$B$8</f>
        <v>2</v>
      </c>
      <c r="AP18">
        <f>Assumptions!$B$8</f>
        <v>2</v>
      </c>
      <c r="AQ18">
        <f>Assumptions!$B$8</f>
        <v>2</v>
      </c>
      <c r="AR18">
        <f>Assumptions!$B$8</f>
        <v>2</v>
      </c>
      <c r="AS18">
        <f>Assumptions!$B$8</f>
        <v>2</v>
      </c>
      <c r="AT18">
        <f>Assumptions!$B$8</f>
        <v>2</v>
      </c>
      <c r="AU18">
        <f>Assumptions!$B$8</f>
        <v>2</v>
      </c>
      <c r="AV18">
        <f>Assumptions!$B$8</f>
        <v>2</v>
      </c>
      <c r="AW18">
        <f>Assumptions!$B$8</f>
        <v>2</v>
      </c>
      <c r="AX18">
        <f>Assumptions!$B$8</f>
        <v>2</v>
      </c>
      <c r="AY18">
        <f>Assumptions!$B$8</f>
        <v>2</v>
      </c>
      <c r="AZ18">
        <f>Assumptions!$B$8</f>
        <v>2</v>
      </c>
      <c r="BA18">
        <f>Assumptions!$B$8</f>
        <v>2</v>
      </c>
      <c r="BB18">
        <f>Assumptions!$B$8</f>
        <v>2</v>
      </c>
      <c r="BC18">
        <f>Assumptions!$B$8</f>
        <v>2</v>
      </c>
      <c r="BD18">
        <f>Assumptions!$B$8</f>
        <v>2</v>
      </c>
      <c r="BE18">
        <f>Assumptions!$B$8</f>
        <v>2</v>
      </c>
      <c r="BF18">
        <f>Assumptions!$B$8</f>
        <v>2</v>
      </c>
      <c r="BG18">
        <f>Assumptions!$B$8</f>
        <v>2</v>
      </c>
      <c r="BH18">
        <f>Assumptions!$B$8</f>
        <v>2</v>
      </c>
      <c r="BI18">
        <f>Assumptions!$B$8</f>
        <v>2</v>
      </c>
      <c r="BJ18">
        <f>Assumptions!$B$8</f>
        <v>2</v>
      </c>
      <c r="BK18">
        <f>Assumptions!$B$8</f>
        <v>2</v>
      </c>
      <c r="BL18">
        <f>Assumptions!$B$8</f>
        <v>2</v>
      </c>
      <c r="BM18">
        <f>Assumptions!$B$8</f>
        <v>2</v>
      </c>
      <c r="BN18">
        <f>Assumptions!$B$8</f>
        <v>2</v>
      </c>
      <c r="BO18">
        <f>Assumptions!$B$8</f>
        <v>2</v>
      </c>
      <c r="BP18">
        <f>Assumptions!$B$8</f>
        <v>2</v>
      </c>
      <c r="BQ18">
        <f>Assumptions!$B$8</f>
        <v>2</v>
      </c>
      <c r="BR18">
        <f>Assumptions!$B$8</f>
        <v>2</v>
      </c>
      <c r="BS18">
        <f>Assumptions!$B$8</f>
        <v>2</v>
      </c>
      <c r="BT18">
        <f>Assumptions!$B$8</f>
        <v>2</v>
      </c>
      <c r="BU18">
        <f>Assumptions!$B$8</f>
        <v>2</v>
      </c>
      <c r="BV18">
        <f>Assumptions!$B$8</f>
        <v>2</v>
      </c>
      <c r="BW18">
        <f>Assumptions!$B$8</f>
        <v>2</v>
      </c>
      <c r="BX18">
        <f>Assumptions!$B$8</f>
        <v>2</v>
      </c>
      <c r="BY18">
        <f>Assumptions!$B$8</f>
        <v>2</v>
      </c>
      <c r="BZ18">
        <f>Assumptions!$B$8</f>
        <v>2</v>
      </c>
      <c r="CA18">
        <f>Assumptions!$B$8</f>
        <v>2</v>
      </c>
      <c r="CB18">
        <f>Assumptions!$B$8</f>
        <v>2</v>
      </c>
      <c r="CC18">
        <f>Assumptions!$B$8</f>
        <v>2</v>
      </c>
      <c r="CD18">
        <f>Assumptions!$B$8</f>
        <v>2</v>
      </c>
      <c r="CE18">
        <f>Assumptions!$B$8</f>
        <v>2</v>
      </c>
      <c r="CF18">
        <f>Assumptions!$B$8</f>
        <v>2</v>
      </c>
      <c r="CG18">
        <f>Assumptions!$B$8</f>
        <v>2</v>
      </c>
      <c r="CH18">
        <f>Assumptions!$B$8</f>
        <v>2</v>
      </c>
      <c r="CI18">
        <f>Assumptions!$B$8</f>
        <v>2</v>
      </c>
    </row>
    <row r="19" spans="1:87" x14ac:dyDescent="0.25">
      <c r="A19" t="s">
        <v>46</v>
      </c>
      <c r="B19">
        <f>Assumptions!$B$9</f>
        <v>1.06</v>
      </c>
      <c r="C19">
        <f>Assumptions!$B$9</f>
        <v>1.06</v>
      </c>
      <c r="D19">
        <f>Assumptions!$B$9</f>
        <v>1.06</v>
      </c>
      <c r="E19">
        <f>Assumptions!$B$9</f>
        <v>1.06</v>
      </c>
      <c r="F19">
        <f>Assumptions!$B$9</f>
        <v>1.06</v>
      </c>
      <c r="G19">
        <f>Assumptions!$B$9</f>
        <v>1.06</v>
      </c>
      <c r="H19">
        <f>Assumptions!$B$9</f>
        <v>1.06</v>
      </c>
      <c r="I19">
        <f>Assumptions!$B$9</f>
        <v>1.06</v>
      </c>
      <c r="J19">
        <f>Assumptions!$B$9</f>
        <v>1.06</v>
      </c>
      <c r="K19">
        <f>Assumptions!$B$9</f>
        <v>1.06</v>
      </c>
      <c r="L19">
        <f>Assumptions!$B$9</f>
        <v>1.06</v>
      </c>
      <c r="M19">
        <f>Assumptions!$B$9</f>
        <v>1.06</v>
      </c>
      <c r="N19">
        <f>Assumptions!$B$9</f>
        <v>1.06</v>
      </c>
      <c r="O19">
        <f>Assumptions!$B$9</f>
        <v>1.06</v>
      </c>
      <c r="P19">
        <f>Assumptions!$B$9</f>
        <v>1.06</v>
      </c>
      <c r="Q19">
        <f>Assumptions!$B$9</f>
        <v>1.06</v>
      </c>
      <c r="R19">
        <f>Assumptions!$B$9</f>
        <v>1.06</v>
      </c>
      <c r="S19">
        <f>Assumptions!$B$9</f>
        <v>1.06</v>
      </c>
      <c r="T19">
        <f>Assumptions!$B$9</f>
        <v>1.06</v>
      </c>
      <c r="U19">
        <f>Assumptions!$B$9</f>
        <v>1.06</v>
      </c>
      <c r="V19">
        <f>Assumptions!$B$9</f>
        <v>1.06</v>
      </c>
      <c r="W19">
        <f>Assumptions!$B$9</f>
        <v>1.06</v>
      </c>
      <c r="X19">
        <f>Assumptions!$B$9</f>
        <v>1.06</v>
      </c>
      <c r="Y19">
        <f>Assumptions!$B$9</f>
        <v>1.06</v>
      </c>
      <c r="Z19">
        <f>Assumptions!$B$9</f>
        <v>1.06</v>
      </c>
      <c r="AA19">
        <f>Assumptions!$B$9</f>
        <v>1.06</v>
      </c>
      <c r="AB19">
        <f>Assumptions!$B$9</f>
        <v>1.06</v>
      </c>
      <c r="AC19">
        <f>Assumptions!$B$9</f>
        <v>1.06</v>
      </c>
      <c r="AD19">
        <f>Assumptions!$B$9</f>
        <v>1.06</v>
      </c>
      <c r="AE19">
        <f>Assumptions!$B$9</f>
        <v>1.06</v>
      </c>
      <c r="AF19">
        <f>Assumptions!$B$9</f>
        <v>1.06</v>
      </c>
      <c r="AG19">
        <f>Assumptions!$B$9</f>
        <v>1.06</v>
      </c>
      <c r="AH19">
        <f>Assumptions!$B$9</f>
        <v>1.06</v>
      </c>
      <c r="AI19">
        <f>Assumptions!$B$9</f>
        <v>1.06</v>
      </c>
      <c r="AJ19">
        <f>Assumptions!$B$9</f>
        <v>1.06</v>
      </c>
      <c r="AK19">
        <f>Assumptions!$B$9</f>
        <v>1.06</v>
      </c>
      <c r="AL19">
        <f>Assumptions!$B$9</f>
        <v>1.06</v>
      </c>
      <c r="AM19">
        <f>Assumptions!$B$9</f>
        <v>1.06</v>
      </c>
      <c r="AN19">
        <f>Assumptions!$B$9</f>
        <v>1.06</v>
      </c>
      <c r="AO19">
        <f>Assumptions!$B$9</f>
        <v>1.06</v>
      </c>
      <c r="AP19">
        <f>Assumptions!$B$9</f>
        <v>1.06</v>
      </c>
      <c r="AQ19">
        <f>Assumptions!$B$9</f>
        <v>1.06</v>
      </c>
      <c r="AR19">
        <f>Assumptions!$B$9</f>
        <v>1.06</v>
      </c>
      <c r="AS19">
        <f>Assumptions!$B$9</f>
        <v>1.06</v>
      </c>
      <c r="AT19">
        <f>Assumptions!$B$9</f>
        <v>1.06</v>
      </c>
      <c r="AU19">
        <f>Assumptions!$B$9</f>
        <v>1.06</v>
      </c>
      <c r="AV19">
        <f>Assumptions!$B$9</f>
        <v>1.06</v>
      </c>
      <c r="AW19">
        <f>Assumptions!$B$9</f>
        <v>1.06</v>
      </c>
      <c r="AX19">
        <f>Assumptions!$B$9</f>
        <v>1.06</v>
      </c>
      <c r="AY19">
        <f>Assumptions!$B$9</f>
        <v>1.06</v>
      </c>
      <c r="AZ19">
        <f>Assumptions!$B$9</f>
        <v>1.06</v>
      </c>
      <c r="BA19">
        <f>Assumptions!$B$9</f>
        <v>1.06</v>
      </c>
      <c r="BB19">
        <f>Assumptions!$B$9</f>
        <v>1.06</v>
      </c>
      <c r="BC19">
        <f>Assumptions!$B$9</f>
        <v>1.06</v>
      </c>
      <c r="BD19">
        <f>Assumptions!$B$9</f>
        <v>1.06</v>
      </c>
      <c r="BE19">
        <f>Assumptions!$B$9</f>
        <v>1.06</v>
      </c>
      <c r="BF19">
        <f>Assumptions!$B$9</f>
        <v>1.06</v>
      </c>
      <c r="BG19">
        <f>Assumptions!$B$9</f>
        <v>1.06</v>
      </c>
      <c r="BH19">
        <f>Assumptions!$B$9</f>
        <v>1.06</v>
      </c>
      <c r="BI19">
        <f>Assumptions!$B$9</f>
        <v>1.06</v>
      </c>
      <c r="BJ19">
        <f>Assumptions!$B$9</f>
        <v>1.06</v>
      </c>
      <c r="BK19">
        <f>Assumptions!$B$9</f>
        <v>1.06</v>
      </c>
      <c r="BL19">
        <f>Assumptions!$B$9</f>
        <v>1.06</v>
      </c>
      <c r="BM19">
        <f>Assumptions!$B$9</f>
        <v>1.06</v>
      </c>
      <c r="BN19">
        <f>Assumptions!$B$9</f>
        <v>1.06</v>
      </c>
      <c r="BO19">
        <f>Assumptions!$B$9</f>
        <v>1.06</v>
      </c>
      <c r="BP19">
        <f>Assumptions!$B$9</f>
        <v>1.06</v>
      </c>
      <c r="BQ19">
        <f>Assumptions!$B$9</f>
        <v>1.06</v>
      </c>
      <c r="BR19">
        <f>Assumptions!$B$9</f>
        <v>1.06</v>
      </c>
      <c r="BS19">
        <f>Assumptions!$B$9</f>
        <v>1.06</v>
      </c>
      <c r="BT19">
        <f>Assumptions!$B$9</f>
        <v>1.06</v>
      </c>
      <c r="BU19">
        <f>Assumptions!$B$9</f>
        <v>1.06</v>
      </c>
      <c r="BV19">
        <f>Assumptions!$B$9</f>
        <v>1.06</v>
      </c>
      <c r="BW19">
        <f>Assumptions!$B$9</f>
        <v>1.06</v>
      </c>
      <c r="BX19">
        <f>Assumptions!$B$9</f>
        <v>1.06</v>
      </c>
      <c r="BY19">
        <f>Assumptions!$B$9</f>
        <v>1.06</v>
      </c>
      <c r="BZ19">
        <f>Assumptions!$B$9</f>
        <v>1.06</v>
      </c>
      <c r="CA19">
        <f>Assumptions!$B$9</f>
        <v>1.06</v>
      </c>
      <c r="CB19">
        <f>Assumptions!$B$9</f>
        <v>1.06</v>
      </c>
      <c r="CC19">
        <f>Assumptions!$B$9</f>
        <v>1.06</v>
      </c>
      <c r="CD19">
        <f>Assumptions!$B$9</f>
        <v>1.06</v>
      </c>
      <c r="CE19">
        <f>Assumptions!$B$9</f>
        <v>1.06</v>
      </c>
      <c r="CF19">
        <f>Assumptions!$B$9</f>
        <v>1.06</v>
      </c>
      <c r="CG19">
        <f>Assumptions!$B$9</f>
        <v>1.06</v>
      </c>
      <c r="CH19">
        <f>Assumptions!$B$9</f>
        <v>1.06</v>
      </c>
      <c r="CI19">
        <f>Assumptions!$B$9</f>
        <v>1.06</v>
      </c>
    </row>
    <row r="21" spans="1:87" x14ac:dyDescent="0.25">
      <c r="A21" s="1" t="s">
        <v>68</v>
      </c>
    </row>
    <row r="22" spans="1:87" x14ac:dyDescent="0.25">
      <c r="A22" s="1" t="s">
        <v>59</v>
      </c>
      <c r="B22" s="1">
        <v>1965</v>
      </c>
      <c r="C22" s="1">
        <v>1966</v>
      </c>
      <c r="D22" s="1">
        <v>1967</v>
      </c>
      <c r="E22" s="1">
        <v>1968</v>
      </c>
      <c r="F22" s="1">
        <v>1969</v>
      </c>
      <c r="G22" s="1">
        <v>1970</v>
      </c>
      <c r="H22" s="1">
        <v>1971</v>
      </c>
      <c r="I22" s="1">
        <v>1972</v>
      </c>
      <c r="J22" s="1">
        <v>1973</v>
      </c>
      <c r="K22" s="1">
        <v>1974</v>
      </c>
      <c r="L22" s="1">
        <v>1975</v>
      </c>
      <c r="M22" s="1">
        <v>1976</v>
      </c>
      <c r="N22" s="1">
        <v>1977</v>
      </c>
      <c r="O22" s="1">
        <v>1978</v>
      </c>
      <c r="P22" s="1">
        <v>1979</v>
      </c>
      <c r="Q22" s="1">
        <v>1980</v>
      </c>
      <c r="R22" s="1">
        <v>1981</v>
      </c>
      <c r="S22" s="1">
        <v>1982</v>
      </c>
      <c r="T22" s="1">
        <v>1983</v>
      </c>
      <c r="U22" s="1">
        <v>1984</v>
      </c>
      <c r="V22" s="1">
        <v>1985</v>
      </c>
      <c r="W22" s="1">
        <v>1986</v>
      </c>
      <c r="X22" s="1">
        <v>1987</v>
      </c>
      <c r="Y22" s="1">
        <v>1988</v>
      </c>
      <c r="Z22" s="1">
        <v>1989</v>
      </c>
      <c r="AA22" s="1">
        <v>1990</v>
      </c>
      <c r="AB22" s="1">
        <v>1991</v>
      </c>
      <c r="AC22" s="1">
        <v>1992</v>
      </c>
      <c r="AD22" s="1">
        <v>1993</v>
      </c>
      <c r="AE22" s="1">
        <v>1994</v>
      </c>
      <c r="AF22" s="1">
        <v>1995</v>
      </c>
      <c r="AG22" s="1">
        <v>1996</v>
      </c>
      <c r="AH22" s="1">
        <v>1997</v>
      </c>
      <c r="AI22" s="1">
        <v>1998</v>
      </c>
      <c r="AJ22" s="1">
        <v>1999</v>
      </c>
      <c r="AK22" s="1">
        <v>2000</v>
      </c>
      <c r="AL22" s="1">
        <v>2001</v>
      </c>
      <c r="AM22" s="1">
        <v>2002</v>
      </c>
      <c r="AN22" s="1">
        <v>2003</v>
      </c>
      <c r="AO22" s="1">
        <v>2004</v>
      </c>
      <c r="AP22" s="1">
        <v>2005</v>
      </c>
      <c r="AQ22" s="1">
        <v>2006</v>
      </c>
      <c r="AR22" s="1">
        <v>2007</v>
      </c>
      <c r="AS22" s="1">
        <v>2008</v>
      </c>
      <c r="AT22" s="1">
        <v>2009</v>
      </c>
      <c r="AU22" s="1">
        <v>2010</v>
      </c>
      <c r="AV22" s="1">
        <v>2011</v>
      </c>
      <c r="AW22" s="1">
        <v>2012</v>
      </c>
      <c r="AX22" s="1">
        <v>2013</v>
      </c>
      <c r="AY22" s="1">
        <v>2014</v>
      </c>
      <c r="AZ22" s="1">
        <v>2015</v>
      </c>
      <c r="BA22" s="1">
        <v>2016</v>
      </c>
      <c r="BB22" s="1">
        <v>2017</v>
      </c>
      <c r="BC22" s="1">
        <v>2018</v>
      </c>
      <c r="BD22" s="1">
        <v>2019</v>
      </c>
      <c r="BE22" s="1">
        <v>2020</v>
      </c>
      <c r="BF22" s="1">
        <v>2021</v>
      </c>
      <c r="BG22" s="1">
        <v>2022</v>
      </c>
      <c r="BH22" s="1">
        <v>2023</v>
      </c>
      <c r="BI22" s="1">
        <v>2024</v>
      </c>
      <c r="BJ22" s="1">
        <v>2025</v>
      </c>
      <c r="BK22" s="1">
        <v>2026</v>
      </c>
      <c r="BL22" s="1">
        <v>2027</v>
      </c>
      <c r="BM22" s="1">
        <v>2028</v>
      </c>
      <c r="BN22" s="1">
        <v>2029</v>
      </c>
      <c r="BO22" s="1">
        <v>2030</v>
      </c>
      <c r="BP22" s="1">
        <v>2031</v>
      </c>
      <c r="BQ22" s="1">
        <v>2032</v>
      </c>
      <c r="BR22" s="1">
        <v>2033</v>
      </c>
      <c r="BS22" s="1">
        <v>2034</v>
      </c>
      <c r="BT22" s="1">
        <v>2035</v>
      </c>
      <c r="BU22" s="1">
        <v>2036</v>
      </c>
      <c r="BV22" s="1">
        <v>2037</v>
      </c>
      <c r="BW22" s="1">
        <v>2038</v>
      </c>
      <c r="BX22" s="1">
        <v>2039</v>
      </c>
      <c r="BY22" s="1">
        <v>2040</v>
      </c>
      <c r="BZ22" s="1">
        <v>2041</v>
      </c>
      <c r="CA22" s="1">
        <v>2042</v>
      </c>
      <c r="CB22" s="1">
        <v>2043</v>
      </c>
      <c r="CC22" s="1">
        <v>2044</v>
      </c>
      <c r="CD22" s="1">
        <v>2045</v>
      </c>
      <c r="CE22" s="1">
        <v>2046</v>
      </c>
      <c r="CF22" s="1">
        <v>2047</v>
      </c>
      <c r="CG22" s="1">
        <v>2048</v>
      </c>
      <c r="CH22" s="1">
        <v>2049</v>
      </c>
      <c r="CI22" s="1">
        <v>2050</v>
      </c>
    </row>
    <row r="23" spans="1:87" x14ac:dyDescent="0.25">
      <c r="A23" t="s">
        <v>39</v>
      </c>
      <c r="B23">
        <f>SUMIFS('Calibrated parameters'!$E$4:$E$175,'Calibrated parameters'!$A$4:$A$175,$A$22,'Calibrated parameters'!$B$4:$B$175,$A23,'Calibrated parameters'!$C$4:$C$175,B$22)</f>
        <v>11.94471623726777</v>
      </c>
      <c r="C23">
        <f>SUMIFS('Calibrated parameters'!$E$4:$E$175,'Calibrated parameters'!$A$4:$A$175,$A$22,'Calibrated parameters'!$B$4:$B$175,$A23,'Calibrated parameters'!$C$4:$C$175,C$22)</f>
        <v>11.94471668767043</v>
      </c>
      <c r="D23">
        <f>SUMIFS('Calibrated parameters'!$E$4:$E$175,'Calibrated parameters'!$A$4:$A$175,$A$22,'Calibrated parameters'!$B$4:$B$175,$A23,'Calibrated parameters'!$C$4:$C$175,D$22)</f>
        <v>11.94471715772023</v>
      </c>
      <c r="E23">
        <f>SUMIFS('Calibrated parameters'!$E$4:$E$175,'Calibrated parameters'!$A$4:$A$175,$A$22,'Calibrated parameters'!$B$4:$B$175,$A23,'Calibrated parameters'!$C$4:$C$175,E$22)</f>
        <v>11.944718042982609</v>
      </c>
      <c r="F23">
        <f>SUMIFS('Calibrated parameters'!$E$4:$E$175,'Calibrated parameters'!$A$4:$A$175,$A$22,'Calibrated parameters'!$B$4:$B$175,$A23,'Calibrated parameters'!$C$4:$C$175,F$22)</f>
        <v>11.94471976621964</v>
      </c>
      <c r="G23">
        <f>SUMIFS('Calibrated parameters'!$E$4:$E$175,'Calibrated parameters'!$A$4:$A$175,$A$22,'Calibrated parameters'!$B$4:$B$175,$A23,'Calibrated parameters'!$C$4:$C$175,G$22)</f>
        <v>11.94472312505648</v>
      </c>
      <c r="H23">
        <f>SUMIFS('Calibrated parameters'!$E$4:$E$175,'Calibrated parameters'!$A$4:$A$175,$A$22,'Calibrated parameters'!$B$4:$B$175,$A23,'Calibrated parameters'!$C$4:$C$175,H$22)</f>
        <v>11.944729648515439</v>
      </c>
      <c r="I23">
        <f>SUMIFS('Calibrated parameters'!$E$4:$E$175,'Calibrated parameters'!$A$4:$A$175,$A$22,'Calibrated parameters'!$B$4:$B$175,$A23,'Calibrated parameters'!$C$4:$C$175,I$22)</f>
        <v>11.944742411671649</v>
      </c>
      <c r="J23">
        <f>SUMIFS('Calibrated parameters'!$E$4:$E$175,'Calibrated parameters'!$A$4:$A$175,$A$22,'Calibrated parameters'!$B$4:$B$175,$A23,'Calibrated parameters'!$C$4:$C$175,J$22)</f>
        <v>11.944764388440699</v>
      </c>
      <c r="K23">
        <f>SUMIFS('Calibrated parameters'!$E$4:$E$175,'Calibrated parameters'!$A$4:$A$175,$A$22,'Calibrated parameters'!$B$4:$B$175,$A23,'Calibrated parameters'!$C$4:$C$175,K$22)</f>
        <v>11.94481003126492</v>
      </c>
      <c r="L23">
        <f>SUMIFS('Calibrated parameters'!$E$4:$E$175,'Calibrated parameters'!$A$4:$A$175,$A$22,'Calibrated parameters'!$B$4:$B$175,$A23,'Calibrated parameters'!$C$4:$C$175,L$22)</f>
        <v>11.94489900883138</v>
      </c>
      <c r="M23">
        <f>SUMIFS('Calibrated parameters'!$E$4:$E$175,'Calibrated parameters'!$A$4:$A$175,$A$22,'Calibrated parameters'!$B$4:$B$175,$A23,'Calibrated parameters'!$C$4:$C$175,M$22)</f>
        <v>11.91856802181654</v>
      </c>
      <c r="N23">
        <f>SUMIFS('Calibrated parameters'!$E$4:$E$175,'Calibrated parameters'!$A$4:$A$175,$A$22,'Calibrated parameters'!$B$4:$B$175,$A23,'Calibrated parameters'!$C$4:$C$175,N$22)</f>
        <v>11.93748009766998</v>
      </c>
      <c r="O23">
        <f>SUMIFS('Calibrated parameters'!$E$4:$E$175,'Calibrated parameters'!$A$4:$A$175,$A$22,'Calibrated parameters'!$B$4:$B$175,$A23,'Calibrated parameters'!$C$4:$C$175,O$22)</f>
        <v>11.897379199455481</v>
      </c>
      <c r="P23">
        <f>SUMIFS('Calibrated parameters'!$E$4:$E$175,'Calibrated parameters'!$A$4:$A$175,$A$22,'Calibrated parameters'!$B$4:$B$175,$A23,'Calibrated parameters'!$C$4:$C$175,P$22)</f>
        <v>11.904936805022061</v>
      </c>
      <c r="Q23">
        <f>SUMIFS('Calibrated parameters'!$E$4:$E$175,'Calibrated parameters'!$A$4:$A$175,$A$22,'Calibrated parameters'!$B$4:$B$175,$A23,'Calibrated parameters'!$C$4:$C$175,Q$22)</f>
        <v>12.02832429576757</v>
      </c>
      <c r="R23">
        <f>SUMIFS('Calibrated parameters'!$E$4:$E$175,'Calibrated parameters'!$A$4:$A$175,$A$22,'Calibrated parameters'!$B$4:$B$175,$A23,'Calibrated parameters'!$C$4:$C$175,R$22)</f>
        <v>12.0126294561928</v>
      </c>
      <c r="S23">
        <f>SUMIFS('Calibrated parameters'!$E$4:$E$175,'Calibrated parameters'!$A$4:$A$175,$A$22,'Calibrated parameters'!$B$4:$B$175,$A23,'Calibrated parameters'!$C$4:$C$175,S$22)</f>
        <v>11.96127468865544</v>
      </c>
      <c r="T23">
        <f>SUMIFS('Calibrated parameters'!$E$4:$E$175,'Calibrated parameters'!$A$4:$A$175,$A$22,'Calibrated parameters'!$B$4:$B$175,$A23,'Calibrated parameters'!$C$4:$C$175,T$22)</f>
        <v>11.942381774391469</v>
      </c>
      <c r="U23">
        <f>SUMIFS('Calibrated parameters'!$E$4:$E$175,'Calibrated parameters'!$A$4:$A$175,$A$22,'Calibrated parameters'!$B$4:$B$175,$A23,'Calibrated parameters'!$C$4:$C$175,U$22)</f>
        <v>11.95580083443031</v>
      </c>
      <c r="V23">
        <f>SUMIFS('Calibrated parameters'!$E$4:$E$175,'Calibrated parameters'!$A$4:$A$175,$A$22,'Calibrated parameters'!$B$4:$B$175,$A23,'Calibrated parameters'!$C$4:$C$175,V$22)</f>
        <v>12.00325624208099</v>
      </c>
      <c r="W23">
        <f>SUMIFS('Calibrated parameters'!$E$4:$E$175,'Calibrated parameters'!$A$4:$A$175,$A$22,'Calibrated parameters'!$B$4:$B$175,$A23,'Calibrated parameters'!$C$4:$C$175,W$22)</f>
        <v>12.07495767762958</v>
      </c>
      <c r="X23">
        <f>SUMIFS('Calibrated parameters'!$E$4:$E$175,'Calibrated parameters'!$A$4:$A$175,$A$22,'Calibrated parameters'!$B$4:$B$175,$A23,'Calibrated parameters'!$C$4:$C$175,X$22)</f>
        <v>12.30852464897867</v>
      </c>
      <c r="Y23">
        <f>SUMIFS('Calibrated parameters'!$E$4:$E$175,'Calibrated parameters'!$A$4:$A$175,$A$22,'Calibrated parameters'!$B$4:$B$175,$A23,'Calibrated parameters'!$C$4:$C$175,Y$22)</f>
        <v>12.62151154726121</v>
      </c>
      <c r="Z23">
        <f>SUMIFS('Calibrated parameters'!$E$4:$E$175,'Calibrated parameters'!$A$4:$A$175,$A$22,'Calibrated parameters'!$B$4:$B$175,$A23,'Calibrated parameters'!$C$4:$C$175,Z$22)</f>
        <v>13.01668629524684</v>
      </c>
      <c r="AA23">
        <f>SUMIFS('Calibrated parameters'!$E$4:$E$175,'Calibrated parameters'!$A$4:$A$175,$A$22,'Calibrated parameters'!$B$4:$B$175,$A23,'Calibrated parameters'!$C$4:$C$175,AA$22)</f>
        <v>13.716020547610981</v>
      </c>
      <c r="AB23">
        <f>SUMIFS('Calibrated parameters'!$E$4:$E$175,'Calibrated parameters'!$A$4:$A$175,$A$22,'Calibrated parameters'!$B$4:$B$175,$A23,'Calibrated parameters'!$C$4:$C$175,AB$22)</f>
        <v>14.403166113023239</v>
      </c>
      <c r="AC23">
        <f>SUMIFS('Calibrated parameters'!$E$4:$E$175,'Calibrated parameters'!$A$4:$A$175,$A$22,'Calibrated parameters'!$B$4:$B$175,$A23,'Calibrated parameters'!$C$4:$C$175,AC$22)</f>
        <v>14.933761428442081</v>
      </c>
      <c r="AD23">
        <f>SUMIFS('Calibrated parameters'!$E$4:$E$175,'Calibrated parameters'!$A$4:$A$175,$A$22,'Calibrated parameters'!$B$4:$B$175,$A23,'Calibrated parameters'!$C$4:$C$175,AD$22)</f>
        <v>15.2755735056984</v>
      </c>
      <c r="AE23">
        <f>SUMIFS('Calibrated parameters'!$E$4:$E$175,'Calibrated parameters'!$A$4:$A$175,$A$22,'Calibrated parameters'!$B$4:$B$175,$A23,'Calibrated parameters'!$C$4:$C$175,AE$22)</f>
        <v>15.293362328881949</v>
      </c>
      <c r="AF23">
        <f>SUMIFS('Calibrated parameters'!$E$4:$E$175,'Calibrated parameters'!$A$4:$A$175,$A$22,'Calibrated parameters'!$B$4:$B$175,$A23,'Calibrated parameters'!$C$4:$C$175,AF$22)</f>
        <v>15.46615052908321</v>
      </c>
      <c r="AG23">
        <f>SUMIFS('Calibrated parameters'!$E$4:$E$175,'Calibrated parameters'!$A$4:$A$175,$A$22,'Calibrated parameters'!$B$4:$B$175,$A23,'Calibrated parameters'!$C$4:$C$175,AG$22)</f>
        <v>15.516429486016539</v>
      </c>
      <c r="AH23">
        <f>SUMIFS('Calibrated parameters'!$E$4:$E$175,'Calibrated parameters'!$A$4:$A$175,$A$22,'Calibrated parameters'!$B$4:$B$175,$A23,'Calibrated parameters'!$C$4:$C$175,AH$22)</f>
        <v>15.510256773993589</v>
      </c>
      <c r="AI23">
        <f>SUMIFS('Calibrated parameters'!$E$4:$E$175,'Calibrated parameters'!$A$4:$A$175,$A$22,'Calibrated parameters'!$B$4:$B$175,$A23,'Calibrated parameters'!$C$4:$C$175,AI$22)</f>
        <v>15.48179506565908</v>
      </c>
      <c r="AJ23">
        <f>SUMIFS('Calibrated parameters'!$E$4:$E$175,'Calibrated parameters'!$A$4:$A$175,$A$22,'Calibrated parameters'!$B$4:$B$175,$A23,'Calibrated parameters'!$C$4:$C$175,AJ$22)</f>
        <v>15.49143172116924</v>
      </c>
      <c r="AK23">
        <f>SUMIFS('Calibrated parameters'!$E$4:$E$175,'Calibrated parameters'!$A$4:$A$175,$A$22,'Calibrated parameters'!$B$4:$B$175,$A23,'Calibrated parameters'!$C$4:$C$175,AK$22)</f>
        <v>15.511661635671979</v>
      </c>
      <c r="AL23">
        <f>SUMIFS('Calibrated parameters'!$E$4:$E$175,'Calibrated parameters'!$A$4:$A$175,$A$22,'Calibrated parameters'!$B$4:$B$175,$A23,'Calibrated parameters'!$C$4:$C$175,AL$22)</f>
        <v>15.50964214139861</v>
      </c>
      <c r="AM23">
        <f>SUMIFS('Calibrated parameters'!$E$4:$E$175,'Calibrated parameters'!$A$4:$A$175,$A$22,'Calibrated parameters'!$B$4:$B$175,$A23,'Calibrated parameters'!$C$4:$C$175,AM$22)</f>
        <v>15.19166207735103</v>
      </c>
      <c r="AN23">
        <f>SUMIFS('Calibrated parameters'!$E$4:$E$175,'Calibrated parameters'!$A$4:$A$175,$A$22,'Calibrated parameters'!$B$4:$B$175,$A23,'Calibrated parameters'!$C$4:$C$175,AN$22)</f>
        <v>15.17260977563083</v>
      </c>
      <c r="AO23">
        <f>SUMIFS('Calibrated parameters'!$E$4:$E$175,'Calibrated parameters'!$A$4:$A$175,$A$22,'Calibrated parameters'!$B$4:$B$175,$A23,'Calibrated parameters'!$C$4:$C$175,AO$22)</f>
        <v>15.14697631334988</v>
      </c>
      <c r="AP23">
        <f>SUMIFS('Calibrated parameters'!$E$4:$E$175,'Calibrated parameters'!$A$4:$A$175,$A$22,'Calibrated parameters'!$B$4:$B$175,$A23,'Calibrated parameters'!$C$4:$C$175,AP$22)</f>
        <v>15.198412226726131</v>
      </c>
      <c r="AQ23">
        <f>SUMIFS('Calibrated parameters'!$E$4:$E$175,'Calibrated parameters'!$A$4:$A$175,$A$22,'Calibrated parameters'!$B$4:$B$175,$A23,'Calibrated parameters'!$C$4:$C$175,AQ$22)</f>
        <v>15.490640404661971</v>
      </c>
      <c r="AR23">
        <f>SUMIFS('Calibrated parameters'!$E$4:$E$175,'Calibrated parameters'!$A$4:$A$175,$A$22,'Calibrated parameters'!$B$4:$B$175,$A23,'Calibrated parameters'!$C$4:$C$175,AR$22)</f>
        <v>15.520904090847621</v>
      </c>
      <c r="AS23">
        <f>SUMIFS('Calibrated parameters'!$E$4:$E$175,'Calibrated parameters'!$A$4:$A$175,$A$22,'Calibrated parameters'!$B$4:$B$175,$A23,'Calibrated parameters'!$C$4:$C$175,AS$22)</f>
        <v>15.53114821950887</v>
      </c>
      <c r="AT23">
        <f>SUMIFS('Calibrated parameters'!$E$4:$E$175,'Calibrated parameters'!$A$4:$A$175,$A$22,'Calibrated parameters'!$B$4:$B$175,$A23,'Calibrated parameters'!$C$4:$C$175,AT$22)</f>
        <v>15.69520701936653</v>
      </c>
      <c r="AU23">
        <f>SUMIFS('Calibrated parameters'!$E$4:$E$175,'Calibrated parameters'!$A$4:$A$175,$A$22,'Calibrated parameters'!$B$4:$B$175,$A23,'Calibrated parameters'!$C$4:$C$175,AU$22)</f>
        <v>15.610407303405641</v>
      </c>
      <c r="AV23">
        <f>SUMIFS('Calibrated parameters'!$E$4:$E$175,'Calibrated parameters'!$A$4:$A$175,$A$22,'Calibrated parameters'!$B$4:$B$175,$A23,'Calibrated parameters'!$C$4:$C$175,AV$22)</f>
        <v>15.48849101895339</v>
      </c>
      <c r="AW23">
        <f>SUMIFS('Calibrated parameters'!$E$4:$E$175,'Calibrated parameters'!$A$4:$A$175,$A$22,'Calibrated parameters'!$B$4:$B$175,$A23,'Calibrated parameters'!$C$4:$C$175,AW$22)</f>
        <v>15.643616856243989</v>
      </c>
      <c r="AX23">
        <f>SUMIFS('Calibrated parameters'!$E$4:$E$175,'Calibrated parameters'!$A$4:$A$175,$A$22,'Calibrated parameters'!$B$4:$B$175,$A23,'Calibrated parameters'!$C$4:$C$175,AX$22)</f>
        <v>15.637758123181939</v>
      </c>
      <c r="AY23">
        <f>SUMIFS('Calibrated parameters'!$E$4:$E$175,'Calibrated parameters'!$A$4:$A$175,$A$22,'Calibrated parameters'!$B$4:$B$175,$A23,'Calibrated parameters'!$C$4:$C$175,AY$22)</f>
        <v>15.532169440420921</v>
      </c>
      <c r="AZ23">
        <f>SUMIFS('Calibrated parameters'!$E$4:$E$175,'Calibrated parameters'!$A$4:$A$175,$A$22,'Calibrated parameters'!$B$4:$B$175,$A23,'Calibrated parameters'!$C$4:$C$175,AZ$22)</f>
        <v>15.47284498032813</v>
      </c>
      <c r="BA23">
        <f>SUMIFS('Calibrated parameters'!$E$4:$E$175,'Calibrated parameters'!$A$4:$A$175,$A$22,'Calibrated parameters'!$B$4:$B$175,$A23,'Calibrated parameters'!$C$4:$C$175,BA$22)</f>
        <v>15.334849558358099</v>
      </c>
      <c r="BB23">
        <f>SUMIFS('Calibrated parameters'!$E$4:$E$175,'Calibrated parameters'!$A$4:$A$175,$A$22,'Calibrated parameters'!$B$4:$B$175,$A23,'Calibrated parameters'!$C$4:$C$175,BB$22)</f>
        <v>15.155728164163239</v>
      </c>
      <c r="BC23">
        <f>SUMIFS('Calibrated parameters'!$E$4:$E$175,'Calibrated parameters'!$A$4:$A$175,$A$22,'Calibrated parameters'!$B$4:$B$175,$A23,'Calibrated parameters'!$C$4:$C$175,BC$22)</f>
        <v>15.08531442443264</v>
      </c>
      <c r="BD23">
        <f>SUMIFS('Calibrated parameters'!$E$4:$E$175,'Calibrated parameters'!$A$4:$A$175,$A$22,'Calibrated parameters'!$B$4:$B$175,$A23,'Calibrated parameters'!$C$4:$C$175,BD$22)</f>
        <v>15.0133654747876</v>
      </c>
      <c r="BE23">
        <f>SUMIFS('Calibrated parameters'!$E$4:$E$175,'Calibrated parameters'!$A$4:$A$175,$A$22,'Calibrated parameters'!$B$4:$B$175,$A23,'Calibrated parameters'!$C$4:$C$175,BE$22)</f>
        <v>14.99970170200227</v>
      </c>
      <c r="BF23">
        <f>SUMIFS('Calibrated parameters'!$E$4:$E$175,'Calibrated parameters'!$A$4:$A$175,$A$22,'Calibrated parameters'!$B$4:$B$175,$A23,'Calibrated parameters'!$C$4:$C$175,BF$22)</f>
        <v>14.6113262103491</v>
      </c>
      <c r="BG23">
        <f>SUMIFS('Calibrated parameters'!$E$4:$E$175,'Calibrated parameters'!$A$4:$A$175,$A$22,'Calibrated parameters'!$B$4:$B$175,$A23,'Calibrated parameters'!$C$4:$C$175,BG$22)</f>
        <v>14.610364201850841</v>
      </c>
      <c r="BH23">
        <f>SUMIFS('Calibrated parameters'!$E$4:$E$175,'Calibrated parameters'!$A$4:$A$175,$A$22,'Calibrated parameters'!$B$4:$B$175,$A23,'Calibrated parameters'!$C$4:$C$175,BH$22)</f>
        <v>14.614196649905249</v>
      </c>
      <c r="BI23">
        <f>SUMIFS('Calibrated parameters'!$E$4:$E$175,'Calibrated parameters'!$A$4:$A$175,$A$22,'Calibrated parameters'!$B$4:$B$175,$A23,'Calibrated parameters'!$C$4:$C$175,BI$22)</f>
        <v>14.592116373028279</v>
      </c>
      <c r="BJ23">
        <f>SUMIFS('Calibrated parameters'!$E$4:$E$175,'Calibrated parameters'!$A$4:$A$175,$A$22,'Calibrated parameters'!$B$4:$B$175,$A23,'Calibrated parameters'!$C$4:$C$175,BJ$22)</f>
        <v>14.586328950668181</v>
      </c>
      <c r="BK23">
        <f>SUMIFS('Calibrated parameters'!$E$4:$E$175,'Calibrated parameters'!$A$4:$A$175,$A$22,'Calibrated parameters'!$B$4:$B$175,$A23,'Calibrated parameters'!$C$4:$C$175,BK$22)</f>
        <v>14.58632755653581</v>
      </c>
      <c r="BL23">
        <f>SUMIFS('Calibrated parameters'!$E$4:$E$175,'Calibrated parameters'!$A$4:$A$175,$A$22,'Calibrated parameters'!$B$4:$B$175,$A23,'Calibrated parameters'!$C$4:$C$175,BL$22)</f>
        <v>14.581453998295119</v>
      </c>
      <c r="BM23">
        <f>SUMIFS('Calibrated parameters'!$E$4:$E$175,'Calibrated parameters'!$A$4:$A$175,$A$22,'Calibrated parameters'!$B$4:$B$175,$A23,'Calibrated parameters'!$C$4:$C$175,BM$22)</f>
        <v>14.57621455530977</v>
      </c>
      <c r="BN23">
        <f>SUMIFS('Calibrated parameters'!$E$4:$E$175,'Calibrated parameters'!$A$4:$A$175,$A$22,'Calibrated parameters'!$B$4:$B$175,$A23,'Calibrated parameters'!$C$4:$C$175,BN$22)</f>
        <v>14.57050386971189</v>
      </c>
      <c r="BO23">
        <f>SUMIFS('Calibrated parameters'!$E$4:$E$175,'Calibrated parameters'!$A$4:$A$175,$A$22,'Calibrated parameters'!$B$4:$B$175,$A23,'Calibrated parameters'!$C$4:$C$175,BO$22)</f>
        <v>14.564175626718519</v>
      </c>
      <c r="BP23">
        <f>SUMIFS('Calibrated parameters'!$E$4:$E$175,'Calibrated parameters'!$A$4:$A$175,$A$22,'Calibrated parameters'!$B$4:$B$175,$A23,'Calibrated parameters'!$C$4:$C$175,BP$22)</f>
        <v>14.56445674027535</v>
      </c>
      <c r="BQ23">
        <f>SUMIFS('Calibrated parameters'!$E$4:$E$175,'Calibrated parameters'!$A$4:$A$175,$A$22,'Calibrated parameters'!$B$4:$B$175,$A23,'Calibrated parameters'!$C$4:$C$175,BQ$22)</f>
        <v>14.564748497276121</v>
      </c>
      <c r="BR23">
        <f>SUMIFS('Calibrated parameters'!$E$4:$E$175,'Calibrated parameters'!$A$4:$A$175,$A$22,'Calibrated parameters'!$B$4:$B$175,$A23,'Calibrated parameters'!$C$4:$C$175,BR$22)</f>
        <v>14.56503872578944</v>
      </c>
      <c r="BS23">
        <f>SUMIFS('Calibrated parameters'!$E$4:$E$175,'Calibrated parameters'!$A$4:$A$175,$A$22,'Calibrated parameters'!$B$4:$B$175,$A23,'Calibrated parameters'!$C$4:$C$175,BS$22)</f>
        <v>14.565327415018549</v>
      </c>
      <c r="BT23">
        <f>SUMIFS('Calibrated parameters'!$E$4:$E$175,'Calibrated parameters'!$A$4:$A$175,$A$22,'Calibrated parameters'!$B$4:$B$175,$A23,'Calibrated parameters'!$C$4:$C$175,BT$22)</f>
        <v>14.56561460462207</v>
      </c>
      <c r="BU23">
        <f>SUMIFS('Calibrated parameters'!$E$4:$E$175,'Calibrated parameters'!$A$4:$A$175,$A$22,'Calibrated parameters'!$B$4:$B$175,$A23,'Calibrated parameters'!$C$4:$C$175,BU$22)</f>
        <v>14.5659003275193</v>
      </c>
      <c r="BV23">
        <f>SUMIFS('Calibrated parameters'!$E$4:$E$175,'Calibrated parameters'!$A$4:$A$175,$A$22,'Calibrated parameters'!$B$4:$B$175,$A23,'Calibrated parameters'!$C$4:$C$175,BV$22)</f>
        <v>14.566184572553819</v>
      </c>
      <c r="BW23">
        <f>SUMIFS('Calibrated parameters'!$E$4:$E$175,'Calibrated parameters'!$A$4:$A$175,$A$22,'Calibrated parameters'!$B$4:$B$175,$A23,'Calibrated parameters'!$C$4:$C$175,BW$22)</f>
        <v>14.56646736416393</v>
      </c>
      <c r="BX23">
        <f>SUMIFS('Calibrated parameters'!$E$4:$E$175,'Calibrated parameters'!$A$4:$A$175,$A$22,'Calibrated parameters'!$B$4:$B$175,$A23,'Calibrated parameters'!$C$4:$C$175,BX$22)</f>
        <v>14.56674874469841</v>
      </c>
      <c r="BY23">
        <f>SUMIFS('Calibrated parameters'!$E$4:$E$175,'Calibrated parameters'!$A$4:$A$175,$A$22,'Calibrated parameters'!$B$4:$B$175,$A23,'Calibrated parameters'!$C$4:$C$175,BY$22)</f>
        <v>14.56702871211888</v>
      </c>
      <c r="BZ23">
        <f>SUMIFS('Calibrated parameters'!$E$4:$E$175,'Calibrated parameters'!$A$4:$A$175,$A$22,'Calibrated parameters'!$B$4:$B$175,$A23,'Calibrated parameters'!$C$4:$C$175,BZ$22)</f>
        <v>14.566192722826329</v>
      </c>
      <c r="CA23">
        <f>SUMIFS('Calibrated parameters'!$E$4:$E$175,'Calibrated parameters'!$A$4:$A$175,$A$22,'Calibrated parameters'!$B$4:$B$175,$A23,'Calibrated parameters'!$C$4:$C$175,CA$22)</f>
        <v>14.56533310697502</v>
      </c>
      <c r="CB23">
        <f>SUMIFS('Calibrated parameters'!$E$4:$E$175,'Calibrated parameters'!$A$4:$A$175,$A$22,'Calibrated parameters'!$B$4:$B$175,$A23,'Calibrated parameters'!$C$4:$C$175,CB$22)</f>
        <v>14.564459881971789</v>
      </c>
      <c r="CC23">
        <f>SUMIFS('Calibrated parameters'!$E$4:$E$175,'Calibrated parameters'!$A$4:$A$175,$A$22,'Calibrated parameters'!$B$4:$B$175,$A23,'Calibrated parameters'!$C$4:$C$175,CC$22)</f>
        <v>14.56357254501339</v>
      </c>
      <c r="CD23">
        <f>SUMIFS('Calibrated parameters'!$E$4:$E$175,'Calibrated parameters'!$A$4:$A$175,$A$22,'Calibrated parameters'!$B$4:$B$175,$A23,'Calibrated parameters'!$C$4:$C$175,CD$22)</f>
        <v>14.562670489283221</v>
      </c>
      <c r="CE23">
        <f>SUMIFS('Calibrated parameters'!$E$4:$E$175,'Calibrated parameters'!$A$4:$A$175,$A$22,'Calibrated parameters'!$B$4:$B$175,$A23,'Calibrated parameters'!$C$4:$C$175,CE$22)</f>
        <v>14.56175309209859</v>
      </c>
      <c r="CF23">
        <f>SUMIFS('Calibrated parameters'!$E$4:$E$175,'Calibrated parameters'!$A$4:$A$175,$A$22,'Calibrated parameters'!$B$4:$B$175,$A23,'Calibrated parameters'!$C$4:$C$175,CF$22)</f>
        <v>14.560819688141679</v>
      </c>
      <c r="CG23">
        <f>SUMIFS('Calibrated parameters'!$E$4:$E$175,'Calibrated parameters'!$A$4:$A$175,$A$22,'Calibrated parameters'!$B$4:$B$175,$A23,'Calibrated parameters'!$C$4:$C$175,CG$22)</f>
        <v>14.55986957452685</v>
      </c>
      <c r="CH23">
        <f>SUMIFS('Calibrated parameters'!$E$4:$E$175,'Calibrated parameters'!$A$4:$A$175,$A$22,'Calibrated parameters'!$B$4:$B$175,$A23,'Calibrated parameters'!$C$4:$C$175,CH$22)</f>
        <v>14.558902007652049</v>
      </c>
      <c r="CI23">
        <f>SUMIFS('Calibrated parameters'!$E$4:$E$175,'Calibrated parameters'!$A$4:$A$175,$A$22,'Calibrated parameters'!$B$4:$B$175,$A23,'Calibrated parameters'!$C$4:$C$175,CI$22)</f>
        <v>14.55790317911211</v>
      </c>
    </row>
    <row r="24" spans="1:87" x14ac:dyDescent="0.25">
      <c r="A24" t="s">
        <v>41</v>
      </c>
      <c r="B24">
        <f>'AVL (EPS input)'!$B$3/LN(2)^(1/Assumptions!$B$5)</f>
        <v>15.491854834136007</v>
      </c>
      <c r="C24">
        <f>'AVL (EPS input)'!$B$3/LN(2)^(1/Assumptions!$B$5)</f>
        <v>15.491854834136007</v>
      </c>
      <c r="D24">
        <f>'AVL (EPS input)'!$B$3/LN(2)^(1/Assumptions!$B$5)</f>
        <v>15.491854834136007</v>
      </c>
      <c r="E24">
        <f>'AVL (EPS input)'!$B$3/LN(2)^(1/Assumptions!$B$5)</f>
        <v>15.491854834136007</v>
      </c>
      <c r="F24">
        <f>'AVL (EPS input)'!$B$3/LN(2)^(1/Assumptions!$B$5)</f>
        <v>15.491854834136007</v>
      </c>
      <c r="G24">
        <f>'AVL (EPS input)'!$B$3/LN(2)^(1/Assumptions!$B$5)</f>
        <v>15.491854834136007</v>
      </c>
      <c r="H24">
        <f>'AVL (EPS input)'!$B$3/LN(2)^(1/Assumptions!$B$5)</f>
        <v>15.491854834136007</v>
      </c>
      <c r="I24">
        <f>'AVL (EPS input)'!$B$3/LN(2)^(1/Assumptions!$B$5)</f>
        <v>15.491854834136007</v>
      </c>
      <c r="J24">
        <f>'AVL (EPS input)'!$B$3/LN(2)^(1/Assumptions!$B$5)</f>
        <v>15.491854834136007</v>
      </c>
      <c r="K24">
        <f>'AVL (EPS input)'!$B$3/LN(2)^(1/Assumptions!$B$5)</f>
        <v>15.491854834136007</v>
      </c>
      <c r="L24">
        <f>'AVL (EPS input)'!$B$3/LN(2)^(1/Assumptions!$B$5)</f>
        <v>15.491854834136007</v>
      </c>
      <c r="M24">
        <f>'AVL (EPS input)'!$B$3/LN(2)^(1/Assumptions!$B$5)</f>
        <v>15.491854834136007</v>
      </c>
      <c r="N24">
        <f>'AVL (EPS input)'!$B$3/LN(2)^(1/Assumptions!$B$5)</f>
        <v>15.491854834136007</v>
      </c>
      <c r="O24">
        <f>'AVL (EPS input)'!$B$3/LN(2)^(1/Assumptions!$B$5)</f>
        <v>15.491854834136007</v>
      </c>
      <c r="P24">
        <f>'AVL (EPS input)'!$B$3/LN(2)^(1/Assumptions!$B$5)</f>
        <v>15.491854834136007</v>
      </c>
      <c r="Q24">
        <f>'AVL (EPS input)'!$B$3/LN(2)^(1/Assumptions!$B$5)</f>
        <v>15.491854834136007</v>
      </c>
      <c r="R24">
        <f>'AVL (EPS input)'!$B$3/LN(2)^(1/Assumptions!$B$5)</f>
        <v>15.491854834136007</v>
      </c>
      <c r="S24">
        <f>'AVL (EPS input)'!$B$3/LN(2)^(1/Assumptions!$B$5)</f>
        <v>15.491854834136007</v>
      </c>
      <c r="T24">
        <f>'AVL (EPS input)'!$B$3/LN(2)^(1/Assumptions!$B$5)</f>
        <v>15.491854834136007</v>
      </c>
      <c r="U24">
        <f>'AVL (EPS input)'!$B$3/LN(2)^(1/Assumptions!$B$5)</f>
        <v>15.491854834136007</v>
      </c>
      <c r="V24">
        <f>'AVL (EPS input)'!$B$3/LN(2)^(1/Assumptions!$B$5)</f>
        <v>15.491854834136007</v>
      </c>
      <c r="W24">
        <f>'AVL (EPS input)'!$B$3/LN(2)^(1/Assumptions!$B$5)</f>
        <v>15.491854834136007</v>
      </c>
      <c r="X24">
        <f>'AVL (EPS input)'!$B$3/LN(2)^(1/Assumptions!$B$5)</f>
        <v>15.491854834136007</v>
      </c>
      <c r="Y24">
        <f>'AVL (EPS input)'!$B$3/LN(2)^(1/Assumptions!$B$5)</f>
        <v>15.491854834136007</v>
      </c>
      <c r="Z24">
        <f>'AVL (EPS input)'!$B$3/LN(2)^(1/Assumptions!$B$5)</f>
        <v>15.491854834136007</v>
      </c>
      <c r="AA24">
        <f>'AVL (EPS input)'!$B$3/LN(2)^(1/Assumptions!$B$5)</f>
        <v>15.491854834136007</v>
      </c>
      <c r="AB24">
        <f>'AVL (EPS input)'!$B$3/LN(2)^(1/Assumptions!$B$5)</f>
        <v>15.491854834136007</v>
      </c>
      <c r="AC24">
        <f>'AVL (EPS input)'!$B$3/LN(2)^(1/Assumptions!$B$5)</f>
        <v>15.491854834136007</v>
      </c>
      <c r="AD24">
        <f>'AVL (EPS input)'!$B$3/LN(2)^(1/Assumptions!$B$5)</f>
        <v>15.491854834136007</v>
      </c>
      <c r="AE24">
        <f>'AVL (EPS input)'!$B$3/LN(2)^(1/Assumptions!$B$5)</f>
        <v>15.491854834136007</v>
      </c>
      <c r="AF24">
        <f>'AVL (EPS input)'!$B$3/LN(2)^(1/Assumptions!$B$5)</f>
        <v>15.491854834136007</v>
      </c>
      <c r="AG24">
        <f>'AVL (EPS input)'!$B$3/LN(2)^(1/Assumptions!$B$5)</f>
        <v>15.491854834136007</v>
      </c>
      <c r="AH24">
        <f>'AVL (EPS input)'!$B$3/LN(2)^(1/Assumptions!$B$5)</f>
        <v>15.491854834136007</v>
      </c>
      <c r="AI24">
        <f>'AVL (EPS input)'!$B$3/LN(2)^(1/Assumptions!$B$5)</f>
        <v>15.491854834136007</v>
      </c>
      <c r="AJ24">
        <f>'AVL (EPS input)'!$B$3/LN(2)^(1/Assumptions!$B$5)</f>
        <v>15.491854834136007</v>
      </c>
      <c r="AK24">
        <f>'AVL (EPS input)'!$B$3/LN(2)^(1/Assumptions!$B$5)</f>
        <v>15.491854834136007</v>
      </c>
      <c r="AL24">
        <f>'AVL (EPS input)'!$B$3/LN(2)^(1/Assumptions!$B$5)</f>
        <v>15.491854834136007</v>
      </c>
      <c r="AM24">
        <f>'AVL (EPS input)'!$B$3/LN(2)^(1/Assumptions!$B$5)</f>
        <v>15.491854834136007</v>
      </c>
      <c r="AN24">
        <f>'AVL (EPS input)'!$B$3/LN(2)^(1/Assumptions!$B$5)</f>
        <v>15.491854834136007</v>
      </c>
      <c r="AO24">
        <f>'AVL (EPS input)'!$B$3/LN(2)^(1/Assumptions!$B$5)</f>
        <v>15.491854834136007</v>
      </c>
      <c r="AP24">
        <f>'AVL (EPS input)'!$B$3/LN(2)^(1/Assumptions!$B$5)</f>
        <v>15.491854834136007</v>
      </c>
      <c r="AQ24">
        <f>'AVL (EPS input)'!$B$3/LN(2)^(1/Assumptions!$B$5)</f>
        <v>15.491854834136007</v>
      </c>
      <c r="AR24">
        <f>'AVL (EPS input)'!$B$3/LN(2)^(1/Assumptions!$B$5)</f>
        <v>15.491854834136007</v>
      </c>
      <c r="AS24">
        <f>'AVL (EPS input)'!$B$3/LN(2)^(1/Assumptions!$B$5)</f>
        <v>15.491854834136007</v>
      </c>
      <c r="AT24">
        <f>'AVL (EPS input)'!$B$3/LN(2)^(1/Assumptions!$B$5)</f>
        <v>15.491854834136007</v>
      </c>
      <c r="AU24">
        <f>'AVL (EPS input)'!$B$3/LN(2)^(1/Assumptions!$B$5)</f>
        <v>15.491854834136007</v>
      </c>
      <c r="AV24">
        <f>'AVL (EPS input)'!$B$3/LN(2)^(1/Assumptions!$B$5)</f>
        <v>15.491854834136007</v>
      </c>
      <c r="AW24">
        <f>'AVL (EPS input)'!$B$3/LN(2)^(1/Assumptions!$B$5)</f>
        <v>15.491854834136007</v>
      </c>
      <c r="AX24">
        <f>'AVL (EPS input)'!$B$3/LN(2)^(1/Assumptions!$B$5)</f>
        <v>15.491854834136007</v>
      </c>
      <c r="AY24">
        <f>'AVL (EPS input)'!$B$3/LN(2)^(1/Assumptions!$B$5)</f>
        <v>15.491854834136007</v>
      </c>
      <c r="AZ24">
        <f>'AVL (EPS input)'!$B$3/LN(2)^(1/Assumptions!$B$5)</f>
        <v>15.491854834136007</v>
      </c>
      <c r="BA24">
        <f>'AVL (EPS input)'!$B$3/LN(2)^(1/Assumptions!$B$5)</f>
        <v>15.491854834136007</v>
      </c>
      <c r="BB24">
        <f>'AVL (EPS input)'!$B$3/LN(2)^(1/Assumptions!$B$5)</f>
        <v>15.491854834136007</v>
      </c>
      <c r="BC24">
        <f>'AVL (EPS input)'!$B$3/LN(2)^(1/Assumptions!$B$5)</f>
        <v>15.491854834136007</v>
      </c>
      <c r="BD24">
        <f>'AVL (EPS input)'!$B$3/LN(2)^(1/Assumptions!$B$5)</f>
        <v>15.491854834136007</v>
      </c>
      <c r="BE24">
        <f>'AVL (EPS input)'!$B$3/LN(2)^(1/Assumptions!$B$5)</f>
        <v>15.491854834136007</v>
      </c>
      <c r="BF24">
        <f>'AVL (EPS input)'!$B$3/LN(2)^(1/Assumptions!$B$5)</f>
        <v>15.491854834136007</v>
      </c>
      <c r="BG24">
        <f>'AVL (EPS input)'!$B$3/LN(2)^(1/Assumptions!$B$5)</f>
        <v>15.491854834136007</v>
      </c>
      <c r="BH24">
        <f>'AVL (EPS input)'!$B$3/LN(2)^(1/Assumptions!$B$5)</f>
        <v>15.491854834136007</v>
      </c>
      <c r="BI24">
        <f>'AVL (EPS input)'!$B$3/LN(2)^(1/Assumptions!$B$5)</f>
        <v>15.491854834136007</v>
      </c>
      <c r="BJ24">
        <f>'AVL (EPS input)'!$B$3/LN(2)^(1/Assumptions!$B$5)</f>
        <v>15.491854834136007</v>
      </c>
      <c r="BK24">
        <f>'AVL (EPS input)'!$B$3/LN(2)^(1/Assumptions!$B$5)</f>
        <v>15.491854834136007</v>
      </c>
      <c r="BL24">
        <f>'AVL (EPS input)'!$B$3/LN(2)^(1/Assumptions!$B$5)</f>
        <v>15.491854834136007</v>
      </c>
      <c r="BM24">
        <f>'AVL (EPS input)'!$B$3/LN(2)^(1/Assumptions!$B$5)</f>
        <v>15.491854834136007</v>
      </c>
      <c r="BN24">
        <f>'AVL (EPS input)'!$B$3/LN(2)^(1/Assumptions!$B$5)</f>
        <v>15.491854834136007</v>
      </c>
      <c r="BO24">
        <f>'AVL (EPS input)'!$B$3/LN(2)^(1/Assumptions!$B$5)</f>
        <v>15.491854834136007</v>
      </c>
      <c r="BP24">
        <f>'AVL (EPS input)'!$B$3/LN(2)^(1/Assumptions!$B$5)</f>
        <v>15.491854834136007</v>
      </c>
      <c r="BQ24">
        <f>'AVL (EPS input)'!$B$3/LN(2)^(1/Assumptions!$B$5)</f>
        <v>15.491854834136007</v>
      </c>
      <c r="BR24">
        <f>'AVL (EPS input)'!$B$3/LN(2)^(1/Assumptions!$B$5)</f>
        <v>15.491854834136007</v>
      </c>
      <c r="BS24">
        <f>'AVL (EPS input)'!$B$3/LN(2)^(1/Assumptions!$B$5)</f>
        <v>15.491854834136007</v>
      </c>
      <c r="BT24">
        <f>'AVL (EPS input)'!$B$3/LN(2)^(1/Assumptions!$B$5)</f>
        <v>15.491854834136007</v>
      </c>
      <c r="BU24">
        <f>'AVL (EPS input)'!$B$3/LN(2)^(1/Assumptions!$B$5)</f>
        <v>15.491854834136007</v>
      </c>
      <c r="BV24">
        <f>'AVL (EPS input)'!$B$3/LN(2)^(1/Assumptions!$B$5)</f>
        <v>15.491854834136007</v>
      </c>
      <c r="BW24">
        <f>'AVL (EPS input)'!$B$3/LN(2)^(1/Assumptions!$B$5)</f>
        <v>15.491854834136007</v>
      </c>
      <c r="BX24">
        <f>'AVL (EPS input)'!$B$3/LN(2)^(1/Assumptions!$B$5)</f>
        <v>15.491854834136007</v>
      </c>
      <c r="BY24">
        <f>'AVL (EPS input)'!$B$3/LN(2)^(1/Assumptions!$B$5)</f>
        <v>15.491854834136007</v>
      </c>
      <c r="BZ24">
        <f>'AVL (EPS input)'!$B$3/LN(2)^(1/Assumptions!$B$5)</f>
        <v>15.491854834136007</v>
      </c>
      <c r="CA24">
        <f>'AVL (EPS input)'!$B$3/LN(2)^(1/Assumptions!$B$5)</f>
        <v>15.491854834136007</v>
      </c>
      <c r="CB24">
        <f>'AVL (EPS input)'!$B$3/LN(2)^(1/Assumptions!$B$5)</f>
        <v>15.491854834136007</v>
      </c>
      <c r="CC24">
        <f>'AVL (EPS input)'!$B$3/LN(2)^(1/Assumptions!$B$5)</f>
        <v>15.491854834136007</v>
      </c>
      <c r="CD24">
        <f>'AVL (EPS input)'!$B$3/LN(2)^(1/Assumptions!$B$5)</f>
        <v>15.491854834136007</v>
      </c>
      <c r="CE24">
        <f>'AVL (EPS input)'!$B$3/LN(2)^(1/Assumptions!$B$5)</f>
        <v>15.491854834136007</v>
      </c>
      <c r="CF24">
        <f>'AVL (EPS input)'!$B$3/LN(2)^(1/Assumptions!$B$5)</f>
        <v>15.491854834136007</v>
      </c>
      <c r="CG24">
        <f>'AVL (EPS input)'!$B$3/LN(2)^(1/Assumptions!$B$5)</f>
        <v>15.491854834136007</v>
      </c>
      <c r="CH24">
        <f>'AVL (EPS input)'!$B$3/LN(2)^(1/Assumptions!$B$5)</f>
        <v>15.491854834136007</v>
      </c>
      <c r="CI24">
        <f>'AVL (EPS input)'!$B$3/LN(2)^(1/Assumptions!$B$5)</f>
        <v>15.491854834136007</v>
      </c>
    </row>
    <row r="25" spans="1:87" x14ac:dyDescent="0.25">
      <c r="A25" t="s">
        <v>43</v>
      </c>
      <c r="B25">
        <f>'AVL (EPS input)'!$B$4/LN(2)^(1/Assumptions!$B$6)</f>
        <v>28.826937810874796</v>
      </c>
      <c r="C25">
        <f>'AVL (EPS input)'!$B$4/LN(2)^(1/Assumptions!$B$6)</f>
        <v>28.826937810874796</v>
      </c>
      <c r="D25">
        <f>'AVL (EPS input)'!$B$4/LN(2)^(1/Assumptions!$B$6)</f>
        <v>28.826937810874796</v>
      </c>
      <c r="E25">
        <f>'AVL (EPS input)'!$B$4/LN(2)^(1/Assumptions!$B$6)</f>
        <v>28.826937810874796</v>
      </c>
      <c r="F25">
        <f>'AVL (EPS input)'!$B$4/LN(2)^(1/Assumptions!$B$6)</f>
        <v>28.826937810874796</v>
      </c>
      <c r="G25">
        <f>'AVL (EPS input)'!$B$4/LN(2)^(1/Assumptions!$B$6)</f>
        <v>28.826937810874796</v>
      </c>
      <c r="H25">
        <f>'AVL (EPS input)'!$B$4/LN(2)^(1/Assumptions!$B$6)</f>
        <v>28.826937810874796</v>
      </c>
      <c r="I25">
        <f>'AVL (EPS input)'!$B$4/LN(2)^(1/Assumptions!$B$6)</f>
        <v>28.826937810874796</v>
      </c>
      <c r="J25">
        <f>'AVL (EPS input)'!$B$4/LN(2)^(1/Assumptions!$B$6)</f>
        <v>28.826937810874796</v>
      </c>
      <c r="K25">
        <f>'AVL (EPS input)'!$B$4/LN(2)^(1/Assumptions!$B$6)</f>
        <v>28.826937810874796</v>
      </c>
      <c r="L25">
        <f>'AVL (EPS input)'!$B$4/LN(2)^(1/Assumptions!$B$6)</f>
        <v>28.826937810874796</v>
      </c>
      <c r="M25">
        <f>'AVL (EPS input)'!$B$4/LN(2)^(1/Assumptions!$B$6)</f>
        <v>28.826937810874796</v>
      </c>
      <c r="N25">
        <f>'AVL (EPS input)'!$B$4/LN(2)^(1/Assumptions!$B$6)</f>
        <v>28.826937810874796</v>
      </c>
      <c r="O25">
        <f>'AVL (EPS input)'!$B$4/LN(2)^(1/Assumptions!$B$6)</f>
        <v>28.826937810874796</v>
      </c>
      <c r="P25">
        <f>'AVL (EPS input)'!$B$4/LN(2)^(1/Assumptions!$B$6)</f>
        <v>28.826937810874796</v>
      </c>
      <c r="Q25">
        <f>'AVL (EPS input)'!$B$4/LN(2)^(1/Assumptions!$B$6)</f>
        <v>28.826937810874796</v>
      </c>
      <c r="R25">
        <f>'AVL (EPS input)'!$B$4/LN(2)^(1/Assumptions!$B$6)</f>
        <v>28.826937810874796</v>
      </c>
      <c r="S25">
        <f>'AVL (EPS input)'!$B$4/LN(2)^(1/Assumptions!$B$6)</f>
        <v>28.826937810874796</v>
      </c>
      <c r="T25">
        <f>'AVL (EPS input)'!$B$4/LN(2)^(1/Assumptions!$B$6)</f>
        <v>28.826937810874796</v>
      </c>
      <c r="U25">
        <f>'AVL (EPS input)'!$B$4/LN(2)^(1/Assumptions!$B$6)</f>
        <v>28.826937810874796</v>
      </c>
      <c r="V25">
        <f>'AVL (EPS input)'!$B$4/LN(2)^(1/Assumptions!$B$6)</f>
        <v>28.826937810874796</v>
      </c>
      <c r="W25">
        <f>'AVL (EPS input)'!$B$4/LN(2)^(1/Assumptions!$B$6)</f>
        <v>28.826937810874796</v>
      </c>
      <c r="X25">
        <f>'AVL (EPS input)'!$B$4/LN(2)^(1/Assumptions!$B$6)</f>
        <v>28.826937810874796</v>
      </c>
      <c r="Y25">
        <f>'AVL (EPS input)'!$B$4/LN(2)^(1/Assumptions!$B$6)</f>
        <v>28.826937810874796</v>
      </c>
      <c r="Z25">
        <f>'AVL (EPS input)'!$B$4/LN(2)^(1/Assumptions!$B$6)</f>
        <v>28.826937810874796</v>
      </c>
      <c r="AA25">
        <f>'AVL (EPS input)'!$B$4/LN(2)^(1/Assumptions!$B$6)</f>
        <v>28.826937810874796</v>
      </c>
      <c r="AB25">
        <f>'AVL (EPS input)'!$B$4/LN(2)^(1/Assumptions!$B$6)</f>
        <v>28.826937810874796</v>
      </c>
      <c r="AC25">
        <f>'AVL (EPS input)'!$B$4/LN(2)^(1/Assumptions!$B$6)</f>
        <v>28.826937810874796</v>
      </c>
      <c r="AD25">
        <f>'AVL (EPS input)'!$B$4/LN(2)^(1/Assumptions!$B$6)</f>
        <v>28.826937810874796</v>
      </c>
      <c r="AE25">
        <f>'AVL (EPS input)'!$B$4/LN(2)^(1/Assumptions!$B$6)</f>
        <v>28.826937810874796</v>
      </c>
      <c r="AF25">
        <f>'AVL (EPS input)'!$B$4/LN(2)^(1/Assumptions!$B$6)</f>
        <v>28.826937810874796</v>
      </c>
      <c r="AG25">
        <f>'AVL (EPS input)'!$B$4/LN(2)^(1/Assumptions!$B$6)</f>
        <v>28.826937810874796</v>
      </c>
      <c r="AH25">
        <f>'AVL (EPS input)'!$B$4/LN(2)^(1/Assumptions!$B$6)</f>
        <v>28.826937810874796</v>
      </c>
      <c r="AI25">
        <f>'AVL (EPS input)'!$B$4/LN(2)^(1/Assumptions!$B$6)</f>
        <v>28.826937810874796</v>
      </c>
      <c r="AJ25">
        <f>'AVL (EPS input)'!$B$4/LN(2)^(1/Assumptions!$B$6)</f>
        <v>28.826937810874796</v>
      </c>
      <c r="AK25">
        <f>'AVL (EPS input)'!$B$4/LN(2)^(1/Assumptions!$B$6)</f>
        <v>28.826937810874796</v>
      </c>
      <c r="AL25">
        <f>'AVL (EPS input)'!$B$4/LN(2)^(1/Assumptions!$B$6)</f>
        <v>28.826937810874796</v>
      </c>
      <c r="AM25">
        <f>'AVL (EPS input)'!$B$4/LN(2)^(1/Assumptions!$B$6)</f>
        <v>28.826937810874796</v>
      </c>
      <c r="AN25">
        <f>'AVL (EPS input)'!$B$4/LN(2)^(1/Assumptions!$B$6)</f>
        <v>28.826937810874796</v>
      </c>
      <c r="AO25">
        <f>'AVL (EPS input)'!$B$4/LN(2)^(1/Assumptions!$B$6)</f>
        <v>28.826937810874796</v>
      </c>
      <c r="AP25">
        <f>'AVL (EPS input)'!$B$4/LN(2)^(1/Assumptions!$B$6)</f>
        <v>28.826937810874796</v>
      </c>
      <c r="AQ25">
        <f>'AVL (EPS input)'!$B$4/LN(2)^(1/Assumptions!$B$6)</f>
        <v>28.826937810874796</v>
      </c>
      <c r="AR25">
        <f>'AVL (EPS input)'!$B$4/LN(2)^(1/Assumptions!$B$6)</f>
        <v>28.826937810874796</v>
      </c>
      <c r="AS25">
        <f>'AVL (EPS input)'!$B$4/LN(2)^(1/Assumptions!$B$6)</f>
        <v>28.826937810874796</v>
      </c>
      <c r="AT25">
        <f>'AVL (EPS input)'!$B$4/LN(2)^(1/Assumptions!$B$6)</f>
        <v>28.826937810874796</v>
      </c>
      <c r="AU25">
        <f>'AVL (EPS input)'!$B$4/LN(2)^(1/Assumptions!$B$6)</f>
        <v>28.826937810874796</v>
      </c>
      <c r="AV25">
        <f>'AVL (EPS input)'!$B$4/LN(2)^(1/Assumptions!$B$6)</f>
        <v>28.826937810874796</v>
      </c>
      <c r="AW25">
        <f>'AVL (EPS input)'!$B$4/LN(2)^(1/Assumptions!$B$6)</f>
        <v>28.826937810874796</v>
      </c>
      <c r="AX25">
        <f>'AVL (EPS input)'!$B$4/LN(2)^(1/Assumptions!$B$6)</f>
        <v>28.826937810874796</v>
      </c>
      <c r="AY25">
        <f>'AVL (EPS input)'!$B$4/LN(2)^(1/Assumptions!$B$6)</f>
        <v>28.826937810874796</v>
      </c>
      <c r="AZ25">
        <f>'AVL (EPS input)'!$B$4/LN(2)^(1/Assumptions!$B$6)</f>
        <v>28.826937810874796</v>
      </c>
      <c r="BA25">
        <f>'AVL (EPS input)'!$B$4/LN(2)^(1/Assumptions!$B$6)</f>
        <v>28.826937810874796</v>
      </c>
      <c r="BB25">
        <f>'AVL (EPS input)'!$B$4/LN(2)^(1/Assumptions!$B$6)</f>
        <v>28.826937810874796</v>
      </c>
      <c r="BC25">
        <f>'AVL (EPS input)'!$B$4/LN(2)^(1/Assumptions!$B$6)</f>
        <v>28.826937810874796</v>
      </c>
      <c r="BD25">
        <f>'AVL (EPS input)'!$B$4/LN(2)^(1/Assumptions!$B$6)</f>
        <v>28.826937810874796</v>
      </c>
      <c r="BE25">
        <f>'AVL (EPS input)'!$B$4/LN(2)^(1/Assumptions!$B$6)</f>
        <v>28.826937810874796</v>
      </c>
      <c r="BF25">
        <f>'AVL (EPS input)'!$B$4/LN(2)^(1/Assumptions!$B$6)</f>
        <v>28.826937810874796</v>
      </c>
      <c r="BG25">
        <f>'AVL (EPS input)'!$B$4/LN(2)^(1/Assumptions!$B$6)</f>
        <v>28.826937810874796</v>
      </c>
      <c r="BH25">
        <f>'AVL (EPS input)'!$B$4/LN(2)^(1/Assumptions!$B$6)</f>
        <v>28.826937810874796</v>
      </c>
      <c r="BI25">
        <f>'AVL (EPS input)'!$B$4/LN(2)^(1/Assumptions!$B$6)</f>
        <v>28.826937810874796</v>
      </c>
      <c r="BJ25">
        <f>'AVL (EPS input)'!$B$4/LN(2)^(1/Assumptions!$B$6)</f>
        <v>28.826937810874796</v>
      </c>
      <c r="BK25">
        <f>'AVL (EPS input)'!$B$4/LN(2)^(1/Assumptions!$B$6)</f>
        <v>28.826937810874796</v>
      </c>
      <c r="BL25">
        <f>'AVL (EPS input)'!$B$4/LN(2)^(1/Assumptions!$B$6)</f>
        <v>28.826937810874796</v>
      </c>
      <c r="BM25">
        <f>'AVL (EPS input)'!$B$4/LN(2)^(1/Assumptions!$B$6)</f>
        <v>28.826937810874796</v>
      </c>
      <c r="BN25">
        <f>'AVL (EPS input)'!$B$4/LN(2)^(1/Assumptions!$B$6)</f>
        <v>28.826937810874796</v>
      </c>
      <c r="BO25">
        <f>'AVL (EPS input)'!$B$4/LN(2)^(1/Assumptions!$B$6)</f>
        <v>28.826937810874796</v>
      </c>
      <c r="BP25">
        <f>'AVL (EPS input)'!$B$4/LN(2)^(1/Assumptions!$B$6)</f>
        <v>28.826937810874796</v>
      </c>
      <c r="BQ25">
        <f>'AVL (EPS input)'!$B$4/LN(2)^(1/Assumptions!$B$6)</f>
        <v>28.826937810874796</v>
      </c>
      <c r="BR25">
        <f>'AVL (EPS input)'!$B$4/LN(2)^(1/Assumptions!$B$6)</f>
        <v>28.826937810874796</v>
      </c>
      <c r="BS25">
        <f>'AVL (EPS input)'!$B$4/LN(2)^(1/Assumptions!$B$6)</f>
        <v>28.826937810874796</v>
      </c>
      <c r="BT25">
        <f>'AVL (EPS input)'!$B$4/LN(2)^(1/Assumptions!$B$6)</f>
        <v>28.826937810874796</v>
      </c>
      <c r="BU25">
        <f>'AVL (EPS input)'!$B$4/LN(2)^(1/Assumptions!$B$6)</f>
        <v>28.826937810874796</v>
      </c>
      <c r="BV25">
        <f>'AVL (EPS input)'!$B$4/LN(2)^(1/Assumptions!$B$6)</f>
        <v>28.826937810874796</v>
      </c>
      <c r="BW25">
        <f>'AVL (EPS input)'!$B$4/LN(2)^(1/Assumptions!$B$6)</f>
        <v>28.826937810874796</v>
      </c>
      <c r="BX25">
        <f>'AVL (EPS input)'!$B$4/LN(2)^(1/Assumptions!$B$6)</f>
        <v>28.826937810874796</v>
      </c>
      <c r="BY25">
        <f>'AVL (EPS input)'!$B$4/LN(2)^(1/Assumptions!$B$6)</f>
        <v>28.826937810874796</v>
      </c>
      <c r="BZ25">
        <f>'AVL (EPS input)'!$B$4/LN(2)^(1/Assumptions!$B$6)</f>
        <v>28.826937810874796</v>
      </c>
      <c r="CA25">
        <f>'AVL (EPS input)'!$B$4/LN(2)^(1/Assumptions!$B$6)</f>
        <v>28.826937810874796</v>
      </c>
      <c r="CB25">
        <f>'AVL (EPS input)'!$B$4/LN(2)^(1/Assumptions!$B$6)</f>
        <v>28.826937810874796</v>
      </c>
      <c r="CC25">
        <f>'AVL (EPS input)'!$B$4/LN(2)^(1/Assumptions!$B$6)</f>
        <v>28.826937810874796</v>
      </c>
      <c r="CD25">
        <f>'AVL (EPS input)'!$B$4/LN(2)^(1/Assumptions!$B$6)</f>
        <v>28.826937810874796</v>
      </c>
      <c r="CE25">
        <f>'AVL (EPS input)'!$B$4/LN(2)^(1/Assumptions!$B$6)</f>
        <v>28.826937810874796</v>
      </c>
      <c r="CF25">
        <f>'AVL (EPS input)'!$B$4/LN(2)^(1/Assumptions!$B$6)</f>
        <v>28.826937810874796</v>
      </c>
      <c r="CG25">
        <f>'AVL (EPS input)'!$B$4/LN(2)^(1/Assumptions!$B$6)</f>
        <v>28.826937810874796</v>
      </c>
      <c r="CH25">
        <f>'AVL (EPS input)'!$B$4/LN(2)^(1/Assumptions!$B$6)</f>
        <v>28.826937810874796</v>
      </c>
      <c r="CI25">
        <f>'AVL (EPS input)'!$B$4/LN(2)^(1/Assumptions!$B$6)</f>
        <v>28.826937810874796</v>
      </c>
    </row>
    <row r="26" spans="1:87" x14ac:dyDescent="0.25">
      <c r="A26" t="s">
        <v>44</v>
      </c>
      <c r="B26">
        <f>'AVL (EPS input)'!$B$5/LN(2)^(1/Assumptions!$B$7)</f>
        <v>56.452753212963145</v>
      </c>
      <c r="C26">
        <f>'AVL (EPS input)'!$B$5/LN(2)^(1/Assumptions!$B$7)</f>
        <v>56.452753212963145</v>
      </c>
      <c r="D26">
        <f>'AVL (EPS input)'!$B$5/LN(2)^(1/Assumptions!$B$7)</f>
        <v>56.452753212963145</v>
      </c>
      <c r="E26">
        <f>'AVL (EPS input)'!$B$5/LN(2)^(1/Assumptions!$B$7)</f>
        <v>56.452753212963145</v>
      </c>
      <c r="F26">
        <f>'AVL (EPS input)'!$B$5/LN(2)^(1/Assumptions!$B$7)</f>
        <v>56.452753212963145</v>
      </c>
      <c r="G26">
        <f>'AVL (EPS input)'!$B$5/LN(2)^(1/Assumptions!$B$7)</f>
        <v>56.452753212963145</v>
      </c>
      <c r="H26">
        <f>'AVL (EPS input)'!$B$5/LN(2)^(1/Assumptions!$B$7)</f>
        <v>56.452753212963145</v>
      </c>
      <c r="I26">
        <f>'AVL (EPS input)'!$B$5/LN(2)^(1/Assumptions!$B$7)</f>
        <v>56.452753212963145</v>
      </c>
      <c r="J26">
        <f>'AVL (EPS input)'!$B$5/LN(2)^(1/Assumptions!$B$7)</f>
        <v>56.452753212963145</v>
      </c>
      <c r="K26">
        <f>'AVL (EPS input)'!$B$5/LN(2)^(1/Assumptions!$B$7)</f>
        <v>56.452753212963145</v>
      </c>
      <c r="L26">
        <f>'AVL (EPS input)'!$B$5/LN(2)^(1/Assumptions!$B$7)</f>
        <v>56.452753212963145</v>
      </c>
      <c r="M26">
        <f>'AVL (EPS input)'!$B$5/LN(2)^(1/Assumptions!$B$7)</f>
        <v>56.452753212963145</v>
      </c>
      <c r="N26">
        <f>'AVL (EPS input)'!$B$5/LN(2)^(1/Assumptions!$B$7)</f>
        <v>56.452753212963145</v>
      </c>
      <c r="O26">
        <f>'AVL (EPS input)'!$B$5/LN(2)^(1/Assumptions!$B$7)</f>
        <v>56.452753212963145</v>
      </c>
      <c r="P26">
        <f>'AVL (EPS input)'!$B$5/LN(2)^(1/Assumptions!$B$7)</f>
        <v>56.452753212963145</v>
      </c>
      <c r="Q26">
        <f>'AVL (EPS input)'!$B$5/LN(2)^(1/Assumptions!$B$7)</f>
        <v>56.452753212963145</v>
      </c>
      <c r="R26">
        <f>'AVL (EPS input)'!$B$5/LN(2)^(1/Assumptions!$B$7)</f>
        <v>56.452753212963145</v>
      </c>
      <c r="S26">
        <f>'AVL (EPS input)'!$B$5/LN(2)^(1/Assumptions!$B$7)</f>
        <v>56.452753212963145</v>
      </c>
      <c r="T26">
        <f>'AVL (EPS input)'!$B$5/LN(2)^(1/Assumptions!$B$7)</f>
        <v>56.452753212963145</v>
      </c>
      <c r="U26">
        <f>'AVL (EPS input)'!$B$5/LN(2)^(1/Assumptions!$B$7)</f>
        <v>56.452753212963145</v>
      </c>
      <c r="V26">
        <f>'AVL (EPS input)'!$B$5/LN(2)^(1/Assumptions!$B$7)</f>
        <v>56.452753212963145</v>
      </c>
      <c r="W26">
        <f>'AVL (EPS input)'!$B$5/LN(2)^(1/Assumptions!$B$7)</f>
        <v>56.452753212963145</v>
      </c>
      <c r="X26">
        <f>'AVL (EPS input)'!$B$5/LN(2)^(1/Assumptions!$B$7)</f>
        <v>56.452753212963145</v>
      </c>
      <c r="Y26">
        <f>'AVL (EPS input)'!$B$5/LN(2)^(1/Assumptions!$B$7)</f>
        <v>56.452753212963145</v>
      </c>
      <c r="Z26">
        <f>'AVL (EPS input)'!$B$5/LN(2)^(1/Assumptions!$B$7)</f>
        <v>56.452753212963145</v>
      </c>
      <c r="AA26">
        <f>'AVL (EPS input)'!$B$5/LN(2)^(1/Assumptions!$B$7)</f>
        <v>56.452753212963145</v>
      </c>
      <c r="AB26">
        <f>'AVL (EPS input)'!$B$5/LN(2)^(1/Assumptions!$B$7)</f>
        <v>56.452753212963145</v>
      </c>
      <c r="AC26">
        <f>'AVL (EPS input)'!$B$5/LN(2)^(1/Assumptions!$B$7)</f>
        <v>56.452753212963145</v>
      </c>
      <c r="AD26">
        <f>'AVL (EPS input)'!$B$5/LN(2)^(1/Assumptions!$B$7)</f>
        <v>56.452753212963145</v>
      </c>
      <c r="AE26">
        <f>'AVL (EPS input)'!$B$5/LN(2)^(1/Assumptions!$B$7)</f>
        <v>56.452753212963145</v>
      </c>
      <c r="AF26">
        <f>'AVL (EPS input)'!$B$5/LN(2)^(1/Assumptions!$B$7)</f>
        <v>56.452753212963145</v>
      </c>
      <c r="AG26">
        <f>'AVL (EPS input)'!$B$5/LN(2)^(1/Assumptions!$B$7)</f>
        <v>56.452753212963145</v>
      </c>
      <c r="AH26">
        <f>'AVL (EPS input)'!$B$5/LN(2)^(1/Assumptions!$B$7)</f>
        <v>56.452753212963145</v>
      </c>
      <c r="AI26">
        <f>'AVL (EPS input)'!$B$5/LN(2)^(1/Assumptions!$B$7)</f>
        <v>56.452753212963145</v>
      </c>
      <c r="AJ26">
        <f>'AVL (EPS input)'!$B$5/LN(2)^(1/Assumptions!$B$7)</f>
        <v>56.452753212963145</v>
      </c>
      <c r="AK26">
        <f>'AVL (EPS input)'!$B$5/LN(2)^(1/Assumptions!$B$7)</f>
        <v>56.452753212963145</v>
      </c>
      <c r="AL26">
        <f>'AVL (EPS input)'!$B$5/LN(2)^(1/Assumptions!$B$7)</f>
        <v>56.452753212963145</v>
      </c>
      <c r="AM26">
        <f>'AVL (EPS input)'!$B$5/LN(2)^(1/Assumptions!$B$7)</f>
        <v>56.452753212963145</v>
      </c>
      <c r="AN26">
        <f>'AVL (EPS input)'!$B$5/LN(2)^(1/Assumptions!$B$7)</f>
        <v>56.452753212963145</v>
      </c>
      <c r="AO26">
        <f>'AVL (EPS input)'!$B$5/LN(2)^(1/Assumptions!$B$7)</f>
        <v>56.452753212963145</v>
      </c>
      <c r="AP26">
        <f>'AVL (EPS input)'!$B$5/LN(2)^(1/Assumptions!$B$7)</f>
        <v>56.452753212963145</v>
      </c>
      <c r="AQ26">
        <f>'AVL (EPS input)'!$B$5/LN(2)^(1/Assumptions!$B$7)</f>
        <v>56.452753212963145</v>
      </c>
      <c r="AR26">
        <f>'AVL (EPS input)'!$B$5/LN(2)^(1/Assumptions!$B$7)</f>
        <v>56.452753212963145</v>
      </c>
      <c r="AS26">
        <f>'AVL (EPS input)'!$B$5/LN(2)^(1/Assumptions!$B$7)</f>
        <v>56.452753212963145</v>
      </c>
      <c r="AT26">
        <f>'AVL (EPS input)'!$B$5/LN(2)^(1/Assumptions!$B$7)</f>
        <v>56.452753212963145</v>
      </c>
      <c r="AU26">
        <f>'AVL (EPS input)'!$B$5/LN(2)^(1/Assumptions!$B$7)</f>
        <v>56.452753212963145</v>
      </c>
      <c r="AV26">
        <f>'AVL (EPS input)'!$B$5/LN(2)^(1/Assumptions!$B$7)</f>
        <v>56.452753212963145</v>
      </c>
      <c r="AW26">
        <f>'AVL (EPS input)'!$B$5/LN(2)^(1/Assumptions!$B$7)</f>
        <v>56.452753212963145</v>
      </c>
      <c r="AX26">
        <f>'AVL (EPS input)'!$B$5/LN(2)^(1/Assumptions!$B$7)</f>
        <v>56.452753212963145</v>
      </c>
      <c r="AY26">
        <f>'AVL (EPS input)'!$B$5/LN(2)^(1/Assumptions!$B$7)</f>
        <v>56.452753212963145</v>
      </c>
      <c r="AZ26">
        <f>'AVL (EPS input)'!$B$5/LN(2)^(1/Assumptions!$B$7)</f>
        <v>56.452753212963145</v>
      </c>
      <c r="BA26">
        <f>'AVL (EPS input)'!$B$5/LN(2)^(1/Assumptions!$B$7)</f>
        <v>56.452753212963145</v>
      </c>
      <c r="BB26">
        <f>'AVL (EPS input)'!$B$5/LN(2)^(1/Assumptions!$B$7)</f>
        <v>56.452753212963145</v>
      </c>
      <c r="BC26">
        <f>'AVL (EPS input)'!$B$5/LN(2)^(1/Assumptions!$B$7)</f>
        <v>56.452753212963145</v>
      </c>
      <c r="BD26">
        <f>'AVL (EPS input)'!$B$5/LN(2)^(1/Assumptions!$B$7)</f>
        <v>56.452753212963145</v>
      </c>
      <c r="BE26">
        <f>'AVL (EPS input)'!$B$5/LN(2)^(1/Assumptions!$B$7)</f>
        <v>56.452753212963145</v>
      </c>
      <c r="BF26">
        <f>'AVL (EPS input)'!$B$5/LN(2)^(1/Assumptions!$B$7)</f>
        <v>56.452753212963145</v>
      </c>
      <c r="BG26">
        <f>'AVL (EPS input)'!$B$5/LN(2)^(1/Assumptions!$B$7)</f>
        <v>56.452753212963145</v>
      </c>
      <c r="BH26">
        <f>'AVL (EPS input)'!$B$5/LN(2)^(1/Assumptions!$B$7)</f>
        <v>56.452753212963145</v>
      </c>
      <c r="BI26">
        <f>'AVL (EPS input)'!$B$5/LN(2)^(1/Assumptions!$B$7)</f>
        <v>56.452753212963145</v>
      </c>
      <c r="BJ26">
        <f>'AVL (EPS input)'!$B$5/LN(2)^(1/Assumptions!$B$7)</f>
        <v>56.452753212963145</v>
      </c>
      <c r="BK26">
        <f>'AVL (EPS input)'!$B$5/LN(2)^(1/Assumptions!$B$7)</f>
        <v>56.452753212963145</v>
      </c>
      <c r="BL26">
        <f>'AVL (EPS input)'!$B$5/LN(2)^(1/Assumptions!$B$7)</f>
        <v>56.452753212963145</v>
      </c>
      <c r="BM26">
        <f>'AVL (EPS input)'!$B$5/LN(2)^(1/Assumptions!$B$7)</f>
        <v>56.452753212963145</v>
      </c>
      <c r="BN26">
        <f>'AVL (EPS input)'!$B$5/LN(2)^(1/Assumptions!$B$7)</f>
        <v>56.452753212963145</v>
      </c>
      <c r="BO26">
        <f>'AVL (EPS input)'!$B$5/LN(2)^(1/Assumptions!$B$7)</f>
        <v>56.452753212963145</v>
      </c>
      <c r="BP26">
        <f>'AVL (EPS input)'!$B$5/LN(2)^(1/Assumptions!$B$7)</f>
        <v>56.452753212963145</v>
      </c>
      <c r="BQ26">
        <f>'AVL (EPS input)'!$B$5/LN(2)^(1/Assumptions!$B$7)</f>
        <v>56.452753212963145</v>
      </c>
      <c r="BR26">
        <f>'AVL (EPS input)'!$B$5/LN(2)^(1/Assumptions!$B$7)</f>
        <v>56.452753212963145</v>
      </c>
      <c r="BS26">
        <f>'AVL (EPS input)'!$B$5/LN(2)^(1/Assumptions!$B$7)</f>
        <v>56.452753212963145</v>
      </c>
      <c r="BT26">
        <f>'AVL (EPS input)'!$B$5/LN(2)^(1/Assumptions!$B$7)</f>
        <v>56.452753212963145</v>
      </c>
      <c r="BU26">
        <f>'AVL (EPS input)'!$B$5/LN(2)^(1/Assumptions!$B$7)</f>
        <v>56.452753212963145</v>
      </c>
      <c r="BV26">
        <f>'AVL (EPS input)'!$B$5/LN(2)^(1/Assumptions!$B$7)</f>
        <v>56.452753212963145</v>
      </c>
      <c r="BW26">
        <f>'AVL (EPS input)'!$B$5/LN(2)^(1/Assumptions!$B$7)</f>
        <v>56.452753212963145</v>
      </c>
      <c r="BX26">
        <f>'AVL (EPS input)'!$B$5/LN(2)^(1/Assumptions!$B$7)</f>
        <v>56.452753212963145</v>
      </c>
      <c r="BY26">
        <f>'AVL (EPS input)'!$B$5/LN(2)^(1/Assumptions!$B$7)</f>
        <v>56.452753212963145</v>
      </c>
      <c r="BZ26">
        <f>'AVL (EPS input)'!$B$5/LN(2)^(1/Assumptions!$B$7)</f>
        <v>56.452753212963145</v>
      </c>
      <c r="CA26">
        <f>'AVL (EPS input)'!$B$5/LN(2)^(1/Assumptions!$B$7)</f>
        <v>56.452753212963145</v>
      </c>
      <c r="CB26">
        <f>'AVL (EPS input)'!$B$5/LN(2)^(1/Assumptions!$B$7)</f>
        <v>56.452753212963145</v>
      </c>
      <c r="CC26">
        <f>'AVL (EPS input)'!$B$5/LN(2)^(1/Assumptions!$B$7)</f>
        <v>56.452753212963145</v>
      </c>
      <c r="CD26">
        <f>'AVL (EPS input)'!$B$5/LN(2)^(1/Assumptions!$B$7)</f>
        <v>56.452753212963145</v>
      </c>
      <c r="CE26">
        <f>'AVL (EPS input)'!$B$5/LN(2)^(1/Assumptions!$B$7)</f>
        <v>56.452753212963145</v>
      </c>
      <c r="CF26">
        <f>'AVL (EPS input)'!$B$5/LN(2)^(1/Assumptions!$B$7)</f>
        <v>56.452753212963145</v>
      </c>
      <c r="CG26">
        <f>'AVL (EPS input)'!$B$5/LN(2)^(1/Assumptions!$B$7)</f>
        <v>56.452753212963145</v>
      </c>
      <c r="CH26">
        <f>'AVL (EPS input)'!$B$5/LN(2)^(1/Assumptions!$B$7)</f>
        <v>56.452753212963145</v>
      </c>
      <c r="CI26">
        <f>'AVL (EPS input)'!$B$5/LN(2)^(1/Assumptions!$B$7)</f>
        <v>56.452753212963145</v>
      </c>
    </row>
    <row r="27" spans="1:87" x14ac:dyDescent="0.25">
      <c r="A27" t="s">
        <v>45</v>
      </c>
      <c r="B27">
        <f>'AVL (EPS input)'!$B$6/LN(2)^(1/Assumptions!$B$8)</f>
        <v>45.642651533885093</v>
      </c>
      <c r="C27">
        <f>'AVL (EPS input)'!$B$6/LN(2)^(1/Assumptions!$B$8)</f>
        <v>45.642651533885093</v>
      </c>
      <c r="D27">
        <f>'AVL (EPS input)'!$B$6/LN(2)^(1/Assumptions!$B$8)</f>
        <v>45.642651533885093</v>
      </c>
      <c r="E27">
        <f>'AVL (EPS input)'!$B$6/LN(2)^(1/Assumptions!$B$8)</f>
        <v>45.642651533885093</v>
      </c>
      <c r="F27">
        <f>'AVL (EPS input)'!$B$6/LN(2)^(1/Assumptions!$B$8)</f>
        <v>45.642651533885093</v>
      </c>
      <c r="G27">
        <f>'AVL (EPS input)'!$B$6/LN(2)^(1/Assumptions!$B$8)</f>
        <v>45.642651533885093</v>
      </c>
      <c r="H27">
        <f>'AVL (EPS input)'!$B$6/LN(2)^(1/Assumptions!$B$8)</f>
        <v>45.642651533885093</v>
      </c>
      <c r="I27">
        <f>'AVL (EPS input)'!$B$6/LN(2)^(1/Assumptions!$B$8)</f>
        <v>45.642651533885093</v>
      </c>
      <c r="J27">
        <f>'AVL (EPS input)'!$B$6/LN(2)^(1/Assumptions!$B$8)</f>
        <v>45.642651533885093</v>
      </c>
      <c r="K27">
        <f>'AVL (EPS input)'!$B$6/LN(2)^(1/Assumptions!$B$8)</f>
        <v>45.642651533885093</v>
      </c>
      <c r="L27">
        <f>'AVL (EPS input)'!$B$6/LN(2)^(1/Assumptions!$B$8)</f>
        <v>45.642651533885093</v>
      </c>
      <c r="M27">
        <f>'AVL (EPS input)'!$B$6/LN(2)^(1/Assumptions!$B$8)</f>
        <v>45.642651533885093</v>
      </c>
      <c r="N27">
        <f>'AVL (EPS input)'!$B$6/LN(2)^(1/Assumptions!$B$8)</f>
        <v>45.642651533885093</v>
      </c>
      <c r="O27">
        <f>'AVL (EPS input)'!$B$6/LN(2)^(1/Assumptions!$B$8)</f>
        <v>45.642651533885093</v>
      </c>
      <c r="P27">
        <f>'AVL (EPS input)'!$B$6/LN(2)^(1/Assumptions!$B$8)</f>
        <v>45.642651533885093</v>
      </c>
      <c r="Q27">
        <f>'AVL (EPS input)'!$B$6/LN(2)^(1/Assumptions!$B$8)</f>
        <v>45.642651533885093</v>
      </c>
      <c r="R27">
        <f>'AVL (EPS input)'!$B$6/LN(2)^(1/Assumptions!$B$8)</f>
        <v>45.642651533885093</v>
      </c>
      <c r="S27">
        <f>'AVL (EPS input)'!$B$6/LN(2)^(1/Assumptions!$B$8)</f>
        <v>45.642651533885093</v>
      </c>
      <c r="T27">
        <f>'AVL (EPS input)'!$B$6/LN(2)^(1/Assumptions!$B$8)</f>
        <v>45.642651533885093</v>
      </c>
      <c r="U27">
        <f>'AVL (EPS input)'!$B$6/LN(2)^(1/Assumptions!$B$8)</f>
        <v>45.642651533885093</v>
      </c>
      <c r="V27">
        <f>'AVL (EPS input)'!$B$6/LN(2)^(1/Assumptions!$B$8)</f>
        <v>45.642651533885093</v>
      </c>
      <c r="W27">
        <f>'AVL (EPS input)'!$B$6/LN(2)^(1/Assumptions!$B$8)</f>
        <v>45.642651533885093</v>
      </c>
      <c r="X27">
        <f>'AVL (EPS input)'!$B$6/LN(2)^(1/Assumptions!$B$8)</f>
        <v>45.642651533885093</v>
      </c>
      <c r="Y27">
        <f>'AVL (EPS input)'!$B$6/LN(2)^(1/Assumptions!$B$8)</f>
        <v>45.642651533885093</v>
      </c>
      <c r="Z27">
        <f>'AVL (EPS input)'!$B$6/LN(2)^(1/Assumptions!$B$8)</f>
        <v>45.642651533885093</v>
      </c>
      <c r="AA27">
        <f>'AVL (EPS input)'!$B$6/LN(2)^(1/Assumptions!$B$8)</f>
        <v>45.642651533885093</v>
      </c>
      <c r="AB27">
        <f>'AVL (EPS input)'!$B$6/LN(2)^(1/Assumptions!$B$8)</f>
        <v>45.642651533885093</v>
      </c>
      <c r="AC27">
        <f>'AVL (EPS input)'!$B$6/LN(2)^(1/Assumptions!$B$8)</f>
        <v>45.642651533885093</v>
      </c>
      <c r="AD27">
        <f>'AVL (EPS input)'!$B$6/LN(2)^(1/Assumptions!$B$8)</f>
        <v>45.642651533885093</v>
      </c>
      <c r="AE27">
        <f>'AVL (EPS input)'!$B$6/LN(2)^(1/Assumptions!$B$8)</f>
        <v>45.642651533885093</v>
      </c>
      <c r="AF27">
        <f>'AVL (EPS input)'!$B$6/LN(2)^(1/Assumptions!$B$8)</f>
        <v>45.642651533885093</v>
      </c>
      <c r="AG27">
        <f>'AVL (EPS input)'!$B$6/LN(2)^(1/Assumptions!$B$8)</f>
        <v>45.642651533885093</v>
      </c>
      <c r="AH27">
        <f>'AVL (EPS input)'!$B$6/LN(2)^(1/Assumptions!$B$8)</f>
        <v>45.642651533885093</v>
      </c>
      <c r="AI27">
        <f>'AVL (EPS input)'!$B$6/LN(2)^(1/Assumptions!$B$8)</f>
        <v>45.642651533885093</v>
      </c>
      <c r="AJ27">
        <f>'AVL (EPS input)'!$B$6/LN(2)^(1/Assumptions!$B$8)</f>
        <v>45.642651533885093</v>
      </c>
      <c r="AK27">
        <f>'AVL (EPS input)'!$B$6/LN(2)^(1/Assumptions!$B$8)</f>
        <v>45.642651533885093</v>
      </c>
      <c r="AL27">
        <f>'AVL (EPS input)'!$B$6/LN(2)^(1/Assumptions!$B$8)</f>
        <v>45.642651533885093</v>
      </c>
      <c r="AM27">
        <f>'AVL (EPS input)'!$B$6/LN(2)^(1/Assumptions!$B$8)</f>
        <v>45.642651533885093</v>
      </c>
      <c r="AN27">
        <f>'AVL (EPS input)'!$B$6/LN(2)^(1/Assumptions!$B$8)</f>
        <v>45.642651533885093</v>
      </c>
      <c r="AO27">
        <f>'AVL (EPS input)'!$B$6/LN(2)^(1/Assumptions!$B$8)</f>
        <v>45.642651533885093</v>
      </c>
      <c r="AP27">
        <f>'AVL (EPS input)'!$B$6/LN(2)^(1/Assumptions!$B$8)</f>
        <v>45.642651533885093</v>
      </c>
      <c r="AQ27">
        <f>'AVL (EPS input)'!$B$6/LN(2)^(1/Assumptions!$B$8)</f>
        <v>45.642651533885093</v>
      </c>
      <c r="AR27">
        <f>'AVL (EPS input)'!$B$6/LN(2)^(1/Assumptions!$B$8)</f>
        <v>45.642651533885093</v>
      </c>
      <c r="AS27">
        <f>'AVL (EPS input)'!$B$6/LN(2)^(1/Assumptions!$B$8)</f>
        <v>45.642651533885093</v>
      </c>
      <c r="AT27">
        <f>'AVL (EPS input)'!$B$6/LN(2)^(1/Assumptions!$B$8)</f>
        <v>45.642651533885093</v>
      </c>
      <c r="AU27">
        <f>'AVL (EPS input)'!$B$6/LN(2)^(1/Assumptions!$B$8)</f>
        <v>45.642651533885093</v>
      </c>
      <c r="AV27">
        <f>'AVL (EPS input)'!$B$6/LN(2)^(1/Assumptions!$B$8)</f>
        <v>45.642651533885093</v>
      </c>
      <c r="AW27">
        <f>'AVL (EPS input)'!$B$6/LN(2)^(1/Assumptions!$B$8)</f>
        <v>45.642651533885093</v>
      </c>
      <c r="AX27">
        <f>'AVL (EPS input)'!$B$6/LN(2)^(1/Assumptions!$B$8)</f>
        <v>45.642651533885093</v>
      </c>
      <c r="AY27">
        <f>'AVL (EPS input)'!$B$6/LN(2)^(1/Assumptions!$B$8)</f>
        <v>45.642651533885093</v>
      </c>
      <c r="AZ27">
        <f>'AVL (EPS input)'!$B$6/LN(2)^(1/Assumptions!$B$8)</f>
        <v>45.642651533885093</v>
      </c>
      <c r="BA27">
        <f>'AVL (EPS input)'!$B$6/LN(2)^(1/Assumptions!$B$8)</f>
        <v>45.642651533885093</v>
      </c>
      <c r="BB27">
        <f>'AVL (EPS input)'!$B$6/LN(2)^(1/Assumptions!$B$8)</f>
        <v>45.642651533885093</v>
      </c>
      <c r="BC27">
        <f>'AVL (EPS input)'!$B$6/LN(2)^(1/Assumptions!$B$8)</f>
        <v>45.642651533885093</v>
      </c>
      <c r="BD27">
        <f>'AVL (EPS input)'!$B$6/LN(2)^(1/Assumptions!$B$8)</f>
        <v>45.642651533885093</v>
      </c>
      <c r="BE27">
        <f>'AVL (EPS input)'!$B$6/LN(2)^(1/Assumptions!$B$8)</f>
        <v>45.642651533885093</v>
      </c>
      <c r="BF27">
        <f>'AVL (EPS input)'!$B$6/LN(2)^(1/Assumptions!$B$8)</f>
        <v>45.642651533885093</v>
      </c>
      <c r="BG27">
        <f>'AVL (EPS input)'!$B$6/LN(2)^(1/Assumptions!$B$8)</f>
        <v>45.642651533885093</v>
      </c>
      <c r="BH27">
        <f>'AVL (EPS input)'!$B$6/LN(2)^(1/Assumptions!$B$8)</f>
        <v>45.642651533885093</v>
      </c>
      <c r="BI27">
        <f>'AVL (EPS input)'!$B$6/LN(2)^(1/Assumptions!$B$8)</f>
        <v>45.642651533885093</v>
      </c>
      <c r="BJ27">
        <f>'AVL (EPS input)'!$B$6/LN(2)^(1/Assumptions!$B$8)</f>
        <v>45.642651533885093</v>
      </c>
      <c r="BK27">
        <f>'AVL (EPS input)'!$B$6/LN(2)^(1/Assumptions!$B$8)</f>
        <v>45.642651533885093</v>
      </c>
      <c r="BL27">
        <f>'AVL (EPS input)'!$B$6/LN(2)^(1/Assumptions!$B$8)</f>
        <v>45.642651533885093</v>
      </c>
      <c r="BM27">
        <f>'AVL (EPS input)'!$B$6/LN(2)^(1/Assumptions!$B$8)</f>
        <v>45.642651533885093</v>
      </c>
      <c r="BN27">
        <f>'AVL (EPS input)'!$B$6/LN(2)^(1/Assumptions!$B$8)</f>
        <v>45.642651533885093</v>
      </c>
      <c r="BO27">
        <f>'AVL (EPS input)'!$B$6/LN(2)^(1/Assumptions!$B$8)</f>
        <v>45.642651533885093</v>
      </c>
      <c r="BP27">
        <f>'AVL (EPS input)'!$B$6/LN(2)^(1/Assumptions!$B$8)</f>
        <v>45.642651533885093</v>
      </c>
      <c r="BQ27">
        <f>'AVL (EPS input)'!$B$6/LN(2)^(1/Assumptions!$B$8)</f>
        <v>45.642651533885093</v>
      </c>
      <c r="BR27">
        <f>'AVL (EPS input)'!$B$6/LN(2)^(1/Assumptions!$B$8)</f>
        <v>45.642651533885093</v>
      </c>
      <c r="BS27">
        <f>'AVL (EPS input)'!$B$6/LN(2)^(1/Assumptions!$B$8)</f>
        <v>45.642651533885093</v>
      </c>
      <c r="BT27">
        <f>'AVL (EPS input)'!$B$6/LN(2)^(1/Assumptions!$B$8)</f>
        <v>45.642651533885093</v>
      </c>
      <c r="BU27">
        <f>'AVL (EPS input)'!$B$6/LN(2)^(1/Assumptions!$B$8)</f>
        <v>45.642651533885093</v>
      </c>
      <c r="BV27">
        <f>'AVL (EPS input)'!$B$6/LN(2)^(1/Assumptions!$B$8)</f>
        <v>45.642651533885093</v>
      </c>
      <c r="BW27">
        <f>'AVL (EPS input)'!$B$6/LN(2)^(1/Assumptions!$B$8)</f>
        <v>45.642651533885093</v>
      </c>
      <c r="BX27">
        <f>'AVL (EPS input)'!$B$6/LN(2)^(1/Assumptions!$B$8)</f>
        <v>45.642651533885093</v>
      </c>
      <c r="BY27">
        <f>'AVL (EPS input)'!$B$6/LN(2)^(1/Assumptions!$B$8)</f>
        <v>45.642651533885093</v>
      </c>
      <c r="BZ27">
        <f>'AVL (EPS input)'!$B$6/LN(2)^(1/Assumptions!$B$8)</f>
        <v>45.642651533885093</v>
      </c>
      <c r="CA27">
        <f>'AVL (EPS input)'!$B$6/LN(2)^(1/Assumptions!$B$8)</f>
        <v>45.642651533885093</v>
      </c>
      <c r="CB27">
        <f>'AVL (EPS input)'!$B$6/LN(2)^(1/Assumptions!$B$8)</f>
        <v>45.642651533885093</v>
      </c>
      <c r="CC27">
        <f>'AVL (EPS input)'!$B$6/LN(2)^(1/Assumptions!$B$8)</f>
        <v>45.642651533885093</v>
      </c>
      <c r="CD27">
        <f>'AVL (EPS input)'!$B$6/LN(2)^(1/Assumptions!$B$8)</f>
        <v>45.642651533885093</v>
      </c>
      <c r="CE27">
        <f>'AVL (EPS input)'!$B$6/LN(2)^(1/Assumptions!$B$8)</f>
        <v>45.642651533885093</v>
      </c>
      <c r="CF27">
        <f>'AVL (EPS input)'!$B$6/LN(2)^(1/Assumptions!$B$8)</f>
        <v>45.642651533885093</v>
      </c>
      <c r="CG27">
        <f>'AVL (EPS input)'!$B$6/LN(2)^(1/Assumptions!$B$8)</f>
        <v>45.642651533885093</v>
      </c>
      <c r="CH27">
        <f>'AVL (EPS input)'!$B$6/LN(2)^(1/Assumptions!$B$8)</f>
        <v>45.642651533885093</v>
      </c>
      <c r="CI27">
        <f>'AVL (EPS input)'!$B$6/LN(2)^(1/Assumptions!$B$8)</f>
        <v>45.642651533885093</v>
      </c>
    </row>
    <row r="28" spans="1:87" x14ac:dyDescent="0.25">
      <c r="A28" t="s">
        <v>46</v>
      </c>
      <c r="B28">
        <f>'AVL (EPS input)'!$B$7/LN(2)^(1/Assumptions!$B$9)</f>
        <v>31.087610374434469</v>
      </c>
      <c r="C28">
        <f>'AVL (EPS input)'!$B$7/LN(2)^(1/Assumptions!$B$9)</f>
        <v>31.087610374434469</v>
      </c>
      <c r="D28">
        <f>'AVL (EPS input)'!$B$7/LN(2)^(1/Assumptions!$B$9)</f>
        <v>31.087610374434469</v>
      </c>
      <c r="E28">
        <f>'AVL (EPS input)'!$B$7/LN(2)^(1/Assumptions!$B$9)</f>
        <v>31.087610374434469</v>
      </c>
      <c r="F28">
        <f>'AVL (EPS input)'!$B$7/LN(2)^(1/Assumptions!$B$9)</f>
        <v>31.087610374434469</v>
      </c>
      <c r="G28">
        <f>'AVL (EPS input)'!$B$7/LN(2)^(1/Assumptions!$B$9)</f>
        <v>31.087610374434469</v>
      </c>
      <c r="H28">
        <f>'AVL (EPS input)'!$B$7/LN(2)^(1/Assumptions!$B$9)</f>
        <v>31.087610374434469</v>
      </c>
      <c r="I28">
        <f>'AVL (EPS input)'!$B$7/LN(2)^(1/Assumptions!$B$9)</f>
        <v>31.087610374434469</v>
      </c>
      <c r="J28">
        <f>'AVL (EPS input)'!$B$7/LN(2)^(1/Assumptions!$B$9)</f>
        <v>31.087610374434469</v>
      </c>
      <c r="K28">
        <f>'AVL (EPS input)'!$B$7/LN(2)^(1/Assumptions!$B$9)</f>
        <v>31.087610374434469</v>
      </c>
      <c r="L28">
        <f>'AVL (EPS input)'!$B$7/LN(2)^(1/Assumptions!$B$9)</f>
        <v>31.087610374434469</v>
      </c>
      <c r="M28">
        <f>'AVL (EPS input)'!$B$7/LN(2)^(1/Assumptions!$B$9)</f>
        <v>31.087610374434469</v>
      </c>
      <c r="N28">
        <f>'AVL (EPS input)'!$B$7/LN(2)^(1/Assumptions!$B$9)</f>
        <v>31.087610374434469</v>
      </c>
      <c r="O28">
        <f>'AVL (EPS input)'!$B$7/LN(2)^(1/Assumptions!$B$9)</f>
        <v>31.087610374434469</v>
      </c>
      <c r="P28">
        <f>'AVL (EPS input)'!$B$7/LN(2)^(1/Assumptions!$B$9)</f>
        <v>31.087610374434469</v>
      </c>
      <c r="Q28">
        <f>'AVL (EPS input)'!$B$7/LN(2)^(1/Assumptions!$B$9)</f>
        <v>31.087610374434469</v>
      </c>
      <c r="R28">
        <f>'AVL (EPS input)'!$B$7/LN(2)^(1/Assumptions!$B$9)</f>
        <v>31.087610374434469</v>
      </c>
      <c r="S28">
        <f>'AVL (EPS input)'!$B$7/LN(2)^(1/Assumptions!$B$9)</f>
        <v>31.087610374434469</v>
      </c>
      <c r="T28">
        <f>'AVL (EPS input)'!$B$7/LN(2)^(1/Assumptions!$B$9)</f>
        <v>31.087610374434469</v>
      </c>
      <c r="U28">
        <f>'AVL (EPS input)'!$B$7/LN(2)^(1/Assumptions!$B$9)</f>
        <v>31.087610374434469</v>
      </c>
      <c r="V28">
        <f>'AVL (EPS input)'!$B$7/LN(2)^(1/Assumptions!$B$9)</f>
        <v>31.087610374434469</v>
      </c>
      <c r="W28">
        <f>'AVL (EPS input)'!$B$7/LN(2)^(1/Assumptions!$B$9)</f>
        <v>31.087610374434469</v>
      </c>
      <c r="X28">
        <f>'AVL (EPS input)'!$B$7/LN(2)^(1/Assumptions!$B$9)</f>
        <v>31.087610374434469</v>
      </c>
      <c r="Y28">
        <f>'AVL (EPS input)'!$B$7/LN(2)^(1/Assumptions!$B$9)</f>
        <v>31.087610374434469</v>
      </c>
      <c r="Z28">
        <f>'AVL (EPS input)'!$B$7/LN(2)^(1/Assumptions!$B$9)</f>
        <v>31.087610374434469</v>
      </c>
      <c r="AA28">
        <f>'AVL (EPS input)'!$B$7/LN(2)^(1/Assumptions!$B$9)</f>
        <v>31.087610374434469</v>
      </c>
      <c r="AB28">
        <f>'AVL (EPS input)'!$B$7/LN(2)^(1/Assumptions!$B$9)</f>
        <v>31.087610374434469</v>
      </c>
      <c r="AC28">
        <f>'AVL (EPS input)'!$B$7/LN(2)^(1/Assumptions!$B$9)</f>
        <v>31.087610374434469</v>
      </c>
      <c r="AD28">
        <f>'AVL (EPS input)'!$B$7/LN(2)^(1/Assumptions!$B$9)</f>
        <v>31.087610374434469</v>
      </c>
      <c r="AE28">
        <f>'AVL (EPS input)'!$B$7/LN(2)^(1/Assumptions!$B$9)</f>
        <v>31.087610374434469</v>
      </c>
      <c r="AF28">
        <f>'AVL (EPS input)'!$B$7/LN(2)^(1/Assumptions!$B$9)</f>
        <v>31.087610374434469</v>
      </c>
      <c r="AG28">
        <f>'AVL (EPS input)'!$B$7/LN(2)^(1/Assumptions!$B$9)</f>
        <v>31.087610374434469</v>
      </c>
      <c r="AH28">
        <f>'AVL (EPS input)'!$B$7/LN(2)^(1/Assumptions!$B$9)</f>
        <v>31.087610374434469</v>
      </c>
      <c r="AI28">
        <f>'AVL (EPS input)'!$B$7/LN(2)^(1/Assumptions!$B$9)</f>
        <v>31.087610374434469</v>
      </c>
      <c r="AJ28">
        <f>'AVL (EPS input)'!$B$7/LN(2)^(1/Assumptions!$B$9)</f>
        <v>31.087610374434469</v>
      </c>
      <c r="AK28">
        <f>'AVL (EPS input)'!$B$7/LN(2)^(1/Assumptions!$B$9)</f>
        <v>31.087610374434469</v>
      </c>
      <c r="AL28">
        <f>'AVL (EPS input)'!$B$7/LN(2)^(1/Assumptions!$B$9)</f>
        <v>31.087610374434469</v>
      </c>
      <c r="AM28">
        <f>'AVL (EPS input)'!$B$7/LN(2)^(1/Assumptions!$B$9)</f>
        <v>31.087610374434469</v>
      </c>
      <c r="AN28">
        <f>'AVL (EPS input)'!$B$7/LN(2)^(1/Assumptions!$B$9)</f>
        <v>31.087610374434469</v>
      </c>
      <c r="AO28">
        <f>'AVL (EPS input)'!$B$7/LN(2)^(1/Assumptions!$B$9)</f>
        <v>31.087610374434469</v>
      </c>
      <c r="AP28">
        <f>'AVL (EPS input)'!$B$7/LN(2)^(1/Assumptions!$B$9)</f>
        <v>31.087610374434469</v>
      </c>
      <c r="AQ28">
        <f>'AVL (EPS input)'!$B$7/LN(2)^(1/Assumptions!$B$9)</f>
        <v>31.087610374434469</v>
      </c>
      <c r="AR28">
        <f>'AVL (EPS input)'!$B$7/LN(2)^(1/Assumptions!$B$9)</f>
        <v>31.087610374434469</v>
      </c>
      <c r="AS28">
        <f>'AVL (EPS input)'!$B$7/LN(2)^(1/Assumptions!$B$9)</f>
        <v>31.087610374434469</v>
      </c>
      <c r="AT28">
        <f>'AVL (EPS input)'!$B$7/LN(2)^(1/Assumptions!$B$9)</f>
        <v>31.087610374434469</v>
      </c>
      <c r="AU28">
        <f>'AVL (EPS input)'!$B$7/LN(2)^(1/Assumptions!$B$9)</f>
        <v>31.087610374434469</v>
      </c>
      <c r="AV28">
        <f>'AVL (EPS input)'!$B$7/LN(2)^(1/Assumptions!$B$9)</f>
        <v>31.087610374434469</v>
      </c>
      <c r="AW28">
        <f>'AVL (EPS input)'!$B$7/LN(2)^(1/Assumptions!$B$9)</f>
        <v>31.087610374434469</v>
      </c>
      <c r="AX28">
        <f>'AVL (EPS input)'!$B$7/LN(2)^(1/Assumptions!$B$9)</f>
        <v>31.087610374434469</v>
      </c>
      <c r="AY28">
        <f>'AVL (EPS input)'!$B$7/LN(2)^(1/Assumptions!$B$9)</f>
        <v>31.087610374434469</v>
      </c>
      <c r="AZ28">
        <f>'AVL (EPS input)'!$B$7/LN(2)^(1/Assumptions!$B$9)</f>
        <v>31.087610374434469</v>
      </c>
      <c r="BA28">
        <f>'AVL (EPS input)'!$B$7/LN(2)^(1/Assumptions!$B$9)</f>
        <v>31.087610374434469</v>
      </c>
      <c r="BB28">
        <f>'AVL (EPS input)'!$B$7/LN(2)^(1/Assumptions!$B$9)</f>
        <v>31.087610374434469</v>
      </c>
      <c r="BC28">
        <f>'AVL (EPS input)'!$B$7/LN(2)^(1/Assumptions!$B$9)</f>
        <v>31.087610374434469</v>
      </c>
      <c r="BD28">
        <f>'AVL (EPS input)'!$B$7/LN(2)^(1/Assumptions!$B$9)</f>
        <v>31.087610374434469</v>
      </c>
      <c r="BE28">
        <f>'AVL (EPS input)'!$B$7/LN(2)^(1/Assumptions!$B$9)</f>
        <v>31.087610374434469</v>
      </c>
      <c r="BF28">
        <f>'AVL (EPS input)'!$B$7/LN(2)^(1/Assumptions!$B$9)</f>
        <v>31.087610374434469</v>
      </c>
      <c r="BG28">
        <f>'AVL (EPS input)'!$B$7/LN(2)^(1/Assumptions!$B$9)</f>
        <v>31.087610374434469</v>
      </c>
      <c r="BH28">
        <f>'AVL (EPS input)'!$B$7/LN(2)^(1/Assumptions!$B$9)</f>
        <v>31.087610374434469</v>
      </c>
      <c r="BI28">
        <f>'AVL (EPS input)'!$B$7/LN(2)^(1/Assumptions!$B$9)</f>
        <v>31.087610374434469</v>
      </c>
      <c r="BJ28">
        <f>'AVL (EPS input)'!$B$7/LN(2)^(1/Assumptions!$B$9)</f>
        <v>31.087610374434469</v>
      </c>
      <c r="BK28">
        <f>'AVL (EPS input)'!$B$7/LN(2)^(1/Assumptions!$B$9)</f>
        <v>31.087610374434469</v>
      </c>
      <c r="BL28">
        <f>'AVL (EPS input)'!$B$7/LN(2)^(1/Assumptions!$B$9)</f>
        <v>31.087610374434469</v>
      </c>
      <c r="BM28">
        <f>'AVL (EPS input)'!$B$7/LN(2)^(1/Assumptions!$B$9)</f>
        <v>31.087610374434469</v>
      </c>
      <c r="BN28">
        <f>'AVL (EPS input)'!$B$7/LN(2)^(1/Assumptions!$B$9)</f>
        <v>31.087610374434469</v>
      </c>
      <c r="BO28">
        <f>'AVL (EPS input)'!$B$7/LN(2)^(1/Assumptions!$B$9)</f>
        <v>31.087610374434469</v>
      </c>
      <c r="BP28">
        <f>'AVL (EPS input)'!$B$7/LN(2)^(1/Assumptions!$B$9)</f>
        <v>31.087610374434469</v>
      </c>
      <c r="BQ28">
        <f>'AVL (EPS input)'!$B$7/LN(2)^(1/Assumptions!$B$9)</f>
        <v>31.087610374434469</v>
      </c>
      <c r="BR28">
        <f>'AVL (EPS input)'!$B$7/LN(2)^(1/Assumptions!$B$9)</f>
        <v>31.087610374434469</v>
      </c>
      <c r="BS28">
        <f>'AVL (EPS input)'!$B$7/LN(2)^(1/Assumptions!$B$9)</f>
        <v>31.087610374434469</v>
      </c>
      <c r="BT28">
        <f>'AVL (EPS input)'!$B$7/LN(2)^(1/Assumptions!$B$9)</f>
        <v>31.087610374434469</v>
      </c>
      <c r="BU28">
        <f>'AVL (EPS input)'!$B$7/LN(2)^(1/Assumptions!$B$9)</f>
        <v>31.087610374434469</v>
      </c>
      <c r="BV28">
        <f>'AVL (EPS input)'!$B$7/LN(2)^(1/Assumptions!$B$9)</f>
        <v>31.087610374434469</v>
      </c>
      <c r="BW28">
        <f>'AVL (EPS input)'!$B$7/LN(2)^(1/Assumptions!$B$9)</f>
        <v>31.087610374434469</v>
      </c>
      <c r="BX28">
        <f>'AVL (EPS input)'!$B$7/LN(2)^(1/Assumptions!$B$9)</f>
        <v>31.087610374434469</v>
      </c>
      <c r="BY28">
        <f>'AVL (EPS input)'!$B$7/LN(2)^(1/Assumptions!$B$9)</f>
        <v>31.087610374434469</v>
      </c>
      <c r="BZ28">
        <f>'AVL (EPS input)'!$B$7/LN(2)^(1/Assumptions!$B$9)</f>
        <v>31.087610374434469</v>
      </c>
      <c r="CA28">
        <f>'AVL (EPS input)'!$B$7/LN(2)^(1/Assumptions!$B$9)</f>
        <v>31.087610374434469</v>
      </c>
      <c r="CB28">
        <f>'AVL (EPS input)'!$B$7/LN(2)^(1/Assumptions!$B$9)</f>
        <v>31.087610374434469</v>
      </c>
      <c r="CC28">
        <f>'AVL (EPS input)'!$B$7/LN(2)^(1/Assumptions!$B$9)</f>
        <v>31.087610374434469</v>
      </c>
      <c r="CD28">
        <f>'AVL (EPS input)'!$B$7/LN(2)^(1/Assumptions!$B$9)</f>
        <v>31.087610374434469</v>
      </c>
      <c r="CE28">
        <f>'AVL (EPS input)'!$B$7/LN(2)^(1/Assumptions!$B$9)</f>
        <v>31.087610374434469</v>
      </c>
      <c r="CF28">
        <f>'AVL (EPS input)'!$B$7/LN(2)^(1/Assumptions!$B$9)</f>
        <v>31.087610374434469</v>
      </c>
      <c r="CG28">
        <f>'AVL (EPS input)'!$B$7/LN(2)^(1/Assumptions!$B$9)</f>
        <v>31.087610374434469</v>
      </c>
      <c r="CH28">
        <f>'AVL (EPS input)'!$B$7/LN(2)^(1/Assumptions!$B$9)</f>
        <v>31.087610374434469</v>
      </c>
      <c r="CI28">
        <f>'AVL (EPS input)'!$B$7/LN(2)^(1/Assumptions!$B$9)</f>
        <v>31.087610374434469</v>
      </c>
    </row>
    <row r="30" spans="1:87" x14ac:dyDescent="0.25">
      <c r="A30" s="1" t="s">
        <v>68</v>
      </c>
    </row>
    <row r="31" spans="1:87" x14ac:dyDescent="0.25">
      <c r="A31" s="1" t="s">
        <v>60</v>
      </c>
      <c r="B31" s="1">
        <v>1965</v>
      </c>
      <c r="C31" s="1">
        <v>1966</v>
      </c>
      <c r="D31" s="1">
        <v>1967</v>
      </c>
      <c r="E31" s="1">
        <v>1968</v>
      </c>
      <c r="F31" s="1">
        <v>1969</v>
      </c>
      <c r="G31" s="1">
        <v>1970</v>
      </c>
      <c r="H31" s="1">
        <v>1971</v>
      </c>
      <c r="I31" s="1">
        <v>1972</v>
      </c>
      <c r="J31" s="1">
        <v>1973</v>
      </c>
      <c r="K31" s="1">
        <v>1974</v>
      </c>
      <c r="L31" s="1">
        <v>1975</v>
      </c>
      <c r="M31" s="1">
        <v>1976</v>
      </c>
      <c r="N31" s="1">
        <v>1977</v>
      </c>
      <c r="O31" s="1">
        <v>1978</v>
      </c>
      <c r="P31" s="1">
        <v>1979</v>
      </c>
      <c r="Q31" s="1">
        <v>1980</v>
      </c>
      <c r="R31" s="1">
        <v>1981</v>
      </c>
      <c r="S31" s="1">
        <v>1982</v>
      </c>
      <c r="T31" s="1">
        <v>1983</v>
      </c>
      <c r="U31" s="1">
        <v>1984</v>
      </c>
      <c r="V31" s="1">
        <v>1985</v>
      </c>
      <c r="W31" s="1">
        <v>1986</v>
      </c>
      <c r="X31" s="1">
        <v>1987</v>
      </c>
      <c r="Y31" s="1">
        <v>1988</v>
      </c>
      <c r="Z31" s="1">
        <v>1989</v>
      </c>
      <c r="AA31" s="1">
        <v>1990</v>
      </c>
      <c r="AB31" s="1">
        <v>1991</v>
      </c>
      <c r="AC31" s="1">
        <v>1992</v>
      </c>
      <c r="AD31" s="1">
        <v>1993</v>
      </c>
      <c r="AE31" s="1">
        <v>1994</v>
      </c>
      <c r="AF31" s="1">
        <v>1995</v>
      </c>
      <c r="AG31" s="1">
        <v>1996</v>
      </c>
      <c r="AH31" s="1">
        <v>1997</v>
      </c>
      <c r="AI31" s="1">
        <v>1998</v>
      </c>
      <c r="AJ31" s="1">
        <v>1999</v>
      </c>
      <c r="AK31" s="1">
        <v>2000</v>
      </c>
      <c r="AL31" s="1">
        <v>2001</v>
      </c>
      <c r="AM31" s="1">
        <v>2002</v>
      </c>
      <c r="AN31" s="1">
        <v>2003</v>
      </c>
      <c r="AO31" s="1">
        <v>2004</v>
      </c>
      <c r="AP31" s="1">
        <v>2005</v>
      </c>
      <c r="AQ31" s="1">
        <v>2006</v>
      </c>
      <c r="AR31" s="1">
        <v>2007</v>
      </c>
      <c r="AS31" s="1">
        <v>2008</v>
      </c>
      <c r="AT31" s="1">
        <v>2009</v>
      </c>
      <c r="AU31" s="1">
        <v>2010</v>
      </c>
      <c r="AV31" s="1">
        <v>2011</v>
      </c>
      <c r="AW31" s="1">
        <v>2012</v>
      </c>
      <c r="AX31" s="1">
        <v>2013</v>
      </c>
      <c r="AY31" s="1">
        <v>2014</v>
      </c>
      <c r="AZ31" s="1">
        <v>2015</v>
      </c>
      <c r="BA31" s="1">
        <v>2016</v>
      </c>
      <c r="BB31" s="1">
        <v>2017</v>
      </c>
      <c r="BC31" s="1">
        <v>2018</v>
      </c>
      <c r="BD31" s="1">
        <v>2019</v>
      </c>
      <c r="BE31" s="1">
        <v>2020</v>
      </c>
      <c r="BF31" s="1">
        <v>2021</v>
      </c>
      <c r="BG31" s="1">
        <v>2022</v>
      </c>
      <c r="BH31" s="1">
        <v>2023</v>
      </c>
      <c r="BI31" s="1">
        <v>2024</v>
      </c>
      <c r="BJ31" s="1">
        <v>2025</v>
      </c>
      <c r="BK31" s="1">
        <v>2026</v>
      </c>
      <c r="BL31" s="1">
        <v>2027</v>
      </c>
      <c r="BM31" s="1">
        <v>2028</v>
      </c>
      <c r="BN31" s="1">
        <v>2029</v>
      </c>
      <c r="BO31" s="1">
        <v>2030</v>
      </c>
      <c r="BP31" s="1">
        <v>2031</v>
      </c>
      <c r="BQ31" s="1">
        <v>2032</v>
      </c>
      <c r="BR31" s="1">
        <v>2033</v>
      </c>
      <c r="BS31" s="1">
        <v>2034</v>
      </c>
      <c r="BT31" s="1">
        <v>2035</v>
      </c>
      <c r="BU31" s="1">
        <v>2036</v>
      </c>
      <c r="BV31" s="1">
        <v>2037</v>
      </c>
      <c r="BW31" s="1">
        <v>2038</v>
      </c>
      <c r="BX31" s="1">
        <v>2039</v>
      </c>
      <c r="BY31" s="1">
        <v>2040</v>
      </c>
      <c r="BZ31" s="1">
        <v>2041</v>
      </c>
      <c r="CA31" s="1">
        <v>2042</v>
      </c>
      <c r="CB31" s="1">
        <v>2043</v>
      </c>
      <c r="CC31" s="1">
        <v>2044</v>
      </c>
      <c r="CD31" s="1">
        <v>2045</v>
      </c>
      <c r="CE31" s="1">
        <v>2046</v>
      </c>
      <c r="CF31" s="1">
        <v>2047</v>
      </c>
      <c r="CG31" s="1">
        <v>2048</v>
      </c>
      <c r="CH31" s="1">
        <v>2049</v>
      </c>
      <c r="CI31" s="1">
        <v>2050</v>
      </c>
    </row>
    <row r="32" spans="1:87" x14ac:dyDescent="0.25">
      <c r="A32" t="s">
        <v>39</v>
      </c>
      <c r="B32">
        <f>SUMIFS('Calibrated parameters'!$E$4:$E$175,'Calibrated parameters'!$A$4:$A$175,$A$31,'Calibrated parameters'!$B$4:$B$175,$A32,'Calibrated parameters'!$C$4:$C$175,B$31)</f>
        <v>29.182825188088831</v>
      </c>
      <c r="C32">
        <f>SUMIFS('Calibrated parameters'!$E$4:$E$175,'Calibrated parameters'!$A$4:$A$175,$A$31,'Calibrated parameters'!$B$4:$B$175,$A32,'Calibrated parameters'!$C$4:$C$175,C$31)</f>
        <v>29.182825188088831</v>
      </c>
      <c r="D32">
        <f>SUMIFS('Calibrated parameters'!$E$4:$E$175,'Calibrated parameters'!$A$4:$A$175,$A$31,'Calibrated parameters'!$B$4:$B$175,$A32,'Calibrated parameters'!$C$4:$C$175,D$31)</f>
        <v>29.182825188088831</v>
      </c>
      <c r="E32">
        <f>SUMIFS('Calibrated parameters'!$E$4:$E$175,'Calibrated parameters'!$A$4:$A$175,$A$31,'Calibrated parameters'!$B$4:$B$175,$A32,'Calibrated parameters'!$C$4:$C$175,E$31)</f>
        <v>29.182825188088831</v>
      </c>
      <c r="F32">
        <f>SUMIFS('Calibrated parameters'!$E$4:$E$175,'Calibrated parameters'!$A$4:$A$175,$A$31,'Calibrated parameters'!$B$4:$B$175,$A32,'Calibrated parameters'!$C$4:$C$175,F$31)</f>
        <v>29.182825188088831</v>
      </c>
      <c r="G32">
        <f>SUMIFS('Calibrated parameters'!$E$4:$E$175,'Calibrated parameters'!$A$4:$A$175,$A$31,'Calibrated parameters'!$B$4:$B$175,$A32,'Calibrated parameters'!$C$4:$C$175,G$31)</f>
        <v>29.182825188088831</v>
      </c>
      <c r="H32">
        <f>SUMIFS('Calibrated parameters'!$E$4:$E$175,'Calibrated parameters'!$A$4:$A$175,$A$31,'Calibrated parameters'!$B$4:$B$175,$A32,'Calibrated parameters'!$C$4:$C$175,H$31)</f>
        <v>29.182825188088831</v>
      </c>
      <c r="I32">
        <f>SUMIFS('Calibrated parameters'!$E$4:$E$175,'Calibrated parameters'!$A$4:$A$175,$A$31,'Calibrated parameters'!$B$4:$B$175,$A32,'Calibrated parameters'!$C$4:$C$175,I$31)</f>
        <v>29.182825188088831</v>
      </c>
      <c r="J32">
        <f>SUMIFS('Calibrated parameters'!$E$4:$E$175,'Calibrated parameters'!$A$4:$A$175,$A$31,'Calibrated parameters'!$B$4:$B$175,$A32,'Calibrated parameters'!$C$4:$C$175,J$31)</f>
        <v>29.182825188088831</v>
      </c>
      <c r="K32">
        <f>SUMIFS('Calibrated parameters'!$E$4:$E$175,'Calibrated parameters'!$A$4:$A$175,$A$31,'Calibrated parameters'!$B$4:$B$175,$A32,'Calibrated parameters'!$C$4:$C$175,K$31)</f>
        <v>29.182825188088831</v>
      </c>
      <c r="L32">
        <f>SUMIFS('Calibrated parameters'!$E$4:$E$175,'Calibrated parameters'!$A$4:$A$175,$A$31,'Calibrated parameters'!$B$4:$B$175,$A32,'Calibrated parameters'!$C$4:$C$175,L$31)</f>
        <v>29.182825188088831</v>
      </c>
      <c r="M32">
        <f>SUMIFS('Calibrated parameters'!$E$4:$E$175,'Calibrated parameters'!$A$4:$A$175,$A$31,'Calibrated parameters'!$B$4:$B$175,$A32,'Calibrated parameters'!$C$4:$C$175,M$31)</f>
        <v>29.182825188088831</v>
      </c>
      <c r="N32">
        <f>SUMIFS('Calibrated parameters'!$E$4:$E$175,'Calibrated parameters'!$A$4:$A$175,$A$31,'Calibrated parameters'!$B$4:$B$175,$A32,'Calibrated parameters'!$C$4:$C$175,N$31)</f>
        <v>29.182825188088831</v>
      </c>
      <c r="O32">
        <f>SUMIFS('Calibrated parameters'!$E$4:$E$175,'Calibrated parameters'!$A$4:$A$175,$A$31,'Calibrated parameters'!$B$4:$B$175,$A32,'Calibrated parameters'!$C$4:$C$175,O$31)</f>
        <v>29.182825188088831</v>
      </c>
      <c r="P32">
        <f>SUMIFS('Calibrated parameters'!$E$4:$E$175,'Calibrated parameters'!$A$4:$A$175,$A$31,'Calibrated parameters'!$B$4:$B$175,$A32,'Calibrated parameters'!$C$4:$C$175,P$31)</f>
        <v>29.182825188088831</v>
      </c>
      <c r="Q32">
        <f>SUMIFS('Calibrated parameters'!$E$4:$E$175,'Calibrated parameters'!$A$4:$A$175,$A$31,'Calibrated parameters'!$B$4:$B$175,$A32,'Calibrated parameters'!$C$4:$C$175,Q$31)</f>
        <v>29.182825188088831</v>
      </c>
      <c r="R32">
        <f>SUMIFS('Calibrated parameters'!$E$4:$E$175,'Calibrated parameters'!$A$4:$A$175,$A$31,'Calibrated parameters'!$B$4:$B$175,$A32,'Calibrated parameters'!$C$4:$C$175,R$31)</f>
        <v>29.182825188088831</v>
      </c>
      <c r="S32">
        <f>SUMIFS('Calibrated parameters'!$E$4:$E$175,'Calibrated parameters'!$A$4:$A$175,$A$31,'Calibrated parameters'!$B$4:$B$175,$A32,'Calibrated parameters'!$C$4:$C$175,S$31)</f>
        <v>29.182825188088831</v>
      </c>
      <c r="T32">
        <f>SUMIFS('Calibrated parameters'!$E$4:$E$175,'Calibrated parameters'!$A$4:$A$175,$A$31,'Calibrated parameters'!$B$4:$B$175,$A32,'Calibrated parameters'!$C$4:$C$175,T$31)</f>
        <v>29.182825188088831</v>
      </c>
      <c r="U32">
        <f>SUMIFS('Calibrated parameters'!$E$4:$E$175,'Calibrated parameters'!$A$4:$A$175,$A$31,'Calibrated parameters'!$B$4:$B$175,$A32,'Calibrated parameters'!$C$4:$C$175,U$31)</f>
        <v>29.182825188088831</v>
      </c>
      <c r="V32">
        <f>SUMIFS('Calibrated parameters'!$E$4:$E$175,'Calibrated parameters'!$A$4:$A$175,$A$31,'Calibrated parameters'!$B$4:$B$175,$A32,'Calibrated parameters'!$C$4:$C$175,V$31)</f>
        <v>29.182825188088831</v>
      </c>
      <c r="W32">
        <f>SUMIFS('Calibrated parameters'!$E$4:$E$175,'Calibrated parameters'!$A$4:$A$175,$A$31,'Calibrated parameters'!$B$4:$B$175,$A32,'Calibrated parameters'!$C$4:$C$175,W$31)</f>
        <v>29.182825188088831</v>
      </c>
      <c r="X32">
        <f>SUMIFS('Calibrated parameters'!$E$4:$E$175,'Calibrated parameters'!$A$4:$A$175,$A$31,'Calibrated parameters'!$B$4:$B$175,$A32,'Calibrated parameters'!$C$4:$C$175,X$31)</f>
        <v>29.182825188088831</v>
      </c>
      <c r="Y32">
        <f>SUMIFS('Calibrated parameters'!$E$4:$E$175,'Calibrated parameters'!$A$4:$A$175,$A$31,'Calibrated parameters'!$B$4:$B$175,$A32,'Calibrated parameters'!$C$4:$C$175,Y$31)</f>
        <v>29.182825188088831</v>
      </c>
      <c r="Z32">
        <f>SUMIFS('Calibrated parameters'!$E$4:$E$175,'Calibrated parameters'!$A$4:$A$175,$A$31,'Calibrated parameters'!$B$4:$B$175,$A32,'Calibrated parameters'!$C$4:$C$175,Z$31)</f>
        <v>29.182825188088831</v>
      </c>
      <c r="AA32">
        <f>SUMIFS('Calibrated parameters'!$E$4:$E$175,'Calibrated parameters'!$A$4:$A$175,$A$31,'Calibrated parameters'!$B$4:$B$175,$A32,'Calibrated parameters'!$C$4:$C$175,AA$31)</f>
        <v>29.182825188088831</v>
      </c>
      <c r="AB32">
        <f>SUMIFS('Calibrated parameters'!$E$4:$E$175,'Calibrated parameters'!$A$4:$A$175,$A$31,'Calibrated parameters'!$B$4:$B$175,$A32,'Calibrated parameters'!$C$4:$C$175,AB$31)</f>
        <v>29.182825188088831</v>
      </c>
      <c r="AC32">
        <f>SUMIFS('Calibrated parameters'!$E$4:$E$175,'Calibrated parameters'!$A$4:$A$175,$A$31,'Calibrated parameters'!$B$4:$B$175,$A32,'Calibrated parameters'!$C$4:$C$175,AC$31)</f>
        <v>29.182825188088831</v>
      </c>
      <c r="AD32">
        <f>SUMIFS('Calibrated parameters'!$E$4:$E$175,'Calibrated parameters'!$A$4:$A$175,$A$31,'Calibrated parameters'!$B$4:$B$175,$A32,'Calibrated parameters'!$C$4:$C$175,AD$31)</f>
        <v>29.182825188088831</v>
      </c>
      <c r="AE32">
        <f>SUMIFS('Calibrated parameters'!$E$4:$E$175,'Calibrated parameters'!$A$4:$A$175,$A$31,'Calibrated parameters'!$B$4:$B$175,$A32,'Calibrated parameters'!$C$4:$C$175,AE$31)</f>
        <v>29.182825188088831</v>
      </c>
      <c r="AF32">
        <f>SUMIFS('Calibrated parameters'!$E$4:$E$175,'Calibrated parameters'!$A$4:$A$175,$A$31,'Calibrated parameters'!$B$4:$B$175,$A32,'Calibrated parameters'!$C$4:$C$175,AF$31)</f>
        <v>29.182825188088831</v>
      </c>
      <c r="AG32">
        <f>SUMIFS('Calibrated parameters'!$E$4:$E$175,'Calibrated parameters'!$A$4:$A$175,$A$31,'Calibrated parameters'!$B$4:$B$175,$A32,'Calibrated parameters'!$C$4:$C$175,AG$31)</f>
        <v>29.182825188088831</v>
      </c>
      <c r="AH32">
        <f>SUMIFS('Calibrated parameters'!$E$4:$E$175,'Calibrated parameters'!$A$4:$A$175,$A$31,'Calibrated parameters'!$B$4:$B$175,$A32,'Calibrated parameters'!$C$4:$C$175,AH$31)</f>
        <v>29.182825188088831</v>
      </c>
      <c r="AI32">
        <f>SUMIFS('Calibrated parameters'!$E$4:$E$175,'Calibrated parameters'!$A$4:$A$175,$A$31,'Calibrated parameters'!$B$4:$B$175,$A32,'Calibrated parameters'!$C$4:$C$175,AI$31)</f>
        <v>29.182825188088831</v>
      </c>
      <c r="AJ32">
        <f>SUMIFS('Calibrated parameters'!$E$4:$E$175,'Calibrated parameters'!$A$4:$A$175,$A$31,'Calibrated parameters'!$B$4:$B$175,$A32,'Calibrated parameters'!$C$4:$C$175,AJ$31)</f>
        <v>29.182825188088831</v>
      </c>
      <c r="AK32">
        <f>SUMIFS('Calibrated parameters'!$E$4:$E$175,'Calibrated parameters'!$A$4:$A$175,$A$31,'Calibrated parameters'!$B$4:$B$175,$A32,'Calibrated parameters'!$C$4:$C$175,AK$31)</f>
        <v>29.182825188088831</v>
      </c>
      <c r="AL32">
        <f>SUMIFS('Calibrated parameters'!$E$4:$E$175,'Calibrated parameters'!$A$4:$A$175,$A$31,'Calibrated parameters'!$B$4:$B$175,$A32,'Calibrated parameters'!$C$4:$C$175,AL$31)</f>
        <v>29.182825188088831</v>
      </c>
      <c r="AM32">
        <f>SUMIFS('Calibrated parameters'!$E$4:$E$175,'Calibrated parameters'!$A$4:$A$175,$A$31,'Calibrated parameters'!$B$4:$B$175,$A32,'Calibrated parameters'!$C$4:$C$175,AM$31)</f>
        <v>29.182825188088831</v>
      </c>
      <c r="AN32">
        <f>SUMIFS('Calibrated parameters'!$E$4:$E$175,'Calibrated parameters'!$A$4:$A$175,$A$31,'Calibrated parameters'!$B$4:$B$175,$A32,'Calibrated parameters'!$C$4:$C$175,AN$31)</f>
        <v>29.182825188088831</v>
      </c>
      <c r="AO32">
        <f>SUMIFS('Calibrated parameters'!$E$4:$E$175,'Calibrated parameters'!$A$4:$A$175,$A$31,'Calibrated parameters'!$B$4:$B$175,$A32,'Calibrated parameters'!$C$4:$C$175,AO$31)</f>
        <v>29.182825188088831</v>
      </c>
      <c r="AP32">
        <f>SUMIFS('Calibrated parameters'!$E$4:$E$175,'Calibrated parameters'!$A$4:$A$175,$A$31,'Calibrated parameters'!$B$4:$B$175,$A32,'Calibrated parameters'!$C$4:$C$175,AP$31)</f>
        <v>29.182825188088831</v>
      </c>
      <c r="AQ32">
        <f>SUMIFS('Calibrated parameters'!$E$4:$E$175,'Calibrated parameters'!$A$4:$A$175,$A$31,'Calibrated parameters'!$B$4:$B$175,$A32,'Calibrated parameters'!$C$4:$C$175,AQ$31)</f>
        <v>29.182825188088831</v>
      </c>
      <c r="AR32">
        <f>SUMIFS('Calibrated parameters'!$E$4:$E$175,'Calibrated parameters'!$A$4:$A$175,$A$31,'Calibrated parameters'!$B$4:$B$175,$A32,'Calibrated parameters'!$C$4:$C$175,AR$31)</f>
        <v>29.182825188088831</v>
      </c>
      <c r="AS32">
        <f>SUMIFS('Calibrated parameters'!$E$4:$E$175,'Calibrated parameters'!$A$4:$A$175,$A$31,'Calibrated parameters'!$B$4:$B$175,$A32,'Calibrated parameters'!$C$4:$C$175,AS$31)</f>
        <v>29.182825188088831</v>
      </c>
      <c r="AT32">
        <f>SUMIFS('Calibrated parameters'!$E$4:$E$175,'Calibrated parameters'!$A$4:$A$175,$A$31,'Calibrated parameters'!$B$4:$B$175,$A32,'Calibrated parameters'!$C$4:$C$175,AT$31)</f>
        <v>29.182825188088831</v>
      </c>
      <c r="AU32">
        <f>SUMIFS('Calibrated parameters'!$E$4:$E$175,'Calibrated parameters'!$A$4:$A$175,$A$31,'Calibrated parameters'!$B$4:$B$175,$A32,'Calibrated parameters'!$C$4:$C$175,AU$31)</f>
        <v>29.182825188088831</v>
      </c>
      <c r="AV32">
        <f>SUMIFS('Calibrated parameters'!$E$4:$E$175,'Calibrated parameters'!$A$4:$A$175,$A$31,'Calibrated parameters'!$B$4:$B$175,$A32,'Calibrated parameters'!$C$4:$C$175,AV$31)</f>
        <v>29.182825188088831</v>
      </c>
      <c r="AW32">
        <f>SUMIFS('Calibrated parameters'!$E$4:$E$175,'Calibrated parameters'!$A$4:$A$175,$A$31,'Calibrated parameters'!$B$4:$B$175,$A32,'Calibrated parameters'!$C$4:$C$175,AW$31)</f>
        <v>29.182825188088831</v>
      </c>
      <c r="AX32">
        <f>SUMIFS('Calibrated parameters'!$E$4:$E$175,'Calibrated parameters'!$A$4:$A$175,$A$31,'Calibrated parameters'!$B$4:$B$175,$A32,'Calibrated parameters'!$C$4:$C$175,AX$31)</f>
        <v>29.182825188088831</v>
      </c>
      <c r="AY32">
        <f>SUMIFS('Calibrated parameters'!$E$4:$E$175,'Calibrated parameters'!$A$4:$A$175,$A$31,'Calibrated parameters'!$B$4:$B$175,$A32,'Calibrated parameters'!$C$4:$C$175,AY$31)</f>
        <v>29.182825188088831</v>
      </c>
      <c r="AZ32">
        <f>SUMIFS('Calibrated parameters'!$E$4:$E$175,'Calibrated parameters'!$A$4:$A$175,$A$31,'Calibrated parameters'!$B$4:$B$175,$A32,'Calibrated parameters'!$C$4:$C$175,AZ$31)</f>
        <v>29.182825188088831</v>
      </c>
      <c r="BA32">
        <f>SUMIFS('Calibrated parameters'!$E$4:$E$175,'Calibrated parameters'!$A$4:$A$175,$A$31,'Calibrated parameters'!$B$4:$B$175,$A32,'Calibrated parameters'!$C$4:$C$175,BA$31)</f>
        <v>29.182825188088831</v>
      </c>
      <c r="BB32">
        <f>SUMIFS('Calibrated parameters'!$E$4:$E$175,'Calibrated parameters'!$A$4:$A$175,$A$31,'Calibrated parameters'!$B$4:$B$175,$A32,'Calibrated parameters'!$C$4:$C$175,BB$31)</f>
        <v>29.182825188088831</v>
      </c>
      <c r="BC32">
        <f>SUMIFS('Calibrated parameters'!$E$4:$E$175,'Calibrated parameters'!$A$4:$A$175,$A$31,'Calibrated parameters'!$B$4:$B$175,$A32,'Calibrated parameters'!$C$4:$C$175,BC$31)</f>
        <v>29.182825188088831</v>
      </c>
      <c r="BD32">
        <f>SUMIFS('Calibrated parameters'!$E$4:$E$175,'Calibrated parameters'!$A$4:$A$175,$A$31,'Calibrated parameters'!$B$4:$B$175,$A32,'Calibrated parameters'!$C$4:$C$175,BD$31)</f>
        <v>29.182825188088831</v>
      </c>
      <c r="BE32">
        <f>SUMIFS('Calibrated parameters'!$E$4:$E$175,'Calibrated parameters'!$A$4:$A$175,$A$31,'Calibrated parameters'!$B$4:$B$175,$A32,'Calibrated parameters'!$C$4:$C$175,BE$31)</f>
        <v>29.182825188088831</v>
      </c>
      <c r="BF32">
        <f>SUMIFS('Calibrated parameters'!$E$4:$E$175,'Calibrated parameters'!$A$4:$A$175,$A$31,'Calibrated parameters'!$B$4:$B$175,$A32,'Calibrated parameters'!$C$4:$C$175,BF$31)</f>
        <v>29.182825188088831</v>
      </c>
      <c r="BG32">
        <f>SUMIFS('Calibrated parameters'!$E$4:$E$175,'Calibrated parameters'!$A$4:$A$175,$A$31,'Calibrated parameters'!$B$4:$B$175,$A32,'Calibrated parameters'!$C$4:$C$175,BG$31)</f>
        <v>29.182825188088831</v>
      </c>
      <c r="BH32">
        <f>SUMIFS('Calibrated parameters'!$E$4:$E$175,'Calibrated parameters'!$A$4:$A$175,$A$31,'Calibrated parameters'!$B$4:$B$175,$A32,'Calibrated parameters'!$C$4:$C$175,BH$31)</f>
        <v>29.182825188088831</v>
      </c>
      <c r="BI32">
        <f>SUMIFS('Calibrated parameters'!$E$4:$E$175,'Calibrated parameters'!$A$4:$A$175,$A$31,'Calibrated parameters'!$B$4:$B$175,$A32,'Calibrated parameters'!$C$4:$C$175,BI$31)</f>
        <v>29.182825188088831</v>
      </c>
      <c r="BJ32">
        <f>SUMIFS('Calibrated parameters'!$E$4:$E$175,'Calibrated parameters'!$A$4:$A$175,$A$31,'Calibrated parameters'!$B$4:$B$175,$A32,'Calibrated parameters'!$C$4:$C$175,BJ$31)</f>
        <v>29.182825188088831</v>
      </c>
      <c r="BK32">
        <f>SUMIFS('Calibrated parameters'!$E$4:$E$175,'Calibrated parameters'!$A$4:$A$175,$A$31,'Calibrated parameters'!$B$4:$B$175,$A32,'Calibrated parameters'!$C$4:$C$175,BK$31)</f>
        <v>29.182825188088831</v>
      </c>
      <c r="BL32">
        <f>SUMIFS('Calibrated parameters'!$E$4:$E$175,'Calibrated parameters'!$A$4:$A$175,$A$31,'Calibrated parameters'!$B$4:$B$175,$A32,'Calibrated parameters'!$C$4:$C$175,BL$31)</f>
        <v>29.182825188088831</v>
      </c>
      <c r="BM32">
        <f>SUMIFS('Calibrated parameters'!$E$4:$E$175,'Calibrated parameters'!$A$4:$A$175,$A$31,'Calibrated parameters'!$B$4:$B$175,$A32,'Calibrated parameters'!$C$4:$C$175,BM$31)</f>
        <v>29.182825188088831</v>
      </c>
      <c r="BN32">
        <f>SUMIFS('Calibrated parameters'!$E$4:$E$175,'Calibrated parameters'!$A$4:$A$175,$A$31,'Calibrated parameters'!$B$4:$B$175,$A32,'Calibrated parameters'!$C$4:$C$175,BN$31)</f>
        <v>29.182825188088831</v>
      </c>
      <c r="BO32">
        <f>SUMIFS('Calibrated parameters'!$E$4:$E$175,'Calibrated parameters'!$A$4:$A$175,$A$31,'Calibrated parameters'!$B$4:$B$175,$A32,'Calibrated parameters'!$C$4:$C$175,BO$31)</f>
        <v>29.182825188088831</v>
      </c>
      <c r="BP32">
        <f>SUMIFS('Calibrated parameters'!$E$4:$E$175,'Calibrated parameters'!$A$4:$A$175,$A$31,'Calibrated parameters'!$B$4:$B$175,$A32,'Calibrated parameters'!$C$4:$C$175,BP$31)</f>
        <v>29.182825188088831</v>
      </c>
      <c r="BQ32">
        <f>SUMIFS('Calibrated parameters'!$E$4:$E$175,'Calibrated parameters'!$A$4:$A$175,$A$31,'Calibrated parameters'!$B$4:$B$175,$A32,'Calibrated parameters'!$C$4:$C$175,BQ$31)</f>
        <v>29.182825188088831</v>
      </c>
      <c r="BR32">
        <f>SUMIFS('Calibrated parameters'!$E$4:$E$175,'Calibrated parameters'!$A$4:$A$175,$A$31,'Calibrated parameters'!$B$4:$B$175,$A32,'Calibrated parameters'!$C$4:$C$175,BR$31)</f>
        <v>29.182825188088831</v>
      </c>
      <c r="BS32">
        <f>SUMIFS('Calibrated parameters'!$E$4:$E$175,'Calibrated parameters'!$A$4:$A$175,$A$31,'Calibrated parameters'!$B$4:$B$175,$A32,'Calibrated parameters'!$C$4:$C$175,BS$31)</f>
        <v>29.182825188088831</v>
      </c>
      <c r="BT32">
        <f>SUMIFS('Calibrated parameters'!$E$4:$E$175,'Calibrated parameters'!$A$4:$A$175,$A$31,'Calibrated parameters'!$B$4:$B$175,$A32,'Calibrated parameters'!$C$4:$C$175,BT$31)</f>
        <v>29.182825188088831</v>
      </c>
      <c r="BU32">
        <f>SUMIFS('Calibrated parameters'!$E$4:$E$175,'Calibrated parameters'!$A$4:$A$175,$A$31,'Calibrated parameters'!$B$4:$B$175,$A32,'Calibrated parameters'!$C$4:$C$175,BU$31)</f>
        <v>29.182825188088831</v>
      </c>
      <c r="BV32">
        <f>SUMIFS('Calibrated parameters'!$E$4:$E$175,'Calibrated parameters'!$A$4:$A$175,$A$31,'Calibrated parameters'!$B$4:$B$175,$A32,'Calibrated parameters'!$C$4:$C$175,BV$31)</f>
        <v>29.182825188088831</v>
      </c>
      <c r="BW32">
        <f>SUMIFS('Calibrated parameters'!$E$4:$E$175,'Calibrated parameters'!$A$4:$A$175,$A$31,'Calibrated parameters'!$B$4:$B$175,$A32,'Calibrated parameters'!$C$4:$C$175,BW$31)</f>
        <v>29.182825188088831</v>
      </c>
      <c r="BX32">
        <f>SUMIFS('Calibrated parameters'!$E$4:$E$175,'Calibrated parameters'!$A$4:$A$175,$A$31,'Calibrated parameters'!$B$4:$B$175,$A32,'Calibrated parameters'!$C$4:$C$175,BX$31)</f>
        <v>29.182825188088831</v>
      </c>
      <c r="BY32">
        <f>SUMIFS('Calibrated parameters'!$E$4:$E$175,'Calibrated parameters'!$A$4:$A$175,$A$31,'Calibrated parameters'!$B$4:$B$175,$A32,'Calibrated parameters'!$C$4:$C$175,BY$31)</f>
        <v>29.182825188088831</v>
      </c>
      <c r="BZ32">
        <f>SUMIFS('Calibrated parameters'!$E$4:$E$175,'Calibrated parameters'!$A$4:$A$175,$A$31,'Calibrated parameters'!$B$4:$B$175,$A32,'Calibrated parameters'!$C$4:$C$175,BZ$31)</f>
        <v>29.182825188088831</v>
      </c>
      <c r="CA32">
        <f>SUMIFS('Calibrated parameters'!$E$4:$E$175,'Calibrated parameters'!$A$4:$A$175,$A$31,'Calibrated parameters'!$B$4:$B$175,$A32,'Calibrated parameters'!$C$4:$C$175,CA$31)</f>
        <v>29.182825188088831</v>
      </c>
      <c r="CB32">
        <f>SUMIFS('Calibrated parameters'!$E$4:$E$175,'Calibrated parameters'!$A$4:$A$175,$A$31,'Calibrated parameters'!$B$4:$B$175,$A32,'Calibrated parameters'!$C$4:$C$175,CB$31)</f>
        <v>29.182825188088831</v>
      </c>
      <c r="CC32">
        <f>SUMIFS('Calibrated parameters'!$E$4:$E$175,'Calibrated parameters'!$A$4:$A$175,$A$31,'Calibrated parameters'!$B$4:$B$175,$A32,'Calibrated parameters'!$C$4:$C$175,CC$31)</f>
        <v>29.182825188088831</v>
      </c>
      <c r="CD32">
        <f>SUMIFS('Calibrated parameters'!$E$4:$E$175,'Calibrated parameters'!$A$4:$A$175,$A$31,'Calibrated parameters'!$B$4:$B$175,$A32,'Calibrated parameters'!$C$4:$C$175,CD$31)</f>
        <v>29.182825188088831</v>
      </c>
      <c r="CE32">
        <f>SUMIFS('Calibrated parameters'!$E$4:$E$175,'Calibrated parameters'!$A$4:$A$175,$A$31,'Calibrated parameters'!$B$4:$B$175,$A32,'Calibrated parameters'!$C$4:$C$175,CE$31)</f>
        <v>29.182825188088831</v>
      </c>
      <c r="CF32">
        <f>SUMIFS('Calibrated parameters'!$E$4:$E$175,'Calibrated parameters'!$A$4:$A$175,$A$31,'Calibrated parameters'!$B$4:$B$175,$A32,'Calibrated parameters'!$C$4:$C$175,CF$31)</f>
        <v>29.182825188088831</v>
      </c>
      <c r="CG32">
        <f>SUMIFS('Calibrated parameters'!$E$4:$E$175,'Calibrated parameters'!$A$4:$A$175,$A$31,'Calibrated parameters'!$B$4:$B$175,$A32,'Calibrated parameters'!$C$4:$C$175,CG$31)</f>
        <v>29.182825188088831</v>
      </c>
      <c r="CH32">
        <f>SUMIFS('Calibrated parameters'!$E$4:$E$175,'Calibrated parameters'!$A$4:$A$175,$A$31,'Calibrated parameters'!$B$4:$B$175,$A32,'Calibrated parameters'!$C$4:$C$175,CH$31)</f>
        <v>29.182825188088831</v>
      </c>
      <c r="CI32">
        <f>SUMIFS('Calibrated parameters'!$E$4:$E$175,'Calibrated parameters'!$A$4:$A$175,$A$31,'Calibrated parameters'!$B$4:$B$175,$A32,'Calibrated parameters'!$C$4:$C$175,CI$31)</f>
        <v>29.182825188088831</v>
      </c>
    </row>
    <row r="33" spans="1:87" x14ac:dyDescent="0.25">
      <c r="A33" t="s">
        <v>41</v>
      </c>
      <c r="B33">
        <f>'Calibrated parameters'!$C$180</f>
        <v>26.25477995660405</v>
      </c>
      <c r="C33">
        <f>'Calibrated parameters'!$C$180</f>
        <v>26.25477995660405</v>
      </c>
      <c r="D33">
        <f>'Calibrated parameters'!$C$180</f>
        <v>26.25477995660405</v>
      </c>
      <c r="E33">
        <f>'Calibrated parameters'!$C$180</f>
        <v>26.25477995660405</v>
      </c>
      <c r="F33">
        <f>'Calibrated parameters'!$C$180</f>
        <v>26.25477995660405</v>
      </c>
      <c r="G33">
        <f>'Calibrated parameters'!$C$180</f>
        <v>26.25477995660405</v>
      </c>
      <c r="H33">
        <f>'Calibrated parameters'!$C$180</f>
        <v>26.25477995660405</v>
      </c>
      <c r="I33">
        <f>'Calibrated parameters'!$C$180</f>
        <v>26.25477995660405</v>
      </c>
      <c r="J33">
        <f>'Calibrated parameters'!$C$180</f>
        <v>26.25477995660405</v>
      </c>
      <c r="K33">
        <f>'Calibrated parameters'!$C$180</f>
        <v>26.25477995660405</v>
      </c>
      <c r="L33">
        <f>'Calibrated parameters'!$C$180</f>
        <v>26.25477995660405</v>
      </c>
      <c r="M33">
        <f>'Calibrated parameters'!$C$180</f>
        <v>26.25477995660405</v>
      </c>
      <c r="N33">
        <f>'Calibrated parameters'!$C$180</f>
        <v>26.25477995660405</v>
      </c>
      <c r="O33">
        <f>'Calibrated parameters'!$C$180</f>
        <v>26.25477995660405</v>
      </c>
      <c r="P33">
        <f>'Calibrated parameters'!$C$180</f>
        <v>26.25477995660405</v>
      </c>
      <c r="Q33">
        <f>'Calibrated parameters'!$C$180</f>
        <v>26.25477995660405</v>
      </c>
      <c r="R33">
        <f>'Calibrated parameters'!$C$180</f>
        <v>26.25477995660405</v>
      </c>
      <c r="S33">
        <f>'Calibrated parameters'!$C$180</f>
        <v>26.25477995660405</v>
      </c>
      <c r="T33">
        <f>'Calibrated parameters'!$C$180</f>
        <v>26.25477995660405</v>
      </c>
      <c r="U33">
        <f>'Calibrated parameters'!$C$180</f>
        <v>26.25477995660405</v>
      </c>
      <c r="V33">
        <f>'Calibrated parameters'!$C$180</f>
        <v>26.25477995660405</v>
      </c>
      <c r="W33">
        <f>'Calibrated parameters'!$C$180</f>
        <v>26.25477995660405</v>
      </c>
      <c r="X33">
        <f>'Calibrated parameters'!$C$180</f>
        <v>26.25477995660405</v>
      </c>
      <c r="Y33">
        <f>'Calibrated parameters'!$C$180</f>
        <v>26.25477995660405</v>
      </c>
      <c r="Z33">
        <f>'Calibrated parameters'!$C$180</f>
        <v>26.25477995660405</v>
      </c>
      <c r="AA33">
        <f>'Calibrated parameters'!$C$180</f>
        <v>26.25477995660405</v>
      </c>
      <c r="AB33">
        <f>'Calibrated parameters'!$C$180</f>
        <v>26.25477995660405</v>
      </c>
      <c r="AC33">
        <f>'Calibrated parameters'!$C$180</f>
        <v>26.25477995660405</v>
      </c>
      <c r="AD33">
        <f>'Calibrated parameters'!$C$180</f>
        <v>26.25477995660405</v>
      </c>
      <c r="AE33">
        <f>'Calibrated parameters'!$C$180</f>
        <v>26.25477995660405</v>
      </c>
      <c r="AF33">
        <f>'Calibrated parameters'!$C$180</f>
        <v>26.25477995660405</v>
      </c>
      <c r="AG33">
        <f>'Calibrated parameters'!$C$180</f>
        <v>26.25477995660405</v>
      </c>
      <c r="AH33">
        <f>'Calibrated parameters'!$C$180</f>
        <v>26.25477995660405</v>
      </c>
      <c r="AI33">
        <f>'Calibrated parameters'!$C$180</f>
        <v>26.25477995660405</v>
      </c>
      <c r="AJ33">
        <f>'Calibrated parameters'!$C$180</f>
        <v>26.25477995660405</v>
      </c>
      <c r="AK33">
        <f>'Calibrated parameters'!$C$180</f>
        <v>26.25477995660405</v>
      </c>
      <c r="AL33">
        <f>'Calibrated parameters'!$C$180</f>
        <v>26.25477995660405</v>
      </c>
      <c r="AM33">
        <f>'Calibrated parameters'!$C$180</f>
        <v>26.25477995660405</v>
      </c>
      <c r="AN33">
        <f>'Calibrated parameters'!$C$180</f>
        <v>26.25477995660405</v>
      </c>
      <c r="AO33">
        <f>'Calibrated parameters'!$C$180</f>
        <v>26.25477995660405</v>
      </c>
      <c r="AP33">
        <f>'Calibrated parameters'!$C$180</f>
        <v>26.25477995660405</v>
      </c>
      <c r="AQ33">
        <f>'Calibrated parameters'!$C$180</f>
        <v>26.25477995660405</v>
      </c>
      <c r="AR33">
        <f>'Calibrated parameters'!$C$180</f>
        <v>26.25477995660405</v>
      </c>
      <c r="AS33">
        <f>'Calibrated parameters'!$C$180</f>
        <v>26.25477995660405</v>
      </c>
      <c r="AT33">
        <f>'Calibrated parameters'!$C$180</f>
        <v>26.25477995660405</v>
      </c>
      <c r="AU33">
        <f>'Calibrated parameters'!$C$180</f>
        <v>26.25477995660405</v>
      </c>
      <c r="AV33">
        <f>'Calibrated parameters'!$C$180</f>
        <v>26.25477995660405</v>
      </c>
      <c r="AW33">
        <f>'Calibrated parameters'!$C$180</f>
        <v>26.25477995660405</v>
      </c>
      <c r="AX33">
        <f>'Calibrated parameters'!$C$180</f>
        <v>26.25477995660405</v>
      </c>
      <c r="AY33">
        <f>'Calibrated parameters'!$C$180</f>
        <v>26.25477995660405</v>
      </c>
      <c r="AZ33">
        <f>'Calibrated parameters'!$C$180</f>
        <v>26.25477995660405</v>
      </c>
      <c r="BA33">
        <f>'Calibrated parameters'!$C$180</f>
        <v>26.25477995660405</v>
      </c>
      <c r="BB33">
        <f>'Calibrated parameters'!$C$180</f>
        <v>26.25477995660405</v>
      </c>
      <c r="BC33">
        <f>'Calibrated parameters'!$C$180</f>
        <v>26.25477995660405</v>
      </c>
      <c r="BD33">
        <f>'Calibrated parameters'!$C$180</f>
        <v>26.25477995660405</v>
      </c>
      <c r="BE33">
        <f>'Calibrated parameters'!$C$180</f>
        <v>26.25477995660405</v>
      </c>
      <c r="BF33">
        <f>'Calibrated parameters'!$C$180</f>
        <v>26.25477995660405</v>
      </c>
      <c r="BG33">
        <f>'Calibrated parameters'!$C$180</f>
        <v>26.25477995660405</v>
      </c>
      <c r="BH33">
        <f>'Calibrated parameters'!$C$180</f>
        <v>26.25477995660405</v>
      </c>
      <c r="BI33">
        <f>'Calibrated parameters'!$C$180</f>
        <v>26.25477995660405</v>
      </c>
      <c r="BJ33">
        <f>'Calibrated parameters'!$C$180</f>
        <v>26.25477995660405</v>
      </c>
      <c r="BK33">
        <f>'Calibrated parameters'!$C$180</f>
        <v>26.25477995660405</v>
      </c>
      <c r="BL33">
        <f>'Calibrated parameters'!$C$180</f>
        <v>26.25477995660405</v>
      </c>
      <c r="BM33">
        <f>'Calibrated parameters'!$C$180</f>
        <v>26.25477995660405</v>
      </c>
      <c r="BN33">
        <f>'Calibrated parameters'!$C$180</f>
        <v>26.25477995660405</v>
      </c>
      <c r="BO33">
        <f>'Calibrated parameters'!$C$180</f>
        <v>26.25477995660405</v>
      </c>
      <c r="BP33">
        <f>'Calibrated parameters'!$C$180</f>
        <v>26.25477995660405</v>
      </c>
      <c r="BQ33">
        <f>'Calibrated parameters'!$C$180</f>
        <v>26.25477995660405</v>
      </c>
      <c r="BR33">
        <f>'Calibrated parameters'!$C$180</f>
        <v>26.25477995660405</v>
      </c>
      <c r="BS33">
        <f>'Calibrated parameters'!$C$180</f>
        <v>26.25477995660405</v>
      </c>
      <c r="BT33">
        <f>'Calibrated parameters'!$C$180</f>
        <v>26.25477995660405</v>
      </c>
      <c r="BU33">
        <f>'Calibrated parameters'!$C$180</f>
        <v>26.25477995660405</v>
      </c>
      <c r="BV33">
        <f>'Calibrated parameters'!$C$180</f>
        <v>26.25477995660405</v>
      </c>
      <c r="BW33">
        <f>'Calibrated parameters'!$C$180</f>
        <v>26.25477995660405</v>
      </c>
      <c r="BX33">
        <f>'Calibrated parameters'!$C$180</f>
        <v>26.25477995660405</v>
      </c>
      <c r="BY33">
        <f>'Calibrated parameters'!$C$180</f>
        <v>26.25477995660405</v>
      </c>
      <c r="BZ33">
        <f>'Calibrated parameters'!$C$180</f>
        <v>26.25477995660405</v>
      </c>
      <c r="CA33">
        <f>'Calibrated parameters'!$C$180</f>
        <v>26.25477995660405</v>
      </c>
      <c r="CB33">
        <f>'Calibrated parameters'!$C$180</f>
        <v>26.25477995660405</v>
      </c>
      <c r="CC33">
        <f>'Calibrated parameters'!$C$180</f>
        <v>26.25477995660405</v>
      </c>
      <c r="CD33">
        <f>'Calibrated parameters'!$C$180</f>
        <v>26.25477995660405</v>
      </c>
      <c r="CE33">
        <f>'Calibrated parameters'!$C$180</f>
        <v>26.25477995660405</v>
      </c>
      <c r="CF33">
        <f>'Calibrated parameters'!$C$180</f>
        <v>26.25477995660405</v>
      </c>
      <c r="CG33">
        <f>'Calibrated parameters'!$C$180</f>
        <v>26.25477995660405</v>
      </c>
      <c r="CH33">
        <f>'Calibrated parameters'!$C$180</f>
        <v>26.25477995660405</v>
      </c>
      <c r="CI33">
        <f>'Calibrated parameters'!$C$180</f>
        <v>26.25477995660405</v>
      </c>
    </row>
    <row r="34" spans="1:87" x14ac:dyDescent="0.25">
      <c r="A34" t="s">
        <v>43</v>
      </c>
      <c r="B34">
        <f>'AVL (EPS input)'!$C$4/LN(2)^(1/Assumptions!$B$6)</f>
        <v>28.826937810874796</v>
      </c>
      <c r="C34">
        <f>'AVL (EPS input)'!$C$4/LN(2)^(1/Assumptions!$B$6)</f>
        <v>28.826937810874796</v>
      </c>
      <c r="D34">
        <f>'AVL (EPS input)'!$C$4/LN(2)^(1/Assumptions!$B$6)</f>
        <v>28.826937810874796</v>
      </c>
      <c r="E34">
        <f>'AVL (EPS input)'!$C$4/LN(2)^(1/Assumptions!$B$6)</f>
        <v>28.826937810874796</v>
      </c>
      <c r="F34">
        <f>'AVL (EPS input)'!$C$4/LN(2)^(1/Assumptions!$B$6)</f>
        <v>28.826937810874796</v>
      </c>
      <c r="G34">
        <f>'AVL (EPS input)'!$C$4/LN(2)^(1/Assumptions!$B$6)</f>
        <v>28.826937810874796</v>
      </c>
      <c r="H34">
        <f>'AVL (EPS input)'!$C$4/LN(2)^(1/Assumptions!$B$6)</f>
        <v>28.826937810874796</v>
      </c>
      <c r="I34">
        <f>'AVL (EPS input)'!$C$4/LN(2)^(1/Assumptions!$B$6)</f>
        <v>28.826937810874796</v>
      </c>
      <c r="J34">
        <f>'AVL (EPS input)'!$C$4/LN(2)^(1/Assumptions!$B$6)</f>
        <v>28.826937810874796</v>
      </c>
      <c r="K34">
        <f>'AVL (EPS input)'!$C$4/LN(2)^(1/Assumptions!$B$6)</f>
        <v>28.826937810874796</v>
      </c>
      <c r="L34">
        <f>'AVL (EPS input)'!$C$4/LN(2)^(1/Assumptions!$B$6)</f>
        <v>28.826937810874796</v>
      </c>
      <c r="M34">
        <f>'AVL (EPS input)'!$C$4/LN(2)^(1/Assumptions!$B$6)</f>
        <v>28.826937810874796</v>
      </c>
      <c r="N34">
        <f>'AVL (EPS input)'!$C$4/LN(2)^(1/Assumptions!$B$6)</f>
        <v>28.826937810874796</v>
      </c>
      <c r="O34">
        <f>'AVL (EPS input)'!$C$4/LN(2)^(1/Assumptions!$B$6)</f>
        <v>28.826937810874796</v>
      </c>
      <c r="P34">
        <f>'AVL (EPS input)'!$C$4/LN(2)^(1/Assumptions!$B$6)</f>
        <v>28.826937810874796</v>
      </c>
      <c r="Q34">
        <f>'AVL (EPS input)'!$C$4/LN(2)^(1/Assumptions!$B$6)</f>
        <v>28.826937810874796</v>
      </c>
      <c r="R34">
        <f>'AVL (EPS input)'!$C$4/LN(2)^(1/Assumptions!$B$6)</f>
        <v>28.826937810874796</v>
      </c>
      <c r="S34">
        <f>'AVL (EPS input)'!$C$4/LN(2)^(1/Assumptions!$B$6)</f>
        <v>28.826937810874796</v>
      </c>
      <c r="T34">
        <f>'AVL (EPS input)'!$C$4/LN(2)^(1/Assumptions!$B$6)</f>
        <v>28.826937810874796</v>
      </c>
      <c r="U34">
        <f>'AVL (EPS input)'!$C$4/LN(2)^(1/Assumptions!$B$6)</f>
        <v>28.826937810874796</v>
      </c>
      <c r="V34">
        <f>'AVL (EPS input)'!$C$4/LN(2)^(1/Assumptions!$B$6)</f>
        <v>28.826937810874796</v>
      </c>
      <c r="W34">
        <f>'AVL (EPS input)'!$C$4/LN(2)^(1/Assumptions!$B$6)</f>
        <v>28.826937810874796</v>
      </c>
      <c r="X34">
        <f>'AVL (EPS input)'!$C$4/LN(2)^(1/Assumptions!$B$6)</f>
        <v>28.826937810874796</v>
      </c>
      <c r="Y34">
        <f>'AVL (EPS input)'!$C$4/LN(2)^(1/Assumptions!$B$6)</f>
        <v>28.826937810874796</v>
      </c>
      <c r="Z34">
        <f>'AVL (EPS input)'!$C$4/LN(2)^(1/Assumptions!$B$6)</f>
        <v>28.826937810874796</v>
      </c>
      <c r="AA34">
        <f>'AVL (EPS input)'!$C$4/LN(2)^(1/Assumptions!$B$6)</f>
        <v>28.826937810874796</v>
      </c>
      <c r="AB34">
        <f>'AVL (EPS input)'!$C$4/LN(2)^(1/Assumptions!$B$6)</f>
        <v>28.826937810874796</v>
      </c>
      <c r="AC34">
        <f>'AVL (EPS input)'!$C$4/LN(2)^(1/Assumptions!$B$6)</f>
        <v>28.826937810874796</v>
      </c>
      <c r="AD34">
        <f>'AVL (EPS input)'!$C$4/LN(2)^(1/Assumptions!$B$6)</f>
        <v>28.826937810874796</v>
      </c>
      <c r="AE34">
        <f>'AVL (EPS input)'!$C$4/LN(2)^(1/Assumptions!$B$6)</f>
        <v>28.826937810874796</v>
      </c>
      <c r="AF34">
        <f>'AVL (EPS input)'!$C$4/LN(2)^(1/Assumptions!$B$6)</f>
        <v>28.826937810874796</v>
      </c>
      <c r="AG34">
        <f>'AVL (EPS input)'!$C$4/LN(2)^(1/Assumptions!$B$6)</f>
        <v>28.826937810874796</v>
      </c>
      <c r="AH34">
        <f>'AVL (EPS input)'!$C$4/LN(2)^(1/Assumptions!$B$6)</f>
        <v>28.826937810874796</v>
      </c>
      <c r="AI34">
        <f>'AVL (EPS input)'!$C$4/LN(2)^(1/Assumptions!$B$6)</f>
        <v>28.826937810874796</v>
      </c>
      <c r="AJ34">
        <f>'AVL (EPS input)'!$C$4/LN(2)^(1/Assumptions!$B$6)</f>
        <v>28.826937810874796</v>
      </c>
      <c r="AK34">
        <f>'AVL (EPS input)'!$C$4/LN(2)^(1/Assumptions!$B$6)</f>
        <v>28.826937810874796</v>
      </c>
      <c r="AL34">
        <f>'AVL (EPS input)'!$C$4/LN(2)^(1/Assumptions!$B$6)</f>
        <v>28.826937810874796</v>
      </c>
      <c r="AM34">
        <f>'AVL (EPS input)'!$C$4/LN(2)^(1/Assumptions!$B$6)</f>
        <v>28.826937810874796</v>
      </c>
      <c r="AN34">
        <f>'AVL (EPS input)'!$C$4/LN(2)^(1/Assumptions!$B$6)</f>
        <v>28.826937810874796</v>
      </c>
      <c r="AO34">
        <f>'AVL (EPS input)'!$C$4/LN(2)^(1/Assumptions!$B$6)</f>
        <v>28.826937810874796</v>
      </c>
      <c r="AP34">
        <f>'AVL (EPS input)'!$C$4/LN(2)^(1/Assumptions!$B$6)</f>
        <v>28.826937810874796</v>
      </c>
      <c r="AQ34">
        <f>'AVL (EPS input)'!$C$4/LN(2)^(1/Assumptions!$B$6)</f>
        <v>28.826937810874796</v>
      </c>
      <c r="AR34">
        <f>'AVL (EPS input)'!$C$4/LN(2)^(1/Assumptions!$B$6)</f>
        <v>28.826937810874796</v>
      </c>
      <c r="AS34">
        <f>'AVL (EPS input)'!$C$4/LN(2)^(1/Assumptions!$B$6)</f>
        <v>28.826937810874796</v>
      </c>
      <c r="AT34">
        <f>'AVL (EPS input)'!$C$4/LN(2)^(1/Assumptions!$B$6)</f>
        <v>28.826937810874796</v>
      </c>
      <c r="AU34">
        <f>'AVL (EPS input)'!$C$4/LN(2)^(1/Assumptions!$B$6)</f>
        <v>28.826937810874796</v>
      </c>
      <c r="AV34">
        <f>'AVL (EPS input)'!$C$4/LN(2)^(1/Assumptions!$B$6)</f>
        <v>28.826937810874796</v>
      </c>
      <c r="AW34">
        <f>'AVL (EPS input)'!$C$4/LN(2)^(1/Assumptions!$B$6)</f>
        <v>28.826937810874796</v>
      </c>
      <c r="AX34">
        <f>'AVL (EPS input)'!$C$4/LN(2)^(1/Assumptions!$B$6)</f>
        <v>28.826937810874796</v>
      </c>
      <c r="AY34">
        <f>'AVL (EPS input)'!$C$4/LN(2)^(1/Assumptions!$B$6)</f>
        <v>28.826937810874796</v>
      </c>
      <c r="AZ34">
        <f>'AVL (EPS input)'!$C$4/LN(2)^(1/Assumptions!$B$6)</f>
        <v>28.826937810874796</v>
      </c>
      <c r="BA34">
        <f>'AVL (EPS input)'!$C$4/LN(2)^(1/Assumptions!$B$6)</f>
        <v>28.826937810874796</v>
      </c>
      <c r="BB34">
        <f>'AVL (EPS input)'!$C$4/LN(2)^(1/Assumptions!$B$6)</f>
        <v>28.826937810874796</v>
      </c>
      <c r="BC34">
        <f>'AVL (EPS input)'!$C$4/LN(2)^(1/Assumptions!$B$6)</f>
        <v>28.826937810874796</v>
      </c>
      <c r="BD34">
        <f>'AVL (EPS input)'!$C$4/LN(2)^(1/Assumptions!$B$6)</f>
        <v>28.826937810874796</v>
      </c>
      <c r="BE34">
        <f>'AVL (EPS input)'!$C$4/LN(2)^(1/Assumptions!$B$6)</f>
        <v>28.826937810874796</v>
      </c>
      <c r="BF34">
        <f>'AVL (EPS input)'!$C$4/LN(2)^(1/Assumptions!$B$6)</f>
        <v>28.826937810874796</v>
      </c>
      <c r="BG34">
        <f>'AVL (EPS input)'!$C$4/LN(2)^(1/Assumptions!$B$6)</f>
        <v>28.826937810874796</v>
      </c>
      <c r="BH34">
        <f>'AVL (EPS input)'!$C$4/LN(2)^(1/Assumptions!$B$6)</f>
        <v>28.826937810874796</v>
      </c>
      <c r="BI34">
        <f>'AVL (EPS input)'!$C$4/LN(2)^(1/Assumptions!$B$6)</f>
        <v>28.826937810874796</v>
      </c>
      <c r="BJ34">
        <f>'AVL (EPS input)'!$C$4/LN(2)^(1/Assumptions!$B$6)</f>
        <v>28.826937810874796</v>
      </c>
      <c r="BK34">
        <f>'AVL (EPS input)'!$C$4/LN(2)^(1/Assumptions!$B$6)</f>
        <v>28.826937810874796</v>
      </c>
      <c r="BL34">
        <f>'AVL (EPS input)'!$C$4/LN(2)^(1/Assumptions!$B$6)</f>
        <v>28.826937810874796</v>
      </c>
      <c r="BM34">
        <f>'AVL (EPS input)'!$C$4/LN(2)^(1/Assumptions!$B$6)</f>
        <v>28.826937810874796</v>
      </c>
      <c r="BN34">
        <f>'AVL (EPS input)'!$C$4/LN(2)^(1/Assumptions!$B$6)</f>
        <v>28.826937810874796</v>
      </c>
      <c r="BO34">
        <f>'AVL (EPS input)'!$C$4/LN(2)^(1/Assumptions!$B$6)</f>
        <v>28.826937810874796</v>
      </c>
      <c r="BP34">
        <f>'AVL (EPS input)'!$C$4/LN(2)^(1/Assumptions!$B$6)</f>
        <v>28.826937810874796</v>
      </c>
      <c r="BQ34">
        <f>'AVL (EPS input)'!$C$4/LN(2)^(1/Assumptions!$B$6)</f>
        <v>28.826937810874796</v>
      </c>
      <c r="BR34">
        <f>'AVL (EPS input)'!$C$4/LN(2)^(1/Assumptions!$B$6)</f>
        <v>28.826937810874796</v>
      </c>
      <c r="BS34">
        <f>'AVL (EPS input)'!$C$4/LN(2)^(1/Assumptions!$B$6)</f>
        <v>28.826937810874796</v>
      </c>
      <c r="BT34">
        <f>'AVL (EPS input)'!$C$4/LN(2)^(1/Assumptions!$B$6)</f>
        <v>28.826937810874796</v>
      </c>
      <c r="BU34">
        <f>'AVL (EPS input)'!$C$4/LN(2)^(1/Assumptions!$B$6)</f>
        <v>28.826937810874796</v>
      </c>
      <c r="BV34">
        <f>'AVL (EPS input)'!$C$4/LN(2)^(1/Assumptions!$B$6)</f>
        <v>28.826937810874796</v>
      </c>
      <c r="BW34">
        <f>'AVL (EPS input)'!$C$4/LN(2)^(1/Assumptions!$B$6)</f>
        <v>28.826937810874796</v>
      </c>
      <c r="BX34">
        <f>'AVL (EPS input)'!$C$4/LN(2)^(1/Assumptions!$B$6)</f>
        <v>28.826937810874796</v>
      </c>
      <c r="BY34">
        <f>'AVL (EPS input)'!$C$4/LN(2)^(1/Assumptions!$B$6)</f>
        <v>28.826937810874796</v>
      </c>
      <c r="BZ34">
        <f>'AVL (EPS input)'!$C$4/LN(2)^(1/Assumptions!$B$6)</f>
        <v>28.826937810874796</v>
      </c>
      <c r="CA34">
        <f>'AVL (EPS input)'!$C$4/LN(2)^(1/Assumptions!$B$6)</f>
        <v>28.826937810874796</v>
      </c>
      <c r="CB34">
        <f>'AVL (EPS input)'!$C$4/LN(2)^(1/Assumptions!$B$6)</f>
        <v>28.826937810874796</v>
      </c>
      <c r="CC34">
        <f>'AVL (EPS input)'!$C$4/LN(2)^(1/Assumptions!$B$6)</f>
        <v>28.826937810874796</v>
      </c>
      <c r="CD34">
        <f>'AVL (EPS input)'!$C$4/LN(2)^(1/Assumptions!$B$6)</f>
        <v>28.826937810874796</v>
      </c>
      <c r="CE34">
        <f>'AVL (EPS input)'!$C$4/LN(2)^(1/Assumptions!$B$6)</f>
        <v>28.826937810874796</v>
      </c>
      <c r="CF34">
        <f>'AVL (EPS input)'!$C$4/LN(2)^(1/Assumptions!$B$6)</f>
        <v>28.826937810874796</v>
      </c>
      <c r="CG34">
        <f>'AVL (EPS input)'!$C$4/LN(2)^(1/Assumptions!$B$6)</f>
        <v>28.826937810874796</v>
      </c>
      <c r="CH34">
        <f>'AVL (EPS input)'!$C$4/LN(2)^(1/Assumptions!$B$6)</f>
        <v>28.826937810874796</v>
      </c>
      <c r="CI34">
        <f>'AVL (EPS input)'!$C$4/LN(2)^(1/Assumptions!$B$6)</f>
        <v>28.826937810874796</v>
      </c>
    </row>
    <row r="35" spans="1:87" x14ac:dyDescent="0.25">
      <c r="A35" t="s">
        <v>44</v>
      </c>
      <c r="B35">
        <f>'AVL (EPS input)'!$C$5/LN(2)^(1/Assumptions!$B$7)</f>
        <v>40.838161898739294</v>
      </c>
      <c r="C35">
        <f>'AVL (EPS input)'!$C$5/LN(2)^(1/Assumptions!$B$7)</f>
        <v>40.838161898739294</v>
      </c>
      <c r="D35">
        <f>'AVL (EPS input)'!$C$5/LN(2)^(1/Assumptions!$B$7)</f>
        <v>40.838161898739294</v>
      </c>
      <c r="E35">
        <f>'AVL (EPS input)'!$C$5/LN(2)^(1/Assumptions!$B$7)</f>
        <v>40.838161898739294</v>
      </c>
      <c r="F35">
        <f>'AVL (EPS input)'!$C$5/LN(2)^(1/Assumptions!$B$7)</f>
        <v>40.838161898739294</v>
      </c>
      <c r="G35">
        <f>'AVL (EPS input)'!$C$5/LN(2)^(1/Assumptions!$B$7)</f>
        <v>40.838161898739294</v>
      </c>
      <c r="H35">
        <f>'AVL (EPS input)'!$C$5/LN(2)^(1/Assumptions!$B$7)</f>
        <v>40.838161898739294</v>
      </c>
      <c r="I35">
        <f>'AVL (EPS input)'!$C$5/LN(2)^(1/Assumptions!$B$7)</f>
        <v>40.838161898739294</v>
      </c>
      <c r="J35">
        <f>'AVL (EPS input)'!$C$5/LN(2)^(1/Assumptions!$B$7)</f>
        <v>40.838161898739294</v>
      </c>
      <c r="K35">
        <f>'AVL (EPS input)'!$C$5/LN(2)^(1/Assumptions!$B$7)</f>
        <v>40.838161898739294</v>
      </c>
      <c r="L35">
        <f>'AVL (EPS input)'!$C$5/LN(2)^(1/Assumptions!$B$7)</f>
        <v>40.838161898739294</v>
      </c>
      <c r="M35">
        <f>'AVL (EPS input)'!$C$5/LN(2)^(1/Assumptions!$B$7)</f>
        <v>40.838161898739294</v>
      </c>
      <c r="N35">
        <f>'AVL (EPS input)'!$C$5/LN(2)^(1/Assumptions!$B$7)</f>
        <v>40.838161898739294</v>
      </c>
      <c r="O35">
        <f>'AVL (EPS input)'!$C$5/LN(2)^(1/Assumptions!$B$7)</f>
        <v>40.838161898739294</v>
      </c>
      <c r="P35">
        <f>'AVL (EPS input)'!$C$5/LN(2)^(1/Assumptions!$B$7)</f>
        <v>40.838161898739294</v>
      </c>
      <c r="Q35">
        <f>'AVL (EPS input)'!$C$5/LN(2)^(1/Assumptions!$B$7)</f>
        <v>40.838161898739294</v>
      </c>
      <c r="R35">
        <f>'AVL (EPS input)'!$C$5/LN(2)^(1/Assumptions!$B$7)</f>
        <v>40.838161898739294</v>
      </c>
      <c r="S35">
        <f>'AVL (EPS input)'!$C$5/LN(2)^(1/Assumptions!$B$7)</f>
        <v>40.838161898739294</v>
      </c>
      <c r="T35">
        <f>'AVL (EPS input)'!$C$5/LN(2)^(1/Assumptions!$B$7)</f>
        <v>40.838161898739294</v>
      </c>
      <c r="U35">
        <f>'AVL (EPS input)'!$C$5/LN(2)^(1/Assumptions!$B$7)</f>
        <v>40.838161898739294</v>
      </c>
      <c r="V35">
        <f>'AVL (EPS input)'!$C$5/LN(2)^(1/Assumptions!$B$7)</f>
        <v>40.838161898739294</v>
      </c>
      <c r="W35">
        <f>'AVL (EPS input)'!$C$5/LN(2)^(1/Assumptions!$B$7)</f>
        <v>40.838161898739294</v>
      </c>
      <c r="X35">
        <f>'AVL (EPS input)'!$C$5/LN(2)^(1/Assumptions!$B$7)</f>
        <v>40.838161898739294</v>
      </c>
      <c r="Y35">
        <f>'AVL (EPS input)'!$C$5/LN(2)^(1/Assumptions!$B$7)</f>
        <v>40.838161898739294</v>
      </c>
      <c r="Z35">
        <f>'AVL (EPS input)'!$C$5/LN(2)^(1/Assumptions!$B$7)</f>
        <v>40.838161898739294</v>
      </c>
      <c r="AA35">
        <f>'AVL (EPS input)'!$C$5/LN(2)^(1/Assumptions!$B$7)</f>
        <v>40.838161898739294</v>
      </c>
      <c r="AB35">
        <f>'AVL (EPS input)'!$C$5/LN(2)^(1/Assumptions!$B$7)</f>
        <v>40.838161898739294</v>
      </c>
      <c r="AC35">
        <f>'AVL (EPS input)'!$C$5/LN(2)^(1/Assumptions!$B$7)</f>
        <v>40.838161898739294</v>
      </c>
      <c r="AD35">
        <f>'AVL (EPS input)'!$C$5/LN(2)^(1/Assumptions!$B$7)</f>
        <v>40.838161898739294</v>
      </c>
      <c r="AE35">
        <f>'AVL (EPS input)'!$C$5/LN(2)^(1/Assumptions!$B$7)</f>
        <v>40.838161898739294</v>
      </c>
      <c r="AF35">
        <f>'AVL (EPS input)'!$C$5/LN(2)^(1/Assumptions!$B$7)</f>
        <v>40.838161898739294</v>
      </c>
      <c r="AG35">
        <f>'AVL (EPS input)'!$C$5/LN(2)^(1/Assumptions!$B$7)</f>
        <v>40.838161898739294</v>
      </c>
      <c r="AH35">
        <f>'AVL (EPS input)'!$C$5/LN(2)^(1/Assumptions!$B$7)</f>
        <v>40.838161898739294</v>
      </c>
      <c r="AI35">
        <f>'AVL (EPS input)'!$C$5/LN(2)^(1/Assumptions!$B$7)</f>
        <v>40.838161898739294</v>
      </c>
      <c r="AJ35">
        <f>'AVL (EPS input)'!$C$5/LN(2)^(1/Assumptions!$B$7)</f>
        <v>40.838161898739294</v>
      </c>
      <c r="AK35">
        <f>'AVL (EPS input)'!$C$5/LN(2)^(1/Assumptions!$B$7)</f>
        <v>40.838161898739294</v>
      </c>
      <c r="AL35">
        <f>'AVL (EPS input)'!$C$5/LN(2)^(1/Assumptions!$B$7)</f>
        <v>40.838161898739294</v>
      </c>
      <c r="AM35">
        <f>'AVL (EPS input)'!$C$5/LN(2)^(1/Assumptions!$B$7)</f>
        <v>40.838161898739294</v>
      </c>
      <c r="AN35">
        <f>'AVL (EPS input)'!$C$5/LN(2)^(1/Assumptions!$B$7)</f>
        <v>40.838161898739294</v>
      </c>
      <c r="AO35">
        <f>'AVL (EPS input)'!$C$5/LN(2)^(1/Assumptions!$B$7)</f>
        <v>40.838161898739294</v>
      </c>
      <c r="AP35">
        <f>'AVL (EPS input)'!$C$5/LN(2)^(1/Assumptions!$B$7)</f>
        <v>40.838161898739294</v>
      </c>
      <c r="AQ35">
        <f>'AVL (EPS input)'!$C$5/LN(2)^(1/Assumptions!$B$7)</f>
        <v>40.838161898739294</v>
      </c>
      <c r="AR35">
        <f>'AVL (EPS input)'!$C$5/LN(2)^(1/Assumptions!$B$7)</f>
        <v>40.838161898739294</v>
      </c>
      <c r="AS35">
        <f>'AVL (EPS input)'!$C$5/LN(2)^(1/Assumptions!$B$7)</f>
        <v>40.838161898739294</v>
      </c>
      <c r="AT35">
        <f>'AVL (EPS input)'!$C$5/LN(2)^(1/Assumptions!$B$7)</f>
        <v>40.838161898739294</v>
      </c>
      <c r="AU35">
        <f>'AVL (EPS input)'!$C$5/LN(2)^(1/Assumptions!$B$7)</f>
        <v>40.838161898739294</v>
      </c>
      <c r="AV35">
        <f>'AVL (EPS input)'!$C$5/LN(2)^(1/Assumptions!$B$7)</f>
        <v>40.838161898739294</v>
      </c>
      <c r="AW35">
        <f>'AVL (EPS input)'!$C$5/LN(2)^(1/Assumptions!$B$7)</f>
        <v>40.838161898739294</v>
      </c>
      <c r="AX35">
        <f>'AVL (EPS input)'!$C$5/LN(2)^(1/Assumptions!$B$7)</f>
        <v>40.838161898739294</v>
      </c>
      <c r="AY35">
        <f>'AVL (EPS input)'!$C$5/LN(2)^(1/Assumptions!$B$7)</f>
        <v>40.838161898739294</v>
      </c>
      <c r="AZ35">
        <f>'AVL (EPS input)'!$C$5/LN(2)^(1/Assumptions!$B$7)</f>
        <v>40.838161898739294</v>
      </c>
      <c r="BA35">
        <f>'AVL (EPS input)'!$C$5/LN(2)^(1/Assumptions!$B$7)</f>
        <v>40.838161898739294</v>
      </c>
      <c r="BB35">
        <f>'AVL (EPS input)'!$C$5/LN(2)^(1/Assumptions!$B$7)</f>
        <v>40.838161898739294</v>
      </c>
      <c r="BC35">
        <f>'AVL (EPS input)'!$C$5/LN(2)^(1/Assumptions!$B$7)</f>
        <v>40.838161898739294</v>
      </c>
      <c r="BD35">
        <f>'AVL (EPS input)'!$C$5/LN(2)^(1/Assumptions!$B$7)</f>
        <v>40.838161898739294</v>
      </c>
      <c r="BE35">
        <f>'AVL (EPS input)'!$C$5/LN(2)^(1/Assumptions!$B$7)</f>
        <v>40.838161898739294</v>
      </c>
      <c r="BF35">
        <f>'AVL (EPS input)'!$C$5/LN(2)^(1/Assumptions!$B$7)</f>
        <v>40.838161898739294</v>
      </c>
      <c r="BG35">
        <f>'AVL (EPS input)'!$C$5/LN(2)^(1/Assumptions!$B$7)</f>
        <v>40.838161898739294</v>
      </c>
      <c r="BH35">
        <f>'AVL (EPS input)'!$C$5/LN(2)^(1/Assumptions!$B$7)</f>
        <v>40.838161898739294</v>
      </c>
      <c r="BI35">
        <f>'AVL (EPS input)'!$C$5/LN(2)^(1/Assumptions!$B$7)</f>
        <v>40.838161898739294</v>
      </c>
      <c r="BJ35">
        <f>'AVL (EPS input)'!$C$5/LN(2)^(1/Assumptions!$B$7)</f>
        <v>40.838161898739294</v>
      </c>
      <c r="BK35">
        <f>'AVL (EPS input)'!$C$5/LN(2)^(1/Assumptions!$B$7)</f>
        <v>40.838161898739294</v>
      </c>
      <c r="BL35">
        <f>'AVL (EPS input)'!$C$5/LN(2)^(1/Assumptions!$B$7)</f>
        <v>40.838161898739294</v>
      </c>
      <c r="BM35">
        <f>'AVL (EPS input)'!$C$5/LN(2)^(1/Assumptions!$B$7)</f>
        <v>40.838161898739294</v>
      </c>
      <c r="BN35">
        <f>'AVL (EPS input)'!$C$5/LN(2)^(1/Assumptions!$B$7)</f>
        <v>40.838161898739294</v>
      </c>
      <c r="BO35">
        <f>'AVL (EPS input)'!$C$5/LN(2)^(1/Assumptions!$B$7)</f>
        <v>40.838161898739294</v>
      </c>
      <c r="BP35">
        <f>'AVL (EPS input)'!$C$5/LN(2)^(1/Assumptions!$B$7)</f>
        <v>40.838161898739294</v>
      </c>
      <c r="BQ35">
        <f>'AVL (EPS input)'!$C$5/LN(2)^(1/Assumptions!$B$7)</f>
        <v>40.838161898739294</v>
      </c>
      <c r="BR35">
        <f>'AVL (EPS input)'!$C$5/LN(2)^(1/Assumptions!$B$7)</f>
        <v>40.838161898739294</v>
      </c>
      <c r="BS35">
        <f>'AVL (EPS input)'!$C$5/LN(2)^(1/Assumptions!$B$7)</f>
        <v>40.838161898739294</v>
      </c>
      <c r="BT35">
        <f>'AVL (EPS input)'!$C$5/LN(2)^(1/Assumptions!$B$7)</f>
        <v>40.838161898739294</v>
      </c>
      <c r="BU35">
        <f>'AVL (EPS input)'!$C$5/LN(2)^(1/Assumptions!$B$7)</f>
        <v>40.838161898739294</v>
      </c>
      <c r="BV35">
        <f>'AVL (EPS input)'!$C$5/LN(2)^(1/Assumptions!$B$7)</f>
        <v>40.838161898739294</v>
      </c>
      <c r="BW35">
        <f>'AVL (EPS input)'!$C$5/LN(2)^(1/Assumptions!$B$7)</f>
        <v>40.838161898739294</v>
      </c>
      <c r="BX35">
        <f>'AVL (EPS input)'!$C$5/LN(2)^(1/Assumptions!$B$7)</f>
        <v>40.838161898739294</v>
      </c>
      <c r="BY35">
        <f>'AVL (EPS input)'!$C$5/LN(2)^(1/Assumptions!$B$7)</f>
        <v>40.838161898739294</v>
      </c>
      <c r="BZ35">
        <f>'AVL (EPS input)'!$C$5/LN(2)^(1/Assumptions!$B$7)</f>
        <v>40.838161898739294</v>
      </c>
      <c r="CA35">
        <f>'AVL (EPS input)'!$C$5/LN(2)^(1/Assumptions!$B$7)</f>
        <v>40.838161898739294</v>
      </c>
      <c r="CB35">
        <f>'AVL (EPS input)'!$C$5/LN(2)^(1/Assumptions!$B$7)</f>
        <v>40.838161898739294</v>
      </c>
      <c r="CC35">
        <f>'AVL (EPS input)'!$C$5/LN(2)^(1/Assumptions!$B$7)</f>
        <v>40.838161898739294</v>
      </c>
      <c r="CD35">
        <f>'AVL (EPS input)'!$C$5/LN(2)^(1/Assumptions!$B$7)</f>
        <v>40.838161898739294</v>
      </c>
      <c r="CE35">
        <f>'AVL (EPS input)'!$C$5/LN(2)^(1/Assumptions!$B$7)</f>
        <v>40.838161898739294</v>
      </c>
      <c r="CF35">
        <f>'AVL (EPS input)'!$C$5/LN(2)^(1/Assumptions!$B$7)</f>
        <v>40.838161898739294</v>
      </c>
      <c r="CG35">
        <f>'AVL (EPS input)'!$C$5/LN(2)^(1/Assumptions!$B$7)</f>
        <v>40.838161898739294</v>
      </c>
      <c r="CH35">
        <f>'AVL (EPS input)'!$C$5/LN(2)^(1/Assumptions!$B$7)</f>
        <v>40.838161898739294</v>
      </c>
      <c r="CI35">
        <f>'AVL (EPS input)'!$C$5/LN(2)^(1/Assumptions!$B$7)</f>
        <v>40.838161898739294</v>
      </c>
    </row>
    <row r="36" spans="1:87" x14ac:dyDescent="0.25">
      <c r="A36" t="s">
        <v>45</v>
      </c>
      <c r="B36">
        <f>'AVL (EPS input)'!$C$6/LN(2)^(1/Assumptions!$B$8)</f>
        <v>39.637039489952848</v>
      </c>
      <c r="C36">
        <f>'AVL (EPS input)'!$C$6/LN(2)^(1/Assumptions!$B$8)</f>
        <v>39.637039489952848</v>
      </c>
      <c r="D36">
        <f>'AVL (EPS input)'!$C$6/LN(2)^(1/Assumptions!$B$8)</f>
        <v>39.637039489952848</v>
      </c>
      <c r="E36">
        <f>'AVL (EPS input)'!$C$6/LN(2)^(1/Assumptions!$B$8)</f>
        <v>39.637039489952848</v>
      </c>
      <c r="F36">
        <f>'AVL (EPS input)'!$C$6/LN(2)^(1/Assumptions!$B$8)</f>
        <v>39.637039489952848</v>
      </c>
      <c r="G36">
        <f>'AVL (EPS input)'!$C$6/LN(2)^(1/Assumptions!$B$8)</f>
        <v>39.637039489952848</v>
      </c>
      <c r="H36">
        <f>'AVL (EPS input)'!$C$6/LN(2)^(1/Assumptions!$B$8)</f>
        <v>39.637039489952848</v>
      </c>
      <c r="I36">
        <f>'AVL (EPS input)'!$C$6/LN(2)^(1/Assumptions!$B$8)</f>
        <v>39.637039489952848</v>
      </c>
      <c r="J36">
        <f>'AVL (EPS input)'!$C$6/LN(2)^(1/Assumptions!$B$8)</f>
        <v>39.637039489952848</v>
      </c>
      <c r="K36">
        <f>'AVL (EPS input)'!$C$6/LN(2)^(1/Assumptions!$B$8)</f>
        <v>39.637039489952848</v>
      </c>
      <c r="L36">
        <f>'AVL (EPS input)'!$C$6/LN(2)^(1/Assumptions!$B$8)</f>
        <v>39.637039489952848</v>
      </c>
      <c r="M36">
        <f>'AVL (EPS input)'!$C$6/LN(2)^(1/Assumptions!$B$8)</f>
        <v>39.637039489952848</v>
      </c>
      <c r="N36">
        <f>'AVL (EPS input)'!$C$6/LN(2)^(1/Assumptions!$B$8)</f>
        <v>39.637039489952848</v>
      </c>
      <c r="O36">
        <f>'AVL (EPS input)'!$C$6/LN(2)^(1/Assumptions!$B$8)</f>
        <v>39.637039489952848</v>
      </c>
      <c r="P36">
        <f>'AVL (EPS input)'!$C$6/LN(2)^(1/Assumptions!$B$8)</f>
        <v>39.637039489952848</v>
      </c>
      <c r="Q36">
        <f>'AVL (EPS input)'!$C$6/LN(2)^(1/Assumptions!$B$8)</f>
        <v>39.637039489952848</v>
      </c>
      <c r="R36">
        <f>'AVL (EPS input)'!$C$6/LN(2)^(1/Assumptions!$B$8)</f>
        <v>39.637039489952848</v>
      </c>
      <c r="S36">
        <f>'AVL (EPS input)'!$C$6/LN(2)^(1/Assumptions!$B$8)</f>
        <v>39.637039489952848</v>
      </c>
      <c r="T36">
        <f>'AVL (EPS input)'!$C$6/LN(2)^(1/Assumptions!$B$8)</f>
        <v>39.637039489952848</v>
      </c>
      <c r="U36">
        <f>'AVL (EPS input)'!$C$6/LN(2)^(1/Assumptions!$B$8)</f>
        <v>39.637039489952848</v>
      </c>
      <c r="V36">
        <f>'AVL (EPS input)'!$C$6/LN(2)^(1/Assumptions!$B$8)</f>
        <v>39.637039489952848</v>
      </c>
      <c r="W36">
        <f>'AVL (EPS input)'!$C$6/LN(2)^(1/Assumptions!$B$8)</f>
        <v>39.637039489952848</v>
      </c>
      <c r="X36">
        <f>'AVL (EPS input)'!$C$6/LN(2)^(1/Assumptions!$B$8)</f>
        <v>39.637039489952848</v>
      </c>
      <c r="Y36">
        <f>'AVL (EPS input)'!$C$6/LN(2)^(1/Assumptions!$B$8)</f>
        <v>39.637039489952848</v>
      </c>
      <c r="Z36">
        <f>'AVL (EPS input)'!$C$6/LN(2)^(1/Assumptions!$B$8)</f>
        <v>39.637039489952848</v>
      </c>
      <c r="AA36">
        <f>'AVL (EPS input)'!$C$6/LN(2)^(1/Assumptions!$B$8)</f>
        <v>39.637039489952848</v>
      </c>
      <c r="AB36">
        <f>'AVL (EPS input)'!$C$6/LN(2)^(1/Assumptions!$B$8)</f>
        <v>39.637039489952848</v>
      </c>
      <c r="AC36">
        <f>'AVL (EPS input)'!$C$6/LN(2)^(1/Assumptions!$B$8)</f>
        <v>39.637039489952848</v>
      </c>
      <c r="AD36">
        <f>'AVL (EPS input)'!$C$6/LN(2)^(1/Assumptions!$B$8)</f>
        <v>39.637039489952848</v>
      </c>
      <c r="AE36">
        <f>'AVL (EPS input)'!$C$6/LN(2)^(1/Assumptions!$B$8)</f>
        <v>39.637039489952848</v>
      </c>
      <c r="AF36">
        <f>'AVL (EPS input)'!$C$6/LN(2)^(1/Assumptions!$B$8)</f>
        <v>39.637039489952848</v>
      </c>
      <c r="AG36">
        <f>'AVL (EPS input)'!$C$6/LN(2)^(1/Assumptions!$B$8)</f>
        <v>39.637039489952848</v>
      </c>
      <c r="AH36">
        <f>'AVL (EPS input)'!$C$6/LN(2)^(1/Assumptions!$B$8)</f>
        <v>39.637039489952848</v>
      </c>
      <c r="AI36">
        <f>'AVL (EPS input)'!$C$6/LN(2)^(1/Assumptions!$B$8)</f>
        <v>39.637039489952848</v>
      </c>
      <c r="AJ36">
        <f>'AVL (EPS input)'!$C$6/LN(2)^(1/Assumptions!$B$8)</f>
        <v>39.637039489952848</v>
      </c>
      <c r="AK36">
        <f>'AVL (EPS input)'!$C$6/LN(2)^(1/Assumptions!$B$8)</f>
        <v>39.637039489952848</v>
      </c>
      <c r="AL36">
        <f>'AVL (EPS input)'!$C$6/LN(2)^(1/Assumptions!$B$8)</f>
        <v>39.637039489952848</v>
      </c>
      <c r="AM36">
        <f>'AVL (EPS input)'!$C$6/LN(2)^(1/Assumptions!$B$8)</f>
        <v>39.637039489952848</v>
      </c>
      <c r="AN36">
        <f>'AVL (EPS input)'!$C$6/LN(2)^(1/Assumptions!$B$8)</f>
        <v>39.637039489952848</v>
      </c>
      <c r="AO36">
        <f>'AVL (EPS input)'!$C$6/LN(2)^(1/Assumptions!$B$8)</f>
        <v>39.637039489952848</v>
      </c>
      <c r="AP36">
        <f>'AVL (EPS input)'!$C$6/LN(2)^(1/Assumptions!$B$8)</f>
        <v>39.637039489952848</v>
      </c>
      <c r="AQ36">
        <f>'AVL (EPS input)'!$C$6/LN(2)^(1/Assumptions!$B$8)</f>
        <v>39.637039489952848</v>
      </c>
      <c r="AR36">
        <f>'AVL (EPS input)'!$C$6/LN(2)^(1/Assumptions!$B$8)</f>
        <v>39.637039489952848</v>
      </c>
      <c r="AS36">
        <f>'AVL (EPS input)'!$C$6/LN(2)^(1/Assumptions!$B$8)</f>
        <v>39.637039489952848</v>
      </c>
      <c r="AT36">
        <f>'AVL (EPS input)'!$C$6/LN(2)^(1/Assumptions!$B$8)</f>
        <v>39.637039489952848</v>
      </c>
      <c r="AU36">
        <f>'AVL (EPS input)'!$C$6/LN(2)^(1/Assumptions!$B$8)</f>
        <v>39.637039489952848</v>
      </c>
      <c r="AV36">
        <f>'AVL (EPS input)'!$C$6/LN(2)^(1/Assumptions!$B$8)</f>
        <v>39.637039489952848</v>
      </c>
      <c r="AW36">
        <f>'AVL (EPS input)'!$C$6/LN(2)^(1/Assumptions!$B$8)</f>
        <v>39.637039489952848</v>
      </c>
      <c r="AX36">
        <f>'AVL (EPS input)'!$C$6/LN(2)^(1/Assumptions!$B$8)</f>
        <v>39.637039489952848</v>
      </c>
      <c r="AY36">
        <f>'AVL (EPS input)'!$C$6/LN(2)^(1/Assumptions!$B$8)</f>
        <v>39.637039489952848</v>
      </c>
      <c r="AZ36">
        <f>'AVL (EPS input)'!$C$6/LN(2)^(1/Assumptions!$B$8)</f>
        <v>39.637039489952848</v>
      </c>
      <c r="BA36">
        <f>'AVL (EPS input)'!$C$6/LN(2)^(1/Assumptions!$B$8)</f>
        <v>39.637039489952848</v>
      </c>
      <c r="BB36">
        <f>'AVL (EPS input)'!$C$6/LN(2)^(1/Assumptions!$B$8)</f>
        <v>39.637039489952848</v>
      </c>
      <c r="BC36">
        <f>'AVL (EPS input)'!$C$6/LN(2)^(1/Assumptions!$B$8)</f>
        <v>39.637039489952848</v>
      </c>
      <c r="BD36">
        <f>'AVL (EPS input)'!$C$6/LN(2)^(1/Assumptions!$B$8)</f>
        <v>39.637039489952848</v>
      </c>
      <c r="BE36">
        <f>'AVL (EPS input)'!$C$6/LN(2)^(1/Assumptions!$B$8)</f>
        <v>39.637039489952848</v>
      </c>
      <c r="BF36">
        <f>'AVL (EPS input)'!$C$6/LN(2)^(1/Assumptions!$B$8)</f>
        <v>39.637039489952848</v>
      </c>
      <c r="BG36">
        <f>'AVL (EPS input)'!$C$6/LN(2)^(1/Assumptions!$B$8)</f>
        <v>39.637039489952848</v>
      </c>
      <c r="BH36">
        <f>'AVL (EPS input)'!$C$6/LN(2)^(1/Assumptions!$B$8)</f>
        <v>39.637039489952848</v>
      </c>
      <c r="BI36">
        <f>'AVL (EPS input)'!$C$6/LN(2)^(1/Assumptions!$B$8)</f>
        <v>39.637039489952848</v>
      </c>
      <c r="BJ36">
        <f>'AVL (EPS input)'!$C$6/LN(2)^(1/Assumptions!$B$8)</f>
        <v>39.637039489952848</v>
      </c>
      <c r="BK36">
        <f>'AVL (EPS input)'!$C$6/LN(2)^(1/Assumptions!$B$8)</f>
        <v>39.637039489952848</v>
      </c>
      <c r="BL36">
        <f>'AVL (EPS input)'!$C$6/LN(2)^(1/Assumptions!$B$8)</f>
        <v>39.637039489952848</v>
      </c>
      <c r="BM36">
        <f>'AVL (EPS input)'!$C$6/LN(2)^(1/Assumptions!$B$8)</f>
        <v>39.637039489952848</v>
      </c>
      <c r="BN36">
        <f>'AVL (EPS input)'!$C$6/LN(2)^(1/Assumptions!$B$8)</f>
        <v>39.637039489952848</v>
      </c>
      <c r="BO36">
        <f>'AVL (EPS input)'!$C$6/LN(2)^(1/Assumptions!$B$8)</f>
        <v>39.637039489952848</v>
      </c>
      <c r="BP36">
        <f>'AVL (EPS input)'!$C$6/LN(2)^(1/Assumptions!$B$8)</f>
        <v>39.637039489952848</v>
      </c>
      <c r="BQ36">
        <f>'AVL (EPS input)'!$C$6/LN(2)^(1/Assumptions!$B$8)</f>
        <v>39.637039489952848</v>
      </c>
      <c r="BR36">
        <f>'AVL (EPS input)'!$C$6/LN(2)^(1/Assumptions!$B$8)</f>
        <v>39.637039489952848</v>
      </c>
      <c r="BS36">
        <f>'AVL (EPS input)'!$C$6/LN(2)^(1/Assumptions!$B$8)</f>
        <v>39.637039489952848</v>
      </c>
      <c r="BT36">
        <f>'AVL (EPS input)'!$C$6/LN(2)^(1/Assumptions!$B$8)</f>
        <v>39.637039489952848</v>
      </c>
      <c r="BU36">
        <f>'AVL (EPS input)'!$C$6/LN(2)^(1/Assumptions!$B$8)</f>
        <v>39.637039489952848</v>
      </c>
      <c r="BV36">
        <f>'AVL (EPS input)'!$C$6/LN(2)^(1/Assumptions!$B$8)</f>
        <v>39.637039489952848</v>
      </c>
      <c r="BW36">
        <f>'AVL (EPS input)'!$C$6/LN(2)^(1/Assumptions!$B$8)</f>
        <v>39.637039489952848</v>
      </c>
      <c r="BX36">
        <f>'AVL (EPS input)'!$C$6/LN(2)^(1/Assumptions!$B$8)</f>
        <v>39.637039489952848</v>
      </c>
      <c r="BY36">
        <f>'AVL (EPS input)'!$C$6/LN(2)^(1/Assumptions!$B$8)</f>
        <v>39.637039489952848</v>
      </c>
      <c r="BZ36">
        <f>'AVL (EPS input)'!$C$6/LN(2)^(1/Assumptions!$B$8)</f>
        <v>39.637039489952848</v>
      </c>
      <c r="CA36">
        <f>'AVL (EPS input)'!$C$6/LN(2)^(1/Assumptions!$B$8)</f>
        <v>39.637039489952848</v>
      </c>
      <c r="CB36">
        <f>'AVL (EPS input)'!$C$6/LN(2)^(1/Assumptions!$B$8)</f>
        <v>39.637039489952848</v>
      </c>
      <c r="CC36">
        <f>'AVL (EPS input)'!$C$6/LN(2)^(1/Assumptions!$B$8)</f>
        <v>39.637039489952848</v>
      </c>
      <c r="CD36">
        <f>'AVL (EPS input)'!$C$6/LN(2)^(1/Assumptions!$B$8)</f>
        <v>39.637039489952848</v>
      </c>
      <c r="CE36">
        <f>'AVL (EPS input)'!$C$6/LN(2)^(1/Assumptions!$B$8)</f>
        <v>39.637039489952848</v>
      </c>
      <c r="CF36">
        <f>'AVL (EPS input)'!$C$6/LN(2)^(1/Assumptions!$B$8)</f>
        <v>39.637039489952848</v>
      </c>
      <c r="CG36">
        <f>'AVL (EPS input)'!$C$6/LN(2)^(1/Assumptions!$B$8)</f>
        <v>39.637039489952848</v>
      </c>
      <c r="CH36">
        <f>'AVL (EPS input)'!$C$6/LN(2)^(1/Assumptions!$B$8)</f>
        <v>39.637039489952848</v>
      </c>
      <c r="CI36">
        <f>'AVL (EPS input)'!$C$6/LN(2)^(1/Assumptions!$B$8)</f>
        <v>39.637039489952848</v>
      </c>
    </row>
    <row r="37" spans="1:87" x14ac:dyDescent="0.25">
      <c r="A37" t="s">
        <v>46</v>
      </c>
      <c r="B37">
        <f>'AVL (EPS input)'!$C$7/LN(2)^(1/Assumptions!$B$9)</f>
        <v>31.087610374434469</v>
      </c>
      <c r="C37">
        <f>'AVL (EPS input)'!$C$7/LN(2)^(1/Assumptions!$B$9)</f>
        <v>31.087610374434469</v>
      </c>
      <c r="D37">
        <f>'AVL (EPS input)'!$C$7/LN(2)^(1/Assumptions!$B$9)</f>
        <v>31.087610374434469</v>
      </c>
      <c r="E37">
        <f>'AVL (EPS input)'!$C$7/LN(2)^(1/Assumptions!$B$9)</f>
        <v>31.087610374434469</v>
      </c>
      <c r="F37">
        <f>'AVL (EPS input)'!$C$7/LN(2)^(1/Assumptions!$B$9)</f>
        <v>31.087610374434469</v>
      </c>
      <c r="G37">
        <f>'AVL (EPS input)'!$C$7/LN(2)^(1/Assumptions!$B$9)</f>
        <v>31.087610374434469</v>
      </c>
      <c r="H37">
        <f>'AVL (EPS input)'!$C$7/LN(2)^(1/Assumptions!$B$9)</f>
        <v>31.087610374434469</v>
      </c>
      <c r="I37">
        <f>'AVL (EPS input)'!$C$7/LN(2)^(1/Assumptions!$B$9)</f>
        <v>31.087610374434469</v>
      </c>
      <c r="J37">
        <f>'AVL (EPS input)'!$C$7/LN(2)^(1/Assumptions!$B$9)</f>
        <v>31.087610374434469</v>
      </c>
      <c r="K37">
        <f>'AVL (EPS input)'!$C$7/LN(2)^(1/Assumptions!$B$9)</f>
        <v>31.087610374434469</v>
      </c>
      <c r="L37">
        <f>'AVL (EPS input)'!$C$7/LN(2)^(1/Assumptions!$B$9)</f>
        <v>31.087610374434469</v>
      </c>
      <c r="M37">
        <f>'AVL (EPS input)'!$C$7/LN(2)^(1/Assumptions!$B$9)</f>
        <v>31.087610374434469</v>
      </c>
      <c r="N37">
        <f>'AVL (EPS input)'!$C$7/LN(2)^(1/Assumptions!$B$9)</f>
        <v>31.087610374434469</v>
      </c>
      <c r="O37">
        <f>'AVL (EPS input)'!$C$7/LN(2)^(1/Assumptions!$B$9)</f>
        <v>31.087610374434469</v>
      </c>
      <c r="P37">
        <f>'AVL (EPS input)'!$C$7/LN(2)^(1/Assumptions!$B$9)</f>
        <v>31.087610374434469</v>
      </c>
      <c r="Q37">
        <f>'AVL (EPS input)'!$C$7/LN(2)^(1/Assumptions!$B$9)</f>
        <v>31.087610374434469</v>
      </c>
      <c r="R37">
        <f>'AVL (EPS input)'!$C$7/LN(2)^(1/Assumptions!$B$9)</f>
        <v>31.087610374434469</v>
      </c>
      <c r="S37">
        <f>'AVL (EPS input)'!$C$7/LN(2)^(1/Assumptions!$B$9)</f>
        <v>31.087610374434469</v>
      </c>
      <c r="T37">
        <f>'AVL (EPS input)'!$C$7/LN(2)^(1/Assumptions!$B$9)</f>
        <v>31.087610374434469</v>
      </c>
      <c r="U37">
        <f>'AVL (EPS input)'!$C$7/LN(2)^(1/Assumptions!$B$9)</f>
        <v>31.087610374434469</v>
      </c>
      <c r="V37">
        <f>'AVL (EPS input)'!$C$7/LN(2)^(1/Assumptions!$B$9)</f>
        <v>31.087610374434469</v>
      </c>
      <c r="W37">
        <f>'AVL (EPS input)'!$C$7/LN(2)^(1/Assumptions!$B$9)</f>
        <v>31.087610374434469</v>
      </c>
      <c r="X37">
        <f>'AVL (EPS input)'!$C$7/LN(2)^(1/Assumptions!$B$9)</f>
        <v>31.087610374434469</v>
      </c>
      <c r="Y37">
        <f>'AVL (EPS input)'!$C$7/LN(2)^(1/Assumptions!$B$9)</f>
        <v>31.087610374434469</v>
      </c>
      <c r="Z37">
        <f>'AVL (EPS input)'!$C$7/LN(2)^(1/Assumptions!$B$9)</f>
        <v>31.087610374434469</v>
      </c>
      <c r="AA37">
        <f>'AVL (EPS input)'!$C$7/LN(2)^(1/Assumptions!$B$9)</f>
        <v>31.087610374434469</v>
      </c>
      <c r="AB37">
        <f>'AVL (EPS input)'!$C$7/LN(2)^(1/Assumptions!$B$9)</f>
        <v>31.087610374434469</v>
      </c>
      <c r="AC37">
        <f>'AVL (EPS input)'!$C$7/LN(2)^(1/Assumptions!$B$9)</f>
        <v>31.087610374434469</v>
      </c>
      <c r="AD37">
        <f>'AVL (EPS input)'!$C$7/LN(2)^(1/Assumptions!$B$9)</f>
        <v>31.087610374434469</v>
      </c>
      <c r="AE37">
        <f>'AVL (EPS input)'!$C$7/LN(2)^(1/Assumptions!$B$9)</f>
        <v>31.087610374434469</v>
      </c>
      <c r="AF37">
        <f>'AVL (EPS input)'!$C$7/LN(2)^(1/Assumptions!$B$9)</f>
        <v>31.087610374434469</v>
      </c>
      <c r="AG37">
        <f>'AVL (EPS input)'!$C$7/LN(2)^(1/Assumptions!$B$9)</f>
        <v>31.087610374434469</v>
      </c>
      <c r="AH37">
        <f>'AVL (EPS input)'!$C$7/LN(2)^(1/Assumptions!$B$9)</f>
        <v>31.087610374434469</v>
      </c>
      <c r="AI37">
        <f>'AVL (EPS input)'!$C$7/LN(2)^(1/Assumptions!$B$9)</f>
        <v>31.087610374434469</v>
      </c>
      <c r="AJ37">
        <f>'AVL (EPS input)'!$C$7/LN(2)^(1/Assumptions!$B$9)</f>
        <v>31.087610374434469</v>
      </c>
      <c r="AK37">
        <f>'AVL (EPS input)'!$C$7/LN(2)^(1/Assumptions!$B$9)</f>
        <v>31.087610374434469</v>
      </c>
      <c r="AL37">
        <f>'AVL (EPS input)'!$C$7/LN(2)^(1/Assumptions!$B$9)</f>
        <v>31.087610374434469</v>
      </c>
      <c r="AM37">
        <f>'AVL (EPS input)'!$C$7/LN(2)^(1/Assumptions!$B$9)</f>
        <v>31.087610374434469</v>
      </c>
      <c r="AN37">
        <f>'AVL (EPS input)'!$C$7/LN(2)^(1/Assumptions!$B$9)</f>
        <v>31.087610374434469</v>
      </c>
      <c r="AO37">
        <f>'AVL (EPS input)'!$C$7/LN(2)^(1/Assumptions!$B$9)</f>
        <v>31.087610374434469</v>
      </c>
      <c r="AP37">
        <f>'AVL (EPS input)'!$C$7/LN(2)^(1/Assumptions!$B$9)</f>
        <v>31.087610374434469</v>
      </c>
      <c r="AQ37">
        <f>'AVL (EPS input)'!$C$7/LN(2)^(1/Assumptions!$B$9)</f>
        <v>31.087610374434469</v>
      </c>
      <c r="AR37">
        <f>'AVL (EPS input)'!$C$7/LN(2)^(1/Assumptions!$B$9)</f>
        <v>31.087610374434469</v>
      </c>
      <c r="AS37">
        <f>'AVL (EPS input)'!$C$7/LN(2)^(1/Assumptions!$B$9)</f>
        <v>31.087610374434469</v>
      </c>
      <c r="AT37">
        <f>'AVL (EPS input)'!$C$7/LN(2)^(1/Assumptions!$B$9)</f>
        <v>31.087610374434469</v>
      </c>
      <c r="AU37">
        <f>'AVL (EPS input)'!$C$7/LN(2)^(1/Assumptions!$B$9)</f>
        <v>31.087610374434469</v>
      </c>
      <c r="AV37">
        <f>'AVL (EPS input)'!$C$7/LN(2)^(1/Assumptions!$B$9)</f>
        <v>31.087610374434469</v>
      </c>
      <c r="AW37">
        <f>'AVL (EPS input)'!$C$7/LN(2)^(1/Assumptions!$B$9)</f>
        <v>31.087610374434469</v>
      </c>
      <c r="AX37">
        <f>'AVL (EPS input)'!$C$7/LN(2)^(1/Assumptions!$B$9)</f>
        <v>31.087610374434469</v>
      </c>
      <c r="AY37">
        <f>'AVL (EPS input)'!$C$7/LN(2)^(1/Assumptions!$B$9)</f>
        <v>31.087610374434469</v>
      </c>
      <c r="AZ37">
        <f>'AVL (EPS input)'!$C$7/LN(2)^(1/Assumptions!$B$9)</f>
        <v>31.087610374434469</v>
      </c>
      <c r="BA37">
        <f>'AVL (EPS input)'!$C$7/LN(2)^(1/Assumptions!$B$9)</f>
        <v>31.087610374434469</v>
      </c>
      <c r="BB37">
        <f>'AVL (EPS input)'!$C$7/LN(2)^(1/Assumptions!$B$9)</f>
        <v>31.087610374434469</v>
      </c>
      <c r="BC37">
        <f>'AVL (EPS input)'!$C$7/LN(2)^(1/Assumptions!$B$9)</f>
        <v>31.087610374434469</v>
      </c>
      <c r="BD37">
        <f>'AVL (EPS input)'!$C$7/LN(2)^(1/Assumptions!$B$9)</f>
        <v>31.087610374434469</v>
      </c>
      <c r="BE37">
        <f>'AVL (EPS input)'!$C$7/LN(2)^(1/Assumptions!$B$9)</f>
        <v>31.087610374434469</v>
      </c>
      <c r="BF37">
        <f>'AVL (EPS input)'!$C$7/LN(2)^(1/Assumptions!$B$9)</f>
        <v>31.087610374434469</v>
      </c>
      <c r="BG37">
        <f>'AVL (EPS input)'!$C$7/LN(2)^(1/Assumptions!$B$9)</f>
        <v>31.087610374434469</v>
      </c>
      <c r="BH37">
        <f>'AVL (EPS input)'!$C$7/LN(2)^(1/Assumptions!$B$9)</f>
        <v>31.087610374434469</v>
      </c>
      <c r="BI37">
        <f>'AVL (EPS input)'!$C$7/LN(2)^(1/Assumptions!$B$9)</f>
        <v>31.087610374434469</v>
      </c>
      <c r="BJ37">
        <f>'AVL (EPS input)'!$C$7/LN(2)^(1/Assumptions!$B$9)</f>
        <v>31.087610374434469</v>
      </c>
      <c r="BK37">
        <f>'AVL (EPS input)'!$C$7/LN(2)^(1/Assumptions!$B$9)</f>
        <v>31.087610374434469</v>
      </c>
      <c r="BL37">
        <f>'AVL (EPS input)'!$C$7/LN(2)^(1/Assumptions!$B$9)</f>
        <v>31.087610374434469</v>
      </c>
      <c r="BM37">
        <f>'AVL (EPS input)'!$C$7/LN(2)^(1/Assumptions!$B$9)</f>
        <v>31.087610374434469</v>
      </c>
      <c r="BN37">
        <f>'AVL (EPS input)'!$C$7/LN(2)^(1/Assumptions!$B$9)</f>
        <v>31.087610374434469</v>
      </c>
      <c r="BO37">
        <f>'AVL (EPS input)'!$C$7/LN(2)^(1/Assumptions!$B$9)</f>
        <v>31.087610374434469</v>
      </c>
      <c r="BP37">
        <f>'AVL (EPS input)'!$C$7/LN(2)^(1/Assumptions!$B$9)</f>
        <v>31.087610374434469</v>
      </c>
      <c r="BQ37">
        <f>'AVL (EPS input)'!$C$7/LN(2)^(1/Assumptions!$B$9)</f>
        <v>31.087610374434469</v>
      </c>
      <c r="BR37">
        <f>'AVL (EPS input)'!$C$7/LN(2)^(1/Assumptions!$B$9)</f>
        <v>31.087610374434469</v>
      </c>
      <c r="BS37">
        <f>'AVL (EPS input)'!$C$7/LN(2)^(1/Assumptions!$B$9)</f>
        <v>31.087610374434469</v>
      </c>
      <c r="BT37">
        <f>'AVL (EPS input)'!$C$7/LN(2)^(1/Assumptions!$B$9)</f>
        <v>31.087610374434469</v>
      </c>
      <c r="BU37">
        <f>'AVL (EPS input)'!$C$7/LN(2)^(1/Assumptions!$B$9)</f>
        <v>31.087610374434469</v>
      </c>
      <c r="BV37">
        <f>'AVL (EPS input)'!$C$7/LN(2)^(1/Assumptions!$B$9)</f>
        <v>31.087610374434469</v>
      </c>
      <c r="BW37">
        <f>'AVL (EPS input)'!$C$7/LN(2)^(1/Assumptions!$B$9)</f>
        <v>31.087610374434469</v>
      </c>
      <c r="BX37">
        <f>'AVL (EPS input)'!$C$7/LN(2)^(1/Assumptions!$B$9)</f>
        <v>31.087610374434469</v>
      </c>
      <c r="BY37">
        <f>'AVL (EPS input)'!$C$7/LN(2)^(1/Assumptions!$B$9)</f>
        <v>31.087610374434469</v>
      </c>
      <c r="BZ37">
        <f>'AVL (EPS input)'!$C$7/LN(2)^(1/Assumptions!$B$9)</f>
        <v>31.087610374434469</v>
      </c>
      <c r="CA37">
        <f>'AVL (EPS input)'!$C$7/LN(2)^(1/Assumptions!$B$9)</f>
        <v>31.087610374434469</v>
      </c>
      <c r="CB37">
        <f>'AVL (EPS input)'!$C$7/LN(2)^(1/Assumptions!$B$9)</f>
        <v>31.087610374434469</v>
      </c>
      <c r="CC37">
        <f>'AVL (EPS input)'!$C$7/LN(2)^(1/Assumptions!$B$9)</f>
        <v>31.087610374434469</v>
      </c>
      <c r="CD37">
        <f>'AVL (EPS input)'!$C$7/LN(2)^(1/Assumptions!$B$9)</f>
        <v>31.087610374434469</v>
      </c>
      <c r="CE37">
        <f>'AVL (EPS input)'!$C$7/LN(2)^(1/Assumptions!$B$9)</f>
        <v>31.087610374434469</v>
      </c>
      <c r="CF37">
        <f>'AVL (EPS input)'!$C$7/LN(2)^(1/Assumptions!$B$9)</f>
        <v>31.087610374434469</v>
      </c>
      <c r="CG37">
        <f>'AVL (EPS input)'!$C$7/LN(2)^(1/Assumptions!$B$9)</f>
        <v>31.087610374434469</v>
      </c>
      <c r="CH37">
        <f>'AVL (EPS input)'!$C$7/LN(2)^(1/Assumptions!$B$9)</f>
        <v>31.087610374434469</v>
      </c>
      <c r="CI37">
        <f>'AVL (EPS input)'!$C$7/LN(2)^(1/Assumptions!$B$9)</f>
        <v>31.087610374434469</v>
      </c>
    </row>
    <row r="39" spans="1:87" x14ac:dyDescent="0.25">
      <c r="A39" s="1" t="s">
        <v>69</v>
      </c>
    </row>
    <row r="40" spans="1:87" x14ac:dyDescent="0.25">
      <c r="A40" s="1" t="s">
        <v>59</v>
      </c>
      <c r="B40" s="1">
        <v>1965</v>
      </c>
      <c r="C40" s="1">
        <v>1966</v>
      </c>
      <c r="D40" s="1">
        <v>1967</v>
      </c>
      <c r="E40" s="1">
        <v>1968</v>
      </c>
      <c r="F40" s="1">
        <v>1969</v>
      </c>
      <c r="G40" s="1">
        <v>1970</v>
      </c>
      <c r="H40" s="1">
        <v>1971</v>
      </c>
      <c r="I40" s="1">
        <v>1972</v>
      </c>
      <c r="J40" s="1">
        <v>1973</v>
      </c>
      <c r="K40" s="1">
        <v>1974</v>
      </c>
      <c r="L40" s="1">
        <v>1975</v>
      </c>
      <c r="M40" s="1">
        <v>1976</v>
      </c>
      <c r="N40" s="1">
        <v>1977</v>
      </c>
      <c r="O40" s="1">
        <v>1978</v>
      </c>
      <c r="P40" s="1">
        <v>1979</v>
      </c>
      <c r="Q40" s="1">
        <v>1980</v>
      </c>
      <c r="R40" s="1">
        <v>1981</v>
      </c>
      <c r="S40" s="1">
        <v>1982</v>
      </c>
      <c r="T40" s="1">
        <v>1983</v>
      </c>
      <c r="U40" s="1">
        <v>1984</v>
      </c>
      <c r="V40" s="1">
        <v>1985</v>
      </c>
      <c r="W40" s="1">
        <v>1986</v>
      </c>
      <c r="X40" s="1">
        <v>1987</v>
      </c>
      <c r="Y40" s="1">
        <v>1988</v>
      </c>
      <c r="Z40" s="1">
        <v>1989</v>
      </c>
      <c r="AA40" s="1">
        <v>1990</v>
      </c>
      <c r="AB40" s="1">
        <v>1991</v>
      </c>
      <c r="AC40" s="1">
        <v>1992</v>
      </c>
      <c r="AD40" s="1">
        <v>1993</v>
      </c>
      <c r="AE40" s="1">
        <v>1994</v>
      </c>
      <c r="AF40" s="1">
        <v>1995</v>
      </c>
      <c r="AG40" s="1">
        <v>1996</v>
      </c>
      <c r="AH40" s="1">
        <v>1997</v>
      </c>
      <c r="AI40" s="1">
        <v>1998</v>
      </c>
      <c r="AJ40" s="1">
        <v>1999</v>
      </c>
      <c r="AK40" s="1">
        <v>2000</v>
      </c>
      <c r="AL40" s="1">
        <v>2001</v>
      </c>
      <c r="AM40" s="1">
        <v>2002</v>
      </c>
      <c r="AN40" s="1">
        <v>2003</v>
      </c>
      <c r="AO40" s="1">
        <v>2004</v>
      </c>
      <c r="AP40" s="1">
        <v>2005</v>
      </c>
      <c r="AQ40" s="1">
        <v>2006</v>
      </c>
      <c r="AR40" s="1">
        <v>2007</v>
      </c>
      <c r="AS40" s="1">
        <v>2008</v>
      </c>
      <c r="AT40" s="1">
        <v>2009</v>
      </c>
      <c r="AU40" s="1">
        <v>2010</v>
      </c>
      <c r="AV40" s="1">
        <v>2011</v>
      </c>
      <c r="AW40" s="1">
        <v>2012</v>
      </c>
      <c r="AX40" s="1">
        <v>2013</v>
      </c>
      <c r="AY40" s="1">
        <v>2014</v>
      </c>
      <c r="AZ40" s="1">
        <v>2015</v>
      </c>
      <c r="BA40" s="1">
        <v>2016</v>
      </c>
      <c r="BB40" s="1">
        <v>2017</v>
      </c>
      <c r="BC40" s="1">
        <v>2018</v>
      </c>
      <c r="BD40" s="1">
        <v>2019</v>
      </c>
      <c r="BE40" s="1">
        <v>2020</v>
      </c>
      <c r="BF40" s="1">
        <v>2021</v>
      </c>
      <c r="BG40" s="1">
        <v>2022</v>
      </c>
      <c r="BH40" s="1">
        <v>2023</v>
      </c>
      <c r="BI40" s="1">
        <v>2024</v>
      </c>
      <c r="BJ40" s="1">
        <v>2025</v>
      </c>
      <c r="BK40" s="1">
        <v>2026</v>
      </c>
      <c r="BL40" s="1">
        <v>2027</v>
      </c>
      <c r="BM40" s="1">
        <v>2028</v>
      </c>
      <c r="BN40" s="1">
        <v>2029</v>
      </c>
      <c r="BO40" s="1">
        <v>2030</v>
      </c>
      <c r="BP40" s="1">
        <v>2031</v>
      </c>
      <c r="BQ40" s="1">
        <v>2032</v>
      </c>
      <c r="BR40" s="1">
        <v>2033</v>
      </c>
      <c r="BS40" s="1">
        <v>2034</v>
      </c>
      <c r="BT40" s="1">
        <v>2035</v>
      </c>
      <c r="BU40" s="1">
        <v>2036</v>
      </c>
      <c r="BV40" s="1">
        <v>2037</v>
      </c>
      <c r="BW40" s="1">
        <v>2038</v>
      </c>
      <c r="BX40" s="1">
        <v>2039</v>
      </c>
      <c r="BY40" s="1">
        <v>2040</v>
      </c>
      <c r="BZ40" s="1">
        <v>2041</v>
      </c>
      <c r="CA40" s="1">
        <v>2042</v>
      </c>
      <c r="CB40" s="1">
        <v>2043</v>
      </c>
      <c r="CC40" s="1">
        <v>2044</v>
      </c>
      <c r="CD40" s="1">
        <v>2045</v>
      </c>
      <c r="CE40" s="1">
        <v>2046</v>
      </c>
      <c r="CF40" s="1">
        <v>2047</v>
      </c>
      <c r="CG40" s="1">
        <v>2048</v>
      </c>
      <c r="CH40" s="1">
        <v>2049</v>
      </c>
      <c r="CI40" s="1">
        <v>2050</v>
      </c>
    </row>
    <row r="41" spans="1:87" x14ac:dyDescent="0.25">
      <c r="A41" t="s">
        <v>39</v>
      </c>
      <c r="B41">
        <f>SUMIFS('Calibrated parameters'!$F$4:$F$175,'Calibrated parameters'!$A$4:$A$175,$A$40,'Calibrated parameters'!$B$4:$B$175,$A41,'Calibrated parameters'!$C$4:$C$175,B$40)</f>
        <v>3.0544348141309432</v>
      </c>
      <c r="C41">
        <f>SUMIFS('Calibrated parameters'!$F$4:$F$175,'Calibrated parameters'!$A$4:$A$175,$A$40,'Calibrated parameters'!$B$4:$B$175,$A41,'Calibrated parameters'!$C$4:$C$175,C$40)</f>
        <v>3.0544346099397011</v>
      </c>
      <c r="D41">
        <f>SUMIFS('Calibrated parameters'!$F$4:$F$175,'Calibrated parameters'!$A$4:$A$175,$A$40,'Calibrated parameters'!$B$4:$B$175,$A41,'Calibrated parameters'!$C$4:$C$175,D$40)</f>
        <v>3.054434666327607</v>
      </c>
      <c r="E41">
        <f>SUMIFS('Calibrated parameters'!$F$4:$F$175,'Calibrated parameters'!$A$4:$A$175,$A$40,'Calibrated parameters'!$B$4:$B$175,$A41,'Calibrated parameters'!$C$4:$C$175,E$40)</f>
        <v>3.054434806367035</v>
      </c>
      <c r="F41">
        <f>SUMIFS('Calibrated parameters'!$F$4:$F$175,'Calibrated parameters'!$A$4:$A$175,$A$40,'Calibrated parameters'!$B$4:$B$175,$A41,'Calibrated parameters'!$C$4:$C$175,F$40)</f>
        <v>3.0544350803083891</v>
      </c>
      <c r="G41">
        <f>SUMIFS('Calibrated parameters'!$F$4:$F$175,'Calibrated parameters'!$A$4:$A$175,$A$40,'Calibrated parameters'!$B$4:$B$175,$A41,'Calibrated parameters'!$C$4:$C$175,G$40)</f>
        <v>3.054435611517615</v>
      </c>
      <c r="H41">
        <f>SUMIFS('Calibrated parameters'!$F$4:$F$175,'Calibrated parameters'!$A$4:$A$175,$A$40,'Calibrated parameters'!$B$4:$B$175,$A41,'Calibrated parameters'!$C$4:$C$175,H$40)</f>
        <v>3.0544366628523272</v>
      </c>
      <c r="I41">
        <f>SUMIFS('Calibrated parameters'!$F$4:$F$175,'Calibrated parameters'!$A$4:$A$175,$A$40,'Calibrated parameters'!$B$4:$B$175,$A41,'Calibrated parameters'!$C$4:$C$175,I$40)</f>
        <v>3.0544386591821788</v>
      </c>
      <c r="J41">
        <f>SUMIFS('Calibrated parameters'!$F$4:$F$175,'Calibrated parameters'!$A$4:$A$175,$A$40,'Calibrated parameters'!$B$4:$B$175,$A41,'Calibrated parameters'!$C$4:$C$175,J$40)</f>
        <v>3.0544451981500789</v>
      </c>
      <c r="K41">
        <f>SUMIFS('Calibrated parameters'!$F$4:$F$175,'Calibrated parameters'!$A$4:$A$175,$A$40,'Calibrated parameters'!$B$4:$B$175,$A41,'Calibrated parameters'!$C$4:$C$175,K$40)</f>
        <v>3.0544553233128169</v>
      </c>
      <c r="L41">
        <f>SUMIFS('Calibrated parameters'!$F$4:$F$175,'Calibrated parameters'!$A$4:$A$175,$A$40,'Calibrated parameters'!$B$4:$B$175,$A41,'Calibrated parameters'!$C$4:$C$175,L$40)</f>
        <v>3.0544749699141112</v>
      </c>
      <c r="M41">
        <f>SUMIFS('Calibrated parameters'!$F$4:$F$175,'Calibrated parameters'!$A$4:$A$175,$A$40,'Calibrated parameters'!$B$4:$B$175,$A41,'Calibrated parameters'!$C$4:$C$175,M$40)</f>
        <v>3.136395728692472</v>
      </c>
      <c r="N41">
        <f>SUMIFS('Calibrated parameters'!$F$4:$F$175,'Calibrated parameters'!$A$4:$A$175,$A$40,'Calibrated parameters'!$B$4:$B$175,$A41,'Calibrated parameters'!$C$4:$C$175,N$40)</f>
        <v>3.0790681717691339</v>
      </c>
      <c r="O41">
        <f>SUMIFS('Calibrated parameters'!$F$4:$F$175,'Calibrated parameters'!$A$4:$A$175,$A$40,'Calibrated parameters'!$B$4:$B$175,$A41,'Calibrated parameters'!$C$4:$C$175,O$40)</f>
        <v>3.205060854848202</v>
      </c>
      <c r="P41">
        <f>SUMIFS('Calibrated parameters'!$F$4:$F$175,'Calibrated parameters'!$A$4:$A$175,$A$40,'Calibrated parameters'!$B$4:$B$175,$A41,'Calibrated parameters'!$C$4:$C$175,P$40)</f>
        <v>3.185992918005788</v>
      </c>
      <c r="Q41">
        <f>SUMIFS('Calibrated parameters'!$F$4:$F$175,'Calibrated parameters'!$A$4:$A$175,$A$40,'Calibrated parameters'!$B$4:$B$175,$A41,'Calibrated parameters'!$C$4:$C$175,Q$40)</f>
        <v>2.889834051729764</v>
      </c>
      <c r="R41">
        <f>SUMIFS('Calibrated parameters'!$F$4:$F$175,'Calibrated parameters'!$A$4:$A$175,$A$40,'Calibrated parameters'!$B$4:$B$175,$A41,'Calibrated parameters'!$C$4:$C$175,R$40)</f>
        <v>2.9351098043419199</v>
      </c>
      <c r="S41">
        <f>SUMIFS('Calibrated parameters'!$F$4:$F$175,'Calibrated parameters'!$A$4:$A$175,$A$40,'Calibrated parameters'!$B$4:$B$175,$A41,'Calibrated parameters'!$C$4:$C$175,S$40)</f>
        <v>3.0677269273660861</v>
      </c>
      <c r="T41">
        <f>SUMIFS('Calibrated parameters'!$F$4:$F$175,'Calibrated parameters'!$A$4:$A$175,$A$40,'Calibrated parameters'!$B$4:$B$175,$A41,'Calibrated parameters'!$C$4:$C$175,T$40)</f>
        <v>3.1874060051023219</v>
      </c>
      <c r="U41">
        <f>SUMIFS('Calibrated parameters'!$F$4:$F$175,'Calibrated parameters'!$A$4:$A$175,$A$40,'Calibrated parameters'!$B$4:$B$175,$A41,'Calibrated parameters'!$C$4:$C$175,U$40)</f>
        <v>3.263541037409547</v>
      </c>
      <c r="V41">
        <f>SUMIFS('Calibrated parameters'!$F$4:$F$175,'Calibrated parameters'!$A$4:$A$175,$A$40,'Calibrated parameters'!$B$4:$B$175,$A41,'Calibrated parameters'!$C$4:$C$175,V$40)</f>
        <v>3.3398121947080388</v>
      </c>
      <c r="W41">
        <f>SUMIFS('Calibrated parameters'!$F$4:$F$175,'Calibrated parameters'!$A$4:$A$175,$A$40,'Calibrated parameters'!$B$4:$B$175,$A41,'Calibrated parameters'!$C$4:$C$175,W$40)</f>
        <v>3.5231910146599592</v>
      </c>
      <c r="X41">
        <f>SUMIFS('Calibrated parameters'!$F$4:$F$175,'Calibrated parameters'!$A$4:$A$175,$A$40,'Calibrated parameters'!$B$4:$B$175,$A41,'Calibrated parameters'!$C$4:$C$175,X$40)</f>
        <v>3.5392892593140459</v>
      </c>
      <c r="Y41">
        <f>SUMIFS('Calibrated parameters'!$F$4:$F$175,'Calibrated parameters'!$A$4:$A$175,$A$40,'Calibrated parameters'!$B$4:$B$175,$A41,'Calibrated parameters'!$C$4:$C$175,Y$40)</f>
        <v>3.7457600637855921</v>
      </c>
      <c r="Z41">
        <f>SUMIFS('Calibrated parameters'!$F$4:$F$175,'Calibrated parameters'!$A$4:$A$175,$A$40,'Calibrated parameters'!$B$4:$B$175,$A41,'Calibrated parameters'!$C$4:$C$175,Z$40)</f>
        <v>4.0461371583731598</v>
      </c>
      <c r="AA41">
        <f>SUMIFS('Calibrated parameters'!$F$4:$F$175,'Calibrated parameters'!$A$4:$A$175,$A$40,'Calibrated parameters'!$B$4:$B$175,$A41,'Calibrated parameters'!$C$4:$C$175,AA$40)</f>
        <v>4.1890126123008109</v>
      </c>
      <c r="AB41">
        <f>SUMIFS('Calibrated parameters'!$F$4:$F$175,'Calibrated parameters'!$A$4:$A$175,$A$40,'Calibrated parameters'!$B$4:$B$175,$A41,'Calibrated parameters'!$C$4:$C$175,AB$40)</f>
        <v>4.401432171059624</v>
      </c>
      <c r="AC41">
        <f>SUMIFS('Calibrated parameters'!$F$4:$F$175,'Calibrated parameters'!$A$4:$A$175,$A$40,'Calibrated parameters'!$B$4:$B$175,$A41,'Calibrated parameters'!$C$4:$C$175,AC$40)</f>
        <v>4.6286448595077676</v>
      </c>
      <c r="AD41">
        <f>SUMIFS('Calibrated parameters'!$F$4:$F$175,'Calibrated parameters'!$A$4:$A$175,$A$40,'Calibrated parameters'!$B$4:$B$175,$A41,'Calibrated parameters'!$C$4:$C$175,AD$40)</f>
        <v>4.8257695046360487</v>
      </c>
      <c r="AE41">
        <f>SUMIFS('Calibrated parameters'!$F$4:$F$175,'Calibrated parameters'!$A$4:$A$175,$A$40,'Calibrated parameters'!$B$4:$B$175,$A41,'Calibrated parameters'!$C$4:$C$175,AE$40)</f>
        <v>5.3421177621162244</v>
      </c>
      <c r="AF41">
        <f>SUMIFS('Calibrated parameters'!$F$4:$F$175,'Calibrated parameters'!$A$4:$A$175,$A$40,'Calibrated parameters'!$B$4:$B$175,$A41,'Calibrated parameters'!$C$4:$C$175,AF$40)</f>
        <v>5.2788415792163166</v>
      </c>
      <c r="AG41">
        <f>SUMIFS('Calibrated parameters'!$F$4:$F$175,'Calibrated parameters'!$A$4:$A$175,$A$40,'Calibrated parameters'!$B$4:$B$175,$A41,'Calibrated parameters'!$C$4:$C$175,AG$40)</f>
        <v>5.3784475065670154</v>
      </c>
      <c r="AH41">
        <f>SUMIFS('Calibrated parameters'!$F$4:$F$175,'Calibrated parameters'!$A$4:$A$175,$A$40,'Calibrated parameters'!$B$4:$B$175,$A41,'Calibrated parameters'!$C$4:$C$175,AH$40)</f>
        <v>5.5231642258452363</v>
      </c>
      <c r="AI41">
        <f>SUMIFS('Calibrated parameters'!$F$4:$F$175,'Calibrated parameters'!$A$4:$A$175,$A$40,'Calibrated parameters'!$B$4:$B$175,$A41,'Calibrated parameters'!$C$4:$C$175,AI$40)</f>
        <v>5.6564433653390358</v>
      </c>
      <c r="AJ41">
        <f>SUMIFS('Calibrated parameters'!$F$4:$F$175,'Calibrated parameters'!$A$4:$A$175,$A$40,'Calibrated parameters'!$B$4:$B$175,$A41,'Calibrated parameters'!$C$4:$C$175,AJ$40)</f>
        <v>5.6611983410400466</v>
      </c>
      <c r="AK41">
        <f>SUMIFS('Calibrated parameters'!$F$4:$F$175,'Calibrated parameters'!$A$4:$A$175,$A$40,'Calibrated parameters'!$B$4:$B$175,$A41,'Calibrated parameters'!$C$4:$C$175,AK$40)</f>
        <v>5.6259413732133634</v>
      </c>
      <c r="AL41">
        <f>SUMIFS('Calibrated parameters'!$F$4:$F$175,'Calibrated parameters'!$A$4:$A$175,$A$40,'Calibrated parameters'!$B$4:$B$175,$A41,'Calibrated parameters'!$C$4:$C$175,AL$40)</f>
        <v>5.6387348810984763</v>
      </c>
      <c r="AM41">
        <f>SUMIFS('Calibrated parameters'!$F$4:$F$175,'Calibrated parameters'!$A$4:$A$175,$A$40,'Calibrated parameters'!$B$4:$B$175,$A41,'Calibrated parameters'!$C$4:$C$175,AM$40)</f>
        <v>6.0741711989709373</v>
      </c>
      <c r="AN41">
        <f>SUMIFS('Calibrated parameters'!$F$4:$F$175,'Calibrated parameters'!$A$4:$A$175,$A$40,'Calibrated parameters'!$B$4:$B$175,$A41,'Calibrated parameters'!$C$4:$C$175,AN$40)</f>
        <v>6.1543287076812669</v>
      </c>
      <c r="AO41">
        <f>SUMIFS('Calibrated parameters'!$F$4:$F$175,'Calibrated parameters'!$A$4:$A$175,$A$40,'Calibrated parameters'!$B$4:$B$175,$A41,'Calibrated parameters'!$C$4:$C$175,AO$40)</f>
        <v>6.2593885600093229</v>
      </c>
      <c r="AP41">
        <f>SUMIFS('Calibrated parameters'!$F$4:$F$175,'Calibrated parameters'!$A$4:$A$175,$A$40,'Calibrated parameters'!$B$4:$B$175,$A41,'Calibrated parameters'!$C$4:$C$175,AP$40)</f>
        <v>6.0530443452648948</v>
      </c>
      <c r="AQ41">
        <f>SUMIFS('Calibrated parameters'!$F$4:$F$175,'Calibrated parameters'!$A$4:$A$175,$A$40,'Calibrated parameters'!$B$4:$B$175,$A41,'Calibrated parameters'!$C$4:$C$175,AQ$40)</f>
        <v>5.6918311657191332</v>
      </c>
      <c r="AR41">
        <f>SUMIFS('Calibrated parameters'!$F$4:$F$175,'Calibrated parameters'!$A$4:$A$175,$A$40,'Calibrated parameters'!$B$4:$B$175,$A41,'Calibrated parameters'!$C$4:$C$175,AR$40)</f>
        <v>5.6183676259912687</v>
      </c>
      <c r="AS41">
        <f>SUMIFS('Calibrated parameters'!$F$4:$F$175,'Calibrated parameters'!$A$4:$A$175,$A$40,'Calibrated parameters'!$B$4:$B$175,$A41,'Calibrated parameters'!$C$4:$C$175,AS$40)</f>
        <v>5.5919818349086796</v>
      </c>
      <c r="AT41">
        <f>SUMIFS('Calibrated parameters'!$F$4:$F$175,'Calibrated parameters'!$A$4:$A$175,$A$40,'Calibrated parameters'!$B$4:$B$175,$A41,'Calibrated parameters'!$C$4:$C$175,AT$40)</f>
        <v>5.0968029886014614</v>
      </c>
      <c r="AU41">
        <f>SUMIFS('Calibrated parameters'!$F$4:$F$175,'Calibrated parameters'!$A$4:$A$175,$A$40,'Calibrated parameters'!$B$4:$B$175,$A41,'Calibrated parameters'!$C$4:$C$175,AU$40)</f>
        <v>5.3656552486278777</v>
      </c>
      <c r="AV41">
        <f>SUMIFS('Calibrated parameters'!$F$4:$F$175,'Calibrated parameters'!$A$4:$A$175,$A$40,'Calibrated parameters'!$B$4:$B$175,$A41,'Calibrated parameters'!$C$4:$C$175,AV$40)</f>
        <v>5.6970700004680834</v>
      </c>
      <c r="AW41">
        <f>SUMIFS('Calibrated parameters'!$F$4:$F$175,'Calibrated parameters'!$A$4:$A$175,$A$40,'Calibrated parameters'!$B$4:$B$175,$A41,'Calibrated parameters'!$C$4:$C$175,AW$40)</f>
        <v>5.2623366186135394</v>
      </c>
      <c r="AX41">
        <f>SUMIFS('Calibrated parameters'!$F$4:$F$175,'Calibrated parameters'!$A$4:$A$175,$A$40,'Calibrated parameters'!$B$4:$B$175,$A41,'Calibrated parameters'!$C$4:$C$175,AX$40)</f>
        <v>5.2808151600339039</v>
      </c>
      <c r="AY41">
        <f>SUMIFS('Calibrated parameters'!$F$4:$F$175,'Calibrated parameters'!$A$4:$A$175,$A$40,'Calibrated parameters'!$B$4:$B$175,$A41,'Calibrated parameters'!$C$4:$C$175,AY$40)</f>
        <v>5.589428674091927</v>
      </c>
      <c r="AZ41">
        <f>SUMIFS('Calibrated parameters'!$F$4:$F$175,'Calibrated parameters'!$A$4:$A$175,$A$40,'Calibrated parameters'!$B$4:$B$175,$A41,'Calibrated parameters'!$C$4:$C$175,AZ$40)</f>
        <v>5.7320288193080664</v>
      </c>
      <c r="BA41">
        <f>SUMIFS('Calibrated parameters'!$F$4:$F$175,'Calibrated parameters'!$A$4:$A$175,$A$40,'Calibrated parameters'!$B$4:$B$175,$A41,'Calibrated parameters'!$C$4:$C$175,BA$40)</f>
        <v>5.9476973314662578</v>
      </c>
      <c r="BB41">
        <f>SUMIFS('Calibrated parameters'!$F$4:$F$175,'Calibrated parameters'!$A$4:$A$175,$A$40,'Calibrated parameters'!$B$4:$B$175,$A41,'Calibrated parameters'!$C$4:$C$175,BB$40)</f>
        <v>6.2260156196726539</v>
      </c>
      <c r="BC41">
        <f>SUMIFS('Calibrated parameters'!$F$4:$F$175,'Calibrated parameters'!$A$4:$A$175,$A$40,'Calibrated parameters'!$B$4:$B$175,$A41,'Calibrated parameters'!$C$4:$C$175,BC$40)</f>
        <v>6.4978535617770454</v>
      </c>
      <c r="BD41">
        <f>SUMIFS('Calibrated parameters'!$F$4:$F$175,'Calibrated parameters'!$A$4:$A$175,$A$40,'Calibrated parameters'!$B$4:$B$175,$A41,'Calibrated parameters'!$C$4:$C$175,BD$40)</f>
        <v>6.7210684711688904</v>
      </c>
      <c r="BE41">
        <f>SUMIFS('Calibrated parameters'!$F$4:$F$175,'Calibrated parameters'!$A$4:$A$175,$A$40,'Calibrated parameters'!$B$4:$B$175,$A41,'Calibrated parameters'!$C$4:$C$175,BE$40)</f>
        <v>6.754836209317876</v>
      </c>
      <c r="BF41">
        <f>SUMIFS('Calibrated parameters'!$F$4:$F$175,'Calibrated parameters'!$A$4:$A$175,$A$40,'Calibrated parameters'!$B$4:$B$175,$A41,'Calibrated parameters'!$C$4:$C$175,BF$40)</f>
        <v>7.4002262254089652</v>
      </c>
      <c r="BG41">
        <f>SUMIFS('Calibrated parameters'!$F$4:$F$175,'Calibrated parameters'!$A$4:$A$175,$A$40,'Calibrated parameters'!$B$4:$B$175,$A41,'Calibrated parameters'!$C$4:$C$175,BG$40)</f>
        <v>7.4076016231817761</v>
      </c>
      <c r="BH41">
        <f>SUMIFS('Calibrated parameters'!$F$4:$F$175,'Calibrated parameters'!$A$4:$A$175,$A$40,'Calibrated parameters'!$B$4:$B$175,$A41,'Calibrated parameters'!$C$4:$C$175,BH$40)</f>
        <v>7.378109687312425</v>
      </c>
      <c r="BI41">
        <f>SUMIFS('Calibrated parameters'!$F$4:$F$175,'Calibrated parameters'!$A$4:$A$175,$A$40,'Calibrated parameters'!$B$4:$B$175,$A41,'Calibrated parameters'!$C$4:$C$175,BI$40)</f>
        <v>7.5410303025174024</v>
      </c>
      <c r="BJ41">
        <f>SUMIFS('Calibrated parameters'!$F$4:$F$175,'Calibrated parameters'!$A$4:$A$175,$A$40,'Calibrated parameters'!$B$4:$B$175,$A41,'Calibrated parameters'!$C$4:$C$175,BJ$40)</f>
        <v>7.5795005924254282</v>
      </c>
      <c r="BK41">
        <f>SUMIFS('Calibrated parameters'!$F$4:$F$175,'Calibrated parameters'!$A$4:$A$175,$A$40,'Calibrated parameters'!$B$4:$B$175,$A41,'Calibrated parameters'!$C$4:$C$175,BK$40)</f>
        <v>7.5795018741077378</v>
      </c>
      <c r="BL41">
        <f>SUMIFS('Calibrated parameters'!$F$4:$F$175,'Calibrated parameters'!$A$4:$A$175,$A$40,'Calibrated parameters'!$B$4:$B$175,$A41,'Calibrated parameters'!$C$4:$C$175,BL$40)</f>
        <v>7.6100917281322502</v>
      </c>
      <c r="BM41">
        <f>SUMIFS('Calibrated parameters'!$F$4:$F$175,'Calibrated parameters'!$A$4:$A$175,$A$40,'Calibrated parameters'!$B$4:$B$175,$A41,'Calibrated parameters'!$C$4:$C$175,BM$40)</f>
        <v>7.6409936209596721</v>
      </c>
      <c r="BN41">
        <f>SUMIFS('Calibrated parameters'!$F$4:$F$175,'Calibrated parameters'!$A$4:$A$175,$A$40,'Calibrated parameters'!$B$4:$B$175,$A41,'Calibrated parameters'!$C$4:$C$175,BN$40)</f>
        <v>7.6722969584562906</v>
      </c>
      <c r="BO41">
        <f>SUMIFS('Calibrated parameters'!$F$4:$F$175,'Calibrated parameters'!$A$4:$A$175,$A$40,'Calibrated parameters'!$B$4:$B$175,$A41,'Calibrated parameters'!$C$4:$C$175,BO$40)</f>
        <v>7.7041260189926799</v>
      </c>
      <c r="BP41">
        <f>SUMIFS('Calibrated parameters'!$F$4:$F$175,'Calibrated parameters'!$A$4:$A$175,$A$40,'Calibrated parameters'!$B$4:$B$175,$A41,'Calibrated parameters'!$C$4:$C$175,BP$40)</f>
        <v>7.7027277441570856</v>
      </c>
      <c r="BQ41">
        <f>SUMIFS('Calibrated parameters'!$F$4:$F$175,'Calibrated parameters'!$A$4:$A$175,$A$40,'Calibrated parameters'!$B$4:$B$175,$A41,'Calibrated parameters'!$C$4:$C$175,BQ$40)</f>
        <v>7.7013198654884762</v>
      </c>
      <c r="BR41">
        <f>SUMIFS('Calibrated parameters'!$F$4:$F$175,'Calibrated parameters'!$A$4:$A$175,$A$40,'Calibrated parameters'!$B$4:$B$175,$A41,'Calibrated parameters'!$C$4:$C$175,BR$40)</f>
        <v>7.6999132860988677</v>
      </c>
      <c r="BS41">
        <f>SUMIFS('Calibrated parameters'!$F$4:$F$175,'Calibrated parameters'!$A$4:$A$175,$A$40,'Calibrated parameters'!$B$4:$B$175,$A41,'Calibrated parameters'!$C$4:$C$175,BS$40)</f>
        <v>7.6985080155685814</v>
      </c>
      <c r="BT41">
        <f>SUMIFS('Calibrated parameters'!$F$4:$F$175,'Calibrated parameters'!$A$4:$A$175,$A$40,'Calibrated parameters'!$B$4:$B$175,$A41,'Calibrated parameters'!$C$4:$C$175,BT$40)</f>
        <v>7.6971040219724429</v>
      </c>
      <c r="BU41">
        <f>SUMIFS('Calibrated parameters'!$F$4:$F$175,'Calibrated parameters'!$A$4:$A$175,$A$40,'Calibrated parameters'!$B$4:$B$175,$A41,'Calibrated parameters'!$C$4:$C$175,BU$40)</f>
        <v>7.6957012778014722</v>
      </c>
      <c r="BV41">
        <f>SUMIFS('Calibrated parameters'!$F$4:$F$175,'Calibrated parameters'!$A$4:$A$175,$A$40,'Calibrated parameters'!$B$4:$B$175,$A41,'Calibrated parameters'!$C$4:$C$175,BV$40)</f>
        <v>7.6942997904327957</v>
      </c>
      <c r="BW41">
        <f>SUMIFS('Calibrated parameters'!$F$4:$F$175,'Calibrated parameters'!$A$4:$A$175,$A$40,'Calibrated parameters'!$B$4:$B$175,$A41,'Calibrated parameters'!$C$4:$C$175,BW$40)</f>
        <v>7.6928995392728892</v>
      </c>
      <c r="BX41">
        <f>SUMIFS('Calibrated parameters'!$F$4:$F$175,'Calibrated parameters'!$A$4:$A$175,$A$40,'Calibrated parameters'!$B$4:$B$175,$A41,'Calibrated parameters'!$C$4:$C$175,BX$40)</f>
        <v>7.6915004899005996</v>
      </c>
      <c r="BY41">
        <f>SUMIFS('Calibrated parameters'!$F$4:$F$175,'Calibrated parameters'!$A$4:$A$175,$A$40,'Calibrated parameters'!$B$4:$B$175,$A41,'Calibrated parameters'!$C$4:$C$175,BY$40)</f>
        <v>7.6901026439320406</v>
      </c>
      <c r="BZ41">
        <f>SUMIFS('Calibrated parameters'!$F$4:$F$175,'Calibrated parameters'!$A$4:$A$175,$A$40,'Calibrated parameters'!$B$4:$B$175,$A41,'Calibrated parameters'!$C$4:$C$175,BZ$40)</f>
        <v>7.6943049854647318</v>
      </c>
      <c r="CA41">
        <f>SUMIFS('Calibrated parameters'!$F$4:$F$175,'Calibrated parameters'!$A$4:$A$175,$A$40,'Calibrated parameters'!$B$4:$B$175,$A41,'Calibrated parameters'!$C$4:$C$175,CA$40)</f>
        <v>7.6985279351819056</v>
      </c>
      <c r="CB41">
        <f>SUMIFS('Calibrated parameters'!$F$4:$F$175,'Calibrated parameters'!$A$4:$A$175,$A$40,'Calibrated parameters'!$B$4:$B$175,$A41,'Calibrated parameters'!$C$4:$C$175,CB$40)</f>
        <v>7.7027624669716754</v>
      </c>
      <c r="CC41">
        <f>SUMIFS('Calibrated parameters'!$F$4:$F$175,'Calibrated parameters'!$A$4:$A$175,$A$40,'Calibrated parameters'!$B$4:$B$175,$A41,'Calibrated parameters'!$C$4:$C$175,CC$40)</f>
        <v>7.7070090059466976</v>
      </c>
      <c r="CD41">
        <f>SUMIFS('Calibrated parameters'!$F$4:$F$175,'Calibrated parameters'!$A$4:$A$175,$A$40,'Calibrated parameters'!$B$4:$B$175,$A41,'Calibrated parameters'!$C$4:$C$175,CD$40)</f>
        <v>7.7112680695103739</v>
      </c>
      <c r="CE41">
        <f>SUMIFS('Calibrated parameters'!$F$4:$F$175,'Calibrated parameters'!$A$4:$A$175,$A$40,'Calibrated parameters'!$B$4:$B$175,$A41,'Calibrated parameters'!$C$4:$C$175,CE$40)</f>
        <v>7.715540185296156</v>
      </c>
      <c r="CF41">
        <f>SUMIFS('Calibrated parameters'!$F$4:$F$175,'Calibrated parameters'!$A$4:$A$175,$A$40,'Calibrated parameters'!$B$4:$B$175,$A41,'Calibrated parameters'!$C$4:$C$175,CF$40)</f>
        <v>7.71982591950621</v>
      </c>
      <c r="CG41">
        <f>SUMIFS('Calibrated parameters'!$F$4:$F$175,'Calibrated parameters'!$A$4:$A$175,$A$40,'Calibrated parameters'!$B$4:$B$175,$A41,'Calibrated parameters'!$C$4:$C$175,CG$40)</f>
        <v>7.7241258699039568</v>
      </c>
      <c r="CH41">
        <f>SUMIFS('Calibrated parameters'!$F$4:$F$175,'Calibrated parameters'!$A$4:$A$175,$A$40,'Calibrated parameters'!$B$4:$B$175,$A41,'Calibrated parameters'!$C$4:$C$175,CH$40)</f>
        <v>7.7284406659913056</v>
      </c>
      <c r="CI41">
        <f>SUMIFS('Calibrated parameters'!$F$4:$F$175,'Calibrated parameters'!$A$4:$A$175,$A$40,'Calibrated parameters'!$B$4:$B$175,$A41,'Calibrated parameters'!$C$4:$C$175,CI$40)</f>
        <v>7.7327825831181007</v>
      </c>
    </row>
    <row r="42" spans="1:87" x14ac:dyDescent="0.25">
      <c r="A42" t="s">
        <v>41</v>
      </c>
      <c r="B42">
        <f>0</f>
        <v>0</v>
      </c>
      <c r="C42">
        <f>0</f>
        <v>0</v>
      </c>
      <c r="D42">
        <f>0</f>
        <v>0</v>
      </c>
      <c r="E42">
        <f>0</f>
        <v>0</v>
      </c>
      <c r="F42">
        <f>0</f>
        <v>0</v>
      </c>
      <c r="G42">
        <f>0</f>
        <v>0</v>
      </c>
      <c r="H42">
        <f>0</f>
        <v>0</v>
      </c>
      <c r="I42">
        <f>0</f>
        <v>0</v>
      </c>
      <c r="J42">
        <f>0</f>
        <v>0</v>
      </c>
      <c r="K42">
        <f>0</f>
        <v>0</v>
      </c>
      <c r="L42">
        <f>0</f>
        <v>0</v>
      </c>
      <c r="M42">
        <f>0</f>
        <v>0</v>
      </c>
      <c r="N42">
        <f>0</f>
        <v>0</v>
      </c>
      <c r="O42">
        <f>0</f>
        <v>0</v>
      </c>
      <c r="P42">
        <f>0</f>
        <v>0</v>
      </c>
      <c r="Q42">
        <f>0</f>
        <v>0</v>
      </c>
      <c r="R42">
        <f>0</f>
        <v>0</v>
      </c>
      <c r="S42">
        <f>0</f>
        <v>0</v>
      </c>
      <c r="T42">
        <f>0</f>
        <v>0</v>
      </c>
      <c r="U42">
        <f>0</f>
        <v>0</v>
      </c>
      <c r="V42">
        <f>0</f>
        <v>0</v>
      </c>
      <c r="W42">
        <f>0</f>
        <v>0</v>
      </c>
      <c r="X42">
        <f>0</f>
        <v>0</v>
      </c>
      <c r="Y42">
        <f>0</f>
        <v>0</v>
      </c>
      <c r="Z42">
        <f>0</f>
        <v>0</v>
      </c>
      <c r="AA42">
        <f>0</f>
        <v>0</v>
      </c>
      <c r="AB42">
        <f>0</f>
        <v>0</v>
      </c>
      <c r="AC42">
        <f>0</f>
        <v>0</v>
      </c>
      <c r="AD42">
        <f>0</f>
        <v>0</v>
      </c>
      <c r="AE42">
        <f>0</f>
        <v>0</v>
      </c>
      <c r="AF42">
        <f>0</f>
        <v>0</v>
      </c>
      <c r="AG42">
        <f>0</f>
        <v>0</v>
      </c>
      <c r="AH42">
        <f>0</f>
        <v>0</v>
      </c>
      <c r="AI42">
        <f>0</f>
        <v>0</v>
      </c>
      <c r="AJ42">
        <f>0</f>
        <v>0</v>
      </c>
      <c r="AK42">
        <f>0</f>
        <v>0</v>
      </c>
      <c r="AL42">
        <f>0</f>
        <v>0</v>
      </c>
      <c r="AM42">
        <f>0</f>
        <v>0</v>
      </c>
      <c r="AN42">
        <f>0</f>
        <v>0</v>
      </c>
      <c r="AO42">
        <f>0</f>
        <v>0</v>
      </c>
      <c r="AP42">
        <f>0</f>
        <v>0</v>
      </c>
      <c r="AQ42">
        <f>0</f>
        <v>0</v>
      </c>
      <c r="AR42">
        <f>0</f>
        <v>0</v>
      </c>
      <c r="AS42">
        <f>0</f>
        <v>0</v>
      </c>
      <c r="AT42">
        <f>0</f>
        <v>0</v>
      </c>
      <c r="AU42">
        <f>0</f>
        <v>0</v>
      </c>
      <c r="AV42">
        <f>0</f>
        <v>0</v>
      </c>
      <c r="AW42">
        <f>0</f>
        <v>0</v>
      </c>
      <c r="AX42">
        <f>0</f>
        <v>0</v>
      </c>
      <c r="AY42">
        <f>0</f>
        <v>0</v>
      </c>
      <c r="AZ42">
        <f>0</f>
        <v>0</v>
      </c>
      <c r="BA42">
        <f>0</f>
        <v>0</v>
      </c>
      <c r="BB42">
        <f>0</f>
        <v>0</v>
      </c>
      <c r="BC42">
        <f>0</f>
        <v>0</v>
      </c>
      <c r="BD42">
        <f>0</f>
        <v>0</v>
      </c>
      <c r="BE42">
        <f>0</f>
        <v>0</v>
      </c>
      <c r="BF42">
        <f>0</f>
        <v>0</v>
      </c>
      <c r="BG42">
        <f>0</f>
        <v>0</v>
      </c>
      <c r="BH42">
        <f>0</f>
        <v>0</v>
      </c>
      <c r="BI42">
        <f>0</f>
        <v>0</v>
      </c>
      <c r="BJ42">
        <f>0</f>
        <v>0</v>
      </c>
      <c r="BK42">
        <f>0</f>
        <v>0</v>
      </c>
      <c r="BL42">
        <f>0</f>
        <v>0</v>
      </c>
      <c r="BM42">
        <f>0</f>
        <v>0</v>
      </c>
      <c r="BN42">
        <f>0</f>
        <v>0</v>
      </c>
      <c r="BO42">
        <f>0</f>
        <v>0</v>
      </c>
      <c r="BP42">
        <f>0</f>
        <v>0</v>
      </c>
      <c r="BQ42">
        <f>0</f>
        <v>0</v>
      </c>
      <c r="BR42">
        <f>0</f>
        <v>0</v>
      </c>
      <c r="BS42">
        <f>0</f>
        <v>0</v>
      </c>
      <c r="BT42">
        <f>0</f>
        <v>0</v>
      </c>
      <c r="BU42">
        <f>0</f>
        <v>0</v>
      </c>
      <c r="BV42">
        <f>0</f>
        <v>0</v>
      </c>
      <c r="BW42">
        <f>0</f>
        <v>0</v>
      </c>
      <c r="BX42">
        <f>0</f>
        <v>0</v>
      </c>
      <c r="BY42">
        <f>0</f>
        <v>0</v>
      </c>
      <c r="BZ42">
        <f>0</f>
        <v>0</v>
      </c>
      <c r="CA42">
        <f>0</f>
        <v>0</v>
      </c>
      <c r="CB42">
        <f>0</f>
        <v>0</v>
      </c>
      <c r="CC42">
        <f>0</f>
        <v>0</v>
      </c>
      <c r="CD42">
        <f>0</f>
        <v>0</v>
      </c>
      <c r="CE42">
        <f>0</f>
        <v>0</v>
      </c>
      <c r="CF42">
        <f>0</f>
        <v>0</v>
      </c>
      <c r="CG42">
        <f>0</f>
        <v>0</v>
      </c>
      <c r="CH42">
        <f>0</f>
        <v>0</v>
      </c>
      <c r="CI42">
        <f>0</f>
        <v>0</v>
      </c>
    </row>
    <row r="43" spans="1:87" x14ac:dyDescent="0.25">
      <c r="A43" t="s">
        <v>43</v>
      </c>
      <c r="B43">
        <f>0</f>
        <v>0</v>
      </c>
      <c r="C43">
        <f>0</f>
        <v>0</v>
      </c>
      <c r="D43">
        <f>0</f>
        <v>0</v>
      </c>
      <c r="E43">
        <f>0</f>
        <v>0</v>
      </c>
      <c r="F43">
        <f>0</f>
        <v>0</v>
      </c>
      <c r="G43">
        <f>0</f>
        <v>0</v>
      </c>
      <c r="H43">
        <f>0</f>
        <v>0</v>
      </c>
      <c r="I43">
        <f>0</f>
        <v>0</v>
      </c>
      <c r="J43">
        <f>0</f>
        <v>0</v>
      </c>
      <c r="K43">
        <f>0</f>
        <v>0</v>
      </c>
      <c r="L43">
        <f>0</f>
        <v>0</v>
      </c>
      <c r="M43">
        <f>0</f>
        <v>0</v>
      </c>
      <c r="N43">
        <f>0</f>
        <v>0</v>
      </c>
      <c r="O43">
        <f>0</f>
        <v>0</v>
      </c>
      <c r="P43">
        <f>0</f>
        <v>0</v>
      </c>
      <c r="Q43">
        <f>0</f>
        <v>0</v>
      </c>
      <c r="R43">
        <f>0</f>
        <v>0</v>
      </c>
      <c r="S43">
        <f>0</f>
        <v>0</v>
      </c>
      <c r="T43">
        <f>0</f>
        <v>0</v>
      </c>
      <c r="U43">
        <f>0</f>
        <v>0</v>
      </c>
      <c r="V43">
        <f>0</f>
        <v>0</v>
      </c>
      <c r="W43">
        <f>0</f>
        <v>0</v>
      </c>
      <c r="X43">
        <f>0</f>
        <v>0</v>
      </c>
      <c r="Y43">
        <f>0</f>
        <v>0</v>
      </c>
      <c r="Z43">
        <f>0</f>
        <v>0</v>
      </c>
      <c r="AA43">
        <f>0</f>
        <v>0</v>
      </c>
      <c r="AB43">
        <f>0</f>
        <v>0</v>
      </c>
      <c r="AC43">
        <f>0</f>
        <v>0</v>
      </c>
      <c r="AD43">
        <f>0</f>
        <v>0</v>
      </c>
      <c r="AE43">
        <f>0</f>
        <v>0</v>
      </c>
      <c r="AF43">
        <f>0</f>
        <v>0</v>
      </c>
      <c r="AG43">
        <f>0</f>
        <v>0</v>
      </c>
      <c r="AH43">
        <f>0</f>
        <v>0</v>
      </c>
      <c r="AI43">
        <f>0</f>
        <v>0</v>
      </c>
      <c r="AJ43">
        <f>0</f>
        <v>0</v>
      </c>
      <c r="AK43">
        <f>0</f>
        <v>0</v>
      </c>
      <c r="AL43">
        <f>0</f>
        <v>0</v>
      </c>
      <c r="AM43">
        <f>0</f>
        <v>0</v>
      </c>
      <c r="AN43">
        <f>0</f>
        <v>0</v>
      </c>
      <c r="AO43">
        <f>0</f>
        <v>0</v>
      </c>
      <c r="AP43">
        <f>0</f>
        <v>0</v>
      </c>
      <c r="AQ43">
        <f>0</f>
        <v>0</v>
      </c>
      <c r="AR43">
        <f>0</f>
        <v>0</v>
      </c>
      <c r="AS43">
        <f>0</f>
        <v>0</v>
      </c>
      <c r="AT43">
        <f>0</f>
        <v>0</v>
      </c>
      <c r="AU43">
        <f>0</f>
        <v>0</v>
      </c>
      <c r="AV43">
        <f>0</f>
        <v>0</v>
      </c>
      <c r="AW43">
        <f>0</f>
        <v>0</v>
      </c>
      <c r="AX43">
        <f>0</f>
        <v>0</v>
      </c>
      <c r="AY43">
        <f>0</f>
        <v>0</v>
      </c>
      <c r="AZ43">
        <f>0</f>
        <v>0</v>
      </c>
      <c r="BA43">
        <f>0</f>
        <v>0</v>
      </c>
      <c r="BB43">
        <f>0</f>
        <v>0</v>
      </c>
      <c r="BC43">
        <f>0</f>
        <v>0</v>
      </c>
      <c r="BD43">
        <f>0</f>
        <v>0</v>
      </c>
      <c r="BE43">
        <f>0</f>
        <v>0</v>
      </c>
      <c r="BF43">
        <f>0</f>
        <v>0</v>
      </c>
      <c r="BG43">
        <f>0</f>
        <v>0</v>
      </c>
      <c r="BH43">
        <f>0</f>
        <v>0</v>
      </c>
      <c r="BI43">
        <f>0</f>
        <v>0</v>
      </c>
      <c r="BJ43">
        <f>0</f>
        <v>0</v>
      </c>
      <c r="BK43">
        <f>0</f>
        <v>0</v>
      </c>
      <c r="BL43">
        <f>0</f>
        <v>0</v>
      </c>
      <c r="BM43">
        <f>0</f>
        <v>0</v>
      </c>
      <c r="BN43">
        <f>0</f>
        <v>0</v>
      </c>
      <c r="BO43">
        <f>0</f>
        <v>0</v>
      </c>
      <c r="BP43">
        <f>0</f>
        <v>0</v>
      </c>
      <c r="BQ43">
        <f>0</f>
        <v>0</v>
      </c>
      <c r="BR43">
        <f>0</f>
        <v>0</v>
      </c>
      <c r="BS43">
        <f>0</f>
        <v>0</v>
      </c>
      <c r="BT43">
        <f>0</f>
        <v>0</v>
      </c>
      <c r="BU43">
        <f>0</f>
        <v>0</v>
      </c>
      <c r="BV43">
        <f>0</f>
        <v>0</v>
      </c>
      <c r="BW43">
        <f>0</f>
        <v>0</v>
      </c>
      <c r="BX43">
        <f>0</f>
        <v>0</v>
      </c>
      <c r="BY43">
        <f>0</f>
        <v>0</v>
      </c>
      <c r="BZ43">
        <f>0</f>
        <v>0</v>
      </c>
      <c r="CA43">
        <f>0</f>
        <v>0</v>
      </c>
      <c r="CB43">
        <f>0</f>
        <v>0</v>
      </c>
      <c r="CC43">
        <f>0</f>
        <v>0</v>
      </c>
      <c r="CD43">
        <f>0</f>
        <v>0</v>
      </c>
      <c r="CE43">
        <f>0</f>
        <v>0</v>
      </c>
      <c r="CF43">
        <f>0</f>
        <v>0</v>
      </c>
      <c r="CG43">
        <f>0</f>
        <v>0</v>
      </c>
      <c r="CH43">
        <f>0</f>
        <v>0</v>
      </c>
      <c r="CI43">
        <f>0</f>
        <v>0</v>
      </c>
    </row>
    <row r="44" spans="1:87" x14ac:dyDescent="0.25">
      <c r="A44" t="s">
        <v>44</v>
      </c>
      <c r="B44">
        <f>0</f>
        <v>0</v>
      </c>
      <c r="C44">
        <f>0</f>
        <v>0</v>
      </c>
      <c r="D44">
        <f>0</f>
        <v>0</v>
      </c>
      <c r="E44">
        <f>0</f>
        <v>0</v>
      </c>
      <c r="F44">
        <f>0</f>
        <v>0</v>
      </c>
      <c r="G44">
        <f>0</f>
        <v>0</v>
      </c>
      <c r="H44">
        <f>0</f>
        <v>0</v>
      </c>
      <c r="I44">
        <f>0</f>
        <v>0</v>
      </c>
      <c r="J44">
        <f>0</f>
        <v>0</v>
      </c>
      <c r="K44">
        <f>0</f>
        <v>0</v>
      </c>
      <c r="L44">
        <f>0</f>
        <v>0</v>
      </c>
      <c r="M44">
        <f>0</f>
        <v>0</v>
      </c>
      <c r="N44">
        <f>0</f>
        <v>0</v>
      </c>
      <c r="O44">
        <f>0</f>
        <v>0</v>
      </c>
      <c r="P44">
        <f>0</f>
        <v>0</v>
      </c>
      <c r="Q44">
        <f>0</f>
        <v>0</v>
      </c>
      <c r="R44">
        <f>0</f>
        <v>0</v>
      </c>
      <c r="S44">
        <f>0</f>
        <v>0</v>
      </c>
      <c r="T44">
        <f>0</f>
        <v>0</v>
      </c>
      <c r="U44">
        <f>0</f>
        <v>0</v>
      </c>
      <c r="V44">
        <f>0</f>
        <v>0</v>
      </c>
      <c r="W44">
        <f>0</f>
        <v>0</v>
      </c>
      <c r="X44">
        <f>0</f>
        <v>0</v>
      </c>
      <c r="Y44">
        <f>0</f>
        <v>0</v>
      </c>
      <c r="Z44">
        <f>0</f>
        <v>0</v>
      </c>
      <c r="AA44">
        <f>0</f>
        <v>0</v>
      </c>
      <c r="AB44">
        <f>0</f>
        <v>0</v>
      </c>
      <c r="AC44">
        <f>0</f>
        <v>0</v>
      </c>
      <c r="AD44">
        <f>0</f>
        <v>0</v>
      </c>
      <c r="AE44">
        <f>0</f>
        <v>0</v>
      </c>
      <c r="AF44">
        <f>0</f>
        <v>0</v>
      </c>
      <c r="AG44">
        <f>0</f>
        <v>0</v>
      </c>
      <c r="AH44">
        <f>0</f>
        <v>0</v>
      </c>
      <c r="AI44">
        <f>0</f>
        <v>0</v>
      </c>
      <c r="AJ44">
        <f>0</f>
        <v>0</v>
      </c>
      <c r="AK44">
        <f>0</f>
        <v>0</v>
      </c>
      <c r="AL44">
        <f>0</f>
        <v>0</v>
      </c>
      <c r="AM44">
        <f>0</f>
        <v>0</v>
      </c>
      <c r="AN44">
        <f>0</f>
        <v>0</v>
      </c>
      <c r="AO44">
        <f>0</f>
        <v>0</v>
      </c>
      <c r="AP44">
        <f>0</f>
        <v>0</v>
      </c>
      <c r="AQ44">
        <f>0</f>
        <v>0</v>
      </c>
      <c r="AR44">
        <f>0</f>
        <v>0</v>
      </c>
      <c r="AS44">
        <f>0</f>
        <v>0</v>
      </c>
      <c r="AT44">
        <f>0</f>
        <v>0</v>
      </c>
      <c r="AU44">
        <f>0</f>
        <v>0</v>
      </c>
      <c r="AV44">
        <f>0</f>
        <v>0</v>
      </c>
      <c r="AW44">
        <f>0</f>
        <v>0</v>
      </c>
      <c r="AX44">
        <f>0</f>
        <v>0</v>
      </c>
      <c r="AY44">
        <f>0</f>
        <v>0</v>
      </c>
      <c r="AZ44">
        <f>0</f>
        <v>0</v>
      </c>
      <c r="BA44">
        <f>0</f>
        <v>0</v>
      </c>
      <c r="BB44">
        <f>0</f>
        <v>0</v>
      </c>
      <c r="BC44">
        <f>0</f>
        <v>0</v>
      </c>
      <c r="BD44">
        <f>0</f>
        <v>0</v>
      </c>
      <c r="BE44">
        <f>0</f>
        <v>0</v>
      </c>
      <c r="BF44">
        <f>0</f>
        <v>0</v>
      </c>
      <c r="BG44">
        <f>0</f>
        <v>0</v>
      </c>
      <c r="BH44">
        <f>0</f>
        <v>0</v>
      </c>
      <c r="BI44">
        <f>0</f>
        <v>0</v>
      </c>
      <c r="BJ44">
        <f>0</f>
        <v>0</v>
      </c>
      <c r="BK44">
        <f>0</f>
        <v>0</v>
      </c>
      <c r="BL44">
        <f>0</f>
        <v>0</v>
      </c>
      <c r="BM44">
        <f>0</f>
        <v>0</v>
      </c>
      <c r="BN44">
        <f>0</f>
        <v>0</v>
      </c>
      <c r="BO44">
        <f>0</f>
        <v>0</v>
      </c>
      <c r="BP44">
        <f>0</f>
        <v>0</v>
      </c>
      <c r="BQ44">
        <f>0</f>
        <v>0</v>
      </c>
      <c r="BR44">
        <f>0</f>
        <v>0</v>
      </c>
      <c r="BS44">
        <f>0</f>
        <v>0</v>
      </c>
      <c r="BT44">
        <f>0</f>
        <v>0</v>
      </c>
      <c r="BU44">
        <f>0</f>
        <v>0</v>
      </c>
      <c r="BV44">
        <f>0</f>
        <v>0</v>
      </c>
      <c r="BW44">
        <f>0</f>
        <v>0</v>
      </c>
      <c r="BX44">
        <f>0</f>
        <v>0</v>
      </c>
      <c r="BY44">
        <f>0</f>
        <v>0</v>
      </c>
      <c r="BZ44">
        <f>0</f>
        <v>0</v>
      </c>
      <c r="CA44">
        <f>0</f>
        <v>0</v>
      </c>
      <c r="CB44">
        <f>0</f>
        <v>0</v>
      </c>
      <c r="CC44">
        <f>0</f>
        <v>0</v>
      </c>
      <c r="CD44">
        <f>0</f>
        <v>0</v>
      </c>
      <c r="CE44">
        <f>0</f>
        <v>0</v>
      </c>
      <c r="CF44">
        <f>0</f>
        <v>0</v>
      </c>
      <c r="CG44">
        <f>0</f>
        <v>0</v>
      </c>
      <c r="CH44">
        <f>0</f>
        <v>0</v>
      </c>
      <c r="CI44">
        <f>0</f>
        <v>0</v>
      </c>
    </row>
    <row r="45" spans="1:87" x14ac:dyDescent="0.25">
      <c r="A45" t="s">
        <v>45</v>
      </c>
      <c r="B45">
        <f>0</f>
        <v>0</v>
      </c>
      <c r="C45">
        <f>0</f>
        <v>0</v>
      </c>
      <c r="D45">
        <f>0</f>
        <v>0</v>
      </c>
      <c r="E45">
        <f>0</f>
        <v>0</v>
      </c>
      <c r="F45">
        <f>0</f>
        <v>0</v>
      </c>
      <c r="G45">
        <f>0</f>
        <v>0</v>
      </c>
      <c r="H45">
        <f>0</f>
        <v>0</v>
      </c>
      <c r="I45">
        <f>0</f>
        <v>0</v>
      </c>
      <c r="J45">
        <f>0</f>
        <v>0</v>
      </c>
      <c r="K45">
        <f>0</f>
        <v>0</v>
      </c>
      <c r="L45">
        <f>0</f>
        <v>0</v>
      </c>
      <c r="M45">
        <f>0</f>
        <v>0</v>
      </c>
      <c r="N45">
        <f>0</f>
        <v>0</v>
      </c>
      <c r="O45">
        <f>0</f>
        <v>0</v>
      </c>
      <c r="P45">
        <f>0</f>
        <v>0</v>
      </c>
      <c r="Q45">
        <f>0</f>
        <v>0</v>
      </c>
      <c r="R45">
        <f>0</f>
        <v>0</v>
      </c>
      <c r="S45">
        <f>0</f>
        <v>0</v>
      </c>
      <c r="T45">
        <f>0</f>
        <v>0</v>
      </c>
      <c r="U45">
        <f>0</f>
        <v>0</v>
      </c>
      <c r="V45">
        <f>0</f>
        <v>0</v>
      </c>
      <c r="W45">
        <f>0</f>
        <v>0</v>
      </c>
      <c r="X45">
        <f>0</f>
        <v>0</v>
      </c>
      <c r="Y45">
        <f>0</f>
        <v>0</v>
      </c>
      <c r="Z45">
        <f>0</f>
        <v>0</v>
      </c>
      <c r="AA45">
        <f>0</f>
        <v>0</v>
      </c>
      <c r="AB45">
        <f>0</f>
        <v>0</v>
      </c>
      <c r="AC45">
        <f>0</f>
        <v>0</v>
      </c>
      <c r="AD45">
        <f>0</f>
        <v>0</v>
      </c>
      <c r="AE45">
        <f>0</f>
        <v>0</v>
      </c>
      <c r="AF45">
        <f>0</f>
        <v>0</v>
      </c>
      <c r="AG45">
        <f>0</f>
        <v>0</v>
      </c>
      <c r="AH45">
        <f>0</f>
        <v>0</v>
      </c>
      <c r="AI45">
        <f>0</f>
        <v>0</v>
      </c>
      <c r="AJ45">
        <f>0</f>
        <v>0</v>
      </c>
      <c r="AK45">
        <f>0</f>
        <v>0</v>
      </c>
      <c r="AL45">
        <f>0</f>
        <v>0</v>
      </c>
      <c r="AM45">
        <f>0</f>
        <v>0</v>
      </c>
      <c r="AN45">
        <f>0</f>
        <v>0</v>
      </c>
      <c r="AO45">
        <f>0</f>
        <v>0</v>
      </c>
      <c r="AP45">
        <f>0</f>
        <v>0</v>
      </c>
      <c r="AQ45">
        <f>0</f>
        <v>0</v>
      </c>
      <c r="AR45">
        <f>0</f>
        <v>0</v>
      </c>
      <c r="AS45">
        <f>0</f>
        <v>0</v>
      </c>
      <c r="AT45">
        <f>0</f>
        <v>0</v>
      </c>
      <c r="AU45">
        <f>0</f>
        <v>0</v>
      </c>
      <c r="AV45">
        <f>0</f>
        <v>0</v>
      </c>
      <c r="AW45">
        <f>0</f>
        <v>0</v>
      </c>
      <c r="AX45">
        <f>0</f>
        <v>0</v>
      </c>
      <c r="AY45">
        <f>0</f>
        <v>0</v>
      </c>
      <c r="AZ45">
        <f>0</f>
        <v>0</v>
      </c>
      <c r="BA45">
        <f>0</f>
        <v>0</v>
      </c>
      <c r="BB45">
        <f>0</f>
        <v>0</v>
      </c>
      <c r="BC45">
        <f>0</f>
        <v>0</v>
      </c>
      <c r="BD45">
        <f>0</f>
        <v>0</v>
      </c>
      <c r="BE45">
        <f>0</f>
        <v>0</v>
      </c>
      <c r="BF45">
        <f>0</f>
        <v>0</v>
      </c>
      <c r="BG45">
        <f>0</f>
        <v>0</v>
      </c>
      <c r="BH45">
        <f>0</f>
        <v>0</v>
      </c>
      <c r="BI45">
        <f>0</f>
        <v>0</v>
      </c>
      <c r="BJ45">
        <f>0</f>
        <v>0</v>
      </c>
      <c r="BK45">
        <f>0</f>
        <v>0</v>
      </c>
      <c r="BL45">
        <f>0</f>
        <v>0</v>
      </c>
      <c r="BM45">
        <f>0</f>
        <v>0</v>
      </c>
      <c r="BN45">
        <f>0</f>
        <v>0</v>
      </c>
      <c r="BO45">
        <f>0</f>
        <v>0</v>
      </c>
      <c r="BP45">
        <f>0</f>
        <v>0</v>
      </c>
      <c r="BQ45">
        <f>0</f>
        <v>0</v>
      </c>
      <c r="BR45">
        <f>0</f>
        <v>0</v>
      </c>
      <c r="BS45">
        <f>0</f>
        <v>0</v>
      </c>
      <c r="BT45">
        <f>0</f>
        <v>0</v>
      </c>
      <c r="BU45">
        <f>0</f>
        <v>0</v>
      </c>
      <c r="BV45">
        <f>0</f>
        <v>0</v>
      </c>
      <c r="BW45">
        <f>0</f>
        <v>0</v>
      </c>
      <c r="BX45">
        <f>0</f>
        <v>0</v>
      </c>
      <c r="BY45">
        <f>0</f>
        <v>0</v>
      </c>
      <c r="BZ45">
        <f>0</f>
        <v>0</v>
      </c>
      <c r="CA45">
        <f>0</f>
        <v>0</v>
      </c>
      <c r="CB45">
        <f>0</f>
        <v>0</v>
      </c>
      <c r="CC45">
        <f>0</f>
        <v>0</v>
      </c>
      <c r="CD45">
        <f>0</f>
        <v>0</v>
      </c>
      <c r="CE45">
        <f>0</f>
        <v>0</v>
      </c>
      <c r="CF45">
        <f>0</f>
        <v>0</v>
      </c>
      <c r="CG45">
        <f>0</f>
        <v>0</v>
      </c>
      <c r="CH45">
        <f>0</f>
        <v>0</v>
      </c>
      <c r="CI45">
        <f>0</f>
        <v>0</v>
      </c>
    </row>
    <row r="46" spans="1:87" x14ac:dyDescent="0.25">
      <c r="A46" t="s">
        <v>46</v>
      </c>
      <c r="B46">
        <f>0</f>
        <v>0</v>
      </c>
      <c r="C46">
        <f>0</f>
        <v>0</v>
      </c>
      <c r="D46">
        <f>0</f>
        <v>0</v>
      </c>
      <c r="E46">
        <f>0</f>
        <v>0</v>
      </c>
      <c r="F46">
        <f>0</f>
        <v>0</v>
      </c>
      <c r="G46">
        <f>0</f>
        <v>0</v>
      </c>
      <c r="H46">
        <f>0</f>
        <v>0</v>
      </c>
      <c r="I46">
        <f>0</f>
        <v>0</v>
      </c>
      <c r="J46">
        <f>0</f>
        <v>0</v>
      </c>
      <c r="K46">
        <f>0</f>
        <v>0</v>
      </c>
      <c r="L46">
        <f>0</f>
        <v>0</v>
      </c>
      <c r="M46">
        <f>0</f>
        <v>0</v>
      </c>
      <c r="N46">
        <f>0</f>
        <v>0</v>
      </c>
      <c r="O46">
        <f>0</f>
        <v>0</v>
      </c>
      <c r="P46">
        <f>0</f>
        <v>0</v>
      </c>
      <c r="Q46">
        <f>0</f>
        <v>0</v>
      </c>
      <c r="R46">
        <f>0</f>
        <v>0</v>
      </c>
      <c r="S46">
        <f>0</f>
        <v>0</v>
      </c>
      <c r="T46">
        <f>0</f>
        <v>0</v>
      </c>
      <c r="U46">
        <f>0</f>
        <v>0</v>
      </c>
      <c r="V46">
        <f>0</f>
        <v>0</v>
      </c>
      <c r="W46">
        <f>0</f>
        <v>0</v>
      </c>
      <c r="X46">
        <f>0</f>
        <v>0</v>
      </c>
      <c r="Y46">
        <f>0</f>
        <v>0</v>
      </c>
      <c r="Z46">
        <f>0</f>
        <v>0</v>
      </c>
      <c r="AA46">
        <f>0</f>
        <v>0</v>
      </c>
      <c r="AB46">
        <f>0</f>
        <v>0</v>
      </c>
      <c r="AC46">
        <f>0</f>
        <v>0</v>
      </c>
      <c r="AD46">
        <f>0</f>
        <v>0</v>
      </c>
      <c r="AE46">
        <f>0</f>
        <v>0</v>
      </c>
      <c r="AF46">
        <f>0</f>
        <v>0</v>
      </c>
      <c r="AG46">
        <f>0</f>
        <v>0</v>
      </c>
      <c r="AH46">
        <f>0</f>
        <v>0</v>
      </c>
      <c r="AI46">
        <f>0</f>
        <v>0</v>
      </c>
      <c r="AJ46">
        <f>0</f>
        <v>0</v>
      </c>
      <c r="AK46">
        <f>0</f>
        <v>0</v>
      </c>
      <c r="AL46">
        <f>0</f>
        <v>0</v>
      </c>
      <c r="AM46">
        <f>0</f>
        <v>0</v>
      </c>
      <c r="AN46">
        <f>0</f>
        <v>0</v>
      </c>
      <c r="AO46">
        <f>0</f>
        <v>0</v>
      </c>
      <c r="AP46">
        <f>0</f>
        <v>0</v>
      </c>
      <c r="AQ46">
        <f>0</f>
        <v>0</v>
      </c>
      <c r="AR46">
        <f>0</f>
        <v>0</v>
      </c>
      <c r="AS46">
        <f>0</f>
        <v>0</v>
      </c>
      <c r="AT46">
        <f>0</f>
        <v>0</v>
      </c>
      <c r="AU46">
        <f>0</f>
        <v>0</v>
      </c>
      <c r="AV46">
        <f>0</f>
        <v>0</v>
      </c>
      <c r="AW46">
        <f>0</f>
        <v>0</v>
      </c>
      <c r="AX46">
        <f>0</f>
        <v>0</v>
      </c>
      <c r="AY46">
        <f>0</f>
        <v>0</v>
      </c>
      <c r="AZ46">
        <f>0</f>
        <v>0</v>
      </c>
      <c r="BA46">
        <f>0</f>
        <v>0</v>
      </c>
      <c r="BB46">
        <f>0</f>
        <v>0</v>
      </c>
      <c r="BC46">
        <f>0</f>
        <v>0</v>
      </c>
      <c r="BD46">
        <f>0</f>
        <v>0</v>
      </c>
      <c r="BE46">
        <f>0</f>
        <v>0</v>
      </c>
      <c r="BF46">
        <f>0</f>
        <v>0</v>
      </c>
      <c r="BG46">
        <f>0</f>
        <v>0</v>
      </c>
      <c r="BH46">
        <f>0</f>
        <v>0</v>
      </c>
      <c r="BI46">
        <f>0</f>
        <v>0</v>
      </c>
      <c r="BJ46">
        <f>0</f>
        <v>0</v>
      </c>
      <c r="BK46">
        <f>0</f>
        <v>0</v>
      </c>
      <c r="BL46">
        <f>0</f>
        <v>0</v>
      </c>
      <c r="BM46">
        <f>0</f>
        <v>0</v>
      </c>
      <c r="BN46">
        <f>0</f>
        <v>0</v>
      </c>
      <c r="BO46">
        <f>0</f>
        <v>0</v>
      </c>
      <c r="BP46">
        <f>0</f>
        <v>0</v>
      </c>
      <c r="BQ46">
        <f>0</f>
        <v>0</v>
      </c>
      <c r="BR46">
        <f>0</f>
        <v>0</v>
      </c>
      <c r="BS46">
        <f>0</f>
        <v>0</v>
      </c>
      <c r="BT46">
        <f>0</f>
        <v>0</v>
      </c>
      <c r="BU46">
        <f>0</f>
        <v>0</v>
      </c>
      <c r="BV46">
        <f>0</f>
        <v>0</v>
      </c>
      <c r="BW46">
        <f>0</f>
        <v>0</v>
      </c>
      <c r="BX46">
        <f>0</f>
        <v>0</v>
      </c>
      <c r="BY46">
        <f>0</f>
        <v>0</v>
      </c>
      <c r="BZ46">
        <f>0</f>
        <v>0</v>
      </c>
      <c r="CA46">
        <f>0</f>
        <v>0</v>
      </c>
      <c r="CB46">
        <f>0</f>
        <v>0</v>
      </c>
      <c r="CC46">
        <f>0</f>
        <v>0</v>
      </c>
      <c r="CD46">
        <f>0</f>
        <v>0</v>
      </c>
      <c r="CE46">
        <f>0</f>
        <v>0</v>
      </c>
      <c r="CF46">
        <f>0</f>
        <v>0</v>
      </c>
      <c r="CG46">
        <f>0</f>
        <v>0</v>
      </c>
      <c r="CH46">
        <f>0</f>
        <v>0</v>
      </c>
      <c r="CI46">
        <f>0</f>
        <v>0</v>
      </c>
    </row>
    <row r="48" spans="1:87" x14ac:dyDescent="0.25">
      <c r="A48" s="1" t="s">
        <v>69</v>
      </c>
    </row>
    <row r="49" spans="1:87" x14ac:dyDescent="0.25">
      <c r="A49" s="1" t="s">
        <v>60</v>
      </c>
      <c r="B49" s="1">
        <v>1965</v>
      </c>
      <c r="C49" s="1">
        <v>1966</v>
      </c>
      <c r="D49" s="1">
        <v>1967</v>
      </c>
      <c r="E49" s="1">
        <v>1968</v>
      </c>
      <c r="F49" s="1">
        <v>1969</v>
      </c>
      <c r="G49" s="1">
        <v>1970</v>
      </c>
      <c r="H49" s="1">
        <v>1971</v>
      </c>
      <c r="I49" s="1">
        <v>1972</v>
      </c>
      <c r="J49" s="1">
        <v>1973</v>
      </c>
      <c r="K49" s="1">
        <v>1974</v>
      </c>
      <c r="L49" s="1">
        <v>1975</v>
      </c>
      <c r="M49" s="1">
        <v>1976</v>
      </c>
      <c r="N49" s="1">
        <v>1977</v>
      </c>
      <c r="O49" s="1">
        <v>1978</v>
      </c>
      <c r="P49" s="1">
        <v>1979</v>
      </c>
      <c r="Q49" s="1">
        <v>1980</v>
      </c>
      <c r="R49" s="1">
        <v>1981</v>
      </c>
      <c r="S49" s="1">
        <v>1982</v>
      </c>
      <c r="T49" s="1">
        <v>1983</v>
      </c>
      <c r="U49" s="1">
        <v>1984</v>
      </c>
      <c r="V49" s="1">
        <v>1985</v>
      </c>
      <c r="W49" s="1">
        <v>1986</v>
      </c>
      <c r="X49" s="1">
        <v>1987</v>
      </c>
      <c r="Y49" s="1">
        <v>1988</v>
      </c>
      <c r="Z49" s="1">
        <v>1989</v>
      </c>
      <c r="AA49" s="1">
        <v>1990</v>
      </c>
      <c r="AB49" s="1">
        <v>1991</v>
      </c>
      <c r="AC49" s="1">
        <v>1992</v>
      </c>
      <c r="AD49" s="1">
        <v>1993</v>
      </c>
      <c r="AE49" s="1">
        <v>1994</v>
      </c>
      <c r="AF49" s="1">
        <v>1995</v>
      </c>
      <c r="AG49" s="1">
        <v>1996</v>
      </c>
      <c r="AH49" s="1">
        <v>1997</v>
      </c>
      <c r="AI49" s="1">
        <v>1998</v>
      </c>
      <c r="AJ49" s="1">
        <v>1999</v>
      </c>
      <c r="AK49" s="1">
        <v>2000</v>
      </c>
      <c r="AL49" s="1">
        <v>2001</v>
      </c>
      <c r="AM49" s="1">
        <v>2002</v>
      </c>
      <c r="AN49" s="1">
        <v>2003</v>
      </c>
      <c r="AO49" s="1">
        <v>2004</v>
      </c>
      <c r="AP49" s="1">
        <v>2005</v>
      </c>
      <c r="AQ49" s="1">
        <v>2006</v>
      </c>
      <c r="AR49" s="1">
        <v>2007</v>
      </c>
      <c r="AS49" s="1">
        <v>2008</v>
      </c>
      <c r="AT49" s="1">
        <v>2009</v>
      </c>
      <c r="AU49" s="1">
        <v>2010</v>
      </c>
      <c r="AV49" s="1">
        <v>2011</v>
      </c>
      <c r="AW49" s="1">
        <v>2012</v>
      </c>
      <c r="AX49" s="1">
        <v>2013</v>
      </c>
      <c r="AY49" s="1">
        <v>2014</v>
      </c>
      <c r="AZ49" s="1">
        <v>2015</v>
      </c>
      <c r="BA49" s="1">
        <v>2016</v>
      </c>
      <c r="BB49" s="1">
        <v>2017</v>
      </c>
      <c r="BC49" s="1">
        <v>2018</v>
      </c>
      <c r="BD49" s="1">
        <v>2019</v>
      </c>
      <c r="BE49" s="1">
        <v>2020</v>
      </c>
      <c r="BF49" s="1">
        <v>2021</v>
      </c>
      <c r="BG49" s="1">
        <v>2022</v>
      </c>
      <c r="BH49" s="1">
        <v>2023</v>
      </c>
      <c r="BI49" s="1">
        <v>2024</v>
      </c>
      <c r="BJ49" s="1">
        <v>2025</v>
      </c>
      <c r="BK49" s="1">
        <v>2026</v>
      </c>
      <c r="BL49" s="1">
        <v>2027</v>
      </c>
      <c r="BM49" s="1">
        <v>2028</v>
      </c>
      <c r="BN49" s="1">
        <v>2029</v>
      </c>
      <c r="BO49" s="1">
        <v>2030</v>
      </c>
      <c r="BP49" s="1">
        <v>2031</v>
      </c>
      <c r="BQ49" s="1">
        <v>2032</v>
      </c>
      <c r="BR49" s="1">
        <v>2033</v>
      </c>
      <c r="BS49" s="1">
        <v>2034</v>
      </c>
      <c r="BT49" s="1">
        <v>2035</v>
      </c>
      <c r="BU49" s="1">
        <v>2036</v>
      </c>
      <c r="BV49" s="1">
        <v>2037</v>
      </c>
      <c r="BW49" s="1">
        <v>2038</v>
      </c>
      <c r="BX49" s="1">
        <v>2039</v>
      </c>
      <c r="BY49" s="1">
        <v>2040</v>
      </c>
      <c r="BZ49" s="1">
        <v>2041</v>
      </c>
      <c r="CA49" s="1">
        <v>2042</v>
      </c>
      <c r="CB49" s="1">
        <v>2043</v>
      </c>
      <c r="CC49" s="1">
        <v>2044</v>
      </c>
      <c r="CD49" s="1">
        <v>2045</v>
      </c>
      <c r="CE49" s="1">
        <v>2046</v>
      </c>
      <c r="CF49" s="1">
        <v>2047</v>
      </c>
      <c r="CG49" s="1">
        <v>2048</v>
      </c>
      <c r="CH49" s="1">
        <v>2049</v>
      </c>
      <c r="CI49" s="1">
        <v>2050</v>
      </c>
    </row>
    <row r="50" spans="1:87" x14ac:dyDescent="0.25">
      <c r="A50" t="s">
        <v>39</v>
      </c>
      <c r="B50">
        <f>SUMIFS('Calibrated parameters'!$F$4:$F$175,'Calibrated parameters'!$A$4:$A$175,$A$49,'Calibrated parameters'!$B$4:$B$175,$A50,'Calibrated parameters'!$C$4:$C$175,B$49)</f>
        <v>6.2684780795034128E-24</v>
      </c>
      <c r="C50">
        <f>SUMIFS('Calibrated parameters'!$F$4:$F$175,'Calibrated parameters'!$A$4:$A$175,$A$49,'Calibrated parameters'!$B$4:$B$175,$A50,'Calibrated parameters'!$C$4:$C$175,C$49)</f>
        <v>6.2684780795034128E-24</v>
      </c>
      <c r="D50">
        <f>SUMIFS('Calibrated parameters'!$F$4:$F$175,'Calibrated parameters'!$A$4:$A$175,$A$49,'Calibrated parameters'!$B$4:$B$175,$A50,'Calibrated parameters'!$C$4:$C$175,D$49)</f>
        <v>6.2684780795034128E-24</v>
      </c>
      <c r="E50">
        <f>SUMIFS('Calibrated parameters'!$F$4:$F$175,'Calibrated parameters'!$A$4:$A$175,$A$49,'Calibrated parameters'!$B$4:$B$175,$A50,'Calibrated parameters'!$C$4:$C$175,E$49)</f>
        <v>6.2684780795034128E-24</v>
      </c>
      <c r="F50">
        <f>SUMIFS('Calibrated parameters'!$F$4:$F$175,'Calibrated parameters'!$A$4:$A$175,$A$49,'Calibrated parameters'!$B$4:$B$175,$A50,'Calibrated parameters'!$C$4:$C$175,F$49)</f>
        <v>6.2684780795034128E-24</v>
      </c>
      <c r="G50">
        <f>SUMIFS('Calibrated parameters'!$F$4:$F$175,'Calibrated parameters'!$A$4:$A$175,$A$49,'Calibrated parameters'!$B$4:$B$175,$A50,'Calibrated parameters'!$C$4:$C$175,G$49)</f>
        <v>6.2684780795034128E-24</v>
      </c>
      <c r="H50">
        <f>SUMIFS('Calibrated parameters'!$F$4:$F$175,'Calibrated parameters'!$A$4:$A$175,$A$49,'Calibrated parameters'!$B$4:$B$175,$A50,'Calibrated parameters'!$C$4:$C$175,H$49)</f>
        <v>6.2684780795034128E-24</v>
      </c>
      <c r="I50">
        <f>SUMIFS('Calibrated parameters'!$F$4:$F$175,'Calibrated parameters'!$A$4:$A$175,$A$49,'Calibrated parameters'!$B$4:$B$175,$A50,'Calibrated parameters'!$C$4:$C$175,I$49)</f>
        <v>6.2684780795034128E-24</v>
      </c>
      <c r="J50">
        <f>SUMIFS('Calibrated parameters'!$F$4:$F$175,'Calibrated parameters'!$A$4:$A$175,$A$49,'Calibrated parameters'!$B$4:$B$175,$A50,'Calibrated parameters'!$C$4:$C$175,J$49)</f>
        <v>6.2684780795034128E-24</v>
      </c>
      <c r="K50">
        <f>SUMIFS('Calibrated parameters'!$F$4:$F$175,'Calibrated parameters'!$A$4:$A$175,$A$49,'Calibrated parameters'!$B$4:$B$175,$A50,'Calibrated parameters'!$C$4:$C$175,K$49)</f>
        <v>6.2684780795034128E-24</v>
      </c>
      <c r="L50">
        <f>SUMIFS('Calibrated parameters'!$F$4:$F$175,'Calibrated parameters'!$A$4:$A$175,$A$49,'Calibrated parameters'!$B$4:$B$175,$A50,'Calibrated parameters'!$C$4:$C$175,L$49)</f>
        <v>6.2684780795034128E-24</v>
      </c>
      <c r="M50">
        <f>SUMIFS('Calibrated parameters'!$F$4:$F$175,'Calibrated parameters'!$A$4:$A$175,$A$49,'Calibrated parameters'!$B$4:$B$175,$A50,'Calibrated parameters'!$C$4:$C$175,M$49)</f>
        <v>6.2684780795034128E-24</v>
      </c>
      <c r="N50">
        <f>SUMIFS('Calibrated parameters'!$F$4:$F$175,'Calibrated parameters'!$A$4:$A$175,$A$49,'Calibrated parameters'!$B$4:$B$175,$A50,'Calibrated parameters'!$C$4:$C$175,N$49)</f>
        <v>6.2684780795034128E-24</v>
      </c>
      <c r="O50">
        <f>SUMIFS('Calibrated parameters'!$F$4:$F$175,'Calibrated parameters'!$A$4:$A$175,$A$49,'Calibrated parameters'!$B$4:$B$175,$A50,'Calibrated parameters'!$C$4:$C$175,O$49)</f>
        <v>6.2684780795034128E-24</v>
      </c>
      <c r="P50">
        <f>SUMIFS('Calibrated parameters'!$F$4:$F$175,'Calibrated parameters'!$A$4:$A$175,$A$49,'Calibrated parameters'!$B$4:$B$175,$A50,'Calibrated parameters'!$C$4:$C$175,P$49)</f>
        <v>6.2684780795034128E-24</v>
      </c>
      <c r="Q50">
        <f>SUMIFS('Calibrated parameters'!$F$4:$F$175,'Calibrated parameters'!$A$4:$A$175,$A$49,'Calibrated parameters'!$B$4:$B$175,$A50,'Calibrated parameters'!$C$4:$C$175,Q$49)</f>
        <v>6.2684780795034128E-24</v>
      </c>
      <c r="R50">
        <f>SUMIFS('Calibrated parameters'!$F$4:$F$175,'Calibrated parameters'!$A$4:$A$175,$A$49,'Calibrated parameters'!$B$4:$B$175,$A50,'Calibrated parameters'!$C$4:$C$175,R$49)</f>
        <v>6.2684780795034128E-24</v>
      </c>
      <c r="S50">
        <f>SUMIFS('Calibrated parameters'!$F$4:$F$175,'Calibrated parameters'!$A$4:$A$175,$A$49,'Calibrated parameters'!$B$4:$B$175,$A50,'Calibrated parameters'!$C$4:$C$175,S$49)</f>
        <v>6.2684780795034128E-24</v>
      </c>
      <c r="T50">
        <f>SUMIFS('Calibrated parameters'!$F$4:$F$175,'Calibrated parameters'!$A$4:$A$175,$A$49,'Calibrated parameters'!$B$4:$B$175,$A50,'Calibrated parameters'!$C$4:$C$175,T$49)</f>
        <v>6.2684780795034128E-24</v>
      </c>
      <c r="U50">
        <f>SUMIFS('Calibrated parameters'!$F$4:$F$175,'Calibrated parameters'!$A$4:$A$175,$A$49,'Calibrated parameters'!$B$4:$B$175,$A50,'Calibrated parameters'!$C$4:$C$175,U$49)</f>
        <v>6.2684780795034128E-24</v>
      </c>
      <c r="V50">
        <f>SUMIFS('Calibrated parameters'!$F$4:$F$175,'Calibrated parameters'!$A$4:$A$175,$A$49,'Calibrated parameters'!$B$4:$B$175,$A50,'Calibrated parameters'!$C$4:$C$175,V$49)</f>
        <v>6.2684780795034128E-24</v>
      </c>
      <c r="W50">
        <f>SUMIFS('Calibrated parameters'!$F$4:$F$175,'Calibrated parameters'!$A$4:$A$175,$A$49,'Calibrated parameters'!$B$4:$B$175,$A50,'Calibrated parameters'!$C$4:$C$175,W$49)</f>
        <v>6.2684780795034128E-24</v>
      </c>
      <c r="X50">
        <f>SUMIFS('Calibrated parameters'!$F$4:$F$175,'Calibrated parameters'!$A$4:$A$175,$A$49,'Calibrated parameters'!$B$4:$B$175,$A50,'Calibrated parameters'!$C$4:$C$175,X$49)</f>
        <v>6.2684780795034128E-24</v>
      </c>
      <c r="Y50">
        <f>SUMIFS('Calibrated parameters'!$F$4:$F$175,'Calibrated parameters'!$A$4:$A$175,$A$49,'Calibrated parameters'!$B$4:$B$175,$A50,'Calibrated parameters'!$C$4:$C$175,Y$49)</f>
        <v>6.2684780795034128E-24</v>
      </c>
      <c r="Z50">
        <f>SUMIFS('Calibrated parameters'!$F$4:$F$175,'Calibrated parameters'!$A$4:$A$175,$A$49,'Calibrated parameters'!$B$4:$B$175,$A50,'Calibrated parameters'!$C$4:$C$175,Z$49)</f>
        <v>6.2684780795034128E-24</v>
      </c>
      <c r="AA50">
        <f>SUMIFS('Calibrated parameters'!$F$4:$F$175,'Calibrated parameters'!$A$4:$A$175,$A$49,'Calibrated parameters'!$B$4:$B$175,$A50,'Calibrated parameters'!$C$4:$C$175,AA$49)</f>
        <v>6.2684780795034128E-24</v>
      </c>
      <c r="AB50">
        <f>SUMIFS('Calibrated parameters'!$F$4:$F$175,'Calibrated parameters'!$A$4:$A$175,$A$49,'Calibrated parameters'!$B$4:$B$175,$A50,'Calibrated parameters'!$C$4:$C$175,AB$49)</f>
        <v>6.2684780795034128E-24</v>
      </c>
      <c r="AC50">
        <f>SUMIFS('Calibrated parameters'!$F$4:$F$175,'Calibrated parameters'!$A$4:$A$175,$A$49,'Calibrated parameters'!$B$4:$B$175,$A50,'Calibrated parameters'!$C$4:$C$175,AC$49)</f>
        <v>6.2684780795034128E-24</v>
      </c>
      <c r="AD50">
        <f>SUMIFS('Calibrated parameters'!$F$4:$F$175,'Calibrated parameters'!$A$4:$A$175,$A$49,'Calibrated parameters'!$B$4:$B$175,$A50,'Calibrated parameters'!$C$4:$C$175,AD$49)</f>
        <v>6.2684780795034128E-24</v>
      </c>
      <c r="AE50">
        <f>SUMIFS('Calibrated parameters'!$F$4:$F$175,'Calibrated parameters'!$A$4:$A$175,$A$49,'Calibrated parameters'!$B$4:$B$175,$A50,'Calibrated parameters'!$C$4:$C$175,AE$49)</f>
        <v>6.2684780795034128E-24</v>
      </c>
      <c r="AF50">
        <f>SUMIFS('Calibrated parameters'!$F$4:$F$175,'Calibrated parameters'!$A$4:$A$175,$A$49,'Calibrated parameters'!$B$4:$B$175,$A50,'Calibrated parameters'!$C$4:$C$175,AF$49)</f>
        <v>6.2684780795034128E-24</v>
      </c>
      <c r="AG50">
        <f>SUMIFS('Calibrated parameters'!$F$4:$F$175,'Calibrated parameters'!$A$4:$A$175,$A$49,'Calibrated parameters'!$B$4:$B$175,$A50,'Calibrated parameters'!$C$4:$C$175,AG$49)</f>
        <v>6.2684780795034128E-24</v>
      </c>
      <c r="AH50">
        <f>SUMIFS('Calibrated parameters'!$F$4:$F$175,'Calibrated parameters'!$A$4:$A$175,$A$49,'Calibrated parameters'!$B$4:$B$175,$A50,'Calibrated parameters'!$C$4:$C$175,AH$49)</f>
        <v>6.2684780795034128E-24</v>
      </c>
      <c r="AI50">
        <f>SUMIFS('Calibrated parameters'!$F$4:$F$175,'Calibrated parameters'!$A$4:$A$175,$A$49,'Calibrated parameters'!$B$4:$B$175,$A50,'Calibrated parameters'!$C$4:$C$175,AI$49)</f>
        <v>6.2684780795034128E-24</v>
      </c>
      <c r="AJ50">
        <f>SUMIFS('Calibrated parameters'!$F$4:$F$175,'Calibrated parameters'!$A$4:$A$175,$A$49,'Calibrated parameters'!$B$4:$B$175,$A50,'Calibrated parameters'!$C$4:$C$175,AJ$49)</f>
        <v>6.2684780795034128E-24</v>
      </c>
      <c r="AK50">
        <f>SUMIFS('Calibrated parameters'!$F$4:$F$175,'Calibrated parameters'!$A$4:$A$175,$A$49,'Calibrated parameters'!$B$4:$B$175,$A50,'Calibrated parameters'!$C$4:$C$175,AK$49)</f>
        <v>6.2684780795034128E-24</v>
      </c>
      <c r="AL50">
        <f>SUMIFS('Calibrated parameters'!$F$4:$F$175,'Calibrated parameters'!$A$4:$A$175,$A$49,'Calibrated parameters'!$B$4:$B$175,$A50,'Calibrated parameters'!$C$4:$C$175,AL$49)</f>
        <v>6.2684780795034128E-24</v>
      </c>
      <c r="AM50">
        <f>SUMIFS('Calibrated parameters'!$F$4:$F$175,'Calibrated parameters'!$A$4:$A$175,$A$49,'Calibrated parameters'!$B$4:$B$175,$A50,'Calibrated parameters'!$C$4:$C$175,AM$49)</f>
        <v>6.2684780795034128E-24</v>
      </c>
      <c r="AN50">
        <f>SUMIFS('Calibrated parameters'!$F$4:$F$175,'Calibrated parameters'!$A$4:$A$175,$A$49,'Calibrated parameters'!$B$4:$B$175,$A50,'Calibrated parameters'!$C$4:$C$175,AN$49)</f>
        <v>6.2684780795034128E-24</v>
      </c>
      <c r="AO50">
        <f>SUMIFS('Calibrated parameters'!$F$4:$F$175,'Calibrated parameters'!$A$4:$A$175,$A$49,'Calibrated parameters'!$B$4:$B$175,$A50,'Calibrated parameters'!$C$4:$C$175,AO$49)</f>
        <v>6.2684780795034128E-24</v>
      </c>
      <c r="AP50">
        <f>SUMIFS('Calibrated parameters'!$F$4:$F$175,'Calibrated parameters'!$A$4:$A$175,$A$49,'Calibrated parameters'!$B$4:$B$175,$A50,'Calibrated parameters'!$C$4:$C$175,AP$49)</f>
        <v>6.2684780795034128E-24</v>
      </c>
      <c r="AQ50">
        <f>SUMIFS('Calibrated parameters'!$F$4:$F$175,'Calibrated parameters'!$A$4:$A$175,$A$49,'Calibrated parameters'!$B$4:$B$175,$A50,'Calibrated parameters'!$C$4:$C$175,AQ$49)</f>
        <v>6.2684780795034128E-24</v>
      </c>
      <c r="AR50">
        <f>SUMIFS('Calibrated parameters'!$F$4:$F$175,'Calibrated parameters'!$A$4:$A$175,$A$49,'Calibrated parameters'!$B$4:$B$175,$A50,'Calibrated parameters'!$C$4:$C$175,AR$49)</f>
        <v>6.2684780795034128E-24</v>
      </c>
      <c r="AS50">
        <f>SUMIFS('Calibrated parameters'!$F$4:$F$175,'Calibrated parameters'!$A$4:$A$175,$A$49,'Calibrated parameters'!$B$4:$B$175,$A50,'Calibrated parameters'!$C$4:$C$175,AS$49)</f>
        <v>6.2684780795034128E-24</v>
      </c>
      <c r="AT50">
        <f>SUMIFS('Calibrated parameters'!$F$4:$F$175,'Calibrated parameters'!$A$4:$A$175,$A$49,'Calibrated parameters'!$B$4:$B$175,$A50,'Calibrated parameters'!$C$4:$C$175,AT$49)</f>
        <v>6.2684780795034128E-24</v>
      </c>
      <c r="AU50">
        <f>SUMIFS('Calibrated parameters'!$F$4:$F$175,'Calibrated parameters'!$A$4:$A$175,$A$49,'Calibrated parameters'!$B$4:$B$175,$A50,'Calibrated parameters'!$C$4:$C$175,AU$49)</f>
        <v>6.2684780795034128E-24</v>
      </c>
      <c r="AV50">
        <f>SUMIFS('Calibrated parameters'!$F$4:$F$175,'Calibrated parameters'!$A$4:$A$175,$A$49,'Calibrated parameters'!$B$4:$B$175,$A50,'Calibrated parameters'!$C$4:$C$175,AV$49)</f>
        <v>6.2684780795034128E-24</v>
      </c>
      <c r="AW50">
        <f>SUMIFS('Calibrated parameters'!$F$4:$F$175,'Calibrated parameters'!$A$4:$A$175,$A$49,'Calibrated parameters'!$B$4:$B$175,$A50,'Calibrated parameters'!$C$4:$C$175,AW$49)</f>
        <v>6.2684780795034128E-24</v>
      </c>
      <c r="AX50">
        <f>SUMIFS('Calibrated parameters'!$F$4:$F$175,'Calibrated parameters'!$A$4:$A$175,$A$49,'Calibrated parameters'!$B$4:$B$175,$A50,'Calibrated parameters'!$C$4:$C$175,AX$49)</f>
        <v>6.2684780795034128E-24</v>
      </c>
      <c r="AY50">
        <f>SUMIFS('Calibrated parameters'!$F$4:$F$175,'Calibrated parameters'!$A$4:$A$175,$A$49,'Calibrated parameters'!$B$4:$B$175,$A50,'Calibrated parameters'!$C$4:$C$175,AY$49)</f>
        <v>6.2684780795034128E-24</v>
      </c>
      <c r="AZ50">
        <f>SUMIFS('Calibrated parameters'!$F$4:$F$175,'Calibrated parameters'!$A$4:$A$175,$A$49,'Calibrated parameters'!$B$4:$B$175,$A50,'Calibrated parameters'!$C$4:$C$175,AZ$49)</f>
        <v>6.2684780795034128E-24</v>
      </c>
      <c r="BA50">
        <f>SUMIFS('Calibrated parameters'!$F$4:$F$175,'Calibrated parameters'!$A$4:$A$175,$A$49,'Calibrated parameters'!$B$4:$B$175,$A50,'Calibrated parameters'!$C$4:$C$175,BA$49)</f>
        <v>6.2684780795034128E-24</v>
      </c>
      <c r="BB50">
        <f>SUMIFS('Calibrated parameters'!$F$4:$F$175,'Calibrated parameters'!$A$4:$A$175,$A$49,'Calibrated parameters'!$B$4:$B$175,$A50,'Calibrated parameters'!$C$4:$C$175,BB$49)</f>
        <v>6.2684780795034128E-24</v>
      </c>
      <c r="BC50">
        <f>SUMIFS('Calibrated parameters'!$F$4:$F$175,'Calibrated parameters'!$A$4:$A$175,$A$49,'Calibrated parameters'!$B$4:$B$175,$A50,'Calibrated parameters'!$C$4:$C$175,BC$49)</f>
        <v>6.2684780795034128E-24</v>
      </c>
      <c r="BD50">
        <f>SUMIFS('Calibrated parameters'!$F$4:$F$175,'Calibrated parameters'!$A$4:$A$175,$A$49,'Calibrated parameters'!$B$4:$B$175,$A50,'Calibrated parameters'!$C$4:$C$175,BD$49)</f>
        <v>6.2684780795034128E-24</v>
      </c>
      <c r="BE50">
        <f>SUMIFS('Calibrated parameters'!$F$4:$F$175,'Calibrated parameters'!$A$4:$A$175,$A$49,'Calibrated parameters'!$B$4:$B$175,$A50,'Calibrated parameters'!$C$4:$C$175,BE$49)</f>
        <v>6.2684780795034128E-24</v>
      </c>
      <c r="BF50">
        <f>SUMIFS('Calibrated parameters'!$F$4:$F$175,'Calibrated parameters'!$A$4:$A$175,$A$49,'Calibrated parameters'!$B$4:$B$175,$A50,'Calibrated parameters'!$C$4:$C$175,BF$49)</f>
        <v>6.2684780795034128E-24</v>
      </c>
      <c r="BG50">
        <f>SUMIFS('Calibrated parameters'!$F$4:$F$175,'Calibrated parameters'!$A$4:$A$175,$A$49,'Calibrated parameters'!$B$4:$B$175,$A50,'Calibrated parameters'!$C$4:$C$175,BG$49)</f>
        <v>6.2684780795034128E-24</v>
      </c>
      <c r="BH50">
        <f>SUMIFS('Calibrated parameters'!$F$4:$F$175,'Calibrated parameters'!$A$4:$A$175,$A$49,'Calibrated parameters'!$B$4:$B$175,$A50,'Calibrated parameters'!$C$4:$C$175,BH$49)</f>
        <v>6.2684780795034128E-24</v>
      </c>
      <c r="BI50">
        <f>SUMIFS('Calibrated parameters'!$F$4:$F$175,'Calibrated parameters'!$A$4:$A$175,$A$49,'Calibrated parameters'!$B$4:$B$175,$A50,'Calibrated parameters'!$C$4:$C$175,BI$49)</f>
        <v>6.2684780795034128E-24</v>
      </c>
      <c r="BJ50">
        <f>SUMIFS('Calibrated parameters'!$F$4:$F$175,'Calibrated parameters'!$A$4:$A$175,$A$49,'Calibrated parameters'!$B$4:$B$175,$A50,'Calibrated parameters'!$C$4:$C$175,BJ$49)</f>
        <v>6.2684780795034128E-24</v>
      </c>
      <c r="BK50">
        <f>SUMIFS('Calibrated parameters'!$F$4:$F$175,'Calibrated parameters'!$A$4:$A$175,$A$49,'Calibrated parameters'!$B$4:$B$175,$A50,'Calibrated parameters'!$C$4:$C$175,BK$49)</f>
        <v>6.2684780795034128E-24</v>
      </c>
      <c r="BL50">
        <f>SUMIFS('Calibrated parameters'!$F$4:$F$175,'Calibrated parameters'!$A$4:$A$175,$A$49,'Calibrated parameters'!$B$4:$B$175,$A50,'Calibrated parameters'!$C$4:$C$175,BL$49)</f>
        <v>6.2684780795034128E-24</v>
      </c>
      <c r="BM50">
        <f>SUMIFS('Calibrated parameters'!$F$4:$F$175,'Calibrated parameters'!$A$4:$A$175,$A$49,'Calibrated parameters'!$B$4:$B$175,$A50,'Calibrated parameters'!$C$4:$C$175,BM$49)</f>
        <v>6.2684780795034128E-24</v>
      </c>
      <c r="BN50">
        <f>SUMIFS('Calibrated parameters'!$F$4:$F$175,'Calibrated parameters'!$A$4:$A$175,$A$49,'Calibrated parameters'!$B$4:$B$175,$A50,'Calibrated parameters'!$C$4:$C$175,BN$49)</f>
        <v>6.2684780795034128E-24</v>
      </c>
      <c r="BO50">
        <f>SUMIFS('Calibrated parameters'!$F$4:$F$175,'Calibrated parameters'!$A$4:$A$175,$A$49,'Calibrated parameters'!$B$4:$B$175,$A50,'Calibrated parameters'!$C$4:$C$175,BO$49)</f>
        <v>6.2684780795034128E-24</v>
      </c>
      <c r="BP50">
        <f>SUMIFS('Calibrated parameters'!$F$4:$F$175,'Calibrated parameters'!$A$4:$A$175,$A$49,'Calibrated parameters'!$B$4:$B$175,$A50,'Calibrated parameters'!$C$4:$C$175,BP$49)</f>
        <v>6.2684780795034128E-24</v>
      </c>
      <c r="BQ50">
        <f>SUMIFS('Calibrated parameters'!$F$4:$F$175,'Calibrated parameters'!$A$4:$A$175,$A$49,'Calibrated parameters'!$B$4:$B$175,$A50,'Calibrated parameters'!$C$4:$C$175,BQ$49)</f>
        <v>6.2684780795034128E-24</v>
      </c>
      <c r="BR50">
        <f>SUMIFS('Calibrated parameters'!$F$4:$F$175,'Calibrated parameters'!$A$4:$A$175,$A$49,'Calibrated parameters'!$B$4:$B$175,$A50,'Calibrated parameters'!$C$4:$C$175,BR$49)</f>
        <v>6.2684780795034128E-24</v>
      </c>
      <c r="BS50">
        <f>SUMIFS('Calibrated parameters'!$F$4:$F$175,'Calibrated parameters'!$A$4:$A$175,$A$49,'Calibrated parameters'!$B$4:$B$175,$A50,'Calibrated parameters'!$C$4:$C$175,BS$49)</f>
        <v>6.2684780795034128E-24</v>
      </c>
      <c r="BT50">
        <f>SUMIFS('Calibrated parameters'!$F$4:$F$175,'Calibrated parameters'!$A$4:$A$175,$A$49,'Calibrated parameters'!$B$4:$B$175,$A50,'Calibrated parameters'!$C$4:$C$175,BT$49)</f>
        <v>6.2684780795034128E-24</v>
      </c>
      <c r="BU50">
        <f>SUMIFS('Calibrated parameters'!$F$4:$F$175,'Calibrated parameters'!$A$4:$A$175,$A$49,'Calibrated parameters'!$B$4:$B$175,$A50,'Calibrated parameters'!$C$4:$C$175,BU$49)</f>
        <v>6.2684780795034128E-24</v>
      </c>
      <c r="BV50">
        <f>SUMIFS('Calibrated parameters'!$F$4:$F$175,'Calibrated parameters'!$A$4:$A$175,$A$49,'Calibrated parameters'!$B$4:$B$175,$A50,'Calibrated parameters'!$C$4:$C$175,BV$49)</f>
        <v>6.2684780795034128E-24</v>
      </c>
      <c r="BW50">
        <f>SUMIFS('Calibrated parameters'!$F$4:$F$175,'Calibrated parameters'!$A$4:$A$175,$A$49,'Calibrated parameters'!$B$4:$B$175,$A50,'Calibrated parameters'!$C$4:$C$175,BW$49)</f>
        <v>6.2684780795034128E-24</v>
      </c>
      <c r="BX50">
        <f>SUMIFS('Calibrated parameters'!$F$4:$F$175,'Calibrated parameters'!$A$4:$A$175,$A$49,'Calibrated parameters'!$B$4:$B$175,$A50,'Calibrated parameters'!$C$4:$C$175,BX$49)</f>
        <v>6.2684780795034128E-24</v>
      </c>
      <c r="BY50">
        <f>SUMIFS('Calibrated parameters'!$F$4:$F$175,'Calibrated parameters'!$A$4:$A$175,$A$49,'Calibrated parameters'!$B$4:$B$175,$A50,'Calibrated parameters'!$C$4:$C$175,BY$49)</f>
        <v>6.2684780795034128E-24</v>
      </c>
      <c r="BZ50">
        <f>SUMIFS('Calibrated parameters'!$F$4:$F$175,'Calibrated parameters'!$A$4:$A$175,$A$49,'Calibrated parameters'!$B$4:$B$175,$A50,'Calibrated parameters'!$C$4:$C$175,BZ$49)</f>
        <v>6.2684780795034128E-24</v>
      </c>
      <c r="CA50">
        <f>SUMIFS('Calibrated parameters'!$F$4:$F$175,'Calibrated parameters'!$A$4:$A$175,$A$49,'Calibrated parameters'!$B$4:$B$175,$A50,'Calibrated parameters'!$C$4:$C$175,CA$49)</f>
        <v>6.2684780795034128E-24</v>
      </c>
      <c r="CB50">
        <f>SUMIFS('Calibrated parameters'!$F$4:$F$175,'Calibrated parameters'!$A$4:$A$175,$A$49,'Calibrated parameters'!$B$4:$B$175,$A50,'Calibrated parameters'!$C$4:$C$175,CB$49)</f>
        <v>6.2684780795034128E-24</v>
      </c>
      <c r="CC50">
        <f>SUMIFS('Calibrated parameters'!$F$4:$F$175,'Calibrated parameters'!$A$4:$A$175,$A$49,'Calibrated parameters'!$B$4:$B$175,$A50,'Calibrated parameters'!$C$4:$C$175,CC$49)</f>
        <v>6.2684780795034128E-24</v>
      </c>
      <c r="CD50">
        <f>SUMIFS('Calibrated parameters'!$F$4:$F$175,'Calibrated parameters'!$A$4:$A$175,$A$49,'Calibrated parameters'!$B$4:$B$175,$A50,'Calibrated parameters'!$C$4:$C$175,CD$49)</f>
        <v>6.2684780795034128E-24</v>
      </c>
      <c r="CE50">
        <f>SUMIFS('Calibrated parameters'!$F$4:$F$175,'Calibrated parameters'!$A$4:$A$175,$A$49,'Calibrated parameters'!$B$4:$B$175,$A50,'Calibrated parameters'!$C$4:$C$175,CE$49)</f>
        <v>6.2684780795034128E-24</v>
      </c>
      <c r="CF50">
        <f>SUMIFS('Calibrated parameters'!$F$4:$F$175,'Calibrated parameters'!$A$4:$A$175,$A$49,'Calibrated parameters'!$B$4:$B$175,$A50,'Calibrated parameters'!$C$4:$C$175,CF$49)</f>
        <v>6.2684780795034128E-24</v>
      </c>
      <c r="CG50">
        <f>SUMIFS('Calibrated parameters'!$F$4:$F$175,'Calibrated parameters'!$A$4:$A$175,$A$49,'Calibrated parameters'!$B$4:$B$175,$A50,'Calibrated parameters'!$C$4:$C$175,CG$49)</f>
        <v>6.2684780795034128E-24</v>
      </c>
      <c r="CH50">
        <f>SUMIFS('Calibrated parameters'!$F$4:$F$175,'Calibrated parameters'!$A$4:$A$175,$A$49,'Calibrated parameters'!$B$4:$B$175,$A50,'Calibrated parameters'!$C$4:$C$175,CH$49)</f>
        <v>6.2684780795034128E-24</v>
      </c>
      <c r="CI50">
        <f>SUMIFS('Calibrated parameters'!$F$4:$F$175,'Calibrated parameters'!$A$4:$A$175,$A$49,'Calibrated parameters'!$B$4:$B$175,$A50,'Calibrated parameters'!$C$4:$C$175,CI$49)</f>
        <v>6.2684780795034128E-24</v>
      </c>
    </row>
    <row r="51" spans="1:87" x14ac:dyDescent="0.25">
      <c r="A51" t="s">
        <v>41</v>
      </c>
      <c r="B51">
        <f>'Calibrated parameters'!$D$180</f>
        <v>2.8181258712397961</v>
      </c>
      <c r="C51">
        <f>'Calibrated parameters'!$D$180</f>
        <v>2.8181258712397961</v>
      </c>
      <c r="D51">
        <f>'Calibrated parameters'!$D$180</f>
        <v>2.8181258712397961</v>
      </c>
      <c r="E51">
        <f>'Calibrated parameters'!$D$180</f>
        <v>2.8181258712397961</v>
      </c>
      <c r="F51">
        <f>'Calibrated parameters'!$D$180</f>
        <v>2.8181258712397961</v>
      </c>
      <c r="G51">
        <f>'Calibrated parameters'!$D$180</f>
        <v>2.8181258712397961</v>
      </c>
      <c r="H51">
        <f>'Calibrated parameters'!$D$180</f>
        <v>2.8181258712397961</v>
      </c>
      <c r="I51">
        <f>'Calibrated parameters'!$D$180</f>
        <v>2.8181258712397961</v>
      </c>
      <c r="J51">
        <f>'Calibrated parameters'!$D$180</f>
        <v>2.8181258712397961</v>
      </c>
      <c r="K51">
        <f>'Calibrated parameters'!$D$180</f>
        <v>2.8181258712397961</v>
      </c>
      <c r="L51">
        <f>'Calibrated parameters'!$D$180</f>
        <v>2.8181258712397961</v>
      </c>
      <c r="M51">
        <f>'Calibrated parameters'!$D$180</f>
        <v>2.8181258712397961</v>
      </c>
      <c r="N51">
        <f>'Calibrated parameters'!$D$180</f>
        <v>2.8181258712397961</v>
      </c>
      <c r="O51">
        <f>'Calibrated parameters'!$D$180</f>
        <v>2.8181258712397961</v>
      </c>
      <c r="P51">
        <f>'Calibrated parameters'!$D$180</f>
        <v>2.8181258712397961</v>
      </c>
      <c r="Q51">
        <f>'Calibrated parameters'!$D$180</f>
        <v>2.8181258712397961</v>
      </c>
      <c r="R51">
        <f>'Calibrated parameters'!$D$180</f>
        <v>2.8181258712397961</v>
      </c>
      <c r="S51">
        <f>'Calibrated parameters'!$D$180</f>
        <v>2.8181258712397961</v>
      </c>
      <c r="T51">
        <f>'Calibrated parameters'!$D$180</f>
        <v>2.8181258712397961</v>
      </c>
      <c r="U51">
        <f>'Calibrated parameters'!$D$180</f>
        <v>2.8181258712397961</v>
      </c>
      <c r="V51">
        <f>'Calibrated parameters'!$D$180</f>
        <v>2.8181258712397961</v>
      </c>
      <c r="W51">
        <f>'Calibrated parameters'!$D$180</f>
        <v>2.8181258712397961</v>
      </c>
      <c r="X51">
        <f>'Calibrated parameters'!$D$180</f>
        <v>2.8181258712397961</v>
      </c>
      <c r="Y51">
        <f>'Calibrated parameters'!$D$180</f>
        <v>2.8181258712397961</v>
      </c>
      <c r="Z51">
        <f>'Calibrated parameters'!$D$180</f>
        <v>2.8181258712397961</v>
      </c>
      <c r="AA51">
        <f>'Calibrated parameters'!$D$180</f>
        <v>2.8181258712397961</v>
      </c>
      <c r="AB51">
        <f>'Calibrated parameters'!$D$180</f>
        <v>2.8181258712397961</v>
      </c>
      <c r="AC51">
        <f>'Calibrated parameters'!$D$180</f>
        <v>2.8181258712397961</v>
      </c>
      <c r="AD51">
        <f>'Calibrated parameters'!$D$180</f>
        <v>2.8181258712397961</v>
      </c>
      <c r="AE51">
        <f>'Calibrated parameters'!$D$180</f>
        <v>2.8181258712397961</v>
      </c>
      <c r="AF51">
        <f>'Calibrated parameters'!$D$180</f>
        <v>2.8181258712397961</v>
      </c>
      <c r="AG51">
        <f>'Calibrated parameters'!$D$180</f>
        <v>2.8181258712397961</v>
      </c>
      <c r="AH51">
        <f>'Calibrated parameters'!$D$180</f>
        <v>2.8181258712397961</v>
      </c>
      <c r="AI51">
        <f>'Calibrated parameters'!$D$180</f>
        <v>2.8181258712397961</v>
      </c>
      <c r="AJ51">
        <f>'Calibrated parameters'!$D$180</f>
        <v>2.8181258712397961</v>
      </c>
      <c r="AK51">
        <f>'Calibrated parameters'!$D$180</f>
        <v>2.8181258712397961</v>
      </c>
      <c r="AL51">
        <f>'Calibrated parameters'!$D$180</f>
        <v>2.8181258712397961</v>
      </c>
      <c r="AM51">
        <f>'Calibrated parameters'!$D$180</f>
        <v>2.8181258712397961</v>
      </c>
      <c r="AN51">
        <f>'Calibrated parameters'!$D$180</f>
        <v>2.8181258712397961</v>
      </c>
      <c r="AO51">
        <f>'Calibrated parameters'!$D$180</f>
        <v>2.8181258712397961</v>
      </c>
      <c r="AP51">
        <f>'Calibrated parameters'!$D$180</f>
        <v>2.8181258712397961</v>
      </c>
      <c r="AQ51">
        <f>'Calibrated parameters'!$D$180</f>
        <v>2.8181258712397961</v>
      </c>
      <c r="AR51">
        <f>'Calibrated parameters'!$D$180</f>
        <v>2.8181258712397961</v>
      </c>
      <c r="AS51">
        <f>'Calibrated parameters'!$D$180</f>
        <v>2.8181258712397961</v>
      </c>
      <c r="AT51">
        <f>'Calibrated parameters'!$D$180</f>
        <v>2.8181258712397961</v>
      </c>
      <c r="AU51">
        <f>'Calibrated parameters'!$D$180</f>
        <v>2.8181258712397961</v>
      </c>
      <c r="AV51">
        <f>'Calibrated parameters'!$D$180</f>
        <v>2.8181258712397961</v>
      </c>
      <c r="AW51">
        <f>'Calibrated parameters'!$D$180</f>
        <v>2.8181258712397961</v>
      </c>
      <c r="AX51">
        <f>'Calibrated parameters'!$D$180</f>
        <v>2.8181258712397961</v>
      </c>
      <c r="AY51">
        <f>'Calibrated parameters'!$D$180</f>
        <v>2.8181258712397961</v>
      </c>
      <c r="AZ51">
        <f>'Calibrated parameters'!$D$180</f>
        <v>2.8181258712397961</v>
      </c>
      <c r="BA51">
        <f>'Calibrated parameters'!$D$180</f>
        <v>2.8181258712397961</v>
      </c>
      <c r="BB51">
        <f>'Calibrated parameters'!$D$180</f>
        <v>2.8181258712397961</v>
      </c>
      <c r="BC51">
        <f>'Calibrated parameters'!$D$180</f>
        <v>2.8181258712397961</v>
      </c>
      <c r="BD51">
        <f>'Calibrated parameters'!$D$180</f>
        <v>2.8181258712397961</v>
      </c>
      <c r="BE51">
        <f>'Calibrated parameters'!$D$180</f>
        <v>2.8181258712397961</v>
      </c>
      <c r="BF51">
        <f>'Calibrated parameters'!$D$180</f>
        <v>2.8181258712397961</v>
      </c>
      <c r="BG51">
        <f>'Calibrated parameters'!$D$180</f>
        <v>2.8181258712397961</v>
      </c>
      <c r="BH51">
        <f>'Calibrated parameters'!$D$180</f>
        <v>2.8181258712397961</v>
      </c>
      <c r="BI51">
        <f>'Calibrated parameters'!$D$180</f>
        <v>2.8181258712397961</v>
      </c>
      <c r="BJ51">
        <f>'Calibrated parameters'!$D$180</f>
        <v>2.8181258712397961</v>
      </c>
      <c r="BK51">
        <f>'Calibrated parameters'!$D$180</f>
        <v>2.8181258712397961</v>
      </c>
      <c r="BL51">
        <f>'Calibrated parameters'!$D$180</f>
        <v>2.8181258712397961</v>
      </c>
      <c r="BM51">
        <f>'Calibrated parameters'!$D$180</f>
        <v>2.8181258712397961</v>
      </c>
      <c r="BN51">
        <f>'Calibrated parameters'!$D$180</f>
        <v>2.8181258712397961</v>
      </c>
      <c r="BO51">
        <f>'Calibrated parameters'!$D$180</f>
        <v>2.8181258712397961</v>
      </c>
      <c r="BP51">
        <f>'Calibrated parameters'!$D$180</f>
        <v>2.8181258712397961</v>
      </c>
      <c r="BQ51">
        <f>'Calibrated parameters'!$D$180</f>
        <v>2.8181258712397961</v>
      </c>
      <c r="BR51">
        <f>'Calibrated parameters'!$D$180</f>
        <v>2.8181258712397961</v>
      </c>
      <c r="BS51">
        <f>'Calibrated parameters'!$D$180</f>
        <v>2.8181258712397961</v>
      </c>
      <c r="BT51">
        <f>'Calibrated parameters'!$D$180</f>
        <v>2.8181258712397961</v>
      </c>
      <c r="BU51">
        <f>'Calibrated parameters'!$D$180</f>
        <v>2.8181258712397961</v>
      </c>
      <c r="BV51">
        <f>'Calibrated parameters'!$D$180</f>
        <v>2.8181258712397961</v>
      </c>
      <c r="BW51">
        <f>'Calibrated parameters'!$D$180</f>
        <v>2.8181258712397961</v>
      </c>
      <c r="BX51">
        <f>'Calibrated parameters'!$D$180</f>
        <v>2.8181258712397961</v>
      </c>
      <c r="BY51">
        <f>'Calibrated parameters'!$D$180</f>
        <v>2.8181258712397961</v>
      </c>
      <c r="BZ51">
        <f>'Calibrated parameters'!$D$180</f>
        <v>2.8181258712397961</v>
      </c>
      <c r="CA51">
        <f>'Calibrated parameters'!$D$180</f>
        <v>2.8181258712397961</v>
      </c>
      <c r="CB51">
        <f>'Calibrated parameters'!$D$180</f>
        <v>2.8181258712397961</v>
      </c>
      <c r="CC51">
        <f>'Calibrated parameters'!$D$180</f>
        <v>2.8181258712397961</v>
      </c>
      <c r="CD51">
        <f>'Calibrated parameters'!$D$180</f>
        <v>2.8181258712397961</v>
      </c>
      <c r="CE51">
        <f>'Calibrated parameters'!$D$180</f>
        <v>2.8181258712397961</v>
      </c>
      <c r="CF51">
        <f>'Calibrated parameters'!$D$180</f>
        <v>2.8181258712397961</v>
      </c>
      <c r="CG51">
        <f>'Calibrated parameters'!$D$180</f>
        <v>2.8181258712397961</v>
      </c>
      <c r="CH51">
        <f>'Calibrated parameters'!$D$180</f>
        <v>2.8181258712397961</v>
      </c>
      <c r="CI51">
        <f>'Calibrated parameters'!$D$180</f>
        <v>2.8181258712397961</v>
      </c>
    </row>
    <row r="52" spans="1:87" x14ac:dyDescent="0.25">
      <c r="A52" t="s">
        <v>43</v>
      </c>
      <c r="B52">
        <f>0</f>
        <v>0</v>
      </c>
      <c r="C52">
        <f>0</f>
        <v>0</v>
      </c>
      <c r="D52">
        <f>0</f>
        <v>0</v>
      </c>
      <c r="E52">
        <f>0</f>
        <v>0</v>
      </c>
      <c r="F52">
        <f>0</f>
        <v>0</v>
      </c>
      <c r="G52">
        <f>0</f>
        <v>0</v>
      </c>
      <c r="H52">
        <f>0</f>
        <v>0</v>
      </c>
      <c r="I52">
        <f>0</f>
        <v>0</v>
      </c>
      <c r="J52">
        <f>0</f>
        <v>0</v>
      </c>
      <c r="K52">
        <f>0</f>
        <v>0</v>
      </c>
      <c r="L52">
        <f>0</f>
        <v>0</v>
      </c>
      <c r="M52">
        <f>0</f>
        <v>0</v>
      </c>
      <c r="N52">
        <f>0</f>
        <v>0</v>
      </c>
      <c r="O52">
        <f>0</f>
        <v>0</v>
      </c>
      <c r="P52">
        <f>0</f>
        <v>0</v>
      </c>
      <c r="Q52">
        <f>0</f>
        <v>0</v>
      </c>
      <c r="R52">
        <f>0</f>
        <v>0</v>
      </c>
      <c r="S52">
        <f>0</f>
        <v>0</v>
      </c>
      <c r="T52">
        <f>0</f>
        <v>0</v>
      </c>
      <c r="U52">
        <f>0</f>
        <v>0</v>
      </c>
      <c r="V52">
        <f>0</f>
        <v>0</v>
      </c>
      <c r="W52">
        <f>0</f>
        <v>0</v>
      </c>
      <c r="X52">
        <f>0</f>
        <v>0</v>
      </c>
      <c r="Y52">
        <f>0</f>
        <v>0</v>
      </c>
      <c r="Z52">
        <f>0</f>
        <v>0</v>
      </c>
      <c r="AA52">
        <f>0</f>
        <v>0</v>
      </c>
      <c r="AB52">
        <f>0</f>
        <v>0</v>
      </c>
      <c r="AC52">
        <f>0</f>
        <v>0</v>
      </c>
      <c r="AD52">
        <f>0</f>
        <v>0</v>
      </c>
      <c r="AE52">
        <f>0</f>
        <v>0</v>
      </c>
      <c r="AF52">
        <f>0</f>
        <v>0</v>
      </c>
      <c r="AG52">
        <f>0</f>
        <v>0</v>
      </c>
      <c r="AH52">
        <f>0</f>
        <v>0</v>
      </c>
      <c r="AI52">
        <f>0</f>
        <v>0</v>
      </c>
      <c r="AJ52">
        <f>0</f>
        <v>0</v>
      </c>
      <c r="AK52">
        <f>0</f>
        <v>0</v>
      </c>
      <c r="AL52">
        <f>0</f>
        <v>0</v>
      </c>
      <c r="AM52">
        <f>0</f>
        <v>0</v>
      </c>
      <c r="AN52">
        <f>0</f>
        <v>0</v>
      </c>
      <c r="AO52">
        <f>0</f>
        <v>0</v>
      </c>
      <c r="AP52">
        <f>0</f>
        <v>0</v>
      </c>
      <c r="AQ52">
        <f>0</f>
        <v>0</v>
      </c>
      <c r="AR52">
        <f>0</f>
        <v>0</v>
      </c>
      <c r="AS52">
        <f>0</f>
        <v>0</v>
      </c>
      <c r="AT52">
        <f>0</f>
        <v>0</v>
      </c>
      <c r="AU52">
        <f>0</f>
        <v>0</v>
      </c>
      <c r="AV52">
        <f>0</f>
        <v>0</v>
      </c>
      <c r="AW52">
        <f>0</f>
        <v>0</v>
      </c>
      <c r="AX52">
        <f>0</f>
        <v>0</v>
      </c>
      <c r="AY52">
        <f>0</f>
        <v>0</v>
      </c>
      <c r="AZ52">
        <f>0</f>
        <v>0</v>
      </c>
      <c r="BA52">
        <f>0</f>
        <v>0</v>
      </c>
      <c r="BB52">
        <f>0</f>
        <v>0</v>
      </c>
      <c r="BC52">
        <f>0</f>
        <v>0</v>
      </c>
      <c r="BD52">
        <f>0</f>
        <v>0</v>
      </c>
      <c r="BE52">
        <f>0</f>
        <v>0</v>
      </c>
      <c r="BF52">
        <f>0</f>
        <v>0</v>
      </c>
      <c r="BG52">
        <f>0</f>
        <v>0</v>
      </c>
      <c r="BH52">
        <f>0</f>
        <v>0</v>
      </c>
      <c r="BI52">
        <f>0</f>
        <v>0</v>
      </c>
      <c r="BJ52">
        <f>0</f>
        <v>0</v>
      </c>
      <c r="BK52">
        <f>0</f>
        <v>0</v>
      </c>
      <c r="BL52">
        <f>0</f>
        <v>0</v>
      </c>
      <c r="BM52">
        <f>0</f>
        <v>0</v>
      </c>
      <c r="BN52">
        <f>0</f>
        <v>0</v>
      </c>
      <c r="BO52">
        <f>0</f>
        <v>0</v>
      </c>
      <c r="BP52">
        <f>0</f>
        <v>0</v>
      </c>
      <c r="BQ52">
        <f>0</f>
        <v>0</v>
      </c>
      <c r="BR52">
        <f>0</f>
        <v>0</v>
      </c>
      <c r="BS52">
        <f>0</f>
        <v>0</v>
      </c>
      <c r="BT52">
        <f>0</f>
        <v>0</v>
      </c>
      <c r="BU52">
        <f>0</f>
        <v>0</v>
      </c>
      <c r="BV52">
        <f>0</f>
        <v>0</v>
      </c>
      <c r="BW52">
        <f>0</f>
        <v>0</v>
      </c>
      <c r="BX52">
        <f>0</f>
        <v>0</v>
      </c>
      <c r="BY52">
        <f>0</f>
        <v>0</v>
      </c>
      <c r="BZ52">
        <f>0</f>
        <v>0</v>
      </c>
      <c r="CA52">
        <f>0</f>
        <v>0</v>
      </c>
      <c r="CB52">
        <f>0</f>
        <v>0</v>
      </c>
      <c r="CC52">
        <f>0</f>
        <v>0</v>
      </c>
      <c r="CD52">
        <f>0</f>
        <v>0</v>
      </c>
      <c r="CE52">
        <f>0</f>
        <v>0</v>
      </c>
      <c r="CF52">
        <f>0</f>
        <v>0</v>
      </c>
      <c r="CG52">
        <f>0</f>
        <v>0</v>
      </c>
      <c r="CH52">
        <f>0</f>
        <v>0</v>
      </c>
      <c r="CI52">
        <f>0</f>
        <v>0</v>
      </c>
    </row>
    <row r="53" spans="1:87" x14ac:dyDescent="0.25">
      <c r="A53" t="s">
        <v>44</v>
      </c>
      <c r="B53">
        <f>0</f>
        <v>0</v>
      </c>
      <c r="C53">
        <f>0</f>
        <v>0</v>
      </c>
      <c r="D53">
        <f>0</f>
        <v>0</v>
      </c>
      <c r="E53">
        <f>0</f>
        <v>0</v>
      </c>
      <c r="F53">
        <f>0</f>
        <v>0</v>
      </c>
      <c r="G53">
        <f>0</f>
        <v>0</v>
      </c>
      <c r="H53">
        <f>0</f>
        <v>0</v>
      </c>
      <c r="I53">
        <f>0</f>
        <v>0</v>
      </c>
      <c r="J53">
        <f>0</f>
        <v>0</v>
      </c>
      <c r="K53">
        <f>0</f>
        <v>0</v>
      </c>
      <c r="L53">
        <f>0</f>
        <v>0</v>
      </c>
      <c r="M53">
        <f>0</f>
        <v>0</v>
      </c>
      <c r="N53">
        <f>0</f>
        <v>0</v>
      </c>
      <c r="O53">
        <f>0</f>
        <v>0</v>
      </c>
      <c r="P53">
        <f>0</f>
        <v>0</v>
      </c>
      <c r="Q53">
        <f>0</f>
        <v>0</v>
      </c>
      <c r="R53">
        <f>0</f>
        <v>0</v>
      </c>
      <c r="S53">
        <f>0</f>
        <v>0</v>
      </c>
      <c r="T53">
        <f>0</f>
        <v>0</v>
      </c>
      <c r="U53">
        <f>0</f>
        <v>0</v>
      </c>
      <c r="V53">
        <f>0</f>
        <v>0</v>
      </c>
      <c r="W53">
        <f>0</f>
        <v>0</v>
      </c>
      <c r="X53">
        <f>0</f>
        <v>0</v>
      </c>
      <c r="Y53">
        <f>0</f>
        <v>0</v>
      </c>
      <c r="Z53">
        <f>0</f>
        <v>0</v>
      </c>
      <c r="AA53">
        <f>0</f>
        <v>0</v>
      </c>
      <c r="AB53">
        <f>0</f>
        <v>0</v>
      </c>
      <c r="AC53">
        <f>0</f>
        <v>0</v>
      </c>
      <c r="AD53">
        <f>0</f>
        <v>0</v>
      </c>
      <c r="AE53">
        <f>0</f>
        <v>0</v>
      </c>
      <c r="AF53">
        <f>0</f>
        <v>0</v>
      </c>
      <c r="AG53">
        <f>0</f>
        <v>0</v>
      </c>
      <c r="AH53">
        <f>0</f>
        <v>0</v>
      </c>
      <c r="AI53">
        <f>0</f>
        <v>0</v>
      </c>
      <c r="AJ53">
        <f>0</f>
        <v>0</v>
      </c>
      <c r="AK53">
        <f>0</f>
        <v>0</v>
      </c>
      <c r="AL53">
        <f>0</f>
        <v>0</v>
      </c>
      <c r="AM53">
        <f>0</f>
        <v>0</v>
      </c>
      <c r="AN53">
        <f>0</f>
        <v>0</v>
      </c>
      <c r="AO53">
        <f>0</f>
        <v>0</v>
      </c>
      <c r="AP53">
        <f>0</f>
        <v>0</v>
      </c>
      <c r="AQ53">
        <f>0</f>
        <v>0</v>
      </c>
      <c r="AR53">
        <f>0</f>
        <v>0</v>
      </c>
      <c r="AS53">
        <f>0</f>
        <v>0</v>
      </c>
      <c r="AT53">
        <f>0</f>
        <v>0</v>
      </c>
      <c r="AU53">
        <f>0</f>
        <v>0</v>
      </c>
      <c r="AV53">
        <f>0</f>
        <v>0</v>
      </c>
      <c r="AW53">
        <f>0</f>
        <v>0</v>
      </c>
      <c r="AX53">
        <f>0</f>
        <v>0</v>
      </c>
      <c r="AY53">
        <f>0</f>
        <v>0</v>
      </c>
      <c r="AZ53">
        <f>0</f>
        <v>0</v>
      </c>
      <c r="BA53">
        <f>0</f>
        <v>0</v>
      </c>
      <c r="BB53">
        <f>0</f>
        <v>0</v>
      </c>
      <c r="BC53">
        <f>0</f>
        <v>0</v>
      </c>
      <c r="BD53">
        <f>0</f>
        <v>0</v>
      </c>
      <c r="BE53">
        <f>0</f>
        <v>0</v>
      </c>
      <c r="BF53">
        <f>0</f>
        <v>0</v>
      </c>
      <c r="BG53">
        <f>0</f>
        <v>0</v>
      </c>
      <c r="BH53">
        <f>0</f>
        <v>0</v>
      </c>
      <c r="BI53">
        <f>0</f>
        <v>0</v>
      </c>
      <c r="BJ53">
        <f>0</f>
        <v>0</v>
      </c>
      <c r="BK53">
        <f>0</f>
        <v>0</v>
      </c>
      <c r="BL53">
        <f>0</f>
        <v>0</v>
      </c>
      <c r="BM53">
        <f>0</f>
        <v>0</v>
      </c>
      <c r="BN53">
        <f>0</f>
        <v>0</v>
      </c>
      <c r="BO53">
        <f>0</f>
        <v>0</v>
      </c>
      <c r="BP53">
        <f>0</f>
        <v>0</v>
      </c>
      <c r="BQ53">
        <f>0</f>
        <v>0</v>
      </c>
      <c r="BR53">
        <f>0</f>
        <v>0</v>
      </c>
      <c r="BS53">
        <f>0</f>
        <v>0</v>
      </c>
      <c r="BT53">
        <f>0</f>
        <v>0</v>
      </c>
      <c r="BU53">
        <f>0</f>
        <v>0</v>
      </c>
      <c r="BV53">
        <f>0</f>
        <v>0</v>
      </c>
      <c r="BW53">
        <f>0</f>
        <v>0</v>
      </c>
      <c r="BX53">
        <f>0</f>
        <v>0</v>
      </c>
      <c r="BY53">
        <f>0</f>
        <v>0</v>
      </c>
      <c r="BZ53">
        <f>0</f>
        <v>0</v>
      </c>
      <c r="CA53">
        <f>0</f>
        <v>0</v>
      </c>
      <c r="CB53">
        <f>0</f>
        <v>0</v>
      </c>
      <c r="CC53">
        <f>0</f>
        <v>0</v>
      </c>
      <c r="CD53">
        <f>0</f>
        <v>0</v>
      </c>
      <c r="CE53">
        <f>0</f>
        <v>0</v>
      </c>
      <c r="CF53">
        <f>0</f>
        <v>0</v>
      </c>
      <c r="CG53">
        <f>0</f>
        <v>0</v>
      </c>
      <c r="CH53">
        <f>0</f>
        <v>0</v>
      </c>
      <c r="CI53">
        <f>0</f>
        <v>0</v>
      </c>
    </row>
    <row r="54" spans="1:87" x14ac:dyDescent="0.25">
      <c r="A54" t="s">
        <v>45</v>
      </c>
      <c r="B54">
        <f>0</f>
        <v>0</v>
      </c>
      <c r="C54">
        <f>0</f>
        <v>0</v>
      </c>
      <c r="D54">
        <f>0</f>
        <v>0</v>
      </c>
      <c r="E54">
        <f>0</f>
        <v>0</v>
      </c>
      <c r="F54">
        <f>0</f>
        <v>0</v>
      </c>
      <c r="G54">
        <f>0</f>
        <v>0</v>
      </c>
      <c r="H54">
        <f>0</f>
        <v>0</v>
      </c>
      <c r="I54">
        <f>0</f>
        <v>0</v>
      </c>
      <c r="J54">
        <f>0</f>
        <v>0</v>
      </c>
      <c r="K54">
        <f>0</f>
        <v>0</v>
      </c>
      <c r="L54">
        <f>0</f>
        <v>0</v>
      </c>
      <c r="M54">
        <f>0</f>
        <v>0</v>
      </c>
      <c r="N54">
        <f>0</f>
        <v>0</v>
      </c>
      <c r="O54">
        <f>0</f>
        <v>0</v>
      </c>
      <c r="P54">
        <f>0</f>
        <v>0</v>
      </c>
      <c r="Q54">
        <f>0</f>
        <v>0</v>
      </c>
      <c r="R54">
        <f>0</f>
        <v>0</v>
      </c>
      <c r="S54">
        <f>0</f>
        <v>0</v>
      </c>
      <c r="T54">
        <f>0</f>
        <v>0</v>
      </c>
      <c r="U54">
        <f>0</f>
        <v>0</v>
      </c>
      <c r="V54">
        <f>0</f>
        <v>0</v>
      </c>
      <c r="W54">
        <f>0</f>
        <v>0</v>
      </c>
      <c r="X54">
        <f>0</f>
        <v>0</v>
      </c>
      <c r="Y54">
        <f>0</f>
        <v>0</v>
      </c>
      <c r="Z54">
        <f>0</f>
        <v>0</v>
      </c>
      <c r="AA54">
        <f>0</f>
        <v>0</v>
      </c>
      <c r="AB54">
        <f>0</f>
        <v>0</v>
      </c>
      <c r="AC54">
        <f>0</f>
        <v>0</v>
      </c>
      <c r="AD54">
        <f>0</f>
        <v>0</v>
      </c>
      <c r="AE54">
        <f>0</f>
        <v>0</v>
      </c>
      <c r="AF54">
        <f>0</f>
        <v>0</v>
      </c>
      <c r="AG54">
        <f>0</f>
        <v>0</v>
      </c>
      <c r="AH54">
        <f>0</f>
        <v>0</v>
      </c>
      <c r="AI54">
        <f>0</f>
        <v>0</v>
      </c>
      <c r="AJ54">
        <f>0</f>
        <v>0</v>
      </c>
      <c r="AK54">
        <f>0</f>
        <v>0</v>
      </c>
      <c r="AL54">
        <f>0</f>
        <v>0</v>
      </c>
      <c r="AM54">
        <f>0</f>
        <v>0</v>
      </c>
      <c r="AN54">
        <f>0</f>
        <v>0</v>
      </c>
      <c r="AO54">
        <f>0</f>
        <v>0</v>
      </c>
      <c r="AP54">
        <f>0</f>
        <v>0</v>
      </c>
      <c r="AQ54">
        <f>0</f>
        <v>0</v>
      </c>
      <c r="AR54">
        <f>0</f>
        <v>0</v>
      </c>
      <c r="AS54">
        <f>0</f>
        <v>0</v>
      </c>
      <c r="AT54">
        <f>0</f>
        <v>0</v>
      </c>
      <c r="AU54">
        <f>0</f>
        <v>0</v>
      </c>
      <c r="AV54">
        <f>0</f>
        <v>0</v>
      </c>
      <c r="AW54">
        <f>0</f>
        <v>0</v>
      </c>
      <c r="AX54">
        <f>0</f>
        <v>0</v>
      </c>
      <c r="AY54">
        <f>0</f>
        <v>0</v>
      </c>
      <c r="AZ54">
        <f>0</f>
        <v>0</v>
      </c>
      <c r="BA54">
        <f>0</f>
        <v>0</v>
      </c>
      <c r="BB54">
        <f>0</f>
        <v>0</v>
      </c>
      <c r="BC54">
        <f>0</f>
        <v>0</v>
      </c>
      <c r="BD54">
        <f>0</f>
        <v>0</v>
      </c>
      <c r="BE54">
        <f>0</f>
        <v>0</v>
      </c>
      <c r="BF54">
        <f>0</f>
        <v>0</v>
      </c>
      <c r="BG54">
        <f>0</f>
        <v>0</v>
      </c>
      <c r="BH54">
        <f>0</f>
        <v>0</v>
      </c>
      <c r="BI54">
        <f>0</f>
        <v>0</v>
      </c>
      <c r="BJ54">
        <f>0</f>
        <v>0</v>
      </c>
      <c r="BK54">
        <f>0</f>
        <v>0</v>
      </c>
      <c r="BL54">
        <f>0</f>
        <v>0</v>
      </c>
      <c r="BM54">
        <f>0</f>
        <v>0</v>
      </c>
      <c r="BN54">
        <f>0</f>
        <v>0</v>
      </c>
      <c r="BO54">
        <f>0</f>
        <v>0</v>
      </c>
      <c r="BP54">
        <f>0</f>
        <v>0</v>
      </c>
      <c r="BQ54">
        <f>0</f>
        <v>0</v>
      </c>
      <c r="BR54">
        <f>0</f>
        <v>0</v>
      </c>
      <c r="BS54">
        <f>0</f>
        <v>0</v>
      </c>
      <c r="BT54">
        <f>0</f>
        <v>0</v>
      </c>
      <c r="BU54">
        <f>0</f>
        <v>0</v>
      </c>
      <c r="BV54">
        <f>0</f>
        <v>0</v>
      </c>
      <c r="BW54">
        <f>0</f>
        <v>0</v>
      </c>
      <c r="BX54">
        <f>0</f>
        <v>0</v>
      </c>
      <c r="BY54">
        <f>0</f>
        <v>0</v>
      </c>
      <c r="BZ54">
        <f>0</f>
        <v>0</v>
      </c>
      <c r="CA54">
        <f>0</f>
        <v>0</v>
      </c>
      <c r="CB54">
        <f>0</f>
        <v>0</v>
      </c>
      <c r="CC54">
        <f>0</f>
        <v>0</v>
      </c>
      <c r="CD54">
        <f>0</f>
        <v>0</v>
      </c>
      <c r="CE54">
        <f>0</f>
        <v>0</v>
      </c>
      <c r="CF54">
        <f>0</f>
        <v>0</v>
      </c>
      <c r="CG54">
        <f>0</f>
        <v>0</v>
      </c>
      <c r="CH54">
        <f>0</f>
        <v>0</v>
      </c>
      <c r="CI54">
        <f>0</f>
        <v>0</v>
      </c>
    </row>
    <row r="55" spans="1:87" x14ac:dyDescent="0.25">
      <c r="A55" t="s">
        <v>46</v>
      </c>
      <c r="B55">
        <f>0</f>
        <v>0</v>
      </c>
      <c r="C55">
        <f>0</f>
        <v>0</v>
      </c>
      <c r="D55">
        <f>0</f>
        <v>0</v>
      </c>
      <c r="E55">
        <f>0</f>
        <v>0</v>
      </c>
      <c r="F55">
        <f>0</f>
        <v>0</v>
      </c>
      <c r="G55">
        <f>0</f>
        <v>0</v>
      </c>
      <c r="H55">
        <f>0</f>
        <v>0</v>
      </c>
      <c r="I55">
        <f>0</f>
        <v>0</v>
      </c>
      <c r="J55">
        <f>0</f>
        <v>0</v>
      </c>
      <c r="K55">
        <f>0</f>
        <v>0</v>
      </c>
      <c r="L55">
        <f>0</f>
        <v>0</v>
      </c>
      <c r="M55">
        <f>0</f>
        <v>0</v>
      </c>
      <c r="N55">
        <f>0</f>
        <v>0</v>
      </c>
      <c r="O55">
        <f>0</f>
        <v>0</v>
      </c>
      <c r="P55">
        <f>0</f>
        <v>0</v>
      </c>
      <c r="Q55">
        <f>0</f>
        <v>0</v>
      </c>
      <c r="R55">
        <f>0</f>
        <v>0</v>
      </c>
      <c r="S55">
        <f>0</f>
        <v>0</v>
      </c>
      <c r="T55">
        <f>0</f>
        <v>0</v>
      </c>
      <c r="U55">
        <f>0</f>
        <v>0</v>
      </c>
      <c r="V55">
        <f>0</f>
        <v>0</v>
      </c>
      <c r="W55">
        <f>0</f>
        <v>0</v>
      </c>
      <c r="X55">
        <f>0</f>
        <v>0</v>
      </c>
      <c r="Y55">
        <f>0</f>
        <v>0</v>
      </c>
      <c r="Z55">
        <f>0</f>
        <v>0</v>
      </c>
      <c r="AA55">
        <f>0</f>
        <v>0</v>
      </c>
      <c r="AB55">
        <f>0</f>
        <v>0</v>
      </c>
      <c r="AC55">
        <f>0</f>
        <v>0</v>
      </c>
      <c r="AD55">
        <f>0</f>
        <v>0</v>
      </c>
      <c r="AE55">
        <f>0</f>
        <v>0</v>
      </c>
      <c r="AF55">
        <f>0</f>
        <v>0</v>
      </c>
      <c r="AG55">
        <f>0</f>
        <v>0</v>
      </c>
      <c r="AH55">
        <f>0</f>
        <v>0</v>
      </c>
      <c r="AI55">
        <f>0</f>
        <v>0</v>
      </c>
      <c r="AJ55">
        <f>0</f>
        <v>0</v>
      </c>
      <c r="AK55">
        <f>0</f>
        <v>0</v>
      </c>
      <c r="AL55">
        <f>0</f>
        <v>0</v>
      </c>
      <c r="AM55">
        <f>0</f>
        <v>0</v>
      </c>
      <c r="AN55">
        <f>0</f>
        <v>0</v>
      </c>
      <c r="AO55">
        <f>0</f>
        <v>0</v>
      </c>
      <c r="AP55">
        <f>0</f>
        <v>0</v>
      </c>
      <c r="AQ55">
        <f>0</f>
        <v>0</v>
      </c>
      <c r="AR55">
        <f>0</f>
        <v>0</v>
      </c>
      <c r="AS55">
        <f>0</f>
        <v>0</v>
      </c>
      <c r="AT55">
        <f>0</f>
        <v>0</v>
      </c>
      <c r="AU55">
        <f>0</f>
        <v>0</v>
      </c>
      <c r="AV55">
        <f>0</f>
        <v>0</v>
      </c>
      <c r="AW55">
        <f>0</f>
        <v>0</v>
      </c>
      <c r="AX55">
        <f>0</f>
        <v>0</v>
      </c>
      <c r="AY55">
        <f>0</f>
        <v>0</v>
      </c>
      <c r="AZ55">
        <f>0</f>
        <v>0</v>
      </c>
      <c r="BA55">
        <f>0</f>
        <v>0</v>
      </c>
      <c r="BB55">
        <f>0</f>
        <v>0</v>
      </c>
      <c r="BC55">
        <f>0</f>
        <v>0</v>
      </c>
      <c r="BD55">
        <f>0</f>
        <v>0</v>
      </c>
      <c r="BE55">
        <f>0</f>
        <v>0</v>
      </c>
      <c r="BF55">
        <f>0</f>
        <v>0</v>
      </c>
      <c r="BG55">
        <f>0</f>
        <v>0</v>
      </c>
      <c r="BH55">
        <f>0</f>
        <v>0</v>
      </c>
      <c r="BI55">
        <f>0</f>
        <v>0</v>
      </c>
      <c r="BJ55">
        <f>0</f>
        <v>0</v>
      </c>
      <c r="BK55">
        <f>0</f>
        <v>0</v>
      </c>
      <c r="BL55">
        <f>0</f>
        <v>0</v>
      </c>
      <c r="BM55">
        <f>0</f>
        <v>0</v>
      </c>
      <c r="BN55">
        <f>0</f>
        <v>0</v>
      </c>
      <c r="BO55">
        <f>0</f>
        <v>0</v>
      </c>
      <c r="BP55">
        <f>0</f>
        <v>0</v>
      </c>
      <c r="BQ55">
        <f>0</f>
        <v>0</v>
      </c>
      <c r="BR55">
        <f>0</f>
        <v>0</v>
      </c>
      <c r="BS55">
        <f>0</f>
        <v>0</v>
      </c>
      <c r="BT55">
        <f>0</f>
        <v>0</v>
      </c>
      <c r="BU55">
        <f>0</f>
        <v>0</v>
      </c>
      <c r="BV55">
        <f>0</f>
        <v>0</v>
      </c>
      <c r="BW55">
        <f>0</f>
        <v>0</v>
      </c>
      <c r="BX55">
        <f>0</f>
        <v>0</v>
      </c>
      <c r="BY55">
        <f>0</f>
        <v>0</v>
      </c>
      <c r="BZ55">
        <f>0</f>
        <v>0</v>
      </c>
      <c r="CA55">
        <f>0</f>
        <v>0</v>
      </c>
      <c r="CB55">
        <f>0</f>
        <v>0</v>
      </c>
      <c r="CC55">
        <f>0</f>
        <v>0</v>
      </c>
      <c r="CD55">
        <f>0</f>
        <v>0</v>
      </c>
      <c r="CE55">
        <f>0</f>
        <v>0</v>
      </c>
      <c r="CF55">
        <f>0</f>
        <v>0</v>
      </c>
      <c r="CG55">
        <f>0</f>
        <v>0</v>
      </c>
      <c r="CH55">
        <f>0</f>
        <v>0</v>
      </c>
      <c r="CI55">
        <f>0</f>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
  <sheetViews>
    <sheetView workbookViewId="0"/>
  </sheetViews>
  <sheetFormatPr defaultRowHeight="15" x14ac:dyDescent="0.25"/>
  <cols>
    <col min="1" max="1" width="70" customWidth="1"/>
  </cols>
  <sheetData>
    <row r="1" spans="1:4" x14ac:dyDescent="0.25">
      <c r="A1" s="6" t="s">
        <v>70</v>
      </c>
      <c r="B1" s="7"/>
      <c r="C1" s="7"/>
      <c r="D1" s="7"/>
    </row>
    <row r="2" spans="1:4" x14ac:dyDescent="0.25">
      <c r="A2" s="8" t="s">
        <v>71</v>
      </c>
    </row>
    <row r="3" spans="1:4" ht="20.100000000000001" customHeight="1" x14ac:dyDescent="0.25">
      <c r="A3" s="9" t="s">
        <v>72</v>
      </c>
      <c r="B3" s="9" t="s">
        <v>73</v>
      </c>
      <c r="C3" s="9" t="s">
        <v>74</v>
      </c>
      <c r="D3" s="9" t="s">
        <v>75</v>
      </c>
    </row>
    <row r="4" spans="1:4" x14ac:dyDescent="0.25">
      <c r="A4" t="s">
        <v>76</v>
      </c>
      <c r="B4">
        <f>COUNTIFS('Calibrated parameters'!$B$4:$B$175,Calcs!$A$5)</f>
        <v>172</v>
      </c>
      <c r="C4">
        <f>COUNT(Calcs!B4:CI4)*2</f>
        <v>172</v>
      </c>
      <c r="D4">
        <f>IF(B4&lt;&gt;C4,1,0)</f>
        <v>0</v>
      </c>
    </row>
    <row r="5" spans="1:4" x14ac:dyDescent="0.25">
      <c r="A5" t="s">
        <v>77</v>
      </c>
      <c r="B5">
        <f>MIN(Calcs!B23:CI37)</f>
        <v>11.897379199455481</v>
      </c>
      <c r="C5">
        <v>0</v>
      </c>
      <c r="D5">
        <f>IF(B5&lt;=C5,1,0)</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sheetPr>
  <dimension ref="A1:CI7"/>
  <sheetViews>
    <sheetView workbookViewId="0"/>
  </sheetViews>
  <sheetFormatPr defaultRowHeight="15" x14ac:dyDescent="0.25"/>
  <sheetData>
    <row r="1" spans="1:87" x14ac:dyDescent="0.25">
      <c r="A1" t="s">
        <v>78</v>
      </c>
      <c r="B1" t="s">
        <v>79</v>
      </c>
      <c r="C1" t="s">
        <v>80</v>
      </c>
      <c r="D1" t="s">
        <v>81</v>
      </c>
      <c r="E1" t="s">
        <v>82</v>
      </c>
      <c r="F1" t="s">
        <v>83</v>
      </c>
      <c r="G1" t="s">
        <v>84</v>
      </c>
      <c r="H1" t="s">
        <v>85</v>
      </c>
      <c r="I1" t="s">
        <v>86</v>
      </c>
      <c r="J1" t="s">
        <v>87</v>
      </c>
      <c r="K1" t="s">
        <v>88</v>
      </c>
      <c r="L1" t="s">
        <v>89</v>
      </c>
      <c r="M1" t="s">
        <v>90</v>
      </c>
      <c r="N1" t="s">
        <v>91</v>
      </c>
      <c r="O1" t="s">
        <v>92</v>
      </c>
      <c r="P1" t="s">
        <v>93</v>
      </c>
      <c r="Q1" t="s">
        <v>94</v>
      </c>
      <c r="R1" t="s">
        <v>95</v>
      </c>
      <c r="S1" t="s">
        <v>96</v>
      </c>
      <c r="T1" t="s">
        <v>97</v>
      </c>
      <c r="U1" t="s">
        <v>98</v>
      </c>
      <c r="V1" t="s">
        <v>99</v>
      </c>
      <c r="W1" t="s">
        <v>100</v>
      </c>
      <c r="X1" t="s">
        <v>101</v>
      </c>
      <c r="Y1" t="s">
        <v>102</v>
      </c>
      <c r="Z1" t="s">
        <v>103</v>
      </c>
      <c r="AA1" t="s">
        <v>104</v>
      </c>
      <c r="AB1" t="s">
        <v>105</v>
      </c>
      <c r="AC1" t="s">
        <v>106</v>
      </c>
      <c r="AD1" t="s">
        <v>107</v>
      </c>
      <c r="AE1" t="s">
        <v>108</v>
      </c>
      <c r="AF1" t="s">
        <v>109</v>
      </c>
      <c r="AG1" t="s">
        <v>110</v>
      </c>
      <c r="AH1" t="s">
        <v>111</v>
      </c>
      <c r="AI1" t="s">
        <v>112</v>
      </c>
      <c r="AJ1" t="s">
        <v>113</v>
      </c>
      <c r="AK1" t="s">
        <v>114</v>
      </c>
      <c r="AL1" t="s">
        <v>115</v>
      </c>
      <c r="AM1" t="s">
        <v>116</v>
      </c>
      <c r="AN1" t="s">
        <v>117</v>
      </c>
      <c r="AO1" t="s">
        <v>118</v>
      </c>
      <c r="AP1" t="s">
        <v>119</v>
      </c>
      <c r="AQ1" t="s">
        <v>120</v>
      </c>
      <c r="AR1" t="s">
        <v>121</v>
      </c>
      <c r="AS1" t="s">
        <v>122</v>
      </c>
      <c r="AT1" t="s">
        <v>123</v>
      </c>
      <c r="AU1" t="s">
        <v>124</v>
      </c>
      <c r="AV1" t="s">
        <v>125</v>
      </c>
      <c r="AW1" t="s">
        <v>126</v>
      </c>
      <c r="AX1" t="s">
        <v>127</v>
      </c>
      <c r="AY1" t="s">
        <v>128</v>
      </c>
      <c r="AZ1" t="s">
        <v>129</v>
      </c>
      <c r="BA1" t="s">
        <v>130</v>
      </c>
      <c r="BB1" t="s">
        <v>131</v>
      </c>
      <c r="BC1" t="s">
        <v>132</v>
      </c>
      <c r="BD1" t="s">
        <v>133</v>
      </c>
      <c r="BE1" t="s">
        <v>134</v>
      </c>
      <c r="BF1" t="s">
        <v>135</v>
      </c>
      <c r="BG1" t="s">
        <v>136</v>
      </c>
      <c r="BH1" t="s">
        <v>137</v>
      </c>
      <c r="BI1" t="s">
        <v>138</v>
      </c>
      <c r="BJ1" t="s">
        <v>139</v>
      </c>
      <c r="BK1" t="s">
        <v>140</v>
      </c>
      <c r="BL1" t="s">
        <v>141</v>
      </c>
      <c r="BM1" t="s">
        <v>142</v>
      </c>
      <c r="BN1" t="s">
        <v>143</v>
      </c>
      <c r="BO1" t="s">
        <v>144</v>
      </c>
      <c r="BP1" t="s">
        <v>145</v>
      </c>
      <c r="BQ1" t="s">
        <v>146</v>
      </c>
      <c r="BR1" t="s">
        <v>147</v>
      </c>
      <c r="BS1" t="s">
        <v>148</v>
      </c>
      <c r="BT1" t="s">
        <v>149</v>
      </c>
      <c r="BU1" t="s">
        <v>150</v>
      </c>
      <c r="BV1" t="s">
        <v>151</v>
      </c>
      <c r="BW1" t="s">
        <v>152</v>
      </c>
      <c r="BX1" t="s">
        <v>153</v>
      </c>
      <c r="BY1" t="s">
        <v>154</v>
      </c>
      <c r="BZ1" t="s">
        <v>155</v>
      </c>
      <c r="CA1" t="s">
        <v>156</v>
      </c>
      <c r="CB1" t="s">
        <v>157</v>
      </c>
      <c r="CC1" t="s">
        <v>158</v>
      </c>
      <c r="CD1" t="s">
        <v>159</v>
      </c>
      <c r="CE1" t="s">
        <v>160</v>
      </c>
      <c r="CF1" t="s">
        <v>161</v>
      </c>
      <c r="CG1" t="s">
        <v>162</v>
      </c>
      <c r="CH1" t="s">
        <v>163</v>
      </c>
      <c r="CI1" t="s">
        <v>164</v>
      </c>
    </row>
    <row r="2" spans="1:87" x14ac:dyDescent="0.25">
      <c r="A2" t="s">
        <v>39</v>
      </c>
      <c r="B2">
        <f>Calcs!B5</f>
        <v>1.6299000928983449</v>
      </c>
      <c r="C2">
        <f>Calcs!C5</f>
        <v>1.629900148568743</v>
      </c>
      <c r="D2">
        <f>Calcs!D5</f>
        <v>1.629900158188121</v>
      </c>
      <c r="E2">
        <f>Calcs!E5</f>
        <v>1.629900171904143</v>
      </c>
      <c r="F2">
        <f>Calcs!F5</f>
        <v>1.6299001978454939</v>
      </c>
      <c r="G2">
        <f>Calcs!G5</f>
        <v>1.6299002493497821</v>
      </c>
      <c r="H2">
        <f>Calcs!H5</f>
        <v>1.62990034594016</v>
      </c>
      <c r="I2">
        <f>Calcs!I5</f>
        <v>1.6299005432656051</v>
      </c>
      <c r="J2">
        <f>Calcs!J5</f>
        <v>1.6299003679356641</v>
      </c>
      <c r="K2">
        <f>Calcs!K5</f>
        <v>1.6299005791527219</v>
      </c>
      <c r="L2">
        <f>Calcs!L5</f>
        <v>1.6299010026337</v>
      </c>
      <c r="M2">
        <f>Calcs!M5</f>
        <v>1.617994119695668</v>
      </c>
      <c r="N2">
        <f>Calcs!N5</f>
        <v>1.626331009483118</v>
      </c>
      <c r="O2">
        <f>Calcs!O5</f>
        <v>1.608136866444791</v>
      </c>
      <c r="P2">
        <f>Calcs!P5</f>
        <v>1.610925004999926</v>
      </c>
      <c r="Q2">
        <f>Calcs!Q5</f>
        <v>1.6550088846306159</v>
      </c>
      <c r="R2">
        <f>Calcs!R5</f>
        <v>1.6483168386288931</v>
      </c>
      <c r="S2">
        <f>Calcs!S5</f>
        <v>1.6286658501102369</v>
      </c>
      <c r="T2">
        <f>Calcs!T5</f>
        <v>1.6120068162328429</v>
      </c>
      <c r="U2">
        <f>Calcs!U5</f>
        <v>1.6024123281259981</v>
      </c>
      <c r="V2">
        <f>Calcs!V5</f>
        <v>1.5940953124623021</v>
      </c>
      <c r="W2">
        <f>Calcs!W5</f>
        <v>1.5732869500119731</v>
      </c>
      <c r="X2">
        <f>Calcs!X5</f>
        <v>1.5794217351536499</v>
      </c>
      <c r="Y2">
        <f>Calcs!Y5</f>
        <v>1.565556855794402</v>
      </c>
      <c r="Z2">
        <f>Calcs!Z5</f>
        <v>1.545617039662778</v>
      </c>
      <c r="AA2">
        <f>Calcs!AA5</f>
        <v>1.553204985980593</v>
      </c>
      <c r="AB2">
        <f>Calcs!AB5</f>
        <v>1.552624808508035</v>
      </c>
      <c r="AC2">
        <f>Calcs!AC5</f>
        <v>1.5467009989087019</v>
      </c>
      <c r="AD2">
        <f>Calcs!AD5</f>
        <v>1.5380473999496049</v>
      </c>
      <c r="AE2">
        <f>Calcs!AE5</f>
        <v>1.4913173039305101</v>
      </c>
      <c r="AF2">
        <f>Calcs!AF5</f>
        <v>1.502179332512686</v>
      </c>
      <c r="AG2">
        <f>Calcs!AG5</f>
        <v>1.4948479288431991</v>
      </c>
      <c r="AH2">
        <f>Calcs!AH5</f>
        <v>1.482049895482578</v>
      </c>
      <c r="AI2">
        <f>Calcs!AI5</f>
        <v>1.4697994022185501</v>
      </c>
      <c r="AJ2">
        <f>Calcs!AJ5</f>
        <v>1.4696965649611911</v>
      </c>
      <c r="AK2">
        <f>Calcs!AK5</f>
        <v>1.473305283083334</v>
      </c>
      <c r="AL2">
        <f>Calcs!AL5</f>
        <v>1.4721586373573481</v>
      </c>
      <c r="AM2">
        <f>Calcs!AM5</f>
        <v>1.426469547356594</v>
      </c>
      <c r="AN2">
        <f>Calcs!AN5</f>
        <v>1.4191868031193331</v>
      </c>
      <c r="AO2">
        <f>Calcs!AO5</f>
        <v>1.4097246889059121</v>
      </c>
      <c r="AP2">
        <f>Calcs!AP5</f>
        <v>1.428456628663882</v>
      </c>
      <c r="AQ2">
        <f>Calcs!AQ5</f>
        <v>1.467094004013191</v>
      </c>
      <c r="AR2">
        <f>Calcs!AR5</f>
        <v>1.4742333248274959</v>
      </c>
      <c r="AS2">
        <f>Calcs!AS5</f>
        <v>1.47679324382471</v>
      </c>
      <c r="AT2">
        <f>Calcs!AT5</f>
        <v>1.5253886957382301</v>
      </c>
      <c r="AU2">
        <f>Calcs!AU5</f>
        <v>1.4988048573228669</v>
      </c>
      <c r="AV2">
        <f>Calcs!AV5</f>
        <v>1.466587323359599</v>
      </c>
      <c r="AW2">
        <f>Calcs!AW5</f>
        <v>1.508949126671332</v>
      </c>
      <c r="AX2">
        <f>Calcs!AX5</f>
        <v>1.507128837256055</v>
      </c>
      <c r="AY2">
        <f>Calcs!AY5</f>
        <v>1.4770418702477051</v>
      </c>
      <c r="AZ2">
        <f>Calcs!AZ5</f>
        <v>1.4631751811985241</v>
      </c>
      <c r="BA2">
        <f>Calcs!BA5</f>
        <v>1.441179276525802</v>
      </c>
      <c r="BB2">
        <f>Calcs!BB5</f>
        <v>1.4127373797759999</v>
      </c>
      <c r="BC2">
        <f>Calcs!BC5</f>
        <v>1.3885918681960241</v>
      </c>
      <c r="BD2">
        <f>Calcs!BD5</f>
        <v>1.368943889921713</v>
      </c>
      <c r="BE2">
        <f>Calcs!BE5</f>
        <v>1.3659324822525249</v>
      </c>
      <c r="BF2">
        <f>Calcs!BF5</f>
        <v>1.304838497718851</v>
      </c>
      <c r="BG2">
        <f>Calcs!BG5</f>
        <v>1.304262070434435</v>
      </c>
      <c r="BH2">
        <f>Calcs!BH5</f>
        <v>1.3065703986090309</v>
      </c>
      <c r="BI2">
        <f>Calcs!BI5</f>
        <v>1.293918333145732</v>
      </c>
      <c r="BJ2">
        <f>Calcs!BJ5</f>
        <v>1.290958415051398</v>
      </c>
      <c r="BK2">
        <f>Calcs!BK5</f>
        <v>1.2909583228184189</v>
      </c>
      <c r="BL2">
        <f>Calcs!BL5</f>
        <v>1.288608231459341</v>
      </c>
      <c r="BM2">
        <f>Calcs!BM5</f>
        <v>1.286235108662438</v>
      </c>
      <c r="BN2">
        <f>Calcs!BN5</f>
        <v>1.283829421438794</v>
      </c>
      <c r="BO2">
        <f>Calcs!BO5</f>
        <v>1.2813779734113999</v>
      </c>
      <c r="BP2">
        <f>Calcs!BP5</f>
        <v>1.2814857399637449</v>
      </c>
      <c r="BQ2">
        <f>Calcs!BQ5</f>
        <v>1.281594332998891</v>
      </c>
      <c r="BR2">
        <f>Calcs!BR5</f>
        <v>1.28170280696008</v>
      </c>
      <c r="BS2">
        <f>Calcs!BS5</f>
        <v>1.2818111611667791</v>
      </c>
      <c r="BT2">
        <f>Calcs!BT5</f>
        <v>1.2819193993325051</v>
      </c>
      <c r="BU2">
        <f>Calcs!BU5</f>
        <v>1.282027524529763</v>
      </c>
      <c r="BV2">
        <f>Calcs!BV5</f>
        <v>1.282135535415112</v>
      </c>
      <c r="BW2">
        <f>Calcs!BW5</f>
        <v>1.28224343427242</v>
      </c>
      <c r="BX2">
        <f>Calcs!BX5</f>
        <v>1.2823512252697979</v>
      </c>
      <c r="BY2">
        <f>Calcs!BY5</f>
        <v>1.2824589077697099</v>
      </c>
      <c r="BZ2">
        <f>Calcs!BZ5</f>
        <v>1.282135228918879</v>
      </c>
      <c r="CA2">
        <f>Calcs!CA5</f>
        <v>1.28180972902485</v>
      </c>
      <c r="CB2">
        <f>Calcs!CB5</f>
        <v>1.28148317504855</v>
      </c>
      <c r="CC2">
        <f>Calcs!CC5</f>
        <v>1.2811555221152859</v>
      </c>
      <c r="CD2">
        <f>Calcs!CD5</f>
        <v>1.2808267150688011</v>
      </c>
      <c r="CE2">
        <f>Calcs!CE5</f>
        <v>1.280496697539786</v>
      </c>
      <c r="CF2">
        <f>Calcs!CF5</f>
        <v>1.280165409984829</v>
      </c>
      <c r="CG2">
        <f>Calcs!CG5</f>
        <v>1.279832788952775</v>
      </c>
      <c r="CH2">
        <f>Calcs!CH5</f>
        <v>1.2794987668040481</v>
      </c>
      <c r="CI2">
        <f>Calcs!CI5</f>
        <v>1.2791622325450389</v>
      </c>
    </row>
    <row r="3" spans="1:87" x14ac:dyDescent="0.25">
      <c r="A3" t="s">
        <v>41</v>
      </c>
      <c r="B3">
        <f>Calcs!B6</f>
        <v>2.09</v>
      </c>
      <c r="C3">
        <f>Calcs!C6</f>
        <v>2.09</v>
      </c>
      <c r="D3">
        <f>Calcs!D6</f>
        <v>2.09</v>
      </c>
      <c r="E3">
        <f>Calcs!E6</f>
        <v>2.09</v>
      </c>
      <c r="F3">
        <f>Calcs!F6</f>
        <v>2.09</v>
      </c>
      <c r="G3">
        <f>Calcs!G6</f>
        <v>2.09</v>
      </c>
      <c r="H3">
        <f>Calcs!H6</f>
        <v>2.09</v>
      </c>
      <c r="I3">
        <f>Calcs!I6</f>
        <v>2.09</v>
      </c>
      <c r="J3">
        <f>Calcs!J6</f>
        <v>2.09</v>
      </c>
      <c r="K3">
        <f>Calcs!K6</f>
        <v>2.09</v>
      </c>
      <c r="L3">
        <f>Calcs!L6</f>
        <v>2.09</v>
      </c>
      <c r="M3">
        <f>Calcs!M6</f>
        <v>2.09</v>
      </c>
      <c r="N3">
        <f>Calcs!N6</f>
        <v>2.09</v>
      </c>
      <c r="O3">
        <f>Calcs!O6</f>
        <v>2.09</v>
      </c>
      <c r="P3">
        <f>Calcs!P6</f>
        <v>2.09</v>
      </c>
      <c r="Q3">
        <f>Calcs!Q6</f>
        <v>2.09</v>
      </c>
      <c r="R3">
        <f>Calcs!R6</f>
        <v>2.09</v>
      </c>
      <c r="S3">
        <f>Calcs!S6</f>
        <v>2.09</v>
      </c>
      <c r="T3">
        <f>Calcs!T6</f>
        <v>2.09</v>
      </c>
      <c r="U3">
        <f>Calcs!U6</f>
        <v>2.09</v>
      </c>
      <c r="V3">
        <f>Calcs!V6</f>
        <v>2.09</v>
      </c>
      <c r="W3">
        <f>Calcs!W6</f>
        <v>2.09</v>
      </c>
      <c r="X3">
        <f>Calcs!X6</f>
        <v>2.09</v>
      </c>
      <c r="Y3">
        <f>Calcs!Y6</f>
        <v>2.09</v>
      </c>
      <c r="Z3">
        <f>Calcs!Z6</f>
        <v>2.09</v>
      </c>
      <c r="AA3">
        <f>Calcs!AA6</f>
        <v>2.09</v>
      </c>
      <c r="AB3">
        <f>Calcs!AB6</f>
        <v>2.09</v>
      </c>
      <c r="AC3">
        <f>Calcs!AC6</f>
        <v>2.09</v>
      </c>
      <c r="AD3">
        <f>Calcs!AD6</f>
        <v>2.09</v>
      </c>
      <c r="AE3">
        <f>Calcs!AE6</f>
        <v>2.09</v>
      </c>
      <c r="AF3">
        <f>Calcs!AF6</f>
        <v>2.09</v>
      </c>
      <c r="AG3">
        <f>Calcs!AG6</f>
        <v>2.09</v>
      </c>
      <c r="AH3">
        <f>Calcs!AH6</f>
        <v>2.09</v>
      </c>
      <c r="AI3">
        <f>Calcs!AI6</f>
        <v>2.09</v>
      </c>
      <c r="AJ3">
        <f>Calcs!AJ6</f>
        <v>2.09</v>
      </c>
      <c r="AK3">
        <f>Calcs!AK6</f>
        <v>2.09</v>
      </c>
      <c r="AL3">
        <f>Calcs!AL6</f>
        <v>2.09</v>
      </c>
      <c r="AM3">
        <f>Calcs!AM6</f>
        <v>2.09</v>
      </c>
      <c r="AN3">
        <f>Calcs!AN6</f>
        <v>2.09</v>
      </c>
      <c r="AO3">
        <f>Calcs!AO6</f>
        <v>2.09</v>
      </c>
      <c r="AP3">
        <f>Calcs!AP6</f>
        <v>2.09</v>
      </c>
      <c r="AQ3">
        <f>Calcs!AQ6</f>
        <v>2.09</v>
      </c>
      <c r="AR3">
        <f>Calcs!AR6</f>
        <v>2.09</v>
      </c>
      <c r="AS3">
        <f>Calcs!AS6</f>
        <v>2.09</v>
      </c>
      <c r="AT3">
        <f>Calcs!AT6</f>
        <v>2.09</v>
      </c>
      <c r="AU3">
        <f>Calcs!AU6</f>
        <v>2.09</v>
      </c>
      <c r="AV3">
        <f>Calcs!AV6</f>
        <v>2.09</v>
      </c>
      <c r="AW3">
        <f>Calcs!AW6</f>
        <v>2.09</v>
      </c>
      <c r="AX3">
        <f>Calcs!AX6</f>
        <v>2.09</v>
      </c>
      <c r="AY3">
        <f>Calcs!AY6</f>
        <v>2.09</v>
      </c>
      <c r="AZ3">
        <f>Calcs!AZ6</f>
        <v>2.09</v>
      </c>
      <c r="BA3">
        <f>Calcs!BA6</f>
        <v>2.09</v>
      </c>
      <c r="BB3">
        <f>Calcs!BB6</f>
        <v>2.09</v>
      </c>
      <c r="BC3">
        <f>Calcs!BC6</f>
        <v>2.09</v>
      </c>
      <c r="BD3">
        <f>Calcs!BD6</f>
        <v>2.09</v>
      </c>
      <c r="BE3">
        <f>Calcs!BE6</f>
        <v>2.09</v>
      </c>
      <c r="BF3">
        <f>Calcs!BF6</f>
        <v>2.09</v>
      </c>
      <c r="BG3">
        <f>Calcs!BG6</f>
        <v>2.09</v>
      </c>
      <c r="BH3">
        <f>Calcs!BH6</f>
        <v>2.09</v>
      </c>
      <c r="BI3">
        <f>Calcs!BI6</f>
        <v>2.09</v>
      </c>
      <c r="BJ3">
        <f>Calcs!BJ6</f>
        <v>2.09</v>
      </c>
      <c r="BK3">
        <f>Calcs!BK6</f>
        <v>2.09</v>
      </c>
      <c r="BL3">
        <f>Calcs!BL6</f>
        <v>2.09</v>
      </c>
      <c r="BM3">
        <f>Calcs!BM6</f>
        <v>2.09</v>
      </c>
      <c r="BN3">
        <f>Calcs!BN6</f>
        <v>2.09</v>
      </c>
      <c r="BO3">
        <f>Calcs!BO6</f>
        <v>2.09</v>
      </c>
      <c r="BP3">
        <f>Calcs!BP6</f>
        <v>2.09</v>
      </c>
      <c r="BQ3">
        <f>Calcs!BQ6</f>
        <v>2.09</v>
      </c>
      <c r="BR3">
        <f>Calcs!BR6</f>
        <v>2.09</v>
      </c>
      <c r="BS3">
        <f>Calcs!BS6</f>
        <v>2.09</v>
      </c>
      <c r="BT3">
        <f>Calcs!BT6</f>
        <v>2.09</v>
      </c>
      <c r="BU3">
        <f>Calcs!BU6</f>
        <v>2.09</v>
      </c>
      <c r="BV3">
        <f>Calcs!BV6</f>
        <v>2.09</v>
      </c>
      <c r="BW3">
        <f>Calcs!BW6</f>
        <v>2.09</v>
      </c>
      <c r="BX3">
        <f>Calcs!BX6</f>
        <v>2.09</v>
      </c>
      <c r="BY3">
        <f>Calcs!BY6</f>
        <v>2.09</v>
      </c>
      <c r="BZ3">
        <f>Calcs!BZ6</f>
        <v>2.09</v>
      </c>
      <c r="CA3">
        <f>Calcs!CA6</f>
        <v>2.09</v>
      </c>
      <c r="CB3">
        <f>Calcs!CB6</f>
        <v>2.09</v>
      </c>
      <c r="CC3">
        <f>Calcs!CC6</f>
        <v>2.09</v>
      </c>
      <c r="CD3">
        <f>Calcs!CD6</f>
        <v>2.09</v>
      </c>
      <c r="CE3">
        <f>Calcs!CE6</f>
        <v>2.09</v>
      </c>
      <c r="CF3">
        <f>Calcs!CF6</f>
        <v>2.09</v>
      </c>
      <c r="CG3">
        <f>Calcs!CG6</f>
        <v>2.09</v>
      </c>
      <c r="CH3">
        <f>Calcs!CH6</f>
        <v>2.09</v>
      </c>
      <c r="CI3">
        <f>Calcs!CI6</f>
        <v>2.09</v>
      </c>
    </row>
    <row r="4" spans="1:87" x14ac:dyDescent="0.25">
      <c r="A4" t="s">
        <v>43</v>
      </c>
      <c r="B4">
        <f>Calcs!B7</f>
        <v>2</v>
      </c>
      <c r="C4">
        <f>Calcs!C7</f>
        <v>2</v>
      </c>
      <c r="D4">
        <f>Calcs!D7</f>
        <v>2</v>
      </c>
      <c r="E4">
        <f>Calcs!E7</f>
        <v>2</v>
      </c>
      <c r="F4">
        <f>Calcs!F7</f>
        <v>2</v>
      </c>
      <c r="G4">
        <f>Calcs!G7</f>
        <v>2</v>
      </c>
      <c r="H4">
        <f>Calcs!H7</f>
        <v>2</v>
      </c>
      <c r="I4">
        <f>Calcs!I7</f>
        <v>2</v>
      </c>
      <c r="J4">
        <f>Calcs!J7</f>
        <v>2</v>
      </c>
      <c r="K4">
        <f>Calcs!K7</f>
        <v>2</v>
      </c>
      <c r="L4">
        <f>Calcs!L7</f>
        <v>2</v>
      </c>
      <c r="M4">
        <f>Calcs!M7</f>
        <v>2</v>
      </c>
      <c r="N4">
        <f>Calcs!N7</f>
        <v>2</v>
      </c>
      <c r="O4">
        <f>Calcs!O7</f>
        <v>2</v>
      </c>
      <c r="P4">
        <f>Calcs!P7</f>
        <v>2</v>
      </c>
      <c r="Q4">
        <f>Calcs!Q7</f>
        <v>2</v>
      </c>
      <c r="R4">
        <f>Calcs!R7</f>
        <v>2</v>
      </c>
      <c r="S4">
        <f>Calcs!S7</f>
        <v>2</v>
      </c>
      <c r="T4">
        <f>Calcs!T7</f>
        <v>2</v>
      </c>
      <c r="U4">
        <f>Calcs!U7</f>
        <v>2</v>
      </c>
      <c r="V4">
        <f>Calcs!V7</f>
        <v>2</v>
      </c>
      <c r="W4">
        <f>Calcs!W7</f>
        <v>2</v>
      </c>
      <c r="X4">
        <f>Calcs!X7</f>
        <v>2</v>
      </c>
      <c r="Y4">
        <f>Calcs!Y7</f>
        <v>2</v>
      </c>
      <c r="Z4">
        <f>Calcs!Z7</f>
        <v>2</v>
      </c>
      <c r="AA4">
        <f>Calcs!AA7</f>
        <v>2</v>
      </c>
      <c r="AB4">
        <f>Calcs!AB7</f>
        <v>2</v>
      </c>
      <c r="AC4">
        <f>Calcs!AC7</f>
        <v>2</v>
      </c>
      <c r="AD4">
        <f>Calcs!AD7</f>
        <v>2</v>
      </c>
      <c r="AE4">
        <f>Calcs!AE7</f>
        <v>2</v>
      </c>
      <c r="AF4">
        <f>Calcs!AF7</f>
        <v>2</v>
      </c>
      <c r="AG4">
        <f>Calcs!AG7</f>
        <v>2</v>
      </c>
      <c r="AH4">
        <f>Calcs!AH7</f>
        <v>2</v>
      </c>
      <c r="AI4">
        <f>Calcs!AI7</f>
        <v>2</v>
      </c>
      <c r="AJ4">
        <f>Calcs!AJ7</f>
        <v>2</v>
      </c>
      <c r="AK4">
        <f>Calcs!AK7</f>
        <v>2</v>
      </c>
      <c r="AL4">
        <f>Calcs!AL7</f>
        <v>2</v>
      </c>
      <c r="AM4">
        <f>Calcs!AM7</f>
        <v>2</v>
      </c>
      <c r="AN4">
        <f>Calcs!AN7</f>
        <v>2</v>
      </c>
      <c r="AO4">
        <f>Calcs!AO7</f>
        <v>2</v>
      </c>
      <c r="AP4">
        <f>Calcs!AP7</f>
        <v>2</v>
      </c>
      <c r="AQ4">
        <f>Calcs!AQ7</f>
        <v>2</v>
      </c>
      <c r="AR4">
        <f>Calcs!AR7</f>
        <v>2</v>
      </c>
      <c r="AS4">
        <f>Calcs!AS7</f>
        <v>2</v>
      </c>
      <c r="AT4">
        <f>Calcs!AT7</f>
        <v>2</v>
      </c>
      <c r="AU4">
        <f>Calcs!AU7</f>
        <v>2</v>
      </c>
      <c r="AV4">
        <f>Calcs!AV7</f>
        <v>2</v>
      </c>
      <c r="AW4">
        <f>Calcs!AW7</f>
        <v>2</v>
      </c>
      <c r="AX4">
        <f>Calcs!AX7</f>
        <v>2</v>
      </c>
      <c r="AY4">
        <f>Calcs!AY7</f>
        <v>2</v>
      </c>
      <c r="AZ4">
        <f>Calcs!AZ7</f>
        <v>2</v>
      </c>
      <c r="BA4">
        <f>Calcs!BA7</f>
        <v>2</v>
      </c>
      <c r="BB4">
        <f>Calcs!BB7</f>
        <v>2</v>
      </c>
      <c r="BC4">
        <f>Calcs!BC7</f>
        <v>2</v>
      </c>
      <c r="BD4">
        <f>Calcs!BD7</f>
        <v>2</v>
      </c>
      <c r="BE4">
        <f>Calcs!BE7</f>
        <v>2</v>
      </c>
      <c r="BF4">
        <f>Calcs!BF7</f>
        <v>2</v>
      </c>
      <c r="BG4">
        <f>Calcs!BG7</f>
        <v>2</v>
      </c>
      <c r="BH4">
        <f>Calcs!BH7</f>
        <v>2</v>
      </c>
      <c r="BI4">
        <f>Calcs!BI7</f>
        <v>2</v>
      </c>
      <c r="BJ4">
        <f>Calcs!BJ7</f>
        <v>2</v>
      </c>
      <c r="BK4">
        <f>Calcs!BK7</f>
        <v>2</v>
      </c>
      <c r="BL4">
        <f>Calcs!BL7</f>
        <v>2</v>
      </c>
      <c r="BM4">
        <f>Calcs!BM7</f>
        <v>2</v>
      </c>
      <c r="BN4">
        <f>Calcs!BN7</f>
        <v>2</v>
      </c>
      <c r="BO4">
        <f>Calcs!BO7</f>
        <v>2</v>
      </c>
      <c r="BP4">
        <f>Calcs!BP7</f>
        <v>2</v>
      </c>
      <c r="BQ4">
        <f>Calcs!BQ7</f>
        <v>2</v>
      </c>
      <c r="BR4">
        <f>Calcs!BR7</f>
        <v>2</v>
      </c>
      <c r="BS4">
        <f>Calcs!BS7</f>
        <v>2</v>
      </c>
      <c r="BT4">
        <f>Calcs!BT7</f>
        <v>2</v>
      </c>
      <c r="BU4">
        <f>Calcs!BU7</f>
        <v>2</v>
      </c>
      <c r="BV4">
        <f>Calcs!BV7</f>
        <v>2</v>
      </c>
      <c r="BW4">
        <f>Calcs!BW7</f>
        <v>2</v>
      </c>
      <c r="BX4">
        <f>Calcs!BX7</f>
        <v>2</v>
      </c>
      <c r="BY4">
        <f>Calcs!BY7</f>
        <v>2</v>
      </c>
      <c r="BZ4">
        <f>Calcs!BZ7</f>
        <v>2</v>
      </c>
      <c r="CA4">
        <f>Calcs!CA7</f>
        <v>2</v>
      </c>
      <c r="CB4">
        <f>Calcs!CB7</f>
        <v>2</v>
      </c>
      <c r="CC4">
        <f>Calcs!CC7</f>
        <v>2</v>
      </c>
      <c r="CD4">
        <f>Calcs!CD7</f>
        <v>2</v>
      </c>
      <c r="CE4">
        <f>Calcs!CE7</f>
        <v>2</v>
      </c>
      <c r="CF4">
        <f>Calcs!CF7</f>
        <v>2</v>
      </c>
      <c r="CG4">
        <f>Calcs!CG7</f>
        <v>2</v>
      </c>
      <c r="CH4">
        <f>Calcs!CH7</f>
        <v>2</v>
      </c>
      <c r="CI4">
        <f>Calcs!CI7</f>
        <v>2</v>
      </c>
    </row>
    <row r="5" spans="1:87" x14ac:dyDescent="0.25">
      <c r="A5" t="s">
        <v>44</v>
      </c>
      <c r="B5">
        <f>Calcs!B8</f>
        <v>2</v>
      </c>
      <c r="C5">
        <f>Calcs!C8</f>
        <v>2</v>
      </c>
      <c r="D5">
        <f>Calcs!D8</f>
        <v>2</v>
      </c>
      <c r="E5">
        <f>Calcs!E8</f>
        <v>2</v>
      </c>
      <c r="F5">
        <f>Calcs!F8</f>
        <v>2</v>
      </c>
      <c r="G5">
        <f>Calcs!G8</f>
        <v>2</v>
      </c>
      <c r="H5">
        <f>Calcs!H8</f>
        <v>2</v>
      </c>
      <c r="I5">
        <f>Calcs!I8</f>
        <v>2</v>
      </c>
      <c r="J5">
        <f>Calcs!J8</f>
        <v>2</v>
      </c>
      <c r="K5">
        <f>Calcs!K8</f>
        <v>2</v>
      </c>
      <c r="L5">
        <f>Calcs!L8</f>
        <v>2</v>
      </c>
      <c r="M5">
        <f>Calcs!M8</f>
        <v>2</v>
      </c>
      <c r="N5">
        <f>Calcs!N8</f>
        <v>2</v>
      </c>
      <c r="O5">
        <f>Calcs!O8</f>
        <v>2</v>
      </c>
      <c r="P5">
        <f>Calcs!P8</f>
        <v>2</v>
      </c>
      <c r="Q5">
        <f>Calcs!Q8</f>
        <v>2</v>
      </c>
      <c r="R5">
        <f>Calcs!R8</f>
        <v>2</v>
      </c>
      <c r="S5">
        <f>Calcs!S8</f>
        <v>2</v>
      </c>
      <c r="T5">
        <f>Calcs!T8</f>
        <v>2</v>
      </c>
      <c r="U5">
        <f>Calcs!U8</f>
        <v>2</v>
      </c>
      <c r="V5">
        <f>Calcs!V8</f>
        <v>2</v>
      </c>
      <c r="W5">
        <f>Calcs!W8</f>
        <v>2</v>
      </c>
      <c r="X5">
        <f>Calcs!X8</f>
        <v>2</v>
      </c>
      <c r="Y5">
        <f>Calcs!Y8</f>
        <v>2</v>
      </c>
      <c r="Z5">
        <f>Calcs!Z8</f>
        <v>2</v>
      </c>
      <c r="AA5">
        <f>Calcs!AA8</f>
        <v>2</v>
      </c>
      <c r="AB5">
        <f>Calcs!AB8</f>
        <v>2</v>
      </c>
      <c r="AC5">
        <f>Calcs!AC8</f>
        <v>2</v>
      </c>
      <c r="AD5">
        <f>Calcs!AD8</f>
        <v>2</v>
      </c>
      <c r="AE5">
        <f>Calcs!AE8</f>
        <v>2</v>
      </c>
      <c r="AF5">
        <f>Calcs!AF8</f>
        <v>2</v>
      </c>
      <c r="AG5">
        <f>Calcs!AG8</f>
        <v>2</v>
      </c>
      <c r="AH5">
        <f>Calcs!AH8</f>
        <v>2</v>
      </c>
      <c r="AI5">
        <f>Calcs!AI8</f>
        <v>2</v>
      </c>
      <c r="AJ5">
        <f>Calcs!AJ8</f>
        <v>2</v>
      </c>
      <c r="AK5">
        <f>Calcs!AK8</f>
        <v>2</v>
      </c>
      <c r="AL5">
        <f>Calcs!AL8</f>
        <v>2</v>
      </c>
      <c r="AM5">
        <f>Calcs!AM8</f>
        <v>2</v>
      </c>
      <c r="AN5">
        <f>Calcs!AN8</f>
        <v>2</v>
      </c>
      <c r="AO5">
        <f>Calcs!AO8</f>
        <v>2</v>
      </c>
      <c r="AP5">
        <f>Calcs!AP8</f>
        <v>2</v>
      </c>
      <c r="AQ5">
        <f>Calcs!AQ8</f>
        <v>2</v>
      </c>
      <c r="AR5">
        <f>Calcs!AR8</f>
        <v>2</v>
      </c>
      <c r="AS5">
        <f>Calcs!AS8</f>
        <v>2</v>
      </c>
      <c r="AT5">
        <f>Calcs!AT8</f>
        <v>2</v>
      </c>
      <c r="AU5">
        <f>Calcs!AU8</f>
        <v>2</v>
      </c>
      <c r="AV5">
        <f>Calcs!AV8</f>
        <v>2</v>
      </c>
      <c r="AW5">
        <f>Calcs!AW8</f>
        <v>2</v>
      </c>
      <c r="AX5">
        <f>Calcs!AX8</f>
        <v>2</v>
      </c>
      <c r="AY5">
        <f>Calcs!AY8</f>
        <v>2</v>
      </c>
      <c r="AZ5">
        <f>Calcs!AZ8</f>
        <v>2</v>
      </c>
      <c r="BA5">
        <f>Calcs!BA8</f>
        <v>2</v>
      </c>
      <c r="BB5">
        <f>Calcs!BB8</f>
        <v>2</v>
      </c>
      <c r="BC5">
        <f>Calcs!BC8</f>
        <v>2</v>
      </c>
      <c r="BD5">
        <f>Calcs!BD8</f>
        <v>2</v>
      </c>
      <c r="BE5">
        <f>Calcs!BE8</f>
        <v>2</v>
      </c>
      <c r="BF5">
        <f>Calcs!BF8</f>
        <v>2</v>
      </c>
      <c r="BG5">
        <f>Calcs!BG8</f>
        <v>2</v>
      </c>
      <c r="BH5">
        <f>Calcs!BH8</f>
        <v>2</v>
      </c>
      <c r="BI5">
        <f>Calcs!BI8</f>
        <v>2</v>
      </c>
      <c r="BJ5">
        <f>Calcs!BJ8</f>
        <v>2</v>
      </c>
      <c r="BK5">
        <f>Calcs!BK8</f>
        <v>2</v>
      </c>
      <c r="BL5">
        <f>Calcs!BL8</f>
        <v>2</v>
      </c>
      <c r="BM5">
        <f>Calcs!BM8</f>
        <v>2</v>
      </c>
      <c r="BN5">
        <f>Calcs!BN8</f>
        <v>2</v>
      </c>
      <c r="BO5">
        <f>Calcs!BO8</f>
        <v>2</v>
      </c>
      <c r="BP5">
        <f>Calcs!BP8</f>
        <v>2</v>
      </c>
      <c r="BQ5">
        <f>Calcs!BQ8</f>
        <v>2</v>
      </c>
      <c r="BR5">
        <f>Calcs!BR8</f>
        <v>2</v>
      </c>
      <c r="BS5">
        <f>Calcs!BS8</f>
        <v>2</v>
      </c>
      <c r="BT5">
        <f>Calcs!BT8</f>
        <v>2</v>
      </c>
      <c r="BU5">
        <f>Calcs!BU8</f>
        <v>2</v>
      </c>
      <c r="BV5">
        <f>Calcs!BV8</f>
        <v>2</v>
      </c>
      <c r="BW5">
        <f>Calcs!BW8</f>
        <v>2</v>
      </c>
      <c r="BX5">
        <f>Calcs!BX8</f>
        <v>2</v>
      </c>
      <c r="BY5">
        <f>Calcs!BY8</f>
        <v>2</v>
      </c>
      <c r="BZ5">
        <f>Calcs!BZ8</f>
        <v>2</v>
      </c>
      <c r="CA5">
        <f>Calcs!CA8</f>
        <v>2</v>
      </c>
      <c r="CB5">
        <f>Calcs!CB8</f>
        <v>2</v>
      </c>
      <c r="CC5">
        <f>Calcs!CC8</f>
        <v>2</v>
      </c>
      <c r="CD5">
        <f>Calcs!CD8</f>
        <v>2</v>
      </c>
      <c r="CE5">
        <f>Calcs!CE8</f>
        <v>2</v>
      </c>
      <c r="CF5">
        <f>Calcs!CF8</f>
        <v>2</v>
      </c>
      <c r="CG5">
        <f>Calcs!CG8</f>
        <v>2</v>
      </c>
      <c r="CH5">
        <f>Calcs!CH8</f>
        <v>2</v>
      </c>
      <c r="CI5">
        <f>Calcs!CI8</f>
        <v>2</v>
      </c>
    </row>
    <row r="6" spans="1:87" x14ac:dyDescent="0.25">
      <c r="A6" t="s">
        <v>45</v>
      </c>
      <c r="B6">
        <f>Calcs!B9</f>
        <v>2</v>
      </c>
      <c r="C6">
        <f>Calcs!C9</f>
        <v>2</v>
      </c>
      <c r="D6">
        <f>Calcs!D9</f>
        <v>2</v>
      </c>
      <c r="E6">
        <f>Calcs!E9</f>
        <v>2</v>
      </c>
      <c r="F6">
        <f>Calcs!F9</f>
        <v>2</v>
      </c>
      <c r="G6">
        <f>Calcs!G9</f>
        <v>2</v>
      </c>
      <c r="H6">
        <f>Calcs!H9</f>
        <v>2</v>
      </c>
      <c r="I6">
        <f>Calcs!I9</f>
        <v>2</v>
      </c>
      <c r="J6">
        <f>Calcs!J9</f>
        <v>2</v>
      </c>
      <c r="K6">
        <f>Calcs!K9</f>
        <v>2</v>
      </c>
      <c r="L6">
        <f>Calcs!L9</f>
        <v>2</v>
      </c>
      <c r="M6">
        <f>Calcs!M9</f>
        <v>2</v>
      </c>
      <c r="N6">
        <f>Calcs!N9</f>
        <v>2</v>
      </c>
      <c r="O6">
        <f>Calcs!O9</f>
        <v>2</v>
      </c>
      <c r="P6">
        <f>Calcs!P9</f>
        <v>2</v>
      </c>
      <c r="Q6">
        <f>Calcs!Q9</f>
        <v>2</v>
      </c>
      <c r="R6">
        <f>Calcs!R9</f>
        <v>2</v>
      </c>
      <c r="S6">
        <f>Calcs!S9</f>
        <v>2</v>
      </c>
      <c r="T6">
        <f>Calcs!T9</f>
        <v>2</v>
      </c>
      <c r="U6">
        <f>Calcs!U9</f>
        <v>2</v>
      </c>
      <c r="V6">
        <f>Calcs!V9</f>
        <v>2</v>
      </c>
      <c r="W6">
        <f>Calcs!W9</f>
        <v>2</v>
      </c>
      <c r="X6">
        <f>Calcs!X9</f>
        <v>2</v>
      </c>
      <c r="Y6">
        <f>Calcs!Y9</f>
        <v>2</v>
      </c>
      <c r="Z6">
        <f>Calcs!Z9</f>
        <v>2</v>
      </c>
      <c r="AA6">
        <f>Calcs!AA9</f>
        <v>2</v>
      </c>
      <c r="AB6">
        <f>Calcs!AB9</f>
        <v>2</v>
      </c>
      <c r="AC6">
        <f>Calcs!AC9</f>
        <v>2</v>
      </c>
      <c r="AD6">
        <f>Calcs!AD9</f>
        <v>2</v>
      </c>
      <c r="AE6">
        <f>Calcs!AE9</f>
        <v>2</v>
      </c>
      <c r="AF6">
        <f>Calcs!AF9</f>
        <v>2</v>
      </c>
      <c r="AG6">
        <f>Calcs!AG9</f>
        <v>2</v>
      </c>
      <c r="AH6">
        <f>Calcs!AH9</f>
        <v>2</v>
      </c>
      <c r="AI6">
        <f>Calcs!AI9</f>
        <v>2</v>
      </c>
      <c r="AJ6">
        <f>Calcs!AJ9</f>
        <v>2</v>
      </c>
      <c r="AK6">
        <f>Calcs!AK9</f>
        <v>2</v>
      </c>
      <c r="AL6">
        <f>Calcs!AL9</f>
        <v>2</v>
      </c>
      <c r="AM6">
        <f>Calcs!AM9</f>
        <v>2</v>
      </c>
      <c r="AN6">
        <f>Calcs!AN9</f>
        <v>2</v>
      </c>
      <c r="AO6">
        <f>Calcs!AO9</f>
        <v>2</v>
      </c>
      <c r="AP6">
        <f>Calcs!AP9</f>
        <v>2</v>
      </c>
      <c r="AQ6">
        <f>Calcs!AQ9</f>
        <v>2</v>
      </c>
      <c r="AR6">
        <f>Calcs!AR9</f>
        <v>2</v>
      </c>
      <c r="AS6">
        <f>Calcs!AS9</f>
        <v>2</v>
      </c>
      <c r="AT6">
        <f>Calcs!AT9</f>
        <v>2</v>
      </c>
      <c r="AU6">
        <f>Calcs!AU9</f>
        <v>2</v>
      </c>
      <c r="AV6">
        <f>Calcs!AV9</f>
        <v>2</v>
      </c>
      <c r="AW6">
        <f>Calcs!AW9</f>
        <v>2</v>
      </c>
      <c r="AX6">
        <f>Calcs!AX9</f>
        <v>2</v>
      </c>
      <c r="AY6">
        <f>Calcs!AY9</f>
        <v>2</v>
      </c>
      <c r="AZ6">
        <f>Calcs!AZ9</f>
        <v>2</v>
      </c>
      <c r="BA6">
        <f>Calcs!BA9</f>
        <v>2</v>
      </c>
      <c r="BB6">
        <f>Calcs!BB9</f>
        <v>2</v>
      </c>
      <c r="BC6">
        <f>Calcs!BC9</f>
        <v>2</v>
      </c>
      <c r="BD6">
        <f>Calcs!BD9</f>
        <v>2</v>
      </c>
      <c r="BE6">
        <f>Calcs!BE9</f>
        <v>2</v>
      </c>
      <c r="BF6">
        <f>Calcs!BF9</f>
        <v>2</v>
      </c>
      <c r="BG6">
        <f>Calcs!BG9</f>
        <v>2</v>
      </c>
      <c r="BH6">
        <f>Calcs!BH9</f>
        <v>2</v>
      </c>
      <c r="BI6">
        <f>Calcs!BI9</f>
        <v>2</v>
      </c>
      <c r="BJ6">
        <f>Calcs!BJ9</f>
        <v>2</v>
      </c>
      <c r="BK6">
        <f>Calcs!BK9</f>
        <v>2</v>
      </c>
      <c r="BL6">
        <f>Calcs!BL9</f>
        <v>2</v>
      </c>
      <c r="BM6">
        <f>Calcs!BM9</f>
        <v>2</v>
      </c>
      <c r="BN6">
        <f>Calcs!BN9</f>
        <v>2</v>
      </c>
      <c r="BO6">
        <f>Calcs!BO9</f>
        <v>2</v>
      </c>
      <c r="BP6">
        <f>Calcs!BP9</f>
        <v>2</v>
      </c>
      <c r="BQ6">
        <f>Calcs!BQ9</f>
        <v>2</v>
      </c>
      <c r="BR6">
        <f>Calcs!BR9</f>
        <v>2</v>
      </c>
      <c r="BS6">
        <f>Calcs!BS9</f>
        <v>2</v>
      </c>
      <c r="BT6">
        <f>Calcs!BT9</f>
        <v>2</v>
      </c>
      <c r="BU6">
        <f>Calcs!BU9</f>
        <v>2</v>
      </c>
      <c r="BV6">
        <f>Calcs!BV9</f>
        <v>2</v>
      </c>
      <c r="BW6">
        <f>Calcs!BW9</f>
        <v>2</v>
      </c>
      <c r="BX6">
        <f>Calcs!BX9</f>
        <v>2</v>
      </c>
      <c r="BY6">
        <f>Calcs!BY9</f>
        <v>2</v>
      </c>
      <c r="BZ6">
        <f>Calcs!BZ9</f>
        <v>2</v>
      </c>
      <c r="CA6">
        <f>Calcs!CA9</f>
        <v>2</v>
      </c>
      <c r="CB6">
        <f>Calcs!CB9</f>
        <v>2</v>
      </c>
      <c r="CC6">
        <f>Calcs!CC9</f>
        <v>2</v>
      </c>
      <c r="CD6">
        <f>Calcs!CD9</f>
        <v>2</v>
      </c>
      <c r="CE6">
        <f>Calcs!CE9</f>
        <v>2</v>
      </c>
      <c r="CF6">
        <f>Calcs!CF9</f>
        <v>2</v>
      </c>
      <c r="CG6">
        <f>Calcs!CG9</f>
        <v>2</v>
      </c>
      <c r="CH6">
        <f>Calcs!CH9</f>
        <v>2</v>
      </c>
      <c r="CI6">
        <f>Calcs!CI9</f>
        <v>2</v>
      </c>
    </row>
    <row r="7" spans="1:87" x14ac:dyDescent="0.25">
      <c r="A7" t="s">
        <v>46</v>
      </c>
      <c r="B7">
        <f>Calcs!B10</f>
        <v>1.06</v>
      </c>
      <c r="C7">
        <f>Calcs!C10</f>
        <v>1.06</v>
      </c>
      <c r="D7">
        <f>Calcs!D10</f>
        <v>1.06</v>
      </c>
      <c r="E7">
        <f>Calcs!E10</f>
        <v>1.06</v>
      </c>
      <c r="F7">
        <f>Calcs!F10</f>
        <v>1.06</v>
      </c>
      <c r="G7">
        <f>Calcs!G10</f>
        <v>1.06</v>
      </c>
      <c r="H7">
        <f>Calcs!H10</f>
        <v>1.06</v>
      </c>
      <c r="I7">
        <f>Calcs!I10</f>
        <v>1.06</v>
      </c>
      <c r="J7">
        <f>Calcs!J10</f>
        <v>1.06</v>
      </c>
      <c r="K7">
        <f>Calcs!K10</f>
        <v>1.06</v>
      </c>
      <c r="L7">
        <f>Calcs!L10</f>
        <v>1.06</v>
      </c>
      <c r="M7">
        <f>Calcs!M10</f>
        <v>1.06</v>
      </c>
      <c r="N7">
        <f>Calcs!N10</f>
        <v>1.06</v>
      </c>
      <c r="O7">
        <f>Calcs!O10</f>
        <v>1.06</v>
      </c>
      <c r="P7">
        <f>Calcs!P10</f>
        <v>1.06</v>
      </c>
      <c r="Q7">
        <f>Calcs!Q10</f>
        <v>1.06</v>
      </c>
      <c r="R7">
        <f>Calcs!R10</f>
        <v>1.06</v>
      </c>
      <c r="S7">
        <f>Calcs!S10</f>
        <v>1.06</v>
      </c>
      <c r="T7">
        <f>Calcs!T10</f>
        <v>1.06</v>
      </c>
      <c r="U7">
        <f>Calcs!U10</f>
        <v>1.06</v>
      </c>
      <c r="V7">
        <f>Calcs!V10</f>
        <v>1.06</v>
      </c>
      <c r="W7">
        <f>Calcs!W10</f>
        <v>1.06</v>
      </c>
      <c r="X7">
        <f>Calcs!X10</f>
        <v>1.06</v>
      </c>
      <c r="Y7">
        <f>Calcs!Y10</f>
        <v>1.06</v>
      </c>
      <c r="Z7">
        <f>Calcs!Z10</f>
        <v>1.06</v>
      </c>
      <c r="AA7">
        <f>Calcs!AA10</f>
        <v>1.06</v>
      </c>
      <c r="AB7">
        <f>Calcs!AB10</f>
        <v>1.06</v>
      </c>
      <c r="AC7">
        <f>Calcs!AC10</f>
        <v>1.06</v>
      </c>
      <c r="AD7">
        <f>Calcs!AD10</f>
        <v>1.06</v>
      </c>
      <c r="AE7">
        <f>Calcs!AE10</f>
        <v>1.06</v>
      </c>
      <c r="AF7">
        <f>Calcs!AF10</f>
        <v>1.06</v>
      </c>
      <c r="AG7">
        <f>Calcs!AG10</f>
        <v>1.06</v>
      </c>
      <c r="AH7">
        <f>Calcs!AH10</f>
        <v>1.06</v>
      </c>
      <c r="AI7">
        <f>Calcs!AI10</f>
        <v>1.06</v>
      </c>
      <c r="AJ7">
        <f>Calcs!AJ10</f>
        <v>1.06</v>
      </c>
      <c r="AK7">
        <f>Calcs!AK10</f>
        <v>1.06</v>
      </c>
      <c r="AL7">
        <f>Calcs!AL10</f>
        <v>1.06</v>
      </c>
      <c r="AM7">
        <f>Calcs!AM10</f>
        <v>1.06</v>
      </c>
      <c r="AN7">
        <f>Calcs!AN10</f>
        <v>1.06</v>
      </c>
      <c r="AO7">
        <f>Calcs!AO10</f>
        <v>1.06</v>
      </c>
      <c r="AP7">
        <f>Calcs!AP10</f>
        <v>1.06</v>
      </c>
      <c r="AQ7">
        <f>Calcs!AQ10</f>
        <v>1.06</v>
      </c>
      <c r="AR7">
        <f>Calcs!AR10</f>
        <v>1.06</v>
      </c>
      <c r="AS7">
        <f>Calcs!AS10</f>
        <v>1.06</v>
      </c>
      <c r="AT7">
        <f>Calcs!AT10</f>
        <v>1.06</v>
      </c>
      <c r="AU7">
        <f>Calcs!AU10</f>
        <v>1.06</v>
      </c>
      <c r="AV7">
        <f>Calcs!AV10</f>
        <v>1.06</v>
      </c>
      <c r="AW7">
        <f>Calcs!AW10</f>
        <v>1.06</v>
      </c>
      <c r="AX7">
        <f>Calcs!AX10</f>
        <v>1.06</v>
      </c>
      <c r="AY7">
        <f>Calcs!AY10</f>
        <v>1.06</v>
      </c>
      <c r="AZ7">
        <f>Calcs!AZ10</f>
        <v>1.06</v>
      </c>
      <c r="BA7">
        <f>Calcs!BA10</f>
        <v>1.06</v>
      </c>
      <c r="BB7">
        <f>Calcs!BB10</f>
        <v>1.06</v>
      </c>
      <c r="BC7">
        <f>Calcs!BC10</f>
        <v>1.06</v>
      </c>
      <c r="BD7">
        <f>Calcs!BD10</f>
        <v>1.06</v>
      </c>
      <c r="BE7">
        <f>Calcs!BE10</f>
        <v>1.06</v>
      </c>
      <c r="BF7">
        <f>Calcs!BF10</f>
        <v>1.06</v>
      </c>
      <c r="BG7">
        <f>Calcs!BG10</f>
        <v>1.06</v>
      </c>
      <c r="BH7">
        <f>Calcs!BH10</f>
        <v>1.06</v>
      </c>
      <c r="BI7">
        <f>Calcs!BI10</f>
        <v>1.06</v>
      </c>
      <c r="BJ7">
        <f>Calcs!BJ10</f>
        <v>1.06</v>
      </c>
      <c r="BK7">
        <f>Calcs!BK10</f>
        <v>1.06</v>
      </c>
      <c r="BL7">
        <f>Calcs!BL10</f>
        <v>1.06</v>
      </c>
      <c r="BM7">
        <f>Calcs!BM10</f>
        <v>1.06</v>
      </c>
      <c r="BN7">
        <f>Calcs!BN10</f>
        <v>1.06</v>
      </c>
      <c r="BO7">
        <f>Calcs!BO10</f>
        <v>1.06</v>
      </c>
      <c r="BP7">
        <f>Calcs!BP10</f>
        <v>1.06</v>
      </c>
      <c r="BQ7">
        <f>Calcs!BQ10</f>
        <v>1.06</v>
      </c>
      <c r="BR7">
        <f>Calcs!BR10</f>
        <v>1.06</v>
      </c>
      <c r="BS7">
        <f>Calcs!BS10</f>
        <v>1.06</v>
      </c>
      <c r="BT7">
        <f>Calcs!BT10</f>
        <v>1.06</v>
      </c>
      <c r="BU7">
        <f>Calcs!BU10</f>
        <v>1.06</v>
      </c>
      <c r="BV7">
        <f>Calcs!BV10</f>
        <v>1.06</v>
      </c>
      <c r="BW7">
        <f>Calcs!BW10</f>
        <v>1.06</v>
      </c>
      <c r="BX7">
        <f>Calcs!BX10</f>
        <v>1.06</v>
      </c>
      <c r="BY7">
        <f>Calcs!BY10</f>
        <v>1.06</v>
      </c>
      <c r="BZ7">
        <f>Calcs!BZ10</f>
        <v>1.06</v>
      </c>
      <c r="CA7">
        <f>Calcs!CA10</f>
        <v>1.06</v>
      </c>
      <c r="CB7">
        <f>Calcs!CB10</f>
        <v>1.06</v>
      </c>
      <c r="CC7">
        <f>Calcs!CC10</f>
        <v>1.06</v>
      </c>
      <c r="CD7">
        <f>Calcs!CD10</f>
        <v>1.06</v>
      </c>
      <c r="CE7">
        <f>Calcs!CE10</f>
        <v>1.06</v>
      </c>
      <c r="CF7">
        <f>Calcs!CF10</f>
        <v>1.06</v>
      </c>
      <c r="CG7">
        <f>Calcs!CG10</f>
        <v>1.06</v>
      </c>
      <c r="CH7">
        <f>Calcs!CH10</f>
        <v>1.06</v>
      </c>
      <c r="CI7">
        <f>Calcs!CI10</f>
        <v>1.06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CI7"/>
  <sheetViews>
    <sheetView workbookViewId="0"/>
  </sheetViews>
  <sheetFormatPr defaultRowHeight="15" x14ac:dyDescent="0.25"/>
  <sheetData>
    <row r="1" spans="1:87" x14ac:dyDescent="0.25">
      <c r="A1" t="s">
        <v>78</v>
      </c>
      <c r="B1" t="s">
        <v>79</v>
      </c>
      <c r="C1" t="s">
        <v>80</v>
      </c>
      <c r="D1" t="s">
        <v>81</v>
      </c>
      <c r="E1" t="s">
        <v>82</v>
      </c>
      <c r="F1" t="s">
        <v>83</v>
      </c>
      <c r="G1" t="s">
        <v>84</v>
      </c>
      <c r="H1" t="s">
        <v>85</v>
      </c>
      <c r="I1" t="s">
        <v>86</v>
      </c>
      <c r="J1" t="s">
        <v>87</v>
      </c>
      <c r="K1" t="s">
        <v>88</v>
      </c>
      <c r="L1" t="s">
        <v>89</v>
      </c>
      <c r="M1" t="s">
        <v>90</v>
      </c>
      <c r="N1" t="s">
        <v>91</v>
      </c>
      <c r="O1" t="s">
        <v>92</v>
      </c>
      <c r="P1" t="s">
        <v>93</v>
      </c>
      <c r="Q1" t="s">
        <v>94</v>
      </c>
      <c r="R1" t="s">
        <v>95</v>
      </c>
      <c r="S1" t="s">
        <v>96</v>
      </c>
      <c r="T1" t="s">
        <v>97</v>
      </c>
      <c r="U1" t="s">
        <v>98</v>
      </c>
      <c r="V1" t="s">
        <v>99</v>
      </c>
      <c r="W1" t="s">
        <v>100</v>
      </c>
      <c r="X1" t="s">
        <v>101</v>
      </c>
      <c r="Y1" t="s">
        <v>102</v>
      </c>
      <c r="Z1" t="s">
        <v>103</v>
      </c>
      <c r="AA1" t="s">
        <v>104</v>
      </c>
      <c r="AB1" t="s">
        <v>105</v>
      </c>
      <c r="AC1" t="s">
        <v>106</v>
      </c>
      <c r="AD1" t="s">
        <v>107</v>
      </c>
      <c r="AE1" t="s">
        <v>108</v>
      </c>
      <c r="AF1" t="s">
        <v>109</v>
      </c>
      <c r="AG1" t="s">
        <v>110</v>
      </c>
      <c r="AH1" t="s">
        <v>111</v>
      </c>
      <c r="AI1" t="s">
        <v>112</v>
      </c>
      <c r="AJ1" t="s">
        <v>113</v>
      </c>
      <c r="AK1" t="s">
        <v>114</v>
      </c>
      <c r="AL1" t="s">
        <v>115</v>
      </c>
      <c r="AM1" t="s">
        <v>116</v>
      </c>
      <c r="AN1" t="s">
        <v>117</v>
      </c>
      <c r="AO1" t="s">
        <v>118</v>
      </c>
      <c r="AP1" t="s">
        <v>119</v>
      </c>
      <c r="AQ1" t="s">
        <v>120</v>
      </c>
      <c r="AR1" t="s">
        <v>121</v>
      </c>
      <c r="AS1" t="s">
        <v>122</v>
      </c>
      <c r="AT1" t="s">
        <v>123</v>
      </c>
      <c r="AU1" t="s">
        <v>124</v>
      </c>
      <c r="AV1" t="s">
        <v>125</v>
      </c>
      <c r="AW1" t="s">
        <v>126</v>
      </c>
      <c r="AX1" t="s">
        <v>127</v>
      </c>
      <c r="AY1" t="s">
        <v>128</v>
      </c>
      <c r="AZ1" t="s">
        <v>129</v>
      </c>
      <c r="BA1" t="s">
        <v>130</v>
      </c>
      <c r="BB1" t="s">
        <v>131</v>
      </c>
      <c r="BC1" t="s">
        <v>132</v>
      </c>
      <c r="BD1" t="s">
        <v>133</v>
      </c>
      <c r="BE1" t="s">
        <v>134</v>
      </c>
      <c r="BF1" t="s">
        <v>135</v>
      </c>
      <c r="BG1" t="s">
        <v>136</v>
      </c>
      <c r="BH1" t="s">
        <v>137</v>
      </c>
      <c r="BI1" t="s">
        <v>138</v>
      </c>
      <c r="BJ1" t="s">
        <v>139</v>
      </c>
      <c r="BK1" t="s">
        <v>140</v>
      </c>
      <c r="BL1" t="s">
        <v>141</v>
      </c>
      <c r="BM1" t="s">
        <v>142</v>
      </c>
      <c r="BN1" t="s">
        <v>143</v>
      </c>
      <c r="BO1" t="s">
        <v>144</v>
      </c>
      <c r="BP1" t="s">
        <v>145</v>
      </c>
      <c r="BQ1" t="s">
        <v>146</v>
      </c>
      <c r="BR1" t="s">
        <v>147</v>
      </c>
      <c r="BS1" t="s">
        <v>148</v>
      </c>
      <c r="BT1" t="s">
        <v>149</v>
      </c>
      <c r="BU1" t="s">
        <v>150</v>
      </c>
      <c r="BV1" t="s">
        <v>151</v>
      </c>
      <c r="BW1" t="s">
        <v>152</v>
      </c>
      <c r="BX1" t="s">
        <v>153</v>
      </c>
      <c r="BY1" t="s">
        <v>154</v>
      </c>
      <c r="BZ1" t="s">
        <v>155</v>
      </c>
      <c r="CA1" t="s">
        <v>156</v>
      </c>
      <c r="CB1" t="s">
        <v>157</v>
      </c>
      <c r="CC1" t="s">
        <v>158</v>
      </c>
      <c r="CD1" t="s">
        <v>159</v>
      </c>
      <c r="CE1" t="s">
        <v>160</v>
      </c>
      <c r="CF1" t="s">
        <v>161</v>
      </c>
      <c r="CG1" t="s">
        <v>162</v>
      </c>
      <c r="CH1" t="s">
        <v>163</v>
      </c>
      <c r="CI1" t="s">
        <v>164</v>
      </c>
    </row>
    <row r="2" spans="1:87" x14ac:dyDescent="0.25">
      <c r="A2" t="s">
        <v>39</v>
      </c>
      <c r="B2">
        <f>Calcs!B14</f>
        <v>1.8724510623865149</v>
      </c>
      <c r="C2">
        <f>Calcs!C14</f>
        <v>1.8724510623865149</v>
      </c>
      <c r="D2">
        <f>Calcs!D14</f>
        <v>1.8724510623865149</v>
      </c>
      <c r="E2">
        <f>Calcs!E14</f>
        <v>1.8724510623865149</v>
      </c>
      <c r="F2">
        <f>Calcs!F14</f>
        <v>1.8724510623865149</v>
      </c>
      <c r="G2">
        <f>Calcs!G14</f>
        <v>1.8724510623865149</v>
      </c>
      <c r="H2">
        <f>Calcs!H14</f>
        <v>1.8724510623865149</v>
      </c>
      <c r="I2">
        <f>Calcs!I14</f>
        <v>1.8724510623865149</v>
      </c>
      <c r="J2">
        <f>Calcs!J14</f>
        <v>1.8724510623865149</v>
      </c>
      <c r="K2">
        <f>Calcs!K14</f>
        <v>1.8724510623865149</v>
      </c>
      <c r="L2">
        <f>Calcs!L14</f>
        <v>1.8724510623865149</v>
      </c>
      <c r="M2">
        <f>Calcs!M14</f>
        <v>1.8724510623865149</v>
      </c>
      <c r="N2">
        <f>Calcs!N14</f>
        <v>1.8724510623865149</v>
      </c>
      <c r="O2">
        <f>Calcs!O14</f>
        <v>1.8724510623865149</v>
      </c>
      <c r="P2">
        <f>Calcs!P14</f>
        <v>1.8724510623865149</v>
      </c>
      <c r="Q2">
        <f>Calcs!Q14</f>
        <v>1.8724510623865149</v>
      </c>
      <c r="R2">
        <f>Calcs!R14</f>
        <v>1.8724510623865149</v>
      </c>
      <c r="S2">
        <f>Calcs!S14</f>
        <v>1.8724510623865149</v>
      </c>
      <c r="T2">
        <f>Calcs!T14</f>
        <v>1.8724510623865149</v>
      </c>
      <c r="U2">
        <f>Calcs!U14</f>
        <v>1.8724510623865149</v>
      </c>
      <c r="V2">
        <f>Calcs!V14</f>
        <v>1.8724510623865149</v>
      </c>
      <c r="W2">
        <f>Calcs!W14</f>
        <v>1.8724510623865149</v>
      </c>
      <c r="X2">
        <f>Calcs!X14</f>
        <v>1.8724510623865149</v>
      </c>
      <c r="Y2">
        <f>Calcs!Y14</f>
        <v>1.8724510623865149</v>
      </c>
      <c r="Z2">
        <f>Calcs!Z14</f>
        <v>1.8724510623865149</v>
      </c>
      <c r="AA2">
        <f>Calcs!AA14</f>
        <v>1.8724510623865149</v>
      </c>
      <c r="AB2">
        <f>Calcs!AB14</f>
        <v>1.8724510623865149</v>
      </c>
      <c r="AC2">
        <f>Calcs!AC14</f>
        <v>1.8724510623865149</v>
      </c>
      <c r="AD2">
        <f>Calcs!AD14</f>
        <v>1.8724510623865149</v>
      </c>
      <c r="AE2">
        <f>Calcs!AE14</f>
        <v>1.8724510623865149</v>
      </c>
      <c r="AF2">
        <f>Calcs!AF14</f>
        <v>1.8724510623865149</v>
      </c>
      <c r="AG2">
        <f>Calcs!AG14</f>
        <v>1.8724510623865149</v>
      </c>
      <c r="AH2">
        <f>Calcs!AH14</f>
        <v>1.8724510623865149</v>
      </c>
      <c r="AI2">
        <f>Calcs!AI14</f>
        <v>1.8724510623865149</v>
      </c>
      <c r="AJ2">
        <f>Calcs!AJ14</f>
        <v>1.8724510623865149</v>
      </c>
      <c r="AK2">
        <f>Calcs!AK14</f>
        <v>1.8724510623865149</v>
      </c>
      <c r="AL2">
        <f>Calcs!AL14</f>
        <v>1.8724510623865149</v>
      </c>
      <c r="AM2">
        <f>Calcs!AM14</f>
        <v>1.8724510623865149</v>
      </c>
      <c r="AN2">
        <f>Calcs!AN14</f>
        <v>1.8724510623865149</v>
      </c>
      <c r="AO2">
        <f>Calcs!AO14</f>
        <v>1.8724510623865149</v>
      </c>
      <c r="AP2">
        <f>Calcs!AP14</f>
        <v>1.8724510623865149</v>
      </c>
      <c r="AQ2">
        <f>Calcs!AQ14</f>
        <v>1.8724510623865149</v>
      </c>
      <c r="AR2">
        <f>Calcs!AR14</f>
        <v>1.8724510623865149</v>
      </c>
      <c r="AS2">
        <f>Calcs!AS14</f>
        <v>1.8724510623865149</v>
      </c>
      <c r="AT2">
        <f>Calcs!AT14</f>
        <v>1.8724510623865149</v>
      </c>
      <c r="AU2">
        <f>Calcs!AU14</f>
        <v>1.8724510623865149</v>
      </c>
      <c r="AV2">
        <f>Calcs!AV14</f>
        <v>1.8724510623865149</v>
      </c>
      <c r="AW2">
        <f>Calcs!AW14</f>
        <v>1.8724510623865149</v>
      </c>
      <c r="AX2">
        <f>Calcs!AX14</f>
        <v>1.8724510623865149</v>
      </c>
      <c r="AY2">
        <f>Calcs!AY14</f>
        <v>1.8724510623865149</v>
      </c>
      <c r="AZ2">
        <f>Calcs!AZ14</f>
        <v>1.8724510623865149</v>
      </c>
      <c r="BA2">
        <f>Calcs!BA14</f>
        <v>1.8724510623865149</v>
      </c>
      <c r="BB2">
        <f>Calcs!BB14</f>
        <v>1.8724510623865149</v>
      </c>
      <c r="BC2">
        <f>Calcs!BC14</f>
        <v>1.8724510623865149</v>
      </c>
      <c r="BD2">
        <f>Calcs!BD14</f>
        <v>1.8724510623865149</v>
      </c>
      <c r="BE2">
        <f>Calcs!BE14</f>
        <v>1.8724510623865149</v>
      </c>
      <c r="BF2">
        <f>Calcs!BF14</f>
        <v>1.8724510623865149</v>
      </c>
      <c r="BG2">
        <f>Calcs!BG14</f>
        <v>1.8724510623865149</v>
      </c>
      <c r="BH2">
        <f>Calcs!BH14</f>
        <v>1.8724510623865149</v>
      </c>
      <c r="BI2">
        <f>Calcs!BI14</f>
        <v>1.8724510623865149</v>
      </c>
      <c r="BJ2">
        <f>Calcs!BJ14</f>
        <v>1.8724510623865149</v>
      </c>
      <c r="BK2">
        <f>Calcs!BK14</f>
        <v>1.8724510623865149</v>
      </c>
      <c r="BL2">
        <f>Calcs!BL14</f>
        <v>1.8724510623865149</v>
      </c>
      <c r="BM2">
        <f>Calcs!BM14</f>
        <v>1.8724510623865149</v>
      </c>
      <c r="BN2">
        <f>Calcs!BN14</f>
        <v>1.8724510623865149</v>
      </c>
      <c r="BO2">
        <f>Calcs!BO14</f>
        <v>1.8724510623865149</v>
      </c>
      <c r="BP2">
        <f>Calcs!BP14</f>
        <v>1.8724510623865149</v>
      </c>
      <c r="BQ2">
        <f>Calcs!BQ14</f>
        <v>1.8724510623865149</v>
      </c>
      <c r="BR2">
        <f>Calcs!BR14</f>
        <v>1.8724510623865149</v>
      </c>
      <c r="BS2">
        <f>Calcs!BS14</f>
        <v>1.8724510623865149</v>
      </c>
      <c r="BT2">
        <f>Calcs!BT14</f>
        <v>1.8724510623865149</v>
      </c>
      <c r="BU2">
        <f>Calcs!BU14</f>
        <v>1.8724510623865149</v>
      </c>
      <c r="BV2">
        <f>Calcs!BV14</f>
        <v>1.8724510623865149</v>
      </c>
      <c r="BW2">
        <f>Calcs!BW14</f>
        <v>1.8724510623865149</v>
      </c>
      <c r="BX2">
        <f>Calcs!BX14</f>
        <v>1.8724510623865149</v>
      </c>
      <c r="BY2">
        <f>Calcs!BY14</f>
        <v>1.8724510623865149</v>
      </c>
      <c r="BZ2">
        <f>Calcs!BZ14</f>
        <v>1.8724510623865149</v>
      </c>
      <c r="CA2">
        <f>Calcs!CA14</f>
        <v>1.8724510623865149</v>
      </c>
      <c r="CB2">
        <f>Calcs!CB14</f>
        <v>1.8724510623865149</v>
      </c>
      <c r="CC2">
        <f>Calcs!CC14</f>
        <v>1.8724510623865149</v>
      </c>
      <c r="CD2">
        <f>Calcs!CD14</f>
        <v>1.8724510623865149</v>
      </c>
      <c r="CE2">
        <f>Calcs!CE14</f>
        <v>1.8724510623865149</v>
      </c>
      <c r="CF2">
        <f>Calcs!CF14</f>
        <v>1.8724510623865149</v>
      </c>
      <c r="CG2">
        <f>Calcs!CG14</f>
        <v>1.8724510623865149</v>
      </c>
      <c r="CH2">
        <f>Calcs!CH14</f>
        <v>1.8724510623865149</v>
      </c>
      <c r="CI2">
        <f>Calcs!CI14</f>
        <v>1.8724510623865149</v>
      </c>
    </row>
    <row r="3" spans="1:87" x14ac:dyDescent="0.25">
      <c r="A3" t="s">
        <v>41</v>
      </c>
      <c r="B3">
        <f>Calcs!B15</f>
        <v>1.059414187321968</v>
      </c>
      <c r="C3">
        <f>Calcs!C15</f>
        <v>1.059414187321968</v>
      </c>
      <c r="D3">
        <f>Calcs!D15</f>
        <v>1.059414187321968</v>
      </c>
      <c r="E3">
        <f>Calcs!E15</f>
        <v>1.059414187321968</v>
      </c>
      <c r="F3">
        <f>Calcs!F15</f>
        <v>1.059414187321968</v>
      </c>
      <c r="G3">
        <f>Calcs!G15</f>
        <v>1.059414187321968</v>
      </c>
      <c r="H3">
        <f>Calcs!H15</f>
        <v>1.059414187321968</v>
      </c>
      <c r="I3">
        <f>Calcs!I15</f>
        <v>1.059414187321968</v>
      </c>
      <c r="J3">
        <f>Calcs!J15</f>
        <v>1.059414187321968</v>
      </c>
      <c r="K3">
        <f>Calcs!K15</f>
        <v>1.059414187321968</v>
      </c>
      <c r="L3">
        <f>Calcs!L15</f>
        <v>1.059414187321968</v>
      </c>
      <c r="M3">
        <f>Calcs!M15</f>
        <v>1.059414187321968</v>
      </c>
      <c r="N3">
        <f>Calcs!N15</f>
        <v>1.059414187321968</v>
      </c>
      <c r="O3">
        <f>Calcs!O15</f>
        <v>1.059414187321968</v>
      </c>
      <c r="P3">
        <f>Calcs!P15</f>
        <v>1.059414187321968</v>
      </c>
      <c r="Q3">
        <f>Calcs!Q15</f>
        <v>1.059414187321968</v>
      </c>
      <c r="R3">
        <f>Calcs!R15</f>
        <v>1.059414187321968</v>
      </c>
      <c r="S3">
        <f>Calcs!S15</f>
        <v>1.059414187321968</v>
      </c>
      <c r="T3">
        <f>Calcs!T15</f>
        <v>1.059414187321968</v>
      </c>
      <c r="U3">
        <f>Calcs!U15</f>
        <v>1.059414187321968</v>
      </c>
      <c r="V3">
        <f>Calcs!V15</f>
        <v>1.059414187321968</v>
      </c>
      <c r="W3">
        <f>Calcs!W15</f>
        <v>1.059414187321968</v>
      </c>
      <c r="X3">
        <f>Calcs!X15</f>
        <v>1.059414187321968</v>
      </c>
      <c r="Y3">
        <f>Calcs!Y15</f>
        <v>1.059414187321968</v>
      </c>
      <c r="Z3">
        <f>Calcs!Z15</f>
        <v>1.059414187321968</v>
      </c>
      <c r="AA3">
        <f>Calcs!AA15</f>
        <v>1.059414187321968</v>
      </c>
      <c r="AB3">
        <f>Calcs!AB15</f>
        <v>1.059414187321968</v>
      </c>
      <c r="AC3">
        <f>Calcs!AC15</f>
        <v>1.059414187321968</v>
      </c>
      <c r="AD3">
        <f>Calcs!AD15</f>
        <v>1.059414187321968</v>
      </c>
      <c r="AE3">
        <f>Calcs!AE15</f>
        <v>1.059414187321968</v>
      </c>
      <c r="AF3">
        <f>Calcs!AF15</f>
        <v>1.059414187321968</v>
      </c>
      <c r="AG3">
        <f>Calcs!AG15</f>
        <v>1.059414187321968</v>
      </c>
      <c r="AH3">
        <f>Calcs!AH15</f>
        <v>1.059414187321968</v>
      </c>
      <c r="AI3">
        <f>Calcs!AI15</f>
        <v>1.059414187321968</v>
      </c>
      <c r="AJ3">
        <f>Calcs!AJ15</f>
        <v>1.059414187321968</v>
      </c>
      <c r="AK3">
        <f>Calcs!AK15</f>
        <v>1.059414187321968</v>
      </c>
      <c r="AL3">
        <f>Calcs!AL15</f>
        <v>1.059414187321968</v>
      </c>
      <c r="AM3">
        <f>Calcs!AM15</f>
        <v>1.059414187321968</v>
      </c>
      <c r="AN3">
        <f>Calcs!AN15</f>
        <v>1.059414187321968</v>
      </c>
      <c r="AO3">
        <f>Calcs!AO15</f>
        <v>1.059414187321968</v>
      </c>
      <c r="AP3">
        <f>Calcs!AP15</f>
        <v>1.059414187321968</v>
      </c>
      <c r="AQ3">
        <f>Calcs!AQ15</f>
        <v>1.059414187321968</v>
      </c>
      <c r="AR3">
        <f>Calcs!AR15</f>
        <v>1.059414187321968</v>
      </c>
      <c r="AS3">
        <f>Calcs!AS15</f>
        <v>1.059414187321968</v>
      </c>
      <c r="AT3">
        <f>Calcs!AT15</f>
        <v>1.059414187321968</v>
      </c>
      <c r="AU3">
        <f>Calcs!AU15</f>
        <v>1.059414187321968</v>
      </c>
      <c r="AV3">
        <f>Calcs!AV15</f>
        <v>1.059414187321968</v>
      </c>
      <c r="AW3">
        <f>Calcs!AW15</f>
        <v>1.059414187321968</v>
      </c>
      <c r="AX3">
        <f>Calcs!AX15</f>
        <v>1.059414187321968</v>
      </c>
      <c r="AY3">
        <f>Calcs!AY15</f>
        <v>1.059414187321968</v>
      </c>
      <c r="AZ3">
        <f>Calcs!AZ15</f>
        <v>1.059414187321968</v>
      </c>
      <c r="BA3">
        <f>Calcs!BA15</f>
        <v>1.059414187321968</v>
      </c>
      <c r="BB3">
        <f>Calcs!BB15</f>
        <v>1.059414187321968</v>
      </c>
      <c r="BC3">
        <f>Calcs!BC15</f>
        <v>1.059414187321968</v>
      </c>
      <c r="BD3">
        <f>Calcs!BD15</f>
        <v>1.059414187321968</v>
      </c>
      <c r="BE3">
        <f>Calcs!BE15</f>
        <v>1.059414187321968</v>
      </c>
      <c r="BF3">
        <f>Calcs!BF15</f>
        <v>1.059414187321968</v>
      </c>
      <c r="BG3">
        <f>Calcs!BG15</f>
        <v>1.059414187321968</v>
      </c>
      <c r="BH3">
        <f>Calcs!BH15</f>
        <v>1.059414187321968</v>
      </c>
      <c r="BI3">
        <f>Calcs!BI15</f>
        <v>1.059414187321968</v>
      </c>
      <c r="BJ3">
        <f>Calcs!BJ15</f>
        <v>1.059414187321968</v>
      </c>
      <c r="BK3">
        <f>Calcs!BK15</f>
        <v>1.059414187321968</v>
      </c>
      <c r="BL3">
        <f>Calcs!BL15</f>
        <v>1.059414187321968</v>
      </c>
      <c r="BM3">
        <f>Calcs!BM15</f>
        <v>1.059414187321968</v>
      </c>
      <c r="BN3">
        <f>Calcs!BN15</f>
        <v>1.059414187321968</v>
      </c>
      <c r="BO3">
        <f>Calcs!BO15</f>
        <v>1.059414187321968</v>
      </c>
      <c r="BP3">
        <f>Calcs!BP15</f>
        <v>1.059414187321968</v>
      </c>
      <c r="BQ3">
        <f>Calcs!BQ15</f>
        <v>1.059414187321968</v>
      </c>
      <c r="BR3">
        <f>Calcs!BR15</f>
        <v>1.059414187321968</v>
      </c>
      <c r="BS3">
        <f>Calcs!BS15</f>
        <v>1.059414187321968</v>
      </c>
      <c r="BT3">
        <f>Calcs!BT15</f>
        <v>1.059414187321968</v>
      </c>
      <c r="BU3">
        <f>Calcs!BU15</f>
        <v>1.059414187321968</v>
      </c>
      <c r="BV3">
        <f>Calcs!BV15</f>
        <v>1.059414187321968</v>
      </c>
      <c r="BW3">
        <f>Calcs!BW15</f>
        <v>1.059414187321968</v>
      </c>
      <c r="BX3">
        <f>Calcs!BX15</f>
        <v>1.059414187321968</v>
      </c>
      <c r="BY3">
        <f>Calcs!BY15</f>
        <v>1.059414187321968</v>
      </c>
      <c r="BZ3">
        <f>Calcs!BZ15</f>
        <v>1.059414187321968</v>
      </c>
      <c r="CA3">
        <f>Calcs!CA15</f>
        <v>1.059414187321968</v>
      </c>
      <c r="CB3">
        <f>Calcs!CB15</f>
        <v>1.059414187321968</v>
      </c>
      <c r="CC3">
        <f>Calcs!CC15</f>
        <v>1.059414187321968</v>
      </c>
      <c r="CD3">
        <f>Calcs!CD15</f>
        <v>1.059414187321968</v>
      </c>
      <c r="CE3">
        <f>Calcs!CE15</f>
        <v>1.059414187321968</v>
      </c>
      <c r="CF3">
        <f>Calcs!CF15</f>
        <v>1.059414187321968</v>
      </c>
      <c r="CG3">
        <f>Calcs!CG15</f>
        <v>1.059414187321968</v>
      </c>
      <c r="CH3">
        <f>Calcs!CH15</f>
        <v>1.059414187321968</v>
      </c>
      <c r="CI3">
        <f>Calcs!CI15</f>
        <v>1.059414187321968</v>
      </c>
    </row>
    <row r="4" spans="1:87" x14ac:dyDescent="0.25">
      <c r="A4" t="s">
        <v>43</v>
      </c>
      <c r="B4">
        <f>Calcs!B16</f>
        <v>2</v>
      </c>
      <c r="C4">
        <f>Calcs!C16</f>
        <v>2</v>
      </c>
      <c r="D4">
        <f>Calcs!D16</f>
        <v>2</v>
      </c>
      <c r="E4">
        <f>Calcs!E16</f>
        <v>2</v>
      </c>
      <c r="F4">
        <f>Calcs!F16</f>
        <v>2</v>
      </c>
      <c r="G4">
        <f>Calcs!G16</f>
        <v>2</v>
      </c>
      <c r="H4">
        <f>Calcs!H16</f>
        <v>2</v>
      </c>
      <c r="I4">
        <f>Calcs!I16</f>
        <v>2</v>
      </c>
      <c r="J4">
        <f>Calcs!J16</f>
        <v>2</v>
      </c>
      <c r="K4">
        <f>Calcs!K16</f>
        <v>2</v>
      </c>
      <c r="L4">
        <f>Calcs!L16</f>
        <v>2</v>
      </c>
      <c r="M4">
        <f>Calcs!M16</f>
        <v>2</v>
      </c>
      <c r="N4">
        <f>Calcs!N16</f>
        <v>2</v>
      </c>
      <c r="O4">
        <f>Calcs!O16</f>
        <v>2</v>
      </c>
      <c r="P4">
        <f>Calcs!P16</f>
        <v>2</v>
      </c>
      <c r="Q4">
        <f>Calcs!Q16</f>
        <v>2</v>
      </c>
      <c r="R4">
        <f>Calcs!R16</f>
        <v>2</v>
      </c>
      <c r="S4">
        <f>Calcs!S16</f>
        <v>2</v>
      </c>
      <c r="T4">
        <f>Calcs!T16</f>
        <v>2</v>
      </c>
      <c r="U4">
        <f>Calcs!U16</f>
        <v>2</v>
      </c>
      <c r="V4">
        <f>Calcs!V16</f>
        <v>2</v>
      </c>
      <c r="W4">
        <f>Calcs!W16</f>
        <v>2</v>
      </c>
      <c r="X4">
        <f>Calcs!X16</f>
        <v>2</v>
      </c>
      <c r="Y4">
        <f>Calcs!Y16</f>
        <v>2</v>
      </c>
      <c r="Z4">
        <f>Calcs!Z16</f>
        <v>2</v>
      </c>
      <c r="AA4">
        <f>Calcs!AA16</f>
        <v>2</v>
      </c>
      <c r="AB4">
        <f>Calcs!AB16</f>
        <v>2</v>
      </c>
      <c r="AC4">
        <f>Calcs!AC16</f>
        <v>2</v>
      </c>
      <c r="AD4">
        <f>Calcs!AD16</f>
        <v>2</v>
      </c>
      <c r="AE4">
        <f>Calcs!AE16</f>
        <v>2</v>
      </c>
      <c r="AF4">
        <f>Calcs!AF16</f>
        <v>2</v>
      </c>
      <c r="AG4">
        <f>Calcs!AG16</f>
        <v>2</v>
      </c>
      <c r="AH4">
        <f>Calcs!AH16</f>
        <v>2</v>
      </c>
      <c r="AI4">
        <f>Calcs!AI16</f>
        <v>2</v>
      </c>
      <c r="AJ4">
        <f>Calcs!AJ16</f>
        <v>2</v>
      </c>
      <c r="AK4">
        <f>Calcs!AK16</f>
        <v>2</v>
      </c>
      <c r="AL4">
        <f>Calcs!AL16</f>
        <v>2</v>
      </c>
      <c r="AM4">
        <f>Calcs!AM16</f>
        <v>2</v>
      </c>
      <c r="AN4">
        <f>Calcs!AN16</f>
        <v>2</v>
      </c>
      <c r="AO4">
        <f>Calcs!AO16</f>
        <v>2</v>
      </c>
      <c r="AP4">
        <f>Calcs!AP16</f>
        <v>2</v>
      </c>
      <c r="AQ4">
        <f>Calcs!AQ16</f>
        <v>2</v>
      </c>
      <c r="AR4">
        <f>Calcs!AR16</f>
        <v>2</v>
      </c>
      <c r="AS4">
        <f>Calcs!AS16</f>
        <v>2</v>
      </c>
      <c r="AT4">
        <f>Calcs!AT16</f>
        <v>2</v>
      </c>
      <c r="AU4">
        <f>Calcs!AU16</f>
        <v>2</v>
      </c>
      <c r="AV4">
        <f>Calcs!AV16</f>
        <v>2</v>
      </c>
      <c r="AW4">
        <f>Calcs!AW16</f>
        <v>2</v>
      </c>
      <c r="AX4">
        <f>Calcs!AX16</f>
        <v>2</v>
      </c>
      <c r="AY4">
        <f>Calcs!AY16</f>
        <v>2</v>
      </c>
      <c r="AZ4">
        <f>Calcs!AZ16</f>
        <v>2</v>
      </c>
      <c r="BA4">
        <f>Calcs!BA16</f>
        <v>2</v>
      </c>
      <c r="BB4">
        <f>Calcs!BB16</f>
        <v>2</v>
      </c>
      <c r="BC4">
        <f>Calcs!BC16</f>
        <v>2</v>
      </c>
      <c r="BD4">
        <f>Calcs!BD16</f>
        <v>2</v>
      </c>
      <c r="BE4">
        <f>Calcs!BE16</f>
        <v>2</v>
      </c>
      <c r="BF4">
        <f>Calcs!BF16</f>
        <v>2</v>
      </c>
      <c r="BG4">
        <f>Calcs!BG16</f>
        <v>2</v>
      </c>
      <c r="BH4">
        <f>Calcs!BH16</f>
        <v>2</v>
      </c>
      <c r="BI4">
        <f>Calcs!BI16</f>
        <v>2</v>
      </c>
      <c r="BJ4">
        <f>Calcs!BJ16</f>
        <v>2</v>
      </c>
      <c r="BK4">
        <f>Calcs!BK16</f>
        <v>2</v>
      </c>
      <c r="BL4">
        <f>Calcs!BL16</f>
        <v>2</v>
      </c>
      <c r="BM4">
        <f>Calcs!BM16</f>
        <v>2</v>
      </c>
      <c r="BN4">
        <f>Calcs!BN16</f>
        <v>2</v>
      </c>
      <c r="BO4">
        <f>Calcs!BO16</f>
        <v>2</v>
      </c>
      <c r="BP4">
        <f>Calcs!BP16</f>
        <v>2</v>
      </c>
      <c r="BQ4">
        <f>Calcs!BQ16</f>
        <v>2</v>
      </c>
      <c r="BR4">
        <f>Calcs!BR16</f>
        <v>2</v>
      </c>
      <c r="BS4">
        <f>Calcs!BS16</f>
        <v>2</v>
      </c>
      <c r="BT4">
        <f>Calcs!BT16</f>
        <v>2</v>
      </c>
      <c r="BU4">
        <f>Calcs!BU16</f>
        <v>2</v>
      </c>
      <c r="BV4">
        <f>Calcs!BV16</f>
        <v>2</v>
      </c>
      <c r="BW4">
        <f>Calcs!BW16</f>
        <v>2</v>
      </c>
      <c r="BX4">
        <f>Calcs!BX16</f>
        <v>2</v>
      </c>
      <c r="BY4">
        <f>Calcs!BY16</f>
        <v>2</v>
      </c>
      <c r="BZ4">
        <f>Calcs!BZ16</f>
        <v>2</v>
      </c>
      <c r="CA4">
        <f>Calcs!CA16</f>
        <v>2</v>
      </c>
      <c r="CB4">
        <f>Calcs!CB16</f>
        <v>2</v>
      </c>
      <c r="CC4">
        <f>Calcs!CC16</f>
        <v>2</v>
      </c>
      <c r="CD4">
        <f>Calcs!CD16</f>
        <v>2</v>
      </c>
      <c r="CE4">
        <f>Calcs!CE16</f>
        <v>2</v>
      </c>
      <c r="CF4">
        <f>Calcs!CF16</f>
        <v>2</v>
      </c>
      <c r="CG4">
        <f>Calcs!CG16</f>
        <v>2</v>
      </c>
      <c r="CH4">
        <f>Calcs!CH16</f>
        <v>2</v>
      </c>
      <c r="CI4">
        <f>Calcs!CI16</f>
        <v>2</v>
      </c>
    </row>
    <row r="5" spans="1:87" x14ac:dyDescent="0.25">
      <c r="A5" t="s">
        <v>44</v>
      </c>
      <c r="B5">
        <f>Calcs!B17</f>
        <v>2</v>
      </c>
      <c r="C5">
        <f>Calcs!C17</f>
        <v>2</v>
      </c>
      <c r="D5">
        <f>Calcs!D17</f>
        <v>2</v>
      </c>
      <c r="E5">
        <f>Calcs!E17</f>
        <v>2</v>
      </c>
      <c r="F5">
        <f>Calcs!F17</f>
        <v>2</v>
      </c>
      <c r="G5">
        <f>Calcs!G17</f>
        <v>2</v>
      </c>
      <c r="H5">
        <f>Calcs!H17</f>
        <v>2</v>
      </c>
      <c r="I5">
        <f>Calcs!I17</f>
        <v>2</v>
      </c>
      <c r="J5">
        <f>Calcs!J17</f>
        <v>2</v>
      </c>
      <c r="K5">
        <f>Calcs!K17</f>
        <v>2</v>
      </c>
      <c r="L5">
        <f>Calcs!L17</f>
        <v>2</v>
      </c>
      <c r="M5">
        <f>Calcs!M17</f>
        <v>2</v>
      </c>
      <c r="N5">
        <f>Calcs!N17</f>
        <v>2</v>
      </c>
      <c r="O5">
        <f>Calcs!O17</f>
        <v>2</v>
      </c>
      <c r="P5">
        <f>Calcs!P17</f>
        <v>2</v>
      </c>
      <c r="Q5">
        <f>Calcs!Q17</f>
        <v>2</v>
      </c>
      <c r="R5">
        <f>Calcs!R17</f>
        <v>2</v>
      </c>
      <c r="S5">
        <f>Calcs!S17</f>
        <v>2</v>
      </c>
      <c r="T5">
        <f>Calcs!T17</f>
        <v>2</v>
      </c>
      <c r="U5">
        <f>Calcs!U17</f>
        <v>2</v>
      </c>
      <c r="V5">
        <f>Calcs!V17</f>
        <v>2</v>
      </c>
      <c r="W5">
        <f>Calcs!W17</f>
        <v>2</v>
      </c>
      <c r="X5">
        <f>Calcs!X17</f>
        <v>2</v>
      </c>
      <c r="Y5">
        <f>Calcs!Y17</f>
        <v>2</v>
      </c>
      <c r="Z5">
        <f>Calcs!Z17</f>
        <v>2</v>
      </c>
      <c r="AA5">
        <f>Calcs!AA17</f>
        <v>2</v>
      </c>
      <c r="AB5">
        <f>Calcs!AB17</f>
        <v>2</v>
      </c>
      <c r="AC5">
        <f>Calcs!AC17</f>
        <v>2</v>
      </c>
      <c r="AD5">
        <f>Calcs!AD17</f>
        <v>2</v>
      </c>
      <c r="AE5">
        <f>Calcs!AE17</f>
        <v>2</v>
      </c>
      <c r="AF5">
        <f>Calcs!AF17</f>
        <v>2</v>
      </c>
      <c r="AG5">
        <f>Calcs!AG17</f>
        <v>2</v>
      </c>
      <c r="AH5">
        <f>Calcs!AH17</f>
        <v>2</v>
      </c>
      <c r="AI5">
        <f>Calcs!AI17</f>
        <v>2</v>
      </c>
      <c r="AJ5">
        <f>Calcs!AJ17</f>
        <v>2</v>
      </c>
      <c r="AK5">
        <f>Calcs!AK17</f>
        <v>2</v>
      </c>
      <c r="AL5">
        <f>Calcs!AL17</f>
        <v>2</v>
      </c>
      <c r="AM5">
        <f>Calcs!AM17</f>
        <v>2</v>
      </c>
      <c r="AN5">
        <f>Calcs!AN17</f>
        <v>2</v>
      </c>
      <c r="AO5">
        <f>Calcs!AO17</f>
        <v>2</v>
      </c>
      <c r="AP5">
        <f>Calcs!AP17</f>
        <v>2</v>
      </c>
      <c r="AQ5">
        <f>Calcs!AQ17</f>
        <v>2</v>
      </c>
      <c r="AR5">
        <f>Calcs!AR17</f>
        <v>2</v>
      </c>
      <c r="AS5">
        <f>Calcs!AS17</f>
        <v>2</v>
      </c>
      <c r="AT5">
        <f>Calcs!AT17</f>
        <v>2</v>
      </c>
      <c r="AU5">
        <f>Calcs!AU17</f>
        <v>2</v>
      </c>
      <c r="AV5">
        <f>Calcs!AV17</f>
        <v>2</v>
      </c>
      <c r="AW5">
        <f>Calcs!AW17</f>
        <v>2</v>
      </c>
      <c r="AX5">
        <f>Calcs!AX17</f>
        <v>2</v>
      </c>
      <c r="AY5">
        <f>Calcs!AY17</f>
        <v>2</v>
      </c>
      <c r="AZ5">
        <f>Calcs!AZ17</f>
        <v>2</v>
      </c>
      <c r="BA5">
        <f>Calcs!BA17</f>
        <v>2</v>
      </c>
      <c r="BB5">
        <f>Calcs!BB17</f>
        <v>2</v>
      </c>
      <c r="BC5">
        <f>Calcs!BC17</f>
        <v>2</v>
      </c>
      <c r="BD5">
        <f>Calcs!BD17</f>
        <v>2</v>
      </c>
      <c r="BE5">
        <f>Calcs!BE17</f>
        <v>2</v>
      </c>
      <c r="BF5">
        <f>Calcs!BF17</f>
        <v>2</v>
      </c>
      <c r="BG5">
        <f>Calcs!BG17</f>
        <v>2</v>
      </c>
      <c r="BH5">
        <f>Calcs!BH17</f>
        <v>2</v>
      </c>
      <c r="BI5">
        <f>Calcs!BI17</f>
        <v>2</v>
      </c>
      <c r="BJ5">
        <f>Calcs!BJ17</f>
        <v>2</v>
      </c>
      <c r="BK5">
        <f>Calcs!BK17</f>
        <v>2</v>
      </c>
      <c r="BL5">
        <f>Calcs!BL17</f>
        <v>2</v>
      </c>
      <c r="BM5">
        <f>Calcs!BM17</f>
        <v>2</v>
      </c>
      <c r="BN5">
        <f>Calcs!BN17</f>
        <v>2</v>
      </c>
      <c r="BO5">
        <f>Calcs!BO17</f>
        <v>2</v>
      </c>
      <c r="BP5">
        <f>Calcs!BP17</f>
        <v>2</v>
      </c>
      <c r="BQ5">
        <f>Calcs!BQ17</f>
        <v>2</v>
      </c>
      <c r="BR5">
        <f>Calcs!BR17</f>
        <v>2</v>
      </c>
      <c r="BS5">
        <f>Calcs!BS17</f>
        <v>2</v>
      </c>
      <c r="BT5">
        <f>Calcs!BT17</f>
        <v>2</v>
      </c>
      <c r="BU5">
        <f>Calcs!BU17</f>
        <v>2</v>
      </c>
      <c r="BV5">
        <f>Calcs!BV17</f>
        <v>2</v>
      </c>
      <c r="BW5">
        <f>Calcs!BW17</f>
        <v>2</v>
      </c>
      <c r="BX5">
        <f>Calcs!BX17</f>
        <v>2</v>
      </c>
      <c r="BY5">
        <f>Calcs!BY17</f>
        <v>2</v>
      </c>
      <c r="BZ5">
        <f>Calcs!BZ17</f>
        <v>2</v>
      </c>
      <c r="CA5">
        <f>Calcs!CA17</f>
        <v>2</v>
      </c>
      <c r="CB5">
        <f>Calcs!CB17</f>
        <v>2</v>
      </c>
      <c r="CC5">
        <f>Calcs!CC17</f>
        <v>2</v>
      </c>
      <c r="CD5">
        <f>Calcs!CD17</f>
        <v>2</v>
      </c>
      <c r="CE5">
        <f>Calcs!CE17</f>
        <v>2</v>
      </c>
      <c r="CF5">
        <f>Calcs!CF17</f>
        <v>2</v>
      </c>
      <c r="CG5">
        <f>Calcs!CG17</f>
        <v>2</v>
      </c>
      <c r="CH5">
        <f>Calcs!CH17</f>
        <v>2</v>
      </c>
      <c r="CI5">
        <f>Calcs!CI17</f>
        <v>2</v>
      </c>
    </row>
    <row r="6" spans="1:87" x14ac:dyDescent="0.25">
      <c r="A6" t="s">
        <v>45</v>
      </c>
      <c r="B6">
        <f>Calcs!B18</f>
        <v>2</v>
      </c>
      <c r="C6">
        <f>Calcs!C18</f>
        <v>2</v>
      </c>
      <c r="D6">
        <f>Calcs!D18</f>
        <v>2</v>
      </c>
      <c r="E6">
        <f>Calcs!E18</f>
        <v>2</v>
      </c>
      <c r="F6">
        <f>Calcs!F18</f>
        <v>2</v>
      </c>
      <c r="G6">
        <f>Calcs!G18</f>
        <v>2</v>
      </c>
      <c r="H6">
        <f>Calcs!H18</f>
        <v>2</v>
      </c>
      <c r="I6">
        <f>Calcs!I18</f>
        <v>2</v>
      </c>
      <c r="J6">
        <f>Calcs!J18</f>
        <v>2</v>
      </c>
      <c r="K6">
        <f>Calcs!K18</f>
        <v>2</v>
      </c>
      <c r="L6">
        <f>Calcs!L18</f>
        <v>2</v>
      </c>
      <c r="M6">
        <f>Calcs!M18</f>
        <v>2</v>
      </c>
      <c r="N6">
        <f>Calcs!N18</f>
        <v>2</v>
      </c>
      <c r="O6">
        <f>Calcs!O18</f>
        <v>2</v>
      </c>
      <c r="P6">
        <f>Calcs!P18</f>
        <v>2</v>
      </c>
      <c r="Q6">
        <f>Calcs!Q18</f>
        <v>2</v>
      </c>
      <c r="R6">
        <f>Calcs!R18</f>
        <v>2</v>
      </c>
      <c r="S6">
        <f>Calcs!S18</f>
        <v>2</v>
      </c>
      <c r="T6">
        <f>Calcs!T18</f>
        <v>2</v>
      </c>
      <c r="U6">
        <f>Calcs!U18</f>
        <v>2</v>
      </c>
      <c r="V6">
        <f>Calcs!V18</f>
        <v>2</v>
      </c>
      <c r="W6">
        <f>Calcs!W18</f>
        <v>2</v>
      </c>
      <c r="X6">
        <f>Calcs!X18</f>
        <v>2</v>
      </c>
      <c r="Y6">
        <f>Calcs!Y18</f>
        <v>2</v>
      </c>
      <c r="Z6">
        <f>Calcs!Z18</f>
        <v>2</v>
      </c>
      <c r="AA6">
        <f>Calcs!AA18</f>
        <v>2</v>
      </c>
      <c r="AB6">
        <f>Calcs!AB18</f>
        <v>2</v>
      </c>
      <c r="AC6">
        <f>Calcs!AC18</f>
        <v>2</v>
      </c>
      <c r="AD6">
        <f>Calcs!AD18</f>
        <v>2</v>
      </c>
      <c r="AE6">
        <f>Calcs!AE18</f>
        <v>2</v>
      </c>
      <c r="AF6">
        <f>Calcs!AF18</f>
        <v>2</v>
      </c>
      <c r="AG6">
        <f>Calcs!AG18</f>
        <v>2</v>
      </c>
      <c r="AH6">
        <f>Calcs!AH18</f>
        <v>2</v>
      </c>
      <c r="AI6">
        <f>Calcs!AI18</f>
        <v>2</v>
      </c>
      <c r="AJ6">
        <f>Calcs!AJ18</f>
        <v>2</v>
      </c>
      <c r="AK6">
        <f>Calcs!AK18</f>
        <v>2</v>
      </c>
      <c r="AL6">
        <f>Calcs!AL18</f>
        <v>2</v>
      </c>
      <c r="AM6">
        <f>Calcs!AM18</f>
        <v>2</v>
      </c>
      <c r="AN6">
        <f>Calcs!AN18</f>
        <v>2</v>
      </c>
      <c r="AO6">
        <f>Calcs!AO18</f>
        <v>2</v>
      </c>
      <c r="AP6">
        <f>Calcs!AP18</f>
        <v>2</v>
      </c>
      <c r="AQ6">
        <f>Calcs!AQ18</f>
        <v>2</v>
      </c>
      <c r="AR6">
        <f>Calcs!AR18</f>
        <v>2</v>
      </c>
      <c r="AS6">
        <f>Calcs!AS18</f>
        <v>2</v>
      </c>
      <c r="AT6">
        <f>Calcs!AT18</f>
        <v>2</v>
      </c>
      <c r="AU6">
        <f>Calcs!AU18</f>
        <v>2</v>
      </c>
      <c r="AV6">
        <f>Calcs!AV18</f>
        <v>2</v>
      </c>
      <c r="AW6">
        <f>Calcs!AW18</f>
        <v>2</v>
      </c>
      <c r="AX6">
        <f>Calcs!AX18</f>
        <v>2</v>
      </c>
      <c r="AY6">
        <f>Calcs!AY18</f>
        <v>2</v>
      </c>
      <c r="AZ6">
        <f>Calcs!AZ18</f>
        <v>2</v>
      </c>
      <c r="BA6">
        <f>Calcs!BA18</f>
        <v>2</v>
      </c>
      <c r="BB6">
        <f>Calcs!BB18</f>
        <v>2</v>
      </c>
      <c r="BC6">
        <f>Calcs!BC18</f>
        <v>2</v>
      </c>
      <c r="BD6">
        <f>Calcs!BD18</f>
        <v>2</v>
      </c>
      <c r="BE6">
        <f>Calcs!BE18</f>
        <v>2</v>
      </c>
      <c r="BF6">
        <f>Calcs!BF18</f>
        <v>2</v>
      </c>
      <c r="BG6">
        <f>Calcs!BG18</f>
        <v>2</v>
      </c>
      <c r="BH6">
        <f>Calcs!BH18</f>
        <v>2</v>
      </c>
      <c r="BI6">
        <f>Calcs!BI18</f>
        <v>2</v>
      </c>
      <c r="BJ6">
        <f>Calcs!BJ18</f>
        <v>2</v>
      </c>
      <c r="BK6">
        <f>Calcs!BK18</f>
        <v>2</v>
      </c>
      <c r="BL6">
        <f>Calcs!BL18</f>
        <v>2</v>
      </c>
      <c r="BM6">
        <f>Calcs!BM18</f>
        <v>2</v>
      </c>
      <c r="BN6">
        <f>Calcs!BN18</f>
        <v>2</v>
      </c>
      <c r="BO6">
        <f>Calcs!BO18</f>
        <v>2</v>
      </c>
      <c r="BP6">
        <f>Calcs!BP18</f>
        <v>2</v>
      </c>
      <c r="BQ6">
        <f>Calcs!BQ18</f>
        <v>2</v>
      </c>
      <c r="BR6">
        <f>Calcs!BR18</f>
        <v>2</v>
      </c>
      <c r="BS6">
        <f>Calcs!BS18</f>
        <v>2</v>
      </c>
      <c r="BT6">
        <f>Calcs!BT18</f>
        <v>2</v>
      </c>
      <c r="BU6">
        <f>Calcs!BU18</f>
        <v>2</v>
      </c>
      <c r="BV6">
        <f>Calcs!BV18</f>
        <v>2</v>
      </c>
      <c r="BW6">
        <f>Calcs!BW18</f>
        <v>2</v>
      </c>
      <c r="BX6">
        <f>Calcs!BX18</f>
        <v>2</v>
      </c>
      <c r="BY6">
        <f>Calcs!BY18</f>
        <v>2</v>
      </c>
      <c r="BZ6">
        <f>Calcs!BZ18</f>
        <v>2</v>
      </c>
      <c r="CA6">
        <f>Calcs!CA18</f>
        <v>2</v>
      </c>
      <c r="CB6">
        <f>Calcs!CB18</f>
        <v>2</v>
      </c>
      <c r="CC6">
        <f>Calcs!CC18</f>
        <v>2</v>
      </c>
      <c r="CD6">
        <f>Calcs!CD18</f>
        <v>2</v>
      </c>
      <c r="CE6">
        <f>Calcs!CE18</f>
        <v>2</v>
      </c>
      <c r="CF6">
        <f>Calcs!CF18</f>
        <v>2</v>
      </c>
      <c r="CG6">
        <f>Calcs!CG18</f>
        <v>2</v>
      </c>
      <c r="CH6">
        <f>Calcs!CH18</f>
        <v>2</v>
      </c>
      <c r="CI6">
        <f>Calcs!CI18</f>
        <v>2</v>
      </c>
    </row>
    <row r="7" spans="1:87" x14ac:dyDescent="0.25">
      <c r="A7" t="s">
        <v>46</v>
      </c>
      <c r="B7">
        <f>Calcs!B19</f>
        <v>1.06</v>
      </c>
      <c r="C7">
        <f>Calcs!C19</f>
        <v>1.06</v>
      </c>
      <c r="D7">
        <f>Calcs!D19</f>
        <v>1.06</v>
      </c>
      <c r="E7">
        <f>Calcs!E19</f>
        <v>1.06</v>
      </c>
      <c r="F7">
        <f>Calcs!F19</f>
        <v>1.06</v>
      </c>
      <c r="G7">
        <f>Calcs!G19</f>
        <v>1.06</v>
      </c>
      <c r="H7">
        <f>Calcs!H19</f>
        <v>1.06</v>
      </c>
      <c r="I7">
        <f>Calcs!I19</f>
        <v>1.06</v>
      </c>
      <c r="J7">
        <f>Calcs!J19</f>
        <v>1.06</v>
      </c>
      <c r="K7">
        <f>Calcs!K19</f>
        <v>1.06</v>
      </c>
      <c r="L7">
        <f>Calcs!L19</f>
        <v>1.06</v>
      </c>
      <c r="M7">
        <f>Calcs!M19</f>
        <v>1.06</v>
      </c>
      <c r="N7">
        <f>Calcs!N19</f>
        <v>1.06</v>
      </c>
      <c r="O7">
        <f>Calcs!O19</f>
        <v>1.06</v>
      </c>
      <c r="P7">
        <f>Calcs!P19</f>
        <v>1.06</v>
      </c>
      <c r="Q7">
        <f>Calcs!Q19</f>
        <v>1.06</v>
      </c>
      <c r="R7">
        <f>Calcs!R19</f>
        <v>1.06</v>
      </c>
      <c r="S7">
        <f>Calcs!S19</f>
        <v>1.06</v>
      </c>
      <c r="T7">
        <f>Calcs!T19</f>
        <v>1.06</v>
      </c>
      <c r="U7">
        <f>Calcs!U19</f>
        <v>1.06</v>
      </c>
      <c r="V7">
        <f>Calcs!V19</f>
        <v>1.06</v>
      </c>
      <c r="W7">
        <f>Calcs!W19</f>
        <v>1.06</v>
      </c>
      <c r="X7">
        <f>Calcs!X19</f>
        <v>1.06</v>
      </c>
      <c r="Y7">
        <f>Calcs!Y19</f>
        <v>1.06</v>
      </c>
      <c r="Z7">
        <f>Calcs!Z19</f>
        <v>1.06</v>
      </c>
      <c r="AA7">
        <f>Calcs!AA19</f>
        <v>1.06</v>
      </c>
      <c r="AB7">
        <f>Calcs!AB19</f>
        <v>1.06</v>
      </c>
      <c r="AC7">
        <f>Calcs!AC19</f>
        <v>1.06</v>
      </c>
      <c r="AD7">
        <f>Calcs!AD19</f>
        <v>1.06</v>
      </c>
      <c r="AE7">
        <f>Calcs!AE19</f>
        <v>1.06</v>
      </c>
      <c r="AF7">
        <f>Calcs!AF19</f>
        <v>1.06</v>
      </c>
      <c r="AG7">
        <f>Calcs!AG19</f>
        <v>1.06</v>
      </c>
      <c r="AH7">
        <f>Calcs!AH19</f>
        <v>1.06</v>
      </c>
      <c r="AI7">
        <f>Calcs!AI19</f>
        <v>1.06</v>
      </c>
      <c r="AJ7">
        <f>Calcs!AJ19</f>
        <v>1.06</v>
      </c>
      <c r="AK7">
        <f>Calcs!AK19</f>
        <v>1.06</v>
      </c>
      <c r="AL7">
        <f>Calcs!AL19</f>
        <v>1.06</v>
      </c>
      <c r="AM7">
        <f>Calcs!AM19</f>
        <v>1.06</v>
      </c>
      <c r="AN7">
        <f>Calcs!AN19</f>
        <v>1.06</v>
      </c>
      <c r="AO7">
        <f>Calcs!AO19</f>
        <v>1.06</v>
      </c>
      <c r="AP7">
        <f>Calcs!AP19</f>
        <v>1.06</v>
      </c>
      <c r="AQ7">
        <f>Calcs!AQ19</f>
        <v>1.06</v>
      </c>
      <c r="AR7">
        <f>Calcs!AR19</f>
        <v>1.06</v>
      </c>
      <c r="AS7">
        <f>Calcs!AS19</f>
        <v>1.06</v>
      </c>
      <c r="AT7">
        <f>Calcs!AT19</f>
        <v>1.06</v>
      </c>
      <c r="AU7">
        <f>Calcs!AU19</f>
        <v>1.06</v>
      </c>
      <c r="AV7">
        <f>Calcs!AV19</f>
        <v>1.06</v>
      </c>
      <c r="AW7">
        <f>Calcs!AW19</f>
        <v>1.06</v>
      </c>
      <c r="AX7">
        <f>Calcs!AX19</f>
        <v>1.06</v>
      </c>
      <c r="AY7">
        <f>Calcs!AY19</f>
        <v>1.06</v>
      </c>
      <c r="AZ7">
        <f>Calcs!AZ19</f>
        <v>1.06</v>
      </c>
      <c r="BA7">
        <f>Calcs!BA19</f>
        <v>1.06</v>
      </c>
      <c r="BB7">
        <f>Calcs!BB19</f>
        <v>1.06</v>
      </c>
      <c r="BC7">
        <f>Calcs!BC19</f>
        <v>1.06</v>
      </c>
      <c r="BD7">
        <f>Calcs!BD19</f>
        <v>1.06</v>
      </c>
      <c r="BE7">
        <f>Calcs!BE19</f>
        <v>1.06</v>
      </c>
      <c r="BF7">
        <f>Calcs!BF19</f>
        <v>1.06</v>
      </c>
      <c r="BG7">
        <f>Calcs!BG19</f>
        <v>1.06</v>
      </c>
      <c r="BH7">
        <f>Calcs!BH19</f>
        <v>1.06</v>
      </c>
      <c r="BI7">
        <f>Calcs!BI19</f>
        <v>1.06</v>
      </c>
      <c r="BJ7">
        <f>Calcs!BJ19</f>
        <v>1.06</v>
      </c>
      <c r="BK7">
        <f>Calcs!BK19</f>
        <v>1.06</v>
      </c>
      <c r="BL7">
        <f>Calcs!BL19</f>
        <v>1.06</v>
      </c>
      <c r="BM7">
        <f>Calcs!BM19</f>
        <v>1.06</v>
      </c>
      <c r="BN7">
        <f>Calcs!BN19</f>
        <v>1.06</v>
      </c>
      <c r="BO7">
        <f>Calcs!BO19</f>
        <v>1.06</v>
      </c>
      <c r="BP7">
        <f>Calcs!BP19</f>
        <v>1.06</v>
      </c>
      <c r="BQ7">
        <f>Calcs!BQ19</f>
        <v>1.06</v>
      </c>
      <c r="BR7">
        <f>Calcs!BR19</f>
        <v>1.06</v>
      </c>
      <c r="BS7">
        <f>Calcs!BS19</f>
        <v>1.06</v>
      </c>
      <c r="BT7">
        <f>Calcs!BT19</f>
        <v>1.06</v>
      </c>
      <c r="BU7">
        <f>Calcs!BU19</f>
        <v>1.06</v>
      </c>
      <c r="BV7">
        <f>Calcs!BV19</f>
        <v>1.06</v>
      </c>
      <c r="BW7">
        <f>Calcs!BW19</f>
        <v>1.06</v>
      </c>
      <c r="BX7">
        <f>Calcs!BX19</f>
        <v>1.06</v>
      </c>
      <c r="BY7">
        <f>Calcs!BY19</f>
        <v>1.06</v>
      </c>
      <c r="BZ7">
        <f>Calcs!BZ19</f>
        <v>1.06</v>
      </c>
      <c r="CA7">
        <f>Calcs!CA19</f>
        <v>1.06</v>
      </c>
      <c r="CB7">
        <f>Calcs!CB19</f>
        <v>1.06</v>
      </c>
      <c r="CC7">
        <f>Calcs!CC19</f>
        <v>1.06</v>
      </c>
      <c r="CD7">
        <f>Calcs!CD19</f>
        <v>1.06</v>
      </c>
      <c r="CE7">
        <f>Calcs!CE19</f>
        <v>1.06</v>
      </c>
      <c r="CF7">
        <f>Calcs!CF19</f>
        <v>1.06</v>
      </c>
      <c r="CG7">
        <f>Calcs!CG19</f>
        <v>1.06</v>
      </c>
      <c r="CH7">
        <f>Calcs!CH19</f>
        <v>1.06</v>
      </c>
      <c r="CI7">
        <f>Calcs!CI19</f>
        <v>1.06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Assumptions</vt:lpstr>
      <vt:lpstr>AVL (EPS input)</vt:lpstr>
      <vt:lpstr>Calibrated parameters</vt:lpstr>
      <vt:lpstr>Calcs</vt:lpstr>
      <vt:lpstr>Checks</vt:lpstr>
      <vt:lpstr>VWSPbV-psgr</vt:lpstr>
      <vt:lpstr>VWSPbV-frgt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Robbie Orvis</cp:lastModifiedBy>
  <dcterms:created xsi:type="dcterms:W3CDTF">2026-10-14T16:25:30Z</dcterms:created>
  <dcterms:modified xsi:type="dcterms:W3CDTF">2026-10-14T16:25:32Z</dcterms:modified>
</cp:coreProperties>
</file>