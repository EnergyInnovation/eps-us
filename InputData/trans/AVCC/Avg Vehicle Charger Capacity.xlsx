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AVCC\"/>
    </mc:Choice>
  </mc:AlternateContent>
  <xr:revisionPtr revIDLastSave="0" documentId="13_ncr:1_{31C09505-F5DC-4495-A821-AAF9FC0450FA}" xr6:coauthVersionLast="47" xr6:coauthVersionMax="47" xr10:uidLastSave="{00000000-0000-0000-0000-000000000000}"/>
  <bookViews>
    <workbookView xWindow="9510" yWindow="0" windowWidth="9780" windowHeight="11370" xr2:uid="{661390DE-D06E-402F-B49F-05F85B2DF025}"/>
  </bookViews>
  <sheets>
    <sheet name="About" sheetId="9" r:id="rId1"/>
    <sheet name="AVCC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/>
  <c r="C2" i="10"/>
  <c r="C3" i="10"/>
  <c r="B3" i="10"/>
  <c r="B7" i="10"/>
  <c r="C6" i="10" l="1"/>
  <c r="C5" i="10"/>
  <c r="C4" i="10"/>
  <c r="C7" i="10" l="1"/>
</calcChain>
</file>

<file path=xl/sharedStrings.xml><?xml version="1.0" encoding="utf-8"?>
<sst xmlns="http://schemas.openxmlformats.org/spreadsheetml/2006/main" count="30" uniqueCount="28">
  <si>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</si>
  <si>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</si>
  <si>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</si>
  <si>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</si>
  <si>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</si>
  <si>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</si>
  <si>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</si>
  <si>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</si>
  <si>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</si>
  <si>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AVCC Avg Vehicle Charger Capacity</t>
  </si>
  <si>
    <t>https://www.transportation.gov/rural/ev/toolkit/ev-basics/charging-speeds</t>
  </si>
  <si>
    <t>U.S. Department of Transportation</t>
  </si>
  <si>
    <t>Charger Types and Speeds</t>
  </si>
  <si>
    <t>https://theicct.org/wp-content/uploads/2025/10/ICCT-Trucks-Charging-Needs-Factsheet.pdf</t>
  </si>
  <si>
    <t>ICCT</t>
  </si>
  <si>
    <t>Charging infrastructure needs for battery-electric trucks in the European Union by 2030</t>
  </si>
  <si>
    <t>Figure 1, capacity range for overnight chargers</t>
  </si>
  <si>
    <t>Notes</t>
  </si>
  <si>
    <t>This variable should reflect the average charger capacity in kW by vehicle type.</t>
  </si>
  <si>
    <t>Average charger capacity (kW)</t>
  </si>
  <si>
    <t>L1 vs L2 home charging split</t>
  </si>
  <si>
    <t>JDPower</t>
  </si>
  <si>
    <t>Home Charging Satisfaction a Bright Spot among Electric Vehicle Owners, JD Power Finds</t>
  </si>
  <si>
    <t>https://www.jdpower.com/business/press-releases/2024-us-electric-vehicle-experience-evx-home-charging-study?utm_source=chatgpt.com</t>
  </si>
  <si>
    <t>JDPower finds 84% of EV owners who charge at home use L2 permanently mounted charging stations.</t>
  </si>
  <si>
    <t>L1 charging is roughly 1.4 kW.</t>
  </si>
  <si>
    <t xml:space="preserve">L2 charging depends on setup, but 7.2 kW (30 A) is standard; some setups like Tesla wall chargers are </t>
  </si>
  <si>
    <t xml:space="preserve">10-11 kW. So we use 8.5 kW as an approximate value given we lack better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</si>
</sst>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6" formatCode="#,##0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sz val="9"/>
      <name val="Helv"/>
    </font>
    <font>
      <sz val="9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3" fillId="0" borderId="7" applyNumberFormat="0" applyProtection="0">
      <alignment horizontal="left" wrapText="1"/>
    </xf>
    <xf numFmtId="0" fontId="3" fillId="0" borderId="6" applyNumberFormat="0" applyFill="0" applyProtection="0">
      <alignment wrapText="1"/>
    </xf>
    <xf numFmtId="0" fontId="3" fillId="0" borderId="4" applyNumberFormat="0" applyProtection="0">
      <alignment wrapText="1"/>
    </xf>
    <xf numFmtId="0" fontId="4" fillId="0" borderId="3" applyNumberFormat="0" applyProtection="0">
      <alignment vertical="top" wrapText="1"/>
    </xf>
    <xf numFmtId="0" fontId="4" fillId="0" borderId="5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8" applyNumberFormat="0" applyFill="0">
      <alignment horizontal="right"/>
    </xf>
    <xf numFmtId="0" fontId="9" fillId="0" borderId="8">
      <alignment horizontal="left"/>
    </xf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1" applyNumberFormat="0" applyAlignment="0" applyProtection="0"/>
    <xf numFmtId="0" fontId="20" fillId="7" borderId="12" applyNumberFormat="0" applyAlignment="0" applyProtection="0"/>
    <xf numFmtId="0" fontId="21" fillId="7" borderId="11" applyNumberFormat="0" applyAlignment="0" applyProtection="0"/>
    <xf numFmtId="0" fontId="22" fillId="0" borderId="13" applyNumberFormat="0" applyFill="0" applyAlignment="0" applyProtection="0"/>
    <xf numFmtId="0" fontId="23" fillId="8" borderId="14" applyNumberFormat="0" applyAlignment="0" applyProtection="0"/>
    <xf numFmtId="0" fontId="24" fillId="0" borderId="0" applyNumberFormat="0" applyFill="0" applyBorder="0" applyAlignment="0" applyProtection="0"/>
    <xf numFmtId="0" fontId="11" fillId="9" borderId="15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6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26" fillId="33" borderId="0" applyNumberFormat="0" applyBorder="0" applyAlignment="0" applyProtection="0"/>
    <xf numFmtId="0" fontId="28" fillId="0" borderId="0">
      <alignment horizontal="left"/>
    </xf>
    <xf numFmtId="0" fontId="9" fillId="34" borderId="0">
      <alignment horizontal="centerContinuous" wrapText="1"/>
    </xf>
    <xf numFmtId="0" fontId="8" fillId="0" borderId="8">
      <alignment horizontal="left" vertical="center"/>
    </xf>
    <xf numFmtId="166" fontId="29" fillId="0" borderId="8">
      <alignment horizontal="right" vertical="center"/>
    </xf>
    <xf numFmtId="0" fontId="3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/>
    <xf numFmtId="0" fontId="0" fillId="0" borderId="0" xfId="0" applyAlignment="1">
      <alignment horizontal="left"/>
    </xf>
    <xf numFmtId="0" fontId="27" fillId="2" borderId="0" xfId="0" applyFont="1" applyFill="1"/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62">
    <cellStyle name="20% - Accent1" xfId="34" builtinId="30" customBuiltin="1"/>
    <cellStyle name="20% - Accent2" xfId="38" builtinId="34" customBuiltin="1"/>
    <cellStyle name="20% - Accent3" xfId="42" builtinId="38" customBuiltin="1"/>
    <cellStyle name="20% - Accent4" xfId="46" builtinId="42" customBuiltin="1"/>
    <cellStyle name="20% - Accent5" xfId="50" builtinId="46" customBuiltin="1"/>
    <cellStyle name="20% - Accent6" xfId="54" builtinId="50" customBuiltin="1"/>
    <cellStyle name="40% - Accent1" xfId="35" builtinId="31" customBuiltin="1"/>
    <cellStyle name="40% - Accent2" xfId="39" builtinId="35" customBuiltin="1"/>
    <cellStyle name="40% - Accent3" xfId="43" builtinId="39" customBuiltin="1"/>
    <cellStyle name="40% - Accent4" xfId="47" builtinId="43" customBuiltin="1"/>
    <cellStyle name="40% - Accent5" xfId="51" builtinId="47" customBuiltin="1"/>
    <cellStyle name="40% - Accent6" xfId="55" builtinId="51" customBuiltin="1"/>
    <cellStyle name="60% - Accent1" xfId="36" builtinId="32" customBuiltin="1"/>
    <cellStyle name="60% - Accent2" xfId="40" builtinId="36" customBuiltin="1"/>
    <cellStyle name="60% - Accent3" xfId="44" builtinId="40" customBuiltin="1"/>
    <cellStyle name="60% - Accent4" xfId="48" builtinId="44" customBuiltin="1"/>
    <cellStyle name="60% - Accent5" xfId="52" builtinId="48" customBuiltin="1"/>
    <cellStyle name="60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Bad" xfId="22" builtinId="27" customBuiltin="1"/>
    <cellStyle name="Body: normal cell" xfId="3" xr:uid="{00000000-0005-0000-0000-000019000000}"/>
    <cellStyle name="Calculation" xfId="26" builtinId="22" customBuiltin="1"/>
    <cellStyle name="Check Cell" xfId="28" builtinId="23" customBuiltin="1"/>
    <cellStyle name="Data" xfId="14" xr:uid="{00000000-0005-0000-0000-00001C000000}"/>
    <cellStyle name="Data no deci" xfId="60" xr:uid="{00000000-0005-0000-0000-00001D000000}"/>
    <cellStyle name="Explanatory Text" xfId="31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1" builtinId="26" customBuiltin="1"/>
    <cellStyle name="Header: bottom row" xfId="2" xr:uid="{00000000-0005-0000-0000-000024000000}"/>
    <cellStyle name="Header: top rows" xfId="4" xr:uid="{00000000-0005-0000-0000-000025000000}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Hed Side" xfId="15" xr:uid="{00000000-0005-0000-0000-00002A000000}"/>
    <cellStyle name="Hed Side Regular" xfId="59" xr:uid="{00000000-0005-0000-0000-00002B000000}"/>
    <cellStyle name="Hed Top" xfId="58" xr:uid="{00000000-0005-0000-0000-00002C000000}"/>
    <cellStyle name="Hyperlink" xfId="1" builtinId="8"/>
    <cellStyle name="Hyperlink 2" xfId="10" xr:uid="{00000000-0005-0000-0000-00002E000000}"/>
    <cellStyle name="Input" xfId="24" builtinId="20" customBuiltin="1"/>
    <cellStyle name="Linked Cell" xfId="27" builtinId="24" customBuiltin="1"/>
    <cellStyle name="Neutral" xfId="23" builtinId="28" customBuiltin="1"/>
    <cellStyle name="Normal" xfId="0" builtinId="0"/>
    <cellStyle name="Normal 2" xfId="61" xr:uid="{6BD6DE87-5039-4F46-B9F3-CD2F5894CA3D}"/>
    <cellStyle name="Note" xfId="30" builtinId="10" customBuiltin="1"/>
    <cellStyle name="Output" xfId="25" builtinId="21" customBuiltin="1"/>
    <cellStyle name="Parent row" xfId="6" xr:uid="{00000000-0005-0000-0000-000035000000}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6" builtinId="15" customBuiltin="1"/>
    <cellStyle name="Title-2" xfId="57" xr:uid="{00000000-0005-0000-0000-00003B000000}"/>
    <cellStyle name="Total" xfId="32" builtinId="25" customBuiltin="1"/>
    <cellStyle name="Warning Text" xfId="29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A34" sqref="A34"/>
    </sheetView>
  </sheetViews>
  <sheetFormatPr defaultRowHeight="14.5" x14ac:dyDescent="0.35"/>
  <cols>
    <col min="2" max="2" width="132.26953125" customWidth="1"/>
  </cols>
  <sheetData>
    <row r="1" spans="1:2" x14ac:dyDescent="0.35">
      <c r="A1" s="1" t="s">
        <v>9</v>
      </c>
    </row>
    <row r="3" spans="1:2" x14ac:dyDescent="0.35">
      <c r="A3" s="1" t="s">
        <v>2</v>
      </c>
      <c r="B3" s="5" t="s">
        <v>3</v>
      </c>
    </row>
    <row r="4" spans="1:2" x14ac:dyDescent="0.35">
      <c r="B4" t="s">
        <v>11</v>
      </c>
    </row>
    <row r="5" spans="1:2" x14ac:dyDescent="0.35">
      <c r="B5" s="8">
        <v>2025</v>
      </c>
    </row>
    <row r="6" spans="1:2" x14ac:dyDescent="0.35">
      <c r="B6" s="7" t="s">
        <v>12</v>
      </c>
    </row>
    <row r="7" spans="1:2" x14ac:dyDescent="0.35">
      <c r="B7" s="7" t="s">
        <v>10</v>
      </c>
    </row>
    <row r="9" spans="1:2" x14ac:dyDescent="0.35">
      <c r="B9" s="3" t="s">
        <v>4</v>
      </c>
    </row>
    <row r="10" spans="1:2" x14ac:dyDescent="0.35">
      <c r="B10" t="s">
        <v>14</v>
      </c>
    </row>
    <row r="11" spans="1:2" x14ac:dyDescent="0.35">
      <c r="B11" s="4">
        <v>2025</v>
      </c>
    </row>
    <row r="12" spans="1:2" x14ac:dyDescent="0.35">
      <c r="B12" t="s">
        <v>15</v>
      </c>
    </row>
    <row r="13" spans="1:2" x14ac:dyDescent="0.35">
      <c r="B13" s="2" t="s">
        <v>13</v>
      </c>
    </row>
    <row r="14" spans="1:2" x14ac:dyDescent="0.35">
      <c r="B14" t="s">
        <v>16</v>
      </c>
    </row>
    <row r="16" spans="1:2" x14ac:dyDescent="0.35">
      <c r="B16" s="5" t="s">
        <v>20</v>
      </c>
    </row>
    <row r="17" spans="1:2" x14ac:dyDescent="0.35">
      <c r="B17" t="s">
        <v>21</v>
      </c>
    </row>
    <row r="18" spans="1:2" x14ac:dyDescent="0.35">
      <c r="B18" s="8">
        <v>2024</v>
      </c>
    </row>
    <row r="19" spans="1:2" x14ac:dyDescent="0.35">
      <c r="B19" s="7" t="s">
        <v>22</v>
      </c>
    </row>
    <row r="20" spans="1:2" x14ac:dyDescent="0.35">
      <c r="B20" s="7" t="s">
        <v>23</v>
      </c>
    </row>
    <row r="21" spans="1:2" x14ac:dyDescent="0.35">
      <c r="B21" s="7"/>
    </row>
    <row r="22" spans="1:2" x14ac:dyDescent="0.35">
      <c r="A22" s="1" t="s">
        <v>17</v>
      </c>
    </row>
    <row r="23" spans="1:2" x14ac:dyDescent="0.35">
      <c r="A23" t="s">
        <v>18</v>
      </c>
    </row>
    <row r="25" spans="1:2" x14ac:dyDescent="0.35">
      <c r="A25" t="s">
        <v>24</v>
      </c>
    </row>
    <row r="26" spans="1:2" x14ac:dyDescent="0.35">
      <c r="A26" s="11">
        <v>0.84</v>
      </c>
    </row>
    <row r="28" spans="1:2" x14ac:dyDescent="0.35">
      <c r="A28" t="s">
        <v>25</v>
      </c>
    </row>
    <row r="29" spans="1:2" x14ac:dyDescent="0.35">
      <c r="A29">
        <v>1.4</v>
      </c>
    </row>
    <row r="31" spans="1:2" x14ac:dyDescent="0.35">
      <c r="A31" t="s">
        <v>26</v>
      </c>
    </row>
    <row r="32" spans="1:2" x14ac:dyDescent="0.35">
      <c r="A32" t="s">
        <v>27</v>
      </c>
    </row>
    <row r="33" spans="1:1" x14ac:dyDescent="0.35">
      <c r="A33">
        <v>8.5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>
      <selection activeCell="E5" sqref="E5"/>
    </sheetView>
  </sheetViews>
  <sheetFormatPr defaultRowHeight="14.5" x14ac:dyDescent="0.35"/>
  <cols>
    <col min="1" max="1" width="14.54296875" customWidth="1"/>
    <col min="2" max="2" width="19" customWidth="1"/>
    <col min="3" max="3" width="15.54296875" customWidth="1"/>
  </cols>
  <sheetData>
    <row r="1" spans="1:3" ht="29" x14ac:dyDescent="0.35">
      <c r="A1" s="6" t="s">
        <v>19</v>
      </c>
      <c r="B1" s="9" t="s">
        <v>7</v>
      </c>
      <c r="C1" s="9" t="s">
        <v>8</v>
      </c>
    </row>
    <row r="2" spans="1:3" x14ac:dyDescent="0.35">
      <c r="A2" t="s">
        <v>3</v>
      </c>
      <c r="B2" s="12">
        <f>About!A33*About!A26+About!A29*(1-About!A26)</f>
        <v>7.3639999999999999</v>
      </c>
      <c r="C2" s="12">
        <f t="shared" ref="C2:C7" si="0">B2</f>
        <v>7.3639999999999999</v>
      </c>
    </row>
    <row r="3" spans="1:3" x14ac:dyDescent="0.35">
      <c r="A3" t="s">
        <v>4</v>
      </c>
      <c r="B3" s="10">
        <f>(100-22)/2+22</f>
        <v>61</v>
      </c>
      <c r="C3" s="10">
        <f t="shared" si="0"/>
        <v>61</v>
      </c>
    </row>
    <row r="4" spans="1:3" x14ac:dyDescent="0.35">
      <c r="A4" t="s">
        <v>5</v>
      </c>
      <c r="B4" s="10">
        <v>0</v>
      </c>
      <c r="C4" s="10">
        <f t="shared" si="0"/>
        <v>0</v>
      </c>
    </row>
    <row r="5" spans="1:3" x14ac:dyDescent="0.35">
      <c r="A5" t="s">
        <v>1</v>
      </c>
      <c r="B5">
        <v>0</v>
      </c>
      <c r="C5">
        <f t="shared" si="0"/>
        <v>0</v>
      </c>
    </row>
    <row r="6" spans="1:3" x14ac:dyDescent="0.35">
      <c r="A6" t="s">
        <v>0</v>
      </c>
      <c r="B6">
        <v>0</v>
      </c>
      <c r="C6">
        <f t="shared" si="0"/>
        <v>0</v>
      </c>
    </row>
    <row r="7" spans="1:3" x14ac:dyDescent="0.35">
      <c r="A7" t="s">
        <v>6</v>
      </c>
      <c r="B7" s="12">
        <f>B2</f>
        <v>7.3639999999999999</v>
      </c>
      <c r="C7" s="12">
        <f t="shared" si="0"/>
        <v>7.3639999999999999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AVCC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2014-03-17T23:54:25Z</dcterms:created>
  <dcterms:modified xsi:type="dcterms:W3CDTF">2026-04-07T10:26:58Z</dcterms:modified>
</cp:coreProperties>
</file>