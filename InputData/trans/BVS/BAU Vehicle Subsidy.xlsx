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ing\EPS\US\eps-us\InputData\trans\BVS\"/>
    </mc:Choice>
  </mc:AlternateContent>
  <xr:revisionPtr revIDLastSave="0" documentId="13_ncr:1_{9FEC4C98-09EB-4A72-B928-46EF777001B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bout" sheetId="1" r:id="rId1"/>
    <sheet name="Passenger Vehicle Calculations" sheetId="114" r:id="rId2"/>
    <sheet name="Commercial Vehicles" sheetId="117" r:id="rId3"/>
    <sheet name="psgr" sheetId="17" r:id="rId4"/>
    <sheet name="BVS-psgr-LDVs" sheetId="2" r:id="rId5"/>
    <sheet name="BVS-psgr-HDVs" sheetId="101" r:id="rId6"/>
    <sheet name="BVS-psgr-aircraft" sheetId="105" r:id="rId7"/>
    <sheet name="BVP-psgr-rail" sheetId="104" r:id="rId8"/>
    <sheet name="BVS-psgr-ships" sheetId="103" r:id="rId9"/>
    <sheet name="BVS-psgr-motorbikes" sheetId="102" r:id="rId10"/>
    <sheet name="frgt" sheetId="106" r:id="rId11"/>
    <sheet name="BVS-frgt-LDVs" sheetId="107" r:id="rId12"/>
    <sheet name="BVS-frgt-HDVs" sheetId="108" r:id="rId13"/>
    <sheet name="BVS-frgt-aircraft" sheetId="109" r:id="rId14"/>
    <sheet name="BVS-frgt-rail" sheetId="110" r:id="rId15"/>
    <sheet name="BVS-frgt-ships" sheetId="111" r:id="rId16"/>
    <sheet name="BVS-frgt-motorbikes" sheetId="112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6" i="117" l="1"/>
  <c r="K36" i="117"/>
  <c r="J36" i="117"/>
  <c r="I36" i="117"/>
  <c r="H36" i="117"/>
  <c r="G36" i="117"/>
  <c r="F36" i="117"/>
  <c r="E36" i="117"/>
  <c r="D36" i="117"/>
  <c r="C36" i="117"/>
  <c r="K9" i="117"/>
  <c r="J9" i="117"/>
  <c r="I9" i="117"/>
  <c r="H9" i="117"/>
  <c r="G9" i="117"/>
  <c r="F9" i="117"/>
  <c r="E9" i="117"/>
  <c r="D9" i="117"/>
  <c r="C9" i="117"/>
  <c r="B9" i="117"/>
  <c r="B14" i="117" a="1"/>
  <c r="B14" i="117" s="1"/>
  <c r="D97" i="114"/>
  <c r="G97" i="114"/>
  <c r="AF69" i="114"/>
  <c r="AE69" i="114"/>
  <c r="AD69" i="114"/>
  <c r="AC69" i="114"/>
  <c r="AB69" i="114"/>
  <c r="AA69" i="114"/>
  <c r="Z69" i="114"/>
  <c r="Y69" i="114"/>
  <c r="X69" i="114"/>
  <c r="W69" i="114"/>
  <c r="V69" i="114"/>
  <c r="U69" i="114"/>
  <c r="T69" i="114"/>
  <c r="S69" i="114"/>
  <c r="R69" i="114"/>
  <c r="Q69" i="114"/>
  <c r="P69" i="114"/>
  <c r="O69" i="114"/>
  <c r="N69" i="114"/>
  <c r="M69" i="114"/>
  <c r="L69" i="114"/>
  <c r="K69" i="114"/>
  <c r="J69" i="114"/>
  <c r="I69" i="114"/>
  <c r="H69" i="114"/>
  <c r="G69" i="114"/>
  <c r="F69" i="114"/>
  <c r="E69" i="114"/>
  <c r="D69" i="114"/>
  <c r="C69" i="114"/>
  <c r="D17" i="114"/>
  <c r="D37" i="114" s="1"/>
  <c r="E17" i="114"/>
  <c r="F17" i="114"/>
  <c r="G17" i="114"/>
  <c r="G37" i="114" s="1"/>
  <c r="J17" i="114"/>
  <c r="J37" i="114" s="1"/>
  <c r="D18" i="114"/>
  <c r="E18" i="114"/>
  <c r="F18" i="114"/>
  <c r="G18" i="114"/>
  <c r="H18" i="114"/>
  <c r="I18" i="114" s="1"/>
  <c r="J18" i="114" s="1"/>
  <c r="D19" i="114"/>
  <c r="E19" i="114"/>
  <c r="F19" i="114"/>
  <c r="G19" i="114"/>
  <c r="H19" i="114"/>
  <c r="I19" i="114"/>
  <c r="J19" i="114"/>
  <c r="D20" i="114"/>
  <c r="E20" i="114"/>
  <c r="F20" i="114"/>
  <c r="G20" i="114"/>
  <c r="H20" i="114"/>
  <c r="I20" i="114" s="1"/>
  <c r="J20" i="114" s="1"/>
  <c r="D22" i="114"/>
  <c r="E22" i="114"/>
  <c r="F22" i="114"/>
  <c r="G22" i="114"/>
  <c r="B28" i="114"/>
  <c r="D31" i="114"/>
  <c r="E31" i="114"/>
  <c r="F31" i="114"/>
  <c r="G31" i="114"/>
  <c r="H31" i="114"/>
  <c r="I31" i="114"/>
  <c r="J31" i="114"/>
  <c r="B33" i="114"/>
  <c r="F37" i="114"/>
  <c r="F107" i="114"/>
  <c r="F106" i="114"/>
  <c r="F105" i="114"/>
  <c r="F104" i="114"/>
  <c r="F103" i="114"/>
  <c r="F102" i="114"/>
  <c r="F101" i="114"/>
  <c r="F100" i="114"/>
  <c r="F99" i="114"/>
  <c r="F98" i="114"/>
  <c r="F97" i="114"/>
  <c r="I76" i="114"/>
  <c r="J76" i="114" s="1"/>
  <c r="G51" i="114"/>
  <c r="H51" i="114" s="1"/>
  <c r="I51" i="114" s="1"/>
  <c r="J51" i="114" s="1"/>
  <c r="F51" i="114"/>
  <c r="E51" i="114"/>
  <c r="D51" i="114"/>
  <c r="B48" i="114"/>
  <c r="B53" i="114" s="1"/>
  <c r="G47" i="114"/>
  <c r="G42" i="114"/>
  <c r="F42" i="114"/>
  <c r="E42" i="114"/>
  <c r="D42" i="114"/>
  <c r="H40" i="114"/>
  <c r="I40" i="114" s="1"/>
  <c r="J40" i="114" s="1"/>
  <c r="G40" i="114"/>
  <c r="F40" i="114"/>
  <c r="E40" i="114"/>
  <c r="D40" i="114"/>
  <c r="D39" i="114"/>
  <c r="H38" i="114"/>
  <c r="I38" i="114" s="1"/>
  <c r="J38" i="114" s="1"/>
  <c r="G38" i="114"/>
  <c r="F38" i="114"/>
  <c r="E38" i="114"/>
  <c r="D38" i="114"/>
  <c r="I37" i="114"/>
  <c r="H37" i="114"/>
  <c r="E36" i="114"/>
  <c r="F36" i="114" s="1"/>
  <c r="G36" i="114" s="1"/>
  <c r="H36" i="114" s="1"/>
  <c r="I36" i="114" s="1"/>
  <c r="J36" i="114" s="1"/>
  <c r="E16" i="114"/>
  <c r="F16" i="114" s="1"/>
  <c r="G16" i="114" s="1"/>
  <c r="H16" i="114" s="1"/>
  <c r="I16" i="114" s="1"/>
  <c r="J16" i="114" s="1"/>
  <c r="E8" i="117" l="1"/>
  <c r="D2" i="101"/>
  <c r="L2" i="101"/>
  <c r="M2" i="101"/>
  <c r="K2" i="108"/>
  <c r="F2" i="101"/>
  <c r="D2" i="108"/>
  <c r="L2" i="108"/>
  <c r="H8" i="117"/>
  <c r="J2" i="101"/>
  <c r="H2" i="108"/>
  <c r="K2" i="101"/>
  <c r="J2" i="108"/>
  <c r="E2" i="101"/>
  <c r="G8" i="117"/>
  <c r="G2" i="101"/>
  <c r="E2" i="108"/>
  <c r="M2" i="108"/>
  <c r="I8" i="117"/>
  <c r="F2" i="108"/>
  <c r="B8" i="117"/>
  <c r="J8" i="117"/>
  <c r="D8" i="117"/>
  <c r="I2" i="108"/>
  <c r="F8" i="117"/>
  <c r="H2" i="101"/>
  <c r="I2" i="101"/>
  <c r="G2" i="108"/>
  <c r="C8" i="117"/>
  <c r="K8" i="117"/>
  <c r="D23" i="117"/>
  <c r="J6" i="101"/>
  <c r="D25" i="117"/>
  <c r="E37" i="114"/>
  <c r="D98" i="114"/>
  <c r="D99" i="114" s="1"/>
  <c r="G98" i="114"/>
  <c r="K8" i="108" l="1"/>
  <c r="K6" i="108"/>
  <c r="L6" i="108"/>
  <c r="E6" i="101"/>
  <c r="M8" i="101"/>
  <c r="G6" i="108"/>
  <c r="D24" i="117"/>
  <c r="E6" i="108"/>
  <c r="J6" i="108"/>
  <c r="M8" i="108"/>
  <c r="I8" i="108"/>
  <c r="D6" i="108"/>
  <c r="F8" i="108"/>
  <c r="H8" i="108"/>
  <c r="J8" i="101"/>
  <c r="C10" i="117"/>
  <c r="E2" i="107" s="1"/>
  <c r="F8" i="101"/>
  <c r="F6" i="101"/>
  <c r="M6" i="101"/>
  <c r="G8" i="101"/>
  <c r="G6" i="101"/>
  <c r="G10" i="117"/>
  <c r="I2" i="107" s="1"/>
  <c r="G99" i="114"/>
  <c r="D100" i="114"/>
  <c r="I10" i="117"/>
  <c r="K2" i="107" s="1"/>
  <c r="F10" i="117" l="1"/>
  <c r="H2" i="107" s="1"/>
  <c r="H8" i="107" s="1"/>
  <c r="K10" i="117"/>
  <c r="M2" i="107" s="1"/>
  <c r="M8" i="107" s="1"/>
  <c r="D10" i="117"/>
  <c r="F2" i="107" s="1"/>
  <c r="F6" i="107" s="1"/>
  <c r="F6" i="108"/>
  <c r="J10" i="117"/>
  <c r="L2" i="107" s="1"/>
  <c r="L6" i="107" s="1"/>
  <c r="H10" i="117"/>
  <c r="J2" i="107" s="1"/>
  <c r="J8" i="107" s="1"/>
  <c r="E10" i="117"/>
  <c r="G2" i="107" s="1"/>
  <c r="G8" i="107" s="1"/>
  <c r="B36" i="117"/>
  <c r="G8" i="108"/>
  <c r="D8" i="108"/>
  <c r="J8" i="108"/>
  <c r="E8" i="108"/>
  <c r="E8" i="101"/>
  <c r="B10" i="117"/>
  <c r="D2" i="107" s="1"/>
  <c r="D6" i="107" s="1"/>
  <c r="H6" i="108"/>
  <c r="M6" i="108"/>
  <c r="L8" i="108"/>
  <c r="I6" i="108"/>
  <c r="K8" i="101"/>
  <c r="K6" i="101"/>
  <c r="I8" i="101"/>
  <c r="I6" i="101"/>
  <c r="H6" i="101"/>
  <c r="H8" i="101"/>
  <c r="D8" i="101"/>
  <c r="D6" i="101"/>
  <c r="L6" i="101"/>
  <c r="L8" i="101"/>
  <c r="E6" i="107"/>
  <c r="E8" i="107"/>
  <c r="K6" i="107"/>
  <c r="K8" i="107"/>
  <c r="I6" i="107"/>
  <c r="I8" i="107"/>
  <c r="G100" i="114"/>
  <c r="D101" i="114"/>
  <c r="H6" i="107" l="1"/>
  <c r="F8" i="107"/>
  <c r="J6" i="107"/>
  <c r="L8" i="107"/>
  <c r="G6" i="107"/>
  <c r="M6" i="107"/>
  <c r="D8" i="107"/>
  <c r="D102" i="114"/>
  <c r="G101" i="114"/>
  <c r="D103" i="114" l="1"/>
  <c r="G102" i="114"/>
  <c r="AF68" i="114"/>
  <c r="AE2" i="2" s="1"/>
  <c r="AE8" i="2" s="1"/>
  <c r="AB68" i="114"/>
  <c r="AA2" i="2" s="1"/>
  <c r="AA8" i="2" s="1"/>
  <c r="T68" i="114"/>
  <c r="S2" i="2" s="1"/>
  <c r="S8" i="2" s="1"/>
  <c r="AC68" i="114"/>
  <c r="AB2" i="2" s="1"/>
  <c r="AB8" i="2" s="1"/>
  <c r="AA68" i="114"/>
  <c r="Z2" i="2" s="1"/>
  <c r="Z8" i="2" s="1"/>
  <c r="V6" i="2"/>
  <c r="Z6" i="2"/>
  <c r="R68" i="114"/>
  <c r="Q2" i="2" s="1"/>
  <c r="Q8" i="2" s="1"/>
  <c r="AD6" i="2"/>
  <c r="AE6" i="2"/>
  <c r="U6" i="2"/>
  <c r="W68" i="114"/>
  <c r="V2" i="2" s="1"/>
  <c r="V8" i="2" s="1"/>
  <c r="Y68" i="114"/>
  <c r="X2" i="2" s="1"/>
  <c r="X8" i="2" s="1"/>
  <c r="T6" i="2"/>
  <c r="AE68" i="114"/>
  <c r="AD2" i="2" s="1"/>
  <c r="AD8" i="2" s="1"/>
  <c r="X6" i="2"/>
  <c r="Q6" i="2"/>
  <c r="AB6" i="2" l="1"/>
  <c r="V68" i="114"/>
  <c r="U2" i="2" s="1"/>
  <c r="U8" i="2" s="1"/>
  <c r="S6" i="2"/>
  <c r="Y6" i="2"/>
  <c r="R6" i="2"/>
  <c r="S68" i="114"/>
  <c r="R2" i="2" s="1"/>
  <c r="R8" i="2" s="1"/>
  <c r="U68" i="114"/>
  <c r="T2" i="2" s="1"/>
  <c r="T8" i="2" s="1"/>
  <c r="Z68" i="114"/>
  <c r="Y2" i="2" s="1"/>
  <c r="Y8" i="2" s="1"/>
  <c r="AD68" i="114"/>
  <c r="AC2" i="2" s="1"/>
  <c r="AC8" i="2" s="1"/>
  <c r="X68" i="114"/>
  <c r="W2" i="2" s="1"/>
  <c r="W8" i="2" s="1"/>
  <c r="AA6" i="2"/>
  <c r="W6" i="2"/>
  <c r="AC6" i="2"/>
  <c r="D104" i="114"/>
  <c r="G103" i="114"/>
  <c r="D105" i="114" l="1"/>
  <c r="G104" i="114"/>
  <c r="D106" i="114" l="1"/>
  <c r="G105" i="114"/>
  <c r="D107" i="114" l="1"/>
  <c r="G107" i="114" s="1"/>
  <c r="C79" i="114" s="1" a="1"/>
  <c r="G106" i="114"/>
  <c r="C79" i="114" l="1"/>
  <c r="D64" i="114"/>
  <c r="C63" i="114"/>
  <c r="D63" i="114"/>
  <c r="F64" i="114"/>
  <c r="G63" i="114"/>
  <c r="H64" i="114"/>
  <c r="I64" i="114" s="1"/>
  <c r="J64" i="114" s="1"/>
  <c r="K64" i="114" s="1"/>
  <c r="L64" i="114" s="1"/>
  <c r="M64" i="114" s="1"/>
  <c r="N64" i="114" s="1"/>
  <c r="O64" i="114" s="1"/>
  <c r="P64" i="114" s="1"/>
  <c r="Q64" i="114" s="1"/>
  <c r="E63" i="114"/>
  <c r="E64" i="114"/>
  <c r="G64" i="114"/>
  <c r="H63" i="114"/>
  <c r="F63" i="114"/>
  <c r="C64" i="114"/>
  <c r="C6" i="2" l="1"/>
  <c r="D68" i="114"/>
  <c r="C2" i="2" s="1"/>
  <c r="F6" i="2"/>
  <c r="G68" i="114"/>
  <c r="F2" i="2" s="1"/>
  <c r="F8" i="2" s="1"/>
  <c r="C68" i="114"/>
  <c r="B2" i="2" s="1"/>
  <c r="B6" i="2"/>
  <c r="D6" i="2"/>
  <c r="E68" i="114"/>
  <c r="D2" i="2" s="1"/>
  <c r="D8" i="2" s="1"/>
  <c r="E6" i="2"/>
  <c r="F68" i="114"/>
  <c r="E2" i="2" s="1"/>
  <c r="E8" i="2" s="1"/>
  <c r="I63" i="114"/>
  <c r="G6" i="2"/>
  <c r="H68" i="114"/>
  <c r="G2" i="2" s="1"/>
  <c r="G8" i="2" s="1"/>
  <c r="J63" i="114" l="1"/>
  <c r="H6" i="2"/>
  <c r="I68" i="114"/>
  <c r="H2" i="2" s="1"/>
  <c r="H8" i="2" s="1"/>
  <c r="K63" i="114" l="1"/>
  <c r="J68" i="114"/>
  <c r="I2" i="2" s="1"/>
  <c r="I8" i="2" s="1"/>
  <c r="I6" i="2"/>
  <c r="L63" i="114" l="1"/>
  <c r="K68" i="114"/>
  <c r="J2" i="2" s="1"/>
  <c r="J8" i="2" s="1"/>
  <c r="J6" i="2"/>
  <c r="M63" i="114" l="1"/>
  <c r="K6" i="2"/>
  <c r="L68" i="114"/>
  <c r="K2" i="2" s="1"/>
  <c r="K8" i="2" s="1"/>
  <c r="N63" i="114" l="1"/>
  <c r="L6" i="2"/>
  <c r="M68" i="114"/>
  <c r="L2" i="2" s="1"/>
  <c r="L8" i="2" s="1"/>
  <c r="O63" i="114" l="1"/>
  <c r="N68" i="114"/>
  <c r="M2" i="2" s="1"/>
  <c r="M8" i="2" s="1"/>
  <c r="M6" i="2"/>
  <c r="P63" i="114" l="1"/>
  <c r="N6" i="2"/>
  <c r="O68" i="114"/>
  <c r="N2" i="2" s="1"/>
  <c r="N8" i="2" s="1"/>
  <c r="Q63" i="114" l="1"/>
  <c r="P68" i="114"/>
  <c r="O2" i="2" s="1"/>
  <c r="O8" i="2" s="1"/>
  <c r="O6" i="2"/>
  <c r="Q68" i="114" l="1"/>
  <c r="P2" i="2" s="1"/>
  <c r="P8" i="2" s="1"/>
  <c r="P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  <author>tc={838D9E4A-FB93-4B31-99BC-34A5B3DDC0E3}</author>
    <author>tc={741FCEA6-F177-4B34-877A-4D6E81B99010}</author>
  </authors>
  <commentList>
    <comment ref="K16" authorId="0" shapeId="0" xr:uid="{5360E313-EC74-4D8F-BAE2-E743E264FB32}">
      <text>
        <r>
          <rPr>
            <b/>
            <sz val="9"/>
            <color indexed="81"/>
            <rFont val="Tahoma"/>
            <family val="2"/>
          </rPr>
          <t>Daniel O'Brien:</t>
        </r>
        <r>
          <rPr>
            <sz val="9"/>
            <color indexed="81"/>
            <rFont val="Tahoma"/>
            <family val="2"/>
          </rPr>
          <t xml:space="preserve">
Where data is available, we take the total ev subsidy spend and divide by the total sales of EVs in the state</t>
        </r>
      </text>
    </comment>
    <comment ref="I18" authorId="0" shapeId="0" xr:uid="{F5AC01E3-5D5B-4469-AC39-12AA7E3BADD7}">
      <text>
        <r>
          <rPr>
            <b/>
            <sz val="9"/>
            <color indexed="81"/>
            <rFont val="Tahoma"/>
            <family val="2"/>
          </rPr>
          <t>Daniel O'Brien:</t>
        </r>
        <r>
          <rPr>
            <sz val="9"/>
            <color indexed="81"/>
            <rFont val="Tahoma"/>
            <family val="2"/>
          </rPr>
          <t xml:space="preserve">
BEV standard rebate reduced to 1500 on 1/1/25
</t>
        </r>
      </text>
    </comment>
    <comment ref="D28" authorId="1" shapeId="0" xr:uid="{838D9E4A-FB93-4B31-99BC-34A5B3DDC0E3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 weighting for PA - only first 500 people get it</t>
      </text>
    </comment>
    <comment ref="D48" authorId="2" shapeId="0" xr:uid="{741FCEA6-F177-4B34-877A-4D6E81B99010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 weighting for PA - only first 500 people get it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<sst xmlns="http://schemas.openxmlformats.org/spreadsheetml/2006/main" count="267" uniqueCount="123">
  <si>
    <t>Sources: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</si>
  <si>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</si>
  <si>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</si>
  <si>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</si>
  <si>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</si>
  <si>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</si>
  <si>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</si>
  <si>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</si>
  <si>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Subsidy (2012 USD)</t>
  </si>
  <si>
    <t>BVS BAU Vehicle Subsidy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</si>
  <si>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</si>
  <si>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</si>
  <si>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</si>
  <si>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</si>
  <si>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</si>
  <si>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</si>
  <si>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</si>
  <si>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</si>
  <si>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State</t>
  </si>
  <si>
    <t>Population, millions (June 2022)</t>
  </si>
  <si>
    <t>Category</t>
  </si>
  <si>
    <t>CO</t>
  </si>
  <si>
    <t>LDV</t>
  </si>
  <si>
    <t>CT</t>
  </si>
  <si>
    <t>https://afdc.energy.gov/laws/11609</t>
  </si>
  <si>
    <t>DE</t>
  </si>
  <si>
    <t>NY</t>
  </si>
  <si>
    <t>TX</t>
  </si>
  <si>
    <t>Note: only 1 year program</t>
  </si>
  <si>
    <t>CA</t>
  </si>
  <si>
    <t>LA</t>
  </si>
  <si>
    <t>ME</t>
  </si>
  <si>
    <t>MD</t>
  </si>
  <si>
    <t>MA</t>
  </si>
  <si>
    <t>NJ</t>
  </si>
  <si>
    <t>OR</t>
  </si>
  <si>
    <t>VT</t>
  </si>
  <si>
    <t>Rest of country</t>
  </si>
  <si>
    <t>USA</t>
  </si>
  <si>
    <t>Total Tax Credit (2012$)</t>
  </si>
  <si>
    <t>battery electric vehicles</t>
  </si>
  <si>
    <t>plugin hybrid vehicles</t>
  </si>
  <si>
    <t>Pop-Weighted State Avg Tax Credit (2012$)</t>
  </si>
  <si>
    <t>Federal EV Subsidy Amount (2012$)</t>
  </si>
  <si>
    <t>2022 to 2012 $</t>
  </si>
  <si>
    <t>Federal IRA Incentives</t>
  </si>
  <si>
    <t>https://energyinnovation.org/publication/analyzing-the-impact-of-the-inflation-reduction-act-on-electric-vehicle-uptake-in-the-united-states/</t>
  </si>
  <si>
    <t>ICCT and Energy Innovation</t>
  </si>
  <si>
    <t>Methodology:</t>
  </si>
  <si>
    <t>Calculations: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</si>
  <si>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</si>
  <si>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</si>
  <si>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</si>
  <si>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</si>
  <si>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</si>
  <si>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</si>
  <si>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</si>
  <si>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</si>
  <si>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</si>
  <si>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</si>
  <si>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</si>
  <si>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</si>
  <si>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</si>
  <si>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</si>
  <si>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Sales (thousands)</t>
  </si>
  <si>
    <t>Total Commercial Light Truck Sales</t>
  </si>
  <si>
    <t>Light Medium Subtotal</t>
  </si>
  <si>
    <t>Medium Subtotal</t>
  </si>
  <si>
    <t>Weighted Average Credit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</si>
  <si>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</si>
  <si>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Commercial Vehicle Credit (2022 $)</t>
  </si>
  <si>
    <t>Passenger Vehicle Credit (2022 $)</t>
  </si>
  <si>
    <t>Psgr HDV (2012 $)</t>
  </si>
  <si>
    <t>Freight HDV (2012 $)</t>
  </si>
  <si>
    <t>Credit Amount (2012 $)</t>
  </si>
  <si>
    <t>Source: EIA AEO 2023, Tables 44 and 49</t>
  </si>
  <si>
    <t>AEO 2023</t>
  </si>
  <si>
    <t>Foreign Entities of Concern Multiplier</t>
  </si>
  <si>
    <t>BloombergNEF, MarkLines, Department of Energy</t>
  </si>
  <si>
    <t>data 1</t>
  </si>
  <si>
    <t>data 2</t>
  </si>
  <si>
    <t>https://tax.colorado.gov/sites/tax/files/documents/ITT_Innovative_Motor_Vehicle_Credit_Feb_2024.pdf</t>
  </si>
  <si>
    <t>https://portal.ct.gov/ceq/ar-23-gold/2023-ceq-annual-report-ebook/personal-impact---waste-diversion/transportation</t>
  </si>
  <si>
    <t>https://data.delaware.gov/Energy-and-Environment/State-Rebates-for-Alternative-Fuel-Vehicles/8z8z-di7f/explore</t>
  </si>
  <si>
    <t>https://www.nyserda.ny.gov/All-Programs/Drive-Clean-Rebate-For-Electric-Cars-Program/Rebate-Data/Rebate-Stats</t>
  </si>
  <si>
    <t>https://www.nyserda.ny.gov/All-Programs/Drive-Clean-Rebate-For-Electric-Cars-Program/Rebate-Data/Map-of-EV-Registrations</t>
  </si>
  <si>
    <t>https://cleanvehiclerebate.org/en/rebate-statistics</t>
  </si>
  <si>
    <t>https://www.energy.ca.gov/data-reports/energy-almanac/zero-emission-vehicle-and-infrastructure-statistics-collection/new-zev</t>
  </si>
  <si>
    <t>Note: value was previously 1500 but after digging I don’t believe LA has ever had a state tax credit</t>
  </si>
  <si>
    <t>suspended all ev rebate programs starting in 2024</t>
  </si>
  <si>
    <t>MN</t>
  </si>
  <si>
    <t>no longer funds program</t>
  </si>
  <si>
    <t>PA</t>
  </si>
  <si>
    <t>Note; renewed on annual basis, only for first 500</t>
  </si>
  <si>
    <t>RI</t>
  </si>
  <si>
    <t>up to 4k if low income</t>
  </si>
  <si>
    <t>https://evrebate.oregon.gov/rebate-statistics</t>
  </si>
  <si>
    <t>https://www.oregon.gov/energy/Data-and-Reports/Pages/Oregon-Electric-Vehicle-Dashboard.aspx</t>
  </si>
  <si>
    <t>up to 3.2k if low income</t>
  </si>
  <si>
    <t>PHEV Subsidies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</si>
  <si>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</si>
  <si>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</si>
  <si>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</si>
  <si>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</si>
  <si>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</si>
  <si>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</si>
  <si>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</si>
  <si>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</si>
  <si>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</si>
  <si>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</si>
  <si>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</si>
  <si>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</si>
  <si>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</si>
  <si>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</si>
  <si>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</si>
  <si>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</si>
  <si>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</si>
  <si>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Future inflation assumption:</t>
  </si>
  <si>
    <t>These values come from our internal analysis of weighted 30D and 45W purchase and leasing credits. (ICCT spreadsheet)</t>
  </si>
  <si>
    <t>State Rebates + Tax Credits Updated 1/30/25</t>
  </si>
  <si>
    <t>Updated 2/11/25</t>
  </si>
  <si>
    <t>Conversion to 2012$</t>
  </si>
  <si>
    <t>Frgt LDV (2012 $)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</si>
</sst>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 applyFill="1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38" fontId="8" fillId="0" borderId="0" xfId="0" applyNumberFormat="1" applyFont="1" applyAlignment="1">
      <alignment horizontal="right"/>
    </xf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8" fillId="0" borderId="0" xfId="31" applyFont="1"/>
    <xf numFmtId="1" fontId="8" fillId="0" borderId="0" xfId="31" applyNumberFormat="1" applyFont="1"/>
    <xf numFmtId="1" fontId="8" fillId="0" borderId="0" xfId="0" applyNumberFormat="1" applyFont="1"/>
    <xf numFmtId="3" fontId="8" fillId="0" borderId="0" xfId="0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2" fontId="8" fillId="0" borderId="0" xfId="31" applyNumberFormat="1" applyFont="1"/>
    <xf numFmtId="2" fontId="8" fillId="0" borderId="0" xfId="0" applyNumberFormat="1" applyFont="1"/>
    <xf numFmtId="2" fontId="7" fillId="0" borderId="0" xfId="0" applyNumberFormat="1" applyFont="1"/>
    <xf numFmtId="1" fontId="0" fillId="0" borderId="0" xfId="33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</cellXfs>
  <cellStyles count="34">
    <cellStyle name="Body: normal cell" xfId="4" xr:uid="{00000000-0005-0000-0000-000000000000}"/>
    <cellStyle name="Body: normal cell 2" xfId="24" xr:uid="{18BAE46B-2E2B-4189-9E60-EEC8494BA028}"/>
    <cellStyle name="Body: normal cell 3" xfId="17" xr:uid="{46606A30-9DB6-4D96-9D39-18DB8C25C045}"/>
    <cellStyle name="Body: normal cell 4" xfId="9" xr:uid="{23D7D41B-0FA5-4B15-8ACE-D94C027772C4}"/>
    <cellStyle name="Currency" xfId="33" builtinId="4"/>
    <cellStyle name="Currency 2" xfId="32" xr:uid="{C53AF8AC-2A66-4CBB-880E-1554F67B4888}"/>
    <cellStyle name="Font: Calibri, 9pt regular" xfId="6" xr:uid="{00000000-0005-0000-0000-000001000000}"/>
    <cellStyle name="Font: Calibri, 9pt regular 2" xfId="25" xr:uid="{97A6AFB7-D07D-4277-A8A5-6AA031407B07}"/>
    <cellStyle name="Font: Calibri, 9pt regular 3" xfId="18" xr:uid="{0009694E-C95B-4F43-83D7-2529DBC1B2D2}"/>
    <cellStyle name="Font: Calibri, 9pt regular 4" xfId="10" xr:uid="{4997676D-DE0F-4BF4-98C6-34E7B74441C2}"/>
    <cellStyle name="Footnotes: top row" xfId="2" xr:uid="{00000000-0005-0000-0000-000002000000}"/>
    <cellStyle name="Footnotes: top row 2" xfId="26" xr:uid="{97AB559D-7086-41BA-8641-AC105062AF6A}"/>
    <cellStyle name="Footnotes: top row 3" xfId="19" xr:uid="{D97984EB-4776-4DB2-9C83-81983F1B6E98}"/>
    <cellStyle name="Footnotes: top row 4" xfId="11" xr:uid="{F3BA1A2C-AD77-4812-ACFA-6C7A7B962945}"/>
    <cellStyle name="Header: bottom row" xfId="5" xr:uid="{00000000-0005-0000-0000-000003000000}"/>
    <cellStyle name="Header: bottom row 2" xfId="27" xr:uid="{1D7C7530-C012-4975-BABC-640C7522786E}"/>
    <cellStyle name="Header: bottom row 3" xfId="20" xr:uid="{D4A074B3-C733-4663-AFD1-0229ED226851}"/>
    <cellStyle name="Header: bottom row 4" xfId="12" xr:uid="{040BC27B-CB03-4FDE-8B80-4B13E048F2D8}"/>
    <cellStyle name="Hyperlink" xfId="8" builtinId="8"/>
    <cellStyle name="Normal" xfId="0" builtinId="0"/>
    <cellStyle name="Normal 2" xfId="1" xr:uid="{00000000-0005-0000-0000-000006000000}"/>
    <cellStyle name="Normal 3" xfId="23" xr:uid="{F75C00A9-4AB0-4B9A-85F1-1BA242EDAF83}"/>
    <cellStyle name="Normal 4" xfId="16" xr:uid="{D654EA3C-A2C4-4D73-9768-00B5086DE48E}"/>
    <cellStyle name="Normal 5" xfId="15" xr:uid="{0C79D543-A7BB-495E-ADE9-28C4F0835F44}"/>
    <cellStyle name="Normal 6" xfId="31" xr:uid="{0E9D232A-CBEC-4F0A-BBF4-253233F3584B}"/>
    <cellStyle name="Parent row" xfId="3" xr:uid="{00000000-0005-0000-0000-000007000000}"/>
    <cellStyle name="Parent row 2" xfId="28" xr:uid="{1C336998-EB49-46ED-B880-BDD7385C1A9F}"/>
    <cellStyle name="Parent row 3" xfId="21" xr:uid="{E39AA093-46A1-425E-9FAB-5E5D22915C9B}"/>
    <cellStyle name="Parent row 4" xfId="13" xr:uid="{766EEC84-3128-426E-8720-CF77BEFFA340}"/>
    <cellStyle name="Percent" xfId="30" builtinId="5"/>
    <cellStyle name="Table title" xfId="7" xr:uid="{00000000-0005-0000-0000-000008000000}"/>
    <cellStyle name="Table title 2" xfId="29" xr:uid="{75C5CFB8-5852-4F3E-A011-ECC9372E7F45}"/>
    <cellStyle name="Table title 3" xfId="22" xr:uid="{D3D003D1-845D-4DC8-878D-F5771072DB44}"/>
    <cellStyle name="Table title 4" xfId="14" xr:uid="{09C4790A-A5AC-4A4C-A2DC-60844BB56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</xdr:rowOff>
    </xdr:from>
    <xdr:to>
      <xdr:col>4</xdr:col>
      <xdr:colOff>474705</xdr:colOff>
      <xdr:row>35</xdr:row>
      <xdr:rowOff>44451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0E37F-B482-C48F-69E5-AB265CCAA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1"/>
          <a:ext cx="6532605" cy="4648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livia Ashmoore" id="{810A4951-0CFA-4CDB-88D1-6340A66E89CD}" userId="S::olivia@energyinnovation.org::75aa6550-3462-4480-900f-0bd2e542e87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8" dT="2025-01-24T19:38:54.68" personId="{810A4951-0CFA-4CDB-88D1-6340A66E89CD}" id="{838D9E4A-FB93-4B31-99BC-34A5B3DDC0E3}">
    <text>Adjust weighting for PA - only first 500 people get it</text>
  </threadedComment>
  <threadedComment ref="D48" dT="2025-01-24T19:38:54.68" personId="{810A4951-0CFA-4CDB-88D1-6340A66E89CD}" id="{741FCEA6-F177-4B34-877A-4D6E81B99010}">
    <text>Adjust weighting for PA - only first 500 people get it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defaultRowHeight="14.5" x14ac:dyDescent="0.35"/>
  <cols>
    <col min="2" max="2" width="69.26953125" customWidth="1"/>
  </cols>
  <sheetData>
    <row r="1" spans="1:2" x14ac:dyDescent="0.35">
      <c r="A1" s="1" t="s">
        <v>9</v>
      </c>
    </row>
    <row r="3" spans="1:2" x14ac:dyDescent="0.35">
      <c r="A3" s="1" t="s">
        <v>0</v>
      </c>
      <c r="B3" s="19" t="s">
        <v>45</v>
      </c>
    </row>
    <row r="4" spans="1:2" x14ac:dyDescent="0.35">
      <c r="B4" t="s">
        <v>47</v>
      </c>
    </row>
    <row r="5" spans="1:2" x14ac:dyDescent="0.35">
      <c r="B5" s="3">
        <v>2023</v>
      </c>
    </row>
    <row r="6" spans="1:2" x14ac:dyDescent="0.35">
      <c r="B6" t="s">
        <v>46</v>
      </c>
    </row>
    <row r="7" spans="1:2" x14ac:dyDescent="0.35">
      <c r="B7" s="4"/>
    </row>
    <row r="8" spans="1:2" x14ac:dyDescent="0.35">
      <c r="B8" s="19" t="s">
        <v>77</v>
      </c>
    </row>
    <row r="9" spans="1:2" x14ac:dyDescent="0.35">
      <c r="B9" t="s">
        <v>78</v>
      </c>
    </row>
    <row r="12" spans="1:2" x14ac:dyDescent="0.35">
      <c r="B12" s="3"/>
    </row>
    <row r="14" spans="1:2" x14ac:dyDescent="0.35">
      <c r="B14" s="4"/>
    </row>
    <row r="26" spans="1:2" x14ac:dyDescent="0.35">
      <c r="B26" s="3"/>
    </row>
    <row r="28" spans="1:2" x14ac:dyDescent="0.35">
      <c r="B28" s="4"/>
    </row>
    <row r="31" spans="1:2" x14ac:dyDescent="0.35">
      <c r="A31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3CC6-8591-4A07-9E4B-1DE39D29E87F}">
  <dimension ref="A1:AF107"/>
  <sheetViews>
    <sheetView zoomScale="70" zoomScaleNormal="70" workbookViewId="0">
      <selection activeCell="L35" sqref="L35"/>
    </sheetView>
  </sheetViews>
  <sheetFormatPr defaultColWidth="8.7265625" defaultRowHeight="14.5" x14ac:dyDescent="0.35"/>
  <cols>
    <col min="1" max="1" width="45.453125" customWidth="1"/>
    <col min="2" max="2" width="15.7265625" customWidth="1"/>
    <col min="3" max="3" width="19.1796875" customWidth="1"/>
    <col min="4" max="7" width="11.81640625" bestFit="1" customWidth="1"/>
    <col min="8" max="8" width="11.453125" bestFit="1" customWidth="1"/>
    <col min="9" max="10" width="11.81640625" bestFit="1" customWidth="1"/>
    <col min="11" max="11" width="11.453125" bestFit="1" customWidth="1"/>
    <col min="12" max="13" width="11.81640625" bestFit="1" customWidth="1"/>
  </cols>
  <sheetData>
    <row r="1" spans="1:31" x14ac:dyDescent="0.35">
      <c r="A1" s="1" t="s">
        <v>43</v>
      </c>
    </row>
    <row r="2" spans="1:31" x14ac:dyDescent="0.35">
      <c r="A2" t="s">
        <v>118</v>
      </c>
    </row>
    <row r="3" spans="1:31" x14ac:dyDescent="0.35">
      <c r="A3" s="1" t="s">
        <v>120</v>
      </c>
    </row>
    <row r="4" spans="1:31" x14ac:dyDescent="0.3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35">
      <c r="A5" s="5" t="s">
        <v>40</v>
      </c>
      <c r="B5" s="48">
        <v>1646.4981124797289</v>
      </c>
      <c r="C5" s="48">
        <v>1368.5857570401329</v>
      </c>
      <c r="D5" s="48">
        <v>4795.9636566176632</v>
      </c>
      <c r="E5" s="48">
        <v>3555.487701851609</v>
      </c>
      <c r="F5" s="48">
        <v>3365.6876734116477</v>
      </c>
      <c r="G5" s="48">
        <v>3118.2246810233032</v>
      </c>
      <c r="H5" s="48">
        <v>2391.1775782482218</v>
      </c>
      <c r="I5" s="48">
        <v>2424.5099210417061</v>
      </c>
      <c r="J5" s="48">
        <v>2459.8873208312061</v>
      </c>
      <c r="K5" s="48">
        <v>2497.1120748745493</v>
      </c>
      <c r="L5" s="48">
        <v>2525.3972397122579</v>
      </c>
      <c r="M5" s="48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s="5" t="s">
        <v>41</v>
      </c>
      <c r="B6" s="48">
        <v>6652.7185168992282</v>
      </c>
      <c r="C6" s="48">
        <v>3617.050692978903</v>
      </c>
      <c r="D6" s="48">
        <v>3481.1983222883337</v>
      </c>
      <c r="E6" s="48">
        <v>2846.5223385773729</v>
      </c>
      <c r="F6" s="48">
        <v>2396.2166523302549</v>
      </c>
      <c r="G6" s="48">
        <v>2262.2795944248228</v>
      </c>
      <c r="H6" s="48">
        <v>2133.3803923218893</v>
      </c>
      <c r="I6" s="48">
        <v>2079.4479927022094</v>
      </c>
      <c r="J6" s="48">
        <v>2027.1389823455879</v>
      </c>
      <c r="K6" s="48">
        <v>1976.3952724267306</v>
      </c>
      <c r="L6" s="48">
        <v>1926.1484722201324</v>
      </c>
      <c r="M6" s="48">
        <v>1877.1377242807455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s="5"/>
    </row>
    <row r="8" spans="1:31" x14ac:dyDescent="0.35">
      <c r="A8" s="5"/>
    </row>
    <row r="9" spans="1:31" x14ac:dyDescent="0.35">
      <c r="A9" s="6" t="s">
        <v>10</v>
      </c>
    </row>
    <row r="10" spans="1:31" x14ac:dyDescent="0.35">
      <c r="A10" s="5" t="s">
        <v>11</v>
      </c>
    </row>
    <row r="11" spans="1:31" x14ac:dyDescent="0.35">
      <c r="A11" s="5" t="s">
        <v>12</v>
      </c>
    </row>
    <row r="12" spans="1:31" x14ac:dyDescent="0.35">
      <c r="A12" s="7" t="s">
        <v>119</v>
      </c>
      <c r="B12" s="7"/>
    </row>
    <row r="13" spans="1:31" x14ac:dyDescent="0.35">
      <c r="A13" s="8" t="s">
        <v>13</v>
      </c>
      <c r="B13" s="8"/>
      <c r="C13" s="9" t="s">
        <v>14</v>
      </c>
    </row>
    <row r="14" spans="1:31" x14ac:dyDescent="0.35">
      <c r="A14" s="8" t="s">
        <v>15</v>
      </c>
      <c r="B14" s="8"/>
      <c r="C14" s="9" t="s">
        <v>16</v>
      </c>
    </row>
    <row r="15" spans="1:31" x14ac:dyDescent="0.35">
      <c r="A15" s="8" t="s">
        <v>17</v>
      </c>
      <c r="B15" s="8"/>
    </row>
    <row r="16" spans="1:31" x14ac:dyDescent="0.35">
      <c r="A16" s="8" t="s">
        <v>18</v>
      </c>
      <c r="B16" s="8" t="s">
        <v>19</v>
      </c>
      <c r="C16" s="8" t="s">
        <v>20</v>
      </c>
      <c r="D16" s="8">
        <v>2020</v>
      </c>
      <c r="E16" s="8">
        <f t="shared" ref="E16:J16" si="0">D16+1</f>
        <v>2021</v>
      </c>
      <c r="F16" s="8">
        <f t="shared" si="0"/>
        <v>2022</v>
      </c>
      <c r="G16" s="8">
        <f t="shared" si="0"/>
        <v>2023</v>
      </c>
      <c r="H16" s="8">
        <f t="shared" si="0"/>
        <v>2024</v>
      </c>
      <c r="I16" s="8">
        <f t="shared" si="0"/>
        <v>2025</v>
      </c>
      <c r="J16" s="8">
        <f t="shared" si="0"/>
        <v>2026</v>
      </c>
      <c r="K16" t="s">
        <v>79</v>
      </c>
      <c r="L16" t="s">
        <v>80</v>
      </c>
    </row>
    <row r="17" spans="1:18" x14ac:dyDescent="0.35">
      <c r="A17" s="36" t="s">
        <v>21</v>
      </c>
      <c r="B17" s="45">
        <v>5.6849999999999996</v>
      </c>
      <c r="C17" s="36" t="s">
        <v>22</v>
      </c>
      <c r="D17" s="36">
        <f>2000*D76+4000*(1-D76)</f>
        <v>3506.6</v>
      </c>
      <c r="E17" s="37">
        <f>1500*E76+2500*(1-E76)</f>
        <v>2190.8000000000002</v>
      </c>
      <c r="F17" s="37">
        <f>1500*F76+2500*(1-F76)</f>
        <v>2359</v>
      </c>
      <c r="G17" s="37">
        <f>0.5*(1500*G76+2500*(1-G76))+0.5*(5000)</f>
        <v>3641.35</v>
      </c>
      <c r="H17" s="37">
        <v>5000</v>
      </c>
      <c r="I17" s="37">
        <v>3500</v>
      </c>
      <c r="J17" s="37">
        <f>I17</f>
        <v>3500</v>
      </c>
      <c r="K17" s="36" t="s">
        <v>81</v>
      </c>
    </row>
    <row r="18" spans="1:18" x14ac:dyDescent="0.35">
      <c r="A18" s="36" t="s">
        <v>23</v>
      </c>
      <c r="B18" s="45">
        <v>3.5710000000000002</v>
      </c>
      <c r="C18" s="36" t="s">
        <v>22</v>
      </c>
      <c r="D18" s="37">
        <f>613500/(7880-5480)</f>
        <v>255.625</v>
      </c>
      <c r="E18" s="37">
        <f>1079750/(12513-7880)</f>
        <v>233.05633498812864</v>
      </c>
      <c r="F18" s="37">
        <f>1468250/(18509-12513)</f>
        <v>244.87158105403603</v>
      </c>
      <c r="G18" s="37">
        <f>7744000/(27709-18509)</f>
        <v>841.73913043478262</v>
      </c>
      <c r="H18" s="37">
        <f>11982750/(27146*27709/44313)</f>
        <v>705.92888732943345</v>
      </c>
      <c r="I18" s="37">
        <f>H18*1500/2250</f>
        <v>470.61925821962228</v>
      </c>
      <c r="J18" s="37">
        <f>I18</f>
        <v>470.61925821962228</v>
      </c>
      <c r="K18" s="36" t="s">
        <v>82</v>
      </c>
      <c r="L18" t="s">
        <v>82</v>
      </c>
      <c r="R18" s="9" t="s">
        <v>24</v>
      </c>
    </row>
    <row r="19" spans="1:18" x14ac:dyDescent="0.35">
      <c r="A19" s="8" t="s">
        <v>25</v>
      </c>
      <c r="B19" s="46">
        <v>0.96799999999999997</v>
      </c>
      <c r="C19" s="8" t="s">
        <v>22</v>
      </c>
      <c r="D19" s="38">
        <f>852000/311</f>
        <v>2739.5498392282957</v>
      </c>
      <c r="E19" s="38">
        <f>2500</f>
        <v>2500</v>
      </c>
      <c r="F19" s="38">
        <f>2500</f>
        <v>2500</v>
      </c>
      <c r="G19" s="38">
        <f>2500</f>
        <v>2500</v>
      </c>
      <c r="H19" s="38">
        <f>2500</f>
        <v>2500</v>
      </c>
      <c r="I19" s="38">
        <f>2500</f>
        <v>2500</v>
      </c>
      <c r="J19" s="38">
        <f>2500</f>
        <v>2500</v>
      </c>
      <c r="K19" t="s">
        <v>83</v>
      </c>
    </row>
    <row r="20" spans="1:18" ht="15.75" customHeight="1" x14ac:dyDescent="0.35">
      <c r="A20" s="8" t="s">
        <v>26</v>
      </c>
      <c r="B20" s="46">
        <v>8.3800000000000008</v>
      </c>
      <c r="C20" s="10" t="s">
        <v>22</v>
      </c>
      <c r="D20" s="38">
        <f>17436700/10692</f>
        <v>1630.8174335952115</v>
      </c>
      <c r="E20" s="38">
        <f>18953100/20836</f>
        <v>909.63236705701672</v>
      </c>
      <c r="F20" s="38">
        <f>16215000/28241</f>
        <v>574.16522077830109</v>
      </c>
      <c r="G20" s="38">
        <f>26945500/48746</f>
        <v>552.77356090756166</v>
      </c>
      <c r="H20" s="38">
        <f>19221500/54664</f>
        <v>351.62995755890529</v>
      </c>
      <c r="I20" s="38">
        <f>H20</f>
        <v>351.62995755890529</v>
      </c>
      <c r="J20" s="38">
        <f>I20</f>
        <v>351.62995755890529</v>
      </c>
      <c r="K20" s="10" t="s">
        <v>84</v>
      </c>
      <c r="L20" s="10" t="s">
        <v>85</v>
      </c>
      <c r="M20" s="11"/>
    </row>
    <row r="21" spans="1:18" ht="15.75" customHeight="1" x14ac:dyDescent="0.35">
      <c r="A21" s="8" t="s">
        <v>27</v>
      </c>
      <c r="B21" s="46">
        <v>28.64</v>
      </c>
      <c r="C21" s="8" t="s">
        <v>22</v>
      </c>
      <c r="D21" s="8">
        <v>2500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 t="s">
        <v>28</v>
      </c>
      <c r="L21" s="10"/>
      <c r="M21" s="11"/>
    </row>
    <row r="22" spans="1:18" ht="15.75" customHeight="1" x14ac:dyDescent="0.35">
      <c r="A22" s="8" t="s">
        <v>29</v>
      </c>
      <c r="B22" s="46">
        <v>39.35</v>
      </c>
      <c r="C22" s="8" t="s">
        <v>22</v>
      </c>
      <c r="D22" s="38">
        <f>80255483/(100377+5569)</f>
        <v>757.51310101372394</v>
      </c>
      <c r="E22" s="38">
        <f>103494583/(152400+7866)</f>
        <v>645.76755518949744</v>
      </c>
      <c r="F22" s="38">
        <f>88529166/(256315+5761)</f>
        <v>337.79959248462279</v>
      </c>
      <c r="G22" s="38">
        <f>310602850/(371002+3666)</f>
        <v>829.00821527325525</v>
      </c>
      <c r="H22" s="8">
        <v>0</v>
      </c>
      <c r="I22" s="8">
        <v>0</v>
      </c>
      <c r="J22" s="8">
        <v>0</v>
      </c>
      <c r="K22" s="8" t="s">
        <v>86</v>
      </c>
      <c r="L22" s="10" t="s">
        <v>87</v>
      </c>
      <c r="M22" s="11"/>
    </row>
    <row r="23" spans="1:18" ht="15.75" customHeight="1" x14ac:dyDescent="0.35">
      <c r="A23" s="8" t="s">
        <v>30</v>
      </c>
      <c r="B23" s="46">
        <v>4.665</v>
      </c>
      <c r="C23" s="8" t="s">
        <v>22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8" t="s">
        <v>88</v>
      </c>
      <c r="L23" s="10"/>
      <c r="M23" s="11"/>
    </row>
    <row r="24" spans="1:18" ht="15.65" customHeight="1" x14ac:dyDescent="0.35">
      <c r="A24" s="7" t="s">
        <v>31</v>
      </c>
      <c r="B24" s="47">
        <v>1.341</v>
      </c>
      <c r="C24" s="7" t="s">
        <v>22</v>
      </c>
      <c r="D24" s="8">
        <v>2000</v>
      </c>
      <c r="E24" s="8">
        <v>2000</v>
      </c>
      <c r="F24" s="8">
        <v>2000</v>
      </c>
      <c r="G24" s="8">
        <v>2000</v>
      </c>
      <c r="H24" s="8">
        <v>2000</v>
      </c>
      <c r="I24" s="8">
        <v>0</v>
      </c>
      <c r="J24" s="8">
        <v>0</v>
      </c>
      <c r="K24" s="7" t="s">
        <v>89</v>
      </c>
      <c r="R24" s="12"/>
    </row>
    <row r="25" spans="1:18" ht="15.75" customHeight="1" x14ac:dyDescent="0.35">
      <c r="A25" s="7" t="s">
        <v>90</v>
      </c>
      <c r="B25" s="47">
        <v>5.7169999999999996</v>
      </c>
      <c r="C25" s="7" t="s">
        <v>22</v>
      </c>
      <c r="D25" s="8">
        <v>0</v>
      </c>
      <c r="E25" s="8">
        <v>0</v>
      </c>
      <c r="F25" s="8">
        <v>0</v>
      </c>
      <c r="G25" s="8">
        <v>2500</v>
      </c>
      <c r="H25" s="8">
        <v>2500</v>
      </c>
      <c r="I25" s="8">
        <v>0</v>
      </c>
      <c r="J25" s="8">
        <v>0</v>
      </c>
      <c r="K25" s="7" t="s">
        <v>91</v>
      </c>
    </row>
    <row r="26" spans="1:18" ht="15.75" customHeight="1" x14ac:dyDescent="0.35">
      <c r="A26" s="7" t="s">
        <v>32</v>
      </c>
      <c r="B26" s="47">
        <v>6.0380000000000003</v>
      </c>
      <c r="C26" s="7" t="s">
        <v>22</v>
      </c>
      <c r="D26" s="8">
        <v>2500</v>
      </c>
      <c r="E26" s="8">
        <v>2500</v>
      </c>
      <c r="F26" s="8">
        <v>2500</v>
      </c>
      <c r="G26" s="8">
        <v>3000</v>
      </c>
      <c r="H26" s="8">
        <v>3000</v>
      </c>
      <c r="I26" s="8">
        <v>3000</v>
      </c>
      <c r="J26" s="8">
        <v>3000</v>
      </c>
    </row>
    <row r="27" spans="1:18" ht="15.75" customHeight="1" x14ac:dyDescent="0.35">
      <c r="A27" s="7" t="s">
        <v>33</v>
      </c>
      <c r="B27" s="47">
        <v>6.8730000000000002</v>
      </c>
      <c r="C27" s="7" t="s">
        <v>22</v>
      </c>
      <c r="D27" s="8">
        <v>2500</v>
      </c>
      <c r="E27" s="8">
        <v>2500</v>
      </c>
      <c r="F27" s="8">
        <v>2500</v>
      </c>
      <c r="G27" s="8">
        <v>3500</v>
      </c>
      <c r="H27" s="8">
        <v>3500</v>
      </c>
      <c r="I27" s="8">
        <v>3500</v>
      </c>
      <c r="J27" s="8">
        <v>3500</v>
      </c>
    </row>
    <row r="28" spans="1:18" ht="15.75" customHeight="1" x14ac:dyDescent="0.35">
      <c r="A28" s="7" t="s">
        <v>92</v>
      </c>
      <c r="B28" s="47">
        <f>500/10^6</f>
        <v>5.0000000000000001E-4</v>
      </c>
      <c r="C28" s="7" t="s">
        <v>22</v>
      </c>
      <c r="D28" s="8">
        <v>0</v>
      </c>
      <c r="E28" s="8">
        <v>0</v>
      </c>
      <c r="F28" s="8">
        <v>0</v>
      </c>
      <c r="G28" s="8">
        <v>3000</v>
      </c>
      <c r="H28" s="8">
        <v>3000</v>
      </c>
      <c r="I28" s="8">
        <v>3000</v>
      </c>
      <c r="J28" s="8">
        <v>3000</v>
      </c>
      <c r="K28" t="s">
        <v>93</v>
      </c>
    </row>
    <row r="29" spans="1:18" ht="15.75" customHeight="1" x14ac:dyDescent="0.35">
      <c r="A29" s="7" t="s">
        <v>94</v>
      </c>
      <c r="B29" s="47">
        <v>1.0940000000000001</v>
      </c>
      <c r="C29" s="7" t="s">
        <v>22</v>
      </c>
      <c r="D29" s="8">
        <v>0</v>
      </c>
      <c r="E29" s="8">
        <v>0</v>
      </c>
      <c r="F29" s="8">
        <v>1500</v>
      </c>
      <c r="G29" s="8">
        <v>1500</v>
      </c>
      <c r="H29" s="8">
        <v>1500</v>
      </c>
      <c r="I29" s="8">
        <v>1500</v>
      </c>
      <c r="J29" s="8">
        <v>1500</v>
      </c>
    </row>
    <row r="30" spans="1:18" ht="15.75" customHeight="1" x14ac:dyDescent="0.35">
      <c r="A30" s="7" t="s">
        <v>34</v>
      </c>
      <c r="B30" s="47">
        <v>8.8849999999999998</v>
      </c>
      <c r="C30" s="7" t="s">
        <v>22</v>
      </c>
      <c r="D30" s="8">
        <v>2000</v>
      </c>
      <c r="E30" s="8">
        <v>2000</v>
      </c>
      <c r="F30" s="8">
        <v>2000</v>
      </c>
      <c r="G30" s="8">
        <v>2000</v>
      </c>
      <c r="H30" s="8">
        <v>2000</v>
      </c>
      <c r="I30" s="8">
        <v>2000</v>
      </c>
      <c r="J30" s="8">
        <v>2000</v>
      </c>
      <c r="K30" s="8" t="s">
        <v>95</v>
      </c>
    </row>
    <row r="31" spans="1:18" ht="15.75" customHeight="1" x14ac:dyDescent="0.35">
      <c r="A31" s="7" t="s">
        <v>35</v>
      </c>
      <c r="B31" s="47">
        <v>4.1760000000000002</v>
      </c>
      <c r="C31" s="7" t="s">
        <v>22</v>
      </c>
      <c r="D31" s="38">
        <f>9294500/3753</f>
        <v>2476.5520916600053</v>
      </c>
      <c r="E31" s="38">
        <f>14303500/7764</f>
        <v>1842.284904688305</v>
      </c>
      <c r="F31" s="38">
        <f>19442500/12379</f>
        <v>1570.6034413118991</v>
      </c>
      <c r="G31" s="38">
        <f>13295000/19790</f>
        <v>671.80394138453767</v>
      </c>
      <c r="H31" s="38">
        <f>G31</f>
        <v>671.80394138453767</v>
      </c>
      <c r="I31" s="38">
        <f>H31</f>
        <v>671.80394138453767</v>
      </c>
      <c r="J31" s="38">
        <f>I31</f>
        <v>671.80394138453767</v>
      </c>
      <c r="K31" t="s">
        <v>96</v>
      </c>
      <c r="L31" t="s">
        <v>97</v>
      </c>
    </row>
    <row r="32" spans="1:18" ht="15.75" customHeight="1" x14ac:dyDescent="0.35">
      <c r="A32" s="7" t="s">
        <v>36</v>
      </c>
      <c r="B32" s="47">
        <v>0.624</v>
      </c>
      <c r="C32" s="7" t="s">
        <v>22</v>
      </c>
      <c r="D32" s="39">
        <v>2200</v>
      </c>
      <c r="E32" s="39">
        <v>2200</v>
      </c>
      <c r="F32" s="39">
        <v>2200</v>
      </c>
      <c r="G32" s="39">
        <v>2200</v>
      </c>
      <c r="H32" s="39">
        <v>2200</v>
      </c>
      <c r="I32" s="39">
        <v>2200</v>
      </c>
      <c r="J32" s="39">
        <v>2200</v>
      </c>
      <c r="K32" s="8" t="s">
        <v>98</v>
      </c>
    </row>
    <row r="33" spans="1:12" ht="15.75" customHeight="1" x14ac:dyDescent="0.35">
      <c r="A33" s="8" t="s">
        <v>37</v>
      </c>
      <c r="B33" s="46">
        <f>B34-SUM(B17:B32)</f>
        <v>203.49250000000001</v>
      </c>
      <c r="C33" s="8"/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/>
    </row>
    <row r="34" spans="1:12" ht="15.75" customHeight="1" x14ac:dyDescent="0.35">
      <c r="A34" s="8" t="s">
        <v>38</v>
      </c>
      <c r="B34" s="8">
        <v>329.5</v>
      </c>
    </row>
    <row r="35" spans="1:12" ht="15.75" customHeight="1" x14ac:dyDescent="0.35">
      <c r="A35" s="8"/>
      <c r="B35" s="8"/>
    </row>
    <row r="36" spans="1:12" ht="15.75" customHeight="1" x14ac:dyDescent="0.35">
      <c r="A36" s="7" t="s">
        <v>99</v>
      </c>
      <c r="B36" s="8" t="s">
        <v>19</v>
      </c>
      <c r="C36" s="8" t="s">
        <v>20</v>
      </c>
      <c r="D36" s="8">
        <v>2020</v>
      </c>
      <c r="E36" s="8">
        <f t="shared" ref="E36:J36" si="1">D36+1</f>
        <v>2021</v>
      </c>
      <c r="F36" s="8">
        <f t="shared" si="1"/>
        <v>2022</v>
      </c>
      <c r="G36" s="8">
        <f t="shared" si="1"/>
        <v>2023</v>
      </c>
      <c r="H36" s="8">
        <f t="shared" si="1"/>
        <v>2024</v>
      </c>
      <c r="I36" s="8">
        <f t="shared" si="1"/>
        <v>2025</v>
      </c>
      <c r="J36" s="8">
        <f t="shared" si="1"/>
        <v>2026</v>
      </c>
    </row>
    <row r="37" spans="1:12" s="36" customFormat="1" ht="15.75" customHeight="1" x14ac:dyDescent="0.35">
      <c r="A37" s="36" t="s">
        <v>21</v>
      </c>
      <c r="B37" s="36">
        <v>5.6849999999999996</v>
      </c>
      <c r="C37" s="36" t="s">
        <v>22</v>
      </c>
      <c r="D37" s="37">
        <f>D17</f>
        <v>3506.6</v>
      </c>
      <c r="E37" s="37">
        <f t="shared" ref="E37:J37" si="2">E17</f>
        <v>2190.8000000000002</v>
      </c>
      <c r="F37" s="37">
        <f t="shared" si="2"/>
        <v>2359</v>
      </c>
      <c r="G37" s="37">
        <f t="shared" si="2"/>
        <v>3641.35</v>
      </c>
      <c r="H37" s="37">
        <f t="shared" si="2"/>
        <v>5000</v>
      </c>
      <c r="I37" s="37">
        <f t="shared" si="2"/>
        <v>3500</v>
      </c>
      <c r="J37" s="37">
        <f t="shared" si="2"/>
        <v>3500</v>
      </c>
      <c r="L37"/>
    </row>
    <row r="38" spans="1:12" s="36" customFormat="1" ht="15.75" customHeight="1" x14ac:dyDescent="0.35">
      <c r="A38" s="36" t="s">
        <v>23</v>
      </c>
      <c r="B38" s="36">
        <v>3.5710000000000002</v>
      </c>
      <c r="C38" s="36" t="s">
        <v>22</v>
      </c>
      <c r="D38" s="37">
        <f>128000/255</f>
        <v>501.96078431372547</v>
      </c>
      <c r="E38" s="37">
        <f>537750/(8827-5893)</f>
        <v>183.28220858895705</v>
      </c>
      <c r="F38" s="37">
        <f>412000/(11615-8827)</f>
        <v>147.77618364418939</v>
      </c>
      <c r="G38" s="37">
        <f>512500/(16517-11615)</f>
        <v>104.54916360669115</v>
      </c>
      <c r="H38" s="37">
        <f>685000/(27146*16517/44313)</f>
        <v>67.69938302941182</v>
      </c>
      <c r="I38" s="37">
        <f>H38</f>
        <v>67.69938302941182</v>
      </c>
      <c r="J38" s="37">
        <f t="shared" ref="J38" si="3">I38</f>
        <v>67.69938302941182</v>
      </c>
      <c r="L38"/>
    </row>
    <row r="39" spans="1:12" s="36" customFormat="1" ht="15.75" customHeight="1" x14ac:dyDescent="0.35">
      <c r="A39" s="8" t="s">
        <v>25</v>
      </c>
      <c r="B39" s="8">
        <v>0.96799999999999997</v>
      </c>
      <c r="C39" s="8" t="s">
        <v>22</v>
      </c>
      <c r="D39" s="38">
        <f>104500/97</f>
        <v>1077.319587628866</v>
      </c>
      <c r="E39" s="38">
        <v>1000</v>
      </c>
      <c r="F39" s="38">
        <v>1000</v>
      </c>
      <c r="G39" s="38">
        <v>1000</v>
      </c>
      <c r="H39" s="38">
        <v>1000</v>
      </c>
      <c r="I39" s="38">
        <v>1000</v>
      </c>
      <c r="J39" s="38">
        <v>1000</v>
      </c>
      <c r="L39"/>
    </row>
    <row r="40" spans="1:12" s="36" customFormat="1" ht="15.75" customHeight="1" x14ac:dyDescent="0.35">
      <c r="A40" s="8" t="s">
        <v>26</v>
      </c>
      <c r="B40" s="8">
        <v>8.3800000000000008</v>
      </c>
      <c r="C40" s="10" t="s">
        <v>22</v>
      </c>
      <c r="D40" s="38">
        <f>4684500/6464</f>
        <v>724.7060643564356</v>
      </c>
      <c r="E40" s="38">
        <f>9996000/14360</f>
        <v>696.10027855153203</v>
      </c>
      <c r="F40" s="38">
        <f>5049700/14312</f>
        <v>352.82979318054777</v>
      </c>
      <c r="G40" s="38">
        <f>8627000/30164</f>
        <v>286.00318260177693</v>
      </c>
      <c r="H40" s="38">
        <f>7694000/35557</f>
        <v>216.38495936102595</v>
      </c>
      <c r="I40" s="38">
        <f>H40</f>
        <v>216.38495936102595</v>
      </c>
      <c r="J40" s="38">
        <f>I40</f>
        <v>216.38495936102595</v>
      </c>
      <c r="L40"/>
    </row>
    <row r="41" spans="1:12" s="36" customFormat="1" ht="15.75" customHeight="1" x14ac:dyDescent="0.35">
      <c r="A41" s="8" t="s">
        <v>27</v>
      </c>
      <c r="B41" s="8">
        <v>28.64</v>
      </c>
      <c r="C41" s="8" t="s">
        <v>22</v>
      </c>
      <c r="D41" s="8">
        <v>2500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L41"/>
    </row>
    <row r="42" spans="1:12" s="36" customFormat="1" ht="15.75" customHeight="1" x14ac:dyDescent="0.35">
      <c r="A42" s="8" t="s">
        <v>29</v>
      </c>
      <c r="B42" s="8">
        <v>39.35</v>
      </c>
      <c r="C42" s="8" t="s">
        <v>22</v>
      </c>
      <c r="D42" s="38">
        <f>12007419/38153</f>
        <v>314.71755825229997</v>
      </c>
      <c r="E42" s="38">
        <f>10067604/53090</f>
        <v>189.6327745338105</v>
      </c>
      <c r="F42" s="38">
        <f>3681500/(43689)</f>
        <v>84.266062395568682</v>
      </c>
      <c r="G42" s="38">
        <f>8757316/(63496)</f>
        <v>137.9191760110873</v>
      </c>
      <c r="H42" s="8">
        <v>0</v>
      </c>
      <c r="I42" s="8">
        <v>0</v>
      </c>
      <c r="J42" s="8">
        <v>0</v>
      </c>
      <c r="L42"/>
    </row>
    <row r="43" spans="1:12" s="36" customFormat="1" ht="15.75" customHeight="1" x14ac:dyDescent="0.35">
      <c r="A43" s="8" t="s">
        <v>30</v>
      </c>
      <c r="B43" s="8">
        <v>4.665</v>
      </c>
      <c r="C43" s="8" t="s">
        <v>22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L43"/>
    </row>
    <row r="44" spans="1:12" s="36" customFormat="1" ht="15.75" customHeight="1" x14ac:dyDescent="0.35">
      <c r="A44" s="7" t="s">
        <v>31</v>
      </c>
      <c r="B44" s="7">
        <v>1.341</v>
      </c>
      <c r="C44" s="7" t="s">
        <v>22</v>
      </c>
      <c r="D44" s="8">
        <v>1000</v>
      </c>
      <c r="E44" s="8">
        <v>1000</v>
      </c>
      <c r="F44" s="8">
        <v>1000</v>
      </c>
      <c r="G44" s="8">
        <v>1000</v>
      </c>
      <c r="H44" s="8">
        <v>1000</v>
      </c>
      <c r="I44" s="8">
        <v>0</v>
      </c>
      <c r="J44" s="8">
        <v>0</v>
      </c>
      <c r="L44"/>
    </row>
    <row r="45" spans="1:12" s="36" customFormat="1" ht="15.75" customHeight="1" x14ac:dyDescent="0.35">
      <c r="A45" s="7" t="s">
        <v>90</v>
      </c>
      <c r="B45" s="7">
        <v>5.7169999999999996</v>
      </c>
      <c r="C45" s="7" t="s">
        <v>22</v>
      </c>
      <c r="D45" s="8">
        <v>0</v>
      </c>
      <c r="E45" s="8">
        <v>0</v>
      </c>
      <c r="F45" s="8">
        <v>0</v>
      </c>
      <c r="G45" s="8">
        <v>2500</v>
      </c>
      <c r="H45" s="8">
        <v>2500</v>
      </c>
      <c r="I45" s="8">
        <v>0</v>
      </c>
      <c r="J45" s="8">
        <v>0</v>
      </c>
      <c r="L45"/>
    </row>
    <row r="46" spans="1:12" s="36" customFormat="1" ht="15.75" customHeight="1" x14ac:dyDescent="0.35">
      <c r="A46" s="7" t="s">
        <v>32</v>
      </c>
      <c r="B46" s="7">
        <v>6.0380000000000003</v>
      </c>
      <c r="C46" s="7" t="s">
        <v>22</v>
      </c>
      <c r="D46" s="8">
        <v>2500</v>
      </c>
      <c r="E46" s="8">
        <v>2500</v>
      </c>
      <c r="F46" s="8">
        <v>2500</v>
      </c>
      <c r="G46" s="8">
        <v>3000</v>
      </c>
      <c r="H46" s="8">
        <v>3000</v>
      </c>
      <c r="I46" s="8">
        <v>3000</v>
      </c>
      <c r="J46" s="8">
        <v>3000</v>
      </c>
      <c r="L46"/>
    </row>
    <row r="47" spans="1:12" s="36" customFormat="1" ht="15.75" customHeight="1" x14ac:dyDescent="0.35">
      <c r="A47" s="7" t="s">
        <v>33</v>
      </c>
      <c r="B47" s="7">
        <v>6.8730000000000002</v>
      </c>
      <c r="C47" s="7" t="s">
        <v>22</v>
      </c>
      <c r="D47" s="8">
        <v>2500</v>
      </c>
      <c r="E47" s="8">
        <v>2500</v>
      </c>
      <c r="F47" s="8">
        <v>2500</v>
      </c>
      <c r="G47" s="8">
        <f>G27*0.5</f>
        <v>1750</v>
      </c>
      <c r="H47" s="8">
        <v>0</v>
      </c>
      <c r="I47" s="8">
        <v>0</v>
      </c>
      <c r="J47" s="8">
        <v>0</v>
      </c>
      <c r="L47"/>
    </row>
    <row r="48" spans="1:12" s="36" customFormat="1" ht="15.75" customHeight="1" x14ac:dyDescent="0.35">
      <c r="A48" s="7" t="s">
        <v>92</v>
      </c>
      <c r="B48" s="7">
        <f>500/10^6</f>
        <v>5.0000000000000001E-4</v>
      </c>
      <c r="C48" s="7" t="s">
        <v>22</v>
      </c>
      <c r="D48" s="8">
        <v>0</v>
      </c>
      <c r="E48" s="8">
        <v>0</v>
      </c>
      <c r="F48" s="8">
        <v>0</v>
      </c>
      <c r="G48" s="8">
        <v>1500</v>
      </c>
      <c r="H48" s="8">
        <v>1500</v>
      </c>
      <c r="I48" s="8">
        <v>1500</v>
      </c>
      <c r="J48" s="8">
        <v>1500</v>
      </c>
      <c r="L48"/>
    </row>
    <row r="49" spans="1:32" s="36" customFormat="1" ht="15.75" customHeight="1" x14ac:dyDescent="0.35">
      <c r="A49" s="7" t="s">
        <v>94</v>
      </c>
      <c r="B49" s="7">
        <v>1.0940000000000001</v>
      </c>
      <c r="C49" s="7" t="s">
        <v>22</v>
      </c>
      <c r="D49" s="8">
        <v>0</v>
      </c>
      <c r="E49" s="8">
        <v>0</v>
      </c>
      <c r="F49" s="8">
        <v>1000</v>
      </c>
      <c r="G49" s="8">
        <v>1000</v>
      </c>
      <c r="H49" s="8">
        <v>1000</v>
      </c>
      <c r="I49" s="8">
        <v>1000</v>
      </c>
      <c r="J49" s="8">
        <v>1000</v>
      </c>
      <c r="L49"/>
    </row>
    <row r="50" spans="1:32" s="36" customFormat="1" ht="15.75" customHeight="1" x14ac:dyDescent="0.35">
      <c r="A50" s="7" t="s">
        <v>34</v>
      </c>
      <c r="B50" s="7">
        <v>8.8849999999999998</v>
      </c>
      <c r="C50" s="7" t="s">
        <v>22</v>
      </c>
      <c r="D50" s="8">
        <v>2000</v>
      </c>
      <c r="E50" s="8">
        <v>2000</v>
      </c>
      <c r="F50" s="8">
        <v>2000</v>
      </c>
      <c r="G50" s="8">
        <v>0</v>
      </c>
      <c r="H50" s="8">
        <v>0</v>
      </c>
      <c r="I50" s="8">
        <v>0</v>
      </c>
      <c r="J50" s="8">
        <v>0</v>
      </c>
      <c r="L50"/>
    </row>
    <row r="51" spans="1:32" s="36" customFormat="1" ht="15.75" customHeight="1" x14ac:dyDescent="0.35">
      <c r="A51" s="7" t="s">
        <v>35</v>
      </c>
      <c r="B51" s="7">
        <v>4.1760000000000002</v>
      </c>
      <c r="C51" s="7" t="s">
        <v>22</v>
      </c>
      <c r="D51" s="8">
        <f>1843000/1494</f>
        <v>1233.6010709504685</v>
      </c>
      <c r="E51" s="8">
        <f>4828500/4476</f>
        <v>1078.7533512064342</v>
      </c>
      <c r="F51" s="8">
        <f>5495500/4897</f>
        <v>1122.217684296508</v>
      </c>
      <c r="G51" s="38">
        <f>2876000/6464</f>
        <v>444.92574257425741</v>
      </c>
      <c r="H51" s="38">
        <f>G51</f>
        <v>444.92574257425741</v>
      </c>
      <c r="I51" s="38">
        <f>H51</f>
        <v>444.92574257425741</v>
      </c>
      <c r="J51" s="38">
        <f>I51</f>
        <v>444.92574257425741</v>
      </c>
      <c r="L51"/>
    </row>
    <row r="52" spans="1:32" s="36" customFormat="1" ht="15.75" customHeight="1" x14ac:dyDescent="0.35">
      <c r="A52" s="7" t="s">
        <v>36</v>
      </c>
      <c r="B52" s="7">
        <v>0.624</v>
      </c>
      <c r="C52" s="7" t="s">
        <v>22</v>
      </c>
      <c r="D52" s="39">
        <v>1000</v>
      </c>
      <c r="E52" s="39">
        <v>1000</v>
      </c>
      <c r="F52" s="39">
        <v>1000</v>
      </c>
      <c r="G52" s="39">
        <v>1000</v>
      </c>
      <c r="H52" s="39">
        <v>1000</v>
      </c>
      <c r="I52" s="39">
        <v>1000</v>
      </c>
      <c r="J52" s="39">
        <v>1000</v>
      </c>
      <c r="L52"/>
    </row>
    <row r="53" spans="1:32" s="36" customFormat="1" ht="15.75" customHeight="1" x14ac:dyDescent="0.35">
      <c r="A53" s="8" t="s">
        <v>37</v>
      </c>
      <c r="B53" s="8">
        <f>B54-SUM(B37:B52)</f>
        <v>203.49250000000001</v>
      </c>
      <c r="C53" s="8"/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L53"/>
    </row>
    <row r="54" spans="1:32" s="36" customFormat="1" ht="15.75" customHeight="1" x14ac:dyDescent="0.35">
      <c r="A54" s="8" t="s">
        <v>38</v>
      </c>
      <c r="B54" s="8">
        <v>329.5</v>
      </c>
      <c r="L54"/>
    </row>
    <row r="55" spans="1:32" ht="15.75" customHeight="1" x14ac:dyDescent="0.35">
      <c r="A55" s="8"/>
      <c r="B55" s="8"/>
    </row>
    <row r="56" spans="1:32" ht="15.75" customHeight="1" x14ac:dyDescent="0.3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35">
      <c r="A57" s="14"/>
    </row>
    <row r="58" spans="1:32" x14ac:dyDescent="0.35">
      <c r="A58" s="5"/>
    </row>
    <row r="59" spans="1:32" x14ac:dyDescent="0.35">
      <c r="A59" s="5" t="s">
        <v>44</v>
      </c>
      <c r="B59">
        <v>0.78500000000000003</v>
      </c>
    </row>
    <row r="60" spans="1:32" x14ac:dyDescent="0.35">
      <c r="A60" s="5"/>
    </row>
    <row r="61" spans="1:32" x14ac:dyDescent="0.35">
      <c r="A61" s="5" t="s">
        <v>42</v>
      </c>
    </row>
    <row r="62" spans="1:32" x14ac:dyDescent="0.3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35">
      <c r="A63" s="5" t="s">
        <v>40</v>
      </c>
      <c r="C63" s="5">
        <f t="shared" ref="C63:H63" si="4">SUMPRODUCT(E17:E33,$B$17:$B$33)/SUM($B$17:$B$33)*L79</f>
        <v>284.24236864339406</v>
      </c>
      <c r="D63" s="5">
        <f t="shared" si="4"/>
        <v>231.21682138187734</v>
      </c>
      <c r="E63" s="5">
        <f t="shared" si="4"/>
        <v>334.13793520947195</v>
      </c>
      <c r="F63" s="5">
        <f t="shared" si="4"/>
        <v>264.43888586266991</v>
      </c>
      <c r="G63" s="5">
        <f t="shared" si="4"/>
        <v>199.92712908586196</v>
      </c>
      <c r="H63" s="5">
        <f t="shared" si="4"/>
        <v>194.10400882122519</v>
      </c>
      <c r="I63" s="5">
        <f>H63*R79/Q79</f>
        <v>188.4504940011895</v>
      </c>
      <c r="J63" s="5">
        <f t="shared" ref="J63:Q63" si="5">I63*S79/R79</f>
        <v>182.96164466134903</v>
      </c>
      <c r="K63" s="5">
        <f t="shared" si="5"/>
        <v>177.63266471975632</v>
      </c>
      <c r="L63" s="5">
        <f t="shared" si="5"/>
        <v>172.45889778617118</v>
      </c>
      <c r="M63" s="5">
        <f t="shared" si="5"/>
        <v>167.43582309337009</v>
      </c>
      <c r="N63" s="5">
        <f t="shared" si="5"/>
        <v>162.55905154696123</v>
      </c>
      <c r="O63" s="5">
        <f t="shared" si="5"/>
        <v>157.82432189025366</v>
      </c>
      <c r="P63" s="5">
        <f t="shared" si="5"/>
        <v>153.22749698082879</v>
      </c>
      <c r="Q63" s="5">
        <f t="shared" si="5"/>
        <v>148.76456017556194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</row>
    <row r="64" spans="1:32" x14ac:dyDescent="0.35">
      <c r="A64" s="5" t="s">
        <v>41</v>
      </c>
      <c r="C64" s="5">
        <f>SUMPRODUCT(E37:E53,$B$37:$B$53)/SUM($B$37:$B$53)*L79</f>
        <v>215.72168420258612</v>
      </c>
      <c r="D64" s="5">
        <f t="shared" ref="D64:H64" si="6">SUMPRODUCT(F37:F53,$B$37:$B$53)/SUM($B$37:$B$53)*M79</f>
        <v>188.02811316670545</v>
      </c>
      <c r="E64" s="5">
        <f t="shared" si="6"/>
        <v>181.15698643889937</v>
      </c>
      <c r="F64" s="5">
        <f t="shared" si="6"/>
        <v>152.76346597230366</v>
      </c>
      <c r="G64" s="5">
        <f t="shared" si="6"/>
        <v>96.20855199074947</v>
      </c>
      <c r="H64" s="5">
        <f t="shared" si="6"/>
        <v>93.406361156067433</v>
      </c>
      <c r="I64" s="5">
        <f>H64*R79/Q79</f>
        <v>90.685787530162571</v>
      </c>
      <c r="J64" s="5">
        <f t="shared" ref="J64:Q64" si="7">I64*S79/R79</f>
        <v>88.04445391277919</v>
      </c>
      <c r="K64" s="5">
        <f t="shared" si="7"/>
        <v>85.480052342504052</v>
      </c>
      <c r="L64" s="5">
        <f t="shared" si="7"/>
        <v>82.990342080101016</v>
      </c>
      <c r="M64" s="5">
        <f t="shared" si="7"/>
        <v>80.573147650583522</v>
      </c>
      <c r="N64" s="5">
        <f t="shared" si="7"/>
        <v>78.226356942314084</v>
      </c>
      <c r="O64" s="5">
        <f t="shared" si="7"/>
        <v>75.947919361469985</v>
      </c>
      <c r="P64" s="5">
        <f t="shared" si="7"/>
        <v>73.735844040262123</v>
      </c>
      <c r="Q64" s="5">
        <f t="shared" si="7"/>
        <v>71.588198097341873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</row>
    <row r="65" spans="1:32" x14ac:dyDescent="0.35">
      <c r="A65" s="5"/>
    </row>
    <row r="66" spans="1:32" x14ac:dyDescent="0.35">
      <c r="A66" s="5" t="s">
        <v>39</v>
      </c>
    </row>
    <row r="67" spans="1:32" x14ac:dyDescent="0.3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32" x14ac:dyDescent="0.35">
      <c r="A68" s="5" t="s">
        <v>40</v>
      </c>
      <c r="B68" s="5"/>
      <c r="C68" s="5">
        <f t="shared" ref="C68:AF68" si="8">B5+C63</f>
        <v>1930.7404811231229</v>
      </c>
      <c r="D68" s="5">
        <f t="shared" si="8"/>
        <v>1599.8025784220101</v>
      </c>
      <c r="E68" s="5">
        <f t="shared" si="8"/>
        <v>5130.1015918271351</v>
      </c>
      <c r="F68" s="5">
        <f t="shared" si="8"/>
        <v>3819.9265877142789</v>
      </c>
      <c r="G68" s="5">
        <f t="shared" si="8"/>
        <v>3565.6148024975096</v>
      </c>
      <c r="H68" s="5">
        <f t="shared" si="8"/>
        <v>3312.3286898445285</v>
      </c>
      <c r="I68" s="5">
        <f t="shared" si="8"/>
        <v>2579.6280722494112</v>
      </c>
      <c r="J68" s="5">
        <f t="shared" si="8"/>
        <v>2607.4715657030551</v>
      </c>
      <c r="K68" s="5">
        <f t="shared" si="8"/>
        <v>2637.5199855509622</v>
      </c>
      <c r="L68" s="5">
        <f t="shared" si="8"/>
        <v>2669.5709726607206</v>
      </c>
      <c r="M68" s="5">
        <f t="shared" si="8"/>
        <v>2692.8330628056278</v>
      </c>
      <c r="N68" s="5">
        <f t="shared" si="8"/>
        <v>2715.0603144269971</v>
      </c>
      <c r="O68" s="5">
        <f t="shared" si="8"/>
        <v>157.82432189025366</v>
      </c>
      <c r="P68" s="5">
        <f t="shared" si="8"/>
        <v>153.22749698082879</v>
      </c>
      <c r="Q68" s="5">
        <f t="shared" si="8"/>
        <v>148.76456017556194</v>
      </c>
      <c r="R68" s="5">
        <f t="shared" si="8"/>
        <v>0</v>
      </c>
      <c r="S68" s="5">
        <f t="shared" si="8"/>
        <v>0</v>
      </c>
      <c r="T68" s="5">
        <f t="shared" si="8"/>
        <v>0</v>
      </c>
      <c r="U68" s="5">
        <f t="shared" si="8"/>
        <v>0</v>
      </c>
      <c r="V68" s="5">
        <f t="shared" si="8"/>
        <v>0</v>
      </c>
      <c r="W68" s="5">
        <f t="shared" si="8"/>
        <v>0</v>
      </c>
      <c r="X68" s="5">
        <f t="shared" si="8"/>
        <v>0</v>
      </c>
      <c r="Y68" s="5">
        <f t="shared" si="8"/>
        <v>0</v>
      </c>
      <c r="Z68" s="5">
        <f t="shared" si="8"/>
        <v>0</v>
      </c>
      <c r="AA68" s="5">
        <f t="shared" si="8"/>
        <v>0</v>
      </c>
      <c r="AB68" s="5">
        <f t="shared" si="8"/>
        <v>0</v>
      </c>
      <c r="AC68" s="5">
        <f t="shared" si="8"/>
        <v>0</v>
      </c>
      <c r="AD68" s="5">
        <f t="shared" si="8"/>
        <v>0</v>
      </c>
      <c r="AE68" s="5">
        <f t="shared" si="8"/>
        <v>0</v>
      </c>
      <c r="AF68" s="5">
        <f t="shared" si="8"/>
        <v>0</v>
      </c>
    </row>
    <row r="69" spans="1:32" x14ac:dyDescent="0.35">
      <c r="A69" s="5" t="s">
        <v>41</v>
      </c>
      <c r="C69" s="5">
        <f>B6+C64</f>
        <v>6868.4402011018146</v>
      </c>
      <c r="D69" s="5">
        <f t="shared" ref="D69:AF69" si="9">C6+D64</f>
        <v>3805.0788061456087</v>
      </c>
      <c r="E69" s="5">
        <f t="shared" si="9"/>
        <v>3662.355308727233</v>
      </c>
      <c r="F69" s="5">
        <f t="shared" si="9"/>
        <v>2999.2858045496764</v>
      </c>
      <c r="G69" s="5">
        <f t="shared" si="9"/>
        <v>2492.4252043210045</v>
      </c>
      <c r="H69" s="5">
        <f t="shared" si="9"/>
        <v>2355.6859555808901</v>
      </c>
      <c r="I69" s="5">
        <f t="shared" si="9"/>
        <v>2224.0661798520518</v>
      </c>
      <c r="J69" s="5">
        <f t="shared" si="9"/>
        <v>2167.4924466149887</v>
      </c>
      <c r="K69" s="5">
        <f t="shared" si="9"/>
        <v>2112.6190346880921</v>
      </c>
      <c r="L69" s="5">
        <f t="shared" si="9"/>
        <v>2059.3856145068316</v>
      </c>
      <c r="M69" s="5">
        <f t="shared" si="9"/>
        <v>2006.7216198707158</v>
      </c>
      <c r="N69" s="5">
        <f t="shared" si="9"/>
        <v>1955.3640812230597</v>
      </c>
      <c r="O69" s="5">
        <f t="shared" si="9"/>
        <v>75.947919361469985</v>
      </c>
      <c r="P69" s="5">
        <f t="shared" si="9"/>
        <v>73.735844040262123</v>
      </c>
      <c r="Q69" s="5">
        <f t="shared" si="9"/>
        <v>71.588198097341873</v>
      </c>
      <c r="R69" s="5">
        <f t="shared" si="9"/>
        <v>0</v>
      </c>
      <c r="S69" s="5">
        <f t="shared" si="9"/>
        <v>0</v>
      </c>
      <c r="T69" s="5">
        <f t="shared" si="9"/>
        <v>0</v>
      </c>
      <c r="U69" s="5">
        <f t="shared" si="9"/>
        <v>0</v>
      </c>
      <c r="V69" s="5">
        <f t="shared" si="9"/>
        <v>0</v>
      </c>
      <c r="W69" s="5">
        <f t="shared" si="9"/>
        <v>0</v>
      </c>
      <c r="X69" s="5">
        <f t="shared" si="9"/>
        <v>0</v>
      </c>
      <c r="Y69" s="5">
        <f t="shared" si="9"/>
        <v>0</v>
      </c>
      <c r="Z69" s="5">
        <f t="shared" si="9"/>
        <v>0</v>
      </c>
      <c r="AA69" s="5">
        <f t="shared" si="9"/>
        <v>0</v>
      </c>
      <c r="AB69" s="5">
        <f t="shared" si="9"/>
        <v>0</v>
      </c>
      <c r="AC69" s="5">
        <f t="shared" si="9"/>
        <v>0</v>
      </c>
      <c r="AD69" s="5">
        <f t="shared" si="9"/>
        <v>0</v>
      </c>
      <c r="AE69" s="5">
        <f t="shared" si="9"/>
        <v>0</v>
      </c>
      <c r="AF69" s="5">
        <f t="shared" si="9"/>
        <v>0</v>
      </c>
    </row>
    <row r="73" spans="1:32" x14ac:dyDescent="0.35">
      <c r="D73" s="22" t="s">
        <v>100</v>
      </c>
      <c r="E73" s="22"/>
      <c r="F73" s="22"/>
      <c r="G73" s="22"/>
      <c r="H73" s="22"/>
      <c r="I73" s="22"/>
      <c r="J73" s="22"/>
    </row>
    <row r="74" spans="1:32" x14ac:dyDescent="0.35">
      <c r="D74" s="22" t="s">
        <v>101</v>
      </c>
      <c r="E74" s="22"/>
      <c r="F74" s="22"/>
      <c r="G74" s="22"/>
      <c r="H74" s="22"/>
      <c r="I74" s="22"/>
      <c r="J74" s="22"/>
    </row>
    <row r="75" spans="1:32" x14ac:dyDescent="0.35">
      <c r="D75" s="22">
        <v>2020</v>
      </c>
      <c r="E75" s="22">
        <v>2021</v>
      </c>
      <c r="F75" s="22">
        <v>2022</v>
      </c>
      <c r="G75" s="22">
        <v>2023</v>
      </c>
      <c r="H75" s="22">
        <v>2024</v>
      </c>
      <c r="I75" s="22">
        <v>2025</v>
      </c>
      <c r="J75" s="22">
        <v>2026</v>
      </c>
    </row>
    <row r="76" spans="1:32" x14ac:dyDescent="0.3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32" x14ac:dyDescent="0.35">
      <c r="B78" s="22"/>
      <c r="C78" s="22">
        <v>2012</v>
      </c>
      <c r="D78" s="22">
        <v>2013</v>
      </c>
      <c r="E78" s="22">
        <v>2014</v>
      </c>
      <c r="F78" s="22">
        <v>2015</v>
      </c>
      <c r="G78" s="22">
        <v>2016</v>
      </c>
      <c r="H78" s="22">
        <v>2017</v>
      </c>
      <c r="I78" s="22">
        <v>2018</v>
      </c>
      <c r="J78" s="22">
        <v>2019</v>
      </c>
      <c r="K78" s="22">
        <v>2020</v>
      </c>
      <c r="L78" s="22">
        <v>2021</v>
      </c>
      <c r="M78" s="22">
        <v>2022</v>
      </c>
      <c r="N78" s="22">
        <v>2023</v>
      </c>
      <c r="O78" s="22">
        <v>2024</v>
      </c>
      <c r="P78" s="22">
        <v>2025</v>
      </c>
      <c r="Q78" s="22">
        <v>2026</v>
      </c>
      <c r="R78" s="22">
        <v>2027</v>
      </c>
      <c r="S78" s="22">
        <v>2028</v>
      </c>
      <c r="T78" s="22">
        <v>2029</v>
      </c>
      <c r="U78" s="22">
        <v>2030</v>
      </c>
      <c r="V78" s="22">
        <v>2031</v>
      </c>
      <c r="W78" s="22">
        <v>2032</v>
      </c>
      <c r="X78" s="22">
        <v>2033</v>
      </c>
      <c r="Y78" s="22">
        <v>2034</v>
      </c>
      <c r="Z78" s="22">
        <v>2035</v>
      </c>
    </row>
    <row r="79" spans="1:32" x14ac:dyDescent="0.35">
      <c r="B79" s="22" t="s">
        <v>102</v>
      </c>
      <c r="C79" s="43" cm="1">
        <f t="array" ref="C79:Z79">TRANSPOSE(G84:G107)</f>
        <v>1</v>
      </c>
      <c r="D79" s="43">
        <v>0.98556385942470071</v>
      </c>
      <c r="E79" s="43">
        <v>0.96983137334414704</v>
      </c>
      <c r="F79" s="43">
        <v>0.9686815713640794</v>
      </c>
      <c r="G79" s="43">
        <v>0.95661376543184151</v>
      </c>
      <c r="H79" s="43">
        <v>0.93665959530026111</v>
      </c>
      <c r="I79" s="43">
        <v>0.9143273584567535</v>
      </c>
      <c r="J79" s="43">
        <v>0.89805481563188172</v>
      </c>
      <c r="K79" s="43">
        <v>0.88711067149387013</v>
      </c>
      <c r="L79" s="43">
        <v>0.84730412960844359</v>
      </c>
      <c r="M79" s="43">
        <v>0.78452102304761584</v>
      </c>
      <c r="N79" s="43">
        <v>0.75350342301658668</v>
      </c>
      <c r="O79" s="43">
        <v>0.73191600598044548</v>
      </c>
      <c r="P79" s="44">
        <v>0.71059806405868498</v>
      </c>
      <c r="Q79" s="44">
        <v>0.68990103306668438</v>
      </c>
      <c r="R79" s="44">
        <v>0.66980682822008197</v>
      </c>
      <c r="S79" s="44">
        <v>0.65029789147580774</v>
      </c>
      <c r="T79" s="44">
        <v>0.63135717619010456</v>
      </c>
      <c r="U79" s="44">
        <v>0.61296813222340252</v>
      </c>
      <c r="V79" s="44">
        <v>0.59511469147903162</v>
      </c>
      <c r="W79" s="44">
        <v>0.57778125386313739</v>
      </c>
      <c r="X79" s="44">
        <v>0.56095267365353152</v>
      </c>
      <c r="Y79" s="44">
        <v>0.54461424626556454</v>
      </c>
      <c r="Z79" s="44">
        <v>0.52875169540346068</v>
      </c>
    </row>
    <row r="82" spans="1:12" x14ac:dyDescent="0.35">
      <c r="A82" t="s">
        <v>103</v>
      </c>
      <c r="B82" s="16"/>
      <c r="C82" s="17"/>
      <c r="D82" s="17" t="s">
        <v>117</v>
      </c>
      <c r="E82" s="17"/>
      <c r="F82" s="17"/>
      <c r="G82" s="17">
        <v>0.03</v>
      </c>
      <c r="H82" s="17"/>
      <c r="I82" s="17"/>
      <c r="J82" s="17"/>
      <c r="K82" s="17"/>
      <c r="L82" s="15"/>
    </row>
    <row r="84" spans="1:12" x14ac:dyDescent="0.35">
      <c r="A84" t="s">
        <v>104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35">
      <c r="A85" t="s">
        <v>105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0.98556385942470071</v>
      </c>
    </row>
    <row r="86" spans="1:12" x14ac:dyDescent="0.35">
      <c r="A86" t="s">
        <v>106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0.96983137334414704</v>
      </c>
    </row>
    <row r="87" spans="1:12" x14ac:dyDescent="0.35">
      <c r="A87" t="s">
        <v>107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0.9686815713640794</v>
      </c>
    </row>
    <row r="88" spans="1:12" x14ac:dyDescent="0.35">
      <c r="A88" t="s">
        <v>108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0.95661376543184151</v>
      </c>
    </row>
    <row r="89" spans="1:12" x14ac:dyDescent="0.35">
      <c r="A89" t="s">
        <v>109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0.93665959530026111</v>
      </c>
    </row>
    <row r="90" spans="1:12" x14ac:dyDescent="0.35">
      <c r="A90" t="s">
        <v>110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0.9143273584567535</v>
      </c>
    </row>
    <row r="91" spans="1:12" x14ac:dyDescent="0.35">
      <c r="A91" t="s">
        <v>111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0.89805481563188172</v>
      </c>
    </row>
    <row r="92" spans="1:12" x14ac:dyDescent="0.35">
      <c r="A92" t="s">
        <v>112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0.88711067149387013</v>
      </c>
    </row>
    <row r="93" spans="1:12" x14ac:dyDescent="0.35">
      <c r="A93" t="s">
        <v>113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0.84730412960844359</v>
      </c>
    </row>
    <row r="94" spans="1:12" x14ac:dyDescent="0.35">
      <c r="A94" t="s">
        <v>114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0.78452102304761584</v>
      </c>
    </row>
    <row r="95" spans="1:12" x14ac:dyDescent="0.35">
      <c r="A95" t="s">
        <v>115</v>
      </c>
      <c r="B95">
        <v>302.40800000000002</v>
      </c>
      <c r="C95">
        <v>306.99599999999998</v>
      </c>
      <c r="D95">
        <v>304.702</v>
      </c>
      <c r="G95">
        <v>0.75350342301658668</v>
      </c>
    </row>
    <row r="96" spans="1:12" x14ac:dyDescent="0.35">
      <c r="A96" t="s">
        <v>116</v>
      </c>
      <c r="B96">
        <v>312.14499999999998</v>
      </c>
      <c r="C96">
        <v>315.233</v>
      </c>
      <c r="D96">
        <v>313.68900000000002</v>
      </c>
      <c r="G96">
        <v>0.73191600598044548</v>
      </c>
    </row>
    <row r="97" spans="1:7" x14ac:dyDescent="0.35">
      <c r="A97">
        <v>2025</v>
      </c>
      <c r="D97">
        <f>D96*(1+F97)</f>
        <v>323.09967</v>
      </c>
      <c r="F97" s="16">
        <f>G$82</f>
        <v>0.03</v>
      </c>
      <c r="G97" s="22">
        <f>D$84/D97</f>
        <v>0.71059806405868498</v>
      </c>
    </row>
    <row r="98" spans="1:7" x14ac:dyDescent="0.35">
      <c r="A98">
        <v>2026</v>
      </c>
      <c r="D98">
        <f>D97*(1+F98)</f>
        <v>332.79266010000003</v>
      </c>
      <c r="F98" s="16">
        <f t="shared" ref="F98:F107" si="10">G$82</f>
        <v>0.03</v>
      </c>
      <c r="G98" s="22">
        <f t="shared" ref="G98:G107" si="11">D$84/D98</f>
        <v>0.68990103306668438</v>
      </c>
    </row>
    <row r="99" spans="1:7" x14ac:dyDescent="0.35">
      <c r="A99">
        <v>2027</v>
      </c>
      <c r="D99">
        <f t="shared" ref="D99:D107" si="12">D98*(1+F99)</f>
        <v>342.77643990300004</v>
      </c>
      <c r="F99" s="16">
        <f t="shared" si="10"/>
        <v>0.03</v>
      </c>
      <c r="G99" s="22">
        <f t="shared" si="11"/>
        <v>0.66980682822008197</v>
      </c>
    </row>
    <row r="100" spans="1:7" x14ac:dyDescent="0.35">
      <c r="A100">
        <v>2028</v>
      </c>
      <c r="D100">
        <f t="shared" si="12"/>
        <v>353.05973310009006</v>
      </c>
      <c r="F100" s="16">
        <f t="shared" si="10"/>
        <v>0.03</v>
      </c>
      <c r="G100" s="22">
        <f t="shared" si="11"/>
        <v>0.65029789147580774</v>
      </c>
    </row>
    <row r="101" spans="1:7" x14ac:dyDescent="0.35">
      <c r="A101">
        <v>2029</v>
      </c>
      <c r="D101">
        <f t="shared" si="12"/>
        <v>363.65152509309274</v>
      </c>
      <c r="F101" s="16">
        <f t="shared" si="10"/>
        <v>0.03</v>
      </c>
      <c r="G101" s="22">
        <f t="shared" si="11"/>
        <v>0.63135717619010456</v>
      </c>
    </row>
    <row r="102" spans="1:7" x14ac:dyDescent="0.35">
      <c r="A102">
        <v>2030</v>
      </c>
      <c r="D102">
        <f t="shared" si="12"/>
        <v>374.56107084588552</v>
      </c>
      <c r="F102" s="16">
        <f t="shared" si="10"/>
        <v>0.03</v>
      </c>
      <c r="G102" s="22">
        <f t="shared" si="11"/>
        <v>0.61296813222340252</v>
      </c>
    </row>
    <row r="103" spans="1:7" x14ac:dyDescent="0.35">
      <c r="A103">
        <v>2031</v>
      </c>
      <c r="D103">
        <f t="shared" si="12"/>
        <v>385.79790297126209</v>
      </c>
      <c r="F103" s="16">
        <f t="shared" si="10"/>
        <v>0.03</v>
      </c>
      <c r="G103" s="22">
        <f t="shared" si="11"/>
        <v>0.59511469147903162</v>
      </c>
    </row>
    <row r="104" spans="1:7" x14ac:dyDescent="0.35">
      <c r="A104">
        <v>2032</v>
      </c>
      <c r="D104">
        <f t="shared" si="12"/>
        <v>397.37184006039996</v>
      </c>
      <c r="F104" s="16">
        <f t="shared" si="10"/>
        <v>0.03</v>
      </c>
      <c r="G104" s="22">
        <f t="shared" si="11"/>
        <v>0.57778125386313739</v>
      </c>
    </row>
    <row r="105" spans="1:7" x14ac:dyDescent="0.35">
      <c r="A105">
        <v>2033</v>
      </c>
      <c r="D105">
        <f t="shared" si="12"/>
        <v>409.29299526221195</v>
      </c>
      <c r="F105" s="16">
        <f t="shared" si="10"/>
        <v>0.03</v>
      </c>
      <c r="G105" s="22">
        <f t="shared" si="11"/>
        <v>0.56095267365353152</v>
      </c>
    </row>
    <row r="106" spans="1:7" x14ac:dyDescent="0.35">
      <c r="A106">
        <v>2034</v>
      </c>
      <c r="D106">
        <f t="shared" si="12"/>
        <v>421.57178512007829</v>
      </c>
      <c r="F106" s="16">
        <f t="shared" si="10"/>
        <v>0.03</v>
      </c>
      <c r="G106" s="22">
        <f t="shared" si="11"/>
        <v>0.54461424626556454</v>
      </c>
    </row>
    <row r="107" spans="1:7" x14ac:dyDescent="0.35">
      <c r="A107">
        <v>2035</v>
      </c>
      <c r="D107">
        <f t="shared" si="12"/>
        <v>434.21893867368067</v>
      </c>
      <c r="F107" s="16">
        <f t="shared" si="10"/>
        <v>0.03</v>
      </c>
      <c r="G107" s="22">
        <f t="shared" si="11"/>
        <v>0.52875169540346068</v>
      </c>
    </row>
  </sheetData>
  <hyperlinks>
    <hyperlink ref="C13" r:id="rId1" xr:uid="{0B42DB82-B744-4AA0-B817-45B85EC34540}"/>
    <hyperlink ref="C14" r:id="rId2" xr:uid="{C245D4AA-4F3C-42F0-8772-AD708218D115}"/>
    <hyperlink ref="R18" r:id="rId3" xr:uid="{5F06F0E1-C2F5-4064-8449-00379A1A43C2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00B1-78D7-456C-A4C4-AB085247994E}">
  <dimension ref="A1:AL776"/>
  <sheetViews>
    <sheetView topLeftCell="A14" workbookViewId="0">
      <selection activeCell="F17" sqref="F17"/>
    </sheetView>
  </sheetViews>
  <sheetFormatPr defaultColWidth="12.54296875" defaultRowHeight="15.75" customHeight="1" x14ac:dyDescent="0.3"/>
  <cols>
    <col min="1" max="1" width="51.81640625" style="22" customWidth="1"/>
    <col min="2" max="2" width="12.7265625" style="22" bestFit="1" customWidth="1"/>
    <col min="3" max="3" width="12.26953125" style="22" customWidth="1"/>
    <col min="4" max="4" width="9.54296875" style="22" customWidth="1"/>
    <col min="5" max="38" width="7.54296875" style="22" customWidth="1"/>
    <col min="39" max="16384" width="12.54296875" style="22"/>
  </cols>
  <sheetData>
    <row r="1" spans="1:38" ht="14.25" customHeight="1" x14ac:dyDescent="0.35">
      <c r="A1" s="20" t="s">
        <v>48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8" ht="104.5" x14ac:dyDescent="0.35">
      <c r="A2" s="23" t="s">
        <v>69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38" ht="14.5" x14ac:dyDescent="0.3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</row>
    <row r="4" spans="1:38" ht="14.5" x14ac:dyDescent="0.35">
      <c r="A4" s="24" t="s">
        <v>70</v>
      </c>
      <c r="B4" s="34">
        <v>40000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</row>
    <row r="5" spans="1:38" ht="14.25" customHeight="1" x14ac:dyDescent="0.35">
      <c r="A5" s="24" t="s">
        <v>71</v>
      </c>
      <c r="B5" s="34">
        <v>7500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ht="14.25" customHeight="1" x14ac:dyDescent="0.3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</row>
    <row r="7" spans="1:38" ht="15.75" customHeight="1" x14ac:dyDescent="0.3">
      <c r="B7" s="22">
        <v>2023</v>
      </c>
      <c r="C7" s="22">
        <v>2024</v>
      </c>
      <c r="D7" s="22">
        <v>2025</v>
      </c>
      <c r="E7" s="22">
        <v>2026</v>
      </c>
      <c r="F7" s="22">
        <v>2027</v>
      </c>
      <c r="G7" s="22">
        <v>2028</v>
      </c>
      <c r="H7" s="22">
        <v>2029</v>
      </c>
      <c r="I7" s="22">
        <v>2030</v>
      </c>
      <c r="J7" s="22">
        <v>2031</v>
      </c>
      <c r="K7" s="22">
        <v>2032</v>
      </c>
    </row>
    <row r="8" spans="1:38" ht="13" x14ac:dyDescent="0.3">
      <c r="A8" s="25" t="s">
        <v>72</v>
      </c>
      <c r="B8" s="26">
        <f t="shared" ref="B8:K8" si="0">$B4*$B$16*C$14</f>
        <v>25920.517751770582</v>
      </c>
      <c r="C8" s="26">
        <f t="shared" si="0"/>
        <v>25177.910605727324</v>
      </c>
      <c r="D8" s="26">
        <f t="shared" si="0"/>
        <v>24444.573403618764</v>
      </c>
      <c r="E8" s="26">
        <f t="shared" si="0"/>
        <v>23732.595537493944</v>
      </c>
      <c r="F8" s="26">
        <f t="shared" si="0"/>
        <v>23041.354890770821</v>
      </c>
      <c r="G8" s="26">
        <f t="shared" si="0"/>
        <v>22370.247466767785</v>
      </c>
      <c r="H8" s="26">
        <f t="shared" si="0"/>
        <v>21718.686860939597</v>
      </c>
      <c r="I8" s="26">
        <f t="shared" si="0"/>
        <v>21086.103748485046</v>
      </c>
      <c r="J8" s="26">
        <f t="shared" si="0"/>
        <v>20471.945386878688</v>
      </c>
      <c r="K8" s="26">
        <f t="shared" si="0"/>
        <v>19875.675132891927</v>
      </c>
    </row>
    <row r="9" spans="1:38" ht="13" x14ac:dyDescent="0.3">
      <c r="A9" s="25" t="s">
        <v>73</v>
      </c>
      <c r="B9" s="26">
        <f>$B$4*C14</f>
        <v>30140.136920663466</v>
      </c>
      <c r="C9" s="26">
        <f t="shared" ref="C9:K9" si="1">$B$4*D14</f>
        <v>29276.640239217821</v>
      </c>
      <c r="D9" s="26">
        <f t="shared" si="1"/>
        <v>28423.922562347398</v>
      </c>
      <c r="E9" s="26">
        <f t="shared" si="1"/>
        <v>27596.041322667374</v>
      </c>
      <c r="F9" s="26">
        <f t="shared" si="1"/>
        <v>26792.273128803277</v>
      </c>
      <c r="G9" s="26">
        <f t="shared" si="1"/>
        <v>26011.915659032311</v>
      </c>
      <c r="H9" s="26">
        <f t="shared" si="1"/>
        <v>25254.287047604183</v>
      </c>
      <c r="I9" s="26">
        <f t="shared" si="1"/>
        <v>24518.725288936101</v>
      </c>
      <c r="J9" s="26">
        <f t="shared" si="1"/>
        <v>23804.587659161265</v>
      </c>
      <c r="K9" s="26">
        <f t="shared" si="1"/>
        <v>23111.250154525496</v>
      </c>
    </row>
    <row r="10" spans="1:38" ht="15.75" customHeight="1" x14ac:dyDescent="0.3">
      <c r="A10" s="22" t="s">
        <v>122</v>
      </c>
      <c r="B10" s="35">
        <f>C36</f>
        <v>9715.0710076103514</v>
      </c>
      <c r="C10" s="35">
        <f t="shared" ref="C10:K10" si="2">D36</f>
        <v>9379.5012804435319</v>
      </c>
      <c r="D10" s="35">
        <f t="shared" si="2"/>
        <v>9098.157067904207</v>
      </c>
      <c r="E10" s="35">
        <f t="shared" si="2"/>
        <v>8900.5394373583313</v>
      </c>
      <c r="F10" s="35">
        <f t="shared" si="2"/>
        <v>8762.1955571514172</v>
      </c>
      <c r="G10" s="35">
        <f t="shared" si="2"/>
        <v>8574.638599520662</v>
      </c>
      <c r="H10" s="35">
        <f t="shared" si="2"/>
        <v>8327.2183891071436</v>
      </c>
      <c r="I10" s="35">
        <f t="shared" si="2"/>
        <v>8038.2687173078502</v>
      </c>
      <c r="J10" s="35">
        <f t="shared" si="2"/>
        <v>7772.0490463949827</v>
      </c>
      <c r="K10" s="35">
        <f t="shared" si="2"/>
        <v>7566.1942040579743</v>
      </c>
    </row>
    <row r="12" spans="1:38" ht="14.25" customHeight="1" x14ac:dyDescent="0.35">
      <c r="A12" s="20" t="s">
        <v>49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pans="1:38" ht="13" x14ac:dyDescent="0.3">
      <c r="B13" s="25">
        <v>2022</v>
      </c>
      <c r="C13" s="22">
        <v>2023</v>
      </c>
      <c r="D13" s="25">
        <v>2024</v>
      </c>
      <c r="E13" s="22">
        <v>2025</v>
      </c>
      <c r="F13" s="25">
        <v>2026</v>
      </c>
      <c r="G13" s="22">
        <v>2027</v>
      </c>
      <c r="H13" s="25">
        <v>2028</v>
      </c>
      <c r="I13" s="22">
        <v>2029</v>
      </c>
      <c r="J13" s="25">
        <v>2030</v>
      </c>
      <c r="K13" s="22">
        <v>2031</v>
      </c>
      <c r="L13" s="25">
        <v>2032</v>
      </c>
    </row>
    <row r="14" spans="1:38" ht="13" x14ac:dyDescent="0.3">
      <c r="A14" s="22" t="s">
        <v>121</v>
      </c>
      <c r="B14" s="49" cm="1">
        <f t="array" ref="B14:L14">TRANSPOSE('Passenger Vehicle Calculations'!G94:G104)</f>
        <v>0.78452102304761584</v>
      </c>
      <c r="C14" s="50">
        <v>0.75350342301658668</v>
      </c>
      <c r="D14" s="50">
        <v>0.73191600598044548</v>
      </c>
      <c r="E14" s="50">
        <v>0.71059806405868498</v>
      </c>
      <c r="F14" s="50">
        <v>0.68990103306668438</v>
      </c>
      <c r="G14" s="50">
        <v>0.66980682822008197</v>
      </c>
      <c r="H14" s="50">
        <v>0.65029789147580774</v>
      </c>
      <c r="I14" s="50">
        <v>0.63135717619010456</v>
      </c>
      <c r="J14" s="50">
        <v>0.61296813222340252</v>
      </c>
      <c r="K14" s="50">
        <v>0.59511469147903162</v>
      </c>
      <c r="L14" s="50">
        <v>0.57778125386313739</v>
      </c>
    </row>
    <row r="15" spans="1:38" ht="13" x14ac:dyDescent="0.3">
      <c r="A15" s="25"/>
    </row>
    <row r="16" spans="1:38" ht="13" x14ac:dyDescent="0.3">
      <c r="A16" s="25" t="s">
        <v>50</v>
      </c>
      <c r="B16" s="25">
        <v>0.86</v>
      </c>
    </row>
    <row r="17" spans="1:33" ht="13" x14ac:dyDescent="0.3">
      <c r="A17" s="25"/>
    </row>
    <row r="18" spans="1:33" ht="13" x14ac:dyDescent="0.3"/>
    <row r="19" spans="1:33" ht="13" x14ac:dyDescent="0.3">
      <c r="A19" s="25" t="s">
        <v>51</v>
      </c>
    </row>
    <row r="20" spans="1:33" ht="13" x14ac:dyDescent="0.3">
      <c r="A20" s="25" t="s">
        <v>52</v>
      </c>
    </row>
    <row r="21" spans="1:33" ht="13" x14ac:dyDescent="0.3"/>
    <row r="22" spans="1:33" ht="39" x14ac:dyDescent="0.3">
      <c r="A22" s="25" t="s">
        <v>53</v>
      </c>
      <c r="B22" s="25" t="s">
        <v>54</v>
      </c>
      <c r="C22" s="25" t="s">
        <v>55</v>
      </c>
      <c r="D22" s="23" t="s">
        <v>74</v>
      </c>
    </row>
    <row r="23" spans="1:33" ht="26" x14ac:dyDescent="0.3">
      <c r="A23" s="25" t="s">
        <v>56</v>
      </c>
      <c r="B23" s="27" t="s">
        <v>57</v>
      </c>
      <c r="C23" s="27" t="s">
        <v>58</v>
      </c>
      <c r="D23" s="26">
        <f>B5*B14</f>
        <v>5883.907672857119</v>
      </c>
    </row>
    <row r="24" spans="1:33" ht="26" x14ac:dyDescent="0.3">
      <c r="A24" s="25" t="s">
        <v>59</v>
      </c>
      <c r="B24" s="23">
        <v>3</v>
      </c>
      <c r="C24" s="27" t="s">
        <v>60</v>
      </c>
      <c r="D24" s="26">
        <f>D23</f>
        <v>5883.907672857119</v>
      </c>
    </row>
    <row r="25" spans="1:33" ht="26" x14ac:dyDescent="0.3">
      <c r="A25" s="25" t="s">
        <v>61</v>
      </c>
      <c r="B25" s="28">
        <v>44657</v>
      </c>
      <c r="C25" s="27" t="s">
        <v>62</v>
      </c>
      <c r="D25" s="26">
        <f>B4*B14</f>
        <v>31380.840921904633</v>
      </c>
    </row>
    <row r="26" spans="1:33" ht="13" x14ac:dyDescent="0.3"/>
    <row r="27" spans="1:33" ht="13" x14ac:dyDescent="0.3">
      <c r="A27" s="25" t="s">
        <v>63</v>
      </c>
    </row>
    <row r="28" spans="1:33" ht="13" x14ac:dyDescent="0.3">
      <c r="A28" s="29" t="s">
        <v>75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3" x14ac:dyDescent="0.3">
      <c r="A29" s="30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3" x14ac:dyDescent="0.3">
      <c r="A30" s="30" t="s">
        <v>64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3" x14ac:dyDescent="0.3">
      <c r="A31" s="29" t="s">
        <v>76</v>
      </c>
      <c r="B31" s="31">
        <v>2022</v>
      </c>
      <c r="C31" s="31">
        <v>2023</v>
      </c>
      <c r="D31" s="31">
        <v>2024</v>
      </c>
      <c r="E31" s="31">
        <v>2025</v>
      </c>
      <c r="F31" s="31">
        <v>2026</v>
      </c>
      <c r="G31" s="31">
        <v>2027</v>
      </c>
      <c r="H31" s="31">
        <v>2028</v>
      </c>
      <c r="I31" s="31">
        <v>2029</v>
      </c>
      <c r="J31" s="31">
        <v>2030</v>
      </c>
      <c r="K31" s="31">
        <v>2031</v>
      </c>
      <c r="L31" s="31">
        <v>2032</v>
      </c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29"/>
      <c r="AF31" s="29"/>
    </row>
    <row r="32" spans="1:33" ht="13" x14ac:dyDescent="0.3">
      <c r="A32" s="29" t="s">
        <v>65</v>
      </c>
      <c r="B32" s="32">
        <v>652.15881300000001</v>
      </c>
      <c r="C32" s="32">
        <v>675.13665800000001</v>
      </c>
      <c r="D32" s="32">
        <v>689.60467500000004</v>
      </c>
      <c r="E32" s="32">
        <v>691.51690699999995</v>
      </c>
      <c r="F32" s="32">
        <v>688.42425500000002</v>
      </c>
      <c r="G32" s="32">
        <v>684.18414299999995</v>
      </c>
      <c r="H32" s="32">
        <v>682.62188700000002</v>
      </c>
      <c r="I32" s="32">
        <v>679.86218299999996</v>
      </c>
      <c r="J32" s="32">
        <v>678.07775900000001</v>
      </c>
      <c r="K32" s="32">
        <v>677.36639400000001</v>
      </c>
      <c r="L32" s="32">
        <v>675.92620799999997</v>
      </c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3"/>
      <c r="AF32" s="29"/>
    </row>
    <row r="33" spans="1:32" ht="13" x14ac:dyDescent="0.3">
      <c r="A33" s="29" t="s">
        <v>66</v>
      </c>
      <c r="B33" s="32">
        <v>252.12297100000001</v>
      </c>
      <c r="C33" s="32">
        <v>262.199432</v>
      </c>
      <c r="D33" s="32">
        <v>276.18127399999997</v>
      </c>
      <c r="E33" s="32">
        <v>286.01892099999998</v>
      </c>
      <c r="F33" s="32">
        <v>290.46655299999998</v>
      </c>
      <c r="G33" s="32">
        <v>292.43240400000002</v>
      </c>
      <c r="H33" s="32">
        <v>293.63424700000002</v>
      </c>
      <c r="I33" s="32">
        <v>296.173248</v>
      </c>
      <c r="J33" s="32">
        <v>298.12170400000002</v>
      </c>
      <c r="K33" s="32">
        <v>300.39685100000003</v>
      </c>
      <c r="L33" s="32">
        <v>303.257294</v>
      </c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3"/>
      <c r="AF33" s="29"/>
    </row>
    <row r="34" spans="1:32" ht="13" x14ac:dyDescent="0.3">
      <c r="A34" s="29" t="s">
        <v>67</v>
      </c>
      <c r="B34" s="32">
        <v>180.61982699999999</v>
      </c>
      <c r="C34" s="32">
        <v>186.49350000000001</v>
      </c>
      <c r="D34" s="32">
        <v>188.82283000000001</v>
      </c>
      <c r="E34" s="32">
        <v>190.626938</v>
      </c>
      <c r="F34" s="32">
        <v>195.106979</v>
      </c>
      <c r="G34" s="32">
        <v>202.50727800000001</v>
      </c>
      <c r="H34" s="32">
        <v>207.005585</v>
      </c>
      <c r="I34" s="32">
        <v>207.12138400000001</v>
      </c>
      <c r="J34" s="32">
        <v>203.823837</v>
      </c>
      <c r="K34" s="32">
        <v>201.78428600000001</v>
      </c>
      <c r="L34" s="32">
        <v>203.63635300000001</v>
      </c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3"/>
      <c r="AF34" s="29"/>
    </row>
    <row r="36" spans="1:32" ht="13" x14ac:dyDescent="0.3">
      <c r="A36" s="25" t="s">
        <v>68</v>
      </c>
      <c r="B36" s="26">
        <f t="shared" ref="B36" si="3">SUMPRODUCT(B32:B34,$D$23:$D$25)/SUM(B32:B34)</f>
        <v>10128.764188673933</v>
      </c>
      <c r="C36" s="26">
        <f>SUMPRODUCT(C32:C34,$D$23:$D$25)/SUM(C32:C34)*C14/$B$14</f>
        <v>9715.0710076103514</v>
      </c>
      <c r="D36" s="26">
        <f t="shared" ref="D36:L36" si="4">SUMPRODUCT(D32:D34,$D$23:$D$25)/SUM(D32:D34)*D14/$B$14</f>
        <v>9379.5012804435319</v>
      </c>
      <c r="E36" s="26">
        <f t="shared" si="4"/>
        <v>9098.157067904207</v>
      </c>
      <c r="F36" s="26">
        <f t="shared" si="4"/>
        <v>8900.5394373583313</v>
      </c>
      <c r="G36" s="26">
        <f t="shared" si="4"/>
        <v>8762.1955571514172</v>
      </c>
      <c r="H36" s="26">
        <f t="shared" si="4"/>
        <v>8574.638599520662</v>
      </c>
      <c r="I36" s="26">
        <f t="shared" si="4"/>
        <v>8327.2183891071436</v>
      </c>
      <c r="J36" s="26">
        <f t="shared" si="4"/>
        <v>8038.2687173078502</v>
      </c>
      <c r="K36" s="26">
        <f t="shared" si="4"/>
        <v>7772.0490463949827</v>
      </c>
      <c r="L36" s="26">
        <f t="shared" si="4"/>
        <v>7566.1942040579743</v>
      </c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2" ht="13" x14ac:dyDescent="0.3"/>
    <row r="38" spans="1:32" ht="13" x14ac:dyDescent="0.3"/>
    <row r="39" spans="1:32" ht="13" x14ac:dyDescent="0.3"/>
    <row r="40" spans="1:32" ht="13" x14ac:dyDescent="0.3"/>
    <row r="41" spans="1:32" ht="13" x14ac:dyDescent="0.3"/>
    <row r="42" spans="1:32" ht="13" x14ac:dyDescent="0.3"/>
    <row r="43" spans="1:32" ht="13" x14ac:dyDescent="0.3"/>
    <row r="44" spans="1:32" ht="13" x14ac:dyDescent="0.3"/>
    <row r="45" spans="1:32" ht="13" x14ac:dyDescent="0.3"/>
    <row r="46" spans="1:32" ht="13" x14ac:dyDescent="0.3"/>
    <row r="47" spans="1:32" ht="13" x14ac:dyDescent="0.3"/>
    <row r="48" spans="1:32" ht="13" x14ac:dyDescent="0.3"/>
    <row r="49" ht="13" x14ac:dyDescent="0.3"/>
    <row r="50" ht="13" x14ac:dyDescent="0.3"/>
    <row r="51" ht="13" x14ac:dyDescent="0.3"/>
    <row r="52" ht="13" x14ac:dyDescent="0.3"/>
    <row r="53" ht="13" x14ac:dyDescent="0.3"/>
    <row r="54" ht="13" x14ac:dyDescent="0.3"/>
    <row r="55" ht="13" x14ac:dyDescent="0.3"/>
    <row r="56" ht="13" x14ac:dyDescent="0.3"/>
    <row r="57" ht="13" x14ac:dyDescent="0.3"/>
    <row r="58" ht="13" x14ac:dyDescent="0.3"/>
    <row r="59" ht="13" x14ac:dyDescent="0.3"/>
    <row r="60" ht="13" x14ac:dyDescent="0.3"/>
    <row r="61" ht="13" x14ac:dyDescent="0.3"/>
    <row r="62" ht="13" x14ac:dyDescent="0.3"/>
    <row r="63" ht="13" x14ac:dyDescent="0.3"/>
    <row r="64" ht="13" x14ac:dyDescent="0.3"/>
    <row r="65" ht="13" x14ac:dyDescent="0.3"/>
    <row r="66" ht="13" x14ac:dyDescent="0.3"/>
    <row r="67" ht="13" x14ac:dyDescent="0.3"/>
    <row r="68" ht="13" x14ac:dyDescent="0.3"/>
    <row r="69" ht="13" x14ac:dyDescent="0.3"/>
    <row r="70" ht="13" x14ac:dyDescent="0.3"/>
    <row r="71" ht="13" x14ac:dyDescent="0.3"/>
    <row r="72" ht="13" x14ac:dyDescent="0.3"/>
    <row r="73" ht="13" x14ac:dyDescent="0.3"/>
    <row r="74" ht="13" x14ac:dyDescent="0.3"/>
    <row r="75" ht="13" x14ac:dyDescent="0.3"/>
    <row r="76" ht="13" x14ac:dyDescent="0.3"/>
    <row r="77" ht="13" x14ac:dyDescent="0.3"/>
    <row r="78" ht="13" x14ac:dyDescent="0.3"/>
    <row r="79" ht="13" x14ac:dyDescent="0.3"/>
    <row r="80" ht="13" x14ac:dyDescent="0.3"/>
    <row r="81" ht="13" x14ac:dyDescent="0.3"/>
    <row r="82" ht="13" x14ac:dyDescent="0.3"/>
    <row r="83" ht="13" x14ac:dyDescent="0.3"/>
    <row r="84" ht="13" x14ac:dyDescent="0.3"/>
    <row r="85" ht="13" x14ac:dyDescent="0.3"/>
    <row r="86" ht="13" x14ac:dyDescent="0.3"/>
    <row r="87" ht="13" x14ac:dyDescent="0.3"/>
    <row r="88" ht="13" x14ac:dyDescent="0.3"/>
    <row r="89" ht="13" x14ac:dyDescent="0.3"/>
    <row r="90" ht="13" x14ac:dyDescent="0.3"/>
    <row r="91" ht="13" x14ac:dyDescent="0.3"/>
    <row r="92" ht="13" x14ac:dyDescent="0.3"/>
    <row r="93" ht="13" x14ac:dyDescent="0.3"/>
    <row r="94" ht="13" x14ac:dyDescent="0.3"/>
    <row r="95" ht="13" x14ac:dyDescent="0.3"/>
    <row r="96" ht="13" x14ac:dyDescent="0.3"/>
    <row r="97" ht="13" x14ac:dyDescent="0.3"/>
    <row r="98" ht="13" x14ac:dyDescent="0.3"/>
    <row r="99" ht="13" x14ac:dyDescent="0.3"/>
    <row r="100" ht="13" x14ac:dyDescent="0.3"/>
    <row r="101" ht="13" x14ac:dyDescent="0.3"/>
    <row r="102" ht="13" x14ac:dyDescent="0.3"/>
    <row r="103" ht="13" x14ac:dyDescent="0.3"/>
    <row r="104" ht="13" x14ac:dyDescent="0.3"/>
    <row r="105" ht="13" x14ac:dyDescent="0.3"/>
    <row r="106" ht="13" x14ac:dyDescent="0.3"/>
    <row r="107" ht="13" x14ac:dyDescent="0.3"/>
    <row r="108" ht="13" x14ac:dyDescent="0.3"/>
    <row r="109" ht="13" x14ac:dyDescent="0.3"/>
    <row r="110" ht="13" x14ac:dyDescent="0.3"/>
    <row r="111" ht="13" x14ac:dyDescent="0.3"/>
    <row r="112" ht="13" x14ac:dyDescent="0.3"/>
    <row r="113" ht="13" x14ac:dyDescent="0.3"/>
    <row r="114" ht="13" x14ac:dyDescent="0.3"/>
    <row r="115" ht="13" x14ac:dyDescent="0.3"/>
    <row r="116" ht="13" x14ac:dyDescent="0.3"/>
    <row r="117" ht="13" x14ac:dyDescent="0.3"/>
    <row r="118" ht="13" x14ac:dyDescent="0.3"/>
    <row r="119" ht="13" x14ac:dyDescent="0.3"/>
    <row r="120" ht="13" x14ac:dyDescent="0.3"/>
    <row r="121" ht="13" x14ac:dyDescent="0.3"/>
    <row r="122" ht="13" x14ac:dyDescent="0.3"/>
    <row r="123" ht="13" x14ac:dyDescent="0.3"/>
    <row r="124" ht="13" x14ac:dyDescent="0.3"/>
    <row r="125" ht="13" x14ac:dyDescent="0.3"/>
    <row r="126" ht="13" x14ac:dyDescent="0.3"/>
    <row r="127" ht="13" x14ac:dyDescent="0.3"/>
    <row r="128" ht="13" x14ac:dyDescent="0.3"/>
    <row r="129" ht="13" x14ac:dyDescent="0.3"/>
    <row r="130" ht="13" x14ac:dyDescent="0.3"/>
    <row r="131" ht="13" x14ac:dyDescent="0.3"/>
    <row r="132" ht="13" x14ac:dyDescent="0.3"/>
    <row r="133" ht="13" x14ac:dyDescent="0.3"/>
    <row r="134" ht="13" x14ac:dyDescent="0.3"/>
    <row r="135" ht="13" x14ac:dyDescent="0.3"/>
    <row r="136" ht="13" x14ac:dyDescent="0.3"/>
    <row r="137" ht="13" x14ac:dyDescent="0.3"/>
    <row r="138" ht="13" x14ac:dyDescent="0.3"/>
    <row r="139" ht="13" x14ac:dyDescent="0.3"/>
    <row r="140" ht="13" x14ac:dyDescent="0.3"/>
    <row r="141" ht="13" x14ac:dyDescent="0.3"/>
    <row r="142" ht="13" x14ac:dyDescent="0.3"/>
    <row r="143" ht="13" x14ac:dyDescent="0.3"/>
    <row r="144" ht="13" x14ac:dyDescent="0.3"/>
    <row r="145" ht="13" x14ac:dyDescent="0.3"/>
    <row r="146" ht="13" x14ac:dyDescent="0.3"/>
    <row r="147" ht="13" x14ac:dyDescent="0.3"/>
    <row r="148" ht="13" x14ac:dyDescent="0.3"/>
    <row r="149" ht="13" x14ac:dyDescent="0.3"/>
    <row r="150" ht="13" x14ac:dyDescent="0.3"/>
    <row r="151" ht="13" x14ac:dyDescent="0.3"/>
    <row r="152" ht="13" x14ac:dyDescent="0.3"/>
    <row r="153" ht="13" x14ac:dyDescent="0.3"/>
    <row r="154" ht="13" x14ac:dyDescent="0.3"/>
    <row r="155" ht="13" x14ac:dyDescent="0.3"/>
    <row r="156" ht="13" x14ac:dyDescent="0.3"/>
    <row r="157" ht="13" x14ac:dyDescent="0.3"/>
    <row r="158" ht="13" x14ac:dyDescent="0.3"/>
    <row r="159" ht="13" x14ac:dyDescent="0.3"/>
    <row r="160" ht="13" x14ac:dyDescent="0.3"/>
    <row r="161" ht="13" x14ac:dyDescent="0.3"/>
    <row r="162" ht="13" x14ac:dyDescent="0.3"/>
    <row r="163" ht="13" x14ac:dyDescent="0.3"/>
    <row r="164" ht="13" x14ac:dyDescent="0.3"/>
    <row r="165" ht="13" x14ac:dyDescent="0.3"/>
    <row r="166" ht="13" x14ac:dyDescent="0.3"/>
    <row r="167" ht="13" x14ac:dyDescent="0.3"/>
    <row r="168" ht="13" x14ac:dyDescent="0.3"/>
    <row r="169" ht="13" x14ac:dyDescent="0.3"/>
    <row r="170" ht="13" x14ac:dyDescent="0.3"/>
    <row r="171" ht="13" x14ac:dyDescent="0.3"/>
    <row r="172" ht="13" x14ac:dyDescent="0.3"/>
    <row r="173" ht="13" x14ac:dyDescent="0.3"/>
    <row r="174" ht="13" x14ac:dyDescent="0.3"/>
    <row r="175" ht="13" x14ac:dyDescent="0.3"/>
    <row r="176" ht="13" x14ac:dyDescent="0.3"/>
    <row r="177" ht="13" x14ac:dyDescent="0.3"/>
    <row r="178" ht="13" x14ac:dyDescent="0.3"/>
    <row r="179" ht="13" x14ac:dyDescent="0.3"/>
    <row r="180" ht="13" x14ac:dyDescent="0.3"/>
    <row r="181" ht="13" x14ac:dyDescent="0.3"/>
    <row r="182" ht="13" x14ac:dyDescent="0.3"/>
    <row r="183" ht="13" x14ac:dyDescent="0.3"/>
    <row r="184" ht="13" x14ac:dyDescent="0.3"/>
    <row r="185" ht="13" x14ac:dyDescent="0.3"/>
    <row r="186" ht="13" x14ac:dyDescent="0.3"/>
    <row r="187" ht="13" x14ac:dyDescent="0.3"/>
    <row r="188" ht="13" x14ac:dyDescent="0.3"/>
    <row r="189" ht="13" x14ac:dyDescent="0.3"/>
    <row r="190" ht="13" x14ac:dyDescent="0.3"/>
    <row r="191" ht="13" x14ac:dyDescent="0.3"/>
    <row r="192" ht="13" x14ac:dyDescent="0.3"/>
    <row r="193" ht="13" x14ac:dyDescent="0.3"/>
    <row r="194" ht="13" x14ac:dyDescent="0.3"/>
    <row r="195" ht="13" x14ac:dyDescent="0.3"/>
    <row r="196" ht="13" x14ac:dyDescent="0.3"/>
    <row r="197" ht="13" x14ac:dyDescent="0.3"/>
    <row r="198" ht="13" x14ac:dyDescent="0.3"/>
    <row r="199" ht="13" x14ac:dyDescent="0.3"/>
    <row r="200" ht="13" x14ac:dyDescent="0.3"/>
    <row r="201" ht="13" x14ac:dyDescent="0.3"/>
    <row r="202" ht="13" x14ac:dyDescent="0.3"/>
    <row r="203" ht="13" x14ac:dyDescent="0.3"/>
    <row r="204" ht="13" x14ac:dyDescent="0.3"/>
    <row r="205" ht="13" x14ac:dyDescent="0.3"/>
    <row r="206" ht="13" x14ac:dyDescent="0.3"/>
    <row r="207" ht="13" x14ac:dyDescent="0.3"/>
    <row r="208" ht="13" x14ac:dyDescent="0.3"/>
    <row r="209" ht="13" x14ac:dyDescent="0.3"/>
    <row r="210" ht="13" x14ac:dyDescent="0.3"/>
    <row r="211" ht="13" x14ac:dyDescent="0.3"/>
    <row r="212" ht="13" x14ac:dyDescent="0.3"/>
    <row r="213" ht="13" x14ac:dyDescent="0.3"/>
    <row r="214" ht="13" x14ac:dyDescent="0.3"/>
    <row r="215" ht="13" x14ac:dyDescent="0.3"/>
    <row r="216" ht="13" x14ac:dyDescent="0.3"/>
    <row r="217" ht="13" x14ac:dyDescent="0.3"/>
    <row r="218" ht="13" x14ac:dyDescent="0.3"/>
    <row r="219" ht="13" x14ac:dyDescent="0.3"/>
    <row r="220" ht="13" x14ac:dyDescent="0.3"/>
    <row r="221" ht="13" x14ac:dyDescent="0.3"/>
    <row r="222" ht="13" x14ac:dyDescent="0.3"/>
    <row r="223" ht="13" x14ac:dyDescent="0.3"/>
    <row r="224" ht="13" x14ac:dyDescent="0.3"/>
    <row r="225" ht="13" x14ac:dyDescent="0.3"/>
    <row r="226" ht="13" x14ac:dyDescent="0.3"/>
    <row r="227" ht="13" x14ac:dyDescent="0.3"/>
    <row r="228" ht="13" x14ac:dyDescent="0.3"/>
    <row r="229" ht="13" x14ac:dyDescent="0.3"/>
    <row r="230" ht="13" x14ac:dyDescent="0.3"/>
    <row r="231" ht="13" x14ac:dyDescent="0.3"/>
    <row r="232" ht="13" x14ac:dyDescent="0.3"/>
    <row r="233" ht="13" x14ac:dyDescent="0.3"/>
    <row r="234" ht="13" x14ac:dyDescent="0.3"/>
    <row r="235" ht="13" x14ac:dyDescent="0.3"/>
    <row r="236" ht="13" x14ac:dyDescent="0.3"/>
    <row r="237" ht="13" x14ac:dyDescent="0.3"/>
    <row r="238" ht="13" x14ac:dyDescent="0.3"/>
    <row r="239" ht="13" x14ac:dyDescent="0.3"/>
    <row r="240" ht="13" x14ac:dyDescent="0.3"/>
    <row r="241" ht="13" x14ac:dyDescent="0.3"/>
    <row r="242" ht="13" x14ac:dyDescent="0.3"/>
    <row r="243" ht="13" x14ac:dyDescent="0.3"/>
    <row r="244" ht="13" x14ac:dyDescent="0.3"/>
    <row r="245" ht="13" x14ac:dyDescent="0.3"/>
    <row r="246" ht="13" x14ac:dyDescent="0.3"/>
    <row r="247" ht="13" x14ac:dyDescent="0.3"/>
    <row r="248" ht="13" x14ac:dyDescent="0.3"/>
    <row r="249" ht="13" x14ac:dyDescent="0.3"/>
    <row r="250" ht="13" x14ac:dyDescent="0.3"/>
    <row r="251" ht="13" x14ac:dyDescent="0.3"/>
    <row r="252" ht="13" x14ac:dyDescent="0.3"/>
    <row r="253" ht="13" x14ac:dyDescent="0.3"/>
    <row r="254" ht="13" x14ac:dyDescent="0.3"/>
    <row r="255" ht="13" x14ac:dyDescent="0.3"/>
    <row r="256" ht="13" x14ac:dyDescent="0.3"/>
    <row r="257" ht="13" x14ac:dyDescent="0.3"/>
    <row r="258" ht="13" x14ac:dyDescent="0.3"/>
    <row r="259" ht="13" x14ac:dyDescent="0.3"/>
    <row r="260" ht="13" x14ac:dyDescent="0.3"/>
    <row r="261" ht="13" x14ac:dyDescent="0.3"/>
    <row r="262" ht="13" x14ac:dyDescent="0.3"/>
    <row r="263" ht="13" x14ac:dyDescent="0.3"/>
    <row r="264" ht="13" x14ac:dyDescent="0.3"/>
    <row r="265" ht="13" x14ac:dyDescent="0.3"/>
    <row r="266" ht="13" x14ac:dyDescent="0.3"/>
    <row r="267" ht="13" x14ac:dyDescent="0.3"/>
    <row r="268" ht="13" x14ac:dyDescent="0.3"/>
    <row r="269" ht="13" x14ac:dyDescent="0.3"/>
    <row r="270" ht="13" x14ac:dyDescent="0.3"/>
    <row r="271" ht="13" x14ac:dyDescent="0.3"/>
    <row r="272" ht="13" x14ac:dyDescent="0.3"/>
    <row r="273" ht="13" x14ac:dyDescent="0.3"/>
    <row r="274" ht="13" x14ac:dyDescent="0.3"/>
    <row r="275" ht="13" x14ac:dyDescent="0.3"/>
    <row r="276" ht="13" x14ac:dyDescent="0.3"/>
    <row r="277" ht="13" x14ac:dyDescent="0.3"/>
    <row r="278" ht="13" x14ac:dyDescent="0.3"/>
    <row r="279" ht="13" x14ac:dyDescent="0.3"/>
    <row r="280" ht="13" x14ac:dyDescent="0.3"/>
    <row r="281" ht="13" x14ac:dyDescent="0.3"/>
    <row r="282" ht="13" x14ac:dyDescent="0.3"/>
    <row r="283" ht="13" x14ac:dyDescent="0.3"/>
    <row r="284" ht="13" x14ac:dyDescent="0.3"/>
    <row r="285" ht="13" x14ac:dyDescent="0.3"/>
    <row r="286" ht="13" x14ac:dyDescent="0.3"/>
    <row r="287" ht="13" x14ac:dyDescent="0.3"/>
    <row r="288" ht="13" x14ac:dyDescent="0.3"/>
    <row r="289" ht="13" x14ac:dyDescent="0.3"/>
    <row r="290" ht="13" x14ac:dyDescent="0.3"/>
    <row r="291" ht="13" x14ac:dyDescent="0.3"/>
    <row r="292" ht="13" x14ac:dyDescent="0.3"/>
    <row r="293" ht="13" x14ac:dyDescent="0.3"/>
    <row r="294" ht="13" x14ac:dyDescent="0.3"/>
    <row r="295" ht="13" x14ac:dyDescent="0.3"/>
    <row r="296" ht="13" x14ac:dyDescent="0.3"/>
    <row r="297" ht="13" x14ac:dyDescent="0.3"/>
    <row r="298" ht="13" x14ac:dyDescent="0.3"/>
    <row r="299" ht="13" x14ac:dyDescent="0.3"/>
    <row r="300" ht="13" x14ac:dyDescent="0.3"/>
    <row r="301" ht="13" x14ac:dyDescent="0.3"/>
    <row r="302" ht="13" x14ac:dyDescent="0.3"/>
    <row r="303" ht="13" x14ac:dyDescent="0.3"/>
    <row r="304" ht="13" x14ac:dyDescent="0.3"/>
    <row r="305" ht="13" x14ac:dyDescent="0.3"/>
    <row r="306" ht="13" x14ac:dyDescent="0.3"/>
    <row r="307" ht="13" x14ac:dyDescent="0.3"/>
    <row r="308" ht="13" x14ac:dyDescent="0.3"/>
    <row r="309" ht="13" x14ac:dyDescent="0.3"/>
    <row r="310" ht="13" x14ac:dyDescent="0.3"/>
    <row r="311" ht="13" x14ac:dyDescent="0.3"/>
    <row r="312" ht="13" x14ac:dyDescent="0.3"/>
    <row r="313" ht="13" x14ac:dyDescent="0.3"/>
    <row r="314" ht="13" x14ac:dyDescent="0.3"/>
    <row r="315" ht="13" x14ac:dyDescent="0.3"/>
    <row r="316" ht="13" x14ac:dyDescent="0.3"/>
    <row r="317" ht="13" x14ac:dyDescent="0.3"/>
    <row r="318" ht="13" x14ac:dyDescent="0.3"/>
    <row r="319" ht="13" x14ac:dyDescent="0.3"/>
    <row r="320" ht="13" x14ac:dyDescent="0.3"/>
    <row r="321" ht="13" x14ac:dyDescent="0.3"/>
    <row r="322" ht="13" x14ac:dyDescent="0.3"/>
    <row r="323" ht="13" x14ac:dyDescent="0.3"/>
    <row r="324" ht="13" x14ac:dyDescent="0.3"/>
    <row r="325" ht="13" x14ac:dyDescent="0.3"/>
    <row r="326" ht="13" x14ac:dyDescent="0.3"/>
    <row r="327" ht="13" x14ac:dyDescent="0.3"/>
    <row r="328" ht="13" x14ac:dyDescent="0.3"/>
    <row r="329" ht="13" x14ac:dyDescent="0.3"/>
    <row r="330" ht="13" x14ac:dyDescent="0.3"/>
    <row r="331" ht="13" x14ac:dyDescent="0.3"/>
    <row r="332" ht="13" x14ac:dyDescent="0.3"/>
    <row r="333" ht="13" x14ac:dyDescent="0.3"/>
    <row r="334" ht="13" x14ac:dyDescent="0.3"/>
    <row r="335" ht="13" x14ac:dyDescent="0.3"/>
    <row r="336" ht="13" x14ac:dyDescent="0.3"/>
    <row r="337" ht="13" x14ac:dyDescent="0.3"/>
    <row r="338" ht="13" x14ac:dyDescent="0.3"/>
    <row r="339" ht="13" x14ac:dyDescent="0.3"/>
    <row r="340" ht="13" x14ac:dyDescent="0.3"/>
    <row r="341" ht="13" x14ac:dyDescent="0.3"/>
    <row r="342" ht="13" x14ac:dyDescent="0.3"/>
    <row r="343" ht="13" x14ac:dyDescent="0.3"/>
    <row r="344" ht="13" x14ac:dyDescent="0.3"/>
    <row r="345" ht="13" x14ac:dyDescent="0.3"/>
    <row r="346" ht="13" x14ac:dyDescent="0.3"/>
    <row r="347" ht="13" x14ac:dyDescent="0.3"/>
    <row r="348" ht="13" x14ac:dyDescent="0.3"/>
    <row r="349" ht="13" x14ac:dyDescent="0.3"/>
    <row r="350" ht="13" x14ac:dyDescent="0.3"/>
    <row r="351" ht="13" x14ac:dyDescent="0.3"/>
    <row r="352" ht="13" x14ac:dyDescent="0.3"/>
    <row r="353" ht="13" x14ac:dyDescent="0.3"/>
    <row r="354" ht="13" x14ac:dyDescent="0.3"/>
    <row r="355" ht="13" x14ac:dyDescent="0.3"/>
    <row r="356" ht="13" x14ac:dyDescent="0.3"/>
    <row r="357" ht="13" x14ac:dyDescent="0.3"/>
    <row r="358" ht="13" x14ac:dyDescent="0.3"/>
    <row r="359" ht="13" x14ac:dyDescent="0.3"/>
    <row r="360" ht="13" x14ac:dyDescent="0.3"/>
    <row r="361" ht="13" x14ac:dyDescent="0.3"/>
    <row r="362" ht="13" x14ac:dyDescent="0.3"/>
    <row r="363" ht="13" x14ac:dyDescent="0.3"/>
    <row r="364" ht="13" x14ac:dyDescent="0.3"/>
    <row r="365" ht="13" x14ac:dyDescent="0.3"/>
    <row r="366" ht="13" x14ac:dyDescent="0.3"/>
    <row r="367" ht="13" x14ac:dyDescent="0.3"/>
    <row r="368" ht="13" x14ac:dyDescent="0.3"/>
    <row r="369" ht="13" x14ac:dyDescent="0.3"/>
    <row r="370" ht="13" x14ac:dyDescent="0.3"/>
    <row r="371" ht="13" x14ac:dyDescent="0.3"/>
    <row r="372" ht="13" x14ac:dyDescent="0.3"/>
    <row r="373" ht="13" x14ac:dyDescent="0.3"/>
    <row r="374" ht="13" x14ac:dyDescent="0.3"/>
    <row r="375" ht="13" x14ac:dyDescent="0.3"/>
    <row r="376" ht="13" x14ac:dyDescent="0.3"/>
    <row r="377" ht="13" x14ac:dyDescent="0.3"/>
    <row r="378" ht="13" x14ac:dyDescent="0.3"/>
    <row r="379" ht="13" x14ac:dyDescent="0.3"/>
    <row r="380" ht="13" x14ac:dyDescent="0.3"/>
    <row r="381" ht="13" x14ac:dyDescent="0.3"/>
    <row r="382" ht="13" x14ac:dyDescent="0.3"/>
    <row r="383" ht="13" x14ac:dyDescent="0.3"/>
    <row r="384" ht="13" x14ac:dyDescent="0.3"/>
    <row r="385" ht="13" x14ac:dyDescent="0.3"/>
    <row r="386" ht="13" x14ac:dyDescent="0.3"/>
    <row r="387" ht="13" x14ac:dyDescent="0.3"/>
    <row r="388" ht="13" x14ac:dyDescent="0.3"/>
    <row r="389" ht="13" x14ac:dyDescent="0.3"/>
    <row r="390" ht="13" x14ac:dyDescent="0.3"/>
    <row r="391" ht="13" x14ac:dyDescent="0.3"/>
    <row r="392" ht="13" x14ac:dyDescent="0.3"/>
    <row r="393" ht="13" x14ac:dyDescent="0.3"/>
    <row r="394" ht="13" x14ac:dyDescent="0.3"/>
    <row r="395" ht="13" x14ac:dyDescent="0.3"/>
    <row r="396" ht="13" x14ac:dyDescent="0.3"/>
    <row r="397" ht="13" x14ac:dyDescent="0.3"/>
    <row r="398" ht="13" x14ac:dyDescent="0.3"/>
    <row r="399" ht="13" x14ac:dyDescent="0.3"/>
    <row r="400" ht="13" x14ac:dyDescent="0.3"/>
    <row r="401" ht="13" x14ac:dyDescent="0.3"/>
    <row r="402" ht="13" x14ac:dyDescent="0.3"/>
    <row r="403" ht="13" x14ac:dyDescent="0.3"/>
    <row r="404" ht="13" x14ac:dyDescent="0.3"/>
    <row r="405" ht="13" x14ac:dyDescent="0.3"/>
    <row r="406" ht="13" x14ac:dyDescent="0.3"/>
    <row r="407" ht="13" x14ac:dyDescent="0.3"/>
    <row r="408" ht="13" x14ac:dyDescent="0.3"/>
    <row r="409" ht="13" x14ac:dyDescent="0.3"/>
    <row r="410" ht="13" x14ac:dyDescent="0.3"/>
    <row r="411" ht="13" x14ac:dyDescent="0.3"/>
    <row r="412" ht="13" x14ac:dyDescent="0.3"/>
    <row r="413" ht="13" x14ac:dyDescent="0.3"/>
    <row r="414" ht="13" x14ac:dyDescent="0.3"/>
    <row r="415" ht="13" x14ac:dyDescent="0.3"/>
    <row r="416" ht="13" x14ac:dyDescent="0.3"/>
    <row r="417" ht="13" x14ac:dyDescent="0.3"/>
    <row r="418" ht="13" x14ac:dyDescent="0.3"/>
    <row r="419" ht="13" x14ac:dyDescent="0.3"/>
    <row r="420" ht="13" x14ac:dyDescent="0.3"/>
    <row r="421" ht="13" x14ac:dyDescent="0.3"/>
    <row r="422" ht="13" x14ac:dyDescent="0.3"/>
    <row r="423" ht="13" x14ac:dyDescent="0.3"/>
    <row r="424" ht="13" x14ac:dyDescent="0.3"/>
    <row r="425" ht="13" x14ac:dyDescent="0.3"/>
    <row r="426" ht="13" x14ac:dyDescent="0.3"/>
    <row r="427" ht="13" x14ac:dyDescent="0.3"/>
    <row r="428" ht="13" x14ac:dyDescent="0.3"/>
    <row r="429" ht="13" x14ac:dyDescent="0.3"/>
    <row r="430" ht="13" x14ac:dyDescent="0.3"/>
    <row r="431" ht="13" x14ac:dyDescent="0.3"/>
    <row r="432" ht="13" x14ac:dyDescent="0.3"/>
    <row r="433" ht="13" x14ac:dyDescent="0.3"/>
    <row r="434" ht="13" x14ac:dyDescent="0.3"/>
    <row r="435" ht="13" x14ac:dyDescent="0.3"/>
    <row r="436" ht="13" x14ac:dyDescent="0.3"/>
    <row r="437" ht="13" x14ac:dyDescent="0.3"/>
    <row r="438" ht="13" x14ac:dyDescent="0.3"/>
    <row r="439" ht="13" x14ac:dyDescent="0.3"/>
    <row r="440" ht="13" x14ac:dyDescent="0.3"/>
    <row r="441" ht="13" x14ac:dyDescent="0.3"/>
    <row r="442" ht="13" x14ac:dyDescent="0.3"/>
    <row r="443" ht="13" x14ac:dyDescent="0.3"/>
    <row r="444" ht="13" x14ac:dyDescent="0.3"/>
    <row r="445" ht="13" x14ac:dyDescent="0.3"/>
    <row r="446" ht="13" x14ac:dyDescent="0.3"/>
    <row r="447" ht="13" x14ac:dyDescent="0.3"/>
    <row r="448" ht="13" x14ac:dyDescent="0.3"/>
    <row r="449" ht="13" x14ac:dyDescent="0.3"/>
    <row r="450" ht="13" x14ac:dyDescent="0.3"/>
    <row r="451" ht="13" x14ac:dyDescent="0.3"/>
    <row r="452" ht="13" x14ac:dyDescent="0.3"/>
    <row r="453" ht="13" x14ac:dyDescent="0.3"/>
    <row r="454" ht="13" x14ac:dyDescent="0.3"/>
    <row r="455" ht="13" x14ac:dyDescent="0.3"/>
    <row r="456" ht="13" x14ac:dyDescent="0.3"/>
    <row r="457" ht="13" x14ac:dyDescent="0.3"/>
    <row r="458" ht="13" x14ac:dyDescent="0.3"/>
    <row r="459" ht="13" x14ac:dyDescent="0.3"/>
    <row r="460" ht="13" x14ac:dyDescent="0.3"/>
    <row r="461" ht="13" x14ac:dyDescent="0.3"/>
    <row r="462" ht="13" x14ac:dyDescent="0.3"/>
    <row r="463" ht="13" x14ac:dyDescent="0.3"/>
    <row r="464" ht="13" x14ac:dyDescent="0.3"/>
    <row r="465" ht="13" x14ac:dyDescent="0.3"/>
    <row r="466" ht="13" x14ac:dyDescent="0.3"/>
    <row r="467" ht="13" x14ac:dyDescent="0.3"/>
    <row r="468" ht="13" x14ac:dyDescent="0.3"/>
    <row r="469" ht="13" x14ac:dyDescent="0.3"/>
    <row r="470" ht="13" x14ac:dyDescent="0.3"/>
    <row r="471" ht="13" x14ac:dyDescent="0.3"/>
    <row r="472" ht="13" x14ac:dyDescent="0.3"/>
    <row r="473" ht="13" x14ac:dyDescent="0.3"/>
    <row r="474" ht="13" x14ac:dyDescent="0.3"/>
    <row r="475" ht="13" x14ac:dyDescent="0.3"/>
    <row r="476" ht="13" x14ac:dyDescent="0.3"/>
    <row r="477" ht="13" x14ac:dyDescent="0.3"/>
    <row r="478" ht="13" x14ac:dyDescent="0.3"/>
    <row r="479" ht="13" x14ac:dyDescent="0.3"/>
    <row r="480" ht="13" x14ac:dyDescent="0.3"/>
    <row r="481" ht="13" x14ac:dyDescent="0.3"/>
    <row r="482" ht="13" x14ac:dyDescent="0.3"/>
    <row r="483" ht="13" x14ac:dyDescent="0.3"/>
    <row r="484" ht="13" x14ac:dyDescent="0.3"/>
    <row r="485" ht="13" x14ac:dyDescent="0.3"/>
    <row r="486" ht="13" x14ac:dyDescent="0.3"/>
    <row r="487" ht="13" x14ac:dyDescent="0.3"/>
    <row r="488" ht="13" x14ac:dyDescent="0.3"/>
    <row r="489" ht="13" x14ac:dyDescent="0.3"/>
    <row r="490" ht="13" x14ac:dyDescent="0.3"/>
    <row r="491" ht="13" x14ac:dyDescent="0.3"/>
    <row r="492" ht="13" x14ac:dyDescent="0.3"/>
    <row r="493" ht="13" x14ac:dyDescent="0.3"/>
    <row r="494" ht="13" x14ac:dyDescent="0.3"/>
    <row r="495" ht="13" x14ac:dyDescent="0.3"/>
    <row r="496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workbookViewId="0">
      <selection activeCell="E35" sqref="E35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>
      <selection activeCell="I30" sqref="I30"/>
    </sheetView>
  </sheetViews>
  <sheetFormatPr defaultRowHeight="14.5" x14ac:dyDescent="0.35"/>
  <cols>
    <col min="1" max="1" width="25.1796875" customWidth="1"/>
    <col min="2" max="2" width="53.1796875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 s="18">
        <f>'Passenger Vehicle Calculations'!C68</f>
        <v>1930.7404811231229</v>
      </c>
      <c r="C2" s="18">
        <f>'Passenger Vehicle Calculations'!D68</f>
        <v>1599.8025784220101</v>
      </c>
      <c r="D2" s="18">
        <f>'Passenger Vehicle Calculations'!E68</f>
        <v>5130.1015918271351</v>
      </c>
      <c r="E2" s="18">
        <f>'Passenger Vehicle Calculations'!F68</f>
        <v>3819.9265877142789</v>
      </c>
      <c r="F2" s="18">
        <f>'Passenger Vehicle Calculations'!G68</f>
        <v>3565.6148024975096</v>
      </c>
      <c r="G2" s="18">
        <f>'Passenger Vehicle Calculations'!H68</f>
        <v>3312.3286898445285</v>
      </c>
      <c r="H2" s="18">
        <f>'Passenger Vehicle Calculations'!I68</f>
        <v>2579.6280722494112</v>
      </c>
      <c r="I2" s="18">
        <f>'Passenger Vehicle Calculations'!J68</f>
        <v>2607.4715657030551</v>
      </c>
      <c r="J2" s="18">
        <f>'Passenger Vehicle Calculations'!K68</f>
        <v>2637.5199855509622</v>
      </c>
      <c r="K2" s="18">
        <f>'Passenger Vehicle Calculations'!L68</f>
        <v>2669.5709726607206</v>
      </c>
      <c r="L2" s="18">
        <f>'Passenger Vehicle Calculations'!M68</f>
        <v>2692.8330628056278</v>
      </c>
      <c r="M2" s="18">
        <f>'Passenger Vehicle Calculations'!N68</f>
        <v>2715.0603144269971</v>
      </c>
      <c r="N2" s="18">
        <f>'Passenger Vehicle Calculations'!O68</f>
        <v>157.82432189025366</v>
      </c>
      <c r="O2" s="18">
        <f>'Passenger Vehicle Calculations'!P68</f>
        <v>153.22749698082879</v>
      </c>
      <c r="P2" s="18">
        <f>'Passenger Vehicle Calculations'!Q68</f>
        <v>148.76456017556194</v>
      </c>
      <c r="Q2" s="18">
        <f>'Passenger Vehicle Calculations'!R68</f>
        <v>0</v>
      </c>
      <c r="R2" s="18">
        <f>'Passenger Vehicle Calculations'!S68</f>
        <v>0</v>
      </c>
      <c r="S2" s="18">
        <f>'Passenger Vehicle Calculations'!T68</f>
        <v>0</v>
      </c>
      <c r="T2" s="18">
        <f>'Passenger Vehicle Calculations'!U68</f>
        <v>0</v>
      </c>
      <c r="U2" s="18">
        <f>'Passenger Vehicle Calculations'!V68</f>
        <v>0</v>
      </c>
      <c r="V2" s="18">
        <f>'Passenger Vehicle Calculations'!W68</f>
        <v>0</v>
      </c>
      <c r="W2" s="18">
        <f>'Passenger Vehicle Calculations'!X68</f>
        <v>0</v>
      </c>
      <c r="X2" s="18">
        <f>'Passenger Vehicle Calculations'!Y68</f>
        <v>0</v>
      </c>
      <c r="Y2" s="18">
        <f>'Passenger Vehicle Calculations'!Z68</f>
        <v>0</v>
      </c>
      <c r="Z2" s="18">
        <f>'Passenger Vehicle Calculations'!AA68</f>
        <v>0</v>
      </c>
      <c r="AA2" s="18">
        <f>'Passenger Vehicle Calculations'!AB68</f>
        <v>0</v>
      </c>
      <c r="AB2" s="18">
        <f>'Passenger Vehicle Calculations'!AC68</f>
        <v>0</v>
      </c>
      <c r="AC2" s="18">
        <f>'Passenger Vehicle Calculations'!AD68</f>
        <v>0</v>
      </c>
      <c r="AD2" s="18">
        <f>'Passenger Vehicle Calculations'!AE68</f>
        <v>0</v>
      </c>
      <c r="AE2" s="18">
        <f>'Passenger Vehicle Calculations'!AF68</f>
        <v>0</v>
      </c>
    </row>
    <row r="3" spans="1:31" x14ac:dyDescent="0.35">
      <c r="A3" t="s">
        <v>2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1" x14ac:dyDescent="0.35">
      <c r="A4" t="s">
        <v>3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</row>
    <row r="5" spans="1:31" x14ac:dyDescent="0.35">
      <c r="A5" t="s">
        <v>4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1" x14ac:dyDescent="0.35">
      <c r="A6" t="s">
        <v>5</v>
      </c>
      <c r="B6" s="18">
        <f>'Passenger Vehicle Calculations'!C69</f>
        <v>6868.4402011018146</v>
      </c>
      <c r="C6" s="18">
        <f>'Passenger Vehicle Calculations'!D69</f>
        <v>3805.0788061456087</v>
      </c>
      <c r="D6" s="18">
        <f>'Passenger Vehicle Calculations'!E69</f>
        <v>3662.355308727233</v>
      </c>
      <c r="E6" s="18">
        <f>'Passenger Vehicle Calculations'!F69</f>
        <v>2999.2858045496764</v>
      </c>
      <c r="F6" s="18">
        <f>'Passenger Vehicle Calculations'!G69</f>
        <v>2492.4252043210045</v>
      </c>
      <c r="G6" s="18">
        <f>'Passenger Vehicle Calculations'!H69</f>
        <v>2355.6859555808901</v>
      </c>
      <c r="H6" s="18">
        <f>'Passenger Vehicle Calculations'!I69</f>
        <v>2224.0661798520518</v>
      </c>
      <c r="I6" s="18">
        <f>'Passenger Vehicle Calculations'!J69</f>
        <v>2167.4924466149887</v>
      </c>
      <c r="J6" s="18">
        <f>'Passenger Vehicle Calculations'!K69</f>
        <v>2112.6190346880921</v>
      </c>
      <c r="K6" s="18">
        <f>'Passenger Vehicle Calculations'!L69</f>
        <v>2059.3856145068316</v>
      </c>
      <c r="L6" s="18">
        <f>'Passenger Vehicle Calculations'!M69</f>
        <v>2006.7216198707158</v>
      </c>
      <c r="M6" s="18">
        <f>'Passenger Vehicle Calculations'!N69</f>
        <v>1955.3640812230597</v>
      </c>
      <c r="N6" s="18">
        <f>'Passenger Vehicle Calculations'!O69</f>
        <v>75.947919361469985</v>
      </c>
      <c r="O6" s="18">
        <f>'Passenger Vehicle Calculations'!P69</f>
        <v>73.735844040262123</v>
      </c>
      <c r="P6" s="18">
        <f>'Passenger Vehicle Calculations'!Q69</f>
        <v>71.588198097341873</v>
      </c>
      <c r="Q6" s="18">
        <f>'Passenger Vehicle Calculations'!R69</f>
        <v>0</v>
      </c>
      <c r="R6" s="18">
        <f>'Passenger Vehicle Calculations'!S69</f>
        <v>0</v>
      </c>
      <c r="S6" s="18">
        <f>'Passenger Vehicle Calculations'!T69</f>
        <v>0</v>
      </c>
      <c r="T6" s="18">
        <f>'Passenger Vehicle Calculations'!U69</f>
        <v>0</v>
      </c>
      <c r="U6" s="18">
        <f>'Passenger Vehicle Calculations'!V69</f>
        <v>0</v>
      </c>
      <c r="V6" s="18">
        <f>'Passenger Vehicle Calculations'!W69</f>
        <v>0</v>
      </c>
      <c r="W6" s="18">
        <f>'Passenger Vehicle Calculations'!X69</f>
        <v>0</v>
      </c>
      <c r="X6" s="18">
        <f>'Passenger Vehicle Calculations'!Y69</f>
        <v>0</v>
      </c>
      <c r="Y6" s="18">
        <f>'Passenger Vehicle Calculations'!Z69</f>
        <v>0</v>
      </c>
      <c r="Z6" s="18">
        <f>'Passenger Vehicle Calculations'!AA69</f>
        <v>0</v>
      </c>
      <c r="AA6" s="18">
        <f>'Passenger Vehicle Calculations'!AB69</f>
        <v>0</v>
      </c>
      <c r="AB6" s="18">
        <f>'Passenger Vehicle Calculations'!AC69</f>
        <v>0</v>
      </c>
      <c r="AC6" s="18">
        <f>'Passenger Vehicle Calculations'!AD69</f>
        <v>0</v>
      </c>
      <c r="AD6" s="18">
        <f>'Passenger Vehicle Calculations'!AE69</f>
        <v>0</v>
      </c>
      <c r="AE6" s="18">
        <f>'Passenger Vehicle Calculations'!AF69</f>
        <v>0</v>
      </c>
    </row>
    <row r="7" spans="1:31" x14ac:dyDescent="0.35">
      <c r="A7" t="s">
        <v>6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1" x14ac:dyDescent="0.35">
      <c r="A8" t="s">
        <v>7</v>
      </c>
      <c r="B8" s="18">
        <v>0</v>
      </c>
      <c r="C8" s="18">
        <v>0</v>
      </c>
      <c r="D8" s="18">
        <f>D2</f>
        <v>5130.1015918271351</v>
      </c>
      <c r="E8" s="18">
        <f t="shared" ref="E8:AE8" si="0">E2</f>
        <v>3819.9265877142789</v>
      </c>
      <c r="F8" s="18">
        <f t="shared" si="0"/>
        <v>3565.6148024975096</v>
      </c>
      <c r="G8" s="18">
        <f t="shared" si="0"/>
        <v>3312.3286898445285</v>
      </c>
      <c r="H8" s="18">
        <f t="shared" si="0"/>
        <v>2579.6280722494112</v>
      </c>
      <c r="I8" s="18">
        <f t="shared" si="0"/>
        <v>2607.4715657030551</v>
      </c>
      <c r="J8" s="18">
        <f t="shared" si="0"/>
        <v>2637.5199855509622</v>
      </c>
      <c r="K8" s="18">
        <f t="shared" si="0"/>
        <v>2669.5709726607206</v>
      </c>
      <c r="L8" s="18">
        <f t="shared" si="0"/>
        <v>2692.8330628056278</v>
      </c>
      <c r="M8" s="18">
        <f t="shared" si="0"/>
        <v>2715.0603144269971</v>
      </c>
      <c r="N8" s="18">
        <f t="shared" si="0"/>
        <v>157.82432189025366</v>
      </c>
      <c r="O8" s="18">
        <f t="shared" si="0"/>
        <v>153.22749698082879</v>
      </c>
      <c r="P8" s="18">
        <f t="shared" si="0"/>
        <v>148.76456017556194</v>
      </c>
      <c r="Q8" s="18">
        <f t="shared" si="0"/>
        <v>0</v>
      </c>
      <c r="R8" s="18">
        <f t="shared" si="0"/>
        <v>0</v>
      </c>
      <c r="S8" s="18">
        <f t="shared" si="0"/>
        <v>0</v>
      </c>
      <c r="T8" s="18">
        <f t="shared" si="0"/>
        <v>0</v>
      </c>
      <c r="U8" s="18">
        <f t="shared" si="0"/>
        <v>0</v>
      </c>
      <c r="V8" s="18">
        <f t="shared" si="0"/>
        <v>0</v>
      </c>
      <c r="W8" s="18">
        <f t="shared" si="0"/>
        <v>0</v>
      </c>
      <c r="X8" s="18">
        <f t="shared" si="0"/>
        <v>0</v>
      </c>
      <c r="Y8" s="18">
        <f t="shared" si="0"/>
        <v>0</v>
      </c>
      <c r="Z8" s="18">
        <f t="shared" si="0"/>
        <v>0</v>
      </c>
      <c r="AA8" s="18">
        <f t="shared" si="0"/>
        <v>0</v>
      </c>
      <c r="AB8" s="18">
        <f t="shared" si="0"/>
        <v>0</v>
      </c>
      <c r="AC8" s="18">
        <f t="shared" si="0"/>
        <v>0</v>
      </c>
      <c r="AD8" s="18">
        <f t="shared" si="0"/>
        <v>0</v>
      </c>
      <c r="AE8" s="18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4DDE-5D7D-440E-9F2D-C8BE7EE78DD9}">
  <sheetPr>
    <tabColor theme="3"/>
  </sheetPr>
  <dimension ref="A1:AE8"/>
  <sheetViews>
    <sheetView workbookViewId="0">
      <selection activeCell="D2" sqref="D2"/>
    </sheetView>
  </sheetViews>
  <sheetFormatPr defaultRowHeight="14.5" x14ac:dyDescent="0.35"/>
  <cols>
    <col min="1" max="1" width="25.1796875" customWidth="1"/>
    <col min="4" max="4" width="11.54296875" bestFit="1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 s="51">
        <f>'Commercial Vehicles'!$B4*'Commercial Vehicles'!C14*'Commercial Vehicles'!$B16</f>
        <v>25920.517751770582</v>
      </c>
      <c r="E2" s="51">
        <f>'Commercial Vehicles'!$B4*'Commercial Vehicles'!D14*'Commercial Vehicles'!$B16</f>
        <v>25177.910605727324</v>
      </c>
      <c r="F2" s="51">
        <f>'Commercial Vehicles'!$B4*'Commercial Vehicles'!E14*'Commercial Vehicles'!$B16</f>
        <v>24444.57340361876</v>
      </c>
      <c r="G2" s="51">
        <f>'Commercial Vehicles'!$B4*'Commercial Vehicles'!F14*'Commercial Vehicles'!$B16</f>
        <v>23732.59553749394</v>
      </c>
      <c r="H2" s="51">
        <f>'Commercial Vehicles'!$B4*'Commercial Vehicles'!G14*'Commercial Vehicles'!$B16</f>
        <v>23041.354890770817</v>
      </c>
      <c r="I2" s="51">
        <f>'Commercial Vehicles'!$B4*'Commercial Vehicles'!H14*'Commercial Vehicles'!$B16</f>
        <v>22370.247466767789</v>
      </c>
      <c r="J2" s="51">
        <f>'Commercial Vehicles'!$B4*'Commercial Vehicles'!I14*'Commercial Vehicles'!$B16</f>
        <v>21718.686860939597</v>
      </c>
      <c r="K2" s="51">
        <f>'Commercial Vehicles'!$B4*'Commercial Vehicles'!J14*'Commercial Vehicles'!$B16</f>
        <v>21086.103748485046</v>
      </c>
      <c r="L2" s="51">
        <f>'Commercial Vehicles'!$B4*'Commercial Vehicles'!K14*'Commercial Vehicles'!$B16</f>
        <v>20471.945386878688</v>
      </c>
      <c r="M2" s="51">
        <f>'Commercial Vehicles'!$B4*'Commercial Vehicles'!L14*'Commercial Vehicles'!$B16</f>
        <v>19875.675132891927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f>D2</f>
        <v>25920.517751770582</v>
      </c>
      <c r="E6">
        <f t="shared" ref="E6:M6" si="0">E2</f>
        <v>25177.910605727324</v>
      </c>
      <c r="F6">
        <f t="shared" si="0"/>
        <v>24444.57340361876</v>
      </c>
      <c r="G6">
        <f t="shared" si="0"/>
        <v>23732.59553749394</v>
      </c>
      <c r="H6">
        <f t="shared" si="0"/>
        <v>23041.354890770817</v>
      </c>
      <c r="I6">
        <f t="shared" si="0"/>
        <v>22370.247466767789</v>
      </c>
      <c r="J6">
        <f t="shared" si="0"/>
        <v>21718.686860939597</v>
      </c>
      <c r="K6">
        <f t="shared" si="0"/>
        <v>21086.103748485046</v>
      </c>
      <c r="L6">
        <f t="shared" si="0"/>
        <v>20471.945386878688</v>
      </c>
      <c r="M6">
        <f t="shared" si="0"/>
        <v>19875.675132891927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f>D2</f>
        <v>25920.517751770582</v>
      </c>
      <c r="E8">
        <f t="shared" ref="E8:M8" si="1">E2</f>
        <v>25177.910605727324</v>
      </c>
      <c r="F8">
        <f t="shared" si="1"/>
        <v>24444.57340361876</v>
      </c>
      <c r="G8">
        <f t="shared" si="1"/>
        <v>23732.59553749394</v>
      </c>
      <c r="H8">
        <f t="shared" si="1"/>
        <v>23041.354890770817</v>
      </c>
      <c r="I8">
        <f t="shared" si="1"/>
        <v>22370.247466767789</v>
      </c>
      <c r="J8">
        <f t="shared" si="1"/>
        <v>21718.686860939597</v>
      </c>
      <c r="K8">
        <f t="shared" si="1"/>
        <v>21086.103748485046</v>
      </c>
      <c r="L8">
        <f t="shared" si="1"/>
        <v>20471.945386878688</v>
      </c>
      <c r="M8">
        <f t="shared" si="1"/>
        <v>19875.675132891927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41F6-596C-4C6D-91F8-CA5AA118CF11}">
  <sheetPr>
    <tabColor theme="3"/>
  </sheetPr>
  <dimension ref="A1:AE8"/>
  <sheetViews>
    <sheetView workbookViewId="0">
      <selection activeCell="B32" sqref="B32"/>
    </sheetView>
  </sheetViews>
  <sheetFormatPr defaultRowHeight="14.5" x14ac:dyDescent="0.35"/>
  <cols>
    <col min="1" max="1" width="25.1796875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4405-868B-4452-B9AC-D6B63E4037BA}">
  <sheetPr>
    <tabColor theme="3"/>
  </sheetPr>
  <dimension ref="A1:AE8"/>
  <sheetViews>
    <sheetView workbookViewId="0">
      <selection activeCell="B32" sqref="B32"/>
    </sheetView>
  </sheetViews>
  <sheetFormatPr defaultRowHeight="14.5" x14ac:dyDescent="0.35"/>
  <cols>
    <col min="1" max="1" width="25.1796875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7FBF-8038-4912-A5A6-BE7241A5CAB0}">
  <sheetPr>
    <tabColor theme="3"/>
  </sheetPr>
  <dimension ref="A1:AE8"/>
  <sheetViews>
    <sheetView workbookViewId="0">
      <selection activeCell="B32" sqref="B32"/>
    </sheetView>
  </sheetViews>
  <sheetFormatPr defaultRowHeight="14.5" x14ac:dyDescent="0.35"/>
  <cols>
    <col min="1" max="1" width="25.1796875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C6BF-BE7A-4625-8CB5-34C673B46C4E}">
  <sheetPr>
    <tabColor theme="3"/>
  </sheetPr>
  <dimension ref="A1:AE8"/>
  <sheetViews>
    <sheetView workbookViewId="0">
      <selection activeCell="M36" sqref="M36"/>
    </sheetView>
  </sheetViews>
  <sheetFormatPr defaultRowHeight="14.5" x14ac:dyDescent="0.35"/>
  <cols>
    <col min="1" max="1" width="25.1796875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76DC-F6C0-456E-8DA9-4BF43DDF1E10}">
  <sheetPr>
    <tabColor rgb="FFFF0000"/>
  </sheetPr>
  <dimension ref="A1"/>
  <sheetViews>
    <sheetView workbookViewId="0">
      <selection activeCell="N30" sqref="N30"/>
    </sheetView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78D3-75FC-40E7-B55E-E0DE8CD249DB}">
  <sheetPr>
    <tabColor theme="3"/>
  </sheetPr>
  <dimension ref="A1:AE8"/>
  <sheetViews>
    <sheetView workbookViewId="0">
      <selection activeCell="D2" sqref="D2"/>
    </sheetView>
  </sheetViews>
  <sheetFormatPr defaultRowHeight="14.5" x14ac:dyDescent="0.35"/>
  <cols>
    <col min="1" max="1" width="25.1796875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>
        <f>'Commercial Vehicles'!B10</f>
        <v>9715.0710076103514</v>
      </c>
      <c r="E2">
        <f>'Commercial Vehicles'!C10</f>
        <v>9379.5012804435319</v>
      </c>
      <c r="F2">
        <f>'Commercial Vehicles'!D10</f>
        <v>9098.157067904207</v>
      </c>
      <c r="G2">
        <f>'Commercial Vehicles'!E10</f>
        <v>8900.5394373583313</v>
      </c>
      <c r="H2">
        <f>'Commercial Vehicles'!F10</f>
        <v>8762.1955571514172</v>
      </c>
      <c r="I2">
        <f>'Commercial Vehicles'!G10</f>
        <v>8574.638599520662</v>
      </c>
      <c r="J2">
        <f>'Commercial Vehicles'!H10</f>
        <v>8327.2183891071436</v>
      </c>
      <c r="K2">
        <f>'Commercial Vehicles'!I10</f>
        <v>8038.2687173078502</v>
      </c>
      <c r="L2">
        <f>'Commercial Vehicles'!J10</f>
        <v>7772.0490463949827</v>
      </c>
      <c r="M2">
        <f>'Commercial Vehicles'!K10</f>
        <v>7566.1942040579743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f>D2</f>
        <v>9715.0710076103514</v>
      </c>
      <c r="E6">
        <f t="shared" ref="E6:M6" si="0">E2</f>
        <v>9379.5012804435319</v>
      </c>
      <c r="F6">
        <f t="shared" si="0"/>
        <v>9098.157067904207</v>
      </c>
      <c r="G6">
        <f t="shared" si="0"/>
        <v>8900.5394373583313</v>
      </c>
      <c r="H6">
        <f t="shared" si="0"/>
        <v>8762.1955571514172</v>
      </c>
      <c r="I6">
        <f t="shared" si="0"/>
        <v>8574.638599520662</v>
      </c>
      <c r="J6">
        <f t="shared" si="0"/>
        <v>8327.2183891071436</v>
      </c>
      <c r="K6">
        <f t="shared" si="0"/>
        <v>8038.2687173078502</v>
      </c>
      <c r="L6">
        <f t="shared" si="0"/>
        <v>7772.0490463949827</v>
      </c>
      <c r="M6">
        <f t="shared" si="0"/>
        <v>7566.1942040579743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f>D2</f>
        <v>9715.0710076103514</v>
      </c>
      <c r="E8">
        <f t="shared" ref="E8:M8" si="1">E2</f>
        <v>9379.5012804435319</v>
      </c>
      <c r="F8">
        <f t="shared" si="1"/>
        <v>9098.157067904207</v>
      </c>
      <c r="G8">
        <f t="shared" si="1"/>
        <v>8900.5394373583313</v>
      </c>
      <c r="H8">
        <f t="shared" si="1"/>
        <v>8762.1955571514172</v>
      </c>
      <c r="I8">
        <f t="shared" si="1"/>
        <v>8574.638599520662</v>
      </c>
      <c r="J8">
        <f t="shared" si="1"/>
        <v>8327.2183891071436</v>
      </c>
      <c r="K8">
        <f t="shared" si="1"/>
        <v>8038.2687173078502</v>
      </c>
      <c r="L8">
        <f t="shared" si="1"/>
        <v>7772.0490463949827</v>
      </c>
      <c r="M8">
        <f t="shared" si="1"/>
        <v>7566.1942040579743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39E4-90E8-4DFC-ABC4-1799BB0C313F}">
  <sheetPr>
    <tabColor theme="3"/>
  </sheetPr>
  <dimension ref="A1:AE8"/>
  <sheetViews>
    <sheetView workbookViewId="0">
      <selection activeCell="D28" sqref="D28"/>
    </sheetView>
  </sheetViews>
  <sheetFormatPr defaultRowHeight="14.5" x14ac:dyDescent="0.35"/>
  <cols>
    <col min="1" max="1" width="25.1796875" customWidth="1"/>
    <col min="4" max="4" width="11.54296875" bestFit="1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 s="51">
        <f>'Commercial Vehicles'!$B4*'Commercial Vehicles'!C14</f>
        <v>30140.136920663466</v>
      </c>
      <c r="E2" s="51">
        <f>'Commercial Vehicles'!$B4*'Commercial Vehicles'!D14</f>
        <v>29276.640239217821</v>
      </c>
      <c r="F2" s="51">
        <f>'Commercial Vehicles'!$B4*'Commercial Vehicles'!E14</f>
        <v>28423.922562347398</v>
      </c>
      <c r="G2" s="51">
        <f>'Commercial Vehicles'!$B4*'Commercial Vehicles'!F14</f>
        <v>27596.041322667374</v>
      </c>
      <c r="H2" s="51">
        <f>'Commercial Vehicles'!$B4*'Commercial Vehicles'!G14</f>
        <v>26792.273128803277</v>
      </c>
      <c r="I2" s="51">
        <f>'Commercial Vehicles'!$B4*'Commercial Vehicles'!H14</f>
        <v>26011.915659032311</v>
      </c>
      <c r="J2" s="51">
        <f>'Commercial Vehicles'!$B4*'Commercial Vehicles'!I14</f>
        <v>25254.287047604183</v>
      </c>
      <c r="K2" s="51">
        <f>'Commercial Vehicles'!$B4*'Commercial Vehicles'!J14</f>
        <v>24518.725288936101</v>
      </c>
      <c r="L2" s="51">
        <f>'Commercial Vehicles'!$B4*'Commercial Vehicles'!K14</f>
        <v>23804.587659161265</v>
      </c>
      <c r="M2" s="51">
        <f>'Commercial Vehicles'!$B4*'Commercial Vehicles'!L14</f>
        <v>23111.250154525496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f>D2</f>
        <v>30140.136920663466</v>
      </c>
      <c r="E6">
        <f t="shared" ref="E6:M6" si="0">E2</f>
        <v>29276.640239217821</v>
      </c>
      <c r="F6">
        <f t="shared" si="0"/>
        <v>28423.922562347398</v>
      </c>
      <c r="G6">
        <f t="shared" si="0"/>
        <v>27596.041322667374</v>
      </c>
      <c r="H6">
        <f t="shared" si="0"/>
        <v>26792.273128803277</v>
      </c>
      <c r="I6">
        <f t="shared" si="0"/>
        <v>26011.915659032311</v>
      </c>
      <c r="J6">
        <f t="shared" si="0"/>
        <v>25254.287047604183</v>
      </c>
      <c r="K6">
        <f t="shared" si="0"/>
        <v>24518.725288936101</v>
      </c>
      <c r="L6">
        <f t="shared" si="0"/>
        <v>23804.587659161265</v>
      </c>
      <c r="M6">
        <f t="shared" si="0"/>
        <v>23111.250154525496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f>D2</f>
        <v>30140.136920663466</v>
      </c>
      <c r="E8">
        <f t="shared" ref="E8:M8" si="1">E2</f>
        <v>29276.640239217821</v>
      </c>
      <c r="F8">
        <f t="shared" si="1"/>
        <v>28423.922562347398</v>
      </c>
      <c r="G8">
        <f t="shared" si="1"/>
        <v>27596.041322667374</v>
      </c>
      <c r="H8">
        <f t="shared" si="1"/>
        <v>26792.273128803277</v>
      </c>
      <c r="I8">
        <f t="shared" si="1"/>
        <v>26011.915659032311</v>
      </c>
      <c r="J8">
        <f t="shared" si="1"/>
        <v>25254.287047604183</v>
      </c>
      <c r="K8">
        <f t="shared" si="1"/>
        <v>24518.725288936101</v>
      </c>
      <c r="L8">
        <f t="shared" si="1"/>
        <v>23804.587659161265</v>
      </c>
      <c r="M8">
        <f t="shared" si="1"/>
        <v>23111.250154525496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E315-3F6B-4E92-87B5-9C3C1B4F85DA}">
  <sheetPr>
    <tabColor theme="3"/>
  </sheetPr>
  <dimension ref="A1:AE8"/>
  <sheetViews>
    <sheetView workbookViewId="0">
      <selection activeCell="B32" sqref="B32"/>
    </sheetView>
  </sheetViews>
  <sheetFormatPr defaultRowHeight="14.5" x14ac:dyDescent="0.35"/>
  <cols>
    <col min="1" max="1" width="25.1796875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62EB-7B15-406D-A4C2-A4FF0C772B4A}">
  <sheetPr>
    <tabColor theme="3"/>
  </sheetPr>
  <dimension ref="A1:AE8"/>
  <sheetViews>
    <sheetView workbookViewId="0">
      <selection activeCell="B32" sqref="B32"/>
    </sheetView>
  </sheetViews>
  <sheetFormatPr defaultRowHeight="14.5" x14ac:dyDescent="0.35"/>
  <cols>
    <col min="1" max="1" width="25.1796875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35A4-EB4E-4E1F-85F1-DB244E55CC6B}">
  <sheetPr>
    <tabColor theme="3"/>
  </sheetPr>
  <dimension ref="A1:AE8"/>
  <sheetViews>
    <sheetView workbookViewId="0">
      <selection activeCell="B32" sqref="B32"/>
    </sheetView>
  </sheetViews>
  <sheetFormatPr defaultRowHeight="14.5" x14ac:dyDescent="0.35"/>
  <cols>
    <col min="1" max="1" width="25.1796875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53C0-8CAC-4671-B512-864662BE4DD4}">
  <sheetPr>
    <tabColor theme="3"/>
  </sheetPr>
  <dimension ref="A1:AE8"/>
  <sheetViews>
    <sheetView workbookViewId="0">
      <selection activeCell="H32" sqref="H32"/>
    </sheetView>
  </sheetViews>
  <sheetFormatPr defaultRowHeight="14.5" x14ac:dyDescent="0.35"/>
  <cols>
    <col min="1" max="1" width="25.1796875" customWidth="1"/>
  </cols>
  <sheetData>
    <row r="1" spans="1:31" x14ac:dyDescent="0.3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About</vt:lpstr>
      <vt:lpstr>Passenger Vehicle Calculations</vt:lpstr>
      <vt:lpstr>Commercial Vehicles</vt:lpstr>
      <vt:lpstr>psgr</vt:lpstr>
      <vt:lpstr>BVS-psgr-LDVs</vt:lpstr>
      <vt:lpstr>BVS-psgr-HDVs</vt:lpstr>
      <vt:lpstr>BVS-psgr-aircraft</vt:lpstr>
      <vt:lpstr>BVP-psgr-rail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2017-06-23T20:50:52Z</dcterms:created>
  <dcterms:modified xsi:type="dcterms:W3CDTF">2025-06-23T13:17:41Z</dcterms:modified>
</cp:coreProperties>
</file>