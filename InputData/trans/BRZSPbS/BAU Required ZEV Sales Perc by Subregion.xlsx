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RZSPbS\"/>
    </mc:Choice>
  </mc:AlternateContent>
  <xr:revisionPtr revIDLastSave="0" documentId="13_ncr:1_{2A238412-D2FD-483F-BA2B-EADCD0323CC2}" xr6:coauthVersionLast="47" xr6:coauthVersionMax="47" xr10:uidLastSave="{00000000-0000-0000-0000-000000000000}"/>
  <bookViews>
    <workbookView xWindow="-120" yWindow="-120" windowWidth="29040" windowHeight="17520" firstSheet="8" activeTab="13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ICCT MDV HDV Data" sheetId="21" r:id="rId4"/>
    <sheet name="AEO by Class" sheetId="28" r:id="rId5"/>
    <sheet name="BRZSPbS-psgr-ldv" sheetId="2" r:id="rId6"/>
    <sheet name="BRZSPbS-psgr-hdv" sheetId="3" r:id="rId7"/>
    <sheet name="BRZSPbS-psgr-aircraft" sheetId="13" r:id="rId8"/>
    <sheet name="BRZSPbS-psgr-rail" sheetId="14" r:id="rId9"/>
    <sheet name="BRZSPbS-psgr-ships" sheetId="15" r:id="rId10"/>
    <sheet name="BRZSPbS-psgr-mtrbk" sheetId="4" r:id="rId11"/>
    <sheet name="BRZSPbS-frgt-ldv" sheetId="5" r:id="rId12"/>
    <sheet name="BRZSPbS-frgt-hdv" sheetId="6" r:id="rId13"/>
    <sheet name="BRZSPbS-frgt-aircraft" sheetId="16" r:id="rId14"/>
    <sheet name="BRZSPbS-frgt-rail" sheetId="17" r:id="rId15"/>
    <sheet name="BRZSPbS-frgt-ships" sheetId="18" r:id="rId16"/>
    <sheet name="BRZSPbS-frgt-mtrbk" sheetId="7" r:id="rId17"/>
  </sheets>
  <definedNames>
    <definedName name="_xlnm._FilterDatabase" localSheetId="4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B2" i="2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F49" i="6" l="1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B56" i="3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2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C58" i="6"/>
  <c r="C59" i="6"/>
  <c r="C60" i="6"/>
  <c r="C52" i="6"/>
  <c r="C61" i="6"/>
  <c r="C53" i="6"/>
  <c r="C45" i="6"/>
  <c r="C54" i="6"/>
  <c r="C46" i="6"/>
  <c r="C55" i="6"/>
  <c r="C47" i="6"/>
  <c r="C44" i="6"/>
  <c r="C42" i="6"/>
  <c r="C35" i="6"/>
  <c r="C36" i="6"/>
  <c r="C37" i="6"/>
  <c r="C41" i="6"/>
  <c r="C38" i="6"/>
  <c r="C30" i="6"/>
  <c r="C24" i="6"/>
  <c r="C16" i="6"/>
  <c r="C48" i="6"/>
  <c r="C25" i="6"/>
  <c r="C17" i="6"/>
  <c r="C57" i="6"/>
  <c r="C31" i="6"/>
  <c r="C20" i="6"/>
  <c r="C21" i="6"/>
  <c r="C43" i="6"/>
  <c r="C28" i="6"/>
  <c r="C18" i="6"/>
  <c r="C29" i="6"/>
  <c r="C26" i="6"/>
  <c r="C56" i="6"/>
  <c r="C22" i="6"/>
  <c r="C8" i="6"/>
  <c r="C33" i="6"/>
  <c r="C51" i="6"/>
  <c r="C12" i="6"/>
  <c r="C4" i="6"/>
  <c r="C50" i="6"/>
  <c r="C40" i="6"/>
  <c r="C27" i="6"/>
  <c r="C13" i="6"/>
  <c r="C5" i="6"/>
  <c r="C10" i="6"/>
  <c r="C15" i="6"/>
  <c r="C14" i="6"/>
  <c r="C7" i="6"/>
  <c r="C3" i="6"/>
  <c r="C9" i="6"/>
  <c r="C11" i="6"/>
  <c r="C19" i="6"/>
  <c r="C2" i="6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D59" i="6"/>
  <c r="D60" i="6"/>
  <c r="D52" i="6"/>
  <c r="D61" i="6"/>
  <c r="D53" i="6"/>
  <c r="D54" i="6"/>
  <c r="D46" i="6"/>
  <c r="D55" i="6"/>
  <c r="D47" i="6"/>
  <c r="D56" i="6"/>
  <c r="D48" i="6"/>
  <c r="D36" i="6"/>
  <c r="D45" i="6"/>
  <c r="D37" i="6"/>
  <c r="D41" i="6"/>
  <c r="D38" i="6"/>
  <c r="D31" i="6"/>
  <c r="D42" i="6"/>
  <c r="D30" i="6"/>
  <c r="D24" i="6"/>
  <c r="D35" i="6"/>
  <c r="D25" i="6"/>
  <c r="D17" i="6"/>
  <c r="D58" i="6"/>
  <c r="D26" i="6"/>
  <c r="D18" i="6"/>
  <c r="D50" i="6"/>
  <c r="D40" i="6"/>
  <c r="D33" i="6"/>
  <c r="D29" i="6"/>
  <c r="D27" i="6"/>
  <c r="D21" i="6"/>
  <c r="D51" i="6"/>
  <c r="D44" i="6"/>
  <c r="D43" i="6"/>
  <c r="D28" i="6"/>
  <c r="D22" i="6"/>
  <c r="D19" i="6"/>
  <c r="D16" i="6"/>
  <c r="D15" i="6"/>
  <c r="D57" i="6"/>
  <c r="D9" i="6"/>
  <c r="D13" i="6"/>
  <c r="D5" i="6"/>
  <c r="D14" i="6"/>
  <c r="D12" i="6"/>
  <c r="D7" i="6"/>
  <c r="D3" i="6"/>
  <c r="D11" i="6"/>
  <c r="D2" i="6"/>
  <c r="D8" i="6"/>
  <c r="D4" i="6"/>
  <c r="D10" i="6"/>
  <c r="D20" i="6"/>
  <c r="B57" i="6"/>
  <c r="B58" i="6"/>
  <c r="B59" i="6"/>
  <c r="B51" i="6"/>
  <c r="B60" i="6"/>
  <c r="B52" i="6"/>
  <c r="B61" i="6"/>
  <c r="B53" i="6"/>
  <c r="B45" i="6"/>
  <c r="B54" i="6"/>
  <c r="B46" i="6"/>
  <c r="B43" i="6"/>
  <c r="B44" i="6"/>
  <c r="B42" i="6"/>
  <c r="B35" i="6"/>
  <c r="B36" i="6"/>
  <c r="B37" i="6"/>
  <c r="B29" i="6"/>
  <c r="B41" i="6"/>
  <c r="B38" i="6"/>
  <c r="B56" i="6"/>
  <c r="B47" i="6"/>
  <c r="B28" i="6"/>
  <c r="B30" i="6"/>
  <c r="B55" i="6"/>
  <c r="B24" i="6"/>
  <c r="B16" i="6"/>
  <c r="B48" i="6"/>
  <c r="B50" i="6"/>
  <c r="B40" i="6"/>
  <c r="B33" i="6"/>
  <c r="B27" i="6"/>
  <c r="B19" i="6"/>
  <c r="B31" i="6"/>
  <c r="B20" i="6"/>
  <c r="B17" i="6"/>
  <c r="B26" i="6"/>
  <c r="B21" i="6"/>
  <c r="B15" i="6"/>
  <c r="B7" i="6"/>
  <c r="B22" i="6"/>
  <c r="B11" i="6"/>
  <c r="B3" i="6"/>
  <c r="B12" i="6"/>
  <c r="B4" i="6"/>
  <c r="B10" i="6"/>
  <c r="B25" i="6"/>
  <c r="B14" i="6"/>
  <c r="B5" i="6"/>
  <c r="B9" i="6"/>
  <c r="B13" i="6"/>
  <c r="B2" i="6"/>
  <c r="B8" i="6"/>
  <c r="B18" i="6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E60" i="6"/>
  <c r="E52" i="6"/>
  <c r="E61" i="6"/>
  <c r="E53" i="6"/>
  <c r="E54" i="6"/>
  <c r="E46" i="6"/>
  <c r="E55" i="6"/>
  <c r="E47" i="6"/>
  <c r="E56" i="6"/>
  <c r="E48" i="6"/>
  <c r="E40" i="6"/>
  <c r="E57" i="6"/>
  <c r="E45" i="6"/>
  <c r="E37" i="6"/>
  <c r="E41" i="6"/>
  <c r="E38" i="6"/>
  <c r="E50" i="6"/>
  <c r="E33" i="6"/>
  <c r="E59" i="6"/>
  <c r="E35" i="6"/>
  <c r="E25" i="6"/>
  <c r="E58" i="6"/>
  <c r="E26" i="6"/>
  <c r="E18" i="6"/>
  <c r="E29" i="6"/>
  <c r="E27" i="6"/>
  <c r="E19" i="6"/>
  <c r="E51" i="6"/>
  <c r="E44" i="6"/>
  <c r="E43" i="6"/>
  <c r="E36" i="6"/>
  <c r="E28" i="6"/>
  <c r="E22" i="6"/>
  <c r="E24" i="6"/>
  <c r="E20" i="6"/>
  <c r="E42" i="6"/>
  <c r="E30" i="6"/>
  <c r="E10" i="6"/>
  <c r="E2" i="6"/>
  <c r="E31" i="6"/>
  <c r="E14" i="6"/>
  <c r="E17" i="6"/>
  <c r="E16" i="6"/>
  <c r="E15" i="6"/>
  <c r="E7" i="6"/>
  <c r="E12" i="6"/>
  <c r="E3" i="6"/>
  <c r="E9" i="6"/>
  <c r="E5" i="6"/>
  <c r="E11" i="6"/>
  <c r="E4" i="6"/>
  <c r="E8" i="6"/>
  <c r="E21" i="6"/>
  <c r="E13" i="6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G54" i="6"/>
  <c r="G55" i="6"/>
  <c r="G56" i="6"/>
  <c r="G48" i="6"/>
  <c r="G57" i="6"/>
  <c r="G49" i="6"/>
  <c r="G58" i="6"/>
  <c r="G50" i="6"/>
  <c r="G42" i="6"/>
  <c r="G59" i="6"/>
  <c r="G51" i="6"/>
  <c r="G43" i="6"/>
  <c r="G41" i="6"/>
  <c r="G39" i="6"/>
  <c r="G33" i="6"/>
  <c r="G40" i="6"/>
  <c r="G34" i="6"/>
  <c r="G52" i="6"/>
  <c r="G46" i="6"/>
  <c r="G44" i="6"/>
  <c r="G35" i="6"/>
  <c r="G37" i="6"/>
  <c r="G29" i="6"/>
  <c r="G27" i="6"/>
  <c r="G61" i="6"/>
  <c r="G20" i="6"/>
  <c r="G31" i="6"/>
  <c r="G21" i="6"/>
  <c r="G60" i="6"/>
  <c r="G36" i="6"/>
  <c r="G28" i="6"/>
  <c r="G38" i="6"/>
  <c r="G30" i="6"/>
  <c r="G24" i="6"/>
  <c r="G16" i="6"/>
  <c r="G32" i="6"/>
  <c r="G25" i="6"/>
  <c r="G17" i="6"/>
  <c r="G47" i="6"/>
  <c r="G26" i="6"/>
  <c r="G22" i="6"/>
  <c r="G12" i="6"/>
  <c r="G4" i="6"/>
  <c r="G45" i="6"/>
  <c r="G23" i="6"/>
  <c r="G18" i="6"/>
  <c r="G8" i="6"/>
  <c r="G19" i="6"/>
  <c r="G9" i="6"/>
  <c r="G53" i="6"/>
  <c r="G15" i="6"/>
  <c r="G14" i="6"/>
  <c r="G7" i="6"/>
  <c r="G5" i="6"/>
  <c r="G11" i="6"/>
  <c r="G2" i="6"/>
  <c r="G13" i="6"/>
  <c r="G6" i="6"/>
  <c r="G3" i="6"/>
  <c r="G10" i="6"/>
  <c r="F61" i="6"/>
  <c r="F53" i="6"/>
  <c r="F54" i="6"/>
  <c r="F55" i="6"/>
  <c r="F47" i="6"/>
  <c r="F56" i="6"/>
  <c r="F48" i="6"/>
  <c r="F57" i="6"/>
  <c r="F41" i="6"/>
  <c r="F58" i="6"/>
  <c r="F50" i="6"/>
  <c r="F38" i="6"/>
  <c r="F39" i="6"/>
  <c r="F33" i="6"/>
  <c r="F51" i="6"/>
  <c r="F43" i="6"/>
  <c r="F40" i="6"/>
  <c r="F26" i="6"/>
  <c r="F37" i="6"/>
  <c r="F29" i="6"/>
  <c r="F27" i="6"/>
  <c r="F19" i="6"/>
  <c r="F52" i="6"/>
  <c r="F20" i="6"/>
  <c r="F31" i="6"/>
  <c r="F46" i="6"/>
  <c r="F45" i="6"/>
  <c r="F59" i="6"/>
  <c r="F42" i="6"/>
  <c r="F30" i="6"/>
  <c r="F24" i="6"/>
  <c r="F60" i="6"/>
  <c r="F21" i="6"/>
  <c r="F35" i="6"/>
  <c r="F11" i="6"/>
  <c r="F3" i="6"/>
  <c r="F36" i="6"/>
  <c r="F17" i="6"/>
  <c r="F16" i="6"/>
  <c r="F15" i="6"/>
  <c r="F7" i="6"/>
  <c r="F28" i="6"/>
  <c r="F18" i="6"/>
  <c r="F8" i="6"/>
  <c r="F44" i="6"/>
  <c r="F14" i="6"/>
  <c r="F9" i="6"/>
  <c r="F5" i="6"/>
  <c r="F25" i="6"/>
  <c r="F2" i="6"/>
  <c r="F13" i="6"/>
  <c r="F6" i="6"/>
  <c r="F4" i="6"/>
  <c r="F22" i="6"/>
  <c r="F10" i="6"/>
  <c r="F12" i="6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<sst xmlns="http://schemas.openxmlformats.org/spreadsheetml/2006/main" count="1200" uniqueCount="344">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</sst>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1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1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1" fillId="0" borderId="0">
      <alignment horizontal="left"/>
    </xf>
  </cellStyleXfs>
  <cellXfs count="8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1" fillId="4" borderId="0" xfId="0" applyFon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7"/>
  <sheetViews>
    <sheetView workbookViewId="0">
      <selection activeCell="D1" sqref="D1:D27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2" x14ac:dyDescent="0.25">
      <c r="A1" s="1" t="s">
        <v>0</v>
      </c>
    </row>
    <row r="3" spans="1:2" x14ac:dyDescent="0.25">
      <c r="A3" s="1" t="s">
        <v>83</v>
      </c>
      <c r="B3" s="3" t="s">
        <v>288</v>
      </c>
    </row>
    <row r="4" spans="1:2" x14ac:dyDescent="0.25">
      <c r="B4" t="s">
        <v>69</v>
      </c>
    </row>
    <row r="5" spans="1:2" x14ac:dyDescent="0.25">
      <c r="B5" s="4">
        <v>2022</v>
      </c>
    </row>
    <row r="6" spans="1:2" x14ac:dyDescent="0.25">
      <c r="B6" t="s">
        <v>70</v>
      </c>
    </row>
    <row r="7" spans="1:2" x14ac:dyDescent="0.25">
      <c r="B7" s="5" t="s">
        <v>71</v>
      </c>
    </row>
    <row r="8" spans="1:2" x14ac:dyDescent="0.25">
      <c r="B8" t="s">
        <v>75</v>
      </c>
    </row>
    <row r="10" spans="1:2" x14ac:dyDescent="0.25">
      <c r="B10" s="3" t="s">
        <v>289</v>
      </c>
    </row>
    <row r="11" spans="1:2" x14ac:dyDescent="0.25">
      <c r="B11" t="s">
        <v>69</v>
      </c>
    </row>
    <row r="12" spans="1:2" x14ac:dyDescent="0.25">
      <c r="B12" s="4">
        <v>2022</v>
      </c>
    </row>
    <row r="13" spans="1:2" x14ac:dyDescent="0.25">
      <c r="B13" t="s">
        <v>73</v>
      </c>
    </row>
    <row r="14" spans="1:2" x14ac:dyDescent="0.25">
      <c r="B14" s="5" t="s">
        <v>72</v>
      </c>
    </row>
    <row r="15" spans="1:2" x14ac:dyDescent="0.25">
      <c r="B15" t="s">
        <v>74</v>
      </c>
    </row>
    <row r="17" spans="2:3" x14ac:dyDescent="0.25">
      <c r="B17" s="3" t="s">
        <v>155</v>
      </c>
    </row>
    <row r="18" spans="2:3" x14ac:dyDescent="0.25">
      <c r="B18" t="s">
        <v>133</v>
      </c>
    </row>
    <row r="19" spans="2:3" x14ac:dyDescent="0.25">
      <c r="B19" s="4" t="s">
        <v>134</v>
      </c>
    </row>
    <row r="20" spans="2:3" x14ac:dyDescent="0.25">
      <c r="B20" t="s">
        <v>129</v>
      </c>
    </row>
    <row r="21" spans="2:3" x14ac:dyDescent="0.25">
      <c r="B21" s="5" t="s">
        <v>128</v>
      </c>
    </row>
    <row r="22" spans="2:3" x14ac:dyDescent="0.25">
      <c r="B22" s="5" t="s">
        <v>130</v>
      </c>
      <c r="C22" t="s">
        <v>138</v>
      </c>
    </row>
    <row r="23" spans="2:3" x14ac:dyDescent="0.25">
      <c r="B23" s="5" t="s">
        <v>131</v>
      </c>
    </row>
    <row r="24" spans="2:3" x14ac:dyDescent="0.25">
      <c r="B24" s="5" t="s">
        <v>132</v>
      </c>
      <c r="C24" t="s">
        <v>138</v>
      </c>
    </row>
    <row r="25" spans="2:3" x14ac:dyDescent="0.25">
      <c r="B25" s="5" t="s">
        <v>135</v>
      </c>
    </row>
    <row r="27" spans="2:3" x14ac:dyDescent="0.25">
      <c r="B27" s="3" t="s">
        <v>156</v>
      </c>
    </row>
    <row r="28" spans="2:3" x14ac:dyDescent="0.25">
      <c r="B28" t="s">
        <v>158</v>
      </c>
    </row>
    <row r="29" spans="2:3" x14ac:dyDescent="0.25">
      <c r="B29" s="4">
        <v>2023</v>
      </c>
    </row>
    <row r="30" spans="2:3" x14ac:dyDescent="0.25">
      <c r="B30" t="s">
        <v>159</v>
      </c>
    </row>
    <row r="31" spans="2:3" x14ac:dyDescent="0.25">
      <c r="B31" s="5" t="s">
        <v>160</v>
      </c>
    </row>
    <row r="32" spans="2:3" x14ac:dyDescent="0.25">
      <c r="B32" t="s">
        <v>212</v>
      </c>
    </row>
    <row r="33" spans="2:2" x14ac:dyDescent="0.25">
      <c r="B33" s="5"/>
    </row>
    <row r="34" spans="2:2" x14ac:dyDescent="0.25">
      <c r="B34" s="3" t="s">
        <v>136</v>
      </c>
    </row>
    <row r="35" spans="2:2" x14ac:dyDescent="0.25">
      <c r="B35" t="s">
        <v>137</v>
      </c>
    </row>
    <row r="36" spans="2:2" x14ac:dyDescent="0.25">
      <c r="B36" s="4">
        <v>2022</v>
      </c>
    </row>
    <row r="37" spans="2:2" x14ac:dyDescent="0.25">
      <c r="B37" t="s">
        <v>111</v>
      </c>
    </row>
    <row r="38" spans="2:2" x14ac:dyDescent="0.25">
      <c r="B38" s="5" t="s">
        <v>109</v>
      </c>
    </row>
    <row r="39" spans="2:2" x14ac:dyDescent="0.25">
      <c r="B39" s="5"/>
    </row>
    <row r="40" spans="2:2" x14ac:dyDescent="0.25">
      <c r="B40" s="3" t="s">
        <v>139</v>
      </c>
    </row>
    <row r="41" spans="2:2" x14ac:dyDescent="0.25">
      <c r="B41" t="s">
        <v>140</v>
      </c>
    </row>
    <row r="42" spans="2:2" x14ac:dyDescent="0.25">
      <c r="B42" s="4">
        <v>2022</v>
      </c>
    </row>
    <row r="43" spans="2:2" x14ac:dyDescent="0.25">
      <c r="B43" t="s">
        <v>141</v>
      </c>
    </row>
    <row r="44" spans="2:2" x14ac:dyDescent="0.25">
      <c r="B44" s="5" t="s">
        <v>142</v>
      </c>
    </row>
    <row r="45" spans="2:2" x14ac:dyDescent="0.25">
      <c r="B45" s="5"/>
    </row>
    <row r="46" spans="2:2" x14ac:dyDescent="0.25">
      <c r="B46" s="3" t="s">
        <v>143</v>
      </c>
    </row>
    <row r="47" spans="2:2" x14ac:dyDescent="0.25">
      <c r="B47" t="s">
        <v>137</v>
      </c>
    </row>
    <row r="48" spans="2:2" x14ac:dyDescent="0.25">
      <c r="B48" s="4">
        <v>2017</v>
      </c>
    </row>
    <row r="49" spans="1:2" x14ac:dyDescent="0.25">
      <c r="B49" t="s">
        <v>144</v>
      </c>
    </row>
    <row r="50" spans="1:2" x14ac:dyDescent="0.25">
      <c r="B50" s="5" t="s">
        <v>145</v>
      </c>
    </row>
    <row r="51" spans="1:2" x14ac:dyDescent="0.25">
      <c r="B51" s="5"/>
    </row>
    <row r="52" spans="1:2" x14ac:dyDescent="0.25">
      <c r="A52" s="1" t="s">
        <v>1</v>
      </c>
    </row>
    <row r="53" spans="1:2" x14ac:dyDescent="0.25">
      <c r="A53" t="s">
        <v>63</v>
      </c>
    </row>
    <row r="54" spans="1:2" x14ac:dyDescent="0.25">
      <c r="A54" t="s">
        <v>64</v>
      </c>
    </row>
    <row r="55" spans="1:2" x14ac:dyDescent="0.25">
      <c r="A55" t="s">
        <v>342</v>
      </c>
    </row>
    <row r="56" spans="1:2" x14ac:dyDescent="0.25">
      <c r="A56" t="s">
        <v>343</v>
      </c>
    </row>
    <row r="57" spans="1:2" x14ac:dyDescent="0.25">
      <c r="A57" t="s">
        <v>65</v>
      </c>
    </row>
    <row r="58" spans="1:2" x14ac:dyDescent="0.25">
      <c r="A58" t="s">
        <v>66</v>
      </c>
    </row>
    <row r="59" spans="1:2" x14ac:dyDescent="0.25">
      <c r="A59" t="s">
        <v>67</v>
      </c>
    </row>
    <row r="60" spans="1:2" x14ac:dyDescent="0.25">
      <c r="A60" t="s">
        <v>68</v>
      </c>
    </row>
    <row r="62" spans="1:2" x14ac:dyDescent="0.25">
      <c r="A62" t="s">
        <v>149</v>
      </c>
    </row>
    <row r="63" spans="1:2" x14ac:dyDescent="0.25">
      <c r="A63" t="s">
        <v>148</v>
      </c>
    </row>
    <row r="65" spans="1:2" x14ac:dyDescent="0.25">
      <c r="A65" s="6" t="s">
        <v>82</v>
      </c>
      <c r="B65" s="7"/>
    </row>
    <row r="66" spans="1:2" x14ac:dyDescent="0.25">
      <c r="A66" t="s">
        <v>290</v>
      </c>
    </row>
    <row r="67" spans="1:2" x14ac:dyDescent="0.25">
      <c r="A67" t="s">
        <v>291</v>
      </c>
    </row>
    <row r="68" spans="1:2" x14ac:dyDescent="0.25">
      <c r="A68" t="s">
        <v>124</v>
      </c>
    </row>
    <row r="69" spans="1:2" x14ac:dyDescent="0.25">
      <c r="A69" t="s">
        <v>125</v>
      </c>
    </row>
    <row r="70" spans="1:2" x14ac:dyDescent="0.25">
      <c r="A70" t="s">
        <v>337</v>
      </c>
    </row>
    <row r="71" spans="1:2" x14ac:dyDescent="0.25">
      <c r="A71" t="s">
        <v>338</v>
      </c>
    </row>
    <row r="72" spans="1:2" x14ac:dyDescent="0.25">
      <c r="A72" t="s">
        <v>339</v>
      </c>
    </row>
    <row r="73" spans="1:2" x14ac:dyDescent="0.25">
      <c r="A73" t="s">
        <v>341</v>
      </c>
    </row>
    <row r="74" spans="1:2" x14ac:dyDescent="0.25">
      <c r="A74" t="s">
        <v>340</v>
      </c>
    </row>
    <row r="76" spans="1:2" x14ac:dyDescent="0.25">
      <c r="A76" t="s">
        <v>126</v>
      </c>
    </row>
    <row r="77" spans="1:2" x14ac:dyDescent="0.2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0" t="s">
        <v>101</v>
      </c>
      <c r="B1" s="13"/>
      <c r="C1" s="13"/>
      <c r="D1" s="13"/>
      <c r="E1" s="13"/>
      <c r="F1" s="14"/>
    </row>
    <row r="2" spans="1:32" x14ac:dyDescent="0.25">
      <c r="A2" s="21" t="s">
        <v>102</v>
      </c>
      <c r="F2" s="16"/>
    </row>
    <row r="3" spans="1:32" x14ac:dyDescent="0.25">
      <c r="A3" s="21" t="s">
        <v>146</v>
      </c>
      <c r="F3" s="16"/>
    </row>
    <row r="4" spans="1:32" x14ac:dyDescent="0.25">
      <c r="A4" s="22" t="s">
        <v>147</v>
      </c>
      <c r="B4" s="18"/>
      <c r="C4" s="18"/>
      <c r="D4" s="18"/>
      <c r="E4" s="18"/>
      <c r="F4" s="19"/>
    </row>
    <row r="6" spans="1:32" x14ac:dyDescent="0.2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25">
      <c r="A7" s="15" t="s">
        <v>76</v>
      </c>
      <c r="B7" t="s">
        <v>108</v>
      </c>
      <c r="C7" t="s">
        <v>85</v>
      </c>
      <c r="F7" s="16"/>
    </row>
    <row r="8" spans="1:32" x14ac:dyDescent="0.25">
      <c r="A8" s="15" t="s">
        <v>77</v>
      </c>
      <c r="B8" t="s">
        <v>107</v>
      </c>
      <c r="C8" t="s">
        <v>87</v>
      </c>
      <c r="F8" s="16"/>
    </row>
    <row r="9" spans="1:32" x14ac:dyDescent="0.25">
      <c r="A9" s="15" t="s">
        <v>78</v>
      </c>
      <c r="C9" t="s">
        <v>103</v>
      </c>
      <c r="F9" s="16"/>
    </row>
    <row r="10" spans="1:32" x14ac:dyDescent="0.25">
      <c r="A10" s="15" t="s">
        <v>79</v>
      </c>
      <c r="B10" t="s">
        <v>106</v>
      </c>
      <c r="C10" t="s">
        <v>86</v>
      </c>
      <c r="F10" s="16"/>
    </row>
    <row r="11" spans="1:32" x14ac:dyDescent="0.25">
      <c r="A11" s="15" t="s">
        <v>80</v>
      </c>
      <c r="B11" t="s">
        <v>105</v>
      </c>
      <c r="C11" t="s">
        <v>88</v>
      </c>
      <c r="F11" s="16"/>
    </row>
    <row r="12" spans="1:32" x14ac:dyDescent="0.2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2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2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2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2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2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2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2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25">
      <c r="A22" t="s">
        <v>325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25">
      <c r="A23" t="s">
        <v>326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25">
      <c r="A24" t="s">
        <v>327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25">
      <c r="A26" t="s">
        <v>328</v>
      </c>
      <c r="C26" s="48">
        <f>SUM('AEO by Class'!B5:B7)/SUM('AEO by Class'!B5:B8)</f>
        <v>0.97399342957006296</v>
      </c>
      <c r="D26" s="48">
        <f>SUM('AEO by Class'!C5:C7)/SUM('AEO by Class'!C5:C8)</f>
        <v>0.97438177853246821</v>
      </c>
      <c r="E26" s="48">
        <f>SUM('AEO by Class'!D5:D7)/SUM('AEO by Class'!D5:D8)</f>
        <v>0.97470041794836859</v>
      </c>
      <c r="F26" s="48">
        <f>SUM('AEO by Class'!E5:E7)/SUM('AEO by Class'!E5:E8)</f>
        <v>0.97497706050312571</v>
      </c>
      <c r="G26" s="48">
        <f>SUM('AEO by Class'!F5:F7)/SUM('AEO by Class'!F5:F8)</f>
        <v>0.9752052547058212</v>
      </c>
      <c r="H26" s="48">
        <f>SUM('AEO by Class'!G5:G7)/SUM('AEO by Class'!G5:G8)</f>
        <v>0.97543855500798793</v>
      </c>
      <c r="I26" s="48">
        <f>SUM('AEO by Class'!H5:H7)/SUM('AEO by Class'!H5:H8)</f>
        <v>0.97570204653183101</v>
      </c>
      <c r="J26" s="48">
        <f>SUM('AEO by Class'!I5:I7)/SUM('AEO by Class'!I5:I8)</f>
        <v>0.97600378813222777</v>
      </c>
      <c r="K26" s="48">
        <f>SUM('AEO by Class'!J5:J7)/SUM('AEO by Class'!J5:J8)</f>
        <v>0.97633142222892477</v>
      </c>
      <c r="L26" s="48">
        <f>SUM('AEO by Class'!K5:K7)/SUM('AEO by Class'!K5:K8)</f>
        <v>0.97666499767262194</v>
      </c>
      <c r="M26" s="48">
        <f>SUM('AEO by Class'!L5:L7)/SUM('AEO by Class'!L5:L8)</f>
        <v>0.97698892042904495</v>
      </c>
      <c r="N26" s="48">
        <f>SUM('AEO by Class'!M5:M7)/SUM('AEO by Class'!M5:M8)</f>
        <v>0.97732770343914011</v>
      </c>
      <c r="O26" s="48">
        <f>SUM('AEO by Class'!N5:N7)/SUM('AEO by Class'!N5:N8)</f>
        <v>0.97765304408595732</v>
      </c>
      <c r="P26" s="48">
        <f>SUM('AEO by Class'!O5:O7)/SUM('AEO by Class'!O5:O8)</f>
        <v>0.97796609810973179</v>
      </c>
      <c r="Q26" s="48">
        <f>SUM('AEO by Class'!P5:P7)/SUM('AEO by Class'!P5:P8)</f>
        <v>0.97826613135512352</v>
      </c>
      <c r="R26" s="48">
        <f>SUM('AEO by Class'!Q5:Q7)/SUM('AEO by Class'!Q5:Q8)</f>
        <v>0.97855336237666113</v>
      </c>
      <c r="S26" s="48">
        <f>SUM('AEO by Class'!R5:R7)/SUM('AEO by Class'!R5:R8)</f>
        <v>0.9788391933655548</v>
      </c>
      <c r="T26" s="48">
        <f>SUM('AEO by Class'!S5:S7)/SUM('AEO by Class'!S5:S8)</f>
        <v>0.97909778967185035</v>
      </c>
      <c r="U26" s="48">
        <f>SUM('AEO by Class'!T5:T7)/SUM('AEO by Class'!T5:T8)</f>
        <v>0.97938743971642761</v>
      </c>
      <c r="V26" s="48">
        <f>SUM('AEO by Class'!U5:U7)/SUM('AEO by Class'!U5:U8)</f>
        <v>0.97967228590253375</v>
      </c>
      <c r="W26" s="48">
        <f>SUM('AEO by Class'!V5:V7)/SUM('AEO by Class'!V5:V8)</f>
        <v>0.97996078928323094</v>
      </c>
      <c r="X26" s="48">
        <f>SUM('AEO by Class'!W5:W7)/SUM('AEO by Class'!W5:W8)</f>
        <v>0.98022728375617529</v>
      </c>
      <c r="Y26" s="48">
        <f>SUM('AEO by Class'!X5:X7)/SUM('AEO by Class'!X5:X8)</f>
        <v>0.98049734909750497</v>
      </c>
      <c r="Z26" s="48">
        <f>SUM('AEO by Class'!Y5:Y7)/SUM('AEO by Class'!Y5:Y8)</f>
        <v>0.98076514176548202</v>
      </c>
      <c r="AA26" s="48">
        <f>SUM('AEO by Class'!Z5:Z7)/SUM('AEO by Class'!Z5:Z8)</f>
        <v>0.98102325628632059</v>
      </c>
      <c r="AB26" s="48">
        <f>SUM('AEO by Class'!AA5:AA7)/SUM('AEO by Class'!AA5:AA8)</f>
        <v>0.98128138536812781</v>
      </c>
      <c r="AC26" s="48">
        <f>SUM('AEO by Class'!AB5:AB7)/SUM('AEO by Class'!AB5:AB8)</f>
        <v>0.98154309417833552</v>
      </c>
      <c r="AD26" s="48">
        <f>SUM('AEO by Class'!AC5:AC7)/SUM('AEO by Class'!AC5:AC8)</f>
        <v>0.98179848779218515</v>
      </c>
      <c r="AE26" s="48">
        <f>SUM('AEO by Class'!AD5:AD7)/SUM('AEO by Class'!AD5:AD8)</f>
        <v>0.98204846511515176</v>
      </c>
      <c r="AF26" s="48">
        <f>SUM('AEO by Class'!AE5:AE7)/SUM('AEO by Class'!AE5:AE8)</f>
        <v>0.982288809761245</v>
      </c>
    </row>
    <row r="27" spans="1:32" x14ac:dyDescent="0.25">
      <c r="A27" t="s">
        <v>329</v>
      </c>
      <c r="C27" s="48">
        <f>1-C26</f>
        <v>2.6006570429937037E-2</v>
      </c>
      <c r="D27" s="48">
        <f t="shared" ref="D27:AF27" si="4">1-D26</f>
        <v>2.5618221467531788E-2</v>
      </c>
      <c r="E27" s="48">
        <f t="shared" si="4"/>
        <v>2.5299582051631408E-2</v>
      </c>
      <c r="F27" s="48">
        <f t="shared" si="4"/>
        <v>2.5022939496874286E-2</v>
      </c>
      <c r="G27" s="48">
        <f t="shared" si="4"/>
        <v>2.4794745294178799E-2</v>
      </c>
      <c r="H27" s="48">
        <f t="shared" si="4"/>
        <v>2.4561444992012071E-2</v>
      </c>
      <c r="I27" s="48">
        <f t="shared" si="4"/>
        <v>2.4297953468168987E-2</v>
      </c>
      <c r="J27" s="48">
        <f t="shared" si="4"/>
        <v>2.3996211867772232E-2</v>
      </c>
      <c r="K27" s="48">
        <f t="shared" si="4"/>
        <v>2.3668577771075228E-2</v>
      </c>
      <c r="L27" s="48">
        <f t="shared" si="4"/>
        <v>2.3335002327378063E-2</v>
      </c>
      <c r="M27" s="48">
        <f t="shared" si="4"/>
        <v>2.3011079570955051E-2</v>
      </c>
      <c r="N27" s="48">
        <f t="shared" si="4"/>
        <v>2.2672296560859895E-2</v>
      </c>
      <c r="O27" s="48">
        <f t="shared" si="4"/>
        <v>2.2346955914042677E-2</v>
      </c>
      <c r="P27" s="48">
        <f t="shared" si="4"/>
        <v>2.2033901890268215E-2</v>
      </c>
      <c r="Q27" s="48">
        <f t="shared" si="4"/>
        <v>2.1733868644876475E-2</v>
      </c>
      <c r="R27" s="48">
        <f t="shared" si="4"/>
        <v>2.1446637623338871E-2</v>
      </c>
      <c r="S27" s="48">
        <f t="shared" si="4"/>
        <v>2.1160806634445195E-2</v>
      </c>
      <c r="T27" s="48">
        <f t="shared" si="4"/>
        <v>2.0902210328149651E-2</v>
      </c>
      <c r="U27" s="48">
        <f t="shared" si="4"/>
        <v>2.061256028357239E-2</v>
      </c>
      <c r="V27" s="48">
        <f t="shared" si="4"/>
        <v>2.0327714097466254E-2</v>
      </c>
      <c r="W27" s="48">
        <f t="shared" si="4"/>
        <v>2.0039210716769063E-2</v>
      </c>
      <c r="X27" s="48">
        <f t="shared" si="4"/>
        <v>1.9772716243824706E-2</v>
      </c>
      <c r="Y27" s="48">
        <f t="shared" si="4"/>
        <v>1.9502650902495033E-2</v>
      </c>
      <c r="Z27" s="48">
        <f t="shared" si="4"/>
        <v>1.9234858234517982E-2</v>
      </c>
      <c r="AA27" s="48">
        <f t="shared" si="4"/>
        <v>1.8976743713679411E-2</v>
      </c>
      <c r="AB27" s="48">
        <f t="shared" si="4"/>
        <v>1.8718614631872188E-2</v>
      </c>
      <c r="AC27" s="48">
        <f t="shared" si="4"/>
        <v>1.8456905821664482E-2</v>
      </c>
      <c r="AD27" s="48">
        <f t="shared" si="4"/>
        <v>1.8201512207814852E-2</v>
      </c>
      <c r="AE27" s="48">
        <f t="shared" si="4"/>
        <v>1.7951534884848241E-2</v>
      </c>
      <c r="AF27" s="48">
        <f t="shared" si="4"/>
        <v>1.7711190238755004E-2</v>
      </c>
    </row>
    <row r="29" spans="1:32" x14ac:dyDescent="0.25">
      <c r="A29" t="s">
        <v>333</v>
      </c>
      <c r="C29" s="48">
        <f>C22/SUM(C22,C23*C26)</f>
        <v>0.73481142207366135</v>
      </c>
      <c r="D29" s="48">
        <f t="shared" ref="D29:AF29" si="5">D22/SUM(D22,D23*D26)</f>
        <v>0.74127417978219723</v>
      </c>
      <c r="E29" s="48">
        <f t="shared" si="5"/>
        <v>0.74553854674331921</v>
      </c>
      <c r="F29" s="48">
        <f t="shared" si="5"/>
        <v>0.74769121441064412</v>
      </c>
      <c r="G29" s="48">
        <f t="shared" si="5"/>
        <v>0.74820737612823907</v>
      </c>
      <c r="H29" s="48">
        <f t="shared" si="5"/>
        <v>0.74844142817917036</v>
      </c>
      <c r="I29" s="48">
        <f t="shared" si="5"/>
        <v>0.74877446237778833</v>
      </c>
      <c r="J29" s="48">
        <f t="shared" si="5"/>
        <v>0.74885964940774741</v>
      </c>
      <c r="K29" s="48">
        <f t="shared" si="5"/>
        <v>0.74900963250120289</v>
      </c>
      <c r="L29" s="48">
        <f t="shared" si="5"/>
        <v>0.74938033574885499</v>
      </c>
      <c r="M29" s="48">
        <f t="shared" si="5"/>
        <v>0.74954210086287232</v>
      </c>
      <c r="N29" s="48">
        <f t="shared" si="5"/>
        <v>0.7491612114249121</v>
      </c>
      <c r="O29" s="48">
        <f t="shared" si="5"/>
        <v>0.74924577434472572</v>
      </c>
      <c r="P29" s="48">
        <f t="shared" si="5"/>
        <v>0.74933058100409178</v>
      </c>
      <c r="Q29" s="48">
        <f t="shared" si="5"/>
        <v>0.74927541514132256</v>
      </c>
      <c r="R29" s="48">
        <f t="shared" si="5"/>
        <v>0.74939701708796347</v>
      </c>
      <c r="S29" s="48">
        <f t="shared" si="5"/>
        <v>0.74919032898697491</v>
      </c>
      <c r="T29" s="48">
        <f t="shared" si="5"/>
        <v>0.74918031490485637</v>
      </c>
      <c r="U29" s="48">
        <f t="shared" si="5"/>
        <v>0.74910395642487793</v>
      </c>
      <c r="V29" s="48">
        <f t="shared" si="5"/>
        <v>0.7489415734849606</v>
      </c>
      <c r="W29" s="48">
        <f t="shared" si="5"/>
        <v>0.74890413145208234</v>
      </c>
      <c r="X29" s="48">
        <f t="shared" si="5"/>
        <v>0.74889930291880147</v>
      </c>
      <c r="Y29" s="48">
        <f t="shared" si="5"/>
        <v>0.74875012847799738</v>
      </c>
      <c r="Z29" s="48">
        <f t="shared" si="5"/>
        <v>0.7486160706646503</v>
      </c>
      <c r="AA29" s="48">
        <f t="shared" si="5"/>
        <v>0.74873342112160668</v>
      </c>
      <c r="AB29" s="48">
        <f t="shared" si="5"/>
        <v>0.74894392924152842</v>
      </c>
      <c r="AC29" s="48">
        <f t="shared" si="5"/>
        <v>0.74925132572081576</v>
      </c>
      <c r="AD29" s="48">
        <f t="shared" si="5"/>
        <v>0.74965610175272923</v>
      </c>
      <c r="AE29" s="48">
        <f t="shared" si="5"/>
        <v>0.74993875837147139</v>
      </c>
      <c r="AF29" s="48">
        <f t="shared" si="5"/>
        <v>0.75002640197546133</v>
      </c>
    </row>
    <row r="30" spans="1:32" x14ac:dyDescent="0.25">
      <c r="A30" t="s">
        <v>334</v>
      </c>
      <c r="C30" s="48">
        <f>1-C29</f>
        <v>0.26518857792633865</v>
      </c>
      <c r="D30" s="48">
        <f t="shared" ref="D30:AF30" si="6">1-D29</f>
        <v>0.25872582021780277</v>
      </c>
      <c r="E30" s="48">
        <f t="shared" si="6"/>
        <v>0.25446145325668079</v>
      </c>
      <c r="F30" s="48">
        <f t="shared" si="6"/>
        <v>0.25230878558935588</v>
      </c>
      <c r="G30" s="48">
        <f t="shared" si="6"/>
        <v>0.25179262387176093</v>
      </c>
      <c r="H30" s="48">
        <f t="shared" si="6"/>
        <v>0.25155857182082964</v>
      </c>
      <c r="I30" s="48">
        <f t="shared" si="6"/>
        <v>0.25122553762221167</v>
      </c>
      <c r="J30" s="48">
        <f t="shared" si="6"/>
        <v>0.25114035059225259</v>
      </c>
      <c r="K30" s="48">
        <f t="shared" si="6"/>
        <v>0.25099036749879711</v>
      </c>
      <c r="L30" s="48">
        <f t="shared" si="6"/>
        <v>0.25061966425114501</v>
      </c>
      <c r="M30" s="48">
        <f t="shared" si="6"/>
        <v>0.25045789913712768</v>
      </c>
      <c r="N30" s="48">
        <f t="shared" si="6"/>
        <v>0.2508387885750879</v>
      </c>
      <c r="O30" s="48">
        <f t="shared" si="6"/>
        <v>0.25075422565527428</v>
      </c>
      <c r="P30" s="48">
        <f t="shared" si="6"/>
        <v>0.25066941899590822</v>
      </c>
      <c r="Q30" s="48">
        <f t="shared" si="6"/>
        <v>0.25072458485867744</v>
      </c>
      <c r="R30" s="48">
        <f t="shared" si="6"/>
        <v>0.25060298291203653</v>
      </c>
      <c r="S30" s="48">
        <f t="shared" si="6"/>
        <v>0.25080967101302509</v>
      </c>
      <c r="T30" s="48">
        <f t="shared" si="6"/>
        <v>0.25081968509514363</v>
      </c>
      <c r="U30" s="48">
        <f t="shared" si="6"/>
        <v>0.25089604357512207</v>
      </c>
      <c r="V30" s="48">
        <f t="shared" si="6"/>
        <v>0.2510584265150394</v>
      </c>
      <c r="W30" s="48">
        <f t="shared" si="6"/>
        <v>0.25109586854791766</v>
      </c>
      <c r="X30" s="48">
        <f t="shared" si="6"/>
        <v>0.25110069708119853</v>
      </c>
      <c r="Y30" s="48">
        <f t="shared" si="6"/>
        <v>0.25124987152200262</v>
      </c>
      <c r="Z30" s="48">
        <f t="shared" si="6"/>
        <v>0.2513839293353497</v>
      </c>
      <c r="AA30" s="48">
        <f t="shared" si="6"/>
        <v>0.25126657887839332</v>
      </c>
      <c r="AB30" s="48">
        <f t="shared" si="6"/>
        <v>0.25105607075847158</v>
      </c>
      <c r="AC30" s="48">
        <f t="shared" si="6"/>
        <v>0.25074867427918424</v>
      </c>
      <c r="AD30" s="48">
        <f t="shared" si="6"/>
        <v>0.25034389824727077</v>
      </c>
      <c r="AE30" s="48">
        <f t="shared" si="6"/>
        <v>0.25006124162852861</v>
      </c>
      <c r="AF30" s="48">
        <f t="shared" si="6"/>
        <v>0.24997359802453867</v>
      </c>
    </row>
    <row r="31" spans="1:32" x14ac:dyDescent="0.25">
      <c r="A31" t="s">
        <v>335</v>
      </c>
      <c r="C31" s="48">
        <f>(C23*C27)/SUM(C23*C27,C24)</f>
        <v>8.5746266307587214E-3</v>
      </c>
      <c r="D31" s="48">
        <f t="shared" ref="D31:AF31" si="7">(D23*D27)/SUM(D23*D27,D24)</f>
        <v>8.3845751799425973E-3</v>
      </c>
      <c r="E31" s="48">
        <f t="shared" si="7"/>
        <v>8.2334310553413611E-3</v>
      </c>
      <c r="F31" s="48">
        <f t="shared" si="7"/>
        <v>8.1146347488336226E-3</v>
      </c>
      <c r="G31" s="48">
        <f t="shared" si="7"/>
        <v>8.0218503292793335E-3</v>
      </c>
      <c r="H31" s="48">
        <f t="shared" si="7"/>
        <v>7.9470666093266178E-3</v>
      </c>
      <c r="I31" s="48">
        <f t="shared" si="7"/>
        <v>7.8830439441871306E-3</v>
      </c>
      <c r="J31" s="48">
        <f t="shared" si="7"/>
        <v>7.8269763173361619E-3</v>
      </c>
      <c r="K31" s="48">
        <f t="shared" si="7"/>
        <v>7.7760428302134244E-3</v>
      </c>
      <c r="L31" s="48">
        <f t="shared" si="7"/>
        <v>7.7336831074216314E-3</v>
      </c>
      <c r="M31" s="48">
        <f t="shared" si="7"/>
        <v>7.7008536881767115E-3</v>
      </c>
      <c r="N31" s="48">
        <f t="shared" si="7"/>
        <v>7.6739092565390899E-3</v>
      </c>
      <c r="O31" s="48">
        <f t="shared" si="7"/>
        <v>7.6486353434351076E-3</v>
      </c>
      <c r="P31" s="48">
        <f t="shared" si="7"/>
        <v>7.6261121029012518E-3</v>
      </c>
      <c r="Q31" s="48">
        <f t="shared" si="7"/>
        <v>7.6073022502953407E-3</v>
      </c>
      <c r="R31" s="48">
        <f t="shared" si="7"/>
        <v>7.5916857033980741E-3</v>
      </c>
      <c r="S31" s="48">
        <f t="shared" si="7"/>
        <v>7.5780446760008715E-3</v>
      </c>
      <c r="T31" s="48">
        <f t="shared" si="7"/>
        <v>7.5653723778320815E-3</v>
      </c>
      <c r="U31" s="48">
        <f t="shared" si="7"/>
        <v>7.5494685823464065E-3</v>
      </c>
      <c r="V31" s="48">
        <f t="shared" si="7"/>
        <v>7.5335815373240734E-3</v>
      </c>
      <c r="W31" s="48">
        <f t="shared" si="7"/>
        <v>7.5164133352764173E-3</v>
      </c>
      <c r="X31" s="48">
        <f t="shared" si="7"/>
        <v>7.5030825135913937E-3</v>
      </c>
      <c r="Y31" s="48">
        <f t="shared" si="7"/>
        <v>7.4913118089481642E-3</v>
      </c>
      <c r="Z31" s="48">
        <f t="shared" si="7"/>
        <v>7.481304427968875E-3</v>
      </c>
      <c r="AA31" s="48">
        <f t="shared" si="7"/>
        <v>7.4733713889194578E-3</v>
      </c>
      <c r="AB31" s="48">
        <f t="shared" si="7"/>
        <v>7.4651998275237141E-3</v>
      </c>
      <c r="AC31" s="48">
        <f t="shared" si="7"/>
        <v>7.4566040252051716E-3</v>
      </c>
      <c r="AD31" s="48">
        <f t="shared" si="7"/>
        <v>7.4496551405745046E-3</v>
      </c>
      <c r="AE31" s="48">
        <f t="shared" si="7"/>
        <v>7.4434587660748173E-3</v>
      </c>
      <c r="AF31" s="48">
        <f t="shared" si="7"/>
        <v>7.4383567270127236E-3</v>
      </c>
    </row>
    <row r="32" spans="1:32" x14ac:dyDescent="0.25">
      <c r="A32" t="s">
        <v>336</v>
      </c>
      <c r="C32" s="48">
        <f>1-C31</f>
        <v>0.9914253733692413</v>
      </c>
      <c r="D32" s="48">
        <f t="shared" ref="D32:AF32" si="8">1-D31</f>
        <v>0.99161542482005738</v>
      </c>
      <c r="E32" s="48">
        <f t="shared" si="8"/>
        <v>0.99176656894465864</v>
      </c>
      <c r="F32" s="48">
        <f t="shared" si="8"/>
        <v>0.99188536525116633</v>
      </c>
      <c r="G32" s="48">
        <f t="shared" si="8"/>
        <v>0.99197814967072062</v>
      </c>
      <c r="H32" s="48">
        <f t="shared" si="8"/>
        <v>0.99205293339067335</v>
      </c>
      <c r="I32" s="48">
        <f t="shared" si="8"/>
        <v>0.99211695605581285</v>
      </c>
      <c r="J32" s="48">
        <f t="shared" si="8"/>
        <v>0.9921730236826638</v>
      </c>
      <c r="K32" s="48">
        <f t="shared" si="8"/>
        <v>0.99222395716978662</v>
      </c>
      <c r="L32" s="48">
        <f t="shared" si="8"/>
        <v>0.99226631689257838</v>
      </c>
      <c r="M32" s="48">
        <f t="shared" si="8"/>
        <v>0.99229914631182325</v>
      </c>
      <c r="N32" s="48">
        <f t="shared" si="8"/>
        <v>0.9923260907434609</v>
      </c>
      <c r="O32" s="48">
        <f t="shared" si="8"/>
        <v>0.99235136465656493</v>
      </c>
      <c r="P32" s="48">
        <f t="shared" si="8"/>
        <v>0.99237388789709879</v>
      </c>
      <c r="Q32" s="48">
        <f t="shared" si="8"/>
        <v>0.99239269774970462</v>
      </c>
      <c r="R32" s="48">
        <f t="shared" si="8"/>
        <v>0.99240831429660192</v>
      </c>
      <c r="S32" s="48">
        <f t="shared" si="8"/>
        <v>0.99242195532399913</v>
      </c>
      <c r="T32" s="48">
        <f t="shared" si="8"/>
        <v>0.99243462762216794</v>
      </c>
      <c r="U32" s="48">
        <f t="shared" si="8"/>
        <v>0.9924505314176536</v>
      </c>
      <c r="V32" s="48">
        <f t="shared" si="8"/>
        <v>0.99246641846267591</v>
      </c>
      <c r="W32" s="48">
        <f t="shared" si="8"/>
        <v>0.99248358666472358</v>
      </c>
      <c r="X32" s="48">
        <f t="shared" si="8"/>
        <v>0.99249691748640856</v>
      </c>
      <c r="Y32" s="48">
        <f t="shared" si="8"/>
        <v>0.99250868819105187</v>
      </c>
      <c r="Z32" s="48">
        <f t="shared" si="8"/>
        <v>0.9925186955720311</v>
      </c>
      <c r="AA32" s="48">
        <f t="shared" si="8"/>
        <v>0.99252662861108054</v>
      </c>
      <c r="AB32" s="48">
        <f t="shared" si="8"/>
        <v>0.99253480017247631</v>
      </c>
      <c r="AC32" s="48">
        <f t="shared" si="8"/>
        <v>0.9925433959747948</v>
      </c>
      <c r="AD32" s="48">
        <f t="shared" si="8"/>
        <v>0.9925503448594255</v>
      </c>
      <c r="AE32" s="48">
        <f t="shared" si="8"/>
        <v>0.99255654123392523</v>
      </c>
      <c r="AF32" s="48">
        <f t="shared" si="8"/>
        <v>0.99256164327298724</v>
      </c>
    </row>
    <row r="35" spans="1:32" s="1" customFormat="1" x14ac:dyDescent="0.25">
      <c r="A35" s="25" t="s">
        <v>97</v>
      </c>
      <c r="B35" s="29"/>
      <c r="C35" s="29"/>
      <c r="D35" s="34"/>
    </row>
    <row r="36" spans="1:32" x14ac:dyDescent="0.25">
      <c r="A36" s="26" t="s">
        <v>98</v>
      </c>
      <c r="D36" s="16"/>
    </row>
    <row r="37" spans="1:32" x14ac:dyDescent="0.25">
      <c r="A37" s="78" t="s">
        <v>90</v>
      </c>
      <c r="B37" s="79"/>
      <c r="C37" s="80"/>
      <c r="D37" s="16"/>
    </row>
    <row r="38" spans="1:32" x14ac:dyDescent="0.25">
      <c r="A38" s="35"/>
      <c r="B38" s="8"/>
      <c r="C38" s="8"/>
      <c r="D38" s="16"/>
    </row>
    <row r="39" spans="1:32" x14ac:dyDescent="0.25">
      <c r="A39" s="35" t="s">
        <v>91</v>
      </c>
      <c r="B39" s="9" t="s">
        <v>91</v>
      </c>
      <c r="C39" s="9" t="s">
        <v>92</v>
      </c>
      <c r="D39" s="16"/>
    </row>
    <row r="40" spans="1:32" x14ac:dyDescent="0.25">
      <c r="A40" s="35" t="s">
        <v>93</v>
      </c>
      <c r="B40" s="9" t="s">
        <v>94</v>
      </c>
      <c r="C40" s="9" t="s">
        <v>95</v>
      </c>
      <c r="D40" s="16"/>
    </row>
    <row r="41" spans="1:32" x14ac:dyDescent="0.25">
      <c r="A41" s="35"/>
      <c r="B41" s="9" t="s">
        <v>96</v>
      </c>
      <c r="C41" s="9" t="s">
        <v>91</v>
      </c>
      <c r="D41" s="16"/>
    </row>
    <row r="42" spans="1:32" x14ac:dyDescent="0.25">
      <c r="A42" s="36"/>
      <c r="B42" s="10"/>
      <c r="C42" s="10"/>
      <c r="D42" s="16"/>
    </row>
    <row r="43" spans="1:32" x14ac:dyDescent="0.2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25">
      <c r="A45" s="1" t="s">
        <v>99</v>
      </c>
    </row>
    <row r="46" spans="1:32" x14ac:dyDescent="0.2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2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2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2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2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2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2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2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B1" sqref="B1"/>
    </sheetView>
  </sheetViews>
  <sheetFormatPr defaultRowHeight="15" x14ac:dyDescent="0.25"/>
  <cols>
    <col min="1" max="1" width="30" customWidth="1"/>
    <col min="2" max="2" width="25" style="43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2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25">
      <c r="A4" s="47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2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2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2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2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2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" customHeight="1" x14ac:dyDescent="0.25">
      <c r="A12" s="39" t="s">
        <v>152</v>
      </c>
      <c r="B12" s="46" t="s">
        <v>215</v>
      </c>
      <c r="C12" s="46" t="s">
        <v>216</v>
      </c>
      <c r="D12" s="84" t="s">
        <v>122</v>
      </c>
      <c r="E12" s="85"/>
      <c r="F12" s="86"/>
      <c r="G12" s="81" t="s">
        <v>151</v>
      </c>
      <c r="H12" s="82"/>
      <c r="I12" s="83"/>
    </row>
    <row r="13" spans="1:32" x14ac:dyDescent="0.2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2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2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2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2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25">
      <c r="A18" t="s">
        <v>6</v>
      </c>
      <c r="B18" s="45">
        <f t="shared" si="2"/>
        <v>1</v>
      </c>
      <c r="C18" s="15">
        <f t="shared" si="3"/>
        <v>1</v>
      </c>
      <c r="D18" s="41">
        <v>1</v>
      </c>
      <c r="E18">
        <v>0</v>
      </c>
      <c r="F18" s="16">
        <v>0</v>
      </c>
      <c r="G18" s="15">
        <v>1990</v>
      </c>
      <c r="H18">
        <v>2026</v>
      </c>
      <c r="I18" s="16">
        <v>2024</v>
      </c>
    </row>
    <row r="19" spans="1:9" x14ac:dyDescent="0.25">
      <c r="A19" t="s">
        <v>7</v>
      </c>
      <c r="B19" s="45">
        <f t="shared" si="2"/>
        <v>1</v>
      </c>
      <c r="C19" s="15">
        <f t="shared" si="3"/>
        <v>1</v>
      </c>
      <c r="D19" s="41">
        <v>1</v>
      </c>
      <c r="E19">
        <v>0</v>
      </c>
      <c r="F19" s="16">
        <v>0</v>
      </c>
      <c r="G19" s="15">
        <v>2023</v>
      </c>
      <c r="H19">
        <v>2026</v>
      </c>
      <c r="I19" s="16">
        <v>2027</v>
      </c>
    </row>
    <row r="20" spans="1:9" x14ac:dyDescent="0.2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25">
      <c r="A21" t="s">
        <v>9</v>
      </c>
      <c r="B21" s="45">
        <f t="shared" si="2"/>
        <v>1</v>
      </c>
      <c r="C21" s="15">
        <f t="shared" si="3"/>
        <v>1</v>
      </c>
      <c r="D21" s="41">
        <v>0</v>
      </c>
      <c r="E21">
        <v>0</v>
      </c>
      <c r="F21" s="16">
        <v>0</v>
      </c>
      <c r="G21" s="15"/>
      <c r="H21">
        <v>2026</v>
      </c>
      <c r="I21" s="16"/>
    </row>
    <row r="22" spans="1:9" x14ac:dyDescent="0.25">
      <c r="A22" t="s">
        <v>10</v>
      </c>
      <c r="B22" s="45">
        <f t="shared" si="2"/>
        <v>1</v>
      </c>
      <c r="C22" s="15">
        <f t="shared" si="3"/>
        <v>1</v>
      </c>
      <c r="D22" s="41">
        <v>0</v>
      </c>
      <c r="E22">
        <v>0</v>
      </c>
      <c r="F22" s="16">
        <v>0</v>
      </c>
      <c r="G22" s="15"/>
      <c r="H22">
        <v>2026</v>
      </c>
      <c r="I22" s="16"/>
    </row>
    <row r="23" spans="1:9" x14ac:dyDescent="0.2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2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2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2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2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2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2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2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2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2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2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25">
      <c r="A34" t="s">
        <v>22</v>
      </c>
      <c r="B34" s="45">
        <f t="shared" si="2"/>
        <v>1</v>
      </c>
      <c r="C34" s="15">
        <f t="shared" si="3"/>
        <v>1</v>
      </c>
      <c r="D34" s="41">
        <v>1</v>
      </c>
      <c r="E34">
        <v>0</v>
      </c>
      <c r="F34" s="16">
        <v>0</v>
      </c>
      <c r="G34" s="15">
        <v>2011</v>
      </c>
      <c r="H34">
        <v>2026</v>
      </c>
      <c r="I34" s="16">
        <v>2027</v>
      </c>
    </row>
    <row r="35" spans="1:9" x14ac:dyDescent="0.25">
      <c r="A35" t="s">
        <v>23</v>
      </c>
      <c r="B35" s="45">
        <f t="shared" si="2"/>
        <v>1</v>
      </c>
      <c r="C35" s="15">
        <f t="shared" si="3"/>
        <v>1</v>
      </c>
      <c r="D35" s="41">
        <v>1</v>
      </c>
      <c r="E35">
        <v>0</v>
      </c>
      <c r="F35" s="16">
        <v>0</v>
      </c>
      <c r="G35" s="15">
        <v>1995</v>
      </c>
      <c r="H35">
        <v>2026</v>
      </c>
      <c r="I35" s="16">
        <v>2025</v>
      </c>
    </row>
    <row r="36" spans="1:9" x14ac:dyDescent="0.2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2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2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2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2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2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2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2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25">
      <c r="A44" t="s">
        <v>32</v>
      </c>
      <c r="B44" s="45">
        <f t="shared" si="2"/>
        <v>1</v>
      </c>
      <c r="C44" s="15">
        <f t="shared" si="3"/>
        <v>1</v>
      </c>
      <c r="D44" s="41">
        <v>1</v>
      </c>
      <c r="E44">
        <v>0</v>
      </c>
      <c r="F44" s="16">
        <v>0</v>
      </c>
      <c r="G44" s="15">
        <v>2009</v>
      </c>
      <c r="H44">
        <v>2026</v>
      </c>
      <c r="I44" s="16">
        <v>2025</v>
      </c>
    </row>
    <row r="45" spans="1:9" x14ac:dyDescent="0.25">
      <c r="A45" t="s">
        <v>33</v>
      </c>
      <c r="B45" s="45">
        <f t="shared" si="2"/>
        <v>1</v>
      </c>
      <c r="C45" s="15">
        <f t="shared" si="3"/>
        <v>1</v>
      </c>
      <c r="D45" s="41">
        <v>1</v>
      </c>
      <c r="E45">
        <v>0</v>
      </c>
      <c r="F45" s="16">
        <v>0</v>
      </c>
      <c r="G45" s="15">
        <v>2026</v>
      </c>
      <c r="H45">
        <v>2026</v>
      </c>
      <c r="I45" s="16">
        <v>2027</v>
      </c>
    </row>
    <row r="46" spans="1:9" x14ac:dyDescent="0.25">
      <c r="A46" t="s">
        <v>34</v>
      </c>
      <c r="B46" s="45">
        <f t="shared" si="2"/>
        <v>1</v>
      </c>
      <c r="C46" s="15">
        <f t="shared" si="3"/>
        <v>1</v>
      </c>
      <c r="D46" s="41">
        <v>1</v>
      </c>
      <c r="E46">
        <v>0</v>
      </c>
      <c r="F46" s="16">
        <v>0</v>
      </c>
      <c r="G46" s="15">
        <v>1993</v>
      </c>
      <c r="H46">
        <v>2026</v>
      </c>
      <c r="I46" s="16">
        <v>2025</v>
      </c>
    </row>
    <row r="47" spans="1:9" x14ac:dyDescent="0.2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2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2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2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25">
      <c r="A51" t="s">
        <v>39</v>
      </c>
      <c r="B51" s="45">
        <f t="shared" si="2"/>
        <v>1</v>
      </c>
      <c r="C51" s="15">
        <f t="shared" si="3"/>
        <v>1</v>
      </c>
      <c r="D51" s="41">
        <v>1</v>
      </c>
      <c r="E51">
        <v>0</v>
      </c>
      <c r="F51" s="16">
        <v>0</v>
      </c>
      <c r="G51" s="15">
        <v>2009</v>
      </c>
      <c r="H51">
        <v>2026</v>
      </c>
      <c r="I51" s="16">
        <v>2024</v>
      </c>
    </row>
    <row r="52" spans="1:9" x14ac:dyDescent="0.2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25">
      <c r="A53" t="s">
        <v>41</v>
      </c>
      <c r="B53" s="45">
        <f t="shared" si="2"/>
        <v>1</v>
      </c>
      <c r="C53" s="15">
        <f t="shared" si="3"/>
        <v>1</v>
      </c>
      <c r="D53" s="41">
        <v>1</v>
      </c>
      <c r="E53">
        <v>0</v>
      </c>
      <c r="F53" s="16">
        <v>0</v>
      </c>
      <c r="G53" s="15">
        <v>2008</v>
      </c>
      <c r="H53">
        <v>2026</v>
      </c>
      <c r="I53" s="16">
        <v>2027</v>
      </c>
    </row>
    <row r="54" spans="1:9" x14ac:dyDescent="0.2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2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2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2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2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25">
      <c r="A59" t="s">
        <v>47</v>
      </c>
      <c r="B59" s="45">
        <f t="shared" si="2"/>
        <v>1</v>
      </c>
      <c r="C59" s="15">
        <f t="shared" si="3"/>
        <v>1</v>
      </c>
      <c r="D59" s="41">
        <v>1</v>
      </c>
      <c r="E59">
        <v>0</v>
      </c>
      <c r="F59" s="16">
        <v>0</v>
      </c>
      <c r="G59" s="15">
        <v>2000</v>
      </c>
      <c r="H59">
        <v>2026</v>
      </c>
      <c r="I59" s="16">
        <v>2025</v>
      </c>
    </row>
    <row r="60" spans="1:9" x14ac:dyDescent="0.25">
      <c r="A60" t="s">
        <v>48</v>
      </c>
      <c r="B60" s="45">
        <f t="shared" si="2"/>
        <v>1</v>
      </c>
      <c r="C60" s="15">
        <f t="shared" si="3"/>
        <v>1</v>
      </c>
      <c r="D60" s="41">
        <v>1</v>
      </c>
      <c r="E60">
        <v>0</v>
      </c>
      <c r="F60" s="16">
        <v>0</v>
      </c>
      <c r="G60" s="15">
        <v>2025</v>
      </c>
      <c r="H60">
        <v>2026</v>
      </c>
      <c r="I60" s="16"/>
    </row>
    <row r="61" spans="1:9" x14ac:dyDescent="0.25">
      <c r="A61" t="s">
        <v>49</v>
      </c>
      <c r="B61" s="45">
        <f t="shared" si="2"/>
        <v>1</v>
      </c>
      <c r="C61" s="15">
        <f t="shared" si="3"/>
        <v>1</v>
      </c>
      <c r="D61" s="41">
        <v>1</v>
      </c>
      <c r="E61">
        <v>0</v>
      </c>
      <c r="F61" s="16">
        <v>0</v>
      </c>
      <c r="G61" s="15">
        <v>2025</v>
      </c>
      <c r="H61">
        <v>2026</v>
      </c>
      <c r="I61" s="16">
        <v>2025</v>
      </c>
    </row>
    <row r="62" spans="1:9" x14ac:dyDescent="0.2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2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2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2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2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2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2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2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2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2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2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2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>
        <v>0</v>
      </c>
      <c r="F73" s="16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49" t="s">
        <v>217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ht="15.75" customHeight="1" x14ac:dyDescent="0.25">
      <c r="A2" s="51"/>
      <c r="B2" s="52">
        <v>2021</v>
      </c>
      <c r="C2" s="52">
        <v>2022</v>
      </c>
      <c r="D2" s="52">
        <v>2023</v>
      </c>
      <c r="E2" s="52">
        <v>2024</v>
      </c>
      <c r="F2" s="52">
        <v>2025</v>
      </c>
      <c r="G2" s="52">
        <v>2026</v>
      </c>
      <c r="H2" s="52">
        <v>2027</v>
      </c>
      <c r="I2" s="52">
        <v>2028</v>
      </c>
      <c r="J2" s="52">
        <v>2029</v>
      </c>
      <c r="K2" s="52">
        <v>2030</v>
      </c>
      <c r="L2" s="52">
        <v>2031</v>
      </c>
      <c r="M2" s="52">
        <v>2032</v>
      </c>
      <c r="N2" s="52">
        <v>2033</v>
      </c>
      <c r="O2" s="52">
        <v>2034</v>
      </c>
      <c r="P2" s="52">
        <v>2035</v>
      </c>
    </row>
    <row r="3" spans="1:16" x14ac:dyDescent="0.25">
      <c r="A3" s="52" t="s">
        <v>218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</row>
    <row r="4" spans="1:16" x14ac:dyDescent="0.25">
      <c r="A4" s="53" t="s">
        <v>219</v>
      </c>
      <c r="B4" s="53"/>
      <c r="C4" s="53">
        <v>123014.02814171401</v>
      </c>
      <c r="D4" s="53">
        <v>116891.10064479</v>
      </c>
      <c r="E4" s="53">
        <v>110861.018872339</v>
      </c>
      <c r="F4" s="53">
        <v>105086.28082494601</v>
      </c>
      <c r="G4" s="53">
        <v>99480.616976928504</v>
      </c>
      <c r="H4" s="53">
        <v>94041.791663598196</v>
      </c>
      <c r="I4" s="53">
        <v>88699.548094428494</v>
      </c>
      <c r="J4" s="53">
        <v>83590.763893754396</v>
      </c>
      <c r="K4" s="53">
        <v>78642.067397142804</v>
      </c>
      <c r="L4" s="53">
        <v>77971.135744342799</v>
      </c>
      <c r="M4" s="53">
        <v>77306.302529942797</v>
      </c>
      <c r="N4" s="53">
        <v>76647.5677539428</v>
      </c>
      <c r="O4" s="53">
        <v>75994.931416342806</v>
      </c>
      <c r="P4" s="53">
        <v>75348.393517142802</v>
      </c>
    </row>
    <row r="5" spans="1:16" x14ac:dyDescent="0.25">
      <c r="A5" s="53" t="s">
        <v>220</v>
      </c>
      <c r="B5" s="53"/>
      <c r="C5" s="53">
        <v>159207.807414857</v>
      </c>
      <c r="D5" s="53">
        <v>150762.980531254</v>
      </c>
      <c r="E5" s="53">
        <v>142465.294625482</v>
      </c>
      <c r="F5" s="53">
        <v>134523.43449766</v>
      </c>
      <c r="G5" s="53">
        <v>126825.62026921401</v>
      </c>
      <c r="H5" s="53">
        <v>119368.456662955</v>
      </c>
      <c r="I5" s="53">
        <v>112062.610816714</v>
      </c>
      <c r="J5" s="53">
        <v>105080.852304361</v>
      </c>
      <c r="K5" s="53">
        <v>98329.492008571397</v>
      </c>
      <c r="L5" s="53">
        <v>97356.117983771401</v>
      </c>
      <c r="M5" s="53">
        <v>96392.003173371399</v>
      </c>
      <c r="N5" s="53">
        <v>95437.147577371405</v>
      </c>
      <c r="O5" s="53">
        <v>94491.551195771404</v>
      </c>
      <c r="P5" s="53">
        <v>93555.214028571398</v>
      </c>
    </row>
    <row r="6" spans="1:16" x14ac:dyDescent="0.25">
      <c r="A6" s="53" t="s">
        <v>221</v>
      </c>
      <c r="B6" s="53"/>
      <c r="C6" s="53">
        <v>270108.76006399997</v>
      </c>
      <c r="D6" s="53">
        <v>255656.81353143699</v>
      </c>
      <c r="E6" s="53">
        <v>241481.05590024899</v>
      </c>
      <c r="F6" s="53">
        <v>227934.40233675</v>
      </c>
      <c r="G6" s="53">
        <v>214826.43245699999</v>
      </c>
      <c r="H6" s="53">
        <v>202150.519416625</v>
      </c>
      <c r="I6" s="53">
        <v>189754.51910199999</v>
      </c>
      <c r="J6" s="53">
        <v>177930.10464693699</v>
      </c>
      <c r="K6" s="53">
        <v>166517.73655999999</v>
      </c>
      <c r="L6" s="53">
        <v>164752.88939120001</v>
      </c>
      <c r="M6" s="53">
        <v>163006.1020288</v>
      </c>
      <c r="N6" s="53">
        <v>161277.3744728</v>
      </c>
      <c r="O6" s="53">
        <v>159566.70672320001</v>
      </c>
      <c r="P6" s="53">
        <v>157874.09878</v>
      </c>
    </row>
    <row r="7" spans="1:16" x14ac:dyDescent="0.25">
      <c r="A7" s="53" t="s">
        <v>222</v>
      </c>
      <c r="B7" s="53"/>
      <c r="C7" s="53">
        <v>279260.18559999898</v>
      </c>
      <c r="D7" s="53">
        <v>263473.356940625</v>
      </c>
      <c r="E7" s="53">
        <v>248012.4213625</v>
      </c>
      <c r="F7" s="53">
        <v>233239.7419125</v>
      </c>
      <c r="G7" s="53">
        <v>218958.3682</v>
      </c>
      <c r="H7" s="53">
        <v>205160.76274375001</v>
      </c>
      <c r="I7" s="53">
        <v>191692.3847</v>
      </c>
      <c r="J7" s="53">
        <v>178847.74184062399</v>
      </c>
      <c r="K7" s="53">
        <v>166464.10699999999</v>
      </c>
      <c r="L7" s="53">
        <v>164483.975832</v>
      </c>
      <c r="M7" s="53">
        <v>162524.389708</v>
      </c>
      <c r="N7" s="53">
        <v>160585.34862800001</v>
      </c>
      <c r="O7" s="53">
        <v>158666.85259200001</v>
      </c>
      <c r="P7" s="53">
        <v>156768.90160000001</v>
      </c>
    </row>
    <row r="8" spans="1:16" x14ac:dyDescent="0.25">
      <c r="A8" s="53" t="s">
        <v>223</v>
      </c>
      <c r="B8" s="53"/>
      <c r="C8" s="53">
        <v>514693.025792</v>
      </c>
      <c r="D8" s="53">
        <v>478374.445650562</v>
      </c>
      <c r="E8" s="53">
        <v>443236.40154075</v>
      </c>
      <c r="F8" s="53">
        <v>409916.57607524999</v>
      </c>
      <c r="G8" s="53">
        <v>378042.57344100002</v>
      </c>
      <c r="H8" s="53">
        <v>347585.904687375</v>
      </c>
      <c r="I8" s="53">
        <v>318274.00570600003</v>
      </c>
      <c r="J8" s="53">
        <v>290584.82838206203</v>
      </c>
      <c r="K8" s="53">
        <v>264226.95948000002</v>
      </c>
      <c r="L8" s="53">
        <v>259041.23675519999</v>
      </c>
      <c r="M8" s="53">
        <v>253933.1637608</v>
      </c>
      <c r="N8" s="53">
        <v>248902.74049679999</v>
      </c>
      <c r="O8" s="53">
        <v>243949.96696319999</v>
      </c>
      <c r="P8" s="53">
        <v>239074.84315999999</v>
      </c>
    </row>
    <row r="9" spans="1:16" x14ac:dyDescent="0.25">
      <c r="A9" s="53" t="s">
        <v>224</v>
      </c>
      <c r="B9" s="53"/>
      <c r="C9" s="53">
        <v>352345.79063954199</v>
      </c>
      <c r="D9" s="53">
        <v>336920.40289145103</v>
      </c>
      <c r="E9" s="53">
        <v>321714.49663779198</v>
      </c>
      <c r="F9" s="53">
        <v>307197.76116126397</v>
      </c>
      <c r="G9" s="53">
        <v>293121.27323848498</v>
      </c>
      <c r="H9" s="53">
        <v>279478.32417008199</v>
      </c>
      <c r="I9" s="53">
        <v>266058.17291548499</v>
      </c>
      <c r="J9" s="53">
        <v>253269.417264894</v>
      </c>
      <c r="K9" s="53">
        <v>240893.94282742799</v>
      </c>
      <c r="L9" s="53">
        <v>239120.828568228</v>
      </c>
      <c r="M9" s="53">
        <v>237366.00342662801</v>
      </c>
      <c r="N9" s="53">
        <v>235629.46740262801</v>
      </c>
      <c r="O9" s="53">
        <v>233911.22049622799</v>
      </c>
      <c r="P9" s="53">
        <v>232211.26270742799</v>
      </c>
    </row>
    <row r="10" spans="1:16" x14ac:dyDescent="0.25">
      <c r="A10" s="54" t="s">
        <v>225</v>
      </c>
      <c r="B10" s="54"/>
      <c r="C10" s="54">
        <v>254244.29587332401</v>
      </c>
      <c r="D10" s="54">
        <v>238190.03010017413</v>
      </c>
      <c r="E10" s="54">
        <v>222651.14064541471</v>
      </c>
      <c r="F10" s="54">
        <v>207942.32020082459</v>
      </c>
      <c r="G10" s="54">
        <v>193798.83210084747</v>
      </c>
      <c r="H10" s="54">
        <v>180291.79864733585</v>
      </c>
      <c r="I10" s="54">
        <v>167274.24981139184</v>
      </c>
      <c r="J10" s="54">
        <v>154992.181179804</v>
      </c>
      <c r="K10" s="54">
        <v>143291.09355900332</v>
      </c>
      <c r="L10" s="54">
        <v>141012.55439962645</v>
      </c>
      <c r="M10" s="54">
        <v>138777.42258643205</v>
      </c>
      <c r="N10" s="54">
        <v>136585.20558876757</v>
      </c>
      <c r="O10" s="54">
        <v>134435.41087598051</v>
      </c>
      <c r="P10" s="54">
        <v>132327.54591741826</v>
      </c>
    </row>
    <row r="11" spans="1:16" x14ac:dyDescent="0.25">
      <c r="A11" s="53" t="s">
        <v>226</v>
      </c>
      <c r="B11" s="53"/>
      <c r="C11" s="53">
        <v>122214.21173028499</v>
      </c>
      <c r="D11" s="53">
        <v>117413.976644366</v>
      </c>
      <c r="E11" s="53">
        <v>112666.51620153501</v>
      </c>
      <c r="F11" s="53">
        <v>108136.271422178</v>
      </c>
      <c r="G11" s="53">
        <v>103736.844151571</v>
      </c>
      <c r="H11" s="53">
        <v>99466.245995339297</v>
      </c>
      <c r="I11" s="53">
        <v>95249.444506571395</v>
      </c>
      <c r="J11" s="53">
        <v>91232.695573151796</v>
      </c>
      <c r="K11" s="53">
        <v>87338.771582857094</v>
      </c>
      <c r="L11" s="53">
        <v>86812.205402057094</v>
      </c>
      <c r="M11" s="53">
        <v>86291.055923657099</v>
      </c>
      <c r="N11" s="53">
        <v>85775.323147657095</v>
      </c>
      <c r="O11" s="53">
        <v>85265.007074057095</v>
      </c>
      <c r="P11" s="53">
        <v>84760.107702857102</v>
      </c>
    </row>
    <row r="12" spans="1:16" x14ac:dyDescent="0.25">
      <c r="A12" s="53" t="s">
        <v>227</v>
      </c>
      <c r="B12" s="53"/>
      <c r="C12" s="53">
        <v>450892.87437165697</v>
      </c>
      <c r="D12" s="53">
        <v>434385.76652422902</v>
      </c>
      <c r="E12" s="53">
        <v>418045.41355878202</v>
      </c>
      <c r="F12" s="53">
        <v>402480.97438276</v>
      </c>
      <c r="G12" s="53">
        <v>387372.71199361398</v>
      </c>
      <c r="H12" s="53">
        <v>372713.172470405</v>
      </c>
      <c r="I12" s="53">
        <v>358220.19315511402</v>
      </c>
      <c r="J12" s="53">
        <v>344442.81400393602</v>
      </c>
      <c r="K12" s="53">
        <v>331091.64980057097</v>
      </c>
      <c r="L12" s="53">
        <v>329239.34992377099</v>
      </c>
      <c r="M12" s="53">
        <v>327407.37197737099</v>
      </c>
      <c r="N12" s="53">
        <v>325595.71596137102</v>
      </c>
      <c r="O12" s="53">
        <v>323804.38187577098</v>
      </c>
      <c r="P12" s="53">
        <v>322033.36972057098</v>
      </c>
    </row>
    <row r="13" spans="1:16" x14ac:dyDescent="0.25">
      <c r="A13" s="53" t="s">
        <v>228</v>
      </c>
      <c r="B13" s="53"/>
      <c r="C13" s="53">
        <v>189784.88384365701</v>
      </c>
      <c r="D13" s="53">
        <v>182723.316817135</v>
      </c>
      <c r="E13" s="53">
        <v>175696.32320265699</v>
      </c>
      <c r="F13" s="53">
        <v>168961.49064488499</v>
      </c>
      <c r="G13" s="53">
        <v>162385.75271211399</v>
      </c>
      <c r="H13" s="53">
        <v>155967.40409184201</v>
      </c>
      <c r="I13" s="53">
        <v>149590.02319611399</v>
      </c>
      <c r="J13" s="53">
        <v>143484.56591959199</v>
      </c>
      <c r="K13" s="53">
        <v>137531.34858057101</v>
      </c>
      <c r="L13" s="53">
        <v>136760.20458057101</v>
      </c>
      <c r="M13" s="53">
        <v>135995.25818057099</v>
      </c>
      <c r="N13" s="53">
        <v>135236.50938057099</v>
      </c>
      <c r="O13" s="53">
        <v>134483.958180571</v>
      </c>
      <c r="P13" s="53">
        <v>133737.604580571</v>
      </c>
    </row>
    <row r="14" spans="1:16" x14ac:dyDescent="0.25">
      <c r="A14" s="53" t="s">
        <v>229</v>
      </c>
      <c r="B14" s="53"/>
      <c r="C14" s="53">
        <v>824534.65599999996</v>
      </c>
      <c r="D14" s="53">
        <v>800245.73403125</v>
      </c>
      <c r="E14" s="53">
        <v>775788.07787499996</v>
      </c>
      <c r="F14" s="53">
        <v>752300.28262499999</v>
      </c>
      <c r="G14" s="53">
        <v>729205.34050000005</v>
      </c>
      <c r="H14" s="53">
        <v>706501.54618749896</v>
      </c>
      <c r="I14" s="53">
        <v>683662.91299999994</v>
      </c>
      <c r="J14" s="53">
        <v>661746.40228124999</v>
      </c>
      <c r="K14" s="53">
        <v>640215.89</v>
      </c>
      <c r="L14" s="53">
        <v>637719.42559999996</v>
      </c>
      <c r="M14" s="53">
        <v>635235.356399999</v>
      </c>
      <c r="N14" s="53">
        <v>632763.682399999</v>
      </c>
      <c r="O14" s="53">
        <v>630304.40359999996</v>
      </c>
      <c r="P14" s="53">
        <v>627857.52</v>
      </c>
    </row>
    <row r="15" spans="1:16" x14ac:dyDescent="0.25">
      <c r="A15" s="54" t="s">
        <v>230</v>
      </c>
      <c r="B15" s="54"/>
      <c r="C15" s="54">
        <v>402865.46875217895</v>
      </c>
      <c r="D15" s="54">
        <v>389825.18971002812</v>
      </c>
      <c r="E15" s="54">
        <v>376772.31348939822</v>
      </c>
      <c r="F15" s="54">
        <v>364259.15831143828</v>
      </c>
      <c r="G15" s="54">
        <v>352003.04838521645</v>
      </c>
      <c r="H15" s="54">
        <v>340001.81820427557</v>
      </c>
      <c r="I15" s="54">
        <v>328001.63240464276</v>
      </c>
      <c r="J15" s="54">
        <v>316508.86796336708</v>
      </c>
      <c r="K15" s="54">
        <v>305264.03705494152</v>
      </c>
      <c r="L15" s="54">
        <v>303882.39721301734</v>
      </c>
      <c r="M15" s="54">
        <v>302510.17136795085</v>
      </c>
      <c r="N15" s="54">
        <v>301147.35951930378</v>
      </c>
      <c r="O15" s="54">
        <v>299793.96166663681</v>
      </c>
      <c r="P15" s="54">
        <v>298449.97780951031</v>
      </c>
    </row>
    <row r="18" spans="1:53" x14ac:dyDescent="0.25">
      <c r="A18" s="55" t="s">
        <v>231</v>
      </c>
      <c r="B18" s="56">
        <v>2020</v>
      </c>
      <c r="C18" s="56">
        <v>2021</v>
      </c>
      <c r="D18" s="56">
        <v>2022</v>
      </c>
      <c r="E18" s="56">
        <v>2023</v>
      </c>
      <c r="F18" s="56">
        <v>2024</v>
      </c>
      <c r="G18" s="56">
        <v>2025</v>
      </c>
      <c r="H18" s="56">
        <v>2026</v>
      </c>
      <c r="I18" s="56">
        <v>2027</v>
      </c>
      <c r="J18" s="56">
        <v>2028</v>
      </c>
      <c r="K18" s="56">
        <v>2029</v>
      </c>
      <c r="L18" s="56">
        <v>2030</v>
      </c>
      <c r="M18" s="56">
        <v>2031</v>
      </c>
      <c r="N18" s="56">
        <v>2032</v>
      </c>
      <c r="O18" s="56">
        <v>2033</v>
      </c>
      <c r="P18" s="56">
        <v>2034</v>
      </c>
      <c r="Q18" s="56">
        <v>2035</v>
      </c>
      <c r="R18" s="56">
        <v>2036</v>
      </c>
      <c r="S18" s="56">
        <v>2037</v>
      </c>
      <c r="T18" s="56">
        <v>2038</v>
      </c>
      <c r="U18" s="56">
        <v>2039</v>
      </c>
      <c r="V18" s="56">
        <v>2040</v>
      </c>
      <c r="W18" s="56">
        <v>2041</v>
      </c>
      <c r="X18" s="56">
        <v>2042</v>
      </c>
      <c r="Y18" s="56">
        <v>2043</v>
      </c>
      <c r="Z18" s="56">
        <v>2044</v>
      </c>
      <c r="AA18" s="56">
        <v>2045</v>
      </c>
      <c r="AB18" s="56">
        <v>2046</v>
      </c>
      <c r="AC18" s="56">
        <v>2047</v>
      </c>
      <c r="AD18" s="56">
        <v>2048</v>
      </c>
      <c r="AE18" s="56">
        <v>2049</v>
      </c>
      <c r="AF18" s="56">
        <v>2050</v>
      </c>
    </row>
    <row r="19" spans="1:53" x14ac:dyDescent="0.25">
      <c r="A19" s="57" t="s">
        <v>219</v>
      </c>
      <c r="B19" s="2">
        <v>140.5</v>
      </c>
      <c r="C19" s="2">
        <v>137.75</v>
      </c>
      <c r="D19" s="58">
        <v>135</v>
      </c>
      <c r="E19" s="58">
        <v>132.25</v>
      </c>
      <c r="F19" s="58">
        <v>129.5</v>
      </c>
      <c r="G19" s="58">
        <v>126.75</v>
      </c>
      <c r="H19" s="58">
        <v>124</v>
      </c>
      <c r="I19" s="58">
        <v>121.25</v>
      </c>
      <c r="J19" s="58">
        <v>118.5</v>
      </c>
      <c r="K19" s="58">
        <v>115.75</v>
      </c>
      <c r="L19" s="58">
        <v>113</v>
      </c>
      <c r="M19" s="58">
        <v>113</v>
      </c>
      <c r="N19" s="58">
        <v>113</v>
      </c>
      <c r="O19" s="58">
        <v>113</v>
      </c>
      <c r="P19" s="58">
        <v>113</v>
      </c>
      <c r="Q19" s="58">
        <v>113</v>
      </c>
      <c r="R19" s="58">
        <v>113</v>
      </c>
      <c r="S19" s="58">
        <v>113</v>
      </c>
      <c r="T19" s="58">
        <v>113</v>
      </c>
      <c r="U19" s="58">
        <v>113</v>
      </c>
      <c r="V19" s="58">
        <v>113</v>
      </c>
      <c r="W19" s="58">
        <v>113</v>
      </c>
      <c r="X19" s="58">
        <v>113</v>
      </c>
      <c r="Y19" s="58">
        <v>113</v>
      </c>
      <c r="Z19" s="58">
        <v>113</v>
      </c>
      <c r="AA19" s="58">
        <v>113</v>
      </c>
      <c r="AB19" s="58">
        <v>113</v>
      </c>
      <c r="AC19" s="58">
        <v>113</v>
      </c>
      <c r="AD19" s="58">
        <v>113</v>
      </c>
      <c r="AE19" s="58">
        <v>113</v>
      </c>
      <c r="AF19" s="58">
        <v>113</v>
      </c>
    </row>
    <row r="20" spans="1:53" x14ac:dyDescent="0.25">
      <c r="A20" s="57" t="s">
        <v>220</v>
      </c>
      <c r="B20" s="2">
        <v>213.5</v>
      </c>
      <c r="C20" s="2">
        <v>209.25</v>
      </c>
      <c r="D20" s="58">
        <v>205</v>
      </c>
      <c r="E20" s="58">
        <v>200.75</v>
      </c>
      <c r="F20" s="58">
        <v>196.5</v>
      </c>
      <c r="G20" s="58">
        <v>192.25</v>
      </c>
      <c r="H20" s="58">
        <v>188</v>
      </c>
      <c r="I20" s="58">
        <v>183.75</v>
      </c>
      <c r="J20" s="58">
        <v>179.5</v>
      </c>
      <c r="K20" s="58">
        <v>175.25</v>
      </c>
      <c r="L20" s="58">
        <v>171</v>
      </c>
      <c r="M20" s="58">
        <v>171</v>
      </c>
      <c r="N20" s="58">
        <v>171</v>
      </c>
      <c r="O20" s="58">
        <v>171</v>
      </c>
      <c r="P20" s="58">
        <v>171</v>
      </c>
      <c r="Q20" s="58">
        <v>171</v>
      </c>
      <c r="R20" s="58">
        <v>171</v>
      </c>
      <c r="S20" s="58">
        <v>171</v>
      </c>
      <c r="T20" s="58">
        <v>171</v>
      </c>
      <c r="U20" s="58">
        <v>171</v>
      </c>
      <c r="V20" s="58">
        <v>171</v>
      </c>
      <c r="W20" s="58">
        <v>171</v>
      </c>
      <c r="X20" s="58">
        <v>171</v>
      </c>
      <c r="Y20" s="58">
        <v>171</v>
      </c>
      <c r="Z20" s="58">
        <v>171</v>
      </c>
      <c r="AA20" s="58">
        <v>171</v>
      </c>
      <c r="AB20" s="58">
        <v>171</v>
      </c>
      <c r="AC20" s="58">
        <v>171</v>
      </c>
      <c r="AD20" s="58">
        <v>171</v>
      </c>
      <c r="AE20" s="58">
        <v>171</v>
      </c>
      <c r="AF20" s="58">
        <v>171</v>
      </c>
    </row>
    <row r="21" spans="1:53" x14ac:dyDescent="0.25">
      <c r="A21" s="57" t="s">
        <v>221</v>
      </c>
      <c r="B21" s="2">
        <v>425</v>
      </c>
      <c r="C21" s="2">
        <v>412.5</v>
      </c>
      <c r="D21" s="58">
        <v>400</v>
      </c>
      <c r="E21" s="58">
        <v>387.5</v>
      </c>
      <c r="F21" s="58">
        <v>375</v>
      </c>
      <c r="G21" s="58">
        <v>362.5</v>
      </c>
      <c r="H21" s="58">
        <v>350</v>
      </c>
      <c r="I21" s="58">
        <v>337.5</v>
      </c>
      <c r="J21" s="58">
        <v>325</v>
      </c>
      <c r="K21" s="58">
        <v>312.5</v>
      </c>
      <c r="L21" s="58">
        <v>300</v>
      </c>
      <c r="M21" s="58">
        <v>300</v>
      </c>
      <c r="N21" s="58">
        <v>300</v>
      </c>
      <c r="O21" s="58">
        <v>300</v>
      </c>
      <c r="P21" s="58">
        <v>300</v>
      </c>
      <c r="Q21" s="58">
        <v>300</v>
      </c>
      <c r="R21" s="58">
        <v>300</v>
      </c>
      <c r="S21" s="58">
        <v>300</v>
      </c>
      <c r="T21" s="58">
        <v>300</v>
      </c>
      <c r="U21" s="58">
        <v>300</v>
      </c>
      <c r="V21" s="58">
        <v>300</v>
      </c>
      <c r="W21" s="58">
        <v>300</v>
      </c>
      <c r="X21" s="58">
        <v>300</v>
      </c>
      <c r="Y21" s="58">
        <v>300</v>
      </c>
      <c r="Z21" s="58">
        <v>300</v>
      </c>
      <c r="AA21" s="58">
        <v>300</v>
      </c>
      <c r="AB21" s="58">
        <v>300</v>
      </c>
      <c r="AC21" s="58">
        <v>300</v>
      </c>
      <c r="AD21" s="58">
        <v>300</v>
      </c>
      <c r="AE21" s="58">
        <v>300</v>
      </c>
      <c r="AF21" s="58">
        <v>300</v>
      </c>
    </row>
    <row r="22" spans="1:53" x14ac:dyDescent="0.25">
      <c r="A22" s="57" t="s">
        <v>222</v>
      </c>
      <c r="B22" s="2">
        <v>485.5</v>
      </c>
      <c r="C22" s="2">
        <v>470.25</v>
      </c>
      <c r="D22" s="58">
        <v>455</v>
      </c>
      <c r="E22" s="58">
        <v>439.75</v>
      </c>
      <c r="F22" s="58">
        <v>424.5</v>
      </c>
      <c r="G22" s="58">
        <v>409.25</v>
      </c>
      <c r="H22" s="58">
        <v>394</v>
      </c>
      <c r="I22" s="58">
        <v>378.75</v>
      </c>
      <c r="J22" s="58">
        <v>363.5</v>
      </c>
      <c r="K22" s="58">
        <v>348.25</v>
      </c>
      <c r="L22" s="58">
        <v>333</v>
      </c>
      <c r="M22" s="58">
        <v>333</v>
      </c>
      <c r="N22" s="58">
        <v>333</v>
      </c>
      <c r="O22" s="58">
        <v>333</v>
      </c>
      <c r="P22" s="58">
        <v>333</v>
      </c>
      <c r="Q22" s="58">
        <v>333</v>
      </c>
      <c r="R22" s="58">
        <v>333</v>
      </c>
      <c r="S22" s="58">
        <v>333</v>
      </c>
      <c r="T22" s="58">
        <v>333</v>
      </c>
      <c r="U22" s="58">
        <v>333</v>
      </c>
      <c r="V22" s="58">
        <v>333</v>
      </c>
      <c r="W22" s="58">
        <v>333</v>
      </c>
      <c r="X22" s="58">
        <v>333</v>
      </c>
      <c r="Y22" s="58">
        <v>333</v>
      </c>
      <c r="Z22" s="58">
        <v>333</v>
      </c>
      <c r="AA22" s="58">
        <v>333</v>
      </c>
      <c r="AB22" s="58">
        <v>333</v>
      </c>
      <c r="AC22" s="58">
        <v>333</v>
      </c>
      <c r="AD22" s="58">
        <v>333</v>
      </c>
      <c r="AE22" s="58">
        <v>333</v>
      </c>
      <c r="AF22" s="58">
        <v>333</v>
      </c>
    </row>
    <row r="23" spans="1:53" x14ac:dyDescent="0.25">
      <c r="A23" s="57" t="s">
        <v>223</v>
      </c>
      <c r="B23" s="2">
        <v>984.25</v>
      </c>
      <c r="C23" s="2">
        <v>952.125</v>
      </c>
      <c r="D23" s="58">
        <v>920</v>
      </c>
      <c r="E23" s="58">
        <v>887.875</v>
      </c>
      <c r="F23" s="58">
        <v>855.75</v>
      </c>
      <c r="G23" s="58">
        <v>823.625</v>
      </c>
      <c r="H23" s="58">
        <v>791.5</v>
      </c>
      <c r="I23" s="58">
        <v>759.375</v>
      </c>
      <c r="J23" s="58">
        <v>727.25</v>
      </c>
      <c r="K23" s="58">
        <v>695.125</v>
      </c>
      <c r="L23" s="58">
        <v>663</v>
      </c>
      <c r="M23" s="58">
        <v>663</v>
      </c>
      <c r="N23" s="58">
        <v>663</v>
      </c>
      <c r="O23" s="58">
        <v>663</v>
      </c>
      <c r="P23" s="58">
        <v>663</v>
      </c>
      <c r="Q23" s="58">
        <v>663</v>
      </c>
      <c r="R23" s="58">
        <v>663</v>
      </c>
      <c r="S23" s="58">
        <v>663</v>
      </c>
      <c r="T23" s="58">
        <v>663</v>
      </c>
      <c r="U23" s="58">
        <v>663</v>
      </c>
      <c r="V23" s="58">
        <v>663</v>
      </c>
      <c r="W23" s="58">
        <v>663</v>
      </c>
      <c r="X23" s="58">
        <v>663</v>
      </c>
      <c r="Y23" s="58">
        <v>663</v>
      </c>
      <c r="Z23" s="58">
        <v>663</v>
      </c>
      <c r="AA23" s="58">
        <v>663</v>
      </c>
      <c r="AB23" s="58">
        <v>663</v>
      </c>
      <c r="AC23" s="58">
        <v>663</v>
      </c>
      <c r="AD23" s="58">
        <v>663</v>
      </c>
      <c r="AE23" s="58">
        <v>663</v>
      </c>
      <c r="AF23" s="58">
        <v>663</v>
      </c>
    </row>
    <row r="24" spans="1:53" x14ac:dyDescent="0.25">
      <c r="A24" s="57" t="s">
        <v>224</v>
      </c>
      <c r="B24" s="2">
        <v>428.25</v>
      </c>
      <c r="C24" s="2">
        <v>416.625</v>
      </c>
      <c r="D24" s="58">
        <v>405</v>
      </c>
      <c r="E24" s="58">
        <v>393.375</v>
      </c>
      <c r="F24" s="58">
        <v>381.75</v>
      </c>
      <c r="G24" s="58">
        <v>370.125</v>
      </c>
      <c r="H24" s="58">
        <v>358.5</v>
      </c>
      <c r="I24" s="58">
        <v>346.875</v>
      </c>
      <c r="J24" s="58">
        <v>335.25</v>
      </c>
      <c r="K24" s="58">
        <v>323.625</v>
      </c>
      <c r="L24" s="58">
        <v>312</v>
      </c>
      <c r="M24" s="58">
        <v>312</v>
      </c>
      <c r="N24" s="58">
        <v>312</v>
      </c>
      <c r="O24" s="58">
        <v>312</v>
      </c>
      <c r="P24" s="58">
        <v>312</v>
      </c>
      <c r="Q24" s="58">
        <v>312</v>
      </c>
      <c r="R24" s="58">
        <v>312</v>
      </c>
      <c r="S24" s="58">
        <v>312</v>
      </c>
      <c r="T24" s="58">
        <v>312</v>
      </c>
      <c r="U24" s="58">
        <v>312</v>
      </c>
      <c r="V24" s="58">
        <v>312</v>
      </c>
      <c r="W24" s="58">
        <v>312</v>
      </c>
      <c r="X24" s="58">
        <v>312</v>
      </c>
      <c r="Y24" s="58">
        <v>312</v>
      </c>
      <c r="Z24" s="58">
        <v>312</v>
      </c>
      <c r="AA24" s="58">
        <v>312</v>
      </c>
      <c r="AB24" s="58">
        <v>312</v>
      </c>
      <c r="AC24" s="58">
        <v>312</v>
      </c>
      <c r="AD24" s="58">
        <v>312</v>
      </c>
      <c r="AE24" s="58">
        <v>312</v>
      </c>
      <c r="AF24" s="58">
        <v>312</v>
      </c>
    </row>
    <row r="25" spans="1:53" x14ac:dyDescent="0.25">
      <c r="A25" s="57" t="s">
        <v>226</v>
      </c>
      <c r="B25" s="2">
        <v>121.25</v>
      </c>
      <c r="C25" s="2">
        <v>120.625</v>
      </c>
      <c r="D25" s="58">
        <v>120</v>
      </c>
      <c r="E25" s="58">
        <v>119.375</v>
      </c>
      <c r="F25" s="58">
        <v>118.75</v>
      </c>
      <c r="G25" s="58">
        <v>118.125</v>
      </c>
      <c r="H25" s="58">
        <v>117.5</v>
      </c>
      <c r="I25" s="58">
        <v>116.875</v>
      </c>
      <c r="J25" s="58">
        <v>116.25</v>
      </c>
      <c r="K25" s="58">
        <v>115.625</v>
      </c>
      <c r="L25" s="58">
        <v>115</v>
      </c>
      <c r="M25" s="58">
        <v>115</v>
      </c>
      <c r="N25" s="58">
        <v>115</v>
      </c>
      <c r="O25" s="58">
        <v>115</v>
      </c>
      <c r="P25" s="58">
        <v>115</v>
      </c>
      <c r="Q25" s="58">
        <v>115</v>
      </c>
      <c r="R25" s="58">
        <v>115</v>
      </c>
      <c r="S25" s="58">
        <v>115</v>
      </c>
      <c r="T25" s="58">
        <v>115</v>
      </c>
      <c r="U25" s="58">
        <v>115</v>
      </c>
      <c r="V25" s="58">
        <v>115</v>
      </c>
      <c r="W25" s="58">
        <v>115</v>
      </c>
      <c r="X25" s="58">
        <v>115</v>
      </c>
      <c r="Y25" s="58">
        <v>115</v>
      </c>
      <c r="Z25" s="58">
        <v>115</v>
      </c>
      <c r="AA25" s="58">
        <v>115</v>
      </c>
      <c r="AB25" s="58">
        <v>115</v>
      </c>
      <c r="AC25" s="58">
        <v>115</v>
      </c>
      <c r="AD25" s="58">
        <v>115</v>
      </c>
      <c r="AE25" s="58">
        <v>115</v>
      </c>
      <c r="AF25" s="58">
        <v>115</v>
      </c>
    </row>
    <row r="26" spans="1:53" x14ac:dyDescent="0.25">
      <c r="A26" s="57" t="s">
        <v>227</v>
      </c>
      <c r="B26" s="2">
        <v>455</v>
      </c>
      <c r="C26" s="2">
        <v>452.5</v>
      </c>
      <c r="D26" s="58">
        <v>450</v>
      </c>
      <c r="E26" s="58">
        <v>447.5</v>
      </c>
      <c r="F26" s="58">
        <v>445</v>
      </c>
      <c r="G26" s="58">
        <v>442.5</v>
      </c>
      <c r="H26" s="58">
        <v>440</v>
      </c>
      <c r="I26" s="58">
        <v>437.5</v>
      </c>
      <c r="J26" s="58">
        <v>435</v>
      </c>
      <c r="K26" s="58">
        <v>432.5</v>
      </c>
      <c r="L26" s="58">
        <v>430</v>
      </c>
      <c r="M26" s="58">
        <v>430</v>
      </c>
      <c r="N26" s="58">
        <v>430</v>
      </c>
      <c r="O26" s="58">
        <v>430</v>
      </c>
      <c r="P26" s="58">
        <v>430</v>
      </c>
      <c r="Q26" s="58">
        <v>430</v>
      </c>
      <c r="R26" s="58">
        <v>430</v>
      </c>
      <c r="S26" s="58">
        <v>430</v>
      </c>
      <c r="T26" s="58">
        <v>430</v>
      </c>
      <c r="U26" s="58">
        <v>430</v>
      </c>
      <c r="V26" s="58">
        <v>430</v>
      </c>
      <c r="W26" s="58">
        <v>430</v>
      </c>
      <c r="X26" s="58">
        <v>430</v>
      </c>
      <c r="Y26" s="58">
        <v>430</v>
      </c>
      <c r="Z26" s="58">
        <v>430</v>
      </c>
      <c r="AA26" s="58">
        <v>430</v>
      </c>
      <c r="AB26" s="58">
        <v>430</v>
      </c>
      <c r="AC26" s="58">
        <v>430</v>
      </c>
      <c r="AD26" s="58">
        <v>430</v>
      </c>
      <c r="AE26" s="58">
        <v>430</v>
      </c>
      <c r="AF26" s="58">
        <v>430</v>
      </c>
    </row>
    <row r="27" spans="1:53" x14ac:dyDescent="0.25">
      <c r="A27" s="57" t="s">
        <v>228</v>
      </c>
      <c r="B27" s="2">
        <v>182.00000000000023</v>
      </c>
      <c r="C27" s="2">
        <v>181.00000000000023</v>
      </c>
      <c r="D27" s="58">
        <v>180</v>
      </c>
      <c r="E27" s="58">
        <v>179</v>
      </c>
      <c r="F27" s="58">
        <v>178</v>
      </c>
      <c r="G27" s="58">
        <v>177</v>
      </c>
      <c r="H27" s="58">
        <v>176</v>
      </c>
      <c r="I27" s="58">
        <v>175</v>
      </c>
      <c r="J27" s="58">
        <v>174</v>
      </c>
      <c r="K27" s="58">
        <v>173</v>
      </c>
      <c r="L27" s="58">
        <v>172</v>
      </c>
      <c r="M27" s="58">
        <v>172</v>
      </c>
      <c r="N27" s="58">
        <v>172</v>
      </c>
      <c r="O27" s="58">
        <v>172</v>
      </c>
      <c r="P27" s="58">
        <v>172</v>
      </c>
      <c r="Q27" s="58">
        <v>172</v>
      </c>
      <c r="R27" s="58">
        <v>172</v>
      </c>
      <c r="S27" s="58">
        <v>172</v>
      </c>
      <c r="T27" s="58">
        <v>172</v>
      </c>
      <c r="U27" s="58">
        <v>172</v>
      </c>
      <c r="V27" s="58">
        <v>172</v>
      </c>
      <c r="W27" s="58">
        <v>172</v>
      </c>
      <c r="X27" s="58">
        <v>172</v>
      </c>
      <c r="Y27" s="58">
        <v>172</v>
      </c>
      <c r="Z27" s="58">
        <v>172</v>
      </c>
      <c r="AA27" s="58">
        <v>172</v>
      </c>
      <c r="AB27" s="58">
        <v>172</v>
      </c>
      <c r="AC27" s="58">
        <v>172</v>
      </c>
      <c r="AD27" s="58">
        <v>172</v>
      </c>
      <c r="AE27" s="58">
        <v>172</v>
      </c>
      <c r="AF27" s="58">
        <v>172</v>
      </c>
    </row>
    <row r="28" spans="1:53" x14ac:dyDescent="0.25">
      <c r="A28" s="57" t="s">
        <v>229</v>
      </c>
      <c r="B28" s="2">
        <v>683.50000000000091</v>
      </c>
      <c r="C28" s="2">
        <v>679.75000000000091</v>
      </c>
      <c r="D28" s="58">
        <v>676</v>
      </c>
      <c r="E28" s="58">
        <v>672.25</v>
      </c>
      <c r="F28" s="58">
        <v>668.5</v>
      </c>
      <c r="G28" s="58">
        <v>664.75</v>
      </c>
      <c r="H28" s="58">
        <v>661</v>
      </c>
      <c r="I28" s="58">
        <v>657.25</v>
      </c>
      <c r="J28" s="58">
        <v>653.5</v>
      </c>
      <c r="K28" s="58">
        <v>649.75</v>
      </c>
      <c r="L28" s="58">
        <v>646</v>
      </c>
      <c r="M28" s="58">
        <v>646</v>
      </c>
      <c r="N28" s="58">
        <v>646</v>
      </c>
      <c r="O28" s="58">
        <v>646</v>
      </c>
      <c r="P28" s="58">
        <v>646</v>
      </c>
      <c r="Q28" s="58">
        <v>646</v>
      </c>
      <c r="R28" s="58">
        <v>646</v>
      </c>
      <c r="S28" s="58">
        <v>646</v>
      </c>
      <c r="T28" s="58">
        <v>646</v>
      </c>
      <c r="U28" s="58">
        <v>646</v>
      </c>
      <c r="V28" s="58">
        <v>646</v>
      </c>
      <c r="W28" s="58">
        <v>646</v>
      </c>
      <c r="X28" s="58">
        <v>646</v>
      </c>
      <c r="Y28" s="58">
        <v>646</v>
      </c>
      <c r="Z28" s="58">
        <v>646</v>
      </c>
      <c r="AA28" s="58">
        <v>646</v>
      </c>
      <c r="AB28" s="58">
        <v>646</v>
      </c>
      <c r="AC28" s="58">
        <v>646</v>
      </c>
      <c r="AD28" s="58">
        <v>646</v>
      </c>
      <c r="AE28" s="58">
        <v>646</v>
      </c>
      <c r="AF28" s="58">
        <v>646</v>
      </c>
    </row>
    <row r="31" spans="1:53" x14ac:dyDescent="0.25">
      <c r="A31" s="52" t="s">
        <v>232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</row>
    <row r="32" spans="1:53" x14ac:dyDescent="0.25">
      <c r="A32" s="51"/>
      <c r="B32" s="52">
        <v>2020</v>
      </c>
      <c r="C32" s="52">
        <v>2021</v>
      </c>
      <c r="D32" s="52">
        <v>2022</v>
      </c>
      <c r="E32" s="52">
        <v>2023</v>
      </c>
      <c r="F32" s="52">
        <v>2024</v>
      </c>
      <c r="G32" s="52">
        <v>2025</v>
      </c>
      <c r="H32" s="52">
        <v>2026</v>
      </c>
      <c r="I32" s="52">
        <v>2027</v>
      </c>
      <c r="J32" s="52">
        <v>2028</v>
      </c>
      <c r="K32" s="52">
        <v>2029</v>
      </c>
      <c r="L32" s="52">
        <v>2030</v>
      </c>
      <c r="M32" s="52">
        <v>2031</v>
      </c>
      <c r="N32" s="52">
        <v>2032</v>
      </c>
      <c r="O32" s="52">
        <v>2033</v>
      </c>
      <c r="P32" s="52">
        <v>2034</v>
      </c>
      <c r="Q32" s="52">
        <v>2035</v>
      </c>
      <c r="R32" s="52">
        <v>2036</v>
      </c>
      <c r="S32" s="52">
        <v>2037</v>
      </c>
      <c r="T32" s="52">
        <v>2038</v>
      </c>
      <c r="U32" s="52">
        <v>2039</v>
      </c>
      <c r="V32" s="52">
        <v>2040</v>
      </c>
      <c r="W32" s="52">
        <v>2041</v>
      </c>
      <c r="X32" s="52">
        <v>2042</v>
      </c>
      <c r="Y32" s="52">
        <v>2043</v>
      </c>
      <c r="Z32" s="52">
        <v>2044</v>
      </c>
      <c r="AA32" s="52">
        <v>2045</v>
      </c>
      <c r="AB32" s="52">
        <v>2046</v>
      </c>
      <c r="AC32" s="52">
        <v>2047</v>
      </c>
      <c r="AD32" s="52">
        <v>2048</v>
      </c>
      <c r="AE32" s="52">
        <v>2049</v>
      </c>
      <c r="AF32" s="52">
        <v>2050</v>
      </c>
      <c r="AG32" s="52">
        <v>2051</v>
      </c>
      <c r="AH32" s="52">
        <v>2052</v>
      </c>
      <c r="AI32" s="52">
        <v>2053</v>
      </c>
      <c r="AJ32" s="52" t="s">
        <v>233</v>
      </c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</row>
    <row r="33" spans="1:53" x14ac:dyDescent="0.25">
      <c r="A33" s="59" t="s">
        <v>234</v>
      </c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</row>
    <row r="34" spans="1:53" x14ac:dyDescent="0.25">
      <c r="A34" s="53" t="s">
        <v>219</v>
      </c>
      <c r="B34" s="61">
        <v>116537.59</v>
      </c>
      <c r="C34" s="61">
        <v>117344.414</v>
      </c>
      <c r="D34" s="61">
        <v>118151.23800000001</v>
      </c>
      <c r="E34" s="61">
        <v>118958.06200000002</v>
      </c>
      <c r="F34" s="61">
        <v>119764.88600000003</v>
      </c>
      <c r="G34" s="61">
        <v>120571.71</v>
      </c>
      <c r="H34" s="61">
        <v>122325.784</v>
      </c>
      <c r="I34" s="61">
        <v>124079.85799999999</v>
      </c>
      <c r="J34" s="61">
        <v>125833.93199999999</v>
      </c>
      <c r="K34" s="61">
        <v>127588.00599999998</v>
      </c>
      <c r="L34" s="61">
        <v>129342.08</v>
      </c>
      <c r="M34" s="61">
        <v>132498.092</v>
      </c>
      <c r="N34" s="61">
        <v>135654.10399999999</v>
      </c>
      <c r="O34" s="61">
        <v>138810.11599999998</v>
      </c>
      <c r="P34" s="61">
        <v>141966.12799999997</v>
      </c>
      <c r="Q34" s="61">
        <v>145122.14000000001</v>
      </c>
      <c r="R34" s="61">
        <v>148198.992</v>
      </c>
      <c r="S34" s="61">
        <v>151275.84399999998</v>
      </c>
      <c r="T34" s="61">
        <v>154352.69599999997</v>
      </c>
      <c r="U34" s="61">
        <v>157429.54799999995</v>
      </c>
      <c r="V34" s="61">
        <v>160506.4</v>
      </c>
      <c r="W34" s="62">
        <v>163688.79866666719</v>
      </c>
      <c r="X34" s="62">
        <v>166799.23369697016</v>
      </c>
      <c r="Y34" s="62">
        <v>169909.66872727312</v>
      </c>
      <c r="Z34" s="62">
        <v>173020.10375757609</v>
      </c>
      <c r="AA34" s="62">
        <v>176130.53878787905</v>
      </c>
      <c r="AB34" s="62">
        <v>179240.97381818201</v>
      </c>
      <c r="AC34" s="62">
        <v>182351.40884848498</v>
      </c>
      <c r="AD34" s="62">
        <v>185461.84387878794</v>
      </c>
      <c r="AE34" s="62">
        <v>188572.27890909091</v>
      </c>
      <c r="AF34" s="62">
        <v>191682.71393939387</v>
      </c>
      <c r="AG34" s="62">
        <v>194793.14896969683</v>
      </c>
      <c r="AH34" s="62">
        <v>197903.5839999998</v>
      </c>
      <c r="AI34" s="62">
        <v>201014.01903030276</v>
      </c>
      <c r="AJ34" s="53" t="s">
        <v>213</v>
      </c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</row>
    <row r="35" spans="1:53" x14ac:dyDescent="0.25">
      <c r="A35" s="53" t="s">
        <v>220</v>
      </c>
      <c r="B35" s="61">
        <v>118399.012</v>
      </c>
      <c r="C35" s="61">
        <v>119218.6992</v>
      </c>
      <c r="D35" s="61">
        <v>120038.3864</v>
      </c>
      <c r="E35" s="61">
        <v>120858.0736</v>
      </c>
      <c r="F35" s="61">
        <v>121677.7608</v>
      </c>
      <c r="G35" s="61">
        <v>122497.448</v>
      </c>
      <c r="H35" s="61">
        <v>124279.485</v>
      </c>
      <c r="I35" s="61">
        <v>126061.522</v>
      </c>
      <c r="J35" s="61">
        <v>127843.55899999999</v>
      </c>
      <c r="K35" s="61">
        <v>129625.59599999999</v>
      </c>
      <c r="L35" s="61">
        <v>131407.633</v>
      </c>
      <c r="M35" s="61">
        <v>134614.11480000001</v>
      </c>
      <c r="N35" s="61">
        <v>137820.59660000002</v>
      </c>
      <c r="O35" s="61">
        <v>141027.07840000003</v>
      </c>
      <c r="P35" s="61">
        <v>144233.56020000004</v>
      </c>
      <c r="Q35" s="61">
        <v>147440.04199999999</v>
      </c>
      <c r="R35" s="61">
        <v>150566.04759999999</v>
      </c>
      <c r="S35" s="61">
        <v>153692.05319999999</v>
      </c>
      <c r="T35" s="61">
        <v>156818.0588</v>
      </c>
      <c r="U35" s="61">
        <v>159944.0644</v>
      </c>
      <c r="V35" s="61">
        <v>163070.06999999998</v>
      </c>
      <c r="W35" s="62">
        <v>166303.37719999999</v>
      </c>
      <c r="X35" s="62">
        <v>169463.52421818208</v>
      </c>
      <c r="Y35" s="62">
        <v>172623.67123636324</v>
      </c>
      <c r="Z35" s="62">
        <v>175783.81825454533</v>
      </c>
      <c r="AA35" s="62">
        <v>178943.96527272742</v>
      </c>
      <c r="AB35" s="62">
        <v>182104.11229090951</v>
      </c>
      <c r="AC35" s="62">
        <v>185264.25930909067</v>
      </c>
      <c r="AD35" s="62">
        <v>188424.40632727277</v>
      </c>
      <c r="AE35" s="62">
        <v>191584.55334545486</v>
      </c>
      <c r="AF35" s="62">
        <v>194744.70036363602</v>
      </c>
      <c r="AG35" s="62">
        <v>197904.84738181811</v>
      </c>
      <c r="AH35" s="62">
        <v>201064.9944000002</v>
      </c>
      <c r="AI35" s="62">
        <v>204225.14141818229</v>
      </c>
      <c r="AJ35" s="53" t="s">
        <v>213</v>
      </c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</row>
    <row r="36" spans="1:53" x14ac:dyDescent="0.25">
      <c r="A36" s="53" t="s">
        <v>221</v>
      </c>
      <c r="B36" s="61">
        <v>95647.28</v>
      </c>
      <c r="C36" s="61">
        <v>96309.491800000003</v>
      </c>
      <c r="D36" s="61">
        <v>96971.703600000008</v>
      </c>
      <c r="E36" s="61">
        <v>97633.915400000013</v>
      </c>
      <c r="F36" s="61">
        <v>98296.127200000017</v>
      </c>
      <c r="G36" s="61">
        <v>98958.338999999993</v>
      </c>
      <c r="H36" s="61">
        <v>100397.96219999999</v>
      </c>
      <c r="I36" s="61">
        <v>101837.5854</v>
      </c>
      <c r="J36" s="61">
        <v>103277.2086</v>
      </c>
      <c r="K36" s="61">
        <v>104716.8318</v>
      </c>
      <c r="L36" s="61">
        <v>106156.455</v>
      </c>
      <c r="M36" s="61">
        <v>108746.7678</v>
      </c>
      <c r="N36" s="61">
        <v>111337.0806</v>
      </c>
      <c r="O36" s="61">
        <v>113927.3934</v>
      </c>
      <c r="P36" s="61">
        <v>116517.7062</v>
      </c>
      <c r="Q36" s="61">
        <v>119108.019</v>
      </c>
      <c r="R36" s="61">
        <v>121633.35619999999</v>
      </c>
      <c r="S36" s="61">
        <v>124158.69339999999</v>
      </c>
      <c r="T36" s="61">
        <v>126684.03059999998</v>
      </c>
      <c r="U36" s="61">
        <v>129209.36779999998</v>
      </c>
      <c r="V36" s="61">
        <v>131734.70499999999</v>
      </c>
      <c r="W36" s="62">
        <v>134346.67633333337</v>
      </c>
      <c r="X36" s="62">
        <v>136899.57893939409</v>
      </c>
      <c r="Y36" s="62">
        <v>139452.48154545482</v>
      </c>
      <c r="Z36" s="62">
        <v>142005.38415151555</v>
      </c>
      <c r="AA36" s="62">
        <v>144558.28675757535</v>
      </c>
      <c r="AB36" s="62">
        <v>147111.18936363608</v>
      </c>
      <c r="AC36" s="62">
        <v>149664.0919696968</v>
      </c>
      <c r="AD36" s="62">
        <v>152216.99457575753</v>
      </c>
      <c r="AE36" s="62">
        <v>154769.89718181826</v>
      </c>
      <c r="AF36" s="62">
        <v>157322.79978787899</v>
      </c>
      <c r="AG36" s="62">
        <v>159875.70239393972</v>
      </c>
      <c r="AH36" s="62">
        <v>162428.60499999952</v>
      </c>
      <c r="AI36" s="62">
        <v>164981.50760606024</v>
      </c>
      <c r="AJ36" s="53" t="s">
        <v>214</v>
      </c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</row>
    <row r="37" spans="1:53" x14ac:dyDescent="0.25">
      <c r="A37" s="53" t="s">
        <v>222</v>
      </c>
      <c r="B37" s="61">
        <v>55945.25</v>
      </c>
      <c r="C37" s="61">
        <v>55322.91</v>
      </c>
      <c r="D37" s="61">
        <v>54700.570000000007</v>
      </c>
      <c r="E37" s="61">
        <v>54078.23000000001</v>
      </c>
      <c r="F37" s="61">
        <v>53455.890000000014</v>
      </c>
      <c r="G37" s="61">
        <v>52833.55</v>
      </c>
      <c r="H37" s="61">
        <v>52462.840000000004</v>
      </c>
      <c r="I37" s="61">
        <v>52092.130000000005</v>
      </c>
      <c r="J37" s="61">
        <v>51721.420000000006</v>
      </c>
      <c r="K37" s="61">
        <v>51350.710000000006</v>
      </c>
      <c r="L37" s="61">
        <v>50980</v>
      </c>
      <c r="M37" s="61">
        <v>51194.304000000004</v>
      </c>
      <c r="N37" s="61">
        <v>51408.608000000007</v>
      </c>
      <c r="O37" s="61">
        <v>51622.912000000011</v>
      </c>
      <c r="P37" s="61">
        <v>51837.216000000015</v>
      </c>
      <c r="Q37" s="61">
        <v>52051.520000000004</v>
      </c>
      <c r="R37" s="61">
        <v>52259.394</v>
      </c>
      <c r="S37" s="61">
        <v>52467.267999999996</v>
      </c>
      <c r="T37" s="61">
        <v>52675.141999999993</v>
      </c>
      <c r="U37" s="61">
        <v>52883.015999999989</v>
      </c>
      <c r="V37" s="61">
        <v>53090.889999999992</v>
      </c>
      <c r="W37" s="62">
        <v>53307.337333333329</v>
      </c>
      <c r="X37" s="62">
        <v>53517.939212121186</v>
      </c>
      <c r="Y37" s="62">
        <v>53728.541090909042</v>
      </c>
      <c r="Z37" s="62">
        <v>53939.142969696957</v>
      </c>
      <c r="AA37" s="62">
        <v>54149.744848484814</v>
      </c>
      <c r="AB37" s="62">
        <v>54360.34672727267</v>
      </c>
      <c r="AC37" s="62">
        <v>54570.948606060585</v>
      </c>
      <c r="AD37" s="62">
        <v>54781.550484848442</v>
      </c>
      <c r="AE37" s="62">
        <v>54992.152363636298</v>
      </c>
      <c r="AF37" s="62">
        <v>55202.754242424213</v>
      </c>
      <c r="AG37" s="62">
        <v>55413.356121212069</v>
      </c>
      <c r="AH37" s="62">
        <v>55623.957999999926</v>
      </c>
      <c r="AI37" s="62">
        <v>55834.559878787841</v>
      </c>
      <c r="AJ37" s="53" t="s">
        <v>214</v>
      </c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</row>
    <row r="38" spans="1:53" x14ac:dyDescent="0.25">
      <c r="A38" s="53" t="s">
        <v>223</v>
      </c>
      <c r="B38" s="61">
        <v>92843.9</v>
      </c>
      <c r="C38" s="61">
        <v>91811.12</v>
      </c>
      <c r="D38" s="61">
        <v>90778.34</v>
      </c>
      <c r="E38" s="61">
        <v>89745.56</v>
      </c>
      <c r="F38" s="61">
        <v>88712.78</v>
      </c>
      <c r="G38" s="61">
        <v>87680</v>
      </c>
      <c r="H38" s="61">
        <v>87064.76</v>
      </c>
      <c r="I38" s="61">
        <v>86449.51999999999</v>
      </c>
      <c r="J38" s="61">
        <v>85834.279999999984</v>
      </c>
      <c r="K38" s="61">
        <v>85219.039999999979</v>
      </c>
      <c r="L38" s="61">
        <v>84603.8</v>
      </c>
      <c r="M38" s="61">
        <v>84959.44</v>
      </c>
      <c r="N38" s="61">
        <v>85315.08</v>
      </c>
      <c r="O38" s="61">
        <v>85670.720000000001</v>
      </c>
      <c r="P38" s="61">
        <v>86026.36</v>
      </c>
      <c r="Q38" s="61">
        <v>86382</v>
      </c>
      <c r="R38" s="61">
        <v>86726.98</v>
      </c>
      <c r="S38" s="61">
        <v>87071.959999999992</v>
      </c>
      <c r="T38" s="61">
        <v>87416.939999999988</v>
      </c>
      <c r="U38" s="61">
        <v>87761.919999999984</v>
      </c>
      <c r="V38" s="61">
        <v>88106.9</v>
      </c>
      <c r="W38" s="62">
        <v>88466.093333333265</v>
      </c>
      <c r="X38" s="62">
        <v>88815.595757575706</v>
      </c>
      <c r="Y38" s="62">
        <v>89165.098181818146</v>
      </c>
      <c r="Z38" s="62">
        <v>89514.600606060587</v>
      </c>
      <c r="AA38" s="62">
        <v>89864.103030302911</v>
      </c>
      <c r="AB38" s="62">
        <v>90213.605454545352</v>
      </c>
      <c r="AC38" s="62">
        <v>90563.107878787792</v>
      </c>
      <c r="AD38" s="62">
        <v>90912.610303030233</v>
      </c>
      <c r="AE38" s="62">
        <v>91262.112727272674</v>
      </c>
      <c r="AF38" s="62">
        <v>91611.615151515114</v>
      </c>
      <c r="AG38" s="62">
        <v>91961.117575757555</v>
      </c>
      <c r="AH38" s="62">
        <v>92310.619999999879</v>
      </c>
      <c r="AI38" s="62">
        <v>92660.12242424232</v>
      </c>
      <c r="AJ38" s="53" t="s">
        <v>214</v>
      </c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</row>
    <row r="39" spans="1:53" x14ac:dyDescent="0.25">
      <c r="A39" s="53" t="s">
        <v>224</v>
      </c>
      <c r="B39" s="61">
        <v>3614</v>
      </c>
      <c r="C39" s="61">
        <v>3639</v>
      </c>
      <c r="D39" s="61">
        <v>3664</v>
      </c>
      <c r="E39" s="61">
        <v>3689</v>
      </c>
      <c r="F39" s="61">
        <v>3714</v>
      </c>
      <c r="G39" s="61">
        <v>3739</v>
      </c>
      <c r="H39" s="61">
        <v>3793.4</v>
      </c>
      <c r="I39" s="61">
        <v>3847.8</v>
      </c>
      <c r="J39" s="61">
        <v>3902.2000000000003</v>
      </c>
      <c r="K39" s="61">
        <v>3956.6000000000004</v>
      </c>
      <c r="L39" s="61">
        <v>4011</v>
      </c>
      <c r="M39" s="61">
        <v>4108.8</v>
      </c>
      <c r="N39" s="61">
        <v>4206.6000000000004</v>
      </c>
      <c r="O39" s="61">
        <v>4304.4000000000005</v>
      </c>
      <c r="P39" s="61">
        <v>4402.2000000000007</v>
      </c>
      <c r="Q39" s="61">
        <v>4500</v>
      </c>
      <c r="R39" s="61">
        <v>4595.3999999999996</v>
      </c>
      <c r="S39" s="61">
        <v>4690.7999999999993</v>
      </c>
      <c r="T39" s="61">
        <v>4786.1999999999989</v>
      </c>
      <c r="U39" s="61">
        <v>4881.5999999999985</v>
      </c>
      <c r="V39" s="61">
        <v>4977</v>
      </c>
      <c r="W39" s="62">
        <v>5075.5999999999767</v>
      </c>
      <c r="X39" s="62">
        <v>5172.0181818181591</v>
      </c>
      <c r="Y39" s="62">
        <v>5268.4363636363414</v>
      </c>
      <c r="Z39" s="62">
        <v>5364.8545454545238</v>
      </c>
      <c r="AA39" s="62">
        <v>5461.2727272727061</v>
      </c>
      <c r="AB39" s="62">
        <v>5557.6909090908885</v>
      </c>
      <c r="AC39" s="62">
        <v>5654.1090909090708</v>
      </c>
      <c r="AD39" s="62">
        <v>5750.5272727272531</v>
      </c>
      <c r="AE39" s="62">
        <v>5846.9454545454355</v>
      </c>
      <c r="AF39" s="62">
        <v>5943.3636363636178</v>
      </c>
      <c r="AG39" s="62">
        <v>6039.7818181818002</v>
      </c>
      <c r="AH39" s="62">
        <v>6136.1999999999825</v>
      </c>
      <c r="AI39" s="62">
        <v>6232.6181818181649</v>
      </c>
      <c r="AJ39" s="53" t="s">
        <v>214</v>
      </c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  <c r="BA39" s="53"/>
    </row>
    <row r="40" spans="1:53" x14ac:dyDescent="0.25">
      <c r="A40" s="63" t="s">
        <v>225</v>
      </c>
      <c r="B40" s="64">
        <v>482987.03200000001</v>
      </c>
      <c r="C40" s="64"/>
      <c r="D40" s="64"/>
      <c r="E40" s="64"/>
      <c r="F40" s="64"/>
      <c r="G40" s="64">
        <v>486280.04699999996</v>
      </c>
      <c r="H40" s="64"/>
      <c r="I40" s="64"/>
      <c r="J40" s="64"/>
      <c r="K40" s="64"/>
      <c r="L40" s="64">
        <v>506500.96799999999</v>
      </c>
      <c r="M40" s="64"/>
      <c r="N40" s="64"/>
      <c r="O40" s="64"/>
      <c r="P40" s="64"/>
      <c r="Q40" s="64">
        <v>554603.72100000002</v>
      </c>
      <c r="R40" s="64"/>
      <c r="S40" s="64"/>
      <c r="T40" s="64"/>
      <c r="U40" s="64"/>
      <c r="V40" s="64">
        <v>601485.96499999997</v>
      </c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</row>
    <row r="41" spans="1:53" x14ac:dyDescent="0.25">
      <c r="A41" s="53" t="s">
        <v>226</v>
      </c>
      <c r="B41" s="61">
        <v>4754.0109999999995</v>
      </c>
      <c r="C41" s="61">
        <v>4754.1695999999993</v>
      </c>
      <c r="D41" s="61">
        <v>4754.328199999999</v>
      </c>
      <c r="E41" s="61">
        <v>4754.4867999999988</v>
      </c>
      <c r="F41" s="61">
        <v>4754.6453999999985</v>
      </c>
      <c r="G41" s="61">
        <v>4754.8040000000001</v>
      </c>
      <c r="H41" s="61">
        <v>4784.2997999999998</v>
      </c>
      <c r="I41" s="61">
        <v>4813.7955999999995</v>
      </c>
      <c r="J41" s="61">
        <v>4843.2913999999992</v>
      </c>
      <c r="K41" s="61">
        <v>4872.7871999999988</v>
      </c>
      <c r="L41" s="61">
        <v>4902.2830000000004</v>
      </c>
      <c r="M41" s="61">
        <v>4986.5684000000001</v>
      </c>
      <c r="N41" s="61">
        <v>5070.8537999999999</v>
      </c>
      <c r="O41" s="61">
        <v>5155.1391999999996</v>
      </c>
      <c r="P41" s="61">
        <v>5239.4245999999994</v>
      </c>
      <c r="Q41" s="61">
        <v>5323.7099999999991</v>
      </c>
      <c r="R41" s="61">
        <v>5405.777399999999</v>
      </c>
      <c r="S41" s="61">
        <v>5487.8447999999989</v>
      </c>
      <c r="T41" s="61">
        <v>5569.9121999999988</v>
      </c>
      <c r="U41" s="61">
        <v>5651.9795999999988</v>
      </c>
      <c r="V41" s="61">
        <v>5734.0469999999996</v>
      </c>
      <c r="W41" s="62">
        <v>5819.0717333333159</v>
      </c>
      <c r="X41" s="62">
        <v>5902.0801030302828</v>
      </c>
      <c r="Y41" s="62">
        <v>5985.0884727272787</v>
      </c>
      <c r="Z41" s="62">
        <v>6068.0968424242456</v>
      </c>
      <c r="AA41" s="62">
        <v>6151.1052121212124</v>
      </c>
      <c r="AB41" s="62">
        <v>6234.1135818181792</v>
      </c>
      <c r="AC41" s="62">
        <v>6317.1219515151461</v>
      </c>
      <c r="AD41" s="62">
        <v>6400.1303212121129</v>
      </c>
      <c r="AE41" s="62">
        <v>6483.1386909090797</v>
      </c>
      <c r="AF41" s="62">
        <v>6566.1470606060466</v>
      </c>
      <c r="AG41" s="62">
        <v>6649.1554303030134</v>
      </c>
      <c r="AH41" s="62">
        <v>6732.1637999999803</v>
      </c>
      <c r="AI41" s="62">
        <v>6815.1721696969471</v>
      </c>
      <c r="AJ41" s="53" t="s">
        <v>235</v>
      </c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</row>
    <row r="42" spans="1:53" x14ac:dyDescent="0.25">
      <c r="A42" s="53" t="s">
        <v>227</v>
      </c>
      <c r="B42" s="61">
        <v>5282.9840000000004</v>
      </c>
      <c r="C42" s="61">
        <v>5283.1580000000004</v>
      </c>
      <c r="D42" s="61">
        <v>5283.3320000000003</v>
      </c>
      <c r="E42" s="61">
        <v>5283.5060000000003</v>
      </c>
      <c r="F42" s="61">
        <v>5283.68</v>
      </c>
      <c r="G42" s="61">
        <v>5283.8539999999994</v>
      </c>
      <c r="H42" s="61">
        <v>5316.6317999999992</v>
      </c>
      <c r="I42" s="61">
        <v>5349.409599999999</v>
      </c>
      <c r="J42" s="61">
        <v>5382.1873999999989</v>
      </c>
      <c r="K42" s="61">
        <v>5414.9651999999987</v>
      </c>
      <c r="L42" s="61">
        <v>5447.7430000000004</v>
      </c>
      <c r="M42" s="61">
        <v>5541.4026000000003</v>
      </c>
      <c r="N42" s="61">
        <v>5635.0622000000003</v>
      </c>
      <c r="O42" s="61">
        <v>5728.7218000000003</v>
      </c>
      <c r="P42" s="61">
        <v>5822.3814000000002</v>
      </c>
      <c r="Q42" s="61">
        <v>5916.0410000000002</v>
      </c>
      <c r="R42" s="61">
        <v>6007.2420000000002</v>
      </c>
      <c r="S42" s="61">
        <v>6098.4430000000002</v>
      </c>
      <c r="T42" s="61">
        <v>6189.6440000000002</v>
      </c>
      <c r="U42" s="61">
        <v>6280.8450000000003</v>
      </c>
      <c r="V42" s="61">
        <v>6372.0460000000003</v>
      </c>
      <c r="W42" s="62">
        <v>6466.5251333333435</v>
      </c>
      <c r="X42" s="62">
        <v>6558.7691757575958</v>
      </c>
      <c r="Y42" s="62">
        <v>6651.0132181818481</v>
      </c>
      <c r="Z42" s="62">
        <v>6743.2572606060712</v>
      </c>
      <c r="AA42" s="62">
        <v>6835.5013030303235</v>
      </c>
      <c r="AB42" s="62">
        <v>6927.7453454545757</v>
      </c>
      <c r="AC42" s="62">
        <v>7019.9893878787989</v>
      </c>
      <c r="AD42" s="62">
        <v>7112.2334303030511</v>
      </c>
      <c r="AE42" s="62">
        <v>7204.4774727273034</v>
      </c>
      <c r="AF42" s="62">
        <v>7296.7215151515265</v>
      </c>
      <c r="AG42" s="62">
        <v>7388.9655575757788</v>
      </c>
      <c r="AH42" s="62">
        <v>7481.2096000000311</v>
      </c>
      <c r="AI42" s="62">
        <v>7573.4536424242542</v>
      </c>
      <c r="AJ42" s="53" t="s">
        <v>235</v>
      </c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</row>
    <row r="43" spans="1:53" x14ac:dyDescent="0.25">
      <c r="A43" s="53" t="s">
        <v>228</v>
      </c>
      <c r="B43" s="61">
        <v>27044.906999999999</v>
      </c>
      <c r="C43" s="61">
        <v>27045.8024</v>
      </c>
      <c r="D43" s="61">
        <v>27046.697800000002</v>
      </c>
      <c r="E43" s="61">
        <v>27047.593200000003</v>
      </c>
      <c r="F43" s="61">
        <v>27048.488600000004</v>
      </c>
      <c r="G43" s="61">
        <v>27049.384000000002</v>
      </c>
      <c r="H43" s="61">
        <v>27217.201800000003</v>
      </c>
      <c r="I43" s="61">
        <v>27385.019600000003</v>
      </c>
      <c r="J43" s="61">
        <v>27552.837400000004</v>
      </c>
      <c r="K43" s="61">
        <v>27720.655200000005</v>
      </c>
      <c r="L43" s="61">
        <v>27888.472999999998</v>
      </c>
      <c r="M43" s="61">
        <v>28367.96</v>
      </c>
      <c r="N43" s="61">
        <v>28847.447</v>
      </c>
      <c r="O43" s="61">
        <v>29326.934000000001</v>
      </c>
      <c r="P43" s="61">
        <v>29806.421000000002</v>
      </c>
      <c r="Q43" s="61">
        <v>30285.907999999999</v>
      </c>
      <c r="R43" s="61">
        <v>30752.794000000002</v>
      </c>
      <c r="S43" s="61">
        <v>31219.680000000004</v>
      </c>
      <c r="T43" s="61">
        <v>31686.566000000006</v>
      </c>
      <c r="U43" s="61">
        <v>32153.452000000008</v>
      </c>
      <c r="V43" s="61">
        <v>32620.338000000003</v>
      </c>
      <c r="W43" s="62">
        <v>33104.025333333295</v>
      </c>
      <c r="X43" s="62">
        <v>33576.257212121156</v>
      </c>
      <c r="Y43" s="62">
        <v>34048.489090909017</v>
      </c>
      <c r="Z43" s="62">
        <v>34520.720969696878</v>
      </c>
      <c r="AA43" s="62">
        <v>34992.952848484856</v>
      </c>
      <c r="AB43" s="62">
        <v>35465.184727272717</v>
      </c>
      <c r="AC43" s="62">
        <v>35937.416606060578</v>
      </c>
      <c r="AD43" s="62">
        <v>36409.64848484844</v>
      </c>
      <c r="AE43" s="62">
        <v>36881.880363636301</v>
      </c>
      <c r="AF43" s="62">
        <v>37354.112242424162</v>
      </c>
      <c r="AG43" s="62">
        <v>37826.344121212023</v>
      </c>
      <c r="AH43" s="62">
        <v>38298.576000000001</v>
      </c>
      <c r="AI43" s="62">
        <v>38770.807878787862</v>
      </c>
      <c r="AJ43" s="53" t="s">
        <v>235</v>
      </c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</row>
    <row r="44" spans="1:53" x14ac:dyDescent="0.25">
      <c r="A44" s="53" t="s">
        <v>229</v>
      </c>
      <c r="B44" s="61">
        <v>16228.913</v>
      </c>
      <c r="C44" s="61">
        <v>16229.455</v>
      </c>
      <c r="D44" s="61">
        <v>16229.996999999999</v>
      </c>
      <c r="E44" s="61">
        <v>16230.538999999999</v>
      </c>
      <c r="F44" s="61">
        <v>16231.080999999998</v>
      </c>
      <c r="G44" s="61">
        <v>16231.623</v>
      </c>
      <c r="H44" s="61">
        <v>16332.3094</v>
      </c>
      <c r="I44" s="61">
        <v>16432.995800000001</v>
      </c>
      <c r="J44" s="61">
        <v>16533.682199999999</v>
      </c>
      <c r="K44" s="61">
        <v>16634.368599999998</v>
      </c>
      <c r="L44" s="61">
        <v>16735.055</v>
      </c>
      <c r="M44" s="61">
        <v>17022.7916</v>
      </c>
      <c r="N44" s="61">
        <v>17310.528200000001</v>
      </c>
      <c r="O44" s="61">
        <v>17598.264800000001</v>
      </c>
      <c r="P44" s="61">
        <v>17886.001400000001</v>
      </c>
      <c r="Q44" s="61">
        <v>18173.738000000001</v>
      </c>
      <c r="R44" s="61">
        <v>18453.896000000001</v>
      </c>
      <c r="S44" s="61">
        <v>18734.054</v>
      </c>
      <c r="T44" s="61">
        <v>19014.212</v>
      </c>
      <c r="U44" s="61">
        <v>19294.37</v>
      </c>
      <c r="V44" s="61">
        <v>19574.527999999998</v>
      </c>
      <c r="W44" s="62">
        <v>19864.790800000075</v>
      </c>
      <c r="X44" s="62">
        <v>20148.163963636383</v>
      </c>
      <c r="Y44" s="62">
        <v>20431.537127272808</v>
      </c>
      <c r="Z44" s="62">
        <v>20714.910290909116</v>
      </c>
      <c r="AA44" s="62">
        <v>20998.283454545541</v>
      </c>
      <c r="AB44" s="62">
        <v>21281.656618181849</v>
      </c>
      <c r="AC44" s="62">
        <v>21565.029781818273</v>
      </c>
      <c r="AD44" s="62">
        <v>21848.402945454582</v>
      </c>
      <c r="AE44" s="62">
        <v>22131.77610909089</v>
      </c>
      <c r="AF44" s="62">
        <v>22415.149272727314</v>
      </c>
      <c r="AG44" s="62">
        <v>22698.522436363623</v>
      </c>
      <c r="AH44" s="62">
        <v>22981.895600000047</v>
      </c>
      <c r="AI44" s="62">
        <v>23265.268763636355</v>
      </c>
      <c r="AJ44" s="53" t="s">
        <v>235</v>
      </c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</row>
    <row r="45" spans="1:53" x14ac:dyDescent="0.25">
      <c r="A45" s="63" t="s">
        <v>230</v>
      </c>
      <c r="B45" s="64">
        <v>53310.815000000002</v>
      </c>
      <c r="C45" s="64"/>
      <c r="D45" s="64"/>
      <c r="E45" s="64"/>
      <c r="F45" s="64"/>
      <c r="G45" s="64">
        <v>53319.665000000001</v>
      </c>
      <c r="H45" s="64"/>
      <c r="I45" s="64"/>
      <c r="J45" s="64"/>
      <c r="K45" s="64"/>
      <c r="L45" s="64">
        <v>54973.553999999996</v>
      </c>
      <c r="M45" s="64"/>
      <c r="N45" s="64"/>
      <c r="O45" s="64"/>
      <c r="P45" s="64"/>
      <c r="Q45" s="64">
        <v>59699.396999999997</v>
      </c>
      <c r="R45" s="64"/>
      <c r="S45" s="64"/>
      <c r="T45" s="64"/>
      <c r="U45" s="64"/>
      <c r="V45" s="64">
        <v>64300.959000000003</v>
      </c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</row>
    <row r="48" spans="1:53" ht="33.75" x14ac:dyDescent="0.5">
      <c r="A48" s="65"/>
      <c r="B48" s="66" t="s">
        <v>236</v>
      </c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</row>
    <row r="49" spans="1:53" ht="15.75" x14ac:dyDescent="0.25">
      <c r="A49" s="65"/>
      <c r="B49" s="65" t="s">
        <v>237</v>
      </c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</row>
    <row r="50" spans="1:53" ht="15.75" x14ac:dyDescent="0.25">
      <c r="A50" s="65"/>
      <c r="B50" s="65" t="s">
        <v>238</v>
      </c>
      <c r="C50" s="65">
        <v>2020</v>
      </c>
      <c r="D50" s="65">
        <v>2021</v>
      </c>
      <c r="E50" s="65">
        <v>2022</v>
      </c>
      <c r="F50" s="65">
        <v>2023</v>
      </c>
      <c r="G50" s="65">
        <v>2024</v>
      </c>
      <c r="H50" s="65">
        <v>2025</v>
      </c>
      <c r="I50" s="65">
        <v>2026</v>
      </c>
      <c r="J50" s="65">
        <v>2027</v>
      </c>
      <c r="K50" s="65">
        <v>2028</v>
      </c>
      <c r="L50" s="65">
        <v>2029</v>
      </c>
      <c r="M50" s="65">
        <v>2030</v>
      </c>
      <c r="N50" s="65">
        <v>2031</v>
      </c>
      <c r="O50" s="65">
        <v>2032</v>
      </c>
      <c r="P50" s="65">
        <v>2033</v>
      </c>
      <c r="Q50" s="65">
        <v>2034</v>
      </c>
      <c r="R50" s="65">
        <v>2035</v>
      </c>
      <c r="S50" s="65">
        <v>2036</v>
      </c>
      <c r="T50" s="65">
        <v>2037</v>
      </c>
      <c r="U50" s="65">
        <v>2038</v>
      </c>
      <c r="V50" s="65">
        <v>2039</v>
      </c>
      <c r="W50" s="65">
        <v>2040</v>
      </c>
      <c r="X50" s="65">
        <v>2041</v>
      </c>
      <c r="Y50" s="65">
        <v>2042</v>
      </c>
      <c r="Z50" s="65">
        <v>2043</v>
      </c>
      <c r="AA50" s="65">
        <v>2044</v>
      </c>
      <c r="AB50" s="65">
        <v>2045</v>
      </c>
      <c r="AC50" s="65">
        <v>2046</v>
      </c>
      <c r="AD50" s="65">
        <v>2047</v>
      </c>
      <c r="AE50" s="65">
        <v>2048</v>
      </c>
      <c r="AF50" s="65">
        <v>2049</v>
      </c>
      <c r="AG50" s="65">
        <v>2050</v>
      </c>
      <c r="AH50" s="65">
        <v>2051</v>
      </c>
      <c r="AI50" s="65">
        <v>2052</v>
      </c>
      <c r="AJ50" s="65">
        <v>2053</v>
      </c>
      <c r="AK50" s="65">
        <v>2054</v>
      </c>
      <c r="AL50" s="65">
        <v>2055</v>
      </c>
      <c r="AM50" s="65">
        <v>2056</v>
      </c>
      <c r="AN50" s="65">
        <v>2057</v>
      </c>
      <c r="AO50" s="65">
        <v>2058</v>
      </c>
      <c r="AP50" s="65">
        <v>2059</v>
      </c>
      <c r="AQ50" s="65">
        <v>2060</v>
      </c>
      <c r="AR50" s="65">
        <v>2061</v>
      </c>
      <c r="AS50" s="65">
        <v>2062</v>
      </c>
      <c r="AT50" s="65">
        <v>2063</v>
      </c>
      <c r="AU50" s="65">
        <v>2064</v>
      </c>
      <c r="AV50" s="65">
        <v>2065</v>
      </c>
      <c r="AW50" s="65">
        <v>2066</v>
      </c>
      <c r="AX50" s="65">
        <v>2067</v>
      </c>
      <c r="AY50" s="65">
        <v>2068</v>
      </c>
      <c r="AZ50" s="65">
        <v>2069</v>
      </c>
      <c r="BA50" s="65">
        <v>2070</v>
      </c>
    </row>
    <row r="51" spans="1:53" ht="15.75" x14ac:dyDescent="0.25">
      <c r="A51" s="65" t="s">
        <v>239</v>
      </c>
      <c r="B51" s="65" t="s">
        <v>240</v>
      </c>
      <c r="C51" s="65">
        <v>7282.1416874353799</v>
      </c>
      <c r="D51" s="65">
        <v>7350.0019452482002</v>
      </c>
      <c r="E51" s="65">
        <v>7417.8622030610204</v>
      </c>
      <c r="F51" s="65">
        <v>7485.7224608738397</v>
      </c>
      <c r="G51" s="65">
        <v>7553.58271868666</v>
      </c>
      <c r="H51" s="65">
        <v>7621.4429764994802</v>
      </c>
      <c r="I51" s="65">
        <v>7849.9524195209297</v>
      </c>
      <c r="J51" s="65">
        <v>8078.46186254237</v>
      </c>
      <c r="K51" s="65">
        <v>8306.9713055638204</v>
      </c>
      <c r="L51" s="65">
        <v>8535.4807485852598</v>
      </c>
      <c r="M51" s="65">
        <v>8763.9901916067101</v>
      </c>
      <c r="N51" s="65">
        <v>8847.3832993936594</v>
      </c>
      <c r="O51" s="65">
        <v>8930.7764071805996</v>
      </c>
      <c r="P51" s="65">
        <v>9014.1695149675397</v>
      </c>
      <c r="Q51" s="65">
        <v>9097.5626227544908</v>
      </c>
      <c r="R51" s="65">
        <v>9180.9557305414291</v>
      </c>
      <c r="S51" s="65">
        <v>9222.1208253382392</v>
      </c>
      <c r="T51" s="65">
        <v>9263.2859201350402</v>
      </c>
      <c r="U51" s="65">
        <v>9304.4510149318503</v>
      </c>
      <c r="V51" s="65">
        <v>9345.6161097286495</v>
      </c>
      <c r="W51" s="65">
        <v>9386.7812045254595</v>
      </c>
      <c r="X51" s="65">
        <v>9369.1215439642492</v>
      </c>
      <c r="Y51" s="65">
        <v>9351.4618834030498</v>
      </c>
      <c r="Z51" s="65">
        <v>9333.8022228418395</v>
      </c>
      <c r="AA51" s="65">
        <v>9316.1425622806291</v>
      </c>
      <c r="AB51" s="65">
        <v>9298.4829017194297</v>
      </c>
      <c r="AC51" s="65">
        <v>9319.9003916430102</v>
      </c>
      <c r="AD51" s="65">
        <v>9341.3178815665997</v>
      </c>
      <c r="AE51" s="65">
        <v>9362.7353714901801</v>
      </c>
      <c r="AF51" s="65">
        <v>9384.1528614137696</v>
      </c>
      <c r="AG51" s="65">
        <v>9405.5703513373501</v>
      </c>
      <c r="AH51" s="65">
        <v>9452.4188033549399</v>
      </c>
      <c r="AI51" s="65">
        <v>9499.2672553725406</v>
      </c>
      <c r="AJ51" s="65">
        <v>9546.1157073901304</v>
      </c>
      <c r="AK51" s="65">
        <v>9592.9641594077293</v>
      </c>
      <c r="AL51" s="65">
        <v>9639.8126114253191</v>
      </c>
      <c r="AM51" s="65">
        <v>9681.9087710619006</v>
      </c>
      <c r="AN51" s="65">
        <v>9724.0049306984802</v>
      </c>
      <c r="AO51" s="65">
        <v>9766.1010903350598</v>
      </c>
      <c r="AP51" s="65">
        <v>9808.1972499716394</v>
      </c>
      <c r="AQ51" s="65">
        <v>9850.2934096082208</v>
      </c>
      <c r="AR51" s="65">
        <v>9850.2934096082208</v>
      </c>
      <c r="AS51" s="65">
        <v>9850.2934096082208</v>
      </c>
      <c r="AT51" s="65">
        <v>9850.2934096082208</v>
      </c>
      <c r="AU51" s="65">
        <v>9850.2934096082208</v>
      </c>
      <c r="AV51" s="65">
        <v>9850.2934096082208</v>
      </c>
      <c r="AW51" s="65">
        <v>9850.2934096082208</v>
      </c>
      <c r="AX51" s="65">
        <v>9850.2934096082208</v>
      </c>
      <c r="AY51" s="65">
        <v>9850.2934096082208</v>
      </c>
      <c r="AZ51" s="65">
        <v>9850.2934096082208</v>
      </c>
      <c r="BA51" s="65">
        <v>9850.2934096082208</v>
      </c>
    </row>
    <row r="52" spans="1:53" ht="15.75" x14ac:dyDescent="0.25">
      <c r="A52" s="65" t="s">
        <v>239</v>
      </c>
      <c r="B52" s="65" t="s">
        <v>241</v>
      </c>
      <c r="C52" s="65">
        <v>8136.7392927447199</v>
      </c>
      <c r="D52" s="65">
        <v>8129.89814642275</v>
      </c>
      <c r="E52" s="65">
        <v>8123.05700010079</v>
      </c>
      <c r="F52" s="65">
        <v>8116.21585377882</v>
      </c>
      <c r="G52" s="65">
        <v>8109.37470745685</v>
      </c>
      <c r="H52" s="65">
        <v>8102.5335611348901</v>
      </c>
      <c r="I52" s="65">
        <v>8172.67728868431</v>
      </c>
      <c r="J52" s="65">
        <v>8242.82101623374</v>
      </c>
      <c r="K52" s="65">
        <v>8312.9647437831609</v>
      </c>
      <c r="L52" s="65">
        <v>8383.1084713325799</v>
      </c>
      <c r="M52" s="65">
        <v>8453.2521988820099</v>
      </c>
      <c r="N52" s="65">
        <v>8557.9386804889291</v>
      </c>
      <c r="O52" s="65">
        <v>8662.6251620958501</v>
      </c>
      <c r="P52" s="65">
        <v>8767.3116437027693</v>
      </c>
      <c r="Q52" s="65">
        <v>8871.9981253096903</v>
      </c>
      <c r="R52" s="65">
        <v>8976.6846069166095</v>
      </c>
      <c r="S52" s="65">
        <v>9033.8403811891603</v>
      </c>
      <c r="T52" s="65">
        <v>9090.9961554617003</v>
      </c>
      <c r="U52" s="65">
        <v>9148.1519297342493</v>
      </c>
      <c r="V52" s="65">
        <v>9205.3077040067892</v>
      </c>
      <c r="W52" s="65">
        <v>9262.4634782793401</v>
      </c>
      <c r="X52" s="65">
        <v>9269.66684530575</v>
      </c>
      <c r="Y52" s="65">
        <v>9276.87021233216</v>
      </c>
      <c r="Z52" s="65">
        <v>9284.07357935857</v>
      </c>
      <c r="AA52" s="65">
        <v>9291.2769463849909</v>
      </c>
      <c r="AB52" s="65">
        <v>9298.4803134114009</v>
      </c>
      <c r="AC52" s="65">
        <v>9319.8974401309006</v>
      </c>
      <c r="AD52" s="65">
        <v>9341.3145668504094</v>
      </c>
      <c r="AE52" s="65">
        <v>9362.7316935699091</v>
      </c>
      <c r="AF52" s="65">
        <v>9384.1488202894197</v>
      </c>
      <c r="AG52" s="65">
        <v>9405.5659470089195</v>
      </c>
      <c r="AH52" s="65">
        <v>9452.4154481758997</v>
      </c>
      <c r="AI52" s="65">
        <v>9499.2649493428798</v>
      </c>
      <c r="AJ52" s="65">
        <v>9546.1144505098691</v>
      </c>
      <c r="AK52" s="65">
        <v>9592.9639516768493</v>
      </c>
      <c r="AL52" s="65">
        <v>9639.8134528438295</v>
      </c>
      <c r="AM52" s="65">
        <v>9681.9106629611397</v>
      </c>
      <c r="AN52" s="65">
        <v>9724.0078730784408</v>
      </c>
      <c r="AO52" s="65">
        <v>9766.1050831957491</v>
      </c>
      <c r="AP52" s="65">
        <v>9808.2022933130593</v>
      </c>
      <c r="AQ52" s="65">
        <v>9850.2995034303694</v>
      </c>
      <c r="AR52" s="65">
        <v>9850.2995034303694</v>
      </c>
      <c r="AS52" s="65">
        <v>9850.2995034303694</v>
      </c>
      <c r="AT52" s="65">
        <v>9850.2995034303694</v>
      </c>
      <c r="AU52" s="65">
        <v>9850.2995034303694</v>
      </c>
      <c r="AV52" s="65">
        <v>9850.2995034303694</v>
      </c>
      <c r="AW52" s="65">
        <v>9850.2995034303694</v>
      </c>
      <c r="AX52" s="65">
        <v>9850.2995034303694</v>
      </c>
      <c r="AY52" s="65">
        <v>9850.2995034303694</v>
      </c>
      <c r="AZ52" s="65">
        <v>9850.2995034303694</v>
      </c>
      <c r="BA52" s="65">
        <v>9850.2995034303694</v>
      </c>
    </row>
    <row r="53" spans="1:53" ht="15.75" x14ac:dyDescent="0.25">
      <c r="A53" s="65" t="s">
        <v>239</v>
      </c>
      <c r="B53" s="65" t="s">
        <v>242</v>
      </c>
      <c r="C53" s="65">
        <v>8719.9366767922602</v>
      </c>
      <c r="D53" s="65">
        <v>8710.9261931227702</v>
      </c>
      <c r="E53" s="65">
        <v>8701.9157094532693</v>
      </c>
      <c r="F53" s="65">
        <v>8692.9052257837793</v>
      </c>
      <c r="G53" s="65">
        <v>8683.8947421142802</v>
      </c>
      <c r="H53" s="65">
        <v>8674.8842584447793</v>
      </c>
      <c r="I53" s="65">
        <v>8710.6315544953795</v>
      </c>
      <c r="J53" s="65">
        <v>8746.3788505459797</v>
      </c>
      <c r="K53" s="65">
        <v>8782.1261465965799</v>
      </c>
      <c r="L53" s="65">
        <v>8817.8734426471801</v>
      </c>
      <c r="M53" s="65">
        <v>8853.6207386977803</v>
      </c>
      <c r="N53" s="65">
        <v>8903.4735663380998</v>
      </c>
      <c r="O53" s="65">
        <v>8953.3263939784301</v>
      </c>
      <c r="P53" s="65">
        <v>9003.1792216187605</v>
      </c>
      <c r="Q53" s="65">
        <v>9053.0320492590909</v>
      </c>
      <c r="R53" s="65">
        <v>9102.8848768994194</v>
      </c>
      <c r="S53" s="65">
        <v>9139.2060599065098</v>
      </c>
      <c r="T53" s="65">
        <v>9175.5272429136003</v>
      </c>
      <c r="U53" s="65">
        <v>9211.8484259206907</v>
      </c>
      <c r="V53" s="65">
        <v>9248.1696089277793</v>
      </c>
      <c r="W53" s="65">
        <v>9284.4907919348807</v>
      </c>
      <c r="X53" s="65">
        <v>9287.2933523149804</v>
      </c>
      <c r="Y53" s="65">
        <v>9290.0959126950893</v>
      </c>
      <c r="Z53" s="65">
        <v>9292.8984730751909</v>
      </c>
      <c r="AA53" s="65">
        <v>9295.7010334552997</v>
      </c>
      <c r="AB53" s="65">
        <v>9298.5035938353994</v>
      </c>
      <c r="AC53" s="65">
        <v>9319.9192845638208</v>
      </c>
      <c r="AD53" s="65">
        <v>9341.3349752922404</v>
      </c>
      <c r="AE53" s="65">
        <v>9362.7506660206509</v>
      </c>
      <c r="AF53" s="65">
        <v>9384.1663567490705</v>
      </c>
      <c r="AG53" s="65">
        <v>9405.5820474774901</v>
      </c>
      <c r="AH53" s="65">
        <v>9452.4314031117792</v>
      </c>
      <c r="AI53" s="65">
        <v>9499.2807587460793</v>
      </c>
      <c r="AJ53" s="65">
        <v>9546.1301143803703</v>
      </c>
      <c r="AK53" s="65">
        <v>9592.9794700146595</v>
      </c>
      <c r="AL53" s="65">
        <v>9639.8288256489595</v>
      </c>
      <c r="AM53" s="65">
        <v>9681.9269695596195</v>
      </c>
      <c r="AN53" s="65">
        <v>9724.0251134702703</v>
      </c>
      <c r="AO53" s="65">
        <v>9766.1232573809302</v>
      </c>
      <c r="AP53" s="65">
        <v>9808.2214012915792</v>
      </c>
      <c r="AQ53" s="65">
        <v>9850.3195452022392</v>
      </c>
      <c r="AR53" s="65">
        <v>9850.3195452022392</v>
      </c>
      <c r="AS53" s="65">
        <v>9850.3195452022392</v>
      </c>
      <c r="AT53" s="65">
        <v>9850.3195452022392</v>
      </c>
      <c r="AU53" s="65">
        <v>9850.3195452022392</v>
      </c>
      <c r="AV53" s="65">
        <v>9850.3195452022392</v>
      </c>
      <c r="AW53" s="65">
        <v>9850.3195452022392</v>
      </c>
      <c r="AX53" s="65">
        <v>9850.3195452022392</v>
      </c>
      <c r="AY53" s="65">
        <v>9850.3195452022392</v>
      </c>
      <c r="AZ53" s="65">
        <v>9850.3195452022392</v>
      </c>
      <c r="BA53" s="65">
        <v>9850.3195452022392</v>
      </c>
    </row>
    <row r="54" spans="1:53" ht="15.75" x14ac:dyDescent="0.25">
      <c r="A54" s="65" t="s">
        <v>239</v>
      </c>
      <c r="B54" s="65" t="s">
        <v>243</v>
      </c>
      <c r="C54" s="65">
        <v>47403.3425431941</v>
      </c>
      <c r="D54" s="65">
        <v>47370.819333551997</v>
      </c>
      <c r="E54" s="65">
        <v>47338.2961239098</v>
      </c>
      <c r="F54" s="65">
        <v>47305.772914267603</v>
      </c>
      <c r="G54" s="65">
        <v>47273.249704625399</v>
      </c>
      <c r="H54" s="65">
        <v>47240.726494983202</v>
      </c>
      <c r="I54" s="65">
        <v>47313.685103101299</v>
      </c>
      <c r="J54" s="65">
        <v>47386.643711219403</v>
      </c>
      <c r="K54" s="65">
        <v>47459.602319337399</v>
      </c>
      <c r="L54" s="65">
        <v>47532.560927455503</v>
      </c>
      <c r="M54" s="65">
        <v>47605.5195355736</v>
      </c>
      <c r="N54" s="65">
        <v>47813.840253793001</v>
      </c>
      <c r="O54" s="65">
        <v>48022.160972012498</v>
      </c>
      <c r="P54" s="65">
        <v>48230.4816902319</v>
      </c>
      <c r="Q54" s="65">
        <v>48438.802408451404</v>
      </c>
      <c r="R54" s="65">
        <v>48647.123126670798</v>
      </c>
      <c r="S54" s="65">
        <v>49000.982680654299</v>
      </c>
      <c r="T54" s="65">
        <v>49354.842234637799</v>
      </c>
      <c r="U54" s="65">
        <v>49708.7017886213</v>
      </c>
      <c r="V54" s="65">
        <v>50062.5613426048</v>
      </c>
      <c r="W54" s="65">
        <v>50416.420896588301</v>
      </c>
      <c r="X54" s="65">
        <v>50436.5317338143</v>
      </c>
      <c r="Y54" s="65">
        <v>50456.642571040204</v>
      </c>
      <c r="Z54" s="65">
        <v>50476.753408266202</v>
      </c>
      <c r="AA54" s="65">
        <v>50496.864245492099</v>
      </c>
      <c r="AB54" s="65">
        <v>50516.975082718098</v>
      </c>
      <c r="AC54" s="65">
        <v>50482.10912501</v>
      </c>
      <c r="AD54" s="65">
        <v>50447.243167301902</v>
      </c>
      <c r="AE54" s="65">
        <v>50412.377209593797</v>
      </c>
      <c r="AF54" s="65">
        <v>50377.5112518858</v>
      </c>
      <c r="AG54" s="65">
        <v>50342.645294177702</v>
      </c>
      <c r="AH54" s="65">
        <v>50354.0822247123</v>
      </c>
      <c r="AI54" s="65">
        <v>50365.519155246897</v>
      </c>
      <c r="AJ54" s="65">
        <v>50376.956085781399</v>
      </c>
      <c r="AK54" s="65">
        <v>50388.393016315997</v>
      </c>
      <c r="AL54" s="65">
        <v>50399.829946850601</v>
      </c>
      <c r="AM54" s="65">
        <v>50409.758310406403</v>
      </c>
      <c r="AN54" s="65">
        <v>50419.686673962198</v>
      </c>
      <c r="AO54" s="65">
        <v>50429.615037518</v>
      </c>
      <c r="AP54" s="65">
        <v>50439.543401073803</v>
      </c>
      <c r="AQ54" s="65">
        <v>50449.471764629598</v>
      </c>
      <c r="AR54" s="65">
        <v>50449.471764629598</v>
      </c>
      <c r="AS54" s="65">
        <v>50449.471764629598</v>
      </c>
      <c r="AT54" s="65">
        <v>50449.471764629598</v>
      </c>
      <c r="AU54" s="65">
        <v>50449.471764629598</v>
      </c>
      <c r="AV54" s="65">
        <v>50449.471764629598</v>
      </c>
      <c r="AW54" s="65">
        <v>50449.471764629598</v>
      </c>
      <c r="AX54" s="65">
        <v>50449.471764629598</v>
      </c>
      <c r="AY54" s="65">
        <v>50449.471764629598</v>
      </c>
      <c r="AZ54" s="65">
        <v>50449.471764629598</v>
      </c>
      <c r="BA54" s="65">
        <v>50449.471764629598</v>
      </c>
    </row>
    <row r="55" spans="1:53" ht="15.75" x14ac:dyDescent="0.25">
      <c r="A55" s="67" t="s">
        <v>229</v>
      </c>
      <c r="B55" s="65" t="s">
        <v>244</v>
      </c>
      <c r="C55" s="65">
        <v>46342.194513281</v>
      </c>
      <c r="D55" s="65">
        <v>46524.799897631303</v>
      </c>
      <c r="E55" s="65">
        <v>46707.405281981599</v>
      </c>
      <c r="F55" s="65">
        <v>46890.010666331997</v>
      </c>
      <c r="G55" s="65">
        <v>47072.6160506823</v>
      </c>
      <c r="H55" s="65">
        <v>47255.221435032698</v>
      </c>
      <c r="I55" s="65">
        <v>47488.017480245799</v>
      </c>
      <c r="J55" s="65">
        <v>47720.813525459002</v>
      </c>
      <c r="K55" s="65">
        <v>47953.609570672197</v>
      </c>
      <c r="L55" s="65">
        <v>48186.405615885298</v>
      </c>
      <c r="M55" s="65">
        <v>48419.201661098501</v>
      </c>
      <c r="N55" s="65">
        <v>48697.120556422902</v>
      </c>
      <c r="O55" s="65">
        <v>48975.039451747398</v>
      </c>
      <c r="P55" s="65">
        <v>49252.958347071799</v>
      </c>
      <c r="Q55" s="65">
        <v>49530.8772423962</v>
      </c>
      <c r="R55" s="65">
        <v>49808.796137720703</v>
      </c>
      <c r="S55" s="65">
        <v>50037.092172565797</v>
      </c>
      <c r="T55" s="65">
        <v>50265.388207411001</v>
      </c>
      <c r="U55" s="65">
        <v>50493.684242256102</v>
      </c>
      <c r="V55" s="65">
        <v>50721.980277101298</v>
      </c>
      <c r="W55" s="65">
        <v>50950.2763119464</v>
      </c>
      <c r="X55" s="65">
        <v>50863.640684938699</v>
      </c>
      <c r="Y55" s="65">
        <v>50777.005057930903</v>
      </c>
      <c r="Z55" s="65">
        <v>50690.3694309231</v>
      </c>
      <c r="AA55" s="65">
        <v>50603.733803915398</v>
      </c>
      <c r="AB55" s="65">
        <v>50517.098176907602</v>
      </c>
      <c r="AC55" s="65">
        <v>50482.235228493199</v>
      </c>
      <c r="AD55" s="65">
        <v>50447.3722800787</v>
      </c>
      <c r="AE55" s="65">
        <v>50412.509331664303</v>
      </c>
      <c r="AF55" s="65">
        <v>50377.646383249899</v>
      </c>
      <c r="AG55" s="65">
        <v>50342.783434835503</v>
      </c>
      <c r="AH55" s="65">
        <v>50354.217722337198</v>
      </c>
      <c r="AI55" s="65">
        <v>50365.652009838799</v>
      </c>
      <c r="AJ55" s="65">
        <v>50377.086297340502</v>
      </c>
      <c r="AK55" s="65">
        <v>50388.520584842197</v>
      </c>
      <c r="AL55" s="65">
        <v>50399.9548723439</v>
      </c>
      <c r="AM55" s="65">
        <v>50409.8910974135</v>
      </c>
      <c r="AN55" s="65">
        <v>50419.827322483201</v>
      </c>
      <c r="AO55" s="65">
        <v>50429.7635475528</v>
      </c>
      <c r="AP55" s="65">
        <v>50439.699772622502</v>
      </c>
      <c r="AQ55" s="65">
        <v>50449.635997692203</v>
      </c>
      <c r="AR55" s="65">
        <v>50449.635997692203</v>
      </c>
      <c r="AS55" s="65">
        <v>50449.635997692203</v>
      </c>
      <c r="AT55" s="65">
        <v>50449.635997692203</v>
      </c>
      <c r="AU55" s="65">
        <v>50449.635997692203</v>
      </c>
      <c r="AV55" s="65">
        <v>50449.635997692203</v>
      </c>
      <c r="AW55" s="65">
        <v>50449.635997692203</v>
      </c>
      <c r="AX55" s="65">
        <v>50449.635997692203</v>
      </c>
      <c r="AY55" s="65">
        <v>50449.635997692203</v>
      </c>
      <c r="AZ55" s="65">
        <v>50449.635997692203</v>
      </c>
      <c r="BA55" s="65">
        <v>50449.635997692203</v>
      </c>
    </row>
    <row r="56" spans="1:53" ht="15.75" x14ac:dyDescent="0.25">
      <c r="A56" s="67" t="s">
        <v>229</v>
      </c>
      <c r="B56" s="65" t="s">
        <v>245</v>
      </c>
      <c r="C56" s="65">
        <v>47278.1584279175</v>
      </c>
      <c r="D56" s="65">
        <v>47569.074100935803</v>
      </c>
      <c r="E56" s="65">
        <v>47859.989773954097</v>
      </c>
      <c r="F56" s="65">
        <v>48150.9054469724</v>
      </c>
      <c r="G56" s="65">
        <v>48441.821119990702</v>
      </c>
      <c r="H56" s="65">
        <v>48732.736793008997</v>
      </c>
      <c r="I56" s="65">
        <v>48956.526623976002</v>
      </c>
      <c r="J56" s="65">
        <v>49180.316454943102</v>
      </c>
      <c r="K56" s="65">
        <v>49404.1062859101</v>
      </c>
      <c r="L56" s="65">
        <v>49627.8961168772</v>
      </c>
      <c r="M56" s="65">
        <v>49851.685947844198</v>
      </c>
      <c r="N56" s="65">
        <v>49992.597794347399</v>
      </c>
      <c r="O56" s="65">
        <v>50133.5096408506</v>
      </c>
      <c r="P56" s="65">
        <v>50274.4214873538</v>
      </c>
      <c r="Q56" s="65">
        <v>50415.333333857001</v>
      </c>
      <c r="R56" s="65">
        <v>50556.245180360202</v>
      </c>
      <c r="S56" s="65">
        <v>50632.372515471499</v>
      </c>
      <c r="T56" s="65">
        <v>50708.499850582797</v>
      </c>
      <c r="U56" s="65">
        <v>50784.627185694102</v>
      </c>
      <c r="V56" s="65">
        <v>50860.7545208054</v>
      </c>
      <c r="W56" s="65">
        <v>50936.881855916698</v>
      </c>
      <c r="X56" s="65">
        <v>50852.920852365198</v>
      </c>
      <c r="Y56" s="65">
        <v>50768.959848813698</v>
      </c>
      <c r="Z56" s="65">
        <v>50684.9988452623</v>
      </c>
      <c r="AA56" s="65">
        <v>50601.0378417108</v>
      </c>
      <c r="AB56" s="65">
        <v>50517.076838159403</v>
      </c>
      <c r="AC56" s="65">
        <v>50482.206494930797</v>
      </c>
      <c r="AD56" s="65">
        <v>50447.3361517023</v>
      </c>
      <c r="AE56" s="65">
        <v>50412.465808473702</v>
      </c>
      <c r="AF56" s="65">
        <v>50377.595465245198</v>
      </c>
      <c r="AG56" s="65">
        <v>50342.725122016702</v>
      </c>
      <c r="AH56" s="65">
        <v>50354.162869706503</v>
      </c>
      <c r="AI56" s="65">
        <v>50365.600617396398</v>
      </c>
      <c r="AJ56" s="65">
        <v>50377.0383650863</v>
      </c>
      <c r="AK56" s="65">
        <v>50388.476112776101</v>
      </c>
      <c r="AL56" s="65">
        <v>50399.913860465997</v>
      </c>
      <c r="AM56" s="65">
        <v>50409.8556951274</v>
      </c>
      <c r="AN56" s="65">
        <v>50419.797529788797</v>
      </c>
      <c r="AO56" s="65">
        <v>50429.739364450201</v>
      </c>
      <c r="AP56" s="65">
        <v>50439.681199111699</v>
      </c>
      <c r="AQ56" s="65">
        <v>50449.623033773103</v>
      </c>
      <c r="AR56" s="65">
        <v>50449.623033773103</v>
      </c>
      <c r="AS56" s="65">
        <v>50449.623033773103</v>
      </c>
      <c r="AT56" s="65">
        <v>50449.623033773103</v>
      </c>
      <c r="AU56" s="65">
        <v>50449.623033773103</v>
      </c>
      <c r="AV56" s="65">
        <v>50449.623033773103</v>
      </c>
      <c r="AW56" s="65">
        <v>50449.623033773103</v>
      </c>
      <c r="AX56" s="65">
        <v>50449.623033773103</v>
      </c>
      <c r="AY56" s="65">
        <v>50449.623033773103</v>
      </c>
      <c r="AZ56" s="65">
        <v>50449.623033773103</v>
      </c>
      <c r="BA56" s="65">
        <v>50449.623033773103</v>
      </c>
    </row>
    <row r="57" spans="1:53" ht="15.75" x14ac:dyDescent="0.25">
      <c r="A57" s="67" t="s">
        <v>226</v>
      </c>
      <c r="B57" s="65" t="s">
        <v>246</v>
      </c>
      <c r="C57" s="65">
        <v>16553.996349754801</v>
      </c>
      <c r="D57" s="65">
        <v>16490.0208218193</v>
      </c>
      <c r="E57" s="65">
        <v>16426.045293883901</v>
      </c>
      <c r="F57" s="65">
        <v>16362.069765948399</v>
      </c>
      <c r="G57" s="65">
        <v>16298.094238013</v>
      </c>
      <c r="H57" s="65">
        <v>16234.118710077601</v>
      </c>
      <c r="I57" s="65">
        <v>16231.1416573607</v>
      </c>
      <c r="J57" s="65">
        <v>16228.1646046439</v>
      </c>
      <c r="K57" s="65">
        <v>16225.187551927</v>
      </c>
      <c r="L57" s="65">
        <v>16222.210499210199</v>
      </c>
      <c r="M57" s="65">
        <v>16219.233446493399</v>
      </c>
      <c r="N57" s="65">
        <v>16279.774472630001</v>
      </c>
      <c r="O57" s="65">
        <v>16340.3154987665</v>
      </c>
      <c r="P57" s="65">
        <v>16400.856524903102</v>
      </c>
      <c r="Q57" s="65">
        <v>16461.397551039699</v>
      </c>
      <c r="R57" s="65">
        <v>16521.938577176301</v>
      </c>
      <c r="S57" s="65">
        <v>16649.0811900755</v>
      </c>
      <c r="T57" s="65">
        <v>16776.223802974699</v>
      </c>
      <c r="U57" s="65">
        <v>16903.366415873901</v>
      </c>
      <c r="V57" s="65">
        <v>17030.5090287731</v>
      </c>
      <c r="W57" s="65">
        <v>17157.651641672299</v>
      </c>
      <c r="X57" s="65">
        <v>17212.593460200598</v>
      </c>
      <c r="Y57" s="65">
        <v>17267.535278728799</v>
      </c>
      <c r="Z57" s="65">
        <v>17322.477097257099</v>
      </c>
      <c r="AA57" s="65">
        <v>17377.418915785402</v>
      </c>
      <c r="AB57" s="65">
        <v>17432.360734313701</v>
      </c>
      <c r="AC57" s="65">
        <v>17419.187550922499</v>
      </c>
      <c r="AD57" s="65">
        <v>17406.014367531399</v>
      </c>
      <c r="AE57" s="65">
        <v>17392.841184140299</v>
      </c>
      <c r="AF57" s="65">
        <v>17379.668000749101</v>
      </c>
      <c r="AG57" s="65">
        <v>17366.494817358001</v>
      </c>
      <c r="AH57" s="65">
        <v>17369.148701652699</v>
      </c>
      <c r="AI57" s="65">
        <v>17371.8025859474</v>
      </c>
      <c r="AJ57" s="65">
        <v>17374.456470242101</v>
      </c>
      <c r="AK57" s="65">
        <v>17377.110354536799</v>
      </c>
      <c r="AL57" s="65">
        <v>17379.7642388315</v>
      </c>
      <c r="AM57" s="65">
        <v>17382.863465345799</v>
      </c>
      <c r="AN57" s="65">
        <v>17385.962691860099</v>
      </c>
      <c r="AO57" s="65">
        <v>17389.061918374398</v>
      </c>
      <c r="AP57" s="65">
        <v>17392.161144888702</v>
      </c>
      <c r="AQ57" s="65">
        <v>17395.260371403001</v>
      </c>
      <c r="AR57" s="65">
        <v>17395.260371403001</v>
      </c>
      <c r="AS57" s="65">
        <v>17395.260371403001</v>
      </c>
      <c r="AT57" s="65">
        <v>17395.260371403001</v>
      </c>
      <c r="AU57" s="65">
        <v>17395.260371403001</v>
      </c>
      <c r="AV57" s="65">
        <v>17395.260371403001</v>
      </c>
      <c r="AW57" s="65">
        <v>17395.260371403001</v>
      </c>
      <c r="AX57" s="65">
        <v>17395.260371403001</v>
      </c>
      <c r="AY57" s="65">
        <v>17395.260371403001</v>
      </c>
      <c r="AZ57" s="65">
        <v>17395.260371403001</v>
      </c>
      <c r="BA57" s="65">
        <v>17395.260371403001</v>
      </c>
    </row>
    <row r="58" spans="1:53" ht="15.75" x14ac:dyDescent="0.25">
      <c r="A58" s="67" t="s">
        <v>228</v>
      </c>
      <c r="B58" s="65" t="s">
        <v>247</v>
      </c>
      <c r="C58" s="65">
        <v>16570.754794578301</v>
      </c>
      <c r="D58" s="65">
        <v>16622.4153990339</v>
      </c>
      <c r="E58" s="65">
        <v>16674.076003489401</v>
      </c>
      <c r="F58" s="65">
        <v>16725.736607945</v>
      </c>
      <c r="G58" s="65">
        <v>16777.3972124006</v>
      </c>
      <c r="H58" s="65">
        <v>16829.057816856101</v>
      </c>
      <c r="I58" s="65">
        <v>16868.7637990484</v>
      </c>
      <c r="J58" s="65">
        <v>16908.469781240699</v>
      </c>
      <c r="K58" s="65">
        <v>16948.175763432999</v>
      </c>
      <c r="L58" s="65">
        <v>16987.881745625298</v>
      </c>
      <c r="M58" s="65">
        <v>17027.587727817601</v>
      </c>
      <c r="N58" s="65">
        <v>17080.179941132999</v>
      </c>
      <c r="O58" s="65">
        <v>17132.772154448401</v>
      </c>
      <c r="P58" s="65">
        <v>17185.364367763799</v>
      </c>
      <c r="Q58" s="65">
        <v>17237.956581079201</v>
      </c>
      <c r="R58" s="65">
        <v>17290.548794394599</v>
      </c>
      <c r="S58" s="65">
        <v>17338.470504758399</v>
      </c>
      <c r="T58" s="65">
        <v>17386.3922151222</v>
      </c>
      <c r="U58" s="65">
        <v>17434.313925485902</v>
      </c>
      <c r="V58" s="65">
        <v>17482.235635849702</v>
      </c>
      <c r="W58" s="65">
        <v>17530.1573462134</v>
      </c>
      <c r="X58" s="65">
        <v>17510.593600268901</v>
      </c>
      <c r="Y58" s="65">
        <v>17491.029854324301</v>
      </c>
      <c r="Z58" s="65">
        <v>17471.466108379798</v>
      </c>
      <c r="AA58" s="65">
        <v>17451.902362435201</v>
      </c>
      <c r="AB58" s="65">
        <v>17432.338616490601</v>
      </c>
      <c r="AC58" s="65">
        <v>17419.1652077334</v>
      </c>
      <c r="AD58" s="65">
        <v>17405.9917989762</v>
      </c>
      <c r="AE58" s="65">
        <v>17392.818390218999</v>
      </c>
      <c r="AF58" s="65">
        <v>17379.644981461701</v>
      </c>
      <c r="AG58" s="65">
        <v>17366.4715727045</v>
      </c>
      <c r="AH58" s="65">
        <v>17369.1280221659</v>
      </c>
      <c r="AI58" s="65">
        <v>17371.784471627299</v>
      </c>
      <c r="AJ58" s="65">
        <v>17374.440921088699</v>
      </c>
      <c r="AK58" s="65">
        <v>17377.097370550098</v>
      </c>
      <c r="AL58" s="65">
        <v>17379.753820011501</v>
      </c>
      <c r="AM58" s="65">
        <v>17382.852288731701</v>
      </c>
      <c r="AN58" s="65">
        <v>17385.950757451799</v>
      </c>
      <c r="AO58" s="65">
        <v>17389.049226171999</v>
      </c>
      <c r="AP58" s="65">
        <v>17392.147694892101</v>
      </c>
      <c r="AQ58" s="65">
        <v>17395.246163612301</v>
      </c>
      <c r="AR58" s="65">
        <v>17395.246163612301</v>
      </c>
      <c r="AS58" s="65">
        <v>17395.246163612301</v>
      </c>
      <c r="AT58" s="65">
        <v>17395.246163612301</v>
      </c>
      <c r="AU58" s="65">
        <v>17395.246163612301</v>
      </c>
      <c r="AV58" s="65">
        <v>17395.246163612301</v>
      </c>
      <c r="AW58" s="65">
        <v>17395.246163612301</v>
      </c>
      <c r="AX58" s="65">
        <v>17395.246163612301</v>
      </c>
      <c r="AY58" s="65">
        <v>17395.246163612301</v>
      </c>
      <c r="AZ58" s="65">
        <v>17395.246163612301</v>
      </c>
      <c r="BA58" s="65">
        <v>17395.246163612301</v>
      </c>
    </row>
    <row r="59" spans="1:53" ht="15.75" x14ac:dyDescent="0.25">
      <c r="A59" s="67" t="s">
        <v>228</v>
      </c>
      <c r="B59" s="65" t="s">
        <v>248</v>
      </c>
      <c r="C59" s="65">
        <v>16704.542098382299</v>
      </c>
      <c r="D59" s="65">
        <v>16744.325322286499</v>
      </c>
      <c r="E59" s="65">
        <v>16784.108546190699</v>
      </c>
      <c r="F59" s="65">
        <v>16823.8917700948</v>
      </c>
      <c r="G59" s="65">
        <v>16863.674993999</v>
      </c>
      <c r="H59" s="65">
        <v>16903.458217903099</v>
      </c>
      <c r="I59" s="65">
        <v>16930.0178621267</v>
      </c>
      <c r="J59" s="65">
        <v>16956.577506350299</v>
      </c>
      <c r="K59" s="65">
        <v>16983.137150573799</v>
      </c>
      <c r="L59" s="65">
        <v>17009.696794797401</v>
      </c>
      <c r="M59" s="65">
        <v>17036.256439020999</v>
      </c>
      <c r="N59" s="65">
        <v>17092.802504269799</v>
      </c>
      <c r="O59" s="65">
        <v>17149.348569518501</v>
      </c>
      <c r="P59" s="65">
        <v>17205.894634767301</v>
      </c>
      <c r="Q59" s="65">
        <v>17262.440700016101</v>
      </c>
      <c r="R59" s="65">
        <v>17318.986765264901</v>
      </c>
      <c r="S59" s="65">
        <v>17364.257959149501</v>
      </c>
      <c r="T59" s="65">
        <v>17409.529153034098</v>
      </c>
      <c r="U59" s="65">
        <v>17454.800346918801</v>
      </c>
      <c r="V59" s="65">
        <v>17500.071540803401</v>
      </c>
      <c r="W59" s="65">
        <v>17545.342734688002</v>
      </c>
      <c r="X59" s="65">
        <v>17522.7431531449</v>
      </c>
      <c r="Y59" s="65">
        <v>17500.143571601799</v>
      </c>
      <c r="Z59" s="65">
        <v>17477.543990058701</v>
      </c>
      <c r="AA59" s="65">
        <v>17454.944408515501</v>
      </c>
      <c r="AB59" s="65">
        <v>17432.344826972399</v>
      </c>
      <c r="AC59" s="65">
        <v>17419.170605622599</v>
      </c>
      <c r="AD59" s="65">
        <v>17405.996384272799</v>
      </c>
      <c r="AE59" s="65">
        <v>17392.822162922999</v>
      </c>
      <c r="AF59" s="65">
        <v>17379.647941573199</v>
      </c>
      <c r="AG59" s="65">
        <v>17366.473720223399</v>
      </c>
      <c r="AH59" s="65">
        <v>17369.1279193954</v>
      </c>
      <c r="AI59" s="65">
        <v>17371.7821185674</v>
      </c>
      <c r="AJ59" s="65">
        <v>17374.436317739401</v>
      </c>
      <c r="AK59" s="65">
        <v>17377.090516911499</v>
      </c>
      <c r="AL59" s="65">
        <v>17379.7447160835</v>
      </c>
      <c r="AM59" s="65">
        <v>17382.842621448199</v>
      </c>
      <c r="AN59" s="65">
        <v>17385.940526812999</v>
      </c>
      <c r="AO59" s="65">
        <v>17389.038432177698</v>
      </c>
      <c r="AP59" s="65">
        <v>17392.136337542499</v>
      </c>
      <c r="AQ59" s="65">
        <v>17395.234242907201</v>
      </c>
      <c r="AR59" s="65">
        <v>17395.234242907201</v>
      </c>
      <c r="AS59" s="65">
        <v>17395.234242907201</v>
      </c>
      <c r="AT59" s="65">
        <v>17395.234242907201</v>
      </c>
      <c r="AU59" s="65">
        <v>17395.234242907201</v>
      </c>
      <c r="AV59" s="65">
        <v>17395.234242907201</v>
      </c>
      <c r="AW59" s="65">
        <v>17395.234242907201</v>
      </c>
      <c r="AX59" s="65">
        <v>17395.234242907201</v>
      </c>
      <c r="AY59" s="65">
        <v>17395.234242907201</v>
      </c>
      <c r="AZ59" s="65">
        <v>17395.234242907201</v>
      </c>
      <c r="BA59" s="65">
        <v>17395.234242907201</v>
      </c>
    </row>
    <row r="60" spans="1:53" ht="15.75" x14ac:dyDescent="0.25">
      <c r="A60" s="67" t="s">
        <v>226</v>
      </c>
      <c r="B60" s="65" t="s">
        <v>249</v>
      </c>
      <c r="C60" s="65">
        <v>48680.059179703101</v>
      </c>
      <c r="D60" s="65">
        <v>48531.565439054502</v>
      </c>
      <c r="E60" s="65">
        <v>48383.071698405802</v>
      </c>
      <c r="F60" s="65">
        <v>48234.577957757203</v>
      </c>
      <c r="G60" s="65">
        <v>48086.084217108597</v>
      </c>
      <c r="H60" s="65">
        <v>47937.590476459998</v>
      </c>
      <c r="I60" s="65">
        <v>47927.115820955602</v>
      </c>
      <c r="J60" s="65">
        <v>47916.641165451198</v>
      </c>
      <c r="K60" s="65">
        <v>47906.166509946699</v>
      </c>
      <c r="L60" s="65">
        <v>47895.691854442302</v>
      </c>
      <c r="M60" s="65">
        <v>47885.217198937899</v>
      </c>
      <c r="N60" s="65">
        <v>47968.700590354703</v>
      </c>
      <c r="O60" s="65">
        <v>48052.183981771501</v>
      </c>
      <c r="P60" s="65">
        <v>48135.667373188298</v>
      </c>
      <c r="Q60" s="65">
        <v>48219.150764605103</v>
      </c>
      <c r="R60" s="65">
        <v>48302.634156021901</v>
      </c>
      <c r="S60" s="65">
        <v>48572.493863907002</v>
      </c>
      <c r="T60" s="65">
        <v>48842.353571792097</v>
      </c>
      <c r="U60" s="65">
        <v>49112.213279677198</v>
      </c>
      <c r="V60" s="65">
        <v>49382.0729875623</v>
      </c>
      <c r="W60" s="65">
        <v>49651.932695447402</v>
      </c>
      <c r="X60" s="65">
        <v>49714.262858998103</v>
      </c>
      <c r="Y60" s="65">
        <v>49776.593022548797</v>
      </c>
      <c r="Z60" s="65">
        <v>49838.923186099499</v>
      </c>
      <c r="AA60" s="65">
        <v>49901.2533496502</v>
      </c>
      <c r="AB60" s="65">
        <v>49963.583513200902</v>
      </c>
      <c r="AC60" s="65">
        <v>49892.910659401299</v>
      </c>
      <c r="AD60" s="65">
        <v>49822.237805601799</v>
      </c>
      <c r="AE60" s="65">
        <v>49751.564951802298</v>
      </c>
      <c r="AF60" s="65">
        <v>49680.892098002798</v>
      </c>
      <c r="AG60" s="65">
        <v>49610.219244203297</v>
      </c>
      <c r="AH60" s="65">
        <v>49619.684017236097</v>
      </c>
      <c r="AI60" s="65">
        <v>49629.148790268999</v>
      </c>
      <c r="AJ60" s="65">
        <v>49638.6135633019</v>
      </c>
      <c r="AK60" s="65">
        <v>49648.078336334802</v>
      </c>
      <c r="AL60" s="65">
        <v>49657.543109367602</v>
      </c>
      <c r="AM60" s="65">
        <v>49669.802400022898</v>
      </c>
      <c r="AN60" s="65">
        <v>49682.061690678202</v>
      </c>
      <c r="AO60" s="65">
        <v>49694.3209813336</v>
      </c>
      <c r="AP60" s="65">
        <v>49706.580271988903</v>
      </c>
      <c r="AQ60" s="65">
        <v>49718.8395626442</v>
      </c>
      <c r="AR60" s="65">
        <v>49718.8395626442</v>
      </c>
      <c r="AS60" s="65">
        <v>49718.8395626442</v>
      </c>
      <c r="AT60" s="65">
        <v>49718.8395626442</v>
      </c>
      <c r="AU60" s="65">
        <v>49718.8395626442</v>
      </c>
      <c r="AV60" s="65">
        <v>49718.8395626442</v>
      </c>
      <c r="AW60" s="65">
        <v>49718.8395626442</v>
      </c>
      <c r="AX60" s="65">
        <v>49718.8395626442</v>
      </c>
      <c r="AY60" s="65">
        <v>49718.8395626442</v>
      </c>
      <c r="AZ60" s="65">
        <v>49718.8395626442</v>
      </c>
      <c r="BA60" s="65">
        <v>49718.8395626442</v>
      </c>
    </row>
    <row r="61" spans="1:53" ht="15.75" x14ac:dyDescent="0.25">
      <c r="A61" s="67" t="s">
        <v>227</v>
      </c>
      <c r="B61" s="65" t="s">
        <v>250</v>
      </c>
      <c r="C61" s="65">
        <v>48928.255233450298</v>
      </c>
      <c r="D61" s="65">
        <v>48905.9512639452</v>
      </c>
      <c r="E61" s="65">
        <v>48883.647294440001</v>
      </c>
      <c r="F61" s="65">
        <v>48861.343324934896</v>
      </c>
      <c r="G61" s="65">
        <v>48839.039355429697</v>
      </c>
      <c r="H61" s="65">
        <v>48816.7353859246</v>
      </c>
      <c r="I61" s="65">
        <v>48853.189681665601</v>
      </c>
      <c r="J61" s="65">
        <v>48889.643977406697</v>
      </c>
      <c r="K61" s="65">
        <v>48926.098273147698</v>
      </c>
      <c r="L61" s="65">
        <v>48962.552568888801</v>
      </c>
      <c r="M61" s="65">
        <v>48999.006864629802</v>
      </c>
      <c r="N61" s="65">
        <v>49142.051968313703</v>
      </c>
      <c r="O61" s="65">
        <v>49285.097071997698</v>
      </c>
      <c r="P61" s="65">
        <v>49428.142175681598</v>
      </c>
      <c r="Q61" s="65">
        <v>49571.187279365498</v>
      </c>
      <c r="R61" s="65">
        <v>49714.232383049399</v>
      </c>
      <c r="S61" s="65">
        <v>49870.381640020802</v>
      </c>
      <c r="T61" s="65">
        <v>50026.530896992299</v>
      </c>
      <c r="U61" s="65">
        <v>50182.680153963702</v>
      </c>
      <c r="V61" s="65">
        <v>50338.829410935097</v>
      </c>
      <c r="W61" s="65">
        <v>50494.9786679065</v>
      </c>
      <c r="X61" s="65">
        <v>50388.725495065999</v>
      </c>
      <c r="Y61" s="65">
        <v>50282.472322225498</v>
      </c>
      <c r="Z61" s="65">
        <v>50176.219149384902</v>
      </c>
      <c r="AA61" s="65">
        <v>50069.965976544401</v>
      </c>
      <c r="AB61" s="65">
        <v>49963.712803703798</v>
      </c>
      <c r="AC61" s="65">
        <v>49893.036372125403</v>
      </c>
      <c r="AD61" s="65">
        <v>49822.359940547001</v>
      </c>
      <c r="AE61" s="65">
        <v>49751.683508968599</v>
      </c>
      <c r="AF61" s="65">
        <v>49681.007077390197</v>
      </c>
      <c r="AG61" s="65">
        <v>49610.3306458117</v>
      </c>
      <c r="AH61" s="65">
        <v>49619.803571141398</v>
      </c>
      <c r="AI61" s="65">
        <v>49629.276496471102</v>
      </c>
      <c r="AJ61" s="65">
        <v>49638.7494218008</v>
      </c>
      <c r="AK61" s="65">
        <v>49648.222347130497</v>
      </c>
      <c r="AL61" s="65">
        <v>49657.695272460202</v>
      </c>
      <c r="AM61" s="65">
        <v>49669.9530566182</v>
      </c>
      <c r="AN61" s="65">
        <v>49682.210840776199</v>
      </c>
      <c r="AO61" s="65">
        <v>49694.468624934198</v>
      </c>
      <c r="AP61" s="65">
        <v>49706.726409092298</v>
      </c>
      <c r="AQ61" s="65">
        <v>49718.984193250297</v>
      </c>
      <c r="AR61" s="65">
        <v>49718.984193250297</v>
      </c>
      <c r="AS61" s="65">
        <v>49718.984193250297</v>
      </c>
      <c r="AT61" s="65">
        <v>49718.984193250297</v>
      </c>
      <c r="AU61" s="65">
        <v>49718.984193250297</v>
      </c>
      <c r="AV61" s="65">
        <v>49718.984193250297</v>
      </c>
      <c r="AW61" s="65">
        <v>49718.984193250297</v>
      </c>
      <c r="AX61" s="65">
        <v>49718.984193250297</v>
      </c>
      <c r="AY61" s="65">
        <v>49718.984193250297</v>
      </c>
      <c r="AZ61" s="65">
        <v>49718.984193250297</v>
      </c>
      <c r="BA61" s="65">
        <v>49718.984193250297</v>
      </c>
    </row>
    <row r="62" spans="1:53" ht="15.75" x14ac:dyDescent="0.25">
      <c r="A62" s="67" t="s">
        <v>227</v>
      </c>
      <c r="B62" s="65" t="s">
        <v>251</v>
      </c>
      <c r="C62" s="65">
        <v>41840.8040271758</v>
      </c>
      <c r="D62" s="65">
        <v>40833.384495642596</v>
      </c>
      <c r="E62" s="65">
        <v>39825.964964109298</v>
      </c>
      <c r="F62" s="65">
        <v>38818.545432576102</v>
      </c>
      <c r="G62" s="65">
        <v>37811.125901042898</v>
      </c>
      <c r="H62" s="65">
        <v>36803.7063695096</v>
      </c>
      <c r="I62" s="65">
        <v>35882.5363325976</v>
      </c>
      <c r="J62" s="65">
        <v>34961.366295685497</v>
      </c>
      <c r="K62" s="65">
        <v>34040.196258773401</v>
      </c>
      <c r="L62" s="65">
        <v>33119.026221861401</v>
      </c>
      <c r="M62" s="65">
        <v>32197.856184949302</v>
      </c>
      <c r="N62" s="65">
        <v>31358.835275197402</v>
      </c>
      <c r="O62" s="65">
        <v>30519.814365445502</v>
      </c>
      <c r="P62" s="65">
        <v>29680.793455693602</v>
      </c>
      <c r="Q62" s="65">
        <v>28841.772545941702</v>
      </c>
      <c r="R62" s="65">
        <v>28002.751636189802</v>
      </c>
      <c r="S62" s="65">
        <v>28002.751636189802</v>
      </c>
      <c r="T62" s="65">
        <v>28002.751636189802</v>
      </c>
      <c r="U62" s="65">
        <v>28002.751636189802</v>
      </c>
      <c r="V62" s="65">
        <v>28002.751636189802</v>
      </c>
      <c r="W62" s="65">
        <v>28002.751636189802</v>
      </c>
      <c r="X62" s="65">
        <v>28002.751636189802</v>
      </c>
      <c r="Y62" s="65">
        <v>28002.751636189802</v>
      </c>
      <c r="Z62" s="65">
        <v>28002.751636189802</v>
      </c>
      <c r="AA62" s="65">
        <v>28002.751636189802</v>
      </c>
      <c r="AB62" s="65">
        <v>28002.751636189802</v>
      </c>
      <c r="AC62" s="65">
        <v>28002.751636189802</v>
      </c>
      <c r="AD62" s="65">
        <v>28002.751636189802</v>
      </c>
      <c r="AE62" s="65">
        <v>28002.751636189802</v>
      </c>
      <c r="AF62" s="65">
        <v>28002.751636189802</v>
      </c>
      <c r="AG62" s="65">
        <v>28002.751636189802</v>
      </c>
      <c r="AH62" s="65">
        <v>28002.751636189802</v>
      </c>
      <c r="AI62" s="65">
        <v>28002.751636189802</v>
      </c>
      <c r="AJ62" s="65">
        <v>28002.751636189802</v>
      </c>
      <c r="AK62" s="65">
        <v>28002.751636189802</v>
      </c>
      <c r="AL62" s="65">
        <v>28002.751636189802</v>
      </c>
      <c r="AM62" s="65">
        <v>28002.751636189802</v>
      </c>
      <c r="AN62" s="65">
        <v>28002.751636189802</v>
      </c>
      <c r="AO62" s="65">
        <v>28002.751636189802</v>
      </c>
      <c r="AP62" s="65">
        <v>28002.751636189802</v>
      </c>
      <c r="AQ62" s="65">
        <v>28002.751636189802</v>
      </c>
      <c r="AR62" s="65">
        <v>28002.751636189802</v>
      </c>
      <c r="AS62" s="65">
        <v>28002.751636189802</v>
      </c>
      <c r="AT62" s="65">
        <v>28002.751636189802</v>
      </c>
      <c r="AU62" s="65">
        <v>28002.751636189802</v>
      </c>
      <c r="AV62" s="65">
        <v>28002.751636189802</v>
      </c>
      <c r="AW62" s="65">
        <v>28002.751636189802</v>
      </c>
      <c r="AX62" s="65">
        <v>28002.751636189802</v>
      </c>
      <c r="AY62" s="65">
        <v>28002.751636189802</v>
      </c>
      <c r="AZ62" s="65">
        <v>28002.751636189802</v>
      </c>
      <c r="BA62" s="65">
        <v>28002.751636189802</v>
      </c>
    </row>
    <row r="63" spans="1:53" ht="15.75" x14ac:dyDescent="0.25">
      <c r="A63" s="65" t="s">
        <v>239</v>
      </c>
      <c r="B63" s="65" t="s">
        <v>252</v>
      </c>
      <c r="C63" s="65">
        <v>50685.4623430063</v>
      </c>
      <c r="D63" s="65">
        <v>50583.8805170345</v>
      </c>
      <c r="E63" s="65">
        <v>50482.298691062599</v>
      </c>
      <c r="F63" s="65">
        <v>50380.716865090799</v>
      </c>
      <c r="G63" s="65">
        <v>50279.135039118897</v>
      </c>
      <c r="H63" s="65">
        <v>50177.553213147097</v>
      </c>
      <c r="I63" s="65">
        <v>50126.056446811002</v>
      </c>
      <c r="J63" s="65">
        <v>50074.559680475002</v>
      </c>
      <c r="K63" s="65">
        <v>50023.0629141389</v>
      </c>
      <c r="L63" s="65">
        <v>49971.566147802798</v>
      </c>
      <c r="M63" s="65">
        <v>49920.069381466797</v>
      </c>
      <c r="N63" s="65">
        <v>49971.697861011198</v>
      </c>
      <c r="O63" s="65">
        <v>50023.326340555599</v>
      </c>
      <c r="P63" s="65">
        <v>50074.954820099898</v>
      </c>
      <c r="Q63" s="65">
        <v>50126.583299644299</v>
      </c>
      <c r="R63" s="65">
        <v>50178.211779188699</v>
      </c>
      <c r="S63" s="65">
        <v>50243.600408327002</v>
      </c>
      <c r="T63" s="65">
        <v>50308.989037465297</v>
      </c>
      <c r="U63" s="65">
        <v>50374.377666603599</v>
      </c>
      <c r="V63" s="65">
        <v>50439.7662957418</v>
      </c>
      <c r="W63" s="65">
        <v>50505.154924880102</v>
      </c>
      <c r="X63" s="65">
        <v>50396.860215410503</v>
      </c>
      <c r="Y63" s="65">
        <v>50288.565505940802</v>
      </c>
      <c r="Z63" s="65">
        <v>50180.270796471203</v>
      </c>
      <c r="AA63" s="65">
        <v>50071.976087001603</v>
      </c>
      <c r="AB63" s="65">
        <v>49963.681377531902</v>
      </c>
      <c r="AC63" s="65">
        <v>49893.016098539498</v>
      </c>
      <c r="AD63" s="65">
        <v>49822.350819546999</v>
      </c>
      <c r="AE63" s="65">
        <v>49751.685540554499</v>
      </c>
      <c r="AF63" s="65">
        <v>49681.020261562102</v>
      </c>
      <c r="AG63" s="65">
        <v>49610.354982569603</v>
      </c>
      <c r="AH63" s="65">
        <v>49619.818479635702</v>
      </c>
      <c r="AI63" s="65">
        <v>49629.281976701699</v>
      </c>
      <c r="AJ63" s="65">
        <v>49638.745473767798</v>
      </c>
      <c r="AK63" s="65">
        <v>49648.208970833897</v>
      </c>
      <c r="AL63" s="65">
        <v>49657.672467899902</v>
      </c>
      <c r="AM63" s="65">
        <v>49669.930950411203</v>
      </c>
      <c r="AN63" s="65">
        <v>49682.189432922401</v>
      </c>
      <c r="AO63" s="65">
        <v>49694.447915433702</v>
      </c>
      <c r="AP63" s="65">
        <v>49706.706397945003</v>
      </c>
      <c r="AQ63" s="65">
        <v>49718.964880456202</v>
      </c>
      <c r="AR63" s="65">
        <v>49718.964880456202</v>
      </c>
      <c r="AS63" s="65">
        <v>49718.964880456202</v>
      </c>
      <c r="AT63" s="65">
        <v>49718.964880456202</v>
      </c>
      <c r="AU63" s="65">
        <v>49718.964880456202</v>
      </c>
      <c r="AV63" s="65">
        <v>49718.964880456202</v>
      </c>
      <c r="AW63" s="65">
        <v>49718.964880456202</v>
      </c>
      <c r="AX63" s="65">
        <v>49718.964880456202</v>
      </c>
      <c r="AY63" s="65">
        <v>49718.964880456202</v>
      </c>
      <c r="AZ63" s="65">
        <v>49718.964880456202</v>
      </c>
      <c r="BA63" s="65">
        <v>49718.964880456202</v>
      </c>
    </row>
    <row r="64" spans="1:53" ht="15.75" x14ac:dyDescent="0.25">
      <c r="A64" s="65" t="s">
        <v>253</v>
      </c>
      <c r="B64" s="65" t="s">
        <v>254</v>
      </c>
      <c r="C64" s="65">
        <v>18168.339556343199</v>
      </c>
      <c r="D64" s="65">
        <v>18087.779843213699</v>
      </c>
      <c r="E64" s="65">
        <v>18007.220130084301</v>
      </c>
      <c r="F64" s="65">
        <v>17926.660416954801</v>
      </c>
      <c r="G64" s="65">
        <v>17846.100703825399</v>
      </c>
      <c r="H64" s="65">
        <v>17765.540990695899</v>
      </c>
      <c r="I64" s="65">
        <v>17855.717347129601</v>
      </c>
      <c r="J64" s="65">
        <v>17945.893703563201</v>
      </c>
      <c r="K64" s="65">
        <v>18036.0700599968</v>
      </c>
      <c r="L64" s="65">
        <v>18126.246416430498</v>
      </c>
      <c r="M64" s="65">
        <v>18216.422772864102</v>
      </c>
      <c r="N64" s="65">
        <v>18333.793370800799</v>
      </c>
      <c r="O64" s="65">
        <v>18451.163968737499</v>
      </c>
      <c r="P64" s="65">
        <v>18568.534566674101</v>
      </c>
      <c r="Q64" s="65">
        <v>18685.905164610798</v>
      </c>
      <c r="R64" s="65">
        <v>18803.275762547499</v>
      </c>
      <c r="S64" s="65">
        <v>18989.4734114286</v>
      </c>
      <c r="T64" s="65">
        <v>19175.671060309702</v>
      </c>
      <c r="U64" s="65">
        <v>19361.8687091908</v>
      </c>
      <c r="V64" s="65">
        <v>19548.066358071999</v>
      </c>
      <c r="W64" s="65">
        <v>19734.264006953101</v>
      </c>
      <c r="X64" s="65">
        <v>19821.558269623201</v>
      </c>
      <c r="Y64" s="65">
        <v>19908.852532293298</v>
      </c>
      <c r="Z64" s="65">
        <v>19996.146794963501</v>
      </c>
      <c r="AA64" s="65">
        <v>20083.441057633601</v>
      </c>
      <c r="AB64" s="65">
        <v>20170.735320303698</v>
      </c>
      <c r="AC64" s="65">
        <v>20216.8878974441</v>
      </c>
      <c r="AD64" s="65">
        <v>20263.040474584599</v>
      </c>
      <c r="AE64" s="65">
        <v>20309.193051725</v>
      </c>
      <c r="AF64" s="65">
        <v>20355.345628865402</v>
      </c>
      <c r="AG64" s="65">
        <v>20401.498206005799</v>
      </c>
      <c r="AH64" s="65">
        <v>20465.361529331502</v>
      </c>
      <c r="AI64" s="65">
        <v>20529.2248526572</v>
      </c>
      <c r="AJ64" s="65">
        <v>20593.088175982801</v>
      </c>
      <c r="AK64" s="65">
        <v>20656.951499308499</v>
      </c>
      <c r="AL64" s="65">
        <v>20720.814822634198</v>
      </c>
      <c r="AM64" s="65">
        <v>20782.652656748</v>
      </c>
      <c r="AN64" s="65">
        <v>20844.490490861801</v>
      </c>
      <c r="AO64" s="65">
        <v>20906.328324975599</v>
      </c>
      <c r="AP64" s="65">
        <v>20968.166159089302</v>
      </c>
      <c r="AQ64" s="65">
        <v>21030.0039932031</v>
      </c>
      <c r="AR64" s="65">
        <v>21030.0039932031</v>
      </c>
      <c r="AS64" s="65">
        <v>21030.0039932031</v>
      </c>
      <c r="AT64" s="65">
        <v>21030.0039932031</v>
      </c>
      <c r="AU64" s="65">
        <v>21030.0039932031</v>
      </c>
      <c r="AV64" s="65">
        <v>21030.0039932031</v>
      </c>
      <c r="AW64" s="65">
        <v>21030.0039932031</v>
      </c>
      <c r="AX64" s="65">
        <v>21030.0039932031</v>
      </c>
      <c r="AY64" s="65">
        <v>21030.0039932031</v>
      </c>
      <c r="AZ64" s="65">
        <v>21030.0039932031</v>
      </c>
      <c r="BA64" s="65">
        <v>21030.0039932031</v>
      </c>
    </row>
    <row r="65" spans="1:53" ht="15.75" x14ac:dyDescent="0.25">
      <c r="A65" s="65" t="s">
        <v>253</v>
      </c>
      <c r="B65" s="65" t="s">
        <v>255</v>
      </c>
      <c r="C65" s="65">
        <v>20917.827201155302</v>
      </c>
      <c r="D65" s="65">
        <v>20769.874522766298</v>
      </c>
      <c r="E65" s="65">
        <v>20621.921844377201</v>
      </c>
      <c r="F65" s="65">
        <v>20473.969165988099</v>
      </c>
      <c r="G65" s="65">
        <v>20326.016487599099</v>
      </c>
      <c r="H65" s="65">
        <v>20178.063809210002</v>
      </c>
      <c r="I65" s="65">
        <v>20110.102201513899</v>
      </c>
      <c r="J65" s="65">
        <v>20042.1405938178</v>
      </c>
      <c r="K65" s="65">
        <v>19974.178986121799</v>
      </c>
      <c r="L65" s="65">
        <v>19906.217378425699</v>
      </c>
      <c r="M65" s="65">
        <v>19838.2557707296</v>
      </c>
      <c r="N65" s="65">
        <v>19789.940504021601</v>
      </c>
      <c r="O65" s="65">
        <v>19741.625237313499</v>
      </c>
      <c r="P65" s="65">
        <v>19693.3099706055</v>
      </c>
      <c r="Q65" s="65">
        <v>19644.994703897399</v>
      </c>
      <c r="R65" s="65">
        <v>19596.679437189301</v>
      </c>
      <c r="S65" s="65">
        <v>19630.934993729701</v>
      </c>
      <c r="T65" s="65">
        <v>19665.190550270101</v>
      </c>
      <c r="U65" s="65">
        <v>19699.446106810399</v>
      </c>
      <c r="V65" s="65">
        <v>19733.701663350799</v>
      </c>
      <c r="W65" s="65">
        <v>19767.957219891101</v>
      </c>
      <c r="X65" s="65">
        <v>19842.261503890299</v>
      </c>
      <c r="Y65" s="65">
        <v>19916.5657878895</v>
      </c>
      <c r="Z65" s="65">
        <v>19990.870071888599</v>
      </c>
      <c r="AA65" s="65">
        <v>20065.174355887801</v>
      </c>
      <c r="AB65" s="65">
        <v>20139.478639886998</v>
      </c>
      <c r="AC65" s="65">
        <v>20205.411162817101</v>
      </c>
      <c r="AD65" s="65">
        <v>20271.343685747201</v>
      </c>
      <c r="AE65" s="65">
        <v>20337.2762086773</v>
      </c>
      <c r="AF65" s="65">
        <v>20403.208731607399</v>
      </c>
      <c r="AG65" s="65">
        <v>20469.141254537499</v>
      </c>
      <c r="AH65" s="65">
        <v>20531.942875398301</v>
      </c>
      <c r="AI65" s="65">
        <v>20594.744496259002</v>
      </c>
      <c r="AJ65" s="65">
        <v>20657.546117119698</v>
      </c>
      <c r="AK65" s="65">
        <v>20720.347737980501</v>
      </c>
      <c r="AL65" s="65">
        <v>20783.149358841201</v>
      </c>
      <c r="AM65" s="65">
        <v>20840.506481954799</v>
      </c>
      <c r="AN65" s="65">
        <v>20897.863605068502</v>
      </c>
      <c r="AO65" s="65">
        <v>20955.220728182099</v>
      </c>
      <c r="AP65" s="65">
        <v>21012.577851295799</v>
      </c>
      <c r="AQ65" s="65">
        <v>21069.9349744094</v>
      </c>
      <c r="AR65" s="65">
        <v>21069.9349744094</v>
      </c>
      <c r="AS65" s="65">
        <v>21069.9349744094</v>
      </c>
      <c r="AT65" s="65">
        <v>21069.9349744094</v>
      </c>
      <c r="AU65" s="65">
        <v>21069.9349744094</v>
      </c>
      <c r="AV65" s="65">
        <v>21069.9349744094</v>
      </c>
      <c r="AW65" s="65">
        <v>21069.9349744094</v>
      </c>
      <c r="AX65" s="65">
        <v>21069.9349744094</v>
      </c>
      <c r="AY65" s="65">
        <v>21069.9349744094</v>
      </c>
      <c r="AZ65" s="65">
        <v>21069.9349744094</v>
      </c>
      <c r="BA65" s="65">
        <v>21069.9349744094</v>
      </c>
    </row>
    <row r="66" spans="1:53" ht="15.75" x14ac:dyDescent="0.25">
      <c r="A66" s="65" t="s">
        <v>253</v>
      </c>
      <c r="B66" s="65" t="s">
        <v>256</v>
      </c>
      <c r="C66" s="65">
        <v>19711.017562032201</v>
      </c>
      <c r="D66" s="65">
        <v>19686.4424373316</v>
      </c>
      <c r="E66" s="65">
        <v>19661.867312630999</v>
      </c>
      <c r="F66" s="65">
        <v>19637.292187930401</v>
      </c>
      <c r="G66" s="65">
        <v>19612.7170632298</v>
      </c>
      <c r="H66" s="65">
        <v>19588.141938529199</v>
      </c>
      <c r="I66" s="65">
        <v>19605.874300359101</v>
      </c>
      <c r="J66" s="65">
        <v>19623.6066621891</v>
      </c>
      <c r="K66" s="65">
        <v>19641.339024018998</v>
      </c>
      <c r="L66" s="65">
        <v>19659.071385849002</v>
      </c>
      <c r="M66" s="65">
        <v>19676.8037476789</v>
      </c>
      <c r="N66" s="65">
        <v>19666.568665689101</v>
      </c>
      <c r="O66" s="65">
        <v>19656.333583699299</v>
      </c>
      <c r="P66" s="65">
        <v>19646.098501709501</v>
      </c>
      <c r="Q66" s="65">
        <v>19635.863419719699</v>
      </c>
      <c r="R66" s="65">
        <v>19625.628337729901</v>
      </c>
      <c r="S66" s="65">
        <v>19664.817091797599</v>
      </c>
      <c r="T66" s="65">
        <v>19704.0058458653</v>
      </c>
      <c r="U66" s="65">
        <v>19743.194599932998</v>
      </c>
      <c r="V66" s="65">
        <v>19782.3833540007</v>
      </c>
      <c r="W66" s="65">
        <v>19821.572108068402</v>
      </c>
      <c r="X66" s="65">
        <v>19877.844543290899</v>
      </c>
      <c r="Y66" s="65">
        <v>19934.116978513401</v>
      </c>
      <c r="Z66" s="65">
        <v>19990.389413735898</v>
      </c>
      <c r="AA66" s="65">
        <v>20046.6618489584</v>
      </c>
      <c r="AB66" s="65">
        <v>20102.934284180901</v>
      </c>
      <c r="AC66" s="65">
        <v>20177.648909189898</v>
      </c>
      <c r="AD66" s="65">
        <v>20252.363534198899</v>
      </c>
      <c r="AE66" s="65">
        <v>20327.0781592079</v>
      </c>
      <c r="AF66" s="65">
        <v>20401.792784216999</v>
      </c>
      <c r="AG66" s="65">
        <v>20476.507409226</v>
      </c>
      <c r="AH66" s="65">
        <v>20541.9653622769</v>
      </c>
      <c r="AI66" s="65">
        <v>20607.4233153278</v>
      </c>
      <c r="AJ66" s="65">
        <v>20672.8812683787</v>
      </c>
      <c r="AK66" s="65">
        <v>20738.3392214296</v>
      </c>
      <c r="AL66" s="65">
        <v>20803.7971744805</v>
      </c>
      <c r="AM66" s="65">
        <v>20861.918369165</v>
      </c>
      <c r="AN66" s="65">
        <v>20920.039563849499</v>
      </c>
      <c r="AO66" s="65">
        <v>20978.160758533999</v>
      </c>
      <c r="AP66" s="65">
        <v>21036.281953218499</v>
      </c>
      <c r="AQ66" s="65">
        <v>21094.403147903002</v>
      </c>
      <c r="AR66" s="65">
        <v>21094.403147903002</v>
      </c>
      <c r="AS66" s="65">
        <v>21094.403147903002</v>
      </c>
      <c r="AT66" s="65">
        <v>21094.403147903002</v>
      </c>
      <c r="AU66" s="65">
        <v>21094.403147903002</v>
      </c>
      <c r="AV66" s="65">
        <v>21094.403147903002</v>
      </c>
      <c r="AW66" s="65">
        <v>21094.403147903002</v>
      </c>
      <c r="AX66" s="65">
        <v>21094.403147903002</v>
      </c>
      <c r="AY66" s="65">
        <v>21094.403147903002</v>
      </c>
      <c r="AZ66" s="65">
        <v>21094.403147903002</v>
      </c>
      <c r="BA66" s="65">
        <v>21094.403147903002</v>
      </c>
    </row>
    <row r="67" spans="1:53" ht="15.75" x14ac:dyDescent="0.25">
      <c r="A67" s="65" t="s">
        <v>253</v>
      </c>
      <c r="B67" s="65" t="s">
        <v>257</v>
      </c>
      <c r="C67" s="65">
        <v>4020.7458490282002</v>
      </c>
      <c r="D67" s="65">
        <v>4009.3755094142798</v>
      </c>
      <c r="E67" s="65">
        <v>3998.0051698003599</v>
      </c>
      <c r="F67" s="65">
        <v>3986.63483018643</v>
      </c>
      <c r="G67" s="65">
        <v>3975.2644905725101</v>
      </c>
      <c r="H67" s="65">
        <v>3963.8941509585902</v>
      </c>
      <c r="I67" s="65">
        <v>3956.4469152118099</v>
      </c>
      <c r="J67" s="65">
        <v>3948.9996794650301</v>
      </c>
      <c r="K67" s="65">
        <v>3941.5524437182598</v>
      </c>
      <c r="L67" s="65">
        <v>3934.10520797148</v>
      </c>
      <c r="M67" s="65">
        <v>3926.6579722247002</v>
      </c>
      <c r="N67" s="65">
        <v>3906.55227623563</v>
      </c>
      <c r="O67" s="65">
        <v>3886.4465802465602</v>
      </c>
      <c r="P67" s="65">
        <v>3866.34088425748</v>
      </c>
      <c r="Q67" s="65">
        <v>3846.2351882684102</v>
      </c>
      <c r="R67" s="65">
        <v>3826.12949227934</v>
      </c>
      <c r="S67" s="65">
        <v>3806.4515496110998</v>
      </c>
      <c r="T67" s="65">
        <v>3786.7736069428702</v>
      </c>
      <c r="U67" s="65">
        <v>3767.0956642746401</v>
      </c>
      <c r="V67" s="65">
        <v>3747.4177216064099</v>
      </c>
      <c r="W67" s="65">
        <v>3727.7397789381698</v>
      </c>
      <c r="X67" s="65">
        <v>3710.80597965675</v>
      </c>
      <c r="Y67" s="65">
        <v>3693.8721803753201</v>
      </c>
      <c r="Z67" s="65">
        <v>3676.9383810938998</v>
      </c>
      <c r="AA67" s="65">
        <v>3660.00458181247</v>
      </c>
      <c r="AB67" s="65">
        <v>3643.0707825310501</v>
      </c>
      <c r="AC67" s="65">
        <v>3634.6787038867601</v>
      </c>
      <c r="AD67" s="65">
        <v>3626.2866252424601</v>
      </c>
      <c r="AE67" s="65">
        <v>3617.8945465981701</v>
      </c>
      <c r="AF67" s="65">
        <v>3609.5024679538801</v>
      </c>
      <c r="AG67" s="65">
        <v>3601.1103893095801</v>
      </c>
      <c r="AH67" s="65">
        <v>3596.2500154659301</v>
      </c>
      <c r="AI67" s="65">
        <v>3591.3896416222801</v>
      </c>
      <c r="AJ67" s="65">
        <v>3586.5292677786301</v>
      </c>
      <c r="AK67" s="65">
        <v>3581.6688939349801</v>
      </c>
      <c r="AL67" s="65">
        <v>3576.8085200913301</v>
      </c>
      <c r="AM67" s="65">
        <v>3571.9814206059</v>
      </c>
      <c r="AN67" s="65">
        <v>3567.1543211204698</v>
      </c>
      <c r="AO67" s="65">
        <v>3562.3272216350401</v>
      </c>
      <c r="AP67" s="65">
        <v>3557.50012214961</v>
      </c>
      <c r="AQ67" s="65">
        <v>3552.6730226641798</v>
      </c>
      <c r="AR67" s="65">
        <v>3552.6730226641798</v>
      </c>
      <c r="AS67" s="65">
        <v>3552.6730226641798</v>
      </c>
      <c r="AT67" s="65">
        <v>3552.6730226641798</v>
      </c>
      <c r="AU67" s="65">
        <v>3552.6730226641798</v>
      </c>
      <c r="AV67" s="65">
        <v>3552.6730226641798</v>
      </c>
      <c r="AW67" s="65">
        <v>3552.6730226641798</v>
      </c>
      <c r="AX67" s="65">
        <v>3552.6730226641798</v>
      </c>
      <c r="AY67" s="65">
        <v>3552.6730226641798</v>
      </c>
      <c r="AZ67" s="65">
        <v>3552.6730226641798</v>
      </c>
      <c r="BA67" s="65">
        <v>3552.6730226641798</v>
      </c>
    </row>
    <row r="68" spans="1:53" ht="15.75" x14ac:dyDescent="0.25">
      <c r="A68" s="65" t="s">
        <v>253</v>
      </c>
      <c r="B68" s="65" t="s">
        <v>258</v>
      </c>
      <c r="C68" s="65">
        <v>17973.6624094611</v>
      </c>
      <c r="D68" s="65">
        <v>17954.289625518501</v>
      </c>
      <c r="E68" s="65">
        <v>17934.916841576</v>
      </c>
      <c r="F68" s="65">
        <v>17915.544057633499</v>
      </c>
      <c r="G68" s="65">
        <v>17896.171273690899</v>
      </c>
      <c r="H68" s="65">
        <v>17876.798489748398</v>
      </c>
      <c r="I68" s="65">
        <v>17935.451709955902</v>
      </c>
      <c r="J68" s="65">
        <v>17994.104930163299</v>
      </c>
      <c r="K68" s="65">
        <v>18052.758150370799</v>
      </c>
      <c r="L68" s="65">
        <v>18111.4113705782</v>
      </c>
      <c r="M68" s="65">
        <v>18170.0645907857</v>
      </c>
      <c r="N68" s="65">
        <v>18231.495605779499</v>
      </c>
      <c r="O68" s="65">
        <v>18292.926620773302</v>
      </c>
      <c r="P68" s="65">
        <v>18354.357635767199</v>
      </c>
      <c r="Q68" s="65">
        <v>18415.788650760998</v>
      </c>
      <c r="R68" s="65">
        <v>18477.219665754801</v>
      </c>
      <c r="S68" s="65">
        <v>18557.101117931001</v>
      </c>
      <c r="T68" s="65">
        <v>18636.9825701072</v>
      </c>
      <c r="U68" s="65">
        <v>18716.864022283498</v>
      </c>
      <c r="V68" s="65">
        <v>18796.745474459702</v>
      </c>
      <c r="W68" s="65">
        <v>18876.626926635901</v>
      </c>
      <c r="X68" s="65">
        <v>18925.201737731099</v>
      </c>
      <c r="Y68" s="65">
        <v>18973.776548826299</v>
      </c>
      <c r="Z68" s="65">
        <v>19022.351359921598</v>
      </c>
      <c r="AA68" s="65">
        <v>19070.926171016799</v>
      </c>
      <c r="AB68" s="65">
        <v>19119.500982112098</v>
      </c>
      <c r="AC68" s="65">
        <v>19157.192925413699</v>
      </c>
      <c r="AD68" s="65">
        <v>19194.884868715399</v>
      </c>
      <c r="AE68" s="65">
        <v>19232.576812017</v>
      </c>
      <c r="AF68" s="65">
        <v>19270.268755318699</v>
      </c>
      <c r="AG68" s="65">
        <v>19307.9606986203</v>
      </c>
      <c r="AH68" s="65">
        <v>19346.846818670299</v>
      </c>
      <c r="AI68" s="65">
        <v>19385.732938720299</v>
      </c>
      <c r="AJ68" s="65">
        <v>19424.619058770299</v>
      </c>
      <c r="AK68" s="65">
        <v>19463.505178820302</v>
      </c>
      <c r="AL68" s="65">
        <v>19502.391298870301</v>
      </c>
      <c r="AM68" s="65">
        <v>19541.963390087101</v>
      </c>
      <c r="AN68" s="65">
        <v>19581.535481303999</v>
      </c>
      <c r="AO68" s="65">
        <v>19621.107572520901</v>
      </c>
      <c r="AP68" s="65">
        <v>19660.679663737701</v>
      </c>
      <c r="AQ68" s="65">
        <v>19700.251754954599</v>
      </c>
      <c r="AR68" s="65">
        <v>19700.251754954599</v>
      </c>
      <c r="AS68" s="65">
        <v>19700.251754954599</v>
      </c>
      <c r="AT68" s="65">
        <v>19700.251754954599</v>
      </c>
      <c r="AU68" s="65">
        <v>19700.251754954599</v>
      </c>
      <c r="AV68" s="65">
        <v>19700.251754954599</v>
      </c>
      <c r="AW68" s="65">
        <v>19700.251754954599</v>
      </c>
      <c r="AX68" s="65">
        <v>19700.251754954599</v>
      </c>
      <c r="AY68" s="65">
        <v>19700.251754954599</v>
      </c>
      <c r="AZ68" s="65">
        <v>19700.251754954599</v>
      </c>
      <c r="BA68" s="65">
        <v>19700.251754954599</v>
      </c>
    </row>
    <row r="69" spans="1:53" ht="15.75" x14ac:dyDescent="0.25">
      <c r="A69" s="65" t="s">
        <v>253</v>
      </c>
      <c r="B69" s="65" t="s">
        <v>259</v>
      </c>
      <c r="C69" s="65">
        <v>17469.851457130699</v>
      </c>
      <c r="D69" s="65">
        <v>17675.241642131401</v>
      </c>
      <c r="E69" s="65">
        <v>17880.6318271321</v>
      </c>
      <c r="F69" s="65">
        <v>18086.022012132798</v>
      </c>
      <c r="G69" s="65">
        <v>18291.412197133501</v>
      </c>
      <c r="H69" s="65">
        <v>18496.802382134199</v>
      </c>
      <c r="I69" s="65">
        <v>18718.869345213701</v>
      </c>
      <c r="J69" s="65">
        <v>18940.936308293301</v>
      </c>
      <c r="K69" s="65">
        <v>19163.003271372902</v>
      </c>
      <c r="L69" s="65">
        <v>19385.070234452502</v>
      </c>
      <c r="M69" s="65">
        <v>19607.137197532102</v>
      </c>
      <c r="N69" s="65">
        <v>19703.901797418999</v>
      </c>
      <c r="O69" s="65">
        <v>19800.666397305999</v>
      </c>
      <c r="P69" s="65">
        <v>19897.4309971929</v>
      </c>
      <c r="Q69" s="65">
        <v>19994.195597079801</v>
      </c>
      <c r="R69" s="65">
        <v>20090.9601969668</v>
      </c>
      <c r="S69" s="65">
        <v>20130.9816244496</v>
      </c>
      <c r="T69" s="65">
        <v>20171.003051932501</v>
      </c>
      <c r="U69" s="65">
        <v>20211.024479415399</v>
      </c>
      <c r="V69" s="65">
        <v>20251.0459068983</v>
      </c>
      <c r="W69" s="65">
        <v>20291.067334381201</v>
      </c>
      <c r="X69" s="65">
        <v>20285.970104992699</v>
      </c>
      <c r="Y69" s="65">
        <v>20280.8728756042</v>
      </c>
      <c r="Z69" s="65">
        <v>20275.775646215701</v>
      </c>
      <c r="AA69" s="65">
        <v>20270.678416827199</v>
      </c>
      <c r="AB69" s="65">
        <v>20265.5811874387</v>
      </c>
      <c r="AC69" s="65">
        <v>20297.143188716102</v>
      </c>
      <c r="AD69" s="65">
        <v>20328.705189993601</v>
      </c>
      <c r="AE69" s="65">
        <v>20360.267191270999</v>
      </c>
      <c r="AF69" s="65">
        <v>20391.829192548401</v>
      </c>
      <c r="AG69" s="65">
        <v>20423.391193825901</v>
      </c>
      <c r="AH69" s="65">
        <v>20485.4421145704</v>
      </c>
      <c r="AI69" s="65">
        <v>20547.493035314899</v>
      </c>
      <c r="AJ69" s="65">
        <v>20609.543956059399</v>
      </c>
      <c r="AK69" s="65">
        <v>20671.594876804</v>
      </c>
      <c r="AL69" s="65">
        <v>20733.645797548499</v>
      </c>
      <c r="AM69" s="65">
        <v>20794.9371745811</v>
      </c>
      <c r="AN69" s="65">
        <v>20856.228551613702</v>
      </c>
      <c r="AO69" s="65">
        <v>20917.519928646299</v>
      </c>
      <c r="AP69" s="65">
        <v>20978.811305678799</v>
      </c>
      <c r="AQ69" s="65">
        <v>21040.1026827114</v>
      </c>
      <c r="AR69" s="65">
        <v>21040.1026827114</v>
      </c>
      <c r="AS69" s="65">
        <v>21040.1026827114</v>
      </c>
      <c r="AT69" s="65">
        <v>21040.1026827114</v>
      </c>
      <c r="AU69" s="65">
        <v>21040.1026827114</v>
      </c>
      <c r="AV69" s="65">
        <v>21040.1026827114</v>
      </c>
      <c r="AW69" s="65">
        <v>21040.1026827114</v>
      </c>
      <c r="AX69" s="65">
        <v>21040.1026827114</v>
      </c>
      <c r="AY69" s="65">
        <v>21040.1026827114</v>
      </c>
      <c r="AZ69" s="65">
        <v>21040.1026827114</v>
      </c>
      <c r="BA69" s="65">
        <v>21040.1026827114</v>
      </c>
    </row>
    <row r="70" spans="1:53" ht="15.75" x14ac:dyDescent="0.25">
      <c r="A70" s="65" t="s">
        <v>253</v>
      </c>
      <c r="B70" s="65" t="s">
        <v>260</v>
      </c>
      <c r="C70" s="65">
        <v>8881.8420615397299</v>
      </c>
      <c r="D70" s="65">
        <v>7546.38357193908</v>
      </c>
      <c r="E70" s="65">
        <v>6210.92508233843</v>
      </c>
      <c r="F70" s="65">
        <v>4875.46659273778</v>
      </c>
      <c r="G70" s="65">
        <v>3540.0081031371301</v>
      </c>
      <c r="H70" s="65">
        <v>2204.5496135364801</v>
      </c>
      <c r="I70" s="65">
        <v>2204.5496135364801</v>
      </c>
      <c r="J70" s="65">
        <v>2204.5496135364801</v>
      </c>
      <c r="K70" s="65">
        <v>2204.5496135364801</v>
      </c>
      <c r="L70" s="65">
        <v>2204.5496135364801</v>
      </c>
      <c r="M70" s="65">
        <v>2204.5496135364801</v>
      </c>
      <c r="N70" s="65">
        <v>2204.5496135364801</v>
      </c>
      <c r="O70" s="65">
        <v>2204.5496135364801</v>
      </c>
      <c r="P70" s="65">
        <v>2204.5496135364801</v>
      </c>
      <c r="Q70" s="65">
        <v>2204.5496135364801</v>
      </c>
      <c r="R70" s="65">
        <v>2204.5496135364801</v>
      </c>
      <c r="S70" s="65">
        <v>2204.5496135364801</v>
      </c>
      <c r="T70" s="65">
        <v>2204.5496135364801</v>
      </c>
      <c r="U70" s="65">
        <v>2204.5496135364801</v>
      </c>
      <c r="V70" s="65">
        <v>2204.5496135364801</v>
      </c>
      <c r="W70" s="65">
        <v>2204.5496135364801</v>
      </c>
      <c r="X70" s="65">
        <v>2204.5496135364801</v>
      </c>
      <c r="Y70" s="65">
        <v>2204.5496135364801</v>
      </c>
      <c r="Z70" s="65">
        <v>2204.5496135364801</v>
      </c>
      <c r="AA70" s="65">
        <v>2204.5496135364801</v>
      </c>
      <c r="AB70" s="65">
        <v>2204.5496135364801</v>
      </c>
      <c r="AC70" s="65">
        <v>2204.5496135364801</v>
      </c>
      <c r="AD70" s="65">
        <v>2204.5496135364801</v>
      </c>
      <c r="AE70" s="65">
        <v>2204.5496135364801</v>
      </c>
      <c r="AF70" s="65">
        <v>2204.5496135364801</v>
      </c>
      <c r="AG70" s="65">
        <v>2204.5496135364801</v>
      </c>
      <c r="AH70" s="65">
        <v>2204.5496135364801</v>
      </c>
      <c r="AI70" s="65">
        <v>2204.5496135364801</v>
      </c>
      <c r="AJ70" s="65">
        <v>2204.5496135364801</v>
      </c>
      <c r="AK70" s="65">
        <v>2204.5496135364801</v>
      </c>
      <c r="AL70" s="65">
        <v>2204.5496135364801</v>
      </c>
      <c r="AM70" s="65">
        <v>2204.5496135364801</v>
      </c>
      <c r="AN70" s="65">
        <v>2204.5496135364801</v>
      </c>
      <c r="AO70" s="65">
        <v>2204.5496135364801</v>
      </c>
      <c r="AP70" s="65">
        <v>2204.5496135364801</v>
      </c>
      <c r="AQ70" s="65">
        <v>2204.5496135364801</v>
      </c>
      <c r="AR70" s="65">
        <v>2204.5496135364801</v>
      </c>
      <c r="AS70" s="65">
        <v>2204.5496135364801</v>
      </c>
      <c r="AT70" s="65">
        <v>2204.5496135364801</v>
      </c>
      <c r="AU70" s="65">
        <v>2204.5496135364801</v>
      </c>
      <c r="AV70" s="65">
        <v>2204.5496135364801</v>
      </c>
      <c r="AW70" s="65">
        <v>2204.5496135364801</v>
      </c>
      <c r="AX70" s="65">
        <v>2204.5496135364801</v>
      </c>
      <c r="AY70" s="65">
        <v>2204.5496135364801</v>
      </c>
      <c r="AZ70" s="65">
        <v>2204.5496135364801</v>
      </c>
      <c r="BA70" s="65">
        <v>2204.5496135364801</v>
      </c>
    </row>
    <row r="71" spans="1:53" ht="15.75" x14ac:dyDescent="0.25">
      <c r="A71" s="65" t="s">
        <v>253</v>
      </c>
      <c r="B71" s="65" t="s">
        <v>261</v>
      </c>
      <c r="C71" s="65">
        <v>9806.50378464393</v>
      </c>
      <c r="D71" s="65">
        <v>9655.4741716267999</v>
      </c>
      <c r="E71" s="65">
        <v>9504.4445586096808</v>
      </c>
      <c r="F71" s="65">
        <v>9353.4149455925508</v>
      </c>
      <c r="G71" s="65">
        <v>9202.3853325754208</v>
      </c>
      <c r="H71" s="65">
        <v>9051.3557195582907</v>
      </c>
      <c r="I71" s="65">
        <v>9051.3557195582907</v>
      </c>
      <c r="J71" s="65">
        <v>9051.3557195582907</v>
      </c>
      <c r="K71" s="65">
        <v>9051.3557195582907</v>
      </c>
      <c r="L71" s="65">
        <v>9051.3557195582907</v>
      </c>
      <c r="M71" s="65">
        <v>9051.3557195582907</v>
      </c>
      <c r="N71" s="65">
        <v>9051.3557195582907</v>
      </c>
      <c r="O71" s="65">
        <v>9051.3557195582907</v>
      </c>
      <c r="P71" s="65">
        <v>9051.3557195582907</v>
      </c>
      <c r="Q71" s="65">
        <v>9051.3557195582907</v>
      </c>
      <c r="R71" s="65">
        <v>9051.3557195582907</v>
      </c>
      <c r="S71" s="65">
        <v>9051.3557195582907</v>
      </c>
      <c r="T71" s="65">
        <v>9051.3557195582907</v>
      </c>
      <c r="U71" s="65">
        <v>9051.3557195582907</v>
      </c>
      <c r="V71" s="65">
        <v>9051.3557195582907</v>
      </c>
      <c r="W71" s="65">
        <v>9051.3557195582907</v>
      </c>
      <c r="X71" s="65">
        <v>9051.3557195582907</v>
      </c>
      <c r="Y71" s="65">
        <v>9051.3557195582907</v>
      </c>
      <c r="Z71" s="65">
        <v>9051.3557195582907</v>
      </c>
      <c r="AA71" s="65">
        <v>9051.3557195582907</v>
      </c>
      <c r="AB71" s="65">
        <v>9051.3557195582907</v>
      </c>
      <c r="AC71" s="65">
        <v>9051.3557195582907</v>
      </c>
      <c r="AD71" s="65">
        <v>9051.3557195582907</v>
      </c>
      <c r="AE71" s="65">
        <v>9051.3557195582907</v>
      </c>
      <c r="AF71" s="65">
        <v>9051.3557195582907</v>
      </c>
      <c r="AG71" s="65">
        <v>9051.3557195582907</v>
      </c>
      <c r="AH71" s="65">
        <v>9051.3557195582907</v>
      </c>
      <c r="AI71" s="65">
        <v>9051.3557195582907</v>
      </c>
      <c r="AJ71" s="65">
        <v>9051.3557195582907</v>
      </c>
      <c r="AK71" s="65">
        <v>9051.3557195582907</v>
      </c>
      <c r="AL71" s="65">
        <v>9051.3557195582907</v>
      </c>
      <c r="AM71" s="65">
        <v>9051.3557195582907</v>
      </c>
      <c r="AN71" s="65">
        <v>9051.3557195582907</v>
      </c>
      <c r="AO71" s="65">
        <v>9051.3557195582907</v>
      </c>
      <c r="AP71" s="65">
        <v>9051.3557195582907</v>
      </c>
      <c r="AQ71" s="65">
        <v>9051.3557195582907</v>
      </c>
      <c r="AR71" s="65">
        <v>9051.3557195582907</v>
      </c>
      <c r="AS71" s="65">
        <v>9051.3557195582907</v>
      </c>
      <c r="AT71" s="65">
        <v>9051.3557195582907</v>
      </c>
      <c r="AU71" s="65">
        <v>9051.3557195582907</v>
      </c>
      <c r="AV71" s="65">
        <v>9051.3557195582907</v>
      </c>
      <c r="AW71" s="65">
        <v>9051.3557195582907</v>
      </c>
      <c r="AX71" s="65">
        <v>9051.3557195582907</v>
      </c>
      <c r="AY71" s="65">
        <v>9051.3557195582907</v>
      </c>
      <c r="AZ71" s="65">
        <v>9051.3557195582907</v>
      </c>
      <c r="BA71" s="65">
        <v>9051.3557195582907</v>
      </c>
    </row>
    <row r="72" spans="1:53" ht="15.75" x14ac:dyDescent="0.25">
      <c r="A72" s="65" t="s">
        <v>253</v>
      </c>
      <c r="B72" s="65" t="s">
        <v>262</v>
      </c>
      <c r="C72" s="65">
        <v>29590.554377012799</v>
      </c>
      <c r="D72" s="65">
        <v>29843.707659375901</v>
      </c>
      <c r="E72" s="65">
        <v>30096.860941739</v>
      </c>
      <c r="F72" s="65">
        <v>30350.014224102099</v>
      </c>
      <c r="G72" s="65">
        <v>30603.167506465201</v>
      </c>
      <c r="H72" s="65">
        <v>30856.320788828201</v>
      </c>
      <c r="I72" s="65">
        <v>31215.788652550498</v>
      </c>
      <c r="J72" s="65">
        <v>31575.256516272701</v>
      </c>
      <c r="K72" s="65">
        <v>31934.724379995001</v>
      </c>
      <c r="L72" s="65">
        <v>32294.1922437172</v>
      </c>
      <c r="M72" s="65">
        <v>32653.660107439398</v>
      </c>
      <c r="N72" s="65">
        <v>32855.763706417398</v>
      </c>
      <c r="O72" s="65">
        <v>33057.867305395303</v>
      </c>
      <c r="P72" s="65">
        <v>33259.970904373302</v>
      </c>
      <c r="Q72" s="65">
        <v>33462.074503351199</v>
      </c>
      <c r="R72" s="65">
        <v>33664.178102329097</v>
      </c>
      <c r="S72" s="65">
        <v>33952.175930452599</v>
      </c>
      <c r="T72" s="65">
        <v>34240.1737585761</v>
      </c>
      <c r="U72" s="65">
        <v>34528.1715866995</v>
      </c>
      <c r="V72" s="65">
        <v>34816.169414823002</v>
      </c>
      <c r="W72" s="65">
        <v>35104.167242946503</v>
      </c>
      <c r="X72" s="65">
        <v>35244.166328981097</v>
      </c>
      <c r="Y72" s="65">
        <v>35384.165415015697</v>
      </c>
      <c r="Z72" s="65">
        <v>35524.164501050298</v>
      </c>
      <c r="AA72" s="65">
        <v>35664.163587084899</v>
      </c>
      <c r="AB72" s="65">
        <v>35804.162673119499</v>
      </c>
      <c r="AC72" s="65">
        <v>35876.120541892902</v>
      </c>
      <c r="AD72" s="65">
        <v>35948.078410666298</v>
      </c>
      <c r="AE72" s="65">
        <v>36020.036279439599</v>
      </c>
      <c r="AF72" s="65">
        <v>36091.994148213002</v>
      </c>
      <c r="AG72" s="65">
        <v>36163.952016986303</v>
      </c>
      <c r="AH72" s="65">
        <v>36287.348008594199</v>
      </c>
      <c r="AI72" s="65">
        <v>36410.744000202198</v>
      </c>
      <c r="AJ72" s="65">
        <v>36534.139991810101</v>
      </c>
      <c r="AK72" s="65">
        <v>36657.535983417998</v>
      </c>
      <c r="AL72" s="65">
        <v>36780.931975025902</v>
      </c>
      <c r="AM72" s="65">
        <v>36913.565554859102</v>
      </c>
      <c r="AN72" s="65">
        <v>37046.199134692397</v>
      </c>
      <c r="AO72" s="65">
        <v>37178.832714525597</v>
      </c>
      <c r="AP72" s="65">
        <v>37311.466294358797</v>
      </c>
      <c r="AQ72" s="65">
        <v>37444.099874192099</v>
      </c>
      <c r="AR72" s="65">
        <v>37444.099874192099</v>
      </c>
      <c r="AS72" s="65">
        <v>37444.099874192099</v>
      </c>
      <c r="AT72" s="65">
        <v>37444.099874192099</v>
      </c>
      <c r="AU72" s="65">
        <v>37444.099874192099</v>
      </c>
      <c r="AV72" s="65">
        <v>37444.099874192099</v>
      </c>
      <c r="AW72" s="65">
        <v>37444.099874192099</v>
      </c>
      <c r="AX72" s="65">
        <v>37444.099874192099</v>
      </c>
      <c r="AY72" s="65">
        <v>37444.099874192099</v>
      </c>
      <c r="AZ72" s="65">
        <v>37444.099874192099</v>
      </c>
      <c r="BA72" s="65">
        <v>37444.099874192099</v>
      </c>
    </row>
    <row r="73" spans="1:53" ht="15.75" x14ac:dyDescent="0.25">
      <c r="A73" s="65" t="s">
        <v>253</v>
      </c>
      <c r="B73" s="65" t="s">
        <v>263</v>
      </c>
      <c r="C73" s="65">
        <v>20601.9178116148</v>
      </c>
      <c r="D73" s="65">
        <v>20613.482334111901</v>
      </c>
      <c r="E73" s="65">
        <v>20625.046856608998</v>
      </c>
      <c r="F73" s="65">
        <v>20636.611379106002</v>
      </c>
      <c r="G73" s="65">
        <v>20648.175901603099</v>
      </c>
      <c r="H73" s="65">
        <v>20659.7404241002</v>
      </c>
      <c r="I73" s="65">
        <v>20848.529148828398</v>
      </c>
      <c r="J73" s="65">
        <v>21037.3178735566</v>
      </c>
      <c r="K73" s="65">
        <v>21226.1065982849</v>
      </c>
      <c r="L73" s="65">
        <v>21414.895323013101</v>
      </c>
      <c r="M73" s="65">
        <v>21603.684047741299</v>
      </c>
      <c r="N73" s="65">
        <v>21736.752972212998</v>
      </c>
      <c r="O73" s="65">
        <v>21869.821896684702</v>
      </c>
      <c r="P73" s="65">
        <v>22002.890821156299</v>
      </c>
      <c r="Q73" s="65">
        <v>22135.959745627999</v>
      </c>
      <c r="R73" s="65">
        <v>22269.0286700996</v>
      </c>
      <c r="S73" s="65">
        <v>22455.030324339499</v>
      </c>
      <c r="T73" s="65">
        <v>22641.031978579402</v>
      </c>
      <c r="U73" s="65">
        <v>22827.033632819301</v>
      </c>
      <c r="V73" s="65">
        <v>23013.035287059101</v>
      </c>
      <c r="W73" s="65">
        <v>23199.036941299</v>
      </c>
      <c r="X73" s="65">
        <v>23288.025731774698</v>
      </c>
      <c r="Y73" s="65">
        <v>23377.014522250302</v>
      </c>
      <c r="Z73" s="65">
        <v>23466.003312725999</v>
      </c>
      <c r="AA73" s="65">
        <v>23554.992103201599</v>
      </c>
      <c r="AB73" s="65">
        <v>23643.980893677301</v>
      </c>
      <c r="AC73" s="65">
        <v>23696.157259764499</v>
      </c>
      <c r="AD73" s="65">
        <v>23748.333625851701</v>
      </c>
      <c r="AE73" s="65">
        <v>23800.509991939001</v>
      </c>
      <c r="AF73" s="65">
        <v>23852.6863580262</v>
      </c>
      <c r="AG73" s="65">
        <v>23904.8627241135</v>
      </c>
      <c r="AH73" s="65">
        <v>23991.679599139399</v>
      </c>
      <c r="AI73" s="65">
        <v>24078.496474165298</v>
      </c>
      <c r="AJ73" s="65">
        <v>24165.313349191201</v>
      </c>
      <c r="AK73" s="65">
        <v>24252.130224217199</v>
      </c>
      <c r="AL73" s="65">
        <v>24338.947099243102</v>
      </c>
      <c r="AM73" s="65">
        <v>24427.752812512401</v>
      </c>
      <c r="AN73" s="65">
        <v>24516.5585257817</v>
      </c>
      <c r="AO73" s="65">
        <v>24605.364239050999</v>
      </c>
      <c r="AP73" s="65">
        <v>24694.169952320299</v>
      </c>
      <c r="AQ73" s="65">
        <v>24782.9756655897</v>
      </c>
      <c r="AR73" s="65">
        <v>24782.9756655897</v>
      </c>
      <c r="AS73" s="65">
        <v>24782.9756655897</v>
      </c>
      <c r="AT73" s="65">
        <v>24782.9756655897</v>
      </c>
      <c r="AU73" s="65">
        <v>24782.9756655897</v>
      </c>
      <c r="AV73" s="65">
        <v>24782.9756655897</v>
      </c>
      <c r="AW73" s="65">
        <v>24782.9756655897</v>
      </c>
      <c r="AX73" s="65">
        <v>24782.9756655897</v>
      </c>
      <c r="AY73" s="65">
        <v>24782.9756655897</v>
      </c>
      <c r="AZ73" s="65">
        <v>24782.9756655897</v>
      </c>
      <c r="BA73" s="65">
        <v>24782.9756655897</v>
      </c>
    </row>
    <row r="74" spans="1:53" ht="15.75" x14ac:dyDescent="0.25">
      <c r="A74" s="67" t="s">
        <v>223</v>
      </c>
      <c r="B74" s="65" t="s">
        <v>264</v>
      </c>
      <c r="C74" s="65">
        <v>190484.51206755501</v>
      </c>
      <c r="D74" s="65">
        <v>185869.99882967299</v>
      </c>
      <c r="E74" s="65">
        <v>181255.48559179201</v>
      </c>
      <c r="F74" s="65">
        <v>176640.972353911</v>
      </c>
      <c r="G74" s="65">
        <v>172026.459116029</v>
      </c>
      <c r="H74" s="65">
        <v>167411.94587814799</v>
      </c>
      <c r="I74" s="65">
        <v>164530.66751514899</v>
      </c>
      <c r="J74" s="65">
        <v>161649.38915214999</v>
      </c>
      <c r="K74" s="65">
        <v>158768.11078915099</v>
      </c>
      <c r="L74" s="65">
        <v>155886.83242615301</v>
      </c>
      <c r="M74" s="65">
        <v>153005.55406315401</v>
      </c>
      <c r="N74" s="65">
        <v>152117.022918339</v>
      </c>
      <c r="O74" s="65">
        <v>151228.491773524</v>
      </c>
      <c r="P74" s="65">
        <v>150339.96062870999</v>
      </c>
      <c r="Q74" s="65">
        <v>149451.42948389499</v>
      </c>
      <c r="R74" s="65">
        <v>148562.89833908001</v>
      </c>
      <c r="S74" s="65">
        <v>148377.44336477001</v>
      </c>
      <c r="T74" s="65">
        <v>148191.98839045901</v>
      </c>
      <c r="U74" s="65">
        <v>148006.533416149</v>
      </c>
      <c r="V74" s="65">
        <v>147821.07844183801</v>
      </c>
      <c r="W74" s="65">
        <v>147635.623467528</v>
      </c>
      <c r="X74" s="65">
        <v>147766.400561377</v>
      </c>
      <c r="Y74" s="65">
        <v>147897.17765522501</v>
      </c>
      <c r="Z74" s="65">
        <v>148027.95474907401</v>
      </c>
      <c r="AA74" s="65">
        <v>148158.73184292301</v>
      </c>
      <c r="AB74" s="65">
        <v>148289.50893677099</v>
      </c>
      <c r="AC74" s="65">
        <v>149440.60907093601</v>
      </c>
      <c r="AD74" s="65">
        <v>150591.70920510101</v>
      </c>
      <c r="AE74" s="65">
        <v>151742.80933926499</v>
      </c>
      <c r="AF74" s="65">
        <v>152893.90947342999</v>
      </c>
      <c r="AG74" s="65">
        <v>154045.00960759501</v>
      </c>
      <c r="AH74" s="65">
        <v>154636.241342714</v>
      </c>
      <c r="AI74" s="65">
        <v>155227.47307783301</v>
      </c>
      <c r="AJ74" s="65">
        <v>155818.704812952</v>
      </c>
      <c r="AK74" s="65">
        <v>156409.93654807101</v>
      </c>
      <c r="AL74" s="65">
        <v>157001.16828319</v>
      </c>
      <c r="AM74" s="65">
        <v>157740.077000555</v>
      </c>
      <c r="AN74" s="65">
        <v>158478.98571791899</v>
      </c>
      <c r="AO74" s="65">
        <v>159217.89443528399</v>
      </c>
      <c r="AP74" s="65">
        <v>159956.803152648</v>
      </c>
      <c r="AQ74" s="65">
        <v>160695.71187001199</v>
      </c>
      <c r="AR74" s="65">
        <v>160695.71187001199</v>
      </c>
      <c r="AS74" s="65">
        <v>160695.71187001199</v>
      </c>
      <c r="AT74" s="65">
        <v>160695.71187001199</v>
      </c>
      <c r="AU74" s="65">
        <v>160695.71187001199</v>
      </c>
      <c r="AV74" s="65">
        <v>160695.71187001199</v>
      </c>
      <c r="AW74" s="65">
        <v>160695.71187001199</v>
      </c>
      <c r="AX74" s="65">
        <v>160695.71187001199</v>
      </c>
      <c r="AY74" s="65">
        <v>160695.71187001199</v>
      </c>
      <c r="AZ74" s="65">
        <v>160695.71187001199</v>
      </c>
      <c r="BA74" s="65">
        <v>160695.71187001199</v>
      </c>
    </row>
    <row r="75" spans="1:53" ht="15.75" x14ac:dyDescent="0.25">
      <c r="A75" s="67" t="s">
        <v>223</v>
      </c>
      <c r="B75" s="65" t="s">
        <v>265</v>
      </c>
      <c r="C75" s="65">
        <v>28394.8576211994</v>
      </c>
      <c r="D75" s="65">
        <v>26500.136287038</v>
      </c>
      <c r="E75" s="65">
        <v>24605.414952876599</v>
      </c>
      <c r="F75" s="65">
        <v>22710.693618715301</v>
      </c>
      <c r="G75" s="65">
        <v>20815.9722845539</v>
      </c>
      <c r="H75" s="65">
        <v>18921.250950392499</v>
      </c>
      <c r="I75" s="65">
        <v>18676.8852736097</v>
      </c>
      <c r="J75" s="65">
        <v>18432.5195968269</v>
      </c>
      <c r="K75" s="65">
        <v>18188.1539200441</v>
      </c>
      <c r="L75" s="65">
        <v>17943.788243261199</v>
      </c>
      <c r="M75" s="65">
        <v>17699.422566478399</v>
      </c>
      <c r="N75" s="65">
        <v>17464.265516594802</v>
      </c>
      <c r="O75" s="65">
        <v>17229.108466711201</v>
      </c>
      <c r="P75" s="65">
        <v>16993.951416827698</v>
      </c>
      <c r="Q75" s="65">
        <v>16758.794366944101</v>
      </c>
      <c r="R75" s="65">
        <v>16523.6373170605</v>
      </c>
      <c r="S75" s="65">
        <v>16523.6373170605</v>
      </c>
      <c r="T75" s="65">
        <v>16523.6373170605</v>
      </c>
      <c r="U75" s="65">
        <v>16523.6373170605</v>
      </c>
      <c r="V75" s="65">
        <v>16523.6373170605</v>
      </c>
      <c r="W75" s="65">
        <v>16523.6373170605</v>
      </c>
      <c r="X75" s="65">
        <v>16523.6373170605</v>
      </c>
      <c r="Y75" s="65">
        <v>16523.6373170605</v>
      </c>
      <c r="Z75" s="65">
        <v>16523.6373170605</v>
      </c>
      <c r="AA75" s="65">
        <v>16523.6373170605</v>
      </c>
      <c r="AB75" s="65">
        <v>16523.6373170605</v>
      </c>
      <c r="AC75" s="65">
        <v>16523.6373170605</v>
      </c>
      <c r="AD75" s="65">
        <v>16523.6373170605</v>
      </c>
      <c r="AE75" s="65">
        <v>16523.6373170605</v>
      </c>
      <c r="AF75" s="65">
        <v>16523.6373170605</v>
      </c>
      <c r="AG75" s="65">
        <v>16523.6373170605</v>
      </c>
      <c r="AH75" s="65">
        <v>16523.6373170605</v>
      </c>
      <c r="AI75" s="65">
        <v>16523.6373170605</v>
      </c>
      <c r="AJ75" s="65">
        <v>16523.6373170605</v>
      </c>
      <c r="AK75" s="65">
        <v>16523.6373170605</v>
      </c>
      <c r="AL75" s="65">
        <v>16523.6373170605</v>
      </c>
      <c r="AM75" s="65">
        <v>16523.6373170605</v>
      </c>
      <c r="AN75" s="65">
        <v>16523.6373170605</v>
      </c>
      <c r="AO75" s="65">
        <v>16523.6373170605</v>
      </c>
      <c r="AP75" s="65">
        <v>16523.6373170605</v>
      </c>
      <c r="AQ75" s="65">
        <v>16523.6373170605</v>
      </c>
      <c r="AR75" s="65">
        <v>16523.6373170605</v>
      </c>
      <c r="AS75" s="65">
        <v>16523.6373170605</v>
      </c>
      <c r="AT75" s="65">
        <v>16523.6373170605</v>
      </c>
      <c r="AU75" s="65">
        <v>16523.6373170605</v>
      </c>
      <c r="AV75" s="65">
        <v>16523.6373170605</v>
      </c>
      <c r="AW75" s="65">
        <v>16523.6373170605</v>
      </c>
      <c r="AX75" s="65">
        <v>16523.6373170605</v>
      </c>
      <c r="AY75" s="65">
        <v>16523.6373170605</v>
      </c>
      <c r="AZ75" s="65">
        <v>16523.6373170605</v>
      </c>
      <c r="BA75" s="65">
        <v>16523.6373170605</v>
      </c>
    </row>
    <row r="76" spans="1:53" ht="15.75" x14ac:dyDescent="0.25">
      <c r="A76" s="67" t="s">
        <v>223</v>
      </c>
      <c r="B76" s="65" t="s">
        <v>266</v>
      </c>
      <c r="C76" s="65">
        <v>138294.38126705101</v>
      </c>
      <c r="D76" s="65">
        <v>139104.112757758</v>
      </c>
      <c r="E76" s="65">
        <v>139913.84424846599</v>
      </c>
      <c r="F76" s="65">
        <v>140723.57573917299</v>
      </c>
      <c r="G76" s="65">
        <v>141533.30722988001</v>
      </c>
      <c r="H76" s="65">
        <v>142343.038720588</v>
      </c>
      <c r="I76" s="65">
        <v>143239.89194552699</v>
      </c>
      <c r="J76" s="65">
        <v>144136.74517046599</v>
      </c>
      <c r="K76" s="65">
        <v>145033.59839540499</v>
      </c>
      <c r="L76" s="65">
        <v>145930.45162034401</v>
      </c>
      <c r="M76" s="65">
        <v>146827.30484528301</v>
      </c>
      <c r="N76" s="65">
        <v>147871.22505721301</v>
      </c>
      <c r="O76" s="65">
        <v>148915.14526914299</v>
      </c>
      <c r="P76" s="65">
        <v>149959.06548107401</v>
      </c>
      <c r="Q76" s="65">
        <v>151002.98569300401</v>
      </c>
      <c r="R76" s="65">
        <v>152046.90590493401</v>
      </c>
      <c r="S76" s="65">
        <v>153172.02501982299</v>
      </c>
      <c r="T76" s="65">
        <v>154297.144134712</v>
      </c>
      <c r="U76" s="65">
        <v>155422.26324959999</v>
      </c>
      <c r="V76" s="65">
        <v>156547.38236448899</v>
      </c>
      <c r="W76" s="65">
        <v>157672.501479378</v>
      </c>
      <c r="X76" s="65">
        <v>158090.231596289</v>
      </c>
      <c r="Y76" s="65">
        <v>158507.9617132</v>
      </c>
      <c r="Z76" s="65">
        <v>158925.691830111</v>
      </c>
      <c r="AA76" s="65">
        <v>159343.42194702101</v>
      </c>
      <c r="AB76" s="65">
        <v>159761.15206393201</v>
      </c>
      <c r="AC76" s="65">
        <v>160280.50917428601</v>
      </c>
      <c r="AD76" s="65">
        <v>160799.86628464001</v>
      </c>
      <c r="AE76" s="65">
        <v>161319.22339499299</v>
      </c>
      <c r="AF76" s="65">
        <v>161838.580505347</v>
      </c>
      <c r="AG76" s="65">
        <v>162357.937615701</v>
      </c>
      <c r="AH76" s="65">
        <v>163001.17365393401</v>
      </c>
      <c r="AI76" s="65">
        <v>163644.40969216701</v>
      </c>
      <c r="AJ76" s="65">
        <v>164287.64573039999</v>
      </c>
      <c r="AK76" s="65">
        <v>164930.881768633</v>
      </c>
      <c r="AL76" s="65">
        <v>165574.11780686601</v>
      </c>
      <c r="AM76" s="65">
        <v>166236.21381735301</v>
      </c>
      <c r="AN76" s="65">
        <v>166898.30982784001</v>
      </c>
      <c r="AO76" s="65">
        <v>167560.40583832699</v>
      </c>
      <c r="AP76" s="65">
        <v>168222.50184881399</v>
      </c>
      <c r="AQ76" s="65">
        <v>168884.59785930099</v>
      </c>
      <c r="AR76" s="65">
        <v>168884.59785930099</v>
      </c>
      <c r="AS76" s="65">
        <v>168884.59785930099</v>
      </c>
      <c r="AT76" s="65">
        <v>168884.59785930099</v>
      </c>
      <c r="AU76" s="65">
        <v>168884.59785930099</v>
      </c>
      <c r="AV76" s="65">
        <v>168884.59785930099</v>
      </c>
      <c r="AW76" s="65">
        <v>168884.59785930099</v>
      </c>
      <c r="AX76" s="65">
        <v>168884.59785930099</v>
      </c>
      <c r="AY76" s="65">
        <v>168884.59785930099</v>
      </c>
      <c r="AZ76" s="65">
        <v>168884.59785930099</v>
      </c>
      <c r="BA76" s="65">
        <v>168884.59785930099</v>
      </c>
    </row>
    <row r="77" spans="1:53" ht="15.75" x14ac:dyDescent="0.25">
      <c r="A77" s="67" t="s">
        <v>222</v>
      </c>
      <c r="B77" s="65" t="s">
        <v>267</v>
      </c>
      <c r="C77" s="65">
        <v>97482.285015364498</v>
      </c>
      <c r="D77" s="65">
        <v>94547.246519103603</v>
      </c>
      <c r="E77" s="65">
        <v>91612.208022842795</v>
      </c>
      <c r="F77" s="65">
        <v>88677.169526582002</v>
      </c>
      <c r="G77" s="65">
        <v>85742.131030321107</v>
      </c>
      <c r="H77" s="65">
        <v>82807.092534060299</v>
      </c>
      <c r="I77" s="65">
        <v>80681.429948827004</v>
      </c>
      <c r="J77" s="65">
        <v>78555.767363593695</v>
      </c>
      <c r="K77" s="65">
        <v>76430.104778360401</v>
      </c>
      <c r="L77" s="65">
        <v>74304.442193127194</v>
      </c>
      <c r="M77" s="65">
        <v>72178.779607893899</v>
      </c>
      <c r="N77" s="65">
        <v>71369.036015554506</v>
      </c>
      <c r="O77" s="65">
        <v>70559.292423215098</v>
      </c>
      <c r="P77" s="65">
        <v>69749.548830875603</v>
      </c>
      <c r="Q77" s="65">
        <v>68939.805238536195</v>
      </c>
      <c r="R77" s="65">
        <v>68130.061646196802</v>
      </c>
      <c r="S77" s="65">
        <v>67922.795119143106</v>
      </c>
      <c r="T77" s="65">
        <v>67715.528592089395</v>
      </c>
      <c r="U77" s="65">
        <v>67508.262065035698</v>
      </c>
      <c r="V77" s="65">
        <v>67300.995537982002</v>
      </c>
      <c r="W77" s="65">
        <v>67093.729010928306</v>
      </c>
      <c r="X77" s="65">
        <v>67012.204587708999</v>
      </c>
      <c r="Y77" s="65">
        <v>66930.680164489604</v>
      </c>
      <c r="Z77" s="65">
        <v>66849.155741270195</v>
      </c>
      <c r="AA77" s="65">
        <v>66767.6313180508</v>
      </c>
      <c r="AB77" s="65">
        <v>66686.106894831493</v>
      </c>
      <c r="AC77" s="65">
        <v>67204.251713669102</v>
      </c>
      <c r="AD77" s="65">
        <v>67722.396532506697</v>
      </c>
      <c r="AE77" s="65">
        <v>68240.541351344305</v>
      </c>
      <c r="AF77" s="65">
        <v>68758.686170182002</v>
      </c>
      <c r="AG77" s="65">
        <v>69276.830989019596</v>
      </c>
      <c r="AH77" s="65">
        <v>69563.164489717296</v>
      </c>
      <c r="AI77" s="65">
        <v>69849.497990414995</v>
      </c>
      <c r="AJ77" s="65">
        <v>70135.831491112694</v>
      </c>
      <c r="AK77" s="65">
        <v>70422.164991810394</v>
      </c>
      <c r="AL77" s="65">
        <v>70708.498492508093</v>
      </c>
      <c r="AM77" s="65">
        <v>71037.151684264696</v>
      </c>
      <c r="AN77" s="65">
        <v>71365.804876021401</v>
      </c>
      <c r="AO77" s="65">
        <v>71694.458067778003</v>
      </c>
      <c r="AP77" s="65">
        <v>72023.111259534693</v>
      </c>
      <c r="AQ77" s="65">
        <v>72351.764451291296</v>
      </c>
      <c r="AR77" s="65">
        <v>72351.764451291296</v>
      </c>
      <c r="AS77" s="65">
        <v>72351.764451291296</v>
      </c>
      <c r="AT77" s="65">
        <v>72351.764451291296</v>
      </c>
      <c r="AU77" s="65">
        <v>72351.764451291296</v>
      </c>
      <c r="AV77" s="65">
        <v>72351.764451291296</v>
      </c>
      <c r="AW77" s="65">
        <v>72351.764451291296</v>
      </c>
      <c r="AX77" s="65">
        <v>72351.764451291296</v>
      </c>
      <c r="AY77" s="65">
        <v>72351.764451291296</v>
      </c>
      <c r="AZ77" s="65">
        <v>72351.764451291296</v>
      </c>
      <c r="BA77" s="65">
        <v>72351.764451291296</v>
      </c>
    </row>
    <row r="78" spans="1:53" ht="15.75" x14ac:dyDescent="0.25">
      <c r="A78" s="67" t="s">
        <v>222</v>
      </c>
      <c r="B78" s="65" t="s">
        <v>268</v>
      </c>
      <c r="C78" s="65">
        <v>59019.370874527798</v>
      </c>
      <c r="D78" s="65">
        <v>60182.230590568302</v>
      </c>
      <c r="E78" s="65">
        <v>61345.090306608901</v>
      </c>
      <c r="F78" s="65">
        <v>62507.950022649398</v>
      </c>
      <c r="G78" s="65">
        <v>63670.809738689903</v>
      </c>
      <c r="H78" s="65">
        <v>64833.669454730501</v>
      </c>
      <c r="I78" s="65">
        <v>65335.714840973502</v>
      </c>
      <c r="J78" s="65">
        <v>65837.760227216495</v>
      </c>
      <c r="K78" s="65">
        <v>66339.805613459495</v>
      </c>
      <c r="L78" s="65">
        <v>66841.850999702496</v>
      </c>
      <c r="M78" s="65">
        <v>67343.896385945598</v>
      </c>
      <c r="N78" s="65">
        <v>67811.559032627905</v>
      </c>
      <c r="O78" s="65">
        <v>68279.2216793103</v>
      </c>
      <c r="P78" s="65">
        <v>68746.884325992607</v>
      </c>
      <c r="Q78" s="65">
        <v>69214.546972675002</v>
      </c>
      <c r="R78" s="65">
        <v>69682.209619357396</v>
      </c>
      <c r="S78" s="65">
        <v>70168.452056750495</v>
      </c>
      <c r="T78" s="65">
        <v>70654.694494143696</v>
      </c>
      <c r="U78" s="65">
        <v>71140.936931536897</v>
      </c>
      <c r="V78" s="65">
        <v>71627.179368929996</v>
      </c>
      <c r="W78" s="65">
        <v>72113.421806323197</v>
      </c>
      <c r="X78" s="65">
        <v>72254.578302727299</v>
      </c>
      <c r="Y78" s="65">
        <v>72395.734799131402</v>
      </c>
      <c r="Z78" s="65">
        <v>72536.891295535403</v>
      </c>
      <c r="AA78" s="65">
        <v>72678.047791939505</v>
      </c>
      <c r="AB78" s="65">
        <v>72819.204288343593</v>
      </c>
      <c r="AC78" s="65">
        <v>73076.874988623793</v>
      </c>
      <c r="AD78" s="65">
        <v>73334.545688903905</v>
      </c>
      <c r="AE78" s="65">
        <v>73592.216389184105</v>
      </c>
      <c r="AF78" s="65">
        <v>73849.887089464304</v>
      </c>
      <c r="AG78" s="65">
        <v>74107.557789744504</v>
      </c>
      <c r="AH78" s="65">
        <v>74403.922994788503</v>
      </c>
      <c r="AI78" s="65">
        <v>74700.288199832605</v>
      </c>
      <c r="AJ78" s="65">
        <v>74996.653404876604</v>
      </c>
      <c r="AK78" s="65">
        <v>75293.018609920604</v>
      </c>
      <c r="AL78" s="65">
        <v>75589.383814964604</v>
      </c>
      <c r="AM78" s="65">
        <v>75876.299282349006</v>
      </c>
      <c r="AN78" s="65">
        <v>76163.214749733394</v>
      </c>
      <c r="AO78" s="65">
        <v>76450.130217117694</v>
      </c>
      <c r="AP78" s="65">
        <v>76737.045684502096</v>
      </c>
      <c r="AQ78" s="65">
        <v>77023.961151886499</v>
      </c>
      <c r="AR78" s="65">
        <v>77023.961151886499</v>
      </c>
      <c r="AS78" s="65">
        <v>77023.961151886499</v>
      </c>
      <c r="AT78" s="65">
        <v>77023.961151886499</v>
      </c>
      <c r="AU78" s="65">
        <v>77023.961151886499</v>
      </c>
      <c r="AV78" s="65">
        <v>77023.961151886499</v>
      </c>
      <c r="AW78" s="65">
        <v>77023.961151886499</v>
      </c>
      <c r="AX78" s="65">
        <v>77023.961151886499</v>
      </c>
      <c r="AY78" s="65">
        <v>77023.961151886499</v>
      </c>
      <c r="AZ78" s="65">
        <v>77023.961151886499</v>
      </c>
      <c r="BA78" s="65">
        <v>77023.961151886499</v>
      </c>
    </row>
    <row r="79" spans="1:53" ht="15.75" x14ac:dyDescent="0.25">
      <c r="A79" s="67" t="s">
        <v>222</v>
      </c>
      <c r="B79" s="65" t="s">
        <v>269</v>
      </c>
      <c r="C79" s="65">
        <v>55872.689100644697</v>
      </c>
      <c r="D79" s="65">
        <v>57397.498968030501</v>
      </c>
      <c r="E79" s="65">
        <v>58922.308835416297</v>
      </c>
      <c r="F79" s="65">
        <v>60447.118702802101</v>
      </c>
      <c r="G79" s="65">
        <v>61971.928570187898</v>
      </c>
      <c r="H79" s="65">
        <v>63496.738437573702</v>
      </c>
      <c r="I79" s="65">
        <v>64360.659543596099</v>
      </c>
      <c r="J79" s="65">
        <v>65224.580649618598</v>
      </c>
      <c r="K79" s="65">
        <v>66088.501755641002</v>
      </c>
      <c r="L79" s="65">
        <v>66952.422861663494</v>
      </c>
      <c r="M79" s="65">
        <v>67816.343967685898</v>
      </c>
      <c r="N79" s="65">
        <v>68250.988822889907</v>
      </c>
      <c r="O79" s="65">
        <v>68685.633678094004</v>
      </c>
      <c r="P79" s="65">
        <v>69120.278533297998</v>
      </c>
      <c r="Q79" s="65">
        <v>69554.923388502095</v>
      </c>
      <c r="R79" s="65">
        <v>69989.568243706104</v>
      </c>
      <c r="S79" s="65">
        <v>70468.787934473003</v>
      </c>
      <c r="T79" s="65">
        <v>70948.007625239901</v>
      </c>
      <c r="U79" s="65">
        <v>71427.2273160068</v>
      </c>
      <c r="V79" s="65">
        <v>71906.4470067738</v>
      </c>
      <c r="W79" s="65">
        <v>72385.666697540699</v>
      </c>
      <c r="X79" s="65">
        <v>72518.591640727798</v>
      </c>
      <c r="Y79" s="65">
        <v>72651.516583914898</v>
      </c>
      <c r="Z79" s="65">
        <v>72784.441527102099</v>
      </c>
      <c r="AA79" s="65">
        <v>72917.366470289198</v>
      </c>
      <c r="AB79" s="65">
        <v>73050.2914134764</v>
      </c>
      <c r="AC79" s="65">
        <v>73295.0666035373</v>
      </c>
      <c r="AD79" s="65">
        <v>73539.8417935982</v>
      </c>
      <c r="AE79" s="65">
        <v>73784.6169836591</v>
      </c>
      <c r="AF79" s="65">
        <v>74029.39217372</v>
      </c>
      <c r="AG79" s="65">
        <v>74274.1673637809</v>
      </c>
      <c r="AH79" s="65">
        <v>74568.931474696903</v>
      </c>
      <c r="AI79" s="65">
        <v>74863.695585612993</v>
      </c>
      <c r="AJ79" s="65">
        <v>75158.459696529098</v>
      </c>
      <c r="AK79" s="65">
        <v>75453.223807445102</v>
      </c>
      <c r="AL79" s="65">
        <v>75747.987918361207</v>
      </c>
      <c r="AM79" s="65">
        <v>76031.667268913705</v>
      </c>
      <c r="AN79" s="65">
        <v>76315.346619466305</v>
      </c>
      <c r="AO79" s="65">
        <v>76599.025970018803</v>
      </c>
      <c r="AP79" s="65">
        <v>76882.705320571404</v>
      </c>
      <c r="AQ79" s="65">
        <v>77166.384671123902</v>
      </c>
      <c r="AR79" s="65">
        <v>77166.384671123902</v>
      </c>
      <c r="AS79" s="65">
        <v>77166.384671123902</v>
      </c>
      <c r="AT79" s="65">
        <v>77166.384671123902</v>
      </c>
      <c r="AU79" s="65">
        <v>77166.384671123902</v>
      </c>
      <c r="AV79" s="65">
        <v>77166.384671123902</v>
      </c>
      <c r="AW79" s="65">
        <v>77166.384671123902</v>
      </c>
      <c r="AX79" s="65">
        <v>77166.384671123902</v>
      </c>
      <c r="AY79" s="65">
        <v>77166.384671123902</v>
      </c>
      <c r="AZ79" s="65">
        <v>77166.384671123902</v>
      </c>
      <c r="BA79" s="65">
        <v>77166.384671123902</v>
      </c>
    </row>
    <row r="80" spans="1:53" ht="15.75" x14ac:dyDescent="0.25">
      <c r="A80" s="67" t="s">
        <v>224</v>
      </c>
      <c r="B80" s="65" t="s">
        <v>270</v>
      </c>
      <c r="C80" s="65">
        <v>9774.9513045954609</v>
      </c>
      <c r="D80" s="65">
        <v>8876.3608749922205</v>
      </c>
      <c r="E80" s="65">
        <v>7977.7704453889701</v>
      </c>
      <c r="F80" s="65">
        <v>7079.1800157857297</v>
      </c>
      <c r="G80" s="65">
        <v>6180.5895861824802</v>
      </c>
      <c r="H80" s="65">
        <v>5281.9991565792297</v>
      </c>
      <c r="I80" s="65">
        <v>5281.9991565792297</v>
      </c>
      <c r="J80" s="65">
        <v>5281.9991565792297</v>
      </c>
      <c r="K80" s="65">
        <v>5281.9991565792297</v>
      </c>
      <c r="L80" s="65">
        <v>5281.9991565792297</v>
      </c>
      <c r="M80" s="65">
        <v>5281.9991565792297</v>
      </c>
      <c r="N80" s="65">
        <v>5281.9991565792297</v>
      </c>
      <c r="O80" s="65">
        <v>5281.9991565792297</v>
      </c>
      <c r="P80" s="65">
        <v>5281.9991565792297</v>
      </c>
      <c r="Q80" s="65">
        <v>5281.9991565792297</v>
      </c>
      <c r="R80" s="65">
        <v>5281.9991565792297</v>
      </c>
      <c r="S80" s="65">
        <v>5281.9991565792297</v>
      </c>
      <c r="T80" s="65">
        <v>5281.9991565792297</v>
      </c>
      <c r="U80" s="65">
        <v>5281.9991565792297</v>
      </c>
      <c r="V80" s="65">
        <v>5281.9991565792297</v>
      </c>
      <c r="W80" s="65">
        <v>5281.9991565792297</v>
      </c>
      <c r="X80" s="65">
        <v>5281.9991565792297</v>
      </c>
      <c r="Y80" s="65">
        <v>5281.9991565792297</v>
      </c>
      <c r="Z80" s="65">
        <v>5281.9991565792297</v>
      </c>
      <c r="AA80" s="65">
        <v>5281.9991565792297</v>
      </c>
      <c r="AB80" s="65">
        <v>5281.9991565792297</v>
      </c>
      <c r="AC80" s="65">
        <v>5281.9991565792297</v>
      </c>
      <c r="AD80" s="65">
        <v>5281.9991565792297</v>
      </c>
      <c r="AE80" s="65">
        <v>5281.9991565792297</v>
      </c>
      <c r="AF80" s="65">
        <v>5281.9991565792297</v>
      </c>
      <c r="AG80" s="65">
        <v>5281.9991565792297</v>
      </c>
      <c r="AH80" s="65">
        <v>5281.9991565792297</v>
      </c>
      <c r="AI80" s="65">
        <v>5281.9991565792297</v>
      </c>
      <c r="AJ80" s="65">
        <v>5281.9991565792297</v>
      </c>
      <c r="AK80" s="65">
        <v>5281.9991565792297</v>
      </c>
      <c r="AL80" s="65">
        <v>5281.9991565792297</v>
      </c>
      <c r="AM80" s="65">
        <v>5281.9991565792297</v>
      </c>
      <c r="AN80" s="65">
        <v>5281.9991565792297</v>
      </c>
      <c r="AO80" s="65">
        <v>5281.9991565792297</v>
      </c>
      <c r="AP80" s="65">
        <v>5281.9991565792297</v>
      </c>
      <c r="AQ80" s="65">
        <v>5281.9991565792297</v>
      </c>
      <c r="AR80" s="65">
        <v>5281.9991565792297</v>
      </c>
      <c r="AS80" s="65">
        <v>5281.9991565792297</v>
      </c>
      <c r="AT80" s="65">
        <v>5281.9991565792297</v>
      </c>
      <c r="AU80" s="65">
        <v>5281.9991565792297</v>
      </c>
      <c r="AV80" s="65">
        <v>5281.9991565792297</v>
      </c>
      <c r="AW80" s="65">
        <v>5281.9991565792297</v>
      </c>
      <c r="AX80" s="65">
        <v>5281.9991565792297</v>
      </c>
      <c r="AY80" s="65">
        <v>5281.9991565792297</v>
      </c>
      <c r="AZ80" s="65">
        <v>5281.9991565792297</v>
      </c>
      <c r="BA80" s="65">
        <v>5281.9991565792297</v>
      </c>
    </row>
    <row r="81" spans="1:53" ht="15.75" x14ac:dyDescent="0.25">
      <c r="A81" s="67" t="s">
        <v>224</v>
      </c>
      <c r="B81" s="65" t="s">
        <v>271</v>
      </c>
      <c r="C81" s="65">
        <v>28293.7961012509</v>
      </c>
      <c r="D81" s="65">
        <v>28394.2099718805</v>
      </c>
      <c r="E81" s="65">
        <v>28494.6238425101</v>
      </c>
      <c r="F81" s="65">
        <v>28595.0377131397</v>
      </c>
      <c r="G81" s="65">
        <v>28695.4515837693</v>
      </c>
      <c r="H81" s="65">
        <v>28795.8654543989</v>
      </c>
      <c r="I81" s="65">
        <v>29125.892695095899</v>
      </c>
      <c r="J81" s="65">
        <v>29455.919935793001</v>
      </c>
      <c r="K81" s="65">
        <v>29785.947176490001</v>
      </c>
      <c r="L81" s="65">
        <v>30115.974417187099</v>
      </c>
      <c r="M81" s="65">
        <v>30446.001657884099</v>
      </c>
      <c r="N81" s="65">
        <v>31110.395693909701</v>
      </c>
      <c r="O81" s="65">
        <v>31774.789729935201</v>
      </c>
      <c r="P81" s="65">
        <v>32439.183765960799</v>
      </c>
      <c r="Q81" s="65">
        <v>33103.577801986401</v>
      </c>
      <c r="R81" s="65">
        <v>33767.971838011901</v>
      </c>
      <c r="S81" s="65">
        <v>34108.489276413296</v>
      </c>
      <c r="T81" s="65">
        <v>34449.006714814699</v>
      </c>
      <c r="U81" s="65">
        <v>34789.524153216204</v>
      </c>
      <c r="V81" s="65">
        <v>35130.041591617599</v>
      </c>
      <c r="W81" s="65">
        <v>35470.559030019002</v>
      </c>
      <c r="X81" s="65">
        <v>35553.576702596103</v>
      </c>
      <c r="Y81" s="65">
        <v>35636.594375173197</v>
      </c>
      <c r="Z81" s="65">
        <v>35719.612047750401</v>
      </c>
      <c r="AA81" s="65">
        <v>35802.629720327503</v>
      </c>
      <c r="AB81" s="65">
        <v>35885.647392904597</v>
      </c>
      <c r="AC81" s="65">
        <v>35942.882074081601</v>
      </c>
      <c r="AD81" s="65">
        <v>36000.116755258503</v>
      </c>
      <c r="AE81" s="65">
        <v>36057.3514364355</v>
      </c>
      <c r="AF81" s="65">
        <v>36114.586117612402</v>
      </c>
      <c r="AG81" s="65">
        <v>36171.820798789398</v>
      </c>
      <c r="AH81" s="65">
        <v>36335.919549424703</v>
      </c>
      <c r="AI81" s="65">
        <v>36500.018300060001</v>
      </c>
      <c r="AJ81" s="65">
        <v>36664.117050695299</v>
      </c>
      <c r="AK81" s="65">
        <v>36828.215801330502</v>
      </c>
      <c r="AL81" s="65">
        <v>36992.314551965799</v>
      </c>
      <c r="AM81" s="65">
        <v>37139.883741300997</v>
      </c>
      <c r="AN81" s="65">
        <v>37287.452930636202</v>
      </c>
      <c r="AO81" s="65">
        <v>37435.022119971298</v>
      </c>
      <c r="AP81" s="65">
        <v>37582.591309306503</v>
      </c>
      <c r="AQ81" s="65">
        <v>37730.160498641599</v>
      </c>
      <c r="AR81" s="65">
        <v>37730.160498641599</v>
      </c>
      <c r="AS81" s="65">
        <v>37730.160498641599</v>
      </c>
      <c r="AT81" s="65">
        <v>37730.160498641599</v>
      </c>
      <c r="AU81" s="65">
        <v>37730.160498641599</v>
      </c>
      <c r="AV81" s="65">
        <v>37730.160498641599</v>
      </c>
      <c r="AW81" s="65">
        <v>37730.160498641599</v>
      </c>
      <c r="AX81" s="65">
        <v>37730.160498641599</v>
      </c>
      <c r="AY81" s="65">
        <v>37730.160498641599</v>
      </c>
      <c r="AZ81" s="65">
        <v>37730.160498641599</v>
      </c>
      <c r="BA81" s="65">
        <v>37730.160498641599</v>
      </c>
    </row>
    <row r="82" spans="1:53" ht="15.75" x14ac:dyDescent="0.25">
      <c r="A82" s="67" t="s">
        <v>224</v>
      </c>
      <c r="B82" s="65" t="s">
        <v>272</v>
      </c>
      <c r="C82" s="65">
        <v>29743.257671373602</v>
      </c>
      <c r="D82" s="65">
        <v>30023.0241217086</v>
      </c>
      <c r="E82" s="65">
        <v>30302.790572043599</v>
      </c>
      <c r="F82" s="65">
        <v>30582.5570223787</v>
      </c>
      <c r="G82" s="65">
        <v>30862.323472713699</v>
      </c>
      <c r="H82" s="65">
        <v>31142.089923048799</v>
      </c>
      <c r="I82" s="65">
        <v>31588.249456296198</v>
      </c>
      <c r="J82" s="65">
        <v>32034.408989543699</v>
      </c>
      <c r="K82" s="65">
        <v>32480.5685227912</v>
      </c>
      <c r="L82" s="65">
        <v>32926.728056038701</v>
      </c>
      <c r="M82" s="65">
        <v>33372.887589286198</v>
      </c>
      <c r="N82" s="65">
        <v>33741.876910819199</v>
      </c>
      <c r="O82" s="65">
        <v>34110.8662323522</v>
      </c>
      <c r="P82" s="65">
        <v>34479.855553885303</v>
      </c>
      <c r="Q82" s="65">
        <v>34848.844875418297</v>
      </c>
      <c r="R82" s="65">
        <v>35217.8341969514</v>
      </c>
      <c r="S82" s="65">
        <v>35407.1533924588</v>
      </c>
      <c r="T82" s="65">
        <v>35596.4725879662</v>
      </c>
      <c r="U82" s="65">
        <v>35785.7917834736</v>
      </c>
      <c r="V82" s="65">
        <v>35975.110978981</v>
      </c>
      <c r="W82" s="65">
        <v>36164.4301744884</v>
      </c>
      <c r="X82" s="65">
        <v>36108.663249625402</v>
      </c>
      <c r="Y82" s="65">
        <v>36052.896324762398</v>
      </c>
      <c r="Z82" s="65">
        <v>35997.129399899401</v>
      </c>
      <c r="AA82" s="65">
        <v>35941.362475036301</v>
      </c>
      <c r="AB82" s="65">
        <v>35885.595550173297</v>
      </c>
      <c r="AC82" s="65">
        <v>35942.827475116297</v>
      </c>
      <c r="AD82" s="65">
        <v>36000.059400059297</v>
      </c>
      <c r="AE82" s="65">
        <v>36057.291325002298</v>
      </c>
      <c r="AF82" s="65">
        <v>36114.523249945298</v>
      </c>
      <c r="AG82" s="65">
        <v>36171.755174888298</v>
      </c>
      <c r="AH82" s="65">
        <v>36335.859731908997</v>
      </c>
      <c r="AI82" s="65">
        <v>36499.964288929703</v>
      </c>
      <c r="AJ82" s="65">
        <v>36664.068845950402</v>
      </c>
      <c r="AK82" s="65">
        <v>36828.173402971101</v>
      </c>
      <c r="AL82" s="65">
        <v>36992.277959991799</v>
      </c>
      <c r="AM82" s="65">
        <v>37139.840213364601</v>
      </c>
      <c r="AN82" s="65">
        <v>37287.402466737301</v>
      </c>
      <c r="AO82" s="65">
        <v>37434.964720110103</v>
      </c>
      <c r="AP82" s="65">
        <v>37582.526973482898</v>
      </c>
      <c r="AQ82" s="65">
        <v>37730.089226855598</v>
      </c>
      <c r="AR82" s="65">
        <v>37730.089226855598</v>
      </c>
      <c r="AS82" s="65">
        <v>37730.089226855598</v>
      </c>
      <c r="AT82" s="65">
        <v>37730.089226855598</v>
      </c>
      <c r="AU82" s="65">
        <v>37730.089226855598</v>
      </c>
      <c r="AV82" s="65">
        <v>37730.089226855598</v>
      </c>
      <c r="AW82" s="65">
        <v>37730.089226855598</v>
      </c>
      <c r="AX82" s="65">
        <v>37730.089226855598</v>
      </c>
      <c r="AY82" s="65">
        <v>37730.089226855598</v>
      </c>
      <c r="AZ82" s="65">
        <v>37730.089226855598</v>
      </c>
      <c r="BA82" s="65">
        <v>37730.089226855598</v>
      </c>
    </row>
    <row r="83" spans="1:53" ht="15.75" x14ac:dyDescent="0.25">
      <c r="A83" s="67" t="s">
        <v>219</v>
      </c>
      <c r="B83" s="65" t="s">
        <v>273</v>
      </c>
      <c r="C83" s="65">
        <v>33506.174613714997</v>
      </c>
      <c r="D83" s="65">
        <v>33567.945136029201</v>
      </c>
      <c r="E83" s="65">
        <v>33629.715658343302</v>
      </c>
      <c r="F83" s="65">
        <v>33691.486180657499</v>
      </c>
      <c r="G83" s="65">
        <v>33753.256702971601</v>
      </c>
      <c r="H83" s="65">
        <v>33815.027225285798</v>
      </c>
      <c r="I83" s="65">
        <v>33563.849751429203</v>
      </c>
      <c r="J83" s="65">
        <v>33312.672277572601</v>
      </c>
      <c r="K83" s="65">
        <v>33061.494803715999</v>
      </c>
      <c r="L83" s="65">
        <v>32810.317329859499</v>
      </c>
      <c r="M83" s="65">
        <v>32559.139856002901</v>
      </c>
      <c r="N83" s="65">
        <v>32888.823987353098</v>
      </c>
      <c r="O83" s="65">
        <v>33218.508118703401</v>
      </c>
      <c r="P83" s="65">
        <v>33548.192250053602</v>
      </c>
      <c r="Q83" s="65">
        <v>33877.876381403898</v>
      </c>
      <c r="R83" s="65">
        <v>34207.560512754098</v>
      </c>
      <c r="S83" s="65">
        <v>34394.800427427297</v>
      </c>
      <c r="T83" s="65">
        <v>34582.040342100503</v>
      </c>
      <c r="U83" s="65">
        <v>34769.280256773702</v>
      </c>
      <c r="V83" s="65">
        <v>34956.5201714469</v>
      </c>
      <c r="W83" s="65">
        <v>35143.760086119997</v>
      </c>
      <c r="X83" s="65">
        <v>35275.832030121303</v>
      </c>
      <c r="Y83" s="65">
        <v>35407.903974122601</v>
      </c>
      <c r="Z83" s="65">
        <v>35539.975918123899</v>
      </c>
      <c r="AA83" s="65">
        <v>35672.047862125197</v>
      </c>
      <c r="AB83" s="65">
        <v>35804.119806126502</v>
      </c>
      <c r="AC83" s="65">
        <v>35876.0838533231</v>
      </c>
      <c r="AD83" s="65">
        <v>35948.047900519698</v>
      </c>
      <c r="AE83" s="65">
        <v>36020.011947716303</v>
      </c>
      <c r="AF83" s="65">
        <v>36091.9759949129</v>
      </c>
      <c r="AG83" s="65">
        <v>36163.940042109498</v>
      </c>
      <c r="AH83" s="65">
        <v>36287.331365920501</v>
      </c>
      <c r="AI83" s="65">
        <v>36410.722689731498</v>
      </c>
      <c r="AJ83" s="65">
        <v>36534.114013542501</v>
      </c>
      <c r="AK83" s="65">
        <v>36657.505337353497</v>
      </c>
      <c r="AL83" s="65">
        <v>36780.896661164501</v>
      </c>
      <c r="AM83" s="65">
        <v>36913.529601854199</v>
      </c>
      <c r="AN83" s="65">
        <v>37046.162542544</v>
      </c>
      <c r="AO83" s="65">
        <v>37178.795483233698</v>
      </c>
      <c r="AP83" s="65">
        <v>37311.428423923397</v>
      </c>
      <c r="AQ83" s="65">
        <v>37444.061364613197</v>
      </c>
      <c r="AR83" s="65">
        <v>37444.061364613197</v>
      </c>
      <c r="AS83" s="65">
        <v>37444.061364613197</v>
      </c>
      <c r="AT83" s="65">
        <v>37444.061364613197</v>
      </c>
      <c r="AU83" s="65">
        <v>37444.061364613197</v>
      </c>
      <c r="AV83" s="65">
        <v>37444.061364613197</v>
      </c>
      <c r="AW83" s="65">
        <v>37444.061364613197</v>
      </c>
      <c r="AX83" s="65">
        <v>37444.061364613197</v>
      </c>
      <c r="AY83" s="65">
        <v>37444.061364613197</v>
      </c>
      <c r="AZ83" s="65">
        <v>37444.061364613197</v>
      </c>
      <c r="BA83" s="65">
        <v>37444.061364613197</v>
      </c>
    </row>
    <row r="84" spans="1:53" ht="15.75" x14ac:dyDescent="0.25">
      <c r="A84" s="67" t="s">
        <v>220</v>
      </c>
      <c r="B84" s="65" t="s">
        <v>274</v>
      </c>
      <c r="C84" s="65">
        <v>33346.165253846499</v>
      </c>
      <c r="D84" s="65">
        <v>33196.863402926603</v>
      </c>
      <c r="E84" s="65">
        <v>33047.5615520067</v>
      </c>
      <c r="F84" s="65">
        <v>32898.259701086798</v>
      </c>
      <c r="G84" s="65">
        <v>32748.957850166898</v>
      </c>
      <c r="H84" s="65">
        <v>32599.655999246999</v>
      </c>
      <c r="I84" s="65">
        <v>32842.649489881202</v>
      </c>
      <c r="J84" s="65">
        <v>33085.642980515498</v>
      </c>
      <c r="K84" s="65">
        <v>33328.636471149803</v>
      </c>
      <c r="L84" s="65">
        <v>33571.6299617841</v>
      </c>
      <c r="M84" s="65">
        <v>33814.623452418396</v>
      </c>
      <c r="N84" s="65">
        <v>34018.455779169803</v>
      </c>
      <c r="O84" s="65">
        <v>34222.288105921303</v>
      </c>
      <c r="P84" s="65">
        <v>34426.120432672702</v>
      </c>
      <c r="Q84" s="65">
        <v>34629.952759424203</v>
      </c>
      <c r="R84" s="65">
        <v>34833.785086175601</v>
      </c>
      <c r="S84" s="65">
        <v>35044.833122538897</v>
      </c>
      <c r="T84" s="65">
        <v>35255.881158902099</v>
      </c>
      <c r="U84" s="65">
        <v>35466.9291952653</v>
      </c>
      <c r="V84" s="65">
        <v>35677.977231628502</v>
      </c>
      <c r="W84" s="65">
        <v>35889.025267991703</v>
      </c>
      <c r="X84" s="65">
        <v>35872.046367672701</v>
      </c>
      <c r="Y84" s="65">
        <v>35855.067467353598</v>
      </c>
      <c r="Z84" s="65">
        <v>35838.088567034501</v>
      </c>
      <c r="AA84" s="65">
        <v>35821.1096667155</v>
      </c>
      <c r="AB84" s="65">
        <v>35804.130766396403</v>
      </c>
      <c r="AC84" s="65">
        <v>35876.088240460398</v>
      </c>
      <c r="AD84" s="65">
        <v>35948.045714524298</v>
      </c>
      <c r="AE84" s="65">
        <v>36020.0031885883</v>
      </c>
      <c r="AF84" s="65">
        <v>36091.960662652302</v>
      </c>
      <c r="AG84" s="65">
        <v>36163.918136716296</v>
      </c>
      <c r="AH84" s="65">
        <v>36287.315730036702</v>
      </c>
      <c r="AI84" s="65">
        <v>36410.713323357202</v>
      </c>
      <c r="AJ84" s="65">
        <v>36534.110916677702</v>
      </c>
      <c r="AK84" s="65">
        <v>36657.508509998101</v>
      </c>
      <c r="AL84" s="65">
        <v>36780.906103318601</v>
      </c>
      <c r="AM84" s="65">
        <v>36913.536544001203</v>
      </c>
      <c r="AN84" s="65">
        <v>37046.166984683798</v>
      </c>
      <c r="AO84" s="65">
        <v>37178.7974253664</v>
      </c>
      <c r="AP84" s="65">
        <v>37311.427866049002</v>
      </c>
      <c r="AQ84" s="65">
        <v>37444.058306731597</v>
      </c>
      <c r="AR84" s="65">
        <v>37444.058306731597</v>
      </c>
      <c r="AS84" s="65">
        <v>37444.058306731597</v>
      </c>
      <c r="AT84" s="65">
        <v>37444.058306731597</v>
      </c>
      <c r="AU84" s="65">
        <v>37444.058306731597</v>
      </c>
      <c r="AV84" s="65">
        <v>37444.058306731597</v>
      </c>
      <c r="AW84" s="65">
        <v>37444.058306731597</v>
      </c>
      <c r="AX84" s="65">
        <v>37444.058306731597</v>
      </c>
      <c r="AY84" s="65">
        <v>37444.058306731597</v>
      </c>
      <c r="AZ84" s="65">
        <v>37444.058306731597</v>
      </c>
      <c r="BA84" s="65">
        <v>37444.058306731597</v>
      </c>
    </row>
    <row r="85" spans="1:53" ht="15.75" x14ac:dyDescent="0.25">
      <c r="A85" s="67" t="s">
        <v>221</v>
      </c>
      <c r="B85" s="65" t="s">
        <v>275</v>
      </c>
      <c r="C85" s="65">
        <v>34768.761814708399</v>
      </c>
      <c r="D85" s="65">
        <v>34874.359196547302</v>
      </c>
      <c r="E85" s="65">
        <v>34979.956578386104</v>
      </c>
      <c r="F85" s="65">
        <v>35085.553960224897</v>
      </c>
      <c r="G85" s="65">
        <v>35191.1513420638</v>
      </c>
      <c r="H85" s="65">
        <v>35296.748723902601</v>
      </c>
      <c r="I85" s="65">
        <v>35258.3694670431</v>
      </c>
      <c r="J85" s="65">
        <v>35219.9902101837</v>
      </c>
      <c r="K85" s="65">
        <v>35181.610953324198</v>
      </c>
      <c r="L85" s="65">
        <v>35143.231696464703</v>
      </c>
      <c r="M85" s="65">
        <v>35104.852439605202</v>
      </c>
      <c r="N85" s="65">
        <v>35196.179680737703</v>
      </c>
      <c r="O85" s="65">
        <v>35287.506921870197</v>
      </c>
      <c r="P85" s="65">
        <v>35378.834163002699</v>
      </c>
      <c r="Q85" s="65">
        <v>35470.161404135099</v>
      </c>
      <c r="R85" s="65">
        <v>35561.4886452676</v>
      </c>
      <c r="S85" s="65">
        <v>35651.631605449198</v>
      </c>
      <c r="T85" s="65">
        <v>35741.774565630702</v>
      </c>
      <c r="U85" s="65">
        <v>35831.9175258123</v>
      </c>
      <c r="V85" s="65">
        <v>35922.060485993898</v>
      </c>
      <c r="W85" s="65">
        <v>36012.203446175503</v>
      </c>
      <c r="X85" s="65">
        <v>35970.592426470401</v>
      </c>
      <c r="Y85" s="65">
        <v>35928.981406765299</v>
      </c>
      <c r="Z85" s="65">
        <v>35887.370387060197</v>
      </c>
      <c r="AA85" s="65">
        <v>35845.759367355102</v>
      </c>
      <c r="AB85" s="65">
        <v>35804.148347650102</v>
      </c>
      <c r="AC85" s="65">
        <v>35876.111654955297</v>
      </c>
      <c r="AD85" s="65">
        <v>35948.074962260602</v>
      </c>
      <c r="AE85" s="65">
        <v>36020.038269565899</v>
      </c>
      <c r="AF85" s="65">
        <v>36092.001576871102</v>
      </c>
      <c r="AG85" s="65">
        <v>36163.964884176399</v>
      </c>
      <c r="AH85" s="65">
        <v>36287.359135307503</v>
      </c>
      <c r="AI85" s="65">
        <v>36410.753386438599</v>
      </c>
      <c r="AJ85" s="65">
        <v>36534.147637569797</v>
      </c>
      <c r="AK85" s="65">
        <v>36657.5418887009</v>
      </c>
      <c r="AL85" s="65">
        <v>36780.936139832003</v>
      </c>
      <c r="AM85" s="65">
        <v>36913.564143494397</v>
      </c>
      <c r="AN85" s="65">
        <v>37046.1921471569</v>
      </c>
      <c r="AO85" s="65">
        <v>37178.820150819301</v>
      </c>
      <c r="AP85" s="65">
        <v>37311.448154481703</v>
      </c>
      <c r="AQ85" s="65">
        <v>37444.076158144198</v>
      </c>
      <c r="AR85" s="65">
        <v>37444.076158144198</v>
      </c>
      <c r="AS85" s="65">
        <v>37444.076158144198</v>
      </c>
      <c r="AT85" s="65">
        <v>37444.076158144198</v>
      </c>
      <c r="AU85" s="65">
        <v>37444.076158144198</v>
      </c>
      <c r="AV85" s="65">
        <v>37444.076158144198</v>
      </c>
      <c r="AW85" s="65">
        <v>37444.076158144198</v>
      </c>
      <c r="AX85" s="65">
        <v>37444.076158144198</v>
      </c>
      <c r="AY85" s="65">
        <v>37444.076158144198</v>
      </c>
      <c r="AZ85" s="65">
        <v>37444.076158144198</v>
      </c>
      <c r="BA85" s="65">
        <v>37444.076158144198</v>
      </c>
    </row>
    <row r="86" spans="1:53" ht="15.75" x14ac:dyDescent="0.25">
      <c r="A86" s="67" t="s">
        <v>219</v>
      </c>
      <c r="B86" s="65" t="s">
        <v>276</v>
      </c>
      <c r="C86" s="65">
        <v>21091.627394977299</v>
      </c>
      <c r="D86" s="65">
        <v>21037.2655284008</v>
      </c>
      <c r="E86" s="65">
        <v>20982.903661824399</v>
      </c>
      <c r="F86" s="65">
        <v>20928.5417952479</v>
      </c>
      <c r="G86" s="65">
        <v>20874.1799286715</v>
      </c>
      <c r="H86" s="65">
        <v>20819.818062095001</v>
      </c>
      <c r="I86" s="65">
        <v>20953.839773384399</v>
      </c>
      <c r="J86" s="65">
        <v>21087.861484673798</v>
      </c>
      <c r="K86" s="65">
        <v>21221.883195963299</v>
      </c>
      <c r="L86" s="65">
        <v>21355.904907252701</v>
      </c>
      <c r="M86" s="65">
        <v>21489.9266185421</v>
      </c>
      <c r="N86" s="65">
        <v>21724.936820316099</v>
      </c>
      <c r="O86" s="65">
        <v>21959.9470220902</v>
      </c>
      <c r="P86" s="65">
        <v>22194.957223864199</v>
      </c>
      <c r="Q86" s="65">
        <v>22429.967425638199</v>
      </c>
      <c r="R86" s="65">
        <v>22664.9776274123</v>
      </c>
      <c r="S86" s="65">
        <v>22777.3993085865</v>
      </c>
      <c r="T86" s="65">
        <v>22889.820989760701</v>
      </c>
      <c r="U86" s="65">
        <v>23002.2426709348</v>
      </c>
      <c r="V86" s="65">
        <v>23114.664352109001</v>
      </c>
      <c r="W86" s="65">
        <v>23227.086033283202</v>
      </c>
      <c r="X86" s="65">
        <v>23310.4589883958</v>
      </c>
      <c r="Y86" s="65">
        <v>23393.831943508401</v>
      </c>
      <c r="Z86" s="65">
        <v>23477.204898620901</v>
      </c>
      <c r="AA86" s="65">
        <v>23560.577853733499</v>
      </c>
      <c r="AB86" s="65">
        <v>23643.950808846101</v>
      </c>
      <c r="AC86" s="65">
        <v>23696.126683395501</v>
      </c>
      <c r="AD86" s="65">
        <v>23748.302557944899</v>
      </c>
      <c r="AE86" s="65">
        <v>23800.478432494299</v>
      </c>
      <c r="AF86" s="65">
        <v>23852.6543070437</v>
      </c>
      <c r="AG86" s="65">
        <v>23904.830181593101</v>
      </c>
      <c r="AH86" s="65">
        <v>23991.649797753798</v>
      </c>
      <c r="AI86" s="65">
        <v>24078.469413914601</v>
      </c>
      <c r="AJ86" s="65">
        <v>24165.289030075299</v>
      </c>
      <c r="AK86" s="65">
        <v>24252.108646236</v>
      </c>
      <c r="AL86" s="65">
        <v>24338.928262396701</v>
      </c>
      <c r="AM86" s="65">
        <v>24427.7320157084</v>
      </c>
      <c r="AN86" s="65">
        <v>24516.535769020102</v>
      </c>
      <c r="AO86" s="65">
        <v>24605.339522331698</v>
      </c>
      <c r="AP86" s="65">
        <v>24694.143275643401</v>
      </c>
      <c r="AQ86" s="65">
        <v>24782.947028955099</v>
      </c>
      <c r="AR86" s="65">
        <v>24782.947028955099</v>
      </c>
      <c r="AS86" s="65">
        <v>24782.947028955099</v>
      </c>
      <c r="AT86" s="65">
        <v>24782.947028955099</v>
      </c>
      <c r="AU86" s="65">
        <v>24782.947028955099</v>
      </c>
      <c r="AV86" s="65">
        <v>24782.947028955099</v>
      </c>
      <c r="AW86" s="65">
        <v>24782.947028955099</v>
      </c>
      <c r="AX86" s="65">
        <v>24782.947028955099</v>
      </c>
      <c r="AY86" s="65">
        <v>24782.947028955099</v>
      </c>
      <c r="AZ86" s="65">
        <v>24782.947028955099</v>
      </c>
      <c r="BA86" s="65">
        <v>24782.947028955099</v>
      </c>
    </row>
    <row r="87" spans="1:53" ht="15.75" x14ac:dyDescent="0.25">
      <c r="A87" s="67" t="s">
        <v>220</v>
      </c>
      <c r="B87" s="65" t="s">
        <v>277</v>
      </c>
      <c r="C87" s="65">
        <v>21659.777928002099</v>
      </c>
      <c r="D87" s="65">
        <v>21791.387955775499</v>
      </c>
      <c r="E87" s="65">
        <v>21922.997983548899</v>
      </c>
      <c r="F87" s="65">
        <v>22054.6080113223</v>
      </c>
      <c r="G87" s="65">
        <v>22186.218039095598</v>
      </c>
      <c r="H87" s="65">
        <v>22317.828066868999</v>
      </c>
      <c r="I87" s="65">
        <v>22305.2654963194</v>
      </c>
      <c r="J87" s="65">
        <v>22292.702925769801</v>
      </c>
      <c r="K87" s="65">
        <v>22280.140355220199</v>
      </c>
      <c r="L87" s="65">
        <v>22267.577784670499</v>
      </c>
      <c r="M87" s="65">
        <v>22255.0152141209</v>
      </c>
      <c r="N87" s="65">
        <v>22421.279904337502</v>
      </c>
      <c r="O87" s="65">
        <v>22587.544594554001</v>
      </c>
      <c r="P87" s="65">
        <v>22753.809284770599</v>
      </c>
      <c r="Q87" s="65">
        <v>22920.073974987201</v>
      </c>
      <c r="R87" s="65">
        <v>23086.338665203701</v>
      </c>
      <c r="S87" s="65">
        <v>23225.269035171699</v>
      </c>
      <c r="T87" s="65">
        <v>23364.199405139701</v>
      </c>
      <c r="U87" s="65">
        <v>23503.1297751077</v>
      </c>
      <c r="V87" s="65">
        <v>23642.0601450756</v>
      </c>
      <c r="W87" s="65">
        <v>23780.990515043599</v>
      </c>
      <c r="X87" s="65">
        <v>23753.581778601299</v>
      </c>
      <c r="Y87" s="65">
        <v>23726.173042158902</v>
      </c>
      <c r="Z87" s="65">
        <v>23698.764305716599</v>
      </c>
      <c r="AA87" s="65">
        <v>23671.355569274201</v>
      </c>
      <c r="AB87" s="65">
        <v>23643.946832831902</v>
      </c>
      <c r="AC87" s="65">
        <v>23696.121758489699</v>
      </c>
      <c r="AD87" s="65">
        <v>23748.296684147499</v>
      </c>
      <c r="AE87" s="65">
        <v>23800.4716098053</v>
      </c>
      <c r="AF87" s="65">
        <v>23852.6465354631</v>
      </c>
      <c r="AG87" s="65">
        <v>23904.8214611209</v>
      </c>
      <c r="AH87" s="65">
        <v>23991.640895692701</v>
      </c>
      <c r="AI87" s="65">
        <v>24078.460330264399</v>
      </c>
      <c r="AJ87" s="65">
        <v>24165.279764836199</v>
      </c>
      <c r="AK87" s="65">
        <v>24252.099199408</v>
      </c>
      <c r="AL87" s="65">
        <v>24338.918633979702</v>
      </c>
      <c r="AM87" s="65">
        <v>24427.724380483702</v>
      </c>
      <c r="AN87" s="65">
        <v>24516.5301269878</v>
      </c>
      <c r="AO87" s="65">
        <v>24605.3358734918</v>
      </c>
      <c r="AP87" s="65">
        <v>24694.1416199958</v>
      </c>
      <c r="AQ87" s="65">
        <v>24782.9473664998</v>
      </c>
      <c r="AR87" s="65">
        <v>24782.9473664998</v>
      </c>
      <c r="AS87" s="65">
        <v>24782.9473664998</v>
      </c>
      <c r="AT87" s="65">
        <v>24782.9473664998</v>
      </c>
      <c r="AU87" s="65">
        <v>24782.9473664998</v>
      </c>
      <c r="AV87" s="65">
        <v>24782.9473664998</v>
      </c>
      <c r="AW87" s="65">
        <v>24782.9473664998</v>
      </c>
      <c r="AX87" s="65">
        <v>24782.9473664998</v>
      </c>
      <c r="AY87" s="65">
        <v>24782.9473664998</v>
      </c>
      <c r="AZ87" s="65">
        <v>24782.9473664998</v>
      </c>
      <c r="BA87" s="65">
        <v>24782.9473664998</v>
      </c>
    </row>
    <row r="88" spans="1:53" ht="15.75" x14ac:dyDescent="0.25">
      <c r="A88" s="67" t="s">
        <v>221</v>
      </c>
      <c r="B88" s="65" t="s">
        <v>278</v>
      </c>
      <c r="C88" s="65">
        <v>22089.612400879501</v>
      </c>
      <c r="D88" s="65">
        <v>22254.830516849201</v>
      </c>
      <c r="E88" s="65">
        <v>22420.048632819002</v>
      </c>
      <c r="F88" s="65">
        <v>22585.266748788701</v>
      </c>
      <c r="G88" s="65">
        <v>22750.484864758499</v>
      </c>
      <c r="H88" s="65">
        <v>22915.702980728202</v>
      </c>
      <c r="I88" s="65">
        <v>22961.0601345865</v>
      </c>
      <c r="J88" s="65">
        <v>23006.4172884447</v>
      </c>
      <c r="K88" s="65">
        <v>23051.7744423029</v>
      </c>
      <c r="L88" s="65">
        <v>23097.1315961611</v>
      </c>
      <c r="M88" s="65">
        <v>23142.488750019402</v>
      </c>
      <c r="N88" s="65">
        <v>23237.1787034726</v>
      </c>
      <c r="O88" s="65">
        <v>23331.868656925799</v>
      </c>
      <c r="P88" s="65">
        <v>23426.558610379001</v>
      </c>
      <c r="Q88" s="65">
        <v>23521.2485638322</v>
      </c>
      <c r="R88" s="65">
        <v>23615.938517285402</v>
      </c>
      <c r="S88" s="65">
        <v>23667.042041819201</v>
      </c>
      <c r="T88" s="65">
        <v>23718.145566353101</v>
      </c>
      <c r="U88" s="65">
        <v>23769.2490908869</v>
      </c>
      <c r="V88" s="65">
        <v>23820.352615420699</v>
      </c>
      <c r="W88" s="65">
        <v>23871.456139954498</v>
      </c>
      <c r="X88" s="65">
        <v>23825.9595253433</v>
      </c>
      <c r="Y88" s="65">
        <v>23780.4629107322</v>
      </c>
      <c r="Z88" s="65">
        <v>23734.966296121002</v>
      </c>
      <c r="AA88" s="65">
        <v>23689.4696815098</v>
      </c>
      <c r="AB88" s="65">
        <v>23643.973066898601</v>
      </c>
      <c r="AC88" s="65">
        <v>23696.145507457801</v>
      </c>
      <c r="AD88" s="65">
        <v>23748.317948017</v>
      </c>
      <c r="AE88" s="65">
        <v>23800.490388576301</v>
      </c>
      <c r="AF88" s="65">
        <v>23852.662829135501</v>
      </c>
      <c r="AG88" s="65">
        <v>23904.8352696947</v>
      </c>
      <c r="AH88" s="65">
        <v>23991.6580708851</v>
      </c>
      <c r="AI88" s="65">
        <v>24078.480872075401</v>
      </c>
      <c r="AJ88" s="65">
        <v>24165.3036732658</v>
      </c>
      <c r="AK88" s="65">
        <v>24252.1264744562</v>
      </c>
      <c r="AL88" s="65">
        <v>24338.949275646501</v>
      </c>
      <c r="AM88" s="65">
        <v>24427.753076080298</v>
      </c>
      <c r="AN88" s="65">
        <v>24516.5568765141</v>
      </c>
      <c r="AO88" s="65">
        <v>24605.360676947999</v>
      </c>
      <c r="AP88" s="65">
        <v>24694.164477381801</v>
      </c>
      <c r="AQ88" s="65">
        <v>24782.968277815598</v>
      </c>
      <c r="AR88" s="65">
        <v>24782.968277815598</v>
      </c>
      <c r="AS88" s="65">
        <v>24782.968277815598</v>
      </c>
      <c r="AT88" s="65">
        <v>24782.968277815598</v>
      </c>
      <c r="AU88" s="65">
        <v>24782.968277815598</v>
      </c>
      <c r="AV88" s="65">
        <v>24782.968277815598</v>
      </c>
      <c r="AW88" s="65">
        <v>24782.968277815598</v>
      </c>
      <c r="AX88" s="65">
        <v>24782.968277815598</v>
      </c>
      <c r="AY88" s="65">
        <v>24782.968277815598</v>
      </c>
      <c r="AZ88" s="65">
        <v>24782.968277815598</v>
      </c>
      <c r="BA88" s="65">
        <v>24782.968277815598</v>
      </c>
    </row>
    <row r="89" spans="1:53" ht="15.75" x14ac:dyDescent="0.25">
      <c r="A89" s="65"/>
      <c r="B89" s="65" t="s">
        <v>279</v>
      </c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65"/>
      <c r="BA89" s="65"/>
    </row>
    <row r="90" spans="1:53" ht="15.75" x14ac:dyDescent="0.25">
      <c r="A90" s="65"/>
      <c r="B90" s="65" t="s">
        <v>280</v>
      </c>
      <c r="C90" s="65">
        <v>36212.917622817593</v>
      </c>
      <c r="D90" s="65">
        <v>35995.436443432634</v>
      </c>
      <c r="E90" s="65">
        <v>35777.955264047698</v>
      </c>
      <c r="F90" s="65">
        <v>35560.474084662776</v>
      </c>
      <c r="G90" s="65">
        <v>35342.992905277788</v>
      </c>
      <c r="H90" s="65">
        <v>35125.511725892873</v>
      </c>
      <c r="I90" s="65">
        <v>35092.616355598533</v>
      </c>
      <c r="J90" s="65">
        <v>35059.72098530423</v>
      </c>
      <c r="K90" s="65">
        <v>35026.82561500989</v>
      </c>
      <c r="L90" s="65">
        <v>34993.930244715593</v>
      </c>
      <c r="M90" s="65">
        <v>34961.034874421275</v>
      </c>
      <c r="N90" s="65">
        <v>35044.534078823126</v>
      </c>
      <c r="O90" s="65">
        <v>35128.033283224977</v>
      </c>
      <c r="P90" s="65">
        <v>35211.532487626893</v>
      </c>
      <c r="Q90" s="65">
        <v>35295.031692028722</v>
      </c>
      <c r="R90" s="65">
        <v>35378.53089643058</v>
      </c>
      <c r="S90" s="65">
        <v>35519.507405075063</v>
      </c>
      <c r="T90" s="65">
        <v>35660.483913719538</v>
      </c>
      <c r="U90" s="65">
        <v>35801.460422363969</v>
      </c>
      <c r="V90" s="65">
        <v>35942.436931008444</v>
      </c>
      <c r="W90" s="65">
        <v>36083.413439652904</v>
      </c>
      <c r="X90" s="65">
        <v>36110.468399902995</v>
      </c>
      <c r="Y90" s="65">
        <v>36137.52336015302</v>
      </c>
      <c r="Z90" s="65">
        <v>36164.578320403096</v>
      </c>
      <c r="AA90" s="65">
        <v>36191.633280653135</v>
      </c>
      <c r="AB90" s="65">
        <v>36218.68824090319</v>
      </c>
      <c r="AC90" s="65">
        <v>36304.420718144684</v>
      </c>
      <c r="AD90" s="65">
        <v>36390.153195386178</v>
      </c>
      <c r="AE90" s="65">
        <v>36475.885672627621</v>
      </c>
      <c r="AF90" s="65">
        <v>36561.618149869115</v>
      </c>
      <c r="AG90" s="65">
        <v>36647.350627110602</v>
      </c>
      <c r="AH90" s="65">
        <v>36746.835188994162</v>
      </c>
      <c r="AI90" s="65">
        <v>36846.319750877708</v>
      </c>
      <c r="AJ90" s="65">
        <v>36945.804312761255</v>
      </c>
      <c r="AK90" s="65">
        <v>37045.288874644808</v>
      </c>
      <c r="AL90" s="65">
        <v>37144.773436528369</v>
      </c>
      <c r="AM90" s="65">
        <v>37248.895799007085</v>
      </c>
      <c r="AN90" s="65">
        <v>37353.018161485779</v>
      </c>
      <c r="AO90" s="65">
        <v>37457.140523964496</v>
      </c>
      <c r="AP90" s="65">
        <v>37561.262886443212</v>
      </c>
      <c r="AQ90" s="65">
        <v>37665.385248921906</v>
      </c>
      <c r="AR90" s="65">
        <v>37665.385248921906</v>
      </c>
      <c r="AS90" s="65">
        <v>37665.385248921906</v>
      </c>
      <c r="AT90" s="65">
        <v>37665.385248921906</v>
      </c>
      <c r="AU90" s="65">
        <v>37665.385248921906</v>
      </c>
      <c r="AV90" s="65">
        <v>37665.385248921906</v>
      </c>
      <c r="AW90" s="65">
        <v>37665.385248921906</v>
      </c>
      <c r="AX90" s="65">
        <v>37665.385248921906</v>
      </c>
      <c r="AY90" s="65">
        <v>37665.385248921906</v>
      </c>
      <c r="AZ90" s="65">
        <v>37665.385248921906</v>
      </c>
      <c r="BA90" s="65">
        <v>37665.385248921906</v>
      </c>
    </row>
    <row r="91" spans="1:53" ht="15.75" x14ac:dyDescent="0.25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65"/>
      <c r="BA91" s="65"/>
    </row>
    <row r="92" spans="1:53" ht="15.75" x14ac:dyDescent="0.25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65"/>
      <c r="BA92" s="65"/>
    </row>
    <row r="93" spans="1:53" ht="15.75" x14ac:dyDescent="0.25">
      <c r="A93" s="55" t="s">
        <v>281</v>
      </c>
      <c r="B93" s="65" t="s">
        <v>282</v>
      </c>
      <c r="C93" s="68">
        <v>2020</v>
      </c>
      <c r="D93" s="68">
        <v>2021</v>
      </c>
      <c r="E93" s="68">
        <v>2022</v>
      </c>
      <c r="F93" s="68">
        <v>2023</v>
      </c>
      <c r="G93" s="68">
        <v>2024</v>
      </c>
      <c r="H93" s="68">
        <v>2025</v>
      </c>
      <c r="I93" s="68">
        <v>2026</v>
      </c>
      <c r="J93" s="68">
        <v>2027</v>
      </c>
      <c r="K93" s="68">
        <v>2028</v>
      </c>
      <c r="L93" s="68">
        <v>2029</v>
      </c>
      <c r="M93" s="68">
        <v>2030</v>
      </c>
      <c r="N93" s="68">
        <v>2031</v>
      </c>
      <c r="O93" s="68">
        <v>2032</v>
      </c>
      <c r="P93" s="68">
        <v>2033</v>
      </c>
      <c r="Q93" s="68">
        <v>2034</v>
      </c>
      <c r="R93" s="68">
        <v>2035</v>
      </c>
      <c r="S93" s="68">
        <v>2036</v>
      </c>
      <c r="T93" s="68">
        <v>2037</v>
      </c>
      <c r="U93" s="68">
        <v>2038</v>
      </c>
      <c r="V93" s="68">
        <v>2039</v>
      </c>
      <c r="W93" s="68">
        <v>2040</v>
      </c>
      <c r="X93" s="68">
        <v>2041</v>
      </c>
      <c r="Y93" s="68">
        <v>2042</v>
      </c>
      <c r="Z93" s="68">
        <v>2043</v>
      </c>
      <c r="AA93" s="68">
        <v>2044</v>
      </c>
      <c r="AB93" s="68">
        <v>2045</v>
      </c>
      <c r="AC93" s="68">
        <v>2046</v>
      </c>
      <c r="AD93" s="68">
        <v>2047</v>
      </c>
      <c r="AE93" s="68">
        <v>2048</v>
      </c>
      <c r="AF93" s="68">
        <v>2049</v>
      </c>
      <c r="AG93" s="68">
        <v>2050</v>
      </c>
      <c r="AH93" s="68"/>
      <c r="AI93" s="68"/>
      <c r="AJ93" s="68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65"/>
      <c r="BA93" s="65"/>
    </row>
    <row r="94" spans="1:53" ht="15.75" x14ac:dyDescent="0.25">
      <c r="A94" s="67" t="s">
        <v>219</v>
      </c>
      <c r="B94" s="65" t="s">
        <v>213</v>
      </c>
      <c r="C94" s="69">
        <v>28710.322132816953</v>
      </c>
      <c r="D94" s="69">
        <v>28740.361267211476</v>
      </c>
      <c r="E94" s="69">
        <v>28770.640209197707</v>
      </c>
      <c r="F94" s="69">
        <v>28801.158861193297</v>
      </c>
      <c r="G94" s="69">
        <v>28831.917125668646</v>
      </c>
      <c r="H94" s="69">
        <v>28862.914905147245</v>
      </c>
      <c r="I94" s="69">
        <v>28717.200325824579</v>
      </c>
      <c r="J94" s="69">
        <v>28573.837952827373</v>
      </c>
      <c r="K94" s="69">
        <v>28432.843015929622</v>
      </c>
      <c r="L94" s="69">
        <v>28294.23087666685</v>
      </c>
      <c r="M94" s="69">
        <v>28158.017029763927</v>
      </c>
      <c r="N94" s="69">
        <v>28447.914960283164</v>
      </c>
      <c r="O94" s="69">
        <v>28737.820781666884</v>
      </c>
      <c r="P94" s="69">
        <v>29027.734254104627</v>
      </c>
      <c r="Q94" s="69">
        <v>29317.655147406247</v>
      </c>
      <c r="R94" s="69">
        <v>29607.583240523665</v>
      </c>
      <c r="S94" s="69">
        <v>29766.428851142275</v>
      </c>
      <c r="T94" s="69">
        <v>29925.277854408047</v>
      </c>
      <c r="U94" s="69">
        <v>30084.130197527837</v>
      </c>
      <c r="V94" s="69">
        <v>30242.985828798304</v>
      </c>
      <c r="W94" s="69">
        <v>30401.844697577679</v>
      </c>
      <c r="X94" s="69">
        <v>30515.019684416697</v>
      </c>
      <c r="Y94" s="69">
        <v>30628.195047925372</v>
      </c>
      <c r="Z94" s="69">
        <v>30741.370783978513</v>
      </c>
      <c r="AA94" s="69">
        <v>30854.546888511064</v>
      </c>
      <c r="AB94" s="69">
        <v>30967.723357516781</v>
      </c>
      <c r="AC94" s="69">
        <v>31031.244195760959</v>
      </c>
      <c r="AD94" s="69">
        <v>31094.765559132204</v>
      </c>
      <c r="AE94" s="69">
        <v>31158.287444361296</v>
      </c>
      <c r="AF94" s="69">
        <v>31221.809848206052</v>
      </c>
      <c r="AG94" s="69">
        <v>31285.332767451124</v>
      </c>
      <c r="AH94" s="69"/>
      <c r="AI94" s="69"/>
      <c r="AJ94" s="69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65"/>
      <c r="BA94" s="65"/>
    </row>
    <row r="95" spans="1:53" ht="15.75" x14ac:dyDescent="0.25">
      <c r="A95" s="67" t="s">
        <v>220</v>
      </c>
      <c r="B95" s="65" t="s">
        <v>213</v>
      </c>
      <c r="C95" s="69">
        <v>28744.397888062351</v>
      </c>
      <c r="D95" s="69">
        <v>28676.968077147903</v>
      </c>
      <c r="E95" s="69">
        <v>28610.93607939504</v>
      </c>
      <c r="F95" s="69">
        <v>28546.303244862313</v>
      </c>
      <c r="G95" s="69">
        <v>28483.07092534742</v>
      </c>
      <c r="H95" s="69">
        <v>28421.240474390048</v>
      </c>
      <c r="I95" s="69">
        <v>28580.672447378776</v>
      </c>
      <c r="J95" s="69">
        <v>28740.915769933003</v>
      </c>
      <c r="K95" s="69">
        <v>28901.960355873602</v>
      </c>
      <c r="L95" s="69">
        <v>29063.796285511478</v>
      </c>
      <c r="M95" s="69">
        <v>29226.413802226503</v>
      </c>
      <c r="N95" s="69">
        <v>29411.355422648674</v>
      </c>
      <c r="O95" s="69">
        <v>29596.323278761934</v>
      </c>
      <c r="P95" s="69">
        <v>29781.316861134808</v>
      </c>
      <c r="Q95" s="69">
        <v>29966.335673440339</v>
      </c>
      <c r="R95" s="69">
        <v>30151.379232036968</v>
      </c>
      <c r="S95" s="69">
        <v>30333.797005516542</v>
      </c>
      <c r="T95" s="69">
        <v>30516.214800821454</v>
      </c>
      <c r="U95" s="69">
        <v>30698.632617563169</v>
      </c>
      <c r="V95" s="69">
        <v>30881.050455362249</v>
      </c>
      <c r="W95" s="69">
        <v>31063.468313848229</v>
      </c>
      <c r="X95" s="69">
        <v>31044.307883452144</v>
      </c>
      <c r="Y95" s="69">
        <v>31025.15379853193</v>
      </c>
      <c r="Z95" s="69">
        <v>31006.006073280296</v>
      </c>
      <c r="AA95" s="69">
        <v>30986.864721932208</v>
      </c>
      <c r="AB95" s="69">
        <v>30967.729758765032</v>
      </c>
      <c r="AC95" s="69">
        <v>31031.245842030195</v>
      </c>
      <c r="AD95" s="69">
        <v>31094.762451193659</v>
      </c>
      <c r="AE95" s="69">
        <v>31158.279582981715</v>
      </c>
      <c r="AF95" s="69">
        <v>31221.797234147554</v>
      </c>
      <c r="AG95" s="69">
        <v>31285.315401471289</v>
      </c>
      <c r="AH95" s="69"/>
      <c r="AI95" s="69"/>
      <c r="AJ95" s="69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65"/>
      <c r="BA95" s="65"/>
    </row>
    <row r="96" spans="1:53" ht="15.75" x14ac:dyDescent="0.25">
      <c r="A96" s="67" t="s">
        <v>221</v>
      </c>
      <c r="B96" s="65" t="s">
        <v>214</v>
      </c>
      <c r="C96" s="69">
        <v>29842.882382026088</v>
      </c>
      <c r="D96" s="69">
        <v>29958.387634931714</v>
      </c>
      <c r="E96" s="69">
        <v>30074.142616746009</v>
      </c>
      <c r="F96" s="69">
        <v>30190.143809374844</v>
      </c>
      <c r="G96" s="69">
        <v>30306.387760497608</v>
      </c>
      <c r="H96" s="69">
        <v>30422.871082036781</v>
      </c>
      <c r="I96" s="69">
        <v>30408.454910885299</v>
      </c>
      <c r="J96" s="69">
        <v>30394.163454050838</v>
      </c>
      <c r="K96" s="69">
        <v>30379.996666701074</v>
      </c>
      <c r="L96" s="69">
        <v>30365.95450402538</v>
      </c>
      <c r="M96" s="69">
        <v>30352.036921234514</v>
      </c>
      <c r="N96" s="69">
        <v>30440.446816702897</v>
      </c>
      <c r="O96" s="69">
        <v>30528.886091246739</v>
      </c>
      <c r="P96" s="69">
        <v>30617.3544660644</v>
      </c>
      <c r="Q96" s="69">
        <v>30705.851665870759</v>
      </c>
      <c r="R96" s="69">
        <v>30794.377418842192</v>
      </c>
      <c r="S96" s="69">
        <v>30870.004377183614</v>
      </c>
      <c r="T96" s="69">
        <v>30945.633194978374</v>
      </c>
      <c r="U96" s="69">
        <v>31021.263859006613</v>
      </c>
      <c r="V96" s="69">
        <v>31096.896356173373</v>
      </c>
      <c r="W96" s="69">
        <v>31172.530673507281</v>
      </c>
      <c r="X96" s="69">
        <v>31131.558694465555</v>
      </c>
      <c r="Y96" s="69">
        <v>31090.594501352422</v>
      </c>
      <c r="Z96" s="69">
        <v>31049.638128293333</v>
      </c>
      <c r="AA96" s="69">
        <v>31008.689609613521</v>
      </c>
      <c r="AB96" s="69">
        <v>30967.748979839445</v>
      </c>
      <c r="AC96" s="69">
        <v>31031.268369596062</v>
      </c>
      <c r="AD96" s="69">
        <v>31094.788283813279</v>
      </c>
      <c r="AE96" s="69">
        <v>31158.308719226068</v>
      </c>
      <c r="AF96" s="69">
        <v>31221.82967259637</v>
      </c>
      <c r="AG96" s="69">
        <v>31285.351140713188</v>
      </c>
      <c r="AH96" s="69"/>
      <c r="AI96" s="69"/>
      <c r="AJ96" s="69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65"/>
      <c r="BA96" s="65"/>
    </row>
    <row r="97" spans="1:53" ht="15.75" x14ac:dyDescent="0.25">
      <c r="A97" s="67" t="s">
        <v>222</v>
      </c>
      <c r="B97" s="65" t="s">
        <v>214</v>
      </c>
      <c r="C97" s="69">
        <v>75846.446604917626</v>
      </c>
      <c r="D97" s="69">
        <v>74745.588157432809</v>
      </c>
      <c r="E97" s="69">
        <v>73758.184901119035</v>
      </c>
      <c r="F97" s="69">
        <v>72884.634676411981</v>
      </c>
      <c r="G97" s="69">
        <v>72125.337186006625</v>
      </c>
      <c r="H97" s="69">
        <v>71480.694005766389</v>
      </c>
      <c r="I97" s="69">
        <v>70922.611425347015</v>
      </c>
      <c r="J97" s="69">
        <v>70413.120806379782</v>
      </c>
      <c r="K97" s="69">
        <v>69952.752390230788</v>
      </c>
      <c r="L97" s="69">
        <v>69542.04416117417</v>
      </c>
      <c r="M97" s="69">
        <v>69181.54198824281</v>
      </c>
      <c r="N97" s="69">
        <v>69180.131818530455</v>
      </c>
      <c r="O97" s="69">
        <v>69188.970477484938</v>
      </c>
      <c r="P97" s="69">
        <v>69208.044257081739</v>
      </c>
      <c r="Q97" s="69">
        <v>69237.339473732121</v>
      </c>
      <c r="R97" s="69">
        <v>69276.84246822806</v>
      </c>
      <c r="S97" s="69">
        <v>69538.575912286236</v>
      </c>
      <c r="T97" s="69">
        <v>69803.277062369627</v>
      </c>
      <c r="U97" s="69">
        <v>70070.913785863042</v>
      </c>
      <c r="V97" s="69">
        <v>70341.454412367704</v>
      </c>
      <c r="W97" s="69">
        <v>70614.86772542019</v>
      </c>
      <c r="X97" s="69">
        <v>70686.211529501437</v>
      </c>
      <c r="Y97" s="69">
        <v>70757.843124658903</v>
      </c>
      <c r="Z97" s="69">
        <v>70829.761727331352</v>
      </c>
      <c r="AA97" s="69">
        <v>70901.966556799467</v>
      </c>
      <c r="AB97" s="69">
        <v>70974.456835173027</v>
      </c>
      <c r="AC97" s="69">
        <v>71303.864251888983</v>
      </c>
      <c r="AD97" s="69">
        <v>71633.817743775333</v>
      </c>
      <c r="AE97" s="69">
        <v>71964.309556551074</v>
      </c>
      <c r="AF97" s="69">
        <v>72295.332082058099</v>
      </c>
      <c r="AG97" s="69">
        <v>72626.877854835358</v>
      </c>
      <c r="AH97" s="69"/>
      <c r="AI97" s="69"/>
      <c r="AJ97" s="69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65"/>
      <c r="BA97" s="65"/>
    </row>
    <row r="98" spans="1:53" ht="15.75" x14ac:dyDescent="0.25">
      <c r="A98" s="67" t="s">
        <v>223</v>
      </c>
      <c r="B98" s="65" t="s">
        <v>214</v>
      </c>
      <c r="C98" s="69">
        <v>157391.05412014163</v>
      </c>
      <c r="D98" s="69">
        <v>155345.28690078575</v>
      </c>
      <c r="E98" s="69">
        <v>153379.80032703816</v>
      </c>
      <c r="F98" s="69">
        <v>151498.63079788405</v>
      </c>
      <c r="G98" s="69">
        <v>149706.08991730609</v>
      </c>
      <c r="H98" s="69">
        <v>148006.78835563437</v>
      </c>
      <c r="I98" s="69">
        <v>146843.95302921996</v>
      </c>
      <c r="J98" s="69">
        <v>145721.6712522204</v>
      </c>
      <c r="K98" s="69">
        <v>144640.78515094591</v>
      </c>
      <c r="L98" s="69">
        <v>143602.16033078023</v>
      </c>
      <c r="M98" s="69">
        <v>142606.686700188</v>
      </c>
      <c r="N98" s="69">
        <v>142731.54725742762</v>
      </c>
      <c r="O98" s="69">
        <v>142868.66164392376</v>
      </c>
      <c r="P98" s="69">
        <v>143018.03910157658</v>
      </c>
      <c r="Q98" s="69">
        <v>143179.6888815795</v>
      </c>
      <c r="R98" s="69">
        <v>143353.6202444364</v>
      </c>
      <c r="S98" s="69">
        <v>143836.63603812424</v>
      </c>
      <c r="T98" s="69">
        <v>144324.95828991957</v>
      </c>
      <c r="U98" s="69">
        <v>144818.5402464194</v>
      </c>
      <c r="V98" s="69">
        <v>145317.33570185001</v>
      </c>
      <c r="W98" s="69">
        <v>145821.29899007289</v>
      </c>
      <c r="X98" s="69">
        <v>146102.18276683919</v>
      </c>
      <c r="Y98" s="69">
        <v>146383.29900552621</v>
      </c>
      <c r="Z98" s="69">
        <v>146664.64652360621</v>
      </c>
      <c r="AA98" s="69">
        <v>146946.22414655687</v>
      </c>
      <c r="AB98" s="69">
        <v>147228.03070779666</v>
      </c>
      <c r="AC98" s="69">
        <v>148034.15848818608</v>
      </c>
      <c r="AD98" s="69">
        <v>148841.79983870883</v>
      </c>
      <c r="AE98" s="69">
        <v>149650.93174543077</v>
      </c>
      <c r="AF98" s="69">
        <v>150461.53165863908</v>
      </c>
      <c r="AG98" s="69">
        <v>151273.57748119021</v>
      </c>
      <c r="AH98" s="69"/>
      <c r="AI98" s="69"/>
      <c r="AJ98" s="69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65"/>
      <c r="BA98" s="65"/>
    </row>
    <row r="99" spans="1:53" ht="15.75" x14ac:dyDescent="0.25">
      <c r="A99" s="67" t="s">
        <v>224</v>
      </c>
      <c r="B99" s="65" t="s">
        <v>214</v>
      </c>
      <c r="C99" s="69">
        <v>26260.098720046608</v>
      </c>
      <c r="D99" s="69">
        <v>26546.403421560106</v>
      </c>
      <c r="E99" s="69">
        <v>26863.984419078723</v>
      </c>
      <c r="F99" s="69">
        <v>27213.575854042556</v>
      </c>
      <c r="G99" s="69">
        <v>27595.935025531449</v>
      </c>
      <c r="H99" s="69">
        <v>28011.843310624336</v>
      </c>
      <c r="I99" s="69">
        <v>28396.124484677814</v>
      </c>
      <c r="J99" s="69">
        <v>28780.696268455875</v>
      </c>
      <c r="K99" s="69">
        <v>29165.548643939848</v>
      </c>
      <c r="L99" s="69">
        <v>29550.672048340701</v>
      </c>
      <c r="M99" s="69">
        <v>29936.057348531449</v>
      </c>
      <c r="N99" s="69">
        <v>30431.20630168221</v>
      </c>
      <c r="O99" s="69">
        <v>30928.207047383996</v>
      </c>
      <c r="P99" s="69">
        <v>31426.980073833067</v>
      </c>
      <c r="Q99" s="69">
        <v>31927.450357069909</v>
      </c>
      <c r="R99" s="69">
        <v>32429.547048754041</v>
      </c>
      <c r="S99" s="69">
        <v>32687.595591208446</v>
      </c>
      <c r="T99" s="69">
        <v>32946.044261553288</v>
      </c>
      <c r="U99" s="69">
        <v>33204.884675531372</v>
      </c>
      <c r="V99" s="69">
        <v>33464.108681504928</v>
      </c>
      <c r="W99" s="69">
        <v>33723.708352443973</v>
      </c>
      <c r="X99" s="69">
        <v>33736.013549264331</v>
      </c>
      <c r="Y99" s="69">
        <v>33748.569918514186</v>
      </c>
      <c r="Z99" s="69">
        <v>33761.377193515073</v>
      </c>
      <c r="AA99" s="69">
        <v>33774.435107965735</v>
      </c>
      <c r="AB99" s="69">
        <v>33787.743395941885</v>
      </c>
      <c r="AC99" s="69">
        <v>33844.171060529276</v>
      </c>
      <c r="AD99" s="69">
        <v>33900.601111661883</v>
      </c>
      <c r="AE99" s="69">
        <v>33957.033538751013</v>
      </c>
      <c r="AF99" s="69">
        <v>34013.468331270284</v>
      </c>
      <c r="AG99" s="69">
        <v>34069.905478755602</v>
      </c>
      <c r="AH99" s="69"/>
      <c r="AI99" s="69"/>
      <c r="AJ99" s="69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65"/>
      <c r="BA99" s="65"/>
    </row>
    <row r="100" spans="1:53" ht="15.75" x14ac:dyDescent="0.25">
      <c r="A100" s="67" t="s">
        <v>226</v>
      </c>
      <c r="B100" s="65" t="s">
        <v>235</v>
      </c>
      <c r="C100" s="69">
        <v>40527.6497901197</v>
      </c>
      <c r="D100" s="69">
        <v>40405.560395412562</v>
      </c>
      <c r="E100" s="69">
        <v>40283.47726571247</v>
      </c>
      <c r="F100" s="69">
        <v>40161.400462839643</v>
      </c>
      <c r="G100" s="69">
        <v>40039.330049429984</v>
      </c>
      <c r="H100" s="69">
        <v>39917.266088949087</v>
      </c>
      <c r="I100" s="69">
        <v>39908.477740093957</v>
      </c>
      <c r="J100" s="69">
        <v>39899.689402555268</v>
      </c>
      <c r="K100" s="69">
        <v>39890.901076340095</v>
      </c>
      <c r="L100" s="69">
        <v>39882.112761455719</v>
      </c>
      <c r="M100" s="69">
        <v>39873.324457909192</v>
      </c>
      <c r="N100" s="69">
        <v>39939.115919735646</v>
      </c>
      <c r="O100" s="69">
        <v>40004.943383131489</v>
      </c>
      <c r="P100" s="69">
        <v>40070.806607065497</v>
      </c>
      <c r="Q100" s="69">
        <v>40136.705352653327</v>
      </c>
      <c r="R100" s="69">
        <v>40202.639383133559</v>
      </c>
      <c r="S100" s="69">
        <v>40423.419128575959</v>
      </c>
      <c r="T100" s="69">
        <v>40644.239698878795</v>
      </c>
      <c r="U100" s="69">
        <v>40865.100357508483</v>
      </c>
      <c r="V100" s="69">
        <v>41086.000385542851</v>
      </c>
      <c r="W100" s="69">
        <v>41306.939081147939</v>
      </c>
      <c r="X100" s="69">
        <v>41355.316198315595</v>
      </c>
      <c r="Y100" s="69">
        <v>41403.730018840441</v>
      </c>
      <c r="Z100" s="69">
        <v>41452.180350456867</v>
      </c>
      <c r="AA100" s="69">
        <v>41500.667002239839</v>
      </c>
      <c r="AB100" s="69">
        <v>41549.189784593145</v>
      </c>
      <c r="AC100" s="69">
        <v>41489.282064496481</v>
      </c>
      <c r="AD100" s="69">
        <v>41429.378662825351</v>
      </c>
      <c r="AE100" s="69">
        <v>41369.479595757468</v>
      </c>
      <c r="AF100" s="69">
        <v>41309.584879551541</v>
      </c>
      <c r="AG100" s="69">
        <v>41249.694530547684</v>
      </c>
      <c r="AH100" s="69"/>
      <c r="AI100" s="69"/>
      <c r="AJ100" s="69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65"/>
      <c r="BA100" s="65"/>
    </row>
    <row r="101" spans="1:53" ht="15.75" x14ac:dyDescent="0.25">
      <c r="A101" s="67" t="s">
        <v>227</v>
      </c>
      <c r="B101" s="65" t="s">
        <v>235</v>
      </c>
      <c r="C101" s="69">
        <v>45661.231653064497</v>
      </c>
      <c r="D101" s="69">
        <v>45232.754667082387</v>
      </c>
      <c r="E101" s="69">
        <v>44817.22281168597</v>
      </c>
      <c r="F101" s="69">
        <v>44415.092174538528</v>
      </c>
      <c r="G101" s="69">
        <v>44026.840523316372</v>
      </c>
      <c r="H101" s="69">
        <v>43652.968609394557</v>
      </c>
      <c r="I101" s="69">
        <v>43360.583883054525</v>
      </c>
      <c r="J101" s="69">
        <v>43082.300496240088</v>
      </c>
      <c r="K101" s="69">
        <v>42818.569560229073</v>
      </c>
      <c r="L101" s="69">
        <v>42569.861635498957</v>
      </c>
      <c r="M101" s="69">
        <v>42336.667791312364</v>
      </c>
      <c r="N101" s="69">
        <v>42214.662941461385</v>
      </c>
      <c r="O101" s="69">
        <v>42108.684813611682</v>
      </c>
      <c r="P101" s="69">
        <v>42019.156402106593</v>
      </c>
      <c r="Q101" s="69">
        <v>41946.515718900526</v>
      </c>
      <c r="R101" s="69">
        <v>41891.216465991711</v>
      </c>
      <c r="S101" s="69">
        <v>42006.901822181761</v>
      </c>
      <c r="T101" s="69">
        <v>42122.749128035808</v>
      </c>
      <c r="U101" s="69">
        <v>42238.757413232794</v>
      </c>
      <c r="V101" s="69">
        <v>42354.925715188001</v>
      </c>
      <c r="W101" s="69">
        <v>42471.253078975809</v>
      </c>
      <c r="X101" s="69">
        <v>42392.079825859619</v>
      </c>
      <c r="Y101" s="69">
        <v>42312.980081567839</v>
      </c>
      <c r="Z101" s="69">
        <v>42233.954145818308</v>
      </c>
      <c r="AA101" s="69">
        <v>42155.002319960666</v>
      </c>
      <c r="AB101" s="69">
        <v>42076.124906987025</v>
      </c>
      <c r="AC101" s="69">
        <v>42023.699372280869</v>
      </c>
      <c r="AD101" s="69">
        <v>41971.306986470678</v>
      </c>
      <c r="AE101" s="69">
        <v>41918.947839950495</v>
      </c>
      <c r="AF101" s="69">
        <v>41866.62202344332</v>
      </c>
      <c r="AG101" s="69">
        <v>41814.329628002539</v>
      </c>
      <c r="AH101" s="69"/>
      <c r="AI101" s="69"/>
      <c r="AJ101" s="69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65"/>
      <c r="BA101" s="65"/>
    </row>
    <row r="102" spans="1:53" ht="15.75" x14ac:dyDescent="0.25">
      <c r="A102" s="67" t="s">
        <v>228</v>
      </c>
      <c r="B102" s="65" t="s">
        <v>235</v>
      </c>
      <c r="C102" s="69">
        <v>16637.917400394021</v>
      </c>
      <c r="D102" s="69">
        <v>16683.593067899001</v>
      </c>
      <c r="E102" s="69">
        <v>16729.273204567955</v>
      </c>
      <c r="F102" s="69">
        <v>16774.957773857088</v>
      </c>
      <c r="G102" s="69">
        <v>16820.646739619948</v>
      </c>
      <c r="H102" s="69">
        <v>16866.34006610182</v>
      </c>
      <c r="I102" s="69">
        <v>16899.446336438043</v>
      </c>
      <c r="J102" s="69">
        <v>16932.557814030009</v>
      </c>
      <c r="K102" s="69">
        <v>16965.674468369391</v>
      </c>
      <c r="L102" s="69">
        <v>16998.796269185848</v>
      </c>
      <c r="M102" s="69">
        <v>17031.923186444455</v>
      </c>
      <c r="N102" s="69">
        <v>17086.493553915836</v>
      </c>
      <c r="O102" s="69">
        <v>17141.064369575903</v>
      </c>
      <c r="P102" s="69">
        <v>17195.63562915786</v>
      </c>
      <c r="Q102" s="69">
        <v>17250.207328448771</v>
      </c>
      <c r="R102" s="69">
        <v>17304.779463288862</v>
      </c>
      <c r="S102" s="69">
        <v>17351.373813229449</v>
      </c>
      <c r="T102" s="69">
        <v>17397.968376328776</v>
      </c>
      <c r="U102" s="69">
        <v>17444.563150878734</v>
      </c>
      <c r="V102" s="69">
        <v>17491.158135189395</v>
      </c>
      <c r="W102" s="69">
        <v>17537.753327588769</v>
      </c>
      <c r="X102" s="69">
        <v>17516.670483437927</v>
      </c>
      <c r="Y102" s="69">
        <v>17495.587899831546</v>
      </c>
      <c r="Z102" s="69">
        <v>17474.505577712698</v>
      </c>
      <c r="AA102" s="69">
        <v>17453.423518028776</v>
      </c>
      <c r="AB102" s="69">
        <v>17432.341721732053</v>
      </c>
      <c r="AC102" s="69">
        <v>17419.16790667842</v>
      </c>
      <c r="AD102" s="69">
        <v>17405.994091624802</v>
      </c>
      <c r="AE102" s="69">
        <v>17392.820276571201</v>
      </c>
      <c r="AF102" s="69">
        <v>17379.646461517576</v>
      </c>
      <c r="AG102" s="69">
        <v>17366.472646464019</v>
      </c>
      <c r="AH102" s="69"/>
      <c r="AI102" s="69"/>
      <c r="AJ102" s="69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65"/>
      <c r="BA102" s="65"/>
    </row>
    <row r="103" spans="1:53" ht="15.75" x14ac:dyDescent="0.25">
      <c r="A103" s="67" t="s">
        <v>229</v>
      </c>
      <c r="B103" s="65" t="s">
        <v>235</v>
      </c>
      <c r="C103" s="69">
        <v>46814.855092405189</v>
      </c>
      <c r="D103" s="69">
        <v>47052.731789982165</v>
      </c>
      <c r="E103" s="69">
        <v>47290.721360073774</v>
      </c>
      <c r="F103" s="69">
        <v>47528.822115590505</v>
      </c>
      <c r="G103" s="69">
        <v>47767.032402898294</v>
      </c>
      <c r="H103" s="69">
        <v>48005.350600993566</v>
      </c>
      <c r="I103" s="69">
        <v>48233.452151126614</v>
      </c>
      <c r="J103" s="69">
        <v>48461.556341909774</v>
      </c>
      <c r="K103" s="69">
        <v>48689.66313619072</v>
      </c>
      <c r="L103" s="69">
        <v>48917.772497511061</v>
      </c>
      <c r="M103" s="69">
        <v>49145.88439008985</v>
      </c>
      <c r="N103" s="69">
        <v>49353.361891281122</v>
      </c>
      <c r="O103" s="69">
        <v>49561.045168971461</v>
      </c>
      <c r="P103" s="69">
        <v>49768.931625317091</v>
      </c>
      <c r="Q103" s="69">
        <v>49977.01870602015</v>
      </c>
      <c r="R103" s="69">
        <v>50185.303899419792</v>
      </c>
      <c r="S103" s="69">
        <v>50336.492354801208</v>
      </c>
      <c r="T103" s="69">
        <v>50487.916299809141</v>
      </c>
      <c r="U103" s="69">
        <v>50639.573610932224</v>
      </c>
      <c r="V103" s="69">
        <v>50791.462190114245</v>
      </c>
      <c r="W103" s="69">
        <v>50943.579964373486</v>
      </c>
      <c r="X103" s="69">
        <v>50858.281333529521</v>
      </c>
      <c r="Y103" s="69">
        <v>50772.982772072261</v>
      </c>
      <c r="Z103" s="69">
        <v>50687.684280352056</v>
      </c>
      <c r="AA103" s="69">
        <v>50602.385858721544</v>
      </c>
      <c r="AB103" s="69">
        <v>50517.087507535754</v>
      </c>
      <c r="AC103" s="69">
        <v>50482.220861716087</v>
      </c>
      <c r="AD103" s="69">
        <v>50447.354215896958</v>
      </c>
      <c r="AE103" s="69">
        <v>50412.487570078396</v>
      </c>
      <c r="AF103" s="69">
        <v>50377.620924260424</v>
      </c>
      <c r="AG103" s="69">
        <v>50342.754278442982</v>
      </c>
      <c r="AH103" s="69"/>
      <c r="AI103" s="69"/>
      <c r="AJ103" s="69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65"/>
      <c r="BA103" s="65"/>
    </row>
    <row r="104" spans="1:53" ht="15.75" x14ac:dyDescent="0.25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65"/>
      <c r="BA104" s="65"/>
    </row>
    <row r="105" spans="1:53" ht="15.75" x14ac:dyDescent="0.25">
      <c r="A105" s="55" t="s">
        <v>283</v>
      </c>
      <c r="B105" s="65" t="s">
        <v>282</v>
      </c>
      <c r="C105" s="68">
        <v>2020</v>
      </c>
      <c r="D105" s="68">
        <v>2021</v>
      </c>
      <c r="E105" s="68">
        <v>2022</v>
      </c>
      <c r="F105" s="68">
        <v>2023</v>
      </c>
      <c r="G105" s="68">
        <v>2024</v>
      </c>
      <c r="H105" s="68">
        <v>2025</v>
      </c>
      <c r="I105" s="68">
        <v>2026</v>
      </c>
      <c r="J105" s="68">
        <v>2027</v>
      </c>
      <c r="K105" s="68">
        <v>2028</v>
      </c>
      <c r="L105" s="68">
        <v>2029</v>
      </c>
      <c r="M105" s="68">
        <v>2030</v>
      </c>
      <c r="N105" s="68">
        <v>2031</v>
      </c>
      <c r="O105" s="68">
        <v>2032</v>
      </c>
      <c r="P105" s="68">
        <v>2033</v>
      </c>
      <c r="Q105" s="68">
        <v>2034</v>
      </c>
      <c r="R105" s="68">
        <v>2035</v>
      </c>
      <c r="S105" s="68">
        <v>2036</v>
      </c>
      <c r="T105" s="68">
        <v>2037</v>
      </c>
      <c r="U105" s="68">
        <v>2038</v>
      </c>
      <c r="V105" s="68">
        <v>2039</v>
      </c>
      <c r="W105" s="68">
        <v>2040</v>
      </c>
      <c r="X105" s="68">
        <v>2041</v>
      </c>
      <c r="Y105" s="68">
        <v>2042</v>
      </c>
      <c r="Z105" s="68">
        <v>2043</v>
      </c>
      <c r="AA105" s="68">
        <v>2044</v>
      </c>
      <c r="AB105" s="68">
        <v>2045</v>
      </c>
      <c r="AC105" s="68">
        <v>2046</v>
      </c>
      <c r="AD105" s="68">
        <v>2047</v>
      </c>
      <c r="AE105" s="68">
        <v>2048</v>
      </c>
      <c r="AF105" s="68">
        <v>2049</v>
      </c>
      <c r="AG105" s="68">
        <v>2050</v>
      </c>
    </row>
    <row r="106" spans="1:53" ht="15.75" x14ac:dyDescent="0.25">
      <c r="A106" s="67" t="s">
        <v>219</v>
      </c>
      <c r="B106" s="65" t="s">
        <v>213</v>
      </c>
      <c r="C106" s="70">
        <v>3345831749.4821477</v>
      </c>
      <c r="D106" s="70">
        <v>3372520851.0492282</v>
      </c>
      <c r="E106" s="70">
        <v>3399286758.7692885</v>
      </c>
      <c r="F106" s="70">
        <v>3426130041.4816823</v>
      </c>
      <c r="G106" s="70">
        <v>3453051267.717154</v>
      </c>
      <c r="H106" s="70">
        <v>3480051005.6980915</v>
      </c>
      <c r="I106" s="70">
        <v>3512854044.1415472</v>
      </c>
      <c r="J106" s="70">
        <v>3545437755.7018309</v>
      </c>
      <c r="K106" s="70">
        <v>3577816434.6331625</v>
      </c>
      <c r="L106" s="70">
        <v>3610004498.8575549</v>
      </c>
      <c r="M106" s="70">
        <v>3642016491.305088</v>
      </c>
      <c r="N106" s="70">
        <v>3769294453.6157751</v>
      </c>
      <c r="O106" s="70">
        <v>3898403329.0496006</v>
      </c>
      <c r="P106" s="70">
        <v>4029343159.0294361</v>
      </c>
      <c r="Q106" s="70">
        <v>4162113983.3165331</v>
      </c>
      <c r="R106" s="70">
        <v>4296715840.0929298</v>
      </c>
      <c r="S106" s="70">
        <v>4411354751.1790028</v>
      </c>
      <c r="T106" s="70">
        <v>4526971664.3600855</v>
      </c>
      <c r="U106" s="70">
        <v>4643566602.8034334</v>
      </c>
      <c r="V106" s="70">
        <v>4761139589.1981211</v>
      </c>
      <c r="W106" s="70">
        <v>4879690645.7672815</v>
      </c>
      <c r="X106" s="70">
        <v>4994966913.4318705</v>
      </c>
      <c r="Y106" s="70">
        <v>5108759463.5152884</v>
      </c>
      <c r="Z106" s="70">
        <v>5223256126.1280613</v>
      </c>
      <c r="AA106" s="70">
        <v>5338456904.0431805</v>
      </c>
      <c r="AB106" s="70">
        <v>5454361799.9934177</v>
      </c>
      <c r="AC106" s="70">
        <v>5562070428.4380026</v>
      </c>
      <c r="AD106" s="70">
        <v>5670174307.5211058</v>
      </c>
      <c r="AE106" s="70">
        <v>5778673441.5365334</v>
      </c>
      <c r="AF106" s="70">
        <v>5887567834.7425127</v>
      </c>
      <c r="AG106" s="70">
        <v>5996857491.3620796</v>
      </c>
    </row>
    <row r="107" spans="1:53" ht="15.75" x14ac:dyDescent="0.25">
      <c r="A107" s="67" t="s">
        <v>220</v>
      </c>
      <c r="B107" s="65" t="s">
        <v>213</v>
      </c>
      <c r="C107" s="70">
        <v>3403308310.4814692</v>
      </c>
      <c r="D107" s="70">
        <v>3418830831.1574984</v>
      </c>
      <c r="E107" s="70">
        <v>3434410600.3641229</v>
      </c>
      <c r="F107" s="70">
        <v>3450051218.5754881</v>
      </c>
      <c r="G107" s="70">
        <v>3465756290.9038582</v>
      </c>
      <c r="H107" s="70">
        <v>3481529427.1070905</v>
      </c>
      <c r="I107" s="70">
        <v>3551991252.7139239</v>
      </c>
      <c r="J107" s="70">
        <v>3623123585.631556</v>
      </c>
      <c r="K107" s="70">
        <v>3694929473.9717875</v>
      </c>
      <c r="L107" s="70">
        <v>3767411915.532011</v>
      </c>
      <c r="M107" s="70">
        <v>3840573858.8291149</v>
      </c>
      <c r="N107" s="70">
        <v>3959183575.2880316</v>
      </c>
      <c r="O107" s="70">
        <v>4078982931.4454384</v>
      </c>
      <c r="P107" s="70">
        <v>4199972107.8305016</v>
      </c>
      <c r="Q107" s="70">
        <v>4322151280.3285656</v>
      </c>
      <c r="R107" s="70">
        <v>4445520620.3294582</v>
      </c>
      <c r="S107" s="70">
        <v>4567239923.8213406</v>
      </c>
      <c r="T107" s="70">
        <v>4690099708.6304779</v>
      </c>
      <c r="U107" s="70">
        <v>4814099974.9006186</v>
      </c>
      <c r="V107" s="70">
        <v>4939240722.772109</v>
      </c>
      <c r="W107" s="70">
        <v>5065521952.3820124</v>
      </c>
      <c r="X107" s="70">
        <v>5162773243.8546753</v>
      </c>
      <c r="Y107" s="70">
        <v>5257631902.1103392</v>
      </c>
      <c r="Z107" s="70">
        <v>5352370598.7466202</v>
      </c>
      <c r="AA107" s="70">
        <v>5446989396.5583134</v>
      </c>
      <c r="AB107" s="70">
        <v>5541488358.5276575</v>
      </c>
      <c r="AC107" s="70">
        <v>5650917477.3438854</v>
      </c>
      <c r="AD107" s="70">
        <v>5760748133.9125175</v>
      </c>
      <c r="AE107" s="70">
        <v>5870980332.6025133</v>
      </c>
      <c r="AF107" s="70">
        <v>5981614077.7465172</v>
      </c>
      <c r="AG107" s="70">
        <v>6092649373.6413736</v>
      </c>
    </row>
    <row r="108" spans="1:53" ht="15.75" x14ac:dyDescent="0.25">
      <c r="A108" s="67" t="s">
        <v>221</v>
      </c>
      <c r="B108" s="65" t="s">
        <v>214</v>
      </c>
      <c r="C108" s="70">
        <v>2854390527.200716</v>
      </c>
      <c r="D108" s="70">
        <v>2885277088.2676773</v>
      </c>
      <c r="E108" s="70">
        <v>2916340843.8552227</v>
      </c>
      <c r="F108" s="70">
        <v>2947581946.5983377</v>
      </c>
      <c r="G108" s="70">
        <v>2979000546.2783966</v>
      </c>
      <c r="H108" s="70">
        <v>3010596789.8894925</v>
      </c>
      <c r="I108" s="70">
        <v>3052946906.7034664</v>
      </c>
      <c r="J108" s="70">
        <v>3095268216.4134612</v>
      </c>
      <c r="K108" s="70">
        <v>3137561253.0141916</v>
      </c>
      <c r="L108" s="70">
        <v>3179826550.2444782</v>
      </c>
      <c r="M108" s="70">
        <v>3222064641.5873704</v>
      </c>
      <c r="N108" s="70">
        <v>3310300201.7042394</v>
      </c>
      <c r="O108" s="70">
        <v>3398997051.3693571</v>
      </c>
      <c r="P108" s="70">
        <v>3488155387.1225657</v>
      </c>
      <c r="Q108" s="70">
        <v>3577775403.0247097</v>
      </c>
      <c r="R108" s="70">
        <v>3667857290.6966267</v>
      </c>
      <c r="S108" s="70">
        <v>3754822238.3055334</v>
      </c>
      <c r="T108" s="70">
        <v>3842169383.9241819</v>
      </c>
      <c r="U108" s="70">
        <v>3929898739.9650674</v>
      </c>
      <c r="V108" s="70">
        <v>4018010318.7232842</v>
      </c>
      <c r="W108" s="70">
        <v>4106504132.3779325</v>
      </c>
      <c r="X108" s="70">
        <v>4182421439.6775341</v>
      </c>
      <c r="Y108" s="70">
        <v>4256289296.210588</v>
      </c>
      <c r="Z108" s="70">
        <v>4329949088.0788765</v>
      </c>
      <c r="AA108" s="70">
        <v>4403400880.0482769</v>
      </c>
      <c r="AB108" s="70">
        <v>4476644737.2642422</v>
      </c>
      <c r="AC108" s="70">
        <v>4565046797.3134565</v>
      </c>
      <c r="AD108" s="70">
        <v>4653773253.4868813</v>
      </c>
      <c r="AE108" s="70">
        <v>4742824109.3042135</v>
      </c>
      <c r="AF108" s="70">
        <v>4832199368.2559824</v>
      </c>
      <c r="AG108" s="70">
        <v>4921899033.8039122</v>
      </c>
    </row>
    <row r="109" spans="1:53" ht="15.75" x14ac:dyDescent="0.25">
      <c r="A109" s="67" t="s">
        <v>222</v>
      </c>
      <c r="B109" s="65" t="s">
        <v>214</v>
      </c>
      <c r="C109" s="70">
        <v>4243248416.923768</v>
      </c>
      <c r="D109" s="70">
        <v>4135143446.5307212</v>
      </c>
      <c r="E109" s="70">
        <v>4034614756.2566051</v>
      </c>
      <c r="F109" s="70">
        <v>3941472037.4969835</v>
      </c>
      <c r="G109" s="70">
        <v>3855524090.8280807</v>
      </c>
      <c r="H109" s="70">
        <v>3776578820.7883592</v>
      </c>
      <c r="I109" s="70">
        <v>3720801615.5901527</v>
      </c>
      <c r="J109" s="70">
        <v>3667969442.7516408</v>
      </c>
      <c r="K109" s="70">
        <v>3618055686.5311308</v>
      </c>
      <c r="L109" s="70">
        <v>3571033342.5276484</v>
      </c>
      <c r="M109" s="70">
        <v>3526875010.5606184</v>
      </c>
      <c r="N109" s="70">
        <v>3541628699.0779214</v>
      </c>
      <c r="O109" s="70">
        <v>3556908661.2005963</v>
      </c>
      <c r="P109" s="70">
        <v>3572720778.3754368</v>
      </c>
      <c r="Q109" s="70">
        <v>3589070921.5651793</v>
      </c>
      <c r="R109" s="70">
        <v>3605964951.2718225</v>
      </c>
      <c r="S109" s="70">
        <v>3634043836.7990761</v>
      </c>
      <c r="T109" s="70">
        <v>3662387244.9095998</v>
      </c>
      <c r="U109" s="70">
        <v>3690995333.7400928</v>
      </c>
      <c r="V109" s="70">
        <v>3719868259.1525111</v>
      </c>
      <c r="W109" s="70">
        <v>3749006174.7748332</v>
      </c>
      <c r="X109" s="70">
        <v>3768093722.8184886</v>
      </c>
      <c r="Y109" s="70">
        <v>3786813947.1263022</v>
      </c>
      <c r="Z109" s="70">
        <v>3805579763.426219</v>
      </c>
      <c r="AA109" s="70">
        <v>3824391310.9398789</v>
      </c>
      <c r="AB109" s="70">
        <v>3843248728.3844185</v>
      </c>
      <c r="AC109" s="70">
        <v>3876102783.7270679</v>
      </c>
      <c r="AD109" s="70">
        <v>3909125386.5514746</v>
      </c>
      <c r="AE109" s="70">
        <v>3942316457.079464</v>
      </c>
      <c r="AF109" s="70">
        <v>3975675917.0362225</v>
      </c>
      <c r="AG109" s="70">
        <v>4009203689.6150379</v>
      </c>
    </row>
    <row r="110" spans="1:53" ht="15.75" x14ac:dyDescent="0.25">
      <c r="A110" s="67" t="s">
        <v>223</v>
      </c>
      <c r="B110" s="65" t="s">
        <v>214</v>
      </c>
      <c r="C110" s="70">
        <v>14612799289.625017</v>
      </c>
      <c r="D110" s="70">
        <v>14262424777.082468</v>
      </c>
      <c r="E110" s="70">
        <v>13923563663.21998</v>
      </c>
      <c r="F110" s="70">
        <v>13596329460.18935</v>
      </c>
      <c r="G110" s="70">
        <v>13280843419.494194</v>
      </c>
      <c r="H110" s="70">
        <v>12977235203.022022</v>
      </c>
      <c r="I110" s="70">
        <v>12784933527.940308</v>
      </c>
      <c r="J110" s="70">
        <v>12597568533.352251</v>
      </c>
      <c r="K110" s="70">
        <v>12415137652.066132</v>
      </c>
      <c r="L110" s="70">
        <v>12237638245.31517</v>
      </c>
      <c r="M110" s="70">
        <v>12065067600.245365</v>
      </c>
      <c r="N110" s="70">
        <v>12126392325.324587</v>
      </c>
      <c r="O110" s="70">
        <v>12188851297.644287</v>
      </c>
      <c r="P110" s="70">
        <v>12252458382.820219</v>
      </c>
      <c r="Q110" s="70">
        <v>12317227460.414755</v>
      </c>
      <c r="R110" s="70">
        <v>12383172423.954905</v>
      </c>
      <c r="S110" s="70">
        <v>12474517056.945681</v>
      </c>
      <c r="T110" s="70">
        <v>12566656995.221544</v>
      </c>
      <c r="U110" s="70">
        <v>12659593643.608829</v>
      </c>
      <c r="V110" s="70">
        <v>12753328390.478903</v>
      </c>
      <c r="W110" s="70">
        <v>12847862607.988451</v>
      </c>
      <c r="X110" s="70">
        <v>12925089336.854912</v>
      </c>
      <c r="Y110" s="70">
        <v>13001119910.135149</v>
      </c>
      <c r="Z110" s="70">
        <v>13077367607.079</v>
      </c>
      <c r="AA110" s="70">
        <v>13153832565.047693</v>
      </c>
      <c r="AB110" s="70">
        <v>13230514920.474039</v>
      </c>
      <c r="AC110" s="70">
        <v>13354695167.648855</v>
      </c>
      <c r="AD110" s="70">
        <v>13479575975.665928</v>
      </c>
      <c r="AE110" s="70">
        <v>13605156839.257725</v>
      </c>
      <c r="AF110" s="70">
        <v>13731437263.348825</v>
      </c>
      <c r="AG110" s="70">
        <v>13858416762.7997</v>
      </c>
    </row>
    <row r="111" spans="1:53" ht="15.75" x14ac:dyDescent="0.25">
      <c r="A111" s="67" t="s">
        <v>224</v>
      </c>
      <c r="B111" s="65" t="s">
        <v>214</v>
      </c>
      <c r="C111" s="70">
        <v>94903996.774248436</v>
      </c>
      <c r="D111" s="70">
        <v>96602362.05105722</v>
      </c>
      <c r="E111" s="70">
        <v>98429638.911504433</v>
      </c>
      <c r="F111" s="70">
        <v>100390881.32556298</v>
      </c>
      <c r="G111" s="70">
        <v>102491302.6848238</v>
      </c>
      <c r="H111" s="70">
        <v>104736282.1384244</v>
      </c>
      <c r="I111" s="70">
        <v>107717858.62017682</v>
      </c>
      <c r="J111" s="70">
        <v>110742363.10176452</v>
      </c>
      <c r="K111" s="70">
        <v>113809803.91838208</v>
      </c>
      <c r="L111" s="70">
        <v>116920189.02646482</v>
      </c>
      <c r="M111" s="70">
        <v>120073526.02495964</v>
      </c>
      <c r="N111" s="70">
        <v>125035740.45235187</v>
      </c>
      <c r="O111" s="70">
        <v>130102595.76552553</v>
      </c>
      <c r="P111" s="70">
        <v>135274293.02980706</v>
      </c>
      <c r="Q111" s="70">
        <v>140551021.96189317</v>
      </c>
      <c r="R111" s="70">
        <v>145932961.71939319</v>
      </c>
      <c r="S111" s="70">
        <v>150212576.77983928</v>
      </c>
      <c r="T111" s="70">
        <v>154543304.42209414</v>
      </c>
      <c r="U111" s="70">
        <v>158925219.0340282</v>
      </c>
      <c r="V111" s="70">
        <v>163358392.93963441</v>
      </c>
      <c r="W111" s="70">
        <v>167842896.47011366</v>
      </c>
      <c r="X111" s="70">
        <v>171230510.37064525</v>
      </c>
      <c r="Y111" s="70">
        <v>174548217.22891676</v>
      </c>
      <c r="Z111" s="70">
        <v>177869667.29275745</v>
      </c>
      <c r="AA111" s="70">
        <v>181194931.70912883</v>
      </c>
      <c r="AB111" s="70">
        <v>184524081.5243459</v>
      </c>
      <c r="AC111" s="70">
        <v>188095441.8288205</v>
      </c>
      <c r="AD111" s="70">
        <v>191677696.9327296</v>
      </c>
      <c r="AE111" s="70">
        <v>195270847.46550173</v>
      </c>
      <c r="AF111" s="70">
        <v>198874894.0528459</v>
      </c>
      <c r="AG111" s="70">
        <v>202489837.31678164</v>
      </c>
    </row>
    <row r="112" spans="1:53" ht="15.75" x14ac:dyDescent="0.25">
      <c r="A112" s="67" t="s">
        <v>226</v>
      </c>
      <c r="B112" s="65" t="s">
        <v>235</v>
      </c>
      <c r="C112" s="70">
        <v>192668892.90637672</v>
      </c>
      <c r="D112" s="70">
        <v>192094886.90283436</v>
      </c>
      <c r="E112" s="70">
        <v>191520871.95843565</v>
      </c>
      <c r="F112" s="70">
        <v>190946848.37008491</v>
      </c>
      <c r="G112" s="70">
        <v>190372816.438604</v>
      </c>
      <c r="H112" s="70">
        <v>189798776.46879947</v>
      </c>
      <c r="I112" s="70">
        <v>190934122.07023597</v>
      </c>
      <c r="J112" s="70">
        <v>192068949.28738716</v>
      </c>
      <c r="K112" s="70">
        <v>193203258.12128869</v>
      </c>
      <c r="L112" s="70">
        <v>194337048.57297805</v>
      </c>
      <c r="M112" s="70">
        <v>195470320.64349246</v>
      </c>
      <c r="N112" s="70">
        <v>199159133.36929071</v>
      </c>
      <c r="O112" s="70">
        <v>202859219.17313716</v>
      </c>
      <c r="P112" s="70">
        <v>206570585.91570231</v>
      </c>
      <c r="Q112" s="70">
        <v>210293241.38764349</v>
      </c>
      <c r="R112" s="70">
        <v>214027193.31038192</v>
      </c>
      <c r="S112" s="70">
        <v>218520005.55598357</v>
      </c>
      <c r="T112" s="70">
        <v>223049279.48144552</v>
      </c>
      <c r="U112" s="70">
        <v>227615021.03551081</v>
      </c>
      <c r="V112" s="70">
        <v>232217236.02468029</v>
      </c>
      <c r="W112" s="70">
        <v>236855930.11743909</v>
      </c>
      <c r="X112" s="70">
        <v>240649551.5126797</v>
      </c>
      <c r="Y112" s="70">
        <v>244368131.13543579</v>
      </c>
      <c r="Z112" s="70">
        <v>248094966.7849316</v>
      </c>
      <c r="AA112" s="70">
        <v>251830066.39479166</v>
      </c>
      <c r="AB112" s="70">
        <v>255573437.84342432</v>
      </c>
      <c r="AC112" s="70">
        <v>258648896.81816289</v>
      </c>
      <c r="AD112" s="70">
        <v>261714437.38856724</v>
      </c>
      <c r="AE112" s="70">
        <v>264770060.7335732</v>
      </c>
      <c r="AF112" s="70">
        <v>267815768.03801328</v>
      </c>
      <c r="AG112" s="70">
        <v>270851560.49265301</v>
      </c>
    </row>
    <row r="113" spans="1:33" ht="15.75" x14ac:dyDescent="0.25">
      <c r="A113" s="67" t="s">
        <v>227</v>
      </c>
      <c r="B113" s="65" t="s">
        <v>235</v>
      </c>
      <c r="C113" s="70">
        <v>241227556.2434333</v>
      </c>
      <c r="D113" s="70">
        <v>238971789.68143368</v>
      </c>
      <c r="E113" s="70">
        <v>236784267.43211046</v>
      </c>
      <c r="F113" s="70">
        <v>234667405.99472737</v>
      </c>
      <c r="G113" s="70">
        <v>232623736.73623627</v>
      </c>
      <c r="H113" s="70">
        <v>230655912.79862383</v>
      </c>
      <c r="I113" s="70">
        <v>230532259.13921514</v>
      </c>
      <c r="J113" s="70">
        <v>230464871.86467144</v>
      </c>
      <c r="K113" s="70">
        <v>230457565.57308841</v>
      </c>
      <c r="L113" s="70">
        <v>230514319.32504189</v>
      </c>
      <c r="M113" s="70">
        <v>230639285.60344741</v>
      </c>
      <c r="N113" s="70">
        <v>233928442.9819378</v>
      </c>
      <c r="O113" s="70">
        <v>237285058.08489725</v>
      </c>
      <c r="P113" s="70">
        <v>240716057.29835761</v>
      </c>
      <c r="Q113" s="70">
        <v>244228612.91653407</v>
      </c>
      <c r="R113" s="70">
        <v>247830154.15268207</v>
      </c>
      <c r="S113" s="70">
        <v>252345624.91608682</v>
      </c>
      <c r="T113" s="70">
        <v>256883184.56062609</v>
      </c>
      <c r="U113" s="70">
        <v>261442871.3902719</v>
      </c>
      <c r="V113" s="70">
        <v>266024723.40360999</v>
      </c>
      <c r="W113" s="70">
        <v>270628778.29687548</v>
      </c>
      <c r="X113" s="70">
        <v>274129449.64819461</v>
      </c>
      <c r="Y113" s="70">
        <v>277521069.49343228</v>
      </c>
      <c r="Z113" s="70">
        <v>280898587.27992362</v>
      </c>
      <c r="AA113" s="70">
        <v>284262025.46494055</v>
      </c>
      <c r="AB113" s="70">
        <v>287611406.62817645</v>
      </c>
      <c r="AC113" s="70">
        <v>291129487.72510117</v>
      </c>
      <c r="AD113" s="70">
        <v>294638129.64042747</v>
      </c>
      <c r="AE113" s="70">
        <v>298137342.19042581</v>
      </c>
      <c r="AF113" s="70">
        <v>301627135.22708619</v>
      </c>
      <c r="AG113" s="70">
        <v>305107518.63828403</v>
      </c>
    </row>
    <row r="114" spans="1:33" ht="15.75" x14ac:dyDescent="0.25">
      <c r="A114" s="67" t="s">
        <v>228</v>
      </c>
      <c r="B114" s="65" t="s">
        <v>235</v>
      </c>
      <c r="C114" s="70">
        <v>449970928.76733804</v>
      </c>
      <c r="D114" s="70">
        <v>451221161.4364062</v>
      </c>
      <c r="E114" s="70">
        <v>452471596.77758712</v>
      </c>
      <c r="F114" s="70">
        <v>453722233.81446415</v>
      </c>
      <c r="G114" s="70">
        <v>454973071.58123738</v>
      </c>
      <c r="H114" s="70">
        <v>456224109.12257355</v>
      </c>
      <c r="I114" s="70">
        <v>459955641.24710494</v>
      </c>
      <c r="J114" s="70">
        <v>463698427.615345</v>
      </c>
      <c r="K114" s="70">
        <v>467452470.0083133</v>
      </c>
      <c r="L114" s="70">
        <v>471217770.19314736</v>
      </c>
      <c r="M114" s="70">
        <v>474994329.92323011</v>
      </c>
      <c r="N114" s="70">
        <v>484708965.67774224</v>
      </c>
      <c r="O114" s="70">
        <v>494475945.92492926</v>
      </c>
      <c r="P114" s="70">
        <v>504295271.18436104</v>
      </c>
      <c r="Q114" s="70">
        <v>514166941.96902937</v>
      </c>
      <c r="R114" s="70">
        <v>524090958.78545582</v>
      </c>
      <c r="S114" s="70">
        <v>533603224.49523973</v>
      </c>
      <c r="T114" s="70">
        <v>543159005.35910404</v>
      </c>
      <c r="U114" s="70">
        <v>552758301.62148702</v>
      </c>
      <c r="V114" s="70">
        <v>562401113.5242219</v>
      </c>
      <c r="W114" s="70">
        <v>572087441.30657041</v>
      </c>
      <c r="X114" s="70">
        <v>579872303.43938076</v>
      </c>
      <c r="Y114" s="70">
        <v>587436359.40201855</v>
      </c>
      <c r="Z114" s="70">
        <v>594980512.53177953</v>
      </c>
      <c r="AA114" s="70">
        <v>602504763.23181665</v>
      </c>
      <c r="AB114" s="70">
        <v>610009111.90724504</v>
      </c>
      <c r="AC114" s="70">
        <v>617774007.60573053</v>
      </c>
      <c r="AD114" s="70">
        <v>625526461.11334944</v>
      </c>
      <c r="AE114" s="70">
        <v>633266472.43010187</v>
      </c>
      <c r="AF114" s="70">
        <v>640994041.55598617</v>
      </c>
      <c r="AG114" s="70">
        <v>648709168.4910059</v>
      </c>
    </row>
    <row r="115" spans="1:33" ht="15.75" x14ac:dyDescent="0.25">
      <c r="A115" s="67" t="s">
        <v>229</v>
      </c>
      <c r="B115" s="65" t="s">
        <v>235</v>
      </c>
      <c r="C115" s="70">
        <v>759754210.40225077</v>
      </c>
      <c r="D115" s="70">
        <v>763640193.21258497</v>
      </c>
      <c r="E115" s="70">
        <v>767528265.80183327</v>
      </c>
      <c r="F115" s="70">
        <v>771418400.97115409</v>
      </c>
      <c r="G115" s="70">
        <v>775310572.06106675</v>
      </c>
      <c r="H115" s="70">
        <v>779204752.938151</v>
      </c>
      <c r="I115" s="70">
        <v>787763663.96229541</v>
      </c>
      <c r="J115" s="70">
        <v>796368551.82806671</v>
      </c>
      <c r="K115" s="70">
        <v>805019416.71883261</v>
      </c>
      <c r="L115" s="70">
        <v>813716258.81454146</v>
      </c>
      <c r="M115" s="70">
        <v>822459078.29179513</v>
      </c>
      <c r="N115" s="70">
        <v>840131994.23466039</v>
      </c>
      <c r="O115" s="70">
        <v>857927870.01895428</v>
      </c>
      <c r="P115" s="70">
        <v>875846837.55542457</v>
      </c>
      <c r="Q115" s="70">
        <v>893889026.5437026</v>
      </c>
      <c r="R115" s="70">
        <v>912054564.51843369</v>
      </c>
      <c r="S115" s="70">
        <v>928904394.92029667</v>
      </c>
      <c r="T115" s="70">
        <v>945843350.30810463</v>
      </c>
      <c r="U115" s="70">
        <v>962871588.22787082</v>
      </c>
      <c r="V115" s="70">
        <v>979989264.33707452</v>
      </c>
      <c r="W115" s="70">
        <v>997196532.43286777</v>
      </c>
      <c r="X115" s="70">
        <v>1010289119.1381128</v>
      </c>
      <c r="Y115" s="70">
        <v>1022982381.8145972</v>
      </c>
      <c r="Z115" s="70">
        <v>1035627303.2694954</v>
      </c>
      <c r="AA115" s="70">
        <v>1048223883.5693848</v>
      </c>
      <c r="AB115" s="70">
        <v>1060772122.7813172</v>
      </c>
      <c r="AC115" s="70">
        <v>1074345289.7022579</v>
      </c>
      <c r="AD115" s="70">
        <v>1087898696.0797536</v>
      </c>
      <c r="AE115" s="70">
        <v>1101432341.9137933</v>
      </c>
      <c r="AF115" s="70">
        <v>1114946227.2043841</v>
      </c>
      <c r="AG115" s="70">
        <v>1128440351.9515312</v>
      </c>
    </row>
    <row r="117" spans="1:33" ht="15.75" x14ac:dyDescent="0.25">
      <c r="A117" s="55" t="s">
        <v>284</v>
      </c>
      <c r="B117" s="68" t="s">
        <v>282</v>
      </c>
      <c r="C117" s="68">
        <v>2020</v>
      </c>
      <c r="D117" s="68">
        <v>2021</v>
      </c>
      <c r="E117" s="68">
        <v>2022</v>
      </c>
      <c r="F117" s="68">
        <v>2023</v>
      </c>
      <c r="G117" s="68">
        <v>2024</v>
      </c>
      <c r="H117" s="68">
        <v>2025</v>
      </c>
      <c r="I117" s="68">
        <v>2026</v>
      </c>
      <c r="J117" s="68">
        <v>2027</v>
      </c>
      <c r="K117" s="68">
        <v>2028</v>
      </c>
      <c r="L117" s="68">
        <v>2029</v>
      </c>
      <c r="M117" s="68">
        <v>2030</v>
      </c>
      <c r="N117" s="68">
        <v>2031</v>
      </c>
      <c r="O117" s="68">
        <v>2032</v>
      </c>
      <c r="P117" s="68">
        <v>2033</v>
      </c>
      <c r="Q117" s="68">
        <v>2034</v>
      </c>
      <c r="R117" s="68">
        <v>2035</v>
      </c>
      <c r="S117" s="68">
        <v>2036</v>
      </c>
      <c r="T117" s="68">
        <v>2037</v>
      </c>
      <c r="U117" s="68">
        <v>2038</v>
      </c>
      <c r="V117" s="68">
        <v>2039</v>
      </c>
      <c r="W117" s="68">
        <v>2040</v>
      </c>
      <c r="X117" s="68">
        <v>2041</v>
      </c>
      <c r="Y117" s="68">
        <v>2042</v>
      </c>
      <c r="Z117" s="68">
        <v>2043</v>
      </c>
      <c r="AA117" s="68">
        <v>2044</v>
      </c>
      <c r="AB117" s="68">
        <v>2045</v>
      </c>
      <c r="AC117" s="68">
        <v>2046</v>
      </c>
      <c r="AD117" s="68">
        <v>2047</v>
      </c>
      <c r="AE117" s="68">
        <v>2048</v>
      </c>
      <c r="AF117" s="68">
        <v>2049</v>
      </c>
      <c r="AG117" s="68">
        <v>2050</v>
      </c>
    </row>
    <row r="118" spans="1:33" ht="15.75" x14ac:dyDescent="0.25">
      <c r="A118" s="67" t="s">
        <v>219</v>
      </c>
      <c r="B118" s="65" t="s">
        <v>213</v>
      </c>
      <c r="C118" s="71">
        <v>0.49574193449175274</v>
      </c>
      <c r="D118" s="71">
        <v>0.49659051818582733</v>
      </c>
      <c r="E118" s="71">
        <v>0.49743009971403762</v>
      </c>
      <c r="F118" s="71">
        <v>0.49826057689660092</v>
      </c>
      <c r="G118" s="71">
        <v>0.49908184878108997</v>
      </c>
      <c r="H118" s="71">
        <v>0.49989381567711033</v>
      </c>
      <c r="I118" s="71">
        <v>0.49723014397853865</v>
      </c>
      <c r="J118" s="71">
        <v>0.49458149088564013</v>
      </c>
      <c r="K118" s="71">
        <v>0.49194849917690242</v>
      </c>
      <c r="L118" s="71">
        <v>0.48933180616133887</v>
      </c>
      <c r="M118" s="71">
        <v>0.48673204343463317</v>
      </c>
      <c r="N118" s="71">
        <v>0.4877149730540678</v>
      </c>
      <c r="O118" s="71">
        <v>0.48868178144450086</v>
      </c>
      <c r="P118" s="71">
        <v>0.48963285867244627</v>
      </c>
      <c r="Q118" s="71">
        <v>0.49056858242647194</v>
      </c>
      <c r="R118" s="71">
        <v>0.49148931849932259</v>
      </c>
      <c r="S118" s="71">
        <v>0.49131906616319487</v>
      </c>
      <c r="T118" s="71">
        <v>0.49115076591744655</v>
      </c>
      <c r="U118" s="71">
        <v>0.49098438443055242</v>
      </c>
      <c r="V118" s="71">
        <v>0.49081988912567626</v>
      </c>
      <c r="W118" s="71">
        <v>0.49065724815931477</v>
      </c>
      <c r="X118" s="71">
        <v>0.49173997720829521</v>
      </c>
      <c r="Y118" s="71">
        <v>0.49281946661358439</v>
      </c>
      <c r="Z118" s="71">
        <v>0.49389565857525625</v>
      </c>
      <c r="AA118" s="71">
        <v>0.49496856738746731</v>
      </c>
      <c r="AB118" s="71">
        <v>0.49603820726555087</v>
      </c>
      <c r="AC118" s="71">
        <v>0.49603820811845928</v>
      </c>
      <c r="AD118" s="71">
        <v>0.49603821008954141</v>
      </c>
      <c r="AE118" s="71">
        <v>0.49603821311535928</v>
      </c>
      <c r="AF118" s="71">
        <v>0.49603821713672425</v>
      </c>
      <c r="AG118" s="71">
        <v>0.49603822209834753</v>
      </c>
    </row>
    <row r="119" spans="1:33" ht="15.75" x14ac:dyDescent="0.25">
      <c r="A119" s="67" t="s">
        <v>220</v>
      </c>
      <c r="B119" s="65" t="s">
        <v>213</v>
      </c>
      <c r="C119" s="71">
        <v>0.50425806550824714</v>
      </c>
      <c r="D119" s="71">
        <v>0.50340948181417278</v>
      </c>
      <c r="E119" s="71">
        <v>0.50256990028596238</v>
      </c>
      <c r="F119" s="71">
        <v>0.50173942310339903</v>
      </c>
      <c r="G119" s="71">
        <v>0.50091815121891015</v>
      </c>
      <c r="H119" s="71">
        <v>0.50010618432288967</v>
      </c>
      <c r="I119" s="71">
        <v>0.5027698560214614</v>
      </c>
      <c r="J119" s="71">
        <v>0.50541850911435982</v>
      </c>
      <c r="K119" s="71">
        <v>0.50805150082309758</v>
      </c>
      <c r="L119" s="71">
        <v>0.51066819383866102</v>
      </c>
      <c r="M119" s="71">
        <v>0.51326795656536683</v>
      </c>
      <c r="N119" s="71">
        <v>0.51228502694593225</v>
      </c>
      <c r="O119" s="71">
        <v>0.51131821855549919</v>
      </c>
      <c r="P119" s="71">
        <v>0.51036714132755379</v>
      </c>
      <c r="Q119" s="71">
        <v>0.50943141757352806</v>
      </c>
      <c r="R119" s="71">
        <v>0.50851068150067735</v>
      </c>
      <c r="S119" s="71">
        <v>0.50868093383680513</v>
      </c>
      <c r="T119" s="71">
        <v>0.50884923408255356</v>
      </c>
      <c r="U119" s="71">
        <v>0.50901561556944752</v>
      </c>
      <c r="V119" s="71">
        <v>0.5091801108743238</v>
      </c>
      <c r="W119" s="71">
        <v>0.50934275184068523</v>
      </c>
      <c r="X119" s="71">
        <v>0.5082600227917049</v>
      </c>
      <c r="Y119" s="71">
        <v>0.50718053338641567</v>
      </c>
      <c r="Z119" s="71">
        <v>0.5061043414247437</v>
      </c>
      <c r="AA119" s="71">
        <v>0.50503143261253269</v>
      </c>
      <c r="AB119" s="71">
        <v>0.50396179273444908</v>
      </c>
      <c r="AC119" s="71">
        <v>0.50396179188154078</v>
      </c>
      <c r="AD119" s="71">
        <v>0.50396178991045848</v>
      </c>
      <c r="AE119" s="71">
        <v>0.50396178688464077</v>
      </c>
      <c r="AF119" s="71">
        <v>0.50396178286327586</v>
      </c>
      <c r="AG119" s="71">
        <v>0.50396177790165253</v>
      </c>
    </row>
    <row r="120" spans="1:33" ht="15.75" x14ac:dyDescent="0.25">
      <c r="A120" s="67" t="s">
        <v>221</v>
      </c>
      <c r="B120" s="65" t="s">
        <v>214</v>
      </c>
      <c r="C120" s="71">
        <v>0.1309032665951492</v>
      </c>
      <c r="D120" s="71">
        <v>0.134955642085446</v>
      </c>
      <c r="E120" s="71">
        <v>0.13905249364066702</v>
      </c>
      <c r="F120" s="71">
        <v>0.1431853813208924</v>
      </c>
      <c r="G120" s="71">
        <v>0.14734500291744415</v>
      </c>
      <c r="H120" s="71">
        <v>0.15152118887478963</v>
      </c>
      <c r="I120" s="71">
        <v>0.15523669410022445</v>
      </c>
      <c r="J120" s="71">
        <v>0.15896363905377345</v>
      </c>
      <c r="K120" s="71">
        <v>0.16269806196615355</v>
      </c>
      <c r="L120" s="71">
        <v>0.16643585059489518</v>
      </c>
      <c r="M120" s="71">
        <v>0.17017275247182767</v>
      </c>
      <c r="N120" s="71">
        <v>0.17328369079314188</v>
      </c>
      <c r="O120" s="71">
        <v>0.17634354391431539</v>
      </c>
      <c r="P120" s="71">
        <v>0.1793524367515015</v>
      </c>
      <c r="Q120" s="71">
        <v>0.18231051233930526</v>
      </c>
      <c r="R120" s="71">
        <v>0.18521793139195711</v>
      </c>
      <c r="S120" s="71">
        <v>0.18761357493840458</v>
      </c>
      <c r="T120" s="71">
        <v>0.1899641826761248</v>
      </c>
      <c r="U120" s="71">
        <v>0.19227062695995598</v>
      </c>
      <c r="V120" s="71">
        <v>0.19453376279962023</v>
      </c>
      <c r="W120" s="71">
        <v>0.19675442817726757</v>
      </c>
      <c r="X120" s="71">
        <v>0.1987197332874831</v>
      </c>
      <c r="Y120" s="71">
        <v>0.20059075154972006</v>
      </c>
      <c r="Z120" s="71">
        <v>0.20242141223922069</v>
      </c>
      <c r="AA120" s="71">
        <v>0.20421266531069251</v>
      </c>
      <c r="AB120" s="71">
        <v>0.20596543117526739</v>
      </c>
      <c r="AC120" s="71">
        <v>0.20765371256251813</v>
      </c>
      <c r="AD120" s="71">
        <v>0.20930742886212308</v>
      </c>
      <c r="AE120" s="71">
        <v>0.21092747383197141</v>
      </c>
      <c r="AF120" s="71">
        <v>0.21251471254841123</v>
      </c>
      <c r="AG120" s="71">
        <v>0.21406998251195397</v>
      </c>
    </row>
    <row r="121" spans="1:33" ht="15.75" x14ac:dyDescent="0.25">
      <c r="A121" s="67" t="s">
        <v>222</v>
      </c>
      <c r="B121" s="65" t="s">
        <v>214</v>
      </c>
      <c r="C121" s="71">
        <v>0.19459673561022794</v>
      </c>
      <c r="D121" s="71">
        <v>0.19341675751393353</v>
      </c>
      <c r="E121" s="71">
        <v>0.1923723161231301</v>
      </c>
      <c r="F121" s="71">
        <v>0.19146581397200588</v>
      </c>
      <c r="G121" s="71">
        <v>0.19069892723619858</v>
      </c>
      <c r="H121" s="71">
        <v>0.19007251808908215</v>
      </c>
      <c r="I121" s="71">
        <v>0.18919586873218178</v>
      </c>
      <c r="J121" s="71">
        <v>0.18837584654730169</v>
      </c>
      <c r="K121" s="71">
        <v>0.18761407373919198</v>
      </c>
      <c r="L121" s="71">
        <v>0.1869120728678188</v>
      </c>
      <c r="M121" s="71">
        <v>0.18627125614572565</v>
      </c>
      <c r="N121" s="71">
        <v>0.18539300214499632</v>
      </c>
      <c r="O121" s="71">
        <v>0.18453616440853934</v>
      </c>
      <c r="P121" s="71">
        <v>0.18370058277791981</v>
      </c>
      <c r="Q121" s="71">
        <v>0.18288609116700646</v>
      </c>
      <c r="R121" s="71">
        <v>0.18209251778703087</v>
      </c>
      <c r="S121" s="71">
        <v>0.18157875724429232</v>
      </c>
      <c r="T121" s="71">
        <v>0.1810754108170379</v>
      </c>
      <c r="U121" s="71">
        <v>0.18058225768198491</v>
      </c>
      <c r="V121" s="71">
        <v>0.18009908192613755</v>
      </c>
      <c r="W121" s="71">
        <v>0.17962567243874411</v>
      </c>
      <c r="X121" s="71">
        <v>0.17903374645536954</v>
      </c>
      <c r="Y121" s="71">
        <v>0.17846527873688128</v>
      </c>
      <c r="Z121" s="71">
        <v>0.17790759531621123</v>
      </c>
      <c r="AA121" s="71">
        <v>0.17736044572655935</v>
      </c>
      <c r="AB121" s="71">
        <v>0.17682358728766165</v>
      </c>
      <c r="AC121" s="71">
        <v>0.17631519873761545</v>
      </c>
      <c r="AD121" s="71">
        <v>0.1758162547231307</v>
      </c>
      <c r="AE121" s="71">
        <v>0.17532652111359212</v>
      </c>
      <c r="AF121" s="71">
        <v>0.17484577110888702</v>
      </c>
      <c r="AG121" s="71">
        <v>0.17437378496150294</v>
      </c>
    </row>
    <row r="122" spans="1:33" ht="15.75" x14ac:dyDescent="0.25">
      <c r="A122" s="67" t="s">
        <v>223</v>
      </c>
      <c r="B122" s="65" t="s">
        <v>214</v>
      </c>
      <c r="C122" s="71">
        <v>0.67014767001315834</v>
      </c>
      <c r="D122" s="71">
        <v>0.66710913184500642</v>
      </c>
      <c r="E122" s="71">
        <v>0.66388201907699707</v>
      </c>
      <c r="F122" s="71">
        <v>0.6604720932588144</v>
      </c>
      <c r="G122" s="71">
        <v>0.65688672492395583</v>
      </c>
      <c r="H122" s="71">
        <v>0.65313499066802794</v>
      </c>
      <c r="I122" s="71">
        <v>0.65009018362249116</v>
      </c>
      <c r="J122" s="71">
        <v>0.64697312067235824</v>
      </c>
      <c r="K122" s="71">
        <v>0.64378626332591482</v>
      </c>
      <c r="L122" s="71">
        <v>0.64053233673234622</v>
      </c>
      <c r="M122" s="71">
        <v>0.63721433015103235</v>
      </c>
      <c r="N122" s="71">
        <v>0.63477808358772436</v>
      </c>
      <c r="O122" s="71">
        <v>0.63237043209709598</v>
      </c>
      <c r="P122" s="71">
        <v>0.62999150647584168</v>
      </c>
      <c r="Q122" s="71">
        <v>0.62764142405628387</v>
      </c>
      <c r="R122" s="71">
        <v>0.6253202888379662</v>
      </c>
      <c r="S122" s="71">
        <v>0.62330214112608673</v>
      </c>
      <c r="T122" s="71">
        <v>0.62131949076911763</v>
      </c>
      <c r="U122" s="71">
        <v>0.61937168562683609</v>
      </c>
      <c r="V122" s="71">
        <v>0.61745808577400663</v>
      </c>
      <c r="W122" s="71">
        <v>0.61557806329810327</v>
      </c>
      <c r="X122" s="71">
        <v>0.61411083095794616</v>
      </c>
      <c r="Y122" s="71">
        <v>0.61271784699500542</v>
      </c>
      <c r="Z122" s="71">
        <v>0.61135573780403485</v>
      </c>
      <c r="AA122" s="71">
        <v>0.61002377033851218</v>
      </c>
      <c r="AB122" s="71">
        <v>0.60872123436168801</v>
      </c>
      <c r="AC122" s="71">
        <v>0.60747505005534963</v>
      </c>
      <c r="AD122" s="71">
        <v>0.60625544820094945</v>
      </c>
      <c r="AE122" s="71">
        <v>0.60506173053366608</v>
      </c>
      <c r="AF122" s="71">
        <v>0.60389322139047386</v>
      </c>
      <c r="AG122" s="71">
        <v>0.60274926683392283</v>
      </c>
    </row>
    <row r="123" spans="1:33" ht="15.75" x14ac:dyDescent="0.25">
      <c r="A123" s="67" t="s">
        <v>224</v>
      </c>
      <c r="B123" s="65" t="s">
        <v>214</v>
      </c>
      <c r="C123" s="71">
        <v>4.3523277814644466E-3</v>
      </c>
      <c r="D123" s="71">
        <v>4.5184685556140447E-3</v>
      </c>
      <c r="E123" s="71">
        <v>4.6931711592057609E-3</v>
      </c>
      <c r="F123" s="71">
        <v>4.8767114482873384E-3</v>
      </c>
      <c r="G123" s="71">
        <v>5.0693449224016108E-3</v>
      </c>
      <c r="H123" s="71">
        <v>5.2713023681002381E-3</v>
      </c>
      <c r="I123" s="71">
        <v>5.477253545102612E-3</v>
      </c>
      <c r="J123" s="71">
        <v>5.6873937265665697E-3</v>
      </c>
      <c r="K123" s="71">
        <v>5.9016009687397038E-3</v>
      </c>
      <c r="L123" s="71">
        <v>6.1197398049398196E-3</v>
      </c>
      <c r="M123" s="71">
        <v>6.3416612314141684E-3</v>
      </c>
      <c r="N123" s="71">
        <v>6.5452234741375584E-3</v>
      </c>
      <c r="O123" s="71">
        <v>6.7498595800491818E-3</v>
      </c>
      <c r="P123" s="71">
        <v>6.9554739947369354E-3</v>
      </c>
      <c r="Q123" s="71">
        <v>7.161972437404204E-3</v>
      </c>
      <c r="R123" s="71">
        <v>7.3692619830457049E-3</v>
      </c>
      <c r="S123" s="71">
        <v>7.5055266912164376E-3</v>
      </c>
      <c r="T123" s="71">
        <v>7.6409157377195884E-3</v>
      </c>
      <c r="U123" s="71">
        <v>7.7754297312231883E-3</v>
      </c>
      <c r="V123" s="71">
        <v>7.9090695002355365E-3</v>
      </c>
      <c r="W123" s="71">
        <v>8.0418360858851966E-3</v>
      </c>
      <c r="X123" s="71">
        <v>8.1356892992012105E-3</v>
      </c>
      <c r="Y123" s="71">
        <v>8.2261227183933142E-3</v>
      </c>
      <c r="Z123" s="71">
        <v>8.3152546405331797E-3</v>
      </c>
      <c r="AA123" s="71">
        <v>8.403118624235829E-3</v>
      </c>
      <c r="AB123" s="71">
        <v>8.4897471753829605E-3</v>
      </c>
      <c r="AC123" s="71">
        <v>8.5560386445168342E-3</v>
      </c>
      <c r="AD123" s="71">
        <v>8.620868213796826E-3</v>
      </c>
      <c r="AE123" s="71">
        <v>8.6842745207704741E-3</v>
      </c>
      <c r="AF123" s="71">
        <v>8.7462949522279284E-3</v>
      </c>
      <c r="AG123" s="71">
        <v>8.806965692620258E-3</v>
      </c>
    </row>
    <row r="124" spans="1:33" ht="15.75" x14ac:dyDescent="0.25">
      <c r="A124" s="67" t="s">
        <v>226</v>
      </c>
      <c r="B124" s="65" t="s">
        <v>235</v>
      </c>
      <c r="C124" s="71">
        <v>0.1172221722296678</v>
      </c>
      <c r="D124" s="71">
        <v>0.11670916544200399</v>
      </c>
      <c r="E124" s="71">
        <v>0.11619261710031827</v>
      </c>
      <c r="F124" s="71">
        <v>0.1156724415145344</v>
      </c>
      <c r="G124" s="71">
        <v>0.1151485494141315</v>
      </c>
      <c r="H124" s="71">
        <v>0.11462084777432932</v>
      </c>
      <c r="I124" s="71">
        <v>0.11438758648828035</v>
      </c>
      <c r="J124" s="71">
        <v>0.11415004035384638</v>
      </c>
      <c r="K124" s="71">
        <v>0.11390810219872111</v>
      </c>
      <c r="L124" s="71">
        <v>0.11366166123811815</v>
      </c>
      <c r="M124" s="71">
        <v>0.11341060292159456</v>
      </c>
      <c r="N124" s="71">
        <v>0.11329193949635244</v>
      </c>
      <c r="O124" s="71">
        <v>0.1131680761829839</v>
      </c>
      <c r="P124" s="71">
        <v>0.11303892734249787</v>
      </c>
      <c r="Q124" s="71">
        <v>0.1129044052879369</v>
      </c>
      <c r="R124" s="71">
        <v>0.11276442022655996</v>
      </c>
      <c r="S124" s="71">
        <v>0.11302525550546788</v>
      </c>
      <c r="T124" s="71">
        <v>0.11328423736971623</v>
      </c>
      <c r="U124" s="71">
        <v>0.11354138187902169</v>
      </c>
      <c r="V124" s="71">
        <v>0.11379670496308826</v>
      </c>
      <c r="W124" s="71">
        <v>0.11405022242140281</v>
      </c>
      <c r="X124" s="71">
        <v>0.11432606300813342</v>
      </c>
      <c r="Y124" s="71">
        <v>0.11460264549028433</v>
      </c>
      <c r="Z124" s="71">
        <v>0.11487998213314272</v>
      </c>
      <c r="AA124" s="71">
        <v>0.11515807489048964</v>
      </c>
      <c r="AB124" s="71">
        <v>0.11543692572759404</v>
      </c>
      <c r="AC124" s="71">
        <v>0.11537051798215114</v>
      </c>
      <c r="AD124" s="71">
        <v>0.11530399412932053</v>
      </c>
      <c r="AE124" s="71">
        <v>0.11523735387886173</v>
      </c>
      <c r="AF124" s="71">
        <v>0.11517059694069202</v>
      </c>
      <c r="AG124" s="71">
        <v>0.11510372302483096</v>
      </c>
    </row>
    <row r="125" spans="1:33" ht="15.75" x14ac:dyDescent="0.25">
      <c r="A125" s="67" t="s">
        <v>227</v>
      </c>
      <c r="B125" s="65" t="s">
        <v>235</v>
      </c>
      <c r="C125" s="71">
        <v>0.14676587236243849</v>
      </c>
      <c r="D125" s="71">
        <v>0.1451896955071463</v>
      </c>
      <c r="E125" s="71">
        <v>0.14365318745567021</v>
      </c>
      <c r="F125" s="71">
        <v>0.14215763196406472</v>
      </c>
      <c r="G125" s="71">
        <v>0.14070436286848287</v>
      </c>
      <c r="H125" s="71">
        <v>0.13929476659975262</v>
      </c>
      <c r="I125" s="71">
        <v>0.13811061346554546</v>
      </c>
      <c r="J125" s="71">
        <v>0.13696942957777639</v>
      </c>
      <c r="K125" s="71">
        <v>0.13587236668280223</v>
      </c>
      <c r="L125" s="71">
        <v>0.13482061534869588</v>
      </c>
      <c r="M125" s="71">
        <v>0.13381540661305311</v>
      </c>
      <c r="N125" s="71">
        <v>0.13307050779159563</v>
      </c>
      <c r="O125" s="71">
        <v>0.13237304984160822</v>
      </c>
      <c r="P125" s="71">
        <v>0.131723908273299</v>
      </c>
      <c r="Q125" s="71">
        <v>0.13112397770696618</v>
      </c>
      <c r="R125" s="71">
        <v>0.13057417244713532</v>
      </c>
      <c r="S125" s="71">
        <v>0.1305209042955138</v>
      </c>
      <c r="T125" s="71">
        <v>0.13046809980157481</v>
      </c>
      <c r="U125" s="71">
        <v>0.13041575536194355</v>
      </c>
      <c r="V125" s="71">
        <v>0.13036386738678754</v>
      </c>
      <c r="W125" s="71">
        <v>0.13031243230045952</v>
      </c>
      <c r="X125" s="71">
        <v>0.13023145289848229</v>
      </c>
      <c r="Y125" s="71">
        <v>0.13015055848511334</v>
      </c>
      <c r="Z125" s="71">
        <v>0.13006964674102608</v>
      </c>
      <c r="AA125" s="71">
        <v>0.12998871852614866</v>
      </c>
      <c r="AB125" s="71">
        <v>0.12990777471047696</v>
      </c>
      <c r="AC125" s="71">
        <v>0.12985850785335587</v>
      </c>
      <c r="AD125" s="71">
        <v>0.1298092436524402</v>
      </c>
      <c r="AE125" s="71">
        <v>0.12975998234586247</v>
      </c>
      <c r="AF125" s="71">
        <v>0.12971072417470064</v>
      </c>
      <c r="AG125" s="71">
        <v>0.12966146938292097</v>
      </c>
    </row>
    <row r="126" spans="1:33" ht="15.75" x14ac:dyDescent="0.25">
      <c r="A126" s="67" t="s">
        <v>228</v>
      </c>
      <c r="B126" s="65" t="s">
        <v>235</v>
      </c>
      <c r="C126" s="71">
        <v>0.27376795970867768</v>
      </c>
      <c r="D126" s="71">
        <v>0.27414391934154964</v>
      </c>
      <c r="E126" s="71">
        <v>0.27450720360419772</v>
      </c>
      <c r="F126" s="71">
        <v>0.27485742238084454</v>
      </c>
      <c r="G126" s="71">
        <v>0.27519417002462176</v>
      </c>
      <c r="H126" s="71">
        <v>0.27551702458584493</v>
      </c>
      <c r="I126" s="71">
        <v>0.275556904776673</v>
      </c>
      <c r="J126" s="71">
        <v>0.27558433791975057</v>
      </c>
      <c r="K126" s="71">
        <v>0.27559899478157107</v>
      </c>
      <c r="L126" s="71">
        <v>0.27560053504137749</v>
      </c>
      <c r="M126" s="71">
        <v>0.27558860682068326</v>
      </c>
      <c r="N126" s="71">
        <v>0.27572734367687168</v>
      </c>
      <c r="O126" s="71">
        <v>0.27585086715396151</v>
      </c>
      <c r="P126" s="71">
        <v>0.27595892351216428</v>
      </c>
      <c r="Q126" s="71">
        <v>0.2760512530914912</v>
      </c>
      <c r="R126" s="71">
        <v>0.27612759014093524</v>
      </c>
      <c r="S126" s="71">
        <v>0.27599596949335042</v>
      </c>
      <c r="T126" s="71">
        <v>0.27586439120382017</v>
      </c>
      <c r="U126" s="71">
        <v>0.27573286299682837</v>
      </c>
      <c r="V126" s="71">
        <v>0.27560139239546483</v>
      </c>
      <c r="W126" s="71">
        <v>0.27546998672633882</v>
      </c>
      <c r="X126" s="71">
        <v>0.27548157510773125</v>
      </c>
      <c r="Y126" s="71">
        <v>0.27549320990363158</v>
      </c>
      <c r="Z126" s="71">
        <v>0.27550478566730174</v>
      </c>
      <c r="AA126" s="71">
        <v>0.27551630208187583</v>
      </c>
      <c r="AB126" s="71">
        <v>0.27552775882575559</v>
      </c>
      <c r="AC126" s="71">
        <v>0.27555852017992283</v>
      </c>
      <c r="AD126" s="71">
        <v>0.27558930305729873</v>
      </c>
      <c r="AE126" s="71">
        <v>0.27562010742777548</v>
      </c>
      <c r="AF126" s="71">
        <v>0.27565093326002849</v>
      </c>
      <c r="AG126" s="71">
        <v>0.27568178052155834</v>
      </c>
    </row>
    <row r="127" spans="1:33" ht="15.75" x14ac:dyDescent="0.25">
      <c r="A127" s="67" t="s">
        <v>229</v>
      </c>
      <c r="B127" s="65" t="s">
        <v>235</v>
      </c>
      <c r="C127" s="71">
        <v>0.46224399569921598</v>
      </c>
      <c r="D127" s="71">
        <v>0.46395721970930009</v>
      </c>
      <c r="E127" s="71">
        <v>0.46564699183981384</v>
      </c>
      <c r="F127" s="71">
        <v>0.46731250414055625</v>
      </c>
      <c r="G127" s="71">
        <v>0.46895291769276387</v>
      </c>
      <c r="H127" s="71">
        <v>0.47056736104007313</v>
      </c>
      <c r="I127" s="71">
        <v>0.47194489526950129</v>
      </c>
      <c r="J127" s="71">
        <v>0.47329619214862662</v>
      </c>
      <c r="K127" s="71">
        <v>0.47462053633690554</v>
      </c>
      <c r="L127" s="71">
        <v>0.47591718837180841</v>
      </c>
      <c r="M127" s="71">
        <v>0.47718538364466906</v>
      </c>
      <c r="N127" s="71">
        <v>0.47791020903518028</v>
      </c>
      <c r="O127" s="71">
        <v>0.47860800682144639</v>
      </c>
      <c r="P127" s="71">
        <v>0.47927824087203891</v>
      </c>
      <c r="Q127" s="71">
        <v>0.47992036391360571</v>
      </c>
      <c r="R127" s="71">
        <v>0.48053381718536947</v>
      </c>
      <c r="S127" s="71">
        <v>0.48045787070566787</v>
      </c>
      <c r="T127" s="71">
        <v>0.48038327162488881</v>
      </c>
      <c r="U127" s="71">
        <v>0.4803099997622064</v>
      </c>
      <c r="V127" s="71">
        <v>0.48023803525465941</v>
      </c>
      <c r="W127" s="71">
        <v>0.48016735855179882</v>
      </c>
      <c r="X127" s="71">
        <v>0.47996090898565308</v>
      </c>
      <c r="Y127" s="71">
        <v>0.4797535861209708</v>
      </c>
      <c r="Z127" s="71">
        <v>0.47954558545852932</v>
      </c>
      <c r="AA127" s="71">
        <v>0.47933690450148592</v>
      </c>
      <c r="AB127" s="71">
        <v>0.47912754073617347</v>
      </c>
      <c r="AC127" s="71">
        <v>0.47921245398457013</v>
      </c>
      <c r="AD127" s="71">
        <v>0.47929745916094069</v>
      </c>
      <c r="AE127" s="71">
        <v>0.47938255634750027</v>
      </c>
      <c r="AF127" s="71">
        <v>0.47946774562457878</v>
      </c>
      <c r="AG127" s="71">
        <v>0.47955302707068981</v>
      </c>
    </row>
    <row r="128" spans="1:33" ht="15.75" x14ac:dyDescent="0.25">
      <c r="A128" s="67"/>
      <c r="B128" s="68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1:33" ht="15.75" x14ac:dyDescent="0.25">
      <c r="A129" s="55" t="s">
        <v>285</v>
      </c>
      <c r="B129" s="68" t="s">
        <v>282</v>
      </c>
      <c r="C129" s="68">
        <v>2020</v>
      </c>
      <c r="D129" s="68">
        <v>2021</v>
      </c>
      <c r="E129" s="68">
        <v>2022</v>
      </c>
      <c r="F129" s="68">
        <v>2023</v>
      </c>
      <c r="G129" s="68">
        <v>2024</v>
      </c>
      <c r="H129" s="68">
        <v>2025</v>
      </c>
      <c r="I129" s="68">
        <v>2026</v>
      </c>
      <c r="J129" s="68">
        <v>2027</v>
      </c>
      <c r="K129" s="68">
        <v>2028</v>
      </c>
      <c r="L129" s="68">
        <v>2029</v>
      </c>
      <c r="M129" s="68">
        <v>2030</v>
      </c>
      <c r="N129" s="68">
        <v>2031</v>
      </c>
      <c r="O129" s="68">
        <v>2032</v>
      </c>
      <c r="P129" s="68">
        <v>2033</v>
      </c>
      <c r="Q129" s="68">
        <v>2034</v>
      </c>
      <c r="R129" s="68">
        <v>2035</v>
      </c>
      <c r="S129" s="68">
        <v>2036</v>
      </c>
      <c r="T129" s="68">
        <v>2037</v>
      </c>
      <c r="U129" s="68">
        <v>2038</v>
      </c>
      <c r="V129" s="68">
        <v>2039</v>
      </c>
      <c r="W129" s="68">
        <v>2040</v>
      </c>
      <c r="X129" s="68">
        <v>2041</v>
      </c>
      <c r="Y129" s="68">
        <v>2042</v>
      </c>
      <c r="Z129" s="68">
        <v>2043</v>
      </c>
      <c r="AA129" s="68">
        <v>2044</v>
      </c>
      <c r="AB129" s="68">
        <v>2045</v>
      </c>
      <c r="AC129" s="68">
        <v>2046</v>
      </c>
      <c r="AD129" s="68">
        <v>2047</v>
      </c>
      <c r="AE129" s="68">
        <v>2048</v>
      </c>
      <c r="AF129" s="68">
        <v>2049</v>
      </c>
      <c r="AG129" s="68">
        <v>2050</v>
      </c>
    </row>
    <row r="130" spans="1:33" ht="15.75" x14ac:dyDescent="0.25">
      <c r="A130" s="67" t="s">
        <v>219</v>
      </c>
      <c r="B130" s="65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67" t="s">
        <v>220</v>
      </c>
      <c r="B131" s="65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67" t="s">
        <v>221</v>
      </c>
      <c r="B132" s="65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67" t="s">
        <v>222</v>
      </c>
      <c r="B133" s="65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67" t="s">
        <v>223</v>
      </c>
      <c r="B134" s="65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67" t="s">
        <v>224</v>
      </c>
      <c r="B135" s="65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67" t="s">
        <v>226</v>
      </c>
      <c r="B136" s="65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67" t="s">
        <v>227</v>
      </c>
      <c r="B137" s="65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67" t="s">
        <v>228</v>
      </c>
      <c r="B138" s="65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67" t="s">
        <v>229</v>
      </c>
      <c r="B139" s="65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55"/>
    </row>
    <row r="141" spans="1:33" ht="15.75" x14ac:dyDescent="0.25">
      <c r="A141" s="55" t="s">
        <v>286</v>
      </c>
      <c r="C141" s="68">
        <v>2020</v>
      </c>
      <c r="D141" s="68">
        <v>2021</v>
      </c>
      <c r="E141" s="68">
        <v>2022</v>
      </c>
      <c r="F141" s="68">
        <v>2023</v>
      </c>
      <c r="G141" s="68">
        <v>2024</v>
      </c>
      <c r="H141" s="68">
        <v>2025</v>
      </c>
      <c r="I141" s="68">
        <v>2026</v>
      </c>
      <c r="J141" s="68">
        <v>2027</v>
      </c>
      <c r="K141" s="68">
        <v>2028</v>
      </c>
      <c r="L141" s="68">
        <v>2029</v>
      </c>
      <c r="M141" s="68">
        <v>2030</v>
      </c>
      <c r="N141" s="68">
        <v>2031</v>
      </c>
      <c r="O141" s="68">
        <v>2032</v>
      </c>
      <c r="P141" s="68">
        <v>2033</v>
      </c>
      <c r="Q141" s="68">
        <v>2034</v>
      </c>
      <c r="R141" s="68">
        <v>2035</v>
      </c>
      <c r="S141" s="68">
        <v>2036</v>
      </c>
      <c r="T141" s="68">
        <v>2037</v>
      </c>
      <c r="U141" s="68">
        <v>2038</v>
      </c>
      <c r="V141" s="68">
        <v>2039</v>
      </c>
      <c r="W141" s="68">
        <v>2040</v>
      </c>
      <c r="X141" s="68">
        <v>2041</v>
      </c>
      <c r="Y141" s="68">
        <v>2042</v>
      </c>
      <c r="Z141" s="68">
        <v>2043</v>
      </c>
      <c r="AA141" s="68">
        <v>2044</v>
      </c>
      <c r="AB141" s="68">
        <v>2045</v>
      </c>
      <c r="AC141" s="68">
        <v>2046</v>
      </c>
      <c r="AD141" s="68">
        <v>2047</v>
      </c>
      <c r="AE141" s="68">
        <v>2048</v>
      </c>
      <c r="AF141" s="68">
        <v>2049</v>
      </c>
      <c r="AG141" s="68">
        <v>2050</v>
      </c>
    </row>
    <row r="142" spans="1:33" x14ac:dyDescent="0.25">
      <c r="A142" s="67" t="s">
        <v>213</v>
      </c>
      <c r="C142" s="72">
        <v>177.31083878210202</v>
      </c>
      <c r="D142" s="72">
        <v>173.74377794971338</v>
      </c>
      <c r="E142" s="72">
        <v>170.17989302001735</v>
      </c>
      <c r="F142" s="72">
        <v>166.61915048258282</v>
      </c>
      <c r="G142" s="72">
        <v>163.06151613166699</v>
      </c>
      <c r="H142" s="72">
        <v>159.50695507314927</v>
      </c>
      <c r="I142" s="72">
        <v>156.17727078537354</v>
      </c>
      <c r="J142" s="72">
        <v>152.8386568196475</v>
      </c>
      <c r="K142" s="72">
        <v>149.49114155020894</v>
      </c>
      <c r="L142" s="72">
        <v>146.13475753340032</v>
      </c>
      <c r="M142" s="72">
        <v>142.76954148079128</v>
      </c>
      <c r="N142" s="72">
        <v>142.71253156286409</v>
      </c>
      <c r="O142" s="72">
        <v>142.65645667621897</v>
      </c>
      <c r="P142" s="72">
        <v>142.60129419699814</v>
      </c>
      <c r="Q142" s="72">
        <v>142.54702221926465</v>
      </c>
      <c r="R142" s="72">
        <v>142.49361952703927</v>
      </c>
      <c r="S142" s="72">
        <v>142.50349416253471</v>
      </c>
      <c r="T142" s="72">
        <v>142.51325557678811</v>
      </c>
      <c r="U142" s="72">
        <v>142.52290570302796</v>
      </c>
      <c r="V142" s="72">
        <v>142.53244643071079</v>
      </c>
      <c r="W142" s="72">
        <v>142.54187960675975</v>
      </c>
      <c r="X142" s="72">
        <v>142.4790813219189</v>
      </c>
      <c r="Y142" s="72">
        <v>142.41647093641211</v>
      </c>
      <c r="Z142" s="72">
        <v>142.35405180263513</v>
      </c>
      <c r="AA142" s="72">
        <v>142.29182309152691</v>
      </c>
      <c r="AB142" s="72">
        <v>142.22978397859805</v>
      </c>
      <c r="AC142" s="72">
        <v>142.22978392912938</v>
      </c>
      <c r="AD142" s="72">
        <v>142.22978381480658</v>
      </c>
      <c r="AE142" s="72">
        <v>142.22978363930918</v>
      </c>
      <c r="AF142" s="72">
        <v>142.22978340607</v>
      </c>
      <c r="AG142" s="72">
        <v>142.22978311829587</v>
      </c>
    </row>
    <row r="143" spans="1:33" x14ac:dyDescent="0.25">
      <c r="A143" s="67" t="s">
        <v>214</v>
      </c>
      <c r="C143" s="72">
        <v>811.56733202456724</v>
      </c>
      <c r="D143" s="72">
        <v>783.67722170108311</v>
      </c>
      <c r="E143" s="72">
        <v>755.82259316260672</v>
      </c>
      <c r="F143" s="72">
        <v>728.01646312417529</v>
      </c>
      <c r="G143" s="72">
        <v>700.27210798360989</v>
      </c>
      <c r="H143" s="72">
        <v>672.60295647301575</v>
      </c>
      <c r="I143" s="72">
        <v>645.38599094867925</v>
      </c>
      <c r="J143" s="72">
        <v>618.26560826991386</v>
      </c>
      <c r="K143" s="72">
        <v>591.24665767173769</v>
      </c>
      <c r="L143" s="72">
        <v>564.33387405256838</v>
      </c>
      <c r="M143" s="72">
        <v>537.53185323241064</v>
      </c>
      <c r="N143" s="72">
        <v>536.62095609481855</v>
      </c>
      <c r="O143" s="72">
        <v>535.72115859168821</v>
      </c>
      <c r="P143" s="72">
        <v>534.83250177033858</v>
      </c>
      <c r="Q143" s="72">
        <v>533.95502161019112</v>
      </c>
      <c r="R143" s="72">
        <v>533.08874907895029</v>
      </c>
      <c r="S143" s="72">
        <v>532.3408425381258</v>
      </c>
      <c r="T143" s="72">
        <v>531.60615469500453</v>
      </c>
      <c r="U143" s="72">
        <v>530.88444154282172</v>
      </c>
      <c r="V143" s="72">
        <v>530.17546367352975</v>
      </c>
      <c r="W143" s="72">
        <v>529.47898620072067</v>
      </c>
      <c r="X143" s="72">
        <v>528.92797354235199</v>
      </c>
      <c r="Y143" s="72">
        <v>528.40464613012477</v>
      </c>
      <c r="Z143" s="72">
        <v>527.89286652398607</v>
      </c>
      <c r="AA143" s="72">
        <v>527.39236076534712</v>
      </c>
      <c r="AB143" s="72">
        <v>526.9028634198902</v>
      </c>
      <c r="AC143" s="72">
        <v>526.43451719216739</v>
      </c>
      <c r="AD143" s="72">
        <v>525.97611452137346</v>
      </c>
      <c r="AE143" s="72">
        <v>525.52739467471849</v>
      </c>
      <c r="AF143" s="72">
        <v>525.08810535076202</v>
      </c>
      <c r="AG143" s="72">
        <v>524.65800235275503</v>
      </c>
    </row>
    <row r="144" spans="1:33" x14ac:dyDescent="0.25">
      <c r="A144" s="67" t="s">
        <v>235</v>
      </c>
      <c r="C144" s="72">
        <v>446.76120003515064</v>
      </c>
      <c r="D144" s="72">
        <v>444.77134979664311</v>
      </c>
      <c r="E144" s="72">
        <v>442.77571153955955</v>
      </c>
      <c r="F144" s="72">
        <v>440.77424752437662</v>
      </c>
      <c r="G144" s="72">
        <v>438.76691946139834</v>
      </c>
      <c r="H144" s="72">
        <v>436.75368846681636</v>
      </c>
      <c r="I144" s="72">
        <v>434.66280235104773</v>
      </c>
      <c r="J144" s="72">
        <v>432.56659283227418</v>
      </c>
      <c r="K144" s="72">
        <v>430.46504197578145</v>
      </c>
      <c r="L144" s="72">
        <v>428.35813142570919</v>
      </c>
      <c r="M144" s="72">
        <v>426.2458423872099</v>
      </c>
      <c r="N144" s="72">
        <v>426.40398954161503</v>
      </c>
      <c r="O144" s="72">
        <v>426.56186175007042</v>
      </c>
      <c r="P144" s="72">
        <v>426.7194356493352</v>
      </c>
      <c r="Q144" s="72">
        <v>426.87668764203397</v>
      </c>
      <c r="R144" s="72">
        <v>427.0335938843121</v>
      </c>
      <c r="S144" s="72">
        <v>426.96898445891748</v>
      </c>
      <c r="T144" s="72">
        <v>426.90523896892978</v>
      </c>
      <c r="U144" s="72">
        <v>426.84234600356302</v>
      </c>
      <c r="V144" s="72">
        <v>426.78029431360369</v>
      </c>
      <c r="W144" s="72">
        <v>426.71907280905123</v>
      </c>
      <c r="X144" s="72">
        <v>426.58460011554439</v>
      </c>
      <c r="Y144" s="72">
        <v>426.44969311755318</v>
      </c>
      <c r="Z144" s="72">
        <v>426.31441738493851</v>
      </c>
      <c r="AA144" s="72">
        <v>426.17877184469273</v>
      </c>
      <c r="AB144" s="72">
        <v>426.04275541777645</v>
      </c>
      <c r="AC144" s="72">
        <v>426.07407868986945</v>
      </c>
      <c r="AD144" s="72">
        <v>426.10545283924421</v>
      </c>
      <c r="AE144" s="72">
        <v>426.13687798285252</v>
      </c>
      <c r="AF144" s="72">
        <v>426.16835423750365</v>
      </c>
      <c r="AG144" s="72">
        <v>426.19988171988524</v>
      </c>
    </row>
    <row r="146" spans="1:33" ht="15.75" x14ac:dyDescent="0.25">
      <c r="A146" s="55" t="s">
        <v>287</v>
      </c>
      <c r="C146" s="68">
        <v>2020</v>
      </c>
      <c r="D146" s="68">
        <v>2021</v>
      </c>
      <c r="E146" s="68">
        <v>2022</v>
      </c>
      <c r="F146" s="68">
        <v>2023</v>
      </c>
      <c r="G146" s="68">
        <v>2024</v>
      </c>
      <c r="H146" s="68">
        <v>2025</v>
      </c>
      <c r="I146" s="68">
        <v>2026</v>
      </c>
      <c r="J146" s="68">
        <v>2027</v>
      </c>
      <c r="K146" s="68">
        <v>2028</v>
      </c>
      <c r="L146" s="68">
        <v>2029</v>
      </c>
      <c r="M146" s="68">
        <v>2030</v>
      </c>
      <c r="N146" s="68">
        <v>2031</v>
      </c>
      <c r="O146" s="68">
        <v>2032</v>
      </c>
      <c r="P146" s="68">
        <v>2033</v>
      </c>
      <c r="Q146" s="68">
        <v>2034</v>
      </c>
      <c r="R146" s="68">
        <v>2035</v>
      </c>
      <c r="S146" s="68">
        <v>2036</v>
      </c>
      <c r="T146" s="68">
        <v>2037</v>
      </c>
      <c r="U146" s="68">
        <v>2038</v>
      </c>
      <c r="V146" s="68">
        <v>2039</v>
      </c>
      <c r="W146" s="68">
        <v>2040</v>
      </c>
      <c r="X146" s="68">
        <v>2041</v>
      </c>
      <c r="Y146" s="68">
        <v>2042</v>
      </c>
      <c r="Z146" s="68">
        <v>2043</v>
      </c>
      <c r="AA146" s="68">
        <v>2044</v>
      </c>
      <c r="AB146" s="68">
        <v>2045</v>
      </c>
      <c r="AC146" s="68">
        <v>2046</v>
      </c>
      <c r="AD146" s="68">
        <v>2047</v>
      </c>
      <c r="AE146" s="68">
        <v>2048</v>
      </c>
      <c r="AF146" s="68">
        <v>2049</v>
      </c>
      <c r="AG146" s="68">
        <v>2050</v>
      </c>
    </row>
    <row r="147" spans="1:33" x14ac:dyDescent="0.25">
      <c r="A147" s="67" t="s">
        <v>213</v>
      </c>
      <c r="C147" s="72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25">
      <c r="A148" s="67" t="s">
        <v>214</v>
      </c>
      <c r="C148" s="72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25">
      <c r="A149" s="67" t="s">
        <v>235</v>
      </c>
      <c r="C149" s="72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/>
  </sheetViews>
  <sheetFormatPr defaultRowHeight="15" x14ac:dyDescent="0.25"/>
  <cols>
    <col min="1" max="1" width="29.140625" customWidth="1"/>
    <col min="2" max="2" width="12" bestFit="1" customWidth="1"/>
    <col min="27" max="27" width="11.140625" bestFit="1" customWidth="1"/>
    <col min="28" max="28" width="9.5703125" bestFit="1" customWidth="1"/>
  </cols>
  <sheetData>
    <row r="1" spans="1:31" x14ac:dyDescent="0.25">
      <c r="A1" t="s">
        <v>321</v>
      </c>
    </row>
    <row r="2" spans="1:31" x14ac:dyDescent="0.2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25">
      <c r="A3" s="58" t="s">
        <v>322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2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2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2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2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25">
      <c r="A8" s="58" t="s">
        <v>330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25">
      <c r="A9" s="58" t="s">
        <v>331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25">
      <c r="A10" s="58" t="s">
        <v>332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25">
      <c r="A12" t="s">
        <v>321</v>
      </c>
    </row>
    <row r="13" spans="1:31" x14ac:dyDescent="0.2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s="58" t="s">
        <v>323</v>
      </c>
      <c r="B14" s="48">
        <f>SUM(B8:B9)/SUM(B$8:B$10)</f>
        <v>0.11751487704141891</v>
      </c>
      <c r="C14" s="48">
        <f t="shared" ref="C14:AE14" si="8">SUM(C8:C9)/SUM(C$8:C$10)</f>
        <v>0.11409674161325026</v>
      </c>
      <c r="D14" s="48">
        <f t="shared" si="8"/>
        <v>0.11129723656585319</v>
      </c>
      <c r="E14" s="48">
        <f t="shared" si="8"/>
        <v>0.10899118464393497</v>
      </c>
      <c r="F14" s="48">
        <f t="shared" si="8"/>
        <v>0.10711493535073155</v>
      </c>
      <c r="G14" s="48">
        <f t="shared" si="8"/>
        <v>0.105591211510956</v>
      </c>
      <c r="H14" s="48">
        <f t="shared" si="8"/>
        <v>0.10433568583668915</v>
      </c>
      <c r="I14" s="48">
        <f t="shared" si="8"/>
        <v>0.10327648167279127</v>
      </c>
      <c r="J14" s="48">
        <f t="shared" si="8"/>
        <v>0.10234711407783052</v>
      </c>
      <c r="K14" s="48">
        <f t="shared" si="8"/>
        <v>0.10157456220866413</v>
      </c>
      <c r="L14" s="48">
        <f t="shared" si="8"/>
        <v>0.10091281477207445</v>
      </c>
      <c r="M14" s="48">
        <f t="shared" si="8"/>
        <v>0.10030984614346165</v>
      </c>
      <c r="N14" s="48">
        <f t="shared" si="8"/>
        <v>9.974036322956753E-2</v>
      </c>
      <c r="O14" s="48">
        <f t="shared" si="8"/>
        <v>9.9190586519234569E-2</v>
      </c>
      <c r="P14" s="48">
        <f t="shared" si="8"/>
        <v>9.8691572372797173E-2</v>
      </c>
      <c r="Q14" s="48">
        <f t="shared" si="8"/>
        <v>9.8249773138950489E-2</v>
      </c>
      <c r="R14" s="48">
        <f t="shared" si="8"/>
        <v>9.7857850378720579E-2</v>
      </c>
      <c r="S14" s="48">
        <f t="shared" si="8"/>
        <v>9.747305413718152E-2</v>
      </c>
      <c r="T14" s="48">
        <f t="shared" si="8"/>
        <v>9.7082749946231908E-2</v>
      </c>
      <c r="U14" s="48">
        <f t="shared" si="8"/>
        <v>9.6724318959936759E-2</v>
      </c>
      <c r="V14" s="48">
        <f t="shared" si="8"/>
        <v>9.6391619139722468E-2</v>
      </c>
      <c r="W14" s="48">
        <f t="shared" si="8"/>
        <v>9.6095659981179929E-2</v>
      </c>
      <c r="X14" s="48">
        <f t="shared" si="8"/>
        <v>9.5850222325099196E-2</v>
      </c>
      <c r="Y14" s="48">
        <f t="shared" si="8"/>
        <v>9.5646026206792051E-2</v>
      </c>
      <c r="Z14" s="48">
        <f t="shared" si="8"/>
        <v>9.5473169050261514E-2</v>
      </c>
      <c r="AA14" s="48">
        <f t="shared" si="8"/>
        <v>9.5330046960375531E-2</v>
      </c>
      <c r="AB14" s="48">
        <f t="shared" si="8"/>
        <v>9.5200265481535831E-2</v>
      </c>
      <c r="AC14" s="48">
        <f t="shared" si="8"/>
        <v>9.5090955977710501E-2</v>
      </c>
      <c r="AD14" s="48">
        <f t="shared" si="8"/>
        <v>9.499461077453844E-2</v>
      </c>
      <c r="AE14" s="48">
        <f t="shared" si="8"/>
        <v>9.4917741494206828E-2</v>
      </c>
    </row>
    <row r="15" spans="1:31" x14ac:dyDescent="0.25">
      <c r="A15" s="58" t="s">
        <v>324</v>
      </c>
      <c r="B15" s="48">
        <f t="shared" ref="B15:AE15" si="9">B10/SUM(B$8:B$10)</f>
        <v>0.88248512295858106</v>
      </c>
      <c r="C15" s="48">
        <f t="shared" si="9"/>
        <v>0.88590325838674977</v>
      </c>
      <c r="D15" s="48">
        <f t="shared" si="9"/>
        <v>0.88870276343414678</v>
      </c>
      <c r="E15" s="48">
        <f t="shared" si="9"/>
        <v>0.89100881535606502</v>
      </c>
      <c r="F15" s="48">
        <f t="shared" si="9"/>
        <v>0.89288506464926842</v>
      </c>
      <c r="G15" s="48">
        <f t="shared" si="9"/>
        <v>0.89440878848904404</v>
      </c>
      <c r="H15" s="48">
        <f t="shared" si="9"/>
        <v>0.89566431416331083</v>
      </c>
      <c r="I15" s="48">
        <f t="shared" si="9"/>
        <v>0.89672351832720876</v>
      </c>
      <c r="J15" s="48">
        <f t="shared" si="9"/>
        <v>0.89765288592216952</v>
      </c>
      <c r="K15" s="48">
        <f t="shared" si="9"/>
        <v>0.89842543779133588</v>
      </c>
      <c r="L15" s="48">
        <f t="shared" si="9"/>
        <v>0.89908718522792552</v>
      </c>
      <c r="M15" s="48">
        <f t="shared" si="9"/>
        <v>0.89969015385653839</v>
      </c>
      <c r="N15" s="48">
        <f t="shared" si="9"/>
        <v>0.90025963677043253</v>
      </c>
      <c r="O15" s="48">
        <f t="shared" si="9"/>
        <v>0.90080941348076538</v>
      </c>
      <c r="P15" s="48">
        <f t="shared" si="9"/>
        <v>0.90130842762720287</v>
      </c>
      <c r="Q15" s="48">
        <f t="shared" si="9"/>
        <v>0.90175022686104955</v>
      </c>
      <c r="R15" s="48">
        <f t="shared" si="9"/>
        <v>0.90214214962127937</v>
      </c>
      <c r="S15" s="48">
        <f t="shared" si="9"/>
        <v>0.90252694586281845</v>
      </c>
      <c r="T15" s="48">
        <f t="shared" si="9"/>
        <v>0.90291725005376811</v>
      </c>
      <c r="U15" s="48">
        <f t="shared" si="9"/>
        <v>0.90327568104006328</v>
      </c>
      <c r="V15" s="48">
        <f t="shared" si="9"/>
        <v>0.9036083808602775</v>
      </c>
      <c r="W15" s="48">
        <f t="shared" si="9"/>
        <v>0.90390434001882003</v>
      </c>
      <c r="X15" s="48">
        <f t="shared" si="9"/>
        <v>0.90414977767490079</v>
      </c>
      <c r="Y15" s="48">
        <f t="shared" si="9"/>
        <v>0.90435397379320792</v>
      </c>
      <c r="Z15" s="48">
        <f t="shared" si="9"/>
        <v>0.90452683094973851</v>
      </c>
      <c r="AA15" s="48">
        <f t="shared" si="9"/>
        <v>0.9046699530396245</v>
      </c>
      <c r="AB15" s="48">
        <f t="shared" si="9"/>
        <v>0.90479973451846418</v>
      </c>
      <c r="AC15" s="48">
        <f t="shared" si="9"/>
        <v>0.90490904402228955</v>
      </c>
      <c r="AD15" s="48">
        <f t="shared" si="9"/>
        <v>0.90500538922546159</v>
      </c>
      <c r="AE15" s="48">
        <f t="shared" si="9"/>
        <v>0.90508225850579316</v>
      </c>
    </row>
    <row r="17" spans="1:30" s="74" customFormat="1" ht="15.75" x14ac:dyDescent="0.25">
      <c r="A17" s="73" t="s">
        <v>292</v>
      </c>
    </row>
    <row r="18" spans="1:30" x14ac:dyDescent="0.25">
      <c r="A18" t="s">
        <v>293</v>
      </c>
    </row>
    <row r="19" spans="1:30" x14ac:dyDescent="0.25">
      <c r="H19" s="15"/>
      <c r="M19" s="15"/>
      <c r="P19" s="15"/>
      <c r="W19" s="15"/>
    </row>
    <row r="20" spans="1:30" x14ac:dyDescent="0.25">
      <c r="H20" s="75" t="s">
        <v>294</v>
      </c>
      <c r="I20" s="76"/>
      <c r="J20" s="76"/>
      <c r="K20" s="76"/>
      <c r="L20" s="77"/>
      <c r="M20" s="75" t="s">
        <v>295</v>
      </c>
      <c r="N20" s="76"/>
      <c r="O20" s="77"/>
      <c r="P20" s="75" t="s">
        <v>110</v>
      </c>
      <c r="Q20" s="76"/>
      <c r="R20" s="76"/>
      <c r="S20" s="76"/>
      <c r="T20" s="76"/>
      <c r="U20" s="76"/>
      <c r="V20" s="77"/>
      <c r="W20" s="15"/>
    </row>
    <row r="21" spans="1:30" x14ac:dyDescent="0.25">
      <c r="B21" t="s">
        <v>89</v>
      </c>
      <c r="D21" t="s">
        <v>296</v>
      </c>
      <c r="E21" t="s">
        <v>297</v>
      </c>
      <c r="F21" t="s">
        <v>298</v>
      </c>
      <c r="G21" t="s">
        <v>299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300</v>
      </c>
      <c r="N21" t="s">
        <v>301</v>
      </c>
      <c r="O21" s="16" t="s">
        <v>302</v>
      </c>
      <c r="P21" s="15" t="s">
        <v>303</v>
      </c>
      <c r="Q21" t="s">
        <v>304</v>
      </c>
      <c r="R21" t="s">
        <v>301</v>
      </c>
      <c r="S21" t="s">
        <v>302</v>
      </c>
      <c r="T21" t="s">
        <v>305</v>
      </c>
      <c r="U21" t="s">
        <v>306</v>
      </c>
      <c r="V21" s="16" t="s">
        <v>307</v>
      </c>
      <c r="W21" s="15" t="s">
        <v>308</v>
      </c>
      <c r="AA21" t="s">
        <v>309</v>
      </c>
      <c r="AB21" t="s">
        <v>310</v>
      </c>
      <c r="AC21" t="s">
        <v>311</v>
      </c>
    </row>
    <row r="22" spans="1:30" x14ac:dyDescent="0.25">
      <c r="B22">
        <v>2012</v>
      </c>
      <c r="C22" t="s">
        <v>312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2" cm="1">
        <f t="array" ref="AA22">SUM(($G$22:$H$372)*($B$22:$B$372=$Z22))/1000000</f>
        <v>53357.496055000003</v>
      </c>
      <c r="AB22" s="72" cm="1">
        <f t="array" ref="AB22">SUM(($I$22:$K$372)*($B$22:$B$372=$Z22))/1000000</f>
        <v>54962.399487000002</v>
      </c>
      <c r="AC22" s="72" cm="1">
        <f t="array" ref="AC22">SUM(($L$22:$W$372)*($B$22:$B$372=$Z22))/1000000</f>
        <v>160885.03339299999</v>
      </c>
      <c r="AD22" s="72">
        <f>SUM(AA22:AC22)</f>
        <v>269204.92893499997</v>
      </c>
    </row>
    <row r="23" spans="1:30" x14ac:dyDescent="0.25">
      <c r="B23">
        <v>2012</v>
      </c>
      <c r="C23" t="s">
        <v>313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2">
        <f t="array" ref="AA23">SUM(($G$22:$H$372)*($B$22:$B$372=$Z23))/1000000</f>
        <v>54849.001233000003</v>
      </c>
      <c r="AB23" s="72">
        <f t="array" ref="AB23">SUM(($I$22:$K$372)*($B$22:$B$372=$Z23))/1000000</f>
        <v>55016.167917999999</v>
      </c>
      <c r="AC23" s="72">
        <f t="array" ref="AC23">SUM(($L$22:$W$372)*($B$22:$B$372=$Z23))/1000000</f>
        <v>165149.100447</v>
      </c>
      <c r="AD23" s="72">
        <f t="shared" ref="AD23:AD60" si="10">SUM(AA23:AC23)</f>
        <v>275014.26959799998</v>
      </c>
    </row>
    <row r="24" spans="1:30" x14ac:dyDescent="0.25">
      <c r="B24">
        <v>2012</v>
      </c>
      <c r="C24" t="s">
        <v>314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2">
        <f t="array" ref="AA24">SUM(($G$22:$H$372)*($B$22:$B$372=$Z24))/1000000</f>
        <v>56369.292610999997</v>
      </c>
      <c r="AB24" s="72">
        <f t="array" ref="AB24">SUM(($I$22:$K$372)*($B$22:$B$372=$Z24))/1000000</f>
        <v>54763.221610000001</v>
      </c>
      <c r="AC24" s="72">
        <f t="array" ref="AC24">SUM(($L$22:$W$372)*($B$22:$B$372=$Z24))/1000000</f>
        <v>167996.188452</v>
      </c>
      <c r="AD24" s="72">
        <f t="shared" si="10"/>
        <v>279128.70267299999</v>
      </c>
    </row>
    <row r="25" spans="1:30" x14ac:dyDescent="0.25">
      <c r="B25">
        <v>2012</v>
      </c>
      <c r="C25" t="s">
        <v>315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2">
        <f t="array" ref="AA25">SUM(($G$22:$H$372)*($B$22:$B$372=$Z25))/1000000</f>
        <v>58042.053438000003</v>
      </c>
      <c r="AB25" s="72">
        <f t="array" ref="AB25">SUM(($I$22:$K$372)*($B$22:$B$372=$Z25))/1000000</f>
        <v>54072.603288999999</v>
      </c>
      <c r="AC25" s="72">
        <f t="array" ref="AC25">SUM(($L$22:$W$372)*($B$22:$B$372=$Z25))/1000000</f>
        <v>167723.897471</v>
      </c>
      <c r="AD25" s="72">
        <f t="shared" si="10"/>
        <v>279838.554198</v>
      </c>
    </row>
    <row r="26" spans="1:30" x14ac:dyDescent="0.25">
      <c r="B26">
        <v>2012</v>
      </c>
      <c r="C26" t="s">
        <v>316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2">
        <f t="array" ref="AA26">SUM(($G$22:$H$372)*($B$22:$B$372=$Z26))/1000000</f>
        <v>59349.005367999998</v>
      </c>
      <c r="AB26" s="72">
        <f t="array" ref="AB26">SUM(($I$22:$K$372)*($B$22:$B$372=$Z26))/1000000</f>
        <v>54712.407867000002</v>
      </c>
      <c r="AC26" s="72">
        <f t="array" ref="AC26">SUM(($L$22:$W$372)*($B$22:$B$372=$Z26))/1000000</f>
        <v>173828.54704</v>
      </c>
      <c r="AD26" s="72">
        <f t="shared" si="10"/>
        <v>287889.96027500002</v>
      </c>
    </row>
    <row r="27" spans="1:30" x14ac:dyDescent="0.25">
      <c r="B27">
        <v>2012</v>
      </c>
      <c r="C27" t="s">
        <v>317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2">
        <f t="array" ref="AA27">SUM(($G$22:$H$372)*($B$22:$B$372=$Z27))/1000000</f>
        <v>63513.358348000002</v>
      </c>
      <c r="AB27" s="72">
        <f t="array" ref="AB27">SUM(($I$22:$K$372)*($B$22:$B$372=$Z27))/1000000</f>
        <v>57567.423967000002</v>
      </c>
      <c r="AC27" s="72">
        <f t="array" ref="AC27">SUM(($L$22:$W$372)*($B$22:$B$372=$Z27))/1000000</f>
        <v>176504.521511</v>
      </c>
      <c r="AD27" s="72">
        <f t="shared" si="10"/>
        <v>297585.30382600002</v>
      </c>
    </row>
    <row r="28" spans="1:30" x14ac:dyDescent="0.25">
      <c r="B28">
        <v>2012</v>
      </c>
      <c r="C28" t="s">
        <v>318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2">
        <f t="array" ref="AA28">SUM(($G$22:$H$372)*($B$22:$B$372=$Z28))/1000000</f>
        <v>65749.611323000005</v>
      </c>
      <c r="AB28" s="72">
        <f t="array" ref="AB28">SUM(($I$22:$K$372)*($B$22:$B$372=$Z28))/1000000</f>
        <v>58713.445049000002</v>
      </c>
      <c r="AC28" s="72">
        <f t="array" ref="AC28">SUM(($L$22:$W$372)*($B$22:$B$372=$Z28))/1000000</f>
        <v>180393.987968</v>
      </c>
      <c r="AD28" s="72">
        <f t="shared" si="10"/>
        <v>304857.04434000002</v>
      </c>
    </row>
    <row r="29" spans="1:30" x14ac:dyDescent="0.25">
      <c r="B29">
        <v>2012</v>
      </c>
      <c r="C29" t="s">
        <v>319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2">
        <f t="array" ref="AA29">SUM(($G$22:$H$372)*($B$22:$B$372=$Z29))/1000000</f>
        <v>64032.875804000003</v>
      </c>
      <c r="AB29" s="72">
        <f t="array" ref="AB29">SUM(($I$22:$K$372)*($B$22:$B$372=$Z29))/1000000</f>
        <v>57753.081602999999</v>
      </c>
      <c r="AC29" s="72">
        <f t="array" ref="AC29">SUM(($L$22:$W$372)*($B$22:$B$372=$Z29))/1000000</f>
        <v>178258.78945899999</v>
      </c>
      <c r="AD29" s="72">
        <f t="shared" si="10"/>
        <v>300044.746866</v>
      </c>
    </row>
    <row r="30" spans="1:30" x14ac:dyDescent="0.25">
      <c r="B30">
        <v>2012</v>
      </c>
      <c r="C30" t="s">
        <v>320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2">
        <f t="array" ref="AA30">SUM(($G$22:$H$372)*($B$22:$B$372=$Z30))/1000000</f>
        <v>66392.729428000006</v>
      </c>
      <c r="AB30" s="72">
        <f t="array" ref="AB30">SUM(($I$22:$K$372)*($B$22:$B$372=$Z30))/1000000</f>
        <v>56565.216330000003</v>
      </c>
      <c r="AC30" s="72">
        <f t="array" ref="AC30">SUM(($L$22:$W$372)*($B$22:$B$372=$Z30))/1000000</f>
        <v>179177.29365499999</v>
      </c>
      <c r="AD30" s="72">
        <f t="shared" si="10"/>
        <v>302135.239413</v>
      </c>
    </row>
    <row r="31" spans="1:30" x14ac:dyDescent="0.2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2">
        <f t="array" ref="AA31">SUM(($G$22:$H$372)*($B$22:$B$372=$Z31))/1000000</f>
        <v>73491.209528000007</v>
      </c>
      <c r="AB31" s="72">
        <f t="array" ref="AB31">SUM(($I$22:$K$372)*($B$22:$B$372=$Z31))/1000000</f>
        <v>58774.466785999997</v>
      </c>
      <c r="AC31" s="72">
        <f t="array" ref="AC31">SUM(($L$22:$W$372)*($B$22:$B$372=$Z31))/1000000</f>
        <v>183020.83665899999</v>
      </c>
      <c r="AD31" s="72">
        <f t="shared" si="10"/>
        <v>315286.512973</v>
      </c>
    </row>
    <row r="32" spans="1:30" x14ac:dyDescent="0.2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2">
        <f t="array" ref="AA32">SUM(($G$22:$H$372)*($B$22:$B$372=$Z32))/1000000</f>
        <v>75058.850216000006</v>
      </c>
      <c r="AB32" s="72">
        <f t="array" ref="AB32">SUM(($I$22:$K$372)*($B$22:$B$372=$Z32))/1000000</f>
        <v>59696.392709</v>
      </c>
      <c r="AC32" s="72">
        <f t="array" ref="AC32">SUM(($L$22:$W$372)*($B$22:$B$372=$Z32))/1000000</f>
        <v>187191.81166800001</v>
      </c>
      <c r="AD32" s="72">
        <f t="shared" si="10"/>
        <v>321947.05459299998</v>
      </c>
    </row>
    <row r="33" spans="2:30" x14ac:dyDescent="0.2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2">
        <f t="array" ref="AA33">SUM(($G$22:$H$372)*($B$22:$B$372=$Z33))/1000000</f>
        <v>74732.068169999999</v>
      </c>
      <c r="AB33" s="72">
        <f t="array" ref="AB33">SUM(($I$22:$K$372)*($B$22:$B$372=$Z33))/1000000</f>
        <v>59233.001348999998</v>
      </c>
      <c r="AC33" s="72">
        <f t="array" ref="AC33">SUM(($L$22:$W$372)*($B$22:$B$372=$Z33))/1000000</f>
        <v>186734.72233700001</v>
      </c>
      <c r="AD33" s="72">
        <f t="shared" si="10"/>
        <v>320699.79185600003</v>
      </c>
    </row>
    <row r="34" spans="2:30" x14ac:dyDescent="0.2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2">
        <f t="array" ref="AA34">SUM(($G$22:$H$372)*($B$22:$B$372=$Z34))/1000000</f>
        <v>75056.362034999998</v>
      </c>
      <c r="AB34" s="72">
        <f t="array" ref="AB34">SUM(($I$22:$K$372)*($B$22:$B$372=$Z34))/1000000</f>
        <v>59104.916788000002</v>
      </c>
      <c r="AC34" s="72">
        <f t="array" ref="AC34">SUM(($L$22:$W$372)*($B$22:$B$372=$Z34))/1000000</f>
        <v>186938.41755700001</v>
      </c>
      <c r="AD34" s="72">
        <f t="shared" si="10"/>
        <v>321099.69637999998</v>
      </c>
    </row>
    <row r="35" spans="2:30" x14ac:dyDescent="0.2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2">
        <f t="array" ref="AA35">SUM(($G$22:$H$372)*($B$22:$B$372=$Z35))/1000000</f>
        <v>76161.660589000006</v>
      </c>
      <c r="AB35" s="72">
        <f t="array" ref="AB35">SUM(($I$22:$K$372)*($B$22:$B$372=$Z35))/1000000</f>
        <v>59444.983415000002</v>
      </c>
      <c r="AC35" s="72">
        <f t="array" ref="AC35">SUM(($L$22:$W$372)*($B$22:$B$372=$Z35))/1000000</f>
        <v>188410.14079800001</v>
      </c>
      <c r="AD35" s="72">
        <f t="shared" si="10"/>
        <v>324016.78480200004</v>
      </c>
    </row>
    <row r="36" spans="2:30" x14ac:dyDescent="0.2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2">
        <f t="array" ref="AA36">SUM(($G$22:$H$372)*($B$22:$B$372=$Z36))/1000000</f>
        <v>77621.935152000005</v>
      </c>
      <c r="AB36" s="72">
        <f t="array" ref="AB36">SUM(($I$22:$K$372)*($B$22:$B$372=$Z36))/1000000</f>
        <v>60179.275582000002</v>
      </c>
      <c r="AC36" s="72">
        <f t="array" ref="AC36">SUM(($L$22:$W$372)*($B$22:$B$372=$Z36))/1000000</f>
        <v>190675.150781</v>
      </c>
      <c r="AD36" s="72">
        <f t="shared" si="10"/>
        <v>328476.361515</v>
      </c>
    </row>
    <row r="37" spans="2:30" x14ac:dyDescent="0.2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2">
        <f t="array" ref="AA37">SUM(($G$22:$H$372)*($B$22:$B$372=$Z37))/1000000</f>
        <v>78824.143867000006</v>
      </c>
      <c r="AB37" s="72">
        <f t="array" ref="AB37">SUM(($I$22:$K$372)*($B$22:$B$372=$Z37))/1000000</f>
        <v>60943.302215000003</v>
      </c>
      <c r="AC37" s="72">
        <f t="array" ref="AC37">SUM(($L$22:$W$372)*($B$22:$B$372=$Z37))/1000000</f>
        <v>192523.839997</v>
      </c>
      <c r="AD37" s="72">
        <f t="shared" si="10"/>
        <v>332291.28607899998</v>
      </c>
    </row>
    <row r="38" spans="2:30" x14ac:dyDescent="0.2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2">
        <f t="array" ref="AA38">SUM(($G$22:$H$372)*($B$22:$B$372=$Z38))/1000000</f>
        <v>79954.302377</v>
      </c>
      <c r="AB38" s="72">
        <f t="array" ref="AB38">SUM(($I$22:$K$372)*($B$22:$B$372=$Z38))/1000000</f>
        <v>61768.855621000002</v>
      </c>
      <c r="AC38" s="72">
        <f t="array" ref="AC38">SUM(($L$22:$W$372)*($B$22:$B$372=$Z38))/1000000</f>
        <v>194029.03336199999</v>
      </c>
      <c r="AD38" s="72">
        <f t="shared" si="10"/>
        <v>335752.19136</v>
      </c>
    </row>
    <row r="39" spans="2:30" x14ac:dyDescent="0.2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2">
        <f t="array" ref="AA39">SUM(($G$22:$H$372)*($B$22:$B$372=$Z39))/1000000</f>
        <v>81126.438448999994</v>
      </c>
      <c r="AB39" s="72">
        <f t="array" ref="AB39">SUM(($I$22:$K$372)*($B$22:$B$372=$Z39))/1000000</f>
        <v>62522.914556999996</v>
      </c>
      <c r="AC39" s="72">
        <f t="array" ref="AC39">SUM(($L$22:$W$372)*($B$22:$B$372=$Z39))/1000000</f>
        <v>194919.57967499999</v>
      </c>
      <c r="AD39" s="72">
        <f t="shared" si="10"/>
        <v>338568.93268099998</v>
      </c>
    </row>
    <row r="40" spans="2:30" x14ac:dyDescent="0.2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2">
        <f t="array" ref="AA40">SUM(($G$22:$H$372)*($B$22:$B$372=$Z40))/1000000</f>
        <v>82515.567903000003</v>
      </c>
      <c r="AB40" s="72">
        <f t="array" ref="AB40">SUM(($I$22:$K$372)*($B$22:$B$372=$Z40))/1000000</f>
        <v>63231.206787000003</v>
      </c>
      <c r="AC40" s="72">
        <f t="array" ref="AC40">SUM(($L$22:$W$372)*($B$22:$B$372=$Z40))/1000000</f>
        <v>195347.25951599999</v>
      </c>
      <c r="AD40" s="72">
        <f t="shared" si="10"/>
        <v>341094.03420599998</v>
      </c>
    </row>
    <row r="41" spans="2:30" x14ac:dyDescent="0.2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2">
        <f t="array" ref="AA41">SUM(($G$22:$H$372)*($B$22:$B$372=$Z41))/1000000</f>
        <v>84225.810465999995</v>
      </c>
      <c r="AB41" s="72">
        <f t="array" ref="AB41">SUM(($I$22:$K$372)*($B$22:$B$372=$Z41))/1000000</f>
        <v>64039.527791</v>
      </c>
      <c r="AC41" s="72">
        <f t="array" ref="AC41">SUM(($L$22:$W$372)*($B$22:$B$372=$Z41))/1000000</f>
        <v>195864.895124</v>
      </c>
      <c r="AD41" s="72">
        <f t="shared" si="10"/>
        <v>344130.233381</v>
      </c>
    </row>
    <row r="42" spans="2:30" x14ac:dyDescent="0.2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2">
        <f t="array" ref="AA42">SUM(($G$22:$H$372)*($B$22:$B$372=$Z42))/1000000</f>
        <v>86247.875383999999</v>
      </c>
      <c r="AB42" s="72">
        <f t="array" ref="AB42">SUM(($I$22:$K$372)*($B$22:$B$372=$Z42))/1000000</f>
        <v>65124.282284000001</v>
      </c>
      <c r="AC42" s="72">
        <f t="array" ref="AC42">SUM(($L$22:$W$372)*($B$22:$B$372=$Z42))/1000000</f>
        <v>196870.930903</v>
      </c>
      <c r="AD42" s="72">
        <f t="shared" si="10"/>
        <v>348243.08857100003</v>
      </c>
    </row>
    <row r="43" spans="2:30" x14ac:dyDescent="0.2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2">
        <f t="array" ref="AA43">SUM(($G$22:$H$372)*($B$22:$B$372=$Z43))/1000000</f>
        <v>88082.187835999997</v>
      </c>
      <c r="AB43" s="72">
        <f t="array" ref="AB43">SUM(($I$22:$K$372)*($B$22:$B$372=$Z43))/1000000</f>
        <v>66076.330558000001</v>
      </c>
      <c r="AC43" s="72">
        <f t="array" ref="AC43">SUM(($L$22:$W$372)*($B$22:$B$372=$Z43))/1000000</f>
        <v>197467.476639</v>
      </c>
      <c r="AD43" s="72">
        <f t="shared" si="10"/>
        <v>351625.99503300001</v>
      </c>
    </row>
    <row r="44" spans="2:30" x14ac:dyDescent="0.2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2">
        <f t="array" ref="AA44">SUM(($G$22:$H$372)*($B$22:$B$372=$Z44))/1000000</f>
        <v>89903.375495</v>
      </c>
      <c r="AB44" s="72">
        <f t="array" ref="AB44">SUM(($I$22:$K$372)*($B$22:$B$372=$Z44))/1000000</f>
        <v>67006.771336000005</v>
      </c>
      <c r="AC44" s="72">
        <f t="array" ref="AC44">SUM(($L$22:$W$372)*($B$22:$B$372=$Z44))/1000000</f>
        <v>197962.586129</v>
      </c>
      <c r="AD44" s="72">
        <f t="shared" si="10"/>
        <v>354872.73295999999</v>
      </c>
    </row>
    <row r="45" spans="2:30" x14ac:dyDescent="0.2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2">
        <f t="array" ref="AA45">SUM(($G$22:$H$372)*($B$22:$B$372=$Z45))/1000000</f>
        <v>91787.951690000002</v>
      </c>
      <c r="AB45" s="72">
        <f t="array" ref="AB45">SUM(($I$22:$K$372)*($B$22:$B$372=$Z45))/1000000</f>
        <v>67997.275097000005</v>
      </c>
      <c r="AC45" s="72">
        <f t="array" ref="AC45">SUM(($L$22:$W$372)*($B$22:$B$372=$Z45))/1000000</f>
        <v>198582.446746</v>
      </c>
      <c r="AD45" s="72">
        <f t="shared" si="10"/>
        <v>358367.67353300005</v>
      </c>
    </row>
    <row r="46" spans="2:30" x14ac:dyDescent="0.2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2">
        <f t="array" ref="AA46">SUM(($G$22:$H$372)*($B$22:$B$372=$Z46))/1000000</f>
        <v>93531.581019999998</v>
      </c>
      <c r="AB46" s="72">
        <f t="array" ref="AB46">SUM(($I$22:$K$372)*($B$22:$B$372=$Z46))/1000000</f>
        <v>68894.705545000004</v>
      </c>
      <c r="AC46" s="72">
        <f t="array" ref="AC46">SUM(($L$22:$W$372)*($B$22:$B$372=$Z46))/1000000</f>
        <v>198894.29607499999</v>
      </c>
      <c r="AD46" s="72">
        <f t="shared" si="10"/>
        <v>361320.58264000004</v>
      </c>
    </row>
    <row r="47" spans="2:30" x14ac:dyDescent="0.2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2">
        <f t="array" ref="AA47">SUM(($G$22:$H$372)*($B$22:$B$372=$Z47))/1000000</f>
        <v>95407.949582000001</v>
      </c>
      <c r="AB47" s="72">
        <f t="array" ref="AB47">SUM(($I$22:$K$372)*($B$22:$B$372=$Z47))/1000000</f>
        <v>69940.541322000005</v>
      </c>
      <c r="AC47" s="72">
        <f t="array" ref="AC47">SUM(($L$22:$W$372)*($B$22:$B$372=$Z47))/1000000</f>
        <v>199522.87597200001</v>
      </c>
      <c r="AD47" s="72">
        <f t="shared" si="10"/>
        <v>364871.36687600001</v>
      </c>
    </row>
    <row r="48" spans="2:30" x14ac:dyDescent="0.2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2">
        <f t="array" ref="AA48">SUM(($G$22:$H$372)*($B$22:$B$372=$Z48))/1000000</f>
        <v>97274.880076999994</v>
      </c>
      <c r="AB48" s="72">
        <f t="array" ref="AB48">SUM(($I$22:$K$372)*($B$22:$B$372=$Z48))/1000000</f>
        <v>70943.414059000002</v>
      </c>
      <c r="AC48" s="72">
        <f t="array" ref="AC48">SUM(($L$22:$W$372)*($B$22:$B$372=$Z48))/1000000</f>
        <v>200192.55317</v>
      </c>
      <c r="AD48" s="72">
        <f t="shared" si="10"/>
        <v>368410.84730599995</v>
      </c>
    </row>
    <row r="49" spans="2:30" x14ac:dyDescent="0.2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2">
        <f t="array" ref="AA49">SUM(($G$22:$H$372)*($B$22:$B$372=$Z49))/1000000</f>
        <v>99140.713889000006</v>
      </c>
      <c r="AB49" s="72">
        <f t="array" ref="AB49">SUM(($I$22:$K$372)*($B$22:$B$372=$Z49))/1000000</f>
        <v>72006.495349000004</v>
      </c>
      <c r="AC49" s="72">
        <f t="array" ref="AC49">SUM(($L$22:$W$372)*($B$22:$B$372=$Z49))/1000000</f>
        <v>200739.43635500001</v>
      </c>
      <c r="AD49" s="72">
        <f t="shared" si="10"/>
        <v>371886.64559299999</v>
      </c>
    </row>
    <row r="50" spans="2:30" x14ac:dyDescent="0.2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2">
        <f t="array" ref="AA50">SUM(($G$22:$H$372)*($B$22:$B$372=$Z50))/1000000</f>
        <v>101139.003489</v>
      </c>
      <c r="AB50" s="72">
        <f t="array" ref="AB50">SUM(($I$22:$K$372)*($B$22:$B$372=$Z50))/1000000</f>
        <v>73123.155322000006</v>
      </c>
      <c r="AC50" s="72">
        <f t="array" ref="AC50">SUM(($L$22:$W$372)*($B$22:$B$372=$Z50))/1000000</f>
        <v>201400.78161800001</v>
      </c>
      <c r="AD50" s="72">
        <f t="shared" si="10"/>
        <v>375662.94042900001</v>
      </c>
    </row>
    <row r="51" spans="2:30" x14ac:dyDescent="0.2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2">
        <f t="array" ref="AA51">SUM(($G$22:$H$372)*($B$22:$B$372=$Z51))/1000000</f>
        <v>103182.906147</v>
      </c>
      <c r="AB51" s="72">
        <f t="array" ref="AB51">SUM(($I$22:$K$372)*($B$22:$B$372=$Z51))/1000000</f>
        <v>74263.218131999995</v>
      </c>
      <c r="AC51" s="72">
        <f t="array" ref="AC51">SUM(($L$22:$W$372)*($B$22:$B$372=$Z51))/1000000</f>
        <v>202038.91327700001</v>
      </c>
      <c r="AD51" s="72">
        <f t="shared" si="10"/>
        <v>379485.037556</v>
      </c>
    </row>
    <row r="52" spans="2:30" x14ac:dyDescent="0.2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2">
        <f t="array" ref="AA52">SUM(($G$22:$H$372)*($B$22:$B$372=$Z52))/1000000</f>
        <v>105260.42458599999</v>
      </c>
      <c r="AB52" s="72">
        <f t="array" ref="AB52">SUM(($I$22:$K$372)*($B$22:$B$372=$Z52))/1000000</f>
        <v>75433.603170999995</v>
      </c>
      <c r="AC52" s="72">
        <f t="array" ref="AC52">SUM(($L$22:$W$372)*($B$22:$B$372=$Z52))/1000000</f>
        <v>202798.471594</v>
      </c>
      <c r="AD52" s="72">
        <f t="shared" si="10"/>
        <v>383492.49935100001</v>
      </c>
    </row>
    <row r="53" spans="2:30" x14ac:dyDescent="0.2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2">
        <f t="array" ref="AA53">SUM(($G$22:$H$372)*($B$22:$B$372=$Z53))/1000000</f>
        <v>107264.271525</v>
      </c>
      <c r="AB53" s="72">
        <f t="array" ref="AB53">SUM(($I$22:$K$372)*($B$22:$B$372=$Z53))/1000000</f>
        <v>76631.229517</v>
      </c>
      <c r="AC53" s="72">
        <f t="array" ref="AC53">SUM(($L$22:$W$372)*($B$22:$B$372=$Z53))/1000000</f>
        <v>203467.543986</v>
      </c>
      <c r="AD53" s="72">
        <f t="shared" si="10"/>
        <v>387363.04502800002</v>
      </c>
    </row>
    <row r="54" spans="2:30" x14ac:dyDescent="0.2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2">
        <f t="array" ref="AA54">SUM(($G$22:$H$372)*($B$22:$B$372=$Z54))/1000000</f>
        <v>109199.497978</v>
      </c>
      <c r="AB54" s="72">
        <f t="array" ref="AB54">SUM(($I$22:$K$372)*($B$22:$B$372=$Z54))/1000000</f>
        <v>77792.504027000003</v>
      </c>
      <c r="AC54" s="72">
        <f t="array" ref="AC54">SUM(($L$22:$W$372)*($B$22:$B$372=$Z54))/1000000</f>
        <v>203931.536631</v>
      </c>
      <c r="AD54" s="72">
        <f t="shared" si="10"/>
        <v>390923.53863600001</v>
      </c>
    </row>
    <row r="55" spans="2:30" x14ac:dyDescent="0.2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2">
        <f t="array" ref="AA55">SUM(($G$22:$H$372)*($B$22:$B$372=$Z55))/1000000</f>
        <v>111173.512067</v>
      </c>
      <c r="AB55" s="72">
        <f t="array" ref="AB55">SUM(($I$22:$K$372)*($B$22:$B$372=$Z55))/1000000</f>
        <v>78834.679315000001</v>
      </c>
      <c r="AC55" s="72">
        <f t="array" ref="AC55">SUM(($L$22:$W$372)*($B$22:$B$372=$Z55))/1000000</f>
        <v>204053.06837299999</v>
      </c>
      <c r="AD55" s="72">
        <f t="shared" si="10"/>
        <v>394061.25975500001</v>
      </c>
    </row>
    <row r="56" spans="2:30" x14ac:dyDescent="0.2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2">
        <f t="array" ref="AA56">SUM(($G$22:$H$372)*($B$22:$B$372=$Z56))/1000000</f>
        <v>113428.118479</v>
      </c>
      <c r="AB56" s="72">
        <f t="array" ref="AB56">SUM(($I$22:$K$372)*($B$22:$B$372=$Z56))/1000000</f>
        <v>79911.228703000001</v>
      </c>
      <c r="AC56" s="72">
        <f t="array" ref="AC56">SUM(($L$22:$W$372)*($B$22:$B$372=$Z56))/1000000</f>
        <v>204195.66310599999</v>
      </c>
      <c r="AD56" s="72">
        <f t="shared" si="10"/>
        <v>397535.01028799999</v>
      </c>
    </row>
    <row r="57" spans="2:30" x14ac:dyDescent="0.2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2">
        <f t="array" ref="AA57">SUM(($G$22:$H$372)*($B$22:$B$372=$Z57))/1000000</f>
        <v>115822.941164</v>
      </c>
      <c r="AB57" s="72">
        <f t="array" ref="AB57">SUM(($I$22:$K$372)*($B$22:$B$372=$Z57))/1000000</f>
        <v>81033.695051999995</v>
      </c>
      <c r="AC57" s="72">
        <f t="array" ref="AC57">SUM(($L$22:$W$372)*($B$22:$B$372=$Z57))/1000000</f>
        <v>204349.73841300001</v>
      </c>
      <c r="AD57" s="72">
        <f t="shared" si="10"/>
        <v>401206.37462900003</v>
      </c>
    </row>
    <row r="58" spans="2:30" x14ac:dyDescent="0.2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2">
        <f t="array" ref="AA58">SUM(($G$22:$H$372)*($B$22:$B$372=$Z58))/1000000</f>
        <v>118129.175965</v>
      </c>
      <c r="AB58" s="72">
        <f t="array" ref="AB58">SUM(($I$22:$K$372)*($B$22:$B$372=$Z58))/1000000</f>
        <v>82127.805974000003</v>
      </c>
      <c r="AC58" s="72">
        <f t="array" ref="AC58">SUM(($L$22:$W$372)*($B$22:$B$372=$Z58))/1000000</f>
        <v>204380.36221399999</v>
      </c>
      <c r="AD58" s="72">
        <f t="shared" si="10"/>
        <v>404637.34415300004</v>
      </c>
    </row>
    <row r="59" spans="2:30" x14ac:dyDescent="0.2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2">
        <f t="array" ref="AA59">SUM(($G$22:$H$372)*($B$22:$B$372=$Z59))/1000000</f>
        <v>120538.638987</v>
      </c>
      <c r="AB59" s="72">
        <f t="array" ref="AB59">SUM(($I$22:$K$372)*($B$22:$B$372=$Z59))/1000000</f>
        <v>83279.448753999997</v>
      </c>
      <c r="AC59" s="72">
        <f t="array" ref="AC59">SUM(($L$22:$W$372)*($B$22:$B$372=$Z59))/1000000</f>
        <v>204518.086664</v>
      </c>
      <c r="AD59" s="72">
        <f t="shared" si="10"/>
        <v>408336.174405</v>
      </c>
    </row>
    <row r="60" spans="2:30" x14ac:dyDescent="0.2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2">
        <f t="array" ref="AA60">SUM(($G$22:$H$372)*($B$22:$B$372=$Z60))/1000000</f>
        <v>123324.758518</v>
      </c>
      <c r="AB60" s="72">
        <f t="array" ref="AB60">SUM(($I$22:$K$372)*($B$22:$B$372=$Z60))/1000000</f>
        <v>84643.598742000002</v>
      </c>
      <c r="AC60" s="72">
        <f t="array" ref="AC60">SUM(($L$22:$W$372)*($B$22:$B$372=$Z60))/1000000</f>
        <v>205175.579501</v>
      </c>
      <c r="AD60" s="72">
        <f t="shared" si="10"/>
        <v>413143.93676100002</v>
      </c>
    </row>
    <row r="61" spans="2:30" x14ac:dyDescent="0.2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2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2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2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2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2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2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2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2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2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2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2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2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2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2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2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2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2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2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2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2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2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2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2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2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2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2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2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2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2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2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2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2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2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2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2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2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2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2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2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2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2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2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2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2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2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2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2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2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2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2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2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2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2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2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2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2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2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2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2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2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2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2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2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2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2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2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2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2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2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2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2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2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2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2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2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2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2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2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2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2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2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2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2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2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2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2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2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2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2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2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2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2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2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2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2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2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2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2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2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2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2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2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2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2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2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2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2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2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2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2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2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2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2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2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2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2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2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2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2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2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2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2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2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2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2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2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2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2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2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2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2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2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2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2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2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2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2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2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2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2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2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2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2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2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2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2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2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2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2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2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2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2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2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2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2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2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2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2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2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2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2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2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2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2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2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2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2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2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2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2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2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2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2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2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2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2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2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2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2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2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2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2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2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2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2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2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2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2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2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2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2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2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2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2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2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2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2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2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2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2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2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2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2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2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2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2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2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2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2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2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2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2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2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2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2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2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2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2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2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2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2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2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2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2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2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2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2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2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2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2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2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2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2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2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2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2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2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2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2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2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2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2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2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2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2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2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2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2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2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2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2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2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2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2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2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2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2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2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2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2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2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2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2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2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2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2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2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2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2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2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2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2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2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2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2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2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2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2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2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2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2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2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2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2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2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2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2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2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2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2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2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2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2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2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2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2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2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2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2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2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2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2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2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2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2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2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2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2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2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2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2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IF(AND(INDEX('CA Standards and Followers'!$E$14:$E$73,MATCH($A2,'CA Standards and Followers'!$A$14:$A$73,0))=1,INDEX('CA Standards and Followers'!$H$14:$H$73,MATCH($A2,'CA Standards and Followers'!$A$14:$A$73,0))&lt;=B$1),INDEX('CA Standards and Followers'!$3:$3,MATCH(B$1,'CA Standards and Followers'!$1:$1,0)),IF(AND(INDEX('CA Standards and Followers'!$D$14:$D$73,MATCH($A2,'CA Standards and Followers'!$A$14:$A$73,0))=1,INDEX('CA Standards and Followers'!$G$14:$G$73,MATCH($A2,'CA Standards and Followers'!$A$14:$A$73,0))&lt;=B$1),INDEX('CA Standards and Followers'!$2:$2,MATCH(B$1,'CA Standards and Followers'!$1:$1,0)),0))</f>
        <v>0</v>
      </c>
      <c r="C2">
        <f>IF(AND(INDEX('CA Standards and Followers'!$E$14:$E$73,MATCH($A2,'CA Standards and Followers'!$A$14:$A$73,0))=1,INDEX('CA Standards and Followers'!$H$14:$H$73,MATCH($A2,'CA Standards and Followers'!$A$14:$A$73,0))&lt;=C$1),INDEX('CA Standards and Followers'!$3:$3,MATCH(C$1,'CA Standards and Followers'!$1:$1,0)),IF(AND(INDEX('CA Standards and Followers'!$D$14:$D$73,MATCH($A2,'CA Standards and Followers'!$A$14:$A$73,0))=1,INDEX('CA Standards and Followers'!$G$14:$G$73,MATCH($A2,'CA Standards and Followers'!$A$14:$A$73,0))&lt;=C$1),INDEX('CA Standards and Followers'!$2:$2,MATCH(C$1,'CA Standards and Followers'!$1:$1,0)),0))</f>
        <v>0</v>
      </c>
      <c r="D2">
        <f>IF(AND(INDEX('CA Standards and Followers'!$E$14:$E$73,MATCH($A2,'CA Standards and Followers'!$A$14:$A$73,0))=1,INDEX('CA Standards and Followers'!$H$14:$H$73,MATCH($A2,'CA Standards and Followers'!$A$14:$A$73,0))&lt;=D$1),INDEX('CA Standards and Followers'!$3:$3,MATCH(D$1,'CA Standards and Followers'!$1:$1,0)),IF(AND(INDEX('CA Standards and Followers'!$D$14:$D$73,MATCH($A2,'CA Standards and Followers'!$A$14:$A$73,0))=1,INDEX('CA Standards and Followers'!$G$14:$G$73,MATCH($A2,'CA Standards and Followers'!$A$14:$A$73,0))&lt;=D$1),INDEX('CA Standards and Followers'!$2:$2,MATCH(D$1,'CA Standards and Followers'!$1:$1,0)),0))</f>
        <v>0</v>
      </c>
      <c r="E2">
        <f>IF(AND(INDEX('CA Standards and Followers'!$E$14:$E$73,MATCH($A2,'CA Standards and Followers'!$A$14:$A$73,0))=1,INDEX('CA Standards and Followers'!$H$14:$H$73,MATCH($A2,'CA Standards and Followers'!$A$14:$A$73,0))&lt;=E$1),INDEX('CA Standards and Followers'!$3:$3,MATCH(E$1,'CA Standards and Followers'!$1:$1,0)),IF(AND(INDEX('CA Standards and Followers'!$D$14:$D$73,MATCH($A2,'CA Standards and Followers'!$A$14:$A$73,0))=1,INDEX('CA Standards and Followers'!$G$14:$G$73,MATCH($A2,'CA Standards and Followers'!$A$14:$A$73,0))&lt;=E$1),INDEX('CA Standards and Followers'!$2:$2,MATCH(E$1,'CA Standards and Followers'!$1:$1,0)),0))</f>
        <v>0</v>
      </c>
      <c r="F2">
        <f>IF(AND(INDEX('CA Standards and Followers'!$E$14:$E$73,MATCH($A2,'CA Standards and Followers'!$A$14:$A$73,0))=1,INDEX('CA Standards and Followers'!$H$14:$H$73,MATCH($A2,'CA Standards and Followers'!$A$14:$A$73,0))&lt;=F$1),INDEX('CA Standards and Followers'!$3:$3,MATCH(F$1,'CA Standards and Followers'!$1:$1,0)),IF(AND(INDEX('CA Standards and Followers'!$D$14:$D$73,MATCH($A2,'CA Standards and Followers'!$A$14:$A$73,0))=1,INDEX('CA Standards and Followers'!$G$14:$G$73,MATCH($A2,'CA Standards and Followers'!$A$14:$A$73,0))&lt;=F$1),INDEX('CA Standards and Followers'!$2:$2,MATCH(F$1,'CA Standards and Followers'!$1:$1,0)),0))</f>
        <v>0</v>
      </c>
      <c r="G2">
        <f>IF(AND(INDEX('CA Standards and Followers'!$E$14:$E$73,MATCH($A2,'CA Standards and Followers'!$A$14:$A$73,0))=1,INDEX('CA Standards and Followers'!$H$14:$H$73,MATCH($A2,'CA Standards and Followers'!$A$14:$A$73,0))&lt;=G$1),INDEX('CA Standards and Followers'!$3:$3,MATCH(G$1,'CA Standards and Followers'!$1:$1,0)),IF(AND(INDEX('CA Standards and Followers'!$D$14:$D$73,MATCH($A2,'CA Standards and Followers'!$A$14:$A$73,0))=1,INDEX('CA Standards and Followers'!$G$14:$G$73,MATCH($A2,'CA Standards and Followers'!$A$14:$A$73,0))&lt;=G$1),INDEX('CA Standards and Followers'!$2:$2,MATCH(G$1,'CA Standards and Followers'!$1:$1,0)),0))</f>
        <v>0</v>
      </c>
      <c r="H2">
        <f>IF(AND(INDEX('CA Standards and Followers'!$E$14:$E$73,MATCH($A2,'CA Standards and Followers'!$A$14:$A$73,0))=1,INDEX('CA Standards and Followers'!$H$14:$H$73,MATCH($A2,'CA Standards and Followers'!$A$14:$A$73,0))&lt;=H$1),INDEX('CA Standards and Followers'!$3:$3,MATCH(H$1,'CA Standards and Followers'!$1:$1,0)),IF(AND(INDEX('CA Standards and Followers'!$D$14:$D$73,MATCH($A2,'CA Standards and Followers'!$A$14:$A$73,0))=1,INDEX('CA Standards and Followers'!$G$14:$G$73,MATCH($A2,'CA Standards and Followers'!$A$14:$A$73,0))&lt;=H$1),INDEX('CA Standards and Followers'!$2:$2,MATCH(H$1,'CA Standards and Followers'!$1:$1,0)),0))</f>
        <v>0</v>
      </c>
      <c r="I2">
        <f>IF(AND(INDEX('CA Standards and Followers'!$E$14:$E$73,MATCH($A2,'CA Standards and Followers'!$A$14:$A$73,0))=1,INDEX('CA Standards and Followers'!$H$14:$H$73,MATCH($A2,'CA Standards and Followers'!$A$14:$A$73,0))&lt;=I$1),INDEX('CA Standards and Followers'!$3:$3,MATCH(I$1,'CA Standards and Followers'!$1:$1,0)),IF(AND(INDEX('CA Standards and Followers'!$D$14:$D$73,MATCH($A2,'CA Standards and Followers'!$A$14:$A$73,0))=1,INDEX('CA Standards and Followers'!$G$14:$G$73,MATCH($A2,'CA Standards and Followers'!$A$14:$A$73,0))&lt;=I$1),INDEX('CA Standards and Followers'!$2:$2,MATCH(I$1,'CA Standards and Followers'!$1:$1,0)),0))</f>
        <v>0</v>
      </c>
      <c r="J2">
        <f>IF(AND(INDEX('CA Standards and Followers'!$E$14:$E$73,MATCH($A2,'CA Standards and Followers'!$A$14:$A$73,0))=1,INDEX('CA Standards and Followers'!$H$14:$H$73,MATCH($A2,'CA Standards and Followers'!$A$14:$A$73,0))&lt;=J$1),INDEX('CA Standards and Followers'!$3:$3,MATCH(J$1,'CA Standards and Followers'!$1:$1,0)),IF(AND(INDEX('CA Standards and Followers'!$D$14:$D$73,MATCH($A2,'CA Standards and Followers'!$A$14:$A$73,0))=1,INDEX('CA Standards and Followers'!$G$14:$G$73,MATCH($A2,'CA Standards and Followers'!$A$14:$A$73,0))&lt;=J$1),INDEX('CA Standards and Followers'!$2:$2,MATCH(J$1,'CA Standards and Followers'!$1:$1,0)),0))</f>
        <v>0</v>
      </c>
      <c r="K2">
        <f>IF(AND(INDEX('CA Standards and Followers'!$E$14:$E$73,MATCH($A2,'CA Standards and Followers'!$A$14:$A$73,0))=1,INDEX('CA Standards and Followers'!$H$14:$H$73,MATCH($A2,'CA Standards and Followers'!$A$14:$A$73,0))&lt;=K$1),INDEX('CA Standards and Followers'!$3:$3,MATCH(K$1,'CA Standards and Followers'!$1:$1,0)),IF(AND(INDEX('CA Standards and Followers'!$D$14:$D$73,MATCH($A2,'CA Standards and Followers'!$A$14:$A$73,0))=1,INDEX('CA Standards and Followers'!$G$14:$G$73,MATCH($A2,'CA Standards and Followers'!$A$14:$A$73,0))&lt;=K$1),INDEX('CA Standards and Followers'!$2:$2,MATCH(K$1,'CA Standards and Followers'!$1:$1,0)),0))</f>
        <v>0</v>
      </c>
      <c r="L2">
        <f>IF(AND(INDEX('CA Standards and Followers'!$E$14:$E$73,MATCH($A2,'CA Standards and Followers'!$A$14:$A$73,0))=1,INDEX('CA Standards and Followers'!$H$14:$H$73,MATCH($A2,'CA Standards and Followers'!$A$14:$A$73,0))&lt;=L$1),INDEX('CA Standards and Followers'!$3:$3,MATCH(L$1,'CA Standards and Followers'!$1:$1,0)),IF(AND(INDEX('CA Standards and Followers'!$D$14:$D$73,MATCH($A2,'CA Standards and Followers'!$A$14:$A$73,0))=1,INDEX('CA Standards and Followers'!$G$14:$G$73,MATCH($A2,'CA Standards and Followers'!$A$14:$A$73,0))&lt;=L$1),INDEX('CA Standards and Followers'!$2:$2,MATCH(L$1,'CA Standards and Followers'!$1:$1,0)),0))</f>
        <v>0</v>
      </c>
      <c r="M2">
        <f>IF(AND(INDEX('CA Standards and Followers'!$E$14:$E$73,MATCH($A2,'CA Standards and Followers'!$A$14:$A$73,0))=1,INDEX('CA Standards and Followers'!$H$14:$H$73,MATCH($A2,'CA Standards and Followers'!$A$14:$A$73,0))&lt;=M$1),INDEX('CA Standards and Followers'!$3:$3,MATCH(M$1,'CA Standards and Followers'!$1:$1,0)),IF(AND(INDEX('CA Standards and Followers'!$D$14:$D$73,MATCH($A2,'CA Standards and Followers'!$A$14:$A$73,0))=1,INDEX('CA Standards and Followers'!$G$14:$G$73,MATCH($A2,'CA Standards and Followers'!$A$14:$A$73,0))&lt;=M$1),INDEX('CA Standards and Followers'!$2:$2,MATCH(M$1,'CA Standards and Followers'!$1:$1,0)),0))</f>
        <v>0</v>
      </c>
      <c r="N2">
        <f>IF(AND(INDEX('CA Standards and Followers'!$E$14:$E$73,MATCH($A2,'CA Standards and Followers'!$A$14:$A$73,0))=1,INDEX('CA Standards and Followers'!$H$14:$H$73,MATCH($A2,'CA Standards and Followers'!$A$14:$A$73,0))&lt;=N$1),INDEX('CA Standards and Followers'!$3:$3,MATCH(N$1,'CA Standards and Followers'!$1:$1,0)),IF(AND(INDEX('CA Standards and Followers'!$D$14:$D$73,MATCH($A2,'CA Standards and Followers'!$A$14:$A$73,0))=1,INDEX('CA Standards and Followers'!$G$14:$G$73,MATCH($A2,'CA Standards and Followers'!$A$14:$A$73,0))&lt;=N$1),INDEX('CA Standards and Followers'!$2:$2,MATCH(N$1,'CA Standards and Followers'!$1:$1,0)),0))</f>
        <v>0</v>
      </c>
      <c r="O2">
        <f>IF(AND(INDEX('CA Standards and Followers'!$E$14:$E$73,MATCH($A2,'CA Standards and Followers'!$A$14:$A$73,0))=1,INDEX('CA Standards and Followers'!$H$14:$H$73,MATCH($A2,'CA Standards and Followers'!$A$14:$A$73,0))&lt;=O$1),INDEX('CA Standards and Followers'!$3:$3,MATCH(O$1,'CA Standards and Followers'!$1:$1,0)),IF(AND(INDEX('CA Standards and Followers'!$D$14:$D$73,MATCH($A2,'CA Standards and Followers'!$A$14:$A$73,0))=1,INDEX('CA Standards and Followers'!$G$14:$G$73,MATCH($A2,'CA Standards and Followers'!$A$14:$A$73,0))&lt;=O$1),INDEX('CA Standards and Followers'!$2:$2,MATCH(O$1,'CA Standards and Followers'!$1:$1,0)),0))</f>
        <v>0</v>
      </c>
      <c r="P2">
        <f>IF(AND(INDEX('CA Standards and Followers'!$E$14:$E$73,MATCH($A2,'CA Standards and Followers'!$A$14:$A$73,0))=1,INDEX('CA Standards and Followers'!$H$14:$H$73,MATCH($A2,'CA Standards and Followers'!$A$14:$A$73,0))&lt;=P$1),INDEX('CA Standards and Followers'!$3:$3,MATCH(P$1,'CA Standards and Followers'!$1:$1,0)),IF(AND(INDEX('CA Standards and Followers'!$D$14:$D$73,MATCH($A2,'CA Standards and Followers'!$A$14:$A$73,0))=1,INDEX('CA Standards and Followers'!$G$14:$G$73,MATCH($A2,'CA Standards and Followers'!$A$14:$A$73,0))&lt;=P$1),INDEX('CA Standards and Followers'!$2:$2,MATCH(P$1,'CA Standards and Followers'!$1:$1,0)),0))</f>
        <v>0</v>
      </c>
      <c r="Q2">
        <f>IF(AND(INDEX('CA Standards and Followers'!$E$14:$E$73,MATCH($A2,'CA Standards and Followers'!$A$14:$A$73,0))=1,INDEX('CA Standards and Followers'!$H$14:$H$73,MATCH($A2,'CA Standards and Followers'!$A$14:$A$73,0))&lt;=Q$1),INDEX('CA Standards and Followers'!$3:$3,MATCH(Q$1,'CA Standards and Followers'!$1:$1,0)),IF(AND(INDEX('CA Standards and Followers'!$D$14:$D$73,MATCH($A2,'CA Standards and Followers'!$A$14:$A$73,0))=1,INDEX('CA Standards and Followers'!$G$14:$G$73,MATCH($A2,'CA Standards and Followers'!$A$14:$A$73,0))&lt;=Q$1),INDEX('CA Standards and Followers'!$2:$2,MATCH(Q$1,'CA Standards and Followers'!$1:$1,0)),0))</f>
        <v>0</v>
      </c>
      <c r="R2">
        <f>IF(AND(INDEX('CA Standards and Followers'!$E$14:$E$73,MATCH($A2,'CA Standards and Followers'!$A$14:$A$73,0))=1,INDEX('CA Standards and Followers'!$H$14:$H$73,MATCH($A2,'CA Standards and Followers'!$A$14:$A$73,0))&lt;=R$1),INDEX('CA Standards and Followers'!$3:$3,MATCH(R$1,'CA Standards and Followers'!$1:$1,0)),IF(AND(INDEX('CA Standards and Followers'!$D$14:$D$73,MATCH($A2,'CA Standards and Followers'!$A$14:$A$73,0))=1,INDEX('CA Standards and Followers'!$G$14:$G$73,MATCH($A2,'CA Standards and Followers'!$A$14:$A$73,0))&lt;=R$1),INDEX('CA Standards and Followers'!$2:$2,MATCH(R$1,'CA Standards and Followers'!$1:$1,0)),0))</f>
        <v>0</v>
      </c>
      <c r="S2">
        <f>IF(AND(INDEX('CA Standards and Followers'!$E$14:$E$73,MATCH($A2,'CA Standards and Followers'!$A$14:$A$73,0))=1,INDEX('CA Standards and Followers'!$H$14:$H$73,MATCH($A2,'CA Standards and Followers'!$A$14:$A$73,0))&lt;=S$1),INDEX('CA Standards and Followers'!$3:$3,MATCH(S$1,'CA Standards and Followers'!$1:$1,0)),IF(AND(INDEX('CA Standards and Followers'!$D$14:$D$73,MATCH($A2,'CA Standards and Followers'!$A$14:$A$73,0))=1,INDEX('CA Standards and Followers'!$G$14:$G$73,MATCH($A2,'CA Standards and Followers'!$A$14:$A$73,0))&lt;=S$1),INDEX('CA Standards and Followers'!$2:$2,MATCH(S$1,'CA Standards and Followers'!$1:$1,0)),0))</f>
        <v>0</v>
      </c>
      <c r="T2">
        <f>IF(AND(INDEX('CA Standards and Followers'!$E$14:$E$73,MATCH($A2,'CA Standards and Followers'!$A$14:$A$73,0))=1,INDEX('CA Standards and Followers'!$H$14:$H$73,MATCH($A2,'CA Standards and Followers'!$A$14:$A$73,0))&lt;=T$1),INDEX('CA Standards and Followers'!$3:$3,MATCH(T$1,'CA Standards and Followers'!$1:$1,0)),IF(AND(INDEX('CA Standards and Followers'!$D$14:$D$73,MATCH($A2,'CA Standards and Followers'!$A$14:$A$73,0))=1,INDEX('CA Standards and Followers'!$G$14:$G$73,MATCH($A2,'CA Standards and Followers'!$A$14:$A$73,0))&lt;=T$1),INDEX('CA Standards and Followers'!$2:$2,MATCH(T$1,'CA Standards and Followers'!$1:$1,0)),0))</f>
        <v>0</v>
      </c>
      <c r="U2">
        <f>IF(AND(INDEX('CA Standards and Followers'!$E$14:$E$73,MATCH($A2,'CA Standards and Followers'!$A$14:$A$73,0))=1,INDEX('CA Standards and Followers'!$H$14:$H$73,MATCH($A2,'CA Standards and Followers'!$A$14:$A$73,0))&lt;=U$1),INDEX('CA Standards and Followers'!$3:$3,MATCH(U$1,'CA Standards and Followers'!$1:$1,0)),IF(AND(INDEX('CA Standards and Followers'!$D$14:$D$73,MATCH($A2,'CA Standards and Followers'!$A$14:$A$73,0))=1,INDEX('CA Standards and Followers'!$G$14:$G$73,MATCH($A2,'CA Standards and Followers'!$A$14:$A$73,0))&lt;=U$1),INDEX('CA Standards and Followers'!$2:$2,MATCH(U$1,'CA Standards and Followers'!$1:$1,0)),0))</f>
        <v>0</v>
      </c>
      <c r="V2">
        <f>IF(AND(INDEX('CA Standards and Followers'!$E$14:$E$73,MATCH($A2,'CA Standards and Followers'!$A$14:$A$73,0))=1,INDEX('CA Standards and Followers'!$H$14:$H$73,MATCH($A2,'CA Standards and Followers'!$A$14:$A$73,0))&lt;=V$1),INDEX('CA Standards and Followers'!$3:$3,MATCH(V$1,'CA Standards and Followers'!$1:$1,0)),IF(AND(INDEX('CA Standards and Followers'!$D$14:$D$73,MATCH($A2,'CA Standards and Followers'!$A$14:$A$73,0))=1,INDEX('CA Standards and Followers'!$G$14:$G$73,MATCH($A2,'CA Standards and Followers'!$A$14:$A$73,0))&lt;=V$1),INDEX('CA Standards and Followers'!$2:$2,MATCH(V$1,'CA Standards and Followers'!$1:$1,0)),0))</f>
        <v>0</v>
      </c>
      <c r="W2">
        <f>IF(AND(INDEX('CA Standards and Followers'!$E$14:$E$73,MATCH($A2,'CA Standards and Followers'!$A$14:$A$73,0))=1,INDEX('CA Standards and Followers'!$H$14:$H$73,MATCH($A2,'CA Standards and Followers'!$A$14:$A$73,0))&lt;=W$1),INDEX('CA Standards and Followers'!$3:$3,MATCH(W$1,'CA Standards and Followers'!$1:$1,0)),IF(AND(INDEX('CA Standards and Followers'!$D$14:$D$73,MATCH($A2,'CA Standards and Followers'!$A$14:$A$73,0))=1,INDEX('CA Standards and Followers'!$G$14:$G$73,MATCH($A2,'CA Standards and Followers'!$A$14:$A$73,0))&lt;=W$1),INDEX('CA Standards and Followers'!$2:$2,MATCH(W$1,'CA Standards and Followers'!$1:$1,0)),0))</f>
        <v>0</v>
      </c>
      <c r="X2">
        <f>IF(AND(INDEX('CA Standards and Followers'!$E$14:$E$73,MATCH($A2,'CA Standards and Followers'!$A$14:$A$73,0))=1,INDEX('CA Standards and Followers'!$H$14:$H$73,MATCH($A2,'CA Standards and Followers'!$A$14:$A$73,0))&lt;=X$1),INDEX('CA Standards and Followers'!$3:$3,MATCH(X$1,'CA Standards and Followers'!$1:$1,0)),IF(AND(INDEX('CA Standards and Followers'!$D$14:$D$73,MATCH($A2,'CA Standards and Followers'!$A$14:$A$73,0))=1,INDEX('CA Standards and Followers'!$G$14:$G$73,MATCH($A2,'CA Standards and Followers'!$A$14:$A$73,0))&lt;=X$1),INDEX('CA Standards and Followers'!$2:$2,MATCH(X$1,'CA Standards and Followers'!$1:$1,0)),0))</f>
        <v>0</v>
      </c>
      <c r="Y2">
        <f>IF(AND(INDEX('CA Standards and Followers'!$E$14:$E$73,MATCH($A2,'CA Standards and Followers'!$A$14:$A$73,0))=1,INDEX('CA Standards and Followers'!$H$14:$H$73,MATCH($A2,'CA Standards and Followers'!$A$14:$A$73,0))&lt;=Y$1),INDEX('CA Standards and Followers'!$3:$3,MATCH(Y$1,'CA Standards and Followers'!$1:$1,0)),IF(AND(INDEX('CA Standards and Followers'!$D$14:$D$73,MATCH($A2,'CA Standards and Followers'!$A$14:$A$73,0))=1,INDEX('CA Standards and Followers'!$G$14:$G$73,MATCH($A2,'CA Standards and Followers'!$A$14:$A$73,0))&lt;=Y$1),INDEX('CA Standards and Followers'!$2:$2,MATCH(Y$1,'CA Standards and Followers'!$1:$1,0)),0))</f>
        <v>0</v>
      </c>
      <c r="Z2">
        <f>IF(AND(INDEX('CA Standards and Followers'!$E$14:$E$73,MATCH($A2,'CA Standards and Followers'!$A$14:$A$73,0))=1,INDEX('CA Standards and Followers'!$H$14:$H$73,MATCH($A2,'CA Standards and Followers'!$A$14:$A$73,0))&lt;=Z$1),INDEX('CA Standards and Followers'!$3:$3,MATCH(Z$1,'CA Standards and Followers'!$1:$1,0)),IF(AND(INDEX('CA Standards and Followers'!$D$14:$D$73,MATCH($A2,'CA Standards and Followers'!$A$14:$A$73,0))=1,INDEX('CA Standards and Followers'!$G$14:$G$73,MATCH($A2,'CA Standards and Followers'!$A$14:$A$73,0))&lt;=Z$1),INDEX('CA Standards and Followers'!$2:$2,MATCH(Z$1,'CA Standards and Followers'!$1:$1,0)),0))</f>
        <v>0</v>
      </c>
      <c r="AA2">
        <f>IF(AND(INDEX('CA Standards and Followers'!$E$14:$E$73,MATCH($A2,'CA Standards and Followers'!$A$14:$A$73,0))=1,INDEX('CA Standards and Followers'!$H$14:$H$73,MATCH($A2,'CA Standards and Followers'!$A$14:$A$73,0))&lt;=AA$1),INDEX('CA Standards and Followers'!$3:$3,MATCH(AA$1,'CA Standards and Followers'!$1:$1,0)),IF(AND(INDEX('CA Standards and Followers'!$D$14:$D$73,MATCH($A2,'CA Standards and Followers'!$A$14:$A$73,0))=1,INDEX('CA Standards and Followers'!$G$14:$G$73,MATCH($A2,'CA Standards and Followers'!$A$14:$A$73,0))&lt;=AA$1),INDEX('CA Standards and Followers'!$2:$2,MATCH(AA$1,'CA Standards and Followers'!$1:$1,0)),0))</f>
        <v>0</v>
      </c>
      <c r="AB2">
        <f>IF(AND(INDEX('CA Standards and Followers'!$E$14:$E$73,MATCH($A2,'CA Standards and Followers'!$A$14:$A$73,0))=1,INDEX('CA Standards and Followers'!$H$14:$H$73,MATCH($A2,'CA Standards and Followers'!$A$14:$A$73,0))&lt;=AB$1),INDEX('CA Standards and Followers'!$3:$3,MATCH(AB$1,'CA Standards and Followers'!$1:$1,0)),IF(AND(INDEX('CA Standards and Followers'!$D$14:$D$73,MATCH($A2,'CA Standards and Followers'!$A$14:$A$73,0))=1,INDEX('CA Standards and Followers'!$G$14:$G$73,MATCH($A2,'CA Standards and Followers'!$A$14:$A$73,0))&lt;=AB$1),INDEX('CA Standards and Followers'!$2:$2,MATCH(AB$1,'CA Standards and Followers'!$1:$1,0)),0))</f>
        <v>0</v>
      </c>
      <c r="AC2">
        <f>IF(AND(INDEX('CA Standards and Followers'!$E$14:$E$73,MATCH($A2,'CA Standards and Followers'!$A$14:$A$73,0))=1,INDEX('CA Standards and Followers'!$H$14:$H$73,MATCH($A2,'CA Standards and Followers'!$A$14:$A$73,0))&lt;=AC$1),INDEX('CA Standards and Followers'!$3:$3,MATCH(AC$1,'CA Standards and Followers'!$1:$1,0)),IF(AND(INDEX('CA Standards and Followers'!$D$14:$D$73,MATCH($A2,'CA Standards and Followers'!$A$14:$A$73,0))=1,INDEX('CA Standards and Followers'!$G$14:$G$73,MATCH($A2,'CA Standards and Followers'!$A$14:$A$73,0))&lt;=AC$1),INDEX('CA Standards and Followers'!$2:$2,MATCH(AC$1,'CA Standards and Followers'!$1:$1,0)),0))</f>
        <v>0</v>
      </c>
      <c r="AD2">
        <f>IF(AND(INDEX('CA Standards and Followers'!$E$14:$E$73,MATCH($A2,'CA Standards and Followers'!$A$14:$A$73,0))=1,INDEX('CA Standards and Followers'!$H$14:$H$73,MATCH($A2,'CA Standards and Followers'!$A$14:$A$73,0))&lt;=AD$1),INDEX('CA Standards and Followers'!$3:$3,MATCH(AD$1,'CA Standards and Followers'!$1:$1,0)),IF(AND(INDEX('CA Standards and Followers'!$D$14:$D$73,MATCH($A2,'CA Standards and Followers'!$A$14:$A$73,0))=1,INDEX('CA Standards and Followers'!$G$14:$G$73,MATCH($A2,'CA Standards and Followers'!$A$14:$A$73,0))&lt;=AD$1),INDEX('CA Standards and Followers'!$2:$2,MATCH(AD$1,'CA Standards and Followers'!$1:$1,0)),0))</f>
        <v>0</v>
      </c>
      <c r="AE2">
        <f>IF(AND(INDEX('CA Standards and Followers'!$E$14:$E$73,MATCH($A2,'CA Standards and Followers'!$A$14:$A$73,0))=1,INDEX('CA Standards and Followers'!$H$14:$H$73,MATCH($A2,'CA Standards and Followers'!$A$14:$A$73,0))&lt;=AE$1),INDEX('CA Standards and Followers'!$3:$3,MATCH(AE$1,'CA Standards and Followers'!$1:$1,0)),IF(AND(INDEX('CA Standards and Followers'!$D$14:$D$73,MATCH($A2,'CA Standards and Followers'!$A$14:$A$73,0))=1,INDEX('CA Standards and Followers'!$G$14:$G$73,MATCH($A2,'CA Standards and Followers'!$A$14:$A$73,0))&lt;=AE$1),INDEX('CA Standards and Followers'!$2:$2,MATCH(AE$1,'CA Standards and Followers'!$1:$1,0)),0))</f>
        <v>0</v>
      </c>
      <c r="AF2">
        <f>IF(AND(INDEX('CA Standards and Followers'!$E$14:$E$73,MATCH($A2,'CA Standards and Followers'!$A$14:$A$73,0))=1,INDEX('CA Standards and Followers'!$H$14:$H$73,MATCH($A2,'CA Standards and Followers'!$A$14:$A$73,0))&lt;=AF$1),INDEX('CA Standards and Followers'!$3:$3,MATCH(AF$1,'CA Standards and Followers'!$1:$1,0)),IF(AND(INDEX('CA Standards and Followers'!$D$14:$D$73,MATCH($A2,'CA Standards and Followers'!$A$14:$A$73,0))=1,INDEX('CA Standards and Followers'!$G$14:$G$73,MATCH($A2,'CA Standards and Followers'!$A$14:$A$73,0))&lt;=AF$1),INDEX('CA Standards and Followers'!$2:$2,MATCH(AF$1,'CA Standards and Followers'!$1:$1,0)),0))</f>
        <v>0</v>
      </c>
    </row>
    <row r="3" spans="1:32" x14ac:dyDescent="0.25">
      <c r="A3" t="s">
        <v>3</v>
      </c>
      <c r="B3">
        <f>IF(AND(INDEX('CA Standards and Followers'!$E$14:$E$73,MATCH($A3,'CA Standards and Followers'!$A$14:$A$73,0))=1,INDEX('CA Standards and Followers'!$H$14:$H$73,MATCH($A3,'CA Standards and Followers'!$A$14:$A$73,0))&lt;=B$1),INDEX('CA Standards and Followers'!$3:$3,MATCH(B$1,'CA Standards and Followers'!$1:$1,0)),IF(AND(INDEX('CA Standards and Followers'!$D$14:$D$73,MATCH($A3,'CA Standards and Followers'!$A$14:$A$73,0))=1,INDEX('CA Standards and Followers'!$G$14:$G$73,MATCH($A3,'CA Standards and Followers'!$A$14:$A$73,0))&lt;=B$1),INDEX('CA Standards and Followers'!$2:$2,MATCH(B$1,'CA Standards and Followers'!$1:$1,0)),0))</f>
        <v>0</v>
      </c>
      <c r="C3">
        <f>IF(AND(INDEX('CA Standards and Followers'!$E$14:$E$73,MATCH($A3,'CA Standards and Followers'!$A$14:$A$73,0))=1,INDEX('CA Standards and Followers'!$H$14:$H$73,MATCH($A3,'CA Standards and Followers'!$A$14:$A$73,0))&lt;=C$1),INDEX('CA Standards and Followers'!$3:$3,MATCH(C$1,'CA Standards and Followers'!$1:$1,0)),IF(AND(INDEX('CA Standards and Followers'!$D$14:$D$73,MATCH($A3,'CA Standards and Followers'!$A$14:$A$73,0))=1,INDEX('CA Standards and Followers'!$G$14:$G$73,MATCH($A3,'CA Standards and Followers'!$A$14:$A$73,0))&lt;=C$1),INDEX('CA Standards and Followers'!$2:$2,MATCH(C$1,'CA Standards and Followers'!$1:$1,0)),0))</f>
        <v>0</v>
      </c>
      <c r="D3">
        <f>IF(AND(INDEX('CA Standards and Followers'!$E$14:$E$73,MATCH($A3,'CA Standards and Followers'!$A$14:$A$73,0))=1,INDEX('CA Standards and Followers'!$H$14:$H$73,MATCH($A3,'CA Standards and Followers'!$A$14:$A$73,0))&lt;=D$1),INDEX('CA Standards and Followers'!$3:$3,MATCH(D$1,'CA Standards and Followers'!$1:$1,0)),IF(AND(INDEX('CA Standards and Followers'!$D$14:$D$73,MATCH($A3,'CA Standards and Followers'!$A$14:$A$73,0))=1,INDEX('CA Standards and Followers'!$G$14:$G$73,MATCH($A3,'CA Standards and Followers'!$A$14:$A$73,0))&lt;=D$1),INDEX('CA Standards and Followers'!$2:$2,MATCH(D$1,'CA Standards and Followers'!$1:$1,0)),0))</f>
        <v>0</v>
      </c>
      <c r="E3">
        <f>IF(AND(INDEX('CA Standards and Followers'!$E$14:$E$73,MATCH($A3,'CA Standards and Followers'!$A$14:$A$73,0))=1,INDEX('CA Standards and Followers'!$H$14:$H$73,MATCH($A3,'CA Standards and Followers'!$A$14:$A$73,0))&lt;=E$1),INDEX('CA Standards and Followers'!$3:$3,MATCH(E$1,'CA Standards and Followers'!$1:$1,0)),IF(AND(INDEX('CA Standards and Followers'!$D$14:$D$73,MATCH($A3,'CA Standards and Followers'!$A$14:$A$73,0))=1,INDEX('CA Standards and Followers'!$G$14:$G$73,MATCH($A3,'CA Standards and Followers'!$A$14:$A$73,0))&lt;=E$1),INDEX('CA Standards and Followers'!$2:$2,MATCH(E$1,'CA Standards and Followers'!$1:$1,0)),0))</f>
        <v>0</v>
      </c>
      <c r="F3">
        <f>IF(AND(INDEX('CA Standards and Followers'!$E$14:$E$73,MATCH($A3,'CA Standards and Followers'!$A$14:$A$73,0))=1,INDEX('CA Standards and Followers'!$H$14:$H$73,MATCH($A3,'CA Standards and Followers'!$A$14:$A$73,0))&lt;=F$1),INDEX('CA Standards and Followers'!$3:$3,MATCH(F$1,'CA Standards and Followers'!$1:$1,0)),IF(AND(INDEX('CA Standards and Followers'!$D$14:$D$73,MATCH($A3,'CA Standards and Followers'!$A$14:$A$73,0))=1,INDEX('CA Standards and Followers'!$G$14:$G$73,MATCH($A3,'CA Standards and Followers'!$A$14:$A$73,0))&lt;=F$1),INDEX('CA Standards and Followers'!$2:$2,MATCH(F$1,'CA Standards and Followers'!$1:$1,0)),0))</f>
        <v>0</v>
      </c>
      <c r="G3">
        <f>IF(AND(INDEX('CA Standards and Followers'!$E$14:$E$73,MATCH($A3,'CA Standards and Followers'!$A$14:$A$73,0))=1,INDEX('CA Standards and Followers'!$H$14:$H$73,MATCH($A3,'CA Standards and Followers'!$A$14:$A$73,0))&lt;=G$1),INDEX('CA Standards and Followers'!$3:$3,MATCH(G$1,'CA Standards and Followers'!$1:$1,0)),IF(AND(INDEX('CA Standards and Followers'!$D$14:$D$73,MATCH($A3,'CA Standards and Followers'!$A$14:$A$73,0))=1,INDEX('CA Standards and Followers'!$G$14:$G$73,MATCH($A3,'CA Standards and Followers'!$A$14:$A$73,0))&lt;=G$1),INDEX('CA Standards and Followers'!$2:$2,MATCH(G$1,'CA Standards and Followers'!$1:$1,0)),0))</f>
        <v>0</v>
      </c>
      <c r="H3">
        <f>IF(AND(INDEX('CA Standards and Followers'!$E$14:$E$73,MATCH($A3,'CA Standards and Followers'!$A$14:$A$73,0))=1,INDEX('CA Standards and Followers'!$H$14:$H$73,MATCH($A3,'CA Standards and Followers'!$A$14:$A$73,0))&lt;=H$1),INDEX('CA Standards and Followers'!$3:$3,MATCH(H$1,'CA Standards and Followers'!$1:$1,0)),IF(AND(INDEX('CA Standards and Followers'!$D$14:$D$73,MATCH($A3,'CA Standards and Followers'!$A$14:$A$73,0))=1,INDEX('CA Standards and Followers'!$G$14:$G$73,MATCH($A3,'CA Standards and Followers'!$A$14:$A$73,0))&lt;=H$1),INDEX('CA Standards and Followers'!$2:$2,MATCH(H$1,'CA Standards and Followers'!$1:$1,0)),0))</f>
        <v>0</v>
      </c>
      <c r="I3">
        <f>IF(AND(INDEX('CA Standards and Followers'!$E$14:$E$73,MATCH($A3,'CA Standards and Followers'!$A$14:$A$73,0))=1,INDEX('CA Standards and Followers'!$H$14:$H$73,MATCH($A3,'CA Standards and Followers'!$A$14:$A$73,0))&lt;=I$1),INDEX('CA Standards and Followers'!$3:$3,MATCH(I$1,'CA Standards and Followers'!$1:$1,0)),IF(AND(INDEX('CA Standards and Followers'!$D$14:$D$73,MATCH($A3,'CA Standards and Followers'!$A$14:$A$73,0))=1,INDEX('CA Standards and Followers'!$G$14:$G$73,MATCH($A3,'CA Standards and Followers'!$A$14:$A$73,0))&lt;=I$1),INDEX('CA Standards and Followers'!$2:$2,MATCH(I$1,'CA Standards and Followers'!$1:$1,0)),0))</f>
        <v>0</v>
      </c>
      <c r="J3">
        <f>IF(AND(INDEX('CA Standards and Followers'!$E$14:$E$73,MATCH($A3,'CA Standards and Followers'!$A$14:$A$73,0))=1,INDEX('CA Standards and Followers'!$H$14:$H$73,MATCH($A3,'CA Standards and Followers'!$A$14:$A$73,0))&lt;=J$1),INDEX('CA Standards and Followers'!$3:$3,MATCH(J$1,'CA Standards and Followers'!$1:$1,0)),IF(AND(INDEX('CA Standards and Followers'!$D$14:$D$73,MATCH($A3,'CA Standards and Followers'!$A$14:$A$73,0))=1,INDEX('CA Standards and Followers'!$G$14:$G$73,MATCH($A3,'CA Standards and Followers'!$A$14:$A$73,0))&lt;=J$1),INDEX('CA Standards and Followers'!$2:$2,MATCH(J$1,'CA Standards and Followers'!$1:$1,0)),0))</f>
        <v>0</v>
      </c>
      <c r="K3">
        <f>IF(AND(INDEX('CA Standards and Followers'!$E$14:$E$73,MATCH($A3,'CA Standards and Followers'!$A$14:$A$73,0))=1,INDEX('CA Standards and Followers'!$H$14:$H$73,MATCH($A3,'CA Standards and Followers'!$A$14:$A$73,0))&lt;=K$1),INDEX('CA Standards and Followers'!$3:$3,MATCH(K$1,'CA Standards and Followers'!$1:$1,0)),IF(AND(INDEX('CA Standards and Followers'!$D$14:$D$73,MATCH($A3,'CA Standards and Followers'!$A$14:$A$73,0))=1,INDEX('CA Standards and Followers'!$G$14:$G$73,MATCH($A3,'CA Standards and Followers'!$A$14:$A$73,0))&lt;=K$1),INDEX('CA Standards and Followers'!$2:$2,MATCH(K$1,'CA Standards and Followers'!$1:$1,0)),0))</f>
        <v>0</v>
      </c>
      <c r="L3">
        <f>IF(AND(INDEX('CA Standards and Followers'!$E$14:$E$73,MATCH($A3,'CA Standards and Followers'!$A$14:$A$73,0))=1,INDEX('CA Standards and Followers'!$H$14:$H$73,MATCH($A3,'CA Standards and Followers'!$A$14:$A$73,0))&lt;=L$1),INDEX('CA Standards and Followers'!$3:$3,MATCH(L$1,'CA Standards and Followers'!$1:$1,0)),IF(AND(INDEX('CA Standards and Followers'!$D$14:$D$73,MATCH($A3,'CA Standards and Followers'!$A$14:$A$73,0))=1,INDEX('CA Standards and Followers'!$G$14:$G$73,MATCH($A3,'CA Standards and Followers'!$A$14:$A$73,0))&lt;=L$1),INDEX('CA Standards and Followers'!$2:$2,MATCH(L$1,'CA Standards and Followers'!$1:$1,0)),0))</f>
        <v>0</v>
      </c>
      <c r="M3">
        <f>IF(AND(INDEX('CA Standards and Followers'!$E$14:$E$73,MATCH($A3,'CA Standards and Followers'!$A$14:$A$73,0))=1,INDEX('CA Standards and Followers'!$H$14:$H$73,MATCH($A3,'CA Standards and Followers'!$A$14:$A$73,0))&lt;=M$1),INDEX('CA Standards and Followers'!$3:$3,MATCH(M$1,'CA Standards and Followers'!$1:$1,0)),IF(AND(INDEX('CA Standards and Followers'!$D$14:$D$73,MATCH($A3,'CA Standards and Followers'!$A$14:$A$73,0))=1,INDEX('CA Standards and Followers'!$G$14:$G$73,MATCH($A3,'CA Standards and Followers'!$A$14:$A$73,0))&lt;=M$1),INDEX('CA Standards and Followers'!$2:$2,MATCH(M$1,'CA Standards and Followers'!$1:$1,0)),0))</f>
        <v>0</v>
      </c>
      <c r="N3">
        <f>IF(AND(INDEX('CA Standards and Followers'!$E$14:$E$73,MATCH($A3,'CA Standards and Followers'!$A$14:$A$73,0))=1,INDEX('CA Standards and Followers'!$H$14:$H$73,MATCH($A3,'CA Standards and Followers'!$A$14:$A$73,0))&lt;=N$1),INDEX('CA Standards and Followers'!$3:$3,MATCH(N$1,'CA Standards and Followers'!$1:$1,0)),IF(AND(INDEX('CA Standards and Followers'!$D$14:$D$73,MATCH($A3,'CA Standards and Followers'!$A$14:$A$73,0))=1,INDEX('CA Standards and Followers'!$G$14:$G$73,MATCH($A3,'CA Standards and Followers'!$A$14:$A$73,0))&lt;=N$1),INDEX('CA Standards and Followers'!$2:$2,MATCH(N$1,'CA Standards and Followers'!$1:$1,0)),0))</f>
        <v>0</v>
      </c>
      <c r="O3">
        <f>IF(AND(INDEX('CA Standards and Followers'!$E$14:$E$73,MATCH($A3,'CA Standards and Followers'!$A$14:$A$73,0))=1,INDEX('CA Standards and Followers'!$H$14:$H$73,MATCH($A3,'CA Standards and Followers'!$A$14:$A$73,0))&lt;=O$1),INDEX('CA Standards and Followers'!$3:$3,MATCH(O$1,'CA Standards and Followers'!$1:$1,0)),IF(AND(INDEX('CA Standards and Followers'!$D$14:$D$73,MATCH($A3,'CA Standards and Followers'!$A$14:$A$73,0))=1,INDEX('CA Standards and Followers'!$G$14:$G$73,MATCH($A3,'CA Standards and Followers'!$A$14:$A$73,0))&lt;=O$1),INDEX('CA Standards and Followers'!$2:$2,MATCH(O$1,'CA Standards and Followers'!$1:$1,0)),0))</f>
        <v>0</v>
      </c>
      <c r="P3">
        <f>IF(AND(INDEX('CA Standards and Followers'!$E$14:$E$73,MATCH($A3,'CA Standards and Followers'!$A$14:$A$73,0))=1,INDEX('CA Standards and Followers'!$H$14:$H$73,MATCH($A3,'CA Standards and Followers'!$A$14:$A$73,0))&lt;=P$1),INDEX('CA Standards and Followers'!$3:$3,MATCH(P$1,'CA Standards and Followers'!$1:$1,0)),IF(AND(INDEX('CA Standards and Followers'!$D$14:$D$73,MATCH($A3,'CA Standards and Followers'!$A$14:$A$73,0))=1,INDEX('CA Standards and Followers'!$G$14:$G$73,MATCH($A3,'CA Standards and Followers'!$A$14:$A$73,0))&lt;=P$1),INDEX('CA Standards and Followers'!$2:$2,MATCH(P$1,'CA Standards and Followers'!$1:$1,0)),0))</f>
        <v>0</v>
      </c>
      <c r="Q3">
        <f>IF(AND(INDEX('CA Standards and Followers'!$E$14:$E$73,MATCH($A3,'CA Standards and Followers'!$A$14:$A$73,0))=1,INDEX('CA Standards and Followers'!$H$14:$H$73,MATCH($A3,'CA Standards and Followers'!$A$14:$A$73,0))&lt;=Q$1),INDEX('CA Standards and Followers'!$3:$3,MATCH(Q$1,'CA Standards and Followers'!$1:$1,0)),IF(AND(INDEX('CA Standards and Followers'!$D$14:$D$73,MATCH($A3,'CA Standards and Followers'!$A$14:$A$73,0))=1,INDEX('CA Standards and Followers'!$G$14:$G$73,MATCH($A3,'CA Standards and Followers'!$A$14:$A$73,0))&lt;=Q$1),INDEX('CA Standards and Followers'!$2:$2,MATCH(Q$1,'CA Standards and Followers'!$1:$1,0)),0))</f>
        <v>0</v>
      </c>
      <c r="R3">
        <f>IF(AND(INDEX('CA Standards and Followers'!$E$14:$E$73,MATCH($A3,'CA Standards and Followers'!$A$14:$A$73,0))=1,INDEX('CA Standards and Followers'!$H$14:$H$73,MATCH($A3,'CA Standards and Followers'!$A$14:$A$73,0))&lt;=R$1),INDEX('CA Standards and Followers'!$3:$3,MATCH(R$1,'CA Standards and Followers'!$1:$1,0)),IF(AND(INDEX('CA Standards and Followers'!$D$14:$D$73,MATCH($A3,'CA Standards and Followers'!$A$14:$A$73,0))=1,INDEX('CA Standards and Followers'!$G$14:$G$73,MATCH($A3,'CA Standards and Followers'!$A$14:$A$73,0))&lt;=R$1),INDEX('CA Standards and Followers'!$2:$2,MATCH(R$1,'CA Standards and Followers'!$1:$1,0)),0))</f>
        <v>0</v>
      </c>
      <c r="S3">
        <f>IF(AND(INDEX('CA Standards and Followers'!$E$14:$E$73,MATCH($A3,'CA Standards and Followers'!$A$14:$A$73,0))=1,INDEX('CA Standards and Followers'!$H$14:$H$73,MATCH($A3,'CA Standards and Followers'!$A$14:$A$73,0))&lt;=S$1),INDEX('CA Standards and Followers'!$3:$3,MATCH(S$1,'CA Standards and Followers'!$1:$1,0)),IF(AND(INDEX('CA Standards and Followers'!$D$14:$D$73,MATCH($A3,'CA Standards and Followers'!$A$14:$A$73,0))=1,INDEX('CA Standards and Followers'!$G$14:$G$73,MATCH($A3,'CA Standards and Followers'!$A$14:$A$73,0))&lt;=S$1),INDEX('CA Standards and Followers'!$2:$2,MATCH(S$1,'CA Standards and Followers'!$1:$1,0)),0))</f>
        <v>0</v>
      </c>
      <c r="T3">
        <f>IF(AND(INDEX('CA Standards and Followers'!$E$14:$E$73,MATCH($A3,'CA Standards and Followers'!$A$14:$A$73,0))=1,INDEX('CA Standards and Followers'!$H$14:$H$73,MATCH($A3,'CA Standards and Followers'!$A$14:$A$73,0))&lt;=T$1),INDEX('CA Standards and Followers'!$3:$3,MATCH(T$1,'CA Standards and Followers'!$1:$1,0)),IF(AND(INDEX('CA Standards and Followers'!$D$14:$D$73,MATCH($A3,'CA Standards and Followers'!$A$14:$A$73,0))=1,INDEX('CA Standards and Followers'!$G$14:$G$73,MATCH($A3,'CA Standards and Followers'!$A$14:$A$73,0))&lt;=T$1),INDEX('CA Standards and Followers'!$2:$2,MATCH(T$1,'CA Standards and Followers'!$1:$1,0)),0))</f>
        <v>0</v>
      </c>
      <c r="U3">
        <f>IF(AND(INDEX('CA Standards and Followers'!$E$14:$E$73,MATCH($A3,'CA Standards and Followers'!$A$14:$A$73,0))=1,INDEX('CA Standards and Followers'!$H$14:$H$73,MATCH($A3,'CA Standards and Followers'!$A$14:$A$73,0))&lt;=U$1),INDEX('CA Standards and Followers'!$3:$3,MATCH(U$1,'CA Standards and Followers'!$1:$1,0)),IF(AND(INDEX('CA Standards and Followers'!$D$14:$D$73,MATCH($A3,'CA Standards and Followers'!$A$14:$A$73,0))=1,INDEX('CA Standards and Followers'!$G$14:$G$73,MATCH($A3,'CA Standards and Followers'!$A$14:$A$73,0))&lt;=U$1),INDEX('CA Standards and Followers'!$2:$2,MATCH(U$1,'CA Standards and Followers'!$1:$1,0)),0))</f>
        <v>0</v>
      </c>
      <c r="V3">
        <f>IF(AND(INDEX('CA Standards and Followers'!$E$14:$E$73,MATCH($A3,'CA Standards and Followers'!$A$14:$A$73,0))=1,INDEX('CA Standards and Followers'!$H$14:$H$73,MATCH($A3,'CA Standards and Followers'!$A$14:$A$73,0))&lt;=V$1),INDEX('CA Standards and Followers'!$3:$3,MATCH(V$1,'CA Standards and Followers'!$1:$1,0)),IF(AND(INDEX('CA Standards and Followers'!$D$14:$D$73,MATCH($A3,'CA Standards and Followers'!$A$14:$A$73,0))=1,INDEX('CA Standards and Followers'!$G$14:$G$73,MATCH($A3,'CA Standards and Followers'!$A$14:$A$73,0))&lt;=V$1),INDEX('CA Standards and Followers'!$2:$2,MATCH(V$1,'CA Standards and Followers'!$1:$1,0)),0))</f>
        <v>0</v>
      </c>
      <c r="W3">
        <f>IF(AND(INDEX('CA Standards and Followers'!$E$14:$E$73,MATCH($A3,'CA Standards and Followers'!$A$14:$A$73,0))=1,INDEX('CA Standards and Followers'!$H$14:$H$73,MATCH($A3,'CA Standards and Followers'!$A$14:$A$73,0))&lt;=W$1),INDEX('CA Standards and Followers'!$3:$3,MATCH(W$1,'CA Standards and Followers'!$1:$1,0)),IF(AND(INDEX('CA Standards and Followers'!$D$14:$D$73,MATCH($A3,'CA Standards and Followers'!$A$14:$A$73,0))=1,INDEX('CA Standards and Followers'!$G$14:$G$73,MATCH($A3,'CA Standards and Followers'!$A$14:$A$73,0))&lt;=W$1),INDEX('CA Standards and Followers'!$2:$2,MATCH(W$1,'CA Standards and Followers'!$1:$1,0)),0))</f>
        <v>0</v>
      </c>
      <c r="X3">
        <f>IF(AND(INDEX('CA Standards and Followers'!$E$14:$E$73,MATCH($A3,'CA Standards and Followers'!$A$14:$A$73,0))=1,INDEX('CA Standards and Followers'!$H$14:$H$73,MATCH($A3,'CA Standards and Followers'!$A$14:$A$73,0))&lt;=X$1),INDEX('CA Standards and Followers'!$3:$3,MATCH(X$1,'CA Standards and Followers'!$1:$1,0)),IF(AND(INDEX('CA Standards and Followers'!$D$14:$D$73,MATCH($A3,'CA Standards and Followers'!$A$14:$A$73,0))=1,INDEX('CA Standards and Followers'!$G$14:$G$73,MATCH($A3,'CA Standards and Followers'!$A$14:$A$73,0))&lt;=X$1),INDEX('CA Standards and Followers'!$2:$2,MATCH(X$1,'CA Standards and Followers'!$1:$1,0)),0))</f>
        <v>0</v>
      </c>
      <c r="Y3">
        <f>IF(AND(INDEX('CA Standards and Followers'!$E$14:$E$73,MATCH($A3,'CA Standards and Followers'!$A$14:$A$73,0))=1,INDEX('CA Standards and Followers'!$H$14:$H$73,MATCH($A3,'CA Standards and Followers'!$A$14:$A$73,0))&lt;=Y$1),INDEX('CA Standards and Followers'!$3:$3,MATCH(Y$1,'CA Standards and Followers'!$1:$1,0)),IF(AND(INDEX('CA Standards and Followers'!$D$14:$D$73,MATCH($A3,'CA Standards and Followers'!$A$14:$A$73,0))=1,INDEX('CA Standards and Followers'!$G$14:$G$73,MATCH($A3,'CA Standards and Followers'!$A$14:$A$73,0))&lt;=Y$1),INDEX('CA Standards and Followers'!$2:$2,MATCH(Y$1,'CA Standards and Followers'!$1:$1,0)),0))</f>
        <v>0</v>
      </c>
      <c r="Z3">
        <f>IF(AND(INDEX('CA Standards and Followers'!$E$14:$E$73,MATCH($A3,'CA Standards and Followers'!$A$14:$A$73,0))=1,INDEX('CA Standards and Followers'!$H$14:$H$73,MATCH($A3,'CA Standards and Followers'!$A$14:$A$73,0))&lt;=Z$1),INDEX('CA Standards and Followers'!$3:$3,MATCH(Z$1,'CA Standards and Followers'!$1:$1,0)),IF(AND(INDEX('CA Standards and Followers'!$D$14:$D$73,MATCH($A3,'CA Standards and Followers'!$A$14:$A$73,0))=1,INDEX('CA Standards and Followers'!$G$14:$G$73,MATCH($A3,'CA Standards and Followers'!$A$14:$A$73,0))&lt;=Z$1),INDEX('CA Standards and Followers'!$2:$2,MATCH(Z$1,'CA Standards and Followers'!$1:$1,0)),0))</f>
        <v>0</v>
      </c>
      <c r="AA3">
        <f>IF(AND(INDEX('CA Standards and Followers'!$E$14:$E$73,MATCH($A3,'CA Standards and Followers'!$A$14:$A$73,0))=1,INDEX('CA Standards and Followers'!$H$14:$H$73,MATCH($A3,'CA Standards and Followers'!$A$14:$A$73,0))&lt;=AA$1),INDEX('CA Standards and Followers'!$3:$3,MATCH(AA$1,'CA Standards and Followers'!$1:$1,0)),IF(AND(INDEX('CA Standards and Followers'!$D$14:$D$73,MATCH($A3,'CA Standards and Followers'!$A$14:$A$73,0))=1,INDEX('CA Standards and Followers'!$G$14:$G$73,MATCH($A3,'CA Standards and Followers'!$A$14:$A$73,0))&lt;=AA$1),INDEX('CA Standards and Followers'!$2:$2,MATCH(AA$1,'CA Standards and Followers'!$1:$1,0)),0))</f>
        <v>0</v>
      </c>
      <c r="AB3">
        <f>IF(AND(INDEX('CA Standards and Followers'!$E$14:$E$73,MATCH($A3,'CA Standards and Followers'!$A$14:$A$73,0))=1,INDEX('CA Standards and Followers'!$H$14:$H$73,MATCH($A3,'CA Standards and Followers'!$A$14:$A$73,0))&lt;=AB$1),INDEX('CA Standards and Followers'!$3:$3,MATCH(AB$1,'CA Standards and Followers'!$1:$1,0)),IF(AND(INDEX('CA Standards and Followers'!$D$14:$D$73,MATCH($A3,'CA Standards and Followers'!$A$14:$A$73,0))=1,INDEX('CA Standards and Followers'!$G$14:$G$73,MATCH($A3,'CA Standards and Followers'!$A$14:$A$73,0))&lt;=AB$1),INDEX('CA Standards and Followers'!$2:$2,MATCH(AB$1,'CA Standards and Followers'!$1:$1,0)),0))</f>
        <v>0</v>
      </c>
      <c r="AC3">
        <f>IF(AND(INDEX('CA Standards and Followers'!$E$14:$E$73,MATCH($A3,'CA Standards and Followers'!$A$14:$A$73,0))=1,INDEX('CA Standards and Followers'!$H$14:$H$73,MATCH($A3,'CA Standards and Followers'!$A$14:$A$73,0))&lt;=AC$1),INDEX('CA Standards and Followers'!$3:$3,MATCH(AC$1,'CA Standards and Followers'!$1:$1,0)),IF(AND(INDEX('CA Standards and Followers'!$D$14:$D$73,MATCH($A3,'CA Standards and Followers'!$A$14:$A$73,0))=1,INDEX('CA Standards and Followers'!$G$14:$G$73,MATCH($A3,'CA Standards and Followers'!$A$14:$A$73,0))&lt;=AC$1),INDEX('CA Standards and Followers'!$2:$2,MATCH(AC$1,'CA Standards and Followers'!$1:$1,0)),0))</f>
        <v>0</v>
      </c>
      <c r="AD3">
        <f>IF(AND(INDEX('CA Standards and Followers'!$E$14:$E$73,MATCH($A3,'CA Standards and Followers'!$A$14:$A$73,0))=1,INDEX('CA Standards and Followers'!$H$14:$H$73,MATCH($A3,'CA Standards and Followers'!$A$14:$A$73,0))&lt;=AD$1),INDEX('CA Standards and Followers'!$3:$3,MATCH(AD$1,'CA Standards and Followers'!$1:$1,0)),IF(AND(INDEX('CA Standards and Followers'!$D$14:$D$73,MATCH($A3,'CA Standards and Followers'!$A$14:$A$73,0))=1,INDEX('CA Standards and Followers'!$G$14:$G$73,MATCH($A3,'CA Standards and Followers'!$A$14:$A$73,0))&lt;=AD$1),INDEX('CA Standards and Followers'!$2:$2,MATCH(AD$1,'CA Standards and Followers'!$1:$1,0)),0))</f>
        <v>0</v>
      </c>
      <c r="AE3">
        <f>IF(AND(INDEX('CA Standards and Followers'!$E$14:$E$73,MATCH($A3,'CA Standards and Followers'!$A$14:$A$73,0))=1,INDEX('CA Standards and Followers'!$H$14:$H$73,MATCH($A3,'CA Standards and Followers'!$A$14:$A$73,0))&lt;=AE$1),INDEX('CA Standards and Followers'!$3:$3,MATCH(AE$1,'CA Standards and Followers'!$1:$1,0)),IF(AND(INDEX('CA Standards and Followers'!$D$14:$D$73,MATCH($A3,'CA Standards and Followers'!$A$14:$A$73,0))=1,INDEX('CA Standards and Followers'!$G$14:$G$73,MATCH($A3,'CA Standards and Followers'!$A$14:$A$73,0))&lt;=AE$1),INDEX('CA Standards and Followers'!$2:$2,MATCH(AE$1,'CA Standards and Followers'!$1:$1,0)),0))</f>
        <v>0</v>
      </c>
      <c r="AF3">
        <f>IF(AND(INDEX('CA Standards and Followers'!$E$14:$E$73,MATCH($A3,'CA Standards and Followers'!$A$14:$A$73,0))=1,INDEX('CA Standards and Followers'!$H$14:$H$73,MATCH($A3,'CA Standards and Followers'!$A$14:$A$73,0))&lt;=AF$1),INDEX('CA Standards and Followers'!$3:$3,MATCH(AF$1,'CA Standards and Followers'!$1:$1,0)),IF(AND(INDEX('CA Standards and Followers'!$D$14:$D$73,MATCH($A3,'CA Standards and Followers'!$A$14:$A$73,0))=1,INDEX('CA Standards and Followers'!$G$14:$G$73,MATCH($A3,'CA Standards and Followers'!$A$14:$A$73,0))&lt;=AF$1),INDEX('CA Standards and Followers'!$2:$2,MATCH(AF$1,'CA Standards and Followers'!$1:$1,0)),0))</f>
        <v>0</v>
      </c>
    </row>
    <row r="4" spans="1:32" x14ac:dyDescent="0.25">
      <c r="A4" t="s">
        <v>4</v>
      </c>
      <c r="B4">
        <f>IF(AND(INDEX('CA Standards and Followers'!$E$14:$E$73,MATCH($A4,'CA Standards and Followers'!$A$14:$A$73,0))=1,INDEX('CA Standards and Followers'!$H$14:$H$73,MATCH($A4,'CA Standards and Followers'!$A$14:$A$73,0))&lt;=B$1),INDEX('CA Standards and Followers'!$3:$3,MATCH(B$1,'CA Standards and Followers'!$1:$1,0)),IF(AND(INDEX('CA Standards and Followers'!$D$14:$D$73,MATCH($A4,'CA Standards and Followers'!$A$14:$A$73,0))=1,INDEX('CA Standards and Followers'!$G$14:$G$73,MATCH($A4,'CA Standards and Followers'!$A$14:$A$73,0))&lt;=B$1),INDEX('CA Standards and Followers'!$2:$2,MATCH(B$1,'CA Standards and Followers'!$1:$1,0)),0))</f>
        <v>0</v>
      </c>
      <c r="C4">
        <f>IF(AND(INDEX('CA Standards and Followers'!$E$14:$E$73,MATCH($A4,'CA Standards and Followers'!$A$14:$A$73,0))=1,INDEX('CA Standards and Followers'!$H$14:$H$73,MATCH($A4,'CA Standards and Followers'!$A$14:$A$73,0))&lt;=C$1),INDEX('CA Standards and Followers'!$3:$3,MATCH(C$1,'CA Standards and Followers'!$1:$1,0)),IF(AND(INDEX('CA Standards and Followers'!$D$14:$D$73,MATCH($A4,'CA Standards and Followers'!$A$14:$A$73,0))=1,INDEX('CA Standards and Followers'!$G$14:$G$73,MATCH($A4,'CA Standards and Followers'!$A$14:$A$73,0))&lt;=C$1),INDEX('CA Standards and Followers'!$2:$2,MATCH(C$1,'CA Standards and Followers'!$1:$1,0)),0))</f>
        <v>0</v>
      </c>
      <c r="D4">
        <f>IF(AND(INDEX('CA Standards and Followers'!$E$14:$E$73,MATCH($A4,'CA Standards and Followers'!$A$14:$A$73,0))=1,INDEX('CA Standards and Followers'!$H$14:$H$73,MATCH($A4,'CA Standards and Followers'!$A$14:$A$73,0))&lt;=D$1),INDEX('CA Standards and Followers'!$3:$3,MATCH(D$1,'CA Standards and Followers'!$1:$1,0)),IF(AND(INDEX('CA Standards and Followers'!$D$14:$D$73,MATCH($A4,'CA Standards and Followers'!$A$14:$A$73,0))=1,INDEX('CA Standards and Followers'!$G$14:$G$73,MATCH($A4,'CA Standards and Followers'!$A$14:$A$73,0))&lt;=D$1),INDEX('CA Standards and Followers'!$2:$2,MATCH(D$1,'CA Standards and Followers'!$1:$1,0)),0))</f>
        <v>0</v>
      </c>
      <c r="E4">
        <f>IF(AND(INDEX('CA Standards and Followers'!$E$14:$E$73,MATCH($A4,'CA Standards and Followers'!$A$14:$A$73,0))=1,INDEX('CA Standards and Followers'!$H$14:$H$73,MATCH($A4,'CA Standards and Followers'!$A$14:$A$73,0))&lt;=E$1),INDEX('CA Standards and Followers'!$3:$3,MATCH(E$1,'CA Standards and Followers'!$1:$1,0)),IF(AND(INDEX('CA Standards and Followers'!$D$14:$D$73,MATCH($A4,'CA Standards and Followers'!$A$14:$A$73,0))=1,INDEX('CA Standards and Followers'!$G$14:$G$73,MATCH($A4,'CA Standards and Followers'!$A$14:$A$73,0))&lt;=E$1),INDEX('CA Standards and Followers'!$2:$2,MATCH(E$1,'CA Standards and Followers'!$1:$1,0)),0))</f>
        <v>0</v>
      </c>
      <c r="F4">
        <f>IF(AND(INDEX('CA Standards and Followers'!$E$14:$E$73,MATCH($A4,'CA Standards and Followers'!$A$14:$A$73,0))=1,INDEX('CA Standards and Followers'!$H$14:$H$73,MATCH($A4,'CA Standards and Followers'!$A$14:$A$73,0))&lt;=F$1),INDEX('CA Standards and Followers'!$3:$3,MATCH(F$1,'CA Standards and Followers'!$1:$1,0)),IF(AND(INDEX('CA Standards and Followers'!$D$14:$D$73,MATCH($A4,'CA Standards and Followers'!$A$14:$A$73,0))=1,INDEX('CA Standards and Followers'!$G$14:$G$73,MATCH($A4,'CA Standards and Followers'!$A$14:$A$73,0))&lt;=F$1),INDEX('CA Standards and Followers'!$2:$2,MATCH(F$1,'CA Standards and Followers'!$1:$1,0)),0))</f>
        <v>0</v>
      </c>
      <c r="G4">
        <f>IF(AND(INDEX('CA Standards and Followers'!$E$14:$E$73,MATCH($A4,'CA Standards and Followers'!$A$14:$A$73,0))=1,INDEX('CA Standards and Followers'!$H$14:$H$73,MATCH($A4,'CA Standards and Followers'!$A$14:$A$73,0))&lt;=G$1),INDEX('CA Standards and Followers'!$3:$3,MATCH(G$1,'CA Standards and Followers'!$1:$1,0)),IF(AND(INDEX('CA Standards and Followers'!$D$14:$D$73,MATCH($A4,'CA Standards and Followers'!$A$14:$A$73,0))=1,INDEX('CA Standards and Followers'!$G$14:$G$73,MATCH($A4,'CA Standards and Followers'!$A$14:$A$73,0))&lt;=G$1),INDEX('CA Standards and Followers'!$2:$2,MATCH(G$1,'CA Standards and Followers'!$1:$1,0)),0))</f>
        <v>0</v>
      </c>
      <c r="H4">
        <f>IF(AND(INDEX('CA Standards and Followers'!$E$14:$E$73,MATCH($A4,'CA Standards and Followers'!$A$14:$A$73,0))=1,INDEX('CA Standards and Followers'!$H$14:$H$73,MATCH($A4,'CA Standards and Followers'!$A$14:$A$73,0))&lt;=H$1),INDEX('CA Standards and Followers'!$3:$3,MATCH(H$1,'CA Standards and Followers'!$1:$1,0)),IF(AND(INDEX('CA Standards and Followers'!$D$14:$D$73,MATCH($A4,'CA Standards and Followers'!$A$14:$A$73,0))=1,INDEX('CA Standards and Followers'!$G$14:$G$73,MATCH($A4,'CA Standards and Followers'!$A$14:$A$73,0))&lt;=H$1),INDEX('CA Standards and Followers'!$2:$2,MATCH(H$1,'CA Standards and Followers'!$1:$1,0)),0))</f>
        <v>0</v>
      </c>
      <c r="I4">
        <f>IF(AND(INDEX('CA Standards and Followers'!$E$14:$E$73,MATCH($A4,'CA Standards and Followers'!$A$14:$A$73,0))=1,INDEX('CA Standards and Followers'!$H$14:$H$73,MATCH($A4,'CA Standards and Followers'!$A$14:$A$73,0))&lt;=I$1),INDEX('CA Standards and Followers'!$3:$3,MATCH(I$1,'CA Standards and Followers'!$1:$1,0)),IF(AND(INDEX('CA Standards and Followers'!$D$14:$D$73,MATCH($A4,'CA Standards and Followers'!$A$14:$A$73,0))=1,INDEX('CA Standards and Followers'!$G$14:$G$73,MATCH($A4,'CA Standards and Followers'!$A$14:$A$73,0))&lt;=I$1),INDEX('CA Standards and Followers'!$2:$2,MATCH(I$1,'CA Standards and Followers'!$1:$1,0)),0))</f>
        <v>0</v>
      </c>
      <c r="J4">
        <f>IF(AND(INDEX('CA Standards and Followers'!$E$14:$E$73,MATCH($A4,'CA Standards and Followers'!$A$14:$A$73,0))=1,INDEX('CA Standards and Followers'!$H$14:$H$73,MATCH($A4,'CA Standards and Followers'!$A$14:$A$73,0))&lt;=J$1),INDEX('CA Standards and Followers'!$3:$3,MATCH(J$1,'CA Standards and Followers'!$1:$1,0)),IF(AND(INDEX('CA Standards and Followers'!$D$14:$D$73,MATCH($A4,'CA Standards and Followers'!$A$14:$A$73,0))=1,INDEX('CA Standards and Followers'!$G$14:$G$73,MATCH($A4,'CA Standards and Followers'!$A$14:$A$73,0))&lt;=J$1),INDEX('CA Standards and Followers'!$2:$2,MATCH(J$1,'CA Standards and Followers'!$1:$1,0)),0))</f>
        <v>0</v>
      </c>
      <c r="K4">
        <f>IF(AND(INDEX('CA Standards and Followers'!$E$14:$E$73,MATCH($A4,'CA Standards and Followers'!$A$14:$A$73,0))=1,INDEX('CA Standards and Followers'!$H$14:$H$73,MATCH($A4,'CA Standards and Followers'!$A$14:$A$73,0))&lt;=K$1),INDEX('CA Standards and Followers'!$3:$3,MATCH(K$1,'CA Standards and Followers'!$1:$1,0)),IF(AND(INDEX('CA Standards and Followers'!$D$14:$D$73,MATCH($A4,'CA Standards and Followers'!$A$14:$A$73,0))=1,INDEX('CA Standards and Followers'!$G$14:$G$73,MATCH($A4,'CA Standards and Followers'!$A$14:$A$73,0))&lt;=K$1),INDEX('CA Standards and Followers'!$2:$2,MATCH(K$1,'CA Standards and Followers'!$1:$1,0)),0))</f>
        <v>0</v>
      </c>
      <c r="L4">
        <f>IF(AND(INDEX('CA Standards and Followers'!$E$14:$E$73,MATCH($A4,'CA Standards and Followers'!$A$14:$A$73,0))=1,INDEX('CA Standards and Followers'!$H$14:$H$73,MATCH($A4,'CA Standards and Followers'!$A$14:$A$73,0))&lt;=L$1),INDEX('CA Standards and Followers'!$3:$3,MATCH(L$1,'CA Standards and Followers'!$1:$1,0)),IF(AND(INDEX('CA Standards and Followers'!$D$14:$D$73,MATCH($A4,'CA Standards and Followers'!$A$14:$A$73,0))=1,INDEX('CA Standards and Followers'!$G$14:$G$73,MATCH($A4,'CA Standards and Followers'!$A$14:$A$73,0))&lt;=L$1),INDEX('CA Standards and Followers'!$2:$2,MATCH(L$1,'CA Standards and Followers'!$1:$1,0)),0))</f>
        <v>0</v>
      </c>
      <c r="M4">
        <f>IF(AND(INDEX('CA Standards and Followers'!$E$14:$E$73,MATCH($A4,'CA Standards and Followers'!$A$14:$A$73,0))=1,INDEX('CA Standards and Followers'!$H$14:$H$73,MATCH($A4,'CA Standards and Followers'!$A$14:$A$73,0))&lt;=M$1),INDEX('CA Standards and Followers'!$3:$3,MATCH(M$1,'CA Standards and Followers'!$1:$1,0)),IF(AND(INDEX('CA Standards and Followers'!$D$14:$D$73,MATCH($A4,'CA Standards and Followers'!$A$14:$A$73,0))=1,INDEX('CA Standards and Followers'!$G$14:$G$73,MATCH($A4,'CA Standards and Followers'!$A$14:$A$73,0))&lt;=M$1),INDEX('CA Standards and Followers'!$2:$2,MATCH(M$1,'CA Standards and Followers'!$1:$1,0)),0))</f>
        <v>0</v>
      </c>
      <c r="N4">
        <f>IF(AND(INDEX('CA Standards and Followers'!$E$14:$E$73,MATCH($A4,'CA Standards and Followers'!$A$14:$A$73,0))=1,INDEX('CA Standards and Followers'!$H$14:$H$73,MATCH($A4,'CA Standards and Followers'!$A$14:$A$73,0))&lt;=N$1),INDEX('CA Standards and Followers'!$3:$3,MATCH(N$1,'CA Standards and Followers'!$1:$1,0)),IF(AND(INDEX('CA Standards and Followers'!$D$14:$D$73,MATCH($A4,'CA Standards and Followers'!$A$14:$A$73,0))=1,INDEX('CA Standards and Followers'!$G$14:$G$73,MATCH($A4,'CA Standards and Followers'!$A$14:$A$73,0))&lt;=N$1),INDEX('CA Standards and Followers'!$2:$2,MATCH(N$1,'CA Standards and Followers'!$1:$1,0)),0))</f>
        <v>0</v>
      </c>
      <c r="O4">
        <f>IF(AND(INDEX('CA Standards and Followers'!$E$14:$E$73,MATCH($A4,'CA Standards and Followers'!$A$14:$A$73,0))=1,INDEX('CA Standards and Followers'!$H$14:$H$73,MATCH($A4,'CA Standards and Followers'!$A$14:$A$73,0))&lt;=O$1),INDEX('CA Standards and Followers'!$3:$3,MATCH(O$1,'CA Standards and Followers'!$1:$1,0)),IF(AND(INDEX('CA Standards and Followers'!$D$14:$D$73,MATCH($A4,'CA Standards and Followers'!$A$14:$A$73,0))=1,INDEX('CA Standards and Followers'!$G$14:$G$73,MATCH($A4,'CA Standards and Followers'!$A$14:$A$73,0))&lt;=O$1),INDEX('CA Standards and Followers'!$2:$2,MATCH(O$1,'CA Standards and Followers'!$1:$1,0)),0))</f>
        <v>0</v>
      </c>
      <c r="P4">
        <f>IF(AND(INDEX('CA Standards and Followers'!$E$14:$E$73,MATCH($A4,'CA Standards and Followers'!$A$14:$A$73,0))=1,INDEX('CA Standards and Followers'!$H$14:$H$73,MATCH($A4,'CA Standards and Followers'!$A$14:$A$73,0))&lt;=P$1),INDEX('CA Standards and Followers'!$3:$3,MATCH(P$1,'CA Standards and Followers'!$1:$1,0)),IF(AND(INDEX('CA Standards and Followers'!$D$14:$D$73,MATCH($A4,'CA Standards and Followers'!$A$14:$A$73,0))=1,INDEX('CA Standards and Followers'!$G$14:$G$73,MATCH($A4,'CA Standards and Followers'!$A$14:$A$73,0))&lt;=P$1),INDEX('CA Standards and Followers'!$2:$2,MATCH(P$1,'CA Standards and Followers'!$1:$1,0)),0))</f>
        <v>0</v>
      </c>
      <c r="Q4">
        <f>IF(AND(INDEX('CA Standards and Followers'!$E$14:$E$73,MATCH($A4,'CA Standards and Followers'!$A$14:$A$73,0))=1,INDEX('CA Standards and Followers'!$H$14:$H$73,MATCH($A4,'CA Standards and Followers'!$A$14:$A$73,0))&lt;=Q$1),INDEX('CA Standards and Followers'!$3:$3,MATCH(Q$1,'CA Standards and Followers'!$1:$1,0)),IF(AND(INDEX('CA Standards and Followers'!$D$14:$D$73,MATCH($A4,'CA Standards and Followers'!$A$14:$A$73,0))=1,INDEX('CA Standards and Followers'!$G$14:$G$73,MATCH($A4,'CA Standards and Followers'!$A$14:$A$73,0))&lt;=Q$1),INDEX('CA Standards and Followers'!$2:$2,MATCH(Q$1,'CA Standards and Followers'!$1:$1,0)),0))</f>
        <v>0</v>
      </c>
      <c r="R4">
        <f>IF(AND(INDEX('CA Standards and Followers'!$E$14:$E$73,MATCH($A4,'CA Standards and Followers'!$A$14:$A$73,0))=1,INDEX('CA Standards and Followers'!$H$14:$H$73,MATCH($A4,'CA Standards and Followers'!$A$14:$A$73,0))&lt;=R$1),INDEX('CA Standards and Followers'!$3:$3,MATCH(R$1,'CA Standards and Followers'!$1:$1,0)),IF(AND(INDEX('CA Standards and Followers'!$D$14:$D$73,MATCH($A4,'CA Standards and Followers'!$A$14:$A$73,0))=1,INDEX('CA Standards and Followers'!$G$14:$G$73,MATCH($A4,'CA Standards and Followers'!$A$14:$A$73,0))&lt;=R$1),INDEX('CA Standards and Followers'!$2:$2,MATCH(R$1,'CA Standards and Followers'!$1:$1,0)),0))</f>
        <v>0</v>
      </c>
      <c r="S4">
        <f>IF(AND(INDEX('CA Standards and Followers'!$E$14:$E$73,MATCH($A4,'CA Standards and Followers'!$A$14:$A$73,0))=1,INDEX('CA Standards and Followers'!$H$14:$H$73,MATCH($A4,'CA Standards and Followers'!$A$14:$A$73,0))&lt;=S$1),INDEX('CA Standards and Followers'!$3:$3,MATCH(S$1,'CA Standards and Followers'!$1:$1,0)),IF(AND(INDEX('CA Standards and Followers'!$D$14:$D$73,MATCH($A4,'CA Standards and Followers'!$A$14:$A$73,0))=1,INDEX('CA Standards and Followers'!$G$14:$G$73,MATCH($A4,'CA Standards and Followers'!$A$14:$A$73,0))&lt;=S$1),INDEX('CA Standards and Followers'!$2:$2,MATCH(S$1,'CA Standards and Followers'!$1:$1,0)),0))</f>
        <v>0</v>
      </c>
      <c r="T4">
        <f>IF(AND(INDEX('CA Standards and Followers'!$E$14:$E$73,MATCH($A4,'CA Standards and Followers'!$A$14:$A$73,0))=1,INDEX('CA Standards and Followers'!$H$14:$H$73,MATCH($A4,'CA Standards and Followers'!$A$14:$A$73,0))&lt;=T$1),INDEX('CA Standards and Followers'!$3:$3,MATCH(T$1,'CA Standards and Followers'!$1:$1,0)),IF(AND(INDEX('CA Standards and Followers'!$D$14:$D$73,MATCH($A4,'CA Standards and Followers'!$A$14:$A$73,0))=1,INDEX('CA Standards and Followers'!$G$14:$G$73,MATCH($A4,'CA Standards and Followers'!$A$14:$A$73,0))&lt;=T$1),INDEX('CA Standards and Followers'!$2:$2,MATCH(T$1,'CA Standards and Followers'!$1:$1,0)),0))</f>
        <v>0</v>
      </c>
      <c r="U4">
        <f>IF(AND(INDEX('CA Standards and Followers'!$E$14:$E$73,MATCH($A4,'CA Standards and Followers'!$A$14:$A$73,0))=1,INDEX('CA Standards and Followers'!$H$14:$H$73,MATCH($A4,'CA Standards and Followers'!$A$14:$A$73,0))&lt;=U$1),INDEX('CA Standards and Followers'!$3:$3,MATCH(U$1,'CA Standards and Followers'!$1:$1,0)),IF(AND(INDEX('CA Standards and Followers'!$D$14:$D$73,MATCH($A4,'CA Standards and Followers'!$A$14:$A$73,0))=1,INDEX('CA Standards and Followers'!$G$14:$G$73,MATCH($A4,'CA Standards and Followers'!$A$14:$A$73,0))&lt;=U$1),INDEX('CA Standards and Followers'!$2:$2,MATCH(U$1,'CA Standards and Followers'!$1:$1,0)),0))</f>
        <v>0</v>
      </c>
      <c r="V4">
        <f>IF(AND(INDEX('CA Standards and Followers'!$E$14:$E$73,MATCH($A4,'CA Standards and Followers'!$A$14:$A$73,0))=1,INDEX('CA Standards and Followers'!$H$14:$H$73,MATCH($A4,'CA Standards and Followers'!$A$14:$A$73,0))&lt;=V$1),INDEX('CA Standards and Followers'!$3:$3,MATCH(V$1,'CA Standards and Followers'!$1:$1,0)),IF(AND(INDEX('CA Standards and Followers'!$D$14:$D$73,MATCH($A4,'CA Standards and Followers'!$A$14:$A$73,0))=1,INDEX('CA Standards and Followers'!$G$14:$G$73,MATCH($A4,'CA Standards and Followers'!$A$14:$A$73,0))&lt;=V$1),INDEX('CA Standards and Followers'!$2:$2,MATCH(V$1,'CA Standards and Followers'!$1:$1,0)),0))</f>
        <v>0</v>
      </c>
      <c r="W4">
        <f>IF(AND(INDEX('CA Standards and Followers'!$E$14:$E$73,MATCH($A4,'CA Standards and Followers'!$A$14:$A$73,0))=1,INDEX('CA Standards and Followers'!$H$14:$H$73,MATCH($A4,'CA Standards and Followers'!$A$14:$A$73,0))&lt;=W$1),INDEX('CA Standards and Followers'!$3:$3,MATCH(W$1,'CA Standards and Followers'!$1:$1,0)),IF(AND(INDEX('CA Standards and Followers'!$D$14:$D$73,MATCH($A4,'CA Standards and Followers'!$A$14:$A$73,0))=1,INDEX('CA Standards and Followers'!$G$14:$G$73,MATCH($A4,'CA Standards and Followers'!$A$14:$A$73,0))&lt;=W$1),INDEX('CA Standards and Followers'!$2:$2,MATCH(W$1,'CA Standards and Followers'!$1:$1,0)),0))</f>
        <v>0</v>
      </c>
      <c r="X4">
        <f>IF(AND(INDEX('CA Standards and Followers'!$E$14:$E$73,MATCH($A4,'CA Standards and Followers'!$A$14:$A$73,0))=1,INDEX('CA Standards and Followers'!$H$14:$H$73,MATCH($A4,'CA Standards and Followers'!$A$14:$A$73,0))&lt;=X$1),INDEX('CA Standards and Followers'!$3:$3,MATCH(X$1,'CA Standards and Followers'!$1:$1,0)),IF(AND(INDEX('CA Standards and Followers'!$D$14:$D$73,MATCH($A4,'CA Standards and Followers'!$A$14:$A$73,0))=1,INDEX('CA Standards and Followers'!$G$14:$G$73,MATCH($A4,'CA Standards and Followers'!$A$14:$A$73,0))&lt;=X$1),INDEX('CA Standards and Followers'!$2:$2,MATCH(X$1,'CA Standards and Followers'!$1:$1,0)),0))</f>
        <v>0</v>
      </c>
      <c r="Y4">
        <f>IF(AND(INDEX('CA Standards and Followers'!$E$14:$E$73,MATCH($A4,'CA Standards and Followers'!$A$14:$A$73,0))=1,INDEX('CA Standards and Followers'!$H$14:$H$73,MATCH($A4,'CA Standards and Followers'!$A$14:$A$73,0))&lt;=Y$1),INDEX('CA Standards and Followers'!$3:$3,MATCH(Y$1,'CA Standards and Followers'!$1:$1,0)),IF(AND(INDEX('CA Standards and Followers'!$D$14:$D$73,MATCH($A4,'CA Standards and Followers'!$A$14:$A$73,0))=1,INDEX('CA Standards and Followers'!$G$14:$G$73,MATCH($A4,'CA Standards and Followers'!$A$14:$A$73,0))&lt;=Y$1),INDEX('CA Standards and Followers'!$2:$2,MATCH(Y$1,'CA Standards and Followers'!$1:$1,0)),0))</f>
        <v>0</v>
      </c>
      <c r="Z4">
        <f>IF(AND(INDEX('CA Standards and Followers'!$E$14:$E$73,MATCH($A4,'CA Standards and Followers'!$A$14:$A$73,0))=1,INDEX('CA Standards and Followers'!$H$14:$H$73,MATCH($A4,'CA Standards and Followers'!$A$14:$A$73,0))&lt;=Z$1),INDEX('CA Standards and Followers'!$3:$3,MATCH(Z$1,'CA Standards and Followers'!$1:$1,0)),IF(AND(INDEX('CA Standards and Followers'!$D$14:$D$73,MATCH($A4,'CA Standards and Followers'!$A$14:$A$73,0))=1,INDEX('CA Standards and Followers'!$G$14:$G$73,MATCH($A4,'CA Standards and Followers'!$A$14:$A$73,0))&lt;=Z$1),INDEX('CA Standards and Followers'!$2:$2,MATCH(Z$1,'CA Standards and Followers'!$1:$1,0)),0))</f>
        <v>0</v>
      </c>
      <c r="AA4">
        <f>IF(AND(INDEX('CA Standards and Followers'!$E$14:$E$73,MATCH($A4,'CA Standards and Followers'!$A$14:$A$73,0))=1,INDEX('CA Standards and Followers'!$H$14:$H$73,MATCH($A4,'CA Standards and Followers'!$A$14:$A$73,0))&lt;=AA$1),INDEX('CA Standards and Followers'!$3:$3,MATCH(AA$1,'CA Standards and Followers'!$1:$1,0)),IF(AND(INDEX('CA Standards and Followers'!$D$14:$D$73,MATCH($A4,'CA Standards and Followers'!$A$14:$A$73,0))=1,INDEX('CA Standards and Followers'!$G$14:$G$73,MATCH($A4,'CA Standards and Followers'!$A$14:$A$73,0))&lt;=AA$1),INDEX('CA Standards and Followers'!$2:$2,MATCH(AA$1,'CA Standards and Followers'!$1:$1,0)),0))</f>
        <v>0</v>
      </c>
      <c r="AB4">
        <f>IF(AND(INDEX('CA Standards and Followers'!$E$14:$E$73,MATCH($A4,'CA Standards and Followers'!$A$14:$A$73,0))=1,INDEX('CA Standards and Followers'!$H$14:$H$73,MATCH($A4,'CA Standards and Followers'!$A$14:$A$73,0))&lt;=AB$1),INDEX('CA Standards and Followers'!$3:$3,MATCH(AB$1,'CA Standards and Followers'!$1:$1,0)),IF(AND(INDEX('CA Standards and Followers'!$D$14:$D$73,MATCH($A4,'CA Standards and Followers'!$A$14:$A$73,0))=1,INDEX('CA Standards and Followers'!$G$14:$G$73,MATCH($A4,'CA Standards and Followers'!$A$14:$A$73,0))&lt;=AB$1),INDEX('CA Standards and Followers'!$2:$2,MATCH(AB$1,'CA Standards and Followers'!$1:$1,0)),0))</f>
        <v>0</v>
      </c>
      <c r="AC4">
        <f>IF(AND(INDEX('CA Standards and Followers'!$E$14:$E$73,MATCH($A4,'CA Standards and Followers'!$A$14:$A$73,0))=1,INDEX('CA Standards and Followers'!$H$14:$H$73,MATCH($A4,'CA Standards and Followers'!$A$14:$A$73,0))&lt;=AC$1),INDEX('CA Standards and Followers'!$3:$3,MATCH(AC$1,'CA Standards and Followers'!$1:$1,0)),IF(AND(INDEX('CA Standards and Followers'!$D$14:$D$73,MATCH($A4,'CA Standards and Followers'!$A$14:$A$73,0))=1,INDEX('CA Standards and Followers'!$G$14:$G$73,MATCH($A4,'CA Standards and Followers'!$A$14:$A$73,0))&lt;=AC$1),INDEX('CA Standards and Followers'!$2:$2,MATCH(AC$1,'CA Standards and Followers'!$1:$1,0)),0))</f>
        <v>0</v>
      </c>
      <c r="AD4">
        <f>IF(AND(INDEX('CA Standards and Followers'!$E$14:$E$73,MATCH($A4,'CA Standards and Followers'!$A$14:$A$73,0))=1,INDEX('CA Standards and Followers'!$H$14:$H$73,MATCH($A4,'CA Standards and Followers'!$A$14:$A$73,0))&lt;=AD$1),INDEX('CA Standards and Followers'!$3:$3,MATCH(AD$1,'CA Standards and Followers'!$1:$1,0)),IF(AND(INDEX('CA Standards and Followers'!$D$14:$D$73,MATCH($A4,'CA Standards and Followers'!$A$14:$A$73,0))=1,INDEX('CA Standards and Followers'!$G$14:$G$73,MATCH($A4,'CA Standards and Followers'!$A$14:$A$73,0))&lt;=AD$1),INDEX('CA Standards and Followers'!$2:$2,MATCH(AD$1,'CA Standards and Followers'!$1:$1,0)),0))</f>
        <v>0</v>
      </c>
      <c r="AE4">
        <f>IF(AND(INDEX('CA Standards and Followers'!$E$14:$E$73,MATCH($A4,'CA Standards and Followers'!$A$14:$A$73,0))=1,INDEX('CA Standards and Followers'!$H$14:$H$73,MATCH($A4,'CA Standards and Followers'!$A$14:$A$73,0))&lt;=AE$1),INDEX('CA Standards and Followers'!$3:$3,MATCH(AE$1,'CA Standards and Followers'!$1:$1,0)),IF(AND(INDEX('CA Standards and Followers'!$D$14:$D$73,MATCH($A4,'CA Standards and Followers'!$A$14:$A$73,0))=1,INDEX('CA Standards and Followers'!$G$14:$G$73,MATCH($A4,'CA Standards and Followers'!$A$14:$A$73,0))&lt;=AE$1),INDEX('CA Standards and Followers'!$2:$2,MATCH(AE$1,'CA Standards and Followers'!$1:$1,0)),0))</f>
        <v>0</v>
      </c>
      <c r="AF4">
        <f>IF(AND(INDEX('CA Standards and Followers'!$E$14:$E$73,MATCH($A4,'CA Standards and Followers'!$A$14:$A$73,0))=1,INDEX('CA Standards and Followers'!$H$14:$H$73,MATCH($A4,'CA Standards and Followers'!$A$14:$A$73,0))&lt;=AF$1),INDEX('CA Standards and Followers'!$3:$3,MATCH(AF$1,'CA Standards and Followers'!$1:$1,0)),IF(AND(INDEX('CA Standards and Followers'!$D$14:$D$73,MATCH($A4,'CA Standards and Followers'!$A$14:$A$73,0))=1,INDEX('CA Standards and Followers'!$G$14:$G$73,MATCH($A4,'CA Standards and Followers'!$A$14:$A$73,0))&lt;=AF$1),INDEX('CA Standards and Followers'!$2:$2,MATCH(AF$1,'CA Standards and Followers'!$1:$1,0)),0))</f>
        <v>0</v>
      </c>
    </row>
    <row r="5" spans="1:32" x14ac:dyDescent="0.25">
      <c r="A5" t="s">
        <v>5</v>
      </c>
      <c r="B5">
        <f>IF(AND(INDEX('CA Standards and Followers'!$E$14:$E$73,MATCH($A5,'CA Standards and Followers'!$A$14:$A$73,0))=1,INDEX('CA Standards and Followers'!$H$14:$H$73,MATCH($A5,'CA Standards and Followers'!$A$14:$A$73,0))&lt;=B$1),INDEX('CA Standards and Followers'!$3:$3,MATCH(B$1,'CA Standards and Followers'!$1:$1,0)),IF(AND(INDEX('CA Standards and Followers'!$D$14:$D$73,MATCH($A5,'CA Standards and Followers'!$A$14:$A$73,0))=1,INDEX('CA Standards and Followers'!$G$14:$G$73,MATCH($A5,'CA Standards and Followers'!$A$14:$A$73,0))&lt;=B$1),INDEX('CA Standards and Followers'!$2:$2,MATCH(B$1,'CA Standards and Followers'!$1:$1,0)),0))</f>
        <v>0</v>
      </c>
      <c r="C5">
        <f>IF(AND(INDEX('CA Standards and Followers'!$E$14:$E$73,MATCH($A5,'CA Standards and Followers'!$A$14:$A$73,0))=1,INDEX('CA Standards and Followers'!$H$14:$H$73,MATCH($A5,'CA Standards and Followers'!$A$14:$A$73,0))&lt;=C$1),INDEX('CA Standards and Followers'!$3:$3,MATCH(C$1,'CA Standards and Followers'!$1:$1,0)),IF(AND(INDEX('CA Standards and Followers'!$D$14:$D$73,MATCH($A5,'CA Standards and Followers'!$A$14:$A$73,0))=1,INDEX('CA Standards and Followers'!$G$14:$G$73,MATCH($A5,'CA Standards and Followers'!$A$14:$A$73,0))&lt;=C$1),INDEX('CA Standards and Followers'!$2:$2,MATCH(C$1,'CA Standards and Followers'!$1:$1,0)),0))</f>
        <v>0</v>
      </c>
      <c r="D5">
        <f>IF(AND(INDEX('CA Standards and Followers'!$E$14:$E$73,MATCH($A5,'CA Standards and Followers'!$A$14:$A$73,0))=1,INDEX('CA Standards and Followers'!$H$14:$H$73,MATCH($A5,'CA Standards and Followers'!$A$14:$A$73,0))&lt;=D$1),INDEX('CA Standards and Followers'!$3:$3,MATCH(D$1,'CA Standards and Followers'!$1:$1,0)),IF(AND(INDEX('CA Standards and Followers'!$D$14:$D$73,MATCH($A5,'CA Standards and Followers'!$A$14:$A$73,0))=1,INDEX('CA Standards and Followers'!$G$14:$G$73,MATCH($A5,'CA Standards and Followers'!$A$14:$A$73,0))&lt;=D$1),INDEX('CA Standards and Followers'!$2:$2,MATCH(D$1,'CA Standards and Followers'!$1:$1,0)),0))</f>
        <v>0</v>
      </c>
      <c r="E5">
        <f>IF(AND(INDEX('CA Standards and Followers'!$E$14:$E$73,MATCH($A5,'CA Standards and Followers'!$A$14:$A$73,0))=1,INDEX('CA Standards and Followers'!$H$14:$H$73,MATCH($A5,'CA Standards and Followers'!$A$14:$A$73,0))&lt;=E$1),INDEX('CA Standards and Followers'!$3:$3,MATCH(E$1,'CA Standards and Followers'!$1:$1,0)),IF(AND(INDEX('CA Standards and Followers'!$D$14:$D$73,MATCH($A5,'CA Standards and Followers'!$A$14:$A$73,0))=1,INDEX('CA Standards and Followers'!$G$14:$G$73,MATCH($A5,'CA Standards and Followers'!$A$14:$A$73,0))&lt;=E$1),INDEX('CA Standards and Followers'!$2:$2,MATCH(E$1,'CA Standards and Followers'!$1:$1,0)),0))</f>
        <v>0</v>
      </c>
      <c r="F5">
        <f>IF(AND(INDEX('CA Standards and Followers'!$E$14:$E$73,MATCH($A5,'CA Standards and Followers'!$A$14:$A$73,0))=1,INDEX('CA Standards and Followers'!$H$14:$H$73,MATCH($A5,'CA Standards and Followers'!$A$14:$A$73,0))&lt;=F$1),INDEX('CA Standards and Followers'!$3:$3,MATCH(F$1,'CA Standards and Followers'!$1:$1,0)),IF(AND(INDEX('CA Standards and Followers'!$D$14:$D$73,MATCH($A5,'CA Standards and Followers'!$A$14:$A$73,0))=1,INDEX('CA Standards and Followers'!$G$14:$G$73,MATCH($A5,'CA Standards and Followers'!$A$14:$A$73,0))&lt;=F$1),INDEX('CA Standards and Followers'!$2:$2,MATCH(F$1,'CA Standards and Followers'!$1:$1,0)),0))</f>
        <v>0</v>
      </c>
      <c r="G5">
        <f>IF(AND(INDEX('CA Standards and Followers'!$E$14:$E$73,MATCH($A5,'CA Standards and Followers'!$A$14:$A$73,0))=1,INDEX('CA Standards and Followers'!$H$14:$H$73,MATCH($A5,'CA Standards and Followers'!$A$14:$A$73,0))&lt;=G$1),INDEX('CA Standards and Followers'!$3:$3,MATCH(G$1,'CA Standards and Followers'!$1:$1,0)),IF(AND(INDEX('CA Standards and Followers'!$D$14:$D$73,MATCH($A5,'CA Standards and Followers'!$A$14:$A$73,0))=1,INDEX('CA Standards and Followers'!$G$14:$G$73,MATCH($A5,'CA Standards and Followers'!$A$14:$A$73,0))&lt;=G$1),INDEX('CA Standards and Followers'!$2:$2,MATCH(G$1,'CA Standards and Followers'!$1:$1,0)),0))</f>
        <v>0</v>
      </c>
      <c r="H5">
        <f>IF(AND(INDEX('CA Standards and Followers'!$E$14:$E$73,MATCH($A5,'CA Standards and Followers'!$A$14:$A$73,0))=1,INDEX('CA Standards and Followers'!$H$14:$H$73,MATCH($A5,'CA Standards and Followers'!$A$14:$A$73,0))&lt;=H$1),INDEX('CA Standards and Followers'!$3:$3,MATCH(H$1,'CA Standards and Followers'!$1:$1,0)),IF(AND(INDEX('CA Standards and Followers'!$D$14:$D$73,MATCH($A5,'CA Standards and Followers'!$A$14:$A$73,0))=1,INDEX('CA Standards and Followers'!$G$14:$G$73,MATCH($A5,'CA Standards and Followers'!$A$14:$A$73,0))&lt;=H$1),INDEX('CA Standards and Followers'!$2:$2,MATCH(H$1,'CA Standards and Followers'!$1:$1,0)),0))</f>
        <v>0</v>
      </c>
      <c r="I5">
        <f>IF(AND(INDEX('CA Standards and Followers'!$E$14:$E$73,MATCH($A5,'CA Standards and Followers'!$A$14:$A$73,0))=1,INDEX('CA Standards and Followers'!$H$14:$H$73,MATCH($A5,'CA Standards and Followers'!$A$14:$A$73,0))&lt;=I$1),INDEX('CA Standards and Followers'!$3:$3,MATCH(I$1,'CA Standards and Followers'!$1:$1,0)),IF(AND(INDEX('CA Standards and Followers'!$D$14:$D$73,MATCH($A5,'CA Standards and Followers'!$A$14:$A$73,0))=1,INDEX('CA Standards and Followers'!$G$14:$G$73,MATCH($A5,'CA Standards and Followers'!$A$14:$A$73,0))&lt;=I$1),INDEX('CA Standards and Followers'!$2:$2,MATCH(I$1,'CA Standards and Followers'!$1:$1,0)),0))</f>
        <v>0</v>
      </c>
      <c r="J5">
        <f>IF(AND(INDEX('CA Standards and Followers'!$E$14:$E$73,MATCH($A5,'CA Standards and Followers'!$A$14:$A$73,0))=1,INDEX('CA Standards and Followers'!$H$14:$H$73,MATCH($A5,'CA Standards and Followers'!$A$14:$A$73,0))&lt;=J$1),INDEX('CA Standards and Followers'!$3:$3,MATCH(J$1,'CA Standards and Followers'!$1:$1,0)),IF(AND(INDEX('CA Standards and Followers'!$D$14:$D$73,MATCH($A5,'CA Standards and Followers'!$A$14:$A$73,0))=1,INDEX('CA Standards and Followers'!$G$14:$G$73,MATCH($A5,'CA Standards and Followers'!$A$14:$A$73,0))&lt;=J$1),INDEX('CA Standards and Followers'!$2:$2,MATCH(J$1,'CA Standards and Followers'!$1:$1,0)),0))</f>
        <v>0</v>
      </c>
      <c r="K5">
        <f>IF(AND(INDEX('CA Standards and Followers'!$E$14:$E$73,MATCH($A5,'CA Standards and Followers'!$A$14:$A$73,0))=1,INDEX('CA Standards and Followers'!$H$14:$H$73,MATCH($A5,'CA Standards and Followers'!$A$14:$A$73,0))&lt;=K$1),INDEX('CA Standards and Followers'!$3:$3,MATCH(K$1,'CA Standards and Followers'!$1:$1,0)),IF(AND(INDEX('CA Standards and Followers'!$D$14:$D$73,MATCH($A5,'CA Standards and Followers'!$A$14:$A$73,0))=1,INDEX('CA Standards and Followers'!$G$14:$G$73,MATCH($A5,'CA Standards and Followers'!$A$14:$A$73,0))&lt;=K$1),INDEX('CA Standards and Followers'!$2:$2,MATCH(K$1,'CA Standards and Followers'!$1:$1,0)),0))</f>
        <v>0</v>
      </c>
      <c r="L5">
        <f>IF(AND(INDEX('CA Standards and Followers'!$E$14:$E$73,MATCH($A5,'CA Standards and Followers'!$A$14:$A$73,0))=1,INDEX('CA Standards and Followers'!$H$14:$H$73,MATCH($A5,'CA Standards and Followers'!$A$14:$A$73,0))&lt;=L$1),INDEX('CA Standards and Followers'!$3:$3,MATCH(L$1,'CA Standards and Followers'!$1:$1,0)),IF(AND(INDEX('CA Standards and Followers'!$D$14:$D$73,MATCH($A5,'CA Standards and Followers'!$A$14:$A$73,0))=1,INDEX('CA Standards and Followers'!$G$14:$G$73,MATCH($A5,'CA Standards and Followers'!$A$14:$A$73,0))&lt;=L$1),INDEX('CA Standards and Followers'!$2:$2,MATCH(L$1,'CA Standards and Followers'!$1:$1,0)),0))</f>
        <v>0</v>
      </c>
      <c r="M5">
        <f>IF(AND(INDEX('CA Standards and Followers'!$E$14:$E$73,MATCH($A5,'CA Standards and Followers'!$A$14:$A$73,0))=1,INDEX('CA Standards and Followers'!$H$14:$H$73,MATCH($A5,'CA Standards and Followers'!$A$14:$A$73,0))&lt;=M$1),INDEX('CA Standards and Followers'!$3:$3,MATCH(M$1,'CA Standards and Followers'!$1:$1,0)),IF(AND(INDEX('CA Standards and Followers'!$D$14:$D$73,MATCH($A5,'CA Standards and Followers'!$A$14:$A$73,0))=1,INDEX('CA Standards and Followers'!$G$14:$G$73,MATCH($A5,'CA Standards and Followers'!$A$14:$A$73,0))&lt;=M$1),INDEX('CA Standards and Followers'!$2:$2,MATCH(M$1,'CA Standards and Followers'!$1:$1,0)),0))</f>
        <v>0</v>
      </c>
      <c r="N5">
        <f>IF(AND(INDEX('CA Standards and Followers'!$E$14:$E$73,MATCH($A5,'CA Standards and Followers'!$A$14:$A$73,0))=1,INDEX('CA Standards and Followers'!$H$14:$H$73,MATCH($A5,'CA Standards and Followers'!$A$14:$A$73,0))&lt;=N$1),INDEX('CA Standards and Followers'!$3:$3,MATCH(N$1,'CA Standards and Followers'!$1:$1,0)),IF(AND(INDEX('CA Standards and Followers'!$D$14:$D$73,MATCH($A5,'CA Standards and Followers'!$A$14:$A$73,0))=1,INDEX('CA Standards and Followers'!$G$14:$G$73,MATCH($A5,'CA Standards and Followers'!$A$14:$A$73,0))&lt;=N$1),INDEX('CA Standards and Followers'!$2:$2,MATCH(N$1,'CA Standards and Followers'!$1:$1,0)),0))</f>
        <v>0</v>
      </c>
      <c r="O5">
        <f>IF(AND(INDEX('CA Standards and Followers'!$E$14:$E$73,MATCH($A5,'CA Standards and Followers'!$A$14:$A$73,0))=1,INDEX('CA Standards and Followers'!$H$14:$H$73,MATCH($A5,'CA Standards and Followers'!$A$14:$A$73,0))&lt;=O$1),INDEX('CA Standards and Followers'!$3:$3,MATCH(O$1,'CA Standards and Followers'!$1:$1,0)),IF(AND(INDEX('CA Standards and Followers'!$D$14:$D$73,MATCH($A5,'CA Standards and Followers'!$A$14:$A$73,0))=1,INDEX('CA Standards and Followers'!$G$14:$G$73,MATCH($A5,'CA Standards and Followers'!$A$14:$A$73,0))&lt;=O$1),INDEX('CA Standards and Followers'!$2:$2,MATCH(O$1,'CA Standards and Followers'!$1:$1,0)),0))</f>
        <v>0</v>
      </c>
      <c r="P5">
        <f>IF(AND(INDEX('CA Standards and Followers'!$E$14:$E$73,MATCH($A5,'CA Standards and Followers'!$A$14:$A$73,0))=1,INDEX('CA Standards and Followers'!$H$14:$H$73,MATCH($A5,'CA Standards and Followers'!$A$14:$A$73,0))&lt;=P$1),INDEX('CA Standards and Followers'!$3:$3,MATCH(P$1,'CA Standards and Followers'!$1:$1,0)),IF(AND(INDEX('CA Standards and Followers'!$D$14:$D$73,MATCH($A5,'CA Standards and Followers'!$A$14:$A$73,0))=1,INDEX('CA Standards and Followers'!$G$14:$G$73,MATCH($A5,'CA Standards and Followers'!$A$14:$A$73,0))&lt;=P$1),INDEX('CA Standards and Followers'!$2:$2,MATCH(P$1,'CA Standards and Followers'!$1:$1,0)),0))</f>
        <v>0</v>
      </c>
      <c r="Q5">
        <f>IF(AND(INDEX('CA Standards and Followers'!$E$14:$E$73,MATCH($A5,'CA Standards and Followers'!$A$14:$A$73,0))=1,INDEX('CA Standards and Followers'!$H$14:$H$73,MATCH($A5,'CA Standards and Followers'!$A$14:$A$73,0))&lt;=Q$1),INDEX('CA Standards and Followers'!$3:$3,MATCH(Q$1,'CA Standards and Followers'!$1:$1,0)),IF(AND(INDEX('CA Standards and Followers'!$D$14:$D$73,MATCH($A5,'CA Standards and Followers'!$A$14:$A$73,0))=1,INDEX('CA Standards and Followers'!$G$14:$G$73,MATCH($A5,'CA Standards and Followers'!$A$14:$A$73,0))&lt;=Q$1),INDEX('CA Standards and Followers'!$2:$2,MATCH(Q$1,'CA Standards and Followers'!$1:$1,0)),0))</f>
        <v>0</v>
      </c>
      <c r="R5">
        <f>IF(AND(INDEX('CA Standards and Followers'!$E$14:$E$73,MATCH($A5,'CA Standards and Followers'!$A$14:$A$73,0))=1,INDEX('CA Standards and Followers'!$H$14:$H$73,MATCH($A5,'CA Standards and Followers'!$A$14:$A$73,0))&lt;=R$1),INDEX('CA Standards and Followers'!$3:$3,MATCH(R$1,'CA Standards and Followers'!$1:$1,0)),IF(AND(INDEX('CA Standards and Followers'!$D$14:$D$73,MATCH($A5,'CA Standards and Followers'!$A$14:$A$73,0))=1,INDEX('CA Standards and Followers'!$G$14:$G$73,MATCH($A5,'CA Standards and Followers'!$A$14:$A$73,0))&lt;=R$1),INDEX('CA Standards and Followers'!$2:$2,MATCH(R$1,'CA Standards and Followers'!$1:$1,0)),0))</f>
        <v>0</v>
      </c>
      <c r="S5">
        <f>IF(AND(INDEX('CA Standards and Followers'!$E$14:$E$73,MATCH($A5,'CA Standards and Followers'!$A$14:$A$73,0))=1,INDEX('CA Standards and Followers'!$H$14:$H$73,MATCH($A5,'CA Standards and Followers'!$A$14:$A$73,0))&lt;=S$1),INDEX('CA Standards and Followers'!$3:$3,MATCH(S$1,'CA Standards and Followers'!$1:$1,0)),IF(AND(INDEX('CA Standards and Followers'!$D$14:$D$73,MATCH($A5,'CA Standards and Followers'!$A$14:$A$73,0))=1,INDEX('CA Standards and Followers'!$G$14:$G$73,MATCH($A5,'CA Standards and Followers'!$A$14:$A$73,0))&lt;=S$1),INDEX('CA Standards and Followers'!$2:$2,MATCH(S$1,'CA Standards and Followers'!$1:$1,0)),0))</f>
        <v>0</v>
      </c>
      <c r="T5">
        <f>IF(AND(INDEX('CA Standards and Followers'!$E$14:$E$73,MATCH($A5,'CA Standards and Followers'!$A$14:$A$73,0))=1,INDEX('CA Standards and Followers'!$H$14:$H$73,MATCH($A5,'CA Standards and Followers'!$A$14:$A$73,0))&lt;=T$1),INDEX('CA Standards and Followers'!$3:$3,MATCH(T$1,'CA Standards and Followers'!$1:$1,0)),IF(AND(INDEX('CA Standards and Followers'!$D$14:$D$73,MATCH($A5,'CA Standards and Followers'!$A$14:$A$73,0))=1,INDEX('CA Standards and Followers'!$G$14:$G$73,MATCH($A5,'CA Standards and Followers'!$A$14:$A$73,0))&lt;=T$1),INDEX('CA Standards and Followers'!$2:$2,MATCH(T$1,'CA Standards and Followers'!$1:$1,0)),0))</f>
        <v>0</v>
      </c>
      <c r="U5">
        <f>IF(AND(INDEX('CA Standards and Followers'!$E$14:$E$73,MATCH($A5,'CA Standards and Followers'!$A$14:$A$73,0))=1,INDEX('CA Standards and Followers'!$H$14:$H$73,MATCH($A5,'CA Standards and Followers'!$A$14:$A$73,0))&lt;=U$1),INDEX('CA Standards and Followers'!$3:$3,MATCH(U$1,'CA Standards and Followers'!$1:$1,0)),IF(AND(INDEX('CA Standards and Followers'!$D$14:$D$73,MATCH($A5,'CA Standards and Followers'!$A$14:$A$73,0))=1,INDEX('CA Standards and Followers'!$G$14:$G$73,MATCH($A5,'CA Standards and Followers'!$A$14:$A$73,0))&lt;=U$1),INDEX('CA Standards and Followers'!$2:$2,MATCH(U$1,'CA Standards and Followers'!$1:$1,0)),0))</f>
        <v>0</v>
      </c>
      <c r="V5">
        <f>IF(AND(INDEX('CA Standards and Followers'!$E$14:$E$73,MATCH($A5,'CA Standards and Followers'!$A$14:$A$73,0))=1,INDEX('CA Standards and Followers'!$H$14:$H$73,MATCH($A5,'CA Standards and Followers'!$A$14:$A$73,0))&lt;=V$1),INDEX('CA Standards and Followers'!$3:$3,MATCH(V$1,'CA Standards and Followers'!$1:$1,0)),IF(AND(INDEX('CA Standards and Followers'!$D$14:$D$73,MATCH($A5,'CA Standards and Followers'!$A$14:$A$73,0))=1,INDEX('CA Standards and Followers'!$G$14:$G$73,MATCH($A5,'CA Standards and Followers'!$A$14:$A$73,0))&lt;=V$1),INDEX('CA Standards and Followers'!$2:$2,MATCH(V$1,'CA Standards and Followers'!$1:$1,0)),0))</f>
        <v>0</v>
      </c>
      <c r="W5">
        <f>IF(AND(INDEX('CA Standards and Followers'!$E$14:$E$73,MATCH($A5,'CA Standards and Followers'!$A$14:$A$73,0))=1,INDEX('CA Standards and Followers'!$H$14:$H$73,MATCH($A5,'CA Standards and Followers'!$A$14:$A$73,0))&lt;=W$1),INDEX('CA Standards and Followers'!$3:$3,MATCH(W$1,'CA Standards and Followers'!$1:$1,0)),IF(AND(INDEX('CA Standards and Followers'!$D$14:$D$73,MATCH($A5,'CA Standards and Followers'!$A$14:$A$73,0))=1,INDEX('CA Standards and Followers'!$G$14:$G$73,MATCH($A5,'CA Standards and Followers'!$A$14:$A$73,0))&lt;=W$1),INDEX('CA Standards and Followers'!$2:$2,MATCH(W$1,'CA Standards and Followers'!$1:$1,0)),0))</f>
        <v>0</v>
      </c>
      <c r="X5">
        <f>IF(AND(INDEX('CA Standards and Followers'!$E$14:$E$73,MATCH($A5,'CA Standards and Followers'!$A$14:$A$73,0))=1,INDEX('CA Standards and Followers'!$H$14:$H$73,MATCH($A5,'CA Standards and Followers'!$A$14:$A$73,0))&lt;=X$1),INDEX('CA Standards and Followers'!$3:$3,MATCH(X$1,'CA Standards and Followers'!$1:$1,0)),IF(AND(INDEX('CA Standards and Followers'!$D$14:$D$73,MATCH($A5,'CA Standards and Followers'!$A$14:$A$73,0))=1,INDEX('CA Standards and Followers'!$G$14:$G$73,MATCH($A5,'CA Standards and Followers'!$A$14:$A$73,0))&lt;=X$1),INDEX('CA Standards and Followers'!$2:$2,MATCH(X$1,'CA Standards and Followers'!$1:$1,0)),0))</f>
        <v>0</v>
      </c>
      <c r="Y5">
        <f>IF(AND(INDEX('CA Standards and Followers'!$E$14:$E$73,MATCH($A5,'CA Standards and Followers'!$A$14:$A$73,0))=1,INDEX('CA Standards and Followers'!$H$14:$H$73,MATCH($A5,'CA Standards and Followers'!$A$14:$A$73,0))&lt;=Y$1),INDEX('CA Standards and Followers'!$3:$3,MATCH(Y$1,'CA Standards and Followers'!$1:$1,0)),IF(AND(INDEX('CA Standards and Followers'!$D$14:$D$73,MATCH($A5,'CA Standards and Followers'!$A$14:$A$73,0))=1,INDEX('CA Standards and Followers'!$G$14:$G$73,MATCH($A5,'CA Standards and Followers'!$A$14:$A$73,0))&lt;=Y$1),INDEX('CA Standards and Followers'!$2:$2,MATCH(Y$1,'CA Standards and Followers'!$1:$1,0)),0))</f>
        <v>0</v>
      </c>
      <c r="Z5">
        <f>IF(AND(INDEX('CA Standards and Followers'!$E$14:$E$73,MATCH($A5,'CA Standards and Followers'!$A$14:$A$73,0))=1,INDEX('CA Standards and Followers'!$H$14:$H$73,MATCH($A5,'CA Standards and Followers'!$A$14:$A$73,0))&lt;=Z$1),INDEX('CA Standards and Followers'!$3:$3,MATCH(Z$1,'CA Standards and Followers'!$1:$1,0)),IF(AND(INDEX('CA Standards and Followers'!$D$14:$D$73,MATCH($A5,'CA Standards and Followers'!$A$14:$A$73,0))=1,INDEX('CA Standards and Followers'!$G$14:$G$73,MATCH($A5,'CA Standards and Followers'!$A$14:$A$73,0))&lt;=Z$1),INDEX('CA Standards and Followers'!$2:$2,MATCH(Z$1,'CA Standards and Followers'!$1:$1,0)),0))</f>
        <v>0</v>
      </c>
      <c r="AA5">
        <f>IF(AND(INDEX('CA Standards and Followers'!$E$14:$E$73,MATCH($A5,'CA Standards and Followers'!$A$14:$A$73,0))=1,INDEX('CA Standards and Followers'!$H$14:$H$73,MATCH($A5,'CA Standards and Followers'!$A$14:$A$73,0))&lt;=AA$1),INDEX('CA Standards and Followers'!$3:$3,MATCH(AA$1,'CA Standards and Followers'!$1:$1,0)),IF(AND(INDEX('CA Standards and Followers'!$D$14:$D$73,MATCH($A5,'CA Standards and Followers'!$A$14:$A$73,0))=1,INDEX('CA Standards and Followers'!$G$14:$G$73,MATCH($A5,'CA Standards and Followers'!$A$14:$A$73,0))&lt;=AA$1),INDEX('CA Standards and Followers'!$2:$2,MATCH(AA$1,'CA Standards and Followers'!$1:$1,0)),0))</f>
        <v>0</v>
      </c>
      <c r="AB5">
        <f>IF(AND(INDEX('CA Standards and Followers'!$E$14:$E$73,MATCH($A5,'CA Standards and Followers'!$A$14:$A$73,0))=1,INDEX('CA Standards and Followers'!$H$14:$H$73,MATCH($A5,'CA Standards and Followers'!$A$14:$A$73,0))&lt;=AB$1),INDEX('CA Standards and Followers'!$3:$3,MATCH(AB$1,'CA Standards and Followers'!$1:$1,0)),IF(AND(INDEX('CA Standards and Followers'!$D$14:$D$73,MATCH($A5,'CA Standards and Followers'!$A$14:$A$73,0))=1,INDEX('CA Standards and Followers'!$G$14:$G$73,MATCH($A5,'CA Standards and Followers'!$A$14:$A$73,0))&lt;=AB$1),INDEX('CA Standards and Followers'!$2:$2,MATCH(AB$1,'CA Standards and Followers'!$1:$1,0)),0))</f>
        <v>0</v>
      </c>
      <c r="AC5">
        <f>IF(AND(INDEX('CA Standards and Followers'!$E$14:$E$73,MATCH($A5,'CA Standards and Followers'!$A$14:$A$73,0))=1,INDEX('CA Standards and Followers'!$H$14:$H$73,MATCH($A5,'CA Standards and Followers'!$A$14:$A$73,0))&lt;=AC$1),INDEX('CA Standards and Followers'!$3:$3,MATCH(AC$1,'CA Standards and Followers'!$1:$1,0)),IF(AND(INDEX('CA Standards and Followers'!$D$14:$D$73,MATCH($A5,'CA Standards and Followers'!$A$14:$A$73,0))=1,INDEX('CA Standards and Followers'!$G$14:$G$73,MATCH($A5,'CA Standards and Followers'!$A$14:$A$73,0))&lt;=AC$1),INDEX('CA Standards and Followers'!$2:$2,MATCH(AC$1,'CA Standards and Followers'!$1:$1,0)),0))</f>
        <v>0</v>
      </c>
      <c r="AD5">
        <f>IF(AND(INDEX('CA Standards and Followers'!$E$14:$E$73,MATCH($A5,'CA Standards and Followers'!$A$14:$A$73,0))=1,INDEX('CA Standards and Followers'!$H$14:$H$73,MATCH($A5,'CA Standards and Followers'!$A$14:$A$73,0))&lt;=AD$1),INDEX('CA Standards and Followers'!$3:$3,MATCH(AD$1,'CA Standards and Followers'!$1:$1,0)),IF(AND(INDEX('CA Standards and Followers'!$D$14:$D$73,MATCH($A5,'CA Standards and Followers'!$A$14:$A$73,0))=1,INDEX('CA Standards and Followers'!$G$14:$G$73,MATCH($A5,'CA Standards and Followers'!$A$14:$A$73,0))&lt;=AD$1),INDEX('CA Standards and Followers'!$2:$2,MATCH(AD$1,'CA Standards and Followers'!$1:$1,0)),0))</f>
        <v>0</v>
      </c>
      <c r="AE5">
        <f>IF(AND(INDEX('CA Standards and Followers'!$E$14:$E$73,MATCH($A5,'CA Standards and Followers'!$A$14:$A$73,0))=1,INDEX('CA Standards and Followers'!$H$14:$H$73,MATCH($A5,'CA Standards and Followers'!$A$14:$A$73,0))&lt;=AE$1),INDEX('CA Standards and Followers'!$3:$3,MATCH(AE$1,'CA Standards and Followers'!$1:$1,0)),IF(AND(INDEX('CA Standards and Followers'!$D$14:$D$73,MATCH($A5,'CA Standards and Followers'!$A$14:$A$73,0))=1,INDEX('CA Standards and Followers'!$G$14:$G$73,MATCH($A5,'CA Standards and Followers'!$A$14:$A$73,0))&lt;=AE$1),INDEX('CA Standards and Followers'!$2:$2,MATCH(AE$1,'CA Standards and Followers'!$1:$1,0)),0))</f>
        <v>0</v>
      </c>
      <c r="AF5">
        <f>IF(AND(INDEX('CA Standards and Followers'!$E$14:$E$73,MATCH($A5,'CA Standards and Followers'!$A$14:$A$73,0))=1,INDEX('CA Standards and Followers'!$H$14:$H$73,MATCH($A5,'CA Standards and Followers'!$A$14:$A$73,0))&lt;=AF$1),INDEX('CA Standards and Followers'!$3:$3,MATCH(AF$1,'CA Standards and Followers'!$1:$1,0)),IF(AND(INDEX('CA Standards and Followers'!$D$14:$D$73,MATCH($A5,'CA Standards and Followers'!$A$14:$A$73,0))=1,INDEX('CA Standards and Followers'!$G$14:$G$73,MATCH($A5,'CA Standards and Followers'!$A$14:$A$73,0))&lt;=AF$1),INDEX('CA Standards and Followers'!$2:$2,MATCH(AF$1,'CA Standards and Followers'!$1:$1,0)),0))</f>
        <v>0</v>
      </c>
    </row>
    <row r="6" spans="1:32" x14ac:dyDescent="0.25">
      <c r="A6" t="s">
        <v>6</v>
      </c>
      <c r="B6">
        <f>IF(AND(INDEX('CA Standards and Followers'!$E$14:$E$73,MATCH($A6,'CA Standards and Followers'!$A$14:$A$73,0))=1,INDEX('CA Standards and Followers'!$H$14:$H$73,MATCH($A6,'CA Standards and Followers'!$A$14:$A$73,0))&lt;=B$1),INDEX('CA Standards and Followers'!$3:$3,MATCH(B$1,'CA Standards and Followers'!$1:$1,0)),IF(AND(INDEX('CA Standards and Followers'!$D$14:$D$73,MATCH($A6,'CA Standards and Followers'!$A$14:$A$73,0))=1,INDEX('CA Standards and Followers'!$G$14:$G$73,MATCH($A6,'CA Standards and Followers'!$A$14:$A$73,0))&lt;=B$1),INDEX('CA Standards and Followers'!$2:$2,MATCH(B$1,'CA Standards and Followers'!$1:$1,0)),0))</f>
        <v>9.5000000000000001E-2</v>
      </c>
      <c r="C6">
        <f>IF(AND(INDEX('CA Standards and Followers'!$E$14:$E$73,MATCH($A6,'CA Standards and Followers'!$A$14:$A$73,0))=1,INDEX('CA Standards and Followers'!$H$14:$H$73,MATCH($A6,'CA Standards and Followers'!$A$14:$A$73,0))&lt;=C$1),INDEX('CA Standards and Followers'!$3:$3,MATCH(C$1,'CA Standards and Followers'!$1:$1,0)),IF(AND(INDEX('CA Standards and Followers'!$D$14:$D$73,MATCH($A6,'CA Standards and Followers'!$A$14:$A$73,0))=1,INDEX('CA Standards and Followers'!$G$14:$G$73,MATCH($A6,'CA Standards and Followers'!$A$14:$A$73,0))&lt;=C$1),INDEX('CA Standards and Followers'!$2:$2,MATCH(C$1,'CA Standards and Followers'!$1:$1,0)),0))</f>
        <v>0.12</v>
      </c>
      <c r="D6">
        <f>IF(AND(INDEX('CA Standards and Followers'!$E$14:$E$73,MATCH($A6,'CA Standards and Followers'!$A$14:$A$73,0))=1,INDEX('CA Standards and Followers'!$H$14:$H$73,MATCH($A6,'CA Standards and Followers'!$A$14:$A$73,0))&lt;=D$1),INDEX('CA Standards and Followers'!$3:$3,MATCH(D$1,'CA Standards and Followers'!$1:$1,0)),IF(AND(INDEX('CA Standards and Followers'!$D$14:$D$73,MATCH($A6,'CA Standards and Followers'!$A$14:$A$73,0))=1,INDEX('CA Standards and Followers'!$G$14:$G$73,MATCH($A6,'CA Standards and Followers'!$A$14:$A$73,0))&lt;=D$1),INDEX('CA Standards and Followers'!$2:$2,MATCH(D$1,'CA Standards and Followers'!$1:$1,0)),0))</f>
        <v>0.14499999999999999</v>
      </c>
      <c r="E6">
        <f>IF(AND(INDEX('CA Standards and Followers'!$E$14:$E$73,MATCH($A6,'CA Standards and Followers'!$A$14:$A$73,0))=1,INDEX('CA Standards and Followers'!$H$14:$H$73,MATCH($A6,'CA Standards and Followers'!$A$14:$A$73,0))&lt;=E$1),INDEX('CA Standards and Followers'!$3:$3,MATCH(E$1,'CA Standards and Followers'!$1:$1,0)),IF(AND(INDEX('CA Standards and Followers'!$D$14:$D$73,MATCH($A6,'CA Standards and Followers'!$A$14:$A$73,0))=1,INDEX('CA Standards and Followers'!$G$14:$G$73,MATCH($A6,'CA Standards and Followers'!$A$14:$A$73,0))&lt;=E$1),INDEX('CA Standards and Followers'!$2:$2,MATCH(E$1,'CA Standards and Followers'!$1:$1,0)),0))</f>
        <v>0.16999999999999998</v>
      </c>
      <c r="F6">
        <f>IF(AND(INDEX('CA Standards and Followers'!$E$14:$E$73,MATCH($A6,'CA Standards and Followers'!$A$14:$A$73,0))=1,INDEX('CA Standards and Followers'!$H$14:$H$73,MATCH($A6,'CA Standards and Followers'!$A$14:$A$73,0))&lt;=F$1),INDEX('CA Standards and Followers'!$3:$3,MATCH(F$1,'CA Standards and Followers'!$1:$1,0)),IF(AND(INDEX('CA Standards and Followers'!$D$14:$D$73,MATCH($A6,'CA Standards and Followers'!$A$14:$A$73,0))=1,INDEX('CA Standards and Followers'!$G$14:$G$73,MATCH($A6,'CA Standards and Followers'!$A$14:$A$73,0))&lt;=F$1),INDEX('CA Standards and Followers'!$2:$2,MATCH(F$1,'CA Standards and Followers'!$1:$1,0)),0))</f>
        <v>0.19500000000000001</v>
      </c>
      <c r="G6">
        <f>IF(AND(INDEX('CA Standards and Followers'!$E$14:$E$73,MATCH($A6,'CA Standards and Followers'!$A$14:$A$73,0))=1,INDEX('CA Standards and Followers'!$H$14:$H$73,MATCH($A6,'CA Standards and Followers'!$A$14:$A$73,0))&lt;=G$1),INDEX('CA Standards and Followers'!$3:$3,MATCH(G$1,'CA Standards and Followers'!$1:$1,0)),IF(AND(INDEX('CA Standards and Followers'!$D$14:$D$73,MATCH($A6,'CA Standards and Followers'!$A$14:$A$73,0))=1,INDEX('CA Standards and Followers'!$G$14:$G$73,MATCH($A6,'CA Standards and Followers'!$A$14:$A$73,0))&lt;=G$1),INDEX('CA Standards and Followers'!$2:$2,MATCH(G$1,'CA Standards and Followers'!$1:$1,0)),0))</f>
        <v>0.21999999999999997</v>
      </c>
      <c r="H6">
        <f>IF(AND(INDEX('CA Standards and Followers'!$E$14:$E$73,MATCH($A6,'CA Standards and Followers'!$A$14:$A$73,0))=1,INDEX('CA Standards and Followers'!$H$14:$H$73,MATCH($A6,'CA Standards and Followers'!$A$14:$A$73,0))&lt;=H$1),INDEX('CA Standards and Followers'!$3:$3,MATCH(H$1,'CA Standards and Followers'!$1:$1,0)),IF(AND(INDEX('CA Standards and Followers'!$D$14:$D$73,MATCH($A6,'CA Standards and Followers'!$A$14:$A$73,0))=1,INDEX('CA Standards and Followers'!$G$14:$G$73,MATCH($A6,'CA Standards and Followers'!$A$14:$A$73,0))&lt;=H$1),INDEX('CA Standards and Followers'!$2:$2,MATCH(H$1,'CA Standards and Followers'!$1:$1,0)),0))</f>
        <v>0.22</v>
      </c>
      <c r="I6">
        <f>IF(AND(INDEX('CA Standards and Followers'!$E$14:$E$73,MATCH($A6,'CA Standards and Followers'!$A$14:$A$73,0))=1,INDEX('CA Standards and Followers'!$H$14:$H$73,MATCH($A6,'CA Standards and Followers'!$A$14:$A$73,0))&lt;=I$1),INDEX('CA Standards and Followers'!$3:$3,MATCH(I$1,'CA Standards and Followers'!$1:$1,0)),IF(AND(INDEX('CA Standards and Followers'!$D$14:$D$73,MATCH($A6,'CA Standards and Followers'!$A$14:$A$73,0))=1,INDEX('CA Standards and Followers'!$G$14:$G$73,MATCH($A6,'CA Standards and Followers'!$A$14:$A$73,0))&lt;=I$1),INDEX('CA Standards and Followers'!$2:$2,MATCH(I$1,'CA Standards and Followers'!$1:$1,0)),0))</f>
        <v>0.22</v>
      </c>
      <c r="J6">
        <f>IF(AND(INDEX('CA Standards and Followers'!$E$14:$E$73,MATCH($A6,'CA Standards and Followers'!$A$14:$A$73,0))=1,INDEX('CA Standards and Followers'!$H$14:$H$73,MATCH($A6,'CA Standards and Followers'!$A$14:$A$73,0))&lt;=J$1),INDEX('CA Standards and Followers'!$3:$3,MATCH(J$1,'CA Standards and Followers'!$1:$1,0)),IF(AND(INDEX('CA Standards and Followers'!$D$14:$D$73,MATCH($A6,'CA Standards and Followers'!$A$14:$A$73,0))=1,INDEX('CA Standards and Followers'!$G$14:$G$73,MATCH($A6,'CA Standards and Followers'!$A$14:$A$73,0))&lt;=J$1),INDEX('CA Standards and Followers'!$2:$2,MATCH(J$1,'CA Standards and Followers'!$1:$1,0)),0))</f>
        <v>0.22</v>
      </c>
      <c r="K6">
        <f>IF(AND(INDEX('CA Standards and Followers'!$E$14:$E$73,MATCH($A6,'CA Standards and Followers'!$A$14:$A$73,0))=1,INDEX('CA Standards and Followers'!$H$14:$H$73,MATCH($A6,'CA Standards and Followers'!$A$14:$A$73,0))&lt;=K$1),INDEX('CA Standards and Followers'!$3:$3,MATCH(K$1,'CA Standards and Followers'!$1:$1,0)),IF(AND(INDEX('CA Standards and Followers'!$D$14:$D$73,MATCH($A6,'CA Standards and Followers'!$A$14:$A$73,0))=1,INDEX('CA Standards and Followers'!$G$14:$G$73,MATCH($A6,'CA Standards and Followers'!$A$14:$A$73,0))&lt;=K$1),INDEX('CA Standards and Followers'!$2:$2,MATCH(K$1,'CA Standards and Followers'!$1:$1,0)),0))</f>
        <v>0.22</v>
      </c>
      <c r="L6">
        <f>IF(AND(INDEX('CA Standards and Followers'!$E$14:$E$73,MATCH($A6,'CA Standards and Followers'!$A$14:$A$73,0))=1,INDEX('CA Standards and Followers'!$H$14:$H$73,MATCH($A6,'CA Standards and Followers'!$A$14:$A$73,0))&lt;=L$1),INDEX('CA Standards and Followers'!$3:$3,MATCH(L$1,'CA Standards and Followers'!$1:$1,0)),IF(AND(INDEX('CA Standards and Followers'!$D$14:$D$73,MATCH($A6,'CA Standards and Followers'!$A$14:$A$73,0))=1,INDEX('CA Standards and Followers'!$G$14:$G$73,MATCH($A6,'CA Standards and Followers'!$A$14:$A$73,0))&lt;=L$1),INDEX('CA Standards and Followers'!$2:$2,MATCH(L$1,'CA Standards and Followers'!$1:$1,0)),0))</f>
        <v>0.22</v>
      </c>
      <c r="M6">
        <f>IF(AND(INDEX('CA Standards and Followers'!$E$14:$E$73,MATCH($A6,'CA Standards and Followers'!$A$14:$A$73,0))=1,INDEX('CA Standards and Followers'!$H$14:$H$73,MATCH($A6,'CA Standards and Followers'!$A$14:$A$73,0))&lt;=M$1),INDEX('CA Standards and Followers'!$3:$3,MATCH(M$1,'CA Standards and Followers'!$1:$1,0)),IF(AND(INDEX('CA Standards and Followers'!$D$14:$D$73,MATCH($A6,'CA Standards and Followers'!$A$14:$A$73,0))=1,INDEX('CA Standards and Followers'!$G$14:$G$73,MATCH($A6,'CA Standards and Followers'!$A$14:$A$73,0))&lt;=M$1),INDEX('CA Standards and Followers'!$2:$2,MATCH(M$1,'CA Standards and Followers'!$1:$1,0)),0))</f>
        <v>0.22</v>
      </c>
      <c r="N6">
        <f>IF(AND(INDEX('CA Standards and Followers'!$E$14:$E$73,MATCH($A6,'CA Standards and Followers'!$A$14:$A$73,0))=1,INDEX('CA Standards and Followers'!$H$14:$H$73,MATCH($A6,'CA Standards and Followers'!$A$14:$A$73,0))&lt;=N$1),INDEX('CA Standards and Followers'!$3:$3,MATCH(N$1,'CA Standards and Followers'!$1:$1,0)),IF(AND(INDEX('CA Standards and Followers'!$D$14:$D$73,MATCH($A6,'CA Standards and Followers'!$A$14:$A$73,0))=1,INDEX('CA Standards and Followers'!$G$14:$G$73,MATCH($A6,'CA Standards and Followers'!$A$14:$A$73,0))&lt;=N$1),INDEX('CA Standards and Followers'!$2:$2,MATCH(N$1,'CA Standards and Followers'!$1:$1,0)),0))</f>
        <v>0.22</v>
      </c>
      <c r="O6">
        <f>IF(AND(INDEX('CA Standards and Followers'!$E$14:$E$73,MATCH($A6,'CA Standards and Followers'!$A$14:$A$73,0))=1,INDEX('CA Standards and Followers'!$H$14:$H$73,MATCH($A6,'CA Standards and Followers'!$A$14:$A$73,0))&lt;=O$1),INDEX('CA Standards and Followers'!$3:$3,MATCH(O$1,'CA Standards and Followers'!$1:$1,0)),IF(AND(INDEX('CA Standards and Followers'!$D$14:$D$73,MATCH($A6,'CA Standards and Followers'!$A$14:$A$73,0))=1,INDEX('CA Standards and Followers'!$G$14:$G$73,MATCH($A6,'CA Standards and Followers'!$A$14:$A$73,0))&lt;=O$1),INDEX('CA Standards and Followers'!$2:$2,MATCH(O$1,'CA Standards and Followers'!$1:$1,0)),0))</f>
        <v>0.22</v>
      </c>
      <c r="P6">
        <f>IF(AND(INDEX('CA Standards and Followers'!$E$14:$E$73,MATCH($A6,'CA Standards and Followers'!$A$14:$A$73,0))=1,INDEX('CA Standards and Followers'!$H$14:$H$73,MATCH($A6,'CA Standards and Followers'!$A$14:$A$73,0))&lt;=P$1),INDEX('CA Standards and Followers'!$3:$3,MATCH(P$1,'CA Standards and Followers'!$1:$1,0)),IF(AND(INDEX('CA Standards and Followers'!$D$14:$D$73,MATCH($A6,'CA Standards and Followers'!$A$14:$A$73,0))=1,INDEX('CA Standards and Followers'!$G$14:$G$73,MATCH($A6,'CA Standards and Followers'!$A$14:$A$73,0))&lt;=P$1),INDEX('CA Standards and Followers'!$2:$2,MATCH(P$1,'CA Standards and Followers'!$1:$1,0)),0))</f>
        <v>0.22</v>
      </c>
      <c r="Q6">
        <f>IF(AND(INDEX('CA Standards and Followers'!$E$14:$E$73,MATCH($A6,'CA Standards and Followers'!$A$14:$A$73,0))=1,INDEX('CA Standards and Followers'!$H$14:$H$73,MATCH($A6,'CA Standards and Followers'!$A$14:$A$73,0))&lt;=Q$1),INDEX('CA Standards and Followers'!$3:$3,MATCH(Q$1,'CA Standards and Followers'!$1:$1,0)),IF(AND(INDEX('CA Standards and Followers'!$D$14:$D$73,MATCH($A6,'CA Standards and Followers'!$A$14:$A$73,0))=1,INDEX('CA Standards and Followers'!$G$14:$G$73,MATCH($A6,'CA Standards and Followers'!$A$14:$A$73,0))&lt;=Q$1),INDEX('CA Standards and Followers'!$2:$2,MATCH(Q$1,'CA Standards and Followers'!$1:$1,0)),0))</f>
        <v>0.22</v>
      </c>
      <c r="R6">
        <f>IF(AND(INDEX('CA Standards and Followers'!$E$14:$E$73,MATCH($A6,'CA Standards and Followers'!$A$14:$A$73,0))=1,INDEX('CA Standards and Followers'!$H$14:$H$73,MATCH($A6,'CA Standards and Followers'!$A$14:$A$73,0))&lt;=R$1),INDEX('CA Standards and Followers'!$3:$3,MATCH(R$1,'CA Standards and Followers'!$1:$1,0)),IF(AND(INDEX('CA Standards and Followers'!$D$14:$D$73,MATCH($A6,'CA Standards and Followers'!$A$14:$A$73,0))=1,INDEX('CA Standards and Followers'!$G$14:$G$73,MATCH($A6,'CA Standards and Followers'!$A$14:$A$73,0))&lt;=R$1),INDEX('CA Standards and Followers'!$2:$2,MATCH(R$1,'CA Standards and Followers'!$1:$1,0)),0))</f>
        <v>0.22</v>
      </c>
      <c r="S6">
        <f>IF(AND(INDEX('CA Standards and Followers'!$E$14:$E$73,MATCH($A6,'CA Standards and Followers'!$A$14:$A$73,0))=1,INDEX('CA Standards and Followers'!$H$14:$H$73,MATCH($A6,'CA Standards and Followers'!$A$14:$A$73,0))&lt;=S$1),INDEX('CA Standards and Followers'!$3:$3,MATCH(S$1,'CA Standards and Followers'!$1:$1,0)),IF(AND(INDEX('CA Standards and Followers'!$D$14:$D$73,MATCH($A6,'CA Standards and Followers'!$A$14:$A$73,0))=1,INDEX('CA Standards and Followers'!$G$14:$G$73,MATCH($A6,'CA Standards and Followers'!$A$14:$A$73,0))&lt;=S$1),INDEX('CA Standards and Followers'!$2:$2,MATCH(S$1,'CA Standards and Followers'!$1:$1,0)),0))</f>
        <v>0.22</v>
      </c>
      <c r="T6">
        <f>IF(AND(INDEX('CA Standards and Followers'!$E$14:$E$73,MATCH($A6,'CA Standards and Followers'!$A$14:$A$73,0))=1,INDEX('CA Standards and Followers'!$H$14:$H$73,MATCH($A6,'CA Standards and Followers'!$A$14:$A$73,0))&lt;=T$1),INDEX('CA Standards and Followers'!$3:$3,MATCH(T$1,'CA Standards and Followers'!$1:$1,0)),IF(AND(INDEX('CA Standards and Followers'!$D$14:$D$73,MATCH($A6,'CA Standards and Followers'!$A$14:$A$73,0))=1,INDEX('CA Standards and Followers'!$G$14:$G$73,MATCH($A6,'CA Standards and Followers'!$A$14:$A$73,0))&lt;=T$1),INDEX('CA Standards and Followers'!$2:$2,MATCH(T$1,'CA Standards and Followers'!$1:$1,0)),0))</f>
        <v>0.22</v>
      </c>
      <c r="U6">
        <f>IF(AND(INDEX('CA Standards and Followers'!$E$14:$E$73,MATCH($A6,'CA Standards and Followers'!$A$14:$A$73,0))=1,INDEX('CA Standards and Followers'!$H$14:$H$73,MATCH($A6,'CA Standards and Followers'!$A$14:$A$73,0))&lt;=U$1),INDEX('CA Standards and Followers'!$3:$3,MATCH(U$1,'CA Standards and Followers'!$1:$1,0)),IF(AND(INDEX('CA Standards and Followers'!$D$14:$D$73,MATCH($A6,'CA Standards and Followers'!$A$14:$A$73,0))=1,INDEX('CA Standards and Followers'!$G$14:$G$73,MATCH($A6,'CA Standards and Followers'!$A$14:$A$73,0))&lt;=U$1),INDEX('CA Standards and Followers'!$2:$2,MATCH(U$1,'CA Standards and Followers'!$1:$1,0)),0))</f>
        <v>0.22</v>
      </c>
      <c r="V6">
        <f>IF(AND(INDEX('CA Standards and Followers'!$E$14:$E$73,MATCH($A6,'CA Standards and Followers'!$A$14:$A$73,0))=1,INDEX('CA Standards and Followers'!$H$14:$H$73,MATCH($A6,'CA Standards and Followers'!$A$14:$A$73,0))&lt;=V$1),INDEX('CA Standards and Followers'!$3:$3,MATCH(V$1,'CA Standards and Followers'!$1:$1,0)),IF(AND(INDEX('CA Standards and Followers'!$D$14:$D$73,MATCH($A6,'CA Standards and Followers'!$A$14:$A$73,0))=1,INDEX('CA Standards and Followers'!$G$14:$G$73,MATCH($A6,'CA Standards and Followers'!$A$14:$A$73,0))&lt;=V$1),INDEX('CA Standards and Followers'!$2:$2,MATCH(V$1,'CA Standards and Followers'!$1:$1,0)),0))</f>
        <v>0.22</v>
      </c>
      <c r="W6">
        <f>IF(AND(INDEX('CA Standards and Followers'!$E$14:$E$73,MATCH($A6,'CA Standards and Followers'!$A$14:$A$73,0))=1,INDEX('CA Standards and Followers'!$H$14:$H$73,MATCH($A6,'CA Standards and Followers'!$A$14:$A$73,0))&lt;=W$1),INDEX('CA Standards and Followers'!$3:$3,MATCH(W$1,'CA Standards and Followers'!$1:$1,0)),IF(AND(INDEX('CA Standards and Followers'!$D$14:$D$73,MATCH($A6,'CA Standards and Followers'!$A$14:$A$73,0))=1,INDEX('CA Standards and Followers'!$G$14:$G$73,MATCH($A6,'CA Standards and Followers'!$A$14:$A$73,0))&lt;=W$1),INDEX('CA Standards and Followers'!$2:$2,MATCH(W$1,'CA Standards and Followers'!$1:$1,0)),0))</f>
        <v>0.22</v>
      </c>
      <c r="X6">
        <f>IF(AND(INDEX('CA Standards and Followers'!$E$14:$E$73,MATCH($A6,'CA Standards and Followers'!$A$14:$A$73,0))=1,INDEX('CA Standards and Followers'!$H$14:$H$73,MATCH($A6,'CA Standards and Followers'!$A$14:$A$73,0))&lt;=X$1),INDEX('CA Standards and Followers'!$3:$3,MATCH(X$1,'CA Standards and Followers'!$1:$1,0)),IF(AND(INDEX('CA Standards and Followers'!$D$14:$D$73,MATCH($A6,'CA Standards and Followers'!$A$14:$A$73,0))=1,INDEX('CA Standards and Followers'!$G$14:$G$73,MATCH($A6,'CA Standards and Followers'!$A$14:$A$73,0))&lt;=X$1),INDEX('CA Standards and Followers'!$2:$2,MATCH(X$1,'CA Standards and Followers'!$1:$1,0)),0))</f>
        <v>0.22</v>
      </c>
      <c r="Y6">
        <f>IF(AND(INDEX('CA Standards and Followers'!$E$14:$E$73,MATCH($A6,'CA Standards and Followers'!$A$14:$A$73,0))=1,INDEX('CA Standards and Followers'!$H$14:$H$73,MATCH($A6,'CA Standards and Followers'!$A$14:$A$73,0))&lt;=Y$1),INDEX('CA Standards and Followers'!$3:$3,MATCH(Y$1,'CA Standards and Followers'!$1:$1,0)),IF(AND(INDEX('CA Standards and Followers'!$D$14:$D$73,MATCH($A6,'CA Standards and Followers'!$A$14:$A$73,0))=1,INDEX('CA Standards and Followers'!$G$14:$G$73,MATCH($A6,'CA Standards and Followers'!$A$14:$A$73,0))&lt;=Y$1),INDEX('CA Standards and Followers'!$2:$2,MATCH(Y$1,'CA Standards and Followers'!$1:$1,0)),0))</f>
        <v>0.22</v>
      </c>
      <c r="Z6">
        <f>IF(AND(INDEX('CA Standards and Followers'!$E$14:$E$73,MATCH($A6,'CA Standards and Followers'!$A$14:$A$73,0))=1,INDEX('CA Standards and Followers'!$H$14:$H$73,MATCH($A6,'CA Standards and Followers'!$A$14:$A$73,0))&lt;=Z$1),INDEX('CA Standards and Followers'!$3:$3,MATCH(Z$1,'CA Standards and Followers'!$1:$1,0)),IF(AND(INDEX('CA Standards and Followers'!$D$14:$D$73,MATCH($A6,'CA Standards and Followers'!$A$14:$A$73,0))=1,INDEX('CA Standards and Followers'!$G$14:$G$73,MATCH($A6,'CA Standards and Followers'!$A$14:$A$73,0))&lt;=Z$1),INDEX('CA Standards and Followers'!$2:$2,MATCH(Z$1,'CA Standards and Followers'!$1:$1,0)),0))</f>
        <v>0.22</v>
      </c>
      <c r="AA6">
        <f>IF(AND(INDEX('CA Standards and Followers'!$E$14:$E$73,MATCH($A6,'CA Standards and Followers'!$A$14:$A$73,0))=1,INDEX('CA Standards and Followers'!$H$14:$H$73,MATCH($A6,'CA Standards and Followers'!$A$14:$A$73,0))&lt;=AA$1),INDEX('CA Standards and Followers'!$3:$3,MATCH(AA$1,'CA Standards and Followers'!$1:$1,0)),IF(AND(INDEX('CA Standards and Followers'!$D$14:$D$73,MATCH($A6,'CA Standards and Followers'!$A$14:$A$73,0))=1,INDEX('CA Standards and Followers'!$G$14:$G$73,MATCH($A6,'CA Standards and Followers'!$A$14:$A$73,0))&lt;=AA$1),INDEX('CA Standards and Followers'!$2:$2,MATCH(AA$1,'CA Standards and Followers'!$1:$1,0)),0))</f>
        <v>0.22</v>
      </c>
      <c r="AB6">
        <f>IF(AND(INDEX('CA Standards and Followers'!$E$14:$E$73,MATCH($A6,'CA Standards and Followers'!$A$14:$A$73,0))=1,INDEX('CA Standards and Followers'!$H$14:$H$73,MATCH($A6,'CA Standards and Followers'!$A$14:$A$73,0))&lt;=AB$1),INDEX('CA Standards and Followers'!$3:$3,MATCH(AB$1,'CA Standards and Followers'!$1:$1,0)),IF(AND(INDEX('CA Standards and Followers'!$D$14:$D$73,MATCH($A6,'CA Standards and Followers'!$A$14:$A$73,0))=1,INDEX('CA Standards and Followers'!$G$14:$G$73,MATCH($A6,'CA Standards and Followers'!$A$14:$A$73,0))&lt;=AB$1),INDEX('CA Standards and Followers'!$2:$2,MATCH(AB$1,'CA Standards and Followers'!$1:$1,0)),0))</f>
        <v>0.22</v>
      </c>
      <c r="AC6">
        <f>IF(AND(INDEX('CA Standards and Followers'!$E$14:$E$73,MATCH($A6,'CA Standards and Followers'!$A$14:$A$73,0))=1,INDEX('CA Standards and Followers'!$H$14:$H$73,MATCH($A6,'CA Standards and Followers'!$A$14:$A$73,0))&lt;=AC$1),INDEX('CA Standards and Followers'!$3:$3,MATCH(AC$1,'CA Standards and Followers'!$1:$1,0)),IF(AND(INDEX('CA Standards and Followers'!$D$14:$D$73,MATCH($A6,'CA Standards and Followers'!$A$14:$A$73,0))=1,INDEX('CA Standards and Followers'!$G$14:$G$73,MATCH($A6,'CA Standards and Followers'!$A$14:$A$73,0))&lt;=AC$1),INDEX('CA Standards and Followers'!$2:$2,MATCH(AC$1,'CA Standards and Followers'!$1:$1,0)),0))</f>
        <v>0.22</v>
      </c>
      <c r="AD6">
        <f>IF(AND(INDEX('CA Standards and Followers'!$E$14:$E$73,MATCH($A6,'CA Standards and Followers'!$A$14:$A$73,0))=1,INDEX('CA Standards and Followers'!$H$14:$H$73,MATCH($A6,'CA Standards and Followers'!$A$14:$A$73,0))&lt;=AD$1),INDEX('CA Standards and Followers'!$3:$3,MATCH(AD$1,'CA Standards and Followers'!$1:$1,0)),IF(AND(INDEX('CA Standards and Followers'!$D$14:$D$73,MATCH($A6,'CA Standards and Followers'!$A$14:$A$73,0))=1,INDEX('CA Standards and Followers'!$G$14:$G$73,MATCH($A6,'CA Standards and Followers'!$A$14:$A$73,0))&lt;=AD$1),INDEX('CA Standards and Followers'!$2:$2,MATCH(AD$1,'CA Standards and Followers'!$1:$1,0)),0))</f>
        <v>0.22</v>
      </c>
      <c r="AE6">
        <f>IF(AND(INDEX('CA Standards and Followers'!$E$14:$E$73,MATCH($A6,'CA Standards and Followers'!$A$14:$A$73,0))=1,INDEX('CA Standards and Followers'!$H$14:$H$73,MATCH($A6,'CA Standards and Followers'!$A$14:$A$73,0))&lt;=AE$1),INDEX('CA Standards and Followers'!$3:$3,MATCH(AE$1,'CA Standards and Followers'!$1:$1,0)),IF(AND(INDEX('CA Standards and Followers'!$D$14:$D$73,MATCH($A6,'CA Standards and Followers'!$A$14:$A$73,0))=1,INDEX('CA Standards and Followers'!$G$14:$G$73,MATCH($A6,'CA Standards and Followers'!$A$14:$A$73,0))&lt;=AE$1),INDEX('CA Standards and Followers'!$2:$2,MATCH(AE$1,'CA Standards and Followers'!$1:$1,0)),0))</f>
        <v>0.22</v>
      </c>
      <c r="AF6">
        <f>IF(AND(INDEX('CA Standards and Followers'!$E$14:$E$73,MATCH($A6,'CA Standards and Followers'!$A$14:$A$73,0))=1,INDEX('CA Standards and Followers'!$H$14:$H$73,MATCH($A6,'CA Standards and Followers'!$A$14:$A$73,0))&lt;=AF$1),INDEX('CA Standards and Followers'!$3:$3,MATCH(AF$1,'CA Standards and Followers'!$1:$1,0)),IF(AND(INDEX('CA Standards and Followers'!$D$14:$D$73,MATCH($A6,'CA Standards and Followers'!$A$14:$A$73,0))=1,INDEX('CA Standards and Followers'!$G$14:$G$73,MATCH($A6,'CA Standards and Followers'!$A$14:$A$73,0))&lt;=AF$1),INDEX('CA Standards and Followers'!$2:$2,MATCH(AF$1,'CA Standards and Followers'!$1:$1,0)),0))</f>
        <v>0.22</v>
      </c>
    </row>
    <row r="7" spans="1:32" x14ac:dyDescent="0.25">
      <c r="A7" t="s">
        <v>7</v>
      </c>
      <c r="B7">
        <f>IF(AND(INDEX('CA Standards and Followers'!$E$14:$E$73,MATCH($A7,'CA Standards and Followers'!$A$14:$A$73,0))=1,INDEX('CA Standards and Followers'!$H$14:$H$73,MATCH($A7,'CA Standards and Followers'!$A$14:$A$73,0))&lt;=B$1),INDEX('CA Standards and Followers'!$3:$3,MATCH(B$1,'CA Standards and Followers'!$1:$1,0)),IF(AND(INDEX('CA Standards and Followers'!$D$14:$D$73,MATCH($A7,'CA Standards and Followers'!$A$14:$A$73,0))=1,INDEX('CA Standards and Followers'!$G$14:$G$73,MATCH($A7,'CA Standards and Followers'!$A$14:$A$73,0))&lt;=B$1),INDEX('CA Standards and Followers'!$2:$2,MATCH(B$1,'CA Standards and Followers'!$1:$1,0)),0))</f>
        <v>0</v>
      </c>
      <c r="C7">
        <f>IF(AND(INDEX('CA Standards and Followers'!$E$14:$E$73,MATCH($A7,'CA Standards and Followers'!$A$14:$A$73,0))=1,INDEX('CA Standards and Followers'!$H$14:$H$73,MATCH($A7,'CA Standards and Followers'!$A$14:$A$73,0))&lt;=C$1),INDEX('CA Standards and Followers'!$3:$3,MATCH(C$1,'CA Standards and Followers'!$1:$1,0)),IF(AND(INDEX('CA Standards and Followers'!$D$14:$D$73,MATCH($A7,'CA Standards and Followers'!$A$14:$A$73,0))=1,INDEX('CA Standards and Followers'!$G$14:$G$73,MATCH($A7,'CA Standards and Followers'!$A$14:$A$73,0))&lt;=C$1),INDEX('CA Standards and Followers'!$2:$2,MATCH(C$1,'CA Standards and Followers'!$1:$1,0)),0))</f>
        <v>0</v>
      </c>
      <c r="D7">
        <f>IF(AND(INDEX('CA Standards and Followers'!$E$14:$E$73,MATCH($A7,'CA Standards and Followers'!$A$14:$A$73,0))=1,INDEX('CA Standards and Followers'!$H$14:$H$73,MATCH($A7,'CA Standards and Followers'!$A$14:$A$73,0))&lt;=D$1),INDEX('CA Standards and Followers'!$3:$3,MATCH(D$1,'CA Standards and Followers'!$1:$1,0)),IF(AND(INDEX('CA Standards and Followers'!$D$14:$D$73,MATCH($A7,'CA Standards and Followers'!$A$14:$A$73,0))=1,INDEX('CA Standards and Followers'!$G$14:$G$73,MATCH($A7,'CA Standards and Followers'!$A$14:$A$73,0))&lt;=D$1),INDEX('CA Standards and Followers'!$2:$2,MATCH(D$1,'CA Standards and Followers'!$1:$1,0)),0))</f>
        <v>0</v>
      </c>
      <c r="E7">
        <f>IF(AND(INDEX('CA Standards and Followers'!$E$14:$E$73,MATCH($A7,'CA Standards and Followers'!$A$14:$A$73,0))=1,INDEX('CA Standards and Followers'!$H$14:$H$73,MATCH($A7,'CA Standards and Followers'!$A$14:$A$73,0))&lt;=E$1),INDEX('CA Standards and Followers'!$3:$3,MATCH(E$1,'CA Standards and Followers'!$1:$1,0)),IF(AND(INDEX('CA Standards and Followers'!$D$14:$D$73,MATCH($A7,'CA Standards and Followers'!$A$14:$A$73,0))=1,INDEX('CA Standards and Followers'!$G$14:$G$73,MATCH($A7,'CA Standards and Followers'!$A$14:$A$73,0))&lt;=E$1),INDEX('CA Standards and Followers'!$2:$2,MATCH(E$1,'CA Standards and Followers'!$1:$1,0)),0))</f>
        <v>0.16999999999999998</v>
      </c>
      <c r="F7">
        <f>IF(AND(INDEX('CA Standards and Followers'!$E$14:$E$73,MATCH($A7,'CA Standards and Followers'!$A$14:$A$73,0))=1,INDEX('CA Standards and Followers'!$H$14:$H$73,MATCH($A7,'CA Standards and Followers'!$A$14:$A$73,0))&lt;=F$1),INDEX('CA Standards and Followers'!$3:$3,MATCH(F$1,'CA Standards and Followers'!$1:$1,0)),IF(AND(INDEX('CA Standards and Followers'!$D$14:$D$73,MATCH($A7,'CA Standards and Followers'!$A$14:$A$73,0))=1,INDEX('CA Standards and Followers'!$G$14:$G$73,MATCH($A7,'CA Standards and Followers'!$A$14:$A$73,0))&lt;=F$1),INDEX('CA Standards and Followers'!$2:$2,MATCH(F$1,'CA Standards and Followers'!$1:$1,0)),0))</f>
        <v>0.19500000000000001</v>
      </c>
      <c r="G7">
        <f>IF(AND(INDEX('CA Standards and Followers'!$E$14:$E$73,MATCH($A7,'CA Standards and Followers'!$A$14:$A$73,0))=1,INDEX('CA Standards and Followers'!$H$14:$H$73,MATCH($A7,'CA Standards and Followers'!$A$14:$A$73,0))&lt;=G$1),INDEX('CA Standards and Followers'!$3:$3,MATCH(G$1,'CA Standards and Followers'!$1:$1,0)),IF(AND(INDEX('CA Standards and Followers'!$D$14:$D$73,MATCH($A7,'CA Standards and Followers'!$A$14:$A$73,0))=1,INDEX('CA Standards and Followers'!$G$14:$G$73,MATCH($A7,'CA Standards and Followers'!$A$14:$A$73,0))&lt;=G$1),INDEX('CA Standards and Followers'!$2:$2,MATCH(G$1,'CA Standards and Followers'!$1:$1,0)),0))</f>
        <v>0.21999999999999997</v>
      </c>
      <c r="H7">
        <f>IF(AND(INDEX('CA Standards and Followers'!$E$14:$E$73,MATCH($A7,'CA Standards and Followers'!$A$14:$A$73,0))=1,INDEX('CA Standards and Followers'!$H$14:$H$73,MATCH($A7,'CA Standards and Followers'!$A$14:$A$73,0))&lt;=H$1),INDEX('CA Standards and Followers'!$3:$3,MATCH(H$1,'CA Standards and Followers'!$1:$1,0)),IF(AND(INDEX('CA Standards and Followers'!$D$14:$D$73,MATCH($A7,'CA Standards and Followers'!$A$14:$A$73,0))=1,INDEX('CA Standards and Followers'!$G$14:$G$73,MATCH($A7,'CA Standards and Followers'!$A$14:$A$73,0))&lt;=H$1),INDEX('CA Standards and Followers'!$2:$2,MATCH(H$1,'CA Standards and Followers'!$1:$1,0)),0))</f>
        <v>0.22</v>
      </c>
      <c r="I7">
        <f>IF(AND(INDEX('CA Standards and Followers'!$E$14:$E$73,MATCH($A7,'CA Standards and Followers'!$A$14:$A$73,0))=1,INDEX('CA Standards and Followers'!$H$14:$H$73,MATCH($A7,'CA Standards and Followers'!$A$14:$A$73,0))&lt;=I$1),INDEX('CA Standards and Followers'!$3:$3,MATCH(I$1,'CA Standards and Followers'!$1:$1,0)),IF(AND(INDEX('CA Standards and Followers'!$D$14:$D$73,MATCH($A7,'CA Standards and Followers'!$A$14:$A$73,0))=1,INDEX('CA Standards and Followers'!$G$14:$G$73,MATCH($A7,'CA Standards and Followers'!$A$14:$A$73,0))&lt;=I$1),INDEX('CA Standards and Followers'!$2:$2,MATCH(I$1,'CA Standards and Followers'!$1:$1,0)),0))</f>
        <v>0.22</v>
      </c>
      <c r="J7">
        <f>IF(AND(INDEX('CA Standards and Followers'!$E$14:$E$73,MATCH($A7,'CA Standards and Followers'!$A$14:$A$73,0))=1,INDEX('CA Standards and Followers'!$H$14:$H$73,MATCH($A7,'CA Standards and Followers'!$A$14:$A$73,0))&lt;=J$1),INDEX('CA Standards and Followers'!$3:$3,MATCH(J$1,'CA Standards and Followers'!$1:$1,0)),IF(AND(INDEX('CA Standards and Followers'!$D$14:$D$73,MATCH($A7,'CA Standards and Followers'!$A$14:$A$73,0))=1,INDEX('CA Standards and Followers'!$G$14:$G$73,MATCH($A7,'CA Standards and Followers'!$A$14:$A$73,0))&lt;=J$1),INDEX('CA Standards and Followers'!$2:$2,MATCH(J$1,'CA Standards and Followers'!$1:$1,0)),0))</f>
        <v>0.22</v>
      </c>
      <c r="K7">
        <f>IF(AND(INDEX('CA Standards and Followers'!$E$14:$E$73,MATCH($A7,'CA Standards and Followers'!$A$14:$A$73,0))=1,INDEX('CA Standards and Followers'!$H$14:$H$73,MATCH($A7,'CA Standards and Followers'!$A$14:$A$73,0))&lt;=K$1),INDEX('CA Standards and Followers'!$3:$3,MATCH(K$1,'CA Standards and Followers'!$1:$1,0)),IF(AND(INDEX('CA Standards and Followers'!$D$14:$D$73,MATCH($A7,'CA Standards and Followers'!$A$14:$A$73,0))=1,INDEX('CA Standards and Followers'!$G$14:$G$73,MATCH($A7,'CA Standards and Followers'!$A$14:$A$73,0))&lt;=K$1),INDEX('CA Standards and Followers'!$2:$2,MATCH(K$1,'CA Standards and Followers'!$1:$1,0)),0))</f>
        <v>0.22</v>
      </c>
      <c r="L7">
        <f>IF(AND(INDEX('CA Standards and Followers'!$E$14:$E$73,MATCH($A7,'CA Standards and Followers'!$A$14:$A$73,0))=1,INDEX('CA Standards and Followers'!$H$14:$H$73,MATCH($A7,'CA Standards and Followers'!$A$14:$A$73,0))&lt;=L$1),INDEX('CA Standards and Followers'!$3:$3,MATCH(L$1,'CA Standards and Followers'!$1:$1,0)),IF(AND(INDEX('CA Standards and Followers'!$D$14:$D$73,MATCH($A7,'CA Standards and Followers'!$A$14:$A$73,0))=1,INDEX('CA Standards and Followers'!$G$14:$G$73,MATCH($A7,'CA Standards and Followers'!$A$14:$A$73,0))&lt;=L$1),INDEX('CA Standards and Followers'!$2:$2,MATCH(L$1,'CA Standards and Followers'!$1:$1,0)),0))</f>
        <v>0.22</v>
      </c>
      <c r="M7">
        <f>IF(AND(INDEX('CA Standards and Followers'!$E$14:$E$73,MATCH($A7,'CA Standards and Followers'!$A$14:$A$73,0))=1,INDEX('CA Standards and Followers'!$H$14:$H$73,MATCH($A7,'CA Standards and Followers'!$A$14:$A$73,0))&lt;=M$1),INDEX('CA Standards and Followers'!$3:$3,MATCH(M$1,'CA Standards and Followers'!$1:$1,0)),IF(AND(INDEX('CA Standards and Followers'!$D$14:$D$73,MATCH($A7,'CA Standards and Followers'!$A$14:$A$73,0))=1,INDEX('CA Standards and Followers'!$G$14:$G$73,MATCH($A7,'CA Standards and Followers'!$A$14:$A$73,0))&lt;=M$1),INDEX('CA Standards and Followers'!$2:$2,MATCH(M$1,'CA Standards and Followers'!$1:$1,0)),0))</f>
        <v>0.22</v>
      </c>
      <c r="N7">
        <f>IF(AND(INDEX('CA Standards and Followers'!$E$14:$E$73,MATCH($A7,'CA Standards and Followers'!$A$14:$A$73,0))=1,INDEX('CA Standards and Followers'!$H$14:$H$73,MATCH($A7,'CA Standards and Followers'!$A$14:$A$73,0))&lt;=N$1),INDEX('CA Standards and Followers'!$3:$3,MATCH(N$1,'CA Standards and Followers'!$1:$1,0)),IF(AND(INDEX('CA Standards and Followers'!$D$14:$D$73,MATCH($A7,'CA Standards and Followers'!$A$14:$A$73,0))=1,INDEX('CA Standards and Followers'!$G$14:$G$73,MATCH($A7,'CA Standards and Followers'!$A$14:$A$73,0))&lt;=N$1),INDEX('CA Standards and Followers'!$2:$2,MATCH(N$1,'CA Standards and Followers'!$1:$1,0)),0))</f>
        <v>0.22</v>
      </c>
      <c r="O7">
        <f>IF(AND(INDEX('CA Standards and Followers'!$E$14:$E$73,MATCH($A7,'CA Standards and Followers'!$A$14:$A$73,0))=1,INDEX('CA Standards and Followers'!$H$14:$H$73,MATCH($A7,'CA Standards and Followers'!$A$14:$A$73,0))&lt;=O$1),INDEX('CA Standards and Followers'!$3:$3,MATCH(O$1,'CA Standards and Followers'!$1:$1,0)),IF(AND(INDEX('CA Standards and Followers'!$D$14:$D$73,MATCH($A7,'CA Standards and Followers'!$A$14:$A$73,0))=1,INDEX('CA Standards and Followers'!$G$14:$G$73,MATCH($A7,'CA Standards and Followers'!$A$14:$A$73,0))&lt;=O$1),INDEX('CA Standards and Followers'!$2:$2,MATCH(O$1,'CA Standards and Followers'!$1:$1,0)),0))</f>
        <v>0.22</v>
      </c>
      <c r="P7">
        <f>IF(AND(INDEX('CA Standards and Followers'!$E$14:$E$73,MATCH($A7,'CA Standards and Followers'!$A$14:$A$73,0))=1,INDEX('CA Standards and Followers'!$H$14:$H$73,MATCH($A7,'CA Standards and Followers'!$A$14:$A$73,0))&lt;=P$1),INDEX('CA Standards and Followers'!$3:$3,MATCH(P$1,'CA Standards and Followers'!$1:$1,0)),IF(AND(INDEX('CA Standards and Followers'!$D$14:$D$73,MATCH($A7,'CA Standards and Followers'!$A$14:$A$73,0))=1,INDEX('CA Standards and Followers'!$G$14:$G$73,MATCH($A7,'CA Standards and Followers'!$A$14:$A$73,0))&lt;=P$1),INDEX('CA Standards and Followers'!$2:$2,MATCH(P$1,'CA Standards and Followers'!$1:$1,0)),0))</f>
        <v>0.22</v>
      </c>
      <c r="Q7">
        <f>IF(AND(INDEX('CA Standards and Followers'!$E$14:$E$73,MATCH($A7,'CA Standards and Followers'!$A$14:$A$73,0))=1,INDEX('CA Standards and Followers'!$H$14:$H$73,MATCH($A7,'CA Standards and Followers'!$A$14:$A$73,0))&lt;=Q$1),INDEX('CA Standards and Followers'!$3:$3,MATCH(Q$1,'CA Standards and Followers'!$1:$1,0)),IF(AND(INDEX('CA Standards and Followers'!$D$14:$D$73,MATCH($A7,'CA Standards and Followers'!$A$14:$A$73,0))=1,INDEX('CA Standards and Followers'!$G$14:$G$73,MATCH($A7,'CA Standards and Followers'!$A$14:$A$73,0))&lt;=Q$1),INDEX('CA Standards and Followers'!$2:$2,MATCH(Q$1,'CA Standards and Followers'!$1:$1,0)),0))</f>
        <v>0.22</v>
      </c>
      <c r="R7">
        <f>IF(AND(INDEX('CA Standards and Followers'!$E$14:$E$73,MATCH($A7,'CA Standards and Followers'!$A$14:$A$73,0))=1,INDEX('CA Standards and Followers'!$H$14:$H$73,MATCH($A7,'CA Standards and Followers'!$A$14:$A$73,0))&lt;=R$1),INDEX('CA Standards and Followers'!$3:$3,MATCH(R$1,'CA Standards and Followers'!$1:$1,0)),IF(AND(INDEX('CA Standards and Followers'!$D$14:$D$73,MATCH($A7,'CA Standards and Followers'!$A$14:$A$73,0))=1,INDEX('CA Standards and Followers'!$G$14:$G$73,MATCH($A7,'CA Standards and Followers'!$A$14:$A$73,0))&lt;=R$1),INDEX('CA Standards and Followers'!$2:$2,MATCH(R$1,'CA Standards and Followers'!$1:$1,0)),0))</f>
        <v>0.22</v>
      </c>
      <c r="S7">
        <f>IF(AND(INDEX('CA Standards and Followers'!$E$14:$E$73,MATCH($A7,'CA Standards and Followers'!$A$14:$A$73,0))=1,INDEX('CA Standards and Followers'!$H$14:$H$73,MATCH($A7,'CA Standards and Followers'!$A$14:$A$73,0))&lt;=S$1),INDEX('CA Standards and Followers'!$3:$3,MATCH(S$1,'CA Standards and Followers'!$1:$1,0)),IF(AND(INDEX('CA Standards and Followers'!$D$14:$D$73,MATCH($A7,'CA Standards and Followers'!$A$14:$A$73,0))=1,INDEX('CA Standards and Followers'!$G$14:$G$73,MATCH($A7,'CA Standards and Followers'!$A$14:$A$73,0))&lt;=S$1),INDEX('CA Standards and Followers'!$2:$2,MATCH(S$1,'CA Standards and Followers'!$1:$1,0)),0))</f>
        <v>0.22</v>
      </c>
      <c r="T7">
        <f>IF(AND(INDEX('CA Standards and Followers'!$E$14:$E$73,MATCH($A7,'CA Standards and Followers'!$A$14:$A$73,0))=1,INDEX('CA Standards and Followers'!$H$14:$H$73,MATCH($A7,'CA Standards and Followers'!$A$14:$A$73,0))&lt;=T$1),INDEX('CA Standards and Followers'!$3:$3,MATCH(T$1,'CA Standards and Followers'!$1:$1,0)),IF(AND(INDEX('CA Standards and Followers'!$D$14:$D$73,MATCH($A7,'CA Standards and Followers'!$A$14:$A$73,0))=1,INDEX('CA Standards and Followers'!$G$14:$G$73,MATCH($A7,'CA Standards and Followers'!$A$14:$A$73,0))&lt;=T$1),INDEX('CA Standards and Followers'!$2:$2,MATCH(T$1,'CA Standards and Followers'!$1:$1,0)),0))</f>
        <v>0.22</v>
      </c>
      <c r="U7">
        <f>IF(AND(INDEX('CA Standards and Followers'!$E$14:$E$73,MATCH($A7,'CA Standards and Followers'!$A$14:$A$73,0))=1,INDEX('CA Standards and Followers'!$H$14:$H$73,MATCH($A7,'CA Standards and Followers'!$A$14:$A$73,0))&lt;=U$1),INDEX('CA Standards and Followers'!$3:$3,MATCH(U$1,'CA Standards and Followers'!$1:$1,0)),IF(AND(INDEX('CA Standards and Followers'!$D$14:$D$73,MATCH($A7,'CA Standards and Followers'!$A$14:$A$73,0))=1,INDEX('CA Standards and Followers'!$G$14:$G$73,MATCH($A7,'CA Standards and Followers'!$A$14:$A$73,0))&lt;=U$1),INDEX('CA Standards and Followers'!$2:$2,MATCH(U$1,'CA Standards and Followers'!$1:$1,0)),0))</f>
        <v>0.22</v>
      </c>
      <c r="V7">
        <f>IF(AND(INDEX('CA Standards and Followers'!$E$14:$E$73,MATCH($A7,'CA Standards and Followers'!$A$14:$A$73,0))=1,INDEX('CA Standards and Followers'!$H$14:$H$73,MATCH($A7,'CA Standards and Followers'!$A$14:$A$73,0))&lt;=V$1),INDEX('CA Standards and Followers'!$3:$3,MATCH(V$1,'CA Standards and Followers'!$1:$1,0)),IF(AND(INDEX('CA Standards and Followers'!$D$14:$D$73,MATCH($A7,'CA Standards and Followers'!$A$14:$A$73,0))=1,INDEX('CA Standards and Followers'!$G$14:$G$73,MATCH($A7,'CA Standards and Followers'!$A$14:$A$73,0))&lt;=V$1),INDEX('CA Standards and Followers'!$2:$2,MATCH(V$1,'CA Standards and Followers'!$1:$1,0)),0))</f>
        <v>0.22</v>
      </c>
      <c r="W7">
        <f>IF(AND(INDEX('CA Standards and Followers'!$E$14:$E$73,MATCH($A7,'CA Standards and Followers'!$A$14:$A$73,0))=1,INDEX('CA Standards and Followers'!$H$14:$H$73,MATCH($A7,'CA Standards and Followers'!$A$14:$A$73,0))&lt;=W$1),INDEX('CA Standards and Followers'!$3:$3,MATCH(W$1,'CA Standards and Followers'!$1:$1,0)),IF(AND(INDEX('CA Standards and Followers'!$D$14:$D$73,MATCH($A7,'CA Standards and Followers'!$A$14:$A$73,0))=1,INDEX('CA Standards and Followers'!$G$14:$G$73,MATCH($A7,'CA Standards and Followers'!$A$14:$A$73,0))&lt;=W$1),INDEX('CA Standards and Followers'!$2:$2,MATCH(W$1,'CA Standards and Followers'!$1:$1,0)),0))</f>
        <v>0.22</v>
      </c>
      <c r="X7">
        <f>IF(AND(INDEX('CA Standards and Followers'!$E$14:$E$73,MATCH($A7,'CA Standards and Followers'!$A$14:$A$73,0))=1,INDEX('CA Standards and Followers'!$H$14:$H$73,MATCH($A7,'CA Standards and Followers'!$A$14:$A$73,0))&lt;=X$1),INDEX('CA Standards and Followers'!$3:$3,MATCH(X$1,'CA Standards and Followers'!$1:$1,0)),IF(AND(INDEX('CA Standards and Followers'!$D$14:$D$73,MATCH($A7,'CA Standards and Followers'!$A$14:$A$73,0))=1,INDEX('CA Standards and Followers'!$G$14:$G$73,MATCH($A7,'CA Standards and Followers'!$A$14:$A$73,0))&lt;=X$1),INDEX('CA Standards and Followers'!$2:$2,MATCH(X$1,'CA Standards and Followers'!$1:$1,0)),0))</f>
        <v>0.22</v>
      </c>
      <c r="Y7">
        <f>IF(AND(INDEX('CA Standards and Followers'!$E$14:$E$73,MATCH($A7,'CA Standards and Followers'!$A$14:$A$73,0))=1,INDEX('CA Standards and Followers'!$H$14:$H$73,MATCH($A7,'CA Standards and Followers'!$A$14:$A$73,0))&lt;=Y$1),INDEX('CA Standards and Followers'!$3:$3,MATCH(Y$1,'CA Standards and Followers'!$1:$1,0)),IF(AND(INDEX('CA Standards and Followers'!$D$14:$D$73,MATCH($A7,'CA Standards and Followers'!$A$14:$A$73,0))=1,INDEX('CA Standards and Followers'!$G$14:$G$73,MATCH($A7,'CA Standards and Followers'!$A$14:$A$73,0))&lt;=Y$1),INDEX('CA Standards and Followers'!$2:$2,MATCH(Y$1,'CA Standards and Followers'!$1:$1,0)),0))</f>
        <v>0.22</v>
      </c>
      <c r="Z7">
        <f>IF(AND(INDEX('CA Standards and Followers'!$E$14:$E$73,MATCH($A7,'CA Standards and Followers'!$A$14:$A$73,0))=1,INDEX('CA Standards and Followers'!$H$14:$H$73,MATCH($A7,'CA Standards and Followers'!$A$14:$A$73,0))&lt;=Z$1),INDEX('CA Standards and Followers'!$3:$3,MATCH(Z$1,'CA Standards and Followers'!$1:$1,0)),IF(AND(INDEX('CA Standards and Followers'!$D$14:$D$73,MATCH($A7,'CA Standards and Followers'!$A$14:$A$73,0))=1,INDEX('CA Standards and Followers'!$G$14:$G$73,MATCH($A7,'CA Standards and Followers'!$A$14:$A$73,0))&lt;=Z$1),INDEX('CA Standards and Followers'!$2:$2,MATCH(Z$1,'CA Standards and Followers'!$1:$1,0)),0))</f>
        <v>0.22</v>
      </c>
      <c r="AA7">
        <f>IF(AND(INDEX('CA Standards and Followers'!$E$14:$E$73,MATCH($A7,'CA Standards and Followers'!$A$14:$A$73,0))=1,INDEX('CA Standards and Followers'!$H$14:$H$73,MATCH($A7,'CA Standards and Followers'!$A$14:$A$73,0))&lt;=AA$1),INDEX('CA Standards and Followers'!$3:$3,MATCH(AA$1,'CA Standards and Followers'!$1:$1,0)),IF(AND(INDEX('CA Standards and Followers'!$D$14:$D$73,MATCH($A7,'CA Standards and Followers'!$A$14:$A$73,0))=1,INDEX('CA Standards and Followers'!$G$14:$G$73,MATCH($A7,'CA Standards and Followers'!$A$14:$A$73,0))&lt;=AA$1),INDEX('CA Standards and Followers'!$2:$2,MATCH(AA$1,'CA Standards and Followers'!$1:$1,0)),0))</f>
        <v>0.22</v>
      </c>
      <c r="AB7">
        <f>IF(AND(INDEX('CA Standards and Followers'!$E$14:$E$73,MATCH($A7,'CA Standards and Followers'!$A$14:$A$73,0))=1,INDEX('CA Standards and Followers'!$H$14:$H$73,MATCH($A7,'CA Standards and Followers'!$A$14:$A$73,0))&lt;=AB$1),INDEX('CA Standards and Followers'!$3:$3,MATCH(AB$1,'CA Standards and Followers'!$1:$1,0)),IF(AND(INDEX('CA Standards and Followers'!$D$14:$D$73,MATCH($A7,'CA Standards and Followers'!$A$14:$A$73,0))=1,INDEX('CA Standards and Followers'!$G$14:$G$73,MATCH($A7,'CA Standards and Followers'!$A$14:$A$73,0))&lt;=AB$1),INDEX('CA Standards and Followers'!$2:$2,MATCH(AB$1,'CA Standards and Followers'!$1:$1,0)),0))</f>
        <v>0.22</v>
      </c>
      <c r="AC7">
        <f>IF(AND(INDEX('CA Standards and Followers'!$E$14:$E$73,MATCH($A7,'CA Standards and Followers'!$A$14:$A$73,0))=1,INDEX('CA Standards and Followers'!$H$14:$H$73,MATCH($A7,'CA Standards and Followers'!$A$14:$A$73,0))&lt;=AC$1),INDEX('CA Standards and Followers'!$3:$3,MATCH(AC$1,'CA Standards and Followers'!$1:$1,0)),IF(AND(INDEX('CA Standards and Followers'!$D$14:$D$73,MATCH($A7,'CA Standards and Followers'!$A$14:$A$73,0))=1,INDEX('CA Standards and Followers'!$G$14:$G$73,MATCH($A7,'CA Standards and Followers'!$A$14:$A$73,0))&lt;=AC$1),INDEX('CA Standards and Followers'!$2:$2,MATCH(AC$1,'CA Standards and Followers'!$1:$1,0)),0))</f>
        <v>0.22</v>
      </c>
      <c r="AD7">
        <f>IF(AND(INDEX('CA Standards and Followers'!$E$14:$E$73,MATCH($A7,'CA Standards and Followers'!$A$14:$A$73,0))=1,INDEX('CA Standards and Followers'!$H$14:$H$73,MATCH($A7,'CA Standards and Followers'!$A$14:$A$73,0))&lt;=AD$1),INDEX('CA Standards and Followers'!$3:$3,MATCH(AD$1,'CA Standards and Followers'!$1:$1,0)),IF(AND(INDEX('CA Standards and Followers'!$D$14:$D$73,MATCH($A7,'CA Standards and Followers'!$A$14:$A$73,0))=1,INDEX('CA Standards and Followers'!$G$14:$G$73,MATCH($A7,'CA Standards and Followers'!$A$14:$A$73,0))&lt;=AD$1),INDEX('CA Standards and Followers'!$2:$2,MATCH(AD$1,'CA Standards and Followers'!$1:$1,0)),0))</f>
        <v>0.22</v>
      </c>
      <c r="AE7">
        <f>IF(AND(INDEX('CA Standards and Followers'!$E$14:$E$73,MATCH($A7,'CA Standards and Followers'!$A$14:$A$73,0))=1,INDEX('CA Standards and Followers'!$H$14:$H$73,MATCH($A7,'CA Standards and Followers'!$A$14:$A$73,0))&lt;=AE$1),INDEX('CA Standards and Followers'!$3:$3,MATCH(AE$1,'CA Standards and Followers'!$1:$1,0)),IF(AND(INDEX('CA Standards and Followers'!$D$14:$D$73,MATCH($A7,'CA Standards and Followers'!$A$14:$A$73,0))=1,INDEX('CA Standards and Followers'!$G$14:$G$73,MATCH($A7,'CA Standards and Followers'!$A$14:$A$73,0))&lt;=AE$1),INDEX('CA Standards and Followers'!$2:$2,MATCH(AE$1,'CA Standards and Followers'!$1:$1,0)),0))</f>
        <v>0.22</v>
      </c>
      <c r="AF7">
        <f>IF(AND(INDEX('CA Standards and Followers'!$E$14:$E$73,MATCH($A7,'CA Standards and Followers'!$A$14:$A$73,0))=1,INDEX('CA Standards and Followers'!$H$14:$H$73,MATCH($A7,'CA Standards and Followers'!$A$14:$A$73,0))&lt;=AF$1),INDEX('CA Standards and Followers'!$3:$3,MATCH(AF$1,'CA Standards and Followers'!$1:$1,0)),IF(AND(INDEX('CA Standards and Followers'!$D$14:$D$73,MATCH($A7,'CA Standards and Followers'!$A$14:$A$73,0))=1,INDEX('CA Standards and Followers'!$G$14:$G$73,MATCH($A7,'CA Standards and Followers'!$A$14:$A$73,0))&lt;=AF$1),INDEX('CA Standards and Followers'!$2:$2,MATCH(AF$1,'CA Standards and Followers'!$1:$1,0)),0))</f>
        <v>0.22</v>
      </c>
    </row>
    <row r="8" spans="1:32" x14ac:dyDescent="0.25">
      <c r="A8" t="s">
        <v>8</v>
      </c>
      <c r="B8">
        <f>IF(AND(INDEX('CA Standards and Followers'!$E$14:$E$73,MATCH($A8,'CA Standards and Followers'!$A$14:$A$73,0))=1,INDEX('CA Standards and Followers'!$H$14:$H$73,MATCH($A8,'CA Standards and Followers'!$A$14:$A$73,0))&lt;=B$1),INDEX('CA Standards and Followers'!$3:$3,MATCH(B$1,'CA Standards and Followers'!$1:$1,0)),IF(AND(INDEX('CA Standards and Followers'!$D$14:$D$73,MATCH($A8,'CA Standards and Followers'!$A$14:$A$73,0))=1,INDEX('CA Standards and Followers'!$G$14:$G$73,MATCH($A8,'CA Standards and Followers'!$A$14:$A$73,0))&lt;=B$1),INDEX('CA Standards and Followers'!$2:$2,MATCH(B$1,'CA Standards and Followers'!$1:$1,0)),0))</f>
        <v>9.5000000000000001E-2</v>
      </c>
      <c r="C8">
        <f>IF(AND(INDEX('CA Standards and Followers'!$E$14:$E$73,MATCH($A8,'CA Standards and Followers'!$A$14:$A$73,0))=1,INDEX('CA Standards and Followers'!$H$14:$H$73,MATCH($A8,'CA Standards and Followers'!$A$14:$A$73,0))&lt;=C$1),INDEX('CA Standards and Followers'!$3:$3,MATCH(C$1,'CA Standards and Followers'!$1:$1,0)),IF(AND(INDEX('CA Standards and Followers'!$D$14:$D$73,MATCH($A8,'CA Standards and Followers'!$A$14:$A$73,0))=1,INDEX('CA Standards and Followers'!$G$14:$G$73,MATCH($A8,'CA Standards and Followers'!$A$14:$A$73,0))&lt;=C$1),INDEX('CA Standards and Followers'!$2:$2,MATCH(C$1,'CA Standards and Followers'!$1:$1,0)),0))</f>
        <v>0.12</v>
      </c>
      <c r="D8">
        <f>IF(AND(INDEX('CA Standards and Followers'!$E$14:$E$73,MATCH($A8,'CA Standards and Followers'!$A$14:$A$73,0))=1,INDEX('CA Standards and Followers'!$H$14:$H$73,MATCH($A8,'CA Standards and Followers'!$A$14:$A$73,0))&lt;=D$1),INDEX('CA Standards and Followers'!$3:$3,MATCH(D$1,'CA Standards and Followers'!$1:$1,0)),IF(AND(INDEX('CA Standards and Followers'!$D$14:$D$73,MATCH($A8,'CA Standards and Followers'!$A$14:$A$73,0))=1,INDEX('CA Standards and Followers'!$G$14:$G$73,MATCH($A8,'CA Standards and Followers'!$A$14:$A$73,0))&lt;=D$1),INDEX('CA Standards and Followers'!$2:$2,MATCH(D$1,'CA Standards and Followers'!$1:$1,0)),0))</f>
        <v>0.14499999999999999</v>
      </c>
      <c r="E8">
        <f>IF(AND(INDEX('CA Standards and Followers'!$E$14:$E$73,MATCH($A8,'CA Standards and Followers'!$A$14:$A$73,0))=1,INDEX('CA Standards and Followers'!$H$14:$H$73,MATCH($A8,'CA Standards and Followers'!$A$14:$A$73,0))&lt;=E$1),INDEX('CA Standards and Followers'!$3:$3,MATCH(E$1,'CA Standards and Followers'!$1:$1,0)),IF(AND(INDEX('CA Standards and Followers'!$D$14:$D$73,MATCH($A8,'CA Standards and Followers'!$A$14:$A$73,0))=1,INDEX('CA Standards and Followers'!$G$14:$G$73,MATCH($A8,'CA Standards and Followers'!$A$14:$A$73,0))&lt;=E$1),INDEX('CA Standards and Followers'!$2:$2,MATCH(E$1,'CA Standards and Followers'!$1:$1,0)),0))</f>
        <v>0.16999999999999998</v>
      </c>
      <c r="F8">
        <f>IF(AND(INDEX('CA Standards and Followers'!$E$14:$E$73,MATCH($A8,'CA Standards and Followers'!$A$14:$A$73,0))=1,INDEX('CA Standards and Followers'!$H$14:$H$73,MATCH($A8,'CA Standards and Followers'!$A$14:$A$73,0))&lt;=F$1),INDEX('CA Standards and Followers'!$3:$3,MATCH(F$1,'CA Standards and Followers'!$1:$1,0)),IF(AND(INDEX('CA Standards and Followers'!$D$14:$D$73,MATCH($A8,'CA Standards and Followers'!$A$14:$A$73,0))=1,INDEX('CA Standards and Followers'!$G$14:$G$73,MATCH($A8,'CA Standards and Followers'!$A$14:$A$73,0))&lt;=F$1),INDEX('CA Standards and Followers'!$2:$2,MATCH(F$1,'CA Standards and Followers'!$1:$1,0)),0))</f>
        <v>0.19500000000000001</v>
      </c>
      <c r="G8">
        <f>IF(AND(INDEX('CA Standards and Followers'!$E$14:$E$73,MATCH($A8,'CA Standards and Followers'!$A$14:$A$73,0))=1,INDEX('CA Standards and Followers'!$H$14:$H$73,MATCH($A8,'CA Standards and Followers'!$A$14:$A$73,0))&lt;=G$1),INDEX('CA Standards and Followers'!$3:$3,MATCH(G$1,'CA Standards and Followers'!$1:$1,0)),IF(AND(INDEX('CA Standards and Followers'!$D$14:$D$73,MATCH($A8,'CA Standards and Followers'!$A$14:$A$73,0))=1,INDEX('CA Standards and Followers'!$G$14:$G$73,MATCH($A8,'CA Standards and Followers'!$A$14:$A$73,0))&lt;=G$1),INDEX('CA Standards and Followers'!$2:$2,MATCH(G$1,'CA Standards and Followers'!$1:$1,0)),0))</f>
        <v>0.21999999999999997</v>
      </c>
      <c r="H8">
        <f>IF(AND(INDEX('CA Standards and Followers'!$E$14:$E$73,MATCH($A8,'CA Standards and Followers'!$A$14:$A$73,0))=1,INDEX('CA Standards and Followers'!$H$14:$H$73,MATCH($A8,'CA Standards and Followers'!$A$14:$A$73,0))&lt;=H$1),INDEX('CA Standards and Followers'!$3:$3,MATCH(H$1,'CA Standards and Followers'!$1:$1,0)),IF(AND(INDEX('CA Standards and Followers'!$D$14:$D$73,MATCH($A8,'CA Standards and Followers'!$A$14:$A$73,0))=1,INDEX('CA Standards and Followers'!$G$14:$G$73,MATCH($A8,'CA Standards and Followers'!$A$14:$A$73,0))&lt;=H$1),INDEX('CA Standards and Followers'!$2:$2,MATCH(H$1,'CA Standards and Followers'!$1:$1,0)),0))</f>
        <v>0.22</v>
      </c>
      <c r="I8">
        <f>IF(AND(INDEX('CA Standards and Followers'!$E$14:$E$73,MATCH($A8,'CA Standards and Followers'!$A$14:$A$73,0))=1,INDEX('CA Standards and Followers'!$H$14:$H$73,MATCH($A8,'CA Standards and Followers'!$A$14:$A$73,0))&lt;=I$1),INDEX('CA Standards and Followers'!$3:$3,MATCH(I$1,'CA Standards and Followers'!$1:$1,0)),IF(AND(INDEX('CA Standards and Followers'!$D$14:$D$73,MATCH($A8,'CA Standards and Followers'!$A$14:$A$73,0))=1,INDEX('CA Standards and Followers'!$G$14:$G$73,MATCH($A8,'CA Standards and Followers'!$A$14:$A$73,0))&lt;=I$1),INDEX('CA Standards and Followers'!$2:$2,MATCH(I$1,'CA Standards and Followers'!$1:$1,0)),0))</f>
        <v>0.22</v>
      </c>
      <c r="J8">
        <f>IF(AND(INDEX('CA Standards and Followers'!$E$14:$E$73,MATCH($A8,'CA Standards and Followers'!$A$14:$A$73,0))=1,INDEX('CA Standards and Followers'!$H$14:$H$73,MATCH($A8,'CA Standards and Followers'!$A$14:$A$73,0))&lt;=J$1),INDEX('CA Standards and Followers'!$3:$3,MATCH(J$1,'CA Standards and Followers'!$1:$1,0)),IF(AND(INDEX('CA Standards and Followers'!$D$14:$D$73,MATCH($A8,'CA Standards and Followers'!$A$14:$A$73,0))=1,INDEX('CA Standards and Followers'!$G$14:$G$73,MATCH($A8,'CA Standards and Followers'!$A$14:$A$73,0))&lt;=J$1),INDEX('CA Standards and Followers'!$2:$2,MATCH(J$1,'CA Standards and Followers'!$1:$1,0)),0))</f>
        <v>0.22</v>
      </c>
      <c r="K8">
        <f>IF(AND(INDEX('CA Standards and Followers'!$E$14:$E$73,MATCH($A8,'CA Standards and Followers'!$A$14:$A$73,0))=1,INDEX('CA Standards and Followers'!$H$14:$H$73,MATCH($A8,'CA Standards and Followers'!$A$14:$A$73,0))&lt;=K$1),INDEX('CA Standards and Followers'!$3:$3,MATCH(K$1,'CA Standards and Followers'!$1:$1,0)),IF(AND(INDEX('CA Standards and Followers'!$D$14:$D$73,MATCH($A8,'CA Standards and Followers'!$A$14:$A$73,0))=1,INDEX('CA Standards and Followers'!$G$14:$G$73,MATCH($A8,'CA Standards and Followers'!$A$14:$A$73,0))&lt;=K$1),INDEX('CA Standards and Followers'!$2:$2,MATCH(K$1,'CA Standards and Followers'!$1:$1,0)),0))</f>
        <v>0.22</v>
      </c>
      <c r="L8">
        <f>IF(AND(INDEX('CA Standards and Followers'!$E$14:$E$73,MATCH($A8,'CA Standards and Followers'!$A$14:$A$73,0))=1,INDEX('CA Standards and Followers'!$H$14:$H$73,MATCH($A8,'CA Standards and Followers'!$A$14:$A$73,0))&lt;=L$1),INDEX('CA Standards and Followers'!$3:$3,MATCH(L$1,'CA Standards and Followers'!$1:$1,0)),IF(AND(INDEX('CA Standards and Followers'!$D$14:$D$73,MATCH($A8,'CA Standards and Followers'!$A$14:$A$73,0))=1,INDEX('CA Standards and Followers'!$G$14:$G$73,MATCH($A8,'CA Standards and Followers'!$A$14:$A$73,0))&lt;=L$1),INDEX('CA Standards and Followers'!$2:$2,MATCH(L$1,'CA Standards and Followers'!$1:$1,0)),0))</f>
        <v>0.22</v>
      </c>
      <c r="M8">
        <f>IF(AND(INDEX('CA Standards and Followers'!$E$14:$E$73,MATCH($A8,'CA Standards and Followers'!$A$14:$A$73,0))=1,INDEX('CA Standards and Followers'!$H$14:$H$73,MATCH($A8,'CA Standards and Followers'!$A$14:$A$73,0))&lt;=M$1),INDEX('CA Standards and Followers'!$3:$3,MATCH(M$1,'CA Standards and Followers'!$1:$1,0)),IF(AND(INDEX('CA Standards and Followers'!$D$14:$D$73,MATCH($A8,'CA Standards and Followers'!$A$14:$A$73,0))=1,INDEX('CA Standards and Followers'!$G$14:$G$73,MATCH($A8,'CA Standards and Followers'!$A$14:$A$73,0))&lt;=M$1),INDEX('CA Standards and Followers'!$2:$2,MATCH(M$1,'CA Standards and Followers'!$1:$1,0)),0))</f>
        <v>0.22</v>
      </c>
      <c r="N8">
        <f>IF(AND(INDEX('CA Standards and Followers'!$E$14:$E$73,MATCH($A8,'CA Standards and Followers'!$A$14:$A$73,0))=1,INDEX('CA Standards and Followers'!$H$14:$H$73,MATCH($A8,'CA Standards and Followers'!$A$14:$A$73,0))&lt;=N$1),INDEX('CA Standards and Followers'!$3:$3,MATCH(N$1,'CA Standards and Followers'!$1:$1,0)),IF(AND(INDEX('CA Standards and Followers'!$D$14:$D$73,MATCH($A8,'CA Standards and Followers'!$A$14:$A$73,0))=1,INDEX('CA Standards and Followers'!$G$14:$G$73,MATCH($A8,'CA Standards and Followers'!$A$14:$A$73,0))&lt;=N$1),INDEX('CA Standards and Followers'!$2:$2,MATCH(N$1,'CA Standards and Followers'!$1:$1,0)),0))</f>
        <v>0.22</v>
      </c>
      <c r="O8">
        <f>IF(AND(INDEX('CA Standards and Followers'!$E$14:$E$73,MATCH($A8,'CA Standards and Followers'!$A$14:$A$73,0))=1,INDEX('CA Standards and Followers'!$H$14:$H$73,MATCH($A8,'CA Standards and Followers'!$A$14:$A$73,0))&lt;=O$1),INDEX('CA Standards and Followers'!$3:$3,MATCH(O$1,'CA Standards and Followers'!$1:$1,0)),IF(AND(INDEX('CA Standards and Followers'!$D$14:$D$73,MATCH($A8,'CA Standards and Followers'!$A$14:$A$73,0))=1,INDEX('CA Standards and Followers'!$G$14:$G$73,MATCH($A8,'CA Standards and Followers'!$A$14:$A$73,0))&lt;=O$1),INDEX('CA Standards and Followers'!$2:$2,MATCH(O$1,'CA Standards and Followers'!$1:$1,0)),0))</f>
        <v>0.22</v>
      </c>
      <c r="P8">
        <f>IF(AND(INDEX('CA Standards and Followers'!$E$14:$E$73,MATCH($A8,'CA Standards and Followers'!$A$14:$A$73,0))=1,INDEX('CA Standards and Followers'!$H$14:$H$73,MATCH($A8,'CA Standards and Followers'!$A$14:$A$73,0))&lt;=P$1),INDEX('CA Standards and Followers'!$3:$3,MATCH(P$1,'CA Standards and Followers'!$1:$1,0)),IF(AND(INDEX('CA Standards and Followers'!$D$14:$D$73,MATCH($A8,'CA Standards and Followers'!$A$14:$A$73,0))=1,INDEX('CA Standards and Followers'!$G$14:$G$73,MATCH($A8,'CA Standards and Followers'!$A$14:$A$73,0))&lt;=P$1),INDEX('CA Standards and Followers'!$2:$2,MATCH(P$1,'CA Standards and Followers'!$1:$1,0)),0))</f>
        <v>0.22</v>
      </c>
      <c r="Q8">
        <f>IF(AND(INDEX('CA Standards and Followers'!$E$14:$E$73,MATCH($A8,'CA Standards and Followers'!$A$14:$A$73,0))=1,INDEX('CA Standards and Followers'!$H$14:$H$73,MATCH($A8,'CA Standards and Followers'!$A$14:$A$73,0))&lt;=Q$1),INDEX('CA Standards and Followers'!$3:$3,MATCH(Q$1,'CA Standards and Followers'!$1:$1,0)),IF(AND(INDEX('CA Standards and Followers'!$D$14:$D$73,MATCH($A8,'CA Standards and Followers'!$A$14:$A$73,0))=1,INDEX('CA Standards and Followers'!$G$14:$G$73,MATCH($A8,'CA Standards and Followers'!$A$14:$A$73,0))&lt;=Q$1),INDEX('CA Standards and Followers'!$2:$2,MATCH(Q$1,'CA Standards and Followers'!$1:$1,0)),0))</f>
        <v>0.22</v>
      </c>
      <c r="R8">
        <f>IF(AND(INDEX('CA Standards and Followers'!$E$14:$E$73,MATCH($A8,'CA Standards and Followers'!$A$14:$A$73,0))=1,INDEX('CA Standards and Followers'!$H$14:$H$73,MATCH($A8,'CA Standards and Followers'!$A$14:$A$73,0))&lt;=R$1),INDEX('CA Standards and Followers'!$3:$3,MATCH(R$1,'CA Standards and Followers'!$1:$1,0)),IF(AND(INDEX('CA Standards and Followers'!$D$14:$D$73,MATCH($A8,'CA Standards and Followers'!$A$14:$A$73,0))=1,INDEX('CA Standards and Followers'!$G$14:$G$73,MATCH($A8,'CA Standards and Followers'!$A$14:$A$73,0))&lt;=R$1),INDEX('CA Standards and Followers'!$2:$2,MATCH(R$1,'CA Standards and Followers'!$1:$1,0)),0))</f>
        <v>0.22</v>
      </c>
      <c r="S8">
        <f>IF(AND(INDEX('CA Standards and Followers'!$E$14:$E$73,MATCH($A8,'CA Standards and Followers'!$A$14:$A$73,0))=1,INDEX('CA Standards and Followers'!$H$14:$H$73,MATCH($A8,'CA Standards and Followers'!$A$14:$A$73,0))&lt;=S$1),INDEX('CA Standards and Followers'!$3:$3,MATCH(S$1,'CA Standards and Followers'!$1:$1,0)),IF(AND(INDEX('CA Standards and Followers'!$D$14:$D$73,MATCH($A8,'CA Standards and Followers'!$A$14:$A$73,0))=1,INDEX('CA Standards and Followers'!$G$14:$G$73,MATCH($A8,'CA Standards and Followers'!$A$14:$A$73,0))&lt;=S$1),INDEX('CA Standards and Followers'!$2:$2,MATCH(S$1,'CA Standards and Followers'!$1:$1,0)),0))</f>
        <v>0.22</v>
      </c>
      <c r="T8">
        <f>IF(AND(INDEX('CA Standards and Followers'!$E$14:$E$73,MATCH($A8,'CA Standards and Followers'!$A$14:$A$73,0))=1,INDEX('CA Standards and Followers'!$H$14:$H$73,MATCH($A8,'CA Standards and Followers'!$A$14:$A$73,0))&lt;=T$1),INDEX('CA Standards and Followers'!$3:$3,MATCH(T$1,'CA Standards and Followers'!$1:$1,0)),IF(AND(INDEX('CA Standards and Followers'!$D$14:$D$73,MATCH($A8,'CA Standards and Followers'!$A$14:$A$73,0))=1,INDEX('CA Standards and Followers'!$G$14:$G$73,MATCH($A8,'CA Standards and Followers'!$A$14:$A$73,0))&lt;=T$1),INDEX('CA Standards and Followers'!$2:$2,MATCH(T$1,'CA Standards and Followers'!$1:$1,0)),0))</f>
        <v>0.22</v>
      </c>
      <c r="U8">
        <f>IF(AND(INDEX('CA Standards and Followers'!$E$14:$E$73,MATCH($A8,'CA Standards and Followers'!$A$14:$A$73,0))=1,INDEX('CA Standards and Followers'!$H$14:$H$73,MATCH($A8,'CA Standards and Followers'!$A$14:$A$73,0))&lt;=U$1),INDEX('CA Standards and Followers'!$3:$3,MATCH(U$1,'CA Standards and Followers'!$1:$1,0)),IF(AND(INDEX('CA Standards and Followers'!$D$14:$D$73,MATCH($A8,'CA Standards and Followers'!$A$14:$A$73,0))=1,INDEX('CA Standards and Followers'!$G$14:$G$73,MATCH($A8,'CA Standards and Followers'!$A$14:$A$73,0))&lt;=U$1),INDEX('CA Standards and Followers'!$2:$2,MATCH(U$1,'CA Standards and Followers'!$1:$1,0)),0))</f>
        <v>0.22</v>
      </c>
      <c r="V8">
        <f>IF(AND(INDEX('CA Standards and Followers'!$E$14:$E$73,MATCH($A8,'CA Standards and Followers'!$A$14:$A$73,0))=1,INDEX('CA Standards and Followers'!$H$14:$H$73,MATCH($A8,'CA Standards and Followers'!$A$14:$A$73,0))&lt;=V$1),INDEX('CA Standards and Followers'!$3:$3,MATCH(V$1,'CA Standards and Followers'!$1:$1,0)),IF(AND(INDEX('CA Standards and Followers'!$D$14:$D$73,MATCH($A8,'CA Standards and Followers'!$A$14:$A$73,0))=1,INDEX('CA Standards and Followers'!$G$14:$G$73,MATCH($A8,'CA Standards and Followers'!$A$14:$A$73,0))&lt;=V$1),INDEX('CA Standards and Followers'!$2:$2,MATCH(V$1,'CA Standards and Followers'!$1:$1,0)),0))</f>
        <v>0.22</v>
      </c>
      <c r="W8">
        <f>IF(AND(INDEX('CA Standards and Followers'!$E$14:$E$73,MATCH($A8,'CA Standards and Followers'!$A$14:$A$73,0))=1,INDEX('CA Standards and Followers'!$H$14:$H$73,MATCH($A8,'CA Standards and Followers'!$A$14:$A$73,0))&lt;=W$1),INDEX('CA Standards and Followers'!$3:$3,MATCH(W$1,'CA Standards and Followers'!$1:$1,0)),IF(AND(INDEX('CA Standards and Followers'!$D$14:$D$73,MATCH($A8,'CA Standards and Followers'!$A$14:$A$73,0))=1,INDEX('CA Standards and Followers'!$G$14:$G$73,MATCH($A8,'CA Standards and Followers'!$A$14:$A$73,0))&lt;=W$1),INDEX('CA Standards and Followers'!$2:$2,MATCH(W$1,'CA Standards and Followers'!$1:$1,0)),0))</f>
        <v>0.22</v>
      </c>
      <c r="X8">
        <f>IF(AND(INDEX('CA Standards and Followers'!$E$14:$E$73,MATCH($A8,'CA Standards and Followers'!$A$14:$A$73,0))=1,INDEX('CA Standards and Followers'!$H$14:$H$73,MATCH($A8,'CA Standards and Followers'!$A$14:$A$73,0))&lt;=X$1),INDEX('CA Standards and Followers'!$3:$3,MATCH(X$1,'CA Standards and Followers'!$1:$1,0)),IF(AND(INDEX('CA Standards and Followers'!$D$14:$D$73,MATCH($A8,'CA Standards and Followers'!$A$14:$A$73,0))=1,INDEX('CA Standards and Followers'!$G$14:$G$73,MATCH($A8,'CA Standards and Followers'!$A$14:$A$73,0))&lt;=X$1),INDEX('CA Standards and Followers'!$2:$2,MATCH(X$1,'CA Standards and Followers'!$1:$1,0)),0))</f>
        <v>0.22</v>
      </c>
      <c r="Y8">
        <f>IF(AND(INDEX('CA Standards and Followers'!$E$14:$E$73,MATCH($A8,'CA Standards and Followers'!$A$14:$A$73,0))=1,INDEX('CA Standards and Followers'!$H$14:$H$73,MATCH($A8,'CA Standards and Followers'!$A$14:$A$73,0))&lt;=Y$1),INDEX('CA Standards and Followers'!$3:$3,MATCH(Y$1,'CA Standards and Followers'!$1:$1,0)),IF(AND(INDEX('CA Standards and Followers'!$D$14:$D$73,MATCH($A8,'CA Standards and Followers'!$A$14:$A$73,0))=1,INDEX('CA Standards and Followers'!$G$14:$G$73,MATCH($A8,'CA Standards and Followers'!$A$14:$A$73,0))&lt;=Y$1),INDEX('CA Standards and Followers'!$2:$2,MATCH(Y$1,'CA Standards and Followers'!$1:$1,0)),0))</f>
        <v>0.22</v>
      </c>
      <c r="Z8">
        <f>IF(AND(INDEX('CA Standards and Followers'!$E$14:$E$73,MATCH($A8,'CA Standards and Followers'!$A$14:$A$73,0))=1,INDEX('CA Standards and Followers'!$H$14:$H$73,MATCH($A8,'CA Standards and Followers'!$A$14:$A$73,0))&lt;=Z$1),INDEX('CA Standards and Followers'!$3:$3,MATCH(Z$1,'CA Standards and Followers'!$1:$1,0)),IF(AND(INDEX('CA Standards and Followers'!$D$14:$D$73,MATCH($A8,'CA Standards and Followers'!$A$14:$A$73,0))=1,INDEX('CA Standards and Followers'!$G$14:$G$73,MATCH($A8,'CA Standards and Followers'!$A$14:$A$73,0))&lt;=Z$1),INDEX('CA Standards and Followers'!$2:$2,MATCH(Z$1,'CA Standards and Followers'!$1:$1,0)),0))</f>
        <v>0.22</v>
      </c>
      <c r="AA8">
        <f>IF(AND(INDEX('CA Standards and Followers'!$E$14:$E$73,MATCH($A8,'CA Standards and Followers'!$A$14:$A$73,0))=1,INDEX('CA Standards and Followers'!$H$14:$H$73,MATCH($A8,'CA Standards and Followers'!$A$14:$A$73,0))&lt;=AA$1),INDEX('CA Standards and Followers'!$3:$3,MATCH(AA$1,'CA Standards and Followers'!$1:$1,0)),IF(AND(INDEX('CA Standards and Followers'!$D$14:$D$73,MATCH($A8,'CA Standards and Followers'!$A$14:$A$73,0))=1,INDEX('CA Standards and Followers'!$G$14:$G$73,MATCH($A8,'CA Standards and Followers'!$A$14:$A$73,0))&lt;=AA$1),INDEX('CA Standards and Followers'!$2:$2,MATCH(AA$1,'CA Standards and Followers'!$1:$1,0)),0))</f>
        <v>0.22</v>
      </c>
      <c r="AB8">
        <f>IF(AND(INDEX('CA Standards and Followers'!$E$14:$E$73,MATCH($A8,'CA Standards and Followers'!$A$14:$A$73,0))=1,INDEX('CA Standards and Followers'!$H$14:$H$73,MATCH($A8,'CA Standards and Followers'!$A$14:$A$73,0))&lt;=AB$1),INDEX('CA Standards and Followers'!$3:$3,MATCH(AB$1,'CA Standards and Followers'!$1:$1,0)),IF(AND(INDEX('CA Standards and Followers'!$D$14:$D$73,MATCH($A8,'CA Standards and Followers'!$A$14:$A$73,0))=1,INDEX('CA Standards and Followers'!$G$14:$G$73,MATCH($A8,'CA Standards and Followers'!$A$14:$A$73,0))&lt;=AB$1),INDEX('CA Standards and Followers'!$2:$2,MATCH(AB$1,'CA Standards and Followers'!$1:$1,0)),0))</f>
        <v>0.22</v>
      </c>
      <c r="AC8">
        <f>IF(AND(INDEX('CA Standards and Followers'!$E$14:$E$73,MATCH($A8,'CA Standards and Followers'!$A$14:$A$73,0))=1,INDEX('CA Standards and Followers'!$H$14:$H$73,MATCH($A8,'CA Standards and Followers'!$A$14:$A$73,0))&lt;=AC$1),INDEX('CA Standards and Followers'!$3:$3,MATCH(AC$1,'CA Standards and Followers'!$1:$1,0)),IF(AND(INDEX('CA Standards and Followers'!$D$14:$D$73,MATCH($A8,'CA Standards and Followers'!$A$14:$A$73,0))=1,INDEX('CA Standards and Followers'!$G$14:$G$73,MATCH($A8,'CA Standards and Followers'!$A$14:$A$73,0))&lt;=AC$1),INDEX('CA Standards and Followers'!$2:$2,MATCH(AC$1,'CA Standards and Followers'!$1:$1,0)),0))</f>
        <v>0.22</v>
      </c>
      <c r="AD8">
        <f>IF(AND(INDEX('CA Standards and Followers'!$E$14:$E$73,MATCH($A8,'CA Standards and Followers'!$A$14:$A$73,0))=1,INDEX('CA Standards and Followers'!$H$14:$H$73,MATCH($A8,'CA Standards and Followers'!$A$14:$A$73,0))&lt;=AD$1),INDEX('CA Standards and Followers'!$3:$3,MATCH(AD$1,'CA Standards and Followers'!$1:$1,0)),IF(AND(INDEX('CA Standards and Followers'!$D$14:$D$73,MATCH($A8,'CA Standards and Followers'!$A$14:$A$73,0))=1,INDEX('CA Standards and Followers'!$G$14:$G$73,MATCH($A8,'CA Standards and Followers'!$A$14:$A$73,0))&lt;=AD$1),INDEX('CA Standards and Followers'!$2:$2,MATCH(AD$1,'CA Standards and Followers'!$1:$1,0)),0))</f>
        <v>0.22</v>
      </c>
      <c r="AE8">
        <f>IF(AND(INDEX('CA Standards and Followers'!$E$14:$E$73,MATCH($A8,'CA Standards and Followers'!$A$14:$A$73,0))=1,INDEX('CA Standards and Followers'!$H$14:$H$73,MATCH($A8,'CA Standards and Followers'!$A$14:$A$73,0))&lt;=AE$1),INDEX('CA Standards and Followers'!$3:$3,MATCH(AE$1,'CA Standards and Followers'!$1:$1,0)),IF(AND(INDEX('CA Standards and Followers'!$D$14:$D$73,MATCH($A8,'CA Standards and Followers'!$A$14:$A$73,0))=1,INDEX('CA Standards and Followers'!$G$14:$G$73,MATCH($A8,'CA Standards and Followers'!$A$14:$A$73,0))&lt;=AE$1),INDEX('CA Standards and Followers'!$2:$2,MATCH(AE$1,'CA Standards and Followers'!$1:$1,0)),0))</f>
        <v>0.22</v>
      </c>
      <c r="AF8">
        <f>IF(AND(INDEX('CA Standards and Followers'!$E$14:$E$73,MATCH($A8,'CA Standards and Followers'!$A$14:$A$73,0))=1,INDEX('CA Standards and Followers'!$H$14:$H$73,MATCH($A8,'CA Standards and Followers'!$A$14:$A$73,0))&lt;=AF$1),INDEX('CA Standards and Followers'!$3:$3,MATCH(AF$1,'CA Standards and Followers'!$1:$1,0)),IF(AND(INDEX('CA Standards and Followers'!$D$14:$D$73,MATCH($A8,'CA Standards and Followers'!$A$14:$A$73,0))=1,INDEX('CA Standards and Followers'!$G$14:$G$73,MATCH($A8,'CA Standards and Followers'!$A$14:$A$73,0))&lt;=AF$1),INDEX('CA Standards and Followers'!$2:$2,MATCH(AF$1,'CA Standards and Followers'!$1:$1,0)),0))</f>
        <v>0.22</v>
      </c>
    </row>
    <row r="9" spans="1:32" x14ac:dyDescent="0.25">
      <c r="A9" t="s">
        <v>9</v>
      </c>
      <c r="B9">
        <f>IF(AND(INDEX('CA Standards and Followers'!$E$14:$E$73,MATCH($A9,'CA Standards and Followers'!$A$14:$A$73,0))=1,INDEX('CA Standards and Followers'!$H$14:$H$73,MATCH($A9,'CA Standards and Followers'!$A$14:$A$73,0))&lt;=B$1),INDEX('CA Standards and Followers'!$3:$3,MATCH(B$1,'CA Standards and Followers'!$1:$1,0)),IF(AND(INDEX('CA Standards and Followers'!$D$14:$D$73,MATCH($A9,'CA Standards and Followers'!$A$14:$A$73,0))=1,INDEX('CA Standards and Followers'!$G$14:$G$73,MATCH($A9,'CA Standards and Followers'!$A$14:$A$73,0))&lt;=B$1),INDEX('CA Standards and Followers'!$2:$2,MATCH(B$1,'CA Standards and Followers'!$1:$1,0)),0))</f>
        <v>0</v>
      </c>
      <c r="C9">
        <f>IF(AND(INDEX('CA Standards and Followers'!$E$14:$E$73,MATCH($A9,'CA Standards and Followers'!$A$14:$A$73,0))=1,INDEX('CA Standards and Followers'!$H$14:$H$73,MATCH($A9,'CA Standards and Followers'!$A$14:$A$73,0))&lt;=C$1),INDEX('CA Standards and Followers'!$3:$3,MATCH(C$1,'CA Standards and Followers'!$1:$1,0)),IF(AND(INDEX('CA Standards and Followers'!$D$14:$D$73,MATCH($A9,'CA Standards and Followers'!$A$14:$A$73,0))=1,INDEX('CA Standards and Followers'!$G$14:$G$73,MATCH($A9,'CA Standards and Followers'!$A$14:$A$73,0))&lt;=C$1),INDEX('CA Standards and Followers'!$2:$2,MATCH(C$1,'CA Standards and Followers'!$1:$1,0)),0))</f>
        <v>0</v>
      </c>
      <c r="D9">
        <f>IF(AND(INDEX('CA Standards and Followers'!$E$14:$E$73,MATCH($A9,'CA Standards and Followers'!$A$14:$A$73,0))=1,INDEX('CA Standards and Followers'!$H$14:$H$73,MATCH($A9,'CA Standards and Followers'!$A$14:$A$73,0))&lt;=D$1),INDEX('CA Standards and Followers'!$3:$3,MATCH(D$1,'CA Standards and Followers'!$1:$1,0)),IF(AND(INDEX('CA Standards and Followers'!$D$14:$D$73,MATCH($A9,'CA Standards and Followers'!$A$14:$A$73,0))=1,INDEX('CA Standards and Followers'!$G$14:$G$73,MATCH($A9,'CA Standards and Followers'!$A$14:$A$73,0))&lt;=D$1),INDEX('CA Standards and Followers'!$2:$2,MATCH(D$1,'CA Standards and Followers'!$1:$1,0)),0))</f>
        <v>0</v>
      </c>
      <c r="E9">
        <f>IF(AND(INDEX('CA Standards and Followers'!$E$14:$E$73,MATCH($A9,'CA Standards and Followers'!$A$14:$A$73,0))=1,INDEX('CA Standards and Followers'!$H$14:$H$73,MATCH($A9,'CA Standards and Followers'!$A$14:$A$73,0))&lt;=E$1),INDEX('CA Standards and Followers'!$3:$3,MATCH(E$1,'CA Standards and Followers'!$1:$1,0)),IF(AND(INDEX('CA Standards and Followers'!$D$14:$D$73,MATCH($A9,'CA Standards and Followers'!$A$14:$A$73,0))=1,INDEX('CA Standards and Followers'!$G$14:$G$73,MATCH($A9,'CA Standards and Followers'!$A$14:$A$73,0))&lt;=E$1),INDEX('CA Standards and Followers'!$2:$2,MATCH(E$1,'CA Standards and Followers'!$1:$1,0)),0))</f>
        <v>0</v>
      </c>
      <c r="F9">
        <f>IF(AND(INDEX('CA Standards and Followers'!$E$14:$E$73,MATCH($A9,'CA Standards and Followers'!$A$14:$A$73,0))=1,INDEX('CA Standards and Followers'!$H$14:$H$73,MATCH($A9,'CA Standards and Followers'!$A$14:$A$73,0))&lt;=F$1),INDEX('CA Standards and Followers'!$3:$3,MATCH(F$1,'CA Standards and Followers'!$1:$1,0)),IF(AND(INDEX('CA Standards and Followers'!$D$14:$D$73,MATCH($A9,'CA Standards and Followers'!$A$14:$A$73,0))=1,INDEX('CA Standards and Followers'!$G$14:$G$73,MATCH($A9,'CA Standards and Followers'!$A$14:$A$73,0))&lt;=F$1),INDEX('CA Standards and Followers'!$2:$2,MATCH(F$1,'CA Standards and Followers'!$1:$1,0)),0))</f>
        <v>0</v>
      </c>
      <c r="G9">
        <f>IF(AND(INDEX('CA Standards and Followers'!$E$14:$E$73,MATCH($A9,'CA Standards and Followers'!$A$14:$A$73,0))=1,INDEX('CA Standards and Followers'!$H$14:$H$73,MATCH($A9,'CA Standards and Followers'!$A$14:$A$73,0))&lt;=G$1),INDEX('CA Standards and Followers'!$3:$3,MATCH(G$1,'CA Standards and Followers'!$1:$1,0)),IF(AND(INDEX('CA Standards and Followers'!$D$14:$D$73,MATCH($A9,'CA Standards and Followers'!$A$14:$A$73,0))=1,INDEX('CA Standards and Followers'!$G$14:$G$73,MATCH($A9,'CA Standards and Followers'!$A$14:$A$73,0))&lt;=G$1),INDEX('CA Standards and Followers'!$2:$2,MATCH(G$1,'CA Standards and Followers'!$1:$1,0)),0))</f>
        <v>0</v>
      </c>
      <c r="H9">
        <f>IF(AND(INDEX('CA Standards and Followers'!$E$14:$E$73,MATCH($A9,'CA Standards and Followers'!$A$14:$A$73,0))=1,INDEX('CA Standards and Followers'!$H$14:$H$73,MATCH($A9,'CA Standards and Followers'!$A$14:$A$73,0))&lt;=H$1),INDEX('CA Standards and Followers'!$3:$3,MATCH(H$1,'CA Standards and Followers'!$1:$1,0)),IF(AND(INDEX('CA Standards and Followers'!$D$14:$D$73,MATCH($A9,'CA Standards and Followers'!$A$14:$A$73,0))=1,INDEX('CA Standards and Followers'!$G$14:$G$73,MATCH($A9,'CA Standards and Followers'!$A$14:$A$73,0))&lt;=H$1),INDEX('CA Standards and Followers'!$2:$2,MATCH(H$1,'CA Standards and Followers'!$1:$1,0)),0))</f>
        <v>0</v>
      </c>
      <c r="I9">
        <f>IF(AND(INDEX('CA Standards and Followers'!$E$14:$E$73,MATCH($A9,'CA Standards and Followers'!$A$14:$A$73,0))=1,INDEX('CA Standards and Followers'!$H$14:$H$73,MATCH($A9,'CA Standards and Followers'!$A$14:$A$73,0))&lt;=I$1),INDEX('CA Standards and Followers'!$3:$3,MATCH(I$1,'CA Standards and Followers'!$1:$1,0)),IF(AND(INDEX('CA Standards and Followers'!$D$14:$D$73,MATCH($A9,'CA Standards and Followers'!$A$14:$A$73,0))=1,INDEX('CA Standards and Followers'!$G$14:$G$73,MATCH($A9,'CA Standards and Followers'!$A$14:$A$73,0))&lt;=I$1),INDEX('CA Standards and Followers'!$2:$2,MATCH(I$1,'CA Standards and Followers'!$1:$1,0)),0))</f>
        <v>0</v>
      </c>
      <c r="J9">
        <f>IF(AND(INDEX('CA Standards and Followers'!$E$14:$E$73,MATCH($A9,'CA Standards and Followers'!$A$14:$A$73,0))=1,INDEX('CA Standards and Followers'!$H$14:$H$73,MATCH($A9,'CA Standards and Followers'!$A$14:$A$73,0))&lt;=J$1),INDEX('CA Standards and Followers'!$3:$3,MATCH(J$1,'CA Standards and Followers'!$1:$1,0)),IF(AND(INDEX('CA Standards and Followers'!$D$14:$D$73,MATCH($A9,'CA Standards and Followers'!$A$14:$A$73,0))=1,INDEX('CA Standards and Followers'!$G$14:$G$73,MATCH($A9,'CA Standards and Followers'!$A$14:$A$73,0))&lt;=J$1),INDEX('CA Standards and Followers'!$2:$2,MATCH(J$1,'CA Standards and Followers'!$1:$1,0)),0))</f>
        <v>0</v>
      </c>
      <c r="K9">
        <f>IF(AND(INDEX('CA Standards and Followers'!$E$14:$E$73,MATCH($A9,'CA Standards and Followers'!$A$14:$A$73,0))=1,INDEX('CA Standards and Followers'!$H$14:$H$73,MATCH($A9,'CA Standards and Followers'!$A$14:$A$73,0))&lt;=K$1),INDEX('CA Standards and Followers'!$3:$3,MATCH(K$1,'CA Standards and Followers'!$1:$1,0)),IF(AND(INDEX('CA Standards and Followers'!$D$14:$D$73,MATCH($A9,'CA Standards and Followers'!$A$14:$A$73,0))=1,INDEX('CA Standards and Followers'!$G$14:$G$73,MATCH($A9,'CA Standards and Followers'!$A$14:$A$73,0))&lt;=K$1),INDEX('CA Standards and Followers'!$2:$2,MATCH(K$1,'CA Standards and Followers'!$1:$1,0)),0))</f>
        <v>0</v>
      </c>
      <c r="L9">
        <f>IF(AND(INDEX('CA Standards and Followers'!$E$14:$E$73,MATCH($A9,'CA Standards and Followers'!$A$14:$A$73,0))=1,INDEX('CA Standards and Followers'!$H$14:$H$73,MATCH($A9,'CA Standards and Followers'!$A$14:$A$73,0))&lt;=L$1),INDEX('CA Standards and Followers'!$3:$3,MATCH(L$1,'CA Standards and Followers'!$1:$1,0)),IF(AND(INDEX('CA Standards and Followers'!$D$14:$D$73,MATCH($A9,'CA Standards and Followers'!$A$14:$A$73,0))=1,INDEX('CA Standards and Followers'!$G$14:$G$73,MATCH($A9,'CA Standards and Followers'!$A$14:$A$73,0))&lt;=L$1),INDEX('CA Standards and Followers'!$2:$2,MATCH(L$1,'CA Standards and Followers'!$1:$1,0)),0))</f>
        <v>0</v>
      </c>
      <c r="M9">
        <f>IF(AND(INDEX('CA Standards and Followers'!$E$14:$E$73,MATCH($A9,'CA Standards and Followers'!$A$14:$A$73,0))=1,INDEX('CA Standards and Followers'!$H$14:$H$73,MATCH($A9,'CA Standards and Followers'!$A$14:$A$73,0))&lt;=M$1),INDEX('CA Standards and Followers'!$3:$3,MATCH(M$1,'CA Standards and Followers'!$1:$1,0)),IF(AND(INDEX('CA Standards and Followers'!$D$14:$D$73,MATCH($A9,'CA Standards and Followers'!$A$14:$A$73,0))=1,INDEX('CA Standards and Followers'!$G$14:$G$73,MATCH($A9,'CA Standards and Followers'!$A$14:$A$73,0))&lt;=M$1),INDEX('CA Standards and Followers'!$2:$2,MATCH(M$1,'CA Standards and Followers'!$1:$1,0)),0))</f>
        <v>0</v>
      </c>
      <c r="N9">
        <f>IF(AND(INDEX('CA Standards and Followers'!$E$14:$E$73,MATCH($A9,'CA Standards and Followers'!$A$14:$A$73,0))=1,INDEX('CA Standards and Followers'!$H$14:$H$73,MATCH($A9,'CA Standards and Followers'!$A$14:$A$73,0))&lt;=N$1),INDEX('CA Standards and Followers'!$3:$3,MATCH(N$1,'CA Standards and Followers'!$1:$1,0)),IF(AND(INDEX('CA Standards and Followers'!$D$14:$D$73,MATCH($A9,'CA Standards and Followers'!$A$14:$A$73,0))=1,INDEX('CA Standards and Followers'!$G$14:$G$73,MATCH($A9,'CA Standards and Followers'!$A$14:$A$73,0))&lt;=N$1),INDEX('CA Standards and Followers'!$2:$2,MATCH(N$1,'CA Standards and Followers'!$1:$1,0)),0))</f>
        <v>0</v>
      </c>
      <c r="O9">
        <f>IF(AND(INDEX('CA Standards and Followers'!$E$14:$E$73,MATCH($A9,'CA Standards and Followers'!$A$14:$A$73,0))=1,INDEX('CA Standards and Followers'!$H$14:$H$73,MATCH($A9,'CA Standards and Followers'!$A$14:$A$73,0))&lt;=O$1),INDEX('CA Standards and Followers'!$3:$3,MATCH(O$1,'CA Standards and Followers'!$1:$1,0)),IF(AND(INDEX('CA Standards and Followers'!$D$14:$D$73,MATCH($A9,'CA Standards and Followers'!$A$14:$A$73,0))=1,INDEX('CA Standards and Followers'!$G$14:$G$73,MATCH($A9,'CA Standards and Followers'!$A$14:$A$73,0))&lt;=O$1),INDEX('CA Standards and Followers'!$2:$2,MATCH(O$1,'CA Standards and Followers'!$1:$1,0)),0))</f>
        <v>0</v>
      </c>
      <c r="P9">
        <f>IF(AND(INDEX('CA Standards and Followers'!$E$14:$E$73,MATCH($A9,'CA Standards and Followers'!$A$14:$A$73,0))=1,INDEX('CA Standards and Followers'!$H$14:$H$73,MATCH($A9,'CA Standards and Followers'!$A$14:$A$73,0))&lt;=P$1),INDEX('CA Standards and Followers'!$3:$3,MATCH(P$1,'CA Standards and Followers'!$1:$1,0)),IF(AND(INDEX('CA Standards and Followers'!$D$14:$D$73,MATCH($A9,'CA Standards and Followers'!$A$14:$A$73,0))=1,INDEX('CA Standards and Followers'!$G$14:$G$73,MATCH($A9,'CA Standards and Followers'!$A$14:$A$73,0))&lt;=P$1),INDEX('CA Standards and Followers'!$2:$2,MATCH(P$1,'CA Standards and Followers'!$1:$1,0)),0))</f>
        <v>0</v>
      </c>
      <c r="Q9">
        <f>IF(AND(INDEX('CA Standards and Followers'!$E$14:$E$73,MATCH($A9,'CA Standards and Followers'!$A$14:$A$73,0))=1,INDEX('CA Standards and Followers'!$H$14:$H$73,MATCH($A9,'CA Standards and Followers'!$A$14:$A$73,0))&lt;=Q$1),INDEX('CA Standards and Followers'!$3:$3,MATCH(Q$1,'CA Standards and Followers'!$1:$1,0)),IF(AND(INDEX('CA Standards and Followers'!$D$14:$D$73,MATCH($A9,'CA Standards and Followers'!$A$14:$A$73,0))=1,INDEX('CA Standards and Followers'!$G$14:$G$73,MATCH($A9,'CA Standards and Followers'!$A$14:$A$73,0))&lt;=Q$1),INDEX('CA Standards and Followers'!$2:$2,MATCH(Q$1,'CA Standards and Followers'!$1:$1,0)),0))</f>
        <v>0</v>
      </c>
      <c r="R9">
        <f>IF(AND(INDEX('CA Standards and Followers'!$E$14:$E$73,MATCH($A9,'CA Standards and Followers'!$A$14:$A$73,0))=1,INDEX('CA Standards and Followers'!$H$14:$H$73,MATCH($A9,'CA Standards and Followers'!$A$14:$A$73,0))&lt;=R$1),INDEX('CA Standards and Followers'!$3:$3,MATCH(R$1,'CA Standards and Followers'!$1:$1,0)),IF(AND(INDEX('CA Standards and Followers'!$D$14:$D$73,MATCH($A9,'CA Standards and Followers'!$A$14:$A$73,0))=1,INDEX('CA Standards and Followers'!$G$14:$G$73,MATCH($A9,'CA Standards and Followers'!$A$14:$A$73,0))&lt;=R$1),INDEX('CA Standards and Followers'!$2:$2,MATCH(R$1,'CA Standards and Followers'!$1:$1,0)),0))</f>
        <v>0</v>
      </c>
      <c r="S9">
        <f>IF(AND(INDEX('CA Standards and Followers'!$E$14:$E$73,MATCH($A9,'CA Standards and Followers'!$A$14:$A$73,0))=1,INDEX('CA Standards and Followers'!$H$14:$H$73,MATCH($A9,'CA Standards and Followers'!$A$14:$A$73,0))&lt;=S$1),INDEX('CA Standards and Followers'!$3:$3,MATCH(S$1,'CA Standards and Followers'!$1:$1,0)),IF(AND(INDEX('CA Standards and Followers'!$D$14:$D$73,MATCH($A9,'CA Standards and Followers'!$A$14:$A$73,0))=1,INDEX('CA Standards and Followers'!$G$14:$G$73,MATCH($A9,'CA Standards and Followers'!$A$14:$A$73,0))&lt;=S$1),INDEX('CA Standards and Followers'!$2:$2,MATCH(S$1,'CA Standards and Followers'!$1:$1,0)),0))</f>
        <v>0</v>
      </c>
      <c r="T9">
        <f>IF(AND(INDEX('CA Standards and Followers'!$E$14:$E$73,MATCH($A9,'CA Standards and Followers'!$A$14:$A$73,0))=1,INDEX('CA Standards and Followers'!$H$14:$H$73,MATCH($A9,'CA Standards and Followers'!$A$14:$A$73,0))&lt;=T$1),INDEX('CA Standards and Followers'!$3:$3,MATCH(T$1,'CA Standards and Followers'!$1:$1,0)),IF(AND(INDEX('CA Standards and Followers'!$D$14:$D$73,MATCH($A9,'CA Standards and Followers'!$A$14:$A$73,0))=1,INDEX('CA Standards and Followers'!$G$14:$G$73,MATCH($A9,'CA Standards and Followers'!$A$14:$A$73,0))&lt;=T$1),INDEX('CA Standards and Followers'!$2:$2,MATCH(T$1,'CA Standards and Followers'!$1:$1,0)),0))</f>
        <v>0</v>
      </c>
      <c r="U9">
        <f>IF(AND(INDEX('CA Standards and Followers'!$E$14:$E$73,MATCH($A9,'CA Standards and Followers'!$A$14:$A$73,0))=1,INDEX('CA Standards and Followers'!$H$14:$H$73,MATCH($A9,'CA Standards and Followers'!$A$14:$A$73,0))&lt;=U$1),INDEX('CA Standards and Followers'!$3:$3,MATCH(U$1,'CA Standards and Followers'!$1:$1,0)),IF(AND(INDEX('CA Standards and Followers'!$D$14:$D$73,MATCH($A9,'CA Standards and Followers'!$A$14:$A$73,0))=1,INDEX('CA Standards and Followers'!$G$14:$G$73,MATCH($A9,'CA Standards and Followers'!$A$14:$A$73,0))&lt;=U$1),INDEX('CA Standards and Followers'!$2:$2,MATCH(U$1,'CA Standards and Followers'!$1:$1,0)),0))</f>
        <v>0</v>
      </c>
      <c r="V9">
        <f>IF(AND(INDEX('CA Standards and Followers'!$E$14:$E$73,MATCH($A9,'CA Standards and Followers'!$A$14:$A$73,0))=1,INDEX('CA Standards and Followers'!$H$14:$H$73,MATCH($A9,'CA Standards and Followers'!$A$14:$A$73,0))&lt;=V$1),INDEX('CA Standards and Followers'!$3:$3,MATCH(V$1,'CA Standards and Followers'!$1:$1,0)),IF(AND(INDEX('CA Standards and Followers'!$D$14:$D$73,MATCH($A9,'CA Standards and Followers'!$A$14:$A$73,0))=1,INDEX('CA Standards and Followers'!$G$14:$G$73,MATCH($A9,'CA Standards and Followers'!$A$14:$A$73,0))&lt;=V$1),INDEX('CA Standards and Followers'!$2:$2,MATCH(V$1,'CA Standards and Followers'!$1:$1,0)),0))</f>
        <v>0</v>
      </c>
      <c r="W9">
        <f>IF(AND(INDEX('CA Standards and Followers'!$E$14:$E$73,MATCH($A9,'CA Standards and Followers'!$A$14:$A$73,0))=1,INDEX('CA Standards and Followers'!$H$14:$H$73,MATCH($A9,'CA Standards and Followers'!$A$14:$A$73,0))&lt;=W$1),INDEX('CA Standards and Followers'!$3:$3,MATCH(W$1,'CA Standards and Followers'!$1:$1,0)),IF(AND(INDEX('CA Standards and Followers'!$D$14:$D$73,MATCH($A9,'CA Standards and Followers'!$A$14:$A$73,0))=1,INDEX('CA Standards and Followers'!$G$14:$G$73,MATCH($A9,'CA Standards and Followers'!$A$14:$A$73,0))&lt;=W$1),INDEX('CA Standards and Followers'!$2:$2,MATCH(W$1,'CA Standards and Followers'!$1:$1,0)),0))</f>
        <v>0</v>
      </c>
      <c r="X9">
        <f>IF(AND(INDEX('CA Standards and Followers'!$E$14:$E$73,MATCH($A9,'CA Standards and Followers'!$A$14:$A$73,0))=1,INDEX('CA Standards and Followers'!$H$14:$H$73,MATCH($A9,'CA Standards and Followers'!$A$14:$A$73,0))&lt;=X$1),INDEX('CA Standards and Followers'!$3:$3,MATCH(X$1,'CA Standards and Followers'!$1:$1,0)),IF(AND(INDEX('CA Standards and Followers'!$D$14:$D$73,MATCH($A9,'CA Standards and Followers'!$A$14:$A$73,0))=1,INDEX('CA Standards and Followers'!$G$14:$G$73,MATCH($A9,'CA Standards and Followers'!$A$14:$A$73,0))&lt;=X$1),INDEX('CA Standards and Followers'!$2:$2,MATCH(X$1,'CA Standards and Followers'!$1:$1,0)),0))</f>
        <v>0</v>
      </c>
      <c r="Y9">
        <f>IF(AND(INDEX('CA Standards and Followers'!$E$14:$E$73,MATCH($A9,'CA Standards and Followers'!$A$14:$A$73,0))=1,INDEX('CA Standards and Followers'!$H$14:$H$73,MATCH($A9,'CA Standards and Followers'!$A$14:$A$73,0))&lt;=Y$1),INDEX('CA Standards and Followers'!$3:$3,MATCH(Y$1,'CA Standards and Followers'!$1:$1,0)),IF(AND(INDEX('CA Standards and Followers'!$D$14:$D$73,MATCH($A9,'CA Standards and Followers'!$A$14:$A$73,0))=1,INDEX('CA Standards and Followers'!$G$14:$G$73,MATCH($A9,'CA Standards and Followers'!$A$14:$A$73,0))&lt;=Y$1),INDEX('CA Standards and Followers'!$2:$2,MATCH(Y$1,'CA Standards and Followers'!$1:$1,0)),0))</f>
        <v>0</v>
      </c>
      <c r="Z9">
        <f>IF(AND(INDEX('CA Standards and Followers'!$E$14:$E$73,MATCH($A9,'CA Standards and Followers'!$A$14:$A$73,0))=1,INDEX('CA Standards and Followers'!$H$14:$H$73,MATCH($A9,'CA Standards and Followers'!$A$14:$A$73,0))&lt;=Z$1),INDEX('CA Standards and Followers'!$3:$3,MATCH(Z$1,'CA Standards and Followers'!$1:$1,0)),IF(AND(INDEX('CA Standards and Followers'!$D$14:$D$73,MATCH($A9,'CA Standards and Followers'!$A$14:$A$73,0))=1,INDEX('CA Standards and Followers'!$G$14:$G$73,MATCH($A9,'CA Standards and Followers'!$A$14:$A$73,0))&lt;=Z$1),INDEX('CA Standards and Followers'!$2:$2,MATCH(Z$1,'CA Standards and Followers'!$1:$1,0)),0))</f>
        <v>0</v>
      </c>
      <c r="AA9">
        <f>IF(AND(INDEX('CA Standards and Followers'!$E$14:$E$73,MATCH($A9,'CA Standards and Followers'!$A$14:$A$73,0))=1,INDEX('CA Standards and Followers'!$H$14:$H$73,MATCH($A9,'CA Standards and Followers'!$A$14:$A$73,0))&lt;=AA$1),INDEX('CA Standards and Followers'!$3:$3,MATCH(AA$1,'CA Standards and Followers'!$1:$1,0)),IF(AND(INDEX('CA Standards and Followers'!$D$14:$D$73,MATCH($A9,'CA Standards and Followers'!$A$14:$A$73,0))=1,INDEX('CA Standards and Followers'!$G$14:$G$73,MATCH($A9,'CA Standards and Followers'!$A$14:$A$73,0))&lt;=AA$1),INDEX('CA Standards and Followers'!$2:$2,MATCH(AA$1,'CA Standards and Followers'!$1:$1,0)),0))</f>
        <v>0</v>
      </c>
      <c r="AB9">
        <f>IF(AND(INDEX('CA Standards and Followers'!$E$14:$E$73,MATCH($A9,'CA Standards and Followers'!$A$14:$A$73,0))=1,INDEX('CA Standards and Followers'!$H$14:$H$73,MATCH($A9,'CA Standards and Followers'!$A$14:$A$73,0))&lt;=AB$1),INDEX('CA Standards and Followers'!$3:$3,MATCH(AB$1,'CA Standards and Followers'!$1:$1,0)),IF(AND(INDEX('CA Standards and Followers'!$D$14:$D$73,MATCH($A9,'CA Standards and Followers'!$A$14:$A$73,0))=1,INDEX('CA Standards and Followers'!$G$14:$G$73,MATCH($A9,'CA Standards and Followers'!$A$14:$A$73,0))&lt;=AB$1),INDEX('CA Standards and Followers'!$2:$2,MATCH(AB$1,'CA Standards and Followers'!$1:$1,0)),0))</f>
        <v>0</v>
      </c>
      <c r="AC9">
        <f>IF(AND(INDEX('CA Standards and Followers'!$E$14:$E$73,MATCH($A9,'CA Standards and Followers'!$A$14:$A$73,0))=1,INDEX('CA Standards and Followers'!$H$14:$H$73,MATCH($A9,'CA Standards and Followers'!$A$14:$A$73,0))&lt;=AC$1),INDEX('CA Standards and Followers'!$3:$3,MATCH(AC$1,'CA Standards and Followers'!$1:$1,0)),IF(AND(INDEX('CA Standards and Followers'!$D$14:$D$73,MATCH($A9,'CA Standards and Followers'!$A$14:$A$73,0))=1,INDEX('CA Standards and Followers'!$G$14:$G$73,MATCH($A9,'CA Standards and Followers'!$A$14:$A$73,0))&lt;=AC$1),INDEX('CA Standards and Followers'!$2:$2,MATCH(AC$1,'CA Standards and Followers'!$1:$1,0)),0))</f>
        <v>0</v>
      </c>
      <c r="AD9">
        <f>IF(AND(INDEX('CA Standards and Followers'!$E$14:$E$73,MATCH($A9,'CA Standards and Followers'!$A$14:$A$73,0))=1,INDEX('CA Standards and Followers'!$H$14:$H$73,MATCH($A9,'CA Standards and Followers'!$A$14:$A$73,0))&lt;=AD$1),INDEX('CA Standards and Followers'!$3:$3,MATCH(AD$1,'CA Standards and Followers'!$1:$1,0)),IF(AND(INDEX('CA Standards and Followers'!$D$14:$D$73,MATCH($A9,'CA Standards and Followers'!$A$14:$A$73,0))=1,INDEX('CA Standards and Followers'!$G$14:$G$73,MATCH($A9,'CA Standards and Followers'!$A$14:$A$73,0))&lt;=AD$1),INDEX('CA Standards and Followers'!$2:$2,MATCH(AD$1,'CA Standards and Followers'!$1:$1,0)),0))</f>
        <v>0</v>
      </c>
      <c r="AE9">
        <f>IF(AND(INDEX('CA Standards and Followers'!$E$14:$E$73,MATCH($A9,'CA Standards and Followers'!$A$14:$A$73,0))=1,INDEX('CA Standards and Followers'!$H$14:$H$73,MATCH($A9,'CA Standards and Followers'!$A$14:$A$73,0))&lt;=AE$1),INDEX('CA Standards and Followers'!$3:$3,MATCH(AE$1,'CA Standards and Followers'!$1:$1,0)),IF(AND(INDEX('CA Standards and Followers'!$D$14:$D$73,MATCH($A9,'CA Standards and Followers'!$A$14:$A$73,0))=1,INDEX('CA Standards and Followers'!$G$14:$G$73,MATCH($A9,'CA Standards and Followers'!$A$14:$A$73,0))&lt;=AE$1),INDEX('CA Standards and Followers'!$2:$2,MATCH(AE$1,'CA Standards and Followers'!$1:$1,0)),0))</f>
        <v>0</v>
      </c>
      <c r="AF9">
        <f>IF(AND(INDEX('CA Standards and Followers'!$E$14:$E$73,MATCH($A9,'CA Standards and Followers'!$A$14:$A$73,0))=1,INDEX('CA Standards and Followers'!$H$14:$H$73,MATCH($A9,'CA Standards and Followers'!$A$14:$A$73,0))&lt;=AF$1),INDEX('CA Standards and Followers'!$3:$3,MATCH(AF$1,'CA Standards and Followers'!$1:$1,0)),IF(AND(INDEX('CA Standards and Followers'!$D$14:$D$73,MATCH($A9,'CA Standards and Followers'!$A$14:$A$73,0))=1,INDEX('CA Standards and Followers'!$G$14:$G$73,MATCH($A9,'CA Standards and Followers'!$A$14:$A$73,0))&lt;=AF$1),INDEX('CA Standards and Followers'!$2:$2,MATCH(AF$1,'CA Standards and Followers'!$1:$1,0)),0))</f>
        <v>0</v>
      </c>
    </row>
    <row r="10" spans="1:32" x14ac:dyDescent="0.25">
      <c r="A10" t="s">
        <v>10</v>
      </c>
      <c r="B10">
        <f>IF(AND(INDEX('CA Standards and Followers'!$E$14:$E$73,MATCH($A10,'CA Standards and Followers'!$A$14:$A$73,0))=1,INDEX('CA Standards and Followers'!$H$14:$H$73,MATCH($A10,'CA Standards and Followers'!$A$14:$A$73,0))&lt;=B$1),INDEX('CA Standards and Followers'!$3:$3,MATCH(B$1,'CA Standards and Followers'!$1:$1,0)),IF(AND(INDEX('CA Standards and Followers'!$D$14:$D$73,MATCH($A10,'CA Standards and Followers'!$A$14:$A$73,0))=1,INDEX('CA Standards and Followers'!$G$14:$G$73,MATCH($A10,'CA Standards and Followers'!$A$14:$A$73,0))&lt;=B$1),INDEX('CA Standards and Followers'!$2:$2,MATCH(B$1,'CA Standards and Followers'!$1:$1,0)),0))</f>
        <v>0</v>
      </c>
      <c r="C10">
        <f>IF(AND(INDEX('CA Standards and Followers'!$E$14:$E$73,MATCH($A10,'CA Standards and Followers'!$A$14:$A$73,0))=1,INDEX('CA Standards and Followers'!$H$14:$H$73,MATCH($A10,'CA Standards and Followers'!$A$14:$A$73,0))&lt;=C$1),INDEX('CA Standards and Followers'!$3:$3,MATCH(C$1,'CA Standards and Followers'!$1:$1,0)),IF(AND(INDEX('CA Standards and Followers'!$D$14:$D$73,MATCH($A10,'CA Standards and Followers'!$A$14:$A$73,0))=1,INDEX('CA Standards and Followers'!$G$14:$G$73,MATCH($A10,'CA Standards and Followers'!$A$14:$A$73,0))&lt;=C$1),INDEX('CA Standards and Followers'!$2:$2,MATCH(C$1,'CA Standards and Followers'!$1:$1,0)),0))</f>
        <v>0</v>
      </c>
      <c r="D10">
        <f>IF(AND(INDEX('CA Standards and Followers'!$E$14:$E$73,MATCH($A10,'CA Standards and Followers'!$A$14:$A$73,0))=1,INDEX('CA Standards and Followers'!$H$14:$H$73,MATCH($A10,'CA Standards and Followers'!$A$14:$A$73,0))&lt;=D$1),INDEX('CA Standards and Followers'!$3:$3,MATCH(D$1,'CA Standards and Followers'!$1:$1,0)),IF(AND(INDEX('CA Standards and Followers'!$D$14:$D$73,MATCH($A10,'CA Standards and Followers'!$A$14:$A$73,0))=1,INDEX('CA Standards and Followers'!$G$14:$G$73,MATCH($A10,'CA Standards and Followers'!$A$14:$A$73,0))&lt;=D$1),INDEX('CA Standards and Followers'!$2:$2,MATCH(D$1,'CA Standards and Followers'!$1:$1,0)),0))</f>
        <v>0</v>
      </c>
      <c r="E10">
        <f>IF(AND(INDEX('CA Standards and Followers'!$E$14:$E$73,MATCH($A10,'CA Standards and Followers'!$A$14:$A$73,0))=1,INDEX('CA Standards and Followers'!$H$14:$H$73,MATCH($A10,'CA Standards and Followers'!$A$14:$A$73,0))&lt;=E$1),INDEX('CA Standards and Followers'!$3:$3,MATCH(E$1,'CA Standards and Followers'!$1:$1,0)),IF(AND(INDEX('CA Standards and Followers'!$D$14:$D$73,MATCH($A10,'CA Standards and Followers'!$A$14:$A$73,0))=1,INDEX('CA Standards and Followers'!$G$14:$G$73,MATCH($A10,'CA Standards and Followers'!$A$14:$A$73,0))&lt;=E$1),INDEX('CA Standards and Followers'!$2:$2,MATCH(E$1,'CA Standards and Followers'!$1:$1,0)),0))</f>
        <v>0</v>
      </c>
      <c r="F10">
        <f>IF(AND(INDEX('CA Standards and Followers'!$E$14:$E$73,MATCH($A10,'CA Standards and Followers'!$A$14:$A$73,0))=1,INDEX('CA Standards and Followers'!$H$14:$H$73,MATCH($A10,'CA Standards and Followers'!$A$14:$A$73,0))&lt;=F$1),INDEX('CA Standards and Followers'!$3:$3,MATCH(F$1,'CA Standards and Followers'!$1:$1,0)),IF(AND(INDEX('CA Standards and Followers'!$D$14:$D$73,MATCH($A10,'CA Standards and Followers'!$A$14:$A$73,0))=1,INDEX('CA Standards and Followers'!$G$14:$G$73,MATCH($A10,'CA Standards and Followers'!$A$14:$A$73,0))&lt;=F$1),INDEX('CA Standards and Followers'!$2:$2,MATCH(F$1,'CA Standards and Followers'!$1:$1,0)),0))</f>
        <v>0</v>
      </c>
      <c r="G10">
        <f>IF(AND(INDEX('CA Standards and Followers'!$E$14:$E$73,MATCH($A10,'CA Standards and Followers'!$A$14:$A$73,0))=1,INDEX('CA Standards and Followers'!$H$14:$H$73,MATCH($A10,'CA Standards and Followers'!$A$14:$A$73,0))&lt;=G$1),INDEX('CA Standards and Followers'!$3:$3,MATCH(G$1,'CA Standards and Followers'!$1:$1,0)),IF(AND(INDEX('CA Standards and Followers'!$D$14:$D$73,MATCH($A10,'CA Standards and Followers'!$A$14:$A$73,0))=1,INDEX('CA Standards and Followers'!$G$14:$G$73,MATCH($A10,'CA Standards and Followers'!$A$14:$A$73,0))&lt;=G$1),INDEX('CA Standards and Followers'!$2:$2,MATCH(G$1,'CA Standards and Followers'!$1:$1,0)),0))</f>
        <v>0</v>
      </c>
      <c r="H10">
        <f>IF(AND(INDEX('CA Standards and Followers'!$E$14:$E$73,MATCH($A10,'CA Standards and Followers'!$A$14:$A$73,0))=1,INDEX('CA Standards and Followers'!$H$14:$H$73,MATCH($A10,'CA Standards and Followers'!$A$14:$A$73,0))&lt;=H$1),INDEX('CA Standards and Followers'!$3:$3,MATCH(H$1,'CA Standards and Followers'!$1:$1,0)),IF(AND(INDEX('CA Standards and Followers'!$D$14:$D$73,MATCH($A10,'CA Standards and Followers'!$A$14:$A$73,0))=1,INDEX('CA Standards and Followers'!$G$14:$G$73,MATCH($A10,'CA Standards and Followers'!$A$14:$A$73,0))&lt;=H$1),INDEX('CA Standards and Followers'!$2:$2,MATCH(H$1,'CA Standards and Followers'!$1:$1,0)),0))</f>
        <v>0</v>
      </c>
      <c r="I10">
        <f>IF(AND(INDEX('CA Standards and Followers'!$E$14:$E$73,MATCH($A10,'CA Standards and Followers'!$A$14:$A$73,0))=1,INDEX('CA Standards and Followers'!$H$14:$H$73,MATCH($A10,'CA Standards and Followers'!$A$14:$A$73,0))&lt;=I$1),INDEX('CA Standards and Followers'!$3:$3,MATCH(I$1,'CA Standards and Followers'!$1:$1,0)),IF(AND(INDEX('CA Standards and Followers'!$D$14:$D$73,MATCH($A10,'CA Standards and Followers'!$A$14:$A$73,0))=1,INDEX('CA Standards and Followers'!$G$14:$G$73,MATCH($A10,'CA Standards and Followers'!$A$14:$A$73,0))&lt;=I$1),INDEX('CA Standards and Followers'!$2:$2,MATCH(I$1,'CA Standards and Followers'!$1:$1,0)),0))</f>
        <v>0</v>
      </c>
      <c r="J10">
        <f>IF(AND(INDEX('CA Standards and Followers'!$E$14:$E$73,MATCH($A10,'CA Standards and Followers'!$A$14:$A$73,0))=1,INDEX('CA Standards and Followers'!$H$14:$H$73,MATCH($A10,'CA Standards and Followers'!$A$14:$A$73,0))&lt;=J$1),INDEX('CA Standards and Followers'!$3:$3,MATCH(J$1,'CA Standards and Followers'!$1:$1,0)),IF(AND(INDEX('CA Standards and Followers'!$D$14:$D$73,MATCH($A10,'CA Standards and Followers'!$A$14:$A$73,0))=1,INDEX('CA Standards and Followers'!$G$14:$G$73,MATCH($A10,'CA Standards and Followers'!$A$14:$A$73,0))&lt;=J$1),INDEX('CA Standards and Followers'!$2:$2,MATCH(J$1,'CA Standards and Followers'!$1:$1,0)),0))</f>
        <v>0</v>
      </c>
      <c r="K10">
        <f>IF(AND(INDEX('CA Standards and Followers'!$E$14:$E$73,MATCH($A10,'CA Standards and Followers'!$A$14:$A$73,0))=1,INDEX('CA Standards and Followers'!$H$14:$H$73,MATCH($A10,'CA Standards and Followers'!$A$14:$A$73,0))&lt;=K$1),INDEX('CA Standards and Followers'!$3:$3,MATCH(K$1,'CA Standards and Followers'!$1:$1,0)),IF(AND(INDEX('CA Standards and Followers'!$D$14:$D$73,MATCH($A10,'CA Standards and Followers'!$A$14:$A$73,0))=1,INDEX('CA Standards and Followers'!$G$14:$G$73,MATCH($A10,'CA Standards and Followers'!$A$14:$A$73,0))&lt;=K$1),INDEX('CA Standards and Followers'!$2:$2,MATCH(K$1,'CA Standards and Followers'!$1:$1,0)),0))</f>
        <v>0</v>
      </c>
      <c r="L10">
        <f>IF(AND(INDEX('CA Standards and Followers'!$E$14:$E$73,MATCH($A10,'CA Standards and Followers'!$A$14:$A$73,0))=1,INDEX('CA Standards and Followers'!$H$14:$H$73,MATCH($A10,'CA Standards and Followers'!$A$14:$A$73,0))&lt;=L$1),INDEX('CA Standards and Followers'!$3:$3,MATCH(L$1,'CA Standards and Followers'!$1:$1,0)),IF(AND(INDEX('CA Standards and Followers'!$D$14:$D$73,MATCH($A10,'CA Standards and Followers'!$A$14:$A$73,0))=1,INDEX('CA Standards and Followers'!$G$14:$G$73,MATCH($A10,'CA Standards and Followers'!$A$14:$A$73,0))&lt;=L$1),INDEX('CA Standards and Followers'!$2:$2,MATCH(L$1,'CA Standards and Followers'!$1:$1,0)),0))</f>
        <v>0</v>
      </c>
      <c r="M10">
        <f>IF(AND(INDEX('CA Standards and Followers'!$E$14:$E$73,MATCH($A10,'CA Standards and Followers'!$A$14:$A$73,0))=1,INDEX('CA Standards and Followers'!$H$14:$H$73,MATCH($A10,'CA Standards and Followers'!$A$14:$A$73,0))&lt;=M$1),INDEX('CA Standards and Followers'!$3:$3,MATCH(M$1,'CA Standards and Followers'!$1:$1,0)),IF(AND(INDEX('CA Standards and Followers'!$D$14:$D$73,MATCH($A10,'CA Standards and Followers'!$A$14:$A$73,0))=1,INDEX('CA Standards and Followers'!$G$14:$G$73,MATCH($A10,'CA Standards and Followers'!$A$14:$A$73,0))&lt;=M$1),INDEX('CA Standards and Followers'!$2:$2,MATCH(M$1,'CA Standards and Followers'!$1:$1,0)),0))</f>
        <v>0</v>
      </c>
      <c r="N10">
        <f>IF(AND(INDEX('CA Standards and Followers'!$E$14:$E$73,MATCH($A10,'CA Standards and Followers'!$A$14:$A$73,0))=1,INDEX('CA Standards and Followers'!$H$14:$H$73,MATCH($A10,'CA Standards and Followers'!$A$14:$A$73,0))&lt;=N$1),INDEX('CA Standards and Followers'!$3:$3,MATCH(N$1,'CA Standards and Followers'!$1:$1,0)),IF(AND(INDEX('CA Standards and Followers'!$D$14:$D$73,MATCH($A10,'CA Standards and Followers'!$A$14:$A$73,0))=1,INDEX('CA Standards and Followers'!$G$14:$G$73,MATCH($A10,'CA Standards and Followers'!$A$14:$A$73,0))&lt;=N$1),INDEX('CA Standards and Followers'!$2:$2,MATCH(N$1,'CA Standards and Followers'!$1:$1,0)),0))</f>
        <v>0</v>
      </c>
      <c r="O10">
        <f>IF(AND(INDEX('CA Standards and Followers'!$E$14:$E$73,MATCH($A10,'CA Standards and Followers'!$A$14:$A$73,0))=1,INDEX('CA Standards and Followers'!$H$14:$H$73,MATCH($A10,'CA Standards and Followers'!$A$14:$A$73,0))&lt;=O$1),INDEX('CA Standards and Followers'!$3:$3,MATCH(O$1,'CA Standards and Followers'!$1:$1,0)),IF(AND(INDEX('CA Standards and Followers'!$D$14:$D$73,MATCH($A10,'CA Standards and Followers'!$A$14:$A$73,0))=1,INDEX('CA Standards and Followers'!$G$14:$G$73,MATCH($A10,'CA Standards and Followers'!$A$14:$A$73,0))&lt;=O$1),INDEX('CA Standards and Followers'!$2:$2,MATCH(O$1,'CA Standards and Followers'!$1:$1,0)),0))</f>
        <v>0</v>
      </c>
      <c r="P10">
        <f>IF(AND(INDEX('CA Standards and Followers'!$E$14:$E$73,MATCH($A10,'CA Standards and Followers'!$A$14:$A$73,0))=1,INDEX('CA Standards and Followers'!$H$14:$H$73,MATCH($A10,'CA Standards and Followers'!$A$14:$A$73,0))&lt;=P$1),INDEX('CA Standards and Followers'!$3:$3,MATCH(P$1,'CA Standards and Followers'!$1:$1,0)),IF(AND(INDEX('CA Standards and Followers'!$D$14:$D$73,MATCH($A10,'CA Standards and Followers'!$A$14:$A$73,0))=1,INDEX('CA Standards and Followers'!$G$14:$G$73,MATCH($A10,'CA Standards and Followers'!$A$14:$A$73,0))&lt;=P$1),INDEX('CA Standards and Followers'!$2:$2,MATCH(P$1,'CA Standards and Followers'!$1:$1,0)),0))</f>
        <v>0</v>
      </c>
      <c r="Q10">
        <f>IF(AND(INDEX('CA Standards and Followers'!$E$14:$E$73,MATCH($A10,'CA Standards and Followers'!$A$14:$A$73,0))=1,INDEX('CA Standards and Followers'!$H$14:$H$73,MATCH($A10,'CA Standards and Followers'!$A$14:$A$73,0))&lt;=Q$1),INDEX('CA Standards and Followers'!$3:$3,MATCH(Q$1,'CA Standards and Followers'!$1:$1,0)),IF(AND(INDEX('CA Standards and Followers'!$D$14:$D$73,MATCH($A10,'CA Standards and Followers'!$A$14:$A$73,0))=1,INDEX('CA Standards and Followers'!$G$14:$G$73,MATCH($A10,'CA Standards and Followers'!$A$14:$A$73,0))&lt;=Q$1),INDEX('CA Standards and Followers'!$2:$2,MATCH(Q$1,'CA Standards and Followers'!$1:$1,0)),0))</f>
        <v>0</v>
      </c>
      <c r="R10">
        <f>IF(AND(INDEX('CA Standards and Followers'!$E$14:$E$73,MATCH($A10,'CA Standards and Followers'!$A$14:$A$73,0))=1,INDEX('CA Standards and Followers'!$H$14:$H$73,MATCH($A10,'CA Standards and Followers'!$A$14:$A$73,0))&lt;=R$1),INDEX('CA Standards and Followers'!$3:$3,MATCH(R$1,'CA Standards and Followers'!$1:$1,0)),IF(AND(INDEX('CA Standards and Followers'!$D$14:$D$73,MATCH($A10,'CA Standards and Followers'!$A$14:$A$73,0))=1,INDEX('CA Standards and Followers'!$G$14:$G$73,MATCH($A10,'CA Standards and Followers'!$A$14:$A$73,0))&lt;=R$1),INDEX('CA Standards and Followers'!$2:$2,MATCH(R$1,'CA Standards and Followers'!$1:$1,0)),0))</f>
        <v>0</v>
      </c>
      <c r="S10">
        <f>IF(AND(INDEX('CA Standards and Followers'!$E$14:$E$73,MATCH($A10,'CA Standards and Followers'!$A$14:$A$73,0))=1,INDEX('CA Standards and Followers'!$H$14:$H$73,MATCH($A10,'CA Standards and Followers'!$A$14:$A$73,0))&lt;=S$1),INDEX('CA Standards and Followers'!$3:$3,MATCH(S$1,'CA Standards and Followers'!$1:$1,0)),IF(AND(INDEX('CA Standards and Followers'!$D$14:$D$73,MATCH($A10,'CA Standards and Followers'!$A$14:$A$73,0))=1,INDEX('CA Standards and Followers'!$G$14:$G$73,MATCH($A10,'CA Standards and Followers'!$A$14:$A$73,0))&lt;=S$1),INDEX('CA Standards and Followers'!$2:$2,MATCH(S$1,'CA Standards and Followers'!$1:$1,0)),0))</f>
        <v>0</v>
      </c>
      <c r="T10">
        <f>IF(AND(INDEX('CA Standards and Followers'!$E$14:$E$73,MATCH($A10,'CA Standards and Followers'!$A$14:$A$73,0))=1,INDEX('CA Standards and Followers'!$H$14:$H$73,MATCH($A10,'CA Standards and Followers'!$A$14:$A$73,0))&lt;=T$1),INDEX('CA Standards and Followers'!$3:$3,MATCH(T$1,'CA Standards and Followers'!$1:$1,0)),IF(AND(INDEX('CA Standards and Followers'!$D$14:$D$73,MATCH($A10,'CA Standards and Followers'!$A$14:$A$73,0))=1,INDEX('CA Standards and Followers'!$G$14:$G$73,MATCH($A10,'CA Standards and Followers'!$A$14:$A$73,0))&lt;=T$1),INDEX('CA Standards and Followers'!$2:$2,MATCH(T$1,'CA Standards and Followers'!$1:$1,0)),0))</f>
        <v>0</v>
      </c>
      <c r="U10">
        <f>IF(AND(INDEX('CA Standards and Followers'!$E$14:$E$73,MATCH($A10,'CA Standards and Followers'!$A$14:$A$73,0))=1,INDEX('CA Standards and Followers'!$H$14:$H$73,MATCH($A10,'CA Standards and Followers'!$A$14:$A$73,0))&lt;=U$1),INDEX('CA Standards and Followers'!$3:$3,MATCH(U$1,'CA Standards and Followers'!$1:$1,0)),IF(AND(INDEX('CA Standards and Followers'!$D$14:$D$73,MATCH($A10,'CA Standards and Followers'!$A$14:$A$73,0))=1,INDEX('CA Standards and Followers'!$G$14:$G$73,MATCH($A10,'CA Standards and Followers'!$A$14:$A$73,0))&lt;=U$1),INDEX('CA Standards and Followers'!$2:$2,MATCH(U$1,'CA Standards and Followers'!$1:$1,0)),0))</f>
        <v>0</v>
      </c>
      <c r="V10">
        <f>IF(AND(INDEX('CA Standards and Followers'!$E$14:$E$73,MATCH($A10,'CA Standards and Followers'!$A$14:$A$73,0))=1,INDEX('CA Standards and Followers'!$H$14:$H$73,MATCH($A10,'CA Standards and Followers'!$A$14:$A$73,0))&lt;=V$1),INDEX('CA Standards and Followers'!$3:$3,MATCH(V$1,'CA Standards and Followers'!$1:$1,0)),IF(AND(INDEX('CA Standards and Followers'!$D$14:$D$73,MATCH($A10,'CA Standards and Followers'!$A$14:$A$73,0))=1,INDEX('CA Standards and Followers'!$G$14:$G$73,MATCH($A10,'CA Standards and Followers'!$A$14:$A$73,0))&lt;=V$1),INDEX('CA Standards and Followers'!$2:$2,MATCH(V$1,'CA Standards and Followers'!$1:$1,0)),0))</f>
        <v>0</v>
      </c>
      <c r="W10">
        <f>IF(AND(INDEX('CA Standards and Followers'!$E$14:$E$73,MATCH($A10,'CA Standards and Followers'!$A$14:$A$73,0))=1,INDEX('CA Standards and Followers'!$H$14:$H$73,MATCH($A10,'CA Standards and Followers'!$A$14:$A$73,0))&lt;=W$1),INDEX('CA Standards and Followers'!$3:$3,MATCH(W$1,'CA Standards and Followers'!$1:$1,0)),IF(AND(INDEX('CA Standards and Followers'!$D$14:$D$73,MATCH($A10,'CA Standards and Followers'!$A$14:$A$73,0))=1,INDEX('CA Standards and Followers'!$G$14:$G$73,MATCH($A10,'CA Standards and Followers'!$A$14:$A$73,0))&lt;=W$1),INDEX('CA Standards and Followers'!$2:$2,MATCH(W$1,'CA Standards and Followers'!$1:$1,0)),0))</f>
        <v>0</v>
      </c>
      <c r="X10">
        <f>IF(AND(INDEX('CA Standards and Followers'!$E$14:$E$73,MATCH($A10,'CA Standards and Followers'!$A$14:$A$73,0))=1,INDEX('CA Standards and Followers'!$H$14:$H$73,MATCH($A10,'CA Standards and Followers'!$A$14:$A$73,0))&lt;=X$1),INDEX('CA Standards and Followers'!$3:$3,MATCH(X$1,'CA Standards and Followers'!$1:$1,0)),IF(AND(INDEX('CA Standards and Followers'!$D$14:$D$73,MATCH($A10,'CA Standards and Followers'!$A$14:$A$73,0))=1,INDEX('CA Standards and Followers'!$G$14:$G$73,MATCH($A10,'CA Standards and Followers'!$A$14:$A$73,0))&lt;=X$1),INDEX('CA Standards and Followers'!$2:$2,MATCH(X$1,'CA Standards and Followers'!$1:$1,0)),0))</f>
        <v>0</v>
      </c>
      <c r="Y10">
        <f>IF(AND(INDEX('CA Standards and Followers'!$E$14:$E$73,MATCH($A10,'CA Standards and Followers'!$A$14:$A$73,0))=1,INDEX('CA Standards and Followers'!$H$14:$H$73,MATCH($A10,'CA Standards and Followers'!$A$14:$A$73,0))&lt;=Y$1),INDEX('CA Standards and Followers'!$3:$3,MATCH(Y$1,'CA Standards and Followers'!$1:$1,0)),IF(AND(INDEX('CA Standards and Followers'!$D$14:$D$73,MATCH($A10,'CA Standards and Followers'!$A$14:$A$73,0))=1,INDEX('CA Standards and Followers'!$G$14:$G$73,MATCH($A10,'CA Standards and Followers'!$A$14:$A$73,0))&lt;=Y$1),INDEX('CA Standards and Followers'!$2:$2,MATCH(Y$1,'CA Standards and Followers'!$1:$1,0)),0))</f>
        <v>0</v>
      </c>
      <c r="Z10">
        <f>IF(AND(INDEX('CA Standards and Followers'!$E$14:$E$73,MATCH($A10,'CA Standards and Followers'!$A$14:$A$73,0))=1,INDEX('CA Standards and Followers'!$H$14:$H$73,MATCH($A10,'CA Standards and Followers'!$A$14:$A$73,0))&lt;=Z$1),INDEX('CA Standards and Followers'!$3:$3,MATCH(Z$1,'CA Standards and Followers'!$1:$1,0)),IF(AND(INDEX('CA Standards and Followers'!$D$14:$D$73,MATCH($A10,'CA Standards and Followers'!$A$14:$A$73,0))=1,INDEX('CA Standards and Followers'!$G$14:$G$73,MATCH($A10,'CA Standards and Followers'!$A$14:$A$73,0))&lt;=Z$1),INDEX('CA Standards and Followers'!$2:$2,MATCH(Z$1,'CA Standards and Followers'!$1:$1,0)),0))</f>
        <v>0</v>
      </c>
      <c r="AA10">
        <f>IF(AND(INDEX('CA Standards and Followers'!$E$14:$E$73,MATCH($A10,'CA Standards and Followers'!$A$14:$A$73,0))=1,INDEX('CA Standards and Followers'!$H$14:$H$73,MATCH($A10,'CA Standards and Followers'!$A$14:$A$73,0))&lt;=AA$1),INDEX('CA Standards and Followers'!$3:$3,MATCH(AA$1,'CA Standards and Followers'!$1:$1,0)),IF(AND(INDEX('CA Standards and Followers'!$D$14:$D$73,MATCH($A10,'CA Standards and Followers'!$A$14:$A$73,0))=1,INDEX('CA Standards and Followers'!$G$14:$G$73,MATCH($A10,'CA Standards and Followers'!$A$14:$A$73,0))&lt;=AA$1),INDEX('CA Standards and Followers'!$2:$2,MATCH(AA$1,'CA Standards and Followers'!$1:$1,0)),0))</f>
        <v>0</v>
      </c>
      <c r="AB10">
        <f>IF(AND(INDEX('CA Standards and Followers'!$E$14:$E$73,MATCH($A10,'CA Standards and Followers'!$A$14:$A$73,0))=1,INDEX('CA Standards and Followers'!$H$14:$H$73,MATCH($A10,'CA Standards and Followers'!$A$14:$A$73,0))&lt;=AB$1),INDEX('CA Standards and Followers'!$3:$3,MATCH(AB$1,'CA Standards and Followers'!$1:$1,0)),IF(AND(INDEX('CA Standards and Followers'!$D$14:$D$73,MATCH($A10,'CA Standards and Followers'!$A$14:$A$73,0))=1,INDEX('CA Standards and Followers'!$G$14:$G$73,MATCH($A10,'CA Standards and Followers'!$A$14:$A$73,0))&lt;=AB$1),INDEX('CA Standards and Followers'!$2:$2,MATCH(AB$1,'CA Standards and Followers'!$1:$1,0)),0))</f>
        <v>0</v>
      </c>
      <c r="AC10">
        <f>IF(AND(INDEX('CA Standards and Followers'!$E$14:$E$73,MATCH($A10,'CA Standards and Followers'!$A$14:$A$73,0))=1,INDEX('CA Standards and Followers'!$H$14:$H$73,MATCH($A10,'CA Standards and Followers'!$A$14:$A$73,0))&lt;=AC$1),INDEX('CA Standards and Followers'!$3:$3,MATCH(AC$1,'CA Standards and Followers'!$1:$1,0)),IF(AND(INDEX('CA Standards and Followers'!$D$14:$D$73,MATCH($A10,'CA Standards and Followers'!$A$14:$A$73,0))=1,INDEX('CA Standards and Followers'!$G$14:$G$73,MATCH($A10,'CA Standards and Followers'!$A$14:$A$73,0))&lt;=AC$1),INDEX('CA Standards and Followers'!$2:$2,MATCH(AC$1,'CA Standards and Followers'!$1:$1,0)),0))</f>
        <v>0</v>
      </c>
      <c r="AD10">
        <f>IF(AND(INDEX('CA Standards and Followers'!$E$14:$E$73,MATCH($A10,'CA Standards and Followers'!$A$14:$A$73,0))=1,INDEX('CA Standards and Followers'!$H$14:$H$73,MATCH($A10,'CA Standards and Followers'!$A$14:$A$73,0))&lt;=AD$1),INDEX('CA Standards and Followers'!$3:$3,MATCH(AD$1,'CA Standards and Followers'!$1:$1,0)),IF(AND(INDEX('CA Standards and Followers'!$D$14:$D$73,MATCH($A10,'CA Standards and Followers'!$A$14:$A$73,0))=1,INDEX('CA Standards and Followers'!$G$14:$G$73,MATCH($A10,'CA Standards and Followers'!$A$14:$A$73,0))&lt;=AD$1),INDEX('CA Standards and Followers'!$2:$2,MATCH(AD$1,'CA Standards and Followers'!$1:$1,0)),0))</f>
        <v>0</v>
      </c>
      <c r="AE10">
        <f>IF(AND(INDEX('CA Standards and Followers'!$E$14:$E$73,MATCH($A10,'CA Standards and Followers'!$A$14:$A$73,0))=1,INDEX('CA Standards and Followers'!$H$14:$H$73,MATCH($A10,'CA Standards and Followers'!$A$14:$A$73,0))&lt;=AE$1),INDEX('CA Standards and Followers'!$3:$3,MATCH(AE$1,'CA Standards and Followers'!$1:$1,0)),IF(AND(INDEX('CA Standards and Followers'!$D$14:$D$73,MATCH($A10,'CA Standards and Followers'!$A$14:$A$73,0))=1,INDEX('CA Standards and Followers'!$G$14:$G$73,MATCH($A10,'CA Standards and Followers'!$A$14:$A$73,0))&lt;=AE$1),INDEX('CA Standards and Followers'!$2:$2,MATCH(AE$1,'CA Standards and Followers'!$1:$1,0)),0))</f>
        <v>0</v>
      </c>
      <c r="AF10">
        <f>IF(AND(INDEX('CA Standards and Followers'!$E$14:$E$73,MATCH($A10,'CA Standards and Followers'!$A$14:$A$73,0))=1,INDEX('CA Standards and Followers'!$H$14:$H$73,MATCH($A10,'CA Standards and Followers'!$A$14:$A$73,0))&lt;=AF$1),INDEX('CA Standards and Followers'!$3:$3,MATCH(AF$1,'CA Standards and Followers'!$1:$1,0)),IF(AND(INDEX('CA Standards and Followers'!$D$14:$D$73,MATCH($A10,'CA Standards and Followers'!$A$14:$A$73,0))=1,INDEX('CA Standards and Followers'!$G$14:$G$73,MATCH($A10,'CA Standards and Followers'!$A$14:$A$73,0))&lt;=AF$1),INDEX('CA Standards and Followers'!$2:$2,MATCH(AF$1,'CA Standards and Followers'!$1:$1,0)),0))</f>
        <v>0</v>
      </c>
    </row>
    <row r="11" spans="1:32" x14ac:dyDescent="0.25">
      <c r="A11" t="s">
        <v>11</v>
      </c>
      <c r="B11">
        <f>IF(AND(INDEX('CA Standards and Followers'!$E$14:$E$73,MATCH($A11,'CA Standards and Followers'!$A$14:$A$73,0))=1,INDEX('CA Standards and Followers'!$H$14:$H$73,MATCH($A11,'CA Standards and Followers'!$A$14:$A$73,0))&lt;=B$1),INDEX('CA Standards and Followers'!$3:$3,MATCH(B$1,'CA Standards and Followers'!$1:$1,0)),IF(AND(INDEX('CA Standards and Followers'!$D$14:$D$73,MATCH($A11,'CA Standards and Followers'!$A$14:$A$73,0))=1,INDEX('CA Standards and Followers'!$G$14:$G$73,MATCH($A11,'CA Standards and Followers'!$A$14:$A$73,0))&lt;=B$1),INDEX('CA Standards and Followers'!$2:$2,MATCH(B$1,'CA Standards and Followers'!$1:$1,0)),0))</f>
        <v>0</v>
      </c>
      <c r="C11">
        <f>IF(AND(INDEX('CA Standards and Followers'!$E$14:$E$73,MATCH($A11,'CA Standards and Followers'!$A$14:$A$73,0))=1,INDEX('CA Standards and Followers'!$H$14:$H$73,MATCH($A11,'CA Standards and Followers'!$A$14:$A$73,0))&lt;=C$1),INDEX('CA Standards and Followers'!$3:$3,MATCH(C$1,'CA Standards and Followers'!$1:$1,0)),IF(AND(INDEX('CA Standards and Followers'!$D$14:$D$73,MATCH($A11,'CA Standards and Followers'!$A$14:$A$73,0))=1,INDEX('CA Standards and Followers'!$G$14:$G$73,MATCH($A11,'CA Standards and Followers'!$A$14:$A$73,0))&lt;=C$1),INDEX('CA Standards and Followers'!$2:$2,MATCH(C$1,'CA Standards and Followers'!$1:$1,0)),0))</f>
        <v>0</v>
      </c>
      <c r="D11">
        <f>IF(AND(INDEX('CA Standards and Followers'!$E$14:$E$73,MATCH($A11,'CA Standards and Followers'!$A$14:$A$73,0))=1,INDEX('CA Standards and Followers'!$H$14:$H$73,MATCH($A11,'CA Standards and Followers'!$A$14:$A$73,0))&lt;=D$1),INDEX('CA Standards and Followers'!$3:$3,MATCH(D$1,'CA Standards and Followers'!$1:$1,0)),IF(AND(INDEX('CA Standards and Followers'!$D$14:$D$73,MATCH($A11,'CA Standards and Followers'!$A$14:$A$73,0))=1,INDEX('CA Standards and Followers'!$G$14:$G$73,MATCH($A11,'CA Standards and Followers'!$A$14:$A$73,0))&lt;=D$1),INDEX('CA Standards and Followers'!$2:$2,MATCH(D$1,'CA Standards and Followers'!$1:$1,0)),0))</f>
        <v>0</v>
      </c>
      <c r="E11">
        <f>IF(AND(INDEX('CA Standards and Followers'!$E$14:$E$73,MATCH($A11,'CA Standards and Followers'!$A$14:$A$73,0))=1,INDEX('CA Standards and Followers'!$H$14:$H$73,MATCH($A11,'CA Standards and Followers'!$A$14:$A$73,0))&lt;=E$1),INDEX('CA Standards and Followers'!$3:$3,MATCH(E$1,'CA Standards and Followers'!$1:$1,0)),IF(AND(INDEX('CA Standards and Followers'!$D$14:$D$73,MATCH($A11,'CA Standards and Followers'!$A$14:$A$73,0))=1,INDEX('CA Standards and Followers'!$G$14:$G$73,MATCH($A11,'CA Standards and Followers'!$A$14:$A$73,0))&lt;=E$1),INDEX('CA Standards and Followers'!$2:$2,MATCH(E$1,'CA Standards and Followers'!$1:$1,0)),0))</f>
        <v>0</v>
      </c>
      <c r="F11">
        <f>IF(AND(INDEX('CA Standards and Followers'!$E$14:$E$73,MATCH($A11,'CA Standards and Followers'!$A$14:$A$73,0))=1,INDEX('CA Standards and Followers'!$H$14:$H$73,MATCH($A11,'CA Standards and Followers'!$A$14:$A$73,0))&lt;=F$1),INDEX('CA Standards and Followers'!$3:$3,MATCH(F$1,'CA Standards and Followers'!$1:$1,0)),IF(AND(INDEX('CA Standards and Followers'!$D$14:$D$73,MATCH($A11,'CA Standards and Followers'!$A$14:$A$73,0))=1,INDEX('CA Standards and Followers'!$G$14:$G$73,MATCH($A11,'CA Standards and Followers'!$A$14:$A$73,0))&lt;=F$1),INDEX('CA Standards and Followers'!$2:$2,MATCH(F$1,'CA Standards and Followers'!$1:$1,0)),0))</f>
        <v>0</v>
      </c>
      <c r="G11">
        <f>IF(AND(INDEX('CA Standards and Followers'!$E$14:$E$73,MATCH($A11,'CA Standards and Followers'!$A$14:$A$73,0))=1,INDEX('CA Standards and Followers'!$H$14:$H$73,MATCH($A11,'CA Standards and Followers'!$A$14:$A$73,0))&lt;=G$1),INDEX('CA Standards and Followers'!$3:$3,MATCH(G$1,'CA Standards and Followers'!$1:$1,0)),IF(AND(INDEX('CA Standards and Followers'!$D$14:$D$73,MATCH($A11,'CA Standards and Followers'!$A$14:$A$73,0))=1,INDEX('CA Standards and Followers'!$G$14:$G$73,MATCH($A11,'CA Standards and Followers'!$A$14:$A$73,0))&lt;=G$1),INDEX('CA Standards and Followers'!$2:$2,MATCH(G$1,'CA Standards and Followers'!$1:$1,0)),0))</f>
        <v>0</v>
      </c>
      <c r="H11">
        <f>IF(AND(INDEX('CA Standards and Followers'!$E$14:$E$73,MATCH($A11,'CA Standards and Followers'!$A$14:$A$73,0))=1,INDEX('CA Standards and Followers'!$H$14:$H$73,MATCH($A11,'CA Standards and Followers'!$A$14:$A$73,0))&lt;=H$1),INDEX('CA Standards and Followers'!$3:$3,MATCH(H$1,'CA Standards and Followers'!$1:$1,0)),IF(AND(INDEX('CA Standards and Followers'!$D$14:$D$73,MATCH($A11,'CA Standards and Followers'!$A$14:$A$73,0))=1,INDEX('CA Standards and Followers'!$G$14:$G$73,MATCH($A11,'CA Standards and Followers'!$A$14:$A$73,0))&lt;=H$1),INDEX('CA Standards and Followers'!$2:$2,MATCH(H$1,'CA Standards and Followers'!$1:$1,0)),0))</f>
        <v>0</v>
      </c>
      <c r="I11">
        <f>IF(AND(INDEX('CA Standards and Followers'!$E$14:$E$73,MATCH($A11,'CA Standards and Followers'!$A$14:$A$73,0))=1,INDEX('CA Standards and Followers'!$H$14:$H$73,MATCH($A11,'CA Standards and Followers'!$A$14:$A$73,0))&lt;=I$1),INDEX('CA Standards and Followers'!$3:$3,MATCH(I$1,'CA Standards and Followers'!$1:$1,0)),IF(AND(INDEX('CA Standards and Followers'!$D$14:$D$73,MATCH($A11,'CA Standards and Followers'!$A$14:$A$73,0))=1,INDEX('CA Standards and Followers'!$G$14:$G$73,MATCH($A11,'CA Standards and Followers'!$A$14:$A$73,0))&lt;=I$1),INDEX('CA Standards and Followers'!$2:$2,MATCH(I$1,'CA Standards and Followers'!$1:$1,0)),0))</f>
        <v>0</v>
      </c>
      <c r="J11">
        <f>IF(AND(INDEX('CA Standards and Followers'!$E$14:$E$73,MATCH($A11,'CA Standards and Followers'!$A$14:$A$73,0))=1,INDEX('CA Standards and Followers'!$H$14:$H$73,MATCH($A11,'CA Standards and Followers'!$A$14:$A$73,0))&lt;=J$1),INDEX('CA Standards and Followers'!$3:$3,MATCH(J$1,'CA Standards and Followers'!$1:$1,0)),IF(AND(INDEX('CA Standards and Followers'!$D$14:$D$73,MATCH($A11,'CA Standards and Followers'!$A$14:$A$73,0))=1,INDEX('CA Standards and Followers'!$G$14:$G$73,MATCH($A11,'CA Standards and Followers'!$A$14:$A$73,0))&lt;=J$1),INDEX('CA Standards and Followers'!$2:$2,MATCH(J$1,'CA Standards and Followers'!$1:$1,0)),0))</f>
        <v>0</v>
      </c>
      <c r="K11">
        <f>IF(AND(INDEX('CA Standards and Followers'!$E$14:$E$73,MATCH($A11,'CA Standards and Followers'!$A$14:$A$73,0))=1,INDEX('CA Standards and Followers'!$H$14:$H$73,MATCH($A11,'CA Standards and Followers'!$A$14:$A$73,0))&lt;=K$1),INDEX('CA Standards and Followers'!$3:$3,MATCH(K$1,'CA Standards and Followers'!$1:$1,0)),IF(AND(INDEX('CA Standards and Followers'!$D$14:$D$73,MATCH($A11,'CA Standards and Followers'!$A$14:$A$73,0))=1,INDEX('CA Standards and Followers'!$G$14:$G$73,MATCH($A11,'CA Standards and Followers'!$A$14:$A$73,0))&lt;=K$1),INDEX('CA Standards and Followers'!$2:$2,MATCH(K$1,'CA Standards and Followers'!$1:$1,0)),0))</f>
        <v>0</v>
      </c>
      <c r="L11">
        <f>IF(AND(INDEX('CA Standards and Followers'!$E$14:$E$73,MATCH($A11,'CA Standards and Followers'!$A$14:$A$73,0))=1,INDEX('CA Standards and Followers'!$H$14:$H$73,MATCH($A11,'CA Standards and Followers'!$A$14:$A$73,0))&lt;=L$1),INDEX('CA Standards and Followers'!$3:$3,MATCH(L$1,'CA Standards and Followers'!$1:$1,0)),IF(AND(INDEX('CA Standards and Followers'!$D$14:$D$73,MATCH($A11,'CA Standards and Followers'!$A$14:$A$73,0))=1,INDEX('CA Standards and Followers'!$G$14:$G$73,MATCH($A11,'CA Standards and Followers'!$A$14:$A$73,0))&lt;=L$1),INDEX('CA Standards and Followers'!$2:$2,MATCH(L$1,'CA Standards and Followers'!$1:$1,0)),0))</f>
        <v>0</v>
      </c>
      <c r="M11">
        <f>IF(AND(INDEX('CA Standards and Followers'!$E$14:$E$73,MATCH($A11,'CA Standards and Followers'!$A$14:$A$73,0))=1,INDEX('CA Standards and Followers'!$H$14:$H$73,MATCH($A11,'CA Standards and Followers'!$A$14:$A$73,0))&lt;=M$1),INDEX('CA Standards and Followers'!$3:$3,MATCH(M$1,'CA Standards and Followers'!$1:$1,0)),IF(AND(INDEX('CA Standards and Followers'!$D$14:$D$73,MATCH($A11,'CA Standards and Followers'!$A$14:$A$73,0))=1,INDEX('CA Standards and Followers'!$G$14:$G$73,MATCH($A11,'CA Standards and Followers'!$A$14:$A$73,0))&lt;=M$1),INDEX('CA Standards and Followers'!$2:$2,MATCH(M$1,'CA Standards and Followers'!$1:$1,0)),0))</f>
        <v>0</v>
      </c>
      <c r="N11">
        <f>IF(AND(INDEX('CA Standards and Followers'!$E$14:$E$73,MATCH($A11,'CA Standards and Followers'!$A$14:$A$73,0))=1,INDEX('CA Standards and Followers'!$H$14:$H$73,MATCH($A11,'CA Standards and Followers'!$A$14:$A$73,0))&lt;=N$1),INDEX('CA Standards and Followers'!$3:$3,MATCH(N$1,'CA Standards and Followers'!$1:$1,0)),IF(AND(INDEX('CA Standards and Followers'!$D$14:$D$73,MATCH($A11,'CA Standards and Followers'!$A$14:$A$73,0))=1,INDEX('CA Standards and Followers'!$G$14:$G$73,MATCH($A11,'CA Standards and Followers'!$A$14:$A$73,0))&lt;=N$1),INDEX('CA Standards and Followers'!$2:$2,MATCH(N$1,'CA Standards and Followers'!$1:$1,0)),0))</f>
        <v>0</v>
      </c>
      <c r="O11">
        <f>IF(AND(INDEX('CA Standards and Followers'!$E$14:$E$73,MATCH($A11,'CA Standards and Followers'!$A$14:$A$73,0))=1,INDEX('CA Standards and Followers'!$H$14:$H$73,MATCH($A11,'CA Standards and Followers'!$A$14:$A$73,0))&lt;=O$1),INDEX('CA Standards and Followers'!$3:$3,MATCH(O$1,'CA Standards and Followers'!$1:$1,0)),IF(AND(INDEX('CA Standards and Followers'!$D$14:$D$73,MATCH($A11,'CA Standards and Followers'!$A$14:$A$73,0))=1,INDEX('CA Standards and Followers'!$G$14:$G$73,MATCH($A11,'CA Standards and Followers'!$A$14:$A$73,0))&lt;=O$1),INDEX('CA Standards and Followers'!$2:$2,MATCH(O$1,'CA Standards and Followers'!$1:$1,0)),0))</f>
        <v>0</v>
      </c>
      <c r="P11">
        <f>IF(AND(INDEX('CA Standards and Followers'!$E$14:$E$73,MATCH($A11,'CA Standards and Followers'!$A$14:$A$73,0))=1,INDEX('CA Standards and Followers'!$H$14:$H$73,MATCH($A11,'CA Standards and Followers'!$A$14:$A$73,0))&lt;=P$1),INDEX('CA Standards and Followers'!$3:$3,MATCH(P$1,'CA Standards and Followers'!$1:$1,0)),IF(AND(INDEX('CA Standards and Followers'!$D$14:$D$73,MATCH($A11,'CA Standards and Followers'!$A$14:$A$73,0))=1,INDEX('CA Standards and Followers'!$G$14:$G$73,MATCH($A11,'CA Standards and Followers'!$A$14:$A$73,0))&lt;=P$1),INDEX('CA Standards and Followers'!$2:$2,MATCH(P$1,'CA Standards and Followers'!$1:$1,0)),0))</f>
        <v>0</v>
      </c>
      <c r="Q11">
        <f>IF(AND(INDEX('CA Standards and Followers'!$E$14:$E$73,MATCH($A11,'CA Standards and Followers'!$A$14:$A$73,0))=1,INDEX('CA Standards and Followers'!$H$14:$H$73,MATCH($A11,'CA Standards and Followers'!$A$14:$A$73,0))&lt;=Q$1),INDEX('CA Standards and Followers'!$3:$3,MATCH(Q$1,'CA Standards and Followers'!$1:$1,0)),IF(AND(INDEX('CA Standards and Followers'!$D$14:$D$73,MATCH($A11,'CA Standards and Followers'!$A$14:$A$73,0))=1,INDEX('CA Standards and Followers'!$G$14:$G$73,MATCH($A11,'CA Standards and Followers'!$A$14:$A$73,0))&lt;=Q$1),INDEX('CA Standards and Followers'!$2:$2,MATCH(Q$1,'CA Standards and Followers'!$1:$1,0)),0))</f>
        <v>0</v>
      </c>
      <c r="R11">
        <f>IF(AND(INDEX('CA Standards and Followers'!$E$14:$E$73,MATCH($A11,'CA Standards and Followers'!$A$14:$A$73,0))=1,INDEX('CA Standards and Followers'!$H$14:$H$73,MATCH($A11,'CA Standards and Followers'!$A$14:$A$73,0))&lt;=R$1),INDEX('CA Standards and Followers'!$3:$3,MATCH(R$1,'CA Standards and Followers'!$1:$1,0)),IF(AND(INDEX('CA Standards and Followers'!$D$14:$D$73,MATCH($A11,'CA Standards and Followers'!$A$14:$A$73,0))=1,INDEX('CA Standards and Followers'!$G$14:$G$73,MATCH($A11,'CA Standards and Followers'!$A$14:$A$73,0))&lt;=R$1),INDEX('CA Standards and Followers'!$2:$2,MATCH(R$1,'CA Standards and Followers'!$1:$1,0)),0))</f>
        <v>0</v>
      </c>
      <c r="S11">
        <f>IF(AND(INDEX('CA Standards and Followers'!$E$14:$E$73,MATCH($A11,'CA Standards and Followers'!$A$14:$A$73,0))=1,INDEX('CA Standards and Followers'!$H$14:$H$73,MATCH($A11,'CA Standards and Followers'!$A$14:$A$73,0))&lt;=S$1),INDEX('CA Standards and Followers'!$3:$3,MATCH(S$1,'CA Standards and Followers'!$1:$1,0)),IF(AND(INDEX('CA Standards and Followers'!$D$14:$D$73,MATCH($A11,'CA Standards and Followers'!$A$14:$A$73,0))=1,INDEX('CA Standards and Followers'!$G$14:$G$73,MATCH($A11,'CA Standards and Followers'!$A$14:$A$73,0))&lt;=S$1),INDEX('CA Standards and Followers'!$2:$2,MATCH(S$1,'CA Standards and Followers'!$1:$1,0)),0))</f>
        <v>0</v>
      </c>
      <c r="T11">
        <f>IF(AND(INDEX('CA Standards and Followers'!$E$14:$E$73,MATCH($A11,'CA Standards and Followers'!$A$14:$A$73,0))=1,INDEX('CA Standards and Followers'!$H$14:$H$73,MATCH($A11,'CA Standards and Followers'!$A$14:$A$73,0))&lt;=T$1),INDEX('CA Standards and Followers'!$3:$3,MATCH(T$1,'CA Standards and Followers'!$1:$1,0)),IF(AND(INDEX('CA Standards and Followers'!$D$14:$D$73,MATCH($A11,'CA Standards and Followers'!$A$14:$A$73,0))=1,INDEX('CA Standards and Followers'!$G$14:$G$73,MATCH($A11,'CA Standards and Followers'!$A$14:$A$73,0))&lt;=T$1),INDEX('CA Standards and Followers'!$2:$2,MATCH(T$1,'CA Standards and Followers'!$1:$1,0)),0))</f>
        <v>0</v>
      </c>
      <c r="U11">
        <f>IF(AND(INDEX('CA Standards and Followers'!$E$14:$E$73,MATCH($A11,'CA Standards and Followers'!$A$14:$A$73,0))=1,INDEX('CA Standards and Followers'!$H$14:$H$73,MATCH($A11,'CA Standards and Followers'!$A$14:$A$73,0))&lt;=U$1),INDEX('CA Standards and Followers'!$3:$3,MATCH(U$1,'CA Standards and Followers'!$1:$1,0)),IF(AND(INDEX('CA Standards and Followers'!$D$14:$D$73,MATCH($A11,'CA Standards and Followers'!$A$14:$A$73,0))=1,INDEX('CA Standards and Followers'!$G$14:$G$73,MATCH($A11,'CA Standards and Followers'!$A$14:$A$73,0))&lt;=U$1),INDEX('CA Standards and Followers'!$2:$2,MATCH(U$1,'CA Standards and Followers'!$1:$1,0)),0))</f>
        <v>0</v>
      </c>
      <c r="V11">
        <f>IF(AND(INDEX('CA Standards and Followers'!$E$14:$E$73,MATCH($A11,'CA Standards and Followers'!$A$14:$A$73,0))=1,INDEX('CA Standards and Followers'!$H$14:$H$73,MATCH($A11,'CA Standards and Followers'!$A$14:$A$73,0))&lt;=V$1),INDEX('CA Standards and Followers'!$3:$3,MATCH(V$1,'CA Standards and Followers'!$1:$1,0)),IF(AND(INDEX('CA Standards and Followers'!$D$14:$D$73,MATCH($A11,'CA Standards and Followers'!$A$14:$A$73,0))=1,INDEX('CA Standards and Followers'!$G$14:$G$73,MATCH($A11,'CA Standards and Followers'!$A$14:$A$73,0))&lt;=V$1),INDEX('CA Standards and Followers'!$2:$2,MATCH(V$1,'CA Standards and Followers'!$1:$1,0)),0))</f>
        <v>0</v>
      </c>
      <c r="W11">
        <f>IF(AND(INDEX('CA Standards and Followers'!$E$14:$E$73,MATCH($A11,'CA Standards and Followers'!$A$14:$A$73,0))=1,INDEX('CA Standards and Followers'!$H$14:$H$73,MATCH($A11,'CA Standards and Followers'!$A$14:$A$73,0))&lt;=W$1),INDEX('CA Standards and Followers'!$3:$3,MATCH(W$1,'CA Standards and Followers'!$1:$1,0)),IF(AND(INDEX('CA Standards and Followers'!$D$14:$D$73,MATCH($A11,'CA Standards and Followers'!$A$14:$A$73,0))=1,INDEX('CA Standards and Followers'!$G$14:$G$73,MATCH($A11,'CA Standards and Followers'!$A$14:$A$73,0))&lt;=W$1),INDEX('CA Standards and Followers'!$2:$2,MATCH(W$1,'CA Standards and Followers'!$1:$1,0)),0))</f>
        <v>0</v>
      </c>
      <c r="X11">
        <f>IF(AND(INDEX('CA Standards and Followers'!$E$14:$E$73,MATCH($A11,'CA Standards and Followers'!$A$14:$A$73,0))=1,INDEX('CA Standards and Followers'!$H$14:$H$73,MATCH($A11,'CA Standards and Followers'!$A$14:$A$73,0))&lt;=X$1),INDEX('CA Standards and Followers'!$3:$3,MATCH(X$1,'CA Standards and Followers'!$1:$1,0)),IF(AND(INDEX('CA Standards and Followers'!$D$14:$D$73,MATCH($A11,'CA Standards and Followers'!$A$14:$A$73,0))=1,INDEX('CA Standards and Followers'!$G$14:$G$73,MATCH($A11,'CA Standards and Followers'!$A$14:$A$73,0))&lt;=X$1),INDEX('CA Standards and Followers'!$2:$2,MATCH(X$1,'CA Standards and Followers'!$1:$1,0)),0))</f>
        <v>0</v>
      </c>
      <c r="Y11">
        <f>IF(AND(INDEX('CA Standards and Followers'!$E$14:$E$73,MATCH($A11,'CA Standards and Followers'!$A$14:$A$73,0))=1,INDEX('CA Standards and Followers'!$H$14:$H$73,MATCH($A11,'CA Standards and Followers'!$A$14:$A$73,0))&lt;=Y$1),INDEX('CA Standards and Followers'!$3:$3,MATCH(Y$1,'CA Standards and Followers'!$1:$1,0)),IF(AND(INDEX('CA Standards and Followers'!$D$14:$D$73,MATCH($A11,'CA Standards and Followers'!$A$14:$A$73,0))=1,INDEX('CA Standards and Followers'!$G$14:$G$73,MATCH($A11,'CA Standards and Followers'!$A$14:$A$73,0))&lt;=Y$1),INDEX('CA Standards and Followers'!$2:$2,MATCH(Y$1,'CA Standards and Followers'!$1:$1,0)),0))</f>
        <v>0</v>
      </c>
      <c r="Z11">
        <f>IF(AND(INDEX('CA Standards and Followers'!$E$14:$E$73,MATCH($A11,'CA Standards and Followers'!$A$14:$A$73,0))=1,INDEX('CA Standards and Followers'!$H$14:$H$73,MATCH($A11,'CA Standards and Followers'!$A$14:$A$73,0))&lt;=Z$1),INDEX('CA Standards and Followers'!$3:$3,MATCH(Z$1,'CA Standards and Followers'!$1:$1,0)),IF(AND(INDEX('CA Standards and Followers'!$D$14:$D$73,MATCH($A11,'CA Standards and Followers'!$A$14:$A$73,0))=1,INDEX('CA Standards and Followers'!$G$14:$G$73,MATCH($A11,'CA Standards and Followers'!$A$14:$A$73,0))&lt;=Z$1),INDEX('CA Standards and Followers'!$2:$2,MATCH(Z$1,'CA Standards and Followers'!$1:$1,0)),0))</f>
        <v>0</v>
      </c>
      <c r="AA11">
        <f>IF(AND(INDEX('CA Standards and Followers'!$E$14:$E$73,MATCH($A11,'CA Standards and Followers'!$A$14:$A$73,0))=1,INDEX('CA Standards and Followers'!$H$14:$H$73,MATCH($A11,'CA Standards and Followers'!$A$14:$A$73,0))&lt;=AA$1),INDEX('CA Standards and Followers'!$3:$3,MATCH(AA$1,'CA Standards and Followers'!$1:$1,0)),IF(AND(INDEX('CA Standards and Followers'!$D$14:$D$73,MATCH($A11,'CA Standards and Followers'!$A$14:$A$73,0))=1,INDEX('CA Standards and Followers'!$G$14:$G$73,MATCH($A11,'CA Standards and Followers'!$A$14:$A$73,0))&lt;=AA$1),INDEX('CA Standards and Followers'!$2:$2,MATCH(AA$1,'CA Standards and Followers'!$1:$1,0)),0))</f>
        <v>0</v>
      </c>
      <c r="AB11">
        <f>IF(AND(INDEX('CA Standards and Followers'!$E$14:$E$73,MATCH($A11,'CA Standards and Followers'!$A$14:$A$73,0))=1,INDEX('CA Standards and Followers'!$H$14:$H$73,MATCH($A11,'CA Standards and Followers'!$A$14:$A$73,0))&lt;=AB$1),INDEX('CA Standards and Followers'!$3:$3,MATCH(AB$1,'CA Standards and Followers'!$1:$1,0)),IF(AND(INDEX('CA Standards and Followers'!$D$14:$D$73,MATCH($A11,'CA Standards and Followers'!$A$14:$A$73,0))=1,INDEX('CA Standards and Followers'!$G$14:$G$73,MATCH($A11,'CA Standards and Followers'!$A$14:$A$73,0))&lt;=AB$1),INDEX('CA Standards and Followers'!$2:$2,MATCH(AB$1,'CA Standards and Followers'!$1:$1,0)),0))</f>
        <v>0</v>
      </c>
      <c r="AC11">
        <f>IF(AND(INDEX('CA Standards and Followers'!$E$14:$E$73,MATCH($A11,'CA Standards and Followers'!$A$14:$A$73,0))=1,INDEX('CA Standards and Followers'!$H$14:$H$73,MATCH($A11,'CA Standards and Followers'!$A$14:$A$73,0))&lt;=AC$1),INDEX('CA Standards and Followers'!$3:$3,MATCH(AC$1,'CA Standards and Followers'!$1:$1,0)),IF(AND(INDEX('CA Standards and Followers'!$D$14:$D$73,MATCH($A11,'CA Standards and Followers'!$A$14:$A$73,0))=1,INDEX('CA Standards and Followers'!$G$14:$G$73,MATCH($A11,'CA Standards and Followers'!$A$14:$A$73,0))&lt;=AC$1),INDEX('CA Standards and Followers'!$2:$2,MATCH(AC$1,'CA Standards and Followers'!$1:$1,0)),0))</f>
        <v>0</v>
      </c>
      <c r="AD11">
        <f>IF(AND(INDEX('CA Standards and Followers'!$E$14:$E$73,MATCH($A11,'CA Standards and Followers'!$A$14:$A$73,0))=1,INDEX('CA Standards and Followers'!$H$14:$H$73,MATCH($A11,'CA Standards and Followers'!$A$14:$A$73,0))&lt;=AD$1),INDEX('CA Standards and Followers'!$3:$3,MATCH(AD$1,'CA Standards and Followers'!$1:$1,0)),IF(AND(INDEX('CA Standards and Followers'!$D$14:$D$73,MATCH($A11,'CA Standards and Followers'!$A$14:$A$73,0))=1,INDEX('CA Standards and Followers'!$G$14:$G$73,MATCH($A11,'CA Standards and Followers'!$A$14:$A$73,0))&lt;=AD$1),INDEX('CA Standards and Followers'!$2:$2,MATCH(AD$1,'CA Standards and Followers'!$1:$1,0)),0))</f>
        <v>0</v>
      </c>
      <c r="AE11">
        <f>IF(AND(INDEX('CA Standards and Followers'!$E$14:$E$73,MATCH($A11,'CA Standards and Followers'!$A$14:$A$73,0))=1,INDEX('CA Standards and Followers'!$H$14:$H$73,MATCH($A11,'CA Standards and Followers'!$A$14:$A$73,0))&lt;=AE$1),INDEX('CA Standards and Followers'!$3:$3,MATCH(AE$1,'CA Standards and Followers'!$1:$1,0)),IF(AND(INDEX('CA Standards and Followers'!$D$14:$D$73,MATCH($A11,'CA Standards and Followers'!$A$14:$A$73,0))=1,INDEX('CA Standards and Followers'!$G$14:$G$73,MATCH($A11,'CA Standards and Followers'!$A$14:$A$73,0))&lt;=AE$1),INDEX('CA Standards and Followers'!$2:$2,MATCH(AE$1,'CA Standards and Followers'!$1:$1,0)),0))</f>
        <v>0</v>
      </c>
      <c r="AF11">
        <f>IF(AND(INDEX('CA Standards and Followers'!$E$14:$E$73,MATCH($A11,'CA Standards and Followers'!$A$14:$A$73,0))=1,INDEX('CA Standards and Followers'!$H$14:$H$73,MATCH($A11,'CA Standards and Followers'!$A$14:$A$73,0))&lt;=AF$1),INDEX('CA Standards and Followers'!$3:$3,MATCH(AF$1,'CA Standards and Followers'!$1:$1,0)),IF(AND(INDEX('CA Standards and Followers'!$D$14:$D$73,MATCH($A11,'CA Standards and Followers'!$A$14:$A$73,0))=1,INDEX('CA Standards and Followers'!$G$14:$G$73,MATCH($A11,'CA Standards and Followers'!$A$14:$A$73,0))&lt;=AF$1),INDEX('CA Standards and Followers'!$2:$2,MATCH(AF$1,'CA Standards and Followers'!$1:$1,0)),0))</f>
        <v>0</v>
      </c>
    </row>
    <row r="12" spans="1:32" x14ac:dyDescent="0.25">
      <c r="A12" t="s">
        <v>12</v>
      </c>
      <c r="B12">
        <f>IF(AND(INDEX('CA Standards and Followers'!$E$14:$E$73,MATCH($A12,'CA Standards and Followers'!$A$14:$A$73,0))=1,INDEX('CA Standards and Followers'!$H$14:$H$73,MATCH($A12,'CA Standards and Followers'!$A$14:$A$73,0))&lt;=B$1),INDEX('CA Standards and Followers'!$3:$3,MATCH(B$1,'CA Standards and Followers'!$1:$1,0)),IF(AND(INDEX('CA Standards and Followers'!$D$14:$D$73,MATCH($A12,'CA Standards and Followers'!$A$14:$A$73,0))=1,INDEX('CA Standards and Followers'!$G$14:$G$73,MATCH($A12,'CA Standards and Followers'!$A$14:$A$73,0))&lt;=B$1),INDEX('CA Standards and Followers'!$2:$2,MATCH(B$1,'CA Standards and Followers'!$1:$1,0)),0))</f>
        <v>0</v>
      </c>
      <c r="C12">
        <f>IF(AND(INDEX('CA Standards and Followers'!$E$14:$E$73,MATCH($A12,'CA Standards and Followers'!$A$14:$A$73,0))=1,INDEX('CA Standards and Followers'!$H$14:$H$73,MATCH($A12,'CA Standards and Followers'!$A$14:$A$73,0))&lt;=C$1),INDEX('CA Standards and Followers'!$3:$3,MATCH(C$1,'CA Standards and Followers'!$1:$1,0)),IF(AND(INDEX('CA Standards and Followers'!$D$14:$D$73,MATCH($A12,'CA Standards and Followers'!$A$14:$A$73,0))=1,INDEX('CA Standards and Followers'!$G$14:$G$73,MATCH($A12,'CA Standards and Followers'!$A$14:$A$73,0))&lt;=C$1),INDEX('CA Standards and Followers'!$2:$2,MATCH(C$1,'CA Standards and Followers'!$1:$1,0)),0))</f>
        <v>0</v>
      </c>
      <c r="D12">
        <f>IF(AND(INDEX('CA Standards and Followers'!$E$14:$E$73,MATCH($A12,'CA Standards and Followers'!$A$14:$A$73,0))=1,INDEX('CA Standards and Followers'!$H$14:$H$73,MATCH($A12,'CA Standards and Followers'!$A$14:$A$73,0))&lt;=D$1),INDEX('CA Standards and Followers'!$3:$3,MATCH(D$1,'CA Standards and Followers'!$1:$1,0)),IF(AND(INDEX('CA Standards and Followers'!$D$14:$D$73,MATCH($A12,'CA Standards and Followers'!$A$14:$A$73,0))=1,INDEX('CA Standards and Followers'!$G$14:$G$73,MATCH($A12,'CA Standards and Followers'!$A$14:$A$73,0))&lt;=D$1),INDEX('CA Standards and Followers'!$2:$2,MATCH(D$1,'CA Standards and Followers'!$1:$1,0)),0))</f>
        <v>0</v>
      </c>
      <c r="E12">
        <f>IF(AND(INDEX('CA Standards and Followers'!$E$14:$E$73,MATCH($A12,'CA Standards and Followers'!$A$14:$A$73,0))=1,INDEX('CA Standards and Followers'!$H$14:$H$73,MATCH($A12,'CA Standards and Followers'!$A$14:$A$73,0))&lt;=E$1),INDEX('CA Standards and Followers'!$3:$3,MATCH(E$1,'CA Standards and Followers'!$1:$1,0)),IF(AND(INDEX('CA Standards and Followers'!$D$14:$D$73,MATCH($A12,'CA Standards and Followers'!$A$14:$A$73,0))=1,INDEX('CA Standards and Followers'!$G$14:$G$73,MATCH($A12,'CA Standards and Followers'!$A$14:$A$73,0))&lt;=E$1),INDEX('CA Standards and Followers'!$2:$2,MATCH(E$1,'CA Standards and Followers'!$1:$1,0)),0))</f>
        <v>0</v>
      </c>
      <c r="F12">
        <f>IF(AND(INDEX('CA Standards and Followers'!$E$14:$E$73,MATCH($A12,'CA Standards and Followers'!$A$14:$A$73,0))=1,INDEX('CA Standards and Followers'!$H$14:$H$73,MATCH($A12,'CA Standards and Followers'!$A$14:$A$73,0))&lt;=F$1),INDEX('CA Standards and Followers'!$3:$3,MATCH(F$1,'CA Standards and Followers'!$1:$1,0)),IF(AND(INDEX('CA Standards and Followers'!$D$14:$D$73,MATCH($A12,'CA Standards and Followers'!$A$14:$A$73,0))=1,INDEX('CA Standards and Followers'!$G$14:$G$73,MATCH($A12,'CA Standards and Followers'!$A$14:$A$73,0))&lt;=F$1),INDEX('CA Standards and Followers'!$2:$2,MATCH(F$1,'CA Standards and Followers'!$1:$1,0)),0))</f>
        <v>0</v>
      </c>
      <c r="G12">
        <f>IF(AND(INDEX('CA Standards and Followers'!$E$14:$E$73,MATCH($A12,'CA Standards and Followers'!$A$14:$A$73,0))=1,INDEX('CA Standards and Followers'!$H$14:$H$73,MATCH($A12,'CA Standards and Followers'!$A$14:$A$73,0))&lt;=G$1),INDEX('CA Standards and Followers'!$3:$3,MATCH(G$1,'CA Standards and Followers'!$1:$1,0)),IF(AND(INDEX('CA Standards and Followers'!$D$14:$D$73,MATCH($A12,'CA Standards and Followers'!$A$14:$A$73,0))=1,INDEX('CA Standards and Followers'!$G$14:$G$73,MATCH($A12,'CA Standards and Followers'!$A$14:$A$73,0))&lt;=G$1),INDEX('CA Standards and Followers'!$2:$2,MATCH(G$1,'CA Standards and Followers'!$1:$1,0)),0))</f>
        <v>0</v>
      </c>
      <c r="H12">
        <f>IF(AND(INDEX('CA Standards and Followers'!$E$14:$E$73,MATCH($A12,'CA Standards and Followers'!$A$14:$A$73,0))=1,INDEX('CA Standards and Followers'!$H$14:$H$73,MATCH($A12,'CA Standards and Followers'!$A$14:$A$73,0))&lt;=H$1),INDEX('CA Standards and Followers'!$3:$3,MATCH(H$1,'CA Standards and Followers'!$1:$1,0)),IF(AND(INDEX('CA Standards and Followers'!$D$14:$D$73,MATCH($A12,'CA Standards and Followers'!$A$14:$A$73,0))=1,INDEX('CA Standards and Followers'!$G$14:$G$73,MATCH($A12,'CA Standards and Followers'!$A$14:$A$73,0))&lt;=H$1),INDEX('CA Standards and Followers'!$2:$2,MATCH(H$1,'CA Standards and Followers'!$1:$1,0)),0))</f>
        <v>0</v>
      </c>
      <c r="I12">
        <f>IF(AND(INDEX('CA Standards and Followers'!$E$14:$E$73,MATCH($A12,'CA Standards and Followers'!$A$14:$A$73,0))=1,INDEX('CA Standards and Followers'!$H$14:$H$73,MATCH($A12,'CA Standards and Followers'!$A$14:$A$73,0))&lt;=I$1),INDEX('CA Standards and Followers'!$3:$3,MATCH(I$1,'CA Standards and Followers'!$1:$1,0)),IF(AND(INDEX('CA Standards and Followers'!$D$14:$D$73,MATCH($A12,'CA Standards and Followers'!$A$14:$A$73,0))=1,INDEX('CA Standards and Followers'!$G$14:$G$73,MATCH($A12,'CA Standards and Followers'!$A$14:$A$73,0))&lt;=I$1),INDEX('CA Standards and Followers'!$2:$2,MATCH(I$1,'CA Standards and Followers'!$1:$1,0)),0))</f>
        <v>0</v>
      </c>
      <c r="J12">
        <f>IF(AND(INDEX('CA Standards and Followers'!$E$14:$E$73,MATCH($A12,'CA Standards and Followers'!$A$14:$A$73,0))=1,INDEX('CA Standards and Followers'!$H$14:$H$73,MATCH($A12,'CA Standards and Followers'!$A$14:$A$73,0))&lt;=J$1),INDEX('CA Standards and Followers'!$3:$3,MATCH(J$1,'CA Standards and Followers'!$1:$1,0)),IF(AND(INDEX('CA Standards and Followers'!$D$14:$D$73,MATCH($A12,'CA Standards and Followers'!$A$14:$A$73,0))=1,INDEX('CA Standards and Followers'!$G$14:$G$73,MATCH($A12,'CA Standards and Followers'!$A$14:$A$73,0))&lt;=J$1),INDEX('CA Standards and Followers'!$2:$2,MATCH(J$1,'CA Standards and Followers'!$1:$1,0)),0))</f>
        <v>0</v>
      </c>
      <c r="K12">
        <f>IF(AND(INDEX('CA Standards and Followers'!$E$14:$E$73,MATCH($A12,'CA Standards and Followers'!$A$14:$A$73,0))=1,INDEX('CA Standards and Followers'!$H$14:$H$73,MATCH($A12,'CA Standards and Followers'!$A$14:$A$73,0))&lt;=K$1),INDEX('CA Standards and Followers'!$3:$3,MATCH(K$1,'CA Standards and Followers'!$1:$1,0)),IF(AND(INDEX('CA Standards and Followers'!$D$14:$D$73,MATCH($A12,'CA Standards and Followers'!$A$14:$A$73,0))=1,INDEX('CA Standards and Followers'!$G$14:$G$73,MATCH($A12,'CA Standards and Followers'!$A$14:$A$73,0))&lt;=K$1),INDEX('CA Standards and Followers'!$2:$2,MATCH(K$1,'CA Standards and Followers'!$1:$1,0)),0))</f>
        <v>0</v>
      </c>
      <c r="L12">
        <f>IF(AND(INDEX('CA Standards and Followers'!$E$14:$E$73,MATCH($A12,'CA Standards and Followers'!$A$14:$A$73,0))=1,INDEX('CA Standards and Followers'!$H$14:$H$73,MATCH($A12,'CA Standards and Followers'!$A$14:$A$73,0))&lt;=L$1),INDEX('CA Standards and Followers'!$3:$3,MATCH(L$1,'CA Standards and Followers'!$1:$1,0)),IF(AND(INDEX('CA Standards and Followers'!$D$14:$D$73,MATCH($A12,'CA Standards and Followers'!$A$14:$A$73,0))=1,INDEX('CA Standards and Followers'!$G$14:$G$73,MATCH($A12,'CA Standards and Followers'!$A$14:$A$73,0))&lt;=L$1),INDEX('CA Standards and Followers'!$2:$2,MATCH(L$1,'CA Standards and Followers'!$1:$1,0)),0))</f>
        <v>0</v>
      </c>
      <c r="M12">
        <f>IF(AND(INDEX('CA Standards and Followers'!$E$14:$E$73,MATCH($A12,'CA Standards and Followers'!$A$14:$A$73,0))=1,INDEX('CA Standards and Followers'!$H$14:$H$73,MATCH($A12,'CA Standards and Followers'!$A$14:$A$73,0))&lt;=M$1),INDEX('CA Standards and Followers'!$3:$3,MATCH(M$1,'CA Standards and Followers'!$1:$1,0)),IF(AND(INDEX('CA Standards and Followers'!$D$14:$D$73,MATCH($A12,'CA Standards and Followers'!$A$14:$A$73,0))=1,INDEX('CA Standards and Followers'!$G$14:$G$73,MATCH($A12,'CA Standards and Followers'!$A$14:$A$73,0))&lt;=M$1),INDEX('CA Standards and Followers'!$2:$2,MATCH(M$1,'CA Standards and Followers'!$1:$1,0)),0))</f>
        <v>0</v>
      </c>
      <c r="N12">
        <f>IF(AND(INDEX('CA Standards and Followers'!$E$14:$E$73,MATCH($A12,'CA Standards and Followers'!$A$14:$A$73,0))=1,INDEX('CA Standards and Followers'!$H$14:$H$73,MATCH($A12,'CA Standards and Followers'!$A$14:$A$73,0))&lt;=N$1),INDEX('CA Standards and Followers'!$3:$3,MATCH(N$1,'CA Standards and Followers'!$1:$1,0)),IF(AND(INDEX('CA Standards and Followers'!$D$14:$D$73,MATCH($A12,'CA Standards and Followers'!$A$14:$A$73,0))=1,INDEX('CA Standards and Followers'!$G$14:$G$73,MATCH($A12,'CA Standards and Followers'!$A$14:$A$73,0))&lt;=N$1),INDEX('CA Standards and Followers'!$2:$2,MATCH(N$1,'CA Standards and Followers'!$1:$1,0)),0))</f>
        <v>0</v>
      </c>
      <c r="O12">
        <f>IF(AND(INDEX('CA Standards and Followers'!$E$14:$E$73,MATCH($A12,'CA Standards and Followers'!$A$14:$A$73,0))=1,INDEX('CA Standards and Followers'!$H$14:$H$73,MATCH($A12,'CA Standards and Followers'!$A$14:$A$73,0))&lt;=O$1),INDEX('CA Standards and Followers'!$3:$3,MATCH(O$1,'CA Standards and Followers'!$1:$1,0)),IF(AND(INDEX('CA Standards and Followers'!$D$14:$D$73,MATCH($A12,'CA Standards and Followers'!$A$14:$A$73,0))=1,INDEX('CA Standards and Followers'!$G$14:$G$73,MATCH($A12,'CA Standards and Followers'!$A$14:$A$73,0))&lt;=O$1),INDEX('CA Standards and Followers'!$2:$2,MATCH(O$1,'CA Standards and Followers'!$1:$1,0)),0))</f>
        <v>0</v>
      </c>
      <c r="P12">
        <f>IF(AND(INDEX('CA Standards and Followers'!$E$14:$E$73,MATCH($A12,'CA Standards and Followers'!$A$14:$A$73,0))=1,INDEX('CA Standards and Followers'!$H$14:$H$73,MATCH($A12,'CA Standards and Followers'!$A$14:$A$73,0))&lt;=P$1),INDEX('CA Standards and Followers'!$3:$3,MATCH(P$1,'CA Standards and Followers'!$1:$1,0)),IF(AND(INDEX('CA Standards and Followers'!$D$14:$D$73,MATCH($A12,'CA Standards and Followers'!$A$14:$A$73,0))=1,INDEX('CA Standards and Followers'!$G$14:$G$73,MATCH($A12,'CA Standards and Followers'!$A$14:$A$73,0))&lt;=P$1),INDEX('CA Standards and Followers'!$2:$2,MATCH(P$1,'CA Standards and Followers'!$1:$1,0)),0))</f>
        <v>0</v>
      </c>
      <c r="Q12">
        <f>IF(AND(INDEX('CA Standards and Followers'!$E$14:$E$73,MATCH($A12,'CA Standards and Followers'!$A$14:$A$73,0))=1,INDEX('CA Standards and Followers'!$H$14:$H$73,MATCH($A12,'CA Standards and Followers'!$A$14:$A$73,0))&lt;=Q$1),INDEX('CA Standards and Followers'!$3:$3,MATCH(Q$1,'CA Standards and Followers'!$1:$1,0)),IF(AND(INDEX('CA Standards and Followers'!$D$14:$D$73,MATCH($A12,'CA Standards and Followers'!$A$14:$A$73,0))=1,INDEX('CA Standards and Followers'!$G$14:$G$73,MATCH($A12,'CA Standards and Followers'!$A$14:$A$73,0))&lt;=Q$1),INDEX('CA Standards and Followers'!$2:$2,MATCH(Q$1,'CA Standards and Followers'!$1:$1,0)),0))</f>
        <v>0</v>
      </c>
      <c r="R12">
        <f>IF(AND(INDEX('CA Standards and Followers'!$E$14:$E$73,MATCH($A12,'CA Standards and Followers'!$A$14:$A$73,0))=1,INDEX('CA Standards and Followers'!$H$14:$H$73,MATCH($A12,'CA Standards and Followers'!$A$14:$A$73,0))&lt;=R$1),INDEX('CA Standards and Followers'!$3:$3,MATCH(R$1,'CA Standards and Followers'!$1:$1,0)),IF(AND(INDEX('CA Standards and Followers'!$D$14:$D$73,MATCH($A12,'CA Standards and Followers'!$A$14:$A$73,0))=1,INDEX('CA Standards and Followers'!$G$14:$G$73,MATCH($A12,'CA Standards and Followers'!$A$14:$A$73,0))&lt;=R$1),INDEX('CA Standards and Followers'!$2:$2,MATCH(R$1,'CA Standards and Followers'!$1:$1,0)),0))</f>
        <v>0</v>
      </c>
      <c r="S12">
        <f>IF(AND(INDEX('CA Standards and Followers'!$E$14:$E$73,MATCH($A12,'CA Standards and Followers'!$A$14:$A$73,0))=1,INDEX('CA Standards and Followers'!$H$14:$H$73,MATCH($A12,'CA Standards and Followers'!$A$14:$A$73,0))&lt;=S$1),INDEX('CA Standards and Followers'!$3:$3,MATCH(S$1,'CA Standards and Followers'!$1:$1,0)),IF(AND(INDEX('CA Standards and Followers'!$D$14:$D$73,MATCH($A12,'CA Standards and Followers'!$A$14:$A$73,0))=1,INDEX('CA Standards and Followers'!$G$14:$G$73,MATCH($A12,'CA Standards and Followers'!$A$14:$A$73,0))&lt;=S$1),INDEX('CA Standards and Followers'!$2:$2,MATCH(S$1,'CA Standards and Followers'!$1:$1,0)),0))</f>
        <v>0</v>
      </c>
      <c r="T12">
        <f>IF(AND(INDEX('CA Standards and Followers'!$E$14:$E$73,MATCH($A12,'CA Standards and Followers'!$A$14:$A$73,0))=1,INDEX('CA Standards and Followers'!$H$14:$H$73,MATCH($A12,'CA Standards and Followers'!$A$14:$A$73,0))&lt;=T$1),INDEX('CA Standards and Followers'!$3:$3,MATCH(T$1,'CA Standards and Followers'!$1:$1,0)),IF(AND(INDEX('CA Standards and Followers'!$D$14:$D$73,MATCH($A12,'CA Standards and Followers'!$A$14:$A$73,0))=1,INDEX('CA Standards and Followers'!$G$14:$G$73,MATCH($A12,'CA Standards and Followers'!$A$14:$A$73,0))&lt;=T$1),INDEX('CA Standards and Followers'!$2:$2,MATCH(T$1,'CA Standards and Followers'!$1:$1,0)),0))</f>
        <v>0</v>
      </c>
      <c r="U12">
        <f>IF(AND(INDEX('CA Standards and Followers'!$E$14:$E$73,MATCH($A12,'CA Standards and Followers'!$A$14:$A$73,0))=1,INDEX('CA Standards and Followers'!$H$14:$H$73,MATCH($A12,'CA Standards and Followers'!$A$14:$A$73,0))&lt;=U$1),INDEX('CA Standards and Followers'!$3:$3,MATCH(U$1,'CA Standards and Followers'!$1:$1,0)),IF(AND(INDEX('CA Standards and Followers'!$D$14:$D$73,MATCH($A12,'CA Standards and Followers'!$A$14:$A$73,0))=1,INDEX('CA Standards and Followers'!$G$14:$G$73,MATCH($A12,'CA Standards and Followers'!$A$14:$A$73,0))&lt;=U$1),INDEX('CA Standards and Followers'!$2:$2,MATCH(U$1,'CA Standards and Followers'!$1:$1,0)),0))</f>
        <v>0</v>
      </c>
      <c r="V12">
        <f>IF(AND(INDEX('CA Standards and Followers'!$E$14:$E$73,MATCH($A12,'CA Standards and Followers'!$A$14:$A$73,0))=1,INDEX('CA Standards and Followers'!$H$14:$H$73,MATCH($A12,'CA Standards and Followers'!$A$14:$A$73,0))&lt;=V$1),INDEX('CA Standards and Followers'!$3:$3,MATCH(V$1,'CA Standards and Followers'!$1:$1,0)),IF(AND(INDEX('CA Standards and Followers'!$D$14:$D$73,MATCH($A12,'CA Standards and Followers'!$A$14:$A$73,0))=1,INDEX('CA Standards and Followers'!$G$14:$G$73,MATCH($A12,'CA Standards and Followers'!$A$14:$A$73,0))&lt;=V$1),INDEX('CA Standards and Followers'!$2:$2,MATCH(V$1,'CA Standards and Followers'!$1:$1,0)),0))</f>
        <v>0</v>
      </c>
      <c r="W12">
        <f>IF(AND(INDEX('CA Standards and Followers'!$E$14:$E$73,MATCH($A12,'CA Standards and Followers'!$A$14:$A$73,0))=1,INDEX('CA Standards and Followers'!$H$14:$H$73,MATCH($A12,'CA Standards and Followers'!$A$14:$A$73,0))&lt;=W$1),INDEX('CA Standards and Followers'!$3:$3,MATCH(W$1,'CA Standards and Followers'!$1:$1,0)),IF(AND(INDEX('CA Standards and Followers'!$D$14:$D$73,MATCH($A12,'CA Standards and Followers'!$A$14:$A$73,0))=1,INDEX('CA Standards and Followers'!$G$14:$G$73,MATCH($A12,'CA Standards and Followers'!$A$14:$A$73,0))&lt;=W$1),INDEX('CA Standards and Followers'!$2:$2,MATCH(W$1,'CA Standards and Followers'!$1:$1,0)),0))</f>
        <v>0</v>
      </c>
      <c r="X12">
        <f>IF(AND(INDEX('CA Standards and Followers'!$E$14:$E$73,MATCH($A12,'CA Standards and Followers'!$A$14:$A$73,0))=1,INDEX('CA Standards and Followers'!$H$14:$H$73,MATCH($A12,'CA Standards and Followers'!$A$14:$A$73,0))&lt;=X$1),INDEX('CA Standards and Followers'!$3:$3,MATCH(X$1,'CA Standards and Followers'!$1:$1,0)),IF(AND(INDEX('CA Standards and Followers'!$D$14:$D$73,MATCH($A12,'CA Standards and Followers'!$A$14:$A$73,0))=1,INDEX('CA Standards and Followers'!$G$14:$G$73,MATCH($A12,'CA Standards and Followers'!$A$14:$A$73,0))&lt;=X$1),INDEX('CA Standards and Followers'!$2:$2,MATCH(X$1,'CA Standards and Followers'!$1:$1,0)),0))</f>
        <v>0</v>
      </c>
      <c r="Y12">
        <f>IF(AND(INDEX('CA Standards and Followers'!$E$14:$E$73,MATCH($A12,'CA Standards and Followers'!$A$14:$A$73,0))=1,INDEX('CA Standards and Followers'!$H$14:$H$73,MATCH($A12,'CA Standards and Followers'!$A$14:$A$73,0))&lt;=Y$1),INDEX('CA Standards and Followers'!$3:$3,MATCH(Y$1,'CA Standards and Followers'!$1:$1,0)),IF(AND(INDEX('CA Standards and Followers'!$D$14:$D$73,MATCH($A12,'CA Standards and Followers'!$A$14:$A$73,0))=1,INDEX('CA Standards and Followers'!$G$14:$G$73,MATCH($A12,'CA Standards and Followers'!$A$14:$A$73,0))&lt;=Y$1),INDEX('CA Standards and Followers'!$2:$2,MATCH(Y$1,'CA Standards and Followers'!$1:$1,0)),0))</f>
        <v>0</v>
      </c>
      <c r="Z12">
        <f>IF(AND(INDEX('CA Standards and Followers'!$E$14:$E$73,MATCH($A12,'CA Standards and Followers'!$A$14:$A$73,0))=1,INDEX('CA Standards and Followers'!$H$14:$H$73,MATCH($A12,'CA Standards and Followers'!$A$14:$A$73,0))&lt;=Z$1),INDEX('CA Standards and Followers'!$3:$3,MATCH(Z$1,'CA Standards and Followers'!$1:$1,0)),IF(AND(INDEX('CA Standards and Followers'!$D$14:$D$73,MATCH($A12,'CA Standards and Followers'!$A$14:$A$73,0))=1,INDEX('CA Standards and Followers'!$G$14:$G$73,MATCH($A12,'CA Standards and Followers'!$A$14:$A$73,0))&lt;=Z$1),INDEX('CA Standards and Followers'!$2:$2,MATCH(Z$1,'CA Standards and Followers'!$1:$1,0)),0))</f>
        <v>0</v>
      </c>
      <c r="AA12">
        <f>IF(AND(INDEX('CA Standards and Followers'!$E$14:$E$73,MATCH($A12,'CA Standards and Followers'!$A$14:$A$73,0))=1,INDEX('CA Standards and Followers'!$H$14:$H$73,MATCH($A12,'CA Standards and Followers'!$A$14:$A$73,0))&lt;=AA$1),INDEX('CA Standards and Followers'!$3:$3,MATCH(AA$1,'CA Standards and Followers'!$1:$1,0)),IF(AND(INDEX('CA Standards and Followers'!$D$14:$D$73,MATCH($A12,'CA Standards and Followers'!$A$14:$A$73,0))=1,INDEX('CA Standards and Followers'!$G$14:$G$73,MATCH($A12,'CA Standards and Followers'!$A$14:$A$73,0))&lt;=AA$1),INDEX('CA Standards and Followers'!$2:$2,MATCH(AA$1,'CA Standards and Followers'!$1:$1,0)),0))</f>
        <v>0</v>
      </c>
      <c r="AB12">
        <f>IF(AND(INDEX('CA Standards and Followers'!$E$14:$E$73,MATCH($A12,'CA Standards and Followers'!$A$14:$A$73,0))=1,INDEX('CA Standards and Followers'!$H$14:$H$73,MATCH($A12,'CA Standards and Followers'!$A$14:$A$73,0))&lt;=AB$1),INDEX('CA Standards and Followers'!$3:$3,MATCH(AB$1,'CA Standards and Followers'!$1:$1,0)),IF(AND(INDEX('CA Standards and Followers'!$D$14:$D$73,MATCH($A12,'CA Standards and Followers'!$A$14:$A$73,0))=1,INDEX('CA Standards and Followers'!$G$14:$G$73,MATCH($A12,'CA Standards and Followers'!$A$14:$A$73,0))&lt;=AB$1),INDEX('CA Standards and Followers'!$2:$2,MATCH(AB$1,'CA Standards and Followers'!$1:$1,0)),0))</f>
        <v>0</v>
      </c>
      <c r="AC12">
        <f>IF(AND(INDEX('CA Standards and Followers'!$E$14:$E$73,MATCH($A12,'CA Standards and Followers'!$A$14:$A$73,0))=1,INDEX('CA Standards and Followers'!$H$14:$H$73,MATCH($A12,'CA Standards and Followers'!$A$14:$A$73,0))&lt;=AC$1),INDEX('CA Standards and Followers'!$3:$3,MATCH(AC$1,'CA Standards and Followers'!$1:$1,0)),IF(AND(INDEX('CA Standards and Followers'!$D$14:$D$73,MATCH($A12,'CA Standards and Followers'!$A$14:$A$73,0))=1,INDEX('CA Standards and Followers'!$G$14:$G$73,MATCH($A12,'CA Standards and Followers'!$A$14:$A$73,0))&lt;=AC$1),INDEX('CA Standards and Followers'!$2:$2,MATCH(AC$1,'CA Standards and Followers'!$1:$1,0)),0))</f>
        <v>0</v>
      </c>
      <c r="AD12">
        <f>IF(AND(INDEX('CA Standards and Followers'!$E$14:$E$73,MATCH($A12,'CA Standards and Followers'!$A$14:$A$73,0))=1,INDEX('CA Standards and Followers'!$H$14:$H$73,MATCH($A12,'CA Standards and Followers'!$A$14:$A$73,0))&lt;=AD$1),INDEX('CA Standards and Followers'!$3:$3,MATCH(AD$1,'CA Standards and Followers'!$1:$1,0)),IF(AND(INDEX('CA Standards and Followers'!$D$14:$D$73,MATCH($A12,'CA Standards and Followers'!$A$14:$A$73,0))=1,INDEX('CA Standards and Followers'!$G$14:$G$73,MATCH($A12,'CA Standards and Followers'!$A$14:$A$73,0))&lt;=AD$1),INDEX('CA Standards and Followers'!$2:$2,MATCH(AD$1,'CA Standards and Followers'!$1:$1,0)),0))</f>
        <v>0</v>
      </c>
      <c r="AE12">
        <f>IF(AND(INDEX('CA Standards and Followers'!$E$14:$E$73,MATCH($A12,'CA Standards and Followers'!$A$14:$A$73,0))=1,INDEX('CA Standards and Followers'!$H$14:$H$73,MATCH($A12,'CA Standards and Followers'!$A$14:$A$73,0))&lt;=AE$1),INDEX('CA Standards and Followers'!$3:$3,MATCH(AE$1,'CA Standards and Followers'!$1:$1,0)),IF(AND(INDEX('CA Standards and Followers'!$D$14:$D$73,MATCH($A12,'CA Standards and Followers'!$A$14:$A$73,0))=1,INDEX('CA Standards and Followers'!$G$14:$G$73,MATCH($A12,'CA Standards and Followers'!$A$14:$A$73,0))&lt;=AE$1),INDEX('CA Standards and Followers'!$2:$2,MATCH(AE$1,'CA Standards and Followers'!$1:$1,0)),0))</f>
        <v>0</v>
      </c>
      <c r="AF12">
        <f>IF(AND(INDEX('CA Standards and Followers'!$E$14:$E$73,MATCH($A12,'CA Standards and Followers'!$A$14:$A$73,0))=1,INDEX('CA Standards and Followers'!$H$14:$H$73,MATCH($A12,'CA Standards and Followers'!$A$14:$A$73,0))&lt;=AF$1),INDEX('CA Standards and Followers'!$3:$3,MATCH(AF$1,'CA Standards and Followers'!$1:$1,0)),IF(AND(INDEX('CA Standards and Followers'!$D$14:$D$73,MATCH($A12,'CA Standards and Followers'!$A$14:$A$73,0))=1,INDEX('CA Standards and Followers'!$G$14:$G$73,MATCH($A12,'CA Standards and Followers'!$A$14:$A$73,0))&lt;=AF$1),INDEX('CA Standards and Followers'!$2:$2,MATCH(AF$1,'CA Standards and Followers'!$1:$1,0)),0))</f>
        <v>0</v>
      </c>
    </row>
    <row r="13" spans="1:32" x14ac:dyDescent="0.25">
      <c r="A13" t="s">
        <v>13</v>
      </c>
      <c r="B13">
        <f>IF(AND(INDEX('CA Standards and Followers'!$E$14:$E$73,MATCH($A13,'CA Standards and Followers'!$A$14:$A$73,0))=1,INDEX('CA Standards and Followers'!$H$14:$H$73,MATCH($A13,'CA Standards and Followers'!$A$14:$A$73,0))&lt;=B$1),INDEX('CA Standards and Followers'!$3:$3,MATCH(B$1,'CA Standards and Followers'!$1:$1,0)),IF(AND(INDEX('CA Standards and Followers'!$D$14:$D$73,MATCH($A13,'CA Standards and Followers'!$A$14:$A$73,0))=1,INDEX('CA Standards and Followers'!$G$14:$G$73,MATCH($A13,'CA Standards and Followers'!$A$14:$A$73,0))&lt;=B$1),INDEX('CA Standards and Followers'!$2:$2,MATCH(B$1,'CA Standards and Followers'!$1:$1,0)),0))</f>
        <v>0</v>
      </c>
      <c r="C13">
        <f>IF(AND(INDEX('CA Standards and Followers'!$E$14:$E$73,MATCH($A13,'CA Standards and Followers'!$A$14:$A$73,0))=1,INDEX('CA Standards and Followers'!$H$14:$H$73,MATCH($A13,'CA Standards and Followers'!$A$14:$A$73,0))&lt;=C$1),INDEX('CA Standards and Followers'!$3:$3,MATCH(C$1,'CA Standards and Followers'!$1:$1,0)),IF(AND(INDEX('CA Standards and Followers'!$D$14:$D$73,MATCH($A13,'CA Standards and Followers'!$A$14:$A$73,0))=1,INDEX('CA Standards and Followers'!$G$14:$G$73,MATCH($A13,'CA Standards and Followers'!$A$14:$A$73,0))&lt;=C$1),INDEX('CA Standards and Followers'!$2:$2,MATCH(C$1,'CA Standards and Followers'!$1:$1,0)),0))</f>
        <v>0</v>
      </c>
      <c r="D13">
        <f>IF(AND(INDEX('CA Standards and Followers'!$E$14:$E$73,MATCH($A13,'CA Standards and Followers'!$A$14:$A$73,0))=1,INDEX('CA Standards and Followers'!$H$14:$H$73,MATCH($A13,'CA Standards and Followers'!$A$14:$A$73,0))&lt;=D$1),INDEX('CA Standards and Followers'!$3:$3,MATCH(D$1,'CA Standards and Followers'!$1:$1,0)),IF(AND(INDEX('CA Standards and Followers'!$D$14:$D$73,MATCH($A13,'CA Standards and Followers'!$A$14:$A$73,0))=1,INDEX('CA Standards and Followers'!$G$14:$G$73,MATCH($A13,'CA Standards and Followers'!$A$14:$A$73,0))&lt;=D$1),INDEX('CA Standards and Followers'!$2:$2,MATCH(D$1,'CA Standards and Followers'!$1:$1,0)),0))</f>
        <v>0</v>
      </c>
      <c r="E13">
        <f>IF(AND(INDEX('CA Standards and Followers'!$E$14:$E$73,MATCH($A13,'CA Standards and Followers'!$A$14:$A$73,0))=1,INDEX('CA Standards and Followers'!$H$14:$H$73,MATCH($A13,'CA Standards and Followers'!$A$14:$A$73,0))&lt;=E$1),INDEX('CA Standards and Followers'!$3:$3,MATCH(E$1,'CA Standards and Followers'!$1:$1,0)),IF(AND(INDEX('CA Standards and Followers'!$D$14:$D$73,MATCH($A13,'CA Standards and Followers'!$A$14:$A$73,0))=1,INDEX('CA Standards and Followers'!$G$14:$G$73,MATCH($A13,'CA Standards and Followers'!$A$14:$A$73,0))&lt;=E$1),INDEX('CA Standards and Followers'!$2:$2,MATCH(E$1,'CA Standards and Followers'!$1:$1,0)),0))</f>
        <v>0</v>
      </c>
      <c r="F13">
        <f>IF(AND(INDEX('CA Standards and Followers'!$E$14:$E$73,MATCH($A13,'CA Standards and Followers'!$A$14:$A$73,0))=1,INDEX('CA Standards and Followers'!$H$14:$H$73,MATCH($A13,'CA Standards and Followers'!$A$14:$A$73,0))&lt;=F$1),INDEX('CA Standards and Followers'!$3:$3,MATCH(F$1,'CA Standards and Followers'!$1:$1,0)),IF(AND(INDEX('CA Standards and Followers'!$D$14:$D$73,MATCH($A13,'CA Standards and Followers'!$A$14:$A$73,0))=1,INDEX('CA Standards and Followers'!$G$14:$G$73,MATCH($A13,'CA Standards and Followers'!$A$14:$A$73,0))&lt;=F$1),INDEX('CA Standards and Followers'!$2:$2,MATCH(F$1,'CA Standards and Followers'!$1:$1,0)),0))</f>
        <v>0</v>
      </c>
      <c r="G13">
        <f>IF(AND(INDEX('CA Standards and Followers'!$E$14:$E$73,MATCH($A13,'CA Standards and Followers'!$A$14:$A$73,0))=1,INDEX('CA Standards and Followers'!$H$14:$H$73,MATCH($A13,'CA Standards and Followers'!$A$14:$A$73,0))&lt;=G$1),INDEX('CA Standards and Followers'!$3:$3,MATCH(G$1,'CA Standards and Followers'!$1:$1,0)),IF(AND(INDEX('CA Standards and Followers'!$D$14:$D$73,MATCH($A13,'CA Standards and Followers'!$A$14:$A$73,0))=1,INDEX('CA Standards and Followers'!$G$14:$G$73,MATCH($A13,'CA Standards and Followers'!$A$14:$A$73,0))&lt;=G$1),INDEX('CA Standards and Followers'!$2:$2,MATCH(G$1,'CA Standards and Followers'!$1:$1,0)),0))</f>
        <v>0</v>
      </c>
      <c r="H13">
        <f>IF(AND(INDEX('CA Standards and Followers'!$E$14:$E$73,MATCH($A13,'CA Standards and Followers'!$A$14:$A$73,0))=1,INDEX('CA Standards and Followers'!$H$14:$H$73,MATCH($A13,'CA Standards and Followers'!$A$14:$A$73,0))&lt;=H$1),INDEX('CA Standards and Followers'!$3:$3,MATCH(H$1,'CA Standards and Followers'!$1:$1,0)),IF(AND(INDEX('CA Standards and Followers'!$D$14:$D$73,MATCH($A13,'CA Standards and Followers'!$A$14:$A$73,0))=1,INDEX('CA Standards and Followers'!$G$14:$G$73,MATCH($A13,'CA Standards and Followers'!$A$14:$A$73,0))&lt;=H$1),INDEX('CA Standards and Followers'!$2:$2,MATCH(H$1,'CA Standards and Followers'!$1:$1,0)),0))</f>
        <v>0</v>
      </c>
      <c r="I13">
        <f>IF(AND(INDEX('CA Standards and Followers'!$E$14:$E$73,MATCH($A13,'CA Standards and Followers'!$A$14:$A$73,0))=1,INDEX('CA Standards and Followers'!$H$14:$H$73,MATCH($A13,'CA Standards and Followers'!$A$14:$A$73,0))&lt;=I$1),INDEX('CA Standards and Followers'!$3:$3,MATCH(I$1,'CA Standards and Followers'!$1:$1,0)),IF(AND(INDEX('CA Standards and Followers'!$D$14:$D$73,MATCH($A13,'CA Standards and Followers'!$A$14:$A$73,0))=1,INDEX('CA Standards and Followers'!$G$14:$G$73,MATCH($A13,'CA Standards and Followers'!$A$14:$A$73,0))&lt;=I$1),INDEX('CA Standards and Followers'!$2:$2,MATCH(I$1,'CA Standards and Followers'!$1:$1,0)),0))</f>
        <v>0</v>
      </c>
      <c r="J13">
        <f>IF(AND(INDEX('CA Standards and Followers'!$E$14:$E$73,MATCH($A13,'CA Standards and Followers'!$A$14:$A$73,0))=1,INDEX('CA Standards and Followers'!$H$14:$H$73,MATCH($A13,'CA Standards and Followers'!$A$14:$A$73,0))&lt;=J$1),INDEX('CA Standards and Followers'!$3:$3,MATCH(J$1,'CA Standards and Followers'!$1:$1,0)),IF(AND(INDEX('CA Standards and Followers'!$D$14:$D$73,MATCH($A13,'CA Standards and Followers'!$A$14:$A$73,0))=1,INDEX('CA Standards and Followers'!$G$14:$G$73,MATCH($A13,'CA Standards and Followers'!$A$14:$A$73,0))&lt;=J$1),INDEX('CA Standards and Followers'!$2:$2,MATCH(J$1,'CA Standards and Followers'!$1:$1,0)),0))</f>
        <v>0</v>
      </c>
      <c r="K13">
        <f>IF(AND(INDEX('CA Standards and Followers'!$E$14:$E$73,MATCH($A13,'CA Standards and Followers'!$A$14:$A$73,0))=1,INDEX('CA Standards and Followers'!$H$14:$H$73,MATCH($A13,'CA Standards and Followers'!$A$14:$A$73,0))&lt;=K$1),INDEX('CA Standards and Followers'!$3:$3,MATCH(K$1,'CA Standards and Followers'!$1:$1,0)),IF(AND(INDEX('CA Standards and Followers'!$D$14:$D$73,MATCH($A13,'CA Standards and Followers'!$A$14:$A$73,0))=1,INDEX('CA Standards and Followers'!$G$14:$G$73,MATCH($A13,'CA Standards and Followers'!$A$14:$A$73,0))&lt;=K$1),INDEX('CA Standards and Followers'!$2:$2,MATCH(K$1,'CA Standards and Followers'!$1:$1,0)),0))</f>
        <v>0</v>
      </c>
      <c r="L13">
        <f>IF(AND(INDEX('CA Standards and Followers'!$E$14:$E$73,MATCH($A13,'CA Standards and Followers'!$A$14:$A$73,0))=1,INDEX('CA Standards and Followers'!$H$14:$H$73,MATCH($A13,'CA Standards and Followers'!$A$14:$A$73,0))&lt;=L$1),INDEX('CA Standards and Followers'!$3:$3,MATCH(L$1,'CA Standards and Followers'!$1:$1,0)),IF(AND(INDEX('CA Standards and Followers'!$D$14:$D$73,MATCH($A13,'CA Standards and Followers'!$A$14:$A$73,0))=1,INDEX('CA Standards and Followers'!$G$14:$G$73,MATCH($A13,'CA Standards and Followers'!$A$14:$A$73,0))&lt;=L$1),INDEX('CA Standards and Followers'!$2:$2,MATCH(L$1,'CA Standards and Followers'!$1:$1,0)),0))</f>
        <v>0</v>
      </c>
      <c r="M13">
        <f>IF(AND(INDEX('CA Standards and Followers'!$E$14:$E$73,MATCH($A13,'CA Standards and Followers'!$A$14:$A$73,0))=1,INDEX('CA Standards and Followers'!$H$14:$H$73,MATCH($A13,'CA Standards and Followers'!$A$14:$A$73,0))&lt;=M$1),INDEX('CA Standards and Followers'!$3:$3,MATCH(M$1,'CA Standards and Followers'!$1:$1,0)),IF(AND(INDEX('CA Standards and Followers'!$D$14:$D$73,MATCH($A13,'CA Standards and Followers'!$A$14:$A$73,0))=1,INDEX('CA Standards and Followers'!$G$14:$G$73,MATCH($A13,'CA Standards and Followers'!$A$14:$A$73,0))&lt;=M$1),INDEX('CA Standards and Followers'!$2:$2,MATCH(M$1,'CA Standards and Followers'!$1:$1,0)),0))</f>
        <v>0</v>
      </c>
      <c r="N13">
        <f>IF(AND(INDEX('CA Standards and Followers'!$E$14:$E$73,MATCH($A13,'CA Standards and Followers'!$A$14:$A$73,0))=1,INDEX('CA Standards and Followers'!$H$14:$H$73,MATCH($A13,'CA Standards and Followers'!$A$14:$A$73,0))&lt;=N$1),INDEX('CA Standards and Followers'!$3:$3,MATCH(N$1,'CA Standards and Followers'!$1:$1,0)),IF(AND(INDEX('CA Standards and Followers'!$D$14:$D$73,MATCH($A13,'CA Standards and Followers'!$A$14:$A$73,0))=1,INDEX('CA Standards and Followers'!$G$14:$G$73,MATCH($A13,'CA Standards and Followers'!$A$14:$A$73,0))&lt;=N$1),INDEX('CA Standards and Followers'!$2:$2,MATCH(N$1,'CA Standards and Followers'!$1:$1,0)),0))</f>
        <v>0</v>
      </c>
      <c r="O13">
        <f>IF(AND(INDEX('CA Standards and Followers'!$E$14:$E$73,MATCH($A13,'CA Standards and Followers'!$A$14:$A$73,0))=1,INDEX('CA Standards and Followers'!$H$14:$H$73,MATCH($A13,'CA Standards and Followers'!$A$14:$A$73,0))&lt;=O$1),INDEX('CA Standards and Followers'!$3:$3,MATCH(O$1,'CA Standards and Followers'!$1:$1,0)),IF(AND(INDEX('CA Standards and Followers'!$D$14:$D$73,MATCH($A13,'CA Standards and Followers'!$A$14:$A$73,0))=1,INDEX('CA Standards and Followers'!$G$14:$G$73,MATCH($A13,'CA Standards and Followers'!$A$14:$A$73,0))&lt;=O$1),INDEX('CA Standards and Followers'!$2:$2,MATCH(O$1,'CA Standards and Followers'!$1:$1,0)),0))</f>
        <v>0</v>
      </c>
      <c r="P13">
        <f>IF(AND(INDEX('CA Standards and Followers'!$E$14:$E$73,MATCH($A13,'CA Standards and Followers'!$A$14:$A$73,0))=1,INDEX('CA Standards and Followers'!$H$14:$H$73,MATCH($A13,'CA Standards and Followers'!$A$14:$A$73,0))&lt;=P$1),INDEX('CA Standards and Followers'!$3:$3,MATCH(P$1,'CA Standards and Followers'!$1:$1,0)),IF(AND(INDEX('CA Standards and Followers'!$D$14:$D$73,MATCH($A13,'CA Standards and Followers'!$A$14:$A$73,0))=1,INDEX('CA Standards and Followers'!$G$14:$G$73,MATCH($A13,'CA Standards and Followers'!$A$14:$A$73,0))&lt;=P$1),INDEX('CA Standards and Followers'!$2:$2,MATCH(P$1,'CA Standards and Followers'!$1:$1,0)),0))</f>
        <v>0</v>
      </c>
      <c r="Q13">
        <f>IF(AND(INDEX('CA Standards and Followers'!$E$14:$E$73,MATCH($A13,'CA Standards and Followers'!$A$14:$A$73,0))=1,INDEX('CA Standards and Followers'!$H$14:$H$73,MATCH($A13,'CA Standards and Followers'!$A$14:$A$73,0))&lt;=Q$1),INDEX('CA Standards and Followers'!$3:$3,MATCH(Q$1,'CA Standards and Followers'!$1:$1,0)),IF(AND(INDEX('CA Standards and Followers'!$D$14:$D$73,MATCH($A13,'CA Standards and Followers'!$A$14:$A$73,0))=1,INDEX('CA Standards and Followers'!$G$14:$G$73,MATCH($A13,'CA Standards and Followers'!$A$14:$A$73,0))&lt;=Q$1),INDEX('CA Standards and Followers'!$2:$2,MATCH(Q$1,'CA Standards and Followers'!$1:$1,0)),0))</f>
        <v>0</v>
      </c>
      <c r="R13">
        <f>IF(AND(INDEX('CA Standards and Followers'!$E$14:$E$73,MATCH($A13,'CA Standards and Followers'!$A$14:$A$73,0))=1,INDEX('CA Standards and Followers'!$H$14:$H$73,MATCH($A13,'CA Standards and Followers'!$A$14:$A$73,0))&lt;=R$1),INDEX('CA Standards and Followers'!$3:$3,MATCH(R$1,'CA Standards and Followers'!$1:$1,0)),IF(AND(INDEX('CA Standards and Followers'!$D$14:$D$73,MATCH($A13,'CA Standards and Followers'!$A$14:$A$73,0))=1,INDEX('CA Standards and Followers'!$G$14:$G$73,MATCH($A13,'CA Standards and Followers'!$A$14:$A$73,0))&lt;=R$1),INDEX('CA Standards and Followers'!$2:$2,MATCH(R$1,'CA Standards and Followers'!$1:$1,0)),0))</f>
        <v>0</v>
      </c>
      <c r="S13">
        <f>IF(AND(INDEX('CA Standards and Followers'!$E$14:$E$73,MATCH($A13,'CA Standards and Followers'!$A$14:$A$73,0))=1,INDEX('CA Standards and Followers'!$H$14:$H$73,MATCH($A13,'CA Standards and Followers'!$A$14:$A$73,0))&lt;=S$1),INDEX('CA Standards and Followers'!$3:$3,MATCH(S$1,'CA Standards and Followers'!$1:$1,0)),IF(AND(INDEX('CA Standards and Followers'!$D$14:$D$73,MATCH($A13,'CA Standards and Followers'!$A$14:$A$73,0))=1,INDEX('CA Standards and Followers'!$G$14:$G$73,MATCH($A13,'CA Standards and Followers'!$A$14:$A$73,0))&lt;=S$1),INDEX('CA Standards and Followers'!$2:$2,MATCH(S$1,'CA Standards and Followers'!$1:$1,0)),0))</f>
        <v>0</v>
      </c>
      <c r="T13">
        <f>IF(AND(INDEX('CA Standards and Followers'!$E$14:$E$73,MATCH($A13,'CA Standards and Followers'!$A$14:$A$73,0))=1,INDEX('CA Standards and Followers'!$H$14:$H$73,MATCH($A13,'CA Standards and Followers'!$A$14:$A$73,0))&lt;=T$1),INDEX('CA Standards and Followers'!$3:$3,MATCH(T$1,'CA Standards and Followers'!$1:$1,0)),IF(AND(INDEX('CA Standards and Followers'!$D$14:$D$73,MATCH($A13,'CA Standards and Followers'!$A$14:$A$73,0))=1,INDEX('CA Standards and Followers'!$G$14:$G$73,MATCH($A13,'CA Standards and Followers'!$A$14:$A$73,0))&lt;=T$1),INDEX('CA Standards and Followers'!$2:$2,MATCH(T$1,'CA Standards and Followers'!$1:$1,0)),0))</f>
        <v>0</v>
      </c>
      <c r="U13">
        <f>IF(AND(INDEX('CA Standards and Followers'!$E$14:$E$73,MATCH($A13,'CA Standards and Followers'!$A$14:$A$73,0))=1,INDEX('CA Standards and Followers'!$H$14:$H$73,MATCH($A13,'CA Standards and Followers'!$A$14:$A$73,0))&lt;=U$1),INDEX('CA Standards and Followers'!$3:$3,MATCH(U$1,'CA Standards and Followers'!$1:$1,0)),IF(AND(INDEX('CA Standards and Followers'!$D$14:$D$73,MATCH($A13,'CA Standards and Followers'!$A$14:$A$73,0))=1,INDEX('CA Standards and Followers'!$G$14:$G$73,MATCH($A13,'CA Standards and Followers'!$A$14:$A$73,0))&lt;=U$1),INDEX('CA Standards and Followers'!$2:$2,MATCH(U$1,'CA Standards and Followers'!$1:$1,0)),0))</f>
        <v>0</v>
      </c>
      <c r="V13">
        <f>IF(AND(INDEX('CA Standards and Followers'!$E$14:$E$73,MATCH($A13,'CA Standards and Followers'!$A$14:$A$73,0))=1,INDEX('CA Standards and Followers'!$H$14:$H$73,MATCH($A13,'CA Standards and Followers'!$A$14:$A$73,0))&lt;=V$1),INDEX('CA Standards and Followers'!$3:$3,MATCH(V$1,'CA Standards and Followers'!$1:$1,0)),IF(AND(INDEX('CA Standards and Followers'!$D$14:$D$73,MATCH($A13,'CA Standards and Followers'!$A$14:$A$73,0))=1,INDEX('CA Standards and Followers'!$G$14:$G$73,MATCH($A13,'CA Standards and Followers'!$A$14:$A$73,0))&lt;=V$1),INDEX('CA Standards and Followers'!$2:$2,MATCH(V$1,'CA Standards and Followers'!$1:$1,0)),0))</f>
        <v>0</v>
      </c>
      <c r="W13">
        <f>IF(AND(INDEX('CA Standards and Followers'!$E$14:$E$73,MATCH($A13,'CA Standards and Followers'!$A$14:$A$73,0))=1,INDEX('CA Standards and Followers'!$H$14:$H$73,MATCH($A13,'CA Standards and Followers'!$A$14:$A$73,0))&lt;=W$1),INDEX('CA Standards and Followers'!$3:$3,MATCH(W$1,'CA Standards and Followers'!$1:$1,0)),IF(AND(INDEX('CA Standards and Followers'!$D$14:$D$73,MATCH($A13,'CA Standards and Followers'!$A$14:$A$73,0))=1,INDEX('CA Standards and Followers'!$G$14:$G$73,MATCH($A13,'CA Standards and Followers'!$A$14:$A$73,0))&lt;=W$1),INDEX('CA Standards and Followers'!$2:$2,MATCH(W$1,'CA Standards and Followers'!$1:$1,0)),0))</f>
        <v>0</v>
      </c>
      <c r="X13">
        <f>IF(AND(INDEX('CA Standards and Followers'!$E$14:$E$73,MATCH($A13,'CA Standards and Followers'!$A$14:$A$73,0))=1,INDEX('CA Standards and Followers'!$H$14:$H$73,MATCH($A13,'CA Standards and Followers'!$A$14:$A$73,0))&lt;=X$1),INDEX('CA Standards and Followers'!$3:$3,MATCH(X$1,'CA Standards and Followers'!$1:$1,0)),IF(AND(INDEX('CA Standards and Followers'!$D$14:$D$73,MATCH($A13,'CA Standards and Followers'!$A$14:$A$73,0))=1,INDEX('CA Standards and Followers'!$G$14:$G$73,MATCH($A13,'CA Standards and Followers'!$A$14:$A$73,0))&lt;=X$1),INDEX('CA Standards and Followers'!$2:$2,MATCH(X$1,'CA Standards and Followers'!$1:$1,0)),0))</f>
        <v>0</v>
      </c>
      <c r="Y13">
        <f>IF(AND(INDEX('CA Standards and Followers'!$E$14:$E$73,MATCH($A13,'CA Standards and Followers'!$A$14:$A$73,0))=1,INDEX('CA Standards and Followers'!$H$14:$H$73,MATCH($A13,'CA Standards and Followers'!$A$14:$A$73,0))&lt;=Y$1),INDEX('CA Standards and Followers'!$3:$3,MATCH(Y$1,'CA Standards and Followers'!$1:$1,0)),IF(AND(INDEX('CA Standards and Followers'!$D$14:$D$73,MATCH($A13,'CA Standards and Followers'!$A$14:$A$73,0))=1,INDEX('CA Standards and Followers'!$G$14:$G$73,MATCH($A13,'CA Standards and Followers'!$A$14:$A$73,0))&lt;=Y$1),INDEX('CA Standards and Followers'!$2:$2,MATCH(Y$1,'CA Standards and Followers'!$1:$1,0)),0))</f>
        <v>0</v>
      </c>
      <c r="Z13">
        <f>IF(AND(INDEX('CA Standards and Followers'!$E$14:$E$73,MATCH($A13,'CA Standards and Followers'!$A$14:$A$73,0))=1,INDEX('CA Standards and Followers'!$H$14:$H$73,MATCH($A13,'CA Standards and Followers'!$A$14:$A$73,0))&lt;=Z$1),INDEX('CA Standards and Followers'!$3:$3,MATCH(Z$1,'CA Standards and Followers'!$1:$1,0)),IF(AND(INDEX('CA Standards and Followers'!$D$14:$D$73,MATCH($A13,'CA Standards and Followers'!$A$14:$A$73,0))=1,INDEX('CA Standards and Followers'!$G$14:$G$73,MATCH($A13,'CA Standards and Followers'!$A$14:$A$73,0))&lt;=Z$1),INDEX('CA Standards and Followers'!$2:$2,MATCH(Z$1,'CA Standards and Followers'!$1:$1,0)),0))</f>
        <v>0</v>
      </c>
      <c r="AA13">
        <f>IF(AND(INDEX('CA Standards and Followers'!$E$14:$E$73,MATCH($A13,'CA Standards and Followers'!$A$14:$A$73,0))=1,INDEX('CA Standards and Followers'!$H$14:$H$73,MATCH($A13,'CA Standards and Followers'!$A$14:$A$73,0))&lt;=AA$1),INDEX('CA Standards and Followers'!$3:$3,MATCH(AA$1,'CA Standards and Followers'!$1:$1,0)),IF(AND(INDEX('CA Standards and Followers'!$D$14:$D$73,MATCH($A13,'CA Standards and Followers'!$A$14:$A$73,0))=1,INDEX('CA Standards and Followers'!$G$14:$G$73,MATCH($A13,'CA Standards and Followers'!$A$14:$A$73,0))&lt;=AA$1),INDEX('CA Standards and Followers'!$2:$2,MATCH(AA$1,'CA Standards and Followers'!$1:$1,0)),0))</f>
        <v>0</v>
      </c>
      <c r="AB13">
        <f>IF(AND(INDEX('CA Standards and Followers'!$E$14:$E$73,MATCH($A13,'CA Standards and Followers'!$A$14:$A$73,0))=1,INDEX('CA Standards and Followers'!$H$14:$H$73,MATCH($A13,'CA Standards and Followers'!$A$14:$A$73,0))&lt;=AB$1),INDEX('CA Standards and Followers'!$3:$3,MATCH(AB$1,'CA Standards and Followers'!$1:$1,0)),IF(AND(INDEX('CA Standards and Followers'!$D$14:$D$73,MATCH($A13,'CA Standards and Followers'!$A$14:$A$73,0))=1,INDEX('CA Standards and Followers'!$G$14:$G$73,MATCH($A13,'CA Standards and Followers'!$A$14:$A$73,0))&lt;=AB$1),INDEX('CA Standards and Followers'!$2:$2,MATCH(AB$1,'CA Standards and Followers'!$1:$1,0)),0))</f>
        <v>0</v>
      </c>
      <c r="AC13">
        <f>IF(AND(INDEX('CA Standards and Followers'!$E$14:$E$73,MATCH($A13,'CA Standards and Followers'!$A$14:$A$73,0))=1,INDEX('CA Standards and Followers'!$H$14:$H$73,MATCH($A13,'CA Standards and Followers'!$A$14:$A$73,0))&lt;=AC$1),INDEX('CA Standards and Followers'!$3:$3,MATCH(AC$1,'CA Standards and Followers'!$1:$1,0)),IF(AND(INDEX('CA Standards and Followers'!$D$14:$D$73,MATCH($A13,'CA Standards and Followers'!$A$14:$A$73,0))=1,INDEX('CA Standards and Followers'!$G$14:$G$73,MATCH($A13,'CA Standards and Followers'!$A$14:$A$73,0))&lt;=AC$1),INDEX('CA Standards and Followers'!$2:$2,MATCH(AC$1,'CA Standards and Followers'!$1:$1,0)),0))</f>
        <v>0</v>
      </c>
      <c r="AD13">
        <f>IF(AND(INDEX('CA Standards and Followers'!$E$14:$E$73,MATCH($A13,'CA Standards and Followers'!$A$14:$A$73,0))=1,INDEX('CA Standards and Followers'!$H$14:$H$73,MATCH($A13,'CA Standards and Followers'!$A$14:$A$73,0))&lt;=AD$1),INDEX('CA Standards and Followers'!$3:$3,MATCH(AD$1,'CA Standards and Followers'!$1:$1,0)),IF(AND(INDEX('CA Standards and Followers'!$D$14:$D$73,MATCH($A13,'CA Standards and Followers'!$A$14:$A$73,0))=1,INDEX('CA Standards and Followers'!$G$14:$G$73,MATCH($A13,'CA Standards and Followers'!$A$14:$A$73,0))&lt;=AD$1),INDEX('CA Standards and Followers'!$2:$2,MATCH(AD$1,'CA Standards and Followers'!$1:$1,0)),0))</f>
        <v>0</v>
      </c>
      <c r="AE13">
        <f>IF(AND(INDEX('CA Standards and Followers'!$E$14:$E$73,MATCH($A13,'CA Standards and Followers'!$A$14:$A$73,0))=1,INDEX('CA Standards and Followers'!$H$14:$H$73,MATCH($A13,'CA Standards and Followers'!$A$14:$A$73,0))&lt;=AE$1),INDEX('CA Standards and Followers'!$3:$3,MATCH(AE$1,'CA Standards and Followers'!$1:$1,0)),IF(AND(INDEX('CA Standards and Followers'!$D$14:$D$73,MATCH($A13,'CA Standards and Followers'!$A$14:$A$73,0))=1,INDEX('CA Standards and Followers'!$G$14:$G$73,MATCH($A13,'CA Standards and Followers'!$A$14:$A$73,0))&lt;=AE$1),INDEX('CA Standards and Followers'!$2:$2,MATCH(AE$1,'CA Standards and Followers'!$1:$1,0)),0))</f>
        <v>0</v>
      </c>
      <c r="AF13">
        <f>IF(AND(INDEX('CA Standards and Followers'!$E$14:$E$73,MATCH($A13,'CA Standards and Followers'!$A$14:$A$73,0))=1,INDEX('CA Standards and Followers'!$H$14:$H$73,MATCH($A13,'CA Standards and Followers'!$A$14:$A$73,0))&lt;=AF$1),INDEX('CA Standards and Followers'!$3:$3,MATCH(AF$1,'CA Standards and Followers'!$1:$1,0)),IF(AND(INDEX('CA Standards and Followers'!$D$14:$D$73,MATCH($A13,'CA Standards and Followers'!$A$14:$A$73,0))=1,INDEX('CA Standards and Followers'!$G$14:$G$73,MATCH($A13,'CA Standards and Followers'!$A$14:$A$73,0))&lt;=AF$1),INDEX('CA Standards and Followers'!$2:$2,MATCH(AF$1,'CA Standards and Followers'!$1:$1,0)),0))</f>
        <v>0</v>
      </c>
    </row>
    <row r="14" spans="1:32" x14ac:dyDescent="0.25">
      <c r="A14" t="s">
        <v>14</v>
      </c>
      <c r="B14">
        <f>IF(AND(INDEX('CA Standards and Followers'!$E$14:$E$73,MATCH($A14,'CA Standards and Followers'!$A$14:$A$73,0))=1,INDEX('CA Standards and Followers'!$H$14:$H$73,MATCH($A14,'CA Standards and Followers'!$A$14:$A$73,0))&lt;=B$1),INDEX('CA Standards and Followers'!$3:$3,MATCH(B$1,'CA Standards and Followers'!$1:$1,0)),IF(AND(INDEX('CA Standards and Followers'!$D$14:$D$73,MATCH($A14,'CA Standards and Followers'!$A$14:$A$73,0))=1,INDEX('CA Standards and Followers'!$G$14:$G$73,MATCH($A14,'CA Standards and Followers'!$A$14:$A$73,0))&lt;=B$1),INDEX('CA Standards and Followers'!$2:$2,MATCH(B$1,'CA Standards and Followers'!$1:$1,0)),0))</f>
        <v>0</v>
      </c>
      <c r="C14">
        <f>IF(AND(INDEX('CA Standards and Followers'!$E$14:$E$73,MATCH($A14,'CA Standards and Followers'!$A$14:$A$73,0))=1,INDEX('CA Standards and Followers'!$H$14:$H$73,MATCH($A14,'CA Standards and Followers'!$A$14:$A$73,0))&lt;=C$1),INDEX('CA Standards and Followers'!$3:$3,MATCH(C$1,'CA Standards and Followers'!$1:$1,0)),IF(AND(INDEX('CA Standards and Followers'!$D$14:$D$73,MATCH($A14,'CA Standards and Followers'!$A$14:$A$73,0))=1,INDEX('CA Standards and Followers'!$G$14:$G$73,MATCH($A14,'CA Standards and Followers'!$A$14:$A$73,0))&lt;=C$1),INDEX('CA Standards and Followers'!$2:$2,MATCH(C$1,'CA Standards and Followers'!$1:$1,0)),0))</f>
        <v>0</v>
      </c>
      <c r="D14">
        <f>IF(AND(INDEX('CA Standards and Followers'!$E$14:$E$73,MATCH($A14,'CA Standards and Followers'!$A$14:$A$73,0))=1,INDEX('CA Standards and Followers'!$H$14:$H$73,MATCH($A14,'CA Standards and Followers'!$A$14:$A$73,0))&lt;=D$1),INDEX('CA Standards and Followers'!$3:$3,MATCH(D$1,'CA Standards and Followers'!$1:$1,0)),IF(AND(INDEX('CA Standards and Followers'!$D$14:$D$73,MATCH($A14,'CA Standards and Followers'!$A$14:$A$73,0))=1,INDEX('CA Standards and Followers'!$G$14:$G$73,MATCH($A14,'CA Standards and Followers'!$A$14:$A$73,0))&lt;=D$1),INDEX('CA Standards and Followers'!$2:$2,MATCH(D$1,'CA Standards and Followers'!$1:$1,0)),0))</f>
        <v>0</v>
      </c>
      <c r="E14">
        <f>IF(AND(INDEX('CA Standards and Followers'!$E$14:$E$73,MATCH($A14,'CA Standards and Followers'!$A$14:$A$73,0))=1,INDEX('CA Standards and Followers'!$H$14:$H$73,MATCH($A14,'CA Standards and Followers'!$A$14:$A$73,0))&lt;=E$1),INDEX('CA Standards and Followers'!$3:$3,MATCH(E$1,'CA Standards and Followers'!$1:$1,0)),IF(AND(INDEX('CA Standards and Followers'!$D$14:$D$73,MATCH($A14,'CA Standards and Followers'!$A$14:$A$73,0))=1,INDEX('CA Standards and Followers'!$G$14:$G$73,MATCH($A14,'CA Standards and Followers'!$A$14:$A$73,0))&lt;=E$1),INDEX('CA Standards and Followers'!$2:$2,MATCH(E$1,'CA Standards and Followers'!$1:$1,0)),0))</f>
        <v>0</v>
      </c>
      <c r="F14">
        <f>IF(AND(INDEX('CA Standards and Followers'!$E$14:$E$73,MATCH($A14,'CA Standards and Followers'!$A$14:$A$73,0))=1,INDEX('CA Standards and Followers'!$H$14:$H$73,MATCH($A14,'CA Standards and Followers'!$A$14:$A$73,0))&lt;=F$1),INDEX('CA Standards and Followers'!$3:$3,MATCH(F$1,'CA Standards and Followers'!$1:$1,0)),IF(AND(INDEX('CA Standards and Followers'!$D$14:$D$73,MATCH($A14,'CA Standards and Followers'!$A$14:$A$73,0))=1,INDEX('CA Standards and Followers'!$G$14:$G$73,MATCH($A14,'CA Standards and Followers'!$A$14:$A$73,0))&lt;=F$1),INDEX('CA Standards and Followers'!$2:$2,MATCH(F$1,'CA Standards and Followers'!$1:$1,0)),0))</f>
        <v>0</v>
      </c>
      <c r="G14">
        <f>IF(AND(INDEX('CA Standards and Followers'!$E$14:$E$73,MATCH($A14,'CA Standards and Followers'!$A$14:$A$73,0))=1,INDEX('CA Standards and Followers'!$H$14:$H$73,MATCH($A14,'CA Standards and Followers'!$A$14:$A$73,0))&lt;=G$1),INDEX('CA Standards and Followers'!$3:$3,MATCH(G$1,'CA Standards and Followers'!$1:$1,0)),IF(AND(INDEX('CA Standards and Followers'!$D$14:$D$73,MATCH($A14,'CA Standards and Followers'!$A$14:$A$73,0))=1,INDEX('CA Standards and Followers'!$G$14:$G$73,MATCH($A14,'CA Standards and Followers'!$A$14:$A$73,0))&lt;=G$1),INDEX('CA Standards and Followers'!$2:$2,MATCH(G$1,'CA Standards and Followers'!$1:$1,0)),0))</f>
        <v>0</v>
      </c>
      <c r="H14">
        <f>IF(AND(INDEX('CA Standards and Followers'!$E$14:$E$73,MATCH($A14,'CA Standards and Followers'!$A$14:$A$73,0))=1,INDEX('CA Standards and Followers'!$H$14:$H$73,MATCH($A14,'CA Standards and Followers'!$A$14:$A$73,0))&lt;=H$1),INDEX('CA Standards and Followers'!$3:$3,MATCH(H$1,'CA Standards and Followers'!$1:$1,0)),IF(AND(INDEX('CA Standards and Followers'!$D$14:$D$73,MATCH($A14,'CA Standards and Followers'!$A$14:$A$73,0))=1,INDEX('CA Standards and Followers'!$G$14:$G$73,MATCH($A14,'CA Standards and Followers'!$A$14:$A$73,0))&lt;=H$1),INDEX('CA Standards and Followers'!$2:$2,MATCH(H$1,'CA Standards and Followers'!$1:$1,0)),0))</f>
        <v>0</v>
      </c>
      <c r="I14">
        <f>IF(AND(INDEX('CA Standards and Followers'!$E$14:$E$73,MATCH($A14,'CA Standards and Followers'!$A$14:$A$73,0))=1,INDEX('CA Standards and Followers'!$H$14:$H$73,MATCH($A14,'CA Standards and Followers'!$A$14:$A$73,0))&lt;=I$1),INDEX('CA Standards and Followers'!$3:$3,MATCH(I$1,'CA Standards and Followers'!$1:$1,0)),IF(AND(INDEX('CA Standards and Followers'!$D$14:$D$73,MATCH($A14,'CA Standards and Followers'!$A$14:$A$73,0))=1,INDEX('CA Standards and Followers'!$G$14:$G$73,MATCH($A14,'CA Standards and Followers'!$A$14:$A$73,0))&lt;=I$1),INDEX('CA Standards and Followers'!$2:$2,MATCH(I$1,'CA Standards and Followers'!$1:$1,0)),0))</f>
        <v>0</v>
      </c>
      <c r="J14">
        <f>IF(AND(INDEX('CA Standards and Followers'!$E$14:$E$73,MATCH($A14,'CA Standards and Followers'!$A$14:$A$73,0))=1,INDEX('CA Standards and Followers'!$H$14:$H$73,MATCH($A14,'CA Standards and Followers'!$A$14:$A$73,0))&lt;=J$1),INDEX('CA Standards and Followers'!$3:$3,MATCH(J$1,'CA Standards and Followers'!$1:$1,0)),IF(AND(INDEX('CA Standards and Followers'!$D$14:$D$73,MATCH($A14,'CA Standards and Followers'!$A$14:$A$73,0))=1,INDEX('CA Standards and Followers'!$G$14:$G$73,MATCH($A14,'CA Standards and Followers'!$A$14:$A$73,0))&lt;=J$1),INDEX('CA Standards and Followers'!$2:$2,MATCH(J$1,'CA Standards and Followers'!$1:$1,0)),0))</f>
        <v>0</v>
      </c>
      <c r="K14">
        <f>IF(AND(INDEX('CA Standards and Followers'!$E$14:$E$73,MATCH($A14,'CA Standards and Followers'!$A$14:$A$73,0))=1,INDEX('CA Standards and Followers'!$H$14:$H$73,MATCH($A14,'CA Standards and Followers'!$A$14:$A$73,0))&lt;=K$1),INDEX('CA Standards and Followers'!$3:$3,MATCH(K$1,'CA Standards and Followers'!$1:$1,0)),IF(AND(INDEX('CA Standards and Followers'!$D$14:$D$73,MATCH($A14,'CA Standards and Followers'!$A$14:$A$73,0))=1,INDEX('CA Standards and Followers'!$G$14:$G$73,MATCH($A14,'CA Standards and Followers'!$A$14:$A$73,0))&lt;=K$1),INDEX('CA Standards and Followers'!$2:$2,MATCH(K$1,'CA Standards and Followers'!$1:$1,0)),0))</f>
        <v>0</v>
      </c>
      <c r="L14">
        <f>IF(AND(INDEX('CA Standards and Followers'!$E$14:$E$73,MATCH($A14,'CA Standards and Followers'!$A$14:$A$73,0))=1,INDEX('CA Standards and Followers'!$H$14:$H$73,MATCH($A14,'CA Standards and Followers'!$A$14:$A$73,0))&lt;=L$1),INDEX('CA Standards and Followers'!$3:$3,MATCH(L$1,'CA Standards and Followers'!$1:$1,0)),IF(AND(INDEX('CA Standards and Followers'!$D$14:$D$73,MATCH($A14,'CA Standards and Followers'!$A$14:$A$73,0))=1,INDEX('CA Standards and Followers'!$G$14:$G$73,MATCH($A14,'CA Standards and Followers'!$A$14:$A$73,0))&lt;=L$1),INDEX('CA Standards and Followers'!$2:$2,MATCH(L$1,'CA Standards and Followers'!$1:$1,0)),0))</f>
        <v>0</v>
      </c>
      <c r="M14">
        <f>IF(AND(INDEX('CA Standards and Followers'!$E$14:$E$73,MATCH($A14,'CA Standards and Followers'!$A$14:$A$73,0))=1,INDEX('CA Standards and Followers'!$H$14:$H$73,MATCH($A14,'CA Standards and Followers'!$A$14:$A$73,0))&lt;=M$1),INDEX('CA Standards and Followers'!$3:$3,MATCH(M$1,'CA Standards and Followers'!$1:$1,0)),IF(AND(INDEX('CA Standards and Followers'!$D$14:$D$73,MATCH($A14,'CA Standards and Followers'!$A$14:$A$73,0))=1,INDEX('CA Standards and Followers'!$G$14:$G$73,MATCH($A14,'CA Standards and Followers'!$A$14:$A$73,0))&lt;=M$1),INDEX('CA Standards and Followers'!$2:$2,MATCH(M$1,'CA Standards and Followers'!$1:$1,0)),0))</f>
        <v>0</v>
      </c>
      <c r="N14">
        <f>IF(AND(INDEX('CA Standards and Followers'!$E$14:$E$73,MATCH($A14,'CA Standards and Followers'!$A$14:$A$73,0))=1,INDEX('CA Standards and Followers'!$H$14:$H$73,MATCH($A14,'CA Standards and Followers'!$A$14:$A$73,0))&lt;=N$1),INDEX('CA Standards and Followers'!$3:$3,MATCH(N$1,'CA Standards and Followers'!$1:$1,0)),IF(AND(INDEX('CA Standards and Followers'!$D$14:$D$73,MATCH($A14,'CA Standards and Followers'!$A$14:$A$73,0))=1,INDEX('CA Standards and Followers'!$G$14:$G$73,MATCH($A14,'CA Standards and Followers'!$A$14:$A$73,0))&lt;=N$1),INDEX('CA Standards and Followers'!$2:$2,MATCH(N$1,'CA Standards and Followers'!$1:$1,0)),0))</f>
        <v>0</v>
      </c>
      <c r="O14">
        <f>IF(AND(INDEX('CA Standards and Followers'!$E$14:$E$73,MATCH($A14,'CA Standards and Followers'!$A$14:$A$73,0))=1,INDEX('CA Standards and Followers'!$H$14:$H$73,MATCH($A14,'CA Standards and Followers'!$A$14:$A$73,0))&lt;=O$1),INDEX('CA Standards and Followers'!$3:$3,MATCH(O$1,'CA Standards and Followers'!$1:$1,0)),IF(AND(INDEX('CA Standards and Followers'!$D$14:$D$73,MATCH($A14,'CA Standards and Followers'!$A$14:$A$73,0))=1,INDEX('CA Standards and Followers'!$G$14:$G$73,MATCH($A14,'CA Standards and Followers'!$A$14:$A$73,0))&lt;=O$1),INDEX('CA Standards and Followers'!$2:$2,MATCH(O$1,'CA Standards and Followers'!$1:$1,0)),0))</f>
        <v>0</v>
      </c>
      <c r="P14">
        <f>IF(AND(INDEX('CA Standards and Followers'!$E$14:$E$73,MATCH($A14,'CA Standards and Followers'!$A$14:$A$73,0))=1,INDEX('CA Standards and Followers'!$H$14:$H$73,MATCH($A14,'CA Standards and Followers'!$A$14:$A$73,0))&lt;=P$1),INDEX('CA Standards and Followers'!$3:$3,MATCH(P$1,'CA Standards and Followers'!$1:$1,0)),IF(AND(INDEX('CA Standards and Followers'!$D$14:$D$73,MATCH($A14,'CA Standards and Followers'!$A$14:$A$73,0))=1,INDEX('CA Standards and Followers'!$G$14:$G$73,MATCH($A14,'CA Standards and Followers'!$A$14:$A$73,0))&lt;=P$1),INDEX('CA Standards and Followers'!$2:$2,MATCH(P$1,'CA Standards and Followers'!$1:$1,0)),0))</f>
        <v>0</v>
      </c>
      <c r="Q14">
        <f>IF(AND(INDEX('CA Standards and Followers'!$E$14:$E$73,MATCH($A14,'CA Standards and Followers'!$A$14:$A$73,0))=1,INDEX('CA Standards and Followers'!$H$14:$H$73,MATCH($A14,'CA Standards and Followers'!$A$14:$A$73,0))&lt;=Q$1),INDEX('CA Standards and Followers'!$3:$3,MATCH(Q$1,'CA Standards and Followers'!$1:$1,0)),IF(AND(INDEX('CA Standards and Followers'!$D$14:$D$73,MATCH($A14,'CA Standards and Followers'!$A$14:$A$73,0))=1,INDEX('CA Standards and Followers'!$G$14:$G$73,MATCH($A14,'CA Standards and Followers'!$A$14:$A$73,0))&lt;=Q$1),INDEX('CA Standards and Followers'!$2:$2,MATCH(Q$1,'CA Standards and Followers'!$1:$1,0)),0))</f>
        <v>0</v>
      </c>
      <c r="R14">
        <f>IF(AND(INDEX('CA Standards and Followers'!$E$14:$E$73,MATCH($A14,'CA Standards and Followers'!$A$14:$A$73,0))=1,INDEX('CA Standards and Followers'!$H$14:$H$73,MATCH($A14,'CA Standards and Followers'!$A$14:$A$73,0))&lt;=R$1),INDEX('CA Standards and Followers'!$3:$3,MATCH(R$1,'CA Standards and Followers'!$1:$1,0)),IF(AND(INDEX('CA Standards and Followers'!$D$14:$D$73,MATCH($A14,'CA Standards and Followers'!$A$14:$A$73,0))=1,INDEX('CA Standards and Followers'!$G$14:$G$73,MATCH($A14,'CA Standards and Followers'!$A$14:$A$73,0))&lt;=R$1),INDEX('CA Standards and Followers'!$2:$2,MATCH(R$1,'CA Standards and Followers'!$1:$1,0)),0))</f>
        <v>0</v>
      </c>
      <c r="S14">
        <f>IF(AND(INDEX('CA Standards and Followers'!$E$14:$E$73,MATCH($A14,'CA Standards and Followers'!$A$14:$A$73,0))=1,INDEX('CA Standards and Followers'!$H$14:$H$73,MATCH($A14,'CA Standards and Followers'!$A$14:$A$73,0))&lt;=S$1),INDEX('CA Standards and Followers'!$3:$3,MATCH(S$1,'CA Standards and Followers'!$1:$1,0)),IF(AND(INDEX('CA Standards and Followers'!$D$14:$D$73,MATCH($A14,'CA Standards and Followers'!$A$14:$A$73,0))=1,INDEX('CA Standards and Followers'!$G$14:$G$73,MATCH($A14,'CA Standards and Followers'!$A$14:$A$73,0))&lt;=S$1),INDEX('CA Standards and Followers'!$2:$2,MATCH(S$1,'CA Standards and Followers'!$1:$1,0)),0))</f>
        <v>0</v>
      </c>
      <c r="T14">
        <f>IF(AND(INDEX('CA Standards and Followers'!$E$14:$E$73,MATCH($A14,'CA Standards and Followers'!$A$14:$A$73,0))=1,INDEX('CA Standards and Followers'!$H$14:$H$73,MATCH($A14,'CA Standards and Followers'!$A$14:$A$73,0))&lt;=T$1),INDEX('CA Standards and Followers'!$3:$3,MATCH(T$1,'CA Standards and Followers'!$1:$1,0)),IF(AND(INDEX('CA Standards and Followers'!$D$14:$D$73,MATCH($A14,'CA Standards and Followers'!$A$14:$A$73,0))=1,INDEX('CA Standards and Followers'!$G$14:$G$73,MATCH($A14,'CA Standards and Followers'!$A$14:$A$73,0))&lt;=T$1),INDEX('CA Standards and Followers'!$2:$2,MATCH(T$1,'CA Standards and Followers'!$1:$1,0)),0))</f>
        <v>0</v>
      </c>
      <c r="U14">
        <f>IF(AND(INDEX('CA Standards and Followers'!$E$14:$E$73,MATCH($A14,'CA Standards and Followers'!$A$14:$A$73,0))=1,INDEX('CA Standards and Followers'!$H$14:$H$73,MATCH($A14,'CA Standards and Followers'!$A$14:$A$73,0))&lt;=U$1),INDEX('CA Standards and Followers'!$3:$3,MATCH(U$1,'CA Standards and Followers'!$1:$1,0)),IF(AND(INDEX('CA Standards and Followers'!$D$14:$D$73,MATCH($A14,'CA Standards and Followers'!$A$14:$A$73,0))=1,INDEX('CA Standards and Followers'!$G$14:$G$73,MATCH($A14,'CA Standards and Followers'!$A$14:$A$73,0))&lt;=U$1),INDEX('CA Standards and Followers'!$2:$2,MATCH(U$1,'CA Standards and Followers'!$1:$1,0)),0))</f>
        <v>0</v>
      </c>
      <c r="V14">
        <f>IF(AND(INDEX('CA Standards and Followers'!$E$14:$E$73,MATCH($A14,'CA Standards and Followers'!$A$14:$A$73,0))=1,INDEX('CA Standards and Followers'!$H$14:$H$73,MATCH($A14,'CA Standards and Followers'!$A$14:$A$73,0))&lt;=V$1),INDEX('CA Standards and Followers'!$3:$3,MATCH(V$1,'CA Standards and Followers'!$1:$1,0)),IF(AND(INDEX('CA Standards and Followers'!$D$14:$D$73,MATCH($A14,'CA Standards and Followers'!$A$14:$A$73,0))=1,INDEX('CA Standards and Followers'!$G$14:$G$73,MATCH($A14,'CA Standards and Followers'!$A$14:$A$73,0))&lt;=V$1),INDEX('CA Standards and Followers'!$2:$2,MATCH(V$1,'CA Standards and Followers'!$1:$1,0)),0))</f>
        <v>0</v>
      </c>
      <c r="W14">
        <f>IF(AND(INDEX('CA Standards and Followers'!$E$14:$E$73,MATCH($A14,'CA Standards and Followers'!$A$14:$A$73,0))=1,INDEX('CA Standards and Followers'!$H$14:$H$73,MATCH($A14,'CA Standards and Followers'!$A$14:$A$73,0))&lt;=W$1),INDEX('CA Standards and Followers'!$3:$3,MATCH(W$1,'CA Standards and Followers'!$1:$1,0)),IF(AND(INDEX('CA Standards and Followers'!$D$14:$D$73,MATCH($A14,'CA Standards and Followers'!$A$14:$A$73,0))=1,INDEX('CA Standards and Followers'!$G$14:$G$73,MATCH($A14,'CA Standards and Followers'!$A$14:$A$73,0))&lt;=W$1),INDEX('CA Standards and Followers'!$2:$2,MATCH(W$1,'CA Standards and Followers'!$1:$1,0)),0))</f>
        <v>0</v>
      </c>
      <c r="X14">
        <f>IF(AND(INDEX('CA Standards and Followers'!$E$14:$E$73,MATCH($A14,'CA Standards and Followers'!$A$14:$A$73,0))=1,INDEX('CA Standards and Followers'!$H$14:$H$73,MATCH($A14,'CA Standards and Followers'!$A$14:$A$73,0))&lt;=X$1),INDEX('CA Standards and Followers'!$3:$3,MATCH(X$1,'CA Standards and Followers'!$1:$1,0)),IF(AND(INDEX('CA Standards and Followers'!$D$14:$D$73,MATCH($A14,'CA Standards and Followers'!$A$14:$A$73,0))=1,INDEX('CA Standards and Followers'!$G$14:$G$73,MATCH($A14,'CA Standards and Followers'!$A$14:$A$73,0))&lt;=X$1),INDEX('CA Standards and Followers'!$2:$2,MATCH(X$1,'CA Standards and Followers'!$1:$1,0)),0))</f>
        <v>0</v>
      </c>
      <c r="Y14">
        <f>IF(AND(INDEX('CA Standards and Followers'!$E$14:$E$73,MATCH($A14,'CA Standards and Followers'!$A$14:$A$73,0))=1,INDEX('CA Standards and Followers'!$H$14:$H$73,MATCH($A14,'CA Standards and Followers'!$A$14:$A$73,0))&lt;=Y$1),INDEX('CA Standards and Followers'!$3:$3,MATCH(Y$1,'CA Standards and Followers'!$1:$1,0)),IF(AND(INDEX('CA Standards and Followers'!$D$14:$D$73,MATCH($A14,'CA Standards and Followers'!$A$14:$A$73,0))=1,INDEX('CA Standards and Followers'!$G$14:$G$73,MATCH($A14,'CA Standards and Followers'!$A$14:$A$73,0))&lt;=Y$1),INDEX('CA Standards and Followers'!$2:$2,MATCH(Y$1,'CA Standards and Followers'!$1:$1,0)),0))</f>
        <v>0</v>
      </c>
      <c r="Z14">
        <f>IF(AND(INDEX('CA Standards and Followers'!$E$14:$E$73,MATCH($A14,'CA Standards and Followers'!$A$14:$A$73,0))=1,INDEX('CA Standards and Followers'!$H$14:$H$73,MATCH($A14,'CA Standards and Followers'!$A$14:$A$73,0))&lt;=Z$1),INDEX('CA Standards and Followers'!$3:$3,MATCH(Z$1,'CA Standards and Followers'!$1:$1,0)),IF(AND(INDEX('CA Standards and Followers'!$D$14:$D$73,MATCH($A14,'CA Standards and Followers'!$A$14:$A$73,0))=1,INDEX('CA Standards and Followers'!$G$14:$G$73,MATCH($A14,'CA Standards and Followers'!$A$14:$A$73,0))&lt;=Z$1),INDEX('CA Standards and Followers'!$2:$2,MATCH(Z$1,'CA Standards and Followers'!$1:$1,0)),0))</f>
        <v>0</v>
      </c>
      <c r="AA14">
        <f>IF(AND(INDEX('CA Standards and Followers'!$E$14:$E$73,MATCH($A14,'CA Standards and Followers'!$A$14:$A$73,0))=1,INDEX('CA Standards and Followers'!$H$14:$H$73,MATCH($A14,'CA Standards and Followers'!$A$14:$A$73,0))&lt;=AA$1),INDEX('CA Standards and Followers'!$3:$3,MATCH(AA$1,'CA Standards and Followers'!$1:$1,0)),IF(AND(INDEX('CA Standards and Followers'!$D$14:$D$73,MATCH($A14,'CA Standards and Followers'!$A$14:$A$73,0))=1,INDEX('CA Standards and Followers'!$G$14:$G$73,MATCH($A14,'CA Standards and Followers'!$A$14:$A$73,0))&lt;=AA$1),INDEX('CA Standards and Followers'!$2:$2,MATCH(AA$1,'CA Standards and Followers'!$1:$1,0)),0))</f>
        <v>0</v>
      </c>
      <c r="AB14">
        <f>IF(AND(INDEX('CA Standards and Followers'!$E$14:$E$73,MATCH($A14,'CA Standards and Followers'!$A$14:$A$73,0))=1,INDEX('CA Standards and Followers'!$H$14:$H$73,MATCH($A14,'CA Standards and Followers'!$A$14:$A$73,0))&lt;=AB$1),INDEX('CA Standards and Followers'!$3:$3,MATCH(AB$1,'CA Standards and Followers'!$1:$1,0)),IF(AND(INDEX('CA Standards and Followers'!$D$14:$D$73,MATCH($A14,'CA Standards and Followers'!$A$14:$A$73,0))=1,INDEX('CA Standards and Followers'!$G$14:$G$73,MATCH($A14,'CA Standards and Followers'!$A$14:$A$73,0))&lt;=AB$1),INDEX('CA Standards and Followers'!$2:$2,MATCH(AB$1,'CA Standards and Followers'!$1:$1,0)),0))</f>
        <v>0</v>
      </c>
      <c r="AC14">
        <f>IF(AND(INDEX('CA Standards and Followers'!$E$14:$E$73,MATCH($A14,'CA Standards and Followers'!$A$14:$A$73,0))=1,INDEX('CA Standards and Followers'!$H$14:$H$73,MATCH($A14,'CA Standards and Followers'!$A$14:$A$73,0))&lt;=AC$1),INDEX('CA Standards and Followers'!$3:$3,MATCH(AC$1,'CA Standards and Followers'!$1:$1,0)),IF(AND(INDEX('CA Standards and Followers'!$D$14:$D$73,MATCH($A14,'CA Standards and Followers'!$A$14:$A$73,0))=1,INDEX('CA Standards and Followers'!$G$14:$G$73,MATCH($A14,'CA Standards and Followers'!$A$14:$A$73,0))&lt;=AC$1),INDEX('CA Standards and Followers'!$2:$2,MATCH(AC$1,'CA Standards and Followers'!$1:$1,0)),0))</f>
        <v>0</v>
      </c>
      <c r="AD14">
        <f>IF(AND(INDEX('CA Standards and Followers'!$E$14:$E$73,MATCH($A14,'CA Standards and Followers'!$A$14:$A$73,0))=1,INDEX('CA Standards and Followers'!$H$14:$H$73,MATCH($A14,'CA Standards and Followers'!$A$14:$A$73,0))&lt;=AD$1),INDEX('CA Standards and Followers'!$3:$3,MATCH(AD$1,'CA Standards and Followers'!$1:$1,0)),IF(AND(INDEX('CA Standards and Followers'!$D$14:$D$73,MATCH($A14,'CA Standards and Followers'!$A$14:$A$73,0))=1,INDEX('CA Standards and Followers'!$G$14:$G$73,MATCH($A14,'CA Standards and Followers'!$A$14:$A$73,0))&lt;=AD$1),INDEX('CA Standards and Followers'!$2:$2,MATCH(AD$1,'CA Standards and Followers'!$1:$1,0)),0))</f>
        <v>0</v>
      </c>
      <c r="AE14">
        <f>IF(AND(INDEX('CA Standards and Followers'!$E$14:$E$73,MATCH($A14,'CA Standards and Followers'!$A$14:$A$73,0))=1,INDEX('CA Standards and Followers'!$H$14:$H$73,MATCH($A14,'CA Standards and Followers'!$A$14:$A$73,0))&lt;=AE$1),INDEX('CA Standards and Followers'!$3:$3,MATCH(AE$1,'CA Standards and Followers'!$1:$1,0)),IF(AND(INDEX('CA Standards and Followers'!$D$14:$D$73,MATCH($A14,'CA Standards and Followers'!$A$14:$A$73,0))=1,INDEX('CA Standards and Followers'!$G$14:$G$73,MATCH($A14,'CA Standards and Followers'!$A$14:$A$73,0))&lt;=AE$1),INDEX('CA Standards and Followers'!$2:$2,MATCH(AE$1,'CA Standards and Followers'!$1:$1,0)),0))</f>
        <v>0</v>
      </c>
      <c r="AF14">
        <f>IF(AND(INDEX('CA Standards and Followers'!$E$14:$E$73,MATCH($A14,'CA Standards and Followers'!$A$14:$A$73,0))=1,INDEX('CA Standards and Followers'!$H$14:$H$73,MATCH($A14,'CA Standards and Followers'!$A$14:$A$73,0))&lt;=AF$1),INDEX('CA Standards and Followers'!$3:$3,MATCH(AF$1,'CA Standards and Followers'!$1:$1,0)),IF(AND(INDEX('CA Standards and Followers'!$D$14:$D$73,MATCH($A14,'CA Standards and Followers'!$A$14:$A$73,0))=1,INDEX('CA Standards and Followers'!$G$14:$G$73,MATCH($A14,'CA Standards and Followers'!$A$14:$A$73,0))&lt;=AF$1),INDEX('CA Standards and Followers'!$2:$2,MATCH(AF$1,'CA Standards and Followers'!$1:$1,0)),0))</f>
        <v>0</v>
      </c>
    </row>
    <row r="15" spans="1:32" x14ac:dyDescent="0.25">
      <c r="A15" t="s">
        <v>15</v>
      </c>
      <c r="B15">
        <f>IF(AND(INDEX('CA Standards and Followers'!$E$14:$E$73,MATCH($A15,'CA Standards and Followers'!$A$14:$A$73,0))=1,INDEX('CA Standards and Followers'!$H$14:$H$73,MATCH($A15,'CA Standards and Followers'!$A$14:$A$73,0))&lt;=B$1),INDEX('CA Standards and Followers'!$3:$3,MATCH(B$1,'CA Standards and Followers'!$1:$1,0)),IF(AND(INDEX('CA Standards and Followers'!$D$14:$D$73,MATCH($A15,'CA Standards and Followers'!$A$14:$A$73,0))=1,INDEX('CA Standards and Followers'!$G$14:$G$73,MATCH($A15,'CA Standards and Followers'!$A$14:$A$73,0))&lt;=B$1),INDEX('CA Standards and Followers'!$2:$2,MATCH(B$1,'CA Standards and Followers'!$1:$1,0)),0))</f>
        <v>0</v>
      </c>
      <c r="C15">
        <f>IF(AND(INDEX('CA Standards and Followers'!$E$14:$E$73,MATCH($A15,'CA Standards and Followers'!$A$14:$A$73,0))=1,INDEX('CA Standards and Followers'!$H$14:$H$73,MATCH($A15,'CA Standards and Followers'!$A$14:$A$73,0))&lt;=C$1),INDEX('CA Standards and Followers'!$3:$3,MATCH(C$1,'CA Standards and Followers'!$1:$1,0)),IF(AND(INDEX('CA Standards and Followers'!$D$14:$D$73,MATCH($A15,'CA Standards and Followers'!$A$14:$A$73,0))=1,INDEX('CA Standards and Followers'!$G$14:$G$73,MATCH($A15,'CA Standards and Followers'!$A$14:$A$73,0))&lt;=C$1),INDEX('CA Standards and Followers'!$2:$2,MATCH(C$1,'CA Standards and Followers'!$1:$1,0)),0))</f>
        <v>0</v>
      </c>
      <c r="D15">
        <f>IF(AND(INDEX('CA Standards and Followers'!$E$14:$E$73,MATCH($A15,'CA Standards and Followers'!$A$14:$A$73,0))=1,INDEX('CA Standards and Followers'!$H$14:$H$73,MATCH($A15,'CA Standards and Followers'!$A$14:$A$73,0))&lt;=D$1),INDEX('CA Standards and Followers'!$3:$3,MATCH(D$1,'CA Standards and Followers'!$1:$1,0)),IF(AND(INDEX('CA Standards and Followers'!$D$14:$D$73,MATCH($A15,'CA Standards and Followers'!$A$14:$A$73,0))=1,INDEX('CA Standards and Followers'!$G$14:$G$73,MATCH($A15,'CA Standards and Followers'!$A$14:$A$73,0))&lt;=D$1),INDEX('CA Standards and Followers'!$2:$2,MATCH(D$1,'CA Standards and Followers'!$1:$1,0)),0))</f>
        <v>0</v>
      </c>
      <c r="E15">
        <f>IF(AND(INDEX('CA Standards and Followers'!$E$14:$E$73,MATCH($A15,'CA Standards and Followers'!$A$14:$A$73,0))=1,INDEX('CA Standards and Followers'!$H$14:$H$73,MATCH($A15,'CA Standards and Followers'!$A$14:$A$73,0))&lt;=E$1),INDEX('CA Standards and Followers'!$3:$3,MATCH(E$1,'CA Standards and Followers'!$1:$1,0)),IF(AND(INDEX('CA Standards and Followers'!$D$14:$D$73,MATCH($A15,'CA Standards and Followers'!$A$14:$A$73,0))=1,INDEX('CA Standards and Followers'!$G$14:$G$73,MATCH($A15,'CA Standards and Followers'!$A$14:$A$73,0))&lt;=E$1),INDEX('CA Standards and Followers'!$2:$2,MATCH(E$1,'CA Standards and Followers'!$1:$1,0)),0))</f>
        <v>0</v>
      </c>
      <c r="F15">
        <f>IF(AND(INDEX('CA Standards and Followers'!$E$14:$E$73,MATCH($A15,'CA Standards and Followers'!$A$14:$A$73,0))=1,INDEX('CA Standards and Followers'!$H$14:$H$73,MATCH($A15,'CA Standards and Followers'!$A$14:$A$73,0))&lt;=F$1),INDEX('CA Standards and Followers'!$3:$3,MATCH(F$1,'CA Standards and Followers'!$1:$1,0)),IF(AND(INDEX('CA Standards and Followers'!$D$14:$D$73,MATCH($A15,'CA Standards and Followers'!$A$14:$A$73,0))=1,INDEX('CA Standards and Followers'!$G$14:$G$73,MATCH($A15,'CA Standards and Followers'!$A$14:$A$73,0))&lt;=F$1),INDEX('CA Standards and Followers'!$2:$2,MATCH(F$1,'CA Standards and Followers'!$1:$1,0)),0))</f>
        <v>0</v>
      </c>
      <c r="G15">
        <f>IF(AND(INDEX('CA Standards and Followers'!$E$14:$E$73,MATCH($A15,'CA Standards and Followers'!$A$14:$A$73,0))=1,INDEX('CA Standards and Followers'!$H$14:$H$73,MATCH($A15,'CA Standards and Followers'!$A$14:$A$73,0))&lt;=G$1),INDEX('CA Standards and Followers'!$3:$3,MATCH(G$1,'CA Standards and Followers'!$1:$1,0)),IF(AND(INDEX('CA Standards and Followers'!$D$14:$D$73,MATCH($A15,'CA Standards and Followers'!$A$14:$A$73,0))=1,INDEX('CA Standards and Followers'!$G$14:$G$73,MATCH($A15,'CA Standards and Followers'!$A$14:$A$73,0))&lt;=G$1),INDEX('CA Standards and Followers'!$2:$2,MATCH(G$1,'CA Standards and Followers'!$1:$1,0)),0))</f>
        <v>0</v>
      </c>
      <c r="H15">
        <f>IF(AND(INDEX('CA Standards and Followers'!$E$14:$E$73,MATCH($A15,'CA Standards and Followers'!$A$14:$A$73,0))=1,INDEX('CA Standards and Followers'!$H$14:$H$73,MATCH($A15,'CA Standards and Followers'!$A$14:$A$73,0))&lt;=H$1),INDEX('CA Standards and Followers'!$3:$3,MATCH(H$1,'CA Standards and Followers'!$1:$1,0)),IF(AND(INDEX('CA Standards and Followers'!$D$14:$D$73,MATCH($A15,'CA Standards and Followers'!$A$14:$A$73,0))=1,INDEX('CA Standards and Followers'!$G$14:$G$73,MATCH($A15,'CA Standards and Followers'!$A$14:$A$73,0))&lt;=H$1),INDEX('CA Standards and Followers'!$2:$2,MATCH(H$1,'CA Standards and Followers'!$1:$1,0)),0))</f>
        <v>0</v>
      </c>
      <c r="I15">
        <f>IF(AND(INDEX('CA Standards and Followers'!$E$14:$E$73,MATCH($A15,'CA Standards and Followers'!$A$14:$A$73,0))=1,INDEX('CA Standards and Followers'!$H$14:$H$73,MATCH($A15,'CA Standards and Followers'!$A$14:$A$73,0))&lt;=I$1),INDEX('CA Standards and Followers'!$3:$3,MATCH(I$1,'CA Standards and Followers'!$1:$1,0)),IF(AND(INDEX('CA Standards and Followers'!$D$14:$D$73,MATCH($A15,'CA Standards and Followers'!$A$14:$A$73,0))=1,INDEX('CA Standards and Followers'!$G$14:$G$73,MATCH($A15,'CA Standards and Followers'!$A$14:$A$73,0))&lt;=I$1),INDEX('CA Standards and Followers'!$2:$2,MATCH(I$1,'CA Standards and Followers'!$1:$1,0)),0))</f>
        <v>0</v>
      </c>
      <c r="J15">
        <f>IF(AND(INDEX('CA Standards and Followers'!$E$14:$E$73,MATCH($A15,'CA Standards and Followers'!$A$14:$A$73,0))=1,INDEX('CA Standards and Followers'!$H$14:$H$73,MATCH($A15,'CA Standards and Followers'!$A$14:$A$73,0))&lt;=J$1),INDEX('CA Standards and Followers'!$3:$3,MATCH(J$1,'CA Standards and Followers'!$1:$1,0)),IF(AND(INDEX('CA Standards and Followers'!$D$14:$D$73,MATCH($A15,'CA Standards and Followers'!$A$14:$A$73,0))=1,INDEX('CA Standards and Followers'!$G$14:$G$73,MATCH($A15,'CA Standards and Followers'!$A$14:$A$73,0))&lt;=J$1),INDEX('CA Standards and Followers'!$2:$2,MATCH(J$1,'CA Standards and Followers'!$1:$1,0)),0))</f>
        <v>0</v>
      </c>
      <c r="K15">
        <f>IF(AND(INDEX('CA Standards and Followers'!$E$14:$E$73,MATCH($A15,'CA Standards and Followers'!$A$14:$A$73,0))=1,INDEX('CA Standards and Followers'!$H$14:$H$73,MATCH($A15,'CA Standards and Followers'!$A$14:$A$73,0))&lt;=K$1),INDEX('CA Standards and Followers'!$3:$3,MATCH(K$1,'CA Standards and Followers'!$1:$1,0)),IF(AND(INDEX('CA Standards and Followers'!$D$14:$D$73,MATCH($A15,'CA Standards and Followers'!$A$14:$A$73,0))=1,INDEX('CA Standards and Followers'!$G$14:$G$73,MATCH($A15,'CA Standards and Followers'!$A$14:$A$73,0))&lt;=K$1),INDEX('CA Standards and Followers'!$2:$2,MATCH(K$1,'CA Standards and Followers'!$1:$1,0)),0))</f>
        <v>0</v>
      </c>
      <c r="L15">
        <f>IF(AND(INDEX('CA Standards and Followers'!$E$14:$E$73,MATCH($A15,'CA Standards and Followers'!$A$14:$A$73,0))=1,INDEX('CA Standards and Followers'!$H$14:$H$73,MATCH($A15,'CA Standards and Followers'!$A$14:$A$73,0))&lt;=L$1),INDEX('CA Standards and Followers'!$3:$3,MATCH(L$1,'CA Standards and Followers'!$1:$1,0)),IF(AND(INDEX('CA Standards and Followers'!$D$14:$D$73,MATCH($A15,'CA Standards and Followers'!$A$14:$A$73,0))=1,INDEX('CA Standards and Followers'!$G$14:$G$73,MATCH($A15,'CA Standards and Followers'!$A$14:$A$73,0))&lt;=L$1),INDEX('CA Standards and Followers'!$2:$2,MATCH(L$1,'CA Standards and Followers'!$1:$1,0)),0))</f>
        <v>0</v>
      </c>
      <c r="M15">
        <f>IF(AND(INDEX('CA Standards and Followers'!$E$14:$E$73,MATCH($A15,'CA Standards and Followers'!$A$14:$A$73,0))=1,INDEX('CA Standards and Followers'!$H$14:$H$73,MATCH($A15,'CA Standards and Followers'!$A$14:$A$73,0))&lt;=M$1),INDEX('CA Standards and Followers'!$3:$3,MATCH(M$1,'CA Standards and Followers'!$1:$1,0)),IF(AND(INDEX('CA Standards and Followers'!$D$14:$D$73,MATCH($A15,'CA Standards and Followers'!$A$14:$A$73,0))=1,INDEX('CA Standards and Followers'!$G$14:$G$73,MATCH($A15,'CA Standards and Followers'!$A$14:$A$73,0))&lt;=M$1),INDEX('CA Standards and Followers'!$2:$2,MATCH(M$1,'CA Standards and Followers'!$1:$1,0)),0))</f>
        <v>0</v>
      </c>
      <c r="N15">
        <f>IF(AND(INDEX('CA Standards and Followers'!$E$14:$E$73,MATCH($A15,'CA Standards and Followers'!$A$14:$A$73,0))=1,INDEX('CA Standards and Followers'!$H$14:$H$73,MATCH($A15,'CA Standards and Followers'!$A$14:$A$73,0))&lt;=N$1),INDEX('CA Standards and Followers'!$3:$3,MATCH(N$1,'CA Standards and Followers'!$1:$1,0)),IF(AND(INDEX('CA Standards and Followers'!$D$14:$D$73,MATCH($A15,'CA Standards and Followers'!$A$14:$A$73,0))=1,INDEX('CA Standards and Followers'!$G$14:$G$73,MATCH($A15,'CA Standards and Followers'!$A$14:$A$73,0))&lt;=N$1),INDEX('CA Standards and Followers'!$2:$2,MATCH(N$1,'CA Standards and Followers'!$1:$1,0)),0))</f>
        <v>0</v>
      </c>
      <c r="O15">
        <f>IF(AND(INDEX('CA Standards and Followers'!$E$14:$E$73,MATCH($A15,'CA Standards and Followers'!$A$14:$A$73,0))=1,INDEX('CA Standards and Followers'!$H$14:$H$73,MATCH($A15,'CA Standards and Followers'!$A$14:$A$73,0))&lt;=O$1),INDEX('CA Standards and Followers'!$3:$3,MATCH(O$1,'CA Standards and Followers'!$1:$1,0)),IF(AND(INDEX('CA Standards and Followers'!$D$14:$D$73,MATCH($A15,'CA Standards and Followers'!$A$14:$A$73,0))=1,INDEX('CA Standards and Followers'!$G$14:$G$73,MATCH($A15,'CA Standards and Followers'!$A$14:$A$73,0))&lt;=O$1),INDEX('CA Standards and Followers'!$2:$2,MATCH(O$1,'CA Standards and Followers'!$1:$1,0)),0))</f>
        <v>0</v>
      </c>
      <c r="P15">
        <f>IF(AND(INDEX('CA Standards and Followers'!$E$14:$E$73,MATCH($A15,'CA Standards and Followers'!$A$14:$A$73,0))=1,INDEX('CA Standards and Followers'!$H$14:$H$73,MATCH($A15,'CA Standards and Followers'!$A$14:$A$73,0))&lt;=P$1),INDEX('CA Standards and Followers'!$3:$3,MATCH(P$1,'CA Standards and Followers'!$1:$1,0)),IF(AND(INDEX('CA Standards and Followers'!$D$14:$D$73,MATCH($A15,'CA Standards and Followers'!$A$14:$A$73,0))=1,INDEX('CA Standards and Followers'!$G$14:$G$73,MATCH($A15,'CA Standards and Followers'!$A$14:$A$73,0))&lt;=P$1),INDEX('CA Standards and Followers'!$2:$2,MATCH(P$1,'CA Standards and Followers'!$1:$1,0)),0))</f>
        <v>0</v>
      </c>
      <c r="Q15">
        <f>IF(AND(INDEX('CA Standards and Followers'!$E$14:$E$73,MATCH($A15,'CA Standards and Followers'!$A$14:$A$73,0))=1,INDEX('CA Standards and Followers'!$H$14:$H$73,MATCH($A15,'CA Standards and Followers'!$A$14:$A$73,0))&lt;=Q$1),INDEX('CA Standards and Followers'!$3:$3,MATCH(Q$1,'CA Standards and Followers'!$1:$1,0)),IF(AND(INDEX('CA Standards and Followers'!$D$14:$D$73,MATCH($A15,'CA Standards and Followers'!$A$14:$A$73,0))=1,INDEX('CA Standards and Followers'!$G$14:$G$73,MATCH($A15,'CA Standards and Followers'!$A$14:$A$73,0))&lt;=Q$1),INDEX('CA Standards and Followers'!$2:$2,MATCH(Q$1,'CA Standards and Followers'!$1:$1,0)),0))</f>
        <v>0</v>
      </c>
      <c r="R15">
        <f>IF(AND(INDEX('CA Standards and Followers'!$E$14:$E$73,MATCH($A15,'CA Standards and Followers'!$A$14:$A$73,0))=1,INDEX('CA Standards and Followers'!$H$14:$H$73,MATCH($A15,'CA Standards and Followers'!$A$14:$A$73,0))&lt;=R$1),INDEX('CA Standards and Followers'!$3:$3,MATCH(R$1,'CA Standards and Followers'!$1:$1,0)),IF(AND(INDEX('CA Standards and Followers'!$D$14:$D$73,MATCH($A15,'CA Standards and Followers'!$A$14:$A$73,0))=1,INDEX('CA Standards and Followers'!$G$14:$G$73,MATCH($A15,'CA Standards and Followers'!$A$14:$A$73,0))&lt;=R$1),INDEX('CA Standards and Followers'!$2:$2,MATCH(R$1,'CA Standards and Followers'!$1:$1,0)),0))</f>
        <v>0</v>
      </c>
      <c r="S15">
        <f>IF(AND(INDEX('CA Standards and Followers'!$E$14:$E$73,MATCH($A15,'CA Standards and Followers'!$A$14:$A$73,0))=1,INDEX('CA Standards and Followers'!$H$14:$H$73,MATCH($A15,'CA Standards and Followers'!$A$14:$A$73,0))&lt;=S$1),INDEX('CA Standards and Followers'!$3:$3,MATCH(S$1,'CA Standards and Followers'!$1:$1,0)),IF(AND(INDEX('CA Standards and Followers'!$D$14:$D$73,MATCH($A15,'CA Standards and Followers'!$A$14:$A$73,0))=1,INDEX('CA Standards and Followers'!$G$14:$G$73,MATCH($A15,'CA Standards and Followers'!$A$14:$A$73,0))&lt;=S$1),INDEX('CA Standards and Followers'!$2:$2,MATCH(S$1,'CA Standards and Followers'!$1:$1,0)),0))</f>
        <v>0</v>
      </c>
      <c r="T15">
        <f>IF(AND(INDEX('CA Standards and Followers'!$E$14:$E$73,MATCH($A15,'CA Standards and Followers'!$A$14:$A$73,0))=1,INDEX('CA Standards and Followers'!$H$14:$H$73,MATCH($A15,'CA Standards and Followers'!$A$14:$A$73,0))&lt;=T$1),INDEX('CA Standards and Followers'!$3:$3,MATCH(T$1,'CA Standards and Followers'!$1:$1,0)),IF(AND(INDEX('CA Standards and Followers'!$D$14:$D$73,MATCH($A15,'CA Standards and Followers'!$A$14:$A$73,0))=1,INDEX('CA Standards and Followers'!$G$14:$G$73,MATCH($A15,'CA Standards and Followers'!$A$14:$A$73,0))&lt;=T$1),INDEX('CA Standards and Followers'!$2:$2,MATCH(T$1,'CA Standards and Followers'!$1:$1,0)),0))</f>
        <v>0</v>
      </c>
      <c r="U15">
        <f>IF(AND(INDEX('CA Standards and Followers'!$E$14:$E$73,MATCH($A15,'CA Standards and Followers'!$A$14:$A$73,0))=1,INDEX('CA Standards and Followers'!$H$14:$H$73,MATCH($A15,'CA Standards and Followers'!$A$14:$A$73,0))&lt;=U$1),INDEX('CA Standards and Followers'!$3:$3,MATCH(U$1,'CA Standards and Followers'!$1:$1,0)),IF(AND(INDEX('CA Standards and Followers'!$D$14:$D$73,MATCH($A15,'CA Standards and Followers'!$A$14:$A$73,0))=1,INDEX('CA Standards and Followers'!$G$14:$G$73,MATCH($A15,'CA Standards and Followers'!$A$14:$A$73,0))&lt;=U$1),INDEX('CA Standards and Followers'!$2:$2,MATCH(U$1,'CA Standards and Followers'!$1:$1,0)),0))</f>
        <v>0</v>
      </c>
      <c r="V15">
        <f>IF(AND(INDEX('CA Standards and Followers'!$E$14:$E$73,MATCH($A15,'CA Standards and Followers'!$A$14:$A$73,0))=1,INDEX('CA Standards and Followers'!$H$14:$H$73,MATCH($A15,'CA Standards and Followers'!$A$14:$A$73,0))&lt;=V$1),INDEX('CA Standards and Followers'!$3:$3,MATCH(V$1,'CA Standards and Followers'!$1:$1,0)),IF(AND(INDEX('CA Standards and Followers'!$D$14:$D$73,MATCH($A15,'CA Standards and Followers'!$A$14:$A$73,0))=1,INDEX('CA Standards and Followers'!$G$14:$G$73,MATCH($A15,'CA Standards and Followers'!$A$14:$A$73,0))&lt;=V$1),INDEX('CA Standards and Followers'!$2:$2,MATCH(V$1,'CA Standards and Followers'!$1:$1,0)),0))</f>
        <v>0</v>
      </c>
      <c r="W15">
        <f>IF(AND(INDEX('CA Standards and Followers'!$E$14:$E$73,MATCH($A15,'CA Standards and Followers'!$A$14:$A$73,0))=1,INDEX('CA Standards and Followers'!$H$14:$H$73,MATCH($A15,'CA Standards and Followers'!$A$14:$A$73,0))&lt;=W$1),INDEX('CA Standards and Followers'!$3:$3,MATCH(W$1,'CA Standards and Followers'!$1:$1,0)),IF(AND(INDEX('CA Standards and Followers'!$D$14:$D$73,MATCH($A15,'CA Standards and Followers'!$A$14:$A$73,0))=1,INDEX('CA Standards and Followers'!$G$14:$G$73,MATCH($A15,'CA Standards and Followers'!$A$14:$A$73,0))&lt;=W$1),INDEX('CA Standards and Followers'!$2:$2,MATCH(W$1,'CA Standards and Followers'!$1:$1,0)),0))</f>
        <v>0</v>
      </c>
      <c r="X15">
        <f>IF(AND(INDEX('CA Standards and Followers'!$E$14:$E$73,MATCH($A15,'CA Standards and Followers'!$A$14:$A$73,0))=1,INDEX('CA Standards and Followers'!$H$14:$H$73,MATCH($A15,'CA Standards and Followers'!$A$14:$A$73,0))&lt;=X$1),INDEX('CA Standards and Followers'!$3:$3,MATCH(X$1,'CA Standards and Followers'!$1:$1,0)),IF(AND(INDEX('CA Standards and Followers'!$D$14:$D$73,MATCH($A15,'CA Standards and Followers'!$A$14:$A$73,0))=1,INDEX('CA Standards and Followers'!$G$14:$G$73,MATCH($A15,'CA Standards and Followers'!$A$14:$A$73,0))&lt;=X$1),INDEX('CA Standards and Followers'!$2:$2,MATCH(X$1,'CA Standards and Followers'!$1:$1,0)),0))</f>
        <v>0</v>
      </c>
      <c r="Y15">
        <f>IF(AND(INDEX('CA Standards and Followers'!$E$14:$E$73,MATCH($A15,'CA Standards and Followers'!$A$14:$A$73,0))=1,INDEX('CA Standards and Followers'!$H$14:$H$73,MATCH($A15,'CA Standards and Followers'!$A$14:$A$73,0))&lt;=Y$1),INDEX('CA Standards and Followers'!$3:$3,MATCH(Y$1,'CA Standards and Followers'!$1:$1,0)),IF(AND(INDEX('CA Standards and Followers'!$D$14:$D$73,MATCH($A15,'CA Standards and Followers'!$A$14:$A$73,0))=1,INDEX('CA Standards and Followers'!$G$14:$G$73,MATCH($A15,'CA Standards and Followers'!$A$14:$A$73,0))&lt;=Y$1),INDEX('CA Standards and Followers'!$2:$2,MATCH(Y$1,'CA Standards and Followers'!$1:$1,0)),0))</f>
        <v>0</v>
      </c>
      <c r="Z15">
        <f>IF(AND(INDEX('CA Standards and Followers'!$E$14:$E$73,MATCH($A15,'CA Standards and Followers'!$A$14:$A$73,0))=1,INDEX('CA Standards and Followers'!$H$14:$H$73,MATCH($A15,'CA Standards and Followers'!$A$14:$A$73,0))&lt;=Z$1),INDEX('CA Standards and Followers'!$3:$3,MATCH(Z$1,'CA Standards and Followers'!$1:$1,0)),IF(AND(INDEX('CA Standards and Followers'!$D$14:$D$73,MATCH($A15,'CA Standards and Followers'!$A$14:$A$73,0))=1,INDEX('CA Standards and Followers'!$G$14:$G$73,MATCH($A15,'CA Standards and Followers'!$A$14:$A$73,0))&lt;=Z$1),INDEX('CA Standards and Followers'!$2:$2,MATCH(Z$1,'CA Standards and Followers'!$1:$1,0)),0))</f>
        <v>0</v>
      </c>
      <c r="AA15">
        <f>IF(AND(INDEX('CA Standards and Followers'!$E$14:$E$73,MATCH($A15,'CA Standards and Followers'!$A$14:$A$73,0))=1,INDEX('CA Standards and Followers'!$H$14:$H$73,MATCH($A15,'CA Standards and Followers'!$A$14:$A$73,0))&lt;=AA$1),INDEX('CA Standards and Followers'!$3:$3,MATCH(AA$1,'CA Standards and Followers'!$1:$1,0)),IF(AND(INDEX('CA Standards and Followers'!$D$14:$D$73,MATCH($A15,'CA Standards and Followers'!$A$14:$A$73,0))=1,INDEX('CA Standards and Followers'!$G$14:$G$73,MATCH($A15,'CA Standards and Followers'!$A$14:$A$73,0))&lt;=AA$1),INDEX('CA Standards and Followers'!$2:$2,MATCH(AA$1,'CA Standards and Followers'!$1:$1,0)),0))</f>
        <v>0</v>
      </c>
      <c r="AB15">
        <f>IF(AND(INDEX('CA Standards and Followers'!$E$14:$E$73,MATCH($A15,'CA Standards and Followers'!$A$14:$A$73,0))=1,INDEX('CA Standards and Followers'!$H$14:$H$73,MATCH($A15,'CA Standards and Followers'!$A$14:$A$73,0))&lt;=AB$1),INDEX('CA Standards and Followers'!$3:$3,MATCH(AB$1,'CA Standards and Followers'!$1:$1,0)),IF(AND(INDEX('CA Standards and Followers'!$D$14:$D$73,MATCH($A15,'CA Standards and Followers'!$A$14:$A$73,0))=1,INDEX('CA Standards and Followers'!$G$14:$G$73,MATCH($A15,'CA Standards and Followers'!$A$14:$A$73,0))&lt;=AB$1),INDEX('CA Standards and Followers'!$2:$2,MATCH(AB$1,'CA Standards and Followers'!$1:$1,0)),0))</f>
        <v>0</v>
      </c>
      <c r="AC15">
        <f>IF(AND(INDEX('CA Standards and Followers'!$E$14:$E$73,MATCH($A15,'CA Standards and Followers'!$A$14:$A$73,0))=1,INDEX('CA Standards and Followers'!$H$14:$H$73,MATCH($A15,'CA Standards and Followers'!$A$14:$A$73,0))&lt;=AC$1),INDEX('CA Standards and Followers'!$3:$3,MATCH(AC$1,'CA Standards and Followers'!$1:$1,0)),IF(AND(INDEX('CA Standards and Followers'!$D$14:$D$73,MATCH($A15,'CA Standards and Followers'!$A$14:$A$73,0))=1,INDEX('CA Standards and Followers'!$G$14:$G$73,MATCH($A15,'CA Standards and Followers'!$A$14:$A$73,0))&lt;=AC$1),INDEX('CA Standards and Followers'!$2:$2,MATCH(AC$1,'CA Standards and Followers'!$1:$1,0)),0))</f>
        <v>0</v>
      </c>
      <c r="AD15">
        <f>IF(AND(INDEX('CA Standards and Followers'!$E$14:$E$73,MATCH($A15,'CA Standards and Followers'!$A$14:$A$73,0))=1,INDEX('CA Standards and Followers'!$H$14:$H$73,MATCH($A15,'CA Standards and Followers'!$A$14:$A$73,0))&lt;=AD$1),INDEX('CA Standards and Followers'!$3:$3,MATCH(AD$1,'CA Standards and Followers'!$1:$1,0)),IF(AND(INDEX('CA Standards and Followers'!$D$14:$D$73,MATCH($A15,'CA Standards and Followers'!$A$14:$A$73,0))=1,INDEX('CA Standards and Followers'!$G$14:$G$73,MATCH($A15,'CA Standards and Followers'!$A$14:$A$73,0))&lt;=AD$1),INDEX('CA Standards and Followers'!$2:$2,MATCH(AD$1,'CA Standards and Followers'!$1:$1,0)),0))</f>
        <v>0</v>
      </c>
      <c r="AE15">
        <f>IF(AND(INDEX('CA Standards and Followers'!$E$14:$E$73,MATCH($A15,'CA Standards and Followers'!$A$14:$A$73,0))=1,INDEX('CA Standards and Followers'!$H$14:$H$73,MATCH($A15,'CA Standards and Followers'!$A$14:$A$73,0))&lt;=AE$1),INDEX('CA Standards and Followers'!$3:$3,MATCH(AE$1,'CA Standards and Followers'!$1:$1,0)),IF(AND(INDEX('CA Standards and Followers'!$D$14:$D$73,MATCH($A15,'CA Standards and Followers'!$A$14:$A$73,0))=1,INDEX('CA Standards and Followers'!$G$14:$G$73,MATCH($A15,'CA Standards and Followers'!$A$14:$A$73,0))&lt;=AE$1),INDEX('CA Standards and Followers'!$2:$2,MATCH(AE$1,'CA Standards and Followers'!$1:$1,0)),0))</f>
        <v>0</v>
      </c>
      <c r="AF15">
        <f>IF(AND(INDEX('CA Standards and Followers'!$E$14:$E$73,MATCH($A15,'CA Standards and Followers'!$A$14:$A$73,0))=1,INDEX('CA Standards and Followers'!$H$14:$H$73,MATCH($A15,'CA Standards and Followers'!$A$14:$A$73,0))&lt;=AF$1),INDEX('CA Standards and Followers'!$3:$3,MATCH(AF$1,'CA Standards and Followers'!$1:$1,0)),IF(AND(INDEX('CA Standards and Followers'!$D$14:$D$73,MATCH($A15,'CA Standards and Followers'!$A$14:$A$73,0))=1,INDEX('CA Standards and Followers'!$G$14:$G$73,MATCH($A15,'CA Standards and Followers'!$A$14:$A$73,0))&lt;=AF$1),INDEX('CA Standards and Followers'!$2:$2,MATCH(AF$1,'CA Standards and Followers'!$1:$1,0)),0))</f>
        <v>0</v>
      </c>
    </row>
    <row r="16" spans="1:32" x14ac:dyDescent="0.25">
      <c r="A16" t="s">
        <v>16</v>
      </c>
      <c r="B16">
        <f>IF(AND(INDEX('CA Standards and Followers'!$E$14:$E$73,MATCH($A16,'CA Standards and Followers'!$A$14:$A$73,0))=1,INDEX('CA Standards and Followers'!$H$14:$H$73,MATCH($A16,'CA Standards and Followers'!$A$14:$A$73,0))&lt;=B$1),INDEX('CA Standards and Followers'!$3:$3,MATCH(B$1,'CA Standards and Followers'!$1:$1,0)),IF(AND(INDEX('CA Standards and Followers'!$D$14:$D$73,MATCH($A16,'CA Standards and Followers'!$A$14:$A$73,0))=1,INDEX('CA Standards and Followers'!$G$14:$G$73,MATCH($A16,'CA Standards and Followers'!$A$14:$A$73,0))&lt;=B$1),INDEX('CA Standards and Followers'!$2:$2,MATCH(B$1,'CA Standards and Followers'!$1:$1,0)),0))</f>
        <v>0</v>
      </c>
      <c r="C16">
        <f>IF(AND(INDEX('CA Standards and Followers'!$E$14:$E$73,MATCH($A16,'CA Standards and Followers'!$A$14:$A$73,0))=1,INDEX('CA Standards and Followers'!$H$14:$H$73,MATCH($A16,'CA Standards and Followers'!$A$14:$A$73,0))&lt;=C$1),INDEX('CA Standards and Followers'!$3:$3,MATCH(C$1,'CA Standards and Followers'!$1:$1,0)),IF(AND(INDEX('CA Standards and Followers'!$D$14:$D$73,MATCH($A16,'CA Standards and Followers'!$A$14:$A$73,0))=1,INDEX('CA Standards and Followers'!$G$14:$G$73,MATCH($A16,'CA Standards and Followers'!$A$14:$A$73,0))&lt;=C$1),INDEX('CA Standards and Followers'!$2:$2,MATCH(C$1,'CA Standards and Followers'!$1:$1,0)),0))</f>
        <v>0</v>
      </c>
      <c r="D16">
        <f>IF(AND(INDEX('CA Standards and Followers'!$E$14:$E$73,MATCH($A16,'CA Standards and Followers'!$A$14:$A$73,0))=1,INDEX('CA Standards and Followers'!$H$14:$H$73,MATCH($A16,'CA Standards and Followers'!$A$14:$A$73,0))&lt;=D$1),INDEX('CA Standards and Followers'!$3:$3,MATCH(D$1,'CA Standards and Followers'!$1:$1,0)),IF(AND(INDEX('CA Standards and Followers'!$D$14:$D$73,MATCH($A16,'CA Standards and Followers'!$A$14:$A$73,0))=1,INDEX('CA Standards and Followers'!$G$14:$G$73,MATCH($A16,'CA Standards and Followers'!$A$14:$A$73,0))&lt;=D$1),INDEX('CA Standards and Followers'!$2:$2,MATCH(D$1,'CA Standards and Followers'!$1:$1,0)),0))</f>
        <v>0</v>
      </c>
      <c r="E16">
        <f>IF(AND(INDEX('CA Standards and Followers'!$E$14:$E$73,MATCH($A16,'CA Standards and Followers'!$A$14:$A$73,0))=1,INDEX('CA Standards and Followers'!$H$14:$H$73,MATCH($A16,'CA Standards and Followers'!$A$14:$A$73,0))&lt;=E$1),INDEX('CA Standards and Followers'!$3:$3,MATCH(E$1,'CA Standards and Followers'!$1:$1,0)),IF(AND(INDEX('CA Standards and Followers'!$D$14:$D$73,MATCH($A16,'CA Standards and Followers'!$A$14:$A$73,0))=1,INDEX('CA Standards and Followers'!$G$14:$G$73,MATCH($A16,'CA Standards and Followers'!$A$14:$A$73,0))&lt;=E$1),INDEX('CA Standards and Followers'!$2:$2,MATCH(E$1,'CA Standards and Followers'!$1:$1,0)),0))</f>
        <v>0</v>
      </c>
      <c r="F16">
        <f>IF(AND(INDEX('CA Standards and Followers'!$E$14:$E$73,MATCH($A16,'CA Standards and Followers'!$A$14:$A$73,0))=1,INDEX('CA Standards and Followers'!$H$14:$H$73,MATCH($A16,'CA Standards and Followers'!$A$14:$A$73,0))&lt;=F$1),INDEX('CA Standards and Followers'!$3:$3,MATCH(F$1,'CA Standards and Followers'!$1:$1,0)),IF(AND(INDEX('CA Standards and Followers'!$D$14:$D$73,MATCH($A16,'CA Standards and Followers'!$A$14:$A$73,0))=1,INDEX('CA Standards and Followers'!$G$14:$G$73,MATCH($A16,'CA Standards and Followers'!$A$14:$A$73,0))&lt;=F$1),INDEX('CA Standards and Followers'!$2:$2,MATCH(F$1,'CA Standards and Followers'!$1:$1,0)),0))</f>
        <v>0</v>
      </c>
      <c r="G16">
        <f>IF(AND(INDEX('CA Standards and Followers'!$E$14:$E$73,MATCH($A16,'CA Standards and Followers'!$A$14:$A$73,0))=1,INDEX('CA Standards and Followers'!$H$14:$H$73,MATCH($A16,'CA Standards and Followers'!$A$14:$A$73,0))&lt;=G$1),INDEX('CA Standards and Followers'!$3:$3,MATCH(G$1,'CA Standards and Followers'!$1:$1,0)),IF(AND(INDEX('CA Standards and Followers'!$D$14:$D$73,MATCH($A16,'CA Standards and Followers'!$A$14:$A$73,0))=1,INDEX('CA Standards and Followers'!$G$14:$G$73,MATCH($A16,'CA Standards and Followers'!$A$14:$A$73,0))&lt;=G$1),INDEX('CA Standards and Followers'!$2:$2,MATCH(G$1,'CA Standards and Followers'!$1:$1,0)),0))</f>
        <v>0</v>
      </c>
      <c r="H16">
        <f>IF(AND(INDEX('CA Standards and Followers'!$E$14:$E$73,MATCH($A16,'CA Standards and Followers'!$A$14:$A$73,0))=1,INDEX('CA Standards and Followers'!$H$14:$H$73,MATCH($A16,'CA Standards and Followers'!$A$14:$A$73,0))&lt;=H$1),INDEX('CA Standards and Followers'!$3:$3,MATCH(H$1,'CA Standards and Followers'!$1:$1,0)),IF(AND(INDEX('CA Standards and Followers'!$D$14:$D$73,MATCH($A16,'CA Standards and Followers'!$A$14:$A$73,0))=1,INDEX('CA Standards and Followers'!$G$14:$G$73,MATCH($A16,'CA Standards and Followers'!$A$14:$A$73,0))&lt;=H$1),INDEX('CA Standards and Followers'!$2:$2,MATCH(H$1,'CA Standards and Followers'!$1:$1,0)),0))</f>
        <v>0</v>
      </c>
      <c r="I16">
        <f>IF(AND(INDEX('CA Standards and Followers'!$E$14:$E$73,MATCH($A16,'CA Standards and Followers'!$A$14:$A$73,0))=1,INDEX('CA Standards and Followers'!$H$14:$H$73,MATCH($A16,'CA Standards and Followers'!$A$14:$A$73,0))&lt;=I$1),INDEX('CA Standards and Followers'!$3:$3,MATCH(I$1,'CA Standards and Followers'!$1:$1,0)),IF(AND(INDEX('CA Standards and Followers'!$D$14:$D$73,MATCH($A16,'CA Standards and Followers'!$A$14:$A$73,0))=1,INDEX('CA Standards and Followers'!$G$14:$G$73,MATCH($A16,'CA Standards and Followers'!$A$14:$A$73,0))&lt;=I$1),INDEX('CA Standards and Followers'!$2:$2,MATCH(I$1,'CA Standards and Followers'!$1:$1,0)),0))</f>
        <v>0</v>
      </c>
      <c r="J16">
        <f>IF(AND(INDEX('CA Standards and Followers'!$E$14:$E$73,MATCH($A16,'CA Standards and Followers'!$A$14:$A$73,0))=1,INDEX('CA Standards and Followers'!$H$14:$H$73,MATCH($A16,'CA Standards and Followers'!$A$14:$A$73,0))&lt;=J$1),INDEX('CA Standards and Followers'!$3:$3,MATCH(J$1,'CA Standards and Followers'!$1:$1,0)),IF(AND(INDEX('CA Standards and Followers'!$D$14:$D$73,MATCH($A16,'CA Standards and Followers'!$A$14:$A$73,0))=1,INDEX('CA Standards and Followers'!$G$14:$G$73,MATCH($A16,'CA Standards and Followers'!$A$14:$A$73,0))&lt;=J$1),INDEX('CA Standards and Followers'!$2:$2,MATCH(J$1,'CA Standards and Followers'!$1:$1,0)),0))</f>
        <v>0</v>
      </c>
      <c r="K16">
        <f>IF(AND(INDEX('CA Standards and Followers'!$E$14:$E$73,MATCH($A16,'CA Standards and Followers'!$A$14:$A$73,0))=1,INDEX('CA Standards and Followers'!$H$14:$H$73,MATCH($A16,'CA Standards and Followers'!$A$14:$A$73,0))&lt;=K$1),INDEX('CA Standards and Followers'!$3:$3,MATCH(K$1,'CA Standards and Followers'!$1:$1,0)),IF(AND(INDEX('CA Standards and Followers'!$D$14:$D$73,MATCH($A16,'CA Standards and Followers'!$A$14:$A$73,0))=1,INDEX('CA Standards and Followers'!$G$14:$G$73,MATCH($A16,'CA Standards and Followers'!$A$14:$A$73,0))&lt;=K$1),INDEX('CA Standards and Followers'!$2:$2,MATCH(K$1,'CA Standards and Followers'!$1:$1,0)),0))</f>
        <v>0</v>
      </c>
      <c r="L16">
        <f>IF(AND(INDEX('CA Standards and Followers'!$E$14:$E$73,MATCH($A16,'CA Standards and Followers'!$A$14:$A$73,0))=1,INDEX('CA Standards and Followers'!$H$14:$H$73,MATCH($A16,'CA Standards and Followers'!$A$14:$A$73,0))&lt;=L$1),INDEX('CA Standards and Followers'!$3:$3,MATCH(L$1,'CA Standards and Followers'!$1:$1,0)),IF(AND(INDEX('CA Standards and Followers'!$D$14:$D$73,MATCH($A16,'CA Standards and Followers'!$A$14:$A$73,0))=1,INDEX('CA Standards and Followers'!$G$14:$G$73,MATCH($A16,'CA Standards and Followers'!$A$14:$A$73,0))&lt;=L$1),INDEX('CA Standards and Followers'!$2:$2,MATCH(L$1,'CA Standards and Followers'!$1:$1,0)),0))</f>
        <v>0</v>
      </c>
      <c r="M16">
        <f>IF(AND(INDEX('CA Standards and Followers'!$E$14:$E$73,MATCH($A16,'CA Standards and Followers'!$A$14:$A$73,0))=1,INDEX('CA Standards and Followers'!$H$14:$H$73,MATCH($A16,'CA Standards and Followers'!$A$14:$A$73,0))&lt;=M$1),INDEX('CA Standards and Followers'!$3:$3,MATCH(M$1,'CA Standards and Followers'!$1:$1,0)),IF(AND(INDEX('CA Standards and Followers'!$D$14:$D$73,MATCH($A16,'CA Standards and Followers'!$A$14:$A$73,0))=1,INDEX('CA Standards and Followers'!$G$14:$G$73,MATCH($A16,'CA Standards and Followers'!$A$14:$A$73,0))&lt;=M$1),INDEX('CA Standards and Followers'!$2:$2,MATCH(M$1,'CA Standards and Followers'!$1:$1,0)),0))</f>
        <v>0</v>
      </c>
      <c r="N16">
        <f>IF(AND(INDEX('CA Standards and Followers'!$E$14:$E$73,MATCH($A16,'CA Standards and Followers'!$A$14:$A$73,0))=1,INDEX('CA Standards and Followers'!$H$14:$H$73,MATCH($A16,'CA Standards and Followers'!$A$14:$A$73,0))&lt;=N$1),INDEX('CA Standards and Followers'!$3:$3,MATCH(N$1,'CA Standards and Followers'!$1:$1,0)),IF(AND(INDEX('CA Standards and Followers'!$D$14:$D$73,MATCH($A16,'CA Standards and Followers'!$A$14:$A$73,0))=1,INDEX('CA Standards and Followers'!$G$14:$G$73,MATCH($A16,'CA Standards and Followers'!$A$14:$A$73,0))&lt;=N$1),INDEX('CA Standards and Followers'!$2:$2,MATCH(N$1,'CA Standards and Followers'!$1:$1,0)),0))</f>
        <v>0</v>
      </c>
      <c r="O16">
        <f>IF(AND(INDEX('CA Standards and Followers'!$E$14:$E$73,MATCH($A16,'CA Standards and Followers'!$A$14:$A$73,0))=1,INDEX('CA Standards and Followers'!$H$14:$H$73,MATCH($A16,'CA Standards and Followers'!$A$14:$A$73,0))&lt;=O$1),INDEX('CA Standards and Followers'!$3:$3,MATCH(O$1,'CA Standards and Followers'!$1:$1,0)),IF(AND(INDEX('CA Standards and Followers'!$D$14:$D$73,MATCH($A16,'CA Standards and Followers'!$A$14:$A$73,0))=1,INDEX('CA Standards and Followers'!$G$14:$G$73,MATCH($A16,'CA Standards and Followers'!$A$14:$A$73,0))&lt;=O$1),INDEX('CA Standards and Followers'!$2:$2,MATCH(O$1,'CA Standards and Followers'!$1:$1,0)),0))</f>
        <v>0</v>
      </c>
      <c r="P16">
        <f>IF(AND(INDEX('CA Standards and Followers'!$E$14:$E$73,MATCH($A16,'CA Standards and Followers'!$A$14:$A$73,0))=1,INDEX('CA Standards and Followers'!$H$14:$H$73,MATCH($A16,'CA Standards and Followers'!$A$14:$A$73,0))&lt;=P$1),INDEX('CA Standards and Followers'!$3:$3,MATCH(P$1,'CA Standards and Followers'!$1:$1,0)),IF(AND(INDEX('CA Standards and Followers'!$D$14:$D$73,MATCH($A16,'CA Standards and Followers'!$A$14:$A$73,0))=1,INDEX('CA Standards and Followers'!$G$14:$G$73,MATCH($A16,'CA Standards and Followers'!$A$14:$A$73,0))&lt;=P$1),INDEX('CA Standards and Followers'!$2:$2,MATCH(P$1,'CA Standards and Followers'!$1:$1,0)),0))</f>
        <v>0</v>
      </c>
      <c r="Q16">
        <f>IF(AND(INDEX('CA Standards and Followers'!$E$14:$E$73,MATCH($A16,'CA Standards and Followers'!$A$14:$A$73,0))=1,INDEX('CA Standards and Followers'!$H$14:$H$73,MATCH($A16,'CA Standards and Followers'!$A$14:$A$73,0))&lt;=Q$1),INDEX('CA Standards and Followers'!$3:$3,MATCH(Q$1,'CA Standards and Followers'!$1:$1,0)),IF(AND(INDEX('CA Standards and Followers'!$D$14:$D$73,MATCH($A16,'CA Standards and Followers'!$A$14:$A$73,0))=1,INDEX('CA Standards and Followers'!$G$14:$G$73,MATCH($A16,'CA Standards and Followers'!$A$14:$A$73,0))&lt;=Q$1),INDEX('CA Standards and Followers'!$2:$2,MATCH(Q$1,'CA Standards and Followers'!$1:$1,0)),0))</f>
        <v>0</v>
      </c>
      <c r="R16">
        <f>IF(AND(INDEX('CA Standards and Followers'!$E$14:$E$73,MATCH($A16,'CA Standards and Followers'!$A$14:$A$73,0))=1,INDEX('CA Standards and Followers'!$H$14:$H$73,MATCH($A16,'CA Standards and Followers'!$A$14:$A$73,0))&lt;=R$1),INDEX('CA Standards and Followers'!$3:$3,MATCH(R$1,'CA Standards and Followers'!$1:$1,0)),IF(AND(INDEX('CA Standards and Followers'!$D$14:$D$73,MATCH($A16,'CA Standards and Followers'!$A$14:$A$73,0))=1,INDEX('CA Standards and Followers'!$G$14:$G$73,MATCH($A16,'CA Standards and Followers'!$A$14:$A$73,0))&lt;=R$1),INDEX('CA Standards and Followers'!$2:$2,MATCH(R$1,'CA Standards and Followers'!$1:$1,0)),0))</f>
        <v>0</v>
      </c>
      <c r="S16">
        <f>IF(AND(INDEX('CA Standards and Followers'!$E$14:$E$73,MATCH($A16,'CA Standards and Followers'!$A$14:$A$73,0))=1,INDEX('CA Standards and Followers'!$H$14:$H$73,MATCH($A16,'CA Standards and Followers'!$A$14:$A$73,0))&lt;=S$1),INDEX('CA Standards and Followers'!$3:$3,MATCH(S$1,'CA Standards and Followers'!$1:$1,0)),IF(AND(INDEX('CA Standards and Followers'!$D$14:$D$73,MATCH($A16,'CA Standards and Followers'!$A$14:$A$73,0))=1,INDEX('CA Standards and Followers'!$G$14:$G$73,MATCH($A16,'CA Standards and Followers'!$A$14:$A$73,0))&lt;=S$1),INDEX('CA Standards and Followers'!$2:$2,MATCH(S$1,'CA Standards and Followers'!$1:$1,0)),0))</f>
        <v>0</v>
      </c>
      <c r="T16">
        <f>IF(AND(INDEX('CA Standards and Followers'!$E$14:$E$73,MATCH($A16,'CA Standards and Followers'!$A$14:$A$73,0))=1,INDEX('CA Standards and Followers'!$H$14:$H$73,MATCH($A16,'CA Standards and Followers'!$A$14:$A$73,0))&lt;=T$1),INDEX('CA Standards and Followers'!$3:$3,MATCH(T$1,'CA Standards and Followers'!$1:$1,0)),IF(AND(INDEX('CA Standards and Followers'!$D$14:$D$73,MATCH($A16,'CA Standards and Followers'!$A$14:$A$73,0))=1,INDEX('CA Standards and Followers'!$G$14:$G$73,MATCH($A16,'CA Standards and Followers'!$A$14:$A$73,0))&lt;=T$1),INDEX('CA Standards and Followers'!$2:$2,MATCH(T$1,'CA Standards and Followers'!$1:$1,0)),0))</f>
        <v>0</v>
      </c>
      <c r="U16">
        <f>IF(AND(INDEX('CA Standards and Followers'!$E$14:$E$73,MATCH($A16,'CA Standards and Followers'!$A$14:$A$73,0))=1,INDEX('CA Standards and Followers'!$H$14:$H$73,MATCH($A16,'CA Standards and Followers'!$A$14:$A$73,0))&lt;=U$1),INDEX('CA Standards and Followers'!$3:$3,MATCH(U$1,'CA Standards and Followers'!$1:$1,0)),IF(AND(INDEX('CA Standards and Followers'!$D$14:$D$73,MATCH($A16,'CA Standards and Followers'!$A$14:$A$73,0))=1,INDEX('CA Standards and Followers'!$G$14:$G$73,MATCH($A16,'CA Standards and Followers'!$A$14:$A$73,0))&lt;=U$1),INDEX('CA Standards and Followers'!$2:$2,MATCH(U$1,'CA Standards and Followers'!$1:$1,0)),0))</f>
        <v>0</v>
      </c>
      <c r="V16">
        <f>IF(AND(INDEX('CA Standards and Followers'!$E$14:$E$73,MATCH($A16,'CA Standards and Followers'!$A$14:$A$73,0))=1,INDEX('CA Standards and Followers'!$H$14:$H$73,MATCH($A16,'CA Standards and Followers'!$A$14:$A$73,0))&lt;=V$1),INDEX('CA Standards and Followers'!$3:$3,MATCH(V$1,'CA Standards and Followers'!$1:$1,0)),IF(AND(INDEX('CA Standards and Followers'!$D$14:$D$73,MATCH($A16,'CA Standards and Followers'!$A$14:$A$73,0))=1,INDEX('CA Standards and Followers'!$G$14:$G$73,MATCH($A16,'CA Standards and Followers'!$A$14:$A$73,0))&lt;=V$1),INDEX('CA Standards and Followers'!$2:$2,MATCH(V$1,'CA Standards and Followers'!$1:$1,0)),0))</f>
        <v>0</v>
      </c>
      <c r="W16">
        <f>IF(AND(INDEX('CA Standards and Followers'!$E$14:$E$73,MATCH($A16,'CA Standards and Followers'!$A$14:$A$73,0))=1,INDEX('CA Standards and Followers'!$H$14:$H$73,MATCH($A16,'CA Standards and Followers'!$A$14:$A$73,0))&lt;=W$1),INDEX('CA Standards and Followers'!$3:$3,MATCH(W$1,'CA Standards and Followers'!$1:$1,0)),IF(AND(INDEX('CA Standards and Followers'!$D$14:$D$73,MATCH($A16,'CA Standards and Followers'!$A$14:$A$73,0))=1,INDEX('CA Standards and Followers'!$G$14:$G$73,MATCH($A16,'CA Standards and Followers'!$A$14:$A$73,0))&lt;=W$1),INDEX('CA Standards and Followers'!$2:$2,MATCH(W$1,'CA Standards and Followers'!$1:$1,0)),0))</f>
        <v>0</v>
      </c>
      <c r="X16">
        <f>IF(AND(INDEX('CA Standards and Followers'!$E$14:$E$73,MATCH($A16,'CA Standards and Followers'!$A$14:$A$73,0))=1,INDEX('CA Standards and Followers'!$H$14:$H$73,MATCH($A16,'CA Standards and Followers'!$A$14:$A$73,0))&lt;=X$1),INDEX('CA Standards and Followers'!$3:$3,MATCH(X$1,'CA Standards and Followers'!$1:$1,0)),IF(AND(INDEX('CA Standards and Followers'!$D$14:$D$73,MATCH($A16,'CA Standards and Followers'!$A$14:$A$73,0))=1,INDEX('CA Standards and Followers'!$G$14:$G$73,MATCH($A16,'CA Standards and Followers'!$A$14:$A$73,0))&lt;=X$1),INDEX('CA Standards and Followers'!$2:$2,MATCH(X$1,'CA Standards and Followers'!$1:$1,0)),0))</f>
        <v>0</v>
      </c>
      <c r="Y16">
        <f>IF(AND(INDEX('CA Standards and Followers'!$E$14:$E$73,MATCH($A16,'CA Standards and Followers'!$A$14:$A$73,0))=1,INDEX('CA Standards and Followers'!$H$14:$H$73,MATCH($A16,'CA Standards and Followers'!$A$14:$A$73,0))&lt;=Y$1),INDEX('CA Standards and Followers'!$3:$3,MATCH(Y$1,'CA Standards and Followers'!$1:$1,0)),IF(AND(INDEX('CA Standards and Followers'!$D$14:$D$73,MATCH($A16,'CA Standards and Followers'!$A$14:$A$73,0))=1,INDEX('CA Standards and Followers'!$G$14:$G$73,MATCH($A16,'CA Standards and Followers'!$A$14:$A$73,0))&lt;=Y$1),INDEX('CA Standards and Followers'!$2:$2,MATCH(Y$1,'CA Standards and Followers'!$1:$1,0)),0))</f>
        <v>0</v>
      </c>
      <c r="Z16">
        <f>IF(AND(INDEX('CA Standards and Followers'!$E$14:$E$73,MATCH($A16,'CA Standards and Followers'!$A$14:$A$73,0))=1,INDEX('CA Standards and Followers'!$H$14:$H$73,MATCH($A16,'CA Standards and Followers'!$A$14:$A$73,0))&lt;=Z$1),INDEX('CA Standards and Followers'!$3:$3,MATCH(Z$1,'CA Standards and Followers'!$1:$1,0)),IF(AND(INDEX('CA Standards and Followers'!$D$14:$D$73,MATCH($A16,'CA Standards and Followers'!$A$14:$A$73,0))=1,INDEX('CA Standards and Followers'!$G$14:$G$73,MATCH($A16,'CA Standards and Followers'!$A$14:$A$73,0))&lt;=Z$1),INDEX('CA Standards and Followers'!$2:$2,MATCH(Z$1,'CA Standards and Followers'!$1:$1,0)),0))</f>
        <v>0</v>
      </c>
      <c r="AA16">
        <f>IF(AND(INDEX('CA Standards and Followers'!$E$14:$E$73,MATCH($A16,'CA Standards and Followers'!$A$14:$A$73,0))=1,INDEX('CA Standards and Followers'!$H$14:$H$73,MATCH($A16,'CA Standards and Followers'!$A$14:$A$73,0))&lt;=AA$1),INDEX('CA Standards and Followers'!$3:$3,MATCH(AA$1,'CA Standards and Followers'!$1:$1,0)),IF(AND(INDEX('CA Standards and Followers'!$D$14:$D$73,MATCH($A16,'CA Standards and Followers'!$A$14:$A$73,0))=1,INDEX('CA Standards and Followers'!$G$14:$G$73,MATCH($A16,'CA Standards and Followers'!$A$14:$A$73,0))&lt;=AA$1),INDEX('CA Standards and Followers'!$2:$2,MATCH(AA$1,'CA Standards and Followers'!$1:$1,0)),0))</f>
        <v>0</v>
      </c>
      <c r="AB16">
        <f>IF(AND(INDEX('CA Standards and Followers'!$E$14:$E$73,MATCH($A16,'CA Standards and Followers'!$A$14:$A$73,0))=1,INDEX('CA Standards and Followers'!$H$14:$H$73,MATCH($A16,'CA Standards and Followers'!$A$14:$A$73,0))&lt;=AB$1),INDEX('CA Standards and Followers'!$3:$3,MATCH(AB$1,'CA Standards and Followers'!$1:$1,0)),IF(AND(INDEX('CA Standards and Followers'!$D$14:$D$73,MATCH($A16,'CA Standards and Followers'!$A$14:$A$73,0))=1,INDEX('CA Standards and Followers'!$G$14:$G$73,MATCH($A16,'CA Standards and Followers'!$A$14:$A$73,0))&lt;=AB$1),INDEX('CA Standards and Followers'!$2:$2,MATCH(AB$1,'CA Standards and Followers'!$1:$1,0)),0))</f>
        <v>0</v>
      </c>
      <c r="AC16">
        <f>IF(AND(INDEX('CA Standards and Followers'!$E$14:$E$73,MATCH($A16,'CA Standards and Followers'!$A$14:$A$73,0))=1,INDEX('CA Standards and Followers'!$H$14:$H$73,MATCH($A16,'CA Standards and Followers'!$A$14:$A$73,0))&lt;=AC$1),INDEX('CA Standards and Followers'!$3:$3,MATCH(AC$1,'CA Standards and Followers'!$1:$1,0)),IF(AND(INDEX('CA Standards and Followers'!$D$14:$D$73,MATCH($A16,'CA Standards and Followers'!$A$14:$A$73,0))=1,INDEX('CA Standards and Followers'!$G$14:$G$73,MATCH($A16,'CA Standards and Followers'!$A$14:$A$73,0))&lt;=AC$1),INDEX('CA Standards and Followers'!$2:$2,MATCH(AC$1,'CA Standards and Followers'!$1:$1,0)),0))</f>
        <v>0</v>
      </c>
      <c r="AD16">
        <f>IF(AND(INDEX('CA Standards and Followers'!$E$14:$E$73,MATCH($A16,'CA Standards and Followers'!$A$14:$A$73,0))=1,INDEX('CA Standards and Followers'!$H$14:$H$73,MATCH($A16,'CA Standards and Followers'!$A$14:$A$73,0))&lt;=AD$1),INDEX('CA Standards and Followers'!$3:$3,MATCH(AD$1,'CA Standards and Followers'!$1:$1,0)),IF(AND(INDEX('CA Standards and Followers'!$D$14:$D$73,MATCH($A16,'CA Standards and Followers'!$A$14:$A$73,0))=1,INDEX('CA Standards and Followers'!$G$14:$G$73,MATCH($A16,'CA Standards and Followers'!$A$14:$A$73,0))&lt;=AD$1),INDEX('CA Standards and Followers'!$2:$2,MATCH(AD$1,'CA Standards and Followers'!$1:$1,0)),0))</f>
        <v>0</v>
      </c>
      <c r="AE16">
        <f>IF(AND(INDEX('CA Standards and Followers'!$E$14:$E$73,MATCH($A16,'CA Standards and Followers'!$A$14:$A$73,0))=1,INDEX('CA Standards and Followers'!$H$14:$H$73,MATCH($A16,'CA Standards and Followers'!$A$14:$A$73,0))&lt;=AE$1),INDEX('CA Standards and Followers'!$3:$3,MATCH(AE$1,'CA Standards and Followers'!$1:$1,0)),IF(AND(INDEX('CA Standards and Followers'!$D$14:$D$73,MATCH($A16,'CA Standards and Followers'!$A$14:$A$73,0))=1,INDEX('CA Standards and Followers'!$G$14:$G$73,MATCH($A16,'CA Standards and Followers'!$A$14:$A$73,0))&lt;=AE$1),INDEX('CA Standards and Followers'!$2:$2,MATCH(AE$1,'CA Standards and Followers'!$1:$1,0)),0))</f>
        <v>0</v>
      </c>
      <c r="AF16">
        <f>IF(AND(INDEX('CA Standards and Followers'!$E$14:$E$73,MATCH($A16,'CA Standards and Followers'!$A$14:$A$73,0))=1,INDEX('CA Standards and Followers'!$H$14:$H$73,MATCH($A16,'CA Standards and Followers'!$A$14:$A$73,0))&lt;=AF$1),INDEX('CA Standards and Followers'!$3:$3,MATCH(AF$1,'CA Standards and Followers'!$1:$1,0)),IF(AND(INDEX('CA Standards and Followers'!$D$14:$D$73,MATCH($A16,'CA Standards and Followers'!$A$14:$A$73,0))=1,INDEX('CA Standards and Followers'!$G$14:$G$73,MATCH($A16,'CA Standards and Followers'!$A$14:$A$73,0))&lt;=AF$1),INDEX('CA Standards and Followers'!$2:$2,MATCH(AF$1,'CA Standards and Followers'!$1:$1,0)),0))</f>
        <v>0</v>
      </c>
    </row>
    <row r="17" spans="1:32" x14ac:dyDescent="0.25">
      <c r="A17" t="s">
        <v>17</v>
      </c>
      <c r="B17">
        <f>IF(AND(INDEX('CA Standards and Followers'!$E$14:$E$73,MATCH($A17,'CA Standards and Followers'!$A$14:$A$73,0))=1,INDEX('CA Standards and Followers'!$H$14:$H$73,MATCH($A17,'CA Standards and Followers'!$A$14:$A$73,0))&lt;=B$1),INDEX('CA Standards and Followers'!$3:$3,MATCH(B$1,'CA Standards and Followers'!$1:$1,0)),IF(AND(INDEX('CA Standards and Followers'!$D$14:$D$73,MATCH($A17,'CA Standards and Followers'!$A$14:$A$73,0))=1,INDEX('CA Standards and Followers'!$G$14:$G$73,MATCH($A17,'CA Standards and Followers'!$A$14:$A$73,0))&lt;=B$1),INDEX('CA Standards and Followers'!$2:$2,MATCH(B$1,'CA Standards and Followers'!$1:$1,0)),0))</f>
        <v>0</v>
      </c>
      <c r="C17">
        <f>IF(AND(INDEX('CA Standards and Followers'!$E$14:$E$73,MATCH($A17,'CA Standards and Followers'!$A$14:$A$73,0))=1,INDEX('CA Standards and Followers'!$H$14:$H$73,MATCH($A17,'CA Standards and Followers'!$A$14:$A$73,0))&lt;=C$1),INDEX('CA Standards and Followers'!$3:$3,MATCH(C$1,'CA Standards and Followers'!$1:$1,0)),IF(AND(INDEX('CA Standards and Followers'!$D$14:$D$73,MATCH($A17,'CA Standards and Followers'!$A$14:$A$73,0))=1,INDEX('CA Standards and Followers'!$G$14:$G$73,MATCH($A17,'CA Standards and Followers'!$A$14:$A$73,0))&lt;=C$1),INDEX('CA Standards and Followers'!$2:$2,MATCH(C$1,'CA Standards and Followers'!$1:$1,0)),0))</f>
        <v>0</v>
      </c>
      <c r="D17">
        <f>IF(AND(INDEX('CA Standards and Followers'!$E$14:$E$73,MATCH($A17,'CA Standards and Followers'!$A$14:$A$73,0))=1,INDEX('CA Standards and Followers'!$H$14:$H$73,MATCH($A17,'CA Standards and Followers'!$A$14:$A$73,0))&lt;=D$1),INDEX('CA Standards and Followers'!$3:$3,MATCH(D$1,'CA Standards and Followers'!$1:$1,0)),IF(AND(INDEX('CA Standards and Followers'!$D$14:$D$73,MATCH($A17,'CA Standards and Followers'!$A$14:$A$73,0))=1,INDEX('CA Standards and Followers'!$G$14:$G$73,MATCH($A17,'CA Standards and Followers'!$A$14:$A$73,0))&lt;=D$1),INDEX('CA Standards and Followers'!$2:$2,MATCH(D$1,'CA Standards and Followers'!$1:$1,0)),0))</f>
        <v>0</v>
      </c>
      <c r="E17">
        <f>IF(AND(INDEX('CA Standards and Followers'!$E$14:$E$73,MATCH($A17,'CA Standards and Followers'!$A$14:$A$73,0))=1,INDEX('CA Standards and Followers'!$H$14:$H$73,MATCH($A17,'CA Standards and Followers'!$A$14:$A$73,0))&lt;=E$1),INDEX('CA Standards and Followers'!$3:$3,MATCH(E$1,'CA Standards and Followers'!$1:$1,0)),IF(AND(INDEX('CA Standards and Followers'!$D$14:$D$73,MATCH($A17,'CA Standards and Followers'!$A$14:$A$73,0))=1,INDEX('CA Standards and Followers'!$G$14:$G$73,MATCH($A17,'CA Standards and Followers'!$A$14:$A$73,0))&lt;=E$1),INDEX('CA Standards and Followers'!$2:$2,MATCH(E$1,'CA Standards and Followers'!$1:$1,0)),0))</f>
        <v>0</v>
      </c>
      <c r="F17">
        <f>IF(AND(INDEX('CA Standards and Followers'!$E$14:$E$73,MATCH($A17,'CA Standards and Followers'!$A$14:$A$73,0))=1,INDEX('CA Standards and Followers'!$H$14:$H$73,MATCH($A17,'CA Standards and Followers'!$A$14:$A$73,0))&lt;=F$1),INDEX('CA Standards and Followers'!$3:$3,MATCH(F$1,'CA Standards and Followers'!$1:$1,0)),IF(AND(INDEX('CA Standards and Followers'!$D$14:$D$73,MATCH($A17,'CA Standards and Followers'!$A$14:$A$73,0))=1,INDEX('CA Standards and Followers'!$G$14:$G$73,MATCH($A17,'CA Standards and Followers'!$A$14:$A$73,0))&lt;=F$1),INDEX('CA Standards and Followers'!$2:$2,MATCH(F$1,'CA Standards and Followers'!$1:$1,0)),0))</f>
        <v>0</v>
      </c>
      <c r="G17">
        <f>IF(AND(INDEX('CA Standards and Followers'!$E$14:$E$73,MATCH($A17,'CA Standards and Followers'!$A$14:$A$73,0))=1,INDEX('CA Standards and Followers'!$H$14:$H$73,MATCH($A17,'CA Standards and Followers'!$A$14:$A$73,0))&lt;=G$1),INDEX('CA Standards and Followers'!$3:$3,MATCH(G$1,'CA Standards and Followers'!$1:$1,0)),IF(AND(INDEX('CA Standards and Followers'!$D$14:$D$73,MATCH($A17,'CA Standards and Followers'!$A$14:$A$73,0))=1,INDEX('CA Standards and Followers'!$G$14:$G$73,MATCH($A17,'CA Standards and Followers'!$A$14:$A$73,0))&lt;=G$1),INDEX('CA Standards and Followers'!$2:$2,MATCH(G$1,'CA Standards and Followers'!$1:$1,0)),0))</f>
        <v>0</v>
      </c>
      <c r="H17">
        <f>IF(AND(INDEX('CA Standards and Followers'!$E$14:$E$73,MATCH($A17,'CA Standards and Followers'!$A$14:$A$73,0))=1,INDEX('CA Standards and Followers'!$H$14:$H$73,MATCH($A17,'CA Standards and Followers'!$A$14:$A$73,0))&lt;=H$1),INDEX('CA Standards and Followers'!$3:$3,MATCH(H$1,'CA Standards and Followers'!$1:$1,0)),IF(AND(INDEX('CA Standards and Followers'!$D$14:$D$73,MATCH($A17,'CA Standards and Followers'!$A$14:$A$73,0))=1,INDEX('CA Standards and Followers'!$G$14:$G$73,MATCH($A17,'CA Standards and Followers'!$A$14:$A$73,0))&lt;=H$1),INDEX('CA Standards and Followers'!$2:$2,MATCH(H$1,'CA Standards and Followers'!$1:$1,0)),0))</f>
        <v>0</v>
      </c>
      <c r="I17">
        <f>IF(AND(INDEX('CA Standards and Followers'!$E$14:$E$73,MATCH($A17,'CA Standards and Followers'!$A$14:$A$73,0))=1,INDEX('CA Standards and Followers'!$H$14:$H$73,MATCH($A17,'CA Standards and Followers'!$A$14:$A$73,0))&lt;=I$1),INDEX('CA Standards and Followers'!$3:$3,MATCH(I$1,'CA Standards and Followers'!$1:$1,0)),IF(AND(INDEX('CA Standards and Followers'!$D$14:$D$73,MATCH($A17,'CA Standards and Followers'!$A$14:$A$73,0))=1,INDEX('CA Standards and Followers'!$G$14:$G$73,MATCH($A17,'CA Standards and Followers'!$A$14:$A$73,0))&lt;=I$1),INDEX('CA Standards and Followers'!$2:$2,MATCH(I$1,'CA Standards and Followers'!$1:$1,0)),0))</f>
        <v>0</v>
      </c>
      <c r="J17">
        <f>IF(AND(INDEX('CA Standards and Followers'!$E$14:$E$73,MATCH($A17,'CA Standards and Followers'!$A$14:$A$73,0))=1,INDEX('CA Standards and Followers'!$H$14:$H$73,MATCH($A17,'CA Standards and Followers'!$A$14:$A$73,0))&lt;=J$1),INDEX('CA Standards and Followers'!$3:$3,MATCH(J$1,'CA Standards and Followers'!$1:$1,0)),IF(AND(INDEX('CA Standards and Followers'!$D$14:$D$73,MATCH($A17,'CA Standards and Followers'!$A$14:$A$73,0))=1,INDEX('CA Standards and Followers'!$G$14:$G$73,MATCH($A17,'CA Standards and Followers'!$A$14:$A$73,0))&lt;=J$1),INDEX('CA Standards and Followers'!$2:$2,MATCH(J$1,'CA Standards and Followers'!$1:$1,0)),0))</f>
        <v>0</v>
      </c>
      <c r="K17">
        <f>IF(AND(INDEX('CA Standards and Followers'!$E$14:$E$73,MATCH($A17,'CA Standards and Followers'!$A$14:$A$73,0))=1,INDEX('CA Standards and Followers'!$H$14:$H$73,MATCH($A17,'CA Standards and Followers'!$A$14:$A$73,0))&lt;=K$1),INDEX('CA Standards and Followers'!$3:$3,MATCH(K$1,'CA Standards and Followers'!$1:$1,0)),IF(AND(INDEX('CA Standards and Followers'!$D$14:$D$73,MATCH($A17,'CA Standards and Followers'!$A$14:$A$73,0))=1,INDEX('CA Standards and Followers'!$G$14:$G$73,MATCH($A17,'CA Standards and Followers'!$A$14:$A$73,0))&lt;=K$1),INDEX('CA Standards and Followers'!$2:$2,MATCH(K$1,'CA Standards and Followers'!$1:$1,0)),0))</f>
        <v>0</v>
      </c>
      <c r="L17">
        <f>IF(AND(INDEX('CA Standards and Followers'!$E$14:$E$73,MATCH($A17,'CA Standards and Followers'!$A$14:$A$73,0))=1,INDEX('CA Standards and Followers'!$H$14:$H$73,MATCH($A17,'CA Standards and Followers'!$A$14:$A$73,0))&lt;=L$1),INDEX('CA Standards and Followers'!$3:$3,MATCH(L$1,'CA Standards and Followers'!$1:$1,0)),IF(AND(INDEX('CA Standards and Followers'!$D$14:$D$73,MATCH($A17,'CA Standards and Followers'!$A$14:$A$73,0))=1,INDEX('CA Standards and Followers'!$G$14:$G$73,MATCH($A17,'CA Standards and Followers'!$A$14:$A$73,0))&lt;=L$1),INDEX('CA Standards and Followers'!$2:$2,MATCH(L$1,'CA Standards and Followers'!$1:$1,0)),0))</f>
        <v>0</v>
      </c>
      <c r="M17">
        <f>IF(AND(INDEX('CA Standards and Followers'!$E$14:$E$73,MATCH($A17,'CA Standards and Followers'!$A$14:$A$73,0))=1,INDEX('CA Standards and Followers'!$H$14:$H$73,MATCH($A17,'CA Standards and Followers'!$A$14:$A$73,0))&lt;=M$1),INDEX('CA Standards and Followers'!$3:$3,MATCH(M$1,'CA Standards and Followers'!$1:$1,0)),IF(AND(INDEX('CA Standards and Followers'!$D$14:$D$73,MATCH($A17,'CA Standards and Followers'!$A$14:$A$73,0))=1,INDEX('CA Standards and Followers'!$G$14:$G$73,MATCH($A17,'CA Standards and Followers'!$A$14:$A$73,0))&lt;=M$1),INDEX('CA Standards and Followers'!$2:$2,MATCH(M$1,'CA Standards and Followers'!$1:$1,0)),0))</f>
        <v>0</v>
      </c>
      <c r="N17">
        <f>IF(AND(INDEX('CA Standards and Followers'!$E$14:$E$73,MATCH($A17,'CA Standards and Followers'!$A$14:$A$73,0))=1,INDEX('CA Standards and Followers'!$H$14:$H$73,MATCH($A17,'CA Standards and Followers'!$A$14:$A$73,0))&lt;=N$1),INDEX('CA Standards and Followers'!$3:$3,MATCH(N$1,'CA Standards and Followers'!$1:$1,0)),IF(AND(INDEX('CA Standards and Followers'!$D$14:$D$73,MATCH($A17,'CA Standards and Followers'!$A$14:$A$73,0))=1,INDEX('CA Standards and Followers'!$G$14:$G$73,MATCH($A17,'CA Standards and Followers'!$A$14:$A$73,0))&lt;=N$1),INDEX('CA Standards and Followers'!$2:$2,MATCH(N$1,'CA Standards and Followers'!$1:$1,0)),0))</f>
        <v>0</v>
      </c>
      <c r="O17">
        <f>IF(AND(INDEX('CA Standards and Followers'!$E$14:$E$73,MATCH($A17,'CA Standards and Followers'!$A$14:$A$73,0))=1,INDEX('CA Standards and Followers'!$H$14:$H$73,MATCH($A17,'CA Standards and Followers'!$A$14:$A$73,0))&lt;=O$1),INDEX('CA Standards and Followers'!$3:$3,MATCH(O$1,'CA Standards and Followers'!$1:$1,0)),IF(AND(INDEX('CA Standards and Followers'!$D$14:$D$73,MATCH($A17,'CA Standards and Followers'!$A$14:$A$73,0))=1,INDEX('CA Standards and Followers'!$G$14:$G$73,MATCH($A17,'CA Standards and Followers'!$A$14:$A$73,0))&lt;=O$1),INDEX('CA Standards and Followers'!$2:$2,MATCH(O$1,'CA Standards and Followers'!$1:$1,0)),0))</f>
        <v>0</v>
      </c>
      <c r="P17">
        <f>IF(AND(INDEX('CA Standards and Followers'!$E$14:$E$73,MATCH($A17,'CA Standards and Followers'!$A$14:$A$73,0))=1,INDEX('CA Standards and Followers'!$H$14:$H$73,MATCH($A17,'CA Standards and Followers'!$A$14:$A$73,0))&lt;=P$1),INDEX('CA Standards and Followers'!$3:$3,MATCH(P$1,'CA Standards and Followers'!$1:$1,0)),IF(AND(INDEX('CA Standards and Followers'!$D$14:$D$73,MATCH($A17,'CA Standards and Followers'!$A$14:$A$73,0))=1,INDEX('CA Standards and Followers'!$G$14:$G$73,MATCH($A17,'CA Standards and Followers'!$A$14:$A$73,0))&lt;=P$1),INDEX('CA Standards and Followers'!$2:$2,MATCH(P$1,'CA Standards and Followers'!$1:$1,0)),0))</f>
        <v>0</v>
      </c>
      <c r="Q17">
        <f>IF(AND(INDEX('CA Standards and Followers'!$E$14:$E$73,MATCH($A17,'CA Standards and Followers'!$A$14:$A$73,0))=1,INDEX('CA Standards and Followers'!$H$14:$H$73,MATCH($A17,'CA Standards and Followers'!$A$14:$A$73,0))&lt;=Q$1),INDEX('CA Standards and Followers'!$3:$3,MATCH(Q$1,'CA Standards and Followers'!$1:$1,0)),IF(AND(INDEX('CA Standards and Followers'!$D$14:$D$73,MATCH($A17,'CA Standards and Followers'!$A$14:$A$73,0))=1,INDEX('CA Standards and Followers'!$G$14:$G$73,MATCH($A17,'CA Standards and Followers'!$A$14:$A$73,0))&lt;=Q$1),INDEX('CA Standards and Followers'!$2:$2,MATCH(Q$1,'CA Standards and Followers'!$1:$1,0)),0))</f>
        <v>0</v>
      </c>
      <c r="R17">
        <f>IF(AND(INDEX('CA Standards and Followers'!$E$14:$E$73,MATCH($A17,'CA Standards and Followers'!$A$14:$A$73,0))=1,INDEX('CA Standards and Followers'!$H$14:$H$73,MATCH($A17,'CA Standards and Followers'!$A$14:$A$73,0))&lt;=R$1),INDEX('CA Standards and Followers'!$3:$3,MATCH(R$1,'CA Standards and Followers'!$1:$1,0)),IF(AND(INDEX('CA Standards and Followers'!$D$14:$D$73,MATCH($A17,'CA Standards and Followers'!$A$14:$A$73,0))=1,INDEX('CA Standards and Followers'!$G$14:$G$73,MATCH($A17,'CA Standards and Followers'!$A$14:$A$73,0))&lt;=R$1),INDEX('CA Standards and Followers'!$2:$2,MATCH(R$1,'CA Standards and Followers'!$1:$1,0)),0))</f>
        <v>0</v>
      </c>
      <c r="S17">
        <f>IF(AND(INDEX('CA Standards and Followers'!$E$14:$E$73,MATCH($A17,'CA Standards and Followers'!$A$14:$A$73,0))=1,INDEX('CA Standards and Followers'!$H$14:$H$73,MATCH($A17,'CA Standards and Followers'!$A$14:$A$73,0))&lt;=S$1),INDEX('CA Standards and Followers'!$3:$3,MATCH(S$1,'CA Standards and Followers'!$1:$1,0)),IF(AND(INDEX('CA Standards and Followers'!$D$14:$D$73,MATCH($A17,'CA Standards and Followers'!$A$14:$A$73,0))=1,INDEX('CA Standards and Followers'!$G$14:$G$73,MATCH($A17,'CA Standards and Followers'!$A$14:$A$73,0))&lt;=S$1),INDEX('CA Standards and Followers'!$2:$2,MATCH(S$1,'CA Standards and Followers'!$1:$1,0)),0))</f>
        <v>0</v>
      </c>
      <c r="T17">
        <f>IF(AND(INDEX('CA Standards and Followers'!$E$14:$E$73,MATCH($A17,'CA Standards and Followers'!$A$14:$A$73,0))=1,INDEX('CA Standards and Followers'!$H$14:$H$73,MATCH($A17,'CA Standards and Followers'!$A$14:$A$73,0))&lt;=T$1),INDEX('CA Standards and Followers'!$3:$3,MATCH(T$1,'CA Standards and Followers'!$1:$1,0)),IF(AND(INDEX('CA Standards and Followers'!$D$14:$D$73,MATCH($A17,'CA Standards and Followers'!$A$14:$A$73,0))=1,INDEX('CA Standards and Followers'!$G$14:$G$73,MATCH($A17,'CA Standards and Followers'!$A$14:$A$73,0))&lt;=T$1),INDEX('CA Standards and Followers'!$2:$2,MATCH(T$1,'CA Standards and Followers'!$1:$1,0)),0))</f>
        <v>0</v>
      </c>
      <c r="U17">
        <f>IF(AND(INDEX('CA Standards and Followers'!$E$14:$E$73,MATCH($A17,'CA Standards and Followers'!$A$14:$A$73,0))=1,INDEX('CA Standards and Followers'!$H$14:$H$73,MATCH($A17,'CA Standards and Followers'!$A$14:$A$73,0))&lt;=U$1),INDEX('CA Standards and Followers'!$3:$3,MATCH(U$1,'CA Standards and Followers'!$1:$1,0)),IF(AND(INDEX('CA Standards and Followers'!$D$14:$D$73,MATCH($A17,'CA Standards and Followers'!$A$14:$A$73,0))=1,INDEX('CA Standards and Followers'!$G$14:$G$73,MATCH($A17,'CA Standards and Followers'!$A$14:$A$73,0))&lt;=U$1),INDEX('CA Standards and Followers'!$2:$2,MATCH(U$1,'CA Standards and Followers'!$1:$1,0)),0))</f>
        <v>0</v>
      </c>
      <c r="V17">
        <f>IF(AND(INDEX('CA Standards and Followers'!$E$14:$E$73,MATCH($A17,'CA Standards and Followers'!$A$14:$A$73,0))=1,INDEX('CA Standards and Followers'!$H$14:$H$73,MATCH($A17,'CA Standards and Followers'!$A$14:$A$73,0))&lt;=V$1),INDEX('CA Standards and Followers'!$3:$3,MATCH(V$1,'CA Standards and Followers'!$1:$1,0)),IF(AND(INDEX('CA Standards and Followers'!$D$14:$D$73,MATCH($A17,'CA Standards and Followers'!$A$14:$A$73,0))=1,INDEX('CA Standards and Followers'!$G$14:$G$73,MATCH($A17,'CA Standards and Followers'!$A$14:$A$73,0))&lt;=V$1),INDEX('CA Standards and Followers'!$2:$2,MATCH(V$1,'CA Standards and Followers'!$1:$1,0)),0))</f>
        <v>0</v>
      </c>
      <c r="W17">
        <f>IF(AND(INDEX('CA Standards and Followers'!$E$14:$E$73,MATCH($A17,'CA Standards and Followers'!$A$14:$A$73,0))=1,INDEX('CA Standards and Followers'!$H$14:$H$73,MATCH($A17,'CA Standards and Followers'!$A$14:$A$73,0))&lt;=W$1),INDEX('CA Standards and Followers'!$3:$3,MATCH(W$1,'CA Standards and Followers'!$1:$1,0)),IF(AND(INDEX('CA Standards and Followers'!$D$14:$D$73,MATCH($A17,'CA Standards and Followers'!$A$14:$A$73,0))=1,INDEX('CA Standards and Followers'!$G$14:$G$73,MATCH($A17,'CA Standards and Followers'!$A$14:$A$73,0))&lt;=W$1),INDEX('CA Standards and Followers'!$2:$2,MATCH(W$1,'CA Standards and Followers'!$1:$1,0)),0))</f>
        <v>0</v>
      </c>
      <c r="X17">
        <f>IF(AND(INDEX('CA Standards and Followers'!$E$14:$E$73,MATCH($A17,'CA Standards and Followers'!$A$14:$A$73,0))=1,INDEX('CA Standards and Followers'!$H$14:$H$73,MATCH($A17,'CA Standards and Followers'!$A$14:$A$73,0))&lt;=X$1),INDEX('CA Standards and Followers'!$3:$3,MATCH(X$1,'CA Standards and Followers'!$1:$1,0)),IF(AND(INDEX('CA Standards and Followers'!$D$14:$D$73,MATCH($A17,'CA Standards and Followers'!$A$14:$A$73,0))=1,INDEX('CA Standards and Followers'!$G$14:$G$73,MATCH($A17,'CA Standards and Followers'!$A$14:$A$73,0))&lt;=X$1),INDEX('CA Standards and Followers'!$2:$2,MATCH(X$1,'CA Standards and Followers'!$1:$1,0)),0))</f>
        <v>0</v>
      </c>
      <c r="Y17">
        <f>IF(AND(INDEX('CA Standards and Followers'!$E$14:$E$73,MATCH($A17,'CA Standards and Followers'!$A$14:$A$73,0))=1,INDEX('CA Standards and Followers'!$H$14:$H$73,MATCH($A17,'CA Standards and Followers'!$A$14:$A$73,0))&lt;=Y$1),INDEX('CA Standards and Followers'!$3:$3,MATCH(Y$1,'CA Standards and Followers'!$1:$1,0)),IF(AND(INDEX('CA Standards and Followers'!$D$14:$D$73,MATCH($A17,'CA Standards and Followers'!$A$14:$A$73,0))=1,INDEX('CA Standards and Followers'!$G$14:$G$73,MATCH($A17,'CA Standards and Followers'!$A$14:$A$73,0))&lt;=Y$1),INDEX('CA Standards and Followers'!$2:$2,MATCH(Y$1,'CA Standards and Followers'!$1:$1,0)),0))</f>
        <v>0</v>
      </c>
      <c r="Z17">
        <f>IF(AND(INDEX('CA Standards and Followers'!$E$14:$E$73,MATCH($A17,'CA Standards and Followers'!$A$14:$A$73,0))=1,INDEX('CA Standards and Followers'!$H$14:$H$73,MATCH($A17,'CA Standards and Followers'!$A$14:$A$73,0))&lt;=Z$1),INDEX('CA Standards and Followers'!$3:$3,MATCH(Z$1,'CA Standards and Followers'!$1:$1,0)),IF(AND(INDEX('CA Standards and Followers'!$D$14:$D$73,MATCH($A17,'CA Standards and Followers'!$A$14:$A$73,0))=1,INDEX('CA Standards and Followers'!$G$14:$G$73,MATCH($A17,'CA Standards and Followers'!$A$14:$A$73,0))&lt;=Z$1),INDEX('CA Standards and Followers'!$2:$2,MATCH(Z$1,'CA Standards and Followers'!$1:$1,0)),0))</f>
        <v>0</v>
      </c>
      <c r="AA17">
        <f>IF(AND(INDEX('CA Standards and Followers'!$E$14:$E$73,MATCH($A17,'CA Standards and Followers'!$A$14:$A$73,0))=1,INDEX('CA Standards and Followers'!$H$14:$H$73,MATCH($A17,'CA Standards and Followers'!$A$14:$A$73,0))&lt;=AA$1),INDEX('CA Standards and Followers'!$3:$3,MATCH(AA$1,'CA Standards and Followers'!$1:$1,0)),IF(AND(INDEX('CA Standards and Followers'!$D$14:$D$73,MATCH($A17,'CA Standards and Followers'!$A$14:$A$73,0))=1,INDEX('CA Standards and Followers'!$G$14:$G$73,MATCH($A17,'CA Standards and Followers'!$A$14:$A$73,0))&lt;=AA$1),INDEX('CA Standards and Followers'!$2:$2,MATCH(AA$1,'CA Standards and Followers'!$1:$1,0)),0))</f>
        <v>0</v>
      </c>
      <c r="AB17">
        <f>IF(AND(INDEX('CA Standards and Followers'!$E$14:$E$73,MATCH($A17,'CA Standards and Followers'!$A$14:$A$73,0))=1,INDEX('CA Standards and Followers'!$H$14:$H$73,MATCH($A17,'CA Standards and Followers'!$A$14:$A$73,0))&lt;=AB$1),INDEX('CA Standards and Followers'!$3:$3,MATCH(AB$1,'CA Standards and Followers'!$1:$1,0)),IF(AND(INDEX('CA Standards and Followers'!$D$14:$D$73,MATCH($A17,'CA Standards and Followers'!$A$14:$A$73,0))=1,INDEX('CA Standards and Followers'!$G$14:$G$73,MATCH($A17,'CA Standards and Followers'!$A$14:$A$73,0))&lt;=AB$1),INDEX('CA Standards and Followers'!$2:$2,MATCH(AB$1,'CA Standards and Followers'!$1:$1,0)),0))</f>
        <v>0</v>
      </c>
      <c r="AC17">
        <f>IF(AND(INDEX('CA Standards and Followers'!$E$14:$E$73,MATCH($A17,'CA Standards and Followers'!$A$14:$A$73,0))=1,INDEX('CA Standards and Followers'!$H$14:$H$73,MATCH($A17,'CA Standards and Followers'!$A$14:$A$73,0))&lt;=AC$1),INDEX('CA Standards and Followers'!$3:$3,MATCH(AC$1,'CA Standards and Followers'!$1:$1,0)),IF(AND(INDEX('CA Standards and Followers'!$D$14:$D$73,MATCH($A17,'CA Standards and Followers'!$A$14:$A$73,0))=1,INDEX('CA Standards and Followers'!$G$14:$G$73,MATCH($A17,'CA Standards and Followers'!$A$14:$A$73,0))&lt;=AC$1),INDEX('CA Standards and Followers'!$2:$2,MATCH(AC$1,'CA Standards and Followers'!$1:$1,0)),0))</f>
        <v>0</v>
      </c>
      <c r="AD17">
        <f>IF(AND(INDEX('CA Standards and Followers'!$E$14:$E$73,MATCH($A17,'CA Standards and Followers'!$A$14:$A$73,0))=1,INDEX('CA Standards and Followers'!$H$14:$H$73,MATCH($A17,'CA Standards and Followers'!$A$14:$A$73,0))&lt;=AD$1),INDEX('CA Standards and Followers'!$3:$3,MATCH(AD$1,'CA Standards and Followers'!$1:$1,0)),IF(AND(INDEX('CA Standards and Followers'!$D$14:$D$73,MATCH($A17,'CA Standards and Followers'!$A$14:$A$73,0))=1,INDEX('CA Standards and Followers'!$G$14:$G$73,MATCH($A17,'CA Standards and Followers'!$A$14:$A$73,0))&lt;=AD$1),INDEX('CA Standards and Followers'!$2:$2,MATCH(AD$1,'CA Standards and Followers'!$1:$1,0)),0))</f>
        <v>0</v>
      </c>
      <c r="AE17">
        <f>IF(AND(INDEX('CA Standards and Followers'!$E$14:$E$73,MATCH($A17,'CA Standards and Followers'!$A$14:$A$73,0))=1,INDEX('CA Standards and Followers'!$H$14:$H$73,MATCH($A17,'CA Standards and Followers'!$A$14:$A$73,0))&lt;=AE$1),INDEX('CA Standards and Followers'!$3:$3,MATCH(AE$1,'CA Standards and Followers'!$1:$1,0)),IF(AND(INDEX('CA Standards and Followers'!$D$14:$D$73,MATCH($A17,'CA Standards and Followers'!$A$14:$A$73,0))=1,INDEX('CA Standards and Followers'!$G$14:$G$73,MATCH($A17,'CA Standards and Followers'!$A$14:$A$73,0))&lt;=AE$1),INDEX('CA Standards and Followers'!$2:$2,MATCH(AE$1,'CA Standards and Followers'!$1:$1,0)),0))</f>
        <v>0</v>
      </c>
      <c r="AF17">
        <f>IF(AND(INDEX('CA Standards and Followers'!$E$14:$E$73,MATCH($A17,'CA Standards and Followers'!$A$14:$A$73,0))=1,INDEX('CA Standards and Followers'!$H$14:$H$73,MATCH($A17,'CA Standards and Followers'!$A$14:$A$73,0))&lt;=AF$1),INDEX('CA Standards and Followers'!$3:$3,MATCH(AF$1,'CA Standards and Followers'!$1:$1,0)),IF(AND(INDEX('CA Standards and Followers'!$D$14:$D$73,MATCH($A17,'CA Standards and Followers'!$A$14:$A$73,0))=1,INDEX('CA Standards and Followers'!$G$14:$G$73,MATCH($A17,'CA Standards and Followers'!$A$14:$A$73,0))&lt;=AF$1),INDEX('CA Standards and Followers'!$2:$2,MATCH(AF$1,'CA Standards and Followers'!$1:$1,0)),0))</f>
        <v>0</v>
      </c>
    </row>
    <row r="18" spans="1:32" x14ac:dyDescent="0.25">
      <c r="A18" t="s">
        <v>18</v>
      </c>
      <c r="B18">
        <f>IF(AND(INDEX('CA Standards and Followers'!$E$14:$E$73,MATCH($A18,'CA Standards and Followers'!$A$14:$A$73,0))=1,INDEX('CA Standards and Followers'!$H$14:$H$73,MATCH($A18,'CA Standards and Followers'!$A$14:$A$73,0))&lt;=B$1),INDEX('CA Standards and Followers'!$3:$3,MATCH(B$1,'CA Standards and Followers'!$1:$1,0)),IF(AND(INDEX('CA Standards and Followers'!$D$14:$D$73,MATCH($A18,'CA Standards and Followers'!$A$14:$A$73,0))=1,INDEX('CA Standards and Followers'!$G$14:$G$73,MATCH($A18,'CA Standards and Followers'!$A$14:$A$73,0))&lt;=B$1),INDEX('CA Standards and Followers'!$2:$2,MATCH(B$1,'CA Standards and Followers'!$1:$1,0)),0))</f>
        <v>0</v>
      </c>
      <c r="C18">
        <f>IF(AND(INDEX('CA Standards and Followers'!$E$14:$E$73,MATCH($A18,'CA Standards and Followers'!$A$14:$A$73,0))=1,INDEX('CA Standards and Followers'!$H$14:$H$73,MATCH($A18,'CA Standards and Followers'!$A$14:$A$73,0))&lt;=C$1),INDEX('CA Standards and Followers'!$3:$3,MATCH(C$1,'CA Standards and Followers'!$1:$1,0)),IF(AND(INDEX('CA Standards and Followers'!$D$14:$D$73,MATCH($A18,'CA Standards and Followers'!$A$14:$A$73,0))=1,INDEX('CA Standards and Followers'!$G$14:$G$73,MATCH($A18,'CA Standards and Followers'!$A$14:$A$73,0))&lt;=C$1),INDEX('CA Standards and Followers'!$2:$2,MATCH(C$1,'CA Standards and Followers'!$1:$1,0)),0))</f>
        <v>0</v>
      </c>
      <c r="D18">
        <f>IF(AND(INDEX('CA Standards and Followers'!$E$14:$E$73,MATCH($A18,'CA Standards and Followers'!$A$14:$A$73,0))=1,INDEX('CA Standards and Followers'!$H$14:$H$73,MATCH($A18,'CA Standards and Followers'!$A$14:$A$73,0))&lt;=D$1),INDEX('CA Standards and Followers'!$3:$3,MATCH(D$1,'CA Standards and Followers'!$1:$1,0)),IF(AND(INDEX('CA Standards and Followers'!$D$14:$D$73,MATCH($A18,'CA Standards and Followers'!$A$14:$A$73,0))=1,INDEX('CA Standards and Followers'!$G$14:$G$73,MATCH($A18,'CA Standards and Followers'!$A$14:$A$73,0))&lt;=D$1),INDEX('CA Standards and Followers'!$2:$2,MATCH(D$1,'CA Standards and Followers'!$1:$1,0)),0))</f>
        <v>0</v>
      </c>
      <c r="E18">
        <f>IF(AND(INDEX('CA Standards and Followers'!$E$14:$E$73,MATCH($A18,'CA Standards and Followers'!$A$14:$A$73,0))=1,INDEX('CA Standards and Followers'!$H$14:$H$73,MATCH($A18,'CA Standards and Followers'!$A$14:$A$73,0))&lt;=E$1),INDEX('CA Standards and Followers'!$3:$3,MATCH(E$1,'CA Standards and Followers'!$1:$1,0)),IF(AND(INDEX('CA Standards and Followers'!$D$14:$D$73,MATCH($A18,'CA Standards and Followers'!$A$14:$A$73,0))=1,INDEX('CA Standards and Followers'!$G$14:$G$73,MATCH($A18,'CA Standards and Followers'!$A$14:$A$73,0))&lt;=E$1),INDEX('CA Standards and Followers'!$2:$2,MATCH(E$1,'CA Standards and Followers'!$1:$1,0)),0))</f>
        <v>0</v>
      </c>
      <c r="F18">
        <f>IF(AND(INDEX('CA Standards and Followers'!$E$14:$E$73,MATCH($A18,'CA Standards and Followers'!$A$14:$A$73,0))=1,INDEX('CA Standards and Followers'!$H$14:$H$73,MATCH($A18,'CA Standards and Followers'!$A$14:$A$73,0))&lt;=F$1),INDEX('CA Standards and Followers'!$3:$3,MATCH(F$1,'CA Standards and Followers'!$1:$1,0)),IF(AND(INDEX('CA Standards and Followers'!$D$14:$D$73,MATCH($A18,'CA Standards and Followers'!$A$14:$A$73,0))=1,INDEX('CA Standards and Followers'!$G$14:$G$73,MATCH($A18,'CA Standards and Followers'!$A$14:$A$73,0))&lt;=F$1),INDEX('CA Standards and Followers'!$2:$2,MATCH(F$1,'CA Standards and Followers'!$1:$1,0)),0))</f>
        <v>0</v>
      </c>
      <c r="G18">
        <f>IF(AND(INDEX('CA Standards and Followers'!$E$14:$E$73,MATCH($A18,'CA Standards and Followers'!$A$14:$A$73,0))=1,INDEX('CA Standards and Followers'!$H$14:$H$73,MATCH($A18,'CA Standards and Followers'!$A$14:$A$73,0))&lt;=G$1),INDEX('CA Standards and Followers'!$3:$3,MATCH(G$1,'CA Standards and Followers'!$1:$1,0)),IF(AND(INDEX('CA Standards and Followers'!$D$14:$D$73,MATCH($A18,'CA Standards and Followers'!$A$14:$A$73,0))=1,INDEX('CA Standards and Followers'!$G$14:$G$73,MATCH($A18,'CA Standards and Followers'!$A$14:$A$73,0))&lt;=G$1),INDEX('CA Standards and Followers'!$2:$2,MATCH(G$1,'CA Standards and Followers'!$1:$1,0)),0))</f>
        <v>0</v>
      </c>
      <c r="H18">
        <f>IF(AND(INDEX('CA Standards and Followers'!$E$14:$E$73,MATCH($A18,'CA Standards and Followers'!$A$14:$A$73,0))=1,INDEX('CA Standards and Followers'!$H$14:$H$73,MATCH($A18,'CA Standards and Followers'!$A$14:$A$73,0))&lt;=H$1),INDEX('CA Standards and Followers'!$3:$3,MATCH(H$1,'CA Standards and Followers'!$1:$1,0)),IF(AND(INDEX('CA Standards and Followers'!$D$14:$D$73,MATCH($A18,'CA Standards and Followers'!$A$14:$A$73,0))=1,INDEX('CA Standards and Followers'!$G$14:$G$73,MATCH($A18,'CA Standards and Followers'!$A$14:$A$73,0))&lt;=H$1),INDEX('CA Standards and Followers'!$2:$2,MATCH(H$1,'CA Standards and Followers'!$1:$1,0)),0))</f>
        <v>0</v>
      </c>
      <c r="I18">
        <f>IF(AND(INDEX('CA Standards and Followers'!$E$14:$E$73,MATCH($A18,'CA Standards and Followers'!$A$14:$A$73,0))=1,INDEX('CA Standards and Followers'!$H$14:$H$73,MATCH($A18,'CA Standards and Followers'!$A$14:$A$73,0))&lt;=I$1),INDEX('CA Standards and Followers'!$3:$3,MATCH(I$1,'CA Standards and Followers'!$1:$1,0)),IF(AND(INDEX('CA Standards and Followers'!$D$14:$D$73,MATCH($A18,'CA Standards and Followers'!$A$14:$A$73,0))=1,INDEX('CA Standards and Followers'!$G$14:$G$73,MATCH($A18,'CA Standards and Followers'!$A$14:$A$73,0))&lt;=I$1),INDEX('CA Standards and Followers'!$2:$2,MATCH(I$1,'CA Standards and Followers'!$1:$1,0)),0))</f>
        <v>0</v>
      </c>
      <c r="J18">
        <f>IF(AND(INDEX('CA Standards and Followers'!$E$14:$E$73,MATCH($A18,'CA Standards and Followers'!$A$14:$A$73,0))=1,INDEX('CA Standards and Followers'!$H$14:$H$73,MATCH($A18,'CA Standards and Followers'!$A$14:$A$73,0))&lt;=J$1),INDEX('CA Standards and Followers'!$3:$3,MATCH(J$1,'CA Standards and Followers'!$1:$1,0)),IF(AND(INDEX('CA Standards and Followers'!$D$14:$D$73,MATCH($A18,'CA Standards and Followers'!$A$14:$A$73,0))=1,INDEX('CA Standards and Followers'!$G$14:$G$73,MATCH($A18,'CA Standards and Followers'!$A$14:$A$73,0))&lt;=J$1),INDEX('CA Standards and Followers'!$2:$2,MATCH(J$1,'CA Standards and Followers'!$1:$1,0)),0))</f>
        <v>0</v>
      </c>
      <c r="K18">
        <f>IF(AND(INDEX('CA Standards and Followers'!$E$14:$E$73,MATCH($A18,'CA Standards and Followers'!$A$14:$A$73,0))=1,INDEX('CA Standards and Followers'!$H$14:$H$73,MATCH($A18,'CA Standards and Followers'!$A$14:$A$73,0))&lt;=K$1),INDEX('CA Standards and Followers'!$3:$3,MATCH(K$1,'CA Standards and Followers'!$1:$1,0)),IF(AND(INDEX('CA Standards and Followers'!$D$14:$D$73,MATCH($A18,'CA Standards and Followers'!$A$14:$A$73,0))=1,INDEX('CA Standards and Followers'!$G$14:$G$73,MATCH($A18,'CA Standards and Followers'!$A$14:$A$73,0))&lt;=K$1),INDEX('CA Standards and Followers'!$2:$2,MATCH(K$1,'CA Standards and Followers'!$1:$1,0)),0))</f>
        <v>0</v>
      </c>
      <c r="L18">
        <f>IF(AND(INDEX('CA Standards and Followers'!$E$14:$E$73,MATCH($A18,'CA Standards and Followers'!$A$14:$A$73,0))=1,INDEX('CA Standards and Followers'!$H$14:$H$73,MATCH($A18,'CA Standards and Followers'!$A$14:$A$73,0))&lt;=L$1),INDEX('CA Standards and Followers'!$3:$3,MATCH(L$1,'CA Standards and Followers'!$1:$1,0)),IF(AND(INDEX('CA Standards and Followers'!$D$14:$D$73,MATCH($A18,'CA Standards and Followers'!$A$14:$A$73,0))=1,INDEX('CA Standards and Followers'!$G$14:$G$73,MATCH($A18,'CA Standards and Followers'!$A$14:$A$73,0))&lt;=L$1),INDEX('CA Standards and Followers'!$2:$2,MATCH(L$1,'CA Standards and Followers'!$1:$1,0)),0))</f>
        <v>0</v>
      </c>
      <c r="M18">
        <f>IF(AND(INDEX('CA Standards and Followers'!$E$14:$E$73,MATCH($A18,'CA Standards and Followers'!$A$14:$A$73,0))=1,INDEX('CA Standards and Followers'!$H$14:$H$73,MATCH($A18,'CA Standards and Followers'!$A$14:$A$73,0))&lt;=M$1),INDEX('CA Standards and Followers'!$3:$3,MATCH(M$1,'CA Standards and Followers'!$1:$1,0)),IF(AND(INDEX('CA Standards and Followers'!$D$14:$D$73,MATCH($A18,'CA Standards and Followers'!$A$14:$A$73,0))=1,INDEX('CA Standards and Followers'!$G$14:$G$73,MATCH($A18,'CA Standards and Followers'!$A$14:$A$73,0))&lt;=M$1),INDEX('CA Standards and Followers'!$2:$2,MATCH(M$1,'CA Standards and Followers'!$1:$1,0)),0))</f>
        <v>0</v>
      </c>
      <c r="N18">
        <f>IF(AND(INDEX('CA Standards and Followers'!$E$14:$E$73,MATCH($A18,'CA Standards and Followers'!$A$14:$A$73,0))=1,INDEX('CA Standards and Followers'!$H$14:$H$73,MATCH($A18,'CA Standards and Followers'!$A$14:$A$73,0))&lt;=N$1),INDEX('CA Standards and Followers'!$3:$3,MATCH(N$1,'CA Standards and Followers'!$1:$1,0)),IF(AND(INDEX('CA Standards and Followers'!$D$14:$D$73,MATCH($A18,'CA Standards and Followers'!$A$14:$A$73,0))=1,INDEX('CA Standards and Followers'!$G$14:$G$73,MATCH($A18,'CA Standards and Followers'!$A$14:$A$73,0))&lt;=N$1),INDEX('CA Standards and Followers'!$2:$2,MATCH(N$1,'CA Standards and Followers'!$1:$1,0)),0))</f>
        <v>0</v>
      </c>
      <c r="O18">
        <f>IF(AND(INDEX('CA Standards and Followers'!$E$14:$E$73,MATCH($A18,'CA Standards and Followers'!$A$14:$A$73,0))=1,INDEX('CA Standards and Followers'!$H$14:$H$73,MATCH($A18,'CA Standards and Followers'!$A$14:$A$73,0))&lt;=O$1),INDEX('CA Standards and Followers'!$3:$3,MATCH(O$1,'CA Standards and Followers'!$1:$1,0)),IF(AND(INDEX('CA Standards and Followers'!$D$14:$D$73,MATCH($A18,'CA Standards and Followers'!$A$14:$A$73,0))=1,INDEX('CA Standards and Followers'!$G$14:$G$73,MATCH($A18,'CA Standards and Followers'!$A$14:$A$73,0))&lt;=O$1),INDEX('CA Standards and Followers'!$2:$2,MATCH(O$1,'CA Standards and Followers'!$1:$1,0)),0))</f>
        <v>0</v>
      </c>
      <c r="P18">
        <f>IF(AND(INDEX('CA Standards and Followers'!$E$14:$E$73,MATCH($A18,'CA Standards and Followers'!$A$14:$A$73,0))=1,INDEX('CA Standards and Followers'!$H$14:$H$73,MATCH($A18,'CA Standards and Followers'!$A$14:$A$73,0))&lt;=P$1),INDEX('CA Standards and Followers'!$3:$3,MATCH(P$1,'CA Standards and Followers'!$1:$1,0)),IF(AND(INDEX('CA Standards and Followers'!$D$14:$D$73,MATCH($A18,'CA Standards and Followers'!$A$14:$A$73,0))=1,INDEX('CA Standards and Followers'!$G$14:$G$73,MATCH($A18,'CA Standards and Followers'!$A$14:$A$73,0))&lt;=P$1),INDEX('CA Standards and Followers'!$2:$2,MATCH(P$1,'CA Standards and Followers'!$1:$1,0)),0))</f>
        <v>0</v>
      </c>
      <c r="Q18">
        <f>IF(AND(INDEX('CA Standards and Followers'!$E$14:$E$73,MATCH($A18,'CA Standards and Followers'!$A$14:$A$73,0))=1,INDEX('CA Standards and Followers'!$H$14:$H$73,MATCH($A18,'CA Standards and Followers'!$A$14:$A$73,0))&lt;=Q$1),INDEX('CA Standards and Followers'!$3:$3,MATCH(Q$1,'CA Standards and Followers'!$1:$1,0)),IF(AND(INDEX('CA Standards and Followers'!$D$14:$D$73,MATCH($A18,'CA Standards and Followers'!$A$14:$A$73,0))=1,INDEX('CA Standards and Followers'!$G$14:$G$73,MATCH($A18,'CA Standards and Followers'!$A$14:$A$73,0))&lt;=Q$1),INDEX('CA Standards and Followers'!$2:$2,MATCH(Q$1,'CA Standards and Followers'!$1:$1,0)),0))</f>
        <v>0</v>
      </c>
      <c r="R18">
        <f>IF(AND(INDEX('CA Standards and Followers'!$E$14:$E$73,MATCH($A18,'CA Standards and Followers'!$A$14:$A$73,0))=1,INDEX('CA Standards and Followers'!$H$14:$H$73,MATCH($A18,'CA Standards and Followers'!$A$14:$A$73,0))&lt;=R$1),INDEX('CA Standards and Followers'!$3:$3,MATCH(R$1,'CA Standards and Followers'!$1:$1,0)),IF(AND(INDEX('CA Standards and Followers'!$D$14:$D$73,MATCH($A18,'CA Standards and Followers'!$A$14:$A$73,0))=1,INDEX('CA Standards and Followers'!$G$14:$G$73,MATCH($A18,'CA Standards and Followers'!$A$14:$A$73,0))&lt;=R$1),INDEX('CA Standards and Followers'!$2:$2,MATCH(R$1,'CA Standards and Followers'!$1:$1,0)),0))</f>
        <v>0</v>
      </c>
      <c r="S18">
        <f>IF(AND(INDEX('CA Standards and Followers'!$E$14:$E$73,MATCH($A18,'CA Standards and Followers'!$A$14:$A$73,0))=1,INDEX('CA Standards and Followers'!$H$14:$H$73,MATCH($A18,'CA Standards and Followers'!$A$14:$A$73,0))&lt;=S$1),INDEX('CA Standards and Followers'!$3:$3,MATCH(S$1,'CA Standards and Followers'!$1:$1,0)),IF(AND(INDEX('CA Standards and Followers'!$D$14:$D$73,MATCH($A18,'CA Standards and Followers'!$A$14:$A$73,0))=1,INDEX('CA Standards and Followers'!$G$14:$G$73,MATCH($A18,'CA Standards and Followers'!$A$14:$A$73,0))&lt;=S$1),INDEX('CA Standards and Followers'!$2:$2,MATCH(S$1,'CA Standards and Followers'!$1:$1,0)),0))</f>
        <v>0</v>
      </c>
      <c r="T18">
        <f>IF(AND(INDEX('CA Standards and Followers'!$E$14:$E$73,MATCH($A18,'CA Standards and Followers'!$A$14:$A$73,0))=1,INDEX('CA Standards and Followers'!$H$14:$H$73,MATCH($A18,'CA Standards and Followers'!$A$14:$A$73,0))&lt;=T$1),INDEX('CA Standards and Followers'!$3:$3,MATCH(T$1,'CA Standards and Followers'!$1:$1,0)),IF(AND(INDEX('CA Standards and Followers'!$D$14:$D$73,MATCH($A18,'CA Standards and Followers'!$A$14:$A$73,0))=1,INDEX('CA Standards and Followers'!$G$14:$G$73,MATCH($A18,'CA Standards and Followers'!$A$14:$A$73,0))&lt;=T$1),INDEX('CA Standards and Followers'!$2:$2,MATCH(T$1,'CA Standards and Followers'!$1:$1,0)),0))</f>
        <v>0</v>
      </c>
      <c r="U18">
        <f>IF(AND(INDEX('CA Standards and Followers'!$E$14:$E$73,MATCH($A18,'CA Standards and Followers'!$A$14:$A$73,0))=1,INDEX('CA Standards and Followers'!$H$14:$H$73,MATCH($A18,'CA Standards and Followers'!$A$14:$A$73,0))&lt;=U$1),INDEX('CA Standards and Followers'!$3:$3,MATCH(U$1,'CA Standards and Followers'!$1:$1,0)),IF(AND(INDEX('CA Standards and Followers'!$D$14:$D$73,MATCH($A18,'CA Standards and Followers'!$A$14:$A$73,0))=1,INDEX('CA Standards and Followers'!$G$14:$G$73,MATCH($A18,'CA Standards and Followers'!$A$14:$A$73,0))&lt;=U$1),INDEX('CA Standards and Followers'!$2:$2,MATCH(U$1,'CA Standards and Followers'!$1:$1,0)),0))</f>
        <v>0</v>
      </c>
      <c r="V18">
        <f>IF(AND(INDEX('CA Standards and Followers'!$E$14:$E$73,MATCH($A18,'CA Standards and Followers'!$A$14:$A$73,0))=1,INDEX('CA Standards and Followers'!$H$14:$H$73,MATCH($A18,'CA Standards and Followers'!$A$14:$A$73,0))&lt;=V$1),INDEX('CA Standards and Followers'!$3:$3,MATCH(V$1,'CA Standards and Followers'!$1:$1,0)),IF(AND(INDEX('CA Standards and Followers'!$D$14:$D$73,MATCH($A18,'CA Standards and Followers'!$A$14:$A$73,0))=1,INDEX('CA Standards and Followers'!$G$14:$G$73,MATCH($A18,'CA Standards and Followers'!$A$14:$A$73,0))&lt;=V$1),INDEX('CA Standards and Followers'!$2:$2,MATCH(V$1,'CA Standards and Followers'!$1:$1,0)),0))</f>
        <v>0</v>
      </c>
      <c r="W18">
        <f>IF(AND(INDEX('CA Standards and Followers'!$E$14:$E$73,MATCH($A18,'CA Standards and Followers'!$A$14:$A$73,0))=1,INDEX('CA Standards and Followers'!$H$14:$H$73,MATCH($A18,'CA Standards and Followers'!$A$14:$A$73,0))&lt;=W$1),INDEX('CA Standards and Followers'!$3:$3,MATCH(W$1,'CA Standards and Followers'!$1:$1,0)),IF(AND(INDEX('CA Standards and Followers'!$D$14:$D$73,MATCH($A18,'CA Standards and Followers'!$A$14:$A$73,0))=1,INDEX('CA Standards and Followers'!$G$14:$G$73,MATCH($A18,'CA Standards and Followers'!$A$14:$A$73,0))&lt;=W$1),INDEX('CA Standards and Followers'!$2:$2,MATCH(W$1,'CA Standards and Followers'!$1:$1,0)),0))</f>
        <v>0</v>
      </c>
      <c r="X18">
        <f>IF(AND(INDEX('CA Standards and Followers'!$E$14:$E$73,MATCH($A18,'CA Standards and Followers'!$A$14:$A$73,0))=1,INDEX('CA Standards and Followers'!$H$14:$H$73,MATCH($A18,'CA Standards and Followers'!$A$14:$A$73,0))&lt;=X$1),INDEX('CA Standards and Followers'!$3:$3,MATCH(X$1,'CA Standards and Followers'!$1:$1,0)),IF(AND(INDEX('CA Standards and Followers'!$D$14:$D$73,MATCH($A18,'CA Standards and Followers'!$A$14:$A$73,0))=1,INDEX('CA Standards and Followers'!$G$14:$G$73,MATCH($A18,'CA Standards and Followers'!$A$14:$A$73,0))&lt;=X$1),INDEX('CA Standards and Followers'!$2:$2,MATCH(X$1,'CA Standards and Followers'!$1:$1,0)),0))</f>
        <v>0</v>
      </c>
      <c r="Y18">
        <f>IF(AND(INDEX('CA Standards and Followers'!$E$14:$E$73,MATCH($A18,'CA Standards and Followers'!$A$14:$A$73,0))=1,INDEX('CA Standards and Followers'!$H$14:$H$73,MATCH($A18,'CA Standards and Followers'!$A$14:$A$73,0))&lt;=Y$1),INDEX('CA Standards and Followers'!$3:$3,MATCH(Y$1,'CA Standards and Followers'!$1:$1,0)),IF(AND(INDEX('CA Standards and Followers'!$D$14:$D$73,MATCH($A18,'CA Standards and Followers'!$A$14:$A$73,0))=1,INDEX('CA Standards and Followers'!$G$14:$G$73,MATCH($A18,'CA Standards and Followers'!$A$14:$A$73,0))&lt;=Y$1),INDEX('CA Standards and Followers'!$2:$2,MATCH(Y$1,'CA Standards and Followers'!$1:$1,0)),0))</f>
        <v>0</v>
      </c>
      <c r="Z18">
        <f>IF(AND(INDEX('CA Standards and Followers'!$E$14:$E$73,MATCH($A18,'CA Standards and Followers'!$A$14:$A$73,0))=1,INDEX('CA Standards and Followers'!$H$14:$H$73,MATCH($A18,'CA Standards and Followers'!$A$14:$A$73,0))&lt;=Z$1),INDEX('CA Standards and Followers'!$3:$3,MATCH(Z$1,'CA Standards and Followers'!$1:$1,0)),IF(AND(INDEX('CA Standards and Followers'!$D$14:$D$73,MATCH($A18,'CA Standards and Followers'!$A$14:$A$73,0))=1,INDEX('CA Standards and Followers'!$G$14:$G$73,MATCH($A18,'CA Standards and Followers'!$A$14:$A$73,0))&lt;=Z$1),INDEX('CA Standards and Followers'!$2:$2,MATCH(Z$1,'CA Standards and Followers'!$1:$1,0)),0))</f>
        <v>0</v>
      </c>
      <c r="AA18">
        <f>IF(AND(INDEX('CA Standards and Followers'!$E$14:$E$73,MATCH($A18,'CA Standards and Followers'!$A$14:$A$73,0))=1,INDEX('CA Standards and Followers'!$H$14:$H$73,MATCH($A18,'CA Standards and Followers'!$A$14:$A$73,0))&lt;=AA$1),INDEX('CA Standards and Followers'!$3:$3,MATCH(AA$1,'CA Standards and Followers'!$1:$1,0)),IF(AND(INDEX('CA Standards and Followers'!$D$14:$D$73,MATCH($A18,'CA Standards and Followers'!$A$14:$A$73,0))=1,INDEX('CA Standards and Followers'!$G$14:$G$73,MATCH($A18,'CA Standards and Followers'!$A$14:$A$73,0))&lt;=AA$1),INDEX('CA Standards and Followers'!$2:$2,MATCH(AA$1,'CA Standards and Followers'!$1:$1,0)),0))</f>
        <v>0</v>
      </c>
      <c r="AB18">
        <f>IF(AND(INDEX('CA Standards and Followers'!$E$14:$E$73,MATCH($A18,'CA Standards and Followers'!$A$14:$A$73,0))=1,INDEX('CA Standards and Followers'!$H$14:$H$73,MATCH($A18,'CA Standards and Followers'!$A$14:$A$73,0))&lt;=AB$1),INDEX('CA Standards and Followers'!$3:$3,MATCH(AB$1,'CA Standards and Followers'!$1:$1,0)),IF(AND(INDEX('CA Standards and Followers'!$D$14:$D$73,MATCH($A18,'CA Standards and Followers'!$A$14:$A$73,0))=1,INDEX('CA Standards and Followers'!$G$14:$G$73,MATCH($A18,'CA Standards and Followers'!$A$14:$A$73,0))&lt;=AB$1),INDEX('CA Standards and Followers'!$2:$2,MATCH(AB$1,'CA Standards and Followers'!$1:$1,0)),0))</f>
        <v>0</v>
      </c>
      <c r="AC18">
        <f>IF(AND(INDEX('CA Standards and Followers'!$E$14:$E$73,MATCH($A18,'CA Standards and Followers'!$A$14:$A$73,0))=1,INDEX('CA Standards and Followers'!$H$14:$H$73,MATCH($A18,'CA Standards and Followers'!$A$14:$A$73,0))&lt;=AC$1),INDEX('CA Standards and Followers'!$3:$3,MATCH(AC$1,'CA Standards and Followers'!$1:$1,0)),IF(AND(INDEX('CA Standards and Followers'!$D$14:$D$73,MATCH($A18,'CA Standards and Followers'!$A$14:$A$73,0))=1,INDEX('CA Standards and Followers'!$G$14:$G$73,MATCH($A18,'CA Standards and Followers'!$A$14:$A$73,0))&lt;=AC$1),INDEX('CA Standards and Followers'!$2:$2,MATCH(AC$1,'CA Standards and Followers'!$1:$1,0)),0))</f>
        <v>0</v>
      </c>
      <c r="AD18">
        <f>IF(AND(INDEX('CA Standards and Followers'!$E$14:$E$73,MATCH($A18,'CA Standards and Followers'!$A$14:$A$73,0))=1,INDEX('CA Standards and Followers'!$H$14:$H$73,MATCH($A18,'CA Standards and Followers'!$A$14:$A$73,0))&lt;=AD$1),INDEX('CA Standards and Followers'!$3:$3,MATCH(AD$1,'CA Standards and Followers'!$1:$1,0)),IF(AND(INDEX('CA Standards and Followers'!$D$14:$D$73,MATCH($A18,'CA Standards and Followers'!$A$14:$A$73,0))=1,INDEX('CA Standards and Followers'!$G$14:$G$73,MATCH($A18,'CA Standards and Followers'!$A$14:$A$73,0))&lt;=AD$1),INDEX('CA Standards and Followers'!$2:$2,MATCH(AD$1,'CA Standards and Followers'!$1:$1,0)),0))</f>
        <v>0</v>
      </c>
      <c r="AE18">
        <f>IF(AND(INDEX('CA Standards and Followers'!$E$14:$E$73,MATCH($A18,'CA Standards and Followers'!$A$14:$A$73,0))=1,INDEX('CA Standards and Followers'!$H$14:$H$73,MATCH($A18,'CA Standards and Followers'!$A$14:$A$73,0))&lt;=AE$1),INDEX('CA Standards and Followers'!$3:$3,MATCH(AE$1,'CA Standards and Followers'!$1:$1,0)),IF(AND(INDEX('CA Standards and Followers'!$D$14:$D$73,MATCH($A18,'CA Standards and Followers'!$A$14:$A$73,0))=1,INDEX('CA Standards and Followers'!$G$14:$G$73,MATCH($A18,'CA Standards and Followers'!$A$14:$A$73,0))&lt;=AE$1),INDEX('CA Standards and Followers'!$2:$2,MATCH(AE$1,'CA Standards and Followers'!$1:$1,0)),0))</f>
        <v>0</v>
      </c>
      <c r="AF18">
        <f>IF(AND(INDEX('CA Standards and Followers'!$E$14:$E$73,MATCH($A18,'CA Standards and Followers'!$A$14:$A$73,0))=1,INDEX('CA Standards and Followers'!$H$14:$H$73,MATCH($A18,'CA Standards and Followers'!$A$14:$A$73,0))&lt;=AF$1),INDEX('CA Standards and Followers'!$3:$3,MATCH(AF$1,'CA Standards and Followers'!$1:$1,0)),IF(AND(INDEX('CA Standards and Followers'!$D$14:$D$73,MATCH($A18,'CA Standards and Followers'!$A$14:$A$73,0))=1,INDEX('CA Standards and Followers'!$G$14:$G$73,MATCH($A18,'CA Standards and Followers'!$A$14:$A$73,0))&lt;=AF$1),INDEX('CA Standards and Followers'!$2:$2,MATCH(AF$1,'CA Standards and Followers'!$1:$1,0)),0))</f>
        <v>0</v>
      </c>
    </row>
    <row r="19" spans="1:32" x14ac:dyDescent="0.25">
      <c r="A19" t="s">
        <v>19</v>
      </c>
      <c r="B19">
        <f>IF(AND(INDEX('CA Standards and Followers'!$E$14:$E$73,MATCH($A19,'CA Standards and Followers'!$A$14:$A$73,0))=1,INDEX('CA Standards and Followers'!$H$14:$H$73,MATCH($A19,'CA Standards and Followers'!$A$14:$A$73,0))&lt;=B$1),INDEX('CA Standards and Followers'!$3:$3,MATCH(B$1,'CA Standards and Followers'!$1:$1,0)),IF(AND(INDEX('CA Standards and Followers'!$D$14:$D$73,MATCH($A19,'CA Standards and Followers'!$A$14:$A$73,0))=1,INDEX('CA Standards and Followers'!$G$14:$G$73,MATCH($A19,'CA Standards and Followers'!$A$14:$A$73,0))&lt;=B$1),INDEX('CA Standards and Followers'!$2:$2,MATCH(B$1,'CA Standards and Followers'!$1:$1,0)),0))</f>
        <v>0</v>
      </c>
      <c r="C19">
        <f>IF(AND(INDEX('CA Standards and Followers'!$E$14:$E$73,MATCH($A19,'CA Standards and Followers'!$A$14:$A$73,0))=1,INDEX('CA Standards and Followers'!$H$14:$H$73,MATCH($A19,'CA Standards and Followers'!$A$14:$A$73,0))&lt;=C$1),INDEX('CA Standards and Followers'!$3:$3,MATCH(C$1,'CA Standards and Followers'!$1:$1,0)),IF(AND(INDEX('CA Standards and Followers'!$D$14:$D$73,MATCH($A19,'CA Standards and Followers'!$A$14:$A$73,0))=1,INDEX('CA Standards and Followers'!$G$14:$G$73,MATCH($A19,'CA Standards and Followers'!$A$14:$A$73,0))&lt;=C$1),INDEX('CA Standards and Followers'!$2:$2,MATCH(C$1,'CA Standards and Followers'!$1:$1,0)),0))</f>
        <v>0</v>
      </c>
      <c r="D19">
        <f>IF(AND(INDEX('CA Standards and Followers'!$E$14:$E$73,MATCH($A19,'CA Standards and Followers'!$A$14:$A$73,0))=1,INDEX('CA Standards and Followers'!$H$14:$H$73,MATCH($A19,'CA Standards and Followers'!$A$14:$A$73,0))&lt;=D$1),INDEX('CA Standards and Followers'!$3:$3,MATCH(D$1,'CA Standards and Followers'!$1:$1,0)),IF(AND(INDEX('CA Standards and Followers'!$D$14:$D$73,MATCH($A19,'CA Standards and Followers'!$A$14:$A$73,0))=1,INDEX('CA Standards and Followers'!$G$14:$G$73,MATCH($A19,'CA Standards and Followers'!$A$14:$A$73,0))&lt;=D$1),INDEX('CA Standards and Followers'!$2:$2,MATCH(D$1,'CA Standards and Followers'!$1:$1,0)),0))</f>
        <v>0</v>
      </c>
      <c r="E19">
        <f>IF(AND(INDEX('CA Standards and Followers'!$E$14:$E$73,MATCH($A19,'CA Standards and Followers'!$A$14:$A$73,0))=1,INDEX('CA Standards and Followers'!$H$14:$H$73,MATCH($A19,'CA Standards and Followers'!$A$14:$A$73,0))&lt;=E$1),INDEX('CA Standards and Followers'!$3:$3,MATCH(E$1,'CA Standards and Followers'!$1:$1,0)),IF(AND(INDEX('CA Standards and Followers'!$D$14:$D$73,MATCH($A19,'CA Standards and Followers'!$A$14:$A$73,0))=1,INDEX('CA Standards and Followers'!$G$14:$G$73,MATCH($A19,'CA Standards and Followers'!$A$14:$A$73,0))&lt;=E$1),INDEX('CA Standards and Followers'!$2:$2,MATCH(E$1,'CA Standards and Followers'!$1:$1,0)),0))</f>
        <v>0</v>
      </c>
      <c r="F19">
        <f>IF(AND(INDEX('CA Standards and Followers'!$E$14:$E$73,MATCH($A19,'CA Standards and Followers'!$A$14:$A$73,0))=1,INDEX('CA Standards and Followers'!$H$14:$H$73,MATCH($A19,'CA Standards and Followers'!$A$14:$A$73,0))&lt;=F$1),INDEX('CA Standards and Followers'!$3:$3,MATCH(F$1,'CA Standards and Followers'!$1:$1,0)),IF(AND(INDEX('CA Standards and Followers'!$D$14:$D$73,MATCH($A19,'CA Standards and Followers'!$A$14:$A$73,0))=1,INDEX('CA Standards and Followers'!$G$14:$G$73,MATCH($A19,'CA Standards and Followers'!$A$14:$A$73,0))&lt;=F$1),INDEX('CA Standards and Followers'!$2:$2,MATCH(F$1,'CA Standards and Followers'!$1:$1,0)),0))</f>
        <v>0</v>
      </c>
      <c r="G19">
        <f>IF(AND(INDEX('CA Standards and Followers'!$E$14:$E$73,MATCH($A19,'CA Standards and Followers'!$A$14:$A$73,0))=1,INDEX('CA Standards and Followers'!$H$14:$H$73,MATCH($A19,'CA Standards and Followers'!$A$14:$A$73,0))&lt;=G$1),INDEX('CA Standards and Followers'!$3:$3,MATCH(G$1,'CA Standards and Followers'!$1:$1,0)),IF(AND(INDEX('CA Standards and Followers'!$D$14:$D$73,MATCH($A19,'CA Standards and Followers'!$A$14:$A$73,0))=1,INDEX('CA Standards and Followers'!$G$14:$G$73,MATCH($A19,'CA Standards and Followers'!$A$14:$A$73,0))&lt;=G$1),INDEX('CA Standards and Followers'!$2:$2,MATCH(G$1,'CA Standards and Followers'!$1:$1,0)),0))</f>
        <v>0</v>
      </c>
      <c r="H19">
        <f>IF(AND(INDEX('CA Standards and Followers'!$E$14:$E$73,MATCH($A19,'CA Standards and Followers'!$A$14:$A$73,0))=1,INDEX('CA Standards and Followers'!$H$14:$H$73,MATCH($A19,'CA Standards and Followers'!$A$14:$A$73,0))&lt;=H$1),INDEX('CA Standards and Followers'!$3:$3,MATCH(H$1,'CA Standards and Followers'!$1:$1,0)),IF(AND(INDEX('CA Standards and Followers'!$D$14:$D$73,MATCH($A19,'CA Standards and Followers'!$A$14:$A$73,0))=1,INDEX('CA Standards and Followers'!$G$14:$G$73,MATCH($A19,'CA Standards and Followers'!$A$14:$A$73,0))&lt;=H$1),INDEX('CA Standards and Followers'!$2:$2,MATCH(H$1,'CA Standards and Followers'!$1:$1,0)),0))</f>
        <v>0</v>
      </c>
      <c r="I19">
        <f>IF(AND(INDEX('CA Standards and Followers'!$E$14:$E$73,MATCH($A19,'CA Standards and Followers'!$A$14:$A$73,0))=1,INDEX('CA Standards and Followers'!$H$14:$H$73,MATCH($A19,'CA Standards and Followers'!$A$14:$A$73,0))&lt;=I$1),INDEX('CA Standards and Followers'!$3:$3,MATCH(I$1,'CA Standards and Followers'!$1:$1,0)),IF(AND(INDEX('CA Standards and Followers'!$D$14:$D$73,MATCH($A19,'CA Standards and Followers'!$A$14:$A$73,0))=1,INDEX('CA Standards and Followers'!$G$14:$G$73,MATCH($A19,'CA Standards and Followers'!$A$14:$A$73,0))&lt;=I$1),INDEX('CA Standards and Followers'!$2:$2,MATCH(I$1,'CA Standards and Followers'!$1:$1,0)),0))</f>
        <v>0</v>
      </c>
      <c r="J19">
        <f>IF(AND(INDEX('CA Standards and Followers'!$E$14:$E$73,MATCH($A19,'CA Standards and Followers'!$A$14:$A$73,0))=1,INDEX('CA Standards and Followers'!$H$14:$H$73,MATCH($A19,'CA Standards and Followers'!$A$14:$A$73,0))&lt;=J$1),INDEX('CA Standards and Followers'!$3:$3,MATCH(J$1,'CA Standards and Followers'!$1:$1,0)),IF(AND(INDEX('CA Standards and Followers'!$D$14:$D$73,MATCH($A19,'CA Standards and Followers'!$A$14:$A$73,0))=1,INDEX('CA Standards and Followers'!$G$14:$G$73,MATCH($A19,'CA Standards and Followers'!$A$14:$A$73,0))&lt;=J$1),INDEX('CA Standards and Followers'!$2:$2,MATCH(J$1,'CA Standards and Followers'!$1:$1,0)),0))</f>
        <v>0</v>
      </c>
      <c r="K19">
        <f>IF(AND(INDEX('CA Standards and Followers'!$E$14:$E$73,MATCH($A19,'CA Standards and Followers'!$A$14:$A$73,0))=1,INDEX('CA Standards and Followers'!$H$14:$H$73,MATCH($A19,'CA Standards and Followers'!$A$14:$A$73,0))&lt;=K$1),INDEX('CA Standards and Followers'!$3:$3,MATCH(K$1,'CA Standards and Followers'!$1:$1,0)),IF(AND(INDEX('CA Standards and Followers'!$D$14:$D$73,MATCH($A19,'CA Standards and Followers'!$A$14:$A$73,0))=1,INDEX('CA Standards and Followers'!$G$14:$G$73,MATCH($A19,'CA Standards and Followers'!$A$14:$A$73,0))&lt;=K$1),INDEX('CA Standards and Followers'!$2:$2,MATCH(K$1,'CA Standards and Followers'!$1:$1,0)),0))</f>
        <v>0</v>
      </c>
      <c r="L19">
        <f>IF(AND(INDEX('CA Standards and Followers'!$E$14:$E$73,MATCH($A19,'CA Standards and Followers'!$A$14:$A$73,0))=1,INDEX('CA Standards and Followers'!$H$14:$H$73,MATCH($A19,'CA Standards and Followers'!$A$14:$A$73,0))&lt;=L$1),INDEX('CA Standards and Followers'!$3:$3,MATCH(L$1,'CA Standards and Followers'!$1:$1,0)),IF(AND(INDEX('CA Standards and Followers'!$D$14:$D$73,MATCH($A19,'CA Standards and Followers'!$A$14:$A$73,0))=1,INDEX('CA Standards and Followers'!$G$14:$G$73,MATCH($A19,'CA Standards and Followers'!$A$14:$A$73,0))&lt;=L$1),INDEX('CA Standards and Followers'!$2:$2,MATCH(L$1,'CA Standards and Followers'!$1:$1,0)),0))</f>
        <v>0</v>
      </c>
      <c r="M19">
        <f>IF(AND(INDEX('CA Standards and Followers'!$E$14:$E$73,MATCH($A19,'CA Standards and Followers'!$A$14:$A$73,0))=1,INDEX('CA Standards and Followers'!$H$14:$H$73,MATCH($A19,'CA Standards and Followers'!$A$14:$A$73,0))&lt;=M$1),INDEX('CA Standards and Followers'!$3:$3,MATCH(M$1,'CA Standards and Followers'!$1:$1,0)),IF(AND(INDEX('CA Standards and Followers'!$D$14:$D$73,MATCH($A19,'CA Standards and Followers'!$A$14:$A$73,0))=1,INDEX('CA Standards and Followers'!$G$14:$G$73,MATCH($A19,'CA Standards and Followers'!$A$14:$A$73,0))&lt;=M$1),INDEX('CA Standards and Followers'!$2:$2,MATCH(M$1,'CA Standards and Followers'!$1:$1,0)),0))</f>
        <v>0</v>
      </c>
      <c r="N19">
        <f>IF(AND(INDEX('CA Standards and Followers'!$E$14:$E$73,MATCH($A19,'CA Standards and Followers'!$A$14:$A$73,0))=1,INDEX('CA Standards and Followers'!$H$14:$H$73,MATCH($A19,'CA Standards and Followers'!$A$14:$A$73,0))&lt;=N$1),INDEX('CA Standards and Followers'!$3:$3,MATCH(N$1,'CA Standards and Followers'!$1:$1,0)),IF(AND(INDEX('CA Standards and Followers'!$D$14:$D$73,MATCH($A19,'CA Standards and Followers'!$A$14:$A$73,0))=1,INDEX('CA Standards and Followers'!$G$14:$G$73,MATCH($A19,'CA Standards and Followers'!$A$14:$A$73,0))&lt;=N$1),INDEX('CA Standards and Followers'!$2:$2,MATCH(N$1,'CA Standards and Followers'!$1:$1,0)),0))</f>
        <v>0</v>
      </c>
      <c r="O19">
        <f>IF(AND(INDEX('CA Standards and Followers'!$E$14:$E$73,MATCH($A19,'CA Standards and Followers'!$A$14:$A$73,0))=1,INDEX('CA Standards and Followers'!$H$14:$H$73,MATCH($A19,'CA Standards and Followers'!$A$14:$A$73,0))&lt;=O$1),INDEX('CA Standards and Followers'!$3:$3,MATCH(O$1,'CA Standards and Followers'!$1:$1,0)),IF(AND(INDEX('CA Standards and Followers'!$D$14:$D$73,MATCH($A19,'CA Standards and Followers'!$A$14:$A$73,0))=1,INDEX('CA Standards and Followers'!$G$14:$G$73,MATCH($A19,'CA Standards and Followers'!$A$14:$A$73,0))&lt;=O$1),INDEX('CA Standards and Followers'!$2:$2,MATCH(O$1,'CA Standards and Followers'!$1:$1,0)),0))</f>
        <v>0</v>
      </c>
      <c r="P19">
        <f>IF(AND(INDEX('CA Standards and Followers'!$E$14:$E$73,MATCH($A19,'CA Standards and Followers'!$A$14:$A$73,0))=1,INDEX('CA Standards and Followers'!$H$14:$H$73,MATCH($A19,'CA Standards and Followers'!$A$14:$A$73,0))&lt;=P$1),INDEX('CA Standards and Followers'!$3:$3,MATCH(P$1,'CA Standards and Followers'!$1:$1,0)),IF(AND(INDEX('CA Standards and Followers'!$D$14:$D$73,MATCH($A19,'CA Standards and Followers'!$A$14:$A$73,0))=1,INDEX('CA Standards and Followers'!$G$14:$G$73,MATCH($A19,'CA Standards and Followers'!$A$14:$A$73,0))&lt;=P$1),INDEX('CA Standards and Followers'!$2:$2,MATCH(P$1,'CA Standards and Followers'!$1:$1,0)),0))</f>
        <v>0</v>
      </c>
      <c r="Q19">
        <f>IF(AND(INDEX('CA Standards and Followers'!$E$14:$E$73,MATCH($A19,'CA Standards and Followers'!$A$14:$A$73,0))=1,INDEX('CA Standards and Followers'!$H$14:$H$73,MATCH($A19,'CA Standards and Followers'!$A$14:$A$73,0))&lt;=Q$1),INDEX('CA Standards and Followers'!$3:$3,MATCH(Q$1,'CA Standards and Followers'!$1:$1,0)),IF(AND(INDEX('CA Standards and Followers'!$D$14:$D$73,MATCH($A19,'CA Standards and Followers'!$A$14:$A$73,0))=1,INDEX('CA Standards and Followers'!$G$14:$G$73,MATCH($A19,'CA Standards and Followers'!$A$14:$A$73,0))&lt;=Q$1),INDEX('CA Standards and Followers'!$2:$2,MATCH(Q$1,'CA Standards and Followers'!$1:$1,0)),0))</f>
        <v>0</v>
      </c>
      <c r="R19">
        <f>IF(AND(INDEX('CA Standards and Followers'!$E$14:$E$73,MATCH($A19,'CA Standards and Followers'!$A$14:$A$73,0))=1,INDEX('CA Standards and Followers'!$H$14:$H$73,MATCH($A19,'CA Standards and Followers'!$A$14:$A$73,0))&lt;=R$1),INDEX('CA Standards and Followers'!$3:$3,MATCH(R$1,'CA Standards and Followers'!$1:$1,0)),IF(AND(INDEX('CA Standards and Followers'!$D$14:$D$73,MATCH($A19,'CA Standards and Followers'!$A$14:$A$73,0))=1,INDEX('CA Standards and Followers'!$G$14:$G$73,MATCH($A19,'CA Standards and Followers'!$A$14:$A$73,0))&lt;=R$1),INDEX('CA Standards and Followers'!$2:$2,MATCH(R$1,'CA Standards and Followers'!$1:$1,0)),0))</f>
        <v>0</v>
      </c>
      <c r="S19">
        <f>IF(AND(INDEX('CA Standards and Followers'!$E$14:$E$73,MATCH($A19,'CA Standards and Followers'!$A$14:$A$73,0))=1,INDEX('CA Standards and Followers'!$H$14:$H$73,MATCH($A19,'CA Standards and Followers'!$A$14:$A$73,0))&lt;=S$1),INDEX('CA Standards and Followers'!$3:$3,MATCH(S$1,'CA Standards and Followers'!$1:$1,0)),IF(AND(INDEX('CA Standards and Followers'!$D$14:$D$73,MATCH($A19,'CA Standards and Followers'!$A$14:$A$73,0))=1,INDEX('CA Standards and Followers'!$G$14:$G$73,MATCH($A19,'CA Standards and Followers'!$A$14:$A$73,0))&lt;=S$1),INDEX('CA Standards and Followers'!$2:$2,MATCH(S$1,'CA Standards and Followers'!$1:$1,0)),0))</f>
        <v>0</v>
      </c>
      <c r="T19">
        <f>IF(AND(INDEX('CA Standards and Followers'!$E$14:$E$73,MATCH($A19,'CA Standards and Followers'!$A$14:$A$73,0))=1,INDEX('CA Standards and Followers'!$H$14:$H$73,MATCH($A19,'CA Standards and Followers'!$A$14:$A$73,0))&lt;=T$1),INDEX('CA Standards and Followers'!$3:$3,MATCH(T$1,'CA Standards and Followers'!$1:$1,0)),IF(AND(INDEX('CA Standards and Followers'!$D$14:$D$73,MATCH($A19,'CA Standards and Followers'!$A$14:$A$73,0))=1,INDEX('CA Standards and Followers'!$G$14:$G$73,MATCH($A19,'CA Standards and Followers'!$A$14:$A$73,0))&lt;=T$1),INDEX('CA Standards and Followers'!$2:$2,MATCH(T$1,'CA Standards and Followers'!$1:$1,0)),0))</f>
        <v>0</v>
      </c>
      <c r="U19">
        <f>IF(AND(INDEX('CA Standards and Followers'!$E$14:$E$73,MATCH($A19,'CA Standards and Followers'!$A$14:$A$73,0))=1,INDEX('CA Standards and Followers'!$H$14:$H$73,MATCH($A19,'CA Standards and Followers'!$A$14:$A$73,0))&lt;=U$1),INDEX('CA Standards and Followers'!$3:$3,MATCH(U$1,'CA Standards and Followers'!$1:$1,0)),IF(AND(INDEX('CA Standards and Followers'!$D$14:$D$73,MATCH($A19,'CA Standards and Followers'!$A$14:$A$73,0))=1,INDEX('CA Standards and Followers'!$G$14:$G$73,MATCH($A19,'CA Standards and Followers'!$A$14:$A$73,0))&lt;=U$1),INDEX('CA Standards and Followers'!$2:$2,MATCH(U$1,'CA Standards and Followers'!$1:$1,0)),0))</f>
        <v>0</v>
      </c>
      <c r="V19">
        <f>IF(AND(INDEX('CA Standards and Followers'!$E$14:$E$73,MATCH($A19,'CA Standards and Followers'!$A$14:$A$73,0))=1,INDEX('CA Standards and Followers'!$H$14:$H$73,MATCH($A19,'CA Standards and Followers'!$A$14:$A$73,0))&lt;=V$1),INDEX('CA Standards and Followers'!$3:$3,MATCH(V$1,'CA Standards and Followers'!$1:$1,0)),IF(AND(INDEX('CA Standards and Followers'!$D$14:$D$73,MATCH($A19,'CA Standards and Followers'!$A$14:$A$73,0))=1,INDEX('CA Standards and Followers'!$G$14:$G$73,MATCH($A19,'CA Standards and Followers'!$A$14:$A$73,0))&lt;=V$1),INDEX('CA Standards and Followers'!$2:$2,MATCH(V$1,'CA Standards and Followers'!$1:$1,0)),0))</f>
        <v>0</v>
      </c>
      <c r="W19">
        <f>IF(AND(INDEX('CA Standards and Followers'!$E$14:$E$73,MATCH($A19,'CA Standards and Followers'!$A$14:$A$73,0))=1,INDEX('CA Standards and Followers'!$H$14:$H$73,MATCH($A19,'CA Standards and Followers'!$A$14:$A$73,0))&lt;=W$1),INDEX('CA Standards and Followers'!$3:$3,MATCH(W$1,'CA Standards and Followers'!$1:$1,0)),IF(AND(INDEX('CA Standards and Followers'!$D$14:$D$73,MATCH($A19,'CA Standards and Followers'!$A$14:$A$73,0))=1,INDEX('CA Standards and Followers'!$G$14:$G$73,MATCH($A19,'CA Standards and Followers'!$A$14:$A$73,0))&lt;=W$1),INDEX('CA Standards and Followers'!$2:$2,MATCH(W$1,'CA Standards and Followers'!$1:$1,0)),0))</f>
        <v>0</v>
      </c>
      <c r="X19">
        <f>IF(AND(INDEX('CA Standards and Followers'!$E$14:$E$73,MATCH($A19,'CA Standards and Followers'!$A$14:$A$73,0))=1,INDEX('CA Standards and Followers'!$H$14:$H$73,MATCH($A19,'CA Standards and Followers'!$A$14:$A$73,0))&lt;=X$1),INDEX('CA Standards and Followers'!$3:$3,MATCH(X$1,'CA Standards and Followers'!$1:$1,0)),IF(AND(INDEX('CA Standards and Followers'!$D$14:$D$73,MATCH($A19,'CA Standards and Followers'!$A$14:$A$73,0))=1,INDEX('CA Standards and Followers'!$G$14:$G$73,MATCH($A19,'CA Standards and Followers'!$A$14:$A$73,0))&lt;=X$1),INDEX('CA Standards and Followers'!$2:$2,MATCH(X$1,'CA Standards and Followers'!$1:$1,0)),0))</f>
        <v>0</v>
      </c>
      <c r="Y19">
        <f>IF(AND(INDEX('CA Standards and Followers'!$E$14:$E$73,MATCH($A19,'CA Standards and Followers'!$A$14:$A$73,0))=1,INDEX('CA Standards and Followers'!$H$14:$H$73,MATCH($A19,'CA Standards and Followers'!$A$14:$A$73,0))&lt;=Y$1),INDEX('CA Standards and Followers'!$3:$3,MATCH(Y$1,'CA Standards and Followers'!$1:$1,0)),IF(AND(INDEX('CA Standards and Followers'!$D$14:$D$73,MATCH($A19,'CA Standards and Followers'!$A$14:$A$73,0))=1,INDEX('CA Standards and Followers'!$G$14:$G$73,MATCH($A19,'CA Standards and Followers'!$A$14:$A$73,0))&lt;=Y$1),INDEX('CA Standards and Followers'!$2:$2,MATCH(Y$1,'CA Standards and Followers'!$1:$1,0)),0))</f>
        <v>0</v>
      </c>
      <c r="Z19">
        <f>IF(AND(INDEX('CA Standards and Followers'!$E$14:$E$73,MATCH($A19,'CA Standards and Followers'!$A$14:$A$73,0))=1,INDEX('CA Standards and Followers'!$H$14:$H$73,MATCH($A19,'CA Standards and Followers'!$A$14:$A$73,0))&lt;=Z$1),INDEX('CA Standards and Followers'!$3:$3,MATCH(Z$1,'CA Standards and Followers'!$1:$1,0)),IF(AND(INDEX('CA Standards and Followers'!$D$14:$D$73,MATCH($A19,'CA Standards and Followers'!$A$14:$A$73,0))=1,INDEX('CA Standards and Followers'!$G$14:$G$73,MATCH($A19,'CA Standards and Followers'!$A$14:$A$73,0))&lt;=Z$1),INDEX('CA Standards and Followers'!$2:$2,MATCH(Z$1,'CA Standards and Followers'!$1:$1,0)),0))</f>
        <v>0</v>
      </c>
      <c r="AA19">
        <f>IF(AND(INDEX('CA Standards and Followers'!$E$14:$E$73,MATCH($A19,'CA Standards and Followers'!$A$14:$A$73,0))=1,INDEX('CA Standards and Followers'!$H$14:$H$73,MATCH($A19,'CA Standards and Followers'!$A$14:$A$73,0))&lt;=AA$1),INDEX('CA Standards and Followers'!$3:$3,MATCH(AA$1,'CA Standards and Followers'!$1:$1,0)),IF(AND(INDEX('CA Standards and Followers'!$D$14:$D$73,MATCH($A19,'CA Standards and Followers'!$A$14:$A$73,0))=1,INDEX('CA Standards and Followers'!$G$14:$G$73,MATCH($A19,'CA Standards and Followers'!$A$14:$A$73,0))&lt;=AA$1),INDEX('CA Standards and Followers'!$2:$2,MATCH(AA$1,'CA Standards and Followers'!$1:$1,0)),0))</f>
        <v>0</v>
      </c>
      <c r="AB19">
        <f>IF(AND(INDEX('CA Standards and Followers'!$E$14:$E$73,MATCH($A19,'CA Standards and Followers'!$A$14:$A$73,0))=1,INDEX('CA Standards and Followers'!$H$14:$H$73,MATCH($A19,'CA Standards and Followers'!$A$14:$A$73,0))&lt;=AB$1),INDEX('CA Standards and Followers'!$3:$3,MATCH(AB$1,'CA Standards and Followers'!$1:$1,0)),IF(AND(INDEX('CA Standards and Followers'!$D$14:$D$73,MATCH($A19,'CA Standards and Followers'!$A$14:$A$73,0))=1,INDEX('CA Standards and Followers'!$G$14:$G$73,MATCH($A19,'CA Standards and Followers'!$A$14:$A$73,0))&lt;=AB$1),INDEX('CA Standards and Followers'!$2:$2,MATCH(AB$1,'CA Standards and Followers'!$1:$1,0)),0))</f>
        <v>0</v>
      </c>
      <c r="AC19">
        <f>IF(AND(INDEX('CA Standards and Followers'!$E$14:$E$73,MATCH($A19,'CA Standards and Followers'!$A$14:$A$73,0))=1,INDEX('CA Standards and Followers'!$H$14:$H$73,MATCH($A19,'CA Standards and Followers'!$A$14:$A$73,0))&lt;=AC$1),INDEX('CA Standards and Followers'!$3:$3,MATCH(AC$1,'CA Standards and Followers'!$1:$1,0)),IF(AND(INDEX('CA Standards and Followers'!$D$14:$D$73,MATCH($A19,'CA Standards and Followers'!$A$14:$A$73,0))=1,INDEX('CA Standards and Followers'!$G$14:$G$73,MATCH($A19,'CA Standards and Followers'!$A$14:$A$73,0))&lt;=AC$1),INDEX('CA Standards and Followers'!$2:$2,MATCH(AC$1,'CA Standards and Followers'!$1:$1,0)),0))</f>
        <v>0</v>
      </c>
      <c r="AD19">
        <f>IF(AND(INDEX('CA Standards and Followers'!$E$14:$E$73,MATCH($A19,'CA Standards and Followers'!$A$14:$A$73,0))=1,INDEX('CA Standards and Followers'!$H$14:$H$73,MATCH($A19,'CA Standards and Followers'!$A$14:$A$73,0))&lt;=AD$1),INDEX('CA Standards and Followers'!$3:$3,MATCH(AD$1,'CA Standards and Followers'!$1:$1,0)),IF(AND(INDEX('CA Standards and Followers'!$D$14:$D$73,MATCH($A19,'CA Standards and Followers'!$A$14:$A$73,0))=1,INDEX('CA Standards and Followers'!$G$14:$G$73,MATCH($A19,'CA Standards and Followers'!$A$14:$A$73,0))&lt;=AD$1),INDEX('CA Standards and Followers'!$2:$2,MATCH(AD$1,'CA Standards and Followers'!$1:$1,0)),0))</f>
        <v>0</v>
      </c>
      <c r="AE19">
        <f>IF(AND(INDEX('CA Standards and Followers'!$E$14:$E$73,MATCH($A19,'CA Standards and Followers'!$A$14:$A$73,0))=1,INDEX('CA Standards and Followers'!$H$14:$H$73,MATCH($A19,'CA Standards and Followers'!$A$14:$A$73,0))&lt;=AE$1),INDEX('CA Standards and Followers'!$3:$3,MATCH(AE$1,'CA Standards and Followers'!$1:$1,0)),IF(AND(INDEX('CA Standards and Followers'!$D$14:$D$73,MATCH($A19,'CA Standards and Followers'!$A$14:$A$73,0))=1,INDEX('CA Standards and Followers'!$G$14:$G$73,MATCH($A19,'CA Standards and Followers'!$A$14:$A$73,0))&lt;=AE$1),INDEX('CA Standards and Followers'!$2:$2,MATCH(AE$1,'CA Standards and Followers'!$1:$1,0)),0))</f>
        <v>0</v>
      </c>
      <c r="AF19">
        <f>IF(AND(INDEX('CA Standards and Followers'!$E$14:$E$73,MATCH($A19,'CA Standards and Followers'!$A$14:$A$73,0))=1,INDEX('CA Standards and Followers'!$H$14:$H$73,MATCH($A19,'CA Standards and Followers'!$A$14:$A$73,0))&lt;=AF$1),INDEX('CA Standards and Followers'!$3:$3,MATCH(AF$1,'CA Standards and Followers'!$1:$1,0)),IF(AND(INDEX('CA Standards and Followers'!$D$14:$D$73,MATCH($A19,'CA Standards and Followers'!$A$14:$A$73,0))=1,INDEX('CA Standards and Followers'!$G$14:$G$73,MATCH($A19,'CA Standards and Followers'!$A$14:$A$73,0))&lt;=AF$1),INDEX('CA Standards and Followers'!$2:$2,MATCH(AF$1,'CA Standards and Followers'!$1:$1,0)),0))</f>
        <v>0</v>
      </c>
    </row>
    <row r="20" spans="1:32" x14ac:dyDescent="0.25">
      <c r="A20" t="s">
        <v>20</v>
      </c>
      <c r="B20">
        <f>IF(AND(INDEX('CA Standards and Followers'!$E$14:$E$73,MATCH($A20,'CA Standards and Followers'!$A$14:$A$73,0))=1,INDEX('CA Standards and Followers'!$H$14:$H$73,MATCH($A20,'CA Standards and Followers'!$A$14:$A$73,0))&lt;=B$1),INDEX('CA Standards and Followers'!$3:$3,MATCH(B$1,'CA Standards and Followers'!$1:$1,0)),IF(AND(INDEX('CA Standards and Followers'!$D$14:$D$73,MATCH($A20,'CA Standards and Followers'!$A$14:$A$73,0))=1,INDEX('CA Standards and Followers'!$G$14:$G$73,MATCH($A20,'CA Standards and Followers'!$A$14:$A$73,0))&lt;=B$1),INDEX('CA Standards and Followers'!$2:$2,MATCH(B$1,'CA Standards and Followers'!$1:$1,0)),0))</f>
        <v>0</v>
      </c>
      <c r="C20">
        <f>IF(AND(INDEX('CA Standards and Followers'!$E$14:$E$73,MATCH($A20,'CA Standards and Followers'!$A$14:$A$73,0))=1,INDEX('CA Standards and Followers'!$H$14:$H$73,MATCH($A20,'CA Standards and Followers'!$A$14:$A$73,0))&lt;=C$1),INDEX('CA Standards and Followers'!$3:$3,MATCH(C$1,'CA Standards and Followers'!$1:$1,0)),IF(AND(INDEX('CA Standards and Followers'!$D$14:$D$73,MATCH($A20,'CA Standards and Followers'!$A$14:$A$73,0))=1,INDEX('CA Standards and Followers'!$G$14:$G$73,MATCH($A20,'CA Standards and Followers'!$A$14:$A$73,0))&lt;=C$1),INDEX('CA Standards and Followers'!$2:$2,MATCH(C$1,'CA Standards and Followers'!$1:$1,0)),0))</f>
        <v>0</v>
      </c>
      <c r="D20">
        <f>IF(AND(INDEX('CA Standards and Followers'!$E$14:$E$73,MATCH($A20,'CA Standards and Followers'!$A$14:$A$73,0))=1,INDEX('CA Standards and Followers'!$H$14:$H$73,MATCH($A20,'CA Standards and Followers'!$A$14:$A$73,0))&lt;=D$1),INDEX('CA Standards and Followers'!$3:$3,MATCH(D$1,'CA Standards and Followers'!$1:$1,0)),IF(AND(INDEX('CA Standards and Followers'!$D$14:$D$73,MATCH($A20,'CA Standards and Followers'!$A$14:$A$73,0))=1,INDEX('CA Standards and Followers'!$G$14:$G$73,MATCH($A20,'CA Standards and Followers'!$A$14:$A$73,0))&lt;=D$1),INDEX('CA Standards and Followers'!$2:$2,MATCH(D$1,'CA Standards and Followers'!$1:$1,0)),0))</f>
        <v>0</v>
      </c>
      <c r="E20">
        <f>IF(AND(INDEX('CA Standards and Followers'!$E$14:$E$73,MATCH($A20,'CA Standards and Followers'!$A$14:$A$73,0))=1,INDEX('CA Standards and Followers'!$H$14:$H$73,MATCH($A20,'CA Standards and Followers'!$A$14:$A$73,0))&lt;=E$1),INDEX('CA Standards and Followers'!$3:$3,MATCH(E$1,'CA Standards and Followers'!$1:$1,0)),IF(AND(INDEX('CA Standards and Followers'!$D$14:$D$73,MATCH($A20,'CA Standards and Followers'!$A$14:$A$73,0))=1,INDEX('CA Standards and Followers'!$G$14:$G$73,MATCH($A20,'CA Standards and Followers'!$A$14:$A$73,0))&lt;=E$1),INDEX('CA Standards and Followers'!$2:$2,MATCH(E$1,'CA Standards and Followers'!$1:$1,0)),0))</f>
        <v>0</v>
      </c>
      <c r="F20">
        <f>IF(AND(INDEX('CA Standards and Followers'!$E$14:$E$73,MATCH($A20,'CA Standards and Followers'!$A$14:$A$73,0))=1,INDEX('CA Standards and Followers'!$H$14:$H$73,MATCH($A20,'CA Standards and Followers'!$A$14:$A$73,0))&lt;=F$1),INDEX('CA Standards and Followers'!$3:$3,MATCH(F$1,'CA Standards and Followers'!$1:$1,0)),IF(AND(INDEX('CA Standards and Followers'!$D$14:$D$73,MATCH($A20,'CA Standards and Followers'!$A$14:$A$73,0))=1,INDEX('CA Standards and Followers'!$G$14:$G$73,MATCH($A20,'CA Standards and Followers'!$A$14:$A$73,0))&lt;=F$1),INDEX('CA Standards and Followers'!$2:$2,MATCH(F$1,'CA Standards and Followers'!$1:$1,0)),0))</f>
        <v>0</v>
      </c>
      <c r="G20">
        <f>IF(AND(INDEX('CA Standards and Followers'!$E$14:$E$73,MATCH($A20,'CA Standards and Followers'!$A$14:$A$73,0))=1,INDEX('CA Standards and Followers'!$H$14:$H$73,MATCH($A20,'CA Standards and Followers'!$A$14:$A$73,0))&lt;=G$1),INDEX('CA Standards and Followers'!$3:$3,MATCH(G$1,'CA Standards and Followers'!$1:$1,0)),IF(AND(INDEX('CA Standards and Followers'!$D$14:$D$73,MATCH($A20,'CA Standards and Followers'!$A$14:$A$73,0))=1,INDEX('CA Standards and Followers'!$G$14:$G$73,MATCH($A20,'CA Standards and Followers'!$A$14:$A$73,0))&lt;=G$1),INDEX('CA Standards and Followers'!$2:$2,MATCH(G$1,'CA Standards and Followers'!$1:$1,0)),0))</f>
        <v>0</v>
      </c>
      <c r="H20">
        <f>IF(AND(INDEX('CA Standards and Followers'!$E$14:$E$73,MATCH($A20,'CA Standards and Followers'!$A$14:$A$73,0))=1,INDEX('CA Standards and Followers'!$H$14:$H$73,MATCH($A20,'CA Standards and Followers'!$A$14:$A$73,0))&lt;=H$1),INDEX('CA Standards and Followers'!$3:$3,MATCH(H$1,'CA Standards and Followers'!$1:$1,0)),IF(AND(INDEX('CA Standards and Followers'!$D$14:$D$73,MATCH($A20,'CA Standards and Followers'!$A$14:$A$73,0))=1,INDEX('CA Standards and Followers'!$G$14:$G$73,MATCH($A20,'CA Standards and Followers'!$A$14:$A$73,0))&lt;=H$1),INDEX('CA Standards and Followers'!$2:$2,MATCH(H$1,'CA Standards and Followers'!$1:$1,0)),0))</f>
        <v>0</v>
      </c>
      <c r="I20">
        <f>IF(AND(INDEX('CA Standards and Followers'!$E$14:$E$73,MATCH($A20,'CA Standards and Followers'!$A$14:$A$73,0))=1,INDEX('CA Standards and Followers'!$H$14:$H$73,MATCH($A20,'CA Standards and Followers'!$A$14:$A$73,0))&lt;=I$1),INDEX('CA Standards and Followers'!$3:$3,MATCH(I$1,'CA Standards and Followers'!$1:$1,0)),IF(AND(INDEX('CA Standards and Followers'!$D$14:$D$73,MATCH($A20,'CA Standards and Followers'!$A$14:$A$73,0))=1,INDEX('CA Standards and Followers'!$G$14:$G$73,MATCH($A20,'CA Standards and Followers'!$A$14:$A$73,0))&lt;=I$1),INDEX('CA Standards and Followers'!$2:$2,MATCH(I$1,'CA Standards and Followers'!$1:$1,0)),0))</f>
        <v>0</v>
      </c>
      <c r="J20">
        <f>IF(AND(INDEX('CA Standards and Followers'!$E$14:$E$73,MATCH($A20,'CA Standards and Followers'!$A$14:$A$73,0))=1,INDEX('CA Standards and Followers'!$H$14:$H$73,MATCH($A20,'CA Standards and Followers'!$A$14:$A$73,0))&lt;=J$1),INDEX('CA Standards and Followers'!$3:$3,MATCH(J$1,'CA Standards and Followers'!$1:$1,0)),IF(AND(INDEX('CA Standards and Followers'!$D$14:$D$73,MATCH($A20,'CA Standards and Followers'!$A$14:$A$73,0))=1,INDEX('CA Standards and Followers'!$G$14:$G$73,MATCH($A20,'CA Standards and Followers'!$A$14:$A$73,0))&lt;=J$1),INDEX('CA Standards and Followers'!$2:$2,MATCH(J$1,'CA Standards and Followers'!$1:$1,0)),0))</f>
        <v>0</v>
      </c>
      <c r="K20">
        <f>IF(AND(INDEX('CA Standards and Followers'!$E$14:$E$73,MATCH($A20,'CA Standards and Followers'!$A$14:$A$73,0))=1,INDEX('CA Standards and Followers'!$H$14:$H$73,MATCH($A20,'CA Standards and Followers'!$A$14:$A$73,0))&lt;=K$1),INDEX('CA Standards and Followers'!$3:$3,MATCH(K$1,'CA Standards and Followers'!$1:$1,0)),IF(AND(INDEX('CA Standards and Followers'!$D$14:$D$73,MATCH($A20,'CA Standards and Followers'!$A$14:$A$73,0))=1,INDEX('CA Standards and Followers'!$G$14:$G$73,MATCH($A20,'CA Standards and Followers'!$A$14:$A$73,0))&lt;=K$1),INDEX('CA Standards and Followers'!$2:$2,MATCH(K$1,'CA Standards and Followers'!$1:$1,0)),0))</f>
        <v>0</v>
      </c>
      <c r="L20">
        <f>IF(AND(INDEX('CA Standards and Followers'!$E$14:$E$73,MATCH($A20,'CA Standards and Followers'!$A$14:$A$73,0))=1,INDEX('CA Standards and Followers'!$H$14:$H$73,MATCH($A20,'CA Standards and Followers'!$A$14:$A$73,0))&lt;=L$1),INDEX('CA Standards and Followers'!$3:$3,MATCH(L$1,'CA Standards and Followers'!$1:$1,0)),IF(AND(INDEX('CA Standards and Followers'!$D$14:$D$73,MATCH($A20,'CA Standards and Followers'!$A$14:$A$73,0))=1,INDEX('CA Standards and Followers'!$G$14:$G$73,MATCH($A20,'CA Standards and Followers'!$A$14:$A$73,0))&lt;=L$1),INDEX('CA Standards and Followers'!$2:$2,MATCH(L$1,'CA Standards and Followers'!$1:$1,0)),0))</f>
        <v>0</v>
      </c>
      <c r="M20">
        <f>IF(AND(INDEX('CA Standards and Followers'!$E$14:$E$73,MATCH($A20,'CA Standards and Followers'!$A$14:$A$73,0))=1,INDEX('CA Standards and Followers'!$H$14:$H$73,MATCH($A20,'CA Standards and Followers'!$A$14:$A$73,0))&lt;=M$1),INDEX('CA Standards and Followers'!$3:$3,MATCH(M$1,'CA Standards and Followers'!$1:$1,0)),IF(AND(INDEX('CA Standards and Followers'!$D$14:$D$73,MATCH($A20,'CA Standards and Followers'!$A$14:$A$73,0))=1,INDEX('CA Standards and Followers'!$G$14:$G$73,MATCH($A20,'CA Standards and Followers'!$A$14:$A$73,0))&lt;=M$1),INDEX('CA Standards and Followers'!$2:$2,MATCH(M$1,'CA Standards and Followers'!$1:$1,0)),0))</f>
        <v>0</v>
      </c>
      <c r="N20">
        <f>IF(AND(INDEX('CA Standards and Followers'!$E$14:$E$73,MATCH($A20,'CA Standards and Followers'!$A$14:$A$73,0))=1,INDEX('CA Standards and Followers'!$H$14:$H$73,MATCH($A20,'CA Standards and Followers'!$A$14:$A$73,0))&lt;=N$1),INDEX('CA Standards and Followers'!$3:$3,MATCH(N$1,'CA Standards and Followers'!$1:$1,0)),IF(AND(INDEX('CA Standards and Followers'!$D$14:$D$73,MATCH($A20,'CA Standards and Followers'!$A$14:$A$73,0))=1,INDEX('CA Standards and Followers'!$G$14:$G$73,MATCH($A20,'CA Standards and Followers'!$A$14:$A$73,0))&lt;=N$1),INDEX('CA Standards and Followers'!$2:$2,MATCH(N$1,'CA Standards and Followers'!$1:$1,0)),0))</f>
        <v>0</v>
      </c>
      <c r="O20">
        <f>IF(AND(INDEX('CA Standards and Followers'!$E$14:$E$73,MATCH($A20,'CA Standards and Followers'!$A$14:$A$73,0))=1,INDEX('CA Standards and Followers'!$H$14:$H$73,MATCH($A20,'CA Standards and Followers'!$A$14:$A$73,0))&lt;=O$1),INDEX('CA Standards and Followers'!$3:$3,MATCH(O$1,'CA Standards and Followers'!$1:$1,0)),IF(AND(INDEX('CA Standards and Followers'!$D$14:$D$73,MATCH($A20,'CA Standards and Followers'!$A$14:$A$73,0))=1,INDEX('CA Standards and Followers'!$G$14:$G$73,MATCH($A20,'CA Standards and Followers'!$A$14:$A$73,0))&lt;=O$1),INDEX('CA Standards and Followers'!$2:$2,MATCH(O$1,'CA Standards and Followers'!$1:$1,0)),0))</f>
        <v>0</v>
      </c>
      <c r="P20">
        <f>IF(AND(INDEX('CA Standards and Followers'!$E$14:$E$73,MATCH($A20,'CA Standards and Followers'!$A$14:$A$73,0))=1,INDEX('CA Standards and Followers'!$H$14:$H$73,MATCH($A20,'CA Standards and Followers'!$A$14:$A$73,0))&lt;=P$1),INDEX('CA Standards and Followers'!$3:$3,MATCH(P$1,'CA Standards and Followers'!$1:$1,0)),IF(AND(INDEX('CA Standards and Followers'!$D$14:$D$73,MATCH($A20,'CA Standards and Followers'!$A$14:$A$73,0))=1,INDEX('CA Standards and Followers'!$G$14:$G$73,MATCH($A20,'CA Standards and Followers'!$A$14:$A$73,0))&lt;=P$1),INDEX('CA Standards and Followers'!$2:$2,MATCH(P$1,'CA Standards and Followers'!$1:$1,0)),0))</f>
        <v>0</v>
      </c>
      <c r="Q20">
        <f>IF(AND(INDEX('CA Standards and Followers'!$E$14:$E$73,MATCH($A20,'CA Standards and Followers'!$A$14:$A$73,0))=1,INDEX('CA Standards and Followers'!$H$14:$H$73,MATCH($A20,'CA Standards and Followers'!$A$14:$A$73,0))&lt;=Q$1),INDEX('CA Standards and Followers'!$3:$3,MATCH(Q$1,'CA Standards and Followers'!$1:$1,0)),IF(AND(INDEX('CA Standards and Followers'!$D$14:$D$73,MATCH($A20,'CA Standards and Followers'!$A$14:$A$73,0))=1,INDEX('CA Standards and Followers'!$G$14:$G$73,MATCH($A20,'CA Standards and Followers'!$A$14:$A$73,0))&lt;=Q$1),INDEX('CA Standards and Followers'!$2:$2,MATCH(Q$1,'CA Standards and Followers'!$1:$1,0)),0))</f>
        <v>0</v>
      </c>
      <c r="R20">
        <f>IF(AND(INDEX('CA Standards and Followers'!$E$14:$E$73,MATCH($A20,'CA Standards and Followers'!$A$14:$A$73,0))=1,INDEX('CA Standards and Followers'!$H$14:$H$73,MATCH($A20,'CA Standards and Followers'!$A$14:$A$73,0))&lt;=R$1),INDEX('CA Standards and Followers'!$3:$3,MATCH(R$1,'CA Standards and Followers'!$1:$1,0)),IF(AND(INDEX('CA Standards and Followers'!$D$14:$D$73,MATCH($A20,'CA Standards and Followers'!$A$14:$A$73,0))=1,INDEX('CA Standards and Followers'!$G$14:$G$73,MATCH($A20,'CA Standards and Followers'!$A$14:$A$73,0))&lt;=R$1),INDEX('CA Standards and Followers'!$2:$2,MATCH(R$1,'CA Standards and Followers'!$1:$1,0)),0))</f>
        <v>0</v>
      </c>
      <c r="S20">
        <f>IF(AND(INDEX('CA Standards and Followers'!$E$14:$E$73,MATCH($A20,'CA Standards and Followers'!$A$14:$A$73,0))=1,INDEX('CA Standards and Followers'!$H$14:$H$73,MATCH($A20,'CA Standards and Followers'!$A$14:$A$73,0))&lt;=S$1),INDEX('CA Standards and Followers'!$3:$3,MATCH(S$1,'CA Standards and Followers'!$1:$1,0)),IF(AND(INDEX('CA Standards and Followers'!$D$14:$D$73,MATCH($A20,'CA Standards and Followers'!$A$14:$A$73,0))=1,INDEX('CA Standards and Followers'!$G$14:$G$73,MATCH($A20,'CA Standards and Followers'!$A$14:$A$73,0))&lt;=S$1),INDEX('CA Standards and Followers'!$2:$2,MATCH(S$1,'CA Standards and Followers'!$1:$1,0)),0))</f>
        <v>0</v>
      </c>
      <c r="T20">
        <f>IF(AND(INDEX('CA Standards and Followers'!$E$14:$E$73,MATCH($A20,'CA Standards and Followers'!$A$14:$A$73,0))=1,INDEX('CA Standards and Followers'!$H$14:$H$73,MATCH($A20,'CA Standards and Followers'!$A$14:$A$73,0))&lt;=T$1),INDEX('CA Standards and Followers'!$3:$3,MATCH(T$1,'CA Standards and Followers'!$1:$1,0)),IF(AND(INDEX('CA Standards and Followers'!$D$14:$D$73,MATCH($A20,'CA Standards and Followers'!$A$14:$A$73,0))=1,INDEX('CA Standards and Followers'!$G$14:$G$73,MATCH($A20,'CA Standards and Followers'!$A$14:$A$73,0))&lt;=T$1),INDEX('CA Standards and Followers'!$2:$2,MATCH(T$1,'CA Standards and Followers'!$1:$1,0)),0))</f>
        <v>0</v>
      </c>
      <c r="U20">
        <f>IF(AND(INDEX('CA Standards and Followers'!$E$14:$E$73,MATCH($A20,'CA Standards and Followers'!$A$14:$A$73,0))=1,INDEX('CA Standards and Followers'!$H$14:$H$73,MATCH($A20,'CA Standards and Followers'!$A$14:$A$73,0))&lt;=U$1),INDEX('CA Standards and Followers'!$3:$3,MATCH(U$1,'CA Standards and Followers'!$1:$1,0)),IF(AND(INDEX('CA Standards and Followers'!$D$14:$D$73,MATCH($A20,'CA Standards and Followers'!$A$14:$A$73,0))=1,INDEX('CA Standards and Followers'!$G$14:$G$73,MATCH($A20,'CA Standards and Followers'!$A$14:$A$73,0))&lt;=U$1),INDEX('CA Standards and Followers'!$2:$2,MATCH(U$1,'CA Standards and Followers'!$1:$1,0)),0))</f>
        <v>0</v>
      </c>
      <c r="V20">
        <f>IF(AND(INDEX('CA Standards and Followers'!$E$14:$E$73,MATCH($A20,'CA Standards and Followers'!$A$14:$A$73,0))=1,INDEX('CA Standards and Followers'!$H$14:$H$73,MATCH($A20,'CA Standards and Followers'!$A$14:$A$73,0))&lt;=V$1),INDEX('CA Standards and Followers'!$3:$3,MATCH(V$1,'CA Standards and Followers'!$1:$1,0)),IF(AND(INDEX('CA Standards and Followers'!$D$14:$D$73,MATCH($A20,'CA Standards and Followers'!$A$14:$A$73,0))=1,INDEX('CA Standards and Followers'!$G$14:$G$73,MATCH($A20,'CA Standards and Followers'!$A$14:$A$73,0))&lt;=V$1),INDEX('CA Standards and Followers'!$2:$2,MATCH(V$1,'CA Standards and Followers'!$1:$1,0)),0))</f>
        <v>0</v>
      </c>
      <c r="W20">
        <f>IF(AND(INDEX('CA Standards and Followers'!$E$14:$E$73,MATCH($A20,'CA Standards and Followers'!$A$14:$A$73,0))=1,INDEX('CA Standards and Followers'!$H$14:$H$73,MATCH($A20,'CA Standards and Followers'!$A$14:$A$73,0))&lt;=W$1),INDEX('CA Standards and Followers'!$3:$3,MATCH(W$1,'CA Standards and Followers'!$1:$1,0)),IF(AND(INDEX('CA Standards and Followers'!$D$14:$D$73,MATCH($A20,'CA Standards and Followers'!$A$14:$A$73,0))=1,INDEX('CA Standards and Followers'!$G$14:$G$73,MATCH($A20,'CA Standards and Followers'!$A$14:$A$73,0))&lt;=W$1),INDEX('CA Standards and Followers'!$2:$2,MATCH(W$1,'CA Standards and Followers'!$1:$1,0)),0))</f>
        <v>0</v>
      </c>
      <c r="X20">
        <f>IF(AND(INDEX('CA Standards and Followers'!$E$14:$E$73,MATCH($A20,'CA Standards and Followers'!$A$14:$A$73,0))=1,INDEX('CA Standards and Followers'!$H$14:$H$73,MATCH($A20,'CA Standards and Followers'!$A$14:$A$73,0))&lt;=X$1),INDEX('CA Standards and Followers'!$3:$3,MATCH(X$1,'CA Standards and Followers'!$1:$1,0)),IF(AND(INDEX('CA Standards and Followers'!$D$14:$D$73,MATCH($A20,'CA Standards and Followers'!$A$14:$A$73,0))=1,INDEX('CA Standards and Followers'!$G$14:$G$73,MATCH($A20,'CA Standards and Followers'!$A$14:$A$73,0))&lt;=X$1),INDEX('CA Standards and Followers'!$2:$2,MATCH(X$1,'CA Standards and Followers'!$1:$1,0)),0))</f>
        <v>0</v>
      </c>
      <c r="Y20">
        <f>IF(AND(INDEX('CA Standards and Followers'!$E$14:$E$73,MATCH($A20,'CA Standards and Followers'!$A$14:$A$73,0))=1,INDEX('CA Standards and Followers'!$H$14:$H$73,MATCH($A20,'CA Standards and Followers'!$A$14:$A$73,0))&lt;=Y$1),INDEX('CA Standards and Followers'!$3:$3,MATCH(Y$1,'CA Standards and Followers'!$1:$1,0)),IF(AND(INDEX('CA Standards and Followers'!$D$14:$D$73,MATCH($A20,'CA Standards and Followers'!$A$14:$A$73,0))=1,INDEX('CA Standards and Followers'!$G$14:$G$73,MATCH($A20,'CA Standards and Followers'!$A$14:$A$73,0))&lt;=Y$1),INDEX('CA Standards and Followers'!$2:$2,MATCH(Y$1,'CA Standards and Followers'!$1:$1,0)),0))</f>
        <v>0</v>
      </c>
      <c r="Z20">
        <f>IF(AND(INDEX('CA Standards and Followers'!$E$14:$E$73,MATCH($A20,'CA Standards and Followers'!$A$14:$A$73,0))=1,INDEX('CA Standards and Followers'!$H$14:$H$73,MATCH($A20,'CA Standards and Followers'!$A$14:$A$73,0))&lt;=Z$1),INDEX('CA Standards and Followers'!$3:$3,MATCH(Z$1,'CA Standards and Followers'!$1:$1,0)),IF(AND(INDEX('CA Standards and Followers'!$D$14:$D$73,MATCH($A20,'CA Standards and Followers'!$A$14:$A$73,0))=1,INDEX('CA Standards and Followers'!$G$14:$G$73,MATCH($A20,'CA Standards and Followers'!$A$14:$A$73,0))&lt;=Z$1),INDEX('CA Standards and Followers'!$2:$2,MATCH(Z$1,'CA Standards and Followers'!$1:$1,0)),0))</f>
        <v>0</v>
      </c>
      <c r="AA20">
        <f>IF(AND(INDEX('CA Standards and Followers'!$E$14:$E$73,MATCH($A20,'CA Standards and Followers'!$A$14:$A$73,0))=1,INDEX('CA Standards and Followers'!$H$14:$H$73,MATCH($A20,'CA Standards and Followers'!$A$14:$A$73,0))&lt;=AA$1),INDEX('CA Standards and Followers'!$3:$3,MATCH(AA$1,'CA Standards and Followers'!$1:$1,0)),IF(AND(INDEX('CA Standards and Followers'!$D$14:$D$73,MATCH($A20,'CA Standards and Followers'!$A$14:$A$73,0))=1,INDEX('CA Standards and Followers'!$G$14:$G$73,MATCH($A20,'CA Standards and Followers'!$A$14:$A$73,0))&lt;=AA$1),INDEX('CA Standards and Followers'!$2:$2,MATCH(AA$1,'CA Standards and Followers'!$1:$1,0)),0))</f>
        <v>0</v>
      </c>
      <c r="AB20">
        <f>IF(AND(INDEX('CA Standards and Followers'!$E$14:$E$73,MATCH($A20,'CA Standards and Followers'!$A$14:$A$73,0))=1,INDEX('CA Standards and Followers'!$H$14:$H$73,MATCH($A20,'CA Standards and Followers'!$A$14:$A$73,0))&lt;=AB$1),INDEX('CA Standards and Followers'!$3:$3,MATCH(AB$1,'CA Standards and Followers'!$1:$1,0)),IF(AND(INDEX('CA Standards and Followers'!$D$14:$D$73,MATCH($A20,'CA Standards and Followers'!$A$14:$A$73,0))=1,INDEX('CA Standards and Followers'!$G$14:$G$73,MATCH($A20,'CA Standards and Followers'!$A$14:$A$73,0))&lt;=AB$1),INDEX('CA Standards and Followers'!$2:$2,MATCH(AB$1,'CA Standards and Followers'!$1:$1,0)),0))</f>
        <v>0</v>
      </c>
      <c r="AC20">
        <f>IF(AND(INDEX('CA Standards and Followers'!$E$14:$E$73,MATCH($A20,'CA Standards and Followers'!$A$14:$A$73,0))=1,INDEX('CA Standards and Followers'!$H$14:$H$73,MATCH($A20,'CA Standards and Followers'!$A$14:$A$73,0))&lt;=AC$1),INDEX('CA Standards and Followers'!$3:$3,MATCH(AC$1,'CA Standards and Followers'!$1:$1,0)),IF(AND(INDEX('CA Standards and Followers'!$D$14:$D$73,MATCH($A20,'CA Standards and Followers'!$A$14:$A$73,0))=1,INDEX('CA Standards and Followers'!$G$14:$G$73,MATCH($A20,'CA Standards and Followers'!$A$14:$A$73,0))&lt;=AC$1),INDEX('CA Standards and Followers'!$2:$2,MATCH(AC$1,'CA Standards and Followers'!$1:$1,0)),0))</f>
        <v>0</v>
      </c>
      <c r="AD20">
        <f>IF(AND(INDEX('CA Standards and Followers'!$E$14:$E$73,MATCH($A20,'CA Standards and Followers'!$A$14:$A$73,0))=1,INDEX('CA Standards and Followers'!$H$14:$H$73,MATCH($A20,'CA Standards and Followers'!$A$14:$A$73,0))&lt;=AD$1),INDEX('CA Standards and Followers'!$3:$3,MATCH(AD$1,'CA Standards and Followers'!$1:$1,0)),IF(AND(INDEX('CA Standards and Followers'!$D$14:$D$73,MATCH($A20,'CA Standards and Followers'!$A$14:$A$73,0))=1,INDEX('CA Standards and Followers'!$G$14:$G$73,MATCH($A20,'CA Standards and Followers'!$A$14:$A$73,0))&lt;=AD$1),INDEX('CA Standards and Followers'!$2:$2,MATCH(AD$1,'CA Standards and Followers'!$1:$1,0)),0))</f>
        <v>0</v>
      </c>
      <c r="AE20">
        <f>IF(AND(INDEX('CA Standards and Followers'!$E$14:$E$73,MATCH($A20,'CA Standards and Followers'!$A$14:$A$73,0))=1,INDEX('CA Standards and Followers'!$H$14:$H$73,MATCH($A20,'CA Standards and Followers'!$A$14:$A$73,0))&lt;=AE$1),INDEX('CA Standards and Followers'!$3:$3,MATCH(AE$1,'CA Standards and Followers'!$1:$1,0)),IF(AND(INDEX('CA Standards and Followers'!$D$14:$D$73,MATCH($A20,'CA Standards and Followers'!$A$14:$A$73,0))=1,INDEX('CA Standards and Followers'!$G$14:$G$73,MATCH($A20,'CA Standards and Followers'!$A$14:$A$73,0))&lt;=AE$1),INDEX('CA Standards and Followers'!$2:$2,MATCH(AE$1,'CA Standards and Followers'!$1:$1,0)),0))</f>
        <v>0</v>
      </c>
      <c r="AF20">
        <f>IF(AND(INDEX('CA Standards and Followers'!$E$14:$E$73,MATCH($A20,'CA Standards and Followers'!$A$14:$A$73,0))=1,INDEX('CA Standards and Followers'!$H$14:$H$73,MATCH($A20,'CA Standards and Followers'!$A$14:$A$73,0))&lt;=AF$1),INDEX('CA Standards and Followers'!$3:$3,MATCH(AF$1,'CA Standards and Followers'!$1:$1,0)),IF(AND(INDEX('CA Standards and Followers'!$D$14:$D$73,MATCH($A20,'CA Standards and Followers'!$A$14:$A$73,0))=1,INDEX('CA Standards and Followers'!$G$14:$G$73,MATCH($A20,'CA Standards and Followers'!$A$14:$A$73,0))&lt;=AF$1),INDEX('CA Standards and Followers'!$2:$2,MATCH(AF$1,'CA Standards and Followers'!$1:$1,0)),0))</f>
        <v>0</v>
      </c>
    </row>
    <row r="21" spans="1:32" x14ac:dyDescent="0.25">
      <c r="A21" t="s">
        <v>21</v>
      </c>
      <c r="B21">
        <f>IF(AND(INDEX('CA Standards and Followers'!$E$14:$E$73,MATCH($A21,'CA Standards and Followers'!$A$14:$A$73,0))=1,INDEX('CA Standards and Followers'!$H$14:$H$73,MATCH($A21,'CA Standards and Followers'!$A$14:$A$73,0))&lt;=B$1),INDEX('CA Standards and Followers'!$3:$3,MATCH(B$1,'CA Standards and Followers'!$1:$1,0)),IF(AND(INDEX('CA Standards and Followers'!$D$14:$D$73,MATCH($A21,'CA Standards and Followers'!$A$14:$A$73,0))=1,INDEX('CA Standards and Followers'!$G$14:$G$73,MATCH($A21,'CA Standards and Followers'!$A$14:$A$73,0))&lt;=B$1),INDEX('CA Standards and Followers'!$2:$2,MATCH(B$1,'CA Standards and Followers'!$1:$1,0)),0))</f>
        <v>9.5000000000000001E-2</v>
      </c>
      <c r="C21">
        <f>IF(AND(INDEX('CA Standards and Followers'!$E$14:$E$73,MATCH($A21,'CA Standards and Followers'!$A$14:$A$73,0))=1,INDEX('CA Standards and Followers'!$H$14:$H$73,MATCH($A21,'CA Standards and Followers'!$A$14:$A$73,0))&lt;=C$1),INDEX('CA Standards and Followers'!$3:$3,MATCH(C$1,'CA Standards and Followers'!$1:$1,0)),IF(AND(INDEX('CA Standards and Followers'!$D$14:$D$73,MATCH($A21,'CA Standards and Followers'!$A$14:$A$73,0))=1,INDEX('CA Standards and Followers'!$G$14:$G$73,MATCH($A21,'CA Standards and Followers'!$A$14:$A$73,0))&lt;=C$1),INDEX('CA Standards and Followers'!$2:$2,MATCH(C$1,'CA Standards and Followers'!$1:$1,0)),0))</f>
        <v>0.12</v>
      </c>
      <c r="D21">
        <f>IF(AND(INDEX('CA Standards and Followers'!$E$14:$E$73,MATCH($A21,'CA Standards and Followers'!$A$14:$A$73,0))=1,INDEX('CA Standards and Followers'!$H$14:$H$73,MATCH($A21,'CA Standards and Followers'!$A$14:$A$73,0))&lt;=D$1),INDEX('CA Standards and Followers'!$3:$3,MATCH(D$1,'CA Standards and Followers'!$1:$1,0)),IF(AND(INDEX('CA Standards and Followers'!$D$14:$D$73,MATCH($A21,'CA Standards and Followers'!$A$14:$A$73,0))=1,INDEX('CA Standards and Followers'!$G$14:$G$73,MATCH($A21,'CA Standards and Followers'!$A$14:$A$73,0))&lt;=D$1),INDEX('CA Standards and Followers'!$2:$2,MATCH(D$1,'CA Standards and Followers'!$1:$1,0)),0))</f>
        <v>0.14499999999999999</v>
      </c>
      <c r="E21">
        <f>IF(AND(INDEX('CA Standards and Followers'!$E$14:$E$73,MATCH($A21,'CA Standards and Followers'!$A$14:$A$73,0))=1,INDEX('CA Standards and Followers'!$H$14:$H$73,MATCH($A21,'CA Standards and Followers'!$A$14:$A$73,0))&lt;=E$1),INDEX('CA Standards and Followers'!$3:$3,MATCH(E$1,'CA Standards and Followers'!$1:$1,0)),IF(AND(INDEX('CA Standards and Followers'!$D$14:$D$73,MATCH($A21,'CA Standards and Followers'!$A$14:$A$73,0))=1,INDEX('CA Standards and Followers'!$G$14:$G$73,MATCH($A21,'CA Standards and Followers'!$A$14:$A$73,0))&lt;=E$1),INDEX('CA Standards and Followers'!$2:$2,MATCH(E$1,'CA Standards and Followers'!$1:$1,0)),0))</f>
        <v>0.16999999999999998</v>
      </c>
      <c r="F21">
        <f>IF(AND(INDEX('CA Standards and Followers'!$E$14:$E$73,MATCH($A21,'CA Standards and Followers'!$A$14:$A$73,0))=1,INDEX('CA Standards and Followers'!$H$14:$H$73,MATCH($A21,'CA Standards and Followers'!$A$14:$A$73,0))&lt;=F$1),INDEX('CA Standards and Followers'!$3:$3,MATCH(F$1,'CA Standards and Followers'!$1:$1,0)),IF(AND(INDEX('CA Standards and Followers'!$D$14:$D$73,MATCH($A21,'CA Standards and Followers'!$A$14:$A$73,0))=1,INDEX('CA Standards and Followers'!$G$14:$G$73,MATCH($A21,'CA Standards and Followers'!$A$14:$A$73,0))&lt;=F$1),INDEX('CA Standards and Followers'!$2:$2,MATCH(F$1,'CA Standards and Followers'!$1:$1,0)),0))</f>
        <v>0.19500000000000001</v>
      </c>
      <c r="G21">
        <f>IF(AND(INDEX('CA Standards and Followers'!$E$14:$E$73,MATCH($A21,'CA Standards and Followers'!$A$14:$A$73,0))=1,INDEX('CA Standards and Followers'!$H$14:$H$73,MATCH($A21,'CA Standards and Followers'!$A$14:$A$73,0))&lt;=G$1),INDEX('CA Standards and Followers'!$3:$3,MATCH(G$1,'CA Standards and Followers'!$1:$1,0)),IF(AND(INDEX('CA Standards and Followers'!$D$14:$D$73,MATCH($A21,'CA Standards and Followers'!$A$14:$A$73,0))=1,INDEX('CA Standards and Followers'!$G$14:$G$73,MATCH($A21,'CA Standards and Followers'!$A$14:$A$73,0))&lt;=G$1),INDEX('CA Standards and Followers'!$2:$2,MATCH(G$1,'CA Standards and Followers'!$1:$1,0)),0))</f>
        <v>0.21999999999999997</v>
      </c>
      <c r="H21">
        <f>IF(AND(INDEX('CA Standards and Followers'!$E$14:$E$73,MATCH($A21,'CA Standards and Followers'!$A$14:$A$73,0))=1,INDEX('CA Standards and Followers'!$H$14:$H$73,MATCH($A21,'CA Standards and Followers'!$A$14:$A$73,0))&lt;=H$1),INDEX('CA Standards and Followers'!$3:$3,MATCH(H$1,'CA Standards and Followers'!$1:$1,0)),IF(AND(INDEX('CA Standards and Followers'!$D$14:$D$73,MATCH($A21,'CA Standards and Followers'!$A$14:$A$73,0))=1,INDEX('CA Standards and Followers'!$G$14:$G$73,MATCH($A21,'CA Standards and Followers'!$A$14:$A$73,0))&lt;=H$1),INDEX('CA Standards and Followers'!$2:$2,MATCH(H$1,'CA Standards and Followers'!$1:$1,0)),0))</f>
        <v>0.22</v>
      </c>
      <c r="I21">
        <f>IF(AND(INDEX('CA Standards and Followers'!$E$14:$E$73,MATCH($A21,'CA Standards and Followers'!$A$14:$A$73,0))=1,INDEX('CA Standards and Followers'!$H$14:$H$73,MATCH($A21,'CA Standards and Followers'!$A$14:$A$73,0))&lt;=I$1),INDEX('CA Standards and Followers'!$3:$3,MATCH(I$1,'CA Standards and Followers'!$1:$1,0)),IF(AND(INDEX('CA Standards and Followers'!$D$14:$D$73,MATCH($A21,'CA Standards and Followers'!$A$14:$A$73,0))=1,INDEX('CA Standards and Followers'!$G$14:$G$73,MATCH($A21,'CA Standards and Followers'!$A$14:$A$73,0))&lt;=I$1),INDEX('CA Standards and Followers'!$2:$2,MATCH(I$1,'CA Standards and Followers'!$1:$1,0)),0))</f>
        <v>0.22</v>
      </c>
      <c r="J21">
        <f>IF(AND(INDEX('CA Standards and Followers'!$E$14:$E$73,MATCH($A21,'CA Standards and Followers'!$A$14:$A$73,0))=1,INDEX('CA Standards and Followers'!$H$14:$H$73,MATCH($A21,'CA Standards and Followers'!$A$14:$A$73,0))&lt;=J$1),INDEX('CA Standards and Followers'!$3:$3,MATCH(J$1,'CA Standards and Followers'!$1:$1,0)),IF(AND(INDEX('CA Standards and Followers'!$D$14:$D$73,MATCH($A21,'CA Standards and Followers'!$A$14:$A$73,0))=1,INDEX('CA Standards and Followers'!$G$14:$G$73,MATCH($A21,'CA Standards and Followers'!$A$14:$A$73,0))&lt;=J$1),INDEX('CA Standards and Followers'!$2:$2,MATCH(J$1,'CA Standards and Followers'!$1:$1,0)),0))</f>
        <v>0.22</v>
      </c>
      <c r="K21">
        <f>IF(AND(INDEX('CA Standards and Followers'!$E$14:$E$73,MATCH($A21,'CA Standards and Followers'!$A$14:$A$73,0))=1,INDEX('CA Standards and Followers'!$H$14:$H$73,MATCH($A21,'CA Standards and Followers'!$A$14:$A$73,0))&lt;=K$1),INDEX('CA Standards and Followers'!$3:$3,MATCH(K$1,'CA Standards and Followers'!$1:$1,0)),IF(AND(INDEX('CA Standards and Followers'!$D$14:$D$73,MATCH($A21,'CA Standards and Followers'!$A$14:$A$73,0))=1,INDEX('CA Standards and Followers'!$G$14:$G$73,MATCH($A21,'CA Standards and Followers'!$A$14:$A$73,0))&lt;=K$1),INDEX('CA Standards and Followers'!$2:$2,MATCH(K$1,'CA Standards and Followers'!$1:$1,0)),0))</f>
        <v>0.22</v>
      </c>
      <c r="L21">
        <f>IF(AND(INDEX('CA Standards and Followers'!$E$14:$E$73,MATCH($A21,'CA Standards and Followers'!$A$14:$A$73,0))=1,INDEX('CA Standards and Followers'!$H$14:$H$73,MATCH($A21,'CA Standards and Followers'!$A$14:$A$73,0))&lt;=L$1),INDEX('CA Standards and Followers'!$3:$3,MATCH(L$1,'CA Standards and Followers'!$1:$1,0)),IF(AND(INDEX('CA Standards and Followers'!$D$14:$D$73,MATCH($A21,'CA Standards and Followers'!$A$14:$A$73,0))=1,INDEX('CA Standards and Followers'!$G$14:$G$73,MATCH($A21,'CA Standards and Followers'!$A$14:$A$73,0))&lt;=L$1),INDEX('CA Standards and Followers'!$2:$2,MATCH(L$1,'CA Standards and Followers'!$1:$1,0)),0))</f>
        <v>0.22</v>
      </c>
      <c r="M21">
        <f>IF(AND(INDEX('CA Standards and Followers'!$E$14:$E$73,MATCH($A21,'CA Standards and Followers'!$A$14:$A$73,0))=1,INDEX('CA Standards and Followers'!$H$14:$H$73,MATCH($A21,'CA Standards and Followers'!$A$14:$A$73,0))&lt;=M$1),INDEX('CA Standards and Followers'!$3:$3,MATCH(M$1,'CA Standards and Followers'!$1:$1,0)),IF(AND(INDEX('CA Standards and Followers'!$D$14:$D$73,MATCH($A21,'CA Standards and Followers'!$A$14:$A$73,0))=1,INDEX('CA Standards and Followers'!$G$14:$G$73,MATCH($A21,'CA Standards and Followers'!$A$14:$A$73,0))&lt;=M$1),INDEX('CA Standards and Followers'!$2:$2,MATCH(M$1,'CA Standards and Followers'!$1:$1,0)),0))</f>
        <v>0.22</v>
      </c>
      <c r="N21">
        <f>IF(AND(INDEX('CA Standards and Followers'!$E$14:$E$73,MATCH($A21,'CA Standards and Followers'!$A$14:$A$73,0))=1,INDEX('CA Standards and Followers'!$H$14:$H$73,MATCH($A21,'CA Standards and Followers'!$A$14:$A$73,0))&lt;=N$1),INDEX('CA Standards and Followers'!$3:$3,MATCH(N$1,'CA Standards and Followers'!$1:$1,0)),IF(AND(INDEX('CA Standards and Followers'!$D$14:$D$73,MATCH($A21,'CA Standards and Followers'!$A$14:$A$73,0))=1,INDEX('CA Standards and Followers'!$G$14:$G$73,MATCH($A21,'CA Standards and Followers'!$A$14:$A$73,0))&lt;=N$1),INDEX('CA Standards and Followers'!$2:$2,MATCH(N$1,'CA Standards and Followers'!$1:$1,0)),0))</f>
        <v>0.22</v>
      </c>
      <c r="O21">
        <f>IF(AND(INDEX('CA Standards and Followers'!$E$14:$E$73,MATCH($A21,'CA Standards and Followers'!$A$14:$A$73,0))=1,INDEX('CA Standards and Followers'!$H$14:$H$73,MATCH($A21,'CA Standards and Followers'!$A$14:$A$73,0))&lt;=O$1),INDEX('CA Standards and Followers'!$3:$3,MATCH(O$1,'CA Standards and Followers'!$1:$1,0)),IF(AND(INDEX('CA Standards and Followers'!$D$14:$D$73,MATCH($A21,'CA Standards and Followers'!$A$14:$A$73,0))=1,INDEX('CA Standards and Followers'!$G$14:$G$73,MATCH($A21,'CA Standards and Followers'!$A$14:$A$73,0))&lt;=O$1),INDEX('CA Standards and Followers'!$2:$2,MATCH(O$1,'CA Standards and Followers'!$1:$1,0)),0))</f>
        <v>0.22</v>
      </c>
      <c r="P21">
        <f>IF(AND(INDEX('CA Standards and Followers'!$E$14:$E$73,MATCH($A21,'CA Standards and Followers'!$A$14:$A$73,0))=1,INDEX('CA Standards and Followers'!$H$14:$H$73,MATCH($A21,'CA Standards and Followers'!$A$14:$A$73,0))&lt;=P$1),INDEX('CA Standards and Followers'!$3:$3,MATCH(P$1,'CA Standards and Followers'!$1:$1,0)),IF(AND(INDEX('CA Standards and Followers'!$D$14:$D$73,MATCH($A21,'CA Standards and Followers'!$A$14:$A$73,0))=1,INDEX('CA Standards and Followers'!$G$14:$G$73,MATCH($A21,'CA Standards and Followers'!$A$14:$A$73,0))&lt;=P$1),INDEX('CA Standards and Followers'!$2:$2,MATCH(P$1,'CA Standards and Followers'!$1:$1,0)),0))</f>
        <v>0.22</v>
      </c>
      <c r="Q21">
        <f>IF(AND(INDEX('CA Standards and Followers'!$E$14:$E$73,MATCH($A21,'CA Standards and Followers'!$A$14:$A$73,0))=1,INDEX('CA Standards and Followers'!$H$14:$H$73,MATCH($A21,'CA Standards and Followers'!$A$14:$A$73,0))&lt;=Q$1),INDEX('CA Standards and Followers'!$3:$3,MATCH(Q$1,'CA Standards and Followers'!$1:$1,0)),IF(AND(INDEX('CA Standards and Followers'!$D$14:$D$73,MATCH($A21,'CA Standards and Followers'!$A$14:$A$73,0))=1,INDEX('CA Standards and Followers'!$G$14:$G$73,MATCH($A21,'CA Standards and Followers'!$A$14:$A$73,0))&lt;=Q$1),INDEX('CA Standards and Followers'!$2:$2,MATCH(Q$1,'CA Standards and Followers'!$1:$1,0)),0))</f>
        <v>0.22</v>
      </c>
      <c r="R21">
        <f>IF(AND(INDEX('CA Standards and Followers'!$E$14:$E$73,MATCH($A21,'CA Standards and Followers'!$A$14:$A$73,0))=1,INDEX('CA Standards and Followers'!$H$14:$H$73,MATCH($A21,'CA Standards and Followers'!$A$14:$A$73,0))&lt;=R$1),INDEX('CA Standards and Followers'!$3:$3,MATCH(R$1,'CA Standards and Followers'!$1:$1,0)),IF(AND(INDEX('CA Standards and Followers'!$D$14:$D$73,MATCH($A21,'CA Standards and Followers'!$A$14:$A$73,0))=1,INDEX('CA Standards and Followers'!$G$14:$G$73,MATCH($A21,'CA Standards and Followers'!$A$14:$A$73,0))&lt;=R$1),INDEX('CA Standards and Followers'!$2:$2,MATCH(R$1,'CA Standards and Followers'!$1:$1,0)),0))</f>
        <v>0.22</v>
      </c>
      <c r="S21">
        <f>IF(AND(INDEX('CA Standards and Followers'!$E$14:$E$73,MATCH($A21,'CA Standards and Followers'!$A$14:$A$73,0))=1,INDEX('CA Standards and Followers'!$H$14:$H$73,MATCH($A21,'CA Standards and Followers'!$A$14:$A$73,0))&lt;=S$1),INDEX('CA Standards and Followers'!$3:$3,MATCH(S$1,'CA Standards and Followers'!$1:$1,0)),IF(AND(INDEX('CA Standards and Followers'!$D$14:$D$73,MATCH($A21,'CA Standards and Followers'!$A$14:$A$73,0))=1,INDEX('CA Standards and Followers'!$G$14:$G$73,MATCH($A21,'CA Standards and Followers'!$A$14:$A$73,0))&lt;=S$1),INDEX('CA Standards and Followers'!$2:$2,MATCH(S$1,'CA Standards and Followers'!$1:$1,0)),0))</f>
        <v>0.22</v>
      </c>
      <c r="T21">
        <f>IF(AND(INDEX('CA Standards and Followers'!$E$14:$E$73,MATCH($A21,'CA Standards and Followers'!$A$14:$A$73,0))=1,INDEX('CA Standards and Followers'!$H$14:$H$73,MATCH($A21,'CA Standards and Followers'!$A$14:$A$73,0))&lt;=T$1),INDEX('CA Standards and Followers'!$3:$3,MATCH(T$1,'CA Standards and Followers'!$1:$1,0)),IF(AND(INDEX('CA Standards and Followers'!$D$14:$D$73,MATCH($A21,'CA Standards and Followers'!$A$14:$A$73,0))=1,INDEX('CA Standards and Followers'!$G$14:$G$73,MATCH($A21,'CA Standards and Followers'!$A$14:$A$73,0))&lt;=T$1),INDEX('CA Standards and Followers'!$2:$2,MATCH(T$1,'CA Standards and Followers'!$1:$1,0)),0))</f>
        <v>0.22</v>
      </c>
      <c r="U21">
        <f>IF(AND(INDEX('CA Standards and Followers'!$E$14:$E$73,MATCH($A21,'CA Standards and Followers'!$A$14:$A$73,0))=1,INDEX('CA Standards and Followers'!$H$14:$H$73,MATCH($A21,'CA Standards and Followers'!$A$14:$A$73,0))&lt;=U$1),INDEX('CA Standards and Followers'!$3:$3,MATCH(U$1,'CA Standards and Followers'!$1:$1,0)),IF(AND(INDEX('CA Standards and Followers'!$D$14:$D$73,MATCH($A21,'CA Standards and Followers'!$A$14:$A$73,0))=1,INDEX('CA Standards and Followers'!$G$14:$G$73,MATCH($A21,'CA Standards and Followers'!$A$14:$A$73,0))&lt;=U$1),INDEX('CA Standards and Followers'!$2:$2,MATCH(U$1,'CA Standards and Followers'!$1:$1,0)),0))</f>
        <v>0.22</v>
      </c>
      <c r="V21">
        <f>IF(AND(INDEX('CA Standards and Followers'!$E$14:$E$73,MATCH($A21,'CA Standards and Followers'!$A$14:$A$73,0))=1,INDEX('CA Standards and Followers'!$H$14:$H$73,MATCH($A21,'CA Standards and Followers'!$A$14:$A$73,0))&lt;=V$1),INDEX('CA Standards and Followers'!$3:$3,MATCH(V$1,'CA Standards and Followers'!$1:$1,0)),IF(AND(INDEX('CA Standards and Followers'!$D$14:$D$73,MATCH($A21,'CA Standards and Followers'!$A$14:$A$73,0))=1,INDEX('CA Standards and Followers'!$G$14:$G$73,MATCH($A21,'CA Standards and Followers'!$A$14:$A$73,0))&lt;=V$1),INDEX('CA Standards and Followers'!$2:$2,MATCH(V$1,'CA Standards and Followers'!$1:$1,0)),0))</f>
        <v>0.22</v>
      </c>
      <c r="W21">
        <f>IF(AND(INDEX('CA Standards and Followers'!$E$14:$E$73,MATCH($A21,'CA Standards and Followers'!$A$14:$A$73,0))=1,INDEX('CA Standards and Followers'!$H$14:$H$73,MATCH($A21,'CA Standards and Followers'!$A$14:$A$73,0))&lt;=W$1),INDEX('CA Standards and Followers'!$3:$3,MATCH(W$1,'CA Standards and Followers'!$1:$1,0)),IF(AND(INDEX('CA Standards and Followers'!$D$14:$D$73,MATCH($A21,'CA Standards and Followers'!$A$14:$A$73,0))=1,INDEX('CA Standards and Followers'!$G$14:$G$73,MATCH($A21,'CA Standards and Followers'!$A$14:$A$73,0))&lt;=W$1),INDEX('CA Standards and Followers'!$2:$2,MATCH(W$1,'CA Standards and Followers'!$1:$1,0)),0))</f>
        <v>0.22</v>
      </c>
      <c r="X21">
        <f>IF(AND(INDEX('CA Standards and Followers'!$E$14:$E$73,MATCH($A21,'CA Standards and Followers'!$A$14:$A$73,0))=1,INDEX('CA Standards and Followers'!$H$14:$H$73,MATCH($A21,'CA Standards and Followers'!$A$14:$A$73,0))&lt;=X$1),INDEX('CA Standards and Followers'!$3:$3,MATCH(X$1,'CA Standards and Followers'!$1:$1,0)),IF(AND(INDEX('CA Standards and Followers'!$D$14:$D$73,MATCH($A21,'CA Standards and Followers'!$A$14:$A$73,0))=1,INDEX('CA Standards and Followers'!$G$14:$G$73,MATCH($A21,'CA Standards and Followers'!$A$14:$A$73,0))&lt;=X$1),INDEX('CA Standards and Followers'!$2:$2,MATCH(X$1,'CA Standards and Followers'!$1:$1,0)),0))</f>
        <v>0.22</v>
      </c>
      <c r="Y21">
        <f>IF(AND(INDEX('CA Standards and Followers'!$E$14:$E$73,MATCH($A21,'CA Standards and Followers'!$A$14:$A$73,0))=1,INDEX('CA Standards and Followers'!$H$14:$H$73,MATCH($A21,'CA Standards and Followers'!$A$14:$A$73,0))&lt;=Y$1),INDEX('CA Standards and Followers'!$3:$3,MATCH(Y$1,'CA Standards and Followers'!$1:$1,0)),IF(AND(INDEX('CA Standards and Followers'!$D$14:$D$73,MATCH($A21,'CA Standards and Followers'!$A$14:$A$73,0))=1,INDEX('CA Standards and Followers'!$G$14:$G$73,MATCH($A21,'CA Standards and Followers'!$A$14:$A$73,0))&lt;=Y$1),INDEX('CA Standards and Followers'!$2:$2,MATCH(Y$1,'CA Standards and Followers'!$1:$1,0)),0))</f>
        <v>0.22</v>
      </c>
      <c r="Z21">
        <f>IF(AND(INDEX('CA Standards and Followers'!$E$14:$E$73,MATCH($A21,'CA Standards and Followers'!$A$14:$A$73,0))=1,INDEX('CA Standards and Followers'!$H$14:$H$73,MATCH($A21,'CA Standards and Followers'!$A$14:$A$73,0))&lt;=Z$1),INDEX('CA Standards and Followers'!$3:$3,MATCH(Z$1,'CA Standards and Followers'!$1:$1,0)),IF(AND(INDEX('CA Standards and Followers'!$D$14:$D$73,MATCH($A21,'CA Standards and Followers'!$A$14:$A$73,0))=1,INDEX('CA Standards and Followers'!$G$14:$G$73,MATCH($A21,'CA Standards and Followers'!$A$14:$A$73,0))&lt;=Z$1),INDEX('CA Standards and Followers'!$2:$2,MATCH(Z$1,'CA Standards and Followers'!$1:$1,0)),0))</f>
        <v>0.22</v>
      </c>
      <c r="AA21">
        <f>IF(AND(INDEX('CA Standards and Followers'!$E$14:$E$73,MATCH($A21,'CA Standards and Followers'!$A$14:$A$73,0))=1,INDEX('CA Standards and Followers'!$H$14:$H$73,MATCH($A21,'CA Standards and Followers'!$A$14:$A$73,0))&lt;=AA$1),INDEX('CA Standards and Followers'!$3:$3,MATCH(AA$1,'CA Standards and Followers'!$1:$1,0)),IF(AND(INDEX('CA Standards and Followers'!$D$14:$D$73,MATCH($A21,'CA Standards and Followers'!$A$14:$A$73,0))=1,INDEX('CA Standards and Followers'!$G$14:$G$73,MATCH($A21,'CA Standards and Followers'!$A$14:$A$73,0))&lt;=AA$1),INDEX('CA Standards and Followers'!$2:$2,MATCH(AA$1,'CA Standards and Followers'!$1:$1,0)),0))</f>
        <v>0.22</v>
      </c>
      <c r="AB21">
        <f>IF(AND(INDEX('CA Standards and Followers'!$E$14:$E$73,MATCH($A21,'CA Standards and Followers'!$A$14:$A$73,0))=1,INDEX('CA Standards and Followers'!$H$14:$H$73,MATCH($A21,'CA Standards and Followers'!$A$14:$A$73,0))&lt;=AB$1),INDEX('CA Standards and Followers'!$3:$3,MATCH(AB$1,'CA Standards and Followers'!$1:$1,0)),IF(AND(INDEX('CA Standards and Followers'!$D$14:$D$73,MATCH($A21,'CA Standards and Followers'!$A$14:$A$73,0))=1,INDEX('CA Standards and Followers'!$G$14:$G$73,MATCH($A21,'CA Standards and Followers'!$A$14:$A$73,0))&lt;=AB$1),INDEX('CA Standards and Followers'!$2:$2,MATCH(AB$1,'CA Standards and Followers'!$1:$1,0)),0))</f>
        <v>0.22</v>
      </c>
      <c r="AC21">
        <f>IF(AND(INDEX('CA Standards and Followers'!$E$14:$E$73,MATCH($A21,'CA Standards and Followers'!$A$14:$A$73,0))=1,INDEX('CA Standards and Followers'!$H$14:$H$73,MATCH($A21,'CA Standards and Followers'!$A$14:$A$73,0))&lt;=AC$1),INDEX('CA Standards and Followers'!$3:$3,MATCH(AC$1,'CA Standards and Followers'!$1:$1,0)),IF(AND(INDEX('CA Standards and Followers'!$D$14:$D$73,MATCH($A21,'CA Standards and Followers'!$A$14:$A$73,0))=1,INDEX('CA Standards and Followers'!$G$14:$G$73,MATCH($A21,'CA Standards and Followers'!$A$14:$A$73,0))&lt;=AC$1),INDEX('CA Standards and Followers'!$2:$2,MATCH(AC$1,'CA Standards and Followers'!$1:$1,0)),0))</f>
        <v>0.22</v>
      </c>
      <c r="AD21">
        <f>IF(AND(INDEX('CA Standards and Followers'!$E$14:$E$73,MATCH($A21,'CA Standards and Followers'!$A$14:$A$73,0))=1,INDEX('CA Standards and Followers'!$H$14:$H$73,MATCH($A21,'CA Standards and Followers'!$A$14:$A$73,0))&lt;=AD$1),INDEX('CA Standards and Followers'!$3:$3,MATCH(AD$1,'CA Standards and Followers'!$1:$1,0)),IF(AND(INDEX('CA Standards and Followers'!$D$14:$D$73,MATCH($A21,'CA Standards and Followers'!$A$14:$A$73,0))=1,INDEX('CA Standards and Followers'!$G$14:$G$73,MATCH($A21,'CA Standards and Followers'!$A$14:$A$73,0))&lt;=AD$1),INDEX('CA Standards and Followers'!$2:$2,MATCH(AD$1,'CA Standards and Followers'!$1:$1,0)),0))</f>
        <v>0.22</v>
      </c>
      <c r="AE21">
        <f>IF(AND(INDEX('CA Standards and Followers'!$E$14:$E$73,MATCH($A21,'CA Standards and Followers'!$A$14:$A$73,0))=1,INDEX('CA Standards and Followers'!$H$14:$H$73,MATCH($A21,'CA Standards and Followers'!$A$14:$A$73,0))&lt;=AE$1),INDEX('CA Standards and Followers'!$3:$3,MATCH(AE$1,'CA Standards and Followers'!$1:$1,0)),IF(AND(INDEX('CA Standards and Followers'!$D$14:$D$73,MATCH($A21,'CA Standards and Followers'!$A$14:$A$73,0))=1,INDEX('CA Standards and Followers'!$G$14:$G$73,MATCH($A21,'CA Standards and Followers'!$A$14:$A$73,0))&lt;=AE$1),INDEX('CA Standards and Followers'!$2:$2,MATCH(AE$1,'CA Standards and Followers'!$1:$1,0)),0))</f>
        <v>0.22</v>
      </c>
      <c r="AF21">
        <f>IF(AND(INDEX('CA Standards and Followers'!$E$14:$E$73,MATCH($A21,'CA Standards and Followers'!$A$14:$A$73,0))=1,INDEX('CA Standards and Followers'!$H$14:$H$73,MATCH($A21,'CA Standards and Followers'!$A$14:$A$73,0))&lt;=AF$1),INDEX('CA Standards and Followers'!$3:$3,MATCH(AF$1,'CA Standards and Followers'!$1:$1,0)),IF(AND(INDEX('CA Standards and Followers'!$D$14:$D$73,MATCH($A21,'CA Standards and Followers'!$A$14:$A$73,0))=1,INDEX('CA Standards and Followers'!$G$14:$G$73,MATCH($A21,'CA Standards and Followers'!$A$14:$A$73,0))&lt;=AF$1),INDEX('CA Standards and Followers'!$2:$2,MATCH(AF$1,'CA Standards and Followers'!$1:$1,0)),0))</f>
        <v>0.22</v>
      </c>
    </row>
    <row r="22" spans="1:32" x14ac:dyDescent="0.25">
      <c r="A22" t="s">
        <v>22</v>
      </c>
      <c r="B22">
        <f>IF(AND(INDEX('CA Standards and Followers'!$E$14:$E$73,MATCH($A22,'CA Standards and Followers'!$A$14:$A$73,0))=1,INDEX('CA Standards and Followers'!$H$14:$H$73,MATCH($A22,'CA Standards and Followers'!$A$14:$A$73,0))&lt;=B$1),INDEX('CA Standards and Followers'!$3:$3,MATCH(B$1,'CA Standards and Followers'!$1:$1,0)),IF(AND(INDEX('CA Standards and Followers'!$D$14:$D$73,MATCH($A22,'CA Standards and Followers'!$A$14:$A$73,0))=1,INDEX('CA Standards and Followers'!$G$14:$G$73,MATCH($A22,'CA Standards and Followers'!$A$14:$A$73,0))&lt;=B$1),INDEX('CA Standards and Followers'!$2:$2,MATCH(B$1,'CA Standards and Followers'!$1:$1,0)),0))</f>
        <v>9.5000000000000001E-2</v>
      </c>
      <c r="C22">
        <f>IF(AND(INDEX('CA Standards and Followers'!$E$14:$E$73,MATCH($A22,'CA Standards and Followers'!$A$14:$A$73,0))=1,INDEX('CA Standards and Followers'!$H$14:$H$73,MATCH($A22,'CA Standards and Followers'!$A$14:$A$73,0))&lt;=C$1),INDEX('CA Standards and Followers'!$3:$3,MATCH(C$1,'CA Standards and Followers'!$1:$1,0)),IF(AND(INDEX('CA Standards and Followers'!$D$14:$D$73,MATCH($A22,'CA Standards and Followers'!$A$14:$A$73,0))=1,INDEX('CA Standards and Followers'!$G$14:$G$73,MATCH($A22,'CA Standards and Followers'!$A$14:$A$73,0))&lt;=C$1),INDEX('CA Standards and Followers'!$2:$2,MATCH(C$1,'CA Standards and Followers'!$1:$1,0)),0))</f>
        <v>0.12</v>
      </c>
      <c r="D22">
        <f>IF(AND(INDEX('CA Standards and Followers'!$E$14:$E$73,MATCH($A22,'CA Standards and Followers'!$A$14:$A$73,0))=1,INDEX('CA Standards and Followers'!$H$14:$H$73,MATCH($A22,'CA Standards and Followers'!$A$14:$A$73,0))&lt;=D$1),INDEX('CA Standards and Followers'!$3:$3,MATCH(D$1,'CA Standards and Followers'!$1:$1,0)),IF(AND(INDEX('CA Standards and Followers'!$D$14:$D$73,MATCH($A22,'CA Standards and Followers'!$A$14:$A$73,0))=1,INDEX('CA Standards and Followers'!$G$14:$G$73,MATCH($A22,'CA Standards and Followers'!$A$14:$A$73,0))&lt;=D$1),INDEX('CA Standards and Followers'!$2:$2,MATCH(D$1,'CA Standards and Followers'!$1:$1,0)),0))</f>
        <v>0.14499999999999999</v>
      </c>
      <c r="E22">
        <f>IF(AND(INDEX('CA Standards and Followers'!$E$14:$E$73,MATCH($A22,'CA Standards and Followers'!$A$14:$A$73,0))=1,INDEX('CA Standards and Followers'!$H$14:$H$73,MATCH($A22,'CA Standards and Followers'!$A$14:$A$73,0))&lt;=E$1),INDEX('CA Standards and Followers'!$3:$3,MATCH(E$1,'CA Standards and Followers'!$1:$1,0)),IF(AND(INDEX('CA Standards and Followers'!$D$14:$D$73,MATCH($A22,'CA Standards and Followers'!$A$14:$A$73,0))=1,INDEX('CA Standards and Followers'!$G$14:$G$73,MATCH($A22,'CA Standards and Followers'!$A$14:$A$73,0))&lt;=E$1),INDEX('CA Standards and Followers'!$2:$2,MATCH(E$1,'CA Standards and Followers'!$1:$1,0)),0))</f>
        <v>0.16999999999999998</v>
      </c>
      <c r="F22">
        <f>IF(AND(INDEX('CA Standards and Followers'!$E$14:$E$73,MATCH($A22,'CA Standards and Followers'!$A$14:$A$73,0))=1,INDEX('CA Standards and Followers'!$H$14:$H$73,MATCH($A22,'CA Standards and Followers'!$A$14:$A$73,0))&lt;=F$1),INDEX('CA Standards and Followers'!$3:$3,MATCH(F$1,'CA Standards and Followers'!$1:$1,0)),IF(AND(INDEX('CA Standards and Followers'!$D$14:$D$73,MATCH($A22,'CA Standards and Followers'!$A$14:$A$73,0))=1,INDEX('CA Standards and Followers'!$G$14:$G$73,MATCH($A22,'CA Standards and Followers'!$A$14:$A$73,0))&lt;=F$1),INDEX('CA Standards and Followers'!$2:$2,MATCH(F$1,'CA Standards and Followers'!$1:$1,0)),0))</f>
        <v>0.19500000000000001</v>
      </c>
      <c r="G22">
        <f>IF(AND(INDEX('CA Standards and Followers'!$E$14:$E$73,MATCH($A22,'CA Standards and Followers'!$A$14:$A$73,0))=1,INDEX('CA Standards and Followers'!$H$14:$H$73,MATCH($A22,'CA Standards and Followers'!$A$14:$A$73,0))&lt;=G$1),INDEX('CA Standards and Followers'!$3:$3,MATCH(G$1,'CA Standards and Followers'!$1:$1,0)),IF(AND(INDEX('CA Standards and Followers'!$D$14:$D$73,MATCH($A22,'CA Standards and Followers'!$A$14:$A$73,0))=1,INDEX('CA Standards and Followers'!$G$14:$G$73,MATCH($A22,'CA Standards and Followers'!$A$14:$A$73,0))&lt;=G$1),INDEX('CA Standards and Followers'!$2:$2,MATCH(G$1,'CA Standards and Followers'!$1:$1,0)),0))</f>
        <v>0.21999999999999997</v>
      </c>
      <c r="H22">
        <f>IF(AND(INDEX('CA Standards and Followers'!$E$14:$E$73,MATCH($A22,'CA Standards and Followers'!$A$14:$A$73,0))=1,INDEX('CA Standards and Followers'!$H$14:$H$73,MATCH($A22,'CA Standards and Followers'!$A$14:$A$73,0))&lt;=H$1),INDEX('CA Standards and Followers'!$3:$3,MATCH(H$1,'CA Standards and Followers'!$1:$1,0)),IF(AND(INDEX('CA Standards and Followers'!$D$14:$D$73,MATCH($A22,'CA Standards and Followers'!$A$14:$A$73,0))=1,INDEX('CA Standards and Followers'!$G$14:$G$73,MATCH($A22,'CA Standards and Followers'!$A$14:$A$73,0))&lt;=H$1),INDEX('CA Standards and Followers'!$2:$2,MATCH(H$1,'CA Standards and Followers'!$1:$1,0)),0))</f>
        <v>0.22</v>
      </c>
      <c r="I22">
        <f>IF(AND(INDEX('CA Standards and Followers'!$E$14:$E$73,MATCH($A22,'CA Standards and Followers'!$A$14:$A$73,0))=1,INDEX('CA Standards and Followers'!$H$14:$H$73,MATCH($A22,'CA Standards and Followers'!$A$14:$A$73,0))&lt;=I$1),INDEX('CA Standards and Followers'!$3:$3,MATCH(I$1,'CA Standards and Followers'!$1:$1,0)),IF(AND(INDEX('CA Standards and Followers'!$D$14:$D$73,MATCH($A22,'CA Standards and Followers'!$A$14:$A$73,0))=1,INDEX('CA Standards and Followers'!$G$14:$G$73,MATCH($A22,'CA Standards and Followers'!$A$14:$A$73,0))&lt;=I$1),INDEX('CA Standards and Followers'!$2:$2,MATCH(I$1,'CA Standards and Followers'!$1:$1,0)),0))</f>
        <v>0.22</v>
      </c>
      <c r="J22">
        <f>IF(AND(INDEX('CA Standards and Followers'!$E$14:$E$73,MATCH($A22,'CA Standards and Followers'!$A$14:$A$73,0))=1,INDEX('CA Standards and Followers'!$H$14:$H$73,MATCH($A22,'CA Standards and Followers'!$A$14:$A$73,0))&lt;=J$1),INDEX('CA Standards and Followers'!$3:$3,MATCH(J$1,'CA Standards and Followers'!$1:$1,0)),IF(AND(INDEX('CA Standards and Followers'!$D$14:$D$73,MATCH($A22,'CA Standards and Followers'!$A$14:$A$73,0))=1,INDEX('CA Standards and Followers'!$G$14:$G$73,MATCH($A22,'CA Standards and Followers'!$A$14:$A$73,0))&lt;=J$1),INDEX('CA Standards and Followers'!$2:$2,MATCH(J$1,'CA Standards and Followers'!$1:$1,0)),0))</f>
        <v>0.22</v>
      </c>
      <c r="K22">
        <f>IF(AND(INDEX('CA Standards and Followers'!$E$14:$E$73,MATCH($A22,'CA Standards and Followers'!$A$14:$A$73,0))=1,INDEX('CA Standards and Followers'!$H$14:$H$73,MATCH($A22,'CA Standards and Followers'!$A$14:$A$73,0))&lt;=K$1),INDEX('CA Standards and Followers'!$3:$3,MATCH(K$1,'CA Standards and Followers'!$1:$1,0)),IF(AND(INDEX('CA Standards and Followers'!$D$14:$D$73,MATCH($A22,'CA Standards and Followers'!$A$14:$A$73,0))=1,INDEX('CA Standards and Followers'!$G$14:$G$73,MATCH($A22,'CA Standards and Followers'!$A$14:$A$73,0))&lt;=K$1),INDEX('CA Standards and Followers'!$2:$2,MATCH(K$1,'CA Standards and Followers'!$1:$1,0)),0))</f>
        <v>0.22</v>
      </c>
      <c r="L22">
        <f>IF(AND(INDEX('CA Standards and Followers'!$E$14:$E$73,MATCH($A22,'CA Standards and Followers'!$A$14:$A$73,0))=1,INDEX('CA Standards and Followers'!$H$14:$H$73,MATCH($A22,'CA Standards and Followers'!$A$14:$A$73,0))&lt;=L$1),INDEX('CA Standards and Followers'!$3:$3,MATCH(L$1,'CA Standards and Followers'!$1:$1,0)),IF(AND(INDEX('CA Standards and Followers'!$D$14:$D$73,MATCH($A22,'CA Standards and Followers'!$A$14:$A$73,0))=1,INDEX('CA Standards and Followers'!$G$14:$G$73,MATCH($A22,'CA Standards and Followers'!$A$14:$A$73,0))&lt;=L$1),INDEX('CA Standards and Followers'!$2:$2,MATCH(L$1,'CA Standards and Followers'!$1:$1,0)),0))</f>
        <v>0.22</v>
      </c>
      <c r="M22">
        <f>IF(AND(INDEX('CA Standards and Followers'!$E$14:$E$73,MATCH($A22,'CA Standards and Followers'!$A$14:$A$73,0))=1,INDEX('CA Standards and Followers'!$H$14:$H$73,MATCH($A22,'CA Standards and Followers'!$A$14:$A$73,0))&lt;=M$1),INDEX('CA Standards and Followers'!$3:$3,MATCH(M$1,'CA Standards and Followers'!$1:$1,0)),IF(AND(INDEX('CA Standards and Followers'!$D$14:$D$73,MATCH($A22,'CA Standards and Followers'!$A$14:$A$73,0))=1,INDEX('CA Standards and Followers'!$G$14:$G$73,MATCH($A22,'CA Standards and Followers'!$A$14:$A$73,0))&lt;=M$1),INDEX('CA Standards and Followers'!$2:$2,MATCH(M$1,'CA Standards and Followers'!$1:$1,0)),0))</f>
        <v>0.22</v>
      </c>
      <c r="N22">
        <f>IF(AND(INDEX('CA Standards and Followers'!$E$14:$E$73,MATCH($A22,'CA Standards and Followers'!$A$14:$A$73,0))=1,INDEX('CA Standards and Followers'!$H$14:$H$73,MATCH($A22,'CA Standards and Followers'!$A$14:$A$73,0))&lt;=N$1),INDEX('CA Standards and Followers'!$3:$3,MATCH(N$1,'CA Standards and Followers'!$1:$1,0)),IF(AND(INDEX('CA Standards and Followers'!$D$14:$D$73,MATCH($A22,'CA Standards and Followers'!$A$14:$A$73,0))=1,INDEX('CA Standards and Followers'!$G$14:$G$73,MATCH($A22,'CA Standards and Followers'!$A$14:$A$73,0))&lt;=N$1),INDEX('CA Standards and Followers'!$2:$2,MATCH(N$1,'CA Standards and Followers'!$1:$1,0)),0))</f>
        <v>0.22</v>
      </c>
      <c r="O22">
        <f>IF(AND(INDEX('CA Standards and Followers'!$E$14:$E$73,MATCH($A22,'CA Standards and Followers'!$A$14:$A$73,0))=1,INDEX('CA Standards and Followers'!$H$14:$H$73,MATCH($A22,'CA Standards and Followers'!$A$14:$A$73,0))&lt;=O$1),INDEX('CA Standards and Followers'!$3:$3,MATCH(O$1,'CA Standards and Followers'!$1:$1,0)),IF(AND(INDEX('CA Standards and Followers'!$D$14:$D$73,MATCH($A22,'CA Standards and Followers'!$A$14:$A$73,0))=1,INDEX('CA Standards and Followers'!$G$14:$G$73,MATCH($A22,'CA Standards and Followers'!$A$14:$A$73,0))&lt;=O$1),INDEX('CA Standards and Followers'!$2:$2,MATCH(O$1,'CA Standards and Followers'!$1:$1,0)),0))</f>
        <v>0.22</v>
      </c>
      <c r="P22">
        <f>IF(AND(INDEX('CA Standards and Followers'!$E$14:$E$73,MATCH($A22,'CA Standards and Followers'!$A$14:$A$73,0))=1,INDEX('CA Standards and Followers'!$H$14:$H$73,MATCH($A22,'CA Standards and Followers'!$A$14:$A$73,0))&lt;=P$1),INDEX('CA Standards and Followers'!$3:$3,MATCH(P$1,'CA Standards and Followers'!$1:$1,0)),IF(AND(INDEX('CA Standards and Followers'!$D$14:$D$73,MATCH($A22,'CA Standards and Followers'!$A$14:$A$73,0))=1,INDEX('CA Standards and Followers'!$G$14:$G$73,MATCH($A22,'CA Standards and Followers'!$A$14:$A$73,0))&lt;=P$1),INDEX('CA Standards and Followers'!$2:$2,MATCH(P$1,'CA Standards and Followers'!$1:$1,0)),0))</f>
        <v>0.22</v>
      </c>
      <c r="Q22">
        <f>IF(AND(INDEX('CA Standards and Followers'!$E$14:$E$73,MATCH($A22,'CA Standards and Followers'!$A$14:$A$73,0))=1,INDEX('CA Standards and Followers'!$H$14:$H$73,MATCH($A22,'CA Standards and Followers'!$A$14:$A$73,0))&lt;=Q$1),INDEX('CA Standards and Followers'!$3:$3,MATCH(Q$1,'CA Standards and Followers'!$1:$1,0)),IF(AND(INDEX('CA Standards and Followers'!$D$14:$D$73,MATCH($A22,'CA Standards and Followers'!$A$14:$A$73,0))=1,INDEX('CA Standards and Followers'!$G$14:$G$73,MATCH($A22,'CA Standards and Followers'!$A$14:$A$73,0))&lt;=Q$1),INDEX('CA Standards and Followers'!$2:$2,MATCH(Q$1,'CA Standards and Followers'!$1:$1,0)),0))</f>
        <v>0.22</v>
      </c>
      <c r="R22">
        <f>IF(AND(INDEX('CA Standards and Followers'!$E$14:$E$73,MATCH($A22,'CA Standards and Followers'!$A$14:$A$73,0))=1,INDEX('CA Standards and Followers'!$H$14:$H$73,MATCH($A22,'CA Standards and Followers'!$A$14:$A$73,0))&lt;=R$1),INDEX('CA Standards and Followers'!$3:$3,MATCH(R$1,'CA Standards and Followers'!$1:$1,0)),IF(AND(INDEX('CA Standards and Followers'!$D$14:$D$73,MATCH($A22,'CA Standards and Followers'!$A$14:$A$73,0))=1,INDEX('CA Standards and Followers'!$G$14:$G$73,MATCH($A22,'CA Standards and Followers'!$A$14:$A$73,0))&lt;=R$1),INDEX('CA Standards and Followers'!$2:$2,MATCH(R$1,'CA Standards and Followers'!$1:$1,0)),0))</f>
        <v>0.22</v>
      </c>
      <c r="S22">
        <f>IF(AND(INDEX('CA Standards and Followers'!$E$14:$E$73,MATCH($A22,'CA Standards and Followers'!$A$14:$A$73,0))=1,INDEX('CA Standards and Followers'!$H$14:$H$73,MATCH($A22,'CA Standards and Followers'!$A$14:$A$73,0))&lt;=S$1),INDEX('CA Standards and Followers'!$3:$3,MATCH(S$1,'CA Standards and Followers'!$1:$1,0)),IF(AND(INDEX('CA Standards and Followers'!$D$14:$D$73,MATCH($A22,'CA Standards and Followers'!$A$14:$A$73,0))=1,INDEX('CA Standards and Followers'!$G$14:$G$73,MATCH($A22,'CA Standards and Followers'!$A$14:$A$73,0))&lt;=S$1),INDEX('CA Standards and Followers'!$2:$2,MATCH(S$1,'CA Standards and Followers'!$1:$1,0)),0))</f>
        <v>0.22</v>
      </c>
      <c r="T22">
        <f>IF(AND(INDEX('CA Standards and Followers'!$E$14:$E$73,MATCH($A22,'CA Standards and Followers'!$A$14:$A$73,0))=1,INDEX('CA Standards and Followers'!$H$14:$H$73,MATCH($A22,'CA Standards and Followers'!$A$14:$A$73,0))&lt;=T$1),INDEX('CA Standards and Followers'!$3:$3,MATCH(T$1,'CA Standards and Followers'!$1:$1,0)),IF(AND(INDEX('CA Standards and Followers'!$D$14:$D$73,MATCH($A22,'CA Standards and Followers'!$A$14:$A$73,0))=1,INDEX('CA Standards and Followers'!$G$14:$G$73,MATCH($A22,'CA Standards and Followers'!$A$14:$A$73,0))&lt;=T$1),INDEX('CA Standards and Followers'!$2:$2,MATCH(T$1,'CA Standards and Followers'!$1:$1,0)),0))</f>
        <v>0.22</v>
      </c>
      <c r="U22">
        <f>IF(AND(INDEX('CA Standards and Followers'!$E$14:$E$73,MATCH($A22,'CA Standards and Followers'!$A$14:$A$73,0))=1,INDEX('CA Standards and Followers'!$H$14:$H$73,MATCH($A22,'CA Standards and Followers'!$A$14:$A$73,0))&lt;=U$1),INDEX('CA Standards and Followers'!$3:$3,MATCH(U$1,'CA Standards and Followers'!$1:$1,0)),IF(AND(INDEX('CA Standards and Followers'!$D$14:$D$73,MATCH($A22,'CA Standards and Followers'!$A$14:$A$73,0))=1,INDEX('CA Standards and Followers'!$G$14:$G$73,MATCH($A22,'CA Standards and Followers'!$A$14:$A$73,0))&lt;=U$1),INDEX('CA Standards and Followers'!$2:$2,MATCH(U$1,'CA Standards and Followers'!$1:$1,0)),0))</f>
        <v>0.22</v>
      </c>
      <c r="V22">
        <f>IF(AND(INDEX('CA Standards and Followers'!$E$14:$E$73,MATCH($A22,'CA Standards and Followers'!$A$14:$A$73,0))=1,INDEX('CA Standards and Followers'!$H$14:$H$73,MATCH($A22,'CA Standards and Followers'!$A$14:$A$73,0))&lt;=V$1),INDEX('CA Standards and Followers'!$3:$3,MATCH(V$1,'CA Standards and Followers'!$1:$1,0)),IF(AND(INDEX('CA Standards and Followers'!$D$14:$D$73,MATCH($A22,'CA Standards and Followers'!$A$14:$A$73,0))=1,INDEX('CA Standards and Followers'!$G$14:$G$73,MATCH($A22,'CA Standards and Followers'!$A$14:$A$73,0))&lt;=V$1),INDEX('CA Standards and Followers'!$2:$2,MATCH(V$1,'CA Standards and Followers'!$1:$1,0)),0))</f>
        <v>0.22</v>
      </c>
      <c r="W22">
        <f>IF(AND(INDEX('CA Standards and Followers'!$E$14:$E$73,MATCH($A22,'CA Standards and Followers'!$A$14:$A$73,0))=1,INDEX('CA Standards and Followers'!$H$14:$H$73,MATCH($A22,'CA Standards and Followers'!$A$14:$A$73,0))&lt;=W$1),INDEX('CA Standards and Followers'!$3:$3,MATCH(W$1,'CA Standards and Followers'!$1:$1,0)),IF(AND(INDEX('CA Standards and Followers'!$D$14:$D$73,MATCH($A22,'CA Standards and Followers'!$A$14:$A$73,0))=1,INDEX('CA Standards and Followers'!$G$14:$G$73,MATCH($A22,'CA Standards and Followers'!$A$14:$A$73,0))&lt;=W$1),INDEX('CA Standards and Followers'!$2:$2,MATCH(W$1,'CA Standards and Followers'!$1:$1,0)),0))</f>
        <v>0.22</v>
      </c>
      <c r="X22">
        <f>IF(AND(INDEX('CA Standards and Followers'!$E$14:$E$73,MATCH($A22,'CA Standards and Followers'!$A$14:$A$73,0))=1,INDEX('CA Standards and Followers'!$H$14:$H$73,MATCH($A22,'CA Standards and Followers'!$A$14:$A$73,0))&lt;=X$1),INDEX('CA Standards and Followers'!$3:$3,MATCH(X$1,'CA Standards and Followers'!$1:$1,0)),IF(AND(INDEX('CA Standards and Followers'!$D$14:$D$73,MATCH($A22,'CA Standards and Followers'!$A$14:$A$73,0))=1,INDEX('CA Standards and Followers'!$G$14:$G$73,MATCH($A22,'CA Standards and Followers'!$A$14:$A$73,0))&lt;=X$1),INDEX('CA Standards and Followers'!$2:$2,MATCH(X$1,'CA Standards and Followers'!$1:$1,0)),0))</f>
        <v>0.22</v>
      </c>
      <c r="Y22">
        <f>IF(AND(INDEX('CA Standards and Followers'!$E$14:$E$73,MATCH($A22,'CA Standards and Followers'!$A$14:$A$73,0))=1,INDEX('CA Standards and Followers'!$H$14:$H$73,MATCH($A22,'CA Standards and Followers'!$A$14:$A$73,0))&lt;=Y$1),INDEX('CA Standards and Followers'!$3:$3,MATCH(Y$1,'CA Standards and Followers'!$1:$1,0)),IF(AND(INDEX('CA Standards and Followers'!$D$14:$D$73,MATCH($A22,'CA Standards and Followers'!$A$14:$A$73,0))=1,INDEX('CA Standards and Followers'!$G$14:$G$73,MATCH($A22,'CA Standards and Followers'!$A$14:$A$73,0))&lt;=Y$1),INDEX('CA Standards and Followers'!$2:$2,MATCH(Y$1,'CA Standards and Followers'!$1:$1,0)),0))</f>
        <v>0.22</v>
      </c>
      <c r="Z22">
        <f>IF(AND(INDEX('CA Standards and Followers'!$E$14:$E$73,MATCH($A22,'CA Standards and Followers'!$A$14:$A$73,0))=1,INDEX('CA Standards and Followers'!$H$14:$H$73,MATCH($A22,'CA Standards and Followers'!$A$14:$A$73,0))&lt;=Z$1),INDEX('CA Standards and Followers'!$3:$3,MATCH(Z$1,'CA Standards and Followers'!$1:$1,0)),IF(AND(INDEX('CA Standards and Followers'!$D$14:$D$73,MATCH($A22,'CA Standards and Followers'!$A$14:$A$73,0))=1,INDEX('CA Standards and Followers'!$G$14:$G$73,MATCH($A22,'CA Standards and Followers'!$A$14:$A$73,0))&lt;=Z$1),INDEX('CA Standards and Followers'!$2:$2,MATCH(Z$1,'CA Standards and Followers'!$1:$1,0)),0))</f>
        <v>0.22</v>
      </c>
      <c r="AA22">
        <f>IF(AND(INDEX('CA Standards and Followers'!$E$14:$E$73,MATCH($A22,'CA Standards and Followers'!$A$14:$A$73,0))=1,INDEX('CA Standards and Followers'!$H$14:$H$73,MATCH($A22,'CA Standards and Followers'!$A$14:$A$73,0))&lt;=AA$1),INDEX('CA Standards and Followers'!$3:$3,MATCH(AA$1,'CA Standards and Followers'!$1:$1,0)),IF(AND(INDEX('CA Standards and Followers'!$D$14:$D$73,MATCH($A22,'CA Standards and Followers'!$A$14:$A$73,0))=1,INDEX('CA Standards and Followers'!$G$14:$G$73,MATCH($A22,'CA Standards and Followers'!$A$14:$A$73,0))&lt;=AA$1),INDEX('CA Standards and Followers'!$2:$2,MATCH(AA$1,'CA Standards and Followers'!$1:$1,0)),0))</f>
        <v>0.22</v>
      </c>
      <c r="AB22">
        <f>IF(AND(INDEX('CA Standards and Followers'!$E$14:$E$73,MATCH($A22,'CA Standards and Followers'!$A$14:$A$73,0))=1,INDEX('CA Standards and Followers'!$H$14:$H$73,MATCH($A22,'CA Standards and Followers'!$A$14:$A$73,0))&lt;=AB$1),INDEX('CA Standards and Followers'!$3:$3,MATCH(AB$1,'CA Standards and Followers'!$1:$1,0)),IF(AND(INDEX('CA Standards and Followers'!$D$14:$D$73,MATCH($A22,'CA Standards and Followers'!$A$14:$A$73,0))=1,INDEX('CA Standards and Followers'!$G$14:$G$73,MATCH($A22,'CA Standards and Followers'!$A$14:$A$73,0))&lt;=AB$1),INDEX('CA Standards and Followers'!$2:$2,MATCH(AB$1,'CA Standards and Followers'!$1:$1,0)),0))</f>
        <v>0.22</v>
      </c>
      <c r="AC22">
        <f>IF(AND(INDEX('CA Standards and Followers'!$E$14:$E$73,MATCH($A22,'CA Standards and Followers'!$A$14:$A$73,0))=1,INDEX('CA Standards and Followers'!$H$14:$H$73,MATCH($A22,'CA Standards and Followers'!$A$14:$A$73,0))&lt;=AC$1),INDEX('CA Standards and Followers'!$3:$3,MATCH(AC$1,'CA Standards and Followers'!$1:$1,0)),IF(AND(INDEX('CA Standards and Followers'!$D$14:$D$73,MATCH($A22,'CA Standards and Followers'!$A$14:$A$73,0))=1,INDEX('CA Standards and Followers'!$G$14:$G$73,MATCH($A22,'CA Standards and Followers'!$A$14:$A$73,0))&lt;=AC$1),INDEX('CA Standards and Followers'!$2:$2,MATCH(AC$1,'CA Standards and Followers'!$1:$1,0)),0))</f>
        <v>0.22</v>
      </c>
      <c r="AD22">
        <f>IF(AND(INDEX('CA Standards and Followers'!$E$14:$E$73,MATCH($A22,'CA Standards and Followers'!$A$14:$A$73,0))=1,INDEX('CA Standards and Followers'!$H$14:$H$73,MATCH($A22,'CA Standards and Followers'!$A$14:$A$73,0))&lt;=AD$1),INDEX('CA Standards and Followers'!$3:$3,MATCH(AD$1,'CA Standards and Followers'!$1:$1,0)),IF(AND(INDEX('CA Standards and Followers'!$D$14:$D$73,MATCH($A22,'CA Standards and Followers'!$A$14:$A$73,0))=1,INDEX('CA Standards and Followers'!$G$14:$G$73,MATCH($A22,'CA Standards and Followers'!$A$14:$A$73,0))&lt;=AD$1),INDEX('CA Standards and Followers'!$2:$2,MATCH(AD$1,'CA Standards and Followers'!$1:$1,0)),0))</f>
        <v>0.22</v>
      </c>
      <c r="AE22">
        <f>IF(AND(INDEX('CA Standards and Followers'!$E$14:$E$73,MATCH($A22,'CA Standards and Followers'!$A$14:$A$73,0))=1,INDEX('CA Standards and Followers'!$H$14:$H$73,MATCH($A22,'CA Standards and Followers'!$A$14:$A$73,0))&lt;=AE$1),INDEX('CA Standards and Followers'!$3:$3,MATCH(AE$1,'CA Standards and Followers'!$1:$1,0)),IF(AND(INDEX('CA Standards and Followers'!$D$14:$D$73,MATCH($A22,'CA Standards and Followers'!$A$14:$A$73,0))=1,INDEX('CA Standards and Followers'!$G$14:$G$73,MATCH($A22,'CA Standards and Followers'!$A$14:$A$73,0))&lt;=AE$1),INDEX('CA Standards and Followers'!$2:$2,MATCH(AE$1,'CA Standards and Followers'!$1:$1,0)),0))</f>
        <v>0.22</v>
      </c>
      <c r="AF22">
        <f>IF(AND(INDEX('CA Standards and Followers'!$E$14:$E$73,MATCH($A22,'CA Standards and Followers'!$A$14:$A$73,0))=1,INDEX('CA Standards and Followers'!$H$14:$H$73,MATCH($A22,'CA Standards and Followers'!$A$14:$A$73,0))&lt;=AF$1),INDEX('CA Standards and Followers'!$3:$3,MATCH(AF$1,'CA Standards and Followers'!$1:$1,0)),IF(AND(INDEX('CA Standards and Followers'!$D$14:$D$73,MATCH($A22,'CA Standards and Followers'!$A$14:$A$73,0))=1,INDEX('CA Standards and Followers'!$G$14:$G$73,MATCH($A22,'CA Standards and Followers'!$A$14:$A$73,0))&lt;=AF$1),INDEX('CA Standards and Followers'!$2:$2,MATCH(AF$1,'CA Standards and Followers'!$1:$1,0)),0))</f>
        <v>0.22</v>
      </c>
    </row>
    <row r="23" spans="1:32" x14ac:dyDescent="0.25">
      <c r="A23" t="s">
        <v>23</v>
      </c>
      <c r="B23">
        <f>IF(AND(INDEX('CA Standards and Followers'!$E$14:$E$73,MATCH($A23,'CA Standards and Followers'!$A$14:$A$73,0))=1,INDEX('CA Standards and Followers'!$H$14:$H$73,MATCH($A23,'CA Standards and Followers'!$A$14:$A$73,0))&lt;=B$1),INDEX('CA Standards and Followers'!$3:$3,MATCH(B$1,'CA Standards and Followers'!$1:$1,0)),IF(AND(INDEX('CA Standards and Followers'!$D$14:$D$73,MATCH($A23,'CA Standards and Followers'!$A$14:$A$73,0))=1,INDEX('CA Standards and Followers'!$G$14:$G$73,MATCH($A23,'CA Standards and Followers'!$A$14:$A$73,0))&lt;=B$1),INDEX('CA Standards and Followers'!$2:$2,MATCH(B$1,'CA Standards and Followers'!$1:$1,0)),0))</f>
        <v>9.5000000000000001E-2</v>
      </c>
      <c r="C23">
        <f>IF(AND(INDEX('CA Standards and Followers'!$E$14:$E$73,MATCH($A23,'CA Standards and Followers'!$A$14:$A$73,0))=1,INDEX('CA Standards and Followers'!$H$14:$H$73,MATCH($A23,'CA Standards and Followers'!$A$14:$A$73,0))&lt;=C$1),INDEX('CA Standards and Followers'!$3:$3,MATCH(C$1,'CA Standards and Followers'!$1:$1,0)),IF(AND(INDEX('CA Standards and Followers'!$D$14:$D$73,MATCH($A23,'CA Standards and Followers'!$A$14:$A$73,0))=1,INDEX('CA Standards and Followers'!$G$14:$G$73,MATCH($A23,'CA Standards and Followers'!$A$14:$A$73,0))&lt;=C$1),INDEX('CA Standards and Followers'!$2:$2,MATCH(C$1,'CA Standards and Followers'!$1:$1,0)),0))</f>
        <v>0.12</v>
      </c>
      <c r="D23">
        <f>IF(AND(INDEX('CA Standards and Followers'!$E$14:$E$73,MATCH($A23,'CA Standards and Followers'!$A$14:$A$73,0))=1,INDEX('CA Standards and Followers'!$H$14:$H$73,MATCH($A23,'CA Standards and Followers'!$A$14:$A$73,0))&lt;=D$1),INDEX('CA Standards and Followers'!$3:$3,MATCH(D$1,'CA Standards and Followers'!$1:$1,0)),IF(AND(INDEX('CA Standards and Followers'!$D$14:$D$73,MATCH($A23,'CA Standards and Followers'!$A$14:$A$73,0))=1,INDEX('CA Standards and Followers'!$G$14:$G$73,MATCH($A23,'CA Standards and Followers'!$A$14:$A$73,0))&lt;=D$1),INDEX('CA Standards and Followers'!$2:$2,MATCH(D$1,'CA Standards and Followers'!$1:$1,0)),0))</f>
        <v>0.14499999999999999</v>
      </c>
      <c r="E23">
        <f>IF(AND(INDEX('CA Standards and Followers'!$E$14:$E$73,MATCH($A23,'CA Standards and Followers'!$A$14:$A$73,0))=1,INDEX('CA Standards and Followers'!$H$14:$H$73,MATCH($A23,'CA Standards and Followers'!$A$14:$A$73,0))&lt;=E$1),INDEX('CA Standards and Followers'!$3:$3,MATCH(E$1,'CA Standards and Followers'!$1:$1,0)),IF(AND(INDEX('CA Standards and Followers'!$D$14:$D$73,MATCH($A23,'CA Standards and Followers'!$A$14:$A$73,0))=1,INDEX('CA Standards and Followers'!$G$14:$G$73,MATCH($A23,'CA Standards and Followers'!$A$14:$A$73,0))&lt;=E$1),INDEX('CA Standards and Followers'!$2:$2,MATCH(E$1,'CA Standards and Followers'!$1:$1,0)),0))</f>
        <v>0.16999999999999998</v>
      </c>
      <c r="F23">
        <f>IF(AND(INDEX('CA Standards and Followers'!$E$14:$E$73,MATCH($A23,'CA Standards and Followers'!$A$14:$A$73,0))=1,INDEX('CA Standards and Followers'!$H$14:$H$73,MATCH($A23,'CA Standards and Followers'!$A$14:$A$73,0))&lt;=F$1),INDEX('CA Standards and Followers'!$3:$3,MATCH(F$1,'CA Standards and Followers'!$1:$1,0)),IF(AND(INDEX('CA Standards and Followers'!$D$14:$D$73,MATCH($A23,'CA Standards and Followers'!$A$14:$A$73,0))=1,INDEX('CA Standards and Followers'!$G$14:$G$73,MATCH($A23,'CA Standards and Followers'!$A$14:$A$73,0))&lt;=F$1),INDEX('CA Standards and Followers'!$2:$2,MATCH(F$1,'CA Standards and Followers'!$1:$1,0)),0))</f>
        <v>0.19500000000000001</v>
      </c>
      <c r="G23">
        <f>IF(AND(INDEX('CA Standards and Followers'!$E$14:$E$73,MATCH($A23,'CA Standards and Followers'!$A$14:$A$73,0))=1,INDEX('CA Standards and Followers'!$H$14:$H$73,MATCH($A23,'CA Standards and Followers'!$A$14:$A$73,0))&lt;=G$1),INDEX('CA Standards and Followers'!$3:$3,MATCH(G$1,'CA Standards and Followers'!$1:$1,0)),IF(AND(INDEX('CA Standards and Followers'!$D$14:$D$73,MATCH($A23,'CA Standards and Followers'!$A$14:$A$73,0))=1,INDEX('CA Standards and Followers'!$G$14:$G$73,MATCH($A23,'CA Standards and Followers'!$A$14:$A$73,0))&lt;=G$1),INDEX('CA Standards and Followers'!$2:$2,MATCH(G$1,'CA Standards and Followers'!$1:$1,0)),0))</f>
        <v>0.21999999999999997</v>
      </c>
      <c r="H23">
        <f>IF(AND(INDEX('CA Standards and Followers'!$E$14:$E$73,MATCH($A23,'CA Standards and Followers'!$A$14:$A$73,0))=1,INDEX('CA Standards and Followers'!$H$14:$H$73,MATCH($A23,'CA Standards and Followers'!$A$14:$A$73,0))&lt;=H$1),INDEX('CA Standards and Followers'!$3:$3,MATCH(H$1,'CA Standards and Followers'!$1:$1,0)),IF(AND(INDEX('CA Standards and Followers'!$D$14:$D$73,MATCH($A23,'CA Standards and Followers'!$A$14:$A$73,0))=1,INDEX('CA Standards and Followers'!$G$14:$G$73,MATCH($A23,'CA Standards and Followers'!$A$14:$A$73,0))&lt;=H$1),INDEX('CA Standards and Followers'!$2:$2,MATCH(H$1,'CA Standards and Followers'!$1:$1,0)),0))</f>
        <v>0.22</v>
      </c>
      <c r="I23">
        <f>IF(AND(INDEX('CA Standards and Followers'!$E$14:$E$73,MATCH($A23,'CA Standards and Followers'!$A$14:$A$73,0))=1,INDEX('CA Standards and Followers'!$H$14:$H$73,MATCH($A23,'CA Standards and Followers'!$A$14:$A$73,0))&lt;=I$1),INDEX('CA Standards and Followers'!$3:$3,MATCH(I$1,'CA Standards and Followers'!$1:$1,0)),IF(AND(INDEX('CA Standards and Followers'!$D$14:$D$73,MATCH($A23,'CA Standards and Followers'!$A$14:$A$73,0))=1,INDEX('CA Standards and Followers'!$G$14:$G$73,MATCH($A23,'CA Standards and Followers'!$A$14:$A$73,0))&lt;=I$1),INDEX('CA Standards and Followers'!$2:$2,MATCH(I$1,'CA Standards and Followers'!$1:$1,0)),0))</f>
        <v>0.22</v>
      </c>
      <c r="J23">
        <f>IF(AND(INDEX('CA Standards and Followers'!$E$14:$E$73,MATCH($A23,'CA Standards and Followers'!$A$14:$A$73,0))=1,INDEX('CA Standards and Followers'!$H$14:$H$73,MATCH($A23,'CA Standards and Followers'!$A$14:$A$73,0))&lt;=J$1),INDEX('CA Standards and Followers'!$3:$3,MATCH(J$1,'CA Standards and Followers'!$1:$1,0)),IF(AND(INDEX('CA Standards and Followers'!$D$14:$D$73,MATCH($A23,'CA Standards and Followers'!$A$14:$A$73,0))=1,INDEX('CA Standards and Followers'!$G$14:$G$73,MATCH($A23,'CA Standards and Followers'!$A$14:$A$73,0))&lt;=J$1),INDEX('CA Standards and Followers'!$2:$2,MATCH(J$1,'CA Standards and Followers'!$1:$1,0)),0))</f>
        <v>0.22</v>
      </c>
      <c r="K23">
        <f>IF(AND(INDEX('CA Standards and Followers'!$E$14:$E$73,MATCH($A23,'CA Standards and Followers'!$A$14:$A$73,0))=1,INDEX('CA Standards and Followers'!$H$14:$H$73,MATCH($A23,'CA Standards and Followers'!$A$14:$A$73,0))&lt;=K$1),INDEX('CA Standards and Followers'!$3:$3,MATCH(K$1,'CA Standards and Followers'!$1:$1,0)),IF(AND(INDEX('CA Standards and Followers'!$D$14:$D$73,MATCH($A23,'CA Standards and Followers'!$A$14:$A$73,0))=1,INDEX('CA Standards and Followers'!$G$14:$G$73,MATCH($A23,'CA Standards and Followers'!$A$14:$A$73,0))&lt;=K$1),INDEX('CA Standards and Followers'!$2:$2,MATCH(K$1,'CA Standards and Followers'!$1:$1,0)),0))</f>
        <v>0.22</v>
      </c>
      <c r="L23">
        <f>IF(AND(INDEX('CA Standards and Followers'!$E$14:$E$73,MATCH($A23,'CA Standards and Followers'!$A$14:$A$73,0))=1,INDEX('CA Standards and Followers'!$H$14:$H$73,MATCH($A23,'CA Standards and Followers'!$A$14:$A$73,0))&lt;=L$1),INDEX('CA Standards and Followers'!$3:$3,MATCH(L$1,'CA Standards and Followers'!$1:$1,0)),IF(AND(INDEX('CA Standards and Followers'!$D$14:$D$73,MATCH($A23,'CA Standards and Followers'!$A$14:$A$73,0))=1,INDEX('CA Standards and Followers'!$G$14:$G$73,MATCH($A23,'CA Standards and Followers'!$A$14:$A$73,0))&lt;=L$1),INDEX('CA Standards and Followers'!$2:$2,MATCH(L$1,'CA Standards and Followers'!$1:$1,0)),0))</f>
        <v>0.22</v>
      </c>
      <c r="M23">
        <f>IF(AND(INDEX('CA Standards and Followers'!$E$14:$E$73,MATCH($A23,'CA Standards and Followers'!$A$14:$A$73,0))=1,INDEX('CA Standards and Followers'!$H$14:$H$73,MATCH($A23,'CA Standards and Followers'!$A$14:$A$73,0))&lt;=M$1),INDEX('CA Standards and Followers'!$3:$3,MATCH(M$1,'CA Standards and Followers'!$1:$1,0)),IF(AND(INDEX('CA Standards and Followers'!$D$14:$D$73,MATCH($A23,'CA Standards and Followers'!$A$14:$A$73,0))=1,INDEX('CA Standards and Followers'!$G$14:$G$73,MATCH($A23,'CA Standards and Followers'!$A$14:$A$73,0))&lt;=M$1),INDEX('CA Standards and Followers'!$2:$2,MATCH(M$1,'CA Standards and Followers'!$1:$1,0)),0))</f>
        <v>0.22</v>
      </c>
      <c r="N23">
        <f>IF(AND(INDEX('CA Standards and Followers'!$E$14:$E$73,MATCH($A23,'CA Standards and Followers'!$A$14:$A$73,0))=1,INDEX('CA Standards and Followers'!$H$14:$H$73,MATCH($A23,'CA Standards and Followers'!$A$14:$A$73,0))&lt;=N$1),INDEX('CA Standards and Followers'!$3:$3,MATCH(N$1,'CA Standards and Followers'!$1:$1,0)),IF(AND(INDEX('CA Standards and Followers'!$D$14:$D$73,MATCH($A23,'CA Standards and Followers'!$A$14:$A$73,0))=1,INDEX('CA Standards and Followers'!$G$14:$G$73,MATCH($A23,'CA Standards and Followers'!$A$14:$A$73,0))&lt;=N$1),INDEX('CA Standards and Followers'!$2:$2,MATCH(N$1,'CA Standards and Followers'!$1:$1,0)),0))</f>
        <v>0.22</v>
      </c>
      <c r="O23">
        <f>IF(AND(INDEX('CA Standards and Followers'!$E$14:$E$73,MATCH($A23,'CA Standards and Followers'!$A$14:$A$73,0))=1,INDEX('CA Standards and Followers'!$H$14:$H$73,MATCH($A23,'CA Standards and Followers'!$A$14:$A$73,0))&lt;=O$1),INDEX('CA Standards and Followers'!$3:$3,MATCH(O$1,'CA Standards and Followers'!$1:$1,0)),IF(AND(INDEX('CA Standards and Followers'!$D$14:$D$73,MATCH($A23,'CA Standards and Followers'!$A$14:$A$73,0))=1,INDEX('CA Standards and Followers'!$G$14:$G$73,MATCH($A23,'CA Standards and Followers'!$A$14:$A$73,0))&lt;=O$1),INDEX('CA Standards and Followers'!$2:$2,MATCH(O$1,'CA Standards and Followers'!$1:$1,0)),0))</f>
        <v>0.22</v>
      </c>
      <c r="P23">
        <f>IF(AND(INDEX('CA Standards and Followers'!$E$14:$E$73,MATCH($A23,'CA Standards and Followers'!$A$14:$A$73,0))=1,INDEX('CA Standards and Followers'!$H$14:$H$73,MATCH($A23,'CA Standards and Followers'!$A$14:$A$73,0))&lt;=P$1),INDEX('CA Standards and Followers'!$3:$3,MATCH(P$1,'CA Standards and Followers'!$1:$1,0)),IF(AND(INDEX('CA Standards and Followers'!$D$14:$D$73,MATCH($A23,'CA Standards and Followers'!$A$14:$A$73,0))=1,INDEX('CA Standards and Followers'!$G$14:$G$73,MATCH($A23,'CA Standards and Followers'!$A$14:$A$73,0))&lt;=P$1),INDEX('CA Standards and Followers'!$2:$2,MATCH(P$1,'CA Standards and Followers'!$1:$1,0)),0))</f>
        <v>0.22</v>
      </c>
      <c r="Q23">
        <f>IF(AND(INDEX('CA Standards and Followers'!$E$14:$E$73,MATCH($A23,'CA Standards and Followers'!$A$14:$A$73,0))=1,INDEX('CA Standards and Followers'!$H$14:$H$73,MATCH($A23,'CA Standards and Followers'!$A$14:$A$73,0))&lt;=Q$1),INDEX('CA Standards and Followers'!$3:$3,MATCH(Q$1,'CA Standards and Followers'!$1:$1,0)),IF(AND(INDEX('CA Standards and Followers'!$D$14:$D$73,MATCH($A23,'CA Standards and Followers'!$A$14:$A$73,0))=1,INDEX('CA Standards and Followers'!$G$14:$G$73,MATCH($A23,'CA Standards and Followers'!$A$14:$A$73,0))&lt;=Q$1),INDEX('CA Standards and Followers'!$2:$2,MATCH(Q$1,'CA Standards and Followers'!$1:$1,0)),0))</f>
        <v>0.22</v>
      </c>
      <c r="R23">
        <f>IF(AND(INDEX('CA Standards and Followers'!$E$14:$E$73,MATCH($A23,'CA Standards and Followers'!$A$14:$A$73,0))=1,INDEX('CA Standards and Followers'!$H$14:$H$73,MATCH($A23,'CA Standards and Followers'!$A$14:$A$73,0))&lt;=R$1),INDEX('CA Standards and Followers'!$3:$3,MATCH(R$1,'CA Standards and Followers'!$1:$1,0)),IF(AND(INDEX('CA Standards and Followers'!$D$14:$D$73,MATCH($A23,'CA Standards and Followers'!$A$14:$A$73,0))=1,INDEX('CA Standards and Followers'!$G$14:$G$73,MATCH($A23,'CA Standards and Followers'!$A$14:$A$73,0))&lt;=R$1),INDEX('CA Standards and Followers'!$2:$2,MATCH(R$1,'CA Standards and Followers'!$1:$1,0)),0))</f>
        <v>0.22</v>
      </c>
      <c r="S23">
        <f>IF(AND(INDEX('CA Standards and Followers'!$E$14:$E$73,MATCH($A23,'CA Standards and Followers'!$A$14:$A$73,0))=1,INDEX('CA Standards and Followers'!$H$14:$H$73,MATCH($A23,'CA Standards and Followers'!$A$14:$A$73,0))&lt;=S$1),INDEX('CA Standards and Followers'!$3:$3,MATCH(S$1,'CA Standards and Followers'!$1:$1,0)),IF(AND(INDEX('CA Standards and Followers'!$D$14:$D$73,MATCH($A23,'CA Standards and Followers'!$A$14:$A$73,0))=1,INDEX('CA Standards and Followers'!$G$14:$G$73,MATCH($A23,'CA Standards and Followers'!$A$14:$A$73,0))&lt;=S$1),INDEX('CA Standards and Followers'!$2:$2,MATCH(S$1,'CA Standards and Followers'!$1:$1,0)),0))</f>
        <v>0.22</v>
      </c>
      <c r="T23">
        <f>IF(AND(INDEX('CA Standards and Followers'!$E$14:$E$73,MATCH($A23,'CA Standards and Followers'!$A$14:$A$73,0))=1,INDEX('CA Standards and Followers'!$H$14:$H$73,MATCH($A23,'CA Standards and Followers'!$A$14:$A$73,0))&lt;=T$1),INDEX('CA Standards and Followers'!$3:$3,MATCH(T$1,'CA Standards and Followers'!$1:$1,0)),IF(AND(INDEX('CA Standards and Followers'!$D$14:$D$73,MATCH($A23,'CA Standards and Followers'!$A$14:$A$73,0))=1,INDEX('CA Standards and Followers'!$G$14:$G$73,MATCH($A23,'CA Standards and Followers'!$A$14:$A$73,0))&lt;=T$1),INDEX('CA Standards and Followers'!$2:$2,MATCH(T$1,'CA Standards and Followers'!$1:$1,0)),0))</f>
        <v>0.22</v>
      </c>
      <c r="U23">
        <f>IF(AND(INDEX('CA Standards and Followers'!$E$14:$E$73,MATCH($A23,'CA Standards and Followers'!$A$14:$A$73,0))=1,INDEX('CA Standards and Followers'!$H$14:$H$73,MATCH($A23,'CA Standards and Followers'!$A$14:$A$73,0))&lt;=U$1),INDEX('CA Standards and Followers'!$3:$3,MATCH(U$1,'CA Standards and Followers'!$1:$1,0)),IF(AND(INDEX('CA Standards and Followers'!$D$14:$D$73,MATCH($A23,'CA Standards and Followers'!$A$14:$A$73,0))=1,INDEX('CA Standards and Followers'!$G$14:$G$73,MATCH($A23,'CA Standards and Followers'!$A$14:$A$73,0))&lt;=U$1),INDEX('CA Standards and Followers'!$2:$2,MATCH(U$1,'CA Standards and Followers'!$1:$1,0)),0))</f>
        <v>0.22</v>
      </c>
      <c r="V23">
        <f>IF(AND(INDEX('CA Standards and Followers'!$E$14:$E$73,MATCH($A23,'CA Standards and Followers'!$A$14:$A$73,0))=1,INDEX('CA Standards and Followers'!$H$14:$H$73,MATCH($A23,'CA Standards and Followers'!$A$14:$A$73,0))&lt;=V$1),INDEX('CA Standards and Followers'!$3:$3,MATCH(V$1,'CA Standards and Followers'!$1:$1,0)),IF(AND(INDEX('CA Standards and Followers'!$D$14:$D$73,MATCH($A23,'CA Standards and Followers'!$A$14:$A$73,0))=1,INDEX('CA Standards and Followers'!$G$14:$G$73,MATCH($A23,'CA Standards and Followers'!$A$14:$A$73,0))&lt;=V$1),INDEX('CA Standards and Followers'!$2:$2,MATCH(V$1,'CA Standards and Followers'!$1:$1,0)),0))</f>
        <v>0.22</v>
      </c>
      <c r="W23">
        <f>IF(AND(INDEX('CA Standards and Followers'!$E$14:$E$73,MATCH($A23,'CA Standards and Followers'!$A$14:$A$73,0))=1,INDEX('CA Standards and Followers'!$H$14:$H$73,MATCH($A23,'CA Standards and Followers'!$A$14:$A$73,0))&lt;=W$1),INDEX('CA Standards and Followers'!$3:$3,MATCH(W$1,'CA Standards and Followers'!$1:$1,0)),IF(AND(INDEX('CA Standards and Followers'!$D$14:$D$73,MATCH($A23,'CA Standards and Followers'!$A$14:$A$73,0))=1,INDEX('CA Standards and Followers'!$G$14:$G$73,MATCH($A23,'CA Standards and Followers'!$A$14:$A$73,0))&lt;=W$1),INDEX('CA Standards and Followers'!$2:$2,MATCH(W$1,'CA Standards and Followers'!$1:$1,0)),0))</f>
        <v>0.22</v>
      </c>
      <c r="X23">
        <f>IF(AND(INDEX('CA Standards and Followers'!$E$14:$E$73,MATCH($A23,'CA Standards and Followers'!$A$14:$A$73,0))=1,INDEX('CA Standards and Followers'!$H$14:$H$73,MATCH($A23,'CA Standards and Followers'!$A$14:$A$73,0))&lt;=X$1),INDEX('CA Standards and Followers'!$3:$3,MATCH(X$1,'CA Standards and Followers'!$1:$1,0)),IF(AND(INDEX('CA Standards and Followers'!$D$14:$D$73,MATCH($A23,'CA Standards and Followers'!$A$14:$A$73,0))=1,INDEX('CA Standards and Followers'!$G$14:$G$73,MATCH($A23,'CA Standards and Followers'!$A$14:$A$73,0))&lt;=X$1),INDEX('CA Standards and Followers'!$2:$2,MATCH(X$1,'CA Standards and Followers'!$1:$1,0)),0))</f>
        <v>0.22</v>
      </c>
      <c r="Y23">
        <f>IF(AND(INDEX('CA Standards and Followers'!$E$14:$E$73,MATCH($A23,'CA Standards and Followers'!$A$14:$A$73,0))=1,INDEX('CA Standards and Followers'!$H$14:$H$73,MATCH($A23,'CA Standards and Followers'!$A$14:$A$73,0))&lt;=Y$1),INDEX('CA Standards and Followers'!$3:$3,MATCH(Y$1,'CA Standards and Followers'!$1:$1,0)),IF(AND(INDEX('CA Standards and Followers'!$D$14:$D$73,MATCH($A23,'CA Standards and Followers'!$A$14:$A$73,0))=1,INDEX('CA Standards and Followers'!$G$14:$G$73,MATCH($A23,'CA Standards and Followers'!$A$14:$A$73,0))&lt;=Y$1),INDEX('CA Standards and Followers'!$2:$2,MATCH(Y$1,'CA Standards and Followers'!$1:$1,0)),0))</f>
        <v>0.22</v>
      </c>
      <c r="Z23">
        <f>IF(AND(INDEX('CA Standards and Followers'!$E$14:$E$73,MATCH($A23,'CA Standards and Followers'!$A$14:$A$73,0))=1,INDEX('CA Standards and Followers'!$H$14:$H$73,MATCH($A23,'CA Standards and Followers'!$A$14:$A$73,0))&lt;=Z$1),INDEX('CA Standards and Followers'!$3:$3,MATCH(Z$1,'CA Standards and Followers'!$1:$1,0)),IF(AND(INDEX('CA Standards and Followers'!$D$14:$D$73,MATCH($A23,'CA Standards and Followers'!$A$14:$A$73,0))=1,INDEX('CA Standards and Followers'!$G$14:$G$73,MATCH($A23,'CA Standards and Followers'!$A$14:$A$73,0))&lt;=Z$1),INDEX('CA Standards and Followers'!$2:$2,MATCH(Z$1,'CA Standards and Followers'!$1:$1,0)),0))</f>
        <v>0.22</v>
      </c>
      <c r="AA23">
        <f>IF(AND(INDEX('CA Standards and Followers'!$E$14:$E$73,MATCH($A23,'CA Standards and Followers'!$A$14:$A$73,0))=1,INDEX('CA Standards and Followers'!$H$14:$H$73,MATCH($A23,'CA Standards and Followers'!$A$14:$A$73,0))&lt;=AA$1),INDEX('CA Standards and Followers'!$3:$3,MATCH(AA$1,'CA Standards and Followers'!$1:$1,0)),IF(AND(INDEX('CA Standards and Followers'!$D$14:$D$73,MATCH($A23,'CA Standards and Followers'!$A$14:$A$73,0))=1,INDEX('CA Standards and Followers'!$G$14:$G$73,MATCH($A23,'CA Standards and Followers'!$A$14:$A$73,0))&lt;=AA$1),INDEX('CA Standards and Followers'!$2:$2,MATCH(AA$1,'CA Standards and Followers'!$1:$1,0)),0))</f>
        <v>0.22</v>
      </c>
      <c r="AB23">
        <f>IF(AND(INDEX('CA Standards and Followers'!$E$14:$E$73,MATCH($A23,'CA Standards and Followers'!$A$14:$A$73,0))=1,INDEX('CA Standards and Followers'!$H$14:$H$73,MATCH($A23,'CA Standards and Followers'!$A$14:$A$73,0))&lt;=AB$1),INDEX('CA Standards and Followers'!$3:$3,MATCH(AB$1,'CA Standards and Followers'!$1:$1,0)),IF(AND(INDEX('CA Standards and Followers'!$D$14:$D$73,MATCH($A23,'CA Standards and Followers'!$A$14:$A$73,0))=1,INDEX('CA Standards and Followers'!$G$14:$G$73,MATCH($A23,'CA Standards and Followers'!$A$14:$A$73,0))&lt;=AB$1),INDEX('CA Standards and Followers'!$2:$2,MATCH(AB$1,'CA Standards and Followers'!$1:$1,0)),0))</f>
        <v>0.22</v>
      </c>
      <c r="AC23">
        <f>IF(AND(INDEX('CA Standards and Followers'!$E$14:$E$73,MATCH($A23,'CA Standards and Followers'!$A$14:$A$73,0))=1,INDEX('CA Standards and Followers'!$H$14:$H$73,MATCH($A23,'CA Standards and Followers'!$A$14:$A$73,0))&lt;=AC$1),INDEX('CA Standards and Followers'!$3:$3,MATCH(AC$1,'CA Standards and Followers'!$1:$1,0)),IF(AND(INDEX('CA Standards and Followers'!$D$14:$D$73,MATCH($A23,'CA Standards and Followers'!$A$14:$A$73,0))=1,INDEX('CA Standards and Followers'!$G$14:$G$73,MATCH($A23,'CA Standards and Followers'!$A$14:$A$73,0))&lt;=AC$1),INDEX('CA Standards and Followers'!$2:$2,MATCH(AC$1,'CA Standards and Followers'!$1:$1,0)),0))</f>
        <v>0.22</v>
      </c>
      <c r="AD23">
        <f>IF(AND(INDEX('CA Standards and Followers'!$E$14:$E$73,MATCH($A23,'CA Standards and Followers'!$A$14:$A$73,0))=1,INDEX('CA Standards and Followers'!$H$14:$H$73,MATCH($A23,'CA Standards and Followers'!$A$14:$A$73,0))&lt;=AD$1),INDEX('CA Standards and Followers'!$3:$3,MATCH(AD$1,'CA Standards and Followers'!$1:$1,0)),IF(AND(INDEX('CA Standards and Followers'!$D$14:$D$73,MATCH($A23,'CA Standards and Followers'!$A$14:$A$73,0))=1,INDEX('CA Standards and Followers'!$G$14:$G$73,MATCH($A23,'CA Standards and Followers'!$A$14:$A$73,0))&lt;=AD$1),INDEX('CA Standards and Followers'!$2:$2,MATCH(AD$1,'CA Standards and Followers'!$1:$1,0)),0))</f>
        <v>0.22</v>
      </c>
      <c r="AE23">
        <f>IF(AND(INDEX('CA Standards and Followers'!$E$14:$E$73,MATCH($A23,'CA Standards and Followers'!$A$14:$A$73,0))=1,INDEX('CA Standards and Followers'!$H$14:$H$73,MATCH($A23,'CA Standards and Followers'!$A$14:$A$73,0))&lt;=AE$1),INDEX('CA Standards and Followers'!$3:$3,MATCH(AE$1,'CA Standards and Followers'!$1:$1,0)),IF(AND(INDEX('CA Standards and Followers'!$D$14:$D$73,MATCH($A23,'CA Standards and Followers'!$A$14:$A$73,0))=1,INDEX('CA Standards and Followers'!$G$14:$G$73,MATCH($A23,'CA Standards and Followers'!$A$14:$A$73,0))&lt;=AE$1),INDEX('CA Standards and Followers'!$2:$2,MATCH(AE$1,'CA Standards and Followers'!$1:$1,0)),0))</f>
        <v>0.22</v>
      </c>
      <c r="AF23">
        <f>IF(AND(INDEX('CA Standards and Followers'!$E$14:$E$73,MATCH($A23,'CA Standards and Followers'!$A$14:$A$73,0))=1,INDEX('CA Standards and Followers'!$H$14:$H$73,MATCH($A23,'CA Standards and Followers'!$A$14:$A$73,0))&lt;=AF$1),INDEX('CA Standards and Followers'!$3:$3,MATCH(AF$1,'CA Standards and Followers'!$1:$1,0)),IF(AND(INDEX('CA Standards and Followers'!$D$14:$D$73,MATCH($A23,'CA Standards and Followers'!$A$14:$A$73,0))=1,INDEX('CA Standards and Followers'!$G$14:$G$73,MATCH($A23,'CA Standards and Followers'!$A$14:$A$73,0))&lt;=AF$1),INDEX('CA Standards and Followers'!$2:$2,MATCH(AF$1,'CA Standards and Followers'!$1:$1,0)),0))</f>
        <v>0.22</v>
      </c>
    </row>
    <row r="24" spans="1:32" x14ac:dyDescent="0.25">
      <c r="A24" t="s">
        <v>24</v>
      </c>
      <c r="B24">
        <f>IF(AND(INDEX('CA Standards and Followers'!$E$14:$E$73,MATCH($A24,'CA Standards and Followers'!$A$14:$A$73,0))=1,INDEX('CA Standards and Followers'!$H$14:$H$73,MATCH($A24,'CA Standards and Followers'!$A$14:$A$73,0))&lt;=B$1),INDEX('CA Standards and Followers'!$3:$3,MATCH(B$1,'CA Standards and Followers'!$1:$1,0)),IF(AND(INDEX('CA Standards and Followers'!$D$14:$D$73,MATCH($A24,'CA Standards and Followers'!$A$14:$A$73,0))=1,INDEX('CA Standards and Followers'!$G$14:$G$73,MATCH($A24,'CA Standards and Followers'!$A$14:$A$73,0))&lt;=B$1),INDEX('CA Standards and Followers'!$2:$2,MATCH(B$1,'CA Standards and Followers'!$1:$1,0)),0))</f>
        <v>0</v>
      </c>
      <c r="C24">
        <f>IF(AND(INDEX('CA Standards and Followers'!$E$14:$E$73,MATCH($A24,'CA Standards and Followers'!$A$14:$A$73,0))=1,INDEX('CA Standards and Followers'!$H$14:$H$73,MATCH($A24,'CA Standards and Followers'!$A$14:$A$73,0))&lt;=C$1),INDEX('CA Standards and Followers'!$3:$3,MATCH(C$1,'CA Standards and Followers'!$1:$1,0)),IF(AND(INDEX('CA Standards and Followers'!$D$14:$D$73,MATCH($A24,'CA Standards and Followers'!$A$14:$A$73,0))=1,INDEX('CA Standards and Followers'!$G$14:$G$73,MATCH($A24,'CA Standards and Followers'!$A$14:$A$73,0))&lt;=C$1),INDEX('CA Standards and Followers'!$2:$2,MATCH(C$1,'CA Standards and Followers'!$1:$1,0)),0))</f>
        <v>0</v>
      </c>
      <c r="D24">
        <f>IF(AND(INDEX('CA Standards and Followers'!$E$14:$E$73,MATCH($A24,'CA Standards and Followers'!$A$14:$A$73,0))=1,INDEX('CA Standards and Followers'!$H$14:$H$73,MATCH($A24,'CA Standards and Followers'!$A$14:$A$73,0))&lt;=D$1),INDEX('CA Standards and Followers'!$3:$3,MATCH(D$1,'CA Standards and Followers'!$1:$1,0)),IF(AND(INDEX('CA Standards and Followers'!$D$14:$D$73,MATCH($A24,'CA Standards and Followers'!$A$14:$A$73,0))=1,INDEX('CA Standards and Followers'!$G$14:$G$73,MATCH($A24,'CA Standards and Followers'!$A$14:$A$73,0))&lt;=D$1),INDEX('CA Standards and Followers'!$2:$2,MATCH(D$1,'CA Standards and Followers'!$1:$1,0)),0))</f>
        <v>0</v>
      </c>
      <c r="E24">
        <f>IF(AND(INDEX('CA Standards and Followers'!$E$14:$E$73,MATCH($A24,'CA Standards and Followers'!$A$14:$A$73,0))=1,INDEX('CA Standards and Followers'!$H$14:$H$73,MATCH($A24,'CA Standards and Followers'!$A$14:$A$73,0))&lt;=E$1),INDEX('CA Standards and Followers'!$3:$3,MATCH(E$1,'CA Standards and Followers'!$1:$1,0)),IF(AND(INDEX('CA Standards and Followers'!$D$14:$D$73,MATCH($A24,'CA Standards and Followers'!$A$14:$A$73,0))=1,INDEX('CA Standards and Followers'!$G$14:$G$73,MATCH($A24,'CA Standards and Followers'!$A$14:$A$73,0))&lt;=E$1),INDEX('CA Standards and Followers'!$2:$2,MATCH(E$1,'CA Standards and Followers'!$1:$1,0)),0))</f>
        <v>0</v>
      </c>
      <c r="F24">
        <f>IF(AND(INDEX('CA Standards and Followers'!$E$14:$E$73,MATCH($A24,'CA Standards and Followers'!$A$14:$A$73,0))=1,INDEX('CA Standards and Followers'!$H$14:$H$73,MATCH($A24,'CA Standards and Followers'!$A$14:$A$73,0))&lt;=F$1),INDEX('CA Standards and Followers'!$3:$3,MATCH(F$1,'CA Standards and Followers'!$1:$1,0)),IF(AND(INDEX('CA Standards and Followers'!$D$14:$D$73,MATCH($A24,'CA Standards and Followers'!$A$14:$A$73,0))=1,INDEX('CA Standards and Followers'!$G$14:$G$73,MATCH($A24,'CA Standards and Followers'!$A$14:$A$73,0))&lt;=F$1),INDEX('CA Standards and Followers'!$2:$2,MATCH(F$1,'CA Standards and Followers'!$1:$1,0)),0))</f>
        <v>0</v>
      </c>
      <c r="G24">
        <f>IF(AND(INDEX('CA Standards and Followers'!$E$14:$E$73,MATCH($A24,'CA Standards and Followers'!$A$14:$A$73,0))=1,INDEX('CA Standards and Followers'!$H$14:$H$73,MATCH($A24,'CA Standards and Followers'!$A$14:$A$73,0))&lt;=G$1),INDEX('CA Standards and Followers'!$3:$3,MATCH(G$1,'CA Standards and Followers'!$1:$1,0)),IF(AND(INDEX('CA Standards and Followers'!$D$14:$D$73,MATCH($A24,'CA Standards and Followers'!$A$14:$A$73,0))=1,INDEX('CA Standards and Followers'!$G$14:$G$73,MATCH($A24,'CA Standards and Followers'!$A$14:$A$73,0))&lt;=G$1),INDEX('CA Standards and Followers'!$2:$2,MATCH(G$1,'CA Standards and Followers'!$1:$1,0)),0))</f>
        <v>0</v>
      </c>
      <c r="H24">
        <f>IF(AND(INDEX('CA Standards and Followers'!$E$14:$E$73,MATCH($A24,'CA Standards and Followers'!$A$14:$A$73,0))=1,INDEX('CA Standards and Followers'!$H$14:$H$73,MATCH($A24,'CA Standards and Followers'!$A$14:$A$73,0))&lt;=H$1),INDEX('CA Standards and Followers'!$3:$3,MATCH(H$1,'CA Standards and Followers'!$1:$1,0)),IF(AND(INDEX('CA Standards and Followers'!$D$14:$D$73,MATCH($A24,'CA Standards and Followers'!$A$14:$A$73,0))=1,INDEX('CA Standards and Followers'!$G$14:$G$73,MATCH($A24,'CA Standards and Followers'!$A$14:$A$73,0))&lt;=H$1),INDEX('CA Standards and Followers'!$2:$2,MATCH(H$1,'CA Standards and Followers'!$1:$1,0)),0))</f>
        <v>0</v>
      </c>
      <c r="I24">
        <f>IF(AND(INDEX('CA Standards and Followers'!$E$14:$E$73,MATCH($A24,'CA Standards and Followers'!$A$14:$A$73,0))=1,INDEX('CA Standards and Followers'!$H$14:$H$73,MATCH($A24,'CA Standards and Followers'!$A$14:$A$73,0))&lt;=I$1),INDEX('CA Standards and Followers'!$3:$3,MATCH(I$1,'CA Standards and Followers'!$1:$1,0)),IF(AND(INDEX('CA Standards and Followers'!$D$14:$D$73,MATCH($A24,'CA Standards and Followers'!$A$14:$A$73,0))=1,INDEX('CA Standards and Followers'!$G$14:$G$73,MATCH($A24,'CA Standards and Followers'!$A$14:$A$73,0))&lt;=I$1),INDEX('CA Standards and Followers'!$2:$2,MATCH(I$1,'CA Standards and Followers'!$1:$1,0)),0))</f>
        <v>0</v>
      </c>
      <c r="J24">
        <f>IF(AND(INDEX('CA Standards and Followers'!$E$14:$E$73,MATCH($A24,'CA Standards and Followers'!$A$14:$A$73,0))=1,INDEX('CA Standards and Followers'!$H$14:$H$73,MATCH($A24,'CA Standards and Followers'!$A$14:$A$73,0))&lt;=J$1),INDEX('CA Standards and Followers'!$3:$3,MATCH(J$1,'CA Standards and Followers'!$1:$1,0)),IF(AND(INDEX('CA Standards and Followers'!$D$14:$D$73,MATCH($A24,'CA Standards and Followers'!$A$14:$A$73,0))=1,INDEX('CA Standards and Followers'!$G$14:$G$73,MATCH($A24,'CA Standards and Followers'!$A$14:$A$73,0))&lt;=J$1),INDEX('CA Standards and Followers'!$2:$2,MATCH(J$1,'CA Standards and Followers'!$1:$1,0)),0))</f>
        <v>0</v>
      </c>
      <c r="K24">
        <f>IF(AND(INDEX('CA Standards and Followers'!$E$14:$E$73,MATCH($A24,'CA Standards and Followers'!$A$14:$A$73,0))=1,INDEX('CA Standards and Followers'!$H$14:$H$73,MATCH($A24,'CA Standards and Followers'!$A$14:$A$73,0))&lt;=K$1),INDEX('CA Standards and Followers'!$3:$3,MATCH(K$1,'CA Standards and Followers'!$1:$1,0)),IF(AND(INDEX('CA Standards and Followers'!$D$14:$D$73,MATCH($A24,'CA Standards and Followers'!$A$14:$A$73,0))=1,INDEX('CA Standards and Followers'!$G$14:$G$73,MATCH($A24,'CA Standards and Followers'!$A$14:$A$73,0))&lt;=K$1),INDEX('CA Standards and Followers'!$2:$2,MATCH(K$1,'CA Standards and Followers'!$1:$1,0)),0))</f>
        <v>0</v>
      </c>
      <c r="L24">
        <f>IF(AND(INDEX('CA Standards and Followers'!$E$14:$E$73,MATCH($A24,'CA Standards and Followers'!$A$14:$A$73,0))=1,INDEX('CA Standards and Followers'!$H$14:$H$73,MATCH($A24,'CA Standards and Followers'!$A$14:$A$73,0))&lt;=L$1),INDEX('CA Standards and Followers'!$3:$3,MATCH(L$1,'CA Standards and Followers'!$1:$1,0)),IF(AND(INDEX('CA Standards and Followers'!$D$14:$D$73,MATCH($A24,'CA Standards and Followers'!$A$14:$A$73,0))=1,INDEX('CA Standards and Followers'!$G$14:$G$73,MATCH($A24,'CA Standards and Followers'!$A$14:$A$73,0))&lt;=L$1),INDEX('CA Standards and Followers'!$2:$2,MATCH(L$1,'CA Standards and Followers'!$1:$1,0)),0))</f>
        <v>0</v>
      </c>
      <c r="M24">
        <f>IF(AND(INDEX('CA Standards and Followers'!$E$14:$E$73,MATCH($A24,'CA Standards and Followers'!$A$14:$A$73,0))=1,INDEX('CA Standards and Followers'!$H$14:$H$73,MATCH($A24,'CA Standards and Followers'!$A$14:$A$73,0))&lt;=M$1),INDEX('CA Standards and Followers'!$3:$3,MATCH(M$1,'CA Standards and Followers'!$1:$1,0)),IF(AND(INDEX('CA Standards and Followers'!$D$14:$D$73,MATCH($A24,'CA Standards and Followers'!$A$14:$A$73,0))=1,INDEX('CA Standards and Followers'!$G$14:$G$73,MATCH($A24,'CA Standards and Followers'!$A$14:$A$73,0))&lt;=M$1),INDEX('CA Standards and Followers'!$2:$2,MATCH(M$1,'CA Standards and Followers'!$1:$1,0)),0))</f>
        <v>0</v>
      </c>
      <c r="N24">
        <f>IF(AND(INDEX('CA Standards and Followers'!$E$14:$E$73,MATCH($A24,'CA Standards and Followers'!$A$14:$A$73,0))=1,INDEX('CA Standards and Followers'!$H$14:$H$73,MATCH($A24,'CA Standards and Followers'!$A$14:$A$73,0))&lt;=N$1),INDEX('CA Standards and Followers'!$3:$3,MATCH(N$1,'CA Standards and Followers'!$1:$1,0)),IF(AND(INDEX('CA Standards and Followers'!$D$14:$D$73,MATCH($A24,'CA Standards and Followers'!$A$14:$A$73,0))=1,INDEX('CA Standards and Followers'!$G$14:$G$73,MATCH($A24,'CA Standards and Followers'!$A$14:$A$73,0))&lt;=N$1),INDEX('CA Standards and Followers'!$2:$2,MATCH(N$1,'CA Standards and Followers'!$1:$1,0)),0))</f>
        <v>0</v>
      </c>
      <c r="O24">
        <f>IF(AND(INDEX('CA Standards and Followers'!$E$14:$E$73,MATCH($A24,'CA Standards and Followers'!$A$14:$A$73,0))=1,INDEX('CA Standards and Followers'!$H$14:$H$73,MATCH($A24,'CA Standards and Followers'!$A$14:$A$73,0))&lt;=O$1),INDEX('CA Standards and Followers'!$3:$3,MATCH(O$1,'CA Standards and Followers'!$1:$1,0)),IF(AND(INDEX('CA Standards and Followers'!$D$14:$D$73,MATCH($A24,'CA Standards and Followers'!$A$14:$A$73,0))=1,INDEX('CA Standards and Followers'!$G$14:$G$73,MATCH($A24,'CA Standards and Followers'!$A$14:$A$73,0))&lt;=O$1),INDEX('CA Standards and Followers'!$2:$2,MATCH(O$1,'CA Standards and Followers'!$1:$1,0)),0))</f>
        <v>0</v>
      </c>
      <c r="P24">
        <f>IF(AND(INDEX('CA Standards and Followers'!$E$14:$E$73,MATCH($A24,'CA Standards and Followers'!$A$14:$A$73,0))=1,INDEX('CA Standards and Followers'!$H$14:$H$73,MATCH($A24,'CA Standards and Followers'!$A$14:$A$73,0))&lt;=P$1),INDEX('CA Standards and Followers'!$3:$3,MATCH(P$1,'CA Standards and Followers'!$1:$1,0)),IF(AND(INDEX('CA Standards and Followers'!$D$14:$D$73,MATCH($A24,'CA Standards and Followers'!$A$14:$A$73,0))=1,INDEX('CA Standards and Followers'!$G$14:$G$73,MATCH($A24,'CA Standards and Followers'!$A$14:$A$73,0))&lt;=P$1),INDEX('CA Standards and Followers'!$2:$2,MATCH(P$1,'CA Standards and Followers'!$1:$1,0)),0))</f>
        <v>0</v>
      </c>
      <c r="Q24">
        <f>IF(AND(INDEX('CA Standards and Followers'!$E$14:$E$73,MATCH($A24,'CA Standards and Followers'!$A$14:$A$73,0))=1,INDEX('CA Standards and Followers'!$H$14:$H$73,MATCH($A24,'CA Standards and Followers'!$A$14:$A$73,0))&lt;=Q$1),INDEX('CA Standards and Followers'!$3:$3,MATCH(Q$1,'CA Standards and Followers'!$1:$1,0)),IF(AND(INDEX('CA Standards and Followers'!$D$14:$D$73,MATCH($A24,'CA Standards and Followers'!$A$14:$A$73,0))=1,INDEX('CA Standards and Followers'!$G$14:$G$73,MATCH($A24,'CA Standards and Followers'!$A$14:$A$73,0))&lt;=Q$1),INDEX('CA Standards and Followers'!$2:$2,MATCH(Q$1,'CA Standards and Followers'!$1:$1,0)),0))</f>
        <v>0</v>
      </c>
      <c r="R24">
        <f>IF(AND(INDEX('CA Standards and Followers'!$E$14:$E$73,MATCH($A24,'CA Standards and Followers'!$A$14:$A$73,0))=1,INDEX('CA Standards and Followers'!$H$14:$H$73,MATCH($A24,'CA Standards and Followers'!$A$14:$A$73,0))&lt;=R$1),INDEX('CA Standards and Followers'!$3:$3,MATCH(R$1,'CA Standards and Followers'!$1:$1,0)),IF(AND(INDEX('CA Standards and Followers'!$D$14:$D$73,MATCH($A24,'CA Standards and Followers'!$A$14:$A$73,0))=1,INDEX('CA Standards and Followers'!$G$14:$G$73,MATCH($A24,'CA Standards and Followers'!$A$14:$A$73,0))&lt;=R$1),INDEX('CA Standards and Followers'!$2:$2,MATCH(R$1,'CA Standards and Followers'!$1:$1,0)),0))</f>
        <v>0</v>
      </c>
      <c r="S24">
        <f>IF(AND(INDEX('CA Standards and Followers'!$E$14:$E$73,MATCH($A24,'CA Standards and Followers'!$A$14:$A$73,0))=1,INDEX('CA Standards and Followers'!$H$14:$H$73,MATCH($A24,'CA Standards and Followers'!$A$14:$A$73,0))&lt;=S$1),INDEX('CA Standards and Followers'!$3:$3,MATCH(S$1,'CA Standards and Followers'!$1:$1,0)),IF(AND(INDEX('CA Standards and Followers'!$D$14:$D$73,MATCH($A24,'CA Standards and Followers'!$A$14:$A$73,0))=1,INDEX('CA Standards and Followers'!$G$14:$G$73,MATCH($A24,'CA Standards and Followers'!$A$14:$A$73,0))&lt;=S$1),INDEX('CA Standards and Followers'!$2:$2,MATCH(S$1,'CA Standards and Followers'!$1:$1,0)),0))</f>
        <v>0</v>
      </c>
      <c r="T24">
        <f>IF(AND(INDEX('CA Standards and Followers'!$E$14:$E$73,MATCH($A24,'CA Standards and Followers'!$A$14:$A$73,0))=1,INDEX('CA Standards and Followers'!$H$14:$H$73,MATCH($A24,'CA Standards and Followers'!$A$14:$A$73,0))&lt;=T$1),INDEX('CA Standards and Followers'!$3:$3,MATCH(T$1,'CA Standards and Followers'!$1:$1,0)),IF(AND(INDEX('CA Standards and Followers'!$D$14:$D$73,MATCH($A24,'CA Standards and Followers'!$A$14:$A$73,0))=1,INDEX('CA Standards and Followers'!$G$14:$G$73,MATCH($A24,'CA Standards and Followers'!$A$14:$A$73,0))&lt;=T$1),INDEX('CA Standards and Followers'!$2:$2,MATCH(T$1,'CA Standards and Followers'!$1:$1,0)),0))</f>
        <v>0</v>
      </c>
      <c r="U24">
        <f>IF(AND(INDEX('CA Standards and Followers'!$E$14:$E$73,MATCH($A24,'CA Standards and Followers'!$A$14:$A$73,0))=1,INDEX('CA Standards and Followers'!$H$14:$H$73,MATCH($A24,'CA Standards and Followers'!$A$14:$A$73,0))&lt;=U$1),INDEX('CA Standards and Followers'!$3:$3,MATCH(U$1,'CA Standards and Followers'!$1:$1,0)),IF(AND(INDEX('CA Standards and Followers'!$D$14:$D$73,MATCH($A24,'CA Standards and Followers'!$A$14:$A$73,0))=1,INDEX('CA Standards and Followers'!$G$14:$G$73,MATCH($A24,'CA Standards and Followers'!$A$14:$A$73,0))&lt;=U$1),INDEX('CA Standards and Followers'!$2:$2,MATCH(U$1,'CA Standards and Followers'!$1:$1,0)),0))</f>
        <v>0</v>
      </c>
      <c r="V24">
        <f>IF(AND(INDEX('CA Standards and Followers'!$E$14:$E$73,MATCH($A24,'CA Standards and Followers'!$A$14:$A$73,0))=1,INDEX('CA Standards and Followers'!$H$14:$H$73,MATCH($A24,'CA Standards and Followers'!$A$14:$A$73,0))&lt;=V$1),INDEX('CA Standards and Followers'!$3:$3,MATCH(V$1,'CA Standards and Followers'!$1:$1,0)),IF(AND(INDEX('CA Standards and Followers'!$D$14:$D$73,MATCH($A24,'CA Standards and Followers'!$A$14:$A$73,0))=1,INDEX('CA Standards and Followers'!$G$14:$G$73,MATCH($A24,'CA Standards and Followers'!$A$14:$A$73,0))&lt;=V$1),INDEX('CA Standards and Followers'!$2:$2,MATCH(V$1,'CA Standards and Followers'!$1:$1,0)),0))</f>
        <v>0</v>
      </c>
      <c r="W24">
        <f>IF(AND(INDEX('CA Standards and Followers'!$E$14:$E$73,MATCH($A24,'CA Standards and Followers'!$A$14:$A$73,0))=1,INDEX('CA Standards and Followers'!$H$14:$H$73,MATCH($A24,'CA Standards and Followers'!$A$14:$A$73,0))&lt;=W$1),INDEX('CA Standards and Followers'!$3:$3,MATCH(W$1,'CA Standards and Followers'!$1:$1,0)),IF(AND(INDEX('CA Standards and Followers'!$D$14:$D$73,MATCH($A24,'CA Standards and Followers'!$A$14:$A$73,0))=1,INDEX('CA Standards and Followers'!$G$14:$G$73,MATCH($A24,'CA Standards and Followers'!$A$14:$A$73,0))&lt;=W$1),INDEX('CA Standards and Followers'!$2:$2,MATCH(W$1,'CA Standards and Followers'!$1:$1,0)),0))</f>
        <v>0</v>
      </c>
      <c r="X24">
        <f>IF(AND(INDEX('CA Standards and Followers'!$E$14:$E$73,MATCH($A24,'CA Standards and Followers'!$A$14:$A$73,0))=1,INDEX('CA Standards and Followers'!$H$14:$H$73,MATCH($A24,'CA Standards and Followers'!$A$14:$A$73,0))&lt;=X$1),INDEX('CA Standards and Followers'!$3:$3,MATCH(X$1,'CA Standards and Followers'!$1:$1,0)),IF(AND(INDEX('CA Standards and Followers'!$D$14:$D$73,MATCH($A24,'CA Standards and Followers'!$A$14:$A$73,0))=1,INDEX('CA Standards and Followers'!$G$14:$G$73,MATCH($A24,'CA Standards and Followers'!$A$14:$A$73,0))&lt;=X$1),INDEX('CA Standards and Followers'!$2:$2,MATCH(X$1,'CA Standards and Followers'!$1:$1,0)),0))</f>
        <v>0</v>
      </c>
      <c r="Y24">
        <f>IF(AND(INDEX('CA Standards and Followers'!$E$14:$E$73,MATCH($A24,'CA Standards and Followers'!$A$14:$A$73,0))=1,INDEX('CA Standards and Followers'!$H$14:$H$73,MATCH($A24,'CA Standards and Followers'!$A$14:$A$73,0))&lt;=Y$1),INDEX('CA Standards and Followers'!$3:$3,MATCH(Y$1,'CA Standards and Followers'!$1:$1,0)),IF(AND(INDEX('CA Standards and Followers'!$D$14:$D$73,MATCH($A24,'CA Standards and Followers'!$A$14:$A$73,0))=1,INDEX('CA Standards and Followers'!$G$14:$G$73,MATCH($A24,'CA Standards and Followers'!$A$14:$A$73,0))&lt;=Y$1),INDEX('CA Standards and Followers'!$2:$2,MATCH(Y$1,'CA Standards and Followers'!$1:$1,0)),0))</f>
        <v>0</v>
      </c>
      <c r="Z24">
        <f>IF(AND(INDEX('CA Standards and Followers'!$E$14:$E$73,MATCH($A24,'CA Standards and Followers'!$A$14:$A$73,0))=1,INDEX('CA Standards and Followers'!$H$14:$H$73,MATCH($A24,'CA Standards and Followers'!$A$14:$A$73,0))&lt;=Z$1),INDEX('CA Standards and Followers'!$3:$3,MATCH(Z$1,'CA Standards and Followers'!$1:$1,0)),IF(AND(INDEX('CA Standards and Followers'!$D$14:$D$73,MATCH($A24,'CA Standards and Followers'!$A$14:$A$73,0))=1,INDEX('CA Standards and Followers'!$G$14:$G$73,MATCH($A24,'CA Standards and Followers'!$A$14:$A$73,0))&lt;=Z$1),INDEX('CA Standards and Followers'!$2:$2,MATCH(Z$1,'CA Standards and Followers'!$1:$1,0)),0))</f>
        <v>0</v>
      </c>
      <c r="AA24">
        <f>IF(AND(INDEX('CA Standards and Followers'!$E$14:$E$73,MATCH($A24,'CA Standards and Followers'!$A$14:$A$73,0))=1,INDEX('CA Standards and Followers'!$H$14:$H$73,MATCH($A24,'CA Standards and Followers'!$A$14:$A$73,0))&lt;=AA$1),INDEX('CA Standards and Followers'!$3:$3,MATCH(AA$1,'CA Standards and Followers'!$1:$1,0)),IF(AND(INDEX('CA Standards and Followers'!$D$14:$D$73,MATCH($A24,'CA Standards and Followers'!$A$14:$A$73,0))=1,INDEX('CA Standards and Followers'!$G$14:$G$73,MATCH($A24,'CA Standards and Followers'!$A$14:$A$73,0))&lt;=AA$1),INDEX('CA Standards and Followers'!$2:$2,MATCH(AA$1,'CA Standards and Followers'!$1:$1,0)),0))</f>
        <v>0</v>
      </c>
      <c r="AB24">
        <f>IF(AND(INDEX('CA Standards and Followers'!$E$14:$E$73,MATCH($A24,'CA Standards and Followers'!$A$14:$A$73,0))=1,INDEX('CA Standards and Followers'!$H$14:$H$73,MATCH($A24,'CA Standards and Followers'!$A$14:$A$73,0))&lt;=AB$1),INDEX('CA Standards and Followers'!$3:$3,MATCH(AB$1,'CA Standards and Followers'!$1:$1,0)),IF(AND(INDEX('CA Standards and Followers'!$D$14:$D$73,MATCH($A24,'CA Standards and Followers'!$A$14:$A$73,0))=1,INDEX('CA Standards and Followers'!$G$14:$G$73,MATCH($A24,'CA Standards and Followers'!$A$14:$A$73,0))&lt;=AB$1),INDEX('CA Standards and Followers'!$2:$2,MATCH(AB$1,'CA Standards and Followers'!$1:$1,0)),0))</f>
        <v>0</v>
      </c>
      <c r="AC24">
        <f>IF(AND(INDEX('CA Standards and Followers'!$E$14:$E$73,MATCH($A24,'CA Standards and Followers'!$A$14:$A$73,0))=1,INDEX('CA Standards and Followers'!$H$14:$H$73,MATCH($A24,'CA Standards and Followers'!$A$14:$A$73,0))&lt;=AC$1),INDEX('CA Standards and Followers'!$3:$3,MATCH(AC$1,'CA Standards and Followers'!$1:$1,0)),IF(AND(INDEX('CA Standards and Followers'!$D$14:$D$73,MATCH($A24,'CA Standards and Followers'!$A$14:$A$73,0))=1,INDEX('CA Standards and Followers'!$G$14:$G$73,MATCH($A24,'CA Standards and Followers'!$A$14:$A$73,0))&lt;=AC$1),INDEX('CA Standards and Followers'!$2:$2,MATCH(AC$1,'CA Standards and Followers'!$1:$1,0)),0))</f>
        <v>0</v>
      </c>
      <c r="AD24">
        <f>IF(AND(INDEX('CA Standards and Followers'!$E$14:$E$73,MATCH($A24,'CA Standards and Followers'!$A$14:$A$73,0))=1,INDEX('CA Standards and Followers'!$H$14:$H$73,MATCH($A24,'CA Standards and Followers'!$A$14:$A$73,0))&lt;=AD$1),INDEX('CA Standards and Followers'!$3:$3,MATCH(AD$1,'CA Standards and Followers'!$1:$1,0)),IF(AND(INDEX('CA Standards and Followers'!$D$14:$D$73,MATCH($A24,'CA Standards and Followers'!$A$14:$A$73,0))=1,INDEX('CA Standards and Followers'!$G$14:$G$73,MATCH($A24,'CA Standards and Followers'!$A$14:$A$73,0))&lt;=AD$1),INDEX('CA Standards and Followers'!$2:$2,MATCH(AD$1,'CA Standards and Followers'!$1:$1,0)),0))</f>
        <v>0</v>
      </c>
      <c r="AE24">
        <f>IF(AND(INDEX('CA Standards and Followers'!$E$14:$E$73,MATCH($A24,'CA Standards and Followers'!$A$14:$A$73,0))=1,INDEX('CA Standards and Followers'!$H$14:$H$73,MATCH($A24,'CA Standards and Followers'!$A$14:$A$73,0))&lt;=AE$1),INDEX('CA Standards and Followers'!$3:$3,MATCH(AE$1,'CA Standards and Followers'!$1:$1,0)),IF(AND(INDEX('CA Standards and Followers'!$D$14:$D$73,MATCH($A24,'CA Standards and Followers'!$A$14:$A$73,0))=1,INDEX('CA Standards and Followers'!$G$14:$G$73,MATCH($A24,'CA Standards and Followers'!$A$14:$A$73,0))&lt;=AE$1),INDEX('CA Standards and Followers'!$2:$2,MATCH(AE$1,'CA Standards and Followers'!$1:$1,0)),0))</f>
        <v>0</v>
      </c>
      <c r="AF24">
        <f>IF(AND(INDEX('CA Standards and Followers'!$E$14:$E$73,MATCH($A24,'CA Standards and Followers'!$A$14:$A$73,0))=1,INDEX('CA Standards and Followers'!$H$14:$H$73,MATCH($A24,'CA Standards and Followers'!$A$14:$A$73,0))&lt;=AF$1),INDEX('CA Standards and Followers'!$3:$3,MATCH(AF$1,'CA Standards and Followers'!$1:$1,0)),IF(AND(INDEX('CA Standards and Followers'!$D$14:$D$73,MATCH($A24,'CA Standards and Followers'!$A$14:$A$73,0))=1,INDEX('CA Standards and Followers'!$G$14:$G$73,MATCH($A24,'CA Standards and Followers'!$A$14:$A$73,0))&lt;=AF$1),INDEX('CA Standards and Followers'!$2:$2,MATCH(AF$1,'CA Standards and Followers'!$1:$1,0)),0))</f>
        <v>0</v>
      </c>
    </row>
    <row r="25" spans="1:32" x14ac:dyDescent="0.25">
      <c r="A25" t="s">
        <v>25</v>
      </c>
      <c r="B25">
        <f>IF(AND(INDEX('CA Standards and Followers'!$E$14:$E$73,MATCH($A25,'CA Standards and Followers'!$A$14:$A$73,0))=1,INDEX('CA Standards and Followers'!$H$14:$H$73,MATCH($A25,'CA Standards and Followers'!$A$14:$A$73,0))&lt;=B$1),INDEX('CA Standards and Followers'!$3:$3,MATCH(B$1,'CA Standards and Followers'!$1:$1,0)),IF(AND(INDEX('CA Standards and Followers'!$D$14:$D$73,MATCH($A25,'CA Standards and Followers'!$A$14:$A$73,0))=1,INDEX('CA Standards and Followers'!$G$14:$G$73,MATCH($A25,'CA Standards and Followers'!$A$14:$A$73,0))&lt;=B$1),INDEX('CA Standards and Followers'!$2:$2,MATCH(B$1,'CA Standards and Followers'!$1:$1,0)),0))</f>
        <v>0</v>
      </c>
      <c r="C25">
        <f>IF(AND(INDEX('CA Standards and Followers'!$E$14:$E$73,MATCH($A25,'CA Standards and Followers'!$A$14:$A$73,0))=1,INDEX('CA Standards and Followers'!$H$14:$H$73,MATCH($A25,'CA Standards and Followers'!$A$14:$A$73,0))&lt;=C$1),INDEX('CA Standards and Followers'!$3:$3,MATCH(C$1,'CA Standards and Followers'!$1:$1,0)),IF(AND(INDEX('CA Standards and Followers'!$D$14:$D$73,MATCH($A25,'CA Standards and Followers'!$A$14:$A$73,0))=1,INDEX('CA Standards and Followers'!$G$14:$G$73,MATCH($A25,'CA Standards and Followers'!$A$14:$A$73,0))&lt;=C$1),INDEX('CA Standards and Followers'!$2:$2,MATCH(C$1,'CA Standards and Followers'!$1:$1,0)),0))</f>
        <v>0</v>
      </c>
      <c r="D25">
        <f>IF(AND(INDEX('CA Standards and Followers'!$E$14:$E$73,MATCH($A25,'CA Standards and Followers'!$A$14:$A$73,0))=1,INDEX('CA Standards and Followers'!$H$14:$H$73,MATCH($A25,'CA Standards and Followers'!$A$14:$A$73,0))&lt;=D$1),INDEX('CA Standards and Followers'!$3:$3,MATCH(D$1,'CA Standards and Followers'!$1:$1,0)),IF(AND(INDEX('CA Standards and Followers'!$D$14:$D$73,MATCH($A25,'CA Standards and Followers'!$A$14:$A$73,0))=1,INDEX('CA Standards and Followers'!$G$14:$G$73,MATCH($A25,'CA Standards and Followers'!$A$14:$A$73,0))&lt;=D$1),INDEX('CA Standards and Followers'!$2:$2,MATCH(D$1,'CA Standards and Followers'!$1:$1,0)),0))</f>
        <v>0</v>
      </c>
      <c r="E25">
        <f>IF(AND(INDEX('CA Standards and Followers'!$E$14:$E$73,MATCH($A25,'CA Standards and Followers'!$A$14:$A$73,0))=1,INDEX('CA Standards and Followers'!$H$14:$H$73,MATCH($A25,'CA Standards and Followers'!$A$14:$A$73,0))&lt;=E$1),INDEX('CA Standards and Followers'!$3:$3,MATCH(E$1,'CA Standards and Followers'!$1:$1,0)),IF(AND(INDEX('CA Standards and Followers'!$D$14:$D$73,MATCH($A25,'CA Standards and Followers'!$A$14:$A$73,0))=1,INDEX('CA Standards and Followers'!$G$14:$G$73,MATCH($A25,'CA Standards and Followers'!$A$14:$A$73,0))&lt;=E$1),INDEX('CA Standards and Followers'!$2:$2,MATCH(E$1,'CA Standards and Followers'!$1:$1,0)),0))</f>
        <v>0</v>
      </c>
      <c r="F25">
        <f>IF(AND(INDEX('CA Standards and Followers'!$E$14:$E$73,MATCH($A25,'CA Standards and Followers'!$A$14:$A$73,0))=1,INDEX('CA Standards and Followers'!$H$14:$H$73,MATCH($A25,'CA Standards and Followers'!$A$14:$A$73,0))&lt;=F$1),INDEX('CA Standards and Followers'!$3:$3,MATCH(F$1,'CA Standards and Followers'!$1:$1,0)),IF(AND(INDEX('CA Standards and Followers'!$D$14:$D$73,MATCH($A25,'CA Standards and Followers'!$A$14:$A$73,0))=1,INDEX('CA Standards and Followers'!$G$14:$G$73,MATCH($A25,'CA Standards and Followers'!$A$14:$A$73,0))&lt;=F$1),INDEX('CA Standards and Followers'!$2:$2,MATCH(F$1,'CA Standards and Followers'!$1:$1,0)),0))</f>
        <v>0</v>
      </c>
      <c r="G25">
        <f>IF(AND(INDEX('CA Standards and Followers'!$E$14:$E$73,MATCH($A25,'CA Standards and Followers'!$A$14:$A$73,0))=1,INDEX('CA Standards and Followers'!$H$14:$H$73,MATCH($A25,'CA Standards and Followers'!$A$14:$A$73,0))&lt;=G$1),INDEX('CA Standards and Followers'!$3:$3,MATCH(G$1,'CA Standards and Followers'!$1:$1,0)),IF(AND(INDEX('CA Standards and Followers'!$D$14:$D$73,MATCH($A25,'CA Standards and Followers'!$A$14:$A$73,0))=1,INDEX('CA Standards and Followers'!$G$14:$G$73,MATCH($A25,'CA Standards and Followers'!$A$14:$A$73,0))&lt;=G$1),INDEX('CA Standards and Followers'!$2:$2,MATCH(G$1,'CA Standards and Followers'!$1:$1,0)),0))</f>
        <v>0.21999999999999997</v>
      </c>
      <c r="H25">
        <f>IF(AND(INDEX('CA Standards and Followers'!$E$14:$E$73,MATCH($A25,'CA Standards and Followers'!$A$14:$A$73,0))=1,INDEX('CA Standards and Followers'!$H$14:$H$73,MATCH($A25,'CA Standards and Followers'!$A$14:$A$73,0))&lt;=H$1),INDEX('CA Standards and Followers'!$3:$3,MATCH(H$1,'CA Standards and Followers'!$1:$1,0)),IF(AND(INDEX('CA Standards and Followers'!$D$14:$D$73,MATCH($A25,'CA Standards and Followers'!$A$14:$A$73,0))=1,INDEX('CA Standards and Followers'!$G$14:$G$73,MATCH($A25,'CA Standards and Followers'!$A$14:$A$73,0))&lt;=H$1),INDEX('CA Standards and Followers'!$2:$2,MATCH(H$1,'CA Standards and Followers'!$1:$1,0)),0))</f>
        <v>0.22</v>
      </c>
      <c r="I25">
        <f>IF(AND(INDEX('CA Standards and Followers'!$E$14:$E$73,MATCH($A25,'CA Standards and Followers'!$A$14:$A$73,0))=1,INDEX('CA Standards and Followers'!$H$14:$H$73,MATCH($A25,'CA Standards and Followers'!$A$14:$A$73,0))&lt;=I$1),INDEX('CA Standards and Followers'!$3:$3,MATCH(I$1,'CA Standards and Followers'!$1:$1,0)),IF(AND(INDEX('CA Standards and Followers'!$D$14:$D$73,MATCH($A25,'CA Standards and Followers'!$A$14:$A$73,0))=1,INDEX('CA Standards and Followers'!$G$14:$G$73,MATCH($A25,'CA Standards and Followers'!$A$14:$A$73,0))&lt;=I$1),INDEX('CA Standards and Followers'!$2:$2,MATCH(I$1,'CA Standards and Followers'!$1:$1,0)),0))</f>
        <v>0.22</v>
      </c>
      <c r="J25">
        <f>IF(AND(INDEX('CA Standards and Followers'!$E$14:$E$73,MATCH($A25,'CA Standards and Followers'!$A$14:$A$73,0))=1,INDEX('CA Standards and Followers'!$H$14:$H$73,MATCH($A25,'CA Standards and Followers'!$A$14:$A$73,0))&lt;=J$1),INDEX('CA Standards and Followers'!$3:$3,MATCH(J$1,'CA Standards and Followers'!$1:$1,0)),IF(AND(INDEX('CA Standards and Followers'!$D$14:$D$73,MATCH($A25,'CA Standards and Followers'!$A$14:$A$73,0))=1,INDEX('CA Standards and Followers'!$G$14:$G$73,MATCH($A25,'CA Standards and Followers'!$A$14:$A$73,0))&lt;=J$1),INDEX('CA Standards and Followers'!$2:$2,MATCH(J$1,'CA Standards and Followers'!$1:$1,0)),0))</f>
        <v>0.22</v>
      </c>
      <c r="K25">
        <f>IF(AND(INDEX('CA Standards and Followers'!$E$14:$E$73,MATCH($A25,'CA Standards and Followers'!$A$14:$A$73,0))=1,INDEX('CA Standards and Followers'!$H$14:$H$73,MATCH($A25,'CA Standards and Followers'!$A$14:$A$73,0))&lt;=K$1),INDEX('CA Standards and Followers'!$3:$3,MATCH(K$1,'CA Standards and Followers'!$1:$1,0)),IF(AND(INDEX('CA Standards and Followers'!$D$14:$D$73,MATCH($A25,'CA Standards and Followers'!$A$14:$A$73,0))=1,INDEX('CA Standards and Followers'!$G$14:$G$73,MATCH($A25,'CA Standards and Followers'!$A$14:$A$73,0))&lt;=K$1),INDEX('CA Standards and Followers'!$2:$2,MATCH(K$1,'CA Standards and Followers'!$1:$1,0)),0))</f>
        <v>0.22</v>
      </c>
      <c r="L25">
        <f>IF(AND(INDEX('CA Standards and Followers'!$E$14:$E$73,MATCH($A25,'CA Standards and Followers'!$A$14:$A$73,0))=1,INDEX('CA Standards and Followers'!$H$14:$H$73,MATCH($A25,'CA Standards and Followers'!$A$14:$A$73,0))&lt;=L$1),INDEX('CA Standards and Followers'!$3:$3,MATCH(L$1,'CA Standards and Followers'!$1:$1,0)),IF(AND(INDEX('CA Standards and Followers'!$D$14:$D$73,MATCH($A25,'CA Standards and Followers'!$A$14:$A$73,0))=1,INDEX('CA Standards and Followers'!$G$14:$G$73,MATCH($A25,'CA Standards and Followers'!$A$14:$A$73,0))&lt;=L$1),INDEX('CA Standards and Followers'!$2:$2,MATCH(L$1,'CA Standards and Followers'!$1:$1,0)),0))</f>
        <v>0.22</v>
      </c>
      <c r="M25">
        <f>IF(AND(INDEX('CA Standards and Followers'!$E$14:$E$73,MATCH($A25,'CA Standards and Followers'!$A$14:$A$73,0))=1,INDEX('CA Standards and Followers'!$H$14:$H$73,MATCH($A25,'CA Standards and Followers'!$A$14:$A$73,0))&lt;=M$1),INDEX('CA Standards and Followers'!$3:$3,MATCH(M$1,'CA Standards and Followers'!$1:$1,0)),IF(AND(INDEX('CA Standards and Followers'!$D$14:$D$73,MATCH($A25,'CA Standards and Followers'!$A$14:$A$73,0))=1,INDEX('CA Standards and Followers'!$G$14:$G$73,MATCH($A25,'CA Standards and Followers'!$A$14:$A$73,0))&lt;=M$1),INDEX('CA Standards and Followers'!$2:$2,MATCH(M$1,'CA Standards and Followers'!$1:$1,0)),0))</f>
        <v>0.22</v>
      </c>
      <c r="N25">
        <f>IF(AND(INDEX('CA Standards and Followers'!$E$14:$E$73,MATCH($A25,'CA Standards and Followers'!$A$14:$A$73,0))=1,INDEX('CA Standards and Followers'!$H$14:$H$73,MATCH($A25,'CA Standards and Followers'!$A$14:$A$73,0))&lt;=N$1),INDEX('CA Standards and Followers'!$3:$3,MATCH(N$1,'CA Standards and Followers'!$1:$1,0)),IF(AND(INDEX('CA Standards and Followers'!$D$14:$D$73,MATCH($A25,'CA Standards and Followers'!$A$14:$A$73,0))=1,INDEX('CA Standards and Followers'!$G$14:$G$73,MATCH($A25,'CA Standards and Followers'!$A$14:$A$73,0))&lt;=N$1),INDEX('CA Standards and Followers'!$2:$2,MATCH(N$1,'CA Standards and Followers'!$1:$1,0)),0))</f>
        <v>0.22</v>
      </c>
      <c r="O25">
        <f>IF(AND(INDEX('CA Standards and Followers'!$E$14:$E$73,MATCH($A25,'CA Standards and Followers'!$A$14:$A$73,0))=1,INDEX('CA Standards and Followers'!$H$14:$H$73,MATCH($A25,'CA Standards and Followers'!$A$14:$A$73,0))&lt;=O$1),INDEX('CA Standards and Followers'!$3:$3,MATCH(O$1,'CA Standards and Followers'!$1:$1,0)),IF(AND(INDEX('CA Standards and Followers'!$D$14:$D$73,MATCH($A25,'CA Standards and Followers'!$A$14:$A$73,0))=1,INDEX('CA Standards and Followers'!$G$14:$G$73,MATCH($A25,'CA Standards and Followers'!$A$14:$A$73,0))&lt;=O$1),INDEX('CA Standards and Followers'!$2:$2,MATCH(O$1,'CA Standards and Followers'!$1:$1,0)),0))</f>
        <v>0.22</v>
      </c>
      <c r="P25">
        <f>IF(AND(INDEX('CA Standards and Followers'!$E$14:$E$73,MATCH($A25,'CA Standards and Followers'!$A$14:$A$73,0))=1,INDEX('CA Standards and Followers'!$H$14:$H$73,MATCH($A25,'CA Standards and Followers'!$A$14:$A$73,0))&lt;=P$1),INDEX('CA Standards and Followers'!$3:$3,MATCH(P$1,'CA Standards and Followers'!$1:$1,0)),IF(AND(INDEX('CA Standards and Followers'!$D$14:$D$73,MATCH($A25,'CA Standards and Followers'!$A$14:$A$73,0))=1,INDEX('CA Standards and Followers'!$G$14:$G$73,MATCH($A25,'CA Standards and Followers'!$A$14:$A$73,0))&lt;=P$1),INDEX('CA Standards and Followers'!$2:$2,MATCH(P$1,'CA Standards and Followers'!$1:$1,0)),0))</f>
        <v>0.22</v>
      </c>
      <c r="Q25">
        <f>IF(AND(INDEX('CA Standards and Followers'!$E$14:$E$73,MATCH($A25,'CA Standards and Followers'!$A$14:$A$73,0))=1,INDEX('CA Standards and Followers'!$H$14:$H$73,MATCH($A25,'CA Standards and Followers'!$A$14:$A$73,0))&lt;=Q$1),INDEX('CA Standards and Followers'!$3:$3,MATCH(Q$1,'CA Standards and Followers'!$1:$1,0)),IF(AND(INDEX('CA Standards and Followers'!$D$14:$D$73,MATCH($A25,'CA Standards and Followers'!$A$14:$A$73,0))=1,INDEX('CA Standards and Followers'!$G$14:$G$73,MATCH($A25,'CA Standards and Followers'!$A$14:$A$73,0))&lt;=Q$1),INDEX('CA Standards and Followers'!$2:$2,MATCH(Q$1,'CA Standards and Followers'!$1:$1,0)),0))</f>
        <v>0.22</v>
      </c>
      <c r="R25">
        <f>IF(AND(INDEX('CA Standards and Followers'!$E$14:$E$73,MATCH($A25,'CA Standards and Followers'!$A$14:$A$73,0))=1,INDEX('CA Standards and Followers'!$H$14:$H$73,MATCH($A25,'CA Standards and Followers'!$A$14:$A$73,0))&lt;=R$1),INDEX('CA Standards and Followers'!$3:$3,MATCH(R$1,'CA Standards and Followers'!$1:$1,0)),IF(AND(INDEX('CA Standards and Followers'!$D$14:$D$73,MATCH($A25,'CA Standards and Followers'!$A$14:$A$73,0))=1,INDEX('CA Standards and Followers'!$G$14:$G$73,MATCH($A25,'CA Standards and Followers'!$A$14:$A$73,0))&lt;=R$1),INDEX('CA Standards and Followers'!$2:$2,MATCH(R$1,'CA Standards and Followers'!$1:$1,0)),0))</f>
        <v>0.22</v>
      </c>
      <c r="S25">
        <f>IF(AND(INDEX('CA Standards and Followers'!$E$14:$E$73,MATCH($A25,'CA Standards and Followers'!$A$14:$A$73,0))=1,INDEX('CA Standards and Followers'!$H$14:$H$73,MATCH($A25,'CA Standards and Followers'!$A$14:$A$73,0))&lt;=S$1),INDEX('CA Standards and Followers'!$3:$3,MATCH(S$1,'CA Standards and Followers'!$1:$1,0)),IF(AND(INDEX('CA Standards and Followers'!$D$14:$D$73,MATCH($A25,'CA Standards and Followers'!$A$14:$A$73,0))=1,INDEX('CA Standards and Followers'!$G$14:$G$73,MATCH($A25,'CA Standards and Followers'!$A$14:$A$73,0))&lt;=S$1),INDEX('CA Standards and Followers'!$2:$2,MATCH(S$1,'CA Standards and Followers'!$1:$1,0)),0))</f>
        <v>0.22</v>
      </c>
      <c r="T25">
        <f>IF(AND(INDEX('CA Standards and Followers'!$E$14:$E$73,MATCH($A25,'CA Standards and Followers'!$A$14:$A$73,0))=1,INDEX('CA Standards and Followers'!$H$14:$H$73,MATCH($A25,'CA Standards and Followers'!$A$14:$A$73,0))&lt;=T$1),INDEX('CA Standards and Followers'!$3:$3,MATCH(T$1,'CA Standards and Followers'!$1:$1,0)),IF(AND(INDEX('CA Standards and Followers'!$D$14:$D$73,MATCH($A25,'CA Standards and Followers'!$A$14:$A$73,0))=1,INDEX('CA Standards and Followers'!$G$14:$G$73,MATCH($A25,'CA Standards and Followers'!$A$14:$A$73,0))&lt;=T$1),INDEX('CA Standards and Followers'!$2:$2,MATCH(T$1,'CA Standards and Followers'!$1:$1,0)),0))</f>
        <v>0.22</v>
      </c>
      <c r="U25">
        <f>IF(AND(INDEX('CA Standards and Followers'!$E$14:$E$73,MATCH($A25,'CA Standards and Followers'!$A$14:$A$73,0))=1,INDEX('CA Standards and Followers'!$H$14:$H$73,MATCH($A25,'CA Standards and Followers'!$A$14:$A$73,0))&lt;=U$1),INDEX('CA Standards and Followers'!$3:$3,MATCH(U$1,'CA Standards and Followers'!$1:$1,0)),IF(AND(INDEX('CA Standards and Followers'!$D$14:$D$73,MATCH($A25,'CA Standards and Followers'!$A$14:$A$73,0))=1,INDEX('CA Standards and Followers'!$G$14:$G$73,MATCH($A25,'CA Standards and Followers'!$A$14:$A$73,0))&lt;=U$1),INDEX('CA Standards and Followers'!$2:$2,MATCH(U$1,'CA Standards and Followers'!$1:$1,0)),0))</f>
        <v>0.22</v>
      </c>
      <c r="V25">
        <f>IF(AND(INDEX('CA Standards and Followers'!$E$14:$E$73,MATCH($A25,'CA Standards and Followers'!$A$14:$A$73,0))=1,INDEX('CA Standards and Followers'!$H$14:$H$73,MATCH($A25,'CA Standards and Followers'!$A$14:$A$73,0))&lt;=V$1),INDEX('CA Standards and Followers'!$3:$3,MATCH(V$1,'CA Standards and Followers'!$1:$1,0)),IF(AND(INDEX('CA Standards and Followers'!$D$14:$D$73,MATCH($A25,'CA Standards and Followers'!$A$14:$A$73,0))=1,INDEX('CA Standards and Followers'!$G$14:$G$73,MATCH($A25,'CA Standards and Followers'!$A$14:$A$73,0))&lt;=V$1),INDEX('CA Standards and Followers'!$2:$2,MATCH(V$1,'CA Standards and Followers'!$1:$1,0)),0))</f>
        <v>0.22</v>
      </c>
      <c r="W25">
        <f>IF(AND(INDEX('CA Standards and Followers'!$E$14:$E$73,MATCH($A25,'CA Standards and Followers'!$A$14:$A$73,0))=1,INDEX('CA Standards and Followers'!$H$14:$H$73,MATCH($A25,'CA Standards and Followers'!$A$14:$A$73,0))&lt;=W$1),INDEX('CA Standards and Followers'!$3:$3,MATCH(W$1,'CA Standards and Followers'!$1:$1,0)),IF(AND(INDEX('CA Standards and Followers'!$D$14:$D$73,MATCH($A25,'CA Standards and Followers'!$A$14:$A$73,0))=1,INDEX('CA Standards and Followers'!$G$14:$G$73,MATCH($A25,'CA Standards and Followers'!$A$14:$A$73,0))&lt;=W$1),INDEX('CA Standards and Followers'!$2:$2,MATCH(W$1,'CA Standards and Followers'!$1:$1,0)),0))</f>
        <v>0.22</v>
      </c>
      <c r="X25">
        <f>IF(AND(INDEX('CA Standards and Followers'!$E$14:$E$73,MATCH($A25,'CA Standards and Followers'!$A$14:$A$73,0))=1,INDEX('CA Standards and Followers'!$H$14:$H$73,MATCH($A25,'CA Standards and Followers'!$A$14:$A$73,0))&lt;=X$1),INDEX('CA Standards and Followers'!$3:$3,MATCH(X$1,'CA Standards and Followers'!$1:$1,0)),IF(AND(INDEX('CA Standards and Followers'!$D$14:$D$73,MATCH($A25,'CA Standards and Followers'!$A$14:$A$73,0))=1,INDEX('CA Standards and Followers'!$G$14:$G$73,MATCH($A25,'CA Standards and Followers'!$A$14:$A$73,0))&lt;=X$1),INDEX('CA Standards and Followers'!$2:$2,MATCH(X$1,'CA Standards and Followers'!$1:$1,0)),0))</f>
        <v>0.22</v>
      </c>
      <c r="Y25">
        <f>IF(AND(INDEX('CA Standards and Followers'!$E$14:$E$73,MATCH($A25,'CA Standards and Followers'!$A$14:$A$73,0))=1,INDEX('CA Standards and Followers'!$H$14:$H$73,MATCH($A25,'CA Standards and Followers'!$A$14:$A$73,0))&lt;=Y$1),INDEX('CA Standards and Followers'!$3:$3,MATCH(Y$1,'CA Standards and Followers'!$1:$1,0)),IF(AND(INDEX('CA Standards and Followers'!$D$14:$D$73,MATCH($A25,'CA Standards and Followers'!$A$14:$A$73,0))=1,INDEX('CA Standards and Followers'!$G$14:$G$73,MATCH($A25,'CA Standards and Followers'!$A$14:$A$73,0))&lt;=Y$1),INDEX('CA Standards and Followers'!$2:$2,MATCH(Y$1,'CA Standards and Followers'!$1:$1,0)),0))</f>
        <v>0.22</v>
      </c>
      <c r="Z25">
        <f>IF(AND(INDEX('CA Standards and Followers'!$E$14:$E$73,MATCH($A25,'CA Standards and Followers'!$A$14:$A$73,0))=1,INDEX('CA Standards and Followers'!$H$14:$H$73,MATCH($A25,'CA Standards and Followers'!$A$14:$A$73,0))&lt;=Z$1),INDEX('CA Standards and Followers'!$3:$3,MATCH(Z$1,'CA Standards and Followers'!$1:$1,0)),IF(AND(INDEX('CA Standards and Followers'!$D$14:$D$73,MATCH($A25,'CA Standards and Followers'!$A$14:$A$73,0))=1,INDEX('CA Standards and Followers'!$G$14:$G$73,MATCH($A25,'CA Standards and Followers'!$A$14:$A$73,0))&lt;=Z$1),INDEX('CA Standards and Followers'!$2:$2,MATCH(Z$1,'CA Standards and Followers'!$1:$1,0)),0))</f>
        <v>0.22</v>
      </c>
      <c r="AA25">
        <f>IF(AND(INDEX('CA Standards and Followers'!$E$14:$E$73,MATCH($A25,'CA Standards and Followers'!$A$14:$A$73,0))=1,INDEX('CA Standards and Followers'!$H$14:$H$73,MATCH($A25,'CA Standards and Followers'!$A$14:$A$73,0))&lt;=AA$1),INDEX('CA Standards and Followers'!$3:$3,MATCH(AA$1,'CA Standards and Followers'!$1:$1,0)),IF(AND(INDEX('CA Standards and Followers'!$D$14:$D$73,MATCH($A25,'CA Standards and Followers'!$A$14:$A$73,0))=1,INDEX('CA Standards and Followers'!$G$14:$G$73,MATCH($A25,'CA Standards and Followers'!$A$14:$A$73,0))&lt;=AA$1),INDEX('CA Standards and Followers'!$2:$2,MATCH(AA$1,'CA Standards and Followers'!$1:$1,0)),0))</f>
        <v>0.22</v>
      </c>
      <c r="AB25">
        <f>IF(AND(INDEX('CA Standards and Followers'!$E$14:$E$73,MATCH($A25,'CA Standards and Followers'!$A$14:$A$73,0))=1,INDEX('CA Standards and Followers'!$H$14:$H$73,MATCH($A25,'CA Standards and Followers'!$A$14:$A$73,0))&lt;=AB$1),INDEX('CA Standards and Followers'!$3:$3,MATCH(AB$1,'CA Standards and Followers'!$1:$1,0)),IF(AND(INDEX('CA Standards and Followers'!$D$14:$D$73,MATCH($A25,'CA Standards and Followers'!$A$14:$A$73,0))=1,INDEX('CA Standards and Followers'!$G$14:$G$73,MATCH($A25,'CA Standards and Followers'!$A$14:$A$73,0))&lt;=AB$1),INDEX('CA Standards and Followers'!$2:$2,MATCH(AB$1,'CA Standards and Followers'!$1:$1,0)),0))</f>
        <v>0.22</v>
      </c>
      <c r="AC25">
        <f>IF(AND(INDEX('CA Standards and Followers'!$E$14:$E$73,MATCH($A25,'CA Standards and Followers'!$A$14:$A$73,0))=1,INDEX('CA Standards and Followers'!$H$14:$H$73,MATCH($A25,'CA Standards and Followers'!$A$14:$A$73,0))&lt;=AC$1),INDEX('CA Standards and Followers'!$3:$3,MATCH(AC$1,'CA Standards and Followers'!$1:$1,0)),IF(AND(INDEX('CA Standards and Followers'!$D$14:$D$73,MATCH($A25,'CA Standards and Followers'!$A$14:$A$73,0))=1,INDEX('CA Standards and Followers'!$G$14:$G$73,MATCH($A25,'CA Standards and Followers'!$A$14:$A$73,0))&lt;=AC$1),INDEX('CA Standards and Followers'!$2:$2,MATCH(AC$1,'CA Standards and Followers'!$1:$1,0)),0))</f>
        <v>0.22</v>
      </c>
      <c r="AD25">
        <f>IF(AND(INDEX('CA Standards and Followers'!$E$14:$E$73,MATCH($A25,'CA Standards and Followers'!$A$14:$A$73,0))=1,INDEX('CA Standards and Followers'!$H$14:$H$73,MATCH($A25,'CA Standards and Followers'!$A$14:$A$73,0))&lt;=AD$1),INDEX('CA Standards and Followers'!$3:$3,MATCH(AD$1,'CA Standards and Followers'!$1:$1,0)),IF(AND(INDEX('CA Standards and Followers'!$D$14:$D$73,MATCH($A25,'CA Standards and Followers'!$A$14:$A$73,0))=1,INDEX('CA Standards and Followers'!$G$14:$G$73,MATCH($A25,'CA Standards and Followers'!$A$14:$A$73,0))&lt;=AD$1),INDEX('CA Standards and Followers'!$2:$2,MATCH(AD$1,'CA Standards and Followers'!$1:$1,0)),0))</f>
        <v>0.22</v>
      </c>
      <c r="AE25">
        <f>IF(AND(INDEX('CA Standards and Followers'!$E$14:$E$73,MATCH($A25,'CA Standards and Followers'!$A$14:$A$73,0))=1,INDEX('CA Standards and Followers'!$H$14:$H$73,MATCH($A25,'CA Standards and Followers'!$A$14:$A$73,0))&lt;=AE$1),INDEX('CA Standards and Followers'!$3:$3,MATCH(AE$1,'CA Standards and Followers'!$1:$1,0)),IF(AND(INDEX('CA Standards and Followers'!$D$14:$D$73,MATCH($A25,'CA Standards and Followers'!$A$14:$A$73,0))=1,INDEX('CA Standards and Followers'!$G$14:$G$73,MATCH($A25,'CA Standards and Followers'!$A$14:$A$73,0))&lt;=AE$1),INDEX('CA Standards and Followers'!$2:$2,MATCH(AE$1,'CA Standards and Followers'!$1:$1,0)),0))</f>
        <v>0.22</v>
      </c>
      <c r="AF25">
        <f>IF(AND(INDEX('CA Standards and Followers'!$E$14:$E$73,MATCH($A25,'CA Standards and Followers'!$A$14:$A$73,0))=1,INDEX('CA Standards and Followers'!$H$14:$H$73,MATCH($A25,'CA Standards and Followers'!$A$14:$A$73,0))&lt;=AF$1),INDEX('CA Standards and Followers'!$3:$3,MATCH(AF$1,'CA Standards and Followers'!$1:$1,0)),IF(AND(INDEX('CA Standards and Followers'!$D$14:$D$73,MATCH($A25,'CA Standards and Followers'!$A$14:$A$73,0))=1,INDEX('CA Standards and Followers'!$G$14:$G$73,MATCH($A25,'CA Standards and Followers'!$A$14:$A$73,0))&lt;=AF$1),INDEX('CA Standards and Followers'!$2:$2,MATCH(AF$1,'CA Standards and Followers'!$1:$1,0)),0))</f>
        <v>0.22</v>
      </c>
    </row>
    <row r="26" spans="1:32" x14ac:dyDescent="0.25">
      <c r="A26" t="s">
        <v>26</v>
      </c>
      <c r="B26">
        <f>IF(AND(INDEX('CA Standards and Followers'!$E$14:$E$73,MATCH($A26,'CA Standards and Followers'!$A$14:$A$73,0))=1,INDEX('CA Standards and Followers'!$H$14:$H$73,MATCH($A26,'CA Standards and Followers'!$A$14:$A$73,0))&lt;=B$1),INDEX('CA Standards and Followers'!$3:$3,MATCH(B$1,'CA Standards and Followers'!$1:$1,0)),IF(AND(INDEX('CA Standards and Followers'!$D$14:$D$73,MATCH($A26,'CA Standards and Followers'!$A$14:$A$73,0))=1,INDEX('CA Standards and Followers'!$G$14:$G$73,MATCH($A26,'CA Standards and Followers'!$A$14:$A$73,0))&lt;=B$1),INDEX('CA Standards and Followers'!$2:$2,MATCH(B$1,'CA Standards and Followers'!$1:$1,0)),0))</f>
        <v>0</v>
      </c>
      <c r="C26">
        <f>IF(AND(INDEX('CA Standards and Followers'!$E$14:$E$73,MATCH($A26,'CA Standards and Followers'!$A$14:$A$73,0))=1,INDEX('CA Standards and Followers'!$H$14:$H$73,MATCH($A26,'CA Standards and Followers'!$A$14:$A$73,0))&lt;=C$1),INDEX('CA Standards and Followers'!$3:$3,MATCH(C$1,'CA Standards and Followers'!$1:$1,0)),IF(AND(INDEX('CA Standards and Followers'!$D$14:$D$73,MATCH($A26,'CA Standards and Followers'!$A$14:$A$73,0))=1,INDEX('CA Standards and Followers'!$G$14:$G$73,MATCH($A26,'CA Standards and Followers'!$A$14:$A$73,0))&lt;=C$1),INDEX('CA Standards and Followers'!$2:$2,MATCH(C$1,'CA Standards and Followers'!$1:$1,0)),0))</f>
        <v>0</v>
      </c>
      <c r="D26">
        <f>IF(AND(INDEX('CA Standards and Followers'!$E$14:$E$73,MATCH($A26,'CA Standards and Followers'!$A$14:$A$73,0))=1,INDEX('CA Standards and Followers'!$H$14:$H$73,MATCH($A26,'CA Standards and Followers'!$A$14:$A$73,0))&lt;=D$1),INDEX('CA Standards and Followers'!$3:$3,MATCH(D$1,'CA Standards and Followers'!$1:$1,0)),IF(AND(INDEX('CA Standards and Followers'!$D$14:$D$73,MATCH($A26,'CA Standards and Followers'!$A$14:$A$73,0))=1,INDEX('CA Standards and Followers'!$G$14:$G$73,MATCH($A26,'CA Standards and Followers'!$A$14:$A$73,0))&lt;=D$1),INDEX('CA Standards and Followers'!$2:$2,MATCH(D$1,'CA Standards and Followers'!$1:$1,0)),0))</f>
        <v>0</v>
      </c>
      <c r="E26">
        <f>IF(AND(INDEX('CA Standards and Followers'!$E$14:$E$73,MATCH($A26,'CA Standards and Followers'!$A$14:$A$73,0))=1,INDEX('CA Standards and Followers'!$H$14:$H$73,MATCH($A26,'CA Standards and Followers'!$A$14:$A$73,0))&lt;=E$1),INDEX('CA Standards and Followers'!$3:$3,MATCH(E$1,'CA Standards and Followers'!$1:$1,0)),IF(AND(INDEX('CA Standards and Followers'!$D$14:$D$73,MATCH($A26,'CA Standards and Followers'!$A$14:$A$73,0))=1,INDEX('CA Standards and Followers'!$G$14:$G$73,MATCH($A26,'CA Standards and Followers'!$A$14:$A$73,0))&lt;=E$1),INDEX('CA Standards and Followers'!$2:$2,MATCH(E$1,'CA Standards and Followers'!$1:$1,0)),0))</f>
        <v>0</v>
      </c>
      <c r="F26">
        <f>IF(AND(INDEX('CA Standards and Followers'!$E$14:$E$73,MATCH($A26,'CA Standards and Followers'!$A$14:$A$73,0))=1,INDEX('CA Standards and Followers'!$H$14:$H$73,MATCH($A26,'CA Standards and Followers'!$A$14:$A$73,0))&lt;=F$1),INDEX('CA Standards and Followers'!$3:$3,MATCH(F$1,'CA Standards and Followers'!$1:$1,0)),IF(AND(INDEX('CA Standards and Followers'!$D$14:$D$73,MATCH($A26,'CA Standards and Followers'!$A$14:$A$73,0))=1,INDEX('CA Standards and Followers'!$G$14:$G$73,MATCH($A26,'CA Standards and Followers'!$A$14:$A$73,0))&lt;=F$1),INDEX('CA Standards and Followers'!$2:$2,MATCH(F$1,'CA Standards and Followers'!$1:$1,0)),0))</f>
        <v>0</v>
      </c>
      <c r="G26">
        <f>IF(AND(INDEX('CA Standards and Followers'!$E$14:$E$73,MATCH($A26,'CA Standards and Followers'!$A$14:$A$73,0))=1,INDEX('CA Standards and Followers'!$H$14:$H$73,MATCH($A26,'CA Standards and Followers'!$A$14:$A$73,0))&lt;=G$1),INDEX('CA Standards and Followers'!$3:$3,MATCH(G$1,'CA Standards and Followers'!$1:$1,0)),IF(AND(INDEX('CA Standards and Followers'!$D$14:$D$73,MATCH($A26,'CA Standards and Followers'!$A$14:$A$73,0))=1,INDEX('CA Standards and Followers'!$G$14:$G$73,MATCH($A26,'CA Standards and Followers'!$A$14:$A$73,0))&lt;=G$1),INDEX('CA Standards and Followers'!$2:$2,MATCH(G$1,'CA Standards and Followers'!$1:$1,0)),0))</f>
        <v>0</v>
      </c>
      <c r="H26">
        <f>IF(AND(INDEX('CA Standards and Followers'!$E$14:$E$73,MATCH($A26,'CA Standards and Followers'!$A$14:$A$73,0))=1,INDEX('CA Standards and Followers'!$H$14:$H$73,MATCH($A26,'CA Standards and Followers'!$A$14:$A$73,0))&lt;=H$1),INDEX('CA Standards and Followers'!$3:$3,MATCH(H$1,'CA Standards and Followers'!$1:$1,0)),IF(AND(INDEX('CA Standards and Followers'!$D$14:$D$73,MATCH($A26,'CA Standards and Followers'!$A$14:$A$73,0))=1,INDEX('CA Standards and Followers'!$G$14:$G$73,MATCH($A26,'CA Standards and Followers'!$A$14:$A$73,0))&lt;=H$1),INDEX('CA Standards and Followers'!$2:$2,MATCH(H$1,'CA Standards and Followers'!$1:$1,0)),0))</f>
        <v>0</v>
      </c>
      <c r="I26">
        <f>IF(AND(INDEX('CA Standards and Followers'!$E$14:$E$73,MATCH($A26,'CA Standards and Followers'!$A$14:$A$73,0))=1,INDEX('CA Standards and Followers'!$H$14:$H$73,MATCH($A26,'CA Standards and Followers'!$A$14:$A$73,0))&lt;=I$1),INDEX('CA Standards and Followers'!$3:$3,MATCH(I$1,'CA Standards and Followers'!$1:$1,0)),IF(AND(INDEX('CA Standards and Followers'!$D$14:$D$73,MATCH($A26,'CA Standards and Followers'!$A$14:$A$73,0))=1,INDEX('CA Standards and Followers'!$G$14:$G$73,MATCH($A26,'CA Standards and Followers'!$A$14:$A$73,0))&lt;=I$1),INDEX('CA Standards and Followers'!$2:$2,MATCH(I$1,'CA Standards and Followers'!$1:$1,0)),0))</f>
        <v>0</v>
      </c>
      <c r="J26">
        <f>IF(AND(INDEX('CA Standards and Followers'!$E$14:$E$73,MATCH($A26,'CA Standards and Followers'!$A$14:$A$73,0))=1,INDEX('CA Standards and Followers'!$H$14:$H$73,MATCH($A26,'CA Standards and Followers'!$A$14:$A$73,0))&lt;=J$1),INDEX('CA Standards and Followers'!$3:$3,MATCH(J$1,'CA Standards and Followers'!$1:$1,0)),IF(AND(INDEX('CA Standards and Followers'!$D$14:$D$73,MATCH($A26,'CA Standards and Followers'!$A$14:$A$73,0))=1,INDEX('CA Standards and Followers'!$G$14:$G$73,MATCH($A26,'CA Standards and Followers'!$A$14:$A$73,0))&lt;=J$1),INDEX('CA Standards and Followers'!$2:$2,MATCH(J$1,'CA Standards and Followers'!$1:$1,0)),0))</f>
        <v>0</v>
      </c>
      <c r="K26">
        <f>IF(AND(INDEX('CA Standards and Followers'!$E$14:$E$73,MATCH($A26,'CA Standards and Followers'!$A$14:$A$73,0))=1,INDEX('CA Standards and Followers'!$H$14:$H$73,MATCH($A26,'CA Standards and Followers'!$A$14:$A$73,0))&lt;=K$1),INDEX('CA Standards and Followers'!$3:$3,MATCH(K$1,'CA Standards and Followers'!$1:$1,0)),IF(AND(INDEX('CA Standards and Followers'!$D$14:$D$73,MATCH($A26,'CA Standards and Followers'!$A$14:$A$73,0))=1,INDEX('CA Standards and Followers'!$G$14:$G$73,MATCH($A26,'CA Standards and Followers'!$A$14:$A$73,0))&lt;=K$1),INDEX('CA Standards and Followers'!$2:$2,MATCH(K$1,'CA Standards and Followers'!$1:$1,0)),0))</f>
        <v>0</v>
      </c>
      <c r="L26">
        <f>IF(AND(INDEX('CA Standards and Followers'!$E$14:$E$73,MATCH($A26,'CA Standards and Followers'!$A$14:$A$73,0))=1,INDEX('CA Standards and Followers'!$H$14:$H$73,MATCH($A26,'CA Standards and Followers'!$A$14:$A$73,0))&lt;=L$1),INDEX('CA Standards and Followers'!$3:$3,MATCH(L$1,'CA Standards and Followers'!$1:$1,0)),IF(AND(INDEX('CA Standards and Followers'!$D$14:$D$73,MATCH($A26,'CA Standards and Followers'!$A$14:$A$73,0))=1,INDEX('CA Standards and Followers'!$G$14:$G$73,MATCH($A26,'CA Standards and Followers'!$A$14:$A$73,0))&lt;=L$1),INDEX('CA Standards and Followers'!$2:$2,MATCH(L$1,'CA Standards and Followers'!$1:$1,0)),0))</f>
        <v>0</v>
      </c>
      <c r="M26">
        <f>IF(AND(INDEX('CA Standards and Followers'!$E$14:$E$73,MATCH($A26,'CA Standards and Followers'!$A$14:$A$73,0))=1,INDEX('CA Standards and Followers'!$H$14:$H$73,MATCH($A26,'CA Standards and Followers'!$A$14:$A$73,0))&lt;=M$1),INDEX('CA Standards and Followers'!$3:$3,MATCH(M$1,'CA Standards and Followers'!$1:$1,0)),IF(AND(INDEX('CA Standards and Followers'!$D$14:$D$73,MATCH($A26,'CA Standards and Followers'!$A$14:$A$73,0))=1,INDEX('CA Standards and Followers'!$G$14:$G$73,MATCH($A26,'CA Standards and Followers'!$A$14:$A$73,0))&lt;=M$1),INDEX('CA Standards and Followers'!$2:$2,MATCH(M$1,'CA Standards and Followers'!$1:$1,0)),0))</f>
        <v>0</v>
      </c>
      <c r="N26">
        <f>IF(AND(INDEX('CA Standards and Followers'!$E$14:$E$73,MATCH($A26,'CA Standards and Followers'!$A$14:$A$73,0))=1,INDEX('CA Standards and Followers'!$H$14:$H$73,MATCH($A26,'CA Standards and Followers'!$A$14:$A$73,0))&lt;=N$1),INDEX('CA Standards and Followers'!$3:$3,MATCH(N$1,'CA Standards and Followers'!$1:$1,0)),IF(AND(INDEX('CA Standards and Followers'!$D$14:$D$73,MATCH($A26,'CA Standards and Followers'!$A$14:$A$73,0))=1,INDEX('CA Standards and Followers'!$G$14:$G$73,MATCH($A26,'CA Standards and Followers'!$A$14:$A$73,0))&lt;=N$1),INDEX('CA Standards and Followers'!$2:$2,MATCH(N$1,'CA Standards and Followers'!$1:$1,0)),0))</f>
        <v>0</v>
      </c>
      <c r="O26">
        <f>IF(AND(INDEX('CA Standards and Followers'!$E$14:$E$73,MATCH($A26,'CA Standards and Followers'!$A$14:$A$73,0))=1,INDEX('CA Standards and Followers'!$H$14:$H$73,MATCH($A26,'CA Standards and Followers'!$A$14:$A$73,0))&lt;=O$1),INDEX('CA Standards and Followers'!$3:$3,MATCH(O$1,'CA Standards and Followers'!$1:$1,0)),IF(AND(INDEX('CA Standards and Followers'!$D$14:$D$73,MATCH($A26,'CA Standards and Followers'!$A$14:$A$73,0))=1,INDEX('CA Standards and Followers'!$G$14:$G$73,MATCH($A26,'CA Standards and Followers'!$A$14:$A$73,0))&lt;=O$1),INDEX('CA Standards and Followers'!$2:$2,MATCH(O$1,'CA Standards and Followers'!$1:$1,0)),0))</f>
        <v>0</v>
      </c>
      <c r="P26">
        <f>IF(AND(INDEX('CA Standards and Followers'!$E$14:$E$73,MATCH($A26,'CA Standards and Followers'!$A$14:$A$73,0))=1,INDEX('CA Standards and Followers'!$H$14:$H$73,MATCH($A26,'CA Standards and Followers'!$A$14:$A$73,0))&lt;=P$1),INDEX('CA Standards and Followers'!$3:$3,MATCH(P$1,'CA Standards and Followers'!$1:$1,0)),IF(AND(INDEX('CA Standards and Followers'!$D$14:$D$73,MATCH($A26,'CA Standards and Followers'!$A$14:$A$73,0))=1,INDEX('CA Standards and Followers'!$G$14:$G$73,MATCH($A26,'CA Standards and Followers'!$A$14:$A$73,0))&lt;=P$1),INDEX('CA Standards and Followers'!$2:$2,MATCH(P$1,'CA Standards and Followers'!$1:$1,0)),0))</f>
        <v>0</v>
      </c>
      <c r="Q26">
        <f>IF(AND(INDEX('CA Standards and Followers'!$E$14:$E$73,MATCH($A26,'CA Standards and Followers'!$A$14:$A$73,0))=1,INDEX('CA Standards and Followers'!$H$14:$H$73,MATCH($A26,'CA Standards and Followers'!$A$14:$A$73,0))&lt;=Q$1),INDEX('CA Standards and Followers'!$3:$3,MATCH(Q$1,'CA Standards and Followers'!$1:$1,0)),IF(AND(INDEX('CA Standards and Followers'!$D$14:$D$73,MATCH($A26,'CA Standards and Followers'!$A$14:$A$73,0))=1,INDEX('CA Standards and Followers'!$G$14:$G$73,MATCH($A26,'CA Standards and Followers'!$A$14:$A$73,0))&lt;=Q$1),INDEX('CA Standards and Followers'!$2:$2,MATCH(Q$1,'CA Standards and Followers'!$1:$1,0)),0))</f>
        <v>0</v>
      </c>
      <c r="R26">
        <f>IF(AND(INDEX('CA Standards and Followers'!$E$14:$E$73,MATCH($A26,'CA Standards and Followers'!$A$14:$A$73,0))=1,INDEX('CA Standards and Followers'!$H$14:$H$73,MATCH($A26,'CA Standards and Followers'!$A$14:$A$73,0))&lt;=R$1),INDEX('CA Standards and Followers'!$3:$3,MATCH(R$1,'CA Standards and Followers'!$1:$1,0)),IF(AND(INDEX('CA Standards and Followers'!$D$14:$D$73,MATCH($A26,'CA Standards and Followers'!$A$14:$A$73,0))=1,INDEX('CA Standards and Followers'!$G$14:$G$73,MATCH($A26,'CA Standards and Followers'!$A$14:$A$73,0))&lt;=R$1),INDEX('CA Standards and Followers'!$2:$2,MATCH(R$1,'CA Standards and Followers'!$1:$1,0)),0))</f>
        <v>0</v>
      </c>
      <c r="S26">
        <f>IF(AND(INDEX('CA Standards and Followers'!$E$14:$E$73,MATCH($A26,'CA Standards and Followers'!$A$14:$A$73,0))=1,INDEX('CA Standards and Followers'!$H$14:$H$73,MATCH($A26,'CA Standards and Followers'!$A$14:$A$73,0))&lt;=S$1),INDEX('CA Standards and Followers'!$3:$3,MATCH(S$1,'CA Standards and Followers'!$1:$1,0)),IF(AND(INDEX('CA Standards and Followers'!$D$14:$D$73,MATCH($A26,'CA Standards and Followers'!$A$14:$A$73,0))=1,INDEX('CA Standards and Followers'!$G$14:$G$73,MATCH($A26,'CA Standards and Followers'!$A$14:$A$73,0))&lt;=S$1),INDEX('CA Standards and Followers'!$2:$2,MATCH(S$1,'CA Standards and Followers'!$1:$1,0)),0))</f>
        <v>0</v>
      </c>
      <c r="T26">
        <f>IF(AND(INDEX('CA Standards and Followers'!$E$14:$E$73,MATCH($A26,'CA Standards and Followers'!$A$14:$A$73,0))=1,INDEX('CA Standards and Followers'!$H$14:$H$73,MATCH($A26,'CA Standards and Followers'!$A$14:$A$73,0))&lt;=T$1),INDEX('CA Standards and Followers'!$3:$3,MATCH(T$1,'CA Standards and Followers'!$1:$1,0)),IF(AND(INDEX('CA Standards and Followers'!$D$14:$D$73,MATCH($A26,'CA Standards and Followers'!$A$14:$A$73,0))=1,INDEX('CA Standards and Followers'!$G$14:$G$73,MATCH($A26,'CA Standards and Followers'!$A$14:$A$73,0))&lt;=T$1),INDEX('CA Standards and Followers'!$2:$2,MATCH(T$1,'CA Standards and Followers'!$1:$1,0)),0))</f>
        <v>0</v>
      </c>
      <c r="U26">
        <f>IF(AND(INDEX('CA Standards and Followers'!$E$14:$E$73,MATCH($A26,'CA Standards and Followers'!$A$14:$A$73,0))=1,INDEX('CA Standards and Followers'!$H$14:$H$73,MATCH($A26,'CA Standards and Followers'!$A$14:$A$73,0))&lt;=U$1),INDEX('CA Standards and Followers'!$3:$3,MATCH(U$1,'CA Standards and Followers'!$1:$1,0)),IF(AND(INDEX('CA Standards and Followers'!$D$14:$D$73,MATCH($A26,'CA Standards and Followers'!$A$14:$A$73,0))=1,INDEX('CA Standards and Followers'!$G$14:$G$73,MATCH($A26,'CA Standards and Followers'!$A$14:$A$73,0))&lt;=U$1),INDEX('CA Standards and Followers'!$2:$2,MATCH(U$1,'CA Standards and Followers'!$1:$1,0)),0))</f>
        <v>0</v>
      </c>
      <c r="V26">
        <f>IF(AND(INDEX('CA Standards and Followers'!$E$14:$E$73,MATCH($A26,'CA Standards and Followers'!$A$14:$A$73,0))=1,INDEX('CA Standards and Followers'!$H$14:$H$73,MATCH($A26,'CA Standards and Followers'!$A$14:$A$73,0))&lt;=V$1),INDEX('CA Standards and Followers'!$3:$3,MATCH(V$1,'CA Standards and Followers'!$1:$1,0)),IF(AND(INDEX('CA Standards and Followers'!$D$14:$D$73,MATCH($A26,'CA Standards and Followers'!$A$14:$A$73,0))=1,INDEX('CA Standards and Followers'!$G$14:$G$73,MATCH($A26,'CA Standards and Followers'!$A$14:$A$73,0))&lt;=V$1),INDEX('CA Standards and Followers'!$2:$2,MATCH(V$1,'CA Standards and Followers'!$1:$1,0)),0))</f>
        <v>0</v>
      </c>
      <c r="W26">
        <f>IF(AND(INDEX('CA Standards and Followers'!$E$14:$E$73,MATCH($A26,'CA Standards and Followers'!$A$14:$A$73,0))=1,INDEX('CA Standards and Followers'!$H$14:$H$73,MATCH($A26,'CA Standards and Followers'!$A$14:$A$73,0))&lt;=W$1),INDEX('CA Standards and Followers'!$3:$3,MATCH(W$1,'CA Standards and Followers'!$1:$1,0)),IF(AND(INDEX('CA Standards and Followers'!$D$14:$D$73,MATCH($A26,'CA Standards and Followers'!$A$14:$A$73,0))=1,INDEX('CA Standards and Followers'!$G$14:$G$73,MATCH($A26,'CA Standards and Followers'!$A$14:$A$73,0))&lt;=W$1),INDEX('CA Standards and Followers'!$2:$2,MATCH(W$1,'CA Standards and Followers'!$1:$1,0)),0))</f>
        <v>0</v>
      </c>
      <c r="X26">
        <f>IF(AND(INDEX('CA Standards and Followers'!$E$14:$E$73,MATCH($A26,'CA Standards and Followers'!$A$14:$A$73,0))=1,INDEX('CA Standards and Followers'!$H$14:$H$73,MATCH($A26,'CA Standards and Followers'!$A$14:$A$73,0))&lt;=X$1),INDEX('CA Standards and Followers'!$3:$3,MATCH(X$1,'CA Standards and Followers'!$1:$1,0)),IF(AND(INDEX('CA Standards and Followers'!$D$14:$D$73,MATCH($A26,'CA Standards and Followers'!$A$14:$A$73,0))=1,INDEX('CA Standards and Followers'!$G$14:$G$73,MATCH($A26,'CA Standards and Followers'!$A$14:$A$73,0))&lt;=X$1),INDEX('CA Standards and Followers'!$2:$2,MATCH(X$1,'CA Standards and Followers'!$1:$1,0)),0))</f>
        <v>0</v>
      </c>
      <c r="Y26">
        <f>IF(AND(INDEX('CA Standards and Followers'!$E$14:$E$73,MATCH($A26,'CA Standards and Followers'!$A$14:$A$73,0))=1,INDEX('CA Standards and Followers'!$H$14:$H$73,MATCH($A26,'CA Standards and Followers'!$A$14:$A$73,0))&lt;=Y$1),INDEX('CA Standards and Followers'!$3:$3,MATCH(Y$1,'CA Standards and Followers'!$1:$1,0)),IF(AND(INDEX('CA Standards and Followers'!$D$14:$D$73,MATCH($A26,'CA Standards and Followers'!$A$14:$A$73,0))=1,INDEX('CA Standards and Followers'!$G$14:$G$73,MATCH($A26,'CA Standards and Followers'!$A$14:$A$73,0))&lt;=Y$1),INDEX('CA Standards and Followers'!$2:$2,MATCH(Y$1,'CA Standards and Followers'!$1:$1,0)),0))</f>
        <v>0</v>
      </c>
      <c r="Z26">
        <f>IF(AND(INDEX('CA Standards and Followers'!$E$14:$E$73,MATCH($A26,'CA Standards and Followers'!$A$14:$A$73,0))=1,INDEX('CA Standards and Followers'!$H$14:$H$73,MATCH($A26,'CA Standards and Followers'!$A$14:$A$73,0))&lt;=Z$1),INDEX('CA Standards and Followers'!$3:$3,MATCH(Z$1,'CA Standards and Followers'!$1:$1,0)),IF(AND(INDEX('CA Standards and Followers'!$D$14:$D$73,MATCH($A26,'CA Standards and Followers'!$A$14:$A$73,0))=1,INDEX('CA Standards and Followers'!$G$14:$G$73,MATCH($A26,'CA Standards and Followers'!$A$14:$A$73,0))&lt;=Z$1),INDEX('CA Standards and Followers'!$2:$2,MATCH(Z$1,'CA Standards and Followers'!$1:$1,0)),0))</f>
        <v>0</v>
      </c>
      <c r="AA26">
        <f>IF(AND(INDEX('CA Standards and Followers'!$E$14:$E$73,MATCH($A26,'CA Standards and Followers'!$A$14:$A$73,0))=1,INDEX('CA Standards and Followers'!$H$14:$H$73,MATCH($A26,'CA Standards and Followers'!$A$14:$A$73,0))&lt;=AA$1),INDEX('CA Standards and Followers'!$3:$3,MATCH(AA$1,'CA Standards and Followers'!$1:$1,0)),IF(AND(INDEX('CA Standards and Followers'!$D$14:$D$73,MATCH($A26,'CA Standards and Followers'!$A$14:$A$73,0))=1,INDEX('CA Standards and Followers'!$G$14:$G$73,MATCH($A26,'CA Standards and Followers'!$A$14:$A$73,0))&lt;=AA$1),INDEX('CA Standards and Followers'!$2:$2,MATCH(AA$1,'CA Standards and Followers'!$1:$1,0)),0))</f>
        <v>0</v>
      </c>
      <c r="AB26">
        <f>IF(AND(INDEX('CA Standards and Followers'!$E$14:$E$73,MATCH($A26,'CA Standards and Followers'!$A$14:$A$73,0))=1,INDEX('CA Standards and Followers'!$H$14:$H$73,MATCH($A26,'CA Standards and Followers'!$A$14:$A$73,0))&lt;=AB$1),INDEX('CA Standards and Followers'!$3:$3,MATCH(AB$1,'CA Standards and Followers'!$1:$1,0)),IF(AND(INDEX('CA Standards and Followers'!$D$14:$D$73,MATCH($A26,'CA Standards and Followers'!$A$14:$A$73,0))=1,INDEX('CA Standards and Followers'!$G$14:$G$73,MATCH($A26,'CA Standards and Followers'!$A$14:$A$73,0))&lt;=AB$1),INDEX('CA Standards and Followers'!$2:$2,MATCH(AB$1,'CA Standards and Followers'!$1:$1,0)),0))</f>
        <v>0</v>
      </c>
      <c r="AC26">
        <f>IF(AND(INDEX('CA Standards and Followers'!$E$14:$E$73,MATCH($A26,'CA Standards and Followers'!$A$14:$A$73,0))=1,INDEX('CA Standards and Followers'!$H$14:$H$73,MATCH($A26,'CA Standards and Followers'!$A$14:$A$73,0))&lt;=AC$1),INDEX('CA Standards and Followers'!$3:$3,MATCH(AC$1,'CA Standards and Followers'!$1:$1,0)),IF(AND(INDEX('CA Standards and Followers'!$D$14:$D$73,MATCH($A26,'CA Standards and Followers'!$A$14:$A$73,0))=1,INDEX('CA Standards and Followers'!$G$14:$G$73,MATCH($A26,'CA Standards and Followers'!$A$14:$A$73,0))&lt;=AC$1),INDEX('CA Standards and Followers'!$2:$2,MATCH(AC$1,'CA Standards and Followers'!$1:$1,0)),0))</f>
        <v>0</v>
      </c>
      <c r="AD26">
        <f>IF(AND(INDEX('CA Standards and Followers'!$E$14:$E$73,MATCH($A26,'CA Standards and Followers'!$A$14:$A$73,0))=1,INDEX('CA Standards and Followers'!$H$14:$H$73,MATCH($A26,'CA Standards and Followers'!$A$14:$A$73,0))&lt;=AD$1),INDEX('CA Standards and Followers'!$3:$3,MATCH(AD$1,'CA Standards and Followers'!$1:$1,0)),IF(AND(INDEX('CA Standards and Followers'!$D$14:$D$73,MATCH($A26,'CA Standards and Followers'!$A$14:$A$73,0))=1,INDEX('CA Standards and Followers'!$G$14:$G$73,MATCH($A26,'CA Standards and Followers'!$A$14:$A$73,0))&lt;=AD$1),INDEX('CA Standards and Followers'!$2:$2,MATCH(AD$1,'CA Standards and Followers'!$1:$1,0)),0))</f>
        <v>0</v>
      </c>
      <c r="AE26">
        <f>IF(AND(INDEX('CA Standards and Followers'!$E$14:$E$73,MATCH($A26,'CA Standards and Followers'!$A$14:$A$73,0))=1,INDEX('CA Standards and Followers'!$H$14:$H$73,MATCH($A26,'CA Standards and Followers'!$A$14:$A$73,0))&lt;=AE$1),INDEX('CA Standards and Followers'!$3:$3,MATCH(AE$1,'CA Standards and Followers'!$1:$1,0)),IF(AND(INDEX('CA Standards and Followers'!$D$14:$D$73,MATCH($A26,'CA Standards and Followers'!$A$14:$A$73,0))=1,INDEX('CA Standards and Followers'!$G$14:$G$73,MATCH($A26,'CA Standards and Followers'!$A$14:$A$73,0))&lt;=AE$1),INDEX('CA Standards and Followers'!$2:$2,MATCH(AE$1,'CA Standards and Followers'!$1:$1,0)),0))</f>
        <v>0</v>
      </c>
      <c r="AF26">
        <f>IF(AND(INDEX('CA Standards and Followers'!$E$14:$E$73,MATCH($A26,'CA Standards and Followers'!$A$14:$A$73,0))=1,INDEX('CA Standards and Followers'!$H$14:$H$73,MATCH($A26,'CA Standards and Followers'!$A$14:$A$73,0))&lt;=AF$1),INDEX('CA Standards and Followers'!$3:$3,MATCH(AF$1,'CA Standards and Followers'!$1:$1,0)),IF(AND(INDEX('CA Standards and Followers'!$D$14:$D$73,MATCH($A26,'CA Standards and Followers'!$A$14:$A$73,0))=1,INDEX('CA Standards and Followers'!$G$14:$G$73,MATCH($A26,'CA Standards and Followers'!$A$14:$A$73,0))&lt;=AF$1),INDEX('CA Standards and Followers'!$2:$2,MATCH(AF$1,'CA Standards and Followers'!$1:$1,0)),0))</f>
        <v>0</v>
      </c>
    </row>
    <row r="27" spans="1:32" x14ac:dyDescent="0.25">
      <c r="A27" t="s">
        <v>27</v>
      </c>
      <c r="B27">
        <f>IF(AND(INDEX('CA Standards and Followers'!$E$14:$E$73,MATCH($A27,'CA Standards and Followers'!$A$14:$A$73,0))=1,INDEX('CA Standards and Followers'!$H$14:$H$73,MATCH($A27,'CA Standards and Followers'!$A$14:$A$73,0))&lt;=B$1),INDEX('CA Standards and Followers'!$3:$3,MATCH(B$1,'CA Standards and Followers'!$1:$1,0)),IF(AND(INDEX('CA Standards and Followers'!$D$14:$D$73,MATCH($A27,'CA Standards and Followers'!$A$14:$A$73,0))=1,INDEX('CA Standards and Followers'!$G$14:$G$73,MATCH($A27,'CA Standards and Followers'!$A$14:$A$73,0))&lt;=B$1),INDEX('CA Standards and Followers'!$2:$2,MATCH(B$1,'CA Standards and Followers'!$1:$1,0)),0))</f>
        <v>0</v>
      </c>
      <c r="C27">
        <f>IF(AND(INDEX('CA Standards and Followers'!$E$14:$E$73,MATCH($A27,'CA Standards and Followers'!$A$14:$A$73,0))=1,INDEX('CA Standards and Followers'!$H$14:$H$73,MATCH($A27,'CA Standards and Followers'!$A$14:$A$73,0))&lt;=C$1),INDEX('CA Standards and Followers'!$3:$3,MATCH(C$1,'CA Standards and Followers'!$1:$1,0)),IF(AND(INDEX('CA Standards and Followers'!$D$14:$D$73,MATCH($A27,'CA Standards and Followers'!$A$14:$A$73,0))=1,INDEX('CA Standards and Followers'!$G$14:$G$73,MATCH($A27,'CA Standards and Followers'!$A$14:$A$73,0))&lt;=C$1),INDEX('CA Standards and Followers'!$2:$2,MATCH(C$1,'CA Standards and Followers'!$1:$1,0)),0))</f>
        <v>0</v>
      </c>
      <c r="D27">
        <f>IF(AND(INDEX('CA Standards and Followers'!$E$14:$E$73,MATCH($A27,'CA Standards and Followers'!$A$14:$A$73,0))=1,INDEX('CA Standards and Followers'!$H$14:$H$73,MATCH($A27,'CA Standards and Followers'!$A$14:$A$73,0))&lt;=D$1),INDEX('CA Standards and Followers'!$3:$3,MATCH(D$1,'CA Standards and Followers'!$1:$1,0)),IF(AND(INDEX('CA Standards and Followers'!$D$14:$D$73,MATCH($A27,'CA Standards and Followers'!$A$14:$A$73,0))=1,INDEX('CA Standards and Followers'!$G$14:$G$73,MATCH($A27,'CA Standards and Followers'!$A$14:$A$73,0))&lt;=D$1),INDEX('CA Standards and Followers'!$2:$2,MATCH(D$1,'CA Standards and Followers'!$1:$1,0)),0))</f>
        <v>0</v>
      </c>
      <c r="E27">
        <f>IF(AND(INDEX('CA Standards and Followers'!$E$14:$E$73,MATCH($A27,'CA Standards and Followers'!$A$14:$A$73,0))=1,INDEX('CA Standards and Followers'!$H$14:$H$73,MATCH($A27,'CA Standards and Followers'!$A$14:$A$73,0))&lt;=E$1),INDEX('CA Standards and Followers'!$3:$3,MATCH(E$1,'CA Standards and Followers'!$1:$1,0)),IF(AND(INDEX('CA Standards and Followers'!$D$14:$D$73,MATCH($A27,'CA Standards and Followers'!$A$14:$A$73,0))=1,INDEX('CA Standards and Followers'!$G$14:$G$73,MATCH($A27,'CA Standards and Followers'!$A$14:$A$73,0))&lt;=E$1),INDEX('CA Standards and Followers'!$2:$2,MATCH(E$1,'CA Standards and Followers'!$1:$1,0)),0))</f>
        <v>0</v>
      </c>
      <c r="F27">
        <f>IF(AND(INDEX('CA Standards and Followers'!$E$14:$E$73,MATCH($A27,'CA Standards and Followers'!$A$14:$A$73,0))=1,INDEX('CA Standards and Followers'!$H$14:$H$73,MATCH($A27,'CA Standards and Followers'!$A$14:$A$73,0))&lt;=F$1),INDEX('CA Standards and Followers'!$3:$3,MATCH(F$1,'CA Standards and Followers'!$1:$1,0)),IF(AND(INDEX('CA Standards and Followers'!$D$14:$D$73,MATCH($A27,'CA Standards and Followers'!$A$14:$A$73,0))=1,INDEX('CA Standards and Followers'!$G$14:$G$73,MATCH($A27,'CA Standards and Followers'!$A$14:$A$73,0))&lt;=F$1),INDEX('CA Standards and Followers'!$2:$2,MATCH(F$1,'CA Standards and Followers'!$1:$1,0)),0))</f>
        <v>0</v>
      </c>
      <c r="G27">
        <f>IF(AND(INDEX('CA Standards and Followers'!$E$14:$E$73,MATCH($A27,'CA Standards and Followers'!$A$14:$A$73,0))=1,INDEX('CA Standards and Followers'!$H$14:$H$73,MATCH($A27,'CA Standards and Followers'!$A$14:$A$73,0))&lt;=G$1),INDEX('CA Standards and Followers'!$3:$3,MATCH(G$1,'CA Standards and Followers'!$1:$1,0)),IF(AND(INDEX('CA Standards and Followers'!$D$14:$D$73,MATCH($A27,'CA Standards and Followers'!$A$14:$A$73,0))=1,INDEX('CA Standards and Followers'!$G$14:$G$73,MATCH($A27,'CA Standards and Followers'!$A$14:$A$73,0))&lt;=G$1),INDEX('CA Standards and Followers'!$2:$2,MATCH(G$1,'CA Standards and Followers'!$1:$1,0)),0))</f>
        <v>0</v>
      </c>
      <c r="H27">
        <f>IF(AND(INDEX('CA Standards and Followers'!$E$14:$E$73,MATCH($A27,'CA Standards and Followers'!$A$14:$A$73,0))=1,INDEX('CA Standards and Followers'!$H$14:$H$73,MATCH($A27,'CA Standards and Followers'!$A$14:$A$73,0))&lt;=H$1),INDEX('CA Standards and Followers'!$3:$3,MATCH(H$1,'CA Standards and Followers'!$1:$1,0)),IF(AND(INDEX('CA Standards and Followers'!$D$14:$D$73,MATCH($A27,'CA Standards and Followers'!$A$14:$A$73,0))=1,INDEX('CA Standards and Followers'!$G$14:$G$73,MATCH($A27,'CA Standards and Followers'!$A$14:$A$73,0))&lt;=H$1),INDEX('CA Standards and Followers'!$2:$2,MATCH(H$1,'CA Standards and Followers'!$1:$1,0)),0))</f>
        <v>0</v>
      </c>
      <c r="I27">
        <f>IF(AND(INDEX('CA Standards and Followers'!$E$14:$E$73,MATCH($A27,'CA Standards and Followers'!$A$14:$A$73,0))=1,INDEX('CA Standards and Followers'!$H$14:$H$73,MATCH($A27,'CA Standards and Followers'!$A$14:$A$73,0))&lt;=I$1),INDEX('CA Standards and Followers'!$3:$3,MATCH(I$1,'CA Standards and Followers'!$1:$1,0)),IF(AND(INDEX('CA Standards and Followers'!$D$14:$D$73,MATCH($A27,'CA Standards and Followers'!$A$14:$A$73,0))=1,INDEX('CA Standards and Followers'!$G$14:$G$73,MATCH($A27,'CA Standards and Followers'!$A$14:$A$73,0))&lt;=I$1),INDEX('CA Standards and Followers'!$2:$2,MATCH(I$1,'CA Standards and Followers'!$1:$1,0)),0))</f>
        <v>0</v>
      </c>
      <c r="J27">
        <f>IF(AND(INDEX('CA Standards and Followers'!$E$14:$E$73,MATCH($A27,'CA Standards and Followers'!$A$14:$A$73,0))=1,INDEX('CA Standards and Followers'!$H$14:$H$73,MATCH($A27,'CA Standards and Followers'!$A$14:$A$73,0))&lt;=J$1),INDEX('CA Standards and Followers'!$3:$3,MATCH(J$1,'CA Standards and Followers'!$1:$1,0)),IF(AND(INDEX('CA Standards and Followers'!$D$14:$D$73,MATCH($A27,'CA Standards and Followers'!$A$14:$A$73,0))=1,INDEX('CA Standards and Followers'!$G$14:$G$73,MATCH($A27,'CA Standards and Followers'!$A$14:$A$73,0))&lt;=J$1),INDEX('CA Standards and Followers'!$2:$2,MATCH(J$1,'CA Standards and Followers'!$1:$1,0)),0))</f>
        <v>0</v>
      </c>
      <c r="K27">
        <f>IF(AND(INDEX('CA Standards and Followers'!$E$14:$E$73,MATCH($A27,'CA Standards and Followers'!$A$14:$A$73,0))=1,INDEX('CA Standards and Followers'!$H$14:$H$73,MATCH($A27,'CA Standards and Followers'!$A$14:$A$73,0))&lt;=K$1),INDEX('CA Standards and Followers'!$3:$3,MATCH(K$1,'CA Standards and Followers'!$1:$1,0)),IF(AND(INDEX('CA Standards and Followers'!$D$14:$D$73,MATCH($A27,'CA Standards and Followers'!$A$14:$A$73,0))=1,INDEX('CA Standards and Followers'!$G$14:$G$73,MATCH($A27,'CA Standards and Followers'!$A$14:$A$73,0))&lt;=K$1),INDEX('CA Standards and Followers'!$2:$2,MATCH(K$1,'CA Standards and Followers'!$1:$1,0)),0))</f>
        <v>0</v>
      </c>
      <c r="L27">
        <f>IF(AND(INDEX('CA Standards and Followers'!$E$14:$E$73,MATCH($A27,'CA Standards and Followers'!$A$14:$A$73,0))=1,INDEX('CA Standards and Followers'!$H$14:$H$73,MATCH($A27,'CA Standards and Followers'!$A$14:$A$73,0))&lt;=L$1),INDEX('CA Standards and Followers'!$3:$3,MATCH(L$1,'CA Standards and Followers'!$1:$1,0)),IF(AND(INDEX('CA Standards and Followers'!$D$14:$D$73,MATCH($A27,'CA Standards and Followers'!$A$14:$A$73,0))=1,INDEX('CA Standards and Followers'!$G$14:$G$73,MATCH($A27,'CA Standards and Followers'!$A$14:$A$73,0))&lt;=L$1),INDEX('CA Standards and Followers'!$2:$2,MATCH(L$1,'CA Standards and Followers'!$1:$1,0)),0))</f>
        <v>0</v>
      </c>
      <c r="M27">
        <f>IF(AND(INDEX('CA Standards and Followers'!$E$14:$E$73,MATCH($A27,'CA Standards and Followers'!$A$14:$A$73,0))=1,INDEX('CA Standards and Followers'!$H$14:$H$73,MATCH($A27,'CA Standards and Followers'!$A$14:$A$73,0))&lt;=M$1),INDEX('CA Standards and Followers'!$3:$3,MATCH(M$1,'CA Standards and Followers'!$1:$1,0)),IF(AND(INDEX('CA Standards and Followers'!$D$14:$D$73,MATCH($A27,'CA Standards and Followers'!$A$14:$A$73,0))=1,INDEX('CA Standards and Followers'!$G$14:$G$73,MATCH($A27,'CA Standards and Followers'!$A$14:$A$73,0))&lt;=M$1),INDEX('CA Standards and Followers'!$2:$2,MATCH(M$1,'CA Standards and Followers'!$1:$1,0)),0))</f>
        <v>0</v>
      </c>
      <c r="N27">
        <f>IF(AND(INDEX('CA Standards and Followers'!$E$14:$E$73,MATCH($A27,'CA Standards and Followers'!$A$14:$A$73,0))=1,INDEX('CA Standards and Followers'!$H$14:$H$73,MATCH($A27,'CA Standards and Followers'!$A$14:$A$73,0))&lt;=N$1),INDEX('CA Standards and Followers'!$3:$3,MATCH(N$1,'CA Standards and Followers'!$1:$1,0)),IF(AND(INDEX('CA Standards and Followers'!$D$14:$D$73,MATCH($A27,'CA Standards and Followers'!$A$14:$A$73,0))=1,INDEX('CA Standards and Followers'!$G$14:$G$73,MATCH($A27,'CA Standards and Followers'!$A$14:$A$73,0))&lt;=N$1),INDEX('CA Standards and Followers'!$2:$2,MATCH(N$1,'CA Standards and Followers'!$1:$1,0)),0))</f>
        <v>0</v>
      </c>
      <c r="O27">
        <f>IF(AND(INDEX('CA Standards and Followers'!$E$14:$E$73,MATCH($A27,'CA Standards and Followers'!$A$14:$A$73,0))=1,INDEX('CA Standards and Followers'!$H$14:$H$73,MATCH($A27,'CA Standards and Followers'!$A$14:$A$73,0))&lt;=O$1),INDEX('CA Standards and Followers'!$3:$3,MATCH(O$1,'CA Standards and Followers'!$1:$1,0)),IF(AND(INDEX('CA Standards and Followers'!$D$14:$D$73,MATCH($A27,'CA Standards and Followers'!$A$14:$A$73,0))=1,INDEX('CA Standards and Followers'!$G$14:$G$73,MATCH($A27,'CA Standards and Followers'!$A$14:$A$73,0))&lt;=O$1),INDEX('CA Standards and Followers'!$2:$2,MATCH(O$1,'CA Standards and Followers'!$1:$1,0)),0))</f>
        <v>0</v>
      </c>
      <c r="P27">
        <f>IF(AND(INDEX('CA Standards and Followers'!$E$14:$E$73,MATCH($A27,'CA Standards and Followers'!$A$14:$A$73,0))=1,INDEX('CA Standards and Followers'!$H$14:$H$73,MATCH($A27,'CA Standards and Followers'!$A$14:$A$73,0))&lt;=P$1),INDEX('CA Standards and Followers'!$3:$3,MATCH(P$1,'CA Standards and Followers'!$1:$1,0)),IF(AND(INDEX('CA Standards and Followers'!$D$14:$D$73,MATCH($A27,'CA Standards and Followers'!$A$14:$A$73,0))=1,INDEX('CA Standards and Followers'!$G$14:$G$73,MATCH($A27,'CA Standards and Followers'!$A$14:$A$73,0))&lt;=P$1),INDEX('CA Standards and Followers'!$2:$2,MATCH(P$1,'CA Standards and Followers'!$1:$1,0)),0))</f>
        <v>0</v>
      </c>
      <c r="Q27">
        <f>IF(AND(INDEX('CA Standards and Followers'!$E$14:$E$73,MATCH($A27,'CA Standards and Followers'!$A$14:$A$73,0))=1,INDEX('CA Standards and Followers'!$H$14:$H$73,MATCH($A27,'CA Standards and Followers'!$A$14:$A$73,0))&lt;=Q$1),INDEX('CA Standards and Followers'!$3:$3,MATCH(Q$1,'CA Standards and Followers'!$1:$1,0)),IF(AND(INDEX('CA Standards and Followers'!$D$14:$D$73,MATCH($A27,'CA Standards and Followers'!$A$14:$A$73,0))=1,INDEX('CA Standards and Followers'!$G$14:$G$73,MATCH($A27,'CA Standards and Followers'!$A$14:$A$73,0))&lt;=Q$1),INDEX('CA Standards and Followers'!$2:$2,MATCH(Q$1,'CA Standards and Followers'!$1:$1,0)),0))</f>
        <v>0</v>
      </c>
      <c r="R27">
        <f>IF(AND(INDEX('CA Standards and Followers'!$E$14:$E$73,MATCH($A27,'CA Standards and Followers'!$A$14:$A$73,0))=1,INDEX('CA Standards and Followers'!$H$14:$H$73,MATCH($A27,'CA Standards and Followers'!$A$14:$A$73,0))&lt;=R$1),INDEX('CA Standards and Followers'!$3:$3,MATCH(R$1,'CA Standards and Followers'!$1:$1,0)),IF(AND(INDEX('CA Standards and Followers'!$D$14:$D$73,MATCH($A27,'CA Standards and Followers'!$A$14:$A$73,0))=1,INDEX('CA Standards and Followers'!$G$14:$G$73,MATCH($A27,'CA Standards and Followers'!$A$14:$A$73,0))&lt;=R$1),INDEX('CA Standards and Followers'!$2:$2,MATCH(R$1,'CA Standards and Followers'!$1:$1,0)),0))</f>
        <v>0</v>
      </c>
      <c r="S27">
        <f>IF(AND(INDEX('CA Standards and Followers'!$E$14:$E$73,MATCH($A27,'CA Standards and Followers'!$A$14:$A$73,0))=1,INDEX('CA Standards and Followers'!$H$14:$H$73,MATCH($A27,'CA Standards and Followers'!$A$14:$A$73,0))&lt;=S$1),INDEX('CA Standards and Followers'!$3:$3,MATCH(S$1,'CA Standards and Followers'!$1:$1,0)),IF(AND(INDEX('CA Standards and Followers'!$D$14:$D$73,MATCH($A27,'CA Standards and Followers'!$A$14:$A$73,0))=1,INDEX('CA Standards and Followers'!$G$14:$G$73,MATCH($A27,'CA Standards and Followers'!$A$14:$A$73,0))&lt;=S$1),INDEX('CA Standards and Followers'!$2:$2,MATCH(S$1,'CA Standards and Followers'!$1:$1,0)),0))</f>
        <v>0</v>
      </c>
      <c r="T27">
        <f>IF(AND(INDEX('CA Standards and Followers'!$E$14:$E$73,MATCH($A27,'CA Standards and Followers'!$A$14:$A$73,0))=1,INDEX('CA Standards and Followers'!$H$14:$H$73,MATCH($A27,'CA Standards and Followers'!$A$14:$A$73,0))&lt;=T$1),INDEX('CA Standards and Followers'!$3:$3,MATCH(T$1,'CA Standards and Followers'!$1:$1,0)),IF(AND(INDEX('CA Standards and Followers'!$D$14:$D$73,MATCH($A27,'CA Standards and Followers'!$A$14:$A$73,0))=1,INDEX('CA Standards and Followers'!$G$14:$G$73,MATCH($A27,'CA Standards and Followers'!$A$14:$A$73,0))&lt;=T$1),INDEX('CA Standards and Followers'!$2:$2,MATCH(T$1,'CA Standards and Followers'!$1:$1,0)),0))</f>
        <v>0</v>
      </c>
      <c r="U27">
        <f>IF(AND(INDEX('CA Standards and Followers'!$E$14:$E$73,MATCH($A27,'CA Standards and Followers'!$A$14:$A$73,0))=1,INDEX('CA Standards and Followers'!$H$14:$H$73,MATCH($A27,'CA Standards and Followers'!$A$14:$A$73,0))&lt;=U$1),INDEX('CA Standards and Followers'!$3:$3,MATCH(U$1,'CA Standards and Followers'!$1:$1,0)),IF(AND(INDEX('CA Standards and Followers'!$D$14:$D$73,MATCH($A27,'CA Standards and Followers'!$A$14:$A$73,0))=1,INDEX('CA Standards and Followers'!$G$14:$G$73,MATCH($A27,'CA Standards and Followers'!$A$14:$A$73,0))&lt;=U$1),INDEX('CA Standards and Followers'!$2:$2,MATCH(U$1,'CA Standards and Followers'!$1:$1,0)),0))</f>
        <v>0</v>
      </c>
      <c r="V27">
        <f>IF(AND(INDEX('CA Standards and Followers'!$E$14:$E$73,MATCH($A27,'CA Standards and Followers'!$A$14:$A$73,0))=1,INDEX('CA Standards and Followers'!$H$14:$H$73,MATCH($A27,'CA Standards and Followers'!$A$14:$A$73,0))&lt;=V$1),INDEX('CA Standards and Followers'!$3:$3,MATCH(V$1,'CA Standards and Followers'!$1:$1,0)),IF(AND(INDEX('CA Standards and Followers'!$D$14:$D$73,MATCH($A27,'CA Standards and Followers'!$A$14:$A$73,0))=1,INDEX('CA Standards and Followers'!$G$14:$G$73,MATCH($A27,'CA Standards and Followers'!$A$14:$A$73,0))&lt;=V$1),INDEX('CA Standards and Followers'!$2:$2,MATCH(V$1,'CA Standards and Followers'!$1:$1,0)),0))</f>
        <v>0</v>
      </c>
      <c r="W27">
        <f>IF(AND(INDEX('CA Standards and Followers'!$E$14:$E$73,MATCH($A27,'CA Standards and Followers'!$A$14:$A$73,0))=1,INDEX('CA Standards and Followers'!$H$14:$H$73,MATCH($A27,'CA Standards and Followers'!$A$14:$A$73,0))&lt;=W$1),INDEX('CA Standards and Followers'!$3:$3,MATCH(W$1,'CA Standards and Followers'!$1:$1,0)),IF(AND(INDEX('CA Standards and Followers'!$D$14:$D$73,MATCH($A27,'CA Standards and Followers'!$A$14:$A$73,0))=1,INDEX('CA Standards and Followers'!$G$14:$G$73,MATCH($A27,'CA Standards and Followers'!$A$14:$A$73,0))&lt;=W$1),INDEX('CA Standards and Followers'!$2:$2,MATCH(W$1,'CA Standards and Followers'!$1:$1,0)),0))</f>
        <v>0</v>
      </c>
      <c r="X27">
        <f>IF(AND(INDEX('CA Standards and Followers'!$E$14:$E$73,MATCH($A27,'CA Standards and Followers'!$A$14:$A$73,0))=1,INDEX('CA Standards and Followers'!$H$14:$H$73,MATCH($A27,'CA Standards and Followers'!$A$14:$A$73,0))&lt;=X$1),INDEX('CA Standards and Followers'!$3:$3,MATCH(X$1,'CA Standards and Followers'!$1:$1,0)),IF(AND(INDEX('CA Standards and Followers'!$D$14:$D$73,MATCH($A27,'CA Standards and Followers'!$A$14:$A$73,0))=1,INDEX('CA Standards and Followers'!$G$14:$G$73,MATCH($A27,'CA Standards and Followers'!$A$14:$A$73,0))&lt;=X$1),INDEX('CA Standards and Followers'!$2:$2,MATCH(X$1,'CA Standards and Followers'!$1:$1,0)),0))</f>
        <v>0</v>
      </c>
      <c r="Y27">
        <f>IF(AND(INDEX('CA Standards and Followers'!$E$14:$E$73,MATCH($A27,'CA Standards and Followers'!$A$14:$A$73,0))=1,INDEX('CA Standards and Followers'!$H$14:$H$73,MATCH($A27,'CA Standards and Followers'!$A$14:$A$73,0))&lt;=Y$1),INDEX('CA Standards and Followers'!$3:$3,MATCH(Y$1,'CA Standards and Followers'!$1:$1,0)),IF(AND(INDEX('CA Standards and Followers'!$D$14:$D$73,MATCH($A27,'CA Standards and Followers'!$A$14:$A$73,0))=1,INDEX('CA Standards and Followers'!$G$14:$G$73,MATCH($A27,'CA Standards and Followers'!$A$14:$A$73,0))&lt;=Y$1),INDEX('CA Standards and Followers'!$2:$2,MATCH(Y$1,'CA Standards and Followers'!$1:$1,0)),0))</f>
        <v>0</v>
      </c>
      <c r="Z27">
        <f>IF(AND(INDEX('CA Standards and Followers'!$E$14:$E$73,MATCH($A27,'CA Standards and Followers'!$A$14:$A$73,0))=1,INDEX('CA Standards and Followers'!$H$14:$H$73,MATCH($A27,'CA Standards and Followers'!$A$14:$A$73,0))&lt;=Z$1),INDEX('CA Standards and Followers'!$3:$3,MATCH(Z$1,'CA Standards and Followers'!$1:$1,0)),IF(AND(INDEX('CA Standards and Followers'!$D$14:$D$73,MATCH($A27,'CA Standards and Followers'!$A$14:$A$73,0))=1,INDEX('CA Standards and Followers'!$G$14:$G$73,MATCH($A27,'CA Standards and Followers'!$A$14:$A$73,0))&lt;=Z$1),INDEX('CA Standards and Followers'!$2:$2,MATCH(Z$1,'CA Standards and Followers'!$1:$1,0)),0))</f>
        <v>0</v>
      </c>
      <c r="AA27">
        <f>IF(AND(INDEX('CA Standards and Followers'!$E$14:$E$73,MATCH($A27,'CA Standards and Followers'!$A$14:$A$73,0))=1,INDEX('CA Standards and Followers'!$H$14:$H$73,MATCH($A27,'CA Standards and Followers'!$A$14:$A$73,0))&lt;=AA$1),INDEX('CA Standards and Followers'!$3:$3,MATCH(AA$1,'CA Standards and Followers'!$1:$1,0)),IF(AND(INDEX('CA Standards and Followers'!$D$14:$D$73,MATCH($A27,'CA Standards and Followers'!$A$14:$A$73,0))=1,INDEX('CA Standards and Followers'!$G$14:$G$73,MATCH($A27,'CA Standards and Followers'!$A$14:$A$73,0))&lt;=AA$1),INDEX('CA Standards and Followers'!$2:$2,MATCH(AA$1,'CA Standards and Followers'!$1:$1,0)),0))</f>
        <v>0</v>
      </c>
      <c r="AB27">
        <f>IF(AND(INDEX('CA Standards and Followers'!$E$14:$E$73,MATCH($A27,'CA Standards and Followers'!$A$14:$A$73,0))=1,INDEX('CA Standards and Followers'!$H$14:$H$73,MATCH($A27,'CA Standards and Followers'!$A$14:$A$73,0))&lt;=AB$1),INDEX('CA Standards and Followers'!$3:$3,MATCH(AB$1,'CA Standards and Followers'!$1:$1,0)),IF(AND(INDEX('CA Standards and Followers'!$D$14:$D$73,MATCH($A27,'CA Standards and Followers'!$A$14:$A$73,0))=1,INDEX('CA Standards and Followers'!$G$14:$G$73,MATCH($A27,'CA Standards and Followers'!$A$14:$A$73,0))&lt;=AB$1),INDEX('CA Standards and Followers'!$2:$2,MATCH(AB$1,'CA Standards and Followers'!$1:$1,0)),0))</f>
        <v>0</v>
      </c>
      <c r="AC27">
        <f>IF(AND(INDEX('CA Standards and Followers'!$E$14:$E$73,MATCH($A27,'CA Standards and Followers'!$A$14:$A$73,0))=1,INDEX('CA Standards and Followers'!$H$14:$H$73,MATCH($A27,'CA Standards and Followers'!$A$14:$A$73,0))&lt;=AC$1),INDEX('CA Standards and Followers'!$3:$3,MATCH(AC$1,'CA Standards and Followers'!$1:$1,0)),IF(AND(INDEX('CA Standards and Followers'!$D$14:$D$73,MATCH($A27,'CA Standards and Followers'!$A$14:$A$73,0))=1,INDEX('CA Standards and Followers'!$G$14:$G$73,MATCH($A27,'CA Standards and Followers'!$A$14:$A$73,0))&lt;=AC$1),INDEX('CA Standards and Followers'!$2:$2,MATCH(AC$1,'CA Standards and Followers'!$1:$1,0)),0))</f>
        <v>0</v>
      </c>
      <c r="AD27">
        <f>IF(AND(INDEX('CA Standards and Followers'!$E$14:$E$73,MATCH($A27,'CA Standards and Followers'!$A$14:$A$73,0))=1,INDEX('CA Standards and Followers'!$H$14:$H$73,MATCH($A27,'CA Standards and Followers'!$A$14:$A$73,0))&lt;=AD$1),INDEX('CA Standards and Followers'!$3:$3,MATCH(AD$1,'CA Standards and Followers'!$1:$1,0)),IF(AND(INDEX('CA Standards and Followers'!$D$14:$D$73,MATCH($A27,'CA Standards and Followers'!$A$14:$A$73,0))=1,INDEX('CA Standards and Followers'!$G$14:$G$73,MATCH($A27,'CA Standards and Followers'!$A$14:$A$73,0))&lt;=AD$1),INDEX('CA Standards and Followers'!$2:$2,MATCH(AD$1,'CA Standards and Followers'!$1:$1,0)),0))</f>
        <v>0</v>
      </c>
      <c r="AE27">
        <f>IF(AND(INDEX('CA Standards and Followers'!$E$14:$E$73,MATCH($A27,'CA Standards and Followers'!$A$14:$A$73,0))=1,INDEX('CA Standards and Followers'!$H$14:$H$73,MATCH($A27,'CA Standards and Followers'!$A$14:$A$73,0))&lt;=AE$1),INDEX('CA Standards and Followers'!$3:$3,MATCH(AE$1,'CA Standards and Followers'!$1:$1,0)),IF(AND(INDEX('CA Standards and Followers'!$D$14:$D$73,MATCH($A27,'CA Standards and Followers'!$A$14:$A$73,0))=1,INDEX('CA Standards and Followers'!$G$14:$G$73,MATCH($A27,'CA Standards and Followers'!$A$14:$A$73,0))&lt;=AE$1),INDEX('CA Standards and Followers'!$2:$2,MATCH(AE$1,'CA Standards and Followers'!$1:$1,0)),0))</f>
        <v>0</v>
      </c>
      <c r="AF27">
        <f>IF(AND(INDEX('CA Standards and Followers'!$E$14:$E$73,MATCH($A27,'CA Standards and Followers'!$A$14:$A$73,0))=1,INDEX('CA Standards and Followers'!$H$14:$H$73,MATCH($A27,'CA Standards and Followers'!$A$14:$A$73,0))&lt;=AF$1),INDEX('CA Standards and Followers'!$3:$3,MATCH(AF$1,'CA Standards and Followers'!$1:$1,0)),IF(AND(INDEX('CA Standards and Followers'!$D$14:$D$73,MATCH($A27,'CA Standards and Followers'!$A$14:$A$73,0))=1,INDEX('CA Standards and Followers'!$G$14:$G$73,MATCH($A27,'CA Standards and Followers'!$A$14:$A$73,0))&lt;=AF$1),INDEX('CA Standards and Followers'!$2:$2,MATCH(AF$1,'CA Standards and Followers'!$1:$1,0)),0))</f>
        <v>0</v>
      </c>
    </row>
    <row r="28" spans="1:32" x14ac:dyDescent="0.25">
      <c r="A28" t="s">
        <v>28</v>
      </c>
      <c r="B28">
        <f>IF(AND(INDEX('CA Standards and Followers'!$E$14:$E$73,MATCH($A28,'CA Standards and Followers'!$A$14:$A$73,0))=1,INDEX('CA Standards and Followers'!$H$14:$H$73,MATCH($A28,'CA Standards and Followers'!$A$14:$A$73,0))&lt;=B$1),INDEX('CA Standards and Followers'!$3:$3,MATCH(B$1,'CA Standards and Followers'!$1:$1,0)),IF(AND(INDEX('CA Standards and Followers'!$D$14:$D$73,MATCH($A28,'CA Standards and Followers'!$A$14:$A$73,0))=1,INDEX('CA Standards and Followers'!$G$14:$G$73,MATCH($A28,'CA Standards and Followers'!$A$14:$A$73,0))&lt;=B$1),INDEX('CA Standards and Followers'!$2:$2,MATCH(B$1,'CA Standards and Followers'!$1:$1,0)),0))</f>
        <v>0</v>
      </c>
      <c r="C28">
        <f>IF(AND(INDEX('CA Standards and Followers'!$E$14:$E$73,MATCH($A28,'CA Standards and Followers'!$A$14:$A$73,0))=1,INDEX('CA Standards and Followers'!$H$14:$H$73,MATCH($A28,'CA Standards and Followers'!$A$14:$A$73,0))&lt;=C$1),INDEX('CA Standards and Followers'!$3:$3,MATCH(C$1,'CA Standards and Followers'!$1:$1,0)),IF(AND(INDEX('CA Standards and Followers'!$D$14:$D$73,MATCH($A28,'CA Standards and Followers'!$A$14:$A$73,0))=1,INDEX('CA Standards and Followers'!$G$14:$G$73,MATCH($A28,'CA Standards and Followers'!$A$14:$A$73,0))&lt;=C$1),INDEX('CA Standards and Followers'!$2:$2,MATCH(C$1,'CA Standards and Followers'!$1:$1,0)),0))</f>
        <v>0</v>
      </c>
      <c r="D28">
        <f>IF(AND(INDEX('CA Standards and Followers'!$E$14:$E$73,MATCH($A28,'CA Standards and Followers'!$A$14:$A$73,0))=1,INDEX('CA Standards and Followers'!$H$14:$H$73,MATCH($A28,'CA Standards and Followers'!$A$14:$A$73,0))&lt;=D$1),INDEX('CA Standards and Followers'!$3:$3,MATCH(D$1,'CA Standards and Followers'!$1:$1,0)),IF(AND(INDEX('CA Standards and Followers'!$D$14:$D$73,MATCH($A28,'CA Standards and Followers'!$A$14:$A$73,0))=1,INDEX('CA Standards and Followers'!$G$14:$G$73,MATCH($A28,'CA Standards and Followers'!$A$14:$A$73,0))&lt;=D$1),INDEX('CA Standards and Followers'!$2:$2,MATCH(D$1,'CA Standards and Followers'!$1:$1,0)),0))</f>
        <v>0</v>
      </c>
      <c r="E28">
        <f>IF(AND(INDEX('CA Standards and Followers'!$E$14:$E$73,MATCH($A28,'CA Standards and Followers'!$A$14:$A$73,0))=1,INDEX('CA Standards and Followers'!$H$14:$H$73,MATCH($A28,'CA Standards and Followers'!$A$14:$A$73,0))&lt;=E$1),INDEX('CA Standards and Followers'!$3:$3,MATCH(E$1,'CA Standards and Followers'!$1:$1,0)),IF(AND(INDEX('CA Standards and Followers'!$D$14:$D$73,MATCH($A28,'CA Standards and Followers'!$A$14:$A$73,0))=1,INDEX('CA Standards and Followers'!$G$14:$G$73,MATCH($A28,'CA Standards and Followers'!$A$14:$A$73,0))&lt;=E$1),INDEX('CA Standards and Followers'!$2:$2,MATCH(E$1,'CA Standards and Followers'!$1:$1,0)),0))</f>
        <v>0</v>
      </c>
      <c r="F28">
        <f>IF(AND(INDEX('CA Standards and Followers'!$E$14:$E$73,MATCH($A28,'CA Standards and Followers'!$A$14:$A$73,0))=1,INDEX('CA Standards and Followers'!$H$14:$H$73,MATCH($A28,'CA Standards and Followers'!$A$14:$A$73,0))&lt;=F$1),INDEX('CA Standards and Followers'!$3:$3,MATCH(F$1,'CA Standards and Followers'!$1:$1,0)),IF(AND(INDEX('CA Standards and Followers'!$D$14:$D$73,MATCH($A28,'CA Standards and Followers'!$A$14:$A$73,0))=1,INDEX('CA Standards and Followers'!$G$14:$G$73,MATCH($A28,'CA Standards and Followers'!$A$14:$A$73,0))&lt;=F$1),INDEX('CA Standards and Followers'!$2:$2,MATCH(F$1,'CA Standards and Followers'!$1:$1,0)),0))</f>
        <v>0</v>
      </c>
      <c r="G28">
        <f>IF(AND(INDEX('CA Standards and Followers'!$E$14:$E$73,MATCH($A28,'CA Standards and Followers'!$A$14:$A$73,0))=1,INDEX('CA Standards and Followers'!$H$14:$H$73,MATCH($A28,'CA Standards and Followers'!$A$14:$A$73,0))&lt;=G$1),INDEX('CA Standards and Followers'!$3:$3,MATCH(G$1,'CA Standards and Followers'!$1:$1,0)),IF(AND(INDEX('CA Standards and Followers'!$D$14:$D$73,MATCH($A28,'CA Standards and Followers'!$A$14:$A$73,0))=1,INDEX('CA Standards and Followers'!$G$14:$G$73,MATCH($A28,'CA Standards and Followers'!$A$14:$A$73,0))&lt;=G$1),INDEX('CA Standards and Followers'!$2:$2,MATCH(G$1,'CA Standards and Followers'!$1:$1,0)),0))</f>
        <v>0</v>
      </c>
      <c r="H28">
        <f>IF(AND(INDEX('CA Standards and Followers'!$E$14:$E$73,MATCH($A28,'CA Standards and Followers'!$A$14:$A$73,0))=1,INDEX('CA Standards and Followers'!$H$14:$H$73,MATCH($A28,'CA Standards and Followers'!$A$14:$A$73,0))&lt;=H$1),INDEX('CA Standards and Followers'!$3:$3,MATCH(H$1,'CA Standards and Followers'!$1:$1,0)),IF(AND(INDEX('CA Standards and Followers'!$D$14:$D$73,MATCH($A28,'CA Standards and Followers'!$A$14:$A$73,0))=1,INDEX('CA Standards and Followers'!$G$14:$G$73,MATCH($A28,'CA Standards and Followers'!$A$14:$A$73,0))&lt;=H$1),INDEX('CA Standards and Followers'!$2:$2,MATCH(H$1,'CA Standards and Followers'!$1:$1,0)),0))</f>
        <v>0</v>
      </c>
      <c r="I28">
        <f>IF(AND(INDEX('CA Standards and Followers'!$E$14:$E$73,MATCH($A28,'CA Standards and Followers'!$A$14:$A$73,0))=1,INDEX('CA Standards and Followers'!$H$14:$H$73,MATCH($A28,'CA Standards and Followers'!$A$14:$A$73,0))&lt;=I$1),INDEX('CA Standards and Followers'!$3:$3,MATCH(I$1,'CA Standards and Followers'!$1:$1,0)),IF(AND(INDEX('CA Standards and Followers'!$D$14:$D$73,MATCH($A28,'CA Standards and Followers'!$A$14:$A$73,0))=1,INDEX('CA Standards and Followers'!$G$14:$G$73,MATCH($A28,'CA Standards and Followers'!$A$14:$A$73,0))&lt;=I$1),INDEX('CA Standards and Followers'!$2:$2,MATCH(I$1,'CA Standards and Followers'!$1:$1,0)),0))</f>
        <v>0</v>
      </c>
      <c r="J28">
        <f>IF(AND(INDEX('CA Standards and Followers'!$E$14:$E$73,MATCH($A28,'CA Standards and Followers'!$A$14:$A$73,0))=1,INDEX('CA Standards and Followers'!$H$14:$H$73,MATCH($A28,'CA Standards and Followers'!$A$14:$A$73,0))&lt;=J$1),INDEX('CA Standards and Followers'!$3:$3,MATCH(J$1,'CA Standards and Followers'!$1:$1,0)),IF(AND(INDEX('CA Standards and Followers'!$D$14:$D$73,MATCH($A28,'CA Standards and Followers'!$A$14:$A$73,0))=1,INDEX('CA Standards and Followers'!$G$14:$G$73,MATCH($A28,'CA Standards and Followers'!$A$14:$A$73,0))&lt;=J$1),INDEX('CA Standards and Followers'!$2:$2,MATCH(J$1,'CA Standards and Followers'!$1:$1,0)),0))</f>
        <v>0</v>
      </c>
      <c r="K28">
        <f>IF(AND(INDEX('CA Standards and Followers'!$E$14:$E$73,MATCH($A28,'CA Standards and Followers'!$A$14:$A$73,0))=1,INDEX('CA Standards and Followers'!$H$14:$H$73,MATCH($A28,'CA Standards and Followers'!$A$14:$A$73,0))&lt;=K$1),INDEX('CA Standards and Followers'!$3:$3,MATCH(K$1,'CA Standards and Followers'!$1:$1,0)),IF(AND(INDEX('CA Standards and Followers'!$D$14:$D$73,MATCH($A28,'CA Standards and Followers'!$A$14:$A$73,0))=1,INDEX('CA Standards and Followers'!$G$14:$G$73,MATCH($A28,'CA Standards and Followers'!$A$14:$A$73,0))&lt;=K$1),INDEX('CA Standards and Followers'!$2:$2,MATCH(K$1,'CA Standards and Followers'!$1:$1,0)),0))</f>
        <v>0</v>
      </c>
      <c r="L28">
        <f>IF(AND(INDEX('CA Standards and Followers'!$E$14:$E$73,MATCH($A28,'CA Standards and Followers'!$A$14:$A$73,0))=1,INDEX('CA Standards and Followers'!$H$14:$H$73,MATCH($A28,'CA Standards and Followers'!$A$14:$A$73,0))&lt;=L$1),INDEX('CA Standards and Followers'!$3:$3,MATCH(L$1,'CA Standards and Followers'!$1:$1,0)),IF(AND(INDEX('CA Standards and Followers'!$D$14:$D$73,MATCH($A28,'CA Standards and Followers'!$A$14:$A$73,0))=1,INDEX('CA Standards and Followers'!$G$14:$G$73,MATCH($A28,'CA Standards and Followers'!$A$14:$A$73,0))&lt;=L$1),INDEX('CA Standards and Followers'!$2:$2,MATCH(L$1,'CA Standards and Followers'!$1:$1,0)),0))</f>
        <v>0</v>
      </c>
      <c r="M28">
        <f>IF(AND(INDEX('CA Standards and Followers'!$E$14:$E$73,MATCH($A28,'CA Standards and Followers'!$A$14:$A$73,0))=1,INDEX('CA Standards and Followers'!$H$14:$H$73,MATCH($A28,'CA Standards and Followers'!$A$14:$A$73,0))&lt;=M$1),INDEX('CA Standards and Followers'!$3:$3,MATCH(M$1,'CA Standards and Followers'!$1:$1,0)),IF(AND(INDEX('CA Standards and Followers'!$D$14:$D$73,MATCH($A28,'CA Standards and Followers'!$A$14:$A$73,0))=1,INDEX('CA Standards and Followers'!$G$14:$G$73,MATCH($A28,'CA Standards and Followers'!$A$14:$A$73,0))&lt;=M$1),INDEX('CA Standards and Followers'!$2:$2,MATCH(M$1,'CA Standards and Followers'!$1:$1,0)),0))</f>
        <v>0</v>
      </c>
      <c r="N28">
        <f>IF(AND(INDEX('CA Standards and Followers'!$E$14:$E$73,MATCH($A28,'CA Standards and Followers'!$A$14:$A$73,0))=1,INDEX('CA Standards and Followers'!$H$14:$H$73,MATCH($A28,'CA Standards and Followers'!$A$14:$A$73,0))&lt;=N$1),INDEX('CA Standards and Followers'!$3:$3,MATCH(N$1,'CA Standards and Followers'!$1:$1,0)),IF(AND(INDEX('CA Standards and Followers'!$D$14:$D$73,MATCH($A28,'CA Standards and Followers'!$A$14:$A$73,0))=1,INDEX('CA Standards and Followers'!$G$14:$G$73,MATCH($A28,'CA Standards and Followers'!$A$14:$A$73,0))&lt;=N$1),INDEX('CA Standards and Followers'!$2:$2,MATCH(N$1,'CA Standards and Followers'!$1:$1,0)),0))</f>
        <v>0</v>
      </c>
      <c r="O28">
        <f>IF(AND(INDEX('CA Standards and Followers'!$E$14:$E$73,MATCH($A28,'CA Standards and Followers'!$A$14:$A$73,0))=1,INDEX('CA Standards and Followers'!$H$14:$H$73,MATCH($A28,'CA Standards and Followers'!$A$14:$A$73,0))&lt;=O$1),INDEX('CA Standards and Followers'!$3:$3,MATCH(O$1,'CA Standards and Followers'!$1:$1,0)),IF(AND(INDEX('CA Standards and Followers'!$D$14:$D$73,MATCH($A28,'CA Standards and Followers'!$A$14:$A$73,0))=1,INDEX('CA Standards and Followers'!$G$14:$G$73,MATCH($A28,'CA Standards and Followers'!$A$14:$A$73,0))&lt;=O$1),INDEX('CA Standards and Followers'!$2:$2,MATCH(O$1,'CA Standards and Followers'!$1:$1,0)),0))</f>
        <v>0</v>
      </c>
      <c r="P28">
        <f>IF(AND(INDEX('CA Standards and Followers'!$E$14:$E$73,MATCH($A28,'CA Standards and Followers'!$A$14:$A$73,0))=1,INDEX('CA Standards and Followers'!$H$14:$H$73,MATCH($A28,'CA Standards and Followers'!$A$14:$A$73,0))&lt;=P$1),INDEX('CA Standards and Followers'!$3:$3,MATCH(P$1,'CA Standards and Followers'!$1:$1,0)),IF(AND(INDEX('CA Standards and Followers'!$D$14:$D$73,MATCH($A28,'CA Standards and Followers'!$A$14:$A$73,0))=1,INDEX('CA Standards and Followers'!$G$14:$G$73,MATCH($A28,'CA Standards and Followers'!$A$14:$A$73,0))&lt;=P$1),INDEX('CA Standards and Followers'!$2:$2,MATCH(P$1,'CA Standards and Followers'!$1:$1,0)),0))</f>
        <v>0</v>
      </c>
      <c r="Q28">
        <f>IF(AND(INDEX('CA Standards and Followers'!$E$14:$E$73,MATCH($A28,'CA Standards and Followers'!$A$14:$A$73,0))=1,INDEX('CA Standards and Followers'!$H$14:$H$73,MATCH($A28,'CA Standards and Followers'!$A$14:$A$73,0))&lt;=Q$1),INDEX('CA Standards and Followers'!$3:$3,MATCH(Q$1,'CA Standards and Followers'!$1:$1,0)),IF(AND(INDEX('CA Standards and Followers'!$D$14:$D$73,MATCH($A28,'CA Standards and Followers'!$A$14:$A$73,0))=1,INDEX('CA Standards and Followers'!$G$14:$G$73,MATCH($A28,'CA Standards and Followers'!$A$14:$A$73,0))&lt;=Q$1),INDEX('CA Standards and Followers'!$2:$2,MATCH(Q$1,'CA Standards and Followers'!$1:$1,0)),0))</f>
        <v>0</v>
      </c>
      <c r="R28">
        <f>IF(AND(INDEX('CA Standards and Followers'!$E$14:$E$73,MATCH($A28,'CA Standards and Followers'!$A$14:$A$73,0))=1,INDEX('CA Standards and Followers'!$H$14:$H$73,MATCH($A28,'CA Standards and Followers'!$A$14:$A$73,0))&lt;=R$1),INDEX('CA Standards and Followers'!$3:$3,MATCH(R$1,'CA Standards and Followers'!$1:$1,0)),IF(AND(INDEX('CA Standards and Followers'!$D$14:$D$73,MATCH($A28,'CA Standards and Followers'!$A$14:$A$73,0))=1,INDEX('CA Standards and Followers'!$G$14:$G$73,MATCH($A28,'CA Standards and Followers'!$A$14:$A$73,0))&lt;=R$1),INDEX('CA Standards and Followers'!$2:$2,MATCH(R$1,'CA Standards and Followers'!$1:$1,0)),0))</f>
        <v>0</v>
      </c>
      <c r="S28">
        <f>IF(AND(INDEX('CA Standards and Followers'!$E$14:$E$73,MATCH($A28,'CA Standards and Followers'!$A$14:$A$73,0))=1,INDEX('CA Standards and Followers'!$H$14:$H$73,MATCH($A28,'CA Standards and Followers'!$A$14:$A$73,0))&lt;=S$1),INDEX('CA Standards and Followers'!$3:$3,MATCH(S$1,'CA Standards and Followers'!$1:$1,0)),IF(AND(INDEX('CA Standards and Followers'!$D$14:$D$73,MATCH($A28,'CA Standards and Followers'!$A$14:$A$73,0))=1,INDEX('CA Standards and Followers'!$G$14:$G$73,MATCH($A28,'CA Standards and Followers'!$A$14:$A$73,0))&lt;=S$1),INDEX('CA Standards and Followers'!$2:$2,MATCH(S$1,'CA Standards and Followers'!$1:$1,0)),0))</f>
        <v>0</v>
      </c>
      <c r="T28">
        <f>IF(AND(INDEX('CA Standards and Followers'!$E$14:$E$73,MATCH($A28,'CA Standards and Followers'!$A$14:$A$73,0))=1,INDEX('CA Standards and Followers'!$H$14:$H$73,MATCH($A28,'CA Standards and Followers'!$A$14:$A$73,0))&lt;=T$1),INDEX('CA Standards and Followers'!$3:$3,MATCH(T$1,'CA Standards and Followers'!$1:$1,0)),IF(AND(INDEX('CA Standards and Followers'!$D$14:$D$73,MATCH($A28,'CA Standards and Followers'!$A$14:$A$73,0))=1,INDEX('CA Standards and Followers'!$G$14:$G$73,MATCH($A28,'CA Standards and Followers'!$A$14:$A$73,0))&lt;=T$1),INDEX('CA Standards and Followers'!$2:$2,MATCH(T$1,'CA Standards and Followers'!$1:$1,0)),0))</f>
        <v>0</v>
      </c>
      <c r="U28">
        <f>IF(AND(INDEX('CA Standards and Followers'!$E$14:$E$73,MATCH($A28,'CA Standards and Followers'!$A$14:$A$73,0))=1,INDEX('CA Standards and Followers'!$H$14:$H$73,MATCH($A28,'CA Standards and Followers'!$A$14:$A$73,0))&lt;=U$1),INDEX('CA Standards and Followers'!$3:$3,MATCH(U$1,'CA Standards and Followers'!$1:$1,0)),IF(AND(INDEX('CA Standards and Followers'!$D$14:$D$73,MATCH($A28,'CA Standards and Followers'!$A$14:$A$73,0))=1,INDEX('CA Standards and Followers'!$G$14:$G$73,MATCH($A28,'CA Standards and Followers'!$A$14:$A$73,0))&lt;=U$1),INDEX('CA Standards and Followers'!$2:$2,MATCH(U$1,'CA Standards and Followers'!$1:$1,0)),0))</f>
        <v>0</v>
      </c>
      <c r="V28">
        <f>IF(AND(INDEX('CA Standards and Followers'!$E$14:$E$73,MATCH($A28,'CA Standards and Followers'!$A$14:$A$73,0))=1,INDEX('CA Standards and Followers'!$H$14:$H$73,MATCH($A28,'CA Standards and Followers'!$A$14:$A$73,0))&lt;=V$1),INDEX('CA Standards and Followers'!$3:$3,MATCH(V$1,'CA Standards and Followers'!$1:$1,0)),IF(AND(INDEX('CA Standards and Followers'!$D$14:$D$73,MATCH($A28,'CA Standards and Followers'!$A$14:$A$73,0))=1,INDEX('CA Standards and Followers'!$G$14:$G$73,MATCH($A28,'CA Standards and Followers'!$A$14:$A$73,0))&lt;=V$1),INDEX('CA Standards and Followers'!$2:$2,MATCH(V$1,'CA Standards and Followers'!$1:$1,0)),0))</f>
        <v>0</v>
      </c>
      <c r="W28">
        <f>IF(AND(INDEX('CA Standards and Followers'!$E$14:$E$73,MATCH($A28,'CA Standards and Followers'!$A$14:$A$73,0))=1,INDEX('CA Standards and Followers'!$H$14:$H$73,MATCH($A28,'CA Standards and Followers'!$A$14:$A$73,0))&lt;=W$1),INDEX('CA Standards and Followers'!$3:$3,MATCH(W$1,'CA Standards and Followers'!$1:$1,0)),IF(AND(INDEX('CA Standards and Followers'!$D$14:$D$73,MATCH($A28,'CA Standards and Followers'!$A$14:$A$73,0))=1,INDEX('CA Standards and Followers'!$G$14:$G$73,MATCH($A28,'CA Standards and Followers'!$A$14:$A$73,0))&lt;=W$1),INDEX('CA Standards and Followers'!$2:$2,MATCH(W$1,'CA Standards and Followers'!$1:$1,0)),0))</f>
        <v>0</v>
      </c>
      <c r="X28">
        <f>IF(AND(INDEX('CA Standards and Followers'!$E$14:$E$73,MATCH($A28,'CA Standards and Followers'!$A$14:$A$73,0))=1,INDEX('CA Standards and Followers'!$H$14:$H$73,MATCH($A28,'CA Standards and Followers'!$A$14:$A$73,0))&lt;=X$1),INDEX('CA Standards and Followers'!$3:$3,MATCH(X$1,'CA Standards and Followers'!$1:$1,0)),IF(AND(INDEX('CA Standards and Followers'!$D$14:$D$73,MATCH($A28,'CA Standards and Followers'!$A$14:$A$73,0))=1,INDEX('CA Standards and Followers'!$G$14:$G$73,MATCH($A28,'CA Standards and Followers'!$A$14:$A$73,0))&lt;=X$1),INDEX('CA Standards and Followers'!$2:$2,MATCH(X$1,'CA Standards and Followers'!$1:$1,0)),0))</f>
        <v>0</v>
      </c>
      <c r="Y28">
        <f>IF(AND(INDEX('CA Standards and Followers'!$E$14:$E$73,MATCH($A28,'CA Standards and Followers'!$A$14:$A$73,0))=1,INDEX('CA Standards and Followers'!$H$14:$H$73,MATCH($A28,'CA Standards and Followers'!$A$14:$A$73,0))&lt;=Y$1),INDEX('CA Standards and Followers'!$3:$3,MATCH(Y$1,'CA Standards and Followers'!$1:$1,0)),IF(AND(INDEX('CA Standards and Followers'!$D$14:$D$73,MATCH($A28,'CA Standards and Followers'!$A$14:$A$73,0))=1,INDEX('CA Standards and Followers'!$G$14:$G$73,MATCH($A28,'CA Standards and Followers'!$A$14:$A$73,0))&lt;=Y$1),INDEX('CA Standards and Followers'!$2:$2,MATCH(Y$1,'CA Standards and Followers'!$1:$1,0)),0))</f>
        <v>0</v>
      </c>
      <c r="Z28">
        <f>IF(AND(INDEX('CA Standards and Followers'!$E$14:$E$73,MATCH($A28,'CA Standards and Followers'!$A$14:$A$73,0))=1,INDEX('CA Standards and Followers'!$H$14:$H$73,MATCH($A28,'CA Standards and Followers'!$A$14:$A$73,0))&lt;=Z$1),INDEX('CA Standards and Followers'!$3:$3,MATCH(Z$1,'CA Standards and Followers'!$1:$1,0)),IF(AND(INDEX('CA Standards and Followers'!$D$14:$D$73,MATCH($A28,'CA Standards and Followers'!$A$14:$A$73,0))=1,INDEX('CA Standards and Followers'!$G$14:$G$73,MATCH($A28,'CA Standards and Followers'!$A$14:$A$73,0))&lt;=Z$1),INDEX('CA Standards and Followers'!$2:$2,MATCH(Z$1,'CA Standards and Followers'!$1:$1,0)),0))</f>
        <v>0</v>
      </c>
      <c r="AA28">
        <f>IF(AND(INDEX('CA Standards and Followers'!$E$14:$E$73,MATCH($A28,'CA Standards and Followers'!$A$14:$A$73,0))=1,INDEX('CA Standards and Followers'!$H$14:$H$73,MATCH($A28,'CA Standards and Followers'!$A$14:$A$73,0))&lt;=AA$1),INDEX('CA Standards and Followers'!$3:$3,MATCH(AA$1,'CA Standards and Followers'!$1:$1,0)),IF(AND(INDEX('CA Standards and Followers'!$D$14:$D$73,MATCH($A28,'CA Standards and Followers'!$A$14:$A$73,0))=1,INDEX('CA Standards and Followers'!$G$14:$G$73,MATCH($A28,'CA Standards and Followers'!$A$14:$A$73,0))&lt;=AA$1),INDEX('CA Standards and Followers'!$2:$2,MATCH(AA$1,'CA Standards and Followers'!$1:$1,0)),0))</f>
        <v>0</v>
      </c>
      <c r="AB28">
        <f>IF(AND(INDEX('CA Standards and Followers'!$E$14:$E$73,MATCH($A28,'CA Standards and Followers'!$A$14:$A$73,0))=1,INDEX('CA Standards and Followers'!$H$14:$H$73,MATCH($A28,'CA Standards and Followers'!$A$14:$A$73,0))&lt;=AB$1),INDEX('CA Standards and Followers'!$3:$3,MATCH(AB$1,'CA Standards and Followers'!$1:$1,0)),IF(AND(INDEX('CA Standards and Followers'!$D$14:$D$73,MATCH($A28,'CA Standards and Followers'!$A$14:$A$73,0))=1,INDEX('CA Standards and Followers'!$G$14:$G$73,MATCH($A28,'CA Standards and Followers'!$A$14:$A$73,0))&lt;=AB$1),INDEX('CA Standards and Followers'!$2:$2,MATCH(AB$1,'CA Standards and Followers'!$1:$1,0)),0))</f>
        <v>0</v>
      </c>
      <c r="AC28">
        <f>IF(AND(INDEX('CA Standards and Followers'!$E$14:$E$73,MATCH($A28,'CA Standards and Followers'!$A$14:$A$73,0))=1,INDEX('CA Standards and Followers'!$H$14:$H$73,MATCH($A28,'CA Standards and Followers'!$A$14:$A$73,0))&lt;=AC$1),INDEX('CA Standards and Followers'!$3:$3,MATCH(AC$1,'CA Standards and Followers'!$1:$1,0)),IF(AND(INDEX('CA Standards and Followers'!$D$14:$D$73,MATCH($A28,'CA Standards and Followers'!$A$14:$A$73,0))=1,INDEX('CA Standards and Followers'!$G$14:$G$73,MATCH($A28,'CA Standards and Followers'!$A$14:$A$73,0))&lt;=AC$1),INDEX('CA Standards and Followers'!$2:$2,MATCH(AC$1,'CA Standards and Followers'!$1:$1,0)),0))</f>
        <v>0</v>
      </c>
      <c r="AD28">
        <f>IF(AND(INDEX('CA Standards and Followers'!$E$14:$E$73,MATCH($A28,'CA Standards and Followers'!$A$14:$A$73,0))=1,INDEX('CA Standards and Followers'!$H$14:$H$73,MATCH($A28,'CA Standards and Followers'!$A$14:$A$73,0))&lt;=AD$1),INDEX('CA Standards and Followers'!$3:$3,MATCH(AD$1,'CA Standards and Followers'!$1:$1,0)),IF(AND(INDEX('CA Standards and Followers'!$D$14:$D$73,MATCH($A28,'CA Standards and Followers'!$A$14:$A$73,0))=1,INDEX('CA Standards and Followers'!$G$14:$G$73,MATCH($A28,'CA Standards and Followers'!$A$14:$A$73,0))&lt;=AD$1),INDEX('CA Standards and Followers'!$2:$2,MATCH(AD$1,'CA Standards and Followers'!$1:$1,0)),0))</f>
        <v>0</v>
      </c>
      <c r="AE28">
        <f>IF(AND(INDEX('CA Standards and Followers'!$E$14:$E$73,MATCH($A28,'CA Standards and Followers'!$A$14:$A$73,0))=1,INDEX('CA Standards and Followers'!$H$14:$H$73,MATCH($A28,'CA Standards and Followers'!$A$14:$A$73,0))&lt;=AE$1),INDEX('CA Standards and Followers'!$3:$3,MATCH(AE$1,'CA Standards and Followers'!$1:$1,0)),IF(AND(INDEX('CA Standards and Followers'!$D$14:$D$73,MATCH($A28,'CA Standards and Followers'!$A$14:$A$73,0))=1,INDEX('CA Standards and Followers'!$G$14:$G$73,MATCH($A28,'CA Standards and Followers'!$A$14:$A$73,0))&lt;=AE$1),INDEX('CA Standards and Followers'!$2:$2,MATCH(AE$1,'CA Standards and Followers'!$1:$1,0)),0))</f>
        <v>0</v>
      </c>
      <c r="AF28">
        <f>IF(AND(INDEX('CA Standards and Followers'!$E$14:$E$73,MATCH($A28,'CA Standards and Followers'!$A$14:$A$73,0))=1,INDEX('CA Standards and Followers'!$H$14:$H$73,MATCH($A28,'CA Standards and Followers'!$A$14:$A$73,0))&lt;=AF$1),INDEX('CA Standards and Followers'!$3:$3,MATCH(AF$1,'CA Standards and Followers'!$1:$1,0)),IF(AND(INDEX('CA Standards and Followers'!$D$14:$D$73,MATCH($A28,'CA Standards and Followers'!$A$14:$A$73,0))=1,INDEX('CA Standards and Followers'!$G$14:$G$73,MATCH($A28,'CA Standards and Followers'!$A$14:$A$73,0))&lt;=AF$1),INDEX('CA Standards and Followers'!$2:$2,MATCH(AF$1,'CA Standards and Followers'!$1:$1,0)),0))</f>
        <v>0</v>
      </c>
    </row>
    <row r="29" spans="1:32" x14ac:dyDescent="0.25">
      <c r="A29" t="s">
        <v>29</v>
      </c>
      <c r="B29">
        <f>IF(AND(INDEX('CA Standards and Followers'!$E$14:$E$73,MATCH($A29,'CA Standards and Followers'!$A$14:$A$73,0))=1,INDEX('CA Standards and Followers'!$H$14:$H$73,MATCH($A29,'CA Standards and Followers'!$A$14:$A$73,0))&lt;=B$1),INDEX('CA Standards and Followers'!$3:$3,MATCH(B$1,'CA Standards and Followers'!$1:$1,0)),IF(AND(INDEX('CA Standards and Followers'!$D$14:$D$73,MATCH($A29,'CA Standards and Followers'!$A$14:$A$73,0))=1,INDEX('CA Standards and Followers'!$G$14:$G$73,MATCH($A29,'CA Standards and Followers'!$A$14:$A$73,0))&lt;=B$1),INDEX('CA Standards and Followers'!$2:$2,MATCH(B$1,'CA Standards and Followers'!$1:$1,0)),0))</f>
        <v>0</v>
      </c>
      <c r="C29">
        <f>IF(AND(INDEX('CA Standards and Followers'!$E$14:$E$73,MATCH($A29,'CA Standards and Followers'!$A$14:$A$73,0))=1,INDEX('CA Standards and Followers'!$H$14:$H$73,MATCH($A29,'CA Standards and Followers'!$A$14:$A$73,0))&lt;=C$1),INDEX('CA Standards and Followers'!$3:$3,MATCH(C$1,'CA Standards and Followers'!$1:$1,0)),IF(AND(INDEX('CA Standards and Followers'!$D$14:$D$73,MATCH($A29,'CA Standards and Followers'!$A$14:$A$73,0))=1,INDEX('CA Standards and Followers'!$G$14:$G$73,MATCH($A29,'CA Standards and Followers'!$A$14:$A$73,0))&lt;=C$1),INDEX('CA Standards and Followers'!$2:$2,MATCH(C$1,'CA Standards and Followers'!$1:$1,0)),0))</f>
        <v>0</v>
      </c>
      <c r="D29">
        <f>IF(AND(INDEX('CA Standards and Followers'!$E$14:$E$73,MATCH($A29,'CA Standards and Followers'!$A$14:$A$73,0))=1,INDEX('CA Standards and Followers'!$H$14:$H$73,MATCH($A29,'CA Standards and Followers'!$A$14:$A$73,0))&lt;=D$1),INDEX('CA Standards and Followers'!$3:$3,MATCH(D$1,'CA Standards and Followers'!$1:$1,0)),IF(AND(INDEX('CA Standards and Followers'!$D$14:$D$73,MATCH($A29,'CA Standards and Followers'!$A$14:$A$73,0))=1,INDEX('CA Standards and Followers'!$G$14:$G$73,MATCH($A29,'CA Standards and Followers'!$A$14:$A$73,0))&lt;=D$1),INDEX('CA Standards and Followers'!$2:$2,MATCH(D$1,'CA Standards and Followers'!$1:$1,0)),0))</f>
        <v>0</v>
      </c>
      <c r="E29">
        <f>IF(AND(INDEX('CA Standards and Followers'!$E$14:$E$73,MATCH($A29,'CA Standards and Followers'!$A$14:$A$73,0))=1,INDEX('CA Standards and Followers'!$H$14:$H$73,MATCH($A29,'CA Standards and Followers'!$A$14:$A$73,0))&lt;=E$1),INDEX('CA Standards and Followers'!$3:$3,MATCH(E$1,'CA Standards and Followers'!$1:$1,0)),IF(AND(INDEX('CA Standards and Followers'!$D$14:$D$73,MATCH($A29,'CA Standards and Followers'!$A$14:$A$73,0))=1,INDEX('CA Standards and Followers'!$G$14:$G$73,MATCH($A29,'CA Standards and Followers'!$A$14:$A$73,0))&lt;=E$1),INDEX('CA Standards and Followers'!$2:$2,MATCH(E$1,'CA Standards and Followers'!$1:$1,0)),0))</f>
        <v>0</v>
      </c>
      <c r="F29">
        <f>IF(AND(INDEX('CA Standards and Followers'!$E$14:$E$73,MATCH($A29,'CA Standards and Followers'!$A$14:$A$73,0))=1,INDEX('CA Standards and Followers'!$H$14:$H$73,MATCH($A29,'CA Standards and Followers'!$A$14:$A$73,0))&lt;=F$1),INDEX('CA Standards and Followers'!$3:$3,MATCH(F$1,'CA Standards and Followers'!$1:$1,0)),IF(AND(INDEX('CA Standards and Followers'!$D$14:$D$73,MATCH($A29,'CA Standards and Followers'!$A$14:$A$73,0))=1,INDEX('CA Standards and Followers'!$G$14:$G$73,MATCH($A29,'CA Standards and Followers'!$A$14:$A$73,0))&lt;=F$1),INDEX('CA Standards and Followers'!$2:$2,MATCH(F$1,'CA Standards and Followers'!$1:$1,0)),0))</f>
        <v>0</v>
      </c>
      <c r="G29">
        <f>IF(AND(INDEX('CA Standards and Followers'!$E$14:$E$73,MATCH($A29,'CA Standards and Followers'!$A$14:$A$73,0))=1,INDEX('CA Standards and Followers'!$H$14:$H$73,MATCH($A29,'CA Standards and Followers'!$A$14:$A$73,0))&lt;=G$1),INDEX('CA Standards and Followers'!$3:$3,MATCH(G$1,'CA Standards and Followers'!$1:$1,0)),IF(AND(INDEX('CA Standards and Followers'!$D$14:$D$73,MATCH($A29,'CA Standards and Followers'!$A$14:$A$73,0))=1,INDEX('CA Standards and Followers'!$G$14:$G$73,MATCH($A29,'CA Standards and Followers'!$A$14:$A$73,0))&lt;=G$1),INDEX('CA Standards and Followers'!$2:$2,MATCH(G$1,'CA Standards and Followers'!$1:$1,0)),0))</f>
        <v>0</v>
      </c>
      <c r="H29">
        <f>IF(AND(INDEX('CA Standards and Followers'!$E$14:$E$73,MATCH($A29,'CA Standards and Followers'!$A$14:$A$73,0))=1,INDEX('CA Standards and Followers'!$H$14:$H$73,MATCH($A29,'CA Standards and Followers'!$A$14:$A$73,0))&lt;=H$1),INDEX('CA Standards and Followers'!$3:$3,MATCH(H$1,'CA Standards and Followers'!$1:$1,0)),IF(AND(INDEX('CA Standards and Followers'!$D$14:$D$73,MATCH($A29,'CA Standards and Followers'!$A$14:$A$73,0))=1,INDEX('CA Standards and Followers'!$G$14:$G$73,MATCH($A29,'CA Standards and Followers'!$A$14:$A$73,0))&lt;=H$1),INDEX('CA Standards and Followers'!$2:$2,MATCH(H$1,'CA Standards and Followers'!$1:$1,0)),0))</f>
        <v>0</v>
      </c>
      <c r="I29">
        <f>IF(AND(INDEX('CA Standards and Followers'!$E$14:$E$73,MATCH($A29,'CA Standards and Followers'!$A$14:$A$73,0))=1,INDEX('CA Standards and Followers'!$H$14:$H$73,MATCH($A29,'CA Standards and Followers'!$A$14:$A$73,0))&lt;=I$1),INDEX('CA Standards and Followers'!$3:$3,MATCH(I$1,'CA Standards and Followers'!$1:$1,0)),IF(AND(INDEX('CA Standards and Followers'!$D$14:$D$73,MATCH($A29,'CA Standards and Followers'!$A$14:$A$73,0))=1,INDEX('CA Standards and Followers'!$G$14:$G$73,MATCH($A29,'CA Standards and Followers'!$A$14:$A$73,0))&lt;=I$1),INDEX('CA Standards and Followers'!$2:$2,MATCH(I$1,'CA Standards and Followers'!$1:$1,0)),0))</f>
        <v>0</v>
      </c>
      <c r="J29">
        <f>IF(AND(INDEX('CA Standards and Followers'!$E$14:$E$73,MATCH($A29,'CA Standards and Followers'!$A$14:$A$73,0))=1,INDEX('CA Standards and Followers'!$H$14:$H$73,MATCH($A29,'CA Standards and Followers'!$A$14:$A$73,0))&lt;=J$1),INDEX('CA Standards and Followers'!$3:$3,MATCH(J$1,'CA Standards and Followers'!$1:$1,0)),IF(AND(INDEX('CA Standards and Followers'!$D$14:$D$73,MATCH($A29,'CA Standards and Followers'!$A$14:$A$73,0))=1,INDEX('CA Standards and Followers'!$G$14:$G$73,MATCH($A29,'CA Standards and Followers'!$A$14:$A$73,0))&lt;=J$1),INDEX('CA Standards and Followers'!$2:$2,MATCH(J$1,'CA Standards and Followers'!$1:$1,0)),0))</f>
        <v>0</v>
      </c>
      <c r="K29">
        <f>IF(AND(INDEX('CA Standards and Followers'!$E$14:$E$73,MATCH($A29,'CA Standards and Followers'!$A$14:$A$73,0))=1,INDEX('CA Standards and Followers'!$H$14:$H$73,MATCH($A29,'CA Standards and Followers'!$A$14:$A$73,0))&lt;=K$1),INDEX('CA Standards and Followers'!$3:$3,MATCH(K$1,'CA Standards and Followers'!$1:$1,0)),IF(AND(INDEX('CA Standards and Followers'!$D$14:$D$73,MATCH($A29,'CA Standards and Followers'!$A$14:$A$73,0))=1,INDEX('CA Standards and Followers'!$G$14:$G$73,MATCH($A29,'CA Standards and Followers'!$A$14:$A$73,0))&lt;=K$1),INDEX('CA Standards and Followers'!$2:$2,MATCH(K$1,'CA Standards and Followers'!$1:$1,0)),0))</f>
        <v>0</v>
      </c>
      <c r="L29">
        <f>IF(AND(INDEX('CA Standards and Followers'!$E$14:$E$73,MATCH($A29,'CA Standards and Followers'!$A$14:$A$73,0))=1,INDEX('CA Standards and Followers'!$H$14:$H$73,MATCH($A29,'CA Standards and Followers'!$A$14:$A$73,0))&lt;=L$1),INDEX('CA Standards and Followers'!$3:$3,MATCH(L$1,'CA Standards and Followers'!$1:$1,0)),IF(AND(INDEX('CA Standards and Followers'!$D$14:$D$73,MATCH($A29,'CA Standards and Followers'!$A$14:$A$73,0))=1,INDEX('CA Standards and Followers'!$G$14:$G$73,MATCH($A29,'CA Standards and Followers'!$A$14:$A$73,0))&lt;=L$1),INDEX('CA Standards and Followers'!$2:$2,MATCH(L$1,'CA Standards and Followers'!$1:$1,0)),0))</f>
        <v>0</v>
      </c>
      <c r="M29">
        <f>IF(AND(INDEX('CA Standards and Followers'!$E$14:$E$73,MATCH($A29,'CA Standards and Followers'!$A$14:$A$73,0))=1,INDEX('CA Standards and Followers'!$H$14:$H$73,MATCH($A29,'CA Standards and Followers'!$A$14:$A$73,0))&lt;=M$1),INDEX('CA Standards and Followers'!$3:$3,MATCH(M$1,'CA Standards and Followers'!$1:$1,0)),IF(AND(INDEX('CA Standards and Followers'!$D$14:$D$73,MATCH($A29,'CA Standards and Followers'!$A$14:$A$73,0))=1,INDEX('CA Standards and Followers'!$G$14:$G$73,MATCH($A29,'CA Standards and Followers'!$A$14:$A$73,0))&lt;=M$1),INDEX('CA Standards and Followers'!$2:$2,MATCH(M$1,'CA Standards and Followers'!$1:$1,0)),0))</f>
        <v>0</v>
      </c>
      <c r="N29">
        <f>IF(AND(INDEX('CA Standards and Followers'!$E$14:$E$73,MATCH($A29,'CA Standards and Followers'!$A$14:$A$73,0))=1,INDEX('CA Standards and Followers'!$H$14:$H$73,MATCH($A29,'CA Standards and Followers'!$A$14:$A$73,0))&lt;=N$1),INDEX('CA Standards and Followers'!$3:$3,MATCH(N$1,'CA Standards and Followers'!$1:$1,0)),IF(AND(INDEX('CA Standards and Followers'!$D$14:$D$73,MATCH($A29,'CA Standards and Followers'!$A$14:$A$73,0))=1,INDEX('CA Standards and Followers'!$G$14:$G$73,MATCH($A29,'CA Standards and Followers'!$A$14:$A$73,0))&lt;=N$1),INDEX('CA Standards and Followers'!$2:$2,MATCH(N$1,'CA Standards and Followers'!$1:$1,0)),0))</f>
        <v>0</v>
      </c>
      <c r="O29">
        <f>IF(AND(INDEX('CA Standards and Followers'!$E$14:$E$73,MATCH($A29,'CA Standards and Followers'!$A$14:$A$73,0))=1,INDEX('CA Standards and Followers'!$H$14:$H$73,MATCH($A29,'CA Standards and Followers'!$A$14:$A$73,0))&lt;=O$1),INDEX('CA Standards and Followers'!$3:$3,MATCH(O$1,'CA Standards and Followers'!$1:$1,0)),IF(AND(INDEX('CA Standards and Followers'!$D$14:$D$73,MATCH($A29,'CA Standards and Followers'!$A$14:$A$73,0))=1,INDEX('CA Standards and Followers'!$G$14:$G$73,MATCH($A29,'CA Standards and Followers'!$A$14:$A$73,0))&lt;=O$1),INDEX('CA Standards and Followers'!$2:$2,MATCH(O$1,'CA Standards and Followers'!$1:$1,0)),0))</f>
        <v>0</v>
      </c>
      <c r="P29">
        <f>IF(AND(INDEX('CA Standards and Followers'!$E$14:$E$73,MATCH($A29,'CA Standards and Followers'!$A$14:$A$73,0))=1,INDEX('CA Standards and Followers'!$H$14:$H$73,MATCH($A29,'CA Standards and Followers'!$A$14:$A$73,0))&lt;=P$1),INDEX('CA Standards and Followers'!$3:$3,MATCH(P$1,'CA Standards and Followers'!$1:$1,0)),IF(AND(INDEX('CA Standards and Followers'!$D$14:$D$73,MATCH($A29,'CA Standards and Followers'!$A$14:$A$73,0))=1,INDEX('CA Standards and Followers'!$G$14:$G$73,MATCH($A29,'CA Standards and Followers'!$A$14:$A$73,0))&lt;=P$1),INDEX('CA Standards and Followers'!$2:$2,MATCH(P$1,'CA Standards and Followers'!$1:$1,0)),0))</f>
        <v>0</v>
      </c>
      <c r="Q29">
        <f>IF(AND(INDEX('CA Standards and Followers'!$E$14:$E$73,MATCH($A29,'CA Standards and Followers'!$A$14:$A$73,0))=1,INDEX('CA Standards and Followers'!$H$14:$H$73,MATCH($A29,'CA Standards and Followers'!$A$14:$A$73,0))&lt;=Q$1),INDEX('CA Standards and Followers'!$3:$3,MATCH(Q$1,'CA Standards and Followers'!$1:$1,0)),IF(AND(INDEX('CA Standards and Followers'!$D$14:$D$73,MATCH($A29,'CA Standards and Followers'!$A$14:$A$73,0))=1,INDEX('CA Standards and Followers'!$G$14:$G$73,MATCH($A29,'CA Standards and Followers'!$A$14:$A$73,0))&lt;=Q$1),INDEX('CA Standards and Followers'!$2:$2,MATCH(Q$1,'CA Standards and Followers'!$1:$1,0)),0))</f>
        <v>0</v>
      </c>
      <c r="R29">
        <f>IF(AND(INDEX('CA Standards and Followers'!$E$14:$E$73,MATCH($A29,'CA Standards and Followers'!$A$14:$A$73,0))=1,INDEX('CA Standards and Followers'!$H$14:$H$73,MATCH($A29,'CA Standards and Followers'!$A$14:$A$73,0))&lt;=R$1),INDEX('CA Standards and Followers'!$3:$3,MATCH(R$1,'CA Standards and Followers'!$1:$1,0)),IF(AND(INDEX('CA Standards and Followers'!$D$14:$D$73,MATCH($A29,'CA Standards and Followers'!$A$14:$A$73,0))=1,INDEX('CA Standards and Followers'!$G$14:$G$73,MATCH($A29,'CA Standards and Followers'!$A$14:$A$73,0))&lt;=R$1),INDEX('CA Standards and Followers'!$2:$2,MATCH(R$1,'CA Standards and Followers'!$1:$1,0)),0))</f>
        <v>0</v>
      </c>
      <c r="S29">
        <f>IF(AND(INDEX('CA Standards and Followers'!$E$14:$E$73,MATCH($A29,'CA Standards and Followers'!$A$14:$A$73,0))=1,INDEX('CA Standards and Followers'!$H$14:$H$73,MATCH($A29,'CA Standards and Followers'!$A$14:$A$73,0))&lt;=S$1),INDEX('CA Standards and Followers'!$3:$3,MATCH(S$1,'CA Standards and Followers'!$1:$1,0)),IF(AND(INDEX('CA Standards and Followers'!$D$14:$D$73,MATCH($A29,'CA Standards and Followers'!$A$14:$A$73,0))=1,INDEX('CA Standards and Followers'!$G$14:$G$73,MATCH($A29,'CA Standards and Followers'!$A$14:$A$73,0))&lt;=S$1),INDEX('CA Standards and Followers'!$2:$2,MATCH(S$1,'CA Standards and Followers'!$1:$1,0)),0))</f>
        <v>0</v>
      </c>
      <c r="T29">
        <f>IF(AND(INDEX('CA Standards and Followers'!$E$14:$E$73,MATCH($A29,'CA Standards and Followers'!$A$14:$A$73,0))=1,INDEX('CA Standards and Followers'!$H$14:$H$73,MATCH($A29,'CA Standards and Followers'!$A$14:$A$73,0))&lt;=T$1),INDEX('CA Standards and Followers'!$3:$3,MATCH(T$1,'CA Standards and Followers'!$1:$1,0)),IF(AND(INDEX('CA Standards and Followers'!$D$14:$D$73,MATCH($A29,'CA Standards and Followers'!$A$14:$A$73,0))=1,INDEX('CA Standards and Followers'!$G$14:$G$73,MATCH($A29,'CA Standards and Followers'!$A$14:$A$73,0))&lt;=T$1),INDEX('CA Standards and Followers'!$2:$2,MATCH(T$1,'CA Standards and Followers'!$1:$1,0)),0))</f>
        <v>0</v>
      </c>
      <c r="U29">
        <f>IF(AND(INDEX('CA Standards and Followers'!$E$14:$E$73,MATCH($A29,'CA Standards and Followers'!$A$14:$A$73,0))=1,INDEX('CA Standards and Followers'!$H$14:$H$73,MATCH($A29,'CA Standards and Followers'!$A$14:$A$73,0))&lt;=U$1),INDEX('CA Standards and Followers'!$3:$3,MATCH(U$1,'CA Standards and Followers'!$1:$1,0)),IF(AND(INDEX('CA Standards and Followers'!$D$14:$D$73,MATCH($A29,'CA Standards and Followers'!$A$14:$A$73,0))=1,INDEX('CA Standards and Followers'!$G$14:$G$73,MATCH($A29,'CA Standards and Followers'!$A$14:$A$73,0))&lt;=U$1),INDEX('CA Standards and Followers'!$2:$2,MATCH(U$1,'CA Standards and Followers'!$1:$1,0)),0))</f>
        <v>0</v>
      </c>
      <c r="V29">
        <f>IF(AND(INDEX('CA Standards and Followers'!$E$14:$E$73,MATCH($A29,'CA Standards and Followers'!$A$14:$A$73,0))=1,INDEX('CA Standards and Followers'!$H$14:$H$73,MATCH($A29,'CA Standards and Followers'!$A$14:$A$73,0))&lt;=V$1),INDEX('CA Standards and Followers'!$3:$3,MATCH(V$1,'CA Standards and Followers'!$1:$1,0)),IF(AND(INDEX('CA Standards and Followers'!$D$14:$D$73,MATCH($A29,'CA Standards and Followers'!$A$14:$A$73,0))=1,INDEX('CA Standards and Followers'!$G$14:$G$73,MATCH($A29,'CA Standards and Followers'!$A$14:$A$73,0))&lt;=V$1),INDEX('CA Standards and Followers'!$2:$2,MATCH(V$1,'CA Standards and Followers'!$1:$1,0)),0))</f>
        <v>0</v>
      </c>
      <c r="W29">
        <f>IF(AND(INDEX('CA Standards and Followers'!$E$14:$E$73,MATCH($A29,'CA Standards and Followers'!$A$14:$A$73,0))=1,INDEX('CA Standards and Followers'!$H$14:$H$73,MATCH($A29,'CA Standards and Followers'!$A$14:$A$73,0))&lt;=W$1),INDEX('CA Standards and Followers'!$3:$3,MATCH(W$1,'CA Standards and Followers'!$1:$1,0)),IF(AND(INDEX('CA Standards and Followers'!$D$14:$D$73,MATCH($A29,'CA Standards and Followers'!$A$14:$A$73,0))=1,INDEX('CA Standards and Followers'!$G$14:$G$73,MATCH($A29,'CA Standards and Followers'!$A$14:$A$73,0))&lt;=W$1),INDEX('CA Standards and Followers'!$2:$2,MATCH(W$1,'CA Standards and Followers'!$1:$1,0)),0))</f>
        <v>0</v>
      </c>
      <c r="X29">
        <f>IF(AND(INDEX('CA Standards and Followers'!$E$14:$E$73,MATCH($A29,'CA Standards and Followers'!$A$14:$A$73,0))=1,INDEX('CA Standards and Followers'!$H$14:$H$73,MATCH($A29,'CA Standards and Followers'!$A$14:$A$73,0))&lt;=X$1),INDEX('CA Standards and Followers'!$3:$3,MATCH(X$1,'CA Standards and Followers'!$1:$1,0)),IF(AND(INDEX('CA Standards and Followers'!$D$14:$D$73,MATCH($A29,'CA Standards and Followers'!$A$14:$A$73,0))=1,INDEX('CA Standards and Followers'!$G$14:$G$73,MATCH($A29,'CA Standards and Followers'!$A$14:$A$73,0))&lt;=X$1),INDEX('CA Standards and Followers'!$2:$2,MATCH(X$1,'CA Standards and Followers'!$1:$1,0)),0))</f>
        <v>0</v>
      </c>
      <c r="Y29">
        <f>IF(AND(INDEX('CA Standards and Followers'!$E$14:$E$73,MATCH($A29,'CA Standards and Followers'!$A$14:$A$73,0))=1,INDEX('CA Standards and Followers'!$H$14:$H$73,MATCH($A29,'CA Standards and Followers'!$A$14:$A$73,0))&lt;=Y$1),INDEX('CA Standards and Followers'!$3:$3,MATCH(Y$1,'CA Standards and Followers'!$1:$1,0)),IF(AND(INDEX('CA Standards and Followers'!$D$14:$D$73,MATCH($A29,'CA Standards and Followers'!$A$14:$A$73,0))=1,INDEX('CA Standards and Followers'!$G$14:$G$73,MATCH($A29,'CA Standards and Followers'!$A$14:$A$73,0))&lt;=Y$1),INDEX('CA Standards and Followers'!$2:$2,MATCH(Y$1,'CA Standards and Followers'!$1:$1,0)),0))</f>
        <v>0</v>
      </c>
      <c r="Z29">
        <f>IF(AND(INDEX('CA Standards and Followers'!$E$14:$E$73,MATCH($A29,'CA Standards and Followers'!$A$14:$A$73,0))=1,INDEX('CA Standards and Followers'!$H$14:$H$73,MATCH($A29,'CA Standards and Followers'!$A$14:$A$73,0))&lt;=Z$1),INDEX('CA Standards and Followers'!$3:$3,MATCH(Z$1,'CA Standards and Followers'!$1:$1,0)),IF(AND(INDEX('CA Standards and Followers'!$D$14:$D$73,MATCH($A29,'CA Standards and Followers'!$A$14:$A$73,0))=1,INDEX('CA Standards and Followers'!$G$14:$G$73,MATCH($A29,'CA Standards and Followers'!$A$14:$A$73,0))&lt;=Z$1),INDEX('CA Standards and Followers'!$2:$2,MATCH(Z$1,'CA Standards and Followers'!$1:$1,0)),0))</f>
        <v>0</v>
      </c>
      <c r="AA29">
        <f>IF(AND(INDEX('CA Standards and Followers'!$E$14:$E$73,MATCH($A29,'CA Standards and Followers'!$A$14:$A$73,0))=1,INDEX('CA Standards and Followers'!$H$14:$H$73,MATCH($A29,'CA Standards and Followers'!$A$14:$A$73,0))&lt;=AA$1),INDEX('CA Standards and Followers'!$3:$3,MATCH(AA$1,'CA Standards and Followers'!$1:$1,0)),IF(AND(INDEX('CA Standards and Followers'!$D$14:$D$73,MATCH($A29,'CA Standards and Followers'!$A$14:$A$73,0))=1,INDEX('CA Standards and Followers'!$G$14:$G$73,MATCH($A29,'CA Standards and Followers'!$A$14:$A$73,0))&lt;=AA$1),INDEX('CA Standards and Followers'!$2:$2,MATCH(AA$1,'CA Standards and Followers'!$1:$1,0)),0))</f>
        <v>0</v>
      </c>
      <c r="AB29">
        <f>IF(AND(INDEX('CA Standards and Followers'!$E$14:$E$73,MATCH($A29,'CA Standards and Followers'!$A$14:$A$73,0))=1,INDEX('CA Standards and Followers'!$H$14:$H$73,MATCH($A29,'CA Standards and Followers'!$A$14:$A$73,0))&lt;=AB$1),INDEX('CA Standards and Followers'!$3:$3,MATCH(AB$1,'CA Standards and Followers'!$1:$1,0)),IF(AND(INDEX('CA Standards and Followers'!$D$14:$D$73,MATCH($A29,'CA Standards and Followers'!$A$14:$A$73,0))=1,INDEX('CA Standards and Followers'!$G$14:$G$73,MATCH($A29,'CA Standards and Followers'!$A$14:$A$73,0))&lt;=AB$1),INDEX('CA Standards and Followers'!$2:$2,MATCH(AB$1,'CA Standards and Followers'!$1:$1,0)),0))</f>
        <v>0</v>
      </c>
      <c r="AC29">
        <f>IF(AND(INDEX('CA Standards and Followers'!$E$14:$E$73,MATCH($A29,'CA Standards and Followers'!$A$14:$A$73,0))=1,INDEX('CA Standards and Followers'!$H$14:$H$73,MATCH($A29,'CA Standards and Followers'!$A$14:$A$73,0))&lt;=AC$1),INDEX('CA Standards and Followers'!$3:$3,MATCH(AC$1,'CA Standards and Followers'!$1:$1,0)),IF(AND(INDEX('CA Standards and Followers'!$D$14:$D$73,MATCH($A29,'CA Standards and Followers'!$A$14:$A$73,0))=1,INDEX('CA Standards and Followers'!$G$14:$G$73,MATCH($A29,'CA Standards and Followers'!$A$14:$A$73,0))&lt;=AC$1),INDEX('CA Standards and Followers'!$2:$2,MATCH(AC$1,'CA Standards and Followers'!$1:$1,0)),0))</f>
        <v>0</v>
      </c>
      <c r="AD29">
        <f>IF(AND(INDEX('CA Standards and Followers'!$E$14:$E$73,MATCH($A29,'CA Standards and Followers'!$A$14:$A$73,0))=1,INDEX('CA Standards and Followers'!$H$14:$H$73,MATCH($A29,'CA Standards and Followers'!$A$14:$A$73,0))&lt;=AD$1),INDEX('CA Standards and Followers'!$3:$3,MATCH(AD$1,'CA Standards and Followers'!$1:$1,0)),IF(AND(INDEX('CA Standards and Followers'!$D$14:$D$73,MATCH($A29,'CA Standards and Followers'!$A$14:$A$73,0))=1,INDEX('CA Standards and Followers'!$G$14:$G$73,MATCH($A29,'CA Standards and Followers'!$A$14:$A$73,0))&lt;=AD$1),INDEX('CA Standards and Followers'!$2:$2,MATCH(AD$1,'CA Standards and Followers'!$1:$1,0)),0))</f>
        <v>0</v>
      </c>
      <c r="AE29">
        <f>IF(AND(INDEX('CA Standards and Followers'!$E$14:$E$73,MATCH($A29,'CA Standards and Followers'!$A$14:$A$73,0))=1,INDEX('CA Standards and Followers'!$H$14:$H$73,MATCH($A29,'CA Standards and Followers'!$A$14:$A$73,0))&lt;=AE$1),INDEX('CA Standards and Followers'!$3:$3,MATCH(AE$1,'CA Standards and Followers'!$1:$1,0)),IF(AND(INDEX('CA Standards and Followers'!$D$14:$D$73,MATCH($A29,'CA Standards and Followers'!$A$14:$A$73,0))=1,INDEX('CA Standards and Followers'!$G$14:$G$73,MATCH($A29,'CA Standards and Followers'!$A$14:$A$73,0))&lt;=AE$1),INDEX('CA Standards and Followers'!$2:$2,MATCH(AE$1,'CA Standards and Followers'!$1:$1,0)),0))</f>
        <v>0</v>
      </c>
      <c r="AF29">
        <f>IF(AND(INDEX('CA Standards and Followers'!$E$14:$E$73,MATCH($A29,'CA Standards and Followers'!$A$14:$A$73,0))=1,INDEX('CA Standards and Followers'!$H$14:$H$73,MATCH($A29,'CA Standards and Followers'!$A$14:$A$73,0))&lt;=AF$1),INDEX('CA Standards and Followers'!$3:$3,MATCH(AF$1,'CA Standards and Followers'!$1:$1,0)),IF(AND(INDEX('CA Standards and Followers'!$D$14:$D$73,MATCH($A29,'CA Standards and Followers'!$A$14:$A$73,0))=1,INDEX('CA Standards and Followers'!$G$14:$G$73,MATCH($A29,'CA Standards and Followers'!$A$14:$A$73,0))&lt;=AF$1),INDEX('CA Standards and Followers'!$2:$2,MATCH(AF$1,'CA Standards and Followers'!$1:$1,0)),0))</f>
        <v>0</v>
      </c>
    </row>
    <row r="30" spans="1:32" x14ac:dyDescent="0.25">
      <c r="A30" t="s">
        <v>30</v>
      </c>
      <c r="B30">
        <f>IF(AND(INDEX('CA Standards and Followers'!$E$14:$E$73,MATCH($A30,'CA Standards and Followers'!$A$14:$A$73,0))=1,INDEX('CA Standards and Followers'!$H$14:$H$73,MATCH($A30,'CA Standards and Followers'!$A$14:$A$73,0))&lt;=B$1),INDEX('CA Standards and Followers'!$3:$3,MATCH(B$1,'CA Standards and Followers'!$1:$1,0)),IF(AND(INDEX('CA Standards and Followers'!$D$14:$D$73,MATCH($A30,'CA Standards and Followers'!$A$14:$A$73,0))=1,INDEX('CA Standards and Followers'!$G$14:$G$73,MATCH($A30,'CA Standards and Followers'!$A$14:$A$73,0))&lt;=B$1),INDEX('CA Standards and Followers'!$2:$2,MATCH(B$1,'CA Standards and Followers'!$1:$1,0)),0))</f>
        <v>0</v>
      </c>
      <c r="C30">
        <f>IF(AND(INDEX('CA Standards and Followers'!$E$14:$E$73,MATCH($A30,'CA Standards and Followers'!$A$14:$A$73,0))=1,INDEX('CA Standards and Followers'!$H$14:$H$73,MATCH($A30,'CA Standards and Followers'!$A$14:$A$73,0))&lt;=C$1),INDEX('CA Standards and Followers'!$3:$3,MATCH(C$1,'CA Standards and Followers'!$1:$1,0)),IF(AND(INDEX('CA Standards and Followers'!$D$14:$D$73,MATCH($A30,'CA Standards and Followers'!$A$14:$A$73,0))=1,INDEX('CA Standards and Followers'!$G$14:$G$73,MATCH($A30,'CA Standards and Followers'!$A$14:$A$73,0))&lt;=C$1),INDEX('CA Standards and Followers'!$2:$2,MATCH(C$1,'CA Standards and Followers'!$1:$1,0)),0))</f>
        <v>0</v>
      </c>
      <c r="D30">
        <f>IF(AND(INDEX('CA Standards and Followers'!$E$14:$E$73,MATCH($A30,'CA Standards and Followers'!$A$14:$A$73,0))=1,INDEX('CA Standards and Followers'!$H$14:$H$73,MATCH($A30,'CA Standards and Followers'!$A$14:$A$73,0))&lt;=D$1),INDEX('CA Standards and Followers'!$3:$3,MATCH(D$1,'CA Standards and Followers'!$1:$1,0)),IF(AND(INDEX('CA Standards and Followers'!$D$14:$D$73,MATCH($A30,'CA Standards and Followers'!$A$14:$A$73,0))=1,INDEX('CA Standards and Followers'!$G$14:$G$73,MATCH($A30,'CA Standards and Followers'!$A$14:$A$73,0))&lt;=D$1),INDEX('CA Standards and Followers'!$2:$2,MATCH(D$1,'CA Standards and Followers'!$1:$1,0)),0))</f>
        <v>0</v>
      </c>
      <c r="E30">
        <f>IF(AND(INDEX('CA Standards and Followers'!$E$14:$E$73,MATCH($A30,'CA Standards and Followers'!$A$14:$A$73,0))=1,INDEX('CA Standards and Followers'!$H$14:$H$73,MATCH($A30,'CA Standards and Followers'!$A$14:$A$73,0))&lt;=E$1),INDEX('CA Standards and Followers'!$3:$3,MATCH(E$1,'CA Standards and Followers'!$1:$1,0)),IF(AND(INDEX('CA Standards and Followers'!$D$14:$D$73,MATCH($A30,'CA Standards and Followers'!$A$14:$A$73,0))=1,INDEX('CA Standards and Followers'!$G$14:$G$73,MATCH($A30,'CA Standards and Followers'!$A$14:$A$73,0))&lt;=E$1),INDEX('CA Standards and Followers'!$2:$2,MATCH(E$1,'CA Standards and Followers'!$1:$1,0)),0))</f>
        <v>0</v>
      </c>
      <c r="F30">
        <f>IF(AND(INDEX('CA Standards and Followers'!$E$14:$E$73,MATCH($A30,'CA Standards and Followers'!$A$14:$A$73,0))=1,INDEX('CA Standards and Followers'!$H$14:$H$73,MATCH($A30,'CA Standards and Followers'!$A$14:$A$73,0))&lt;=F$1),INDEX('CA Standards and Followers'!$3:$3,MATCH(F$1,'CA Standards and Followers'!$1:$1,0)),IF(AND(INDEX('CA Standards and Followers'!$D$14:$D$73,MATCH($A30,'CA Standards and Followers'!$A$14:$A$73,0))=1,INDEX('CA Standards and Followers'!$G$14:$G$73,MATCH($A30,'CA Standards and Followers'!$A$14:$A$73,0))&lt;=F$1),INDEX('CA Standards and Followers'!$2:$2,MATCH(F$1,'CA Standards and Followers'!$1:$1,0)),0))</f>
        <v>0</v>
      </c>
      <c r="G30">
        <f>IF(AND(INDEX('CA Standards and Followers'!$E$14:$E$73,MATCH($A30,'CA Standards and Followers'!$A$14:$A$73,0))=1,INDEX('CA Standards and Followers'!$H$14:$H$73,MATCH($A30,'CA Standards and Followers'!$A$14:$A$73,0))&lt;=G$1),INDEX('CA Standards and Followers'!$3:$3,MATCH(G$1,'CA Standards and Followers'!$1:$1,0)),IF(AND(INDEX('CA Standards and Followers'!$D$14:$D$73,MATCH($A30,'CA Standards and Followers'!$A$14:$A$73,0))=1,INDEX('CA Standards and Followers'!$G$14:$G$73,MATCH($A30,'CA Standards and Followers'!$A$14:$A$73,0))&lt;=G$1),INDEX('CA Standards and Followers'!$2:$2,MATCH(G$1,'CA Standards and Followers'!$1:$1,0)),0))</f>
        <v>0.21999999999999997</v>
      </c>
      <c r="H30">
        <f>IF(AND(INDEX('CA Standards and Followers'!$E$14:$E$73,MATCH($A30,'CA Standards and Followers'!$A$14:$A$73,0))=1,INDEX('CA Standards and Followers'!$H$14:$H$73,MATCH($A30,'CA Standards and Followers'!$A$14:$A$73,0))&lt;=H$1),INDEX('CA Standards and Followers'!$3:$3,MATCH(H$1,'CA Standards and Followers'!$1:$1,0)),IF(AND(INDEX('CA Standards and Followers'!$D$14:$D$73,MATCH($A30,'CA Standards and Followers'!$A$14:$A$73,0))=1,INDEX('CA Standards and Followers'!$G$14:$G$73,MATCH($A30,'CA Standards and Followers'!$A$14:$A$73,0))&lt;=H$1),INDEX('CA Standards and Followers'!$2:$2,MATCH(H$1,'CA Standards and Followers'!$1:$1,0)),0))</f>
        <v>0.22</v>
      </c>
      <c r="I30">
        <f>IF(AND(INDEX('CA Standards and Followers'!$E$14:$E$73,MATCH($A30,'CA Standards and Followers'!$A$14:$A$73,0))=1,INDEX('CA Standards and Followers'!$H$14:$H$73,MATCH($A30,'CA Standards and Followers'!$A$14:$A$73,0))&lt;=I$1),INDEX('CA Standards and Followers'!$3:$3,MATCH(I$1,'CA Standards and Followers'!$1:$1,0)),IF(AND(INDEX('CA Standards and Followers'!$D$14:$D$73,MATCH($A30,'CA Standards and Followers'!$A$14:$A$73,0))=1,INDEX('CA Standards and Followers'!$G$14:$G$73,MATCH($A30,'CA Standards and Followers'!$A$14:$A$73,0))&lt;=I$1),INDEX('CA Standards and Followers'!$2:$2,MATCH(I$1,'CA Standards and Followers'!$1:$1,0)),0))</f>
        <v>0.22</v>
      </c>
      <c r="J30">
        <f>IF(AND(INDEX('CA Standards and Followers'!$E$14:$E$73,MATCH($A30,'CA Standards and Followers'!$A$14:$A$73,0))=1,INDEX('CA Standards and Followers'!$H$14:$H$73,MATCH($A30,'CA Standards and Followers'!$A$14:$A$73,0))&lt;=J$1),INDEX('CA Standards and Followers'!$3:$3,MATCH(J$1,'CA Standards and Followers'!$1:$1,0)),IF(AND(INDEX('CA Standards and Followers'!$D$14:$D$73,MATCH($A30,'CA Standards and Followers'!$A$14:$A$73,0))=1,INDEX('CA Standards and Followers'!$G$14:$G$73,MATCH($A30,'CA Standards and Followers'!$A$14:$A$73,0))&lt;=J$1),INDEX('CA Standards and Followers'!$2:$2,MATCH(J$1,'CA Standards and Followers'!$1:$1,0)),0))</f>
        <v>0.22</v>
      </c>
      <c r="K30">
        <f>IF(AND(INDEX('CA Standards and Followers'!$E$14:$E$73,MATCH($A30,'CA Standards and Followers'!$A$14:$A$73,0))=1,INDEX('CA Standards and Followers'!$H$14:$H$73,MATCH($A30,'CA Standards and Followers'!$A$14:$A$73,0))&lt;=K$1),INDEX('CA Standards and Followers'!$3:$3,MATCH(K$1,'CA Standards and Followers'!$1:$1,0)),IF(AND(INDEX('CA Standards and Followers'!$D$14:$D$73,MATCH($A30,'CA Standards and Followers'!$A$14:$A$73,0))=1,INDEX('CA Standards and Followers'!$G$14:$G$73,MATCH($A30,'CA Standards and Followers'!$A$14:$A$73,0))&lt;=K$1),INDEX('CA Standards and Followers'!$2:$2,MATCH(K$1,'CA Standards and Followers'!$1:$1,0)),0))</f>
        <v>0.22</v>
      </c>
      <c r="L30">
        <f>IF(AND(INDEX('CA Standards and Followers'!$E$14:$E$73,MATCH($A30,'CA Standards and Followers'!$A$14:$A$73,0))=1,INDEX('CA Standards and Followers'!$H$14:$H$73,MATCH($A30,'CA Standards and Followers'!$A$14:$A$73,0))&lt;=L$1),INDEX('CA Standards and Followers'!$3:$3,MATCH(L$1,'CA Standards and Followers'!$1:$1,0)),IF(AND(INDEX('CA Standards and Followers'!$D$14:$D$73,MATCH($A30,'CA Standards and Followers'!$A$14:$A$73,0))=1,INDEX('CA Standards and Followers'!$G$14:$G$73,MATCH($A30,'CA Standards and Followers'!$A$14:$A$73,0))&lt;=L$1),INDEX('CA Standards and Followers'!$2:$2,MATCH(L$1,'CA Standards and Followers'!$1:$1,0)),0))</f>
        <v>0.22</v>
      </c>
      <c r="M30">
        <f>IF(AND(INDEX('CA Standards and Followers'!$E$14:$E$73,MATCH($A30,'CA Standards and Followers'!$A$14:$A$73,0))=1,INDEX('CA Standards and Followers'!$H$14:$H$73,MATCH($A30,'CA Standards and Followers'!$A$14:$A$73,0))&lt;=M$1),INDEX('CA Standards and Followers'!$3:$3,MATCH(M$1,'CA Standards and Followers'!$1:$1,0)),IF(AND(INDEX('CA Standards and Followers'!$D$14:$D$73,MATCH($A30,'CA Standards and Followers'!$A$14:$A$73,0))=1,INDEX('CA Standards and Followers'!$G$14:$G$73,MATCH($A30,'CA Standards and Followers'!$A$14:$A$73,0))&lt;=M$1),INDEX('CA Standards and Followers'!$2:$2,MATCH(M$1,'CA Standards and Followers'!$1:$1,0)),0))</f>
        <v>0.22</v>
      </c>
      <c r="N30">
        <f>IF(AND(INDEX('CA Standards and Followers'!$E$14:$E$73,MATCH($A30,'CA Standards and Followers'!$A$14:$A$73,0))=1,INDEX('CA Standards and Followers'!$H$14:$H$73,MATCH($A30,'CA Standards and Followers'!$A$14:$A$73,0))&lt;=N$1),INDEX('CA Standards and Followers'!$3:$3,MATCH(N$1,'CA Standards and Followers'!$1:$1,0)),IF(AND(INDEX('CA Standards and Followers'!$D$14:$D$73,MATCH($A30,'CA Standards and Followers'!$A$14:$A$73,0))=1,INDEX('CA Standards and Followers'!$G$14:$G$73,MATCH($A30,'CA Standards and Followers'!$A$14:$A$73,0))&lt;=N$1),INDEX('CA Standards and Followers'!$2:$2,MATCH(N$1,'CA Standards and Followers'!$1:$1,0)),0))</f>
        <v>0.22</v>
      </c>
      <c r="O30">
        <f>IF(AND(INDEX('CA Standards and Followers'!$E$14:$E$73,MATCH($A30,'CA Standards and Followers'!$A$14:$A$73,0))=1,INDEX('CA Standards and Followers'!$H$14:$H$73,MATCH($A30,'CA Standards and Followers'!$A$14:$A$73,0))&lt;=O$1),INDEX('CA Standards and Followers'!$3:$3,MATCH(O$1,'CA Standards and Followers'!$1:$1,0)),IF(AND(INDEX('CA Standards and Followers'!$D$14:$D$73,MATCH($A30,'CA Standards and Followers'!$A$14:$A$73,0))=1,INDEX('CA Standards and Followers'!$G$14:$G$73,MATCH($A30,'CA Standards and Followers'!$A$14:$A$73,0))&lt;=O$1),INDEX('CA Standards and Followers'!$2:$2,MATCH(O$1,'CA Standards and Followers'!$1:$1,0)),0))</f>
        <v>0.22</v>
      </c>
      <c r="P30">
        <f>IF(AND(INDEX('CA Standards and Followers'!$E$14:$E$73,MATCH($A30,'CA Standards and Followers'!$A$14:$A$73,0))=1,INDEX('CA Standards and Followers'!$H$14:$H$73,MATCH($A30,'CA Standards and Followers'!$A$14:$A$73,0))&lt;=P$1),INDEX('CA Standards and Followers'!$3:$3,MATCH(P$1,'CA Standards and Followers'!$1:$1,0)),IF(AND(INDEX('CA Standards and Followers'!$D$14:$D$73,MATCH($A30,'CA Standards and Followers'!$A$14:$A$73,0))=1,INDEX('CA Standards and Followers'!$G$14:$G$73,MATCH($A30,'CA Standards and Followers'!$A$14:$A$73,0))&lt;=P$1),INDEX('CA Standards and Followers'!$2:$2,MATCH(P$1,'CA Standards and Followers'!$1:$1,0)),0))</f>
        <v>0.22</v>
      </c>
      <c r="Q30">
        <f>IF(AND(INDEX('CA Standards and Followers'!$E$14:$E$73,MATCH($A30,'CA Standards and Followers'!$A$14:$A$73,0))=1,INDEX('CA Standards and Followers'!$H$14:$H$73,MATCH($A30,'CA Standards and Followers'!$A$14:$A$73,0))&lt;=Q$1),INDEX('CA Standards and Followers'!$3:$3,MATCH(Q$1,'CA Standards and Followers'!$1:$1,0)),IF(AND(INDEX('CA Standards and Followers'!$D$14:$D$73,MATCH($A30,'CA Standards and Followers'!$A$14:$A$73,0))=1,INDEX('CA Standards and Followers'!$G$14:$G$73,MATCH($A30,'CA Standards and Followers'!$A$14:$A$73,0))&lt;=Q$1),INDEX('CA Standards and Followers'!$2:$2,MATCH(Q$1,'CA Standards and Followers'!$1:$1,0)),0))</f>
        <v>0.22</v>
      </c>
      <c r="R30">
        <f>IF(AND(INDEX('CA Standards and Followers'!$E$14:$E$73,MATCH($A30,'CA Standards and Followers'!$A$14:$A$73,0))=1,INDEX('CA Standards and Followers'!$H$14:$H$73,MATCH($A30,'CA Standards and Followers'!$A$14:$A$73,0))&lt;=R$1),INDEX('CA Standards and Followers'!$3:$3,MATCH(R$1,'CA Standards and Followers'!$1:$1,0)),IF(AND(INDEX('CA Standards and Followers'!$D$14:$D$73,MATCH($A30,'CA Standards and Followers'!$A$14:$A$73,0))=1,INDEX('CA Standards and Followers'!$G$14:$G$73,MATCH($A30,'CA Standards and Followers'!$A$14:$A$73,0))&lt;=R$1),INDEX('CA Standards and Followers'!$2:$2,MATCH(R$1,'CA Standards and Followers'!$1:$1,0)),0))</f>
        <v>0.22</v>
      </c>
      <c r="S30">
        <f>IF(AND(INDEX('CA Standards and Followers'!$E$14:$E$73,MATCH($A30,'CA Standards and Followers'!$A$14:$A$73,0))=1,INDEX('CA Standards and Followers'!$H$14:$H$73,MATCH($A30,'CA Standards and Followers'!$A$14:$A$73,0))&lt;=S$1),INDEX('CA Standards and Followers'!$3:$3,MATCH(S$1,'CA Standards and Followers'!$1:$1,0)),IF(AND(INDEX('CA Standards and Followers'!$D$14:$D$73,MATCH($A30,'CA Standards and Followers'!$A$14:$A$73,0))=1,INDEX('CA Standards and Followers'!$G$14:$G$73,MATCH($A30,'CA Standards and Followers'!$A$14:$A$73,0))&lt;=S$1),INDEX('CA Standards and Followers'!$2:$2,MATCH(S$1,'CA Standards and Followers'!$1:$1,0)),0))</f>
        <v>0.22</v>
      </c>
      <c r="T30">
        <f>IF(AND(INDEX('CA Standards and Followers'!$E$14:$E$73,MATCH($A30,'CA Standards and Followers'!$A$14:$A$73,0))=1,INDEX('CA Standards and Followers'!$H$14:$H$73,MATCH($A30,'CA Standards and Followers'!$A$14:$A$73,0))&lt;=T$1),INDEX('CA Standards and Followers'!$3:$3,MATCH(T$1,'CA Standards and Followers'!$1:$1,0)),IF(AND(INDEX('CA Standards and Followers'!$D$14:$D$73,MATCH($A30,'CA Standards and Followers'!$A$14:$A$73,0))=1,INDEX('CA Standards and Followers'!$G$14:$G$73,MATCH($A30,'CA Standards and Followers'!$A$14:$A$73,0))&lt;=T$1),INDEX('CA Standards and Followers'!$2:$2,MATCH(T$1,'CA Standards and Followers'!$1:$1,0)),0))</f>
        <v>0.22</v>
      </c>
      <c r="U30">
        <f>IF(AND(INDEX('CA Standards and Followers'!$E$14:$E$73,MATCH($A30,'CA Standards and Followers'!$A$14:$A$73,0))=1,INDEX('CA Standards and Followers'!$H$14:$H$73,MATCH($A30,'CA Standards and Followers'!$A$14:$A$73,0))&lt;=U$1),INDEX('CA Standards and Followers'!$3:$3,MATCH(U$1,'CA Standards and Followers'!$1:$1,0)),IF(AND(INDEX('CA Standards and Followers'!$D$14:$D$73,MATCH($A30,'CA Standards and Followers'!$A$14:$A$73,0))=1,INDEX('CA Standards and Followers'!$G$14:$G$73,MATCH($A30,'CA Standards and Followers'!$A$14:$A$73,0))&lt;=U$1),INDEX('CA Standards and Followers'!$2:$2,MATCH(U$1,'CA Standards and Followers'!$1:$1,0)),0))</f>
        <v>0.22</v>
      </c>
      <c r="V30">
        <f>IF(AND(INDEX('CA Standards and Followers'!$E$14:$E$73,MATCH($A30,'CA Standards and Followers'!$A$14:$A$73,0))=1,INDEX('CA Standards and Followers'!$H$14:$H$73,MATCH($A30,'CA Standards and Followers'!$A$14:$A$73,0))&lt;=V$1),INDEX('CA Standards and Followers'!$3:$3,MATCH(V$1,'CA Standards and Followers'!$1:$1,0)),IF(AND(INDEX('CA Standards and Followers'!$D$14:$D$73,MATCH($A30,'CA Standards and Followers'!$A$14:$A$73,0))=1,INDEX('CA Standards and Followers'!$G$14:$G$73,MATCH($A30,'CA Standards and Followers'!$A$14:$A$73,0))&lt;=V$1),INDEX('CA Standards and Followers'!$2:$2,MATCH(V$1,'CA Standards and Followers'!$1:$1,0)),0))</f>
        <v>0.22</v>
      </c>
      <c r="W30">
        <f>IF(AND(INDEX('CA Standards and Followers'!$E$14:$E$73,MATCH($A30,'CA Standards and Followers'!$A$14:$A$73,0))=1,INDEX('CA Standards and Followers'!$H$14:$H$73,MATCH($A30,'CA Standards and Followers'!$A$14:$A$73,0))&lt;=W$1),INDEX('CA Standards and Followers'!$3:$3,MATCH(W$1,'CA Standards and Followers'!$1:$1,0)),IF(AND(INDEX('CA Standards and Followers'!$D$14:$D$73,MATCH($A30,'CA Standards and Followers'!$A$14:$A$73,0))=1,INDEX('CA Standards and Followers'!$G$14:$G$73,MATCH($A30,'CA Standards and Followers'!$A$14:$A$73,0))&lt;=W$1),INDEX('CA Standards and Followers'!$2:$2,MATCH(W$1,'CA Standards and Followers'!$1:$1,0)),0))</f>
        <v>0.22</v>
      </c>
      <c r="X30">
        <f>IF(AND(INDEX('CA Standards and Followers'!$E$14:$E$73,MATCH($A30,'CA Standards and Followers'!$A$14:$A$73,0))=1,INDEX('CA Standards and Followers'!$H$14:$H$73,MATCH($A30,'CA Standards and Followers'!$A$14:$A$73,0))&lt;=X$1),INDEX('CA Standards and Followers'!$3:$3,MATCH(X$1,'CA Standards and Followers'!$1:$1,0)),IF(AND(INDEX('CA Standards and Followers'!$D$14:$D$73,MATCH($A30,'CA Standards and Followers'!$A$14:$A$73,0))=1,INDEX('CA Standards and Followers'!$G$14:$G$73,MATCH($A30,'CA Standards and Followers'!$A$14:$A$73,0))&lt;=X$1),INDEX('CA Standards and Followers'!$2:$2,MATCH(X$1,'CA Standards and Followers'!$1:$1,0)),0))</f>
        <v>0.22</v>
      </c>
      <c r="Y30">
        <f>IF(AND(INDEX('CA Standards and Followers'!$E$14:$E$73,MATCH($A30,'CA Standards and Followers'!$A$14:$A$73,0))=1,INDEX('CA Standards and Followers'!$H$14:$H$73,MATCH($A30,'CA Standards and Followers'!$A$14:$A$73,0))&lt;=Y$1),INDEX('CA Standards and Followers'!$3:$3,MATCH(Y$1,'CA Standards and Followers'!$1:$1,0)),IF(AND(INDEX('CA Standards and Followers'!$D$14:$D$73,MATCH($A30,'CA Standards and Followers'!$A$14:$A$73,0))=1,INDEX('CA Standards and Followers'!$G$14:$G$73,MATCH($A30,'CA Standards and Followers'!$A$14:$A$73,0))&lt;=Y$1),INDEX('CA Standards and Followers'!$2:$2,MATCH(Y$1,'CA Standards and Followers'!$1:$1,0)),0))</f>
        <v>0.22</v>
      </c>
      <c r="Z30">
        <f>IF(AND(INDEX('CA Standards and Followers'!$E$14:$E$73,MATCH($A30,'CA Standards and Followers'!$A$14:$A$73,0))=1,INDEX('CA Standards and Followers'!$H$14:$H$73,MATCH($A30,'CA Standards and Followers'!$A$14:$A$73,0))&lt;=Z$1),INDEX('CA Standards and Followers'!$3:$3,MATCH(Z$1,'CA Standards and Followers'!$1:$1,0)),IF(AND(INDEX('CA Standards and Followers'!$D$14:$D$73,MATCH($A30,'CA Standards and Followers'!$A$14:$A$73,0))=1,INDEX('CA Standards and Followers'!$G$14:$G$73,MATCH($A30,'CA Standards and Followers'!$A$14:$A$73,0))&lt;=Z$1),INDEX('CA Standards and Followers'!$2:$2,MATCH(Z$1,'CA Standards and Followers'!$1:$1,0)),0))</f>
        <v>0.22</v>
      </c>
      <c r="AA30">
        <f>IF(AND(INDEX('CA Standards and Followers'!$E$14:$E$73,MATCH($A30,'CA Standards and Followers'!$A$14:$A$73,0))=1,INDEX('CA Standards and Followers'!$H$14:$H$73,MATCH($A30,'CA Standards and Followers'!$A$14:$A$73,0))&lt;=AA$1),INDEX('CA Standards and Followers'!$3:$3,MATCH(AA$1,'CA Standards and Followers'!$1:$1,0)),IF(AND(INDEX('CA Standards and Followers'!$D$14:$D$73,MATCH($A30,'CA Standards and Followers'!$A$14:$A$73,0))=1,INDEX('CA Standards and Followers'!$G$14:$G$73,MATCH($A30,'CA Standards and Followers'!$A$14:$A$73,0))&lt;=AA$1),INDEX('CA Standards and Followers'!$2:$2,MATCH(AA$1,'CA Standards and Followers'!$1:$1,0)),0))</f>
        <v>0.22</v>
      </c>
      <c r="AB30">
        <f>IF(AND(INDEX('CA Standards and Followers'!$E$14:$E$73,MATCH($A30,'CA Standards and Followers'!$A$14:$A$73,0))=1,INDEX('CA Standards and Followers'!$H$14:$H$73,MATCH($A30,'CA Standards and Followers'!$A$14:$A$73,0))&lt;=AB$1),INDEX('CA Standards and Followers'!$3:$3,MATCH(AB$1,'CA Standards and Followers'!$1:$1,0)),IF(AND(INDEX('CA Standards and Followers'!$D$14:$D$73,MATCH($A30,'CA Standards and Followers'!$A$14:$A$73,0))=1,INDEX('CA Standards and Followers'!$G$14:$G$73,MATCH($A30,'CA Standards and Followers'!$A$14:$A$73,0))&lt;=AB$1),INDEX('CA Standards and Followers'!$2:$2,MATCH(AB$1,'CA Standards and Followers'!$1:$1,0)),0))</f>
        <v>0.22</v>
      </c>
      <c r="AC30">
        <f>IF(AND(INDEX('CA Standards and Followers'!$E$14:$E$73,MATCH($A30,'CA Standards and Followers'!$A$14:$A$73,0))=1,INDEX('CA Standards and Followers'!$H$14:$H$73,MATCH($A30,'CA Standards and Followers'!$A$14:$A$73,0))&lt;=AC$1),INDEX('CA Standards and Followers'!$3:$3,MATCH(AC$1,'CA Standards and Followers'!$1:$1,0)),IF(AND(INDEX('CA Standards and Followers'!$D$14:$D$73,MATCH($A30,'CA Standards and Followers'!$A$14:$A$73,0))=1,INDEX('CA Standards and Followers'!$G$14:$G$73,MATCH($A30,'CA Standards and Followers'!$A$14:$A$73,0))&lt;=AC$1),INDEX('CA Standards and Followers'!$2:$2,MATCH(AC$1,'CA Standards and Followers'!$1:$1,0)),0))</f>
        <v>0.22</v>
      </c>
      <c r="AD30">
        <f>IF(AND(INDEX('CA Standards and Followers'!$E$14:$E$73,MATCH($A30,'CA Standards and Followers'!$A$14:$A$73,0))=1,INDEX('CA Standards and Followers'!$H$14:$H$73,MATCH($A30,'CA Standards and Followers'!$A$14:$A$73,0))&lt;=AD$1),INDEX('CA Standards and Followers'!$3:$3,MATCH(AD$1,'CA Standards and Followers'!$1:$1,0)),IF(AND(INDEX('CA Standards and Followers'!$D$14:$D$73,MATCH($A30,'CA Standards and Followers'!$A$14:$A$73,0))=1,INDEX('CA Standards and Followers'!$G$14:$G$73,MATCH($A30,'CA Standards and Followers'!$A$14:$A$73,0))&lt;=AD$1),INDEX('CA Standards and Followers'!$2:$2,MATCH(AD$1,'CA Standards and Followers'!$1:$1,0)),0))</f>
        <v>0.22</v>
      </c>
      <c r="AE30">
        <f>IF(AND(INDEX('CA Standards and Followers'!$E$14:$E$73,MATCH($A30,'CA Standards and Followers'!$A$14:$A$73,0))=1,INDEX('CA Standards and Followers'!$H$14:$H$73,MATCH($A30,'CA Standards and Followers'!$A$14:$A$73,0))&lt;=AE$1),INDEX('CA Standards and Followers'!$3:$3,MATCH(AE$1,'CA Standards and Followers'!$1:$1,0)),IF(AND(INDEX('CA Standards and Followers'!$D$14:$D$73,MATCH($A30,'CA Standards and Followers'!$A$14:$A$73,0))=1,INDEX('CA Standards and Followers'!$G$14:$G$73,MATCH($A30,'CA Standards and Followers'!$A$14:$A$73,0))&lt;=AE$1),INDEX('CA Standards and Followers'!$2:$2,MATCH(AE$1,'CA Standards and Followers'!$1:$1,0)),0))</f>
        <v>0.22</v>
      </c>
      <c r="AF30">
        <f>IF(AND(INDEX('CA Standards and Followers'!$E$14:$E$73,MATCH($A30,'CA Standards and Followers'!$A$14:$A$73,0))=1,INDEX('CA Standards and Followers'!$H$14:$H$73,MATCH($A30,'CA Standards and Followers'!$A$14:$A$73,0))&lt;=AF$1),INDEX('CA Standards and Followers'!$3:$3,MATCH(AF$1,'CA Standards and Followers'!$1:$1,0)),IF(AND(INDEX('CA Standards and Followers'!$D$14:$D$73,MATCH($A30,'CA Standards and Followers'!$A$14:$A$73,0))=1,INDEX('CA Standards and Followers'!$G$14:$G$73,MATCH($A30,'CA Standards and Followers'!$A$14:$A$73,0))&lt;=AF$1),INDEX('CA Standards and Followers'!$2:$2,MATCH(AF$1,'CA Standards and Followers'!$1:$1,0)),0))</f>
        <v>0.22</v>
      </c>
    </row>
    <row r="31" spans="1:32" x14ac:dyDescent="0.25">
      <c r="A31" t="s">
        <v>31</v>
      </c>
      <c r="B31">
        <f>IF(AND(INDEX('CA Standards and Followers'!$E$14:$E$73,MATCH($A31,'CA Standards and Followers'!$A$14:$A$73,0))=1,INDEX('CA Standards and Followers'!$H$14:$H$73,MATCH($A31,'CA Standards and Followers'!$A$14:$A$73,0))&lt;=B$1),INDEX('CA Standards and Followers'!$3:$3,MATCH(B$1,'CA Standards and Followers'!$1:$1,0)),IF(AND(INDEX('CA Standards and Followers'!$D$14:$D$73,MATCH($A31,'CA Standards and Followers'!$A$14:$A$73,0))=1,INDEX('CA Standards and Followers'!$G$14:$G$73,MATCH($A31,'CA Standards and Followers'!$A$14:$A$73,0))&lt;=B$1),INDEX('CA Standards and Followers'!$2:$2,MATCH(B$1,'CA Standards and Followers'!$1:$1,0)),0))</f>
        <v>0</v>
      </c>
      <c r="C31">
        <f>IF(AND(INDEX('CA Standards and Followers'!$E$14:$E$73,MATCH($A31,'CA Standards and Followers'!$A$14:$A$73,0))=1,INDEX('CA Standards and Followers'!$H$14:$H$73,MATCH($A31,'CA Standards and Followers'!$A$14:$A$73,0))&lt;=C$1),INDEX('CA Standards and Followers'!$3:$3,MATCH(C$1,'CA Standards and Followers'!$1:$1,0)),IF(AND(INDEX('CA Standards and Followers'!$D$14:$D$73,MATCH($A31,'CA Standards and Followers'!$A$14:$A$73,0))=1,INDEX('CA Standards and Followers'!$G$14:$G$73,MATCH($A31,'CA Standards and Followers'!$A$14:$A$73,0))&lt;=C$1),INDEX('CA Standards and Followers'!$2:$2,MATCH(C$1,'CA Standards and Followers'!$1:$1,0)),0))</f>
        <v>0</v>
      </c>
      <c r="D31">
        <f>IF(AND(INDEX('CA Standards and Followers'!$E$14:$E$73,MATCH($A31,'CA Standards and Followers'!$A$14:$A$73,0))=1,INDEX('CA Standards and Followers'!$H$14:$H$73,MATCH($A31,'CA Standards and Followers'!$A$14:$A$73,0))&lt;=D$1),INDEX('CA Standards and Followers'!$3:$3,MATCH(D$1,'CA Standards and Followers'!$1:$1,0)),IF(AND(INDEX('CA Standards and Followers'!$D$14:$D$73,MATCH($A31,'CA Standards and Followers'!$A$14:$A$73,0))=1,INDEX('CA Standards and Followers'!$G$14:$G$73,MATCH($A31,'CA Standards and Followers'!$A$14:$A$73,0))&lt;=D$1),INDEX('CA Standards and Followers'!$2:$2,MATCH(D$1,'CA Standards and Followers'!$1:$1,0)),0))</f>
        <v>0</v>
      </c>
      <c r="E31">
        <f>IF(AND(INDEX('CA Standards and Followers'!$E$14:$E$73,MATCH($A31,'CA Standards and Followers'!$A$14:$A$73,0))=1,INDEX('CA Standards and Followers'!$H$14:$H$73,MATCH($A31,'CA Standards and Followers'!$A$14:$A$73,0))&lt;=E$1),INDEX('CA Standards and Followers'!$3:$3,MATCH(E$1,'CA Standards and Followers'!$1:$1,0)),IF(AND(INDEX('CA Standards and Followers'!$D$14:$D$73,MATCH($A31,'CA Standards and Followers'!$A$14:$A$73,0))=1,INDEX('CA Standards and Followers'!$G$14:$G$73,MATCH($A31,'CA Standards and Followers'!$A$14:$A$73,0))&lt;=E$1),INDEX('CA Standards and Followers'!$2:$2,MATCH(E$1,'CA Standards and Followers'!$1:$1,0)),0))</f>
        <v>0</v>
      </c>
      <c r="F31">
        <f>IF(AND(INDEX('CA Standards and Followers'!$E$14:$E$73,MATCH($A31,'CA Standards and Followers'!$A$14:$A$73,0))=1,INDEX('CA Standards and Followers'!$H$14:$H$73,MATCH($A31,'CA Standards and Followers'!$A$14:$A$73,0))&lt;=F$1),INDEX('CA Standards and Followers'!$3:$3,MATCH(F$1,'CA Standards and Followers'!$1:$1,0)),IF(AND(INDEX('CA Standards and Followers'!$D$14:$D$73,MATCH($A31,'CA Standards and Followers'!$A$14:$A$73,0))=1,INDEX('CA Standards and Followers'!$G$14:$G$73,MATCH($A31,'CA Standards and Followers'!$A$14:$A$73,0))&lt;=F$1),INDEX('CA Standards and Followers'!$2:$2,MATCH(F$1,'CA Standards and Followers'!$1:$1,0)),0))</f>
        <v>0</v>
      </c>
      <c r="G31">
        <f>IF(AND(INDEX('CA Standards and Followers'!$E$14:$E$73,MATCH($A31,'CA Standards and Followers'!$A$14:$A$73,0))=1,INDEX('CA Standards and Followers'!$H$14:$H$73,MATCH($A31,'CA Standards and Followers'!$A$14:$A$73,0))&lt;=G$1),INDEX('CA Standards and Followers'!$3:$3,MATCH(G$1,'CA Standards and Followers'!$1:$1,0)),IF(AND(INDEX('CA Standards and Followers'!$D$14:$D$73,MATCH($A31,'CA Standards and Followers'!$A$14:$A$73,0))=1,INDEX('CA Standards and Followers'!$G$14:$G$73,MATCH($A31,'CA Standards and Followers'!$A$14:$A$73,0))&lt;=G$1),INDEX('CA Standards and Followers'!$2:$2,MATCH(G$1,'CA Standards and Followers'!$1:$1,0)),0))</f>
        <v>0</v>
      </c>
      <c r="H31">
        <f>IF(AND(INDEX('CA Standards and Followers'!$E$14:$E$73,MATCH($A31,'CA Standards and Followers'!$A$14:$A$73,0))=1,INDEX('CA Standards and Followers'!$H$14:$H$73,MATCH($A31,'CA Standards and Followers'!$A$14:$A$73,0))&lt;=H$1),INDEX('CA Standards and Followers'!$3:$3,MATCH(H$1,'CA Standards and Followers'!$1:$1,0)),IF(AND(INDEX('CA Standards and Followers'!$D$14:$D$73,MATCH($A31,'CA Standards and Followers'!$A$14:$A$73,0))=1,INDEX('CA Standards and Followers'!$G$14:$G$73,MATCH($A31,'CA Standards and Followers'!$A$14:$A$73,0))&lt;=H$1),INDEX('CA Standards and Followers'!$2:$2,MATCH(H$1,'CA Standards and Followers'!$1:$1,0)),0))</f>
        <v>0</v>
      </c>
      <c r="I31">
        <f>IF(AND(INDEX('CA Standards and Followers'!$E$14:$E$73,MATCH($A31,'CA Standards and Followers'!$A$14:$A$73,0))=1,INDEX('CA Standards and Followers'!$H$14:$H$73,MATCH($A31,'CA Standards and Followers'!$A$14:$A$73,0))&lt;=I$1),INDEX('CA Standards and Followers'!$3:$3,MATCH(I$1,'CA Standards and Followers'!$1:$1,0)),IF(AND(INDEX('CA Standards and Followers'!$D$14:$D$73,MATCH($A31,'CA Standards and Followers'!$A$14:$A$73,0))=1,INDEX('CA Standards and Followers'!$G$14:$G$73,MATCH($A31,'CA Standards and Followers'!$A$14:$A$73,0))&lt;=I$1),INDEX('CA Standards and Followers'!$2:$2,MATCH(I$1,'CA Standards and Followers'!$1:$1,0)),0))</f>
        <v>0</v>
      </c>
      <c r="J31">
        <f>IF(AND(INDEX('CA Standards and Followers'!$E$14:$E$73,MATCH($A31,'CA Standards and Followers'!$A$14:$A$73,0))=1,INDEX('CA Standards and Followers'!$H$14:$H$73,MATCH($A31,'CA Standards and Followers'!$A$14:$A$73,0))&lt;=J$1),INDEX('CA Standards and Followers'!$3:$3,MATCH(J$1,'CA Standards and Followers'!$1:$1,0)),IF(AND(INDEX('CA Standards and Followers'!$D$14:$D$73,MATCH($A31,'CA Standards and Followers'!$A$14:$A$73,0))=1,INDEX('CA Standards and Followers'!$G$14:$G$73,MATCH($A31,'CA Standards and Followers'!$A$14:$A$73,0))&lt;=J$1),INDEX('CA Standards and Followers'!$2:$2,MATCH(J$1,'CA Standards and Followers'!$1:$1,0)),0))</f>
        <v>0</v>
      </c>
      <c r="K31">
        <f>IF(AND(INDEX('CA Standards and Followers'!$E$14:$E$73,MATCH($A31,'CA Standards and Followers'!$A$14:$A$73,0))=1,INDEX('CA Standards and Followers'!$H$14:$H$73,MATCH($A31,'CA Standards and Followers'!$A$14:$A$73,0))&lt;=K$1),INDEX('CA Standards and Followers'!$3:$3,MATCH(K$1,'CA Standards and Followers'!$1:$1,0)),IF(AND(INDEX('CA Standards and Followers'!$D$14:$D$73,MATCH($A31,'CA Standards and Followers'!$A$14:$A$73,0))=1,INDEX('CA Standards and Followers'!$G$14:$G$73,MATCH($A31,'CA Standards and Followers'!$A$14:$A$73,0))&lt;=K$1),INDEX('CA Standards and Followers'!$2:$2,MATCH(K$1,'CA Standards and Followers'!$1:$1,0)),0))</f>
        <v>0</v>
      </c>
      <c r="L31">
        <f>IF(AND(INDEX('CA Standards and Followers'!$E$14:$E$73,MATCH($A31,'CA Standards and Followers'!$A$14:$A$73,0))=1,INDEX('CA Standards and Followers'!$H$14:$H$73,MATCH($A31,'CA Standards and Followers'!$A$14:$A$73,0))&lt;=L$1),INDEX('CA Standards and Followers'!$3:$3,MATCH(L$1,'CA Standards and Followers'!$1:$1,0)),IF(AND(INDEX('CA Standards and Followers'!$D$14:$D$73,MATCH($A31,'CA Standards and Followers'!$A$14:$A$73,0))=1,INDEX('CA Standards and Followers'!$G$14:$G$73,MATCH($A31,'CA Standards and Followers'!$A$14:$A$73,0))&lt;=L$1),INDEX('CA Standards and Followers'!$2:$2,MATCH(L$1,'CA Standards and Followers'!$1:$1,0)),0))</f>
        <v>0</v>
      </c>
      <c r="M31">
        <f>IF(AND(INDEX('CA Standards and Followers'!$E$14:$E$73,MATCH($A31,'CA Standards and Followers'!$A$14:$A$73,0))=1,INDEX('CA Standards and Followers'!$H$14:$H$73,MATCH($A31,'CA Standards and Followers'!$A$14:$A$73,0))&lt;=M$1),INDEX('CA Standards and Followers'!$3:$3,MATCH(M$1,'CA Standards and Followers'!$1:$1,0)),IF(AND(INDEX('CA Standards and Followers'!$D$14:$D$73,MATCH($A31,'CA Standards and Followers'!$A$14:$A$73,0))=1,INDEX('CA Standards and Followers'!$G$14:$G$73,MATCH($A31,'CA Standards and Followers'!$A$14:$A$73,0))&lt;=M$1),INDEX('CA Standards and Followers'!$2:$2,MATCH(M$1,'CA Standards and Followers'!$1:$1,0)),0))</f>
        <v>0</v>
      </c>
      <c r="N31">
        <f>IF(AND(INDEX('CA Standards and Followers'!$E$14:$E$73,MATCH($A31,'CA Standards and Followers'!$A$14:$A$73,0))=1,INDEX('CA Standards and Followers'!$H$14:$H$73,MATCH($A31,'CA Standards and Followers'!$A$14:$A$73,0))&lt;=N$1),INDEX('CA Standards and Followers'!$3:$3,MATCH(N$1,'CA Standards and Followers'!$1:$1,0)),IF(AND(INDEX('CA Standards and Followers'!$D$14:$D$73,MATCH($A31,'CA Standards and Followers'!$A$14:$A$73,0))=1,INDEX('CA Standards and Followers'!$G$14:$G$73,MATCH($A31,'CA Standards and Followers'!$A$14:$A$73,0))&lt;=N$1),INDEX('CA Standards and Followers'!$2:$2,MATCH(N$1,'CA Standards and Followers'!$1:$1,0)),0))</f>
        <v>0</v>
      </c>
      <c r="O31">
        <f>IF(AND(INDEX('CA Standards and Followers'!$E$14:$E$73,MATCH($A31,'CA Standards and Followers'!$A$14:$A$73,0))=1,INDEX('CA Standards and Followers'!$H$14:$H$73,MATCH($A31,'CA Standards and Followers'!$A$14:$A$73,0))&lt;=O$1),INDEX('CA Standards and Followers'!$3:$3,MATCH(O$1,'CA Standards and Followers'!$1:$1,0)),IF(AND(INDEX('CA Standards and Followers'!$D$14:$D$73,MATCH($A31,'CA Standards and Followers'!$A$14:$A$73,0))=1,INDEX('CA Standards and Followers'!$G$14:$G$73,MATCH($A31,'CA Standards and Followers'!$A$14:$A$73,0))&lt;=O$1),INDEX('CA Standards and Followers'!$2:$2,MATCH(O$1,'CA Standards and Followers'!$1:$1,0)),0))</f>
        <v>0</v>
      </c>
      <c r="P31">
        <f>IF(AND(INDEX('CA Standards and Followers'!$E$14:$E$73,MATCH($A31,'CA Standards and Followers'!$A$14:$A$73,0))=1,INDEX('CA Standards and Followers'!$H$14:$H$73,MATCH($A31,'CA Standards and Followers'!$A$14:$A$73,0))&lt;=P$1),INDEX('CA Standards and Followers'!$3:$3,MATCH(P$1,'CA Standards and Followers'!$1:$1,0)),IF(AND(INDEX('CA Standards and Followers'!$D$14:$D$73,MATCH($A31,'CA Standards and Followers'!$A$14:$A$73,0))=1,INDEX('CA Standards and Followers'!$G$14:$G$73,MATCH($A31,'CA Standards and Followers'!$A$14:$A$73,0))&lt;=P$1),INDEX('CA Standards and Followers'!$2:$2,MATCH(P$1,'CA Standards and Followers'!$1:$1,0)),0))</f>
        <v>0</v>
      </c>
      <c r="Q31">
        <f>IF(AND(INDEX('CA Standards and Followers'!$E$14:$E$73,MATCH($A31,'CA Standards and Followers'!$A$14:$A$73,0))=1,INDEX('CA Standards and Followers'!$H$14:$H$73,MATCH($A31,'CA Standards and Followers'!$A$14:$A$73,0))&lt;=Q$1),INDEX('CA Standards and Followers'!$3:$3,MATCH(Q$1,'CA Standards and Followers'!$1:$1,0)),IF(AND(INDEX('CA Standards and Followers'!$D$14:$D$73,MATCH($A31,'CA Standards and Followers'!$A$14:$A$73,0))=1,INDEX('CA Standards and Followers'!$G$14:$G$73,MATCH($A31,'CA Standards and Followers'!$A$14:$A$73,0))&lt;=Q$1),INDEX('CA Standards and Followers'!$2:$2,MATCH(Q$1,'CA Standards and Followers'!$1:$1,0)),0))</f>
        <v>0</v>
      </c>
      <c r="R31">
        <f>IF(AND(INDEX('CA Standards and Followers'!$E$14:$E$73,MATCH($A31,'CA Standards and Followers'!$A$14:$A$73,0))=1,INDEX('CA Standards and Followers'!$H$14:$H$73,MATCH($A31,'CA Standards and Followers'!$A$14:$A$73,0))&lt;=R$1),INDEX('CA Standards and Followers'!$3:$3,MATCH(R$1,'CA Standards and Followers'!$1:$1,0)),IF(AND(INDEX('CA Standards and Followers'!$D$14:$D$73,MATCH($A31,'CA Standards and Followers'!$A$14:$A$73,0))=1,INDEX('CA Standards and Followers'!$G$14:$G$73,MATCH($A31,'CA Standards and Followers'!$A$14:$A$73,0))&lt;=R$1),INDEX('CA Standards and Followers'!$2:$2,MATCH(R$1,'CA Standards and Followers'!$1:$1,0)),0))</f>
        <v>0</v>
      </c>
      <c r="S31">
        <f>IF(AND(INDEX('CA Standards and Followers'!$E$14:$E$73,MATCH($A31,'CA Standards and Followers'!$A$14:$A$73,0))=1,INDEX('CA Standards and Followers'!$H$14:$H$73,MATCH($A31,'CA Standards and Followers'!$A$14:$A$73,0))&lt;=S$1),INDEX('CA Standards and Followers'!$3:$3,MATCH(S$1,'CA Standards and Followers'!$1:$1,0)),IF(AND(INDEX('CA Standards and Followers'!$D$14:$D$73,MATCH($A31,'CA Standards and Followers'!$A$14:$A$73,0))=1,INDEX('CA Standards and Followers'!$G$14:$G$73,MATCH($A31,'CA Standards and Followers'!$A$14:$A$73,0))&lt;=S$1),INDEX('CA Standards and Followers'!$2:$2,MATCH(S$1,'CA Standards and Followers'!$1:$1,0)),0))</f>
        <v>0</v>
      </c>
      <c r="T31">
        <f>IF(AND(INDEX('CA Standards and Followers'!$E$14:$E$73,MATCH($A31,'CA Standards and Followers'!$A$14:$A$73,0))=1,INDEX('CA Standards and Followers'!$H$14:$H$73,MATCH($A31,'CA Standards and Followers'!$A$14:$A$73,0))&lt;=T$1),INDEX('CA Standards and Followers'!$3:$3,MATCH(T$1,'CA Standards and Followers'!$1:$1,0)),IF(AND(INDEX('CA Standards and Followers'!$D$14:$D$73,MATCH($A31,'CA Standards and Followers'!$A$14:$A$73,0))=1,INDEX('CA Standards and Followers'!$G$14:$G$73,MATCH($A31,'CA Standards and Followers'!$A$14:$A$73,0))&lt;=T$1),INDEX('CA Standards and Followers'!$2:$2,MATCH(T$1,'CA Standards and Followers'!$1:$1,0)),0))</f>
        <v>0</v>
      </c>
      <c r="U31">
        <f>IF(AND(INDEX('CA Standards and Followers'!$E$14:$E$73,MATCH($A31,'CA Standards and Followers'!$A$14:$A$73,0))=1,INDEX('CA Standards and Followers'!$H$14:$H$73,MATCH($A31,'CA Standards and Followers'!$A$14:$A$73,0))&lt;=U$1),INDEX('CA Standards and Followers'!$3:$3,MATCH(U$1,'CA Standards and Followers'!$1:$1,0)),IF(AND(INDEX('CA Standards and Followers'!$D$14:$D$73,MATCH($A31,'CA Standards and Followers'!$A$14:$A$73,0))=1,INDEX('CA Standards and Followers'!$G$14:$G$73,MATCH($A31,'CA Standards and Followers'!$A$14:$A$73,0))&lt;=U$1),INDEX('CA Standards and Followers'!$2:$2,MATCH(U$1,'CA Standards and Followers'!$1:$1,0)),0))</f>
        <v>0</v>
      </c>
      <c r="V31">
        <f>IF(AND(INDEX('CA Standards and Followers'!$E$14:$E$73,MATCH($A31,'CA Standards and Followers'!$A$14:$A$73,0))=1,INDEX('CA Standards and Followers'!$H$14:$H$73,MATCH($A31,'CA Standards and Followers'!$A$14:$A$73,0))&lt;=V$1),INDEX('CA Standards and Followers'!$3:$3,MATCH(V$1,'CA Standards and Followers'!$1:$1,0)),IF(AND(INDEX('CA Standards and Followers'!$D$14:$D$73,MATCH($A31,'CA Standards and Followers'!$A$14:$A$73,0))=1,INDEX('CA Standards and Followers'!$G$14:$G$73,MATCH($A31,'CA Standards and Followers'!$A$14:$A$73,0))&lt;=V$1),INDEX('CA Standards and Followers'!$2:$2,MATCH(V$1,'CA Standards and Followers'!$1:$1,0)),0))</f>
        <v>0</v>
      </c>
      <c r="W31">
        <f>IF(AND(INDEX('CA Standards and Followers'!$E$14:$E$73,MATCH($A31,'CA Standards and Followers'!$A$14:$A$73,0))=1,INDEX('CA Standards and Followers'!$H$14:$H$73,MATCH($A31,'CA Standards and Followers'!$A$14:$A$73,0))&lt;=W$1),INDEX('CA Standards and Followers'!$3:$3,MATCH(W$1,'CA Standards and Followers'!$1:$1,0)),IF(AND(INDEX('CA Standards and Followers'!$D$14:$D$73,MATCH($A31,'CA Standards and Followers'!$A$14:$A$73,0))=1,INDEX('CA Standards and Followers'!$G$14:$G$73,MATCH($A31,'CA Standards and Followers'!$A$14:$A$73,0))&lt;=W$1),INDEX('CA Standards and Followers'!$2:$2,MATCH(W$1,'CA Standards and Followers'!$1:$1,0)),0))</f>
        <v>0</v>
      </c>
      <c r="X31">
        <f>IF(AND(INDEX('CA Standards and Followers'!$E$14:$E$73,MATCH($A31,'CA Standards and Followers'!$A$14:$A$73,0))=1,INDEX('CA Standards and Followers'!$H$14:$H$73,MATCH($A31,'CA Standards and Followers'!$A$14:$A$73,0))&lt;=X$1),INDEX('CA Standards and Followers'!$3:$3,MATCH(X$1,'CA Standards and Followers'!$1:$1,0)),IF(AND(INDEX('CA Standards and Followers'!$D$14:$D$73,MATCH($A31,'CA Standards and Followers'!$A$14:$A$73,0))=1,INDEX('CA Standards and Followers'!$G$14:$G$73,MATCH($A31,'CA Standards and Followers'!$A$14:$A$73,0))&lt;=X$1),INDEX('CA Standards and Followers'!$2:$2,MATCH(X$1,'CA Standards and Followers'!$1:$1,0)),0))</f>
        <v>0</v>
      </c>
      <c r="Y31">
        <f>IF(AND(INDEX('CA Standards and Followers'!$E$14:$E$73,MATCH($A31,'CA Standards and Followers'!$A$14:$A$73,0))=1,INDEX('CA Standards and Followers'!$H$14:$H$73,MATCH($A31,'CA Standards and Followers'!$A$14:$A$73,0))&lt;=Y$1),INDEX('CA Standards and Followers'!$3:$3,MATCH(Y$1,'CA Standards and Followers'!$1:$1,0)),IF(AND(INDEX('CA Standards and Followers'!$D$14:$D$73,MATCH($A31,'CA Standards and Followers'!$A$14:$A$73,0))=1,INDEX('CA Standards and Followers'!$G$14:$G$73,MATCH($A31,'CA Standards and Followers'!$A$14:$A$73,0))&lt;=Y$1),INDEX('CA Standards and Followers'!$2:$2,MATCH(Y$1,'CA Standards and Followers'!$1:$1,0)),0))</f>
        <v>0</v>
      </c>
      <c r="Z31">
        <f>IF(AND(INDEX('CA Standards and Followers'!$E$14:$E$73,MATCH($A31,'CA Standards and Followers'!$A$14:$A$73,0))=1,INDEX('CA Standards and Followers'!$H$14:$H$73,MATCH($A31,'CA Standards and Followers'!$A$14:$A$73,0))&lt;=Z$1),INDEX('CA Standards and Followers'!$3:$3,MATCH(Z$1,'CA Standards and Followers'!$1:$1,0)),IF(AND(INDEX('CA Standards and Followers'!$D$14:$D$73,MATCH($A31,'CA Standards and Followers'!$A$14:$A$73,0))=1,INDEX('CA Standards and Followers'!$G$14:$G$73,MATCH($A31,'CA Standards and Followers'!$A$14:$A$73,0))&lt;=Z$1),INDEX('CA Standards and Followers'!$2:$2,MATCH(Z$1,'CA Standards and Followers'!$1:$1,0)),0))</f>
        <v>0</v>
      </c>
      <c r="AA31">
        <f>IF(AND(INDEX('CA Standards and Followers'!$E$14:$E$73,MATCH($A31,'CA Standards and Followers'!$A$14:$A$73,0))=1,INDEX('CA Standards and Followers'!$H$14:$H$73,MATCH($A31,'CA Standards and Followers'!$A$14:$A$73,0))&lt;=AA$1),INDEX('CA Standards and Followers'!$3:$3,MATCH(AA$1,'CA Standards and Followers'!$1:$1,0)),IF(AND(INDEX('CA Standards and Followers'!$D$14:$D$73,MATCH($A31,'CA Standards and Followers'!$A$14:$A$73,0))=1,INDEX('CA Standards and Followers'!$G$14:$G$73,MATCH($A31,'CA Standards and Followers'!$A$14:$A$73,0))&lt;=AA$1),INDEX('CA Standards and Followers'!$2:$2,MATCH(AA$1,'CA Standards and Followers'!$1:$1,0)),0))</f>
        <v>0</v>
      </c>
      <c r="AB31">
        <f>IF(AND(INDEX('CA Standards and Followers'!$E$14:$E$73,MATCH($A31,'CA Standards and Followers'!$A$14:$A$73,0))=1,INDEX('CA Standards and Followers'!$H$14:$H$73,MATCH($A31,'CA Standards and Followers'!$A$14:$A$73,0))&lt;=AB$1),INDEX('CA Standards and Followers'!$3:$3,MATCH(AB$1,'CA Standards and Followers'!$1:$1,0)),IF(AND(INDEX('CA Standards and Followers'!$D$14:$D$73,MATCH($A31,'CA Standards and Followers'!$A$14:$A$73,0))=1,INDEX('CA Standards and Followers'!$G$14:$G$73,MATCH($A31,'CA Standards and Followers'!$A$14:$A$73,0))&lt;=AB$1),INDEX('CA Standards and Followers'!$2:$2,MATCH(AB$1,'CA Standards and Followers'!$1:$1,0)),0))</f>
        <v>0</v>
      </c>
      <c r="AC31">
        <f>IF(AND(INDEX('CA Standards and Followers'!$E$14:$E$73,MATCH($A31,'CA Standards and Followers'!$A$14:$A$73,0))=1,INDEX('CA Standards and Followers'!$H$14:$H$73,MATCH($A31,'CA Standards and Followers'!$A$14:$A$73,0))&lt;=AC$1),INDEX('CA Standards and Followers'!$3:$3,MATCH(AC$1,'CA Standards and Followers'!$1:$1,0)),IF(AND(INDEX('CA Standards and Followers'!$D$14:$D$73,MATCH($A31,'CA Standards and Followers'!$A$14:$A$73,0))=1,INDEX('CA Standards and Followers'!$G$14:$G$73,MATCH($A31,'CA Standards and Followers'!$A$14:$A$73,0))&lt;=AC$1),INDEX('CA Standards and Followers'!$2:$2,MATCH(AC$1,'CA Standards and Followers'!$1:$1,0)),0))</f>
        <v>0</v>
      </c>
      <c r="AD31">
        <f>IF(AND(INDEX('CA Standards and Followers'!$E$14:$E$73,MATCH($A31,'CA Standards and Followers'!$A$14:$A$73,0))=1,INDEX('CA Standards and Followers'!$H$14:$H$73,MATCH($A31,'CA Standards and Followers'!$A$14:$A$73,0))&lt;=AD$1),INDEX('CA Standards and Followers'!$3:$3,MATCH(AD$1,'CA Standards and Followers'!$1:$1,0)),IF(AND(INDEX('CA Standards and Followers'!$D$14:$D$73,MATCH($A31,'CA Standards and Followers'!$A$14:$A$73,0))=1,INDEX('CA Standards and Followers'!$G$14:$G$73,MATCH($A31,'CA Standards and Followers'!$A$14:$A$73,0))&lt;=AD$1),INDEX('CA Standards and Followers'!$2:$2,MATCH(AD$1,'CA Standards and Followers'!$1:$1,0)),0))</f>
        <v>0</v>
      </c>
      <c r="AE31">
        <f>IF(AND(INDEX('CA Standards and Followers'!$E$14:$E$73,MATCH($A31,'CA Standards and Followers'!$A$14:$A$73,0))=1,INDEX('CA Standards and Followers'!$H$14:$H$73,MATCH($A31,'CA Standards and Followers'!$A$14:$A$73,0))&lt;=AE$1),INDEX('CA Standards and Followers'!$3:$3,MATCH(AE$1,'CA Standards and Followers'!$1:$1,0)),IF(AND(INDEX('CA Standards and Followers'!$D$14:$D$73,MATCH($A31,'CA Standards and Followers'!$A$14:$A$73,0))=1,INDEX('CA Standards and Followers'!$G$14:$G$73,MATCH($A31,'CA Standards and Followers'!$A$14:$A$73,0))&lt;=AE$1),INDEX('CA Standards and Followers'!$2:$2,MATCH(AE$1,'CA Standards and Followers'!$1:$1,0)),0))</f>
        <v>0</v>
      </c>
      <c r="AF31">
        <f>IF(AND(INDEX('CA Standards and Followers'!$E$14:$E$73,MATCH($A31,'CA Standards and Followers'!$A$14:$A$73,0))=1,INDEX('CA Standards and Followers'!$H$14:$H$73,MATCH($A31,'CA Standards and Followers'!$A$14:$A$73,0))&lt;=AF$1),INDEX('CA Standards and Followers'!$3:$3,MATCH(AF$1,'CA Standards and Followers'!$1:$1,0)),IF(AND(INDEX('CA Standards and Followers'!$D$14:$D$73,MATCH($A31,'CA Standards and Followers'!$A$14:$A$73,0))=1,INDEX('CA Standards and Followers'!$G$14:$G$73,MATCH($A31,'CA Standards and Followers'!$A$14:$A$73,0))&lt;=AF$1),INDEX('CA Standards and Followers'!$2:$2,MATCH(AF$1,'CA Standards and Followers'!$1:$1,0)),0))</f>
        <v>0</v>
      </c>
    </row>
    <row r="32" spans="1:32" x14ac:dyDescent="0.25">
      <c r="A32" t="s">
        <v>32</v>
      </c>
      <c r="B32">
        <f>IF(AND(INDEX('CA Standards and Followers'!$E$14:$E$73,MATCH($A32,'CA Standards and Followers'!$A$14:$A$73,0))=1,INDEX('CA Standards and Followers'!$H$14:$H$73,MATCH($A32,'CA Standards and Followers'!$A$14:$A$73,0))&lt;=B$1),INDEX('CA Standards and Followers'!$3:$3,MATCH(B$1,'CA Standards and Followers'!$1:$1,0)),IF(AND(INDEX('CA Standards and Followers'!$D$14:$D$73,MATCH($A32,'CA Standards and Followers'!$A$14:$A$73,0))=1,INDEX('CA Standards and Followers'!$G$14:$G$73,MATCH($A32,'CA Standards and Followers'!$A$14:$A$73,0))&lt;=B$1),INDEX('CA Standards and Followers'!$2:$2,MATCH(B$1,'CA Standards and Followers'!$1:$1,0)),0))</f>
        <v>9.5000000000000001E-2</v>
      </c>
      <c r="C32">
        <f>IF(AND(INDEX('CA Standards and Followers'!$E$14:$E$73,MATCH($A32,'CA Standards and Followers'!$A$14:$A$73,0))=1,INDEX('CA Standards and Followers'!$H$14:$H$73,MATCH($A32,'CA Standards and Followers'!$A$14:$A$73,0))&lt;=C$1),INDEX('CA Standards and Followers'!$3:$3,MATCH(C$1,'CA Standards and Followers'!$1:$1,0)),IF(AND(INDEX('CA Standards and Followers'!$D$14:$D$73,MATCH($A32,'CA Standards and Followers'!$A$14:$A$73,0))=1,INDEX('CA Standards and Followers'!$G$14:$G$73,MATCH($A32,'CA Standards and Followers'!$A$14:$A$73,0))&lt;=C$1),INDEX('CA Standards and Followers'!$2:$2,MATCH(C$1,'CA Standards and Followers'!$1:$1,0)),0))</f>
        <v>0.12</v>
      </c>
      <c r="D32">
        <f>IF(AND(INDEX('CA Standards and Followers'!$E$14:$E$73,MATCH($A32,'CA Standards and Followers'!$A$14:$A$73,0))=1,INDEX('CA Standards and Followers'!$H$14:$H$73,MATCH($A32,'CA Standards and Followers'!$A$14:$A$73,0))&lt;=D$1),INDEX('CA Standards and Followers'!$3:$3,MATCH(D$1,'CA Standards and Followers'!$1:$1,0)),IF(AND(INDEX('CA Standards and Followers'!$D$14:$D$73,MATCH($A32,'CA Standards and Followers'!$A$14:$A$73,0))=1,INDEX('CA Standards and Followers'!$G$14:$G$73,MATCH($A32,'CA Standards and Followers'!$A$14:$A$73,0))&lt;=D$1),INDEX('CA Standards and Followers'!$2:$2,MATCH(D$1,'CA Standards and Followers'!$1:$1,0)),0))</f>
        <v>0.14499999999999999</v>
      </c>
      <c r="E32">
        <f>IF(AND(INDEX('CA Standards and Followers'!$E$14:$E$73,MATCH($A32,'CA Standards and Followers'!$A$14:$A$73,0))=1,INDEX('CA Standards and Followers'!$H$14:$H$73,MATCH($A32,'CA Standards and Followers'!$A$14:$A$73,0))&lt;=E$1),INDEX('CA Standards and Followers'!$3:$3,MATCH(E$1,'CA Standards and Followers'!$1:$1,0)),IF(AND(INDEX('CA Standards and Followers'!$D$14:$D$73,MATCH($A32,'CA Standards and Followers'!$A$14:$A$73,0))=1,INDEX('CA Standards and Followers'!$G$14:$G$73,MATCH($A32,'CA Standards and Followers'!$A$14:$A$73,0))&lt;=E$1),INDEX('CA Standards and Followers'!$2:$2,MATCH(E$1,'CA Standards and Followers'!$1:$1,0)),0))</f>
        <v>0.16999999999999998</v>
      </c>
      <c r="F32">
        <f>IF(AND(INDEX('CA Standards and Followers'!$E$14:$E$73,MATCH($A32,'CA Standards and Followers'!$A$14:$A$73,0))=1,INDEX('CA Standards and Followers'!$H$14:$H$73,MATCH($A32,'CA Standards and Followers'!$A$14:$A$73,0))&lt;=F$1),INDEX('CA Standards and Followers'!$3:$3,MATCH(F$1,'CA Standards and Followers'!$1:$1,0)),IF(AND(INDEX('CA Standards and Followers'!$D$14:$D$73,MATCH($A32,'CA Standards and Followers'!$A$14:$A$73,0))=1,INDEX('CA Standards and Followers'!$G$14:$G$73,MATCH($A32,'CA Standards and Followers'!$A$14:$A$73,0))&lt;=F$1),INDEX('CA Standards and Followers'!$2:$2,MATCH(F$1,'CA Standards and Followers'!$1:$1,0)),0))</f>
        <v>0.19500000000000001</v>
      </c>
      <c r="G32">
        <f>IF(AND(INDEX('CA Standards and Followers'!$E$14:$E$73,MATCH($A32,'CA Standards and Followers'!$A$14:$A$73,0))=1,INDEX('CA Standards and Followers'!$H$14:$H$73,MATCH($A32,'CA Standards and Followers'!$A$14:$A$73,0))&lt;=G$1),INDEX('CA Standards and Followers'!$3:$3,MATCH(G$1,'CA Standards and Followers'!$1:$1,0)),IF(AND(INDEX('CA Standards and Followers'!$D$14:$D$73,MATCH($A32,'CA Standards and Followers'!$A$14:$A$73,0))=1,INDEX('CA Standards and Followers'!$G$14:$G$73,MATCH($A32,'CA Standards and Followers'!$A$14:$A$73,0))&lt;=G$1),INDEX('CA Standards and Followers'!$2:$2,MATCH(G$1,'CA Standards and Followers'!$1:$1,0)),0))</f>
        <v>0.21999999999999997</v>
      </c>
      <c r="H32">
        <f>IF(AND(INDEX('CA Standards and Followers'!$E$14:$E$73,MATCH($A32,'CA Standards and Followers'!$A$14:$A$73,0))=1,INDEX('CA Standards and Followers'!$H$14:$H$73,MATCH($A32,'CA Standards and Followers'!$A$14:$A$73,0))&lt;=H$1),INDEX('CA Standards and Followers'!$3:$3,MATCH(H$1,'CA Standards and Followers'!$1:$1,0)),IF(AND(INDEX('CA Standards and Followers'!$D$14:$D$73,MATCH($A32,'CA Standards and Followers'!$A$14:$A$73,0))=1,INDEX('CA Standards and Followers'!$G$14:$G$73,MATCH($A32,'CA Standards and Followers'!$A$14:$A$73,0))&lt;=H$1),INDEX('CA Standards and Followers'!$2:$2,MATCH(H$1,'CA Standards and Followers'!$1:$1,0)),0))</f>
        <v>0.22</v>
      </c>
      <c r="I32">
        <f>IF(AND(INDEX('CA Standards and Followers'!$E$14:$E$73,MATCH($A32,'CA Standards and Followers'!$A$14:$A$73,0))=1,INDEX('CA Standards and Followers'!$H$14:$H$73,MATCH($A32,'CA Standards and Followers'!$A$14:$A$73,0))&lt;=I$1),INDEX('CA Standards and Followers'!$3:$3,MATCH(I$1,'CA Standards and Followers'!$1:$1,0)),IF(AND(INDEX('CA Standards and Followers'!$D$14:$D$73,MATCH($A32,'CA Standards and Followers'!$A$14:$A$73,0))=1,INDEX('CA Standards and Followers'!$G$14:$G$73,MATCH($A32,'CA Standards and Followers'!$A$14:$A$73,0))&lt;=I$1),INDEX('CA Standards and Followers'!$2:$2,MATCH(I$1,'CA Standards and Followers'!$1:$1,0)),0))</f>
        <v>0.22</v>
      </c>
      <c r="J32">
        <f>IF(AND(INDEX('CA Standards and Followers'!$E$14:$E$73,MATCH($A32,'CA Standards and Followers'!$A$14:$A$73,0))=1,INDEX('CA Standards and Followers'!$H$14:$H$73,MATCH($A32,'CA Standards and Followers'!$A$14:$A$73,0))&lt;=J$1),INDEX('CA Standards and Followers'!$3:$3,MATCH(J$1,'CA Standards and Followers'!$1:$1,0)),IF(AND(INDEX('CA Standards and Followers'!$D$14:$D$73,MATCH($A32,'CA Standards and Followers'!$A$14:$A$73,0))=1,INDEX('CA Standards and Followers'!$G$14:$G$73,MATCH($A32,'CA Standards and Followers'!$A$14:$A$73,0))&lt;=J$1),INDEX('CA Standards and Followers'!$2:$2,MATCH(J$1,'CA Standards and Followers'!$1:$1,0)),0))</f>
        <v>0.22</v>
      </c>
      <c r="K32">
        <f>IF(AND(INDEX('CA Standards and Followers'!$E$14:$E$73,MATCH($A32,'CA Standards and Followers'!$A$14:$A$73,0))=1,INDEX('CA Standards and Followers'!$H$14:$H$73,MATCH($A32,'CA Standards and Followers'!$A$14:$A$73,0))&lt;=K$1),INDEX('CA Standards and Followers'!$3:$3,MATCH(K$1,'CA Standards and Followers'!$1:$1,0)),IF(AND(INDEX('CA Standards and Followers'!$D$14:$D$73,MATCH($A32,'CA Standards and Followers'!$A$14:$A$73,0))=1,INDEX('CA Standards and Followers'!$G$14:$G$73,MATCH($A32,'CA Standards and Followers'!$A$14:$A$73,0))&lt;=K$1),INDEX('CA Standards and Followers'!$2:$2,MATCH(K$1,'CA Standards and Followers'!$1:$1,0)),0))</f>
        <v>0.22</v>
      </c>
      <c r="L32">
        <f>IF(AND(INDEX('CA Standards and Followers'!$E$14:$E$73,MATCH($A32,'CA Standards and Followers'!$A$14:$A$73,0))=1,INDEX('CA Standards and Followers'!$H$14:$H$73,MATCH($A32,'CA Standards and Followers'!$A$14:$A$73,0))&lt;=L$1),INDEX('CA Standards and Followers'!$3:$3,MATCH(L$1,'CA Standards and Followers'!$1:$1,0)),IF(AND(INDEX('CA Standards and Followers'!$D$14:$D$73,MATCH($A32,'CA Standards and Followers'!$A$14:$A$73,0))=1,INDEX('CA Standards and Followers'!$G$14:$G$73,MATCH($A32,'CA Standards and Followers'!$A$14:$A$73,0))&lt;=L$1),INDEX('CA Standards and Followers'!$2:$2,MATCH(L$1,'CA Standards and Followers'!$1:$1,0)),0))</f>
        <v>0.22</v>
      </c>
      <c r="M32">
        <f>IF(AND(INDEX('CA Standards and Followers'!$E$14:$E$73,MATCH($A32,'CA Standards and Followers'!$A$14:$A$73,0))=1,INDEX('CA Standards and Followers'!$H$14:$H$73,MATCH($A32,'CA Standards and Followers'!$A$14:$A$73,0))&lt;=M$1),INDEX('CA Standards and Followers'!$3:$3,MATCH(M$1,'CA Standards and Followers'!$1:$1,0)),IF(AND(INDEX('CA Standards and Followers'!$D$14:$D$73,MATCH($A32,'CA Standards and Followers'!$A$14:$A$73,0))=1,INDEX('CA Standards and Followers'!$G$14:$G$73,MATCH($A32,'CA Standards and Followers'!$A$14:$A$73,0))&lt;=M$1),INDEX('CA Standards and Followers'!$2:$2,MATCH(M$1,'CA Standards and Followers'!$1:$1,0)),0))</f>
        <v>0.22</v>
      </c>
      <c r="N32">
        <f>IF(AND(INDEX('CA Standards and Followers'!$E$14:$E$73,MATCH($A32,'CA Standards and Followers'!$A$14:$A$73,0))=1,INDEX('CA Standards and Followers'!$H$14:$H$73,MATCH($A32,'CA Standards and Followers'!$A$14:$A$73,0))&lt;=N$1),INDEX('CA Standards and Followers'!$3:$3,MATCH(N$1,'CA Standards and Followers'!$1:$1,0)),IF(AND(INDEX('CA Standards and Followers'!$D$14:$D$73,MATCH($A32,'CA Standards and Followers'!$A$14:$A$73,0))=1,INDEX('CA Standards and Followers'!$G$14:$G$73,MATCH($A32,'CA Standards and Followers'!$A$14:$A$73,0))&lt;=N$1),INDEX('CA Standards and Followers'!$2:$2,MATCH(N$1,'CA Standards and Followers'!$1:$1,0)),0))</f>
        <v>0.22</v>
      </c>
      <c r="O32">
        <f>IF(AND(INDEX('CA Standards and Followers'!$E$14:$E$73,MATCH($A32,'CA Standards and Followers'!$A$14:$A$73,0))=1,INDEX('CA Standards and Followers'!$H$14:$H$73,MATCH($A32,'CA Standards and Followers'!$A$14:$A$73,0))&lt;=O$1),INDEX('CA Standards and Followers'!$3:$3,MATCH(O$1,'CA Standards and Followers'!$1:$1,0)),IF(AND(INDEX('CA Standards and Followers'!$D$14:$D$73,MATCH($A32,'CA Standards and Followers'!$A$14:$A$73,0))=1,INDEX('CA Standards and Followers'!$G$14:$G$73,MATCH($A32,'CA Standards and Followers'!$A$14:$A$73,0))&lt;=O$1),INDEX('CA Standards and Followers'!$2:$2,MATCH(O$1,'CA Standards and Followers'!$1:$1,0)),0))</f>
        <v>0.22</v>
      </c>
      <c r="P32">
        <f>IF(AND(INDEX('CA Standards and Followers'!$E$14:$E$73,MATCH($A32,'CA Standards and Followers'!$A$14:$A$73,0))=1,INDEX('CA Standards and Followers'!$H$14:$H$73,MATCH($A32,'CA Standards and Followers'!$A$14:$A$73,0))&lt;=P$1),INDEX('CA Standards and Followers'!$3:$3,MATCH(P$1,'CA Standards and Followers'!$1:$1,0)),IF(AND(INDEX('CA Standards and Followers'!$D$14:$D$73,MATCH($A32,'CA Standards and Followers'!$A$14:$A$73,0))=1,INDEX('CA Standards and Followers'!$G$14:$G$73,MATCH($A32,'CA Standards and Followers'!$A$14:$A$73,0))&lt;=P$1),INDEX('CA Standards and Followers'!$2:$2,MATCH(P$1,'CA Standards and Followers'!$1:$1,0)),0))</f>
        <v>0.22</v>
      </c>
      <c r="Q32">
        <f>IF(AND(INDEX('CA Standards and Followers'!$E$14:$E$73,MATCH($A32,'CA Standards and Followers'!$A$14:$A$73,0))=1,INDEX('CA Standards and Followers'!$H$14:$H$73,MATCH($A32,'CA Standards and Followers'!$A$14:$A$73,0))&lt;=Q$1),INDEX('CA Standards and Followers'!$3:$3,MATCH(Q$1,'CA Standards and Followers'!$1:$1,0)),IF(AND(INDEX('CA Standards and Followers'!$D$14:$D$73,MATCH($A32,'CA Standards and Followers'!$A$14:$A$73,0))=1,INDEX('CA Standards and Followers'!$G$14:$G$73,MATCH($A32,'CA Standards and Followers'!$A$14:$A$73,0))&lt;=Q$1),INDEX('CA Standards and Followers'!$2:$2,MATCH(Q$1,'CA Standards and Followers'!$1:$1,0)),0))</f>
        <v>0.22</v>
      </c>
      <c r="R32">
        <f>IF(AND(INDEX('CA Standards and Followers'!$E$14:$E$73,MATCH($A32,'CA Standards and Followers'!$A$14:$A$73,0))=1,INDEX('CA Standards and Followers'!$H$14:$H$73,MATCH($A32,'CA Standards and Followers'!$A$14:$A$73,0))&lt;=R$1),INDEX('CA Standards and Followers'!$3:$3,MATCH(R$1,'CA Standards and Followers'!$1:$1,0)),IF(AND(INDEX('CA Standards and Followers'!$D$14:$D$73,MATCH($A32,'CA Standards and Followers'!$A$14:$A$73,0))=1,INDEX('CA Standards and Followers'!$G$14:$G$73,MATCH($A32,'CA Standards and Followers'!$A$14:$A$73,0))&lt;=R$1),INDEX('CA Standards and Followers'!$2:$2,MATCH(R$1,'CA Standards and Followers'!$1:$1,0)),0))</f>
        <v>0.22</v>
      </c>
      <c r="S32">
        <f>IF(AND(INDEX('CA Standards and Followers'!$E$14:$E$73,MATCH($A32,'CA Standards and Followers'!$A$14:$A$73,0))=1,INDEX('CA Standards and Followers'!$H$14:$H$73,MATCH($A32,'CA Standards and Followers'!$A$14:$A$73,0))&lt;=S$1),INDEX('CA Standards and Followers'!$3:$3,MATCH(S$1,'CA Standards and Followers'!$1:$1,0)),IF(AND(INDEX('CA Standards and Followers'!$D$14:$D$73,MATCH($A32,'CA Standards and Followers'!$A$14:$A$73,0))=1,INDEX('CA Standards and Followers'!$G$14:$G$73,MATCH($A32,'CA Standards and Followers'!$A$14:$A$73,0))&lt;=S$1),INDEX('CA Standards and Followers'!$2:$2,MATCH(S$1,'CA Standards and Followers'!$1:$1,0)),0))</f>
        <v>0.22</v>
      </c>
      <c r="T32">
        <f>IF(AND(INDEX('CA Standards and Followers'!$E$14:$E$73,MATCH($A32,'CA Standards and Followers'!$A$14:$A$73,0))=1,INDEX('CA Standards and Followers'!$H$14:$H$73,MATCH($A32,'CA Standards and Followers'!$A$14:$A$73,0))&lt;=T$1),INDEX('CA Standards and Followers'!$3:$3,MATCH(T$1,'CA Standards and Followers'!$1:$1,0)),IF(AND(INDEX('CA Standards and Followers'!$D$14:$D$73,MATCH($A32,'CA Standards and Followers'!$A$14:$A$73,0))=1,INDEX('CA Standards and Followers'!$G$14:$G$73,MATCH($A32,'CA Standards and Followers'!$A$14:$A$73,0))&lt;=T$1),INDEX('CA Standards and Followers'!$2:$2,MATCH(T$1,'CA Standards and Followers'!$1:$1,0)),0))</f>
        <v>0.22</v>
      </c>
      <c r="U32">
        <f>IF(AND(INDEX('CA Standards and Followers'!$E$14:$E$73,MATCH($A32,'CA Standards and Followers'!$A$14:$A$73,0))=1,INDEX('CA Standards and Followers'!$H$14:$H$73,MATCH($A32,'CA Standards and Followers'!$A$14:$A$73,0))&lt;=U$1),INDEX('CA Standards and Followers'!$3:$3,MATCH(U$1,'CA Standards and Followers'!$1:$1,0)),IF(AND(INDEX('CA Standards and Followers'!$D$14:$D$73,MATCH($A32,'CA Standards and Followers'!$A$14:$A$73,0))=1,INDEX('CA Standards and Followers'!$G$14:$G$73,MATCH($A32,'CA Standards and Followers'!$A$14:$A$73,0))&lt;=U$1),INDEX('CA Standards and Followers'!$2:$2,MATCH(U$1,'CA Standards and Followers'!$1:$1,0)),0))</f>
        <v>0.22</v>
      </c>
      <c r="V32">
        <f>IF(AND(INDEX('CA Standards and Followers'!$E$14:$E$73,MATCH($A32,'CA Standards and Followers'!$A$14:$A$73,0))=1,INDEX('CA Standards and Followers'!$H$14:$H$73,MATCH($A32,'CA Standards and Followers'!$A$14:$A$73,0))&lt;=V$1),INDEX('CA Standards and Followers'!$3:$3,MATCH(V$1,'CA Standards and Followers'!$1:$1,0)),IF(AND(INDEX('CA Standards and Followers'!$D$14:$D$73,MATCH($A32,'CA Standards and Followers'!$A$14:$A$73,0))=1,INDEX('CA Standards and Followers'!$G$14:$G$73,MATCH($A32,'CA Standards and Followers'!$A$14:$A$73,0))&lt;=V$1),INDEX('CA Standards and Followers'!$2:$2,MATCH(V$1,'CA Standards and Followers'!$1:$1,0)),0))</f>
        <v>0.22</v>
      </c>
      <c r="W32">
        <f>IF(AND(INDEX('CA Standards and Followers'!$E$14:$E$73,MATCH($A32,'CA Standards and Followers'!$A$14:$A$73,0))=1,INDEX('CA Standards and Followers'!$H$14:$H$73,MATCH($A32,'CA Standards and Followers'!$A$14:$A$73,0))&lt;=W$1),INDEX('CA Standards and Followers'!$3:$3,MATCH(W$1,'CA Standards and Followers'!$1:$1,0)),IF(AND(INDEX('CA Standards and Followers'!$D$14:$D$73,MATCH($A32,'CA Standards and Followers'!$A$14:$A$73,0))=1,INDEX('CA Standards and Followers'!$G$14:$G$73,MATCH($A32,'CA Standards and Followers'!$A$14:$A$73,0))&lt;=W$1),INDEX('CA Standards and Followers'!$2:$2,MATCH(W$1,'CA Standards and Followers'!$1:$1,0)),0))</f>
        <v>0.22</v>
      </c>
      <c r="X32">
        <f>IF(AND(INDEX('CA Standards and Followers'!$E$14:$E$73,MATCH($A32,'CA Standards and Followers'!$A$14:$A$73,0))=1,INDEX('CA Standards and Followers'!$H$14:$H$73,MATCH($A32,'CA Standards and Followers'!$A$14:$A$73,0))&lt;=X$1),INDEX('CA Standards and Followers'!$3:$3,MATCH(X$1,'CA Standards and Followers'!$1:$1,0)),IF(AND(INDEX('CA Standards and Followers'!$D$14:$D$73,MATCH($A32,'CA Standards and Followers'!$A$14:$A$73,0))=1,INDEX('CA Standards and Followers'!$G$14:$G$73,MATCH($A32,'CA Standards and Followers'!$A$14:$A$73,0))&lt;=X$1),INDEX('CA Standards and Followers'!$2:$2,MATCH(X$1,'CA Standards and Followers'!$1:$1,0)),0))</f>
        <v>0.22</v>
      </c>
      <c r="Y32">
        <f>IF(AND(INDEX('CA Standards and Followers'!$E$14:$E$73,MATCH($A32,'CA Standards and Followers'!$A$14:$A$73,0))=1,INDEX('CA Standards and Followers'!$H$14:$H$73,MATCH($A32,'CA Standards and Followers'!$A$14:$A$73,0))&lt;=Y$1),INDEX('CA Standards and Followers'!$3:$3,MATCH(Y$1,'CA Standards and Followers'!$1:$1,0)),IF(AND(INDEX('CA Standards and Followers'!$D$14:$D$73,MATCH($A32,'CA Standards and Followers'!$A$14:$A$73,0))=1,INDEX('CA Standards and Followers'!$G$14:$G$73,MATCH($A32,'CA Standards and Followers'!$A$14:$A$73,0))&lt;=Y$1),INDEX('CA Standards and Followers'!$2:$2,MATCH(Y$1,'CA Standards and Followers'!$1:$1,0)),0))</f>
        <v>0.22</v>
      </c>
      <c r="Z32">
        <f>IF(AND(INDEX('CA Standards and Followers'!$E$14:$E$73,MATCH($A32,'CA Standards and Followers'!$A$14:$A$73,0))=1,INDEX('CA Standards and Followers'!$H$14:$H$73,MATCH($A32,'CA Standards and Followers'!$A$14:$A$73,0))&lt;=Z$1),INDEX('CA Standards and Followers'!$3:$3,MATCH(Z$1,'CA Standards and Followers'!$1:$1,0)),IF(AND(INDEX('CA Standards and Followers'!$D$14:$D$73,MATCH($A32,'CA Standards and Followers'!$A$14:$A$73,0))=1,INDEX('CA Standards and Followers'!$G$14:$G$73,MATCH($A32,'CA Standards and Followers'!$A$14:$A$73,0))&lt;=Z$1),INDEX('CA Standards and Followers'!$2:$2,MATCH(Z$1,'CA Standards and Followers'!$1:$1,0)),0))</f>
        <v>0.22</v>
      </c>
      <c r="AA32">
        <f>IF(AND(INDEX('CA Standards and Followers'!$E$14:$E$73,MATCH($A32,'CA Standards and Followers'!$A$14:$A$73,0))=1,INDEX('CA Standards and Followers'!$H$14:$H$73,MATCH($A32,'CA Standards and Followers'!$A$14:$A$73,0))&lt;=AA$1),INDEX('CA Standards and Followers'!$3:$3,MATCH(AA$1,'CA Standards and Followers'!$1:$1,0)),IF(AND(INDEX('CA Standards and Followers'!$D$14:$D$73,MATCH($A32,'CA Standards and Followers'!$A$14:$A$73,0))=1,INDEX('CA Standards and Followers'!$G$14:$G$73,MATCH($A32,'CA Standards and Followers'!$A$14:$A$73,0))&lt;=AA$1),INDEX('CA Standards and Followers'!$2:$2,MATCH(AA$1,'CA Standards and Followers'!$1:$1,0)),0))</f>
        <v>0.22</v>
      </c>
      <c r="AB32">
        <f>IF(AND(INDEX('CA Standards and Followers'!$E$14:$E$73,MATCH($A32,'CA Standards and Followers'!$A$14:$A$73,0))=1,INDEX('CA Standards and Followers'!$H$14:$H$73,MATCH($A32,'CA Standards and Followers'!$A$14:$A$73,0))&lt;=AB$1),INDEX('CA Standards and Followers'!$3:$3,MATCH(AB$1,'CA Standards and Followers'!$1:$1,0)),IF(AND(INDEX('CA Standards and Followers'!$D$14:$D$73,MATCH($A32,'CA Standards and Followers'!$A$14:$A$73,0))=1,INDEX('CA Standards and Followers'!$G$14:$G$73,MATCH($A32,'CA Standards and Followers'!$A$14:$A$73,0))&lt;=AB$1),INDEX('CA Standards and Followers'!$2:$2,MATCH(AB$1,'CA Standards and Followers'!$1:$1,0)),0))</f>
        <v>0.22</v>
      </c>
      <c r="AC32">
        <f>IF(AND(INDEX('CA Standards and Followers'!$E$14:$E$73,MATCH($A32,'CA Standards and Followers'!$A$14:$A$73,0))=1,INDEX('CA Standards and Followers'!$H$14:$H$73,MATCH($A32,'CA Standards and Followers'!$A$14:$A$73,0))&lt;=AC$1),INDEX('CA Standards and Followers'!$3:$3,MATCH(AC$1,'CA Standards and Followers'!$1:$1,0)),IF(AND(INDEX('CA Standards and Followers'!$D$14:$D$73,MATCH($A32,'CA Standards and Followers'!$A$14:$A$73,0))=1,INDEX('CA Standards and Followers'!$G$14:$G$73,MATCH($A32,'CA Standards and Followers'!$A$14:$A$73,0))&lt;=AC$1),INDEX('CA Standards and Followers'!$2:$2,MATCH(AC$1,'CA Standards and Followers'!$1:$1,0)),0))</f>
        <v>0.22</v>
      </c>
      <c r="AD32">
        <f>IF(AND(INDEX('CA Standards and Followers'!$E$14:$E$73,MATCH($A32,'CA Standards and Followers'!$A$14:$A$73,0))=1,INDEX('CA Standards and Followers'!$H$14:$H$73,MATCH($A32,'CA Standards and Followers'!$A$14:$A$73,0))&lt;=AD$1),INDEX('CA Standards and Followers'!$3:$3,MATCH(AD$1,'CA Standards and Followers'!$1:$1,0)),IF(AND(INDEX('CA Standards and Followers'!$D$14:$D$73,MATCH($A32,'CA Standards and Followers'!$A$14:$A$73,0))=1,INDEX('CA Standards and Followers'!$G$14:$G$73,MATCH($A32,'CA Standards and Followers'!$A$14:$A$73,0))&lt;=AD$1),INDEX('CA Standards and Followers'!$2:$2,MATCH(AD$1,'CA Standards and Followers'!$1:$1,0)),0))</f>
        <v>0.22</v>
      </c>
      <c r="AE32">
        <f>IF(AND(INDEX('CA Standards and Followers'!$E$14:$E$73,MATCH($A32,'CA Standards and Followers'!$A$14:$A$73,0))=1,INDEX('CA Standards and Followers'!$H$14:$H$73,MATCH($A32,'CA Standards and Followers'!$A$14:$A$73,0))&lt;=AE$1),INDEX('CA Standards and Followers'!$3:$3,MATCH(AE$1,'CA Standards and Followers'!$1:$1,0)),IF(AND(INDEX('CA Standards and Followers'!$D$14:$D$73,MATCH($A32,'CA Standards and Followers'!$A$14:$A$73,0))=1,INDEX('CA Standards and Followers'!$G$14:$G$73,MATCH($A32,'CA Standards and Followers'!$A$14:$A$73,0))&lt;=AE$1),INDEX('CA Standards and Followers'!$2:$2,MATCH(AE$1,'CA Standards and Followers'!$1:$1,0)),0))</f>
        <v>0.22</v>
      </c>
      <c r="AF32">
        <f>IF(AND(INDEX('CA Standards and Followers'!$E$14:$E$73,MATCH($A32,'CA Standards and Followers'!$A$14:$A$73,0))=1,INDEX('CA Standards and Followers'!$H$14:$H$73,MATCH($A32,'CA Standards and Followers'!$A$14:$A$73,0))&lt;=AF$1),INDEX('CA Standards and Followers'!$3:$3,MATCH(AF$1,'CA Standards and Followers'!$1:$1,0)),IF(AND(INDEX('CA Standards and Followers'!$D$14:$D$73,MATCH($A32,'CA Standards and Followers'!$A$14:$A$73,0))=1,INDEX('CA Standards and Followers'!$G$14:$G$73,MATCH($A32,'CA Standards and Followers'!$A$14:$A$73,0))&lt;=AF$1),INDEX('CA Standards and Followers'!$2:$2,MATCH(AF$1,'CA Standards and Followers'!$1:$1,0)),0))</f>
        <v>0.22</v>
      </c>
    </row>
    <row r="33" spans="1:32" x14ac:dyDescent="0.25">
      <c r="A33" t="s">
        <v>33</v>
      </c>
      <c r="B33">
        <f>IF(AND(INDEX('CA Standards and Followers'!$E$14:$E$73,MATCH($A33,'CA Standards and Followers'!$A$14:$A$73,0))=1,INDEX('CA Standards and Followers'!$H$14:$H$73,MATCH($A33,'CA Standards and Followers'!$A$14:$A$73,0))&lt;=B$1),INDEX('CA Standards and Followers'!$3:$3,MATCH(B$1,'CA Standards and Followers'!$1:$1,0)),IF(AND(INDEX('CA Standards and Followers'!$D$14:$D$73,MATCH($A33,'CA Standards and Followers'!$A$14:$A$73,0))=1,INDEX('CA Standards and Followers'!$G$14:$G$73,MATCH($A33,'CA Standards and Followers'!$A$14:$A$73,0))&lt;=B$1),INDEX('CA Standards and Followers'!$2:$2,MATCH(B$1,'CA Standards and Followers'!$1:$1,0)),0))</f>
        <v>0</v>
      </c>
      <c r="C33">
        <f>IF(AND(INDEX('CA Standards and Followers'!$E$14:$E$73,MATCH($A33,'CA Standards and Followers'!$A$14:$A$73,0))=1,INDEX('CA Standards and Followers'!$H$14:$H$73,MATCH($A33,'CA Standards and Followers'!$A$14:$A$73,0))&lt;=C$1),INDEX('CA Standards and Followers'!$3:$3,MATCH(C$1,'CA Standards and Followers'!$1:$1,0)),IF(AND(INDEX('CA Standards and Followers'!$D$14:$D$73,MATCH($A33,'CA Standards and Followers'!$A$14:$A$73,0))=1,INDEX('CA Standards and Followers'!$G$14:$G$73,MATCH($A33,'CA Standards and Followers'!$A$14:$A$73,0))&lt;=C$1),INDEX('CA Standards and Followers'!$2:$2,MATCH(C$1,'CA Standards and Followers'!$1:$1,0)),0))</f>
        <v>0</v>
      </c>
      <c r="D33">
        <f>IF(AND(INDEX('CA Standards and Followers'!$E$14:$E$73,MATCH($A33,'CA Standards and Followers'!$A$14:$A$73,0))=1,INDEX('CA Standards and Followers'!$H$14:$H$73,MATCH($A33,'CA Standards and Followers'!$A$14:$A$73,0))&lt;=D$1),INDEX('CA Standards and Followers'!$3:$3,MATCH(D$1,'CA Standards and Followers'!$1:$1,0)),IF(AND(INDEX('CA Standards and Followers'!$D$14:$D$73,MATCH($A33,'CA Standards and Followers'!$A$14:$A$73,0))=1,INDEX('CA Standards and Followers'!$G$14:$G$73,MATCH($A33,'CA Standards and Followers'!$A$14:$A$73,0))&lt;=D$1),INDEX('CA Standards and Followers'!$2:$2,MATCH(D$1,'CA Standards and Followers'!$1:$1,0)),0))</f>
        <v>0</v>
      </c>
      <c r="E33">
        <f>IF(AND(INDEX('CA Standards and Followers'!$E$14:$E$73,MATCH($A33,'CA Standards and Followers'!$A$14:$A$73,0))=1,INDEX('CA Standards and Followers'!$H$14:$H$73,MATCH($A33,'CA Standards and Followers'!$A$14:$A$73,0))&lt;=E$1),INDEX('CA Standards and Followers'!$3:$3,MATCH(E$1,'CA Standards and Followers'!$1:$1,0)),IF(AND(INDEX('CA Standards and Followers'!$D$14:$D$73,MATCH($A33,'CA Standards and Followers'!$A$14:$A$73,0))=1,INDEX('CA Standards and Followers'!$G$14:$G$73,MATCH($A33,'CA Standards and Followers'!$A$14:$A$73,0))&lt;=E$1),INDEX('CA Standards and Followers'!$2:$2,MATCH(E$1,'CA Standards and Followers'!$1:$1,0)),0))</f>
        <v>0</v>
      </c>
      <c r="F33">
        <f>IF(AND(INDEX('CA Standards and Followers'!$E$14:$E$73,MATCH($A33,'CA Standards and Followers'!$A$14:$A$73,0))=1,INDEX('CA Standards and Followers'!$H$14:$H$73,MATCH($A33,'CA Standards and Followers'!$A$14:$A$73,0))&lt;=F$1),INDEX('CA Standards and Followers'!$3:$3,MATCH(F$1,'CA Standards and Followers'!$1:$1,0)),IF(AND(INDEX('CA Standards and Followers'!$D$14:$D$73,MATCH($A33,'CA Standards and Followers'!$A$14:$A$73,0))=1,INDEX('CA Standards and Followers'!$G$14:$G$73,MATCH($A33,'CA Standards and Followers'!$A$14:$A$73,0))&lt;=F$1),INDEX('CA Standards and Followers'!$2:$2,MATCH(F$1,'CA Standards and Followers'!$1:$1,0)),0))</f>
        <v>0</v>
      </c>
      <c r="G33">
        <f>IF(AND(INDEX('CA Standards and Followers'!$E$14:$E$73,MATCH($A33,'CA Standards and Followers'!$A$14:$A$73,0))=1,INDEX('CA Standards and Followers'!$H$14:$H$73,MATCH($A33,'CA Standards and Followers'!$A$14:$A$73,0))&lt;=G$1),INDEX('CA Standards and Followers'!$3:$3,MATCH(G$1,'CA Standards and Followers'!$1:$1,0)),IF(AND(INDEX('CA Standards and Followers'!$D$14:$D$73,MATCH($A33,'CA Standards and Followers'!$A$14:$A$73,0))=1,INDEX('CA Standards and Followers'!$G$14:$G$73,MATCH($A33,'CA Standards and Followers'!$A$14:$A$73,0))&lt;=G$1),INDEX('CA Standards and Followers'!$2:$2,MATCH(G$1,'CA Standards and Followers'!$1:$1,0)),0))</f>
        <v>0</v>
      </c>
      <c r="H33">
        <f>IF(AND(INDEX('CA Standards and Followers'!$E$14:$E$73,MATCH($A33,'CA Standards and Followers'!$A$14:$A$73,0))=1,INDEX('CA Standards and Followers'!$H$14:$H$73,MATCH($A33,'CA Standards and Followers'!$A$14:$A$73,0))&lt;=H$1),INDEX('CA Standards and Followers'!$3:$3,MATCH(H$1,'CA Standards and Followers'!$1:$1,0)),IF(AND(INDEX('CA Standards and Followers'!$D$14:$D$73,MATCH($A33,'CA Standards and Followers'!$A$14:$A$73,0))=1,INDEX('CA Standards and Followers'!$G$14:$G$73,MATCH($A33,'CA Standards and Followers'!$A$14:$A$73,0))&lt;=H$1),INDEX('CA Standards and Followers'!$2:$2,MATCH(H$1,'CA Standards and Followers'!$1:$1,0)),0))</f>
        <v>0.22</v>
      </c>
      <c r="I33">
        <f>IF(AND(INDEX('CA Standards and Followers'!$E$14:$E$73,MATCH($A33,'CA Standards and Followers'!$A$14:$A$73,0))=1,INDEX('CA Standards and Followers'!$H$14:$H$73,MATCH($A33,'CA Standards and Followers'!$A$14:$A$73,0))&lt;=I$1),INDEX('CA Standards and Followers'!$3:$3,MATCH(I$1,'CA Standards and Followers'!$1:$1,0)),IF(AND(INDEX('CA Standards and Followers'!$D$14:$D$73,MATCH($A33,'CA Standards and Followers'!$A$14:$A$73,0))=1,INDEX('CA Standards and Followers'!$G$14:$G$73,MATCH($A33,'CA Standards and Followers'!$A$14:$A$73,0))&lt;=I$1),INDEX('CA Standards and Followers'!$2:$2,MATCH(I$1,'CA Standards and Followers'!$1:$1,0)),0))</f>
        <v>0.22</v>
      </c>
      <c r="J33">
        <f>IF(AND(INDEX('CA Standards and Followers'!$E$14:$E$73,MATCH($A33,'CA Standards and Followers'!$A$14:$A$73,0))=1,INDEX('CA Standards and Followers'!$H$14:$H$73,MATCH($A33,'CA Standards and Followers'!$A$14:$A$73,0))&lt;=J$1),INDEX('CA Standards and Followers'!$3:$3,MATCH(J$1,'CA Standards and Followers'!$1:$1,0)),IF(AND(INDEX('CA Standards and Followers'!$D$14:$D$73,MATCH($A33,'CA Standards and Followers'!$A$14:$A$73,0))=1,INDEX('CA Standards and Followers'!$G$14:$G$73,MATCH($A33,'CA Standards and Followers'!$A$14:$A$73,0))&lt;=J$1),INDEX('CA Standards and Followers'!$2:$2,MATCH(J$1,'CA Standards and Followers'!$1:$1,0)),0))</f>
        <v>0.22</v>
      </c>
      <c r="K33">
        <f>IF(AND(INDEX('CA Standards and Followers'!$E$14:$E$73,MATCH($A33,'CA Standards and Followers'!$A$14:$A$73,0))=1,INDEX('CA Standards and Followers'!$H$14:$H$73,MATCH($A33,'CA Standards and Followers'!$A$14:$A$73,0))&lt;=K$1),INDEX('CA Standards and Followers'!$3:$3,MATCH(K$1,'CA Standards and Followers'!$1:$1,0)),IF(AND(INDEX('CA Standards and Followers'!$D$14:$D$73,MATCH($A33,'CA Standards and Followers'!$A$14:$A$73,0))=1,INDEX('CA Standards and Followers'!$G$14:$G$73,MATCH($A33,'CA Standards and Followers'!$A$14:$A$73,0))&lt;=K$1),INDEX('CA Standards and Followers'!$2:$2,MATCH(K$1,'CA Standards and Followers'!$1:$1,0)),0))</f>
        <v>0.22</v>
      </c>
      <c r="L33">
        <f>IF(AND(INDEX('CA Standards and Followers'!$E$14:$E$73,MATCH($A33,'CA Standards and Followers'!$A$14:$A$73,0))=1,INDEX('CA Standards and Followers'!$H$14:$H$73,MATCH($A33,'CA Standards and Followers'!$A$14:$A$73,0))&lt;=L$1),INDEX('CA Standards and Followers'!$3:$3,MATCH(L$1,'CA Standards and Followers'!$1:$1,0)),IF(AND(INDEX('CA Standards and Followers'!$D$14:$D$73,MATCH($A33,'CA Standards and Followers'!$A$14:$A$73,0))=1,INDEX('CA Standards and Followers'!$G$14:$G$73,MATCH($A33,'CA Standards and Followers'!$A$14:$A$73,0))&lt;=L$1),INDEX('CA Standards and Followers'!$2:$2,MATCH(L$1,'CA Standards and Followers'!$1:$1,0)),0))</f>
        <v>0.22</v>
      </c>
      <c r="M33">
        <f>IF(AND(INDEX('CA Standards and Followers'!$E$14:$E$73,MATCH($A33,'CA Standards and Followers'!$A$14:$A$73,0))=1,INDEX('CA Standards and Followers'!$H$14:$H$73,MATCH($A33,'CA Standards and Followers'!$A$14:$A$73,0))&lt;=M$1),INDEX('CA Standards and Followers'!$3:$3,MATCH(M$1,'CA Standards and Followers'!$1:$1,0)),IF(AND(INDEX('CA Standards and Followers'!$D$14:$D$73,MATCH($A33,'CA Standards and Followers'!$A$14:$A$73,0))=1,INDEX('CA Standards and Followers'!$G$14:$G$73,MATCH($A33,'CA Standards and Followers'!$A$14:$A$73,0))&lt;=M$1),INDEX('CA Standards and Followers'!$2:$2,MATCH(M$1,'CA Standards and Followers'!$1:$1,0)),0))</f>
        <v>0.22</v>
      </c>
      <c r="N33">
        <f>IF(AND(INDEX('CA Standards and Followers'!$E$14:$E$73,MATCH($A33,'CA Standards and Followers'!$A$14:$A$73,0))=1,INDEX('CA Standards and Followers'!$H$14:$H$73,MATCH($A33,'CA Standards and Followers'!$A$14:$A$73,0))&lt;=N$1),INDEX('CA Standards and Followers'!$3:$3,MATCH(N$1,'CA Standards and Followers'!$1:$1,0)),IF(AND(INDEX('CA Standards and Followers'!$D$14:$D$73,MATCH($A33,'CA Standards and Followers'!$A$14:$A$73,0))=1,INDEX('CA Standards and Followers'!$G$14:$G$73,MATCH($A33,'CA Standards and Followers'!$A$14:$A$73,0))&lt;=N$1),INDEX('CA Standards and Followers'!$2:$2,MATCH(N$1,'CA Standards and Followers'!$1:$1,0)),0))</f>
        <v>0.22</v>
      </c>
      <c r="O33">
        <f>IF(AND(INDEX('CA Standards and Followers'!$E$14:$E$73,MATCH($A33,'CA Standards and Followers'!$A$14:$A$73,0))=1,INDEX('CA Standards and Followers'!$H$14:$H$73,MATCH($A33,'CA Standards and Followers'!$A$14:$A$73,0))&lt;=O$1),INDEX('CA Standards and Followers'!$3:$3,MATCH(O$1,'CA Standards and Followers'!$1:$1,0)),IF(AND(INDEX('CA Standards and Followers'!$D$14:$D$73,MATCH($A33,'CA Standards and Followers'!$A$14:$A$73,0))=1,INDEX('CA Standards and Followers'!$G$14:$G$73,MATCH($A33,'CA Standards and Followers'!$A$14:$A$73,0))&lt;=O$1),INDEX('CA Standards and Followers'!$2:$2,MATCH(O$1,'CA Standards and Followers'!$1:$1,0)),0))</f>
        <v>0.22</v>
      </c>
      <c r="P33">
        <f>IF(AND(INDEX('CA Standards and Followers'!$E$14:$E$73,MATCH($A33,'CA Standards and Followers'!$A$14:$A$73,0))=1,INDEX('CA Standards and Followers'!$H$14:$H$73,MATCH($A33,'CA Standards and Followers'!$A$14:$A$73,0))&lt;=P$1),INDEX('CA Standards and Followers'!$3:$3,MATCH(P$1,'CA Standards and Followers'!$1:$1,0)),IF(AND(INDEX('CA Standards and Followers'!$D$14:$D$73,MATCH($A33,'CA Standards and Followers'!$A$14:$A$73,0))=1,INDEX('CA Standards and Followers'!$G$14:$G$73,MATCH($A33,'CA Standards and Followers'!$A$14:$A$73,0))&lt;=P$1),INDEX('CA Standards and Followers'!$2:$2,MATCH(P$1,'CA Standards and Followers'!$1:$1,0)),0))</f>
        <v>0.22</v>
      </c>
      <c r="Q33">
        <f>IF(AND(INDEX('CA Standards and Followers'!$E$14:$E$73,MATCH($A33,'CA Standards and Followers'!$A$14:$A$73,0))=1,INDEX('CA Standards and Followers'!$H$14:$H$73,MATCH($A33,'CA Standards and Followers'!$A$14:$A$73,0))&lt;=Q$1),INDEX('CA Standards and Followers'!$3:$3,MATCH(Q$1,'CA Standards and Followers'!$1:$1,0)),IF(AND(INDEX('CA Standards and Followers'!$D$14:$D$73,MATCH($A33,'CA Standards and Followers'!$A$14:$A$73,0))=1,INDEX('CA Standards and Followers'!$G$14:$G$73,MATCH($A33,'CA Standards and Followers'!$A$14:$A$73,0))&lt;=Q$1),INDEX('CA Standards and Followers'!$2:$2,MATCH(Q$1,'CA Standards and Followers'!$1:$1,0)),0))</f>
        <v>0.22</v>
      </c>
      <c r="R33">
        <f>IF(AND(INDEX('CA Standards and Followers'!$E$14:$E$73,MATCH($A33,'CA Standards and Followers'!$A$14:$A$73,0))=1,INDEX('CA Standards and Followers'!$H$14:$H$73,MATCH($A33,'CA Standards and Followers'!$A$14:$A$73,0))&lt;=R$1),INDEX('CA Standards and Followers'!$3:$3,MATCH(R$1,'CA Standards and Followers'!$1:$1,0)),IF(AND(INDEX('CA Standards and Followers'!$D$14:$D$73,MATCH($A33,'CA Standards and Followers'!$A$14:$A$73,0))=1,INDEX('CA Standards and Followers'!$G$14:$G$73,MATCH($A33,'CA Standards and Followers'!$A$14:$A$73,0))&lt;=R$1),INDEX('CA Standards and Followers'!$2:$2,MATCH(R$1,'CA Standards and Followers'!$1:$1,0)),0))</f>
        <v>0.22</v>
      </c>
      <c r="S33">
        <f>IF(AND(INDEX('CA Standards and Followers'!$E$14:$E$73,MATCH($A33,'CA Standards and Followers'!$A$14:$A$73,0))=1,INDEX('CA Standards and Followers'!$H$14:$H$73,MATCH($A33,'CA Standards and Followers'!$A$14:$A$73,0))&lt;=S$1),INDEX('CA Standards and Followers'!$3:$3,MATCH(S$1,'CA Standards and Followers'!$1:$1,0)),IF(AND(INDEX('CA Standards and Followers'!$D$14:$D$73,MATCH($A33,'CA Standards and Followers'!$A$14:$A$73,0))=1,INDEX('CA Standards and Followers'!$G$14:$G$73,MATCH($A33,'CA Standards and Followers'!$A$14:$A$73,0))&lt;=S$1),INDEX('CA Standards and Followers'!$2:$2,MATCH(S$1,'CA Standards and Followers'!$1:$1,0)),0))</f>
        <v>0.22</v>
      </c>
      <c r="T33">
        <f>IF(AND(INDEX('CA Standards and Followers'!$E$14:$E$73,MATCH($A33,'CA Standards and Followers'!$A$14:$A$73,0))=1,INDEX('CA Standards and Followers'!$H$14:$H$73,MATCH($A33,'CA Standards and Followers'!$A$14:$A$73,0))&lt;=T$1),INDEX('CA Standards and Followers'!$3:$3,MATCH(T$1,'CA Standards and Followers'!$1:$1,0)),IF(AND(INDEX('CA Standards and Followers'!$D$14:$D$73,MATCH($A33,'CA Standards and Followers'!$A$14:$A$73,0))=1,INDEX('CA Standards and Followers'!$G$14:$G$73,MATCH($A33,'CA Standards and Followers'!$A$14:$A$73,0))&lt;=T$1),INDEX('CA Standards and Followers'!$2:$2,MATCH(T$1,'CA Standards and Followers'!$1:$1,0)),0))</f>
        <v>0.22</v>
      </c>
      <c r="U33">
        <f>IF(AND(INDEX('CA Standards and Followers'!$E$14:$E$73,MATCH($A33,'CA Standards and Followers'!$A$14:$A$73,0))=1,INDEX('CA Standards and Followers'!$H$14:$H$73,MATCH($A33,'CA Standards and Followers'!$A$14:$A$73,0))&lt;=U$1),INDEX('CA Standards and Followers'!$3:$3,MATCH(U$1,'CA Standards and Followers'!$1:$1,0)),IF(AND(INDEX('CA Standards and Followers'!$D$14:$D$73,MATCH($A33,'CA Standards and Followers'!$A$14:$A$73,0))=1,INDEX('CA Standards and Followers'!$G$14:$G$73,MATCH($A33,'CA Standards and Followers'!$A$14:$A$73,0))&lt;=U$1),INDEX('CA Standards and Followers'!$2:$2,MATCH(U$1,'CA Standards and Followers'!$1:$1,0)),0))</f>
        <v>0.22</v>
      </c>
      <c r="V33">
        <f>IF(AND(INDEX('CA Standards and Followers'!$E$14:$E$73,MATCH($A33,'CA Standards and Followers'!$A$14:$A$73,0))=1,INDEX('CA Standards and Followers'!$H$14:$H$73,MATCH($A33,'CA Standards and Followers'!$A$14:$A$73,0))&lt;=V$1),INDEX('CA Standards and Followers'!$3:$3,MATCH(V$1,'CA Standards and Followers'!$1:$1,0)),IF(AND(INDEX('CA Standards and Followers'!$D$14:$D$73,MATCH($A33,'CA Standards and Followers'!$A$14:$A$73,0))=1,INDEX('CA Standards and Followers'!$G$14:$G$73,MATCH($A33,'CA Standards and Followers'!$A$14:$A$73,0))&lt;=V$1),INDEX('CA Standards and Followers'!$2:$2,MATCH(V$1,'CA Standards and Followers'!$1:$1,0)),0))</f>
        <v>0.22</v>
      </c>
      <c r="W33">
        <f>IF(AND(INDEX('CA Standards and Followers'!$E$14:$E$73,MATCH($A33,'CA Standards and Followers'!$A$14:$A$73,0))=1,INDEX('CA Standards and Followers'!$H$14:$H$73,MATCH($A33,'CA Standards and Followers'!$A$14:$A$73,0))&lt;=W$1),INDEX('CA Standards and Followers'!$3:$3,MATCH(W$1,'CA Standards and Followers'!$1:$1,0)),IF(AND(INDEX('CA Standards and Followers'!$D$14:$D$73,MATCH($A33,'CA Standards and Followers'!$A$14:$A$73,0))=1,INDEX('CA Standards and Followers'!$G$14:$G$73,MATCH($A33,'CA Standards and Followers'!$A$14:$A$73,0))&lt;=W$1),INDEX('CA Standards and Followers'!$2:$2,MATCH(W$1,'CA Standards and Followers'!$1:$1,0)),0))</f>
        <v>0.22</v>
      </c>
      <c r="X33">
        <f>IF(AND(INDEX('CA Standards and Followers'!$E$14:$E$73,MATCH($A33,'CA Standards and Followers'!$A$14:$A$73,0))=1,INDEX('CA Standards and Followers'!$H$14:$H$73,MATCH($A33,'CA Standards and Followers'!$A$14:$A$73,0))&lt;=X$1),INDEX('CA Standards and Followers'!$3:$3,MATCH(X$1,'CA Standards and Followers'!$1:$1,0)),IF(AND(INDEX('CA Standards and Followers'!$D$14:$D$73,MATCH($A33,'CA Standards and Followers'!$A$14:$A$73,0))=1,INDEX('CA Standards and Followers'!$G$14:$G$73,MATCH($A33,'CA Standards and Followers'!$A$14:$A$73,0))&lt;=X$1),INDEX('CA Standards and Followers'!$2:$2,MATCH(X$1,'CA Standards and Followers'!$1:$1,0)),0))</f>
        <v>0.22</v>
      </c>
      <c r="Y33">
        <f>IF(AND(INDEX('CA Standards and Followers'!$E$14:$E$73,MATCH($A33,'CA Standards and Followers'!$A$14:$A$73,0))=1,INDEX('CA Standards and Followers'!$H$14:$H$73,MATCH($A33,'CA Standards and Followers'!$A$14:$A$73,0))&lt;=Y$1),INDEX('CA Standards and Followers'!$3:$3,MATCH(Y$1,'CA Standards and Followers'!$1:$1,0)),IF(AND(INDEX('CA Standards and Followers'!$D$14:$D$73,MATCH($A33,'CA Standards and Followers'!$A$14:$A$73,0))=1,INDEX('CA Standards and Followers'!$G$14:$G$73,MATCH($A33,'CA Standards and Followers'!$A$14:$A$73,0))&lt;=Y$1),INDEX('CA Standards and Followers'!$2:$2,MATCH(Y$1,'CA Standards and Followers'!$1:$1,0)),0))</f>
        <v>0.22</v>
      </c>
      <c r="Z33">
        <f>IF(AND(INDEX('CA Standards and Followers'!$E$14:$E$73,MATCH($A33,'CA Standards and Followers'!$A$14:$A$73,0))=1,INDEX('CA Standards and Followers'!$H$14:$H$73,MATCH($A33,'CA Standards and Followers'!$A$14:$A$73,0))&lt;=Z$1),INDEX('CA Standards and Followers'!$3:$3,MATCH(Z$1,'CA Standards and Followers'!$1:$1,0)),IF(AND(INDEX('CA Standards and Followers'!$D$14:$D$73,MATCH($A33,'CA Standards and Followers'!$A$14:$A$73,0))=1,INDEX('CA Standards and Followers'!$G$14:$G$73,MATCH($A33,'CA Standards and Followers'!$A$14:$A$73,0))&lt;=Z$1),INDEX('CA Standards and Followers'!$2:$2,MATCH(Z$1,'CA Standards and Followers'!$1:$1,0)),0))</f>
        <v>0.22</v>
      </c>
      <c r="AA33">
        <f>IF(AND(INDEX('CA Standards and Followers'!$E$14:$E$73,MATCH($A33,'CA Standards and Followers'!$A$14:$A$73,0))=1,INDEX('CA Standards and Followers'!$H$14:$H$73,MATCH($A33,'CA Standards and Followers'!$A$14:$A$73,0))&lt;=AA$1),INDEX('CA Standards and Followers'!$3:$3,MATCH(AA$1,'CA Standards and Followers'!$1:$1,0)),IF(AND(INDEX('CA Standards and Followers'!$D$14:$D$73,MATCH($A33,'CA Standards and Followers'!$A$14:$A$73,0))=1,INDEX('CA Standards and Followers'!$G$14:$G$73,MATCH($A33,'CA Standards and Followers'!$A$14:$A$73,0))&lt;=AA$1),INDEX('CA Standards and Followers'!$2:$2,MATCH(AA$1,'CA Standards and Followers'!$1:$1,0)),0))</f>
        <v>0.22</v>
      </c>
      <c r="AB33">
        <f>IF(AND(INDEX('CA Standards and Followers'!$E$14:$E$73,MATCH($A33,'CA Standards and Followers'!$A$14:$A$73,0))=1,INDEX('CA Standards and Followers'!$H$14:$H$73,MATCH($A33,'CA Standards and Followers'!$A$14:$A$73,0))&lt;=AB$1),INDEX('CA Standards and Followers'!$3:$3,MATCH(AB$1,'CA Standards and Followers'!$1:$1,0)),IF(AND(INDEX('CA Standards and Followers'!$D$14:$D$73,MATCH($A33,'CA Standards and Followers'!$A$14:$A$73,0))=1,INDEX('CA Standards and Followers'!$G$14:$G$73,MATCH($A33,'CA Standards and Followers'!$A$14:$A$73,0))&lt;=AB$1),INDEX('CA Standards and Followers'!$2:$2,MATCH(AB$1,'CA Standards and Followers'!$1:$1,0)),0))</f>
        <v>0.22</v>
      </c>
      <c r="AC33">
        <f>IF(AND(INDEX('CA Standards and Followers'!$E$14:$E$73,MATCH($A33,'CA Standards and Followers'!$A$14:$A$73,0))=1,INDEX('CA Standards and Followers'!$H$14:$H$73,MATCH($A33,'CA Standards and Followers'!$A$14:$A$73,0))&lt;=AC$1),INDEX('CA Standards and Followers'!$3:$3,MATCH(AC$1,'CA Standards and Followers'!$1:$1,0)),IF(AND(INDEX('CA Standards and Followers'!$D$14:$D$73,MATCH($A33,'CA Standards and Followers'!$A$14:$A$73,0))=1,INDEX('CA Standards and Followers'!$G$14:$G$73,MATCH($A33,'CA Standards and Followers'!$A$14:$A$73,0))&lt;=AC$1),INDEX('CA Standards and Followers'!$2:$2,MATCH(AC$1,'CA Standards and Followers'!$1:$1,0)),0))</f>
        <v>0.22</v>
      </c>
      <c r="AD33">
        <f>IF(AND(INDEX('CA Standards and Followers'!$E$14:$E$73,MATCH($A33,'CA Standards and Followers'!$A$14:$A$73,0))=1,INDEX('CA Standards and Followers'!$H$14:$H$73,MATCH($A33,'CA Standards and Followers'!$A$14:$A$73,0))&lt;=AD$1),INDEX('CA Standards and Followers'!$3:$3,MATCH(AD$1,'CA Standards and Followers'!$1:$1,0)),IF(AND(INDEX('CA Standards and Followers'!$D$14:$D$73,MATCH($A33,'CA Standards and Followers'!$A$14:$A$73,0))=1,INDEX('CA Standards and Followers'!$G$14:$G$73,MATCH($A33,'CA Standards and Followers'!$A$14:$A$73,0))&lt;=AD$1),INDEX('CA Standards and Followers'!$2:$2,MATCH(AD$1,'CA Standards and Followers'!$1:$1,0)),0))</f>
        <v>0.22</v>
      </c>
      <c r="AE33">
        <f>IF(AND(INDEX('CA Standards and Followers'!$E$14:$E$73,MATCH($A33,'CA Standards and Followers'!$A$14:$A$73,0))=1,INDEX('CA Standards and Followers'!$H$14:$H$73,MATCH($A33,'CA Standards and Followers'!$A$14:$A$73,0))&lt;=AE$1),INDEX('CA Standards and Followers'!$3:$3,MATCH(AE$1,'CA Standards and Followers'!$1:$1,0)),IF(AND(INDEX('CA Standards and Followers'!$D$14:$D$73,MATCH($A33,'CA Standards and Followers'!$A$14:$A$73,0))=1,INDEX('CA Standards and Followers'!$G$14:$G$73,MATCH($A33,'CA Standards and Followers'!$A$14:$A$73,0))&lt;=AE$1),INDEX('CA Standards and Followers'!$2:$2,MATCH(AE$1,'CA Standards and Followers'!$1:$1,0)),0))</f>
        <v>0.22</v>
      </c>
      <c r="AF33">
        <f>IF(AND(INDEX('CA Standards and Followers'!$E$14:$E$73,MATCH($A33,'CA Standards and Followers'!$A$14:$A$73,0))=1,INDEX('CA Standards and Followers'!$H$14:$H$73,MATCH($A33,'CA Standards and Followers'!$A$14:$A$73,0))&lt;=AF$1),INDEX('CA Standards and Followers'!$3:$3,MATCH(AF$1,'CA Standards and Followers'!$1:$1,0)),IF(AND(INDEX('CA Standards and Followers'!$D$14:$D$73,MATCH($A33,'CA Standards and Followers'!$A$14:$A$73,0))=1,INDEX('CA Standards and Followers'!$G$14:$G$73,MATCH($A33,'CA Standards and Followers'!$A$14:$A$73,0))&lt;=AF$1),INDEX('CA Standards and Followers'!$2:$2,MATCH(AF$1,'CA Standards and Followers'!$1:$1,0)),0))</f>
        <v>0.22</v>
      </c>
    </row>
    <row r="34" spans="1:32" x14ac:dyDescent="0.25">
      <c r="A34" t="s">
        <v>34</v>
      </c>
      <c r="B34">
        <f>IF(AND(INDEX('CA Standards and Followers'!$E$14:$E$73,MATCH($A34,'CA Standards and Followers'!$A$14:$A$73,0))=1,INDEX('CA Standards and Followers'!$H$14:$H$73,MATCH($A34,'CA Standards and Followers'!$A$14:$A$73,0))&lt;=B$1),INDEX('CA Standards and Followers'!$3:$3,MATCH(B$1,'CA Standards and Followers'!$1:$1,0)),IF(AND(INDEX('CA Standards and Followers'!$D$14:$D$73,MATCH($A34,'CA Standards and Followers'!$A$14:$A$73,0))=1,INDEX('CA Standards and Followers'!$G$14:$G$73,MATCH($A34,'CA Standards and Followers'!$A$14:$A$73,0))&lt;=B$1),INDEX('CA Standards and Followers'!$2:$2,MATCH(B$1,'CA Standards and Followers'!$1:$1,0)),0))</f>
        <v>9.5000000000000001E-2</v>
      </c>
      <c r="C34">
        <f>IF(AND(INDEX('CA Standards and Followers'!$E$14:$E$73,MATCH($A34,'CA Standards and Followers'!$A$14:$A$73,0))=1,INDEX('CA Standards and Followers'!$H$14:$H$73,MATCH($A34,'CA Standards and Followers'!$A$14:$A$73,0))&lt;=C$1),INDEX('CA Standards and Followers'!$3:$3,MATCH(C$1,'CA Standards and Followers'!$1:$1,0)),IF(AND(INDEX('CA Standards and Followers'!$D$14:$D$73,MATCH($A34,'CA Standards and Followers'!$A$14:$A$73,0))=1,INDEX('CA Standards and Followers'!$G$14:$G$73,MATCH($A34,'CA Standards and Followers'!$A$14:$A$73,0))&lt;=C$1),INDEX('CA Standards and Followers'!$2:$2,MATCH(C$1,'CA Standards and Followers'!$1:$1,0)),0))</f>
        <v>0.12</v>
      </c>
      <c r="D34">
        <f>IF(AND(INDEX('CA Standards and Followers'!$E$14:$E$73,MATCH($A34,'CA Standards and Followers'!$A$14:$A$73,0))=1,INDEX('CA Standards and Followers'!$H$14:$H$73,MATCH($A34,'CA Standards and Followers'!$A$14:$A$73,0))&lt;=D$1),INDEX('CA Standards and Followers'!$3:$3,MATCH(D$1,'CA Standards and Followers'!$1:$1,0)),IF(AND(INDEX('CA Standards and Followers'!$D$14:$D$73,MATCH($A34,'CA Standards and Followers'!$A$14:$A$73,0))=1,INDEX('CA Standards and Followers'!$G$14:$G$73,MATCH($A34,'CA Standards and Followers'!$A$14:$A$73,0))&lt;=D$1),INDEX('CA Standards and Followers'!$2:$2,MATCH(D$1,'CA Standards and Followers'!$1:$1,0)),0))</f>
        <v>0.14499999999999999</v>
      </c>
      <c r="E34">
        <f>IF(AND(INDEX('CA Standards and Followers'!$E$14:$E$73,MATCH($A34,'CA Standards and Followers'!$A$14:$A$73,0))=1,INDEX('CA Standards and Followers'!$H$14:$H$73,MATCH($A34,'CA Standards and Followers'!$A$14:$A$73,0))&lt;=E$1),INDEX('CA Standards and Followers'!$3:$3,MATCH(E$1,'CA Standards and Followers'!$1:$1,0)),IF(AND(INDEX('CA Standards and Followers'!$D$14:$D$73,MATCH($A34,'CA Standards and Followers'!$A$14:$A$73,0))=1,INDEX('CA Standards and Followers'!$G$14:$G$73,MATCH($A34,'CA Standards and Followers'!$A$14:$A$73,0))&lt;=E$1),INDEX('CA Standards and Followers'!$2:$2,MATCH(E$1,'CA Standards and Followers'!$1:$1,0)),0))</f>
        <v>0.16999999999999998</v>
      </c>
      <c r="F34">
        <f>IF(AND(INDEX('CA Standards and Followers'!$E$14:$E$73,MATCH($A34,'CA Standards and Followers'!$A$14:$A$73,0))=1,INDEX('CA Standards and Followers'!$H$14:$H$73,MATCH($A34,'CA Standards and Followers'!$A$14:$A$73,0))&lt;=F$1),INDEX('CA Standards and Followers'!$3:$3,MATCH(F$1,'CA Standards and Followers'!$1:$1,0)),IF(AND(INDEX('CA Standards and Followers'!$D$14:$D$73,MATCH($A34,'CA Standards and Followers'!$A$14:$A$73,0))=1,INDEX('CA Standards and Followers'!$G$14:$G$73,MATCH($A34,'CA Standards and Followers'!$A$14:$A$73,0))&lt;=F$1),INDEX('CA Standards and Followers'!$2:$2,MATCH(F$1,'CA Standards and Followers'!$1:$1,0)),0))</f>
        <v>0.19500000000000001</v>
      </c>
      <c r="G34">
        <f>IF(AND(INDEX('CA Standards and Followers'!$E$14:$E$73,MATCH($A34,'CA Standards and Followers'!$A$14:$A$73,0))=1,INDEX('CA Standards and Followers'!$H$14:$H$73,MATCH($A34,'CA Standards and Followers'!$A$14:$A$73,0))&lt;=G$1),INDEX('CA Standards and Followers'!$3:$3,MATCH(G$1,'CA Standards and Followers'!$1:$1,0)),IF(AND(INDEX('CA Standards and Followers'!$D$14:$D$73,MATCH($A34,'CA Standards and Followers'!$A$14:$A$73,0))=1,INDEX('CA Standards and Followers'!$G$14:$G$73,MATCH($A34,'CA Standards and Followers'!$A$14:$A$73,0))&lt;=G$1),INDEX('CA Standards and Followers'!$2:$2,MATCH(G$1,'CA Standards and Followers'!$1:$1,0)),0))</f>
        <v>0.21999999999999997</v>
      </c>
      <c r="H34">
        <f>IF(AND(INDEX('CA Standards and Followers'!$E$14:$E$73,MATCH($A34,'CA Standards and Followers'!$A$14:$A$73,0))=1,INDEX('CA Standards and Followers'!$H$14:$H$73,MATCH($A34,'CA Standards and Followers'!$A$14:$A$73,0))&lt;=H$1),INDEX('CA Standards and Followers'!$3:$3,MATCH(H$1,'CA Standards and Followers'!$1:$1,0)),IF(AND(INDEX('CA Standards and Followers'!$D$14:$D$73,MATCH($A34,'CA Standards and Followers'!$A$14:$A$73,0))=1,INDEX('CA Standards and Followers'!$G$14:$G$73,MATCH($A34,'CA Standards and Followers'!$A$14:$A$73,0))&lt;=H$1),INDEX('CA Standards and Followers'!$2:$2,MATCH(H$1,'CA Standards and Followers'!$1:$1,0)),0))</f>
        <v>0.22</v>
      </c>
      <c r="I34">
        <f>IF(AND(INDEX('CA Standards and Followers'!$E$14:$E$73,MATCH($A34,'CA Standards and Followers'!$A$14:$A$73,0))=1,INDEX('CA Standards and Followers'!$H$14:$H$73,MATCH($A34,'CA Standards and Followers'!$A$14:$A$73,0))&lt;=I$1),INDEX('CA Standards and Followers'!$3:$3,MATCH(I$1,'CA Standards and Followers'!$1:$1,0)),IF(AND(INDEX('CA Standards and Followers'!$D$14:$D$73,MATCH($A34,'CA Standards and Followers'!$A$14:$A$73,0))=1,INDEX('CA Standards and Followers'!$G$14:$G$73,MATCH($A34,'CA Standards and Followers'!$A$14:$A$73,0))&lt;=I$1),INDEX('CA Standards and Followers'!$2:$2,MATCH(I$1,'CA Standards and Followers'!$1:$1,0)),0))</f>
        <v>0.22</v>
      </c>
      <c r="J34">
        <f>IF(AND(INDEX('CA Standards and Followers'!$E$14:$E$73,MATCH($A34,'CA Standards and Followers'!$A$14:$A$73,0))=1,INDEX('CA Standards and Followers'!$H$14:$H$73,MATCH($A34,'CA Standards and Followers'!$A$14:$A$73,0))&lt;=J$1),INDEX('CA Standards and Followers'!$3:$3,MATCH(J$1,'CA Standards and Followers'!$1:$1,0)),IF(AND(INDEX('CA Standards and Followers'!$D$14:$D$73,MATCH($A34,'CA Standards and Followers'!$A$14:$A$73,0))=1,INDEX('CA Standards and Followers'!$G$14:$G$73,MATCH($A34,'CA Standards and Followers'!$A$14:$A$73,0))&lt;=J$1),INDEX('CA Standards and Followers'!$2:$2,MATCH(J$1,'CA Standards and Followers'!$1:$1,0)),0))</f>
        <v>0.22</v>
      </c>
      <c r="K34">
        <f>IF(AND(INDEX('CA Standards and Followers'!$E$14:$E$73,MATCH($A34,'CA Standards and Followers'!$A$14:$A$73,0))=1,INDEX('CA Standards and Followers'!$H$14:$H$73,MATCH($A34,'CA Standards and Followers'!$A$14:$A$73,0))&lt;=K$1),INDEX('CA Standards and Followers'!$3:$3,MATCH(K$1,'CA Standards and Followers'!$1:$1,0)),IF(AND(INDEX('CA Standards and Followers'!$D$14:$D$73,MATCH($A34,'CA Standards and Followers'!$A$14:$A$73,0))=1,INDEX('CA Standards and Followers'!$G$14:$G$73,MATCH($A34,'CA Standards and Followers'!$A$14:$A$73,0))&lt;=K$1),INDEX('CA Standards and Followers'!$2:$2,MATCH(K$1,'CA Standards and Followers'!$1:$1,0)),0))</f>
        <v>0.22</v>
      </c>
      <c r="L34">
        <f>IF(AND(INDEX('CA Standards and Followers'!$E$14:$E$73,MATCH($A34,'CA Standards and Followers'!$A$14:$A$73,0))=1,INDEX('CA Standards and Followers'!$H$14:$H$73,MATCH($A34,'CA Standards and Followers'!$A$14:$A$73,0))&lt;=L$1),INDEX('CA Standards and Followers'!$3:$3,MATCH(L$1,'CA Standards and Followers'!$1:$1,0)),IF(AND(INDEX('CA Standards and Followers'!$D$14:$D$73,MATCH($A34,'CA Standards and Followers'!$A$14:$A$73,0))=1,INDEX('CA Standards and Followers'!$G$14:$G$73,MATCH($A34,'CA Standards and Followers'!$A$14:$A$73,0))&lt;=L$1),INDEX('CA Standards and Followers'!$2:$2,MATCH(L$1,'CA Standards and Followers'!$1:$1,0)),0))</f>
        <v>0.22</v>
      </c>
      <c r="M34">
        <f>IF(AND(INDEX('CA Standards and Followers'!$E$14:$E$73,MATCH($A34,'CA Standards and Followers'!$A$14:$A$73,0))=1,INDEX('CA Standards and Followers'!$H$14:$H$73,MATCH($A34,'CA Standards and Followers'!$A$14:$A$73,0))&lt;=M$1),INDEX('CA Standards and Followers'!$3:$3,MATCH(M$1,'CA Standards and Followers'!$1:$1,0)),IF(AND(INDEX('CA Standards and Followers'!$D$14:$D$73,MATCH($A34,'CA Standards and Followers'!$A$14:$A$73,0))=1,INDEX('CA Standards and Followers'!$G$14:$G$73,MATCH($A34,'CA Standards and Followers'!$A$14:$A$73,0))&lt;=M$1),INDEX('CA Standards and Followers'!$2:$2,MATCH(M$1,'CA Standards and Followers'!$1:$1,0)),0))</f>
        <v>0.22</v>
      </c>
      <c r="N34">
        <f>IF(AND(INDEX('CA Standards and Followers'!$E$14:$E$73,MATCH($A34,'CA Standards and Followers'!$A$14:$A$73,0))=1,INDEX('CA Standards and Followers'!$H$14:$H$73,MATCH($A34,'CA Standards and Followers'!$A$14:$A$73,0))&lt;=N$1),INDEX('CA Standards and Followers'!$3:$3,MATCH(N$1,'CA Standards and Followers'!$1:$1,0)),IF(AND(INDEX('CA Standards and Followers'!$D$14:$D$73,MATCH($A34,'CA Standards and Followers'!$A$14:$A$73,0))=1,INDEX('CA Standards and Followers'!$G$14:$G$73,MATCH($A34,'CA Standards and Followers'!$A$14:$A$73,0))&lt;=N$1),INDEX('CA Standards and Followers'!$2:$2,MATCH(N$1,'CA Standards and Followers'!$1:$1,0)),0))</f>
        <v>0.22</v>
      </c>
      <c r="O34">
        <f>IF(AND(INDEX('CA Standards and Followers'!$E$14:$E$73,MATCH($A34,'CA Standards and Followers'!$A$14:$A$73,0))=1,INDEX('CA Standards and Followers'!$H$14:$H$73,MATCH($A34,'CA Standards and Followers'!$A$14:$A$73,0))&lt;=O$1),INDEX('CA Standards and Followers'!$3:$3,MATCH(O$1,'CA Standards and Followers'!$1:$1,0)),IF(AND(INDEX('CA Standards and Followers'!$D$14:$D$73,MATCH($A34,'CA Standards and Followers'!$A$14:$A$73,0))=1,INDEX('CA Standards and Followers'!$G$14:$G$73,MATCH($A34,'CA Standards and Followers'!$A$14:$A$73,0))&lt;=O$1),INDEX('CA Standards and Followers'!$2:$2,MATCH(O$1,'CA Standards and Followers'!$1:$1,0)),0))</f>
        <v>0.22</v>
      </c>
      <c r="P34">
        <f>IF(AND(INDEX('CA Standards and Followers'!$E$14:$E$73,MATCH($A34,'CA Standards and Followers'!$A$14:$A$73,0))=1,INDEX('CA Standards and Followers'!$H$14:$H$73,MATCH($A34,'CA Standards and Followers'!$A$14:$A$73,0))&lt;=P$1),INDEX('CA Standards and Followers'!$3:$3,MATCH(P$1,'CA Standards and Followers'!$1:$1,0)),IF(AND(INDEX('CA Standards and Followers'!$D$14:$D$73,MATCH($A34,'CA Standards and Followers'!$A$14:$A$73,0))=1,INDEX('CA Standards and Followers'!$G$14:$G$73,MATCH($A34,'CA Standards and Followers'!$A$14:$A$73,0))&lt;=P$1),INDEX('CA Standards and Followers'!$2:$2,MATCH(P$1,'CA Standards and Followers'!$1:$1,0)),0))</f>
        <v>0.22</v>
      </c>
      <c r="Q34">
        <f>IF(AND(INDEX('CA Standards and Followers'!$E$14:$E$73,MATCH($A34,'CA Standards and Followers'!$A$14:$A$73,0))=1,INDEX('CA Standards and Followers'!$H$14:$H$73,MATCH($A34,'CA Standards and Followers'!$A$14:$A$73,0))&lt;=Q$1),INDEX('CA Standards and Followers'!$3:$3,MATCH(Q$1,'CA Standards and Followers'!$1:$1,0)),IF(AND(INDEX('CA Standards and Followers'!$D$14:$D$73,MATCH($A34,'CA Standards and Followers'!$A$14:$A$73,0))=1,INDEX('CA Standards and Followers'!$G$14:$G$73,MATCH($A34,'CA Standards and Followers'!$A$14:$A$73,0))&lt;=Q$1),INDEX('CA Standards and Followers'!$2:$2,MATCH(Q$1,'CA Standards and Followers'!$1:$1,0)),0))</f>
        <v>0.22</v>
      </c>
      <c r="R34">
        <f>IF(AND(INDEX('CA Standards and Followers'!$E$14:$E$73,MATCH($A34,'CA Standards and Followers'!$A$14:$A$73,0))=1,INDEX('CA Standards and Followers'!$H$14:$H$73,MATCH($A34,'CA Standards and Followers'!$A$14:$A$73,0))&lt;=R$1),INDEX('CA Standards and Followers'!$3:$3,MATCH(R$1,'CA Standards and Followers'!$1:$1,0)),IF(AND(INDEX('CA Standards and Followers'!$D$14:$D$73,MATCH($A34,'CA Standards and Followers'!$A$14:$A$73,0))=1,INDEX('CA Standards and Followers'!$G$14:$G$73,MATCH($A34,'CA Standards and Followers'!$A$14:$A$73,0))&lt;=R$1),INDEX('CA Standards and Followers'!$2:$2,MATCH(R$1,'CA Standards and Followers'!$1:$1,0)),0))</f>
        <v>0.22</v>
      </c>
      <c r="S34">
        <f>IF(AND(INDEX('CA Standards and Followers'!$E$14:$E$73,MATCH($A34,'CA Standards and Followers'!$A$14:$A$73,0))=1,INDEX('CA Standards and Followers'!$H$14:$H$73,MATCH($A34,'CA Standards and Followers'!$A$14:$A$73,0))&lt;=S$1),INDEX('CA Standards and Followers'!$3:$3,MATCH(S$1,'CA Standards and Followers'!$1:$1,0)),IF(AND(INDEX('CA Standards and Followers'!$D$14:$D$73,MATCH($A34,'CA Standards and Followers'!$A$14:$A$73,0))=1,INDEX('CA Standards and Followers'!$G$14:$G$73,MATCH($A34,'CA Standards and Followers'!$A$14:$A$73,0))&lt;=S$1),INDEX('CA Standards and Followers'!$2:$2,MATCH(S$1,'CA Standards and Followers'!$1:$1,0)),0))</f>
        <v>0.22</v>
      </c>
      <c r="T34">
        <f>IF(AND(INDEX('CA Standards and Followers'!$E$14:$E$73,MATCH($A34,'CA Standards and Followers'!$A$14:$A$73,0))=1,INDEX('CA Standards and Followers'!$H$14:$H$73,MATCH($A34,'CA Standards and Followers'!$A$14:$A$73,0))&lt;=T$1),INDEX('CA Standards and Followers'!$3:$3,MATCH(T$1,'CA Standards and Followers'!$1:$1,0)),IF(AND(INDEX('CA Standards and Followers'!$D$14:$D$73,MATCH($A34,'CA Standards and Followers'!$A$14:$A$73,0))=1,INDEX('CA Standards and Followers'!$G$14:$G$73,MATCH($A34,'CA Standards and Followers'!$A$14:$A$73,0))&lt;=T$1),INDEX('CA Standards and Followers'!$2:$2,MATCH(T$1,'CA Standards and Followers'!$1:$1,0)),0))</f>
        <v>0.22</v>
      </c>
      <c r="U34">
        <f>IF(AND(INDEX('CA Standards and Followers'!$E$14:$E$73,MATCH($A34,'CA Standards and Followers'!$A$14:$A$73,0))=1,INDEX('CA Standards and Followers'!$H$14:$H$73,MATCH($A34,'CA Standards and Followers'!$A$14:$A$73,0))&lt;=U$1),INDEX('CA Standards and Followers'!$3:$3,MATCH(U$1,'CA Standards and Followers'!$1:$1,0)),IF(AND(INDEX('CA Standards and Followers'!$D$14:$D$73,MATCH($A34,'CA Standards and Followers'!$A$14:$A$73,0))=1,INDEX('CA Standards and Followers'!$G$14:$G$73,MATCH($A34,'CA Standards and Followers'!$A$14:$A$73,0))&lt;=U$1),INDEX('CA Standards and Followers'!$2:$2,MATCH(U$1,'CA Standards and Followers'!$1:$1,0)),0))</f>
        <v>0.22</v>
      </c>
      <c r="V34">
        <f>IF(AND(INDEX('CA Standards and Followers'!$E$14:$E$73,MATCH($A34,'CA Standards and Followers'!$A$14:$A$73,0))=1,INDEX('CA Standards and Followers'!$H$14:$H$73,MATCH($A34,'CA Standards and Followers'!$A$14:$A$73,0))&lt;=V$1),INDEX('CA Standards and Followers'!$3:$3,MATCH(V$1,'CA Standards and Followers'!$1:$1,0)),IF(AND(INDEX('CA Standards and Followers'!$D$14:$D$73,MATCH($A34,'CA Standards and Followers'!$A$14:$A$73,0))=1,INDEX('CA Standards and Followers'!$G$14:$G$73,MATCH($A34,'CA Standards and Followers'!$A$14:$A$73,0))&lt;=V$1),INDEX('CA Standards and Followers'!$2:$2,MATCH(V$1,'CA Standards and Followers'!$1:$1,0)),0))</f>
        <v>0.22</v>
      </c>
      <c r="W34">
        <f>IF(AND(INDEX('CA Standards and Followers'!$E$14:$E$73,MATCH($A34,'CA Standards and Followers'!$A$14:$A$73,0))=1,INDEX('CA Standards and Followers'!$H$14:$H$73,MATCH($A34,'CA Standards and Followers'!$A$14:$A$73,0))&lt;=W$1),INDEX('CA Standards and Followers'!$3:$3,MATCH(W$1,'CA Standards and Followers'!$1:$1,0)),IF(AND(INDEX('CA Standards and Followers'!$D$14:$D$73,MATCH($A34,'CA Standards and Followers'!$A$14:$A$73,0))=1,INDEX('CA Standards and Followers'!$G$14:$G$73,MATCH($A34,'CA Standards and Followers'!$A$14:$A$73,0))&lt;=W$1),INDEX('CA Standards and Followers'!$2:$2,MATCH(W$1,'CA Standards and Followers'!$1:$1,0)),0))</f>
        <v>0.22</v>
      </c>
      <c r="X34">
        <f>IF(AND(INDEX('CA Standards and Followers'!$E$14:$E$73,MATCH($A34,'CA Standards and Followers'!$A$14:$A$73,0))=1,INDEX('CA Standards and Followers'!$H$14:$H$73,MATCH($A34,'CA Standards and Followers'!$A$14:$A$73,0))&lt;=X$1),INDEX('CA Standards and Followers'!$3:$3,MATCH(X$1,'CA Standards and Followers'!$1:$1,0)),IF(AND(INDEX('CA Standards and Followers'!$D$14:$D$73,MATCH($A34,'CA Standards and Followers'!$A$14:$A$73,0))=1,INDEX('CA Standards and Followers'!$G$14:$G$73,MATCH($A34,'CA Standards and Followers'!$A$14:$A$73,0))&lt;=X$1),INDEX('CA Standards and Followers'!$2:$2,MATCH(X$1,'CA Standards and Followers'!$1:$1,0)),0))</f>
        <v>0.22</v>
      </c>
      <c r="Y34">
        <f>IF(AND(INDEX('CA Standards and Followers'!$E$14:$E$73,MATCH($A34,'CA Standards and Followers'!$A$14:$A$73,0))=1,INDEX('CA Standards and Followers'!$H$14:$H$73,MATCH($A34,'CA Standards and Followers'!$A$14:$A$73,0))&lt;=Y$1),INDEX('CA Standards and Followers'!$3:$3,MATCH(Y$1,'CA Standards and Followers'!$1:$1,0)),IF(AND(INDEX('CA Standards and Followers'!$D$14:$D$73,MATCH($A34,'CA Standards and Followers'!$A$14:$A$73,0))=1,INDEX('CA Standards and Followers'!$G$14:$G$73,MATCH($A34,'CA Standards and Followers'!$A$14:$A$73,0))&lt;=Y$1),INDEX('CA Standards and Followers'!$2:$2,MATCH(Y$1,'CA Standards and Followers'!$1:$1,0)),0))</f>
        <v>0.22</v>
      </c>
      <c r="Z34">
        <f>IF(AND(INDEX('CA Standards and Followers'!$E$14:$E$73,MATCH($A34,'CA Standards and Followers'!$A$14:$A$73,0))=1,INDEX('CA Standards and Followers'!$H$14:$H$73,MATCH($A34,'CA Standards and Followers'!$A$14:$A$73,0))&lt;=Z$1),INDEX('CA Standards and Followers'!$3:$3,MATCH(Z$1,'CA Standards and Followers'!$1:$1,0)),IF(AND(INDEX('CA Standards and Followers'!$D$14:$D$73,MATCH($A34,'CA Standards and Followers'!$A$14:$A$73,0))=1,INDEX('CA Standards and Followers'!$G$14:$G$73,MATCH($A34,'CA Standards and Followers'!$A$14:$A$73,0))&lt;=Z$1),INDEX('CA Standards and Followers'!$2:$2,MATCH(Z$1,'CA Standards and Followers'!$1:$1,0)),0))</f>
        <v>0.22</v>
      </c>
      <c r="AA34">
        <f>IF(AND(INDEX('CA Standards and Followers'!$E$14:$E$73,MATCH($A34,'CA Standards and Followers'!$A$14:$A$73,0))=1,INDEX('CA Standards and Followers'!$H$14:$H$73,MATCH($A34,'CA Standards and Followers'!$A$14:$A$73,0))&lt;=AA$1),INDEX('CA Standards and Followers'!$3:$3,MATCH(AA$1,'CA Standards and Followers'!$1:$1,0)),IF(AND(INDEX('CA Standards and Followers'!$D$14:$D$73,MATCH($A34,'CA Standards and Followers'!$A$14:$A$73,0))=1,INDEX('CA Standards and Followers'!$G$14:$G$73,MATCH($A34,'CA Standards and Followers'!$A$14:$A$73,0))&lt;=AA$1),INDEX('CA Standards and Followers'!$2:$2,MATCH(AA$1,'CA Standards and Followers'!$1:$1,0)),0))</f>
        <v>0.22</v>
      </c>
      <c r="AB34">
        <f>IF(AND(INDEX('CA Standards and Followers'!$E$14:$E$73,MATCH($A34,'CA Standards and Followers'!$A$14:$A$73,0))=1,INDEX('CA Standards and Followers'!$H$14:$H$73,MATCH($A34,'CA Standards and Followers'!$A$14:$A$73,0))&lt;=AB$1),INDEX('CA Standards and Followers'!$3:$3,MATCH(AB$1,'CA Standards and Followers'!$1:$1,0)),IF(AND(INDEX('CA Standards and Followers'!$D$14:$D$73,MATCH($A34,'CA Standards and Followers'!$A$14:$A$73,0))=1,INDEX('CA Standards and Followers'!$G$14:$G$73,MATCH($A34,'CA Standards and Followers'!$A$14:$A$73,0))&lt;=AB$1),INDEX('CA Standards and Followers'!$2:$2,MATCH(AB$1,'CA Standards and Followers'!$1:$1,0)),0))</f>
        <v>0.22</v>
      </c>
      <c r="AC34">
        <f>IF(AND(INDEX('CA Standards and Followers'!$E$14:$E$73,MATCH($A34,'CA Standards and Followers'!$A$14:$A$73,0))=1,INDEX('CA Standards and Followers'!$H$14:$H$73,MATCH($A34,'CA Standards and Followers'!$A$14:$A$73,0))&lt;=AC$1),INDEX('CA Standards and Followers'!$3:$3,MATCH(AC$1,'CA Standards and Followers'!$1:$1,0)),IF(AND(INDEX('CA Standards and Followers'!$D$14:$D$73,MATCH($A34,'CA Standards and Followers'!$A$14:$A$73,0))=1,INDEX('CA Standards and Followers'!$G$14:$G$73,MATCH($A34,'CA Standards and Followers'!$A$14:$A$73,0))&lt;=AC$1),INDEX('CA Standards and Followers'!$2:$2,MATCH(AC$1,'CA Standards and Followers'!$1:$1,0)),0))</f>
        <v>0.22</v>
      </c>
      <c r="AD34">
        <f>IF(AND(INDEX('CA Standards and Followers'!$E$14:$E$73,MATCH($A34,'CA Standards and Followers'!$A$14:$A$73,0))=1,INDEX('CA Standards and Followers'!$H$14:$H$73,MATCH($A34,'CA Standards and Followers'!$A$14:$A$73,0))&lt;=AD$1),INDEX('CA Standards and Followers'!$3:$3,MATCH(AD$1,'CA Standards and Followers'!$1:$1,0)),IF(AND(INDEX('CA Standards and Followers'!$D$14:$D$73,MATCH($A34,'CA Standards and Followers'!$A$14:$A$73,0))=1,INDEX('CA Standards and Followers'!$G$14:$G$73,MATCH($A34,'CA Standards and Followers'!$A$14:$A$73,0))&lt;=AD$1),INDEX('CA Standards and Followers'!$2:$2,MATCH(AD$1,'CA Standards and Followers'!$1:$1,0)),0))</f>
        <v>0.22</v>
      </c>
      <c r="AE34">
        <f>IF(AND(INDEX('CA Standards and Followers'!$E$14:$E$73,MATCH($A34,'CA Standards and Followers'!$A$14:$A$73,0))=1,INDEX('CA Standards and Followers'!$H$14:$H$73,MATCH($A34,'CA Standards and Followers'!$A$14:$A$73,0))&lt;=AE$1),INDEX('CA Standards and Followers'!$3:$3,MATCH(AE$1,'CA Standards and Followers'!$1:$1,0)),IF(AND(INDEX('CA Standards and Followers'!$D$14:$D$73,MATCH($A34,'CA Standards and Followers'!$A$14:$A$73,0))=1,INDEX('CA Standards and Followers'!$G$14:$G$73,MATCH($A34,'CA Standards and Followers'!$A$14:$A$73,0))&lt;=AE$1),INDEX('CA Standards and Followers'!$2:$2,MATCH(AE$1,'CA Standards and Followers'!$1:$1,0)),0))</f>
        <v>0.22</v>
      </c>
      <c r="AF34">
        <f>IF(AND(INDEX('CA Standards and Followers'!$E$14:$E$73,MATCH($A34,'CA Standards and Followers'!$A$14:$A$73,0))=1,INDEX('CA Standards and Followers'!$H$14:$H$73,MATCH($A34,'CA Standards and Followers'!$A$14:$A$73,0))&lt;=AF$1),INDEX('CA Standards and Followers'!$3:$3,MATCH(AF$1,'CA Standards and Followers'!$1:$1,0)),IF(AND(INDEX('CA Standards and Followers'!$D$14:$D$73,MATCH($A34,'CA Standards and Followers'!$A$14:$A$73,0))=1,INDEX('CA Standards and Followers'!$G$14:$G$73,MATCH($A34,'CA Standards and Followers'!$A$14:$A$73,0))&lt;=AF$1),INDEX('CA Standards and Followers'!$2:$2,MATCH(AF$1,'CA Standards and Followers'!$1:$1,0)),0))</f>
        <v>0.22</v>
      </c>
    </row>
    <row r="35" spans="1:32" x14ac:dyDescent="0.25">
      <c r="A35" t="s">
        <v>35</v>
      </c>
      <c r="B35">
        <f>IF(AND(INDEX('CA Standards and Followers'!$E$14:$E$73,MATCH($A35,'CA Standards and Followers'!$A$14:$A$73,0))=1,INDEX('CA Standards and Followers'!$H$14:$H$73,MATCH($A35,'CA Standards and Followers'!$A$14:$A$73,0))&lt;=B$1),INDEX('CA Standards and Followers'!$3:$3,MATCH(B$1,'CA Standards and Followers'!$1:$1,0)),IF(AND(INDEX('CA Standards and Followers'!$D$14:$D$73,MATCH($A35,'CA Standards and Followers'!$A$14:$A$73,0))=1,INDEX('CA Standards and Followers'!$G$14:$G$73,MATCH($A35,'CA Standards and Followers'!$A$14:$A$73,0))&lt;=B$1),INDEX('CA Standards and Followers'!$2:$2,MATCH(B$1,'CA Standards and Followers'!$1:$1,0)),0))</f>
        <v>0</v>
      </c>
      <c r="C35">
        <f>IF(AND(INDEX('CA Standards and Followers'!$E$14:$E$73,MATCH($A35,'CA Standards and Followers'!$A$14:$A$73,0))=1,INDEX('CA Standards and Followers'!$H$14:$H$73,MATCH($A35,'CA Standards and Followers'!$A$14:$A$73,0))&lt;=C$1),INDEX('CA Standards and Followers'!$3:$3,MATCH(C$1,'CA Standards and Followers'!$1:$1,0)),IF(AND(INDEX('CA Standards and Followers'!$D$14:$D$73,MATCH($A35,'CA Standards and Followers'!$A$14:$A$73,0))=1,INDEX('CA Standards and Followers'!$G$14:$G$73,MATCH($A35,'CA Standards and Followers'!$A$14:$A$73,0))&lt;=C$1),INDEX('CA Standards and Followers'!$2:$2,MATCH(C$1,'CA Standards and Followers'!$1:$1,0)),0))</f>
        <v>0</v>
      </c>
      <c r="D35">
        <f>IF(AND(INDEX('CA Standards and Followers'!$E$14:$E$73,MATCH($A35,'CA Standards and Followers'!$A$14:$A$73,0))=1,INDEX('CA Standards and Followers'!$H$14:$H$73,MATCH($A35,'CA Standards and Followers'!$A$14:$A$73,0))&lt;=D$1),INDEX('CA Standards and Followers'!$3:$3,MATCH(D$1,'CA Standards and Followers'!$1:$1,0)),IF(AND(INDEX('CA Standards and Followers'!$D$14:$D$73,MATCH($A35,'CA Standards and Followers'!$A$14:$A$73,0))=1,INDEX('CA Standards and Followers'!$G$14:$G$73,MATCH($A35,'CA Standards and Followers'!$A$14:$A$73,0))&lt;=D$1),INDEX('CA Standards and Followers'!$2:$2,MATCH(D$1,'CA Standards and Followers'!$1:$1,0)),0))</f>
        <v>0</v>
      </c>
      <c r="E35">
        <f>IF(AND(INDEX('CA Standards and Followers'!$E$14:$E$73,MATCH($A35,'CA Standards and Followers'!$A$14:$A$73,0))=1,INDEX('CA Standards and Followers'!$H$14:$H$73,MATCH($A35,'CA Standards and Followers'!$A$14:$A$73,0))&lt;=E$1),INDEX('CA Standards and Followers'!$3:$3,MATCH(E$1,'CA Standards and Followers'!$1:$1,0)),IF(AND(INDEX('CA Standards and Followers'!$D$14:$D$73,MATCH($A35,'CA Standards and Followers'!$A$14:$A$73,0))=1,INDEX('CA Standards and Followers'!$G$14:$G$73,MATCH($A35,'CA Standards and Followers'!$A$14:$A$73,0))&lt;=E$1),INDEX('CA Standards and Followers'!$2:$2,MATCH(E$1,'CA Standards and Followers'!$1:$1,0)),0))</f>
        <v>0</v>
      </c>
      <c r="F35">
        <f>IF(AND(INDEX('CA Standards and Followers'!$E$14:$E$73,MATCH($A35,'CA Standards and Followers'!$A$14:$A$73,0))=1,INDEX('CA Standards and Followers'!$H$14:$H$73,MATCH($A35,'CA Standards and Followers'!$A$14:$A$73,0))&lt;=F$1),INDEX('CA Standards and Followers'!$3:$3,MATCH(F$1,'CA Standards and Followers'!$1:$1,0)),IF(AND(INDEX('CA Standards and Followers'!$D$14:$D$73,MATCH($A35,'CA Standards and Followers'!$A$14:$A$73,0))=1,INDEX('CA Standards and Followers'!$G$14:$G$73,MATCH($A35,'CA Standards and Followers'!$A$14:$A$73,0))&lt;=F$1),INDEX('CA Standards and Followers'!$2:$2,MATCH(F$1,'CA Standards and Followers'!$1:$1,0)),0))</f>
        <v>0</v>
      </c>
      <c r="G35">
        <f>IF(AND(INDEX('CA Standards and Followers'!$E$14:$E$73,MATCH($A35,'CA Standards and Followers'!$A$14:$A$73,0))=1,INDEX('CA Standards and Followers'!$H$14:$H$73,MATCH($A35,'CA Standards and Followers'!$A$14:$A$73,0))&lt;=G$1),INDEX('CA Standards and Followers'!$3:$3,MATCH(G$1,'CA Standards and Followers'!$1:$1,0)),IF(AND(INDEX('CA Standards and Followers'!$D$14:$D$73,MATCH($A35,'CA Standards and Followers'!$A$14:$A$73,0))=1,INDEX('CA Standards and Followers'!$G$14:$G$73,MATCH($A35,'CA Standards and Followers'!$A$14:$A$73,0))&lt;=G$1),INDEX('CA Standards and Followers'!$2:$2,MATCH(G$1,'CA Standards and Followers'!$1:$1,0)),0))</f>
        <v>0</v>
      </c>
      <c r="H35">
        <f>IF(AND(INDEX('CA Standards and Followers'!$E$14:$E$73,MATCH($A35,'CA Standards and Followers'!$A$14:$A$73,0))=1,INDEX('CA Standards and Followers'!$H$14:$H$73,MATCH($A35,'CA Standards and Followers'!$A$14:$A$73,0))&lt;=H$1),INDEX('CA Standards and Followers'!$3:$3,MATCH(H$1,'CA Standards and Followers'!$1:$1,0)),IF(AND(INDEX('CA Standards and Followers'!$D$14:$D$73,MATCH($A35,'CA Standards and Followers'!$A$14:$A$73,0))=1,INDEX('CA Standards and Followers'!$G$14:$G$73,MATCH($A35,'CA Standards and Followers'!$A$14:$A$73,0))&lt;=H$1),INDEX('CA Standards and Followers'!$2:$2,MATCH(H$1,'CA Standards and Followers'!$1:$1,0)),0))</f>
        <v>0</v>
      </c>
      <c r="I35">
        <f>IF(AND(INDEX('CA Standards and Followers'!$E$14:$E$73,MATCH($A35,'CA Standards and Followers'!$A$14:$A$73,0))=1,INDEX('CA Standards and Followers'!$H$14:$H$73,MATCH($A35,'CA Standards and Followers'!$A$14:$A$73,0))&lt;=I$1),INDEX('CA Standards and Followers'!$3:$3,MATCH(I$1,'CA Standards and Followers'!$1:$1,0)),IF(AND(INDEX('CA Standards and Followers'!$D$14:$D$73,MATCH($A35,'CA Standards and Followers'!$A$14:$A$73,0))=1,INDEX('CA Standards and Followers'!$G$14:$G$73,MATCH($A35,'CA Standards and Followers'!$A$14:$A$73,0))&lt;=I$1),INDEX('CA Standards and Followers'!$2:$2,MATCH(I$1,'CA Standards and Followers'!$1:$1,0)),0))</f>
        <v>0</v>
      </c>
      <c r="J35">
        <f>IF(AND(INDEX('CA Standards and Followers'!$E$14:$E$73,MATCH($A35,'CA Standards and Followers'!$A$14:$A$73,0))=1,INDEX('CA Standards and Followers'!$H$14:$H$73,MATCH($A35,'CA Standards and Followers'!$A$14:$A$73,0))&lt;=J$1),INDEX('CA Standards and Followers'!$3:$3,MATCH(J$1,'CA Standards and Followers'!$1:$1,0)),IF(AND(INDEX('CA Standards and Followers'!$D$14:$D$73,MATCH($A35,'CA Standards and Followers'!$A$14:$A$73,0))=1,INDEX('CA Standards and Followers'!$G$14:$G$73,MATCH($A35,'CA Standards and Followers'!$A$14:$A$73,0))&lt;=J$1),INDEX('CA Standards and Followers'!$2:$2,MATCH(J$1,'CA Standards and Followers'!$1:$1,0)),0))</f>
        <v>0</v>
      </c>
      <c r="K35">
        <f>IF(AND(INDEX('CA Standards and Followers'!$E$14:$E$73,MATCH($A35,'CA Standards and Followers'!$A$14:$A$73,0))=1,INDEX('CA Standards and Followers'!$H$14:$H$73,MATCH($A35,'CA Standards and Followers'!$A$14:$A$73,0))&lt;=K$1),INDEX('CA Standards and Followers'!$3:$3,MATCH(K$1,'CA Standards and Followers'!$1:$1,0)),IF(AND(INDEX('CA Standards and Followers'!$D$14:$D$73,MATCH($A35,'CA Standards and Followers'!$A$14:$A$73,0))=1,INDEX('CA Standards and Followers'!$G$14:$G$73,MATCH($A35,'CA Standards and Followers'!$A$14:$A$73,0))&lt;=K$1),INDEX('CA Standards and Followers'!$2:$2,MATCH(K$1,'CA Standards and Followers'!$1:$1,0)),0))</f>
        <v>0</v>
      </c>
      <c r="L35">
        <f>IF(AND(INDEX('CA Standards and Followers'!$E$14:$E$73,MATCH($A35,'CA Standards and Followers'!$A$14:$A$73,0))=1,INDEX('CA Standards and Followers'!$H$14:$H$73,MATCH($A35,'CA Standards and Followers'!$A$14:$A$73,0))&lt;=L$1),INDEX('CA Standards and Followers'!$3:$3,MATCH(L$1,'CA Standards and Followers'!$1:$1,0)),IF(AND(INDEX('CA Standards and Followers'!$D$14:$D$73,MATCH($A35,'CA Standards and Followers'!$A$14:$A$73,0))=1,INDEX('CA Standards and Followers'!$G$14:$G$73,MATCH($A35,'CA Standards and Followers'!$A$14:$A$73,0))&lt;=L$1),INDEX('CA Standards and Followers'!$2:$2,MATCH(L$1,'CA Standards and Followers'!$1:$1,0)),0))</f>
        <v>0</v>
      </c>
      <c r="M35">
        <f>IF(AND(INDEX('CA Standards and Followers'!$E$14:$E$73,MATCH($A35,'CA Standards and Followers'!$A$14:$A$73,0))=1,INDEX('CA Standards and Followers'!$H$14:$H$73,MATCH($A35,'CA Standards and Followers'!$A$14:$A$73,0))&lt;=M$1),INDEX('CA Standards and Followers'!$3:$3,MATCH(M$1,'CA Standards and Followers'!$1:$1,0)),IF(AND(INDEX('CA Standards and Followers'!$D$14:$D$73,MATCH($A35,'CA Standards and Followers'!$A$14:$A$73,0))=1,INDEX('CA Standards and Followers'!$G$14:$G$73,MATCH($A35,'CA Standards and Followers'!$A$14:$A$73,0))&lt;=M$1),INDEX('CA Standards and Followers'!$2:$2,MATCH(M$1,'CA Standards and Followers'!$1:$1,0)),0))</f>
        <v>0</v>
      </c>
      <c r="N35">
        <f>IF(AND(INDEX('CA Standards and Followers'!$E$14:$E$73,MATCH($A35,'CA Standards and Followers'!$A$14:$A$73,0))=1,INDEX('CA Standards and Followers'!$H$14:$H$73,MATCH($A35,'CA Standards and Followers'!$A$14:$A$73,0))&lt;=N$1),INDEX('CA Standards and Followers'!$3:$3,MATCH(N$1,'CA Standards and Followers'!$1:$1,0)),IF(AND(INDEX('CA Standards and Followers'!$D$14:$D$73,MATCH($A35,'CA Standards and Followers'!$A$14:$A$73,0))=1,INDEX('CA Standards and Followers'!$G$14:$G$73,MATCH($A35,'CA Standards and Followers'!$A$14:$A$73,0))&lt;=N$1),INDEX('CA Standards and Followers'!$2:$2,MATCH(N$1,'CA Standards and Followers'!$1:$1,0)),0))</f>
        <v>0</v>
      </c>
      <c r="O35">
        <f>IF(AND(INDEX('CA Standards and Followers'!$E$14:$E$73,MATCH($A35,'CA Standards and Followers'!$A$14:$A$73,0))=1,INDEX('CA Standards and Followers'!$H$14:$H$73,MATCH($A35,'CA Standards and Followers'!$A$14:$A$73,0))&lt;=O$1),INDEX('CA Standards and Followers'!$3:$3,MATCH(O$1,'CA Standards and Followers'!$1:$1,0)),IF(AND(INDEX('CA Standards and Followers'!$D$14:$D$73,MATCH($A35,'CA Standards and Followers'!$A$14:$A$73,0))=1,INDEX('CA Standards and Followers'!$G$14:$G$73,MATCH($A35,'CA Standards and Followers'!$A$14:$A$73,0))&lt;=O$1),INDEX('CA Standards and Followers'!$2:$2,MATCH(O$1,'CA Standards and Followers'!$1:$1,0)),0))</f>
        <v>0</v>
      </c>
      <c r="P35">
        <f>IF(AND(INDEX('CA Standards and Followers'!$E$14:$E$73,MATCH($A35,'CA Standards and Followers'!$A$14:$A$73,0))=1,INDEX('CA Standards and Followers'!$H$14:$H$73,MATCH($A35,'CA Standards and Followers'!$A$14:$A$73,0))&lt;=P$1),INDEX('CA Standards and Followers'!$3:$3,MATCH(P$1,'CA Standards and Followers'!$1:$1,0)),IF(AND(INDEX('CA Standards and Followers'!$D$14:$D$73,MATCH($A35,'CA Standards and Followers'!$A$14:$A$73,0))=1,INDEX('CA Standards and Followers'!$G$14:$G$73,MATCH($A35,'CA Standards and Followers'!$A$14:$A$73,0))&lt;=P$1),INDEX('CA Standards and Followers'!$2:$2,MATCH(P$1,'CA Standards and Followers'!$1:$1,0)),0))</f>
        <v>0</v>
      </c>
      <c r="Q35">
        <f>IF(AND(INDEX('CA Standards and Followers'!$E$14:$E$73,MATCH($A35,'CA Standards and Followers'!$A$14:$A$73,0))=1,INDEX('CA Standards and Followers'!$H$14:$H$73,MATCH($A35,'CA Standards and Followers'!$A$14:$A$73,0))&lt;=Q$1),INDEX('CA Standards and Followers'!$3:$3,MATCH(Q$1,'CA Standards and Followers'!$1:$1,0)),IF(AND(INDEX('CA Standards and Followers'!$D$14:$D$73,MATCH($A35,'CA Standards and Followers'!$A$14:$A$73,0))=1,INDEX('CA Standards and Followers'!$G$14:$G$73,MATCH($A35,'CA Standards and Followers'!$A$14:$A$73,0))&lt;=Q$1),INDEX('CA Standards and Followers'!$2:$2,MATCH(Q$1,'CA Standards and Followers'!$1:$1,0)),0))</f>
        <v>0</v>
      </c>
      <c r="R35">
        <f>IF(AND(INDEX('CA Standards and Followers'!$E$14:$E$73,MATCH($A35,'CA Standards and Followers'!$A$14:$A$73,0))=1,INDEX('CA Standards and Followers'!$H$14:$H$73,MATCH($A35,'CA Standards and Followers'!$A$14:$A$73,0))&lt;=R$1),INDEX('CA Standards and Followers'!$3:$3,MATCH(R$1,'CA Standards and Followers'!$1:$1,0)),IF(AND(INDEX('CA Standards and Followers'!$D$14:$D$73,MATCH($A35,'CA Standards and Followers'!$A$14:$A$73,0))=1,INDEX('CA Standards and Followers'!$G$14:$G$73,MATCH($A35,'CA Standards and Followers'!$A$14:$A$73,0))&lt;=R$1),INDEX('CA Standards and Followers'!$2:$2,MATCH(R$1,'CA Standards and Followers'!$1:$1,0)),0))</f>
        <v>0</v>
      </c>
      <c r="S35">
        <f>IF(AND(INDEX('CA Standards and Followers'!$E$14:$E$73,MATCH($A35,'CA Standards and Followers'!$A$14:$A$73,0))=1,INDEX('CA Standards and Followers'!$H$14:$H$73,MATCH($A35,'CA Standards and Followers'!$A$14:$A$73,0))&lt;=S$1),INDEX('CA Standards and Followers'!$3:$3,MATCH(S$1,'CA Standards and Followers'!$1:$1,0)),IF(AND(INDEX('CA Standards and Followers'!$D$14:$D$73,MATCH($A35,'CA Standards and Followers'!$A$14:$A$73,0))=1,INDEX('CA Standards and Followers'!$G$14:$G$73,MATCH($A35,'CA Standards and Followers'!$A$14:$A$73,0))&lt;=S$1),INDEX('CA Standards and Followers'!$2:$2,MATCH(S$1,'CA Standards and Followers'!$1:$1,0)),0))</f>
        <v>0</v>
      </c>
      <c r="T35">
        <f>IF(AND(INDEX('CA Standards and Followers'!$E$14:$E$73,MATCH($A35,'CA Standards and Followers'!$A$14:$A$73,0))=1,INDEX('CA Standards and Followers'!$H$14:$H$73,MATCH($A35,'CA Standards and Followers'!$A$14:$A$73,0))&lt;=T$1),INDEX('CA Standards and Followers'!$3:$3,MATCH(T$1,'CA Standards and Followers'!$1:$1,0)),IF(AND(INDEX('CA Standards and Followers'!$D$14:$D$73,MATCH($A35,'CA Standards and Followers'!$A$14:$A$73,0))=1,INDEX('CA Standards and Followers'!$G$14:$G$73,MATCH($A35,'CA Standards and Followers'!$A$14:$A$73,0))&lt;=T$1),INDEX('CA Standards and Followers'!$2:$2,MATCH(T$1,'CA Standards and Followers'!$1:$1,0)),0))</f>
        <v>0</v>
      </c>
      <c r="U35">
        <f>IF(AND(INDEX('CA Standards and Followers'!$E$14:$E$73,MATCH($A35,'CA Standards and Followers'!$A$14:$A$73,0))=1,INDEX('CA Standards and Followers'!$H$14:$H$73,MATCH($A35,'CA Standards and Followers'!$A$14:$A$73,0))&lt;=U$1),INDEX('CA Standards and Followers'!$3:$3,MATCH(U$1,'CA Standards and Followers'!$1:$1,0)),IF(AND(INDEX('CA Standards and Followers'!$D$14:$D$73,MATCH($A35,'CA Standards and Followers'!$A$14:$A$73,0))=1,INDEX('CA Standards and Followers'!$G$14:$G$73,MATCH($A35,'CA Standards and Followers'!$A$14:$A$73,0))&lt;=U$1),INDEX('CA Standards and Followers'!$2:$2,MATCH(U$1,'CA Standards and Followers'!$1:$1,0)),0))</f>
        <v>0</v>
      </c>
      <c r="V35">
        <f>IF(AND(INDEX('CA Standards and Followers'!$E$14:$E$73,MATCH($A35,'CA Standards and Followers'!$A$14:$A$73,0))=1,INDEX('CA Standards and Followers'!$H$14:$H$73,MATCH($A35,'CA Standards and Followers'!$A$14:$A$73,0))&lt;=V$1),INDEX('CA Standards and Followers'!$3:$3,MATCH(V$1,'CA Standards and Followers'!$1:$1,0)),IF(AND(INDEX('CA Standards and Followers'!$D$14:$D$73,MATCH($A35,'CA Standards and Followers'!$A$14:$A$73,0))=1,INDEX('CA Standards and Followers'!$G$14:$G$73,MATCH($A35,'CA Standards and Followers'!$A$14:$A$73,0))&lt;=V$1),INDEX('CA Standards and Followers'!$2:$2,MATCH(V$1,'CA Standards and Followers'!$1:$1,0)),0))</f>
        <v>0</v>
      </c>
      <c r="W35">
        <f>IF(AND(INDEX('CA Standards and Followers'!$E$14:$E$73,MATCH($A35,'CA Standards and Followers'!$A$14:$A$73,0))=1,INDEX('CA Standards and Followers'!$H$14:$H$73,MATCH($A35,'CA Standards and Followers'!$A$14:$A$73,0))&lt;=W$1),INDEX('CA Standards and Followers'!$3:$3,MATCH(W$1,'CA Standards and Followers'!$1:$1,0)),IF(AND(INDEX('CA Standards and Followers'!$D$14:$D$73,MATCH($A35,'CA Standards and Followers'!$A$14:$A$73,0))=1,INDEX('CA Standards and Followers'!$G$14:$G$73,MATCH($A35,'CA Standards and Followers'!$A$14:$A$73,0))&lt;=W$1),INDEX('CA Standards and Followers'!$2:$2,MATCH(W$1,'CA Standards and Followers'!$1:$1,0)),0))</f>
        <v>0</v>
      </c>
      <c r="X35">
        <f>IF(AND(INDEX('CA Standards and Followers'!$E$14:$E$73,MATCH($A35,'CA Standards and Followers'!$A$14:$A$73,0))=1,INDEX('CA Standards and Followers'!$H$14:$H$73,MATCH($A35,'CA Standards and Followers'!$A$14:$A$73,0))&lt;=X$1),INDEX('CA Standards and Followers'!$3:$3,MATCH(X$1,'CA Standards and Followers'!$1:$1,0)),IF(AND(INDEX('CA Standards and Followers'!$D$14:$D$73,MATCH($A35,'CA Standards and Followers'!$A$14:$A$73,0))=1,INDEX('CA Standards and Followers'!$G$14:$G$73,MATCH($A35,'CA Standards and Followers'!$A$14:$A$73,0))&lt;=X$1),INDEX('CA Standards and Followers'!$2:$2,MATCH(X$1,'CA Standards and Followers'!$1:$1,0)),0))</f>
        <v>0</v>
      </c>
      <c r="Y35">
        <f>IF(AND(INDEX('CA Standards and Followers'!$E$14:$E$73,MATCH($A35,'CA Standards and Followers'!$A$14:$A$73,0))=1,INDEX('CA Standards and Followers'!$H$14:$H$73,MATCH($A35,'CA Standards and Followers'!$A$14:$A$73,0))&lt;=Y$1),INDEX('CA Standards and Followers'!$3:$3,MATCH(Y$1,'CA Standards and Followers'!$1:$1,0)),IF(AND(INDEX('CA Standards and Followers'!$D$14:$D$73,MATCH($A35,'CA Standards and Followers'!$A$14:$A$73,0))=1,INDEX('CA Standards and Followers'!$G$14:$G$73,MATCH($A35,'CA Standards and Followers'!$A$14:$A$73,0))&lt;=Y$1),INDEX('CA Standards and Followers'!$2:$2,MATCH(Y$1,'CA Standards and Followers'!$1:$1,0)),0))</f>
        <v>0</v>
      </c>
      <c r="Z35">
        <f>IF(AND(INDEX('CA Standards and Followers'!$E$14:$E$73,MATCH($A35,'CA Standards and Followers'!$A$14:$A$73,0))=1,INDEX('CA Standards and Followers'!$H$14:$H$73,MATCH($A35,'CA Standards and Followers'!$A$14:$A$73,0))&lt;=Z$1),INDEX('CA Standards and Followers'!$3:$3,MATCH(Z$1,'CA Standards and Followers'!$1:$1,0)),IF(AND(INDEX('CA Standards and Followers'!$D$14:$D$73,MATCH($A35,'CA Standards and Followers'!$A$14:$A$73,0))=1,INDEX('CA Standards and Followers'!$G$14:$G$73,MATCH($A35,'CA Standards and Followers'!$A$14:$A$73,0))&lt;=Z$1),INDEX('CA Standards and Followers'!$2:$2,MATCH(Z$1,'CA Standards and Followers'!$1:$1,0)),0))</f>
        <v>0</v>
      </c>
      <c r="AA35">
        <f>IF(AND(INDEX('CA Standards and Followers'!$E$14:$E$73,MATCH($A35,'CA Standards and Followers'!$A$14:$A$73,0))=1,INDEX('CA Standards and Followers'!$H$14:$H$73,MATCH($A35,'CA Standards and Followers'!$A$14:$A$73,0))&lt;=AA$1),INDEX('CA Standards and Followers'!$3:$3,MATCH(AA$1,'CA Standards and Followers'!$1:$1,0)),IF(AND(INDEX('CA Standards and Followers'!$D$14:$D$73,MATCH($A35,'CA Standards and Followers'!$A$14:$A$73,0))=1,INDEX('CA Standards and Followers'!$G$14:$G$73,MATCH($A35,'CA Standards and Followers'!$A$14:$A$73,0))&lt;=AA$1),INDEX('CA Standards and Followers'!$2:$2,MATCH(AA$1,'CA Standards and Followers'!$1:$1,0)),0))</f>
        <v>0</v>
      </c>
      <c r="AB35">
        <f>IF(AND(INDEX('CA Standards and Followers'!$E$14:$E$73,MATCH($A35,'CA Standards and Followers'!$A$14:$A$73,0))=1,INDEX('CA Standards and Followers'!$H$14:$H$73,MATCH($A35,'CA Standards and Followers'!$A$14:$A$73,0))&lt;=AB$1),INDEX('CA Standards and Followers'!$3:$3,MATCH(AB$1,'CA Standards and Followers'!$1:$1,0)),IF(AND(INDEX('CA Standards and Followers'!$D$14:$D$73,MATCH($A35,'CA Standards and Followers'!$A$14:$A$73,0))=1,INDEX('CA Standards and Followers'!$G$14:$G$73,MATCH($A35,'CA Standards and Followers'!$A$14:$A$73,0))&lt;=AB$1),INDEX('CA Standards and Followers'!$2:$2,MATCH(AB$1,'CA Standards and Followers'!$1:$1,0)),0))</f>
        <v>0</v>
      </c>
      <c r="AC35">
        <f>IF(AND(INDEX('CA Standards and Followers'!$E$14:$E$73,MATCH($A35,'CA Standards and Followers'!$A$14:$A$73,0))=1,INDEX('CA Standards and Followers'!$H$14:$H$73,MATCH($A35,'CA Standards and Followers'!$A$14:$A$73,0))&lt;=AC$1),INDEX('CA Standards and Followers'!$3:$3,MATCH(AC$1,'CA Standards and Followers'!$1:$1,0)),IF(AND(INDEX('CA Standards and Followers'!$D$14:$D$73,MATCH($A35,'CA Standards and Followers'!$A$14:$A$73,0))=1,INDEX('CA Standards and Followers'!$G$14:$G$73,MATCH($A35,'CA Standards and Followers'!$A$14:$A$73,0))&lt;=AC$1),INDEX('CA Standards and Followers'!$2:$2,MATCH(AC$1,'CA Standards and Followers'!$1:$1,0)),0))</f>
        <v>0</v>
      </c>
      <c r="AD35">
        <f>IF(AND(INDEX('CA Standards and Followers'!$E$14:$E$73,MATCH($A35,'CA Standards and Followers'!$A$14:$A$73,0))=1,INDEX('CA Standards and Followers'!$H$14:$H$73,MATCH($A35,'CA Standards and Followers'!$A$14:$A$73,0))&lt;=AD$1),INDEX('CA Standards and Followers'!$3:$3,MATCH(AD$1,'CA Standards and Followers'!$1:$1,0)),IF(AND(INDEX('CA Standards and Followers'!$D$14:$D$73,MATCH($A35,'CA Standards and Followers'!$A$14:$A$73,0))=1,INDEX('CA Standards and Followers'!$G$14:$G$73,MATCH($A35,'CA Standards and Followers'!$A$14:$A$73,0))&lt;=AD$1),INDEX('CA Standards and Followers'!$2:$2,MATCH(AD$1,'CA Standards and Followers'!$1:$1,0)),0))</f>
        <v>0</v>
      </c>
      <c r="AE35">
        <f>IF(AND(INDEX('CA Standards and Followers'!$E$14:$E$73,MATCH($A35,'CA Standards and Followers'!$A$14:$A$73,0))=1,INDEX('CA Standards and Followers'!$H$14:$H$73,MATCH($A35,'CA Standards and Followers'!$A$14:$A$73,0))&lt;=AE$1),INDEX('CA Standards and Followers'!$3:$3,MATCH(AE$1,'CA Standards and Followers'!$1:$1,0)),IF(AND(INDEX('CA Standards and Followers'!$D$14:$D$73,MATCH($A35,'CA Standards and Followers'!$A$14:$A$73,0))=1,INDEX('CA Standards and Followers'!$G$14:$G$73,MATCH($A35,'CA Standards and Followers'!$A$14:$A$73,0))&lt;=AE$1),INDEX('CA Standards and Followers'!$2:$2,MATCH(AE$1,'CA Standards and Followers'!$1:$1,0)),0))</f>
        <v>0</v>
      </c>
      <c r="AF35">
        <f>IF(AND(INDEX('CA Standards and Followers'!$E$14:$E$73,MATCH($A35,'CA Standards and Followers'!$A$14:$A$73,0))=1,INDEX('CA Standards and Followers'!$H$14:$H$73,MATCH($A35,'CA Standards and Followers'!$A$14:$A$73,0))&lt;=AF$1),INDEX('CA Standards and Followers'!$3:$3,MATCH(AF$1,'CA Standards and Followers'!$1:$1,0)),IF(AND(INDEX('CA Standards and Followers'!$D$14:$D$73,MATCH($A35,'CA Standards and Followers'!$A$14:$A$73,0))=1,INDEX('CA Standards and Followers'!$G$14:$G$73,MATCH($A35,'CA Standards and Followers'!$A$14:$A$73,0))&lt;=AF$1),INDEX('CA Standards and Followers'!$2:$2,MATCH(AF$1,'CA Standards and Followers'!$1:$1,0)),0))</f>
        <v>0</v>
      </c>
    </row>
    <row r="36" spans="1:32" x14ac:dyDescent="0.25">
      <c r="A36" t="s">
        <v>36</v>
      </c>
      <c r="B36">
        <f>IF(AND(INDEX('CA Standards and Followers'!$E$14:$E$73,MATCH($A36,'CA Standards and Followers'!$A$14:$A$73,0))=1,INDEX('CA Standards and Followers'!$H$14:$H$73,MATCH($A36,'CA Standards and Followers'!$A$14:$A$73,0))&lt;=B$1),INDEX('CA Standards and Followers'!$3:$3,MATCH(B$1,'CA Standards and Followers'!$1:$1,0)),IF(AND(INDEX('CA Standards and Followers'!$D$14:$D$73,MATCH($A36,'CA Standards and Followers'!$A$14:$A$73,0))=1,INDEX('CA Standards and Followers'!$G$14:$G$73,MATCH($A36,'CA Standards and Followers'!$A$14:$A$73,0))&lt;=B$1),INDEX('CA Standards and Followers'!$2:$2,MATCH(B$1,'CA Standards and Followers'!$1:$1,0)),0))</f>
        <v>0</v>
      </c>
      <c r="C36">
        <f>IF(AND(INDEX('CA Standards and Followers'!$E$14:$E$73,MATCH($A36,'CA Standards and Followers'!$A$14:$A$73,0))=1,INDEX('CA Standards and Followers'!$H$14:$H$73,MATCH($A36,'CA Standards and Followers'!$A$14:$A$73,0))&lt;=C$1),INDEX('CA Standards and Followers'!$3:$3,MATCH(C$1,'CA Standards and Followers'!$1:$1,0)),IF(AND(INDEX('CA Standards and Followers'!$D$14:$D$73,MATCH($A36,'CA Standards and Followers'!$A$14:$A$73,0))=1,INDEX('CA Standards and Followers'!$G$14:$G$73,MATCH($A36,'CA Standards and Followers'!$A$14:$A$73,0))&lt;=C$1),INDEX('CA Standards and Followers'!$2:$2,MATCH(C$1,'CA Standards and Followers'!$1:$1,0)),0))</f>
        <v>0</v>
      </c>
      <c r="D36">
        <f>IF(AND(INDEX('CA Standards and Followers'!$E$14:$E$73,MATCH($A36,'CA Standards and Followers'!$A$14:$A$73,0))=1,INDEX('CA Standards and Followers'!$H$14:$H$73,MATCH($A36,'CA Standards and Followers'!$A$14:$A$73,0))&lt;=D$1),INDEX('CA Standards and Followers'!$3:$3,MATCH(D$1,'CA Standards and Followers'!$1:$1,0)),IF(AND(INDEX('CA Standards and Followers'!$D$14:$D$73,MATCH($A36,'CA Standards and Followers'!$A$14:$A$73,0))=1,INDEX('CA Standards and Followers'!$G$14:$G$73,MATCH($A36,'CA Standards and Followers'!$A$14:$A$73,0))&lt;=D$1),INDEX('CA Standards and Followers'!$2:$2,MATCH(D$1,'CA Standards and Followers'!$1:$1,0)),0))</f>
        <v>0</v>
      </c>
      <c r="E36">
        <f>IF(AND(INDEX('CA Standards and Followers'!$E$14:$E$73,MATCH($A36,'CA Standards and Followers'!$A$14:$A$73,0))=1,INDEX('CA Standards and Followers'!$H$14:$H$73,MATCH($A36,'CA Standards and Followers'!$A$14:$A$73,0))&lt;=E$1),INDEX('CA Standards and Followers'!$3:$3,MATCH(E$1,'CA Standards and Followers'!$1:$1,0)),IF(AND(INDEX('CA Standards and Followers'!$D$14:$D$73,MATCH($A36,'CA Standards and Followers'!$A$14:$A$73,0))=1,INDEX('CA Standards and Followers'!$G$14:$G$73,MATCH($A36,'CA Standards and Followers'!$A$14:$A$73,0))&lt;=E$1),INDEX('CA Standards and Followers'!$2:$2,MATCH(E$1,'CA Standards and Followers'!$1:$1,0)),0))</f>
        <v>0</v>
      </c>
      <c r="F36">
        <f>IF(AND(INDEX('CA Standards and Followers'!$E$14:$E$73,MATCH($A36,'CA Standards and Followers'!$A$14:$A$73,0))=1,INDEX('CA Standards and Followers'!$H$14:$H$73,MATCH($A36,'CA Standards and Followers'!$A$14:$A$73,0))&lt;=F$1),INDEX('CA Standards and Followers'!$3:$3,MATCH(F$1,'CA Standards and Followers'!$1:$1,0)),IF(AND(INDEX('CA Standards and Followers'!$D$14:$D$73,MATCH($A36,'CA Standards and Followers'!$A$14:$A$73,0))=1,INDEX('CA Standards and Followers'!$G$14:$G$73,MATCH($A36,'CA Standards and Followers'!$A$14:$A$73,0))&lt;=F$1),INDEX('CA Standards and Followers'!$2:$2,MATCH(F$1,'CA Standards and Followers'!$1:$1,0)),0))</f>
        <v>0</v>
      </c>
      <c r="G36">
        <f>IF(AND(INDEX('CA Standards and Followers'!$E$14:$E$73,MATCH($A36,'CA Standards and Followers'!$A$14:$A$73,0))=1,INDEX('CA Standards and Followers'!$H$14:$H$73,MATCH($A36,'CA Standards and Followers'!$A$14:$A$73,0))&lt;=G$1),INDEX('CA Standards and Followers'!$3:$3,MATCH(G$1,'CA Standards and Followers'!$1:$1,0)),IF(AND(INDEX('CA Standards and Followers'!$D$14:$D$73,MATCH($A36,'CA Standards and Followers'!$A$14:$A$73,0))=1,INDEX('CA Standards and Followers'!$G$14:$G$73,MATCH($A36,'CA Standards and Followers'!$A$14:$A$73,0))&lt;=G$1),INDEX('CA Standards and Followers'!$2:$2,MATCH(G$1,'CA Standards and Followers'!$1:$1,0)),0))</f>
        <v>0</v>
      </c>
      <c r="H36">
        <f>IF(AND(INDEX('CA Standards and Followers'!$E$14:$E$73,MATCH($A36,'CA Standards and Followers'!$A$14:$A$73,0))=1,INDEX('CA Standards and Followers'!$H$14:$H$73,MATCH($A36,'CA Standards and Followers'!$A$14:$A$73,0))&lt;=H$1),INDEX('CA Standards and Followers'!$3:$3,MATCH(H$1,'CA Standards and Followers'!$1:$1,0)),IF(AND(INDEX('CA Standards and Followers'!$D$14:$D$73,MATCH($A36,'CA Standards and Followers'!$A$14:$A$73,0))=1,INDEX('CA Standards and Followers'!$G$14:$G$73,MATCH($A36,'CA Standards and Followers'!$A$14:$A$73,0))&lt;=H$1),INDEX('CA Standards and Followers'!$2:$2,MATCH(H$1,'CA Standards and Followers'!$1:$1,0)),0))</f>
        <v>0</v>
      </c>
      <c r="I36">
        <f>IF(AND(INDEX('CA Standards and Followers'!$E$14:$E$73,MATCH($A36,'CA Standards and Followers'!$A$14:$A$73,0))=1,INDEX('CA Standards and Followers'!$H$14:$H$73,MATCH($A36,'CA Standards and Followers'!$A$14:$A$73,0))&lt;=I$1),INDEX('CA Standards and Followers'!$3:$3,MATCH(I$1,'CA Standards and Followers'!$1:$1,0)),IF(AND(INDEX('CA Standards and Followers'!$D$14:$D$73,MATCH($A36,'CA Standards and Followers'!$A$14:$A$73,0))=1,INDEX('CA Standards and Followers'!$G$14:$G$73,MATCH($A36,'CA Standards and Followers'!$A$14:$A$73,0))&lt;=I$1),INDEX('CA Standards and Followers'!$2:$2,MATCH(I$1,'CA Standards and Followers'!$1:$1,0)),0))</f>
        <v>0</v>
      </c>
      <c r="J36">
        <f>IF(AND(INDEX('CA Standards and Followers'!$E$14:$E$73,MATCH($A36,'CA Standards and Followers'!$A$14:$A$73,0))=1,INDEX('CA Standards and Followers'!$H$14:$H$73,MATCH($A36,'CA Standards and Followers'!$A$14:$A$73,0))&lt;=J$1),INDEX('CA Standards and Followers'!$3:$3,MATCH(J$1,'CA Standards and Followers'!$1:$1,0)),IF(AND(INDEX('CA Standards and Followers'!$D$14:$D$73,MATCH($A36,'CA Standards and Followers'!$A$14:$A$73,0))=1,INDEX('CA Standards and Followers'!$G$14:$G$73,MATCH($A36,'CA Standards and Followers'!$A$14:$A$73,0))&lt;=J$1),INDEX('CA Standards and Followers'!$2:$2,MATCH(J$1,'CA Standards and Followers'!$1:$1,0)),0))</f>
        <v>0</v>
      </c>
      <c r="K36">
        <f>IF(AND(INDEX('CA Standards and Followers'!$E$14:$E$73,MATCH($A36,'CA Standards and Followers'!$A$14:$A$73,0))=1,INDEX('CA Standards and Followers'!$H$14:$H$73,MATCH($A36,'CA Standards and Followers'!$A$14:$A$73,0))&lt;=K$1),INDEX('CA Standards and Followers'!$3:$3,MATCH(K$1,'CA Standards and Followers'!$1:$1,0)),IF(AND(INDEX('CA Standards and Followers'!$D$14:$D$73,MATCH($A36,'CA Standards and Followers'!$A$14:$A$73,0))=1,INDEX('CA Standards and Followers'!$G$14:$G$73,MATCH($A36,'CA Standards and Followers'!$A$14:$A$73,0))&lt;=K$1),INDEX('CA Standards and Followers'!$2:$2,MATCH(K$1,'CA Standards and Followers'!$1:$1,0)),0))</f>
        <v>0</v>
      </c>
      <c r="L36">
        <f>IF(AND(INDEX('CA Standards and Followers'!$E$14:$E$73,MATCH($A36,'CA Standards and Followers'!$A$14:$A$73,0))=1,INDEX('CA Standards and Followers'!$H$14:$H$73,MATCH($A36,'CA Standards and Followers'!$A$14:$A$73,0))&lt;=L$1),INDEX('CA Standards and Followers'!$3:$3,MATCH(L$1,'CA Standards and Followers'!$1:$1,0)),IF(AND(INDEX('CA Standards and Followers'!$D$14:$D$73,MATCH($A36,'CA Standards and Followers'!$A$14:$A$73,0))=1,INDEX('CA Standards and Followers'!$G$14:$G$73,MATCH($A36,'CA Standards and Followers'!$A$14:$A$73,0))&lt;=L$1),INDEX('CA Standards and Followers'!$2:$2,MATCH(L$1,'CA Standards and Followers'!$1:$1,0)),0))</f>
        <v>0</v>
      </c>
      <c r="M36">
        <f>IF(AND(INDEX('CA Standards and Followers'!$E$14:$E$73,MATCH($A36,'CA Standards and Followers'!$A$14:$A$73,0))=1,INDEX('CA Standards and Followers'!$H$14:$H$73,MATCH($A36,'CA Standards and Followers'!$A$14:$A$73,0))&lt;=M$1),INDEX('CA Standards and Followers'!$3:$3,MATCH(M$1,'CA Standards and Followers'!$1:$1,0)),IF(AND(INDEX('CA Standards and Followers'!$D$14:$D$73,MATCH($A36,'CA Standards and Followers'!$A$14:$A$73,0))=1,INDEX('CA Standards and Followers'!$G$14:$G$73,MATCH($A36,'CA Standards and Followers'!$A$14:$A$73,0))&lt;=M$1),INDEX('CA Standards and Followers'!$2:$2,MATCH(M$1,'CA Standards and Followers'!$1:$1,0)),0))</f>
        <v>0</v>
      </c>
      <c r="N36">
        <f>IF(AND(INDEX('CA Standards and Followers'!$E$14:$E$73,MATCH($A36,'CA Standards and Followers'!$A$14:$A$73,0))=1,INDEX('CA Standards and Followers'!$H$14:$H$73,MATCH($A36,'CA Standards and Followers'!$A$14:$A$73,0))&lt;=N$1),INDEX('CA Standards and Followers'!$3:$3,MATCH(N$1,'CA Standards and Followers'!$1:$1,0)),IF(AND(INDEX('CA Standards and Followers'!$D$14:$D$73,MATCH($A36,'CA Standards and Followers'!$A$14:$A$73,0))=1,INDEX('CA Standards and Followers'!$G$14:$G$73,MATCH($A36,'CA Standards and Followers'!$A$14:$A$73,0))&lt;=N$1),INDEX('CA Standards and Followers'!$2:$2,MATCH(N$1,'CA Standards and Followers'!$1:$1,0)),0))</f>
        <v>0</v>
      </c>
      <c r="O36">
        <f>IF(AND(INDEX('CA Standards and Followers'!$E$14:$E$73,MATCH($A36,'CA Standards and Followers'!$A$14:$A$73,0))=1,INDEX('CA Standards and Followers'!$H$14:$H$73,MATCH($A36,'CA Standards and Followers'!$A$14:$A$73,0))&lt;=O$1),INDEX('CA Standards and Followers'!$3:$3,MATCH(O$1,'CA Standards and Followers'!$1:$1,0)),IF(AND(INDEX('CA Standards and Followers'!$D$14:$D$73,MATCH($A36,'CA Standards and Followers'!$A$14:$A$73,0))=1,INDEX('CA Standards and Followers'!$G$14:$G$73,MATCH($A36,'CA Standards and Followers'!$A$14:$A$73,0))&lt;=O$1),INDEX('CA Standards and Followers'!$2:$2,MATCH(O$1,'CA Standards and Followers'!$1:$1,0)),0))</f>
        <v>0</v>
      </c>
      <c r="P36">
        <f>IF(AND(INDEX('CA Standards and Followers'!$E$14:$E$73,MATCH($A36,'CA Standards and Followers'!$A$14:$A$73,0))=1,INDEX('CA Standards and Followers'!$H$14:$H$73,MATCH($A36,'CA Standards and Followers'!$A$14:$A$73,0))&lt;=P$1),INDEX('CA Standards and Followers'!$3:$3,MATCH(P$1,'CA Standards and Followers'!$1:$1,0)),IF(AND(INDEX('CA Standards and Followers'!$D$14:$D$73,MATCH($A36,'CA Standards and Followers'!$A$14:$A$73,0))=1,INDEX('CA Standards and Followers'!$G$14:$G$73,MATCH($A36,'CA Standards and Followers'!$A$14:$A$73,0))&lt;=P$1),INDEX('CA Standards and Followers'!$2:$2,MATCH(P$1,'CA Standards and Followers'!$1:$1,0)),0))</f>
        <v>0</v>
      </c>
      <c r="Q36">
        <f>IF(AND(INDEX('CA Standards and Followers'!$E$14:$E$73,MATCH($A36,'CA Standards and Followers'!$A$14:$A$73,0))=1,INDEX('CA Standards and Followers'!$H$14:$H$73,MATCH($A36,'CA Standards and Followers'!$A$14:$A$73,0))&lt;=Q$1),INDEX('CA Standards and Followers'!$3:$3,MATCH(Q$1,'CA Standards and Followers'!$1:$1,0)),IF(AND(INDEX('CA Standards and Followers'!$D$14:$D$73,MATCH($A36,'CA Standards and Followers'!$A$14:$A$73,0))=1,INDEX('CA Standards and Followers'!$G$14:$G$73,MATCH($A36,'CA Standards and Followers'!$A$14:$A$73,0))&lt;=Q$1),INDEX('CA Standards and Followers'!$2:$2,MATCH(Q$1,'CA Standards and Followers'!$1:$1,0)),0))</f>
        <v>0</v>
      </c>
      <c r="R36">
        <f>IF(AND(INDEX('CA Standards and Followers'!$E$14:$E$73,MATCH($A36,'CA Standards and Followers'!$A$14:$A$73,0))=1,INDEX('CA Standards and Followers'!$H$14:$H$73,MATCH($A36,'CA Standards and Followers'!$A$14:$A$73,0))&lt;=R$1),INDEX('CA Standards and Followers'!$3:$3,MATCH(R$1,'CA Standards and Followers'!$1:$1,0)),IF(AND(INDEX('CA Standards and Followers'!$D$14:$D$73,MATCH($A36,'CA Standards and Followers'!$A$14:$A$73,0))=1,INDEX('CA Standards and Followers'!$G$14:$G$73,MATCH($A36,'CA Standards and Followers'!$A$14:$A$73,0))&lt;=R$1),INDEX('CA Standards and Followers'!$2:$2,MATCH(R$1,'CA Standards and Followers'!$1:$1,0)),0))</f>
        <v>0</v>
      </c>
      <c r="S36">
        <f>IF(AND(INDEX('CA Standards and Followers'!$E$14:$E$73,MATCH($A36,'CA Standards and Followers'!$A$14:$A$73,0))=1,INDEX('CA Standards and Followers'!$H$14:$H$73,MATCH($A36,'CA Standards and Followers'!$A$14:$A$73,0))&lt;=S$1),INDEX('CA Standards and Followers'!$3:$3,MATCH(S$1,'CA Standards and Followers'!$1:$1,0)),IF(AND(INDEX('CA Standards and Followers'!$D$14:$D$73,MATCH($A36,'CA Standards and Followers'!$A$14:$A$73,0))=1,INDEX('CA Standards and Followers'!$G$14:$G$73,MATCH($A36,'CA Standards and Followers'!$A$14:$A$73,0))&lt;=S$1),INDEX('CA Standards and Followers'!$2:$2,MATCH(S$1,'CA Standards and Followers'!$1:$1,0)),0))</f>
        <v>0</v>
      </c>
      <c r="T36">
        <f>IF(AND(INDEX('CA Standards and Followers'!$E$14:$E$73,MATCH($A36,'CA Standards and Followers'!$A$14:$A$73,0))=1,INDEX('CA Standards and Followers'!$H$14:$H$73,MATCH($A36,'CA Standards and Followers'!$A$14:$A$73,0))&lt;=T$1),INDEX('CA Standards and Followers'!$3:$3,MATCH(T$1,'CA Standards and Followers'!$1:$1,0)),IF(AND(INDEX('CA Standards and Followers'!$D$14:$D$73,MATCH($A36,'CA Standards and Followers'!$A$14:$A$73,0))=1,INDEX('CA Standards and Followers'!$G$14:$G$73,MATCH($A36,'CA Standards and Followers'!$A$14:$A$73,0))&lt;=T$1),INDEX('CA Standards and Followers'!$2:$2,MATCH(T$1,'CA Standards and Followers'!$1:$1,0)),0))</f>
        <v>0</v>
      </c>
      <c r="U36">
        <f>IF(AND(INDEX('CA Standards and Followers'!$E$14:$E$73,MATCH($A36,'CA Standards and Followers'!$A$14:$A$73,0))=1,INDEX('CA Standards and Followers'!$H$14:$H$73,MATCH($A36,'CA Standards and Followers'!$A$14:$A$73,0))&lt;=U$1),INDEX('CA Standards and Followers'!$3:$3,MATCH(U$1,'CA Standards and Followers'!$1:$1,0)),IF(AND(INDEX('CA Standards and Followers'!$D$14:$D$73,MATCH($A36,'CA Standards and Followers'!$A$14:$A$73,0))=1,INDEX('CA Standards and Followers'!$G$14:$G$73,MATCH($A36,'CA Standards and Followers'!$A$14:$A$73,0))&lt;=U$1),INDEX('CA Standards and Followers'!$2:$2,MATCH(U$1,'CA Standards and Followers'!$1:$1,0)),0))</f>
        <v>0</v>
      </c>
      <c r="V36">
        <f>IF(AND(INDEX('CA Standards and Followers'!$E$14:$E$73,MATCH($A36,'CA Standards and Followers'!$A$14:$A$73,0))=1,INDEX('CA Standards and Followers'!$H$14:$H$73,MATCH($A36,'CA Standards and Followers'!$A$14:$A$73,0))&lt;=V$1),INDEX('CA Standards and Followers'!$3:$3,MATCH(V$1,'CA Standards and Followers'!$1:$1,0)),IF(AND(INDEX('CA Standards and Followers'!$D$14:$D$73,MATCH($A36,'CA Standards and Followers'!$A$14:$A$73,0))=1,INDEX('CA Standards and Followers'!$G$14:$G$73,MATCH($A36,'CA Standards and Followers'!$A$14:$A$73,0))&lt;=V$1),INDEX('CA Standards and Followers'!$2:$2,MATCH(V$1,'CA Standards and Followers'!$1:$1,0)),0))</f>
        <v>0</v>
      </c>
      <c r="W36">
        <f>IF(AND(INDEX('CA Standards and Followers'!$E$14:$E$73,MATCH($A36,'CA Standards and Followers'!$A$14:$A$73,0))=1,INDEX('CA Standards and Followers'!$H$14:$H$73,MATCH($A36,'CA Standards and Followers'!$A$14:$A$73,0))&lt;=W$1),INDEX('CA Standards and Followers'!$3:$3,MATCH(W$1,'CA Standards and Followers'!$1:$1,0)),IF(AND(INDEX('CA Standards and Followers'!$D$14:$D$73,MATCH($A36,'CA Standards and Followers'!$A$14:$A$73,0))=1,INDEX('CA Standards and Followers'!$G$14:$G$73,MATCH($A36,'CA Standards and Followers'!$A$14:$A$73,0))&lt;=W$1),INDEX('CA Standards and Followers'!$2:$2,MATCH(W$1,'CA Standards and Followers'!$1:$1,0)),0))</f>
        <v>0</v>
      </c>
      <c r="X36">
        <f>IF(AND(INDEX('CA Standards and Followers'!$E$14:$E$73,MATCH($A36,'CA Standards and Followers'!$A$14:$A$73,0))=1,INDEX('CA Standards and Followers'!$H$14:$H$73,MATCH($A36,'CA Standards and Followers'!$A$14:$A$73,0))&lt;=X$1),INDEX('CA Standards and Followers'!$3:$3,MATCH(X$1,'CA Standards and Followers'!$1:$1,0)),IF(AND(INDEX('CA Standards and Followers'!$D$14:$D$73,MATCH($A36,'CA Standards and Followers'!$A$14:$A$73,0))=1,INDEX('CA Standards and Followers'!$G$14:$G$73,MATCH($A36,'CA Standards and Followers'!$A$14:$A$73,0))&lt;=X$1),INDEX('CA Standards and Followers'!$2:$2,MATCH(X$1,'CA Standards and Followers'!$1:$1,0)),0))</f>
        <v>0</v>
      </c>
      <c r="Y36">
        <f>IF(AND(INDEX('CA Standards and Followers'!$E$14:$E$73,MATCH($A36,'CA Standards and Followers'!$A$14:$A$73,0))=1,INDEX('CA Standards and Followers'!$H$14:$H$73,MATCH($A36,'CA Standards and Followers'!$A$14:$A$73,0))&lt;=Y$1),INDEX('CA Standards and Followers'!$3:$3,MATCH(Y$1,'CA Standards and Followers'!$1:$1,0)),IF(AND(INDEX('CA Standards and Followers'!$D$14:$D$73,MATCH($A36,'CA Standards and Followers'!$A$14:$A$73,0))=1,INDEX('CA Standards and Followers'!$G$14:$G$73,MATCH($A36,'CA Standards and Followers'!$A$14:$A$73,0))&lt;=Y$1),INDEX('CA Standards and Followers'!$2:$2,MATCH(Y$1,'CA Standards and Followers'!$1:$1,0)),0))</f>
        <v>0</v>
      </c>
      <c r="Z36">
        <f>IF(AND(INDEX('CA Standards and Followers'!$E$14:$E$73,MATCH($A36,'CA Standards and Followers'!$A$14:$A$73,0))=1,INDEX('CA Standards and Followers'!$H$14:$H$73,MATCH($A36,'CA Standards and Followers'!$A$14:$A$73,0))&lt;=Z$1),INDEX('CA Standards and Followers'!$3:$3,MATCH(Z$1,'CA Standards and Followers'!$1:$1,0)),IF(AND(INDEX('CA Standards and Followers'!$D$14:$D$73,MATCH($A36,'CA Standards and Followers'!$A$14:$A$73,0))=1,INDEX('CA Standards and Followers'!$G$14:$G$73,MATCH($A36,'CA Standards and Followers'!$A$14:$A$73,0))&lt;=Z$1),INDEX('CA Standards and Followers'!$2:$2,MATCH(Z$1,'CA Standards and Followers'!$1:$1,0)),0))</f>
        <v>0</v>
      </c>
      <c r="AA36">
        <f>IF(AND(INDEX('CA Standards and Followers'!$E$14:$E$73,MATCH($A36,'CA Standards and Followers'!$A$14:$A$73,0))=1,INDEX('CA Standards and Followers'!$H$14:$H$73,MATCH($A36,'CA Standards and Followers'!$A$14:$A$73,0))&lt;=AA$1),INDEX('CA Standards and Followers'!$3:$3,MATCH(AA$1,'CA Standards and Followers'!$1:$1,0)),IF(AND(INDEX('CA Standards and Followers'!$D$14:$D$73,MATCH($A36,'CA Standards and Followers'!$A$14:$A$73,0))=1,INDEX('CA Standards and Followers'!$G$14:$G$73,MATCH($A36,'CA Standards and Followers'!$A$14:$A$73,0))&lt;=AA$1),INDEX('CA Standards and Followers'!$2:$2,MATCH(AA$1,'CA Standards and Followers'!$1:$1,0)),0))</f>
        <v>0</v>
      </c>
      <c r="AB36">
        <f>IF(AND(INDEX('CA Standards and Followers'!$E$14:$E$73,MATCH($A36,'CA Standards and Followers'!$A$14:$A$73,0))=1,INDEX('CA Standards and Followers'!$H$14:$H$73,MATCH($A36,'CA Standards and Followers'!$A$14:$A$73,0))&lt;=AB$1),INDEX('CA Standards and Followers'!$3:$3,MATCH(AB$1,'CA Standards and Followers'!$1:$1,0)),IF(AND(INDEX('CA Standards and Followers'!$D$14:$D$73,MATCH($A36,'CA Standards and Followers'!$A$14:$A$73,0))=1,INDEX('CA Standards and Followers'!$G$14:$G$73,MATCH($A36,'CA Standards and Followers'!$A$14:$A$73,0))&lt;=AB$1),INDEX('CA Standards and Followers'!$2:$2,MATCH(AB$1,'CA Standards and Followers'!$1:$1,0)),0))</f>
        <v>0</v>
      </c>
      <c r="AC36">
        <f>IF(AND(INDEX('CA Standards and Followers'!$E$14:$E$73,MATCH($A36,'CA Standards and Followers'!$A$14:$A$73,0))=1,INDEX('CA Standards and Followers'!$H$14:$H$73,MATCH($A36,'CA Standards and Followers'!$A$14:$A$73,0))&lt;=AC$1),INDEX('CA Standards and Followers'!$3:$3,MATCH(AC$1,'CA Standards and Followers'!$1:$1,0)),IF(AND(INDEX('CA Standards and Followers'!$D$14:$D$73,MATCH($A36,'CA Standards and Followers'!$A$14:$A$73,0))=1,INDEX('CA Standards and Followers'!$G$14:$G$73,MATCH($A36,'CA Standards and Followers'!$A$14:$A$73,0))&lt;=AC$1),INDEX('CA Standards and Followers'!$2:$2,MATCH(AC$1,'CA Standards and Followers'!$1:$1,0)),0))</f>
        <v>0</v>
      </c>
      <c r="AD36">
        <f>IF(AND(INDEX('CA Standards and Followers'!$E$14:$E$73,MATCH($A36,'CA Standards and Followers'!$A$14:$A$73,0))=1,INDEX('CA Standards and Followers'!$H$14:$H$73,MATCH($A36,'CA Standards and Followers'!$A$14:$A$73,0))&lt;=AD$1),INDEX('CA Standards and Followers'!$3:$3,MATCH(AD$1,'CA Standards and Followers'!$1:$1,0)),IF(AND(INDEX('CA Standards and Followers'!$D$14:$D$73,MATCH($A36,'CA Standards and Followers'!$A$14:$A$73,0))=1,INDEX('CA Standards and Followers'!$G$14:$G$73,MATCH($A36,'CA Standards and Followers'!$A$14:$A$73,0))&lt;=AD$1),INDEX('CA Standards and Followers'!$2:$2,MATCH(AD$1,'CA Standards and Followers'!$1:$1,0)),0))</f>
        <v>0</v>
      </c>
      <c r="AE36">
        <f>IF(AND(INDEX('CA Standards and Followers'!$E$14:$E$73,MATCH($A36,'CA Standards and Followers'!$A$14:$A$73,0))=1,INDEX('CA Standards and Followers'!$H$14:$H$73,MATCH($A36,'CA Standards and Followers'!$A$14:$A$73,0))&lt;=AE$1),INDEX('CA Standards and Followers'!$3:$3,MATCH(AE$1,'CA Standards and Followers'!$1:$1,0)),IF(AND(INDEX('CA Standards and Followers'!$D$14:$D$73,MATCH($A36,'CA Standards and Followers'!$A$14:$A$73,0))=1,INDEX('CA Standards and Followers'!$G$14:$G$73,MATCH($A36,'CA Standards and Followers'!$A$14:$A$73,0))&lt;=AE$1),INDEX('CA Standards and Followers'!$2:$2,MATCH(AE$1,'CA Standards and Followers'!$1:$1,0)),0))</f>
        <v>0</v>
      </c>
      <c r="AF36">
        <f>IF(AND(INDEX('CA Standards and Followers'!$E$14:$E$73,MATCH($A36,'CA Standards and Followers'!$A$14:$A$73,0))=1,INDEX('CA Standards and Followers'!$H$14:$H$73,MATCH($A36,'CA Standards and Followers'!$A$14:$A$73,0))&lt;=AF$1),INDEX('CA Standards and Followers'!$3:$3,MATCH(AF$1,'CA Standards and Followers'!$1:$1,0)),IF(AND(INDEX('CA Standards and Followers'!$D$14:$D$73,MATCH($A36,'CA Standards and Followers'!$A$14:$A$73,0))=1,INDEX('CA Standards and Followers'!$G$14:$G$73,MATCH($A36,'CA Standards and Followers'!$A$14:$A$73,0))&lt;=AF$1),INDEX('CA Standards and Followers'!$2:$2,MATCH(AF$1,'CA Standards and Followers'!$1:$1,0)),0))</f>
        <v>0</v>
      </c>
    </row>
    <row r="37" spans="1:32" x14ac:dyDescent="0.25">
      <c r="A37" t="s">
        <v>37</v>
      </c>
      <c r="B37">
        <f>IF(AND(INDEX('CA Standards and Followers'!$E$14:$E$73,MATCH($A37,'CA Standards and Followers'!$A$14:$A$73,0))=1,INDEX('CA Standards and Followers'!$H$14:$H$73,MATCH($A37,'CA Standards and Followers'!$A$14:$A$73,0))&lt;=B$1),INDEX('CA Standards and Followers'!$3:$3,MATCH(B$1,'CA Standards and Followers'!$1:$1,0)),IF(AND(INDEX('CA Standards and Followers'!$D$14:$D$73,MATCH($A37,'CA Standards and Followers'!$A$14:$A$73,0))=1,INDEX('CA Standards and Followers'!$G$14:$G$73,MATCH($A37,'CA Standards and Followers'!$A$14:$A$73,0))&lt;=B$1),INDEX('CA Standards and Followers'!$2:$2,MATCH(B$1,'CA Standards and Followers'!$1:$1,0)),0))</f>
        <v>0</v>
      </c>
      <c r="C37">
        <f>IF(AND(INDEX('CA Standards and Followers'!$E$14:$E$73,MATCH($A37,'CA Standards and Followers'!$A$14:$A$73,0))=1,INDEX('CA Standards and Followers'!$H$14:$H$73,MATCH($A37,'CA Standards and Followers'!$A$14:$A$73,0))&lt;=C$1),INDEX('CA Standards and Followers'!$3:$3,MATCH(C$1,'CA Standards and Followers'!$1:$1,0)),IF(AND(INDEX('CA Standards and Followers'!$D$14:$D$73,MATCH($A37,'CA Standards and Followers'!$A$14:$A$73,0))=1,INDEX('CA Standards and Followers'!$G$14:$G$73,MATCH($A37,'CA Standards and Followers'!$A$14:$A$73,0))&lt;=C$1),INDEX('CA Standards and Followers'!$2:$2,MATCH(C$1,'CA Standards and Followers'!$1:$1,0)),0))</f>
        <v>0</v>
      </c>
      <c r="D37">
        <f>IF(AND(INDEX('CA Standards and Followers'!$E$14:$E$73,MATCH($A37,'CA Standards and Followers'!$A$14:$A$73,0))=1,INDEX('CA Standards and Followers'!$H$14:$H$73,MATCH($A37,'CA Standards and Followers'!$A$14:$A$73,0))&lt;=D$1),INDEX('CA Standards and Followers'!$3:$3,MATCH(D$1,'CA Standards and Followers'!$1:$1,0)),IF(AND(INDEX('CA Standards and Followers'!$D$14:$D$73,MATCH($A37,'CA Standards and Followers'!$A$14:$A$73,0))=1,INDEX('CA Standards and Followers'!$G$14:$G$73,MATCH($A37,'CA Standards and Followers'!$A$14:$A$73,0))&lt;=D$1),INDEX('CA Standards and Followers'!$2:$2,MATCH(D$1,'CA Standards and Followers'!$1:$1,0)),0))</f>
        <v>0</v>
      </c>
      <c r="E37">
        <f>IF(AND(INDEX('CA Standards and Followers'!$E$14:$E$73,MATCH($A37,'CA Standards and Followers'!$A$14:$A$73,0))=1,INDEX('CA Standards and Followers'!$H$14:$H$73,MATCH($A37,'CA Standards and Followers'!$A$14:$A$73,0))&lt;=E$1),INDEX('CA Standards and Followers'!$3:$3,MATCH(E$1,'CA Standards and Followers'!$1:$1,0)),IF(AND(INDEX('CA Standards and Followers'!$D$14:$D$73,MATCH($A37,'CA Standards and Followers'!$A$14:$A$73,0))=1,INDEX('CA Standards and Followers'!$G$14:$G$73,MATCH($A37,'CA Standards and Followers'!$A$14:$A$73,0))&lt;=E$1),INDEX('CA Standards and Followers'!$2:$2,MATCH(E$1,'CA Standards and Followers'!$1:$1,0)),0))</f>
        <v>0</v>
      </c>
      <c r="F37">
        <f>IF(AND(INDEX('CA Standards and Followers'!$E$14:$E$73,MATCH($A37,'CA Standards and Followers'!$A$14:$A$73,0))=1,INDEX('CA Standards and Followers'!$H$14:$H$73,MATCH($A37,'CA Standards and Followers'!$A$14:$A$73,0))&lt;=F$1),INDEX('CA Standards and Followers'!$3:$3,MATCH(F$1,'CA Standards and Followers'!$1:$1,0)),IF(AND(INDEX('CA Standards and Followers'!$D$14:$D$73,MATCH($A37,'CA Standards and Followers'!$A$14:$A$73,0))=1,INDEX('CA Standards and Followers'!$G$14:$G$73,MATCH($A37,'CA Standards and Followers'!$A$14:$A$73,0))&lt;=F$1),INDEX('CA Standards and Followers'!$2:$2,MATCH(F$1,'CA Standards and Followers'!$1:$1,0)),0))</f>
        <v>0</v>
      </c>
      <c r="G37">
        <f>IF(AND(INDEX('CA Standards and Followers'!$E$14:$E$73,MATCH($A37,'CA Standards and Followers'!$A$14:$A$73,0))=1,INDEX('CA Standards and Followers'!$H$14:$H$73,MATCH($A37,'CA Standards and Followers'!$A$14:$A$73,0))&lt;=G$1),INDEX('CA Standards and Followers'!$3:$3,MATCH(G$1,'CA Standards and Followers'!$1:$1,0)),IF(AND(INDEX('CA Standards and Followers'!$D$14:$D$73,MATCH($A37,'CA Standards and Followers'!$A$14:$A$73,0))=1,INDEX('CA Standards and Followers'!$G$14:$G$73,MATCH($A37,'CA Standards and Followers'!$A$14:$A$73,0))&lt;=G$1),INDEX('CA Standards and Followers'!$2:$2,MATCH(G$1,'CA Standards and Followers'!$1:$1,0)),0))</f>
        <v>0</v>
      </c>
      <c r="H37">
        <f>IF(AND(INDEX('CA Standards and Followers'!$E$14:$E$73,MATCH($A37,'CA Standards and Followers'!$A$14:$A$73,0))=1,INDEX('CA Standards and Followers'!$H$14:$H$73,MATCH($A37,'CA Standards and Followers'!$A$14:$A$73,0))&lt;=H$1),INDEX('CA Standards and Followers'!$3:$3,MATCH(H$1,'CA Standards and Followers'!$1:$1,0)),IF(AND(INDEX('CA Standards and Followers'!$D$14:$D$73,MATCH($A37,'CA Standards and Followers'!$A$14:$A$73,0))=1,INDEX('CA Standards and Followers'!$G$14:$G$73,MATCH($A37,'CA Standards and Followers'!$A$14:$A$73,0))&lt;=H$1),INDEX('CA Standards and Followers'!$2:$2,MATCH(H$1,'CA Standards and Followers'!$1:$1,0)),0))</f>
        <v>0</v>
      </c>
      <c r="I37">
        <f>IF(AND(INDEX('CA Standards and Followers'!$E$14:$E$73,MATCH($A37,'CA Standards and Followers'!$A$14:$A$73,0))=1,INDEX('CA Standards and Followers'!$H$14:$H$73,MATCH($A37,'CA Standards and Followers'!$A$14:$A$73,0))&lt;=I$1),INDEX('CA Standards and Followers'!$3:$3,MATCH(I$1,'CA Standards and Followers'!$1:$1,0)),IF(AND(INDEX('CA Standards and Followers'!$D$14:$D$73,MATCH($A37,'CA Standards and Followers'!$A$14:$A$73,0))=1,INDEX('CA Standards and Followers'!$G$14:$G$73,MATCH($A37,'CA Standards and Followers'!$A$14:$A$73,0))&lt;=I$1),INDEX('CA Standards and Followers'!$2:$2,MATCH(I$1,'CA Standards and Followers'!$1:$1,0)),0))</f>
        <v>0</v>
      </c>
      <c r="J37">
        <f>IF(AND(INDEX('CA Standards and Followers'!$E$14:$E$73,MATCH($A37,'CA Standards and Followers'!$A$14:$A$73,0))=1,INDEX('CA Standards and Followers'!$H$14:$H$73,MATCH($A37,'CA Standards and Followers'!$A$14:$A$73,0))&lt;=J$1),INDEX('CA Standards and Followers'!$3:$3,MATCH(J$1,'CA Standards and Followers'!$1:$1,0)),IF(AND(INDEX('CA Standards and Followers'!$D$14:$D$73,MATCH($A37,'CA Standards and Followers'!$A$14:$A$73,0))=1,INDEX('CA Standards and Followers'!$G$14:$G$73,MATCH($A37,'CA Standards and Followers'!$A$14:$A$73,0))&lt;=J$1),INDEX('CA Standards and Followers'!$2:$2,MATCH(J$1,'CA Standards and Followers'!$1:$1,0)),0))</f>
        <v>0</v>
      </c>
      <c r="K37">
        <f>IF(AND(INDEX('CA Standards and Followers'!$E$14:$E$73,MATCH($A37,'CA Standards and Followers'!$A$14:$A$73,0))=1,INDEX('CA Standards and Followers'!$H$14:$H$73,MATCH($A37,'CA Standards and Followers'!$A$14:$A$73,0))&lt;=K$1),INDEX('CA Standards and Followers'!$3:$3,MATCH(K$1,'CA Standards and Followers'!$1:$1,0)),IF(AND(INDEX('CA Standards and Followers'!$D$14:$D$73,MATCH($A37,'CA Standards and Followers'!$A$14:$A$73,0))=1,INDEX('CA Standards and Followers'!$G$14:$G$73,MATCH($A37,'CA Standards and Followers'!$A$14:$A$73,0))&lt;=K$1),INDEX('CA Standards and Followers'!$2:$2,MATCH(K$1,'CA Standards and Followers'!$1:$1,0)),0))</f>
        <v>0</v>
      </c>
      <c r="L37">
        <f>IF(AND(INDEX('CA Standards and Followers'!$E$14:$E$73,MATCH($A37,'CA Standards and Followers'!$A$14:$A$73,0))=1,INDEX('CA Standards and Followers'!$H$14:$H$73,MATCH($A37,'CA Standards and Followers'!$A$14:$A$73,0))&lt;=L$1),INDEX('CA Standards and Followers'!$3:$3,MATCH(L$1,'CA Standards and Followers'!$1:$1,0)),IF(AND(INDEX('CA Standards and Followers'!$D$14:$D$73,MATCH($A37,'CA Standards and Followers'!$A$14:$A$73,0))=1,INDEX('CA Standards and Followers'!$G$14:$G$73,MATCH($A37,'CA Standards and Followers'!$A$14:$A$73,0))&lt;=L$1),INDEX('CA Standards and Followers'!$2:$2,MATCH(L$1,'CA Standards and Followers'!$1:$1,0)),0))</f>
        <v>0</v>
      </c>
      <c r="M37">
        <f>IF(AND(INDEX('CA Standards and Followers'!$E$14:$E$73,MATCH($A37,'CA Standards and Followers'!$A$14:$A$73,0))=1,INDEX('CA Standards and Followers'!$H$14:$H$73,MATCH($A37,'CA Standards and Followers'!$A$14:$A$73,0))&lt;=M$1),INDEX('CA Standards and Followers'!$3:$3,MATCH(M$1,'CA Standards and Followers'!$1:$1,0)),IF(AND(INDEX('CA Standards and Followers'!$D$14:$D$73,MATCH($A37,'CA Standards and Followers'!$A$14:$A$73,0))=1,INDEX('CA Standards and Followers'!$G$14:$G$73,MATCH($A37,'CA Standards and Followers'!$A$14:$A$73,0))&lt;=M$1),INDEX('CA Standards and Followers'!$2:$2,MATCH(M$1,'CA Standards and Followers'!$1:$1,0)),0))</f>
        <v>0</v>
      </c>
      <c r="N37">
        <f>IF(AND(INDEX('CA Standards and Followers'!$E$14:$E$73,MATCH($A37,'CA Standards and Followers'!$A$14:$A$73,0))=1,INDEX('CA Standards and Followers'!$H$14:$H$73,MATCH($A37,'CA Standards and Followers'!$A$14:$A$73,0))&lt;=N$1),INDEX('CA Standards and Followers'!$3:$3,MATCH(N$1,'CA Standards and Followers'!$1:$1,0)),IF(AND(INDEX('CA Standards and Followers'!$D$14:$D$73,MATCH($A37,'CA Standards and Followers'!$A$14:$A$73,0))=1,INDEX('CA Standards and Followers'!$G$14:$G$73,MATCH($A37,'CA Standards and Followers'!$A$14:$A$73,0))&lt;=N$1),INDEX('CA Standards and Followers'!$2:$2,MATCH(N$1,'CA Standards and Followers'!$1:$1,0)),0))</f>
        <v>0</v>
      </c>
      <c r="O37">
        <f>IF(AND(INDEX('CA Standards and Followers'!$E$14:$E$73,MATCH($A37,'CA Standards and Followers'!$A$14:$A$73,0))=1,INDEX('CA Standards and Followers'!$H$14:$H$73,MATCH($A37,'CA Standards and Followers'!$A$14:$A$73,0))&lt;=O$1),INDEX('CA Standards and Followers'!$3:$3,MATCH(O$1,'CA Standards and Followers'!$1:$1,0)),IF(AND(INDEX('CA Standards and Followers'!$D$14:$D$73,MATCH($A37,'CA Standards and Followers'!$A$14:$A$73,0))=1,INDEX('CA Standards and Followers'!$G$14:$G$73,MATCH($A37,'CA Standards and Followers'!$A$14:$A$73,0))&lt;=O$1),INDEX('CA Standards and Followers'!$2:$2,MATCH(O$1,'CA Standards and Followers'!$1:$1,0)),0))</f>
        <v>0</v>
      </c>
      <c r="P37">
        <f>IF(AND(INDEX('CA Standards and Followers'!$E$14:$E$73,MATCH($A37,'CA Standards and Followers'!$A$14:$A$73,0))=1,INDEX('CA Standards and Followers'!$H$14:$H$73,MATCH($A37,'CA Standards and Followers'!$A$14:$A$73,0))&lt;=P$1),INDEX('CA Standards and Followers'!$3:$3,MATCH(P$1,'CA Standards and Followers'!$1:$1,0)),IF(AND(INDEX('CA Standards and Followers'!$D$14:$D$73,MATCH($A37,'CA Standards and Followers'!$A$14:$A$73,0))=1,INDEX('CA Standards and Followers'!$G$14:$G$73,MATCH($A37,'CA Standards and Followers'!$A$14:$A$73,0))&lt;=P$1),INDEX('CA Standards and Followers'!$2:$2,MATCH(P$1,'CA Standards and Followers'!$1:$1,0)),0))</f>
        <v>0</v>
      </c>
      <c r="Q37">
        <f>IF(AND(INDEX('CA Standards and Followers'!$E$14:$E$73,MATCH($A37,'CA Standards and Followers'!$A$14:$A$73,0))=1,INDEX('CA Standards and Followers'!$H$14:$H$73,MATCH($A37,'CA Standards and Followers'!$A$14:$A$73,0))&lt;=Q$1),INDEX('CA Standards and Followers'!$3:$3,MATCH(Q$1,'CA Standards and Followers'!$1:$1,0)),IF(AND(INDEX('CA Standards and Followers'!$D$14:$D$73,MATCH($A37,'CA Standards and Followers'!$A$14:$A$73,0))=1,INDEX('CA Standards and Followers'!$G$14:$G$73,MATCH($A37,'CA Standards and Followers'!$A$14:$A$73,0))&lt;=Q$1),INDEX('CA Standards and Followers'!$2:$2,MATCH(Q$1,'CA Standards and Followers'!$1:$1,0)),0))</f>
        <v>0</v>
      </c>
      <c r="R37">
        <f>IF(AND(INDEX('CA Standards and Followers'!$E$14:$E$73,MATCH($A37,'CA Standards and Followers'!$A$14:$A$73,0))=1,INDEX('CA Standards and Followers'!$H$14:$H$73,MATCH($A37,'CA Standards and Followers'!$A$14:$A$73,0))&lt;=R$1),INDEX('CA Standards and Followers'!$3:$3,MATCH(R$1,'CA Standards and Followers'!$1:$1,0)),IF(AND(INDEX('CA Standards and Followers'!$D$14:$D$73,MATCH($A37,'CA Standards and Followers'!$A$14:$A$73,0))=1,INDEX('CA Standards and Followers'!$G$14:$G$73,MATCH($A37,'CA Standards and Followers'!$A$14:$A$73,0))&lt;=R$1),INDEX('CA Standards and Followers'!$2:$2,MATCH(R$1,'CA Standards and Followers'!$1:$1,0)),0))</f>
        <v>0</v>
      </c>
      <c r="S37">
        <f>IF(AND(INDEX('CA Standards and Followers'!$E$14:$E$73,MATCH($A37,'CA Standards and Followers'!$A$14:$A$73,0))=1,INDEX('CA Standards and Followers'!$H$14:$H$73,MATCH($A37,'CA Standards and Followers'!$A$14:$A$73,0))&lt;=S$1),INDEX('CA Standards and Followers'!$3:$3,MATCH(S$1,'CA Standards and Followers'!$1:$1,0)),IF(AND(INDEX('CA Standards and Followers'!$D$14:$D$73,MATCH($A37,'CA Standards and Followers'!$A$14:$A$73,0))=1,INDEX('CA Standards and Followers'!$G$14:$G$73,MATCH($A37,'CA Standards and Followers'!$A$14:$A$73,0))&lt;=S$1),INDEX('CA Standards and Followers'!$2:$2,MATCH(S$1,'CA Standards and Followers'!$1:$1,0)),0))</f>
        <v>0</v>
      </c>
      <c r="T37">
        <f>IF(AND(INDEX('CA Standards and Followers'!$E$14:$E$73,MATCH($A37,'CA Standards and Followers'!$A$14:$A$73,0))=1,INDEX('CA Standards and Followers'!$H$14:$H$73,MATCH($A37,'CA Standards and Followers'!$A$14:$A$73,0))&lt;=T$1),INDEX('CA Standards and Followers'!$3:$3,MATCH(T$1,'CA Standards and Followers'!$1:$1,0)),IF(AND(INDEX('CA Standards and Followers'!$D$14:$D$73,MATCH($A37,'CA Standards and Followers'!$A$14:$A$73,0))=1,INDEX('CA Standards and Followers'!$G$14:$G$73,MATCH($A37,'CA Standards and Followers'!$A$14:$A$73,0))&lt;=T$1),INDEX('CA Standards and Followers'!$2:$2,MATCH(T$1,'CA Standards and Followers'!$1:$1,0)),0))</f>
        <v>0</v>
      </c>
      <c r="U37">
        <f>IF(AND(INDEX('CA Standards and Followers'!$E$14:$E$73,MATCH($A37,'CA Standards and Followers'!$A$14:$A$73,0))=1,INDEX('CA Standards and Followers'!$H$14:$H$73,MATCH($A37,'CA Standards and Followers'!$A$14:$A$73,0))&lt;=U$1),INDEX('CA Standards and Followers'!$3:$3,MATCH(U$1,'CA Standards and Followers'!$1:$1,0)),IF(AND(INDEX('CA Standards and Followers'!$D$14:$D$73,MATCH($A37,'CA Standards and Followers'!$A$14:$A$73,0))=1,INDEX('CA Standards and Followers'!$G$14:$G$73,MATCH($A37,'CA Standards and Followers'!$A$14:$A$73,0))&lt;=U$1),INDEX('CA Standards and Followers'!$2:$2,MATCH(U$1,'CA Standards and Followers'!$1:$1,0)),0))</f>
        <v>0</v>
      </c>
      <c r="V37">
        <f>IF(AND(INDEX('CA Standards and Followers'!$E$14:$E$73,MATCH($A37,'CA Standards and Followers'!$A$14:$A$73,0))=1,INDEX('CA Standards and Followers'!$H$14:$H$73,MATCH($A37,'CA Standards and Followers'!$A$14:$A$73,0))&lt;=V$1),INDEX('CA Standards and Followers'!$3:$3,MATCH(V$1,'CA Standards and Followers'!$1:$1,0)),IF(AND(INDEX('CA Standards and Followers'!$D$14:$D$73,MATCH($A37,'CA Standards and Followers'!$A$14:$A$73,0))=1,INDEX('CA Standards and Followers'!$G$14:$G$73,MATCH($A37,'CA Standards and Followers'!$A$14:$A$73,0))&lt;=V$1),INDEX('CA Standards and Followers'!$2:$2,MATCH(V$1,'CA Standards and Followers'!$1:$1,0)),0))</f>
        <v>0</v>
      </c>
      <c r="W37">
        <f>IF(AND(INDEX('CA Standards and Followers'!$E$14:$E$73,MATCH($A37,'CA Standards and Followers'!$A$14:$A$73,0))=1,INDEX('CA Standards and Followers'!$H$14:$H$73,MATCH($A37,'CA Standards and Followers'!$A$14:$A$73,0))&lt;=W$1),INDEX('CA Standards and Followers'!$3:$3,MATCH(W$1,'CA Standards and Followers'!$1:$1,0)),IF(AND(INDEX('CA Standards and Followers'!$D$14:$D$73,MATCH($A37,'CA Standards and Followers'!$A$14:$A$73,0))=1,INDEX('CA Standards and Followers'!$G$14:$G$73,MATCH($A37,'CA Standards and Followers'!$A$14:$A$73,0))&lt;=W$1),INDEX('CA Standards and Followers'!$2:$2,MATCH(W$1,'CA Standards and Followers'!$1:$1,0)),0))</f>
        <v>0</v>
      </c>
      <c r="X37">
        <f>IF(AND(INDEX('CA Standards and Followers'!$E$14:$E$73,MATCH($A37,'CA Standards and Followers'!$A$14:$A$73,0))=1,INDEX('CA Standards and Followers'!$H$14:$H$73,MATCH($A37,'CA Standards and Followers'!$A$14:$A$73,0))&lt;=X$1),INDEX('CA Standards and Followers'!$3:$3,MATCH(X$1,'CA Standards and Followers'!$1:$1,0)),IF(AND(INDEX('CA Standards and Followers'!$D$14:$D$73,MATCH($A37,'CA Standards and Followers'!$A$14:$A$73,0))=1,INDEX('CA Standards and Followers'!$G$14:$G$73,MATCH($A37,'CA Standards and Followers'!$A$14:$A$73,0))&lt;=X$1),INDEX('CA Standards and Followers'!$2:$2,MATCH(X$1,'CA Standards and Followers'!$1:$1,0)),0))</f>
        <v>0</v>
      </c>
      <c r="Y37">
        <f>IF(AND(INDEX('CA Standards and Followers'!$E$14:$E$73,MATCH($A37,'CA Standards and Followers'!$A$14:$A$73,0))=1,INDEX('CA Standards and Followers'!$H$14:$H$73,MATCH($A37,'CA Standards and Followers'!$A$14:$A$73,0))&lt;=Y$1),INDEX('CA Standards and Followers'!$3:$3,MATCH(Y$1,'CA Standards and Followers'!$1:$1,0)),IF(AND(INDEX('CA Standards and Followers'!$D$14:$D$73,MATCH($A37,'CA Standards and Followers'!$A$14:$A$73,0))=1,INDEX('CA Standards and Followers'!$G$14:$G$73,MATCH($A37,'CA Standards and Followers'!$A$14:$A$73,0))&lt;=Y$1),INDEX('CA Standards and Followers'!$2:$2,MATCH(Y$1,'CA Standards and Followers'!$1:$1,0)),0))</f>
        <v>0</v>
      </c>
      <c r="Z37">
        <f>IF(AND(INDEX('CA Standards and Followers'!$E$14:$E$73,MATCH($A37,'CA Standards and Followers'!$A$14:$A$73,0))=1,INDEX('CA Standards and Followers'!$H$14:$H$73,MATCH($A37,'CA Standards and Followers'!$A$14:$A$73,0))&lt;=Z$1),INDEX('CA Standards and Followers'!$3:$3,MATCH(Z$1,'CA Standards and Followers'!$1:$1,0)),IF(AND(INDEX('CA Standards and Followers'!$D$14:$D$73,MATCH($A37,'CA Standards and Followers'!$A$14:$A$73,0))=1,INDEX('CA Standards and Followers'!$G$14:$G$73,MATCH($A37,'CA Standards and Followers'!$A$14:$A$73,0))&lt;=Z$1),INDEX('CA Standards and Followers'!$2:$2,MATCH(Z$1,'CA Standards and Followers'!$1:$1,0)),0))</f>
        <v>0</v>
      </c>
      <c r="AA37">
        <f>IF(AND(INDEX('CA Standards and Followers'!$E$14:$E$73,MATCH($A37,'CA Standards and Followers'!$A$14:$A$73,0))=1,INDEX('CA Standards and Followers'!$H$14:$H$73,MATCH($A37,'CA Standards and Followers'!$A$14:$A$73,0))&lt;=AA$1),INDEX('CA Standards and Followers'!$3:$3,MATCH(AA$1,'CA Standards and Followers'!$1:$1,0)),IF(AND(INDEX('CA Standards and Followers'!$D$14:$D$73,MATCH($A37,'CA Standards and Followers'!$A$14:$A$73,0))=1,INDEX('CA Standards and Followers'!$G$14:$G$73,MATCH($A37,'CA Standards and Followers'!$A$14:$A$73,0))&lt;=AA$1),INDEX('CA Standards and Followers'!$2:$2,MATCH(AA$1,'CA Standards and Followers'!$1:$1,0)),0))</f>
        <v>0</v>
      </c>
      <c r="AB37">
        <f>IF(AND(INDEX('CA Standards and Followers'!$E$14:$E$73,MATCH($A37,'CA Standards and Followers'!$A$14:$A$73,0))=1,INDEX('CA Standards and Followers'!$H$14:$H$73,MATCH($A37,'CA Standards and Followers'!$A$14:$A$73,0))&lt;=AB$1),INDEX('CA Standards and Followers'!$3:$3,MATCH(AB$1,'CA Standards and Followers'!$1:$1,0)),IF(AND(INDEX('CA Standards and Followers'!$D$14:$D$73,MATCH($A37,'CA Standards and Followers'!$A$14:$A$73,0))=1,INDEX('CA Standards and Followers'!$G$14:$G$73,MATCH($A37,'CA Standards and Followers'!$A$14:$A$73,0))&lt;=AB$1),INDEX('CA Standards and Followers'!$2:$2,MATCH(AB$1,'CA Standards and Followers'!$1:$1,0)),0))</f>
        <v>0</v>
      </c>
      <c r="AC37">
        <f>IF(AND(INDEX('CA Standards and Followers'!$E$14:$E$73,MATCH($A37,'CA Standards and Followers'!$A$14:$A$73,0))=1,INDEX('CA Standards and Followers'!$H$14:$H$73,MATCH($A37,'CA Standards and Followers'!$A$14:$A$73,0))&lt;=AC$1),INDEX('CA Standards and Followers'!$3:$3,MATCH(AC$1,'CA Standards and Followers'!$1:$1,0)),IF(AND(INDEX('CA Standards and Followers'!$D$14:$D$73,MATCH($A37,'CA Standards and Followers'!$A$14:$A$73,0))=1,INDEX('CA Standards and Followers'!$G$14:$G$73,MATCH($A37,'CA Standards and Followers'!$A$14:$A$73,0))&lt;=AC$1),INDEX('CA Standards and Followers'!$2:$2,MATCH(AC$1,'CA Standards and Followers'!$1:$1,0)),0))</f>
        <v>0</v>
      </c>
      <c r="AD37">
        <f>IF(AND(INDEX('CA Standards and Followers'!$E$14:$E$73,MATCH($A37,'CA Standards and Followers'!$A$14:$A$73,0))=1,INDEX('CA Standards and Followers'!$H$14:$H$73,MATCH($A37,'CA Standards and Followers'!$A$14:$A$73,0))&lt;=AD$1),INDEX('CA Standards and Followers'!$3:$3,MATCH(AD$1,'CA Standards and Followers'!$1:$1,0)),IF(AND(INDEX('CA Standards and Followers'!$D$14:$D$73,MATCH($A37,'CA Standards and Followers'!$A$14:$A$73,0))=1,INDEX('CA Standards and Followers'!$G$14:$G$73,MATCH($A37,'CA Standards and Followers'!$A$14:$A$73,0))&lt;=AD$1),INDEX('CA Standards and Followers'!$2:$2,MATCH(AD$1,'CA Standards and Followers'!$1:$1,0)),0))</f>
        <v>0</v>
      </c>
      <c r="AE37">
        <f>IF(AND(INDEX('CA Standards and Followers'!$E$14:$E$73,MATCH($A37,'CA Standards and Followers'!$A$14:$A$73,0))=1,INDEX('CA Standards and Followers'!$H$14:$H$73,MATCH($A37,'CA Standards and Followers'!$A$14:$A$73,0))&lt;=AE$1),INDEX('CA Standards and Followers'!$3:$3,MATCH(AE$1,'CA Standards and Followers'!$1:$1,0)),IF(AND(INDEX('CA Standards and Followers'!$D$14:$D$73,MATCH($A37,'CA Standards and Followers'!$A$14:$A$73,0))=1,INDEX('CA Standards and Followers'!$G$14:$G$73,MATCH($A37,'CA Standards and Followers'!$A$14:$A$73,0))&lt;=AE$1),INDEX('CA Standards and Followers'!$2:$2,MATCH(AE$1,'CA Standards and Followers'!$1:$1,0)),0))</f>
        <v>0</v>
      </c>
      <c r="AF37">
        <f>IF(AND(INDEX('CA Standards and Followers'!$E$14:$E$73,MATCH($A37,'CA Standards and Followers'!$A$14:$A$73,0))=1,INDEX('CA Standards and Followers'!$H$14:$H$73,MATCH($A37,'CA Standards and Followers'!$A$14:$A$73,0))&lt;=AF$1),INDEX('CA Standards and Followers'!$3:$3,MATCH(AF$1,'CA Standards and Followers'!$1:$1,0)),IF(AND(INDEX('CA Standards and Followers'!$D$14:$D$73,MATCH($A37,'CA Standards and Followers'!$A$14:$A$73,0))=1,INDEX('CA Standards and Followers'!$G$14:$G$73,MATCH($A37,'CA Standards and Followers'!$A$14:$A$73,0))&lt;=AF$1),INDEX('CA Standards and Followers'!$2:$2,MATCH(AF$1,'CA Standards and Followers'!$1:$1,0)),0))</f>
        <v>0</v>
      </c>
    </row>
    <row r="38" spans="1:32" x14ac:dyDescent="0.25">
      <c r="A38" t="s">
        <v>38</v>
      </c>
      <c r="B38">
        <f>IF(AND(INDEX('CA Standards and Followers'!$E$14:$E$73,MATCH($A38,'CA Standards and Followers'!$A$14:$A$73,0))=1,INDEX('CA Standards and Followers'!$H$14:$H$73,MATCH($A38,'CA Standards and Followers'!$A$14:$A$73,0))&lt;=B$1),INDEX('CA Standards and Followers'!$3:$3,MATCH(B$1,'CA Standards and Followers'!$1:$1,0)),IF(AND(INDEX('CA Standards and Followers'!$D$14:$D$73,MATCH($A38,'CA Standards and Followers'!$A$14:$A$73,0))=1,INDEX('CA Standards and Followers'!$G$14:$G$73,MATCH($A38,'CA Standards and Followers'!$A$14:$A$73,0))&lt;=B$1),INDEX('CA Standards and Followers'!$2:$2,MATCH(B$1,'CA Standards and Followers'!$1:$1,0)),0))</f>
        <v>0</v>
      </c>
      <c r="C38">
        <f>IF(AND(INDEX('CA Standards and Followers'!$E$14:$E$73,MATCH($A38,'CA Standards and Followers'!$A$14:$A$73,0))=1,INDEX('CA Standards and Followers'!$H$14:$H$73,MATCH($A38,'CA Standards and Followers'!$A$14:$A$73,0))&lt;=C$1),INDEX('CA Standards and Followers'!$3:$3,MATCH(C$1,'CA Standards and Followers'!$1:$1,0)),IF(AND(INDEX('CA Standards and Followers'!$D$14:$D$73,MATCH($A38,'CA Standards and Followers'!$A$14:$A$73,0))=1,INDEX('CA Standards and Followers'!$G$14:$G$73,MATCH($A38,'CA Standards and Followers'!$A$14:$A$73,0))&lt;=C$1),INDEX('CA Standards and Followers'!$2:$2,MATCH(C$1,'CA Standards and Followers'!$1:$1,0)),0))</f>
        <v>0</v>
      </c>
      <c r="D38">
        <f>IF(AND(INDEX('CA Standards and Followers'!$E$14:$E$73,MATCH($A38,'CA Standards and Followers'!$A$14:$A$73,0))=1,INDEX('CA Standards and Followers'!$H$14:$H$73,MATCH($A38,'CA Standards and Followers'!$A$14:$A$73,0))&lt;=D$1),INDEX('CA Standards and Followers'!$3:$3,MATCH(D$1,'CA Standards and Followers'!$1:$1,0)),IF(AND(INDEX('CA Standards and Followers'!$D$14:$D$73,MATCH($A38,'CA Standards and Followers'!$A$14:$A$73,0))=1,INDEX('CA Standards and Followers'!$G$14:$G$73,MATCH($A38,'CA Standards and Followers'!$A$14:$A$73,0))&lt;=D$1),INDEX('CA Standards and Followers'!$2:$2,MATCH(D$1,'CA Standards and Followers'!$1:$1,0)),0))</f>
        <v>0</v>
      </c>
      <c r="E38">
        <f>IF(AND(INDEX('CA Standards and Followers'!$E$14:$E$73,MATCH($A38,'CA Standards and Followers'!$A$14:$A$73,0))=1,INDEX('CA Standards and Followers'!$H$14:$H$73,MATCH($A38,'CA Standards and Followers'!$A$14:$A$73,0))&lt;=E$1),INDEX('CA Standards and Followers'!$3:$3,MATCH(E$1,'CA Standards and Followers'!$1:$1,0)),IF(AND(INDEX('CA Standards and Followers'!$D$14:$D$73,MATCH($A38,'CA Standards and Followers'!$A$14:$A$73,0))=1,INDEX('CA Standards and Followers'!$G$14:$G$73,MATCH($A38,'CA Standards and Followers'!$A$14:$A$73,0))&lt;=E$1),INDEX('CA Standards and Followers'!$2:$2,MATCH(E$1,'CA Standards and Followers'!$1:$1,0)),0))</f>
        <v>0</v>
      </c>
      <c r="F38">
        <f>IF(AND(INDEX('CA Standards and Followers'!$E$14:$E$73,MATCH($A38,'CA Standards and Followers'!$A$14:$A$73,0))=1,INDEX('CA Standards and Followers'!$H$14:$H$73,MATCH($A38,'CA Standards and Followers'!$A$14:$A$73,0))&lt;=F$1),INDEX('CA Standards and Followers'!$3:$3,MATCH(F$1,'CA Standards and Followers'!$1:$1,0)),IF(AND(INDEX('CA Standards and Followers'!$D$14:$D$73,MATCH($A38,'CA Standards and Followers'!$A$14:$A$73,0))=1,INDEX('CA Standards and Followers'!$G$14:$G$73,MATCH($A38,'CA Standards and Followers'!$A$14:$A$73,0))&lt;=F$1),INDEX('CA Standards and Followers'!$2:$2,MATCH(F$1,'CA Standards and Followers'!$1:$1,0)),0))</f>
        <v>0</v>
      </c>
      <c r="G38">
        <f>IF(AND(INDEX('CA Standards and Followers'!$E$14:$E$73,MATCH($A38,'CA Standards and Followers'!$A$14:$A$73,0))=1,INDEX('CA Standards and Followers'!$H$14:$H$73,MATCH($A38,'CA Standards and Followers'!$A$14:$A$73,0))&lt;=G$1),INDEX('CA Standards and Followers'!$3:$3,MATCH(G$1,'CA Standards and Followers'!$1:$1,0)),IF(AND(INDEX('CA Standards and Followers'!$D$14:$D$73,MATCH($A38,'CA Standards and Followers'!$A$14:$A$73,0))=1,INDEX('CA Standards and Followers'!$G$14:$G$73,MATCH($A38,'CA Standards and Followers'!$A$14:$A$73,0))&lt;=G$1),INDEX('CA Standards and Followers'!$2:$2,MATCH(G$1,'CA Standards and Followers'!$1:$1,0)),0))</f>
        <v>0</v>
      </c>
      <c r="H38">
        <f>IF(AND(INDEX('CA Standards and Followers'!$E$14:$E$73,MATCH($A38,'CA Standards and Followers'!$A$14:$A$73,0))=1,INDEX('CA Standards and Followers'!$H$14:$H$73,MATCH($A38,'CA Standards and Followers'!$A$14:$A$73,0))&lt;=H$1),INDEX('CA Standards and Followers'!$3:$3,MATCH(H$1,'CA Standards and Followers'!$1:$1,0)),IF(AND(INDEX('CA Standards and Followers'!$D$14:$D$73,MATCH($A38,'CA Standards and Followers'!$A$14:$A$73,0))=1,INDEX('CA Standards and Followers'!$G$14:$G$73,MATCH($A38,'CA Standards and Followers'!$A$14:$A$73,0))&lt;=H$1),INDEX('CA Standards and Followers'!$2:$2,MATCH(H$1,'CA Standards and Followers'!$1:$1,0)),0))</f>
        <v>0</v>
      </c>
      <c r="I38">
        <f>IF(AND(INDEX('CA Standards and Followers'!$E$14:$E$73,MATCH($A38,'CA Standards and Followers'!$A$14:$A$73,0))=1,INDEX('CA Standards and Followers'!$H$14:$H$73,MATCH($A38,'CA Standards and Followers'!$A$14:$A$73,0))&lt;=I$1),INDEX('CA Standards and Followers'!$3:$3,MATCH(I$1,'CA Standards and Followers'!$1:$1,0)),IF(AND(INDEX('CA Standards and Followers'!$D$14:$D$73,MATCH($A38,'CA Standards and Followers'!$A$14:$A$73,0))=1,INDEX('CA Standards and Followers'!$G$14:$G$73,MATCH($A38,'CA Standards and Followers'!$A$14:$A$73,0))&lt;=I$1),INDEX('CA Standards and Followers'!$2:$2,MATCH(I$1,'CA Standards and Followers'!$1:$1,0)),0))</f>
        <v>0</v>
      </c>
      <c r="J38">
        <f>IF(AND(INDEX('CA Standards and Followers'!$E$14:$E$73,MATCH($A38,'CA Standards and Followers'!$A$14:$A$73,0))=1,INDEX('CA Standards and Followers'!$H$14:$H$73,MATCH($A38,'CA Standards and Followers'!$A$14:$A$73,0))&lt;=J$1),INDEX('CA Standards and Followers'!$3:$3,MATCH(J$1,'CA Standards and Followers'!$1:$1,0)),IF(AND(INDEX('CA Standards and Followers'!$D$14:$D$73,MATCH($A38,'CA Standards and Followers'!$A$14:$A$73,0))=1,INDEX('CA Standards and Followers'!$G$14:$G$73,MATCH($A38,'CA Standards and Followers'!$A$14:$A$73,0))&lt;=J$1),INDEX('CA Standards and Followers'!$2:$2,MATCH(J$1,'CA Standards and Followers'!$1:$1,0)),0))</f>
        <v>0</v>
      </c>
      <c r="K38">
        <f>IF(AND(INDEX('CA Standards and Followers'!$E$14:$E$73,MATCH($A38,'CA Standards and Followers'!$A$14:$A$73,0))=1,INDEX('CA Standards and Followers'!$H$14:$H$73,MATCH($A38,'CA Standards and Followers'!$A$14:$A$73,0))&lt;=K$1),INDEX('CA Standards and Followers'!$3:$3,MATCH(K$1,'CA Standards and Followers'!$1:$1,0)),IF(AND(INDEX('CA Standards and Followers'!$D$14:$D$73,MATCH($A38,'CA Standards and Followers'!$A$14:$A$73,0))=1,INDEX('CA Standards and Followers'!$G$14:$G$73,MATCH($A38,'CA Standards and Followers'!$A$14:$A$73,0))&lt;=K$1),INDEX('CA Standards and Followers'!$2:$2,MATCH(K$1,'CA Standards and Followers'!$1:$1,0)),0))</f>
        <v>0</v>
      </c>
      <c r="L38">
        <f>IF(AND(INDEX('CA Standards and Followers'!$E$14:$E$73,MATCH($A38,'CA Standards and Followers'!$A$14:$A$73,0))=1,INDEX('CA Standards and Followers'!$H$14:$H$73,MATCH($A38,'CA Standards and Followers'!$A$14:$A$73,0))&lt;=L$1),INDEX('CA Standards and Followers'!$3:$3,MATCH(L$1,'CA Standards and Followers'!$1:$1,0)),IF(AND(INDEX('CA Standards and Followers'!$D$14:$D$73,MATCH($A38,'CA Standards and Followers'!$A$14:$A$73,0))=1,INDEX('CA Standards and Followers'!$G$14:$G$73,MATCH($A38,'CA Standards and Followers'!$A$14:$A$73,0))&lt;=L$1),INDEX('CA Standards and Followers'!$2:$2,MATCH(L$1,'CA Standards and Followers'!$1:$1,0)),0))</f>
        <v>0</v>
      </c>
      <c r="M38">
        <f>IF(AND(INDEX('CA Standards and Followers'!$E$14:$E$73,MATCH($A38,'CA Standards and Followers'!$A$14:$A$73,0))=1,INDEX('CA Standards and Followers'!$H$14:$H$73,MATCH($A38,'CA Standards and Followers'!$A$14:$A$73,0))&lt;=M$1),INDEX('CA Standards and Followers'!$3:$3,MATCH(M$1,'CA Standards and Followers'!$1:$1,0)),IF(AND(INDEX('CA Standards and Followers'!$D$14:$D$73,MATCH($A38,'CA Standards and Followers'!$A$14:$A$73,0))=1,INDEX('CA Standards and Followers'!$G$14:$G$73,MATCH($A38,'CA Standards and Followers'!$A$14:$A$73,0))&lt;=M$1),INDEX('CA Standards and Followers'!$2:$2,MATCH(M$1,'CA Standards and Followers'!$1:$1,0)),0))</f>
        <v>0</v>
      </c>
      <c r="N38">
        <f>IF(AND(INDEX('CA Standards and Followers'!$E$14:$E$73,MATCH($A38,'CA Standards and Followers'!$A$14:$A$73,0))=1,INDEX('CA Standards and Followers'!$H$14:$H$73,MATCH($A38,'CA Standards and Followers'!$A$14:$A$73,0))&lt;=N$1),INDEX('CA Standards and Followers'!$3:$3,MATCH(N$1,'CA Standards and Followers'!$1:$1,0)),IF(AND(INDEX('CA Standards and Followers'!$D$14:$D$73,MATCH($A38,'CA Standards and Followers'!$A$14:$A$73,0))=1,INDEX('CA Standards and Followers'!$G$14:$G$73,MATCH($A38,'CA Standards and Followers'!$A$14:$A$73,0))&lt;=N$1),INDEX('CA Standards and Followers'!$2:$2,MATCH(N$1,'CA Standards and Followers'!$1:$1,0)),0))</f>
        <v>0</v>
      </c>
      <c r="O38">
        <f>IF(AND(INDEX('CA Standards and Followers'!$E$14:$E$73,MATCH($A38,'CA Standards and Followers'!$A$14:$A$73,0))=1,INDEX('CA Standards and Followers'!$H$14:$H$73,MATCH($A38,'CA Standards and Followers'!$A$14:$A$73,0))&lt;=O$1),INDEX('CA Standards and Followers'!$3:$3,MATCH(O$1,'CA Standards and Followers'!$1:$1,0)),IF(AND(INDEX('CA Standards and Followers'!$D$14:$D$73,MATCH($A38,'CA Standards and Followers'!$A$14:$A$73,0))=1,INDEX('CA Standards and Followers'!$G$14:$G$73,MATCH($A38,'CA Standards and Followers'!$A$14:$A$73,0))&lt;=O$1),INDEX('CA Standards and Followers'!$2:$2,MATCH(O$1,'CA Standards and Followers'!$1:$1,0)),0))</f>
        <v>0</v>
      </c>
      <c r="P38">
        <f>IF(AND(INDEX('CA Standards and Followers'!$E$14:$E$73,MATCH($A38,'CA Standards and Followers'!$A$14:$A$73,0))=1,INDEX('CA Standards and Followers'!$H$14:$H$73,MATCH($A38,'CA Standards and Followers'!$A$14:$A$73,0))&lt;=P$1),INDEX('CA Standards and Followers'!$3:$3,MATCH(P$1,'CA Standards and Followers'!$1:$1,0)),IF(AND(INDEX('CA Standards and Followers'!$D$14:$D$73,MATCH($A38,'CA Standards and Followers'!$A$14:$A$73,0))=1,INDEX('CA Standards and Followers'!$G$14:$G$73,MATCH($A38,'CA Standards and Followers'!$A$14:$A$73,0))&lt;=P$1),INDEX('CA Standards and Followers'!$2:$2,MATCH(P$1,'CA Standards and Followers'!$1:$1,0)),0))</f>
        <v>0</v>
      </c>
      <c r="Q38">
        <f>IF(AND(INDEX('CA Standards and Followers'!$E$14:$E$73,MATCH($A38,'CA Standards and Followers'!$A$14:$A$73,0))=1,INDEX('CA Standards and Followers'!$H$14:$H$73,MATCH($A38,'CA Standards and Followers'!$A$14:$A$73,0))&lt;=Q$1),INDEX('CA Standards and Followers'!$3:$3,MATCH(Q$1,'CA Standards and Followers'!$1:$1,0)),IF(AND(INDEX('CA Standards and Followers'!$D$14:$D$73,MATCH($A38,'CA Standards and Followers'!$A$14:$A$73,0))=1,INDEX('CA Standards and Followers'!$G$14:$G$73,MATCH($A38,'CA Standards and Followers'!$A$14:$A$73,0))&lt;=Q$1),INDEX('CA Standards and Followers'!$2:$2,MATCH(Q$1,'CA Standards and Followers'!$1:$1,0)),0))</f>
        <v>0</v>
      </c>
      <c r="R38">
        <f>IF(AND(INDEX('CA Standards and Followers'!$E$14:$E$73,MATCH($A38,'CA Standards and Followers'!$A$14:$A$73,0))=1,INDEX('CA Standards and Followers'!$H$14:$H$73,MATCH($A38,'CA Standards and Followers'!$A$14:$A$73,0))&lt;=R$1),INDEX('CA Standards and Followers'!$3:$3,MATCH(R$1,'CA Standards and Followers'!$1:$1,0)),IF(AND(INDEX('CA Standards and Followers'!$D$14:$D$73,MATCH($A38,'CA Standards and Followers'!$A$14:$A$73,0))=1,INDEX('CA Standards and Followers'!$G$14:$G$73,MATCH($A38,'CA Standards and Followers'!$A$14:$A$73,0))&lt;=R$1),INDEX('CA Standards and Followers'!$2:$2,MATCH(R$1,'CA Standards and Followers'!$1:$1,0)),0))</f>
        <v>0</v>
      </c>
      <c r="S38">
        <f>IF(AND(INDEX('CA Standards and Followers'!$E$14:$E$73,MATCH($A38,'CA Standards and Followers'!$A$14:$A$73,0))=1,INDEX('CA Standards and Followers'!$H$14:$H$73,MATCH($A38,'CA Standards and Followers'!$A$14:$A$73,0))&lt;=S$1),INDEX('CA Standards and Followers'!$3:$3,MATCH(S$1,'CA Standards and Followers'!$1:$1,0)),IF(AND(INDEX('CA Standards and Followers'!$D$14:$D$73,MATCH($A38,'CA Standards and Followers'!$A$14:$A$73,0))=1,INDEX('CA Standards and Followers'!$G$14:$G$73,MATCH($A38,'CA Standards and Followers'!$A$14:$A$73,0))&lt;=S$1),INDEX('CA Standards and Followers'!$2:$2,MATCH(S$1,'CA Standards and Followers'!$1:$1,0)),0))</f>
        <v>0</v>
      </c>
      <c r="T38">
        <f>IF(AND(INDEX('CA Standards and Followers'!$E$14:$E$73,MATCH($A38,'CA Standards and Followers'!$A$14:$A$73,0))=1,INDEX('CA Standards and Followers'!$H$14:$H$73,MATCH($A38,'CA Standards and Followers'!$A$14:$A$73,0))&lt;=T$1),INDEX('CA Standards and Followers'!$3:$3,MATCH(T$1,'CA Standards and Followers'!$1:$1,0)),IF(AND(INDEX('CA Standards and Followers'!$D$14:$D$73,MATCH($A38,'CA Standards and Followers'!$A$14:$A$73,0))=1,INDEX('CA Standards and Followers'!$G$14:$G$73,MATCH($A38,'CA Standards and Followers'!$A$14:$A$73,0))&lt;=T$1),INDEX('CA Standards and Followers'!$2:$2,MATCH(T$1,'CA Standards and Followers'!$1:$1,0)),0))</f>
        <v>0</v>
      </c>
      <c r="U38">
        <f>IF(AND(INDEX('CA Standards and Followers'!$E$14:$E$73,MATCH($A38,'CA Standards and Followers'!$A$14:$A$73,0))=1,INDEX('CA Standards and Followers'!$H$14:$H$73,MATCH($A38,'CA Standards and Followers'!$A$14:$A$73,0))&lt;=U$1),INDEX('CA Standards and Followers'!$3:$3,MATCH(U$1,'CA Standards and Followers'!$1:$1,0)),IF(AND(INDEX('CA Standards and Followers'!$D$14:$D$73,MATCH($A38,'CA Standards and Followers'!$A$14:$A$73,0))=1,INDEX('CA Standards and Followers'!$G$14:$G$73,MATCH($A38,'CA Standards and Followers'!$A$14:$A$73,0))&lt;=U$1),INDEX('CA Standards and Followers'!$2:$2,MATCH(U$1,'CA Standards and Followers'!$1:$1,0)),0))</f>
        <v>0</v>
      </c>
      <c r="V38">
        <f>IF(AND(INDEX('CA Standards and Followers'!$E$14:$E$73,MATCH($A38,'CA Standards and Followers'!$A$14:$A$73,0))=1,INDEX('CA Standards and Followers'!$H$14:$H$73,MATCH($A38,'CA Standards and Followers'!$A$14:$A$73,0))&lt;=V$1),INDEX('CA Standards and Followers'!$3:$3,MATCH(V$1,'CA Standards and Followers'!$1:$1,0)),IF(AND(INDEX('CA Standards and Followers'!$D$14:$D$73,MATCH($A38,'CA Standards and Followers'!$A$14:$A$73,0))=1,INDEX('CA Standards and Followers'!$G$14:$G$73,MATCH($A38,'CA Standards and Followers'!$A$14:$A$73,0))&lt;=V$1),INDEX('CA Standards and Followers'!$2:$2,MATCH(V$1,'CA Standards and Followers'!$1:$1,0)),0))</f>
        <v>0</v>
      </c>
      <c r="W38">
        <f>IF(AND(INDEX('CA Standards and Followers'!$E$14:$E$73,MATCH($A38,'CA Standards and Followers'!$A$14:$A$73,0))=1,INDEX('CA Standards and Followers'!$H$14:$H$73,MATCH($A38,'CA Standards and Followers'!$A$14:$A$73,0))&lt;=W$1),INDEX('CA Standards and Followers'!$3:$3,MATCH(W$1,'CA Standards and Followers'!$1:$1,0)),IF(AND(INDEX('CA Standards and Followers'!$D$14:$D$73,MATCH($A38,'CA Standards and Followers'!$A$14:$A$73,0))=1,INDEX('CA Standards and Followers'!$G$14:$G$73,MATCH($A38,'CA Standards and Followers'!$A$14:$A$73,0))&lt;=W$1),INDEX('CA Standards and Followers'!$2:$2,MATCH(W$1,'CA Standards and Followers'!$1:$1,0)),0))</f>
        <v>0</v>
      </c>
      <c r="X38">
        <f>IF(AND(INDEX('CA Standards and Followers'!$E$14:$E$73,MATCH($A38,'CA Standards and Followers'!$A$14:$A$73,0))=1,INDEX('CA Standards and Followers'!$H$14:$H$73,MATCH($A38,'CA Standards and Followers'!$A$14:$A$73,0))&lt;=X$1),INDEX('CA Standards and Followers'!$3:$3,MATCH(X$1,'CA Standards and Followers'!$1:$1,0)),IF(AND(INDEX('CA Standards and Followers'!$D$14:$D$73,MATCH($A38,'CA Standards and Followers'!$A$14:$A$73,0))=1,INDEX('CA Standards and Followers'!$G$14:$G$73,MATCH($A38,'CA Standards and Followers'!$A$14:$A$73,0))&lt;=X$1),INDEX('CA Standards and Followers'!$2:$2,MATCH(X$1,'CA Standards and Followers'!$1:$1,0)),0))</f>
        <v>0</v>
      </c>
      <c r="Y38">
        <f>IF(AND(INDEX('CA Standards and Followers'!$E$14:$E$73,MATCH($A38,'CA Standards and Followers'!$A$14:$A$73,0))=1,INDEX('CA Standards and Followers'!$H$14:$H$73,MATCH($A38,'CA Standards and Followers'!$A$14:$A$73,0))&lt;=Y$1),INDEX('CA Standards and Followers'!$3:$3,MATCH(Y$1,'CA Standards and Followers'!$1:$1,0)),IF(AND(INDEX('CA Standards and Followers'!$D$14:$D$73,MATCH($A38,'CA Standards and Followers'!$A$14:$A$73,0))=1,INDEX('CA Standards and Followers'!$G$14:$G$73,MATCH($A38,'CA Standards and Followers'!$A$14:$A$73,0))&lt;=Y$1),INDEX('CA Standards and Followers'!$2:$2,MATCH(Y$1,'CA Standards and Followers'!$1:$1,0)),0))</f>
        <v>0</v>
      </c>
      <c r="Z38">
        <f>IF(AND(INDEX('CA Standards and Followers'!$E$14:$E$73,MATCH($A38,'CA Standards and Followers'!$A$14:$A$73,0))=1,INDEX('CA Standards and Followers'!$H$14:$H$73,MATCH($A38,'CA Standards and Followers'!$A$14:$A$73,0))&lt;=Z$1),INDEX('CA Standards and Followers'!$3:$3,MATCH(Z$1,'CA Standards and Followers'!$1:$1,0)),IF(AND(INDEX('CA Standards and Followers'!$D$14:$D$73,MATCH($A38,'CA Standards and Followers'!$A$14:$A$73,0))=1,INDEX('CA Standards and Followers'!$G$14:$G$73,MATCH($A38,'CA Standards and Followers'!$A$14:$A$73,0))&lt;=Z$1),INDEX('CA Standards and Followers'!$2:$2,MATCH(Z$1,'CA Standards and Followers'!$1:$1,0)),0))</f>
        <v>0</v>
      </c>
      <c r="AA38">
        <f>IF(AND(INDEX('CA Standards and Followers'!$E$14:$E$73,MATCH($A38,'CA Standards and Followers'!$A$14:$A$73,0))=1,INDEX('CA Standards and Followers'!$H$14:$H$73,MATCH($A38,'CA Standards and Followers'!$A$14:$A$73,0))&lt;=AA$1),INDEX('CA Standards and Followers'!$3:$3,MATCH(AA$1,'CA Standards and Followers'!$1:$1,0)),IF(AND(INDEX('CA Standards and Followers'!$D$14:$D$73,MATCH($A38,'CA Standards and Followers'!$A$14:$A$73,0))=1,INDEX('CA Standards and Followers'!$G$14:$G$73,MATCH($A38,'CA Standards and Followers'!$A$14:$A$73,0))&lt;=AA$1),INDEX('CA Standards and Followers'!$2:$2,MATCH(AA$1,'CA Standards and Followers'!$1:$1,0)),0))</f>
        <v>0</v>
      </c>
      <c r="AB38">
        <f>IF(AND(INDEX('CA Standards and Followers'!$E$14:$E$73,MATCH($A38,'CA Standards and Followers'!$A$14:$A$73,0))=1,INDEX('CA Standards and Followers'!$H$14:$H$73,MATCH($A38,'CA Standards and Followers'!$A$14:$A$73,0))&lt;=AB$1),INDEX('CA Standards and Followers'!$3:$3,MATCH(AB$1,'CA Standards and Followers'!$1:$1,0)),IF(AND(INDEX('CA Standards and Followers'!$D$14:$D$73,MATCH($A38,'CA Standards and Followers'!$A$14:$A$73,0))=1,INDEX('CA Standards and Followers'!$G$14:$G$73,MATCH($A38,'CA Standards and Followers'!$A$14:$A$73,0))&lt;=AB$1),INDEX('CA Standards and Followers'!$2:$2,MATCH(AB$1,'CA Standards and Followers'!$1:$1,0)),0))</f>
        <v>0</v>
      </c>
      <c r="AC38">
        <f>IF(AND(INDEX('CA Standards and Followers'!$E$14:$E$73,MATCH($A38,'CA Standards and Followers'!$A$14:$A$73,0))=1,INDEX('CA Standards and Followers'!$H$14:$H$73,MATCH($A38,'CA Standards and Followers'!$A$14:$A$73,0))&lt;=AC$1),INDEX('CA Standards and Followers'!$3:$3,MATCH(AC$1,'CA Standards and Followers'!$1:$1,0)),IF(AND(INDEX('CA Standards and Followers'!$D$14:$D$73,MATCH($A38,'CA Standards and Followers'!$A$14:$A$73,0))=1,INDEX('CA Standards and Followers'!$G$14:$G$73,MATCH($A38,'CA Standards and Followers'!$A$14:$A$73,0))&lt;=AC$1),INDEX('CA Standards and Followers'!$2:$2,MATCH(AC$1,'CA Standards and Followers'!$1:$1,0)),0))</f>
        <v>0</v>
      </c>
      <c r="AD38">
        <f>IF(AND(INDEX('CA Standards and Followers'!$E$14:$E$73,MATCH($A38,'CA Standards and Followers'!$A$14:$A$73,0))=1,INDEX('CA Standards and Followers'!$H$14:$H$73,MATCH($A38,'CA Standards and Followers'!$A$14:$A$73,0))&lt;=AD$1),INDEX('CA Standards and Followers'!$3:$3,MATCH(AD$1,'CA Standards and Followers'!$1:$1,0)),IF(AND(INDEX('CA Standards and Followers'!$D$14:$D$73,MATCH($A38,'CA Standards and Followers'!$A$14:$A$73,0))=1,INDEX('CA Standards and Followers'!$G$14:$G$73,MATCH($A38,'CA Standards and Followers'!$A$14:$A$73,0))&lt;=AD$1),INDEX('CA Standards and Followers'!$2:$2,MATCH(AD$1,'CA Standards and Followers'!$1:$1,0)),0))</f>
        <v>0</v>
      </c>
      <c r="AE38">
        <f>IF(AND(INDEX('CA Standards and Followers'!$E$14:$E$73,MATCH($A38,'CA Standards and Followers'!$A$14:$A$73,0))=1,INDEX('CA Standards and Followers'!$H$14:$H$73,MATCH($A38,'CA Standards and Followers'!$A$14:$A$73,0))&lt;=AE$1),INDEX('CA Standards and Followers'!$3:$3,MATCH(AE$1,'CA Standards and Followers'!$1:$1,0)),IF(AND(INDEX('CA Standards and Followers'!$D$14:$D$73,MATCH($A38,'CA Standards and Followers'!$A$14:$A$73,0))=1,INDEX('CA Standards and Followers'!$G$14:$G$73,MATCH($A38,'CA Standards and Followers'!$A$14:$A$73,0))&lt;=AE$1),INDEX('CA Standards and Followers'!$2:$2,MATCH(AE$1,'CA Standards and Followers'!$1:$1,0)),0))</f>
        <v>0</v>
      </c>
      <c r="AF38">
        <f>IF(AND(INDEX('CA Standards and Followers'!$E$14:$E$73,MATCH($A38,'CA Standards and Followers'!$A$14:$A$73,0))=1,INDEX('CA Standards and Followers'!$H$14:$H$73,MATCH($A38,'CA Standards and Followers'!$A$14:$A$73,0))&lt;=AF$1),INDEX('CA Standards and Followers'!$3:$3,MATCH(AF$1,'CA Standards and Followers'!$1:$1,0)),IF(AND(INDEX('CA Standards and Followers'!$D$14:$D$73,MATCH($A38,'CA Standards and Followers'!$A$14:$A$73,0))=1,INDEX('CA Standards and Followers'!$G$14:$G$73,MATCH($A38,'CA Standards and Followers'!$A$14:$A$73,0))&lt;=AF$1),INDEX('CA Standards and Followers'!$2:$2,MATCH(AF$1,'CA Standards and Followers'!$1:$1,0)),0))</f>
        <v>0</v>
      </c>
    </row>
    <row r="39" spans="1:32" x14ac:dyDescent="0.25">
      <c r="A39" t="s">
        <v>39</v>
      </c>
      <c r="B39">
        <f>IF(AND(INDEX('CA Standards and Followers'!$E$14:$E$73,MATCH($A39,'CA Standards and Followers'!$A$14:$A$73,0))=1,INDEX('CA Standards and Followers'!$H$14:$H$73,MATCH($A39,'CA Standards and Followers'!$A$14:$A$73,0))&lt;=B$1),INDEX('CA Standards and Followers'!$3:$3,MATCH(B$1,'CA Standards and Followers'!$1:$1,0)),IF(AND(INDEX('CA Standards and Followers'!$D$14:$D$73,MATCH($A39,'CA Standards and Followers'!$A$14:$A$73,0))=1,INDEX('CA Standards and Followers'!$G$14:$G$73,MATCH($A39,'CA Standards and Followers'!$A$14:$A$73,0))&lt;=B$1),INDEX('CA Standards and Followers'!$2:$2,MATCH(B$1,'CA Standards and Followers'!$1:$1,0)),0))</f>
        <v>9.5000000000000001E-2</v>
      </c>
      <c r="C39">
        <f>IF(AND(INDEX('CA Standards and Followers'!$E$14:$E$73,MATCH($A39,'CA Standards and Followers'!$A$14:$A$73,0))=1,INDEX('CA Standards and Followers'!$H$14:$H$73,MATCH($A39,'CA Standards and Followers'!$A$14:$A$73,0))&lt;=C$1),INDEX('CA Standards and Followers'!$3:$3,MATCH(C$1,'CA Standards and Followers'!$1:$1,0)),IF(AND(INDEX('CA Standards and Followers'!$D$14:$D$73,MATCH($A39,'CA Standards and Followers'!$A$14:$A$73,0))=1,INDEX('CA Standards and Followers'!$G$14:$G$73,MATCH($A39,'CA Standards and Followers'!$A$14:$A$73,0))&lt;=C$1),INDEX('CA Standards and Followers'!$2:$2,MATCH(C$1,'CA Standards and Followers'!$1:$1,0)),0))</f>
        <v>0.12</v>
      </c>
      <c r="D39">
        <f>IF(AND(INDEX('CA Standards and Followers'!$E$14:$E$73,MATCH($A39,'CA Standards and Followers'!$A$14:$A$73,0))=1,INDEX('CA Standards and Followers'!$H$14:$H$73,MATCH($A39,'CA Standards and Followers'!$A$14:$A$73,0))&lt;=D$1),INDEX('CA Standards and Followers'!$3:$3,MATCH(D$1,'CA Standards and Followers'!$1:$1,0)),IF(AND(INDEX('CA Standards and Followers'!$D$14:$D$73,MATCH($A39,'CA Standards and Followers'!$A$14:$A$73,0))=1,INDEX('CA Standards and Followers'!$G$14:$G$73,MATCH($A39,'CA Standards and Followers'!$A$14:$A$73,0))&lt;=D$1),INDEX('CA Standards and Followers'!$2:$2,MATCH(D$1,'CA Standards and Followers'!$1:$1,0)),0))</f>
        <v>0.14499999999999999</v>
      </c>
      <c r="E39">
        <f>IF(AND(INDEX('CA Standards and Followers'!$E$14:$E$73,MATCH($A39,'CA Standards and Followers'!$A$14:$A$73,0))=1,INDEX('CA Standards and Followers'!$H$14:$H$73,MATCH($A39,'CA Standards and Followers'!$A$14:$A$73,0))&lt;=E$1),INDEX('CA Standards and Followers'!$3:$3,MATCH(E$1,'CA Standards and Followers'!$1:$1,0)),IF(AND(INDEX('CA Standards and Followers'!$D$14:$D$73,MATCH($A39,'CA Standards and Followers'!$A$14:$A$73,0))=1,INDEX('CA Standards and Followers'!$G$14:$G$73,MATCH($A39,'CA Standards and Followers'!$A$14:$A$73,0))&lt;=E$1),INDEX('CA Standards and Followers'!$2:$2,MATCH(E$1,'CA Standards and Followers'!$1:$1,0)),0))</f>
        <v>0.16999999999999998</v>
      </c>
      <c r="F39">
        <f>IF(AND(INDEX('CA Standards and Followers'!$E$14:$E$73,MATCH($A39,'CA Standards and Followers'!$A$14:$A$73,0))=1,INDEX('CA Standards and Followers'!$H$14:$H$73,MATCH($A39,'CA Standards and Followers'!$A$14:$A$73,0))&lt;=F$1),INDEX('CA Standards and Followers'!$3:$3,MATCH(F$1,'CA Standards and Followers'!$1:$1,0)),IF(AND(INDEX('CA Standards and Followers'!$D$14:$D$73,MATCH($A39,'CA Standards and Followers'!$A$14:$A$73,0))=1,INDEX('CA Standards and Followers'!$G$14:$G$73,MATCH($A39,'CA Standards and Followers'!$A$14:$A$73,0))&lt;=F$1),INDEX('CA Standards and Followers'!$2:$2,MATCH(F$1,'CA Standards and Followers'!$1:$1,0)),0))</f>
        <v>0.19500000000000001</v>
      </c>
      <c r="G39">
        <f>IF(AND(INDEX('CA Standards and Followers'!$E$14:$E$73,MATCH($A39,'CA Standards and Followers'!$A$14:$A$73,0))=1,INDEX('CA Standards and Followers'!$H$14:$H$73,MATCH($A39,'CA Standards and Followers'!$A$14:$A$73,0))&lt;=G$1),INDEX('CA Standards and Followers'!$3:$3,MATCH(G$1,'CA Standards and Followers'!$1:$1,0)),IF(AND(INDEX('CA Standards and Followers'!$D$14:$D$73,MATCH($A39,'CA Standards and Followers'!$A$14:$A$73,0))=1,INDEX('CA Standards and Followers'!$G$14:$G$73,MATCH($A39,'CA Standards and Followers'!$A$14:$A$73,0))&lt;=G$1),INDEX('CA Standards and Followers'!$2:$2,MATCH(G$1,'CA Standards and Followers'!$1:$1,0)),0))</f>
        <v>0.21999999999999997</v>
      </c>
      <c r="H39">
        <f>IF(AND(INDEX('CA Standards and Followers'!$E$14:$E$73,MATCH($A39,'CA Standards and Followers'!$A$14:$A$73,0))=1,INDEX('CA Standards and Followers'!$H$14:$H$73,MATCH($A39,'CA Standards and Followers'!$A$14:$A$73,0))&lt;=H$1),INDEX('CA Standards and Followers'!$3:$3,MATCH(H$1,'CA Standards and Followers'!$1:$1,0)),IF(AND(INDEX('CA Standards and Followers'!$D$14:$D$73,MATCH($A39,'CA Standards and Followers'!$A$14:$A$73,0))=1,INDEX('CA Standards and Followers'!$G$14:$G$73,MATCH($A39,'CA Standards and Followers'!$A$14:$A$73,0))&lt;=H$1),INDEX('CA Standards and Followers'!$2:$2,MATCH(H$1,'CA Standards and Followers'!$1:$1,0)),0))</f>
        <v>0.22</v>
      </c>
      <c r="I39">
        <f>IF(AND(INDEX('CA Standards and Followers'!$E$14:$E$73,MATCH($A39,'CA Standards and Followers'!$A$14:$A$73,0))=1,INDEX('CA Standards and Followers'!$H$14:$H$73,MATCH($A39,'CA Standards and Followers'!$A$14:$A$73,0))&lt;=I$1),INDEX('CA Standards and Followers'!$3:$3,MATCH(I$1,'CA Standards and Followers'!$1:$1,0)),IF(AND(INDEX('CA Standards and Followers'!$D$14:$D$73,MATCH($A39,'CA Standards and Followers'!$A$14:$A$73,0))=1,INDEX('CA Standards and Followers'!$G$14:$G$73,MATCH($A39,'CA Standards and Followers'!$A$14:$A$73,0))&lt;=I$1),INDEX('CA Standards and Followers'!$2:$2,MATCH(I$1,'CA Standards and Followers'!$1:$1,0)),0))</f>
        <v>0.22</v>
      </c>
      <c r="J39">
        <f>IF(AND(INDEX('CA Standards and Followers'!$E$14:$E$73,MATCH($A39,'CA Standards and Followers'!$A$14:$A$73,0))=1,INDEX('CA Standards and Followers'!$H$14:$H$73,MATCH($A39,'CA Standards and Followers'!$A$14:$A$73,0))&lt;=J$1),INDEX('CA Standards and Followers'!$3:$3,MATCH(J$1,'CA Standards and Followers'!$1:$1,0)),IF(AND(INDEX('CA Standards and Followers'!$D$14:$D$73,MATCH($A39,'CA Standards and Followers'!$A$14:$A$73,0))=1,INDEX('CA Standards and Followers'!$G$14:$G$73,MATCH($A39,'CA Standards and Followers'!$A$14:$A$73,0))&lt;=J$1),INDEX('CA Standards and Followers'!$2:$2,MATCH(J$1,'CA Standards and Followers'!$1:$1,0)),0))</f>
        <v>0.22</v>
      </c>
      <c r="K39">
        <f>IF(AND(INDEX('CA Standards and Followers'!$E$14:$E$73,MATCH($A39,'CA Standards and Followers'!$A$14:$A$73,0))=1,INDEX('CA Standards and Followers'!$H$14:$H$73,MATCH($A39,'CA Standards and Followers'!$A$14:$A$73,0))&lt;=K$1),INDEX('CA Standards and Followers'!$3:$3,MATCH(K$1,'CA Standards and Followers'!$1:$1,0)),IF(AND(INDEX('CA Standards and Followers'!$D$14:$D$73,MATCH($A39,'CA Standards and Followers'!$A$14:$A$73,0))=1,INDEX('CA Standards and Followers'!$G$14:$G$73,MATCH($A39,'CA Standards and Followers'!$A$14:$A$73,0))&lt;=K$1),INDEX('CA Standards and Followers'!$2:$2,MATCH(K$1,'CA Standards and Followers'!$1:$1,0)),0))</f>
        <v>0.22</v>
      </c>
      <c r="L39">
        <f>IF(AND(INDEX('CA Standards and Followers'!$E$14:$E$73,MATCH($A39,'CA Standards and Followers'!$A$14:$A$73,0))=1,INDEX('CA Standards and Followers'!$H$14:$H$73,MATCH($A39,'CA Standards and Followers'!$A$14:$A$73,0))&lt;=L$1),INDEX('CA Standards and Followers'!$3:$3,MATCH(L$1,'CA Standards and Followers'!$1:$1,0)),IF(AND(INDEX('CA Standards and Followers'!$D$14:$D$73,MATCH($A39,'CA Standards and Followers'!$A$14:$A$73,0))=1,INDEX('CA Standards and Followers'!$G$14:$G$73,MATCH($A39,'CA Standards and Followers'!$A$14:$A$73,0))&lt;=L$1),INDEX('CA Standards and Followers'!$2:$2,MATCH(L$1,'CA Standards and Followers'!$1:$1,0)),0))</f>
        <v>0.22</v>
      </c>
      <c r="M39">
        <f>IF(AND(INDEX('CA Standards and Followers'!$E$14:$E$73,MATCH($A39,'CA Standards and Followers'!$A$14:$A$73,0))=1,INDEX('CA Standards and Followers'!$H$14:$H$73,MATCH($A39,'CA Standards and Followers'!$A$14:$A$73,0))&lt;=M$1),INDEX('CA Standards and Followers'!$3:$3,MATCH(M$1,'CA Standards and Followers'!$1:$1,0)),IF(AND(INDEX('CA Standards and Followers'!$D$14:$D$73,MATCH($A39,'CA Standards and Followers'!$A$14:$A$73,0))=1,INDEX('CA Standards and Followers'!$G$14:$G$73,MATCH($A39,'CA Standards and Followers'!$A$14:$A$73,0))&lt;=M$1),INDEX('CA Standards and Followers'!$2:$2,MATCH(M$1,'CA Standards and Followers'!$1:$1,0)),0))</f>
        <v>0.22</v>
      </c>
      <c r="N39">
        <f>IF(AND(INDEX('CA Standards and Followers'!$E$14:$E$73,MATCH($A39,'CA Standards and Followers'!$A$14:$A$73,0))=1,INDEX('CA Standards and Followers'!$H$14:$H$73,MATCH($A39,'CA Standards and Followers'!$A$14:$A$73,0))&lt;=N$1),INDEX('CA Standards and Followers'!$3:$3,MATCH(N$1,'CA Standards and Followers'!$1:$1,0)),IF(AND(INDEX('CA Standards and Followers'!$D$14:$D$73,MATCH($A39,'CA Standards and Followers'!$A$14:$A$73,0))=1,INDEX('CA Standards and Followers'!$G$14:$G$73,MATCH($A39,'CA Standards and Followers'!$A$14:$A$73,0))&lt;=N$1),INDEX('CA Standards and Followers'!$2:$2,MATCH(N$1,'CA Standards and Followers'!$1:$1,0)),0))</f>
        <v>0.22</v>
      </c>
      <c r="O39">
        <f>IF(AND(INDEX('CA Standards and Followers'!$E$14:$E$73,MATCH($A39,'CA Standards and Followers'!$A$14:$A$73,0))=1,INDEX('CA Standards and Followers'!$H$14:$H$73,MATCH($A39,'CA Standards and Followers'!$A$14:$A$73,0))&lt;=O$1),INDEX('CA Standards and Followers'!$3:$3,MATCH(O$1,'CA Standards and Followers'!$1:$1,0)),IF(AND(INDEX('CA Standards and Followers'!$D$14:$D$73,MATCH($A39,'CA Standards and Followers'!$A$14:$A$73,0))=1,INDEX('CA Standards and Followers'!$G$14:$G$73,MATCH($A39,'CA Standards and Followers'!$A$14:$A$73,0))&lt;=O$1),INDEX('CA Standards and Followers'!$2:$2,MATCH(O$1,'CA Standards and Followers'!$1:$1,0)),0))</f>
        <v>0.22</v>
      </c>
      <c r="P39">
        <f>IF(AND(INDEX('CA Standards and Followers'!$E$14:$E$73,MATCH($A39,'CA Standards and Followers'!$A$14:$A$73,0))=1,INDEX('CA Standards and Followers'!$H$14:$H$73,MATCH($A39,'CA Standards and Followers'!$A$14:$A$73,0))&lt;=P$1),INDEX('CA Standards and Followers'!$3:$3,MATCH(P$1,'CA Standards and Followers'!$1:$1,0)),IF(AND(INDEX('CA Standards and Followers'!$D$14:$D$73,MATCH($A39,'CA Standards and Followers'!$A$14:$A$73,0))=1,INDEX('CA Standards and Followers'!$G$14:$G$73,MATCH($A39,'CA Standards and Followers'!$A$14:$A$73,0))&lt;=P$1),INDEX('CA Standards and Followers'!$2:$2,MATCH(P$1,'CA Standards and Followers'!$1:$1,0)),0))</f>
        <v>0.22</v>
      </c>
      <c r="Q39">
        <f>IF(AND(INDEX('CA Standards and Followers'!$E$14:$E$73,MATCH($A39,'CA Standards and Followers'!$A$14:$A$73,0))=1,INDEX('CA Standards and Followers'!$H$14:$H$73,MATCH($A39,'CA Standards and Followers'!$A$14:$A$73,0))&lt;=Q$1),INDEX('CA Standards and Followers'!$3:$3,MATCH(Q$1,'CA Standards and Followers'!$1:$1,0)),IF(AND(INDEX('CA Standards and Followers'!$D$14:$D$73,MATCH($A39,'CA Standards and Followers'!$A$14:$A$73,0))=1,INDEX('CA Standards and Followers'!$G$14:$G$73,MATCH($A39,'CA Standards and Followers'!$A$14:$A$73,0))&lt;=Q$1),INDEX('CA Standards and Followers'!$2:$2,MATCH(Q$1,'CA Standards and Followers'!$1:$1,0)),0))</f>
        <v>0.22</v>
      </c>
      <c r="R39">
        <f>IF(AND(INDEX('CA Standards and Followers'!$E$14:$E$73,MATCH($A39,'CA Standards and Followers'!$A$14:$A$73,0))=1,INDEX('CA Standards and Followers'!$H$14:$H$73,MATCH($A39,'CA Standards and Followers'!$A$14:$A$73,0))&lt;=R$1),INDEX('CA Standards and Followers'!$3:$3,MATCH(R$1,'CA Standards and Followers'!$1:$1,0)),IF(AND(INDEX('CA Standards and Followers'!$D$14:$D$73,MATCH($A39,'CA Standards and Followers'!$A$14:$A$73,0))=1,INDEX('CA Standards and Followers'!$G$14:$G$73,MATCH($A39,'CA Standards and Followers'!$A$14:$A$73,0))&lt;=R$1),INDEX('CA Standards and Followers'!$2:$2,MATCH(R$1,'CA Standards and Followers'!$1:$1,0)),0))</f>
        <v>0.22</v>
      </c>
      <c r="S39">
        <f>IF(AND(INDEX('CA Standards and Followers'!$E$14:$E$73,MATCH($A39,'CA Standards and Followers'!$A$14:$A$73,0))=1,INDEX('CA Standards and Followers'!$H$14:$H$73,MATCH($A39,'CA Standards and Followers'!$A$14:$A$73,0))&lt;=S$1),INDEX('CA Standards and Followers'!$3:$3,MATCH(S$1,'CA Standards and Followers'!$1:$1,0)),IF(AND(INDEX('CA Standards and Followers'!$D$14:$D$73,MATCH($A39,'CA Standards and Followers'!$A$14:$A$73,0))=1,INDEX('CA Standards and Followers'!$G$14:$G$73,MATCH($A39,'CA Standards and Followers'!$A$14:$A$73,0))&lt;=S$1),INDEX('CA Standards and Followers'!$2:$2,MATCH(S$1,'CA Standards and Followers'!$1:$1,0)),0))</f>
        <v>0.22</v>
      </c>
      <c r="T39">
        <f>IF(AND(INDEX('CA Standards and Followers'!$E$14:$E$73,MATCH($A39,'CA Standards and Followers'!$A$14:$A$73,0))=1,INDEX('CA Standards and Followers'!$H$14:$H$73,MATCH($A39,'CA Standards and Followers'!$A$14:$A$73,0))&lt;=T$1),INDEX('CA Standards and Followers'!$3:$3,MATCH(T$1,'CA Standards and Followers'!$1:$1,0)),IF(AND(INDEX('CA Standards and Followers'!$D$14:$D$73,MATCH($A39,'CA Standards and Followers'!$A$14:$A$73,0))=1,INDEX('CA Standards and Followers'!$G$14:$G$73,MATCH($A39,'CA Standards and Followers'!$A$14:$A$73,0))&lt;=T$1),INDEX('CA Standards and Followers'!$2:$2,MATCH(T$1,'CA Standards and Followers'!$1:$1,0)),0))</f>
        <v>0.22</v>
      </c>
      <c r="U39">
        <f>IF(AND(INDEX('CA Standards and Followers'!$E$14:$E$73,MATCH($A39,'CA Standards and Followers'!$A$14:$A$73,0))=1,INDEX('CA Standards and Followers'!$H$14:$H$73,MATCH($A39,'CA Standards and Followers'!$A$14:$A$73,0))&lt;=U$1),INDEX('CA Standards and Followers'!$3:$3,MATCH(U$1,'CA Standards and Followers'!$1:$1,0)),IF(AND(INDEX('CA Standards and Followers'!$D$14:$D$73,MATCH($A39,'CA Standards and Followers'!$A$14:$A$73,0))=1,INDEX('CA Standards and Followers'!$G$14:$G$73,MATCH($A39,'CA Standards and Followers'!$A$14:$A$73,0))&lt;=U$1),INDEX('CA Standards and Followers'!$2:$2,MATCH(U$1,'CA Standards and Followers'!$1:$1,0)),0))</f>
        <v>0.22</v>
      </c>
      <c r="V39">
        <f>IF(AND(INDEX('CA Standards and Followers'!$E$14:$E$73,MATCH($A39,'CA Standards and Followers'!$A$14:$A$73,0))=1,INDEX('CA Standards and Followers'!$H$14:$H$73,MATCH($A39,'CA Standards and Followers'!$A$14:$A$73,0))&lt;=V$1),INDEX('CA Standards and Followers'!$3:$3,MATCH(V$1,'CA Standards and Followers'!$1:$1,0)),IF(AND(INDEX('CA Standards and Followers'!$D$14:$D$73,MATCH($A39,'CA Standards and Followers'!$A$14:$A$73,0))=1,INDEX('CA Standards and Followers'!$G$14:$G$73,MATCH($A39,'CA Standards and Followers'!$A$14:$A$73,0))&lt;=V$1),INDEX('CA Standards and Followers'!$2:$2,MATCH(V$1,'CA Standards and Followers'!$1:$1,0)),0))</f>
        <v>0.22</v>
      </c>
      <c r="W39">
        <f>IF(AND(INDEX('CA Standards and Followers'!$E$14:$E$73,MATCH($A39,'CA Standards and Followers'!$A$14:$A$73,0))=1,INDEX('CA Standards and Followers'!$H$14:$H$73,MATCH($A39,'CA Standards and Followers'!$A$14:$A$73,0))&lt;=W$1),INDEX('CA Standards and Followers'!$3:$3,MATCH(W$1,'CA Standards and Followers'!$1:$1,0)),IF(AND(INDEX('CA Standards and Followers'!$D$14:$D$73,MATCH($A39,'CA Standards and Followers'!$A$14:$A$73,0))=1,INDEX('CA Standards and Followers'!$G$14:$G$73,MATCH($A39,'CA Standards and Followers'!$A$14:$A$73,0))&lt;=W$1),INDEX('CA Standards and Followers'!$2:$2,MATCH(W$1,'CA Standards and Followers'!$1:$1,0)),0))</f>
        <v>0.22</v>
      </c>
      <c r="X39">
        <f>IF(AND(INDEX('CA Standards and Followers'!$E$14:$E$73,MATCH($A39,'CA Standards and Followers'!$A$14:$A$73,0))=1,INDEX('CA Standards and Followers'!$H$14:$H$73,MATCH($A39,'CA Standards and Followers'!$A$14:$A$73,0))&lt;=X$1),INDEX('CA Standards and Followers'!$3:$3,MATCH(X$1,'CA Standards and Followers'!$1:$1,0)),IF(AND(INDEX('CA Standards and Followers'!$D$14:$D$73,MATCH($A39,'CA Standards and Followers'!$A$14:$A$73,0))=1,INDEX('CA Standards and Followers'!$G$14:$G$73,MATCH($A39,'CA Standards and Followers'!$A$14:$A$73,0))&lt;=X$1),INDEX('CA Standards and Followers'!$2:$2,MATCH(X$1,'CA Standards and Followers'!$1:$1,0)),0))</f>
        <v>0.22</v>
      </c>
      <c r="Y39">
        <f>IF(AND(INDEX('CA Standards and Followers'!$E$14:$E$73,MATCH($A39,'CA Standards and Followers'!$A$14:$A$73,0))=1,INDEX('CA Standards and Followers'!$H$14:$H$73,MATCH($A39,'CA Standards and Followers'!$A$14:$A$73,0))&lt;=Y$1),INDEX('CA Standards and Followers'!$3:$3,MATCH(Y$1,'CA Standards and Followers'!$1:$1,0)),IF(AND(INDEX('CA Standards and Followers'!$D$14:$D$73,MATCH($A39,'CA Standards and Followers'!$A$14:$A$73,0))=1,INDEX('CA Standards and Followers'!$G$14:$G$73,MATCH($A39,'CA Standards and Followers'!$A$14:$A$73,0))&lt;=Y$1),INDEX('CA Standards and Followers'!$2:$2,MATCH(Y$1,'CA Standards and Followers'!$1:$1,0)),0))</f>
        <v>0.22</v>
      </c>
      <c r="Z39">
        <f>IF(AND(INDEX('CA Standards and Followers'!$E$14:$E$73,MATCH($A39,'CA Standards and Followers'!$A$14:$A$73,0))=1,INDEX('CA Standards and Followers'!$H$14:$H$73,MATCH($A39,'CA Standards and Followers'!$A$14:$A$73,0))&lt;=Z$1),INDEX('CA Standards and Followers'!$3:$3,MATCH(Z$1,'CA Standards and Followers'!$1:$1,0)),IF(AND(INDEX('CA Standards and Followers'!$D$14:$D$73,MATCH($A39,'CA Standards and Followers'!$A$14:$A$73,0))=1,INDEX('CA Standards and Followers'!$G$14:$G$73,MATCH($A39,'CA Standards and Followers'!$A$14:$A$73,0))&lt;=Z$1),INDEX('CA Standards and Followers'!$2:$2,MATCH(Z$1,'CA Standards and Followers'!$1:$1,0)),0))</f>
        <v>0.22</v>
      </c>
      <c r="AA39">
        <f>IF(AND(INDEX('CA Standards and Followers'!$E$14:$E$73,MATCH($A39,'CA Standards and Followers'!$A$14:$A$73,0))=1,INDEX('CA Standards and Followers'!$H$14:$H$73,MATCH($A39,'CA Standards and Followers'!$A$14:$A$73,0))&lt;=AA$1),INDEX('CA Standards and Followers'!$3:$3,MATCH(AA$1,'CA Standards and Followers'!$1:$1,0)),IF(AND(INDEX('CA Standards and Followers'!$D$14:$D$73,MATCH($A39,'CA Standards and Followers'!$A$14:$A$73,0))=1,INDEX('CA Standards and Followers'!$G$14:$G$73,MATCH($A39,'CA Standards and Followers'!$A$14:$A$73,0))&lt;=AA$1),INDEX('CA Standards and Followers'!$2:$2,MATCH(AA$1,'CA Standards and Followers'!$1:$1,0)),0))</f>
        <v>0.22</v>
      </c>
      <c r="AB39">
        <f>IF(AND(INDEX('CA Standards and Followers'!$E$14:$E$73,MATCH($A39,'CA Standards and Followers'!$A$14:$A$73,0))=1,INDEX('CA Standards and Followers'!$H$14:$H$73,MATCH($A39,'CA Standards and Followers'!$A$14:$A$73,0))&lt;=AB$1),INDEX('CA Standards and Followers'!$3:$3,MATCH(AB$1,'CA Standards and Followers'!$1:$1,0)),IF(AND(INDEX('CA Standards and Followers'!$D$14:$D$73,MATCH($A39,'CA Standards and Followers'!$A$14:$A$73,0))=1,INDEX('CA Standards and Followers'!$G$14:$G$73,MATCH($A39,'CA Standards and Followers'!$A$14:$A$73,0))&lt;=AB$1),INDEX('CA Standards and Followers'!$2:$2,MATCH(AB$1,'CA Standards and Followers'!$1:$1,0)),0))</f>
        <v>0.22</v>
      </c>
      <c r="AC39">
        <f>IF(AND(INDEX('CA Standards and Followers'!$E$14:$E$73,MATCH($A39,'CA Standards and Followers'!$A$14:$A$73,0))=1,INDEX('CA Standards and Followers'!$H$14:$H$73,MATCH($A39,'CA Standards and Followers'!$A$14:$A$73,0))&lt;=AC$1),INDEX('CA Standards and Followers'!$3:$3,MATCH(AC$1,'CA Standards and Followers'!$1:$1,0)),IF(AND(INDEX('CA Standards and Followers'!$D$14:$D$73,MATCH($A39,'CA Standards and Followers'!$A$14:$A$73,0))=1,INDEX('CA Standards and Followers'!$G$14:$G$73,MATCH($A39,'CA Standards and Followers'!$A$14:$A$73,0))&lt;=AC$1),INDEX('CA Standards and Followers'!$2:$2,MATCH(AC$1,'CA Standards and Followers'!$1:$1,0)),0))</f>
        <v>0.22</v>
      </c>
      <c r="AD39">
        <f>IF(AND(INDEX('CA Standards and Followers'!$E$14:$E$73,MATCH($A39,'CA Standards and Followers'!$A$14:$A$73,0))=1,INDEX('CA Standards and Followers'!$H$14:$H$73,MATCH($A39,'CA Standards and Followers'!$A$14:$A$73,0))&lt;=AD$1),INDEX('CA Standards and Followers'!$3:$3,MATCH(AD$1,'CA Standards and Followers'!$1:$1,0)),IF(AND(INDEX('CA Standards and Followers'!$D$14:$D$73,MATCH($A39,'CA Standards and Followers'!$A$14:$A$73,0))=1,INDEX('CA Standards and Followers'!$G$14:$G$73,MATCH($A39,'CA Standards and Followers'!$A$14:$A$73,0))&lt;=AD$1),INDEX('CA Standards and Followers'!$2:$2,MATCH(AD$1,'CA Standards and Followers'!$1:$1,0)),0))</f>
        <v>0.22</v>
      </c>
      <c r="AE39">
        <f>IF(AND(INDEX('CA Standards and Followers'!$E$14:$E$73,MATCH($A39,'CA Standards and Followers'!$A$14:$A$73,0))=1,INDEX('CA Standards and Followers'!$H$14:$H$73,MATCH($A39,'CA Standards and Followers'!$A$14:$A$73,0))&lt;=AE$1),INDEX('CA Standards and Followers'!$3:$3,MATCH(AE$1,'CA Standards and Followers'!$1:$1,0)),IF(AND(INDEX('CA Standards and Followers'!$D$14:$D$73,MATCH($A39,'CA Standards and Followers'!$A$14:$A$73,0))=1,INDEX('CA Standards and Followers'!$G$14:$G$73,MATCH($A39,'CA Standards and Followers'!$A$14:$A$73,0))&lt;=AE$1),INDEX('CA Standards and Followers'!$2:$2,MATCH(AE$1,'CA Standards and Followers'!$1:$1,0)),0))</f>
        <v>0.22</v>
      </c>
      <c r="AF39">
        <f>IF(AND(INDEX('CA Standards and Followers'!$E$14:$E$73,MATCH($A39,'CA Standards and Followers'!$A$14:$A$73,0))=1,INDEX('CA Standards and Followers'!$H$14:$H$73,MATCH($A39,'CA Standards and Followers'!$A$14:$A$73,0))&lt;=AF$1),INDEX('CA Standards and Followers'!$3:$3,MATCH(AF$1,'CA Standards and Followers'!$1:$1,0)),IF(AND(INDEX('CA Standards and Followers'!$D$14:$D$73,MATCH($A39,'CA Standards and Followers'!$A$14:$A$73,0))=1,INDEX('CA Standards and Followers'!$G$14:$G$73,MATCH($A39,'CA Standards and Followers'!$A$14:$A$73,0))&lt;=AF$1),INDEX('CA Standards and Followers'!$2:$2,MATCH(AF$1,'CA Standards and Followers'!$1:$1,0)),0))</f>
        <v>0.22</v>
      </c>
    </row>
    <row r="40" spans="1:32" x14ac:dyDescent="0.25">
      <c r="A40" t="s">
        <v>40</v>
      </c>
      <c r="B40">
        <f>IF(AND(INDEX('CA Standards and Followers'!$E$14:$E$73,MATCH($A40,'CA Standards and Followers'!$A$14:$A$73,0))=1,INDEX('CA Standards and Followers'!$H$14:$H$73,MATCH($A40,'CA Standards and Followers'!$A$14:$A$73,0))&lt;=B$1),INDEX('CA Standards and Followers'!$3:$3,MATCH(B$1,'CA Standards and Followers'!$1:$1,0)),IF(AND(INDEX('CA Standards and Followers'!$D$14:$D$73,MATCH($A40,'CA Standards and Followers'!$A$14:$A$73,0))=1,INDEX('CA Standards and Followers'!$G$14:$G$73,MATCH($A40,'CA Standards and Followers'!$A$14:$A$73,0))&lt;=B$1),INDEX('CA Standards and Followers'!$2:$2,MATCH(B$1,'CA Standards and Followers'!$1:$1,0)),0))</f>
        <v>0</v>
      </c>
      <c r="C40">
        <f>IF(AND(INDEX('CA Standards and Followers'!$E$14:$E$73,MATCH($A40,'CA Standards and Followers'!$A$14:$A$73,0))=1,INDEX('CA Standards and Followers'!$H$14:$H$73,MATCH($A40,'CA Standards and Followers'!$A$14:$A$73,0))&lt;=C$1),INDEX('CA Standards and Followers'!$3:$3,MATCH(C$1,'CA Standards and Followers'!$1:$1,0)),IF(AND(INDEX('CA Standards and Followers'!$D$14:$D$73,MATCH($A40,'CA Standards and Followers'!$A$14:$A$73,0))=1,INDEX('CA Standards and Followers'!$G$14:$G$73,MATCH($A40,'CA Standards and Followers'!$A$14:$A$73,0))&lt;=C$1),INDEX('CA Standards and Followers'!$2:$2,MATCH(C$1,'CA Standards and Followers'!$1:$1,0)),0))</f>
        <v>0</v>
      </c>
      <c r="D40">
        <f>IF(AND(INDEX('CA Standards and Followers'!$E$14:$E$73,MATCH($A40,'CA Standards and Followers'!$A$14:$A$73,0))=1,INDEX('CA Standards and Followers'!$H$14:$H$73,MATCH($A40,'CA Standards and Followers'!$A$14:$A$73,0))&lt;=D$1),INDEX('CA Standards and Followers'!$3:$3,MATCH(D$1,'CA Standards and Followers'!$1:$1,0)),IF(AND(INDEX('CA Standards and Followers'!$D$14:$D$73,MATCH($A40,'CA Standards and Followers'!$A$14:$A$73,0))=1,INDEX('CA Standards and Followers'!$G$14:$G$73,MATCH($A40,'CA Standards and Followers'!$A$14:$A$73,0))&lt;=D$1),INDEX('CA Standards and Followers'!$2:$2,MATCH(D$1,'CA Standards and Followers'!$1:$1,0)),0))</f>
        <v>0</v>
      </c>
      <c r="E40">
        <f>IF(AND(INDEX('CA Standards and Followers'!$E$14:$E$73,MATCH($A40,'CA Standards and Followers'!$A$14:$A$73,0))=1,INDEX('CA Standards and Followers'!$H$14:$H$73,MATCH($A40,'CA Standards and Followers'!$A$14:$A$73,0))&lt;=E$1),INDEX('CA Standards and Followers'!$3:$3,MATCH(E$1,'CA Standards and Followers'!$1:$1,0)),IF(AND(INDEX('CA Standards and Followers'!$D$14:$D$73,MATCH($A40,'CA Standards and Followers'!$A$14:$A$73,0))=1,INDEX('CA Standards and Followers'!$G$14:$G$73,MATCH($A40,'CA Standards and Followers'!$A$14:$A$73,0))&lt;=E$1),INDEX('CA Standards and Followers'!$2:$2,MATCH(E$1,'CA Standards and Followers'!$1:$1,0)),0))</f>
        <v>0</v>
      </c>
      <c r="F40">
        <f>IF(AND(INDEX('CA Standards and Followers'!$E$14:$E$73,MATCH($A40,'CA Standards and Followers'!$A$14:$A$73,0))=1,INDEX('CA Standards and Followers'!$H$14:$H$73,MATCH($A40,'CA Standards and Followers'!$A$14:$A$73,0))&lt;=F$1),INDEX('CA Standards and Followers'!$3:$3,MATCH(F$1,'CA Standards and Followers'!$1:$1,0)),IF(AND(INDEX('CA Standards and Followers'!$D$14:$D$73,MATCH($A40,'CA Standards and Followers'!$A$14:$A$73,0))=1,INDEX('CA Standards and Followers'!$G$14:$G$73,MATCH($A40,'CA Standards and Followers'!$A$14:$A$73,0))&lt;=F$1),INDEX('CA Standards and Followers'!$2:$2,MATCH(F$1,'CA Standards and Followers'!$1:$1,0)),0))</f>
        <v>0</v>
      </c>
      <c r="G40">
        <f>IF(AND(INDEX('CA Standards and Followers'!$E$14:$E$73,MATCH($A40,'CA Standards and Followers'!$A$14:$A$73,0))=1,INDEX('CA Standards and Followers'!$H$14:$H$73,MATCH($A40,'CA Standards and Followers'!$A$14:$A$73,0))&lt;=G$1),INDEX('CA Standards and Followers'!$3:$3,MATCH(G$1,'CA Standards and Followers'!$1:$1,0)),IF(AND(INDEX('CA Standards and Followers'!$D$14:$D$73,MATCH($A40,'CA Standards and Followers'!$A$14:$A$73,0))=1,INDEX('CA Standards and Followers'!$G$14:$G$73,MATCH($A40,'CA Standards and Followers'!$A$14:$A$73,0))&lt;=G$1),INDEX('CA Standards and Followers'!$2:$2,MATCH(G$1,'CA Standards and Followers'!$1:$1,0)),0))</f>
        <v>0</v>
      </c>
      <c r="H40">
        <f>IF(AND(INDEX('CA Standards and Followers'!$E$14:$E$73,MATCH($A40,'CA Standards and Followers'!$A$14:$A$73,0))=1,INDEX('CA Standards and Followers'!$H$14:$H$73,MATCH($A40,'CA Standards and Followers'!$A$14:$A$73,0))&lt;=H$1),INDEX('CA Standards and Followers'!$3:$3,MATCH(H$1,'CA Standards and Followers'!$1:$1,0)),IF(AND(INDEX('CA Standards and Followers'!$D$14:$D$73,MATCH($A40,'CA Standards and Followers'!$A$14:$A$73,0))=1,INDEX('CA Standards and Followers'!$G$14:$G$73,MATCH($A40,'CA Standards and Followers'!$A$14:$A$73,0))&lt;=H$1),INDEX('CA Standards and Followers'!$2:$2,MATCH(H$1,'CA Standards and Followers'!$1:$1,0)),0))</f>
        <v>0</v>
      </c>
      <c r="I40">
        <f>IF(AND(INDEX('CA Standards and Followers'!$E$14:$E$73,MATCH($A40,'CA Standards and Followers'!$A$14:$A$73,0))=1,INDEX('CA Standards and Followers'!$H$14:$H$73,MATCH($A40,'CA Standards and Followers'!$A$14:$A$73,0))&lt;=I$1),INDEX('CA Standards and Followers'!$3:$3,MATCH(I$1,'CA Standards and Followers'!$1:$1,0)),IF(AND(INDEX('CA Standards and Followers'!$D$14:$D$73,MATCH($A40,'CA Standards and Followers'!$A$14:$A$73,0))=1,INDEX('CA Standards and Followers'!$G$14:$G$73,MATCH($A40,'CA Standards and Followers'!$A$14:$A$73,0))&lt;=I$1),INDEX('CA Standards and Followers'!$2:$2,MATCH(I$1,'CA Standards and Followers'!$1:$1,0)),0))</f>
        <v>0</v>
      </c>
      <c r="J40">
        <f>IF(AND(INDEX('CA Standards and Followers'!$E$14:$E$73,MATCH($A40,'CA Standards and Followers'!$A$14:$A$73,0))=1,INDEX('CA Standards and Followers'!$H$14:$H$73,MATCH($A40,'CA Standards and Followers'!$A$14:$A$73,0))&lt;=J$1),INDEX('CA Standards and Followers'!$3:$3,MATCH(J$1,'CA Standards and Followers'!$1:$1,0)),IF(AND(INDEX('CA Standards and Followers'!$D$14:$D$73,MATCH($A40,'CA Standards and Followers'!$A$14:$A$73,0))=1,INDEX('CA Standards and Followers'!$G$14:$G$73,MATCH($A40,'CA Standards and Followers'!$A$14:$A$73,0))&lt;=J$1),INDEX('CA Standards and Followers'!$2:$2,MATCH(J$1,'CA Standards and Followers'!$1:$1,0)),0))</f>
        <v>0</v>
      </c>
      <c r="K40">
        <f>IF(AND(INDEX('CA Standards and Followers'!$E$14:$E$73,MATCH($A40,'CA Standards and Followers'!$A$14:$A$73,0))=1,INDEX('CA Standards and Followers'!$H$14:$H$73,MATCH($A40,'CA Standards and Followers'!$A$14:$A$73,0))&lt;=K$1),INDEX('CA Standards and Followers'!$3:$3,MATCH(K$1,'CA Standards and Followers'!$1:$1,0)),IF(AND(INDEX('CA Standards and Followers'!$D$14:$D$73,MATCH($A40,'CA Standards and Followers'!$A$14:$A$73,0))=1,INDEX('CA Standards and Followers'!$G$14:$G$73,MATCH($A40,'CA Standards and Followers'!$A$14:$A$73,0))&lt;=K$1),INDEX('CA Standards and Followers'!$2:$2,MATCH(K$1,'CA Standards and Followers'!$1:$1,0)),0))</f>
        <v>0</v>
      </c>
      <c r="L40">
        <f>IF(AND(INDEX('CA Standards and Followers'!$E$14:$E$73,MATCH($A40,'CA Standards and Followers'!$A$14:$A$73,0))=1,INDEX('CA Standards and Followers'!$H$14:$H$73,MATCH($A40,'CA Standards and Followers'!$A$14:$A$73,0))&lt;=L$1),INDEX('CA Standards and Followers'!$3:$3,MATCH(L$1,'CA Standards and Followers'!$1:$1,0)),IF(AND(INDEX('CA Standards and Followers'!$D$14:$D$73,MATCH($A40,'CA Standards and Followers'!$A$14:$A$73,0))=1,INDEX('CA Standards and Followers'!$G$14:$G$73,MATCH($A40,'CA Standards and Followers'!$A$14:$A$73,0))&lt;=L$1),INDEX('CA Standards and Followers'!$2:$2,MATCH(L$1,'CA Standards and Followers'!$1:$1,0)),0))</f>
        <v>0</v>
      </c>
      <c r="M40">
        <f>IF(AND(INDEX('CA Standards and Followers'!$E$14:$E$73,MATCH($A40,'CA Standards and Followers'!$A$14:$A$73,0))=1,INDEX('CA Standards and Followers'!$H$14:$H$73,MATCH($A40,'CA Standards and Followers'!$A$14:$A$73,0))&lt;=M$1),INDEX('CA Standards and Followers'!$3:$3,MATCH(M$1,'CA Standards and Followers'!$1:$1,0)),IF(AND(INDEX('CA Standards and Followers'!$D$14:$D$73,MATCH($A40,'CA Standards and Followers'!$A$14:$A$73,0))=1,INDEX('CA Standards and Followers'!$G$14:$G$73,MATCH($A40,'CA Standards and Followers'!$A$14:$A$73,0))&lt;=M$1),INDEX('CA Standards and Followers'!$2:$2,MATCH(M$1,'CA Standards and Followers'!$1:$1,0)),0))</f>
        <v>0</v>
      </c>
      <c r="N40">
        <f>IF(AND(INDEX('CA Standards and Followers'!$E$14:$E$73,MATCH($A40,'CA Standards and Followers'!$A$14:$A$73,0))=1,INDEX('CA Standards and Followers'!$H$14:$H$73,MATCH($A40,'CA Standards and Followers'!$A$14:$A$73,0))&lt;=N$1),INDEX('CA Standards and Followers'!$3:$3,MATCH(N$1,'CA Standards and Followers'!$1:$1,0)),IF(AND(INDEX('CA Standards and Followers'!$D$14:$D$73,MATCH($A40,'CA Standards and Followers'!$A$14:$A$73,0))=1,INDEX('CA Standards and Followers'!$G$14:$G$73,MATCH($A40,'CA Standards and Followers'!$A$14:$A$73,0))&lt;=N$1),INDEX('CA Standards and Followers'!$2:$2,MATCH(N$1,'CA Standards and Followers'!$1:$1,0)),0))</f>
        <v>0</v>
      </c>
      <c r="O40">
        <f>IF(AND(INDEX('CA Standards and Followers'!$E$14:$E$73,MATCH($A40,'CA Standards and Followers'!$A$14:$A$73,0))=1,INDEX('CA Standards and Followers'!$H$14:$H$73,MATCH($A40,'CA Standards and Followers'!$A$14:$A$73,0))&lt;=O$1),INDEX('CA Standards and Followers'!$3:$3,MATCH(O$1,'CA Standards and Followers'!$1:$1,0)),IF(AND(INDEX('CA Standards and Followers'!$D$14:$D$73,MATCH($A40,'CA Standards and Followers'!$A$14:$A$73,0))=1,INDEX('CA Standards and Followers'!$G$14:$G$73,MATCH($A40,'CA Standards and Followers'!$A$14:$A$73,0))&lt;=O$1),INDEX('CA Standards and Followers'!$2:$2,MATCH(O$1,'CA Standards and Followers'!$1:$1,0)),0))</f>
        <v>0</v>
      </c>
      <c r="P40">
        <f>IF(AND(INDEX('CA Standards and Followers'!$E$14:$E$73,MATCH($A40,'CA Standards and Followers'!$A$14:$A$73,0))=1,INDEX('CA Standards and Followers'!$H$14:$H$73,MATCH($A40,'CA Standards and Followers'!$A$14:$A$73,0))&lt;=P$1),INDEX('CA Standards and Followers'!$3:$3,MATCH(P$1,'CA Standards and Followers'!$1:$1,0)),IF(AND(INDEX('CA Standards and Followers'!$D$14:$D$73,MATCH($A40,'CA Standards and Followers'!$A$14:$A$73,0))=1,INDEX('CA Standards and Followers'!$G$14:$G$73,MATCH($A40,'CA Standards and Followers'!$A$14:$A$73,0))&lt;=P$1),INDEX('CA Standards and Followers'!$2:$2,MATCH(P$1,'CA Standards and Followers'!$1:$1,0)),0))</f>
        <v>0</v>
      </c>
      <c r="Q40">
        <f>IF(AND(INDEX('CA Standards and Followers'!$E$14:$E$73,MATCH($A40,'CA Standards and Followers'!$A$14:$A$73,0))=1,INDEX('CA Standards and Followers'!$H$14:$H$73,MATCH($A40,'CA Standards and Followers'!$A$14:$A$73,0))&lt;=Q$1),INDEX('CA Standards and Followers'!$3:$3,MATCH(Q$1,'CA Standards and Followers'!$1:$1,0)),IF(AND(INDEX('CA Standards and Followers'!$D$14:$D$73,MATCH($A40,'CA Standards and Followers'!$A$14:$A$73,0))=1,INDEX('CA Standards and Followers'!$G$14:$G$73,MATCH($A40,'CA Standards and Followers'!$A$14:$A$73,0))&lt;=Q$1),INDEX('CA Standards and Followers'!$2:$2,MATCH(Q$1,'CA Standards and Followers'!$1:$1,0)),0))</f>
        <v>0</v>
      </c>
      <c r="R40">
        <f>IF(AND(INDEX('CA Standards and Followers'!$E$14:$E$73,MATCH($A40,'CA Standards and Followers'!$A$14:$A$73,0))=1,INDEX('CA Standards and Followers'!$H$14:$H$73,MATCH($A40,'CA Standards and Followers'!$A$14:$A$73,0))&lt;=R$1),INDEX('CA Standards and Followers'!$3:$3,MATCH(R$1,'CA Standards and Followers'!$1:$1,0)),IF(AND(INDEX('CA Standards and Followers'!$D$14:$D$73,MATCH($A40,'CA Standards and Followers'!$A$14:$A$73,0))=1,INDEX('CA Standards and Followers'!$G$14:$G$73,MATCH($A40,'CA Standards and Followers'!$A$14:$A$73,0))&lt;=R$1),INDEX('CA Standards and Followers'!$2:$2,MATCH(R$1,'CA Standards and Followers'!$1:$1,0)),0))</f>
        <v>0</v>
      </c>
      <c r="S40">
        <f>IF(AND(INDEX('CA Standards and Followers'!$E$14:$E$73,MATCH($A40,'CA Standards and Followers'!$A$14:$A$73,0))=1,INDEX('CA Standards and Followers'!$H$14:$H$73,MATCH($A40,'CA Standards and Followers'!$A$14:$A$73,0))&lt;=S$1),INDEX('CA Standards and Followers'!$3:$3,MATCH(S$1,'CA Standards and Followers'!$1:$1,0)),IF(AND(INDEX('CA Standards and Followers'!$D$14:$D$73,MATCH($A40,'CA Standards and Followers'!$A$14:$A$73,0))=1,INDEX('CA Standards and Followers'!$G$14:$G$73,MATCH($A40,'CA Standards and Followers'!$A$14:$A$73,0))&lt;=S$1),INDEX('CA Standards and Followers'!$2:$2,MATCH(S$1,'CA Standards and Followers'!$1:$1,0)),0))</f>
        <v>0</v>
      </c>
      <c r="T40">
        <f>IF(AND(INDEX('CA Standards and Followers'!$E$14:$E$73,MATCH($A40,'CA Standards and Followers'!$A$14:$A$73,0))=1,INDEX('CA Standards and Followers'!$H$14:$H$73,MATCH($A40,'CA Standards and Followers'!$A$14:$A$73,0))&lt;=T$1),INDEX('CA Standards and Followers'!$3:$3,MATCH(T$1,'CA Standards and Followers'!$1:$1,0)),IF(AND(INDEX('CA Standards and Followers'!$D$14:$D$73,MATCH($A40,'CA Standards and Followers'!$A$14:$A$73,0))=1,INDEX('CA Standards and Followers'!$G$14:$G$73,MATCH($A40,'CA Standards and Followers'!$A$14:$A$73,0))&lt;=T$1),INDEX('CA Standards and Followers'!$2:$2,MATCH(T$1,'CA Standards and Followers'!$1:$1,0)),0))</f>
        <v>0</v>
      </c>
      <c r="U40">
        <f>IF(AND(INDEX('CA Standards and Followers'!$E$14:$E$73,MATCH($A40,'CA Standards and Followers'!$A$14:$A$73,0))=1,INDEX('CA Standards and Followers'!$H$14:$H$73,MATCH($A40,'CA Standards and Followers'!$A$14:$A$73,0))&lt;=U$1),INDEX('CA Standards and Followers'!$3:$3,MATCH(U$1,'CA Standards and Followers'!$1:$1,0)),IF(AND(INDEX('CA Standards and Followers'!$D$14:$D$73,MATCH($A40,'CA Standards and Followers'!$A$14:$A$73,0))=1,INDEX('CA Standards and Followers'!$G$14:$G$73,MATCH($A40,'CA Standards and Followers'!$A$14:$A$73,0))&lt;=U$1),INDEX('CA Standards and Followers'!$2:$2,MATCH(U$1,'CA Standards and Followers'!$1:$1,0)),0))</f>
        <v>0</v>
      </c>
      <c r="V40">
        <f>IF(AND(INDEX('CA Standards and Followers'!$E$14:$E$73,MATCH($A40,'CA Standards and Followers'!$A$14:$A$73,0))=1,INDEX('CA Standards and Followers'!$H$14:$H$73,MATCH($A40,'CA Standards and Followers'!$A$14:$A$73,0))&lt;=V$1),INDEX('CA Standards and Followers'!$3:$3,MATCH(V$1,'CA Standards and Followers'!$1:$1,0)),IF(AND(INDEX('CA Standards and Followers'!$D$14:$D$73,MATCH($A40,'CA Standards and Followers'!$A$14:$A$73,0))=1,INDEX('CA Standards and Followers'!$G$14:$G$73,MATCH($A40,'CA Standards and Followers'!$A$14:$A$73,0))&lt;=V$1),INDEX('CA Standards and Followers'!$2:$2,MATCH(V$1,'CA Standards and Followers'!$1:$1,0)),0))</f>
        <v>0</v>
      </c>
      <c r="W40">
        <f>IF(AND(INDEX('CA Standards and Followers'!$E$14:$E$73,MATCH($A40,'CA Standards and Followers'!$A$14:$A$73,0))=1,INDEX('CA Standards and Followers'!$H$14:$H$73,MATCH($A40,'CA Standards and Followers'!$A$14:$A$73,0))&lt;=W$1),INDEX('CA Standards and Followers'!$3:$3,MATCH(W$1,'CA Standards and Followers'!$1:$1,0)),IF(AND(INDEX('CA Standards and Followers'!$D$14:$D$73,MATCH($A40,'CA Standards and Followers'!$A$14:$A$73,0))=1,INDEX('CA Standards and Followers'!$G$14:$G$73,MATCH($A40,'CA Standards and Followers'!$A$14:$A$73,0))&lt;=W$1),INDEX('CA Standards and Followers'!$2:$2,MATCH(W$1,'CA Standards and Followers'!$1:$1,0)),0))</f>
        <v>0</v>
      </c>
      <c r="X40">
        <f>IF(AND(INDEX('CA Standards and Followers'!$E$14:$E$73,MATCH($A40,'CA Standards and Followers'!$A$14:$A$73,0))=1,INDEX('CA Standards and Followers'!$H$14:$H$73,MATCH($A40,'CA Standards and Followers'!$A$14:$A$73,0))&lt;=X$1),INDEX('CA Standards and Followers'!$3:$3,MATCH(X$1,'CA Standards and Followers'!$1:$1,0)),IF(AND(INDEX('CA Standards and Followers'!$D$14:$D$73,MATCH($A40,'CA Standards and Followers'!$A$14:$A$73,0))=1,INDEX('CA Standards and Followers'!$G$14:$G$73,MATCH($A40,'CA Standards and Followers'!$A$14:$A$73,0))&lt;=X$1),INDEX('CA Standards and Followers'!$2:$2,MATCH(X$1,'CA Standards and Followers'!$1:$1,0)),0))</f>
        <v>0</v>
      </c>
      <c r="Y40">
        <f>IF(AND(INDEX('CA Standards and Followers'!$E$14:$E$73,MATCH($A40,'CA Standards and Followers'!$A$14:$A$73,0))=1,INDEX('CA Standards and Followers'!$H$14:$H$73,MATCH($A40,'CA Standards and Followers'!$A$14:$A$73,0))&lt;=Y$1),INDEX('CA Standards and Followers'!$3:$3,MATCH(Y$1,'CA Standards and Followers'!$1:$1,0)),IF(AND(INDEX('CA Standards and Followers'!$D$14:$D$73,MATCH($A40,'CA Standards and Followers'!$A$14:$A$73,0))=1,INDEX('CA Standards and Followers'!$G$14:$G$73,MATCH($A40,'CA Standards and Followers'!$A$14:$A$73,0))&lt;=Y$1),INDEX('CA Standards and Followers'!$2:$2,MATCH(Y$1,'CA Standards and Followers'!$1:$1,0)),0))</f>
        <v>0</v>
      </c>
      <c r="Z40">
        <f>IF(AND(INDEX('CA Standards and Followers'!$E$14:$E$73,MATCH($A40,'CA Standards and Followers'!$A$14:$A$73,0))=1,INDEX('CA Standards and Followers'!$H$14:$H$73,MATCH($A40,'CA Standards and Followers'!$A$14:$A$73,0))&lt;=Z$1),INDEX('CA Standards and Followers'!$3:$3,MATCH(Z$1,'CA Standards and Followers'!$1:$1,0)),IF(AND(INDEX('CA Standards and Followers'!$D$14:$D$73,MATCH($A40,'CA Standards and Followers'!$A$14:$A$73,0))=1,INDEX('CA Standards and Followers'!$G$14:$G$73,MATCH($A40,'CA Standards and Followers'!$A$14:$A$73,0))&lt;=Z$1),INDEX('CA Standards and Followers'!$2:$2,MATCH(Z$1,'CA Standards and Followers'!$1:$1,0)),0))</f>
        <v>0</v>
      </c>
      <c r="AA40">
        <f>IF(AND(INDEX('CA Standards and Followers'!$E$14:$E$73,MATCH($A40,'CA Standards and Followers'!$A$14:$A$73,0))=1,INDEX('CA Standards and Followers'!$H$14:$H$73,MATCH($A40,'CA Standards and Followers'!$A$14:$A$73,0))&lt;=AA$1),INDEX('CA Standards and Followers'!$3:$3,MATCH(AA$1,'CA Standards and Followers'!$1:$1,0)),IF(AND(INDEX('CA Standards and Followers'!$D$14:$D$73,MATCH($A40,'CA Standards and Followers'!$A$14:$A$73,0))=1,INDEX('CA Standards and Followers'!$G$14:$G$73,MATCH($A40,'CA Standards and Followers'!$A$14:$A$73,0))&lt;=AA$1),INDEX('CA Standards and Followers'!$2:$2,MATCH(AA$1,'CA Standards and Followers'!$1:$1,0)),0))</f>
        <v>0</v>
      </c>
      <c r="AB40">
        <f>IF(AND(INDEX('CA Standards and Followers'!$E$14:$E$73,MATCH($A40,'CA Standards and Followers'!$A$14:$A$73,0))=1,INDEX('CA Standards and Followers'!$H$14:$H$73,MATCH($A40,'CA Standards and Followers'!$A$14:$A$73,0))&lt;=AB$1),INDEX('CA Standards and Followers'!$3:$3,MATCH(AB$1,'CA Standards and Followers'!$1:$1,0)),IF(AND(INDEX('CA Standards and Followers'!$D$14:$D$73,MATCH($A40,'CA Standards and Followers'!$A$14:$A$73,0))=1,INDEX('CA Standards and Followers'!$G$14:$G$73,MATCH($A40,'CA Standards and Followers'!$A$14:$A$73,0))&lt;=AB$1),INDEX('CA Standards and Followers'!$2:$2,MATCH(AB$1,'CA Standards and Followers'!$1:$1,0)),0))</f>
        <v>0</v>
      </c>
      <c r="AC40">
        <f>IF(AND(INDEX('CA Standards and Followers'!$E$14:$E$73,MATCH($A40,'CA Standards and Followers'!$A$14:$A$73,0))=1,INDEX('CA Standards and Followers'!$H$14:$H$73,MATCH($A40,'CA Standards and Followers'!$A$14:$A$73,0))&lt;=AC$1),INDEX('CA Standards and Followers'!$3:$3,MATCH(AC$1,'CA Standards and Followers'!$1:$1,0)),IF(AND(INDEX('CA Standards and Followers'!$D$14:$D$73,MATCH($A40,'CA Standards and Followers'!$A$14:$A$73,0))=1,INDEX('CA Standards and Followers'!$G$14:$G$73,MATCH($A40,'CA Standards and Followers'!$A$14:$A$73,0))&lt;=AC$1),INDEX('CA Standards and Followers'!$2:$2,MATCH(AC$1,'CA Standards and Followers'!$1:$1,0)),0))</f>
        <v>0</v>
      </c>
      <c r="AD40">
        <f>IF(AND(INDEX('CA Standards and Followers'!$E$14:$E$73,MATCH($A40,'CA Standards and Followers'!$A$14:$A$73,0))=1,INDEX('CA Standards and Followers'!$H$14:$H$73,MATCH($A40,'CA Standards and Followers'!$A$14:$A$73,0))&lt;=AD$1),INDEX('CA Standards and Followers'!$3:$3,MATCH(AD$1,'CA Standards and Followers'!$1:$1,0)),IF(AND(INDEX('CA Standards and Followers'!$D$14:$D$73,MATCH($A40,'CA Standards and Followers'!$A$14:$A$73,0))=1,INDEX('CA Standards and Followers'!$G$14:$G$73,MATCH($A40,'CA Standards and Followers'!$A$14:$A$73,0))&lt;=AD$1),INDEX('CA Standards and Followers'!$2:$2,MATCH(AD$1,'CA Standards and Followers'!$1:$1,0)),0))</f>
        <v>0</v>
      </c>
      <c r="AE40">
        <f>IF(AND(INDEX('CA Standards and Followers'!$E$14:$E$73,MATCH($A40,'CA Standards and Followers'!$A$14:$A$73,0))=1,INDEX('CA Standards and Followers'!$H$14:$H$73,MATCH($A40,'CA Standards and Followers'!$A$14:$A$73,0))&lt;=AE$1),INDEX('CA Standards and Followers'!$3:$3,MATCH(AE$1,'CA Standards and Followers'!$1:$1,0)),IF(AND(INDEX('CA Standards and Followers'!$D$14:$D$73,MATCH($A40,'CA Standards and Followers'!$A$14:$A$73,0))=1,INDEX('CA Standards and Followers'!$G$14:$G$73,MATCH($A40,'CA Standards and Followers'!$A$14:$A$73,0))&lt;=AE$1),INDEX('CA Standards and Followers'!$2:$2,MATCH(AE$1,'CA Standards and Followers'!$1:$1,0)),0))</f>
        <v>0</v>
      </c>
      <c r="AF40">
        <f>IF(AND(INDEX('CA Standards and Followers'!$E$14:$E$73,MATCH($A40,'CA Standards and Followers'!$A$14:$A$73,0))=1,INDEX('CA Standards and Followers'!$H$14:$H$73,MATCH($A40,'CA Standards and Followers'!$A$14:$A$73,0))&lt;=AF$1),INDEX('CA Standards and Followers'!$3:$3,MATCH(AF$1,'CA Standards and Followers'!$1:$1,0)),IF(AND(INDEX('CA Standards and Followers'!$D$14:$D$73,MATCH($A40,'CA Standards and Followers'!$A$14:$A$73,0))=1,INDEX('CA Standards and Followers'!$G$14:$G$73,MATCH($A40,'CA Standards and Followers'!$A$14:$A$73,0))&lt;=AF$1),INDEX('CA Standards and Followers'!$2:$2,MATCH(AF$1,'CA Standards and Followers'!$1:$1,0)),0))</f>
        <v>0</v>
      </c>
    </row>
    <row r="41" spans="1:32" x14ac:dyDescent="0.25">
      <c r="A41" t="s">
        <v>41</v>
      </c>
      <c r="B41">
        <f>IF(AND(INDEX('CA Standards and Followers'!$E$14:$E$73,MATCH($A41,'CA Standards and Followers'!$A$14:$A$73,0))=1,INDEX('CA Standards and Followers'!$H$14:$H$73,MATCH($A41,'CA Standards and Followers'!$A$14:$A$73,0))&lt;=B$1),INDEX('CA Standards and Followers'!$3:$3,MATCH(B$1,'CA Standards and Followers'!$1:$1,0)),IF(AND(INDEX('CA Standards and Followers'!$D$14:$D$73,MATCH($A41,'CA Standards and Followers'!$A$14:$A$73,0))=1,INDEX('CA Standards and Followers'!$G$14:$G$73,MATCH($A41,'CA Standards and Followers'!$A$14:$A$73,0))&lt;=B$1),INDEX('CA Standards and Followers'!$2:$2,MATCH(B$1,'CA Standards and Followers'!$1:$1,0)),0))</f>
        <v>9.5000000000000001E-2</v>
      </c>
      <c r="C41">
        <f>IF(AND(INDEX('CA Standards and Followers'!$E$14:$E$73,MATCH($A41,'CA Standards and Followers'!$A$14:$A$73,0))=1,INDEX('CA Standards and Followers'!$H$14:$H$73,MATCH($A41,'CA Standards and Followers'!$A$14:$A$73,0))&lt;=C$1),INDEX('CA Standards and Followers'!$3:$3,MATCH(C$1,'CA Standards and Followers'!$1:$1,0)),IF(AND(INDEX('CA Standards and Followers'!$D$14:$D$73,MATCH($A41,'CA Standards and Followers'!$A$14:$A$73,0))=1,INDEX('CA Standards and Followers'!$G$14:$G$73,MATCH($A41,'CA Standards and Followers'!$A$14:$A$73,0))&lt;=C$1),INDEX('CA Standards and Followers'!$2:$2,MATCH(C$1,'CA Standards and Followers'!$1:$1,0)),0))</f>
        <v>0.12</v>
      </c>
      <c r="D41">
        <f>IF(AND(INDEX('CA Standards and Followers'!$E$14:$E$73,MATCH($A41,'CA Standards and Followers'!$A$14:$A$73,0))=1,INDEX('CA Standards and Followers'!$H$14:$H$73,MATCH($A41,'CA Standards and Followers'!$A$14:$A$73,0))&lt;=D$1),INDEX('CA Standards and Followers'!$3:$3,MATCH(D$1,'CA Standards and Followers'!$1:$1,0)),IF(AND(INDEX('CA Standards and Followers'!$D$14:$D$73,MATCH($A41,'CA Standards and Followers'!$A$14:$A$73,0))=1,INDEX('CA Standards and Followers'!$G$14:$G$73,MATCH($A41,'CA Standards and Followers'!$A$14:$A$73,0))&lt;=D$1),INDEX('CA Standards and Followers'!$2:$2,MATCH(D$1,'CA Standards and Followers'!$1:$1,0)),0))</f>
        <v>0.14499999999999999</v>
      </c>
      <c r="E41">
        <f>IF(AND(INDEX('CA Standards and Followers'!$E$14:$E$73,MATCH($A41,'CA Standards and Followers'!$A$14:$A$73,0))=1,INDEX('CA Standards and Followers'!$H$14:$H$73,MATCH($A41,'CA Standards and Followers'!$A$14:$A$73,0))&lt;=E$1),INDEX('CA Standards and Followers'!$3:$3,MATCH(E$1,'CA Standards and Followers'!$1:$1,0)),IF(AND(INDEX('CA Standards and Followers'!$D$14:$D$73,MATCH($A41,'CA Standards and Followers'!$A$14:$A$73,0))=1,INDEX('CA Standards and Followers'!$G$14:$G$73,MATCH($A41,'CA Standards and Followers'!$A$14:$A$73,0))&lt;=E$1),INDEX('CA Standards and Followers'!$2:$2,MATCH(E$1,'CA Standards and Followers'!$1:$1,0)),0))</f>
        <v>0.16999999999999998</v>
      </c>
      <c r="F41">
        <f>IF(AND(INDEX('CA Standards and Followers'!$E$14:$E$73,MATCH($A41,'CA Standards and Followers'!$A$14:$A$73,0))=1,INDEX('CA Standards and Followers'!$H$14:$H$73,MATCH($A41,'CA Standards and Followers'!$A$14:$A$73,0))&lt;=F$1),INDEX('CA Standards and Followers'!$3:$3,MATCH(F$1,'CA Standards and Followers'!$1:$1,0)),IF(AND(INDEX('CA Standards and Followers'!$D$14:$D$73,MATCH($A41,'CA Standards and Followers'!$A$14:$A$73,0))=1,INDEX('CA Standards and Followers'!$G$14:$G$73,MATCH($A41,'CA Standards and Followers'!$A$14:$A$73,0))&lt;=F$1),INDEX('CA Standards and Followers'!$2:$2,MATCH(F$1,'CA Standards and Followers'!$1:$1,0)),0))</f>
        <v>0.19500000000000001</v>
      </c>
      <c r="G41">
        <f>IF(AND(INDEX('CA Standards and Followers'!$E$14:$E$73,MATCH($A41,'CA Standards and Followers'!$A$14:$A$73,0))=1,INDEX('CA Standards and Followers'!$H$14:$H$73,MATCH($A41,'CA Standards and Followers'!$A$14:$A$73,0))&lt;=G$1),INDEX('CA Standards and Followers'!$3:$3,MATCH(G$1,'CA Standards and Followers'!$1:$1,0)),IF(AND(INDEX('CA Standards and Followers'!$D$14:$D$73,MATCH($A41,'CA Standards and Followers'!$A$14:$A$73,0))=1,INDEX('CA Standards and Followers'!$G$14:$G$73,MATCH($A41,'CA Standards and Followers'!$A$14:$A$73,0))&lt;=G$1),INDEX('CA Standards and Followers'!$2:$2,MATCH(G$1,'CA Standards and Followers'!$1:$1,0)),0))</f>
        <v>0.21999999999999997</v>
      </c>
      <c r="H41">
        <f>IF(AND(INDEX('CA Standards and Followers'!$E$14:$E$73,MATCH($A41,'CA Standards and Followers'!$A$14:$A$73,0))=1,INDEX('CA Standards and Followers'!$H$14:$H$73,MATCH($A41,'CA Standards and Followers'!$A$14:$A$73,0))&lt;=H$1),INDEX('CA Standards and Followers'!$3:$3,MATCH(H$1,'CA Standards and Followers'!$1:$1,0)),IF(AND(INDEX('CA Standards and Followers'!$D$14:$D$73,MATCH($A41,'CA Standards and Followers'!$A$14:$A$73,0))=1,INDEX('CA Standards and Followers'!$G$14:$G$73,MATCH($A41,'CA Standards and Followers'!$A$14:$A$73,0))&lt;=H$1),INDEX('CA Standards and Followers'!$2:$2,MATCH(H$1,'CA Standards and Followers'!$1:$1,0)),0))</f>
        <v>0.22</v>
      </c>
      <c r="I41">
        <f>IF(AND(INDEX('CA Standards and Followers'!$E$14:$E$73,MATCH($A41,'CA Standards and Followers'!$A$14:$A$73,0))=1,INDEX('CA Standards and Followers'!$H$14:$H$73,MATCH($A41,'CA Standards and Followers'!$A$14:$A$73,0))&lt;=I$1),INDEX('CA Standards and Followers'!$3:$3,MATCH(I$1,'CA Standards and Followers'!$1:$1,0)),IF(AND(INDEX('CA Standards and Followers'!$D$14:$D$73,MATCH($A41,'CA Standards and Followers'!$A$14:$A$73,0))=1,INDEX('CA Standards and Followers'!$G$14:$G$73,MATCH($A41,'CA Standards and Followers'!$A$14:$A$73,0))&lt;=I$1),INDEX('CA Standards and Followers'!$2:$2,MATCH(I$1,'CA Standards and Followers'!$1:$1,0)),0))</f>
        <v>0.22</v>
      </c>
      <c r="J41">
        <f>IF(AND(INDEX('CA Standards and Followers'!$E$14:$E$73,MATCH($A41,'CA Standards and Followers'!$A$14:$A$73,0))=1,INDEX('CA Standards and Followers'!$H$14:$H$73,MATCH($A41,'CA Standards and Followers'!$A$14:$A$73,0))&lt;=J$1),INDEX('CA Standards and Followers'!$3:$3,MATCH(J$1,'CA Standards and Followers'!$1:$1,0)),IF(AND(INDEX('CA Standards and Followers'!$D$14:$D$73,MATCH($A41,'CA Standards and Followers'!$A$14:$A$73,0))=1,INDEX('CA Standards and Followers'!$G$14:$G$73,MATCH($A41,'CA Standards and Followers'!$A$14:$A$73,0))&lt;=J$1),INDEX('CA Standards and Followers'!$2:$2,MATCH(J$1,'CA Standards and Followers'!$1:$1,0)),0))</f>
        <v>0.22</v>
      </c>
      <c r="K41">
        <f>IF(AND(INDEX('CA Standards and Followers'!$E$14:$E$73,MATCH($A41,'CA Standards and Followers'!$A$14:$A$73,0))=1,INDEX('CA Standards and Followers'!$H$14:$H$73,MATCH($A41,'CA Standards and Followers'!$A$14:$A$73,0))&lt;=K$1),INDEX('CA Standards and Followers'!$3:$3,MATCH(K$1,'CA Standards and Followers'!$1:$1,0)),IF(AND(INDEX('CA Standards and Followers'!$D$14:$D$73,MATCH($A41,'CA Standards and Followers'!$A$14:$A$73,0))=1,INDEX('CA Standards and Followers'!$G$14:$G$73,MATCH($A41,'CA Standards and Followers'!$A$14:$A$73,0))&lt;=K$1),INDEX('CA Standards and Followers'!$2:$2,MATCH(K$1,'CA Standards and Followers'!$1:$1,0)),0))</f>
        <v>0.22</v>
      </c>
      <c r="L41">
        <f>IF(AND(INDEX('CA Standards and Followers'!$E$14:$E$73,MATCH($A41,'CA Standards and Followers'!$A$14:$A$73,0))=1,INDEX('CA Standards and Followers'!$H$14:$H$73,MATCH($A41,'CA Standards and Followers'!$A$14:$A$73,0))&lt;=L$1),INDEX('CA Standards and Followers'!$3:$3,MATCH(L$1,'CA Standards and Followers'!$1:$1,0)),IF(AND(INDEX('CA Standards and Followers'!$D$14:$D$73,MATCH($A41,'CA Standards and Followers'!$A$14:$A$73,0))=1,INDEX('CA Standards and Followers'!$G$14:$G$73,MATCH($A41,'CA Standards and Followers'!$A$14:$A$73,0))&lt;=L$1),INDEX('CA Standards and Followers'!$2:$2,MATCH(L$1,'CA Standards and Followers'!$1:$1,0)),0))</f>
        <v>0.22</v>
      </c>
      <c r="M41">
        <f>IF(AND(INDEX('CA Standards and Followers'!$E$14:$E$73,MATCH($A41,'CA Standards and Followers'!$A$14:$A$73,0))=1,INDEX('CA Standards and Followers'!$H$14:$H$73,MATCH($A41,'CA Standards and Followers'!$A$14:$A$73,0))&lt;=M$1),INDEX('CA Standards and Followers'!$3:$3,MATCH(M$1,'CA Standards and Followers'!$1:$1,0)),IF(AND(INDEX('CA Standards and Followers'!$D$14:$D$73,MATCH($A41,'CA Standards and Followers'!$A$14:$A$73,0))=1,INDEX('CA Standards and Followers'!$G$14:$G$73,MATCH($A41,'CA Standards and Followers'!$A$14:$A$73,0))&lt;=M$1),INDEX('CA Standards and Followers'!$2:$2,MATCH(M$1,'CA Standards and Followers'!$1:$1,0)),0))</f>
        <v>0.22</v>
      </c>
      <c r="N41">
        <f>IF(AND(INDEX('CA Standards and Followers'!$E$14:$E$73,MATCH($A41,'CA Standards and Followers'!$A$14:$A$73,0))=1,INDEX('CA Standards and Followers'!$H$14:$H$73,MATCH($A41,'CA Standards and Followers'!$A$14:$A$73,0))&lt;=N$1),INDEX('CA Standards and Followers'!$3:$3,MATCH(N$1,'CA Standards and Followers'!$1:$1,0)),IF(AND(INDEX('CA Standards and Followers'!$D$14:$D$73,MATCH($A41,'CA Standards and Followers'!$A$14:$A$73,0))=1,INDEX('CA Standards and Followers'!$G$14:$G$73,MATCH($A41,'CA Standards and Followers'!$A$14:$A$73,0))&lt;=N$1),INDEX('CA Standards and Followers'!$2:$2,MATCH(N$1,'CA Standards and Followers'!$1:$1,0)),0))</f>
        <v>0.22</v>
      </c>
      <c r="O41">
        <f>IF(AND(INDEX('CA Standards and Followers'!$E$14:$E$73,MATCH($A41,'CA Standards and Followers'!$A$14:$A$73,0))=1,INDEX('CA Standards and Followers'!$H$14:$H$73,MATCH($A41,'CA Standards and Followers'!$A$14:$A$73,0))&lt;=O$1),INDEX('CA Standards and Followers'!$3:$3,MATCH(O$1,'CA Standards and Followers'!$1:$1,0)),IF(AND(INDEX('CA Standards and Followers'!$D$14:$D$73,MATCH($A41,'CA Standards and Followers'!$A$14:$A$73,0))=1,INDEX('CA Standards and Followers'!$G$14:$G$73,MATCH($A41,'CA Standards and Followers'!$A$14:$A$73,0))&lt;=O$1),INDEX('CA Standards and Followers'!$2:$2,MATCH(O$1,'CA Standards and Followers'!$1:$1,0)),0))</f>
        <v>0.22</v>
      </c>
      <c r="P41">
        <f>IF(AND(INDEX('CA Standards and Followers'!$E$14:$E$73,MATCH($A41,'CA Standards and Followers'!$A$14:$A$73,0))=1,INDEX('CA Standards and Followers'!$H$14:$H$73,MATCH($A41,'CA Standards and Followers'!$A$14:$A$73,0))&lt;=P$1),INDEX('CA Standards and Followers'!$3:$3,MATCH(P$1,'CA Standards and Followers'!$1:$1,0)),IF(AND(INDEX('CA Standards and Followers'!$D$14:$D$73,MATCH($A41,'CA Standards and Followers'!$A$14:$A$73,0))=1,INDEX('CA Standards and Followers'!$G$14:$G$73,MATCH($A41,'CA Standards and Followers'!$A$14:$A$73,0))&lt;=P$1),INDEX('CA Standards and Followers'!$2:$2,MATCH(P$1,'CA Standards and Followers'!$1:$1,0)),0))</f>
        <v>0.22</v>
      </c>
      <c r="Q41">
        <f>IF(AND(INDEX('CA Standards and Followers'!$E$14:$E$73,MATCH($A41,'CA Standards and Followers'!$A$14:$A$73,0))=1,INDEX('CA Standards and Followers'!$H$14:$H$73,MATCH($A41,'CA Standards and Followers'!$A$14:$A$73,0))&lt;=Q$1),INDEX('CA Standards and Followers'!$3:$3,MATCH(Q$1,'CA Standards and Followers'!$1:$1,0)),IF(AND(INDEX('CA Standards and Followers'!$D$14:$D$73,MATCH($A41,'CA Standards and Followers'!$A$14:$A$73,0))=1,INDEX('CA Standards and Followers'!$G$14:$G$73,MATCH($A41,'CA Standards and Followers'!$A$14:$A$73,0))&lt;=Q$1),INDEX('CA Standards and Followers'!$2:$2,MATCH(Q$1,'CA Standards and Followers'!$1:$1,0)),0))</f>
        <v>0.22</v>
      </c>
      <c r="R41">
        <f>IF(AND(INDEX('CA Standards and Followers'!$E$14:$E$73,MATCH($A41,'CA Standards and Followers'!$A$14:$A$73,0))=1,INDEX('CA Standards and Followers'!$H$14:$H$73,MATCH($A41,'CA Standards and Followers'!$A$14:$A$73,0))&lt;=R$1),INDEX('CA Standards and Followers'!$3:$3,MATCH(R$1,'CA Standards and Followers'!$1:$1,0)),IF(AND(INDEX('CA Standards and Followers'!$D$14:$D$73,MATCH($A41,'CA Standards and Followers'!$A$14:$A$73,0))=1,INDEX('CA Standards and Followers'!$G$14:$G$73,MATCH($A41,'CA Standards and Followers'!$A$14:$A$73,0))&lt;=R$1),INDEX('CA Standards and Followers'!$2:$2,MATCH(R$1,'CA Standards and Followers'!$1:$1,0)),0))</f>
        <v>0.22</v>
      </c>
      <c r="S41">
        <f>IF(AND(INDEX('CA Standards and Followers'!$E$14:$E$73,MATCH($A41,'CA Standards and Followers'!$A$14:$A$73,0))=1,INDEX('CA Standards and Followers'!$H$14:$H$73,MATCH($A41,'CA Standards and Followers'!$A$14:$A$73,0))&lt;=S$1),INDEX('CA Standards and Followers'!$3:$3,MATCH(S$1,'CA Standards and Followers'!$1:$1,0)),IF(AND(INDEX('CA Standards and Followers'!$D$14:$D$73,MATCH($A41,'CA Standards and Followers'!$A$14:$A$73,0))=1,INDEX('CA Standards and Followers'!$G$14:$G$73,MATCH($A41,'CA Standards and Followers'!$A$14:$A$73,0))&lt;=S$1),INDEX('CA Standards and Followers'!$2:$2,MATCH(S$1,'CA Standards and Followers'!$1:$1,0)),0))</f>
        <v>0.22</v>
      </c>
      <c r="T41">
        <f>IF(AND(INDEX('CA Standards and Followers'!$E$14:$E$73,MATCH($A41,'CA Standards and Followers'!$A$14:$A$73,0))=1,INDEX('CA Standards and Followers'!$H$14:$H$73,MATCH($A41,'CA Standards and Followers'!$A$14:$A$73,0))&lt;=T$1),INDEX('CA Standards and Followers'!$3:$3,MATCH(T$1,'CA Standards and Followers'!$1:$1,0)),IF(AND(INDEX('CA Standards and Followers'!$D$14:$D$73,MATCH($A41,'CA Standards and Followers'!$A$14:$A$73,0))=1,INDEX('CA Standards and Followers'!$G$14:$G$73,MATCH($A41,'CA Standards and Followers'!$A$14:$A$73,0))&lt;=T$1),INDEX('CA Standards and Followers'!$2:$2,MATCH(T$1,'CA Standards and Followers'!$1:$1,0)),0))</f>
        <v>0.22</v>
      </c>
      <c r="U41">
        <f>IF(AND(INDEX('CA Standards and Followers'!$E$14:$E$73,MATCH($A41,'CA Standards and Followers'!$A$14:$A$73,0))=1,INDEX('CA Standards and Followers'!$H$14:$H$73,MATCH($A41,'CA Standards and Followers'!$A$14:$A$73,0))&lt;=U$1),INDEX('CA Standards and Followers'!$3:$3,MATCH(U$1,'CA Standards and Followers'!$1:$1,0)),IF(AND(INDEX('CA Standards and Followers'!$D$14:$D$73,MATCH($A41,'CA Standards and Followers'!$A$14:$A$73,0))=1,INDEX('CA Standards and Followers'!$G$14:$G$73,MATCH($A41,'CA Standards and Followers'!$A$14:$A$73,0))&lt;=U$1),INDEX('CA Standards and Followers'!$2:$2,MATCH(U$1,'CA Standards and Followers'!$1:$1,0)),0))</f>
        <v>0.22</v>
      </c>
      <c r="V41">
        <f>IF(AND(INDEX('CA Standards and Followers'!$E$14:$E$73,MATCH($A41,'CA Standards and Followers'!$A$14:$A$73,0))=1,INDEX('CA Standards and Followers'!$H$14:$H$73,MATCH($A41,'CA Standards and Followers'!$A$14:$A$73,0))&lt;=V$1),INDEX('CA Standards and Followers'!$3:$3,MATCH(V$1,'CA Standards and Followers'!$1:$1,0)),IF(AND(INDEX('CA Standards and Followers'!$D$14:$D$73,MATCH($A41,'CA Standards and Followers'!$A$14:$A$73,0))=1,INDEX('CA Standards and Followers'!$G$14:$G$73,MATCH($A41,'CA Standards and Followers'!$A$14:$A$73,0))&lt;=V$1),INDEX('CA Standards and Followers'!$2:$2,MATCH(V$1,'CA Standards and Followers'!$1:$1,0)),0))</f>
        <v>0.22</v>
      </c>
      <c r="W41">
        <f>IF(AND(INDEX('CA Standards and Followers'!$E$14:$E$73,MATCH($A41,'CA Standards and Followers'!$A$14:$A$73,0))=1,INDEX('CA Standards and Followers'!$H$14:$H$73,MATCH($A41,'CA Standards and Followers'!$A$14:$A$73,0))&lt;=W$1),INDEX('CA Standards and Followers'!$3:$3,MATCH(W$1,'CA Standards and Followers'!$1:$1,0)),IF(AND(INDEX('CA Standards and Followers'!$D$14:$D$73,MATCH($A41,'CA Standards and Followers'!$A$14:$A$73,0))=1,INDEX('CA Standards and Followers'!$G$14:$G$73,MATCH($A41,'CA Standards and Followers'!$A$14:$A$73,0))&lt;=W$1),INDEX('CA Standards and Followers'!$2:$2,MATCH(W$1,'CA Standards and Followers'!$1:$1,0)),0))</f>
        <v>0.22</v>
      </c>
      <c r="X41">
        <f>IF(AND(INDEX('CA Standards and Followers'!$E$14:$E$73,MATCH($A41,'CA Standards and Followers'!$A$14:$A$73,0))=1,INDEX('CA Standards and Followers'!$H$14:$H$73,MATCH($A41,'CA Standards and Followers'!$A$14:$A$73,0))&lt;=X$1),INDEX('CA Standards and Followers'!$3:$3,MATCH(X$1,'CA Standards and Followers'!$1:$1,0)),IF(AND(INDEX('CA Standards and Followers'!$D$14:$D$73,MATCH($A41,'CA Standards and Followers'!$A$14:$A$73,0))=1,INDEX('CA Standards and Followers'!$G$14:$G$73,MATCH($A41,'CA Standards and Followers'!$A$14:$A$73,0))&lt;=X$1),INDEX('CA Standards and Followers'!$2:$2,MATCH(X$1,'CA Standards and Followers'!$1:$1,0)),0))</f>
        <v>0.22</v>
      </c>
      <c r="Y41">
        <f>IF(AND(INDEX('CA Standards and Followers'!$E$14:$E$73,MATCH($A41,'CA Standards and Followers'!$A$14:$A$73,0))=1,INDEX('CA Standards and Followers'!$H$14:$H$73,MATCH($A41,'CA Standards and Followers'!$A$14:$A$73,0))&lt;=Y$1),INDEX('CA Standards and Followers'!$3:$3,MATCH(Y$1,'CA Standards and Followers'!$1:$1,0)),IF(AND(INDEX('CA Standards and Followers'!$D$14:$D$73,MATCH($A41,'CA Standards and Followers'!$A$14:$A$73,0))=1,INDEX('CA Standards and Followers'!$G$14:$G$73,MATCH($A41,'CA Standards and Followers'!$A$14:$A$73,0))&lt;=Y$1),INDEX('CA Standards and Followers'!$2:$2,MATCH(Y$1,'CA Standards and Followers'!$1:$1,0)),0))</f>
        <v>0.22</v>
      </c>
      <c r="Z41">
        <f>IF(AND(INDEX('CA Standards and Followers'!$E$14:$E$73,MATCH($A41,'CA Standards and Followers'!$A$14:$A$73,0))=1,INDEX('CA Standards and Followers'!$H$14:$H$73,MATCH($A41,'CA Standards and Followers'!$A$14:$A$73,0))&lt;=Z$1),INDEX('CA Standards and Followers'!$3:$3,MATCH(Z$1,'CA Standards and Followers'!$1:$1,0)),IF(AND(INDEX('CA Standards and Followers'!$D$14:$D$73,MATCH($A41,'CA Standards and Followers'!$A$14:$A$73,0))=1,INDEX('CA Standards and Followers'!$G$14:$G$73,MATCH($A41,'CA Standards and Followers'!$A$14:$A$73,0))&lt;=Z$1),INDEX('CA Standards and Followers'!$2:$2,MATCH(Z$1,'CA Standards and Followers'!$1:$1,0)),0))</f>
        <v>0.22</v>
      </c>
      <c r="AA41">
        <f>IF(AND(INDEX('CA Standards and Followers'!$E$14:$E$73,MATCH($A41,'CA Standards and Followers'!$A$14:$A$73,0))=1,INDEX('CA Standards and Followers'!$H$14:$H$73,MATCH($A41,'CA Standards and Followers'!$A$14:$A$73,0))&lt;=AA$1),INDEX('CA Standards and Followers'!$3:$3,MATCH(AA$1,'CA Standards and Followers'!$1:$1,0)),IF(AND(INDEX('CA Standards and Followers'!$D$14:$D$73,MATCH($A41,'CA Standards and Followers'!$A$14:$A$73,0))=1,INDEX('CA Standards and Followers'!$G$14:$G$73,MATCH($A41,'CA Standards and Followers'!$A$14:$A$73,0))&lt;=AA$1),INDEX('CA Standards and Followers'!$2:$2,MATCH(AA$1,'CA Standards and Followers'!$1:$1,0)),0))</f>
        <v>0.22</v>
      </c>
      <c r="AB41">
        <f>IF(AND(INDEX('CA Standards and Followers'!$E$14:$E$73,MATCH($A41,'CA Standards and Followers'!$A$14:$A$73,0))=1,INDEX('CA Standards and Followers'!$H$14:$H$73,MATCH($A41,'CA Standards and Followers'!$A$14:$A$73,0))&lt;=AB$1),INDEX('CA Standards and Followers'!$3:$3,MATCH(AB$1,'CA Standards and Followers'!$1:$1,0)),IF(AND(INDEX('CA Standards and Followers'!$D$14:$D$73,MATCH($A41,'CA Standards and Followers'!$A$14:$A$73,0))=1,INDEX('CA Standards and Followers'!$G$14:$G$73,MATCH($A41,'CA Standards and Followers'!$A$14:$A$73,0))&lt;=AB$1),INDEX('CA Standards and Followers'!$2:$2,MATCH(AB$1,'CA Standards and Followers'!$1:$1,0)),0))</f>
        <v>0.22</v>
      </c>
      <c r="AC41">
        <f>IF(AND(INDEX('CA Standards and Followers'!$E$14:$E$73,MATCH($A41,'CA Standards and Followers'!$A$14:$A$73,0))=1,INDEX('CA Standards and Followers'!$H$14:$H$73,MATCH($A41,'CA Standards and Followers'!$A$14:$A$73,0))&lt;=AC$1),INDEX('CA Standards and Followers'!$3:$3,MATCH(AC$1,'CA Standards and Followers'!$1:$1,0)),IF(AND(INDEX('CA Standards and Followers'!$D$14:$D$73,MATCH($A41,'CA Standards and Followers'!$A$14:$A$73,0))=1,INDEX('CA Standards and Followers'!$G$14:$G$73,MATCH($A41,'CA Standards and Followers'!$A$14:$A$73,0))&lt;=AC$1),INDEX('CA Standards and Followers'!$2:$2,MATCH(AC$1,'CA Standards and Followers'!$1:$1,0)),0))</f>
        <v>0.22</v>
      </c>
      <c r="AD41">
        <f>IF(AND(INDEX('CA Standards and Followers'!$E$14:$E$73,MATCH($A41,'CA Standards and Followers'!$A$14:$A$73,0))=1,INDEX('CA Standards and Followers'!$H$14:$H$73,MATCH($A41,'CA Standards and Followers'!$A$14:$A$73,0))&lt;=AD$1),INDEX('CA Standards and Followers'!$3:$3,MATCH(AD$1,'CA Standards and Followers'!$1:$1,0)),IF(AND(INDEX('CA Standards and Followers'!$D$14:$D$73,MATCH($A41,'CA Standards and Followers'!$A$14:$A$73,0))=1,INDEX('CA Standards and Followers'!$G$14:$G$73,MATCH($A41,'CA Standards and Followers'!$A$14:$A$73,0))&lt;=AD$1),INDEX('CA Standards and Followers'!$2:$2,MATCH(AD$1,'CA Standards and Followers'!$1:$1,0)),0))</f>
        <v>0.22</v>
      </c>
      <c r="AE41">
        <f>IF(AND(INDEX('CA Standards and Followers'!$E$14:$E$73,MATCH($A41,'CA Standards and Followers'!$A$14:$A$73,0))=1,INDEX('CA Standards and Followers'!$H$14:$H$73,MATCH($A41,'CA Standards and Followers'!$A$14:$A$73,0))&lt;=AE$1),INDEX('CA Standards and Followers'!$3:$3,MATCH(AE$1,'CA Standards and Followers'!$1:$1,0)),IF(AND(INDEX('CA Standards and Followers'!$D$14:$D$73,MATCH($A41,'CA Standards and Followers'!$A$14:$A$73,0))=1,INDEX('CA Standards and Followers'!$G$14:$G$73,MATCH($A41,'CA Standards and Followers'!$A$14:$A$73,0))&lt;=AE$1),INDEX('CA Standards and Followers'!$2:$2,MATCH(AE$1,'CA Standards and Followers'!$1:$1,0)),0))</f>
        <v>0.22</v>
      </c>
      <c r="AF41">
        <f>IF(AND(INDEX('CA Standards and Followers'!$E$14:$E$73,MATCH($A41,'CA Standards and Followers'!$A$14:$A$73,0))=1,INDEX('CA Standards and Followers'!$H$14:$H$73,MATCH($A41,'CA Standards and Followers'!$A$14:$A$73,0))&lt;=AF$1),INDEX('CA Standards and Followers'!$3:$3,MATCH(AF$1,'CA Standards and Followers'!$1:$1,0)),IF(AND(INDEX('CA Standards and Followers'!$D$14:$D$73,MATCH($A41,'CA Standards and Followers'!$A$14:$A$73,0))=1,INDEX('CA Standards and Followers'!$G$14:$G$73,MATCH($A41,'CA Standards and Followers'!$A$14:$A$73,0))&lt;=AF$1),INDEX('CA Standards and Followers'!$2:$2,MATCH(AF$1,'CA Standards and Followers'!$1:$1,0)),0))</f>
        <v>0.22</v>
      </c>
    </row>
    <row r="42" spans="1:32" x14ac:dyDescent="0.25">
      <c r="A42" t="s">
        <v>42</v>
      </c>
      <c r="B42">
        <f>IF(AND(INDEX('CA Standards and Followers'!$E$14:$E$73,MATCH($A42,'CA Standards and Followers'!$A$14:$A$73,0))=1,INDEX('CA Standards and Followers'!$H$14:$H$73,MATCH($A42,'CA Standards and Followers'!$A$14:$A$73,0))&lt;=B$1),INDEX('CA Standards and Followers'!$3:$3,MATCH(B$1,'CA Standards and Followers'!$1:$1,0)),IF(AND(INDEX('CA Standards and Followers'!$D$14:$D$73,MATCH($A42,'CA Standards and Followers'!$A$14:$A$73,0))=1,INDEX('CA Standards and Followers'!$G$14:$G$73,MATCH($A42,'CA Standards and Followers'!$A$14:$A$73,0))&lt;=B$1),INDEX('CA Standards and Followers'!$2:$2,MATCH(B$1,'CA Standards and Followers'!$1:$1,0)),0))</f>
        <v>0</v>
      </c>
      <c r="C42">
        <f>IF(AND(INDEX('CA Standards and Followers'!$E$14:$E$73,MATCH($A42,'CA Standards and Followers'!$A$14:$A$73,0))=1,INDEX('CA Standards and Followers'!$H$14:$H$73,MATCH($A42,'CA Standards and Followers'!$A$14:$A$73,0))&lt;=C$1),INDEX('CA Standards and Followers'!$3:$3,MATCH(C$1,'CA Standards and Followers'!$1:$1,0)),IF(AND(INDEX('CA Standards and Followers'!$D$14:$D$73,MATCH($A42,'CA Standards and Followers'!$A$14:$A$73,0))=1,INDEX('CA Standards and Followers'!$G$14:$G$73,MATCH($A42,'CA Standards and Followers'!$A$14:$A$73,0))&lt;=C$1),INDEX('CA Standards and Followers'!$2:$2,MATCH(C$1,'CA Standards and Followers'!$1:$1,0)),0))</f>
        <v>0</v>
      </c>
      <c r="D42">
        <f>IF(AND(INDEX('CA Standards and Followers'!$E$14:$E$73,MATCH($A42,'CA Standards and Followers'!$A$14:$A$73,0))=1,INDEX('CA Standards and Followers'!$H$14:$H$73,MATCH($A42,'CA Standards and Followers'!$A$14:$A$73,0))&lt;=D$1),INDEX('CA Standards and Followers'!$3:$3,MATCH(D$1,'CA Standards and Followers'!$1:$1,0)),IF(AND(INDEX('CA Standards and Followers'!$D$14:$D$73,MATCH($A42,'CA Standards and Followers'!$A$14:$A$73,0))=1,INDEX('CA Standards and Followers'!$G$14:$G$73,MATCH($A42,'CA Standards and Followers'!$A$14:$A$73,0))&lt;=D$1),INDEX('CA Standards and Followers'!$2:$2,MATCH(D$1,'CA Standards and Followers'!$1:$1,0)),0))</f>
        <v>0</v>
      </c>
      <c r="E42">
        <f>IF(AND(INDEX('CA Standards and Followers'!$E$14:$E$73,MATCH($A42,'CA Standards and Followers'!$A$14:$A$73,0))=1,INDEX('CA Standards and Followers'!$H$14:$H$73,MATCH($A42,'CA Standards and Followers'!$A$14:$A$73,0))&lt;=E$1),INDEX('CA Standards and Followers'!$3:$3,MATCH(E$1,'CA Standards and Followers'!$1:$1,0)),IF(AND(INDEX('CA Standards and Followers'!$D$14:$D$73,MATCH($A42,'CA Standards and Followers'!$A$14:$A$73,0))=1,INDEX('CA Standards and Followers'!$G$14:$G$73,MATCH($A42,'CA Standards and Followers'!$A$14:$A$73,0))&lt;=E$1),INDEX('CA Standards and Followers'!$2:$2,MATCH(E$1,'CA Standards and Followers'!$1:$1,0)),0))</f>
        <v>0</v>
      </c>
      <c r="F42">
        <f>IF(AND(INDEX('CA Standards and Followers'!$E$14:$E$73,MATCH($A42,'CA Standards and Followers'!$A$14:$A$73,0))=1,INDEX('CA Standards and Followers'!$H$14:$H$73,MATCH($A42,'CA Standards and Followers'!$A$14:$A$73,0))&lt;=F$1),INDEX('CA Standards and Followers'!$3:$3,MATCH(F$1,'CA Standards and Followers'!$1:$1,0)),IF(AND(INDEX('CA Standards and Followers'!$D$14:$D$73,MATCH($A42,'CA Standards and Followers'!$A$14:$A$73,0))=1,INDEX('CA Standards and Followers'!$G$14:$G$73,MATCH($A42,'CA Standards and Followers'!$A$14:$A$73,0))&lt;=F$1),INDEX('CA Standards and Followers'!$2:$2,MATCH(F$1,'CA Standards and Followers'!$1:$1,0)),0))</f>
        <v>0</v>
      </c>
      <c r="G42">
        <f>IF(AND(INDEX('CA Standards and Followers'!$E$14:$E$73,MATCH($A42,'CA Standards and Followers'!$A$14:$A$73,0))=1,INDEX('CA Standards and Followers'!$H$14:$H$73,MATCH($A42,'CA Standards and Followers'!$A$14:$A$73,0))&lt;=G$1),INDEX('CA Standards and Followers'!$3:$3,MATCH(G$1,'CA Standards and Followers'!$1:$1,0)),IF(AND(INDEX('CA Standards and Followers'!$D$14:$D$73,MATCH($A42,'CA Standards and Followers'!$A$14:$A$73,0))=1,INDEX('CA Standards and Followers'!$G$14:$G$73,MATCH($A42,'CA Standards and Followers'!$A$14:$A$73,0))&lt;=G$1),INDEX('CA Standards and Followers'!$2:$2,MATCH(G$1,'CA Standards and Followers'!$1:$1,0)),0))</f>
        <v>0</v>
      </c>
      <c r="H42">
        <f>IF(AND(INDEX('CA Standards and Followers'!$E$14:$E$73,MATCH($A42,'CA Standards and Followers'!$A$14:$A$73,0))=1,INDEX('CA Standards and Followers'!$H$14:$H$73,MATCH($A42,'CA Standards and Followers'!$A$14:$A$73,0))&lt;=H$1),INDEX('CA Standards and Followers'!$3:$3,MATCH(H$1,'CA Standards and Followers'!$1:$1,0)),IF(AND(INDEX('CA Standards and Followers'!$D$14:$D$73,MATCH($A42,'CA Standards and Followers'!$A$14:$A$73,0))=1,INDEX('CA Standards and Followers'!$G$14:$G$73,MATCH($A42,'CA Standards and Followers'!$A$14:$A$73,0))&lt;=H$1),INDEX('CA Standards and Followers'!$2:$2,MATCH(H$1,'CA Standards and Followers'!$1:$1,0)),0))</f>
        <v>0</v>
      </c>
      <c r="I42">
        <f>IF(AND(INDEX('CA Standards and Followers'!$E$14:$E$73,MATCH($A42,'CA Standards and Followers'!$A$14:$A$73,0))=1,INDEX('CA Standards and Followers'!$H$14:$H$73,MATCH($A42,'CA Standards and Followers'!$A$14:$A$73,0))&lt;=I$1),INDEX('CA Standards and Followers'!$3:$3,MATCH(I$1,'CA Standards and Followers'!$1:$1,0)),IF(AND(INDEX('CA Standards and Followers'!$D$14:$D$73,MATCH($A42,'CA Standards and Followers'!$A$14:$A$73,0))=1,INDEX('CA Standards and Followers'!$G$14:$G$73,MATCH($A42,'CA Standards and Followers'!$A$14:$A$73,0))&lt;=I$1),INDEX('CA Standards and Followers'!$2:$2,MATCH(I$1,'CA Standards and Followers'!$1:$1,0)),0))</f>
        <v>0</v>
      </c>
      <c r="J42">
        <f>IF(AND(INDEX('CA Standards and Followers'!$E$14:$E$73,MATCH($A42,'CA Standards and Followers'!$A$14:$A$73,0))=1,INDEX('CA Standards and Followers'!$H$14:$H$73,MATCH($A42,'CA Standards and Followers'!$A$14:$A$73,0))&lt;=J$1),INDEX('CA Standards and Followers'!$3:$3,MATCH(J$1,'CA Standards and Followers'!$1:$1,0)),IF(AND(INDEX('CA Standards and Followers'!$D$14:$D$73,MATCH($A42,'CA Standards and Followers'!$A$14:$A$73,0))=1,INDEX('CA Standards and Followers'!$G$14:$G$73,MATCH($A42,'CA Standards and Followers'!$A$14:$A$73,0))&lt;=J$1),INDEX('CA Standards and Followers'!$2:$2,MATCH(J$1,'CA Standards and Followers'!$1:$1,0)),0))</f>
        <v>0</v>
      </c>
      <c r="K42">
        <f>IF(AND(INDEX('CA Standards and Followers'!$E$14:$E$73,MATCH($A42,'CA Standards and Followers'!$A$14:$A$73,0))=1,INDEX('CA Standards and Followers'!$H$14:$H$73,MATCH($A42,'CA Standards and Followers'!$A$14:$A$73,0))&lt;=K$1),INDEX('CA Standards and Followers'!$3:$3,MATCH(K$1,'CA Standards and Followers'!$1:$1,0)),IF(AND(INDEX('CA Standards and Followers'!$D$14:$D$73,MATCH($A42,'CA Standards and Followers'!$A$14:$A$73,0))=1,INDEX('CA Standards and Followers'!$G$14:$G$73,MATCH($A42,'CA Standards and Followers'!$A$14:$A$73,0))&lt;=K$1),INDEX('CA Standards and Followers'!$2:$2,MATCH(K$1,'CA Standards and Followers'!$1:$1,0)),0))</f>
        <v>0</v>
      </c>
      <c r="L42">
        <f>IF(AND(INDEX('CA Standards and Followers'!$E$14:$E$73,MATCH($A42,'CA Standards and Followers'!$A$14:$A$73,0))=1,INDEX('CA Standards and Followers'!$H$14:$H$73,MATCH($A42,'CA Standards and Followers'!$A$14:$A$73,0))&lt;=L$1),INDEX('CA Standards and Followers'!$3:$3,MATCH(L$1,'CA Standards and Followers'!$1:$1,0)),IF(AND(INDEX('CA Standards and Followers'!$D$14:$D$73,MATCH($A42,'CA Standards and Followers'!$A$14:$A$73,0))=1,INDEX('CA Standards and Followers'!$G$14:$G$73,MATCH($A42,'CA Standards and Followers'!$A$14:$A$73,0))&lt;=L$1),INDEX('CA Standards and Followers'!$2:$2,MATCH(L$1,'CA Standards and Followers'!$1:$1,0)),0))</f>
        <v>0</v>
      </c>
      <c r="M42">
        <f>IF(AND(INDEX('CA Standards and Followers'!$E$14:$E$73,MATCH($A42,'CA Standards and Followers'!$A$14:$A$73,0))=1,INDEX('CA Standards and Followers'!$H$14:$H$73,MATCH($A42,'CA Standards and Followers'!$A$14:$A$73,0))&lt;=M$1),INDEX('CA Standards and Followers'!$3:$3,MATCH(M$1,'CA Standards and Followers'!$1:$1,0)),IF(AND(INDEX('CA Standards and Followers'!$D$14:$D$73,MATCH($A42,'CA Standards and Followers'!$A$14:$A$73,0))=1,INDEX('CA Standards and Followers'!$G$14:$G$73,MATCH($A42,'CA Standards and Followers'!$A$14:$A$73,0))&lt;=M$1),INDEX('CA Standards and Followers'!$2:$2,MATCH(M$1,'CA Standards and Followers'!$1:$1,0)),0))</f>
        <v>0</v>
      </c>
      <c r="N42">
        <f>IF(AND(INDEX('CA Standards and Followers'!$E$14:$E$73,MATCH($A42,'CA Standards and Followers'!$A$14:$A$73,0))=1,INDEX('CA Standards and Followers'!$H$14:$H$73,MATCH($A42,'CA Standards and Followers'!$A$14:$A$73,0))&lt;=N$1),INDEX('CA Standards and Followers'!$3:$3,MATCH(N$1,'CA Standards and Followers'!$1:$1,0)),IF(AND(INDEX('CA Standards and Followers'!$D$14:$D$73,MATCH($A42,'CA Standards and Followers'!$A$14:$A$73,0))=1,INDEX('CA Standards and Followers'!$G$14:$G$73,MATCH($A42,'CA Standards and Followers'!$A$14:$A$73,0))&lt;=N$1),INDEX('CA Standards and Followers'!$2:$2,MATCH(N$1,'CA Standards and Followers'!$1:$1,0)),0))</f>
        <v>0</v>
      </c>
      <c r="O42">
        <f>IF(AND(INDEX('CA Standards and Followers'!$E$14:$E$73,MATCH($A42,'CA Standards and Followers'!$A$14:$A$73,0))=1,INDEX('CA Standards and Followers'!$H$14:$H$73,MATCH($A42,'CA Standards and Followers'!$A$14:$A$73,0))&lt;=O$1),INDEX('CA Standards and Followers'!$3:$3,MATCH(O$1,'CA Standards and Followers'!$1:$1,0)),IF(AND(INDEX('CA Standards and Followers'!$D$14:$D$73,MATCH($A42,'CA Standards and Followers'!$A$14:$A$73,0))=1,INDEX('CA Standards and Followers'!$G$14:$G$73,MATCH($A42,'CA Standards and Followers'!$A$14:$A$73,0))&lt;=O$1),INDEX('CA Standards and Followers'!$2:$2,MATCH(O$1,'CA Standards and Followers'!$1:$1,0)),0))</f>
        <v>0</v>
      </c>
      <c r="P42">
        <f>IF(AND(INDEX('CA Standards and Followers'!$E$14:$E$73,MATCH($A42,'CA Standards and Followers'!$A$14:$A$73,0))=1,INDEX('CA Standards and Followers'!$H$14:$H$73,MATCH($A42,'CA Standards and Followers'!$A$14:$A$73,0))&lt;=P$1),INDEX('CA Standards and Followers'!$3:$3,MATCH(P$1,'CA Standards and Followers'!$1:$1,0)),IF(AND(INDEX('CA Standards and Followers'!$D$14:$D$73,MATCH($A42,'CA Standards and Followers'!$A$14:$A$73,0))=1,INDEX('CA Standards and Followers'!$G$14:$G$73,MATCH($A42,'CA Standards and Followers'!$A$14:$A$73,0))&lt;=P$1),INDEX('CA Standards and Followers'!$2:$2,MATCH(P$1,'CA Standards and Followers'!$1:$1,0)),0))</f>
        <v>0</v>
      </c>
      <c r="Q42">
        <f>IF(AND(INDEX('CA Standards and Followers'!$E$14:$E$73,MATCH($A42,'CA Standards and Followers'!$A$14:$A$73,0))=1,INDEX('CA Standards and Followers'!$H$14:$H$73,MATCH($A42,'CA Standards and Followers'!$A$14:$A$73,0))&lt;=Q$1),INDEX('CA Standards and Followers'!$3:$3,MATCH(Q$1,'CA Standards and Followers'!$1:$1,0)),IF(AND(INDEX('CA Standards and Followers'!$D$14:$D$73,MATCH($A42,'CA Standards and Followers'!$A$14:$A$73,0))=1,INDEX('CA Standards and Followers'!$G$14:$G$73,MATCH($A42,'CA Standards and Followers'!$A$14:$A$73,0))&lt;=Q$1),INDEX('CA Standards and Followers'!$2:$2,MATCH(Q$1,'CA Standards and Followers'!$1:$1,0)),0))</f>
        <v>0</v>
      </c>
      <c r="R42">
        <f>IF(AND(INDEX('CA Standards and Followers'!$E$14:$E$73,MATCH($A42,'CA Standards and Followers'!$A$14:$A$73,0))=1,INDEX('CA Standards and Followers'!$H$14:$H$73,MATCH($A42,'CA Standards and Followers'!$A$14:$A$73,0))&lt;=R$1),INDEX('CA Standards and Followers'!$3:$3,MATCH(R$1,'CA Standards and Followers'!$1:$1,0)),IF(AND(INDEX('CA Standards and Followers'!$D$14:$D$73,MATCH($A42,'CA Standards and Followers'!$A$14:$A$73,0))=1,INDEX('CA Standards and Followers'!$G$14:$G$73,MATCH($A42,'CA Standards and Followers'!$A$14:$A$73,0))&lt;=R$1),INDEX('CA Standards and Followers'!$2:$2,MATCH(R$1,'CA Standards and Followers'!$1:$1,0)),0))</f>
        <v>0</v>
      </c>
      <c r="S42">
        <f>IF(AND(INDEX('CA Standards and Followers'!$E$14:$E$73,MATCH($A42,'CA Standards and Followers'!$A$14:$A$73,0))=1,INDEX('CA Standards and Followers'!$H$14:$H$73,MATCH($A42,'CA Standards and Followers'!$A$14:$A$73,0))&lt;=S$1),INDEX('CA Standards and Followers'!$3:$3,MATCH(S$1,'CA Standards and Followers'!$1:$1,0)),IF(AND(INDEX('CA Standards and Followers'!$D$14:$D$73,MATCH($A42,'CA Standards and Followers'!$A$14:$A$73,0))=1,INDEX('CA Standards and Followers'!$G$14:$G$73,MATCH($A42,'CA Standards and Followers'!$A$14:$A$73,0))&lt;=S$1),INDEX('CA Standards and Followers'!$2:$2,MATCH(S$1,'CA Standards and Followers'!$1:$1,0)),0))</f>
        <v>0</v>
      </c>
      <c r="T42">
        <f>IF(AND(INDEX('CA Standards and Followers'!$E$14:$E$73,MATCH($A42,'CA Standards and Followers'!$A$14:$A$73,0))=1,INDEX('CA Standards and Followers'!$H$14:$H$73,MATCH($A42,'CA Standards and Followers'!$A$14:$A$73,0))&lt;=T$1),INDEX('CA Standards and Followers'!$3:$3,MATCH(T$1,'CA Standards and Followers'!$1:$1,0)),IF(AND(INDEX('CA Standards and Followers'!$D$14:$D$73,MATCH($A42,'CA Standards and Followers'!$A$14:$A$73,0))=1,INDEX('CA Standards and Followers'!$G$14:$G$73,MATCH($A42,'CA Standards and Followers'!$A$14:$A$73,0))&lt;=T$1),INDEX('CA Standards and Followers'!$2:$2,MATCH(T$1,'CA Standards and Followers'!$1:$1,0)),0))</f>
        <v>0</v>
      </c>
      <c r="U42">
        <f>IF(AND(INDEX('CA Standards and Followers'!$E$14:$E$73,MATCH($A42,'CA Standards and Followers'!$A$14:$A$73,0))=1,INDEX('CA Standards and Followers'!$H$14:$H$73,MATCH($A42,'CA Standards and Followers'!$A$14:$A$73,0))&lt;=U$1),INDEX('CA Standards and Followers'!$3:$3,MATCH(U$1,'CA Standards and Followers'!$1:$1,0)),IF(AND(INDEX('CA Standards and Followers'!$D$14:$D$73,MATCH($A42,'CA Standards and Followers'!$A$14:$A$73,0))=1,INDEX('CA Standards and Followers'!$G$14:$G$73,MATCH($A42,'CA Standards and Followers'!$A$14:$A$73,0))&lt;=U$1),INDEX('CA Standards and Followers'!$2:$2,MATCH(U$1,'CA Standards and Followers'!$1:$1,0)),0))</f>
        <v>0</v>
      </c>
      <c r="V42">
        <f>IF(AND(INDEX('CA Standards and Followers'!$E$14:$E$73,MATCH($A42,'CA Standards and Followers'!$A$14:$A$73,0))=1,INDEX('CA Standards and Followers'!$H$14:$H$73,MATCH($A42,'CA Standards and Followers'!$A$14:$A$73,0))&lt;=V$1),INDEX('CA Standards and Followers'!$3:$3,MATCH(V$1,'CA Standards and Followers'!$1:$1,0)),IF(AND(INDEX('CA Standards and Followers'!$D$14:$D$73,MATCH($A42,'CA Standards and Followers'!$A$14:$A$73,0))=1,INDEX('CA Standards and Followers'!$G$14:$G$73,MATCH($A42,'CA Standards and Followers'!$A$14:$A$73,0))&lt;=V$1),INDEX('CA Standards and Followers'!$2:$2,MATCH(V$1,'CA Standards and Followers'!$1:$1,0)),0))</f>
        <v>0</v>
      </c>
      <c r="W42">
        <f>IF(AND(INDEX('CA Standards and Followers'!$E$14:$E$73,MATCH($A42,'CA Standards and Followers'!$A$14:$A$73,0))=1,INDEX('CA Standards and Followers'!$H$14:$H$73,MATCH($A42,'CA Standards and Followers'!$A$14:$A$73,0))&lt;=W$1),INDEX('CA Standards and Followers'!$3:$3,MATCH(W$1,'CA Standards and Followers'!$1:$1,0)),IF(AND(INDEX('CA Standards and Followers'!$D$14:$D$73,MATCH($A42,'CA Standards and Followers'!$A$14:$A$73,0))=1,INDEX('CA Standards and Followers'!$G$14:$G$73,MATCH($A42,'CA Standards and Followers'!$A$14:$A$73,0))&lt;=W$1),INDEX('CA Standards and Followers'!$2:$2,MATCH(W$1,'CA Standards and Followers'!$1:$1,0)),0))</f>
        <v>0</v>
      </c>
      <c r="X42">
        <f>IF(AND(INDEX('CA Standards and Followers'!$E$14:$E$73,MATCH($A42,'CA Standards and Followers'!$A$14:$A$73,0))=1,INDEX('CA Standards and Followers'!$H$14:$H$73,MATCH($A42,'CA Standards and Followers'!$A$14:$A$73,0))&lt;=X$1),INDEX('CA Standards and Followers'!$3:$3,MATCH(X$1,'CA Standards and Followers'!$1:$1,0)),IF(AND(INDEX('CA Standards and Followers'!$D$14:$D$73,MATCH($A42,'CA Standards and Followers'!$A$14:$A$73,0))=1,INDEX('CA Standards and Followers'!$G$14:$G$73,MATCH($A42,'CA Standards and Followers'!$A$14:$A$73,0))&lt;=X$1),INDEX('CA Standards and Followers'!$2:$2,MATCH(X$1,'CA Standards and Followers'!$1:$1,0)),0))</f>
        <v>0</v>
      </c>
      <c r="Y42">
        <f>IF(AND(INDEX('CA Standards and Followers'!$E$14:$E$73,MATCH($A42,'CA Standards and Followers'!$A$14:$A$73,0))=1,INDEX('CA Standards and Followers'!$H$14:$H$73,MATCH($A42,'CA Standards and Followers'!$A$14:$A$73,0))&lt;=Y$1),INDEX('CA Standards and Followers'!$3:$3,MATCH(Y$1,'CA Standards and Followers'!$1:$1,0)),IF(AND(INDEX('CA Standards and Followers'!$D$14:$D$73,MATCH($A42,'CA Standards and Followers'!$A$14:$A$73,0))=1,INDEX('CA Standards and Followers'!$G$14:$G$73,MATCH($A42,'CA Standards and Followers'!$A$14:$A$73,0))&lt;=Y$1),INDEX('CA Standards and Followers'!$2:$2,MATCH(Y$1,'CA Standards and Followers'!$1:$1,0)),0))</f>
        <v>0</v>
      </c>
      <c r="Z42">
        <f>IF(AND(INDEX('CA Standards and Followers'!$E$14:$E$73,MATCH($A42,'CA Standards and Followers'!$A$14:$A$73,0))=1,INDEX('CA Standards and Followers'!$H$14:$H$73,MATCH($A42,'CA Standards and Followers'!$A$14:$A$73,0))&lt;=Z$1),INDEX('CA Standards and Followers'!$3:$3,MATCH(Z$1,'CA Standards and Followers'!$1:$1,0)),IF(AND(INDEX('CA Standards and Followers'!$D$14:$D$73,MATCH($A42,'CA Standards and Followers'!$A$14:$A$73,0))=1,INDEX('CA Standards and Followers'!$G$14:$G$73,MATCH($A42,'CA Standards and Followers'!$A$14:$A$73,0))&lt;=Z$1),INDEX('CA Standards and Followers'!$2:$2,MATCH(Z$1,'CA Standards and Followers'!$1:$1,0)),0))</f>
        <v>0</v>
      </c>
      <c r="AA42">
        <f>IF(AND(INDEX('CA Standards and Followers'!$E$14:$E$73,MATCH($A42,'CA Standards and Followers'!$A$14:$A$73,0))=1,INDEX('CA Standards and Followers'!$H$14:$H$73,MATCH($A42,'CA Standards and Followers'!$A$14:$A$73,0))&lt;=AA$1),INDEX('CA Standards and Followers'!$3:$3,MATCH(AA$1,'CA Standards and Followers'!$1:$1,0)),IF(AND(INDEX('CA Standards and Followers'!$D$14:$D$73,MATCH($A42,'CA Standards and Followers'!$A$14:$A$73,0))=1,INDEX('CA Standards and Followers'!$G$14:$G$73,MATCH($A42,'CA Standards and Followers'!$A$14:$A$73,0))&lt;=AA$1),INDEX('CA Standards and Followers'!$2:$2,MATCH(AA$1,'CA Standards and Followers'!$1:$1,0)),0))</f>
        <v>0</v>
      </c>
      <c r="AB42">
        <f>IF(AND(INDEX('CA Standards and Followers'!$E$14:$E$73,MATCH($A42,'CA Standards and Followers'!$A$14:$A$73,0))=1,INDEX('CA Standards and Followers'!$H$14:$H$73,MATCH($A42,'CA Standards and Followers'!$A$14:$A$73,0))&lt;=AB$1),INDEX('CA Standards and Followers'!$3:$3,MATCH(AB$1,'CA Standards and Followers'!$1:$1,0)),IF(AND(INDEX('CA Standards and Followers'!$D$14:$D$73,MATCH($A42,'CA Standards and Followers'!$A$14:$A$73,0))=1,INDEX('CA Standards and Followers'!$G$14:$G$73,MATCH($A42,'CA Standards and Followers'!$A$14:$A$73,0))&lt;=AB$1),INDEX('CA Standards and Followers'!$2:$2,MATCH(AB$1,'CA Standards and Followers'!$1:$1,0)),0))</f>
        <v>0</v>
      </c>
      <c r="AC42">
        <f>IF(AND(INDEX('CA Standards and Followers'!$E$14:$E$73,MATCH($A42,'CA Standards and Followers'!$A$14:$A$73,0))=1,INDEX('CA Standards and Followers'!$H$14:$H$73,MATCH($A42,'CA Standards and Followers'!$A$14:$A$73,0))&lt;=AC$1),INDEX('CA Standards and Followers'!$3:$3,MATCH(AC$1,'CA Standards and Followers'!$1:$1,0)),IF(AND(INDEX('CA Standards and Followers'!$D$14:$D$73,MATCH($A42,'CA Standards and Followers'!$A$14:$A$73,0))=1,INDEX('CA Standards and Followers'!$G$14:$G$73,MATCH($A42,'CA Standards and Followers'!$A$14:$A$73,0))&lt;=AC$1),INDEX('CA Standards and Followers'!$2:$2,MATCH(AC$1,'CA Standards and Followers'!$1:$1,0)),0))</f>
        <v>0</v>
      </c>
      <c r="AD42">
        <f>IF(AND(INDEX('CA Standards and Followers'!$E$14:$E$73,MATCH($A42,'CA Standards and Followers'!$A$14:$A$73,0))=1,INDEX('CA Standards and Followers'!$H$14:$H$73,MATCH($A42,'CA Standards and Followers'!$A$14:$A$73,0))&lt;=AD$1),INDEX('CA Standards and Followers'!$3:$3,MATCH(AD$1,'CA Standards and Followers'!$1:$1,0)),IF(AND(INDEX('CA Standards and Followers'!$D$14:$D$73,MATCH($A42,'CA Standards and Followers'!$A$14:$A$73,0))=1,INDEX('CA Standards and Followers'!$G$14:$G$73,MATCH($A42,'CA Standards and Followers'!$A$14:$A$73,0))&lt;=AD$1),INDEX('CA Standards and Followers'!$2:$2,MATCH(AD$1,'CA Standards and Followers'!$1:$1,0)),0))</f>
        <v>0</v>
      </c>
      <c r="AE42">
        <f>IF(AND(INDEX('CA Standards and Followers'!$E$14:$E$73,MATCH($A42,'CA Standards and Followers'!$A$14:$A$73,0))=1,INDEX('CA Standards and Followers'!$H$14:$H$73,MATCH($A42,'CA Standards and Followers'!$A$14:$A$73,0))&lt;=AE$1),INDEX('CA Standards and Followers'!$3:$3,MATCH(AE$1,'CA Standards and Followers'!$1:$1,0)),IF(AND(INDEX('CA Standards and Followers'!$D$14:$D$73,MATCH($A42,'CA Standards and Followers'!$A$14:$A$73,0))=1,INDEX('CA Standards and Followers'!$G$14:$G$73,MATCH($A42,'CA Standards and Followers'!$A$14:$A$73,0))&lt;=AE$1),INDEX('CA Standards and Followers'!$2:$2,MATCH(AE$1,'CA Standards and Followers'!$1:$1,0)),0))</f>
        <v>0</v>
      </c>
      <c r="AF42">
        <f>IF(AND(INDEX('CA Standards and Followers'!$E$14:$E$73,MATCH($A42,'CA Standards and Followers'!$A$14:$A$73,0))=1,INDEX('CA Standards and Followers'!$H$14:$H$73,MATCH($A42,'CA Standards and Followers'!$A$14:$A$73,0))&lt;=AF$1),INDEX('CA Standards and Followers'!$3:$3,MATCH(AF$1,'CA Standards and Followers'!$1:$1,0)),IF(AND(INDEX('CA Standards and Followers'!$D$14:$D$73,MATCH($A42,'CA Standards and Followers'!$A$14:$A$73,0))=1,INDEX('CA Standards and Followers'!$G$14:$G$73,MATCH($A42,'CA Standards and Followers'!$A$14:$A$73,0))&lt;=AF$1),INDEX('CA Standards and Followers'!$2:$2,MATCH(AF$1,'CA Standards and Followers'!$1:$1,0)),0))</f>
        <v>0</v>
      </c>
    </row>
    <row r="43" spans="1:32" x14ac:dyDescent="0.25">
      <c r="A43" t="s">
        <v>43</v>
      </c>
      <c r="B43">
        <f>IF(AND(INDEX('CA Standards and Followers'!$E$14:$E$73,MATCH($A43,'CA Standards and Followers'!$A$14:$A$73,0))=1,INDEX('CA Standards and Followers'!$H$14:$H$73,MATCH($A43,'CA Standards and Followers'!$A$14:$A$73,0))&lt;=B$1),INDEX('CA Standards and Followers'!$3:$3,MATCH(B$1,'CA Standards and Followers'!$1:$1,0)),IF(AND(INDEX('CA Standards and Followers'!$D$14:$D$73,MATCH($A43,'CA Standards and Followers'!$A$14:$A$73,0))=1,INDEX('CA Standards and Followers'!$G$14:$G$73,MATCH($A43,'CA Standards and Followers'!$A$14:$A$73,0))&lt;=B$1),INDEX('CA Standards and Followers'!$2:$2,MATCH(B$1,'CA Standards and Followers'!$1:$1,0)),0))</f>
        <v>0</v>
      </c>
      <c r="C43">
        <f>IF(AND(INDEX('CA Standards and Followers'!$E$14:$E$73,MATCH($A43,'CA Standards and Followers'!$A$14:$A$73,0))=1,INDEX('CA Standards and Followers'!$H$14:$H$73,MATCH($A43,'CA Standards and Followers'!$A$14:$A$73,0))&lt;=C$1),INDEX('CA Standards and Followers'!$3:$3,MATCH(C$1,'CA Standards and Followers'!$1:$1,0)),IF(AND(INDEX('CA Standards and Followers'!$D$14:$D$73,MATCH($A43,'CA Standards and Followers'!$A$14:$A$73,0))=1,INDEX('CA Standards and Followers'!$G$14:$G$73,MATCH($A43,'CA Standards and Followers'!$A$14:$A$73,0))&lt;=C$1),INDEX('CA Standards and Followers'!$2:$2,MATCH(C$1,'CA Standards and Followers'!$1:$1,0)),0))</f>
        <v>0</v>
      </c>
      <c r="D43">
        <f>IF(AND(INDEX('CA Standards and Followers'!$E$14:$E$73,MATCH($A43,'CA Standards and Followers'!$A$14:$A$73,0))=1,INDEX('CA Standards and Followers'!$H$14:$H$73,MATCH($A43,'CA Standards and Followers'!$A$14:$A$73,0))&lt;=D$1),INDEX('CA Standards and Followers'!$3:$3,MATCH(D$1,'CA Standards and Followers'!$1:$1,0)),IF(AND(INDEX('CA Standards and Followers'!$D$14:$D$73,MATCH($A43,'CA Standards and Followers'!$A$14:$A$73,0))=1,INDEX('CA Standards and Followers'!$G$14:$G$73,MATCH($A43,'CA Standards and Followers'!$A$14:$A$73,0))&lt;=D$1),INDEX('CA Standards and Followers'!$2:$2,MATCH(D$1,'CA Standards and Followers'!$1:$1,0)),0))</f>
        <v>0</v>
      </c>
      <c r="E43">
        <f>IF(AND(INDEX('CA Standards and Followers'!$E$14:$E$73,MATCH($A43,'CA Standards and Followers'!$A$14:$A$73,0))=1,INDEX('CA Standards and Followers'!$H$14:$H$73,MATCH($A43,'CA Standards and Followers'!$A$14:$A$73,0))&lt;=E$1),INDEX('CA Standards and Followers'!$3:$3,MATCH(E$1,'CA Standards and Followers'!$1:$1,0)),IF(AND(INDEX('CA Standards and Followers'!$D$14:$D$73,MATCH($A43,'CA Standards and Followers'!$A$14:$A$73,0))=1,INDEX('CA Standards and Followers'!$G$14:$G$73,MATCH($A43,'CA Standards and Followers'!$A$14:$A$73,0))&lt;=E$1),INDEX('CA Standards and Followers'!$2:$2,MATCH(E$1,'CA Standards and Followers'!$1:$1,0)),0))</f>
        <v>0</v>
      </c>
      <c r="F43">
        <f>IF(AND(INDEX('CA Standards and Followers'!$E$14:$E$73,MATCH($A43,'CA Standards and Followers'!$A$14:$A$73,0))=1,INDEX('CA Standards and Followers'!$H$14:$H$73,MATCH($A43,'CA Standards and Followers'!$A$14:$A$73,0))&lt;=F$1),INDEX('CA Standards and Followers'!$3:$3,MATCH(F$1,'CA Standards and Followers'!$1:$1,0)),IF(AND(INDEX('CA Standards and Followers'!$D$14:$D$73,MATCH($A43,'CA Standards and Followers'!$A$14:$A$73,0))=1,INDEX('CA Standards and Followers'!$G$14:$G$73,MATCH($A43,'CA Standards and Followers'!$A$14:$A$73,0))&lt;=F$1),INDEX('CA Standards and Followers'!$2:$2,MATCH(F$1,'CA Standards and Followers'!$1:$1,0)),0))</f>
        <v>0</v>
      </c>
      <c r="G43">
        <f>IF(AND(INDEX('CA Standards and Followers'!$E$14:$E$73,MATCH($A43,'CA Standards and Followers'!$A$14:$A$73,0))=1,INDEX('CA Standards and Followers'!$H$14:$H$73,MATCH($A43,'CA Standards and Followers'!$A$14:$A$73,0))&lt;=G$1),INDEX('CA Standards and Followers'!$3:$3,MATCH(G$1,'CA Standards and Followers'!$1:$1,0)),IF(AND(INDEX('CA Standards and Followers'!$D$14:$D$73,MATCH($A43,'CA Standards and Followers'!$A$14:$A$73,0))=1,INDEX('CA Standards and Followers'!$G$14:$G$73,MATCH($A43,'CA Standards and Followers'!$A$14:$A$73,0))&lt;=G$1),INDEX('CA Standards and Followers'!$2:$2,MATCH(G$1,'CA Standards and Followers'!$1:$1,0)),0))</f>
        <v>0</v>
      </c>
      <c r="H43">
        <f>IF(AND(INDEX('CA Standards and Followers'!$E$14:$E$73,MATCH($A43,'CA Standards and Followers'!$A$14:$A$73,0))=1,INDEX('CA Standards and Followers'!$H$14:$H$73,MATCH($A43,'CA Standards and Followers'!$A$14:$A$73,0))&lt;=H$1),INDEX('CA Standards and Followers'!$3:$3,MATCH(H$1,'CA Standards and Followers'!$1:$1,0)),IF(AND(INDEX('CA Standards and Followers'!$D$14:$D$73,MATCH($A43,'CA Standards and Followers'!$A$14:$A$73,0))=1,INDEX('CA Standards and Followers'!$G$14:$G$73,MATCH($A43,'CA Standards and Followers'!$A$14:$A$73,0))&lt;=H$1),INDEX('CA Standards and Followers'!$2:$2,MATCH(H$1,'CA Standards and Followers'!$1:$1,0)),0))</f>
        <v>0</v>
      </c>
      <c r="I43">
        <f>IF(AND(INDEX('CA Standards and Followers'!$E$14:$E$73,MATCH($A43,'CA Standards and Followers'!$A$14:$A$73,0))=1,INDEX('CA Standards and Followers'!$H$14:$H$73,MATCH($A43,'CA Standards and Followers'!$A$14:$A$73,0))&lt;=I$1),INDEX('CA Standards and Followers'!$3:$3,MATCH(I$1,'CA Standards and Followers'!$1:$1,0)),IF(AND(INDEX('CA Standards and Followers'!$D$14:$D$73,MATCH($A43,'CA Standards and Followers'!$A$14:$A$73,0))=1,INDEX('CA Standards and Followers'!$G$14:$G$73,MATCH($A43,'CA Standards and Followers'!$A$14:$A$73,0))&lt;=I$1),INDEX('CA Standards and Followers'!$2:$2,MATCH(I$1,'CA Standards and Followers'!$1:$1,0)),0))</f>
        <v>0</v>
      </c>
      <c r="J43">
        <f>IF(AND(INDEX('CA Standards and Followers'!$E$14:$E$73,MATCH($A43,'CA Standards and Followers'!$A$14:$A$73,0))=1,INDEX('CA Standards and Followers'!$H$14:$H$73,MATCH($A43,'CA Standards and Followers'!$A$14:$A$73,0))&lt;=J$1),INDEX('CA Standards and Followers'!$3:$3,MATCH(J$1,'CA Standards and Followers'!$1:$1,0)),IF(AND(INDEX('CA Standards and Followers'!$D$14:$D$73,MATCH($A43,'CA Standards and Followers'!$A$14:$A$73,0))=1,INDEX('CA Standards and Followers'!$G$14:$G$73,MATCH($A43,'CA Standards and Followers'!$A$14:$A$73,0))&lt;=J$1),INDEX('CA Standards and Followers'!$2:$2,MATCH(J$1,'CA Standards and Followers'!$1:$1,0)),0))</f>
        <v>0</v>
      </c>
      <c r="K43">
        <f>IF(AND(INDEX('CA Standards and Followers'!$E$14:$E$73,MATCH($A43,'CA Standards and Followers'!$A$14:$A$73,0))=1,INDEX('CA Standards and Followers'!$H$14:$H$73,MATCH($A43,'CA Standards and Followers'!$A$14:$A$73,0))&lt;=K$1),INDEX('CA Standards and Followers'!$3:$3,MATCH(K$1,'CA Standards and Followers'!$1:$1,0)),IF(AND(INDEX('CA Standards and Followers'!$D$14:$D$73,MATCH($A43,'CA Standards and Followers'!$A$14:$A$73,0))=1,INDEX('CA Standards and Followers'!$G$14:$G$73,MATCH($A43,'CA Standards and Followers'!$A$14:$A$73,0))&lt;=K$1),INDEX('CA Standards and Followers'!$2:$2,MATCH(K$1,'CA Standards and Followers'!$1:$1,0)),0))</f>
        <v>0</v>
      </c>
      <c r="L43">
        <f>IF(AND(INDEX('CA Standards and Followers'!$E$14:$E$73,MATCH($A43,'CA Standards and Followers'!$A$14:$A$73,0))=1,INDEX('CA Standards and Followers'!$H$14:$H$73,MATCH($A43,'CA Standards and Followers'!$A$14:$A$73,0))&lt;=L$1),INDEX('CA Standards and Followers'!$3:$3,MATCH(L$1,'CA Standards and Followers'!$1:$1,0)),IF(AND(INDEX('CA Standards and Followers'!$D$14:$D$73,MATCH($A43,'CA Standards and Followers'!$A$14:$A$73,0))=1,INDEX('CA Standards and Followers'!$G$14:$G$73,MATCH($A43,'CA Standards and Followers'!$A$14:$A$73,0))&lt;=L$1),INDEX('CA Standards and Followers'!$2:$2,MATCH(L$1,'CA Standards and Followers'!$1:$1,0)),0))</f>
        <v>0</v>
      </c>
      <c r="M43">
        <f>IF(AND(INDEX('CA Standards and Followers'!$E$14:$E$73,MATCH($A43,'CA Standards and Followers'!$A$14:$A$73,0))=1,INDEX('CA Standards and Followers'!$H$14:$H$73,MATCH($A43,'CA Standards and Followers'!$A$14:$A$73,0))&lt;=M$1),INDEX('CA Standards and Followers'!$3:$3,MATCH(M$1,'CA Standards and Followers'!$1:$1,0)),IF(AND(INDEX('CA Standards and Followers'!$D$14:$D$73,MATCH($A43,'CA Standards and Followers'!$A$14:$A$73,0))=1,INDEX('CA Standards and Followers'!$G$14:$G$73,MATCH($A43,'CA Standards and Followers'!$A$14:$A$73,0))&lt;=M$1),INDEX('CA Standards and Followers'!$2:$2,MATCH(M$1,'CA Standards and Followers'!$1:$1,0)),0))</f>
        <v>0</v>
      </c>
      <c r="N43">
        <f>IF(AND(INDEX('CA Standards and Followers'!$E$14:$E$73,MATCH($A43,'CA Standards and Followers'!$A$14:$A$73,0))=1,INDEX('CA Standards and Followers'!$H$14:$H$73,MATCH($A43,'CA Standards and Followers'!$A$14:$A$73,0))&lt;=N$1),INDEX('CA Standards and Followers'!$3:$3,MATCH(N$1,'CA Standards and Followers'!$1:$1,0)),IF(AND(INDEX('CA Standards and Followers'!$D$14:$D$73,MATCH($A43,'CA Standards and Followers'!$A$14:$A$73,0))=1,INDEX('CA Standards and Followers'!$G$14:$G$73,MATCH($A43,'CA Standards and Followers'!$A$14:$A$73,0))&lt;=N$1),INDEX('CA Standards and Followers'!$2:$2,MATCH(N$1,'CA Standards and Followers'!$1:$1,0)),0))</f>
        <v>0</v>
      </c>
      <c r="O43">
        <f>IF(AND(INDEX('CA Standards and Followers'!$E$14:$E$73,MATCH($A43,'CA Standards and Followers'!$A$14:$A$73,0))=1,INDEX('CA Standards and Followers'!$H$14:$H$73,MATCH($A43,'CA Standards and Followers'!$A$14:$A$73,0))&lt;=O$1),INDEX('CA Standards and Followers'!$3:$3,MATCH(O$1,'CA Standards and Followers'!$1:$1,0)),IF(AND(INDEX('CA Standards and Followers'!$D$14:$D$73,MATCH($A43,'CA Standards and Followers'!$A$14:$A$73,0))=1,INDEX('CA Standards and Followers'!$G$14:$G$73,MATCH($A43,'CA Standards and Followers'!$A$14:$A$73,0))&lt;=O$1),INDEX('CA Standards and Followers'!$2:$2,MATCH(O$1,'CA Standards and Followers'!$1:$1,0)),0))</f>
        <v>0</v>
      </c>
      <c r="P43">
        <f>IF(AND(INDEX('CA Standards and Followers'!$E$14:$E$73,MATCH($A43,'CA Standards and Followers'!$A$14:$A$73,0))=1,INDEX('CA Standards and Followers'!$H$14:$H$73,MATCH($A43,'CA Standards and Followers'!$A$14:$A$73,0))&lt;=P$1),INDEX('CA Standards and Followers'!$3:$3,MATCH(P$1,'CA Standards and Followers'!$1:$1,0)),IF(AND(INDEX('CA Standards and Followers'!$D$14:$D$73,MATCH($A43,'CA Standards and Followers'!$A$14:$A$73,0))=1,INDEX('CA Standards and Followers'!$G$14:$G$73,MATCH($A43,'CA Standards and Followers'!$A$14:$A$73,0))&lt;=P$1),INDEX('CA Standards and Followers'!$2:$2,MATCH(P$1,'CA Standards and Followers'!$1:$1,0)),0))</f>
        <v>0</v>
      </c>
      <c r="Q43">
        <f>IF(AND(INDEX('CA Standards and Followers'!$E$14:$E$73,MATCH($A43,'CA Standards and Followers'!$A$14:$A$73,0))=1,INDEX('CA Standards and Followers'!$H$14:$H$73,MATCH($A43,'CA Standards and Followers'!$A$14:$A$73,0))&lt;=Q$1),INDEX('CA Standards and Followers'!$3:$3,MATCH(Q$1,'CA Standards and Followers'!$1:$1,0)),IF(AND(INDEX('CA Standards and Followers'!$D$14:$D$73,MATCH($A43,'CA Standards and Followers'!$A$14:$A$73,0))=1,INDEX('CA Standards and Followers'!$G$14:$G$73,MATCH($A43,'CA Standards and Followers'!$A$14:$A$73,0))&lt;=Q$1),INDEX('CA Standards and Followers'!$2:$2,MATCH(Q$1,'CA Standards and Followers'!$1:$1,0)),0))</f>
        <v>0</v>
      </c>
      <c r="R43">
        <f>IF(AND(INDEX('CA Standards and Followers'!$E$14:$E$73,MATCH($A43,'CA Standards and Followers'!$A$14:$A$73,0))=1,INDEX('CA Standards and Followers'!$H$14:$H$73,MATCH($A43,'CA Standards and Followers'!$A$14:$A$73,0))&lt;=R$1),INDEX('CA Standards and Followers'!$3:$3,MATCH(R$1,'CA Standards and Followers'!$1:$1,0)),IF(AND(INDEX('CA Standards and Followers'!$D$14:$D$73,MATCH($A43,'CA Standards and Followers'!$A$14:$A$73,0))=1,INDEX('CA Standards and Followers'!$G$14:$G$73,MATCH($A43,'CA Standards and Followers'!$A$14:$A$73,0))&lt;=R$1),INDEX('CA Standards and Followers'!$2:$2,MATCH(R$1,'CA Standards and Followers'!$1:$1,0)),0))</f>
        <v>0</v>
      </c>
      <c r="S43">
        <f>IF(AND(INDEX('CA Standards and Followers'!$E$14:$E$73,MATCH($A43,'CA Standards and Followers'!$A$14:$A$73,0))=1,INDEX('CA Standards and Followers'!$H$14:$H$73,MATCH($A43,'CA Standards and Followers'!$A$14:$A$73,0))&lt;=S$1),INDEX('CA Standards and Followers'!$3:$3,MATCH(S$1,'CA Standards and Followers'!$1:$1,0)),IF(AND(INDEX('CA Standards and Followers'!$D$14:$D$73,MATCH($A43,'CA Standards and Followers'!$A$14:$A$73,0))=1,INDEX('CA Standards and Followers'!$G$14:$G$73,MATCH($A43,'CA Standards and Followers'!$A$14:$A$73,0))&lt;=S$1),INDEX('CA Standards and Followers'!$2:$2,MATCH(S$1,'CA Standards and Followers'!$1:$1,0)),0))</f>
        <v>0</v>
      </c>
      <c r="T43">
        <f>IF(AND(INDEX('CA Standards and Followers'!$E$14:$E$73,MATCH($A43,'CA Standards and Followers'!$A$14:$A$73,0))=1,INDEX('CA Standards and Followers'!$H$14:$H$73,MATCH($A43,'CA Standards and Followers'!$A$14:$A$73,0))&lt;=T$1),INDEX('CA Standards and Followers'!$3:$3,MATCH(T$1,'CA Standards and Followers'!$1:$1,0)),IF(AND(INDEX('CA Standards and Followers'!$D$14:$D$73,MATCH($A43,'CA Standards and Followers'!$A$14:$A$73,0))=1,INDEX('CA Standards and Followers'!$G$14:$G$73,MATCH($A43,'CA Standards and Followers'!$A$14:$A$73,0))&lt;=T$1),INDEX('CA Standards and Followers'!$2:$2,MATCH(T$1,'CA Standards and Followers'!$1:$1,0)),0))</f>
        <v>0</v>
      </c>
      <c r="U43">
        <f>IF(AND(INDEX('CA Standards and Followers'!$E$14:$E$73,MATCH($A43,'CA Standards and Followers'!$A$14:$A$73,0))=1,INDEX('CA Standards and Followers'!$H$14:$H$73,MATCH($A43,'CA Standards and Followers'!$A$14:$A$73,0))&lt;=U$1),INDEX('CA Standards and Followers'!$3:$3,MATCH(U$1,'CA Standards and Followers'!$1:$1,0)),IF(AND(INDEX('CA Standards and Followers'!$D$14:$D$73,MATCH($A43,'CA Standards and Followers'!$A$14:$A$73,0))=1,INDEX('CA Standards and Followers'!$G$14:$G$73,MATCH($A43,'CA Standards and Followers'!$A$14:$A$73,0))&lt;=U$1),INDEX('CA Standards and Followers'!$2:$2,MATCH(U$1,'CA Standards and Followers'!$1:$1,0)),0))</f>
        <v>0</v>
      </c>
      <c r="V43">
        <f>IF(AND(INDEX('CA Standards and Followers'!$E$14:$E$73,MATCH($A43,'CA Standards and Followers'!$A$14:$A$73,0))=1,INDEX('CA Standards and Followers'!$H$14:$H$73,MATCH($A43,'CA Standards and Followers'!$A$14:$A$73,0))&lt;=V$1),INDEX('CA Standards and Followers'!$3:$3,MATCH(V$1,'CA Standards and Followers'!$1:$1,0)),IF(AND(INDEX('CA Standards and Followers'!$D$14:$D$73,MATCH($A43,'CA Standards and Followers'!$A$14:$A$73,0))=1,INDEX('CA Standards and Followers'!$G$14:$G$73,MATCH($A43,'CA Standards and Followers'!$A$14:$A$73,0))&lt;=V$1),INDEX('CA Standards and Followers'!$2:$2,MATCH(V$1,'CA Standards and Followers'!$1:$1,0)),0))</f>
        <v>0</v>
      </c>
      <c r="W43">
        <f>IF(AND(INDEX('CA Standards and Followers'!$E$14:$E$73,MATCH($A43,'CA Standards and Followers'!$A$14:$A$73,0))=1,INDEX('CA Standards and Followers'!$H$14:$H$73,MATCH($A43,'CA Standards and Followers'!$A$14:$A$73,0))&lt;=W$1),INDEX('CA Standards and Followers'!$3:$3,MATCH(W$1,'CA Standards and Followers'!$1:$1,0)),IF(AND(INDEX('CA Standards and Followers'!$D$14:$D$73,MATCH($A43,'CA Standards and Followers'!$A$14:$A$73,0))=1,INDEX('CA Standards and Followers'!$G$14:$G$73,MATCH($A43,'CA Standards and Followers'!$A$14:$A$73,0))&lt;=W$1),INDEX('CA Standards and Followers'!$2:$2,MATCH(W$1,'CA Standards and Followers'!$1:$1,0)),0))</f>
        <v>0</v>
      </c>
      <c r="X43">
        <f>IF(AND(INDEX('CA Standards and Followers'!$E$14:$E$73,MATCH($A43,'CA Standards and Followers'!$A$14:$A$73,0))=1,INDEX('CA Standards and Followers'!$H$14:$H$73,MATCH($A43,'CA Standards and Followers'!$A$14:$A$73,0))&lt;=X$1),INDEX('CA Standards and Followers'!$3:$3,MATCH(X$1,'CA Standards and Followers'!$1:$1,0)),IF(AND(INDEX('CA Standards and Followers'!$D$14:$D$73,MATCH($A43,'CA Standards and Followers'!$A$14:$A$73,0))=1,INDEX('CA Standards and Followers'!$G$14:$G$73,MATCH($A43,'CA Standards and Followers'!$A$14:$A$73,0))&lt;=X$1),INDEX('CA Standards and Followers'!$2:$2,MATCH(X$1,'CA Standards and Followers'!$1:$1,0)),0))</f>
        <v>0</v>
      </c>
      <c r="Y43">
        <f>IF(AND(INDEX('CA Standards and Followers'!$E$14:$E$73,MATCH($A43,'CA Standards and Followers'!$A$14:$A$73,0))=1,INDEX('CA Standards and Followers'!$H$14:$H$73,MATCH($A43,'CA Standards and Followers'!$A$14:$A$73,0))&lt;=Y$1),INDEX('CA Standards and Followers'!$3:$3,MATCH(Y$1,'CA Standards and Followers'!$1:$1,0)),IF(AND(INDEX('CA Standards and Followers'!$D$14:$D$73,MATCH($A43,'CA Standards and Followers'!$A$14:$A$73,0))=1,INDEX('CA Standards and Followers'!$G$14:$G$73,MATCH($A43,'CA Standards and Followers'!$A$14:$A$73,0))&lt;=Y$1),INDEX('CA Standards and Followers'!$2:$2,MATCH(Y$1,'CA Standards and Followers'!$1:$1,0)),0))</f>
        <v>0</v>
      </c>
      <c r="Z43">
        <f>IF(AND(INDEX('CA Standards and Followers'!$E$14:$E$73,MATCH($A43,'CA Standards and Followers'!$A$14:$A$73,0))=1,INDEX('CA Standards and Followers'!$H$14:$H$73,MATCH($A43,'CA Standards and Followers'!$A$14:$A$73,0))&lt;=Z$1),INDEX('CA Standards and Followers'!$3:$3,MATCH(Z$1,'CA Standards and Followers'!$1:$1,0)),IF(AND(INDEX('CA Standards and Followers'!$D$14:$D$73,MATCH($A43,'CA Standards and Followers'!$A$14:$A$73,0))=1,INDEX('CA Standards and Followers'!$G$14:$G$73,MATCH($A43,'CA Standards and Followers'!$A$14:$A$73,0))&lt;=Z$1),INDEX('CA Standards and Followers'!$2:$2,MATCH(Z$1,'CA Standards and Followers'!$1:$1,0)),0))</f>
        <v>0</v>
      </c>
      <c r="AA43">
        <f>IF(AND(INDEX('CA Standards and Followers'!$E$14:$E$73,MATCH($A43,'CA Standards and Followers'!$A$14:$A$73,0))=1,INDEX('CA Standards and Followers'!$H$14:$H$73,MATCH($A43,'CA Standards and Followers'!$A$14:$A$73,0))&lt;=AA$1),INDEX('CA Standards and Followers'!$3:$3,MATCH(AA$1,'CA Standards and Followers'!$1:$1,0)),IF(AND(INDEX('CA Standards and Followers'!$D$14:$D$73,MATCH($A43,'CA Standards and Followers'!$A$14:$A$73,0))=1,INDEX('CA Standards and Followers'!$G$14:$G$73,MATCH($A43,'CA Standards and Followers'!$A$14:$A$73,0))&lt;=AA$1),INDEX('CA Standards and Followers'!$2:$2,MATCH(AA$1,'CA Standards and Followers'!$1:$1,0)),0))</f>
        <v>0</v>
      </c>
      <c r="AB43">
        <f>IF(AND(INDEX('CA Standards and Followers'!$E$14:$E$73,MATCH($A43,'CA Standards and Followers'!$A$14:$A$73,0))=1,INDEX('CA Standards and Followers'!$H$14:$H$73,MATCH($A43,'CA Standards and Followers'!$A$14:$A$73,0))&lt;=AB$1),INDEX('CA Standards and Followers'!$3:$3,MATCH(AB$1,'CA Standards and Followers'!$1:$1,0)),IF(AND(INDEX('CA Standards and Followers'!$D$14:$D$73,MATCH($A43,'CA Standards and Followers'!$A$14:$A$73,0))=1,INDEX('CA Standards and Followers'!$G$14:$G$73,MATCH($A43,'CA Standards and Followers'!$A$14:$A$73,0))&lt;=AB$1),INDEX('CA Standards and Followers'!$2:$2,MATCH(AB$1,'CA Standards and Followers'!$1:$1,0)),0))</f>
        <v>0</v>
      </c>
      <c r="AC43">
        <f>IF(AND(INDEX('CA Standards and Followers'!$E$14:$E$73,MATCH($A43,'CA Standards and Followers'!$A$14:$A$73,0))=1,INDEX('CA Standards and Followers'!$H$14:$H$73,MATCH($A43,'CA Standards and Followers'!$A$14:$A$73,0))&lt;=AC$1),INDEX('CA Standards and Followers'!$3:$3,MATCH(AC$1,'CA Standards and Followers'!$1:$1,0)),IF(AND(INDEX('CA Standards and Followers'!$D$14:$D$73,MATCH($A43,'CA Standards and Followers'!$A$14:$A$73,0))=1,INDEX('CA Standards and Followers'!$G$14:$G$73,MATCH($A43,'CA Standards and Followers'!$A$14:$A$73,0))&lt;=AC$1),INDEX('CA Standards and Followers'!$2:$2,MATCH(AC$1,'CA Standards and Followers'!$1:$1,0)),0))</f>
        <v>0</v>
      </c>
      <c r="AD43">
        <f>IF(AND(INDEX('CA Standards and Followers'!$E$14:$E$73,MATCH($A43,'CA Standards and Followers'!$A$14:$A$73,0))=1,INDEX('CA Standards and Followers'!$H$14:$H$73,MATCH($A43,'CA Standards and Followers'!$A$14:$A$73,0))&lt;=AD$1),INDEX('CA Standards and Followers'!$3:$3,MATCH(AD$1,'CA Standards and Followers'!$1:$1,0)),IF(AND(INDEX('CA Standards and Followers'!$D$14:$D$73,MATCH($A43,'CA Standards and Followers'!$A$14:$A$73,0))=1,INDEX('CA Standards and Followers'!$G$14:$G$73,MATCH($A43,'CA Standards and Followers'!$A$14:$A$73,0))&lt;=AD$1),INDEX('CA Standards and Followers'!$2:$2,MATCH(AD$1,'CA Standards and Followers'!$1:$1,0)),0))</f>
        <v>0</v>
      </c>
      <c r="AE43">
        <f>IF(AND(INDEX('CA Standards and Followers'!$E$14:$E$73,MATCH($A43,'CA Standards and Followers'!$A$14:$A$73,0))=1,INDEX('CA Standards and Followers'!$H$14:$H$73,MATCH($A43,'CA Standards and Followers'!$A$14:$A$73,0))&lt;=AE$1),INDEX('CA Standards and Followers'!$3:$3,MATCH(AE$1,'CA Standards and Followers'!$1:$1,0)),IF(AND(INDEX('CA Standards and Followers'!$D$14:$D$73,MATCH($A43,'CA Standards and Followers'!$A$14:$A$73,0))=1,INDEX('CA Standards and Followers'!$G$14:$G$73,MATCH($A43,'CA Standards and Followers'!$A$14:$A$73,0))&lt;=AE$1),INDEX('CA Standards and Followers'!$2:$2,MATCH(AE$1,'CA Standards and Followers'!$1:$1,0)),0))</f>
        <v>0</v>
      </c>
      <c r="AF43">
        <f>IF(AND(INDEX('CA Standards and Followers'!$E$14:$E$73,MATCH($A43,'CA Standards and Followers'!$A$14:$A$73,0))=1,INDEX('CA Standards and Followers'!$H$14:$H$73,MATCH($A43,'CA Standards and Followers'!$A$14:$A$73,0))&lt;=AF$1),INDEX('CA Standards and Followers'!$3:$3,MATCH(AF$1,'CA Standards and Followers'!$1:$1,0)),IF(AND(INDEX('CA Standards and Followers'!$D$14:$D$73,MATCH($A43,'CA Standards and Followers'!$A$14:$A$73,0))=1,INDEX('CA Standards and Followers'!$G$14:$G$73,MATCH($A43,'CA Standards and Followers'!$A$14:$A$73,0))&lt;=AF$1),INDEX('CA Standards and Followers'!$2:$2,MATCH(AF$1,'CA Standards and Followers'!$1:$1,0)),0))</f>
        <v>0</v>
      </c>
    </row>
    <row r="44" spans="1:32" x14ac:dyDescent="0.25">
      <c r="A44" t="s">
        <v>44</v>
      </c>
      <c r="B44">
        <f>IF(AND(INDEX('CA Standards and Followers'!$E$14:$E$73,MATCH($A44,'CA Standards and Followers'!$A$14:$A$73,0))=1,INDEX('CA Standards and Followers'!$H$14:$H$73,MATCH($A44,'CA Standards and Followers'!$A$14:$A$73,0))&lt;=B$1),INDEX('CA Standards and Followers'!$3:$3,MATCH(B$1,'CA Standards and Followers'!$1:$1,0)),IF(AND(INDEX('CA Standards and Followers'!$D$14:$D$73,MATCH($A44,'CA Standards and Followers'!$A$14:$A$73,0))=1,INDEX('CA Standards and Followers'!$G$14:$G$73,MATCH($A44,'CA Standards and Followers'!$A$14:$A$73,0))&lt;=B$1),INDEX('CA Standards and Followers'!$2:$2,MATCH(B$1,'CA Standards and Followers'!$1:$1,0)),0))</f>
        <v>0</v>
      </c>
      <c r="C44">
        <f>IF(AND(INDEX('CA Standards and Followers'!$E$14:$E$73,MATCH($A44,'CA Standards and Followers'!$A$14:$A$73,0))=1,INDEX('CA Standards and Followers'!$H$14:$H$73,MATCH($A44,'CA Standards and Followers'!$A$14:$A$73,0))&lt;=C$1),INDEX('CA Standards and Followers'!$3:$3,MATCH(C$1,'CA Standards and Followers'!$1:$1,0)),IF(AND(INDEX('CA Standards and Followers'!$D$14:$D$73,MATCH($A44,'CA Standards and Followers'!$A$14:$A$73,0))=1,INDEX('CA Standards and Followers'!$G$14:$G$73,MATCH($A44,'CA Standards and Followers'!$A$14:$A$73,0))&lt;=C$1),INDEX('CA Standards and Followers'!$2:$2,MATCH(C$1,'CA Standards and Followers'!$1:$1,0)),0))</f>
        <v>0</v>
      </c>
      <c r="D44">
        <f>IF(AND(INDEX('CA Standards and Followers'!$E$14:$E$73,MATCH($A44,'CA Standards and Followers'!$A$14:$A$73,0))=1,INDEX('CA Standards and Followers'!$H$14:$H$73,MATCH($A44,'CA Standards and Followers'!$A$14:$A$73,0))&lt;=D$1),INDEX('CA Standards and Followers'!$3:$3,MATCH(D$1,'CA Standards and Followers'!$1:$1,0)),IF(AND(INDEX('CA Standards and Followers'!$D$14:$D$73,MATCH($A44,'CA Standards and Followers'!$A$14:$A$73,0))=1,INDEX('CA Standards and Followers'!$G$14:$G$73,MATCH($A44,'CA Standards and Followers'!$A$14:$A$73,0))&lt;=D$1),INDEX('CA Standards and Followers'!$2:$2,MATCH(D$1,'CA Standards and Followers'!$1:$1,0)),0))</f>
        <v>0</v>
      </c>
      <c r="E44">
        <f>IF(AND(INDEX('CA Standards and Followers'!$E$14:$E$73,MATCH($A44,'CA Standards and Followers'!$A$14:$A$73,0))=1,INDEX('CA Standards and Followers'!$H$14:$H$73,MATCH($A44,'CA Standards and Followers'!$A$14:$A$73,0))&lt;=E$1),INDEX('CA Standards and Followers'!$3:$3,MATCH(E$1,'CA Standards and Followers'!$1:$1,0)),IF(AND(INDEX('CA Standards and Followers'!$D$14:$D$73,MATCH($A44,'CA Standards and Followers'!$A$14:$A$73,0))=1,INDEX('CA Standards and Followers'!$G$14:$G$73,MATCH($A44,'CA Standards and Followers'!$A$14:$A$73,0))&lt;=E$1),INDEX('CA Standards and Followers'!$2:$2,MATCH(E$1,'CA Standards and Followers'!$1:$1,0)),0))</f>
        <v>0</v>
      </c>
      <c r="F44">
        <f>IF(AND(INDEX('CA Standards and Followers'!$E$14:$E$73,MATCH($A44,'CA Standards and Followers'!$A$14:$A$73,0))=1,INDEX('CA Standards and Followers'!$H$14:$H$73,MATCH($A44,'CA Standards and Followers'!$A$14:$A$73,0))&lt;=F$1),INDEX('CA Standards and Followers'!$3:$3,MATCH(F$1,'CA Standards and Followers'!$1:$1,0)),IF(AND(INDEX('CA Standards and Followers'!$D$14:$D$73,MATCH($A44,'CA Standards and Followers'!$A$14:$A$73,0))=1,INDEX('CA Standards and Followers'!$G$14:$G$73,MATCH($A44,'CA Standards and Followers'!$A$14:$A$73,0))&lt;=F$1),INDEX('CA Standards and Followers'!$2:$2,MATCH(F$1,'CA Standards and Followers'!$1:$1,0)),0))</f>
        <v>0</v>
      </c>
      <c r="G44">
        <f>IF(AND(INDEX('CA Standards and Followers'!$E$14:$E$73,MATCH($A44,'CA Standards and Followers'!$A$14:$A$73,0))=1,INDEX('CA Standards and Followers'!$H$14:$H$73,MATCH($A44,'CA Standards and Followers'!$A$14:$A$73,0))&lt;=G$1),INDEX('CA Standards and Followers'!$3:$3,MATCH(G$1,'CA Standards and Followers'!$1:$1,0)),IF(AND(INDEX('CA Standards and Followers'!$D$14:$D$73,MATCH($A44,'CA Standards and Followers'!$A$14:$A$73,0))=1,INDEX('CA Standards and Followers'!$G$14:$G$73,MATCH($A44,'CA Standards and Followers'!$A$14:$A$73,0))&lt;=G$1),INDEX('CA Standards and Followers'!$2:$2,MATCH(G$1,'CA Standards and Followers'!$1:$1,0)),0))</f>
        <v>0</v>
      </c>
      <c r="H44">
        <f>IF(AND(INDEX('CA Standards and Followers'!$E$14:$E$73,MATCH($A44,'CA Standards and Followers'!$A$14:$A$73,0))=1,INDEX('CA Standards and Followers'!$H$14:$H$73,MATCH($A44,'CA Standards and Followers'!$A$14:$A$73,0))&lt;=H$1),INDEX('CA Standards and Followers'!$3:$3,MATCH(H$1,'CA Standards and Followers'!$1:$1,0)),IF(AND(INDEX('CA Standards and Followers'!$D$14:$D$73,MATCH($A44,'CA Standards and Followers'!$A$14:$A$73,0))=1,INDEX('CA Standards and Followers'!$G$14:$G$73,MATCH($A44,'CA Standards and Followers'!$A$14:$A$73,0))&lt;=H$1),INDEX('CA Standards and Followers'!$2:$2,MATCH(H$1,'CA Standards and Followers'!$1:$1,0)),0))</f>
        <v>0</v>
      </c>
      <c r="I44">
        <f>IF(AND(INDEX('CA Standards and Followers'!$E$14:$E$73,MATCH($A44,'CA Standards and Followers'!$A$14:$A$73,0))=1,INDEX('CA Standards and Followers'!$H$14:$H$73,MATCH($A44,'CA Standards and Followers'!$A$14:$A$73,0))&lt;=I$1),INDEX('CA Standards and Followers'!$3:$3,MATCH(I$1,'CA Standards and Followers'!$1:$1,0)),IF(AND(INDEX('CA Standards and Followers'!$D$14:$D$73,MATCH($A44,'CA Standards and Followers'!$A$14:$A$73,0))=1,INDEX('CA Standards and Followers'!$G$14:$G$73,MATCH($A44,'CA Standards and Followers'!$A$14:$A$73,0))&lt;=I$1),INDEX('CA Standards and Followers'!$2:$2,MATCH(I$1,'CA Standards and Followers'!$1:$1,0)),0))</f>
        <v>0</v>
      </c>
      <c r="J44">
        <f>IF(AND(INDEX('CA Standards and Followers'!$E$14:$E$73,MATCH($A44,'CA Standards and Followers'!$A$14:$A$73,0))=1,INDEX('CA Standards and Followers'!$H$14:$H$73,MATCH($A44,'CA Standards and Followers'!$A$14:$A$73,0))&lt;=J$1),INDEX('CA Standards and Followers'!$3:$3,MATCH(J$1,'CA Standards and Followers'!$1:$1,0)),IF(AND(INDEX('CA Standards and Followers'!$D$14:$D$73,MATCH($A44,'CA Standards and Followers'!$A$14:$A$73,0))=1,INDEX('CA Standards and Followers'!$G$14:$G$73,MATCH($A44,'CA Standards and Followers'!$A$14:$A$73,0))&lt;=J$1),INDEX('CA Standards and Followers'!$2:$2,MATCH(J$1,'CA Standards and Followers'!$1:$1,0)),0))</f>
        <v>0</v>
      </c>
      <c r="K44">
        <f>IF(AND(INDEX('CA Standards and Followers'!$E$14:$E$73,MATCH($A44,'CA Standards and Followers'!$A$14:$A$73,0))=1,INDEX('CA Standards and Followers'!$H$14:$H$73,MATCH($A44,'CA Standards and Followers'!$A$14:$A$73,0))&lt;=K$1),INDEX('CA Standards and Followers'!$3:$3,MATCH(K$1,'CA Standards and Followers'!$1:$1,0)),IF(AND(INDEX('CA Standards and Followers'!$D$14:$D$73,MATCH($A44,'CA Standards and Followers'!$A$14:$A$73,0))=1,INDEX('CA Standards and Followers'!$G$14:$G$73,MATCH($A44,'CA Standards and Followers'!$A$14:$A$73,0))&lt;=K$1),INDEX('CA Standards and Followers'!$2:$2,MATCH(K$1,'CA Standards and Followers'!$1:$1,0)),0))</f>
        <v>0</v>
      </c>
      <c r="L44">
        <f>IF(AND(INDEX('CA Standards and Followers'!$E$14:$E$73,MATCH($A44,'CA Standards and Followers'!$A$14:$A$73,0))=1,INDEX('CA Standards and Followers'!$H$14:$H$73,MATCH($A44,'CA Standards and Followers'!$A$14:$A$73,0))&lt;=L$1),INDEX('CA Standards and Followers'!$3:$3,MATCH(L$1,'CA Standards and Followers'!$1:$1,0)),IF(AND(INDEX('CA Standards and Followers'!$D$14:$D$73,MATCH($A44,'CA Standards and Followers'!$A$14:$A$73,0))=1,INDEX('CA Standards and Followers'!$G$14:$G$73,MATCH($A44,'CA Standards and Followers'!$A$14:$A$73,0))&lt;=L$1),INDEX('CA Standards and Followers'!$2:$2,MATCH(L$1,'CA Standards and Followers'!$1:$1,0)),0))</f>
        <v>0</v>
      </c>
      <c r="M44">
        <f>IF(AND(INDEX('CA Standards and Followers'!$E$14:$E$73,MATCH($A44,'CA Standards and Followers'!$A$14:$A$73,0))=1,INDEX('CA Standards and Followers'!$H$14:$H$73,MATCH($A44,'CA Standards and Followers'!$A$14:$A$73,0))&lt;=M$1),INDEX('CA Standards and Followers'!$3:$3,MATCH(M$1,'CA Standards and Followers'!$1:$1,0)),IF(AND(INDEX('CA Standards and Followers'!$D$14:$D$73,MATCH($A44,'CA Standards and Followers'!$A$14:$A$73,0))=1,INDEX('CA Standards and Followers'!$G$14:$G$73,MATCH($A44,'CA Standards and Followers'!$A$14:$A$73,0))&lt;=M$1),INDEX('CA Standards and Followers'!$2:$2,MATCH(M$1,'CA Standards and Followers'!$1:$1,0)),0))</f>
        <v>0</v>
      </c>
      <c r="N44">
        <f>IF(AND(INDEX('CA Standards and Followers'!$E$14:$E$73,MATCH($A44,'CA Standards and Followers'!$A$14:$A$73,0))=1,INDEX('CA Standards and Followers'!$H$14:$H$73,MATCH($A44,'CA Standards and Followers'!$A$14:$A$73,0))&lt;=N$1),INDEX('CA Standards and Followers'!$3:$3,MATCH(N$1,'CA Standards and Followers'!$1:$1,0)),IF(AND(INDEX('CA Standards and Followers'!$D$14:$D$73,MATCH($A44,'CA Standards and Followers'!$A$14:$A$73,0))=1,INDEX('CA Standards and Followers'!$G$14:$G$73,MATCH($A44,'CA Standards and Followers'!$A$14:$A$73,0))&lt;=N$1),INDEX('CA Standards and Followers'!$2:$2,MATCH(N$1,'CA Standards and Followers'!$1:$1,0)),0))</f>
        <v>0</v>
      </c>
      <c r="O44">
        <f>IF(AND(INDEX('CA Standards and Followers'!$E$14:$E$73,MATCH($A44,'CA Standards and Followers'!$A$14:$A$73,0))=1,INDEX('CA Standards and Followers'!$H$14:$H$73,MATCH($A44,'CA Standards and Followers'!$A$14:$A$73,0))&lt;=O$1),INDEX('CA Standards and Followers'!$3:$3,MATCH(O$1,'CA Standards and Followers'!$1:$1,0)),IF(AND(INDEX('CA Standards and Followers'!$D$14:$D$73,MATCH($A44,'CA Standards and Followers'!$A$14:$A$73,0))=1,INDEX('CA Standards and Followers'!$G$14:$G$73,MATCH($A44,'CA Standards and Followers'!$A$14:$A$73,0))&lt;=O$1),INDEX('CA Standards and Followers'!$2:$2,MATCH(O$1,'CA Standards and Followers'!$1:$1,0)),0))</f>
        <v>0</v>
      </c>
      <c r="P44">
        <f>IF(AND(INDEX('CA Standards and Followers'!$E$14:$E$73,MATCH($A44,'CA Standards and Followers'!$A$14:$A$73,0))=1,INDEX('CA Standards and Followers'!$H$14:$H$73,MATCH($A44,'CA Standards and Followers'!$A$14:$A$73,0))&lt;=P$1),INDEX('CA Standards and Followers'!$3:$3,MATCH(P$1,'CA Standards and Followers'!$1:$1,0)),IF(AND(INDEX('CA Standards and Followers'!$D$14:$D$73,MATCH($A44,'CA Standards and Followers'!$A$14:$A$73,0))=1,INDEX('CA Standards and Followers'!$G$14:$G$73,MATCH($A44,'CA Standards and Followers'!$A$14:$A$73,0))&lt;=P$1),INDEX('CA Standards and Followers'!$2:$2,MATCH(P$1,'CA Standards and Followers'!$1:$1,0)),0))</f>
        <v>0</v>
      </c>
      <c r="Q44">
        <f>IF(AND(INDEX('CA Standards and Followers'!$E$14:$E$73,MATCH($A44,'CA Standards and Followers'!$A$14:$A$73,0))=1,INDEX('CA Standards and Followers'!$H$14:$H$73,MATCH($A44,'CA Standards and Followers'!$A$14:$A$73,0))&lt;=Q$1),INDEX('CA Standards and Followers'!$3:$3,MATCH(Q$1,'CA Standards and Followers'!$1:$1,0)),IF(AND(INDEX('CA Standards and Followers'!$D$14:$D$73,MATCH($A44,'CA Standards and Followers'!$A$14:$A$73,0))=1,INDEX('CA Standards and Followers'!$G$14:$G$73,MATCH($A44,'CA Standards and Followers'!$A$14:$A$73,0))&lt;=Q$1),INDEX('CA Standards and Followers'!$2:$2,MATCH(Q$1,'CA Standards and Followers'!$1:$1,0)),0))</f>
        <v>0</v>
      </c>
      <c r="R44">
        <f>IF(AND(INDEX('CA Standards and Followers'!$E$14:$E$73,MATCH($A44,'CA Standards and Followers'!$A$14:$A$73,0))=1,INDEX('CA Standards and Followers'!$H$14:$H$73,MATCH($A44,'CA Standards and Followers'!$A$14:$A$73,0))&lt;=R$1),INDEX('CA Standards and Followers'!$3:$3,MATCH(R$1,'CA Standards and Followers'!$1:$1,0)),IF(AND(INDEX('CA Standards and Followers'!$D$14:$D$73,MATCH($A44,'CA Standards and Followers'!$A$14:$A$73,0))=1,INDEX('CA Standards and Followers'!$G$14:$G$73,MATCH($A44,'CA Standards and Followers'!$A$14:$A$73,0))&lt;=R$1),INDEX('CA Standards and Followers'!$2:$2,MATCH(R$1,'CA Standards and Followers'!$1:$1,0)),0))</f>
        <v>0</v>
      </c>
      <c r="S44">
        <f>IF(AND(INDEX('CA Standards and Followers'!$E$14:$E$73,MATCH($A44,'CA Standards and Followers'!$A$14:$A$73,0))=1,INDEX('CA Standards and Followers'!$H$14:$H$73,MATCH($A44,'CA Standards and Followers'!$A$14:$A$73,0))&lt;=S$1),INDEX('CA Standards and Followers'!$3:$3,MATCH(S$1,'CA Standards and Followers'!$1:$1,0)),IF(AND(INDEX('CA Standards and Followers'!$D$14:$D$73,MATCH($A44,'CA Standards and Followers'!$A$14:$A$73,0))=1,INDEX('CA Standards and Followers'!$G$14:$G$73,MATCH($A44,'CA Standards and Followers'!$A$14:$A$73,0))&lt;=S$1),INDEX('CA Standards and Followers'!$2:$2,MATCH(S$1,'CA Standards and Followers'!$1:$1,0)),0))</f>
        <v>0</v>
      </c>
      <c r="T44">
        <f>IF(AND(INDEX('CA Standards and Followers'!$E$14:$E$73,MATCH($A44,'CA Standards and Followers'!$A$14:$A$73,0))=1,INDEX('CA Standards and Followers'!$H$14:$H$73,MATCH($A44,'CA Standards and Followers'!$A$14:$A$73,0))&lt;=T$1),INDEX('CA Standards and Followers'!$3:$3,MATCH(T$1,'CA Standards and Followers'!$1:$1,0)),IF(AND(INDEX('CA Standards and Followers'!$D$14:$D$73,MATCH($A44,'CA Standards and Followers'!$A$14:$A$73,0))=1,INDEX('CA Standards and Followers'!$G$14:$G$73,MATCH($A44,'CA Standards and Followers'!$A$14:$A$73,0))&lt;=T$1),INDEX('CA Standards and Followers'!$2:$2,MATCH(T$1,'CA Standards and Followers'!$1:$1,0)),0))</f>
        <v>0</v>
      </c>
      <c r="U44">
        <f>IF(AND(INDEX('CA Standards and Followers'!$E$14:$E$73,MATCH($A44,'CA Standards and Followers'!$A$14:$A$73,0))=1,INDEX('CA Standards and Followers'!$H$14:$H$73,MATCH($A44,'CA Standards and Followers'!$A$14:$A$73,0))&lt;=U$1),INDEX('CA Standards and Followers'!$3:$3,MATCH(U$1,'CA Standards and Followers'!$1:$1,0)),IF(AND(INDEX('CA Standards and Followers'!$D$14:$D$73,MATCH($A44,'CA Standards and Followers'!$A$14:$A$73,0))=1,INDEX('CA Standards and Followers'!$G$14:$G$73,MATCH($A44,'CA Standards and Followers'!$A$14:$A$73,0))&lt;=U$1),INDEX('CA Standards and Followers'!$2:$2,MATCH(U$1,'CA Standards and Followers'!$1:$1,0)),0))</f>
        <v>0</v>
      </c>
      <c r="V44">
        <f>IF(AND(INDEX('CA Standards and Followers'!$E$14:$E$73,MATCH($A44,'CA Standards and Followers'!$A$14:$A$73,0))=1,INDEX('CA Standards and Followers'!$H$14:$H$73,MATCH($A44,'CA Standards and Followers'!$A$14:$A$73,0))&lt;=V$1),INDEX('CA Standards and Followers'!$3:$3,MATCH(V$1,'CA Standards and Followers'!$1:$1,0)),IF(AND(INDEX('CA Standards and Followers'!$D$14:$D$73,MATCH($A44,'CA Standards and Followers'!$A$14:$A$73,0))=1,INDEX('CA Standards and Followers'!$G$14:$G$73,MATCH($A44,'CA Standards and Followers'!$A$14:$A$73,0))&lt;=V$1),INDEX('CA Standards and Followers'!$2:$2,MATCH(V$1,'CA Standards and Followers'!$1:$1,0)),0))</f>
        <v>0</v>
      </c>
      <c r="W44">
        <f>IF(AND(INDEX('CA Standards and Followers'!$E$14:$E$73,MATCH($A44,'CA Standards and Followers'!$A$14:$A$73,0))=1,INDEX('CA Standards and Followers'!$H$14:$H$73,MATCH($A44,'CA Standards and Followers'!$A$14:$A$73,0))&lt;=W$1),INDEX('CA Standards and Followers'!$3:$3,MATCH(W$1,'CA Standards and Followers'!$1:$1,0)),IF(AND(INDEX('CA Standards and Followers'!$D$14:$D$73,MATCH($A44,'CA Standards and Followers'!$A$14:$A$73,0))=1,INDEX('CA Standards and Followers'!$G$14:$G$73,MATCH($A44,'CA Standards and Followers'!$A$14:$A$73,0))&lt;=W$1),INDEX('CA Standards and Followers'!$2:$2,MATCH(W$1,'CA Standards and Followers'!$1:$1,0)),0))</f>
        <v>0</v>
      </c>
      <c r="X44">
        <f>IF(AND(INDEX('CA Standards and Followers'!$E$14:$E$73,MATCH($A44,'CA Standards and Followers'!$A$14:$A$73,0))=1,INDEX('CA Standards and Followers'!$H$14:$H$73,MATCH($A44,'CA Standards and Followers'!$A$14:$A$73,0))&lt;=X$1),INDEX('CA Standards and Followers'!$3:$3,MATCH(X$1,'CA Standards and Followers'!$1:$1,0)),IF(AND(INDEX('CA Standards and Followers'!$D$14:$D$73,MATCH($A44,'CA Standards and Followers'!$A$14:$A$73,0))=1,INDEX('CA Standards and Followers'!$G$14:$G$73,MATCH($A44,'CA Standards and Followers'!$A$14:$A$73,0))&lt;=X$1),INDEX('CA Standards and Followers'!$2:$2,MATCH(X$1,'CA Standards and Followers'!$1:$1,0)),0))</f>
        <v>0</v>
      </c>
      <c r="Y44">
        <f>IF(AND(INDEX('CA Standards and Followers'!$E$14:$E$73,MATCH($A44,'CA Standards and Followers'!$A$14:$A$73,0))=1,INDEX('CA Standards and Followers'!$H$14:$H$73,MATCH($A44,'CA Standards and Followers'!$A$14:$A$73,0))&lt;=Y$1),INDEX('CA Standards and Followers'!$3:$3,MATCH(Y$1,'CA Standards and Followers'!$1:$1,0)),IF(AND(INDEX('CA Standards and Followers'!$D$14:$D$73,MATCH($A44,'CA Standards and Followers'!$A$14:$A$73,0))=1,INDEX('CA Standards and Followers'!$G$14:$G$73,MATCH($A44,'CA Standards and Followers'!$A$14:$A$73,0))&lt;=Y$1),INDEX('CA Standards and Followers'!$2:$2,MATCH(Y$1,'CA Standards and Followers'!$1:$1,0)),0))</f>
        <v>0</v>
      </c>
      <c r="Z44">
        <f>IF(AND(INDEX('CA Standards and Followers'!$E$14:$E$73,MATCH($A44,'CA Standards and Followers'!$A$14:$A$73,0))=1,INDEX('CA Standards and Followers'!$H$14:$H$73,MATCH($A44,'CA Standards and Followers'!$A$14:$A$73,0))&lt;=Z$1),INDEX('CA Standards and Followers'!$3:$3,MATCH(Z$1,'CA Standards and Followers'!$1:$1,0)),IF(AND(INDEX('CA Standards and Followers'!$D$14:$D$73,MATCH($A44,'CA Standards and Followers'!$A$14:$A$73,0))=1,INDEX('CA Standards and Followers'!$G$14:$G$73,MATCH($A44,'CA Standards and Followers'!$A$14:$A$73,0))&lt;=Z$1),INDEX('CA Standards and Followers'!$2:$2,MATCH(Z$1,'CA Standards and Followers'!$1:$1,0)),0))</f>
        <v>0</v>
      </c>
      <c r="AA44">
        <f>IF(AND(INDEX('CA Standards and Followers'!$E$14:$E$73,MATCH($A44,'CA Standards and Followers'!$A$14:$A$73,0))=1,INDEX('CA Standards and Followers'!$H$14:$H$73,MATCH($A44,'CA Standards and Followers'!$A$14:$A$73,0))&lt;=AA$1),INDEX('CA Standards and Followers'!$3:$3,MATCH(AA$1,'CA Standards and Followers'!$1:$1,0)),IF(AND(INDEX('CA Standards and Followers'!$D$14:$D$73,MATCH($A44,'CA Standards and Followers'!$A$14:$A$73,0))=1,INDEX('CA Standards and Followers'!$G$14:$G$73,MATCH($A44,'CA Standards and Followers'!$A$14:$A$73,0))&lt;=AA$1),INDEX('CA Standards and Followers'!$2:$2,MATCH(AA$1,'CA Standards and Followers'!$1:$1,0)),0))</f>
        <v>0</v>
      </c>
      <c r="AB44">
        <f>IF(AND(INDEX('CA Standards and Followers'!$E$14:$E$73,MATCH($A44,'CA Standards and Followers'!$A$14:$A$73,0))=1,INDEX('CA Standards and Followers'!$H$14:$H$73,MATCH($A44,'CA Standards and Followers'!$A$14:$A$73,0))&lt;=AB$1),INDEX('CA Standards and Followers'!$3:$3,MATCH(AB$1,'CA Standards and Followers'!$1:$1,0)),IF(AND(INDEX('CA Standards and Followers'!$D$14:$D$73,MATCH($A44,'CA Standards and Followers'!$A$14:$A$73,0))=1,INDEX('CA Standards and Followers'!$G$14:$G$73,MATCH($A44,'CA Standards and Followers'!$A$14:$A$73,0))&lt;=AB$1),INDEX('CA Standards and Followers'!$2:$2,MATCH(AB$1,'CA Standards and Followers'!$1:$1,0)),0))</f>
        <v>0</v>
      </c>
      <c r="AC44">
        <f>IF(AND(INDEX('CA Standards and Followers'!$E$14:$E$73,MATCH($A44,'CA Standards and Followers'!$A$14:$A$73,0))=1,INDEX('CA Standards and Followers'!$H$14:$H$73,MATCH($A44,'CA Standards and Followers'!$A$14:$A$73,0))&lt;=AC$1),INDEX('CA Standards and Followers'!$3:$3,MATCH(AC$1,'CA Standards and Followers'!$1:$1,0)),IF(AND(INDEX('CA Standards and Followers'!$D$14:$D$73,MATCH($A44,'CA Standards and Followers'!$A$14:$A$73,0))=1,INDEX('CA Standards and Followers'!$G$14:$G$73,MATCH($A44,'CA Standards and Followers'!$A$14:$A$73,0))&lt;=AC$1),INDEX('CA Standards and Followers'!$2:$2,MATCH(AC$1,'CA Standards and Followers'!$1:$1,0)),0))</f>
        <v>0</v>
      </c>
      <c r="AD44">
        <f>IF(AND(INDEX('CA Standards and Followers'!$E$14:$E$73,MATCH($A44,'CA Standards and Followers'!$A$14:$A$73,0))=1,INDEX('CA Standards and Followers'!$H$14:$H$73,MATCH($A44,'CA Standards and Followers'!$A$14:$A$73,0))&lt;=AD$1),INDEX('CA Standards and Followers'!$3:$3,MATCH(AD$1,'CA Standards and Followers'!$1:$1,0)),IF(AND(INDEX('CA Standards and Followers'!$D$14:$D$73,MATCH($A44,'CA Standards and Followers'!$A$14:$A$73,0))=1,INDEX('CA Standards and Followers'!$G$14:$G$73,MATCH($A44,'CA Standards and Followers'!$A$14:$A$73,0))&lt;=AD$1),INDEX('CA Standards and Followers'!$2:$2,MATCH(AD$1,'CA Standards and Followers'!$1:$1,0)),0))</f>
        <v>0</v>
      </c>
      <c r="AE44">
        <f>IF(AND(INDEX('CA Standards and Followers'!$E$14:$E$73,MATCH($A44,'CA Standards and Followers'!$A$14:$A$73,0))=1,INDEX('CA Standards and Followers'!$H$14:$H$73,MATCH($A44,'CA Standards and Followers'!$A$14:$A$73,0))&lt;=AE$1),INDEX('CA Standards and Followers'!$3:$3,MATCH(AE$1,'CA Standards and Followers'!$1:$1,0)),IF(AND(INDEX('CA Standards and Followers'!$D$14:$D$73,MATCH($A44,'CA Standards and Followers'!$A$14:$A$73,0))=1,INDEX('CA Standards and Followers'!$G$14:$G$73,MATCH($A44,'CA Standards and Followers'!$A$14:$A$73,0))&lt;=AE$1),INDEX('CA Standards and Followers'!$2:$2,MATCH(AE$1,'CA Standards and Followers'!$1:$1,0)),0))</f>
        <v>0</v>
      </c>
      <c r="AF44">
        <f>IF(AND(INDEX('CA Standards and Followers'!$E$14:$E$73,MATCH($A44,'CA Standards and Followers'!$A$14:$A$73,0))=1,INDEX('CA Standards and Followers'!$H$14:$H$73,MATCH($A44,'CA Standards and Followers'!$A$14:$A$73,0))&lt;=AF$1),INDEX('CA Standards and Followers'!$3:$3,MATCH(AF$1,'CA Standards and Followers'!$1:$1,0)),IF(AND(INDEX('CA Standards and Followers'!$D$14:$D$73,MATCH($A44,'CA Standards and Followers'!$A$14:$A$73,0))=1,INDEX('CA Standards and Followers'!$G$14:$G$73,MATCH($A44,'CA Standards and Followers'!$A$14:$A$73,0))&lt;=AF$1),INDEX('CA Standards and Followers'!$2:$2,MATCH(AF$1,'CA Standards and Followers'!$1:$1,0)),0))</f>
        <v>0</v>
      </c>
    </row>
    <row r="45" spans="1:32" x14ac:dyDescent="0.25">
      <c r="A45" t="s">
        <v>45</v>
      </c>
      <c r="B45">
        <f>IF(AND(INDEX('CA Standards and Followers'!$E$14:$E$73,MATCH($A45,'CA Standards and Followers'!$A$14:$A$73,0))=1,INDEX('CA Standards and Followers'!$H$14:$H$73,MATCH($A45,'CA Standards and Followers'!$A$14:$A$73,0))&lt;=B$1),INDEX('CA Standards and Followers'!$3:$3,MATCH(B$1,'CA Standards and Followers'!$1:$1,0)),IF(AND(INDEX('CA Standards and Followers'!$D$14:$D$73,MATCH($A45,'CA Standards and Followers'!$A$14:$A$73,0))=1,INDEX('CA Standards and Followers'!$G$14:$G$73,MATCH($A45,'CA Standards and Followers'!$A$14:$A$73,0))&lt;=B$1),INDEX('CA Standards and Followers'!$2:$2,MATCH(B$1,'CA Standards and Followers'!$1:$1,0)),0))</f>
        <v>0</v>
      </c>
      <c r="C45">
        <f>IF(AND(INDEX('CA Standards and Followers'!$E$14:$E$73,MATCH($A45,'CA Standards and Followers'!$A$14:$A$73,0))=1,INDEX('CA Standards and Followers'!$H$14:$H$73,MATCH($A45,'CA Standards and Followers'!$A$14:$A$73,0))&lt;=C$1),INDEX('CA Standards and Followers'!$3:$3,MATCH(C$1,'CA Standards and Followers'!$1:$1,0)),IF(AND(INDEX('CA Standards and Followers'!$D$14:$D$73,MATCH($A45,'CA Standards and Followers'!$A$14:$A$73,0))=1,INDEX('CA Standards and Followers'!$G$14:$G$73,MATCH($A45,'CA Standards and Followers'!$A$14:$A$73,0))&lt;=C$1),INDEX('CA Standards and Followers'!$2:$2,MATCH(C$1,'CA Standards and Followers'!$1:$1,0)),0))</f>
        <v>0</v>
      </c>
      <c r="D45">
        <f>IF(AND(INDEX('CA Standards and Followers'!$E$14:$E$73,MATCH($A45,'CA Standards and Followers'!$A$14:$A$73,0))=1,INDEX('CA Standards and Followers'!$H$14:$H$73,MATCH($A45,'CA Standards and Followers'!$A$14:$A$73,0))&lt;=D$1),INDEX('CA Standards and Followers'!$3:$3,MATCH(D$1,'CA Standards and Followers'!$1:$1,0)),IF(AND(INDEX('CA Standards and Followers'!$D$14:$D$73,MATCH($A45,'CA Standards and Followers'!$A$14:$A$73,0))=1,INDEX('CA Standards and Followers'!$G$14:$G$73,MATCH($A45,'CA Standards and Followers'!$A$14:$A$73,0))&lt;=D$1),INDEX('CA Standards and Followers'!$2:$2,MATCH(D$1,'CA Standards and Followers'!$1:$1,0)),0))</f>
        <v>0</v>
      </c>
      <c r="E45">
        <f>IF(AND(INDEX('CA Standards and Followers'!$E$14:$E$73,MATCH($A45,'CA Standards and Followers'!$A$14:$A$73,0))=1,INDEX('CA Standards and Followers'!$H$14:$H$73,MATCH($A45,'CA Standards and Followers'!$A$14:$A$73,0))&lt;=E$1),INDEX('CA Standards and Followers'!$3:$3,MATCH(E$1,'CA Standards and Followers'!$1:$1,0)),IF(AND(INDEX('CA Standards and Followers'!$D$14:$D$73,MATCH($A45,'CA Standards and Followers'!$A$14:$A$73,0))=1,INDEX('CA Standards and Followers'!$G$14:$G$73,MATCH($A45,'CA Standards and Followers'!$A$14:$A$73,0))&lt;=E$1),INDEX('CA Standards and Followers'!$2:$2,MATCH(E$1,'CA Standards and Followers'!$1:$1,0)),0))</f>
        <v>0</v>
      </c>
      <c r="F45">
        <f>IF(AND(INDEX('CA Standards and Followers'!$E$14:$E$73,MATCH($A45,'CA Standards and Followers'!$A$14:$A$73,0))=1,INDEX('CA Standards and Followers'!$H$14:$H$73,MATCH($A45,'CA Standards and Followers'!$A$14:$A$73,0))&lt;=F$1),INDEX('CA Standards and Followers'!$3:$3,MATCH(F$1,'CA Standards and Followers'!$1:$1,0)),IF(AND(INDEX('CA Standards and Followers'!$D$14:$D$73,MATCH($A45,'CA Standards and Followers'!$A$14:$A$73,0))=1,INDEX('CA Standards and Followers'!$G$14:$G$73,MATCH($A45,'CA Standards and Followers'!$A$14:$A$73,0))&lt;=F$1),INDEX('CA Standards and Followers'!$2:$2,MATCH(F$1,'CA Standards and Followers'!$1:$1,0)),0))</f>
        <v>0</v>
      </c>
      <c r="G45">
        <f>IF(AND(INDEX('CA Standards and Followers'!$E$14:$E$73,MATCH($A45,'CA Standards and Followers'!$A$14:$A$73,0))=1,INDEX('CA Standards and Followers'!$H$14:$H$73,MATCH($A45,'CA Standards and Followers'!$A$14:$A$73,0))&lt;=G$1),INDEX('CA Standards and Followers'!$3:$3,MATCH(G$1,'CA Standards and Followers'!$1:$1,0)),IF(AND(INDEX('CA Standards and Followers'!$D$14:$D$73,MATCH($A45,'CA Standards and Followers'!$A$14:$A$73,0))=1,INDEX('CA Standards and Followers'!$G$14:$G$73,MATCH($A45,'CA Standards and Followers'!$A$14:$A$73,0))&lt;=G$1),INDEX('CA Standards and Followers'!$2:$2,MATCH(G$1,'CA Standards and Followers'!$1:$1,0)),0))</f>
        <v>0</v>
      </c>
      <c r="H45">
        <f>IF(AND(INDEX('CA Standards and Followers'!$E$14:$E$73,MATCH($A45,'CA Standards and Followers'!$A$14:$A$73,0))=1,INDEX('CA Standards and Followers'!$H$14:$H$73,MATCH($A45,'CA Standards and Followers'!$A$14:$A$73,0))&lt;=H$1),INDEX('CA Standards and Followers'!$3:$3,MATCH(H$1,'CA Standards and Followers'!$1:$1,0)),IF(AND(INDEX('CA Standards and Followers'!$D$14:$D$73,MATCH($A45,'CA Standards and Followers'!$A$14:$A$73,0))=1,INDEX('CA Standards and Followers'!$G$14:$G$73,MATCH($A45,'CA Standards and Followers'!$A$14:$A$73,0))&lt;=H$1),INDEX('CA Standards and Followers'!$2:$2,MATCH(H$1,'CA Standards and Followers'!$1:$1,0)),0))</f>
        <v>0</v>
      </c>
      <c r="I45">
        <f>IF(AND(INDEX('CA Standards and Followers'!$E$14:$E$73,MATCH($A45,'CA Standards and Followers'!$A$14:$A$73,0))=1,INDEX('CA Standards and Followers'!$H$14:$H$73,MATCH($A45,'CA Standards and Followers'!$A$14:$A$73,0))&lt;=I$1),INDEX('CA Standards and Followers'!$3:$3,MATCH(I$1,'CA Standards and Followers'!$1:$1,0)),IF(AND(INDEX('CA Standards and Followers'!$D$14:$D$73,MATCH($A45,'CA Standards and Followers'!$A$14:$A$73,0))=1,INDEX('CA Standards and Followers'!$G$14:$G$73,MATCH($A45,'CA Standards and Followers'!$A$14:$A$73,0))&lt;=I$1),INDEX('CA Standards and Followers'!$2:$2,MATCH(I$1,'CA Standards and Followers'!$1:$1,0)),0))</f>
        <v>0</v>
      </c>
      <c r="J45">
        <f>IF(AND(INDEX('CA Standards and Followers'!$E$14:$E$73,MATCH($A45,'CA Standards and Followers'!$A$14:$A$73,0))=1,INDEX('CA Standards and Followers'!$H$14:$H$73,MATCH($A45,'CA Standards and Followers'!$A$14:$A$73,0))&lt;=J$1),INDEX('CA Standards and Followers'!$3:$3,MATCH(J$1,'CA Standards and Followers'!$1:$1,0)),IF(AND(INDEX('CA Standards and Followers'!$D$14:$D$73,MATCH($A45,'CA Standards and Followers'!$A$14:$A$73,0))=1,INDEX('CA Standards and Followers'!$G$14:$G$73,MATCH($A45,'CA Standards and Followers'!$A$14:$A$73,0))&lt;=J$1),INDEX('CA Standards and Followers'!$2:$2,MATCH(J$1,'CA Standards and Followers'!$1:$1,0)),0))</f>
        <v>0</v>
      </c>
      <c r="K45">
        <f>IF(AND(INDEX('CA Standards and Followers'!$E$14:$E$73,MATCH($A45,'CA Standards and Followers'!$A$14:$A$73,0))=1,INDEX('CA Standards and Followers'!$H$14:$H$73,MATCH($A45,'CA Standards and Followers'!$A$14:$A$73,0))&lt;=K$1),INDEX('CA Standards and Followers'!$3:$3,MATCH(K$1,'CA Standards and Followers'!$1:$1,0)),IF(AND(INDEX('CA Standards and Followers'!$D$14:$D$73,MATCH($A45,'CA Standards and Followers'!$A$14:$A$73,0))=1,INDEX('CA Standards and Followers'!$G$14:$G$73,MATCH($A45,'CA Standards and Followers'!$A$14:$A$73,0))&lt;=K$1),INDEX('CA Standards and Followers'!$2:$2,MATCH(K$1,'CA Standards and Followers'!$1:$1,0)),0))</f>
        <v>0</v>
      </c>
      <c r="L45">
        <f>IF(AND(INDEX('CA Standards and Followers'!$E$14:$E$73,MATCH($A45,'CA Standards and Followers'!$A$14:$A$73,0))=1,INDEX('CA Standards and Followers'!$H$14:$H$73,MATCH($A45,'CA Standards and Followers'!$A$14:$A$73,0))&lt;=L$1),INDEX('CA Standards and Followers'!$3:$3,MATCH(L$1,'CA Standards and Followers'!$1:$1,0)),IF(AND(INDEX('CA Standards and Followers'!$D$14:$D$73,MATCH($A45,'CA Standards and Followers'!$A$14:$A$73,0))=1,INDEX('CA Standards and Followers'!$G$14:$G$73,MATCH($A45,'CA Standards and Followers'!$A$14:$A$73,0))&lt;=L$1),INDEX('CA Standards and Followers'!$2:$2,MATCH(L$1,'CA Standards and Followers'!$1:$1,0)),0))</f>
        <v>0</v>
      </c>
      <c r="M45">
        <f>IF(AND(INDEX('CA Standards and Followers'!$E$14:$E$73,MATCH($A45,'CA Standards and Followers'!$A$14:$A$73,0))=1,INDEX('CA Standards and Followers'!$H$14:$H$73,MATCH($A45,'CA Standards and Followers'!$A$14:$A$73,0))&lt;=M$1),INDEX('CA Standards and Followers'!$3:$3,MATCH(M$1,'CA Standards and Followers'!$1:$1,0)),IF(AND(INDEX('CA Standards and Followers'!$D$14:$D$73,MATCH($A45,'CA Standards and Followers'!$A$14:$A$73,0))=1,INDEX('CA Standards and Followers'!$G$14:$G$73,MATCH($A45,'CA Standards and Followers'!$A$14:$A$73,0))&lt;=M$1),INDEX('CA Standards and Followers'!$2:$2,MATCH(M$1,'CA Standards and Followers'!$1:$1,0)),0))</f>
        <v>0</v>
      </c>
      <c r="N45">
        <f>IF(AND(INDEX('CA Standards and Followers'!$E$14:$E$73,MATCH($A45,'CA Standards and Followers'!$A$14:$A$73,0))=1,INDEX('CA Standards and Followers'!$H$14:$H$73,MATCH($A45,'CA Standards and Followers'!$A$14:$A$73,0))&lt;=N$1),INDEX('CA Standards and Followers'!$3:$3,MATCH(N$1,'CA Standards and Followers'!$1:$1,0)),IF(AND(INDEX('CA Standards and Followers'!$D$14:$D$73,MATCH($A45,'CA Standards and Followers'!$A$14:$A$73,0))=1,INDEX('CA Standards and Followers'!$G$14:$G$73,MATCH($A45,'CA Standards and Followers'!$A$14:$A$73,0))&lt;=N$1),INDEX('CA Standards and Followers'!$2:$2,MATCH(N$1,'CA Standards and Followers'!$1:$1,0)),0))</f>
        <v>0</v>
      </c>
      <c r="O45">
        <f>IF(AND(INDEX('CA Standards and Followers'!$E$14:$E$73,MATCH($A45,'CA Standards and Followers'!$A$14:$A$73,0))=1,INDEX('CA Standards and Followers'!$H$14:$H$73,MATCH($A45,'CA Standards and Followers'!$A$14:$A$73,0))&lt;=O$1),INDEX('CA Standards and Followers'!$3:$3,MATCH(O$1,'CA Standards and Followers'!$1:$1,0)),IF(AND(INDEX('CA Standards and Followers'!$D$14:$D$73,MATCH($A45,'CA Standards and Followers'!$A$14:$A$73,0))=1,INDEX('CA Standards and Followers'!$G$14:$G$73,MATCH($A45,'CA Standards and Followers'!$A$14:$A$73,0))&lt;=O$1),INDEX('CA Standards and Followers'!$2:$2,MATCH(O$1,'CA Standards and Followers'!$1:$1,0)),0))</f>
        <v>0</v>
      </c>
      <c r="P45">
        <f>IF(AND(INDEX('CA Standards and Followers'!$E$14:$E$73,MATCH($A45,'CA Standards and Followers'!$A$14:$A$73,0))=1,INDEX('CA Standards and Followers'!$H$14:$H$73,MATCH($A45,'CA Standards and Followers'!$A$14:$A$73,0))&lt;=P$1),INDEX('CA Standards and Followers'!$3:$3,MATCH(P$1,'CA Standards and Followers'!$1:$1,0)),IF(AND(INDEX('CA Standards and Followers'!$D$14:$D$73,MATCH($A45,'CA Standards and Followers'!$A$14:$A$73,0))=1,INDEX('CA Standards and Followers'!$G$14:$G$73,MATCH($A45,'CA Standards and Followers'!$A$14:$A$73,0))&lt;=P$1),INDEX('CA Standards and Followers'!$2:$2,MATCH(P$1,'CA Standards and Followers'!$1:$1,0)),0))</f>
        <v>0</v>
      </c>
      <c r="Q45">
        <f>IF(AND(INDEX('CA Standards and Followers'!$E$14:$E$73,MATCH($A45,'CA Standards and Followers'!$A$14:$A$73,0))=1,INDEX('CA Standards and Followers'!$H$14:$H$73,MATCH($A45,'CA Standards and Followers'!$A$14:$A$73,0))&lt;=Q$1),INDEX('CA Standards and Followers'!$3:$3,MATCH(Q$1,'CA Standards and Followers'!$1:$1,0)),IF(AND(INDEX('CA Standards and Followers'!$D$14:$D$73,MATCH($A45,'CA Standards and Followers'!$A$14:$A$73,0))=1,INDEX('CA Standards and Followers'!$G$14:$G$73,MATCH($A45,'CA Standards and Followers'!$A$14:$A$73,0))&lt;=Q$1),INDEX('CA Standards and Followers'!$2:$2,MATCH(Q$1,'CA Standards and Followers'!$1:$1,0)),0))</f>
        <v>0</v>
      </c>
      <c r="R45">
        <f>IF(AND(INDEX('CA Standards and Followers'!$E$14:$E$73,MATCH($A45,'CA Standards and Followers'!$A$14:$A$73,0))=1,INDEX('CA Standards and Followers'!$H$14:$H$73,MATCH($A45,'CA Standards and Followers'!$A$14:$A$73,0))&lt;=R$1),INDEX('CA Standards and Followers'!$3:$3,MATCH(R$1,'CA Standards and Followers'!$1:$1,0)),IF(AND(INDEX('CA Standards and Followers'!$D$14:$D$73,MATCH($A45,'CA Standards and Followers'!$A$14:$A$73,0))=1,INDEX('CA Standards and Followers'!$G$14:$G$73,MATCH($A45,'CA Standards and Followers'!$A$14:$A$73,0))&lt;=R$1),INDEX('CA Standards and Followers'!$2:$2,MATCH(R$1,'CA Standards and Followers'!$1:$1,0)),0))</f>
        <v>0</v>
      </c>
      <c r="S45">
        <f>IF(AND(INDEX('CA Standards and Followers'!$E$14:$E$73,MATCH($A45,'CA Standards and Followers'!$A$14:$A$73,0))=1,INDEX('CA Standards and Followers'!$H$14:$H$73,MATCH($A45,'CA Standards and Followers'!$A$14:$A$73,0))&lt;=S$1),INDEX('CA Standards and Followers'!$3:$3,MATCH(S$1,'CA Standards and Followers'!$1:$1,0)),IF(AND(INDEX('CA Standards and Followers'!$D$14:$D$73,MATCH($A45,'CA Standards and Followers'!$A$14:$A$73,0))=1,INDEX('CA Standards and Followers'!$G$14:$G$73,MATCH($A45,'CA Standards and Followers'!$A$14:$A$73,0))&lt;=S$1),INDEX('CA Standards and Followers'!$2:$2,MATCH(S$1,'CA Standards and Followers'!$1:$1,0)),0))</f>
        <v>0</v>
      </c>
      <c r="T45">
        <f>IF(AND(INDEX('CA Standards and Followers'!$E$14:$E$73,MATCH($A45,'CA Standards and Followers'!$A$14:$A$73,0))=1,INDEX('CA Standards and Followers'!$H$14:$H$73,MATCH($A45,'CA Standards and Followers'!$A$14:$A$73,0))&lt;=T$1),INDEX('CA Standards and Followers'!$3:$3,MATCH(T$1,'CA Standards and Followers'!$1:$1,0)),IF(AND(INDEX('CA Standards and Followers'!$D$14:$D$73,MATCH($A45,'CA Standards and Followers'!$A$14:$A$73,0))=1,INDEX('CA Standards and Followers'!$G$14:$G$73,MATCH($A45,'CA Standards and Followers'!$A$14:$A$73,0))&lt;=T$1),INDEX('CA Standards and Followers'!$2:$2,MATCH(T$1,'CA Standards and Followers'!$1:$1,0)),0))</f>
        <v>0</v>
      </c>
      <c r="U45">
        <f>IF(AND(INDEX('CA Standards and Followers'!$E$14:$E$73,MATCH($A45,'CA Standards and Followers'!$A$14:$A$73,0))=1,INDEX('CA Standards and Followers'!$H$14:$H$73,MATCH($A45,'CA Standards and Followers'!$A$14:$A$73,0))&lt;=U$1),INDEX('CA Standards and Followers'!$3:$3,MATCH(U$1,'CA Standards and Followers'!$1:$1,0)),IF(AND(INDEX('CA Standards and Followers'!$D$14:$D$73,MATCH($A45,'CA Standards and Followers'!$A$14:$A$73,0))=1,INDEX('CA Standards and Followers'!$G$14:$G$73,MATCH($A45,'CA Standards and Followers'!$A$14:$A$73,0))&lt;=U$1),INDEX('CA Standards and Followers'!$2:$2,MATCH(U$1,'CA Standards and Followers'!$1:$1,0)),0))</f>
        <v>0</v>
      </c>
      <c r="V45">
        <f>IF(AND(INDEX('CA Standards and Followers'!$E$14:$E$73,MATCH($A45,'CA Standards and Followers'!$A$14:$A$73,0))=1,INDEX('CA Standards and Followers'!$H$14:$H$73,MATCH($A45,'CA Standards and Followers'!$A$14:$A$73,0))&lt;=V$1),INDEX('CA Standards and Followers'!$3:$3,MATCH(V$1,'CA Standards and Followers'!$1:$1,0)),IF(AND(INDEX('CA Standards and Followers'!$D$14:$D$73,MATCH($A45,'CA Standards and Followers'!$A$14:$A$73,0))=1,INDEX('CA Standards and Followers'!$G$14:$G$73,MATCH($A45,'CA Standards and Followers'!$A$14:$A$73,0))&lt;=V$1),INDEX('CA Standards and Followers'!$2:$2,MATCH(V$1,'CA Standards and Followers'!$1:$1,0)),0))</f>
        <v>0</v>
      </c>
      <c r="W45">
        <f>IF(AND(INDEX('CA Standards and Followers'!$E$14:$E$73,MATCH($A45,'CA Standards and Followers'!$A$14:$A$73,0))=1,INDEX('CA Standards and Followers'!$H$14:$H$73,MATCH($A45,'CA Standards and Followers'!$A$14:$A$73,0))&lt;=W$1),INDEX('CA Standards and Followers'!$3:$3,MATCH(W$1,'CA Standards and Followers'!$1:$1,0)),IF(AND(INDEX('CA Standards and Followers'!$D$14:$D$73,MATCH($A45,'CA Standards and Followers'!$A$14:$A$73,0))=1,INDEX('CA Standards and Followers'!$G$14:$G$73,MATCH($A45,'CA Standards and Followers'!$A$14:$A$73,0))&lt;=W$1),INDEX('CA Standards and Followers'!$2:$2,MATCH(W$1,'CA Standards and Followers'!$1:$1,0)),0))</f>
        <v>0</v>
      </c>
      <c r="X45">
        <f>IF(AND(INDEX('CA Standards and Followers'!$E$14:$E$73,MATCH($A45,'CA Standards and Followers'!$A$14:$A$73,0))=1,INDEX('CA Standards and Followers'!$H$14:$H$73,MATCH($A45,'CA Standards and Followers'!$A$14:$A$73,0))&lt;=X$1),INDEX('CA Standards and Followers'!$3:$3,MATCH(X$1,'CA Standards and Followers'!$1:$1,0)),IF(AND(INDEX('CA Standards and Followers'!$D$14:$D$73,MATCH($A45,'CA Standards and Followers'!$A$14:$A$73,0))=1,INDEX('CA Standards and Followers'!$G$14:$G$73,MATCH($A45,'CA Standards and Followers'!$A$14:$A$73,0))&lt;=X$1),INDEX('CA Standards and Followers'!$2:$2,MATCH(X$1,'CA Standards and Followers'!$1:$1,0)),0))</f>
        <v>0</v>
      </c>
      <c r="Y45">
        <f>IF(AND(INDEX('CA Standards and Followers'!$E$14:$E$73,MATCH($A45,'CA Standards and Followers'!$A$14:$A$73,0))=1,INDEX('CA Standards and Followers'!$H$14:$H$73,MATCH($A45,'CA Standards and Followers'!$A$14:$A$73,0))&lt;=Y$1),INDEX('CA Standards and Followers'!$3:$3,MATCH(Y$1,'CA Standards and Followers'!$1:$1,0)),IF(AND(INDEX('CA Standards and Followers'!$D$14:$D$73,MATCH($A45,'CA Standards and Followers'!$A$14:$A$73,0))=1,INDEX('CA Standards and Followers'!$G$14:$G$73,MATCH($A45,'CA Standards and Followers'!$A$14:$A$73,0))&lt;=Y$1),INDEX('CA Standards and Followers'!$2:$2,MATCH(Y$1,'CA Standards and Followers'!$1:$1,0)),0))</f>
        <v>0</v>
      </c>
      <c r="Z45">
        <f>IF(AND(INDEX('CA Standards and Followers'!$E$14:$E$73,MATCH($A45,'CA Standards and Followers'!$A$14:$A$73,0))=1,INDEX('CA Standards and Followers'!$H$14:$H$73,MATCH($A45,'CA Standards and Followers'!$A$14:$A$73,0))&lt;=Z$1),INDEX('CA Standards and Followers'!$3:$3,MATCH(Z$1,'CA Standards and Followers'!$1:$1,0)),IF(AND(INDEX('CA Standards and Followers'!$D$14:$D$73,MATCH($A45,'CA Standards and Followers'!$A$14:$A$73,0))=1,INDEX('CA Standards and Followers'!$G$14:$G$73,MATCH($A45,'CA Standards and Followers'!$A$14:$A$73,0))&lt;=Z$1),INDEX('CA Standards and Followers'!$2:$2,MATCH(Z$1,'CA Standards and Followers'!$1:$1,0)),0))</f>
        <v>0</v>
      </c>
      <c r="AA45">
        <f>IF(AND(INDEX('CA Standards and Followers'!$E$14:$E$73,MATCH($A45,'CA Standards and Followers'!$A$14:$A$73,0))=1,INDEX('CA Standards and Followers'!$H$14:$H$73,MATCH($A45,'CA Standards and Followers'!$A$14:$A$73,0))&lt;=AA$1),INDEX('CA Standards and Followers'!$3:$3,MATCH(AA$1,'CA Standards and Followers'!$1:$1,0)),IF(AND(INDEX('CA Standards and Followers'!$D$14:$D$73,MATCH($A45,'CA Standards and Followers'!$A$14:$A$73,0))=1,INDEX('CA Standards and Followers'!$G$14:$G$73,MATCH($A45,'CA Standards and Followers'!$A$14:$A$73,0))&lt;=AA$1),INDEX('CA Standards and Followers'!$2:$2,MATCH(AA$1,'CA Standards and Followers'!$1:$1,0)),0))</f>
        <v>0</v>
      </c>
      <c r="AB45">
        <f>IF(AND(INDEX('CA Standards and Followers'!$E$14:$E$73,MATCH($A45,'CA Standards and Followers'!$A$14:$A$73,0))=1,INDEX('CA Standards and Followers'!$H$14:$H$73,MATCH($A45,'CA Standards and Followers'!$A$14:$A$73,0))&lt;=AB$1),INDEX('CA Standards and Followers'!$3:$3,MATCH(AB$1,'CA Standards and Followers'!$1:$1,0)),IF(AND(INDEX('CA Standards and Followers'!$D$14:$D$73,MATCH($A45,'CA Standards and Followers'!$A$14:$A$73,0))=1,INDEX('CA Standards and Followers'!$G$14:$G$73,MATCH($A45,'CA Standards and Followers'!$A$14:$A$73,0))&lt;=AB$1),INDEX('CA Standards and Followers'!$2:$2,MATCH(AB$1,'CA Standards and Followers'!$1:$1,0)),0))</f>
        <v>0</v>
      </c>
      <c r="AC45">
        <f>IF(AND(INDEX('CA Standards and Followers'!$E$14:$E$73,MATCH($A45,'CA Standards and Followers'!$A$14:$A$73,0))=1,INDEX('CA Standards and Followers'!$H$14:$H$73,MATCH($A45,'CA Standards and Followers'!$A$14:$A$73,0))&lt;=AC$1),INDEX('CA Standards and Followers'!$3:$3,MATCH(AC$1,'CA Standards and Followers'!$1:$1,0)),IF(AND(INDEX('CA Standards and Followers'!$D$14:$D$73,MATCH($A45,'CA Standards and Followers'!$A$14:$A$73,0))=1,INDEX('CA Standards and Followers'!$G$14:$G$73,MATCH($A45,'CA Standards and Followers'!$A$14:$A$73,0))&lt;=AC$1),INDEX('CA Standards and Followers'!$2:$2,MATCH(AC$1,'CA Standards and Followers'!$1:$1,0)),0))</f>
        <v>0</v>
      </c>
      <c r="AD45">
        <f>IF(AND(INDEX('CA Standards and Followers'!$E$14:$E$73,MATCH($A45,'CA Standards and Followers'!$A$14:$A$73,0))=1,INDEX('CA Standards and Followers'!$H$14:$H$73,MATCH($A45,'CA Standards and Followers'!$A$14:$A$73,0))&lt;=AD$1),INDEX('CA Standards and Followers'!$3:$3,MATCH(AD$1,'CA Standards and Followers'!$1:$1,0)),IF(AND(INDEX('CA Standards and Followers'!$D$14:$D$73,MATCH($A45,'CA Standards and Followers'!$A$14:$A$73,0))=1,INDEX('CA Standards and Followers'!$G$14:$G$73,MATCH($A45,'CA Standards and Followers'!$A$14:$A$73,0))&lt;=AD$1),INDEX('CA Standards and Followers'!$2:$2,MATCH(AD$1,'CA Standards and Followers'!$1:$1,0)),0))</f>
        <v>0</v>
      </c>
      <c r="AE45">
        <f>IF(AND(INDEX('CA Standards and Followers'!$E$14:$E$73,MATCH($A45,'CA Standards and Followers'!$A$14:$A$73,0))=1,INDEX('CA Standards and Followers'!$H$14:$H$73,MATCH($A45,'CA Standards and Followers'!$A$14:$A$73,0))&lt;=AE$1),INDEX('CA Standards and Followers'!$3:$3,MATCH(AE$1,'CA Standards and Followers'!$1:$1,0)),IF(AND(INDEX('CA Standards and Followers'!$D$14:$D$73,MATCH($A45,'CA Standards and Followers'!$A$14:$A$73,0))=1,INDEX('CA Standards and Followers'!$G$14:$G$73,MATCH($A45,'CA Standards and Followers'!$A$14:$A$73,0))&lt;=AE$1),INDEX('CA Standards and Followers'!$2:$2,MATCH(AE$1,'CA Standards and Followers'!$1:$1,0)),0))</f>
        <v>0</v>
      </c>
      <c r="AF45">
        <f>IF(AND(INDEX('CA Standards and Followers'!$E$14:$E$73,MATCH($A45,'CA Standards and Followers'!$A$14:$A$73,0))=1,INDEX('CA Standards and Followers'!$H$14:$H$73,MATCH($A45,'CA Standards and Followers'!$A$14:$A$73,0))&lt;=AF$1),INDEX('CA Standards and Followers'!$3:$3,MATCH(AF$1,'CA Standards and Followers'!$1:$1,0)),IF(AND(INDEX('CA Standards and Followers'!$D$14:$D$73,MATCH($A45,'CA Standards and Followers'!$A$14:$A$73,0))=1,INDEX('CA Standards and Followers'!$G$14:$G$73,MATCH($A45,'CA Standards and Followers'!$A$14:$A$73,0))&lt;=AF$1),INDEX('CA Standards and Followers'!$2:$2,MATCH(AF$1,'CA Standards and Followers'!$1:$1,0)),0))</f>
        <v>0</v>
      </c>
    </row>
    <row r="46" spans="1:32" x14ac:dyDescent="0.25">
      <c r="A46" t="s">
        <v>46</v>
      </c>
      <c r="B46">
        <f>IF(AND(INDEX('CA Standards and Followers'!$E$14:$E$73,MATCH($A46,'CA Standards and Followers'!$A$14:$A$73,0))=1,INDEX('CA Standards and Followers'!$H$14:$H$73,MATCH($A46,'CA Standards and Followers'!$A$14:$A$73,0))&lt;=B$1),INDEX('CA Standards and Followers'!$3:$3,MATCH(B$1,'CA Standards and Followers'!$1:$1,0)),IF(AND(INDEX('CA Standards and Followers'!$D$14:$D$73,MATCH($A46,'CA Standards and Followers'!$A$14:$A$73,0))=1,INDEX('CA Standards and Followers'!$G$14:$G$73,MATCH($A46,'CA Standards and Followers'!$A$14:$A$73,0))&lt;=B$1),INDEX('CA Standards and Followers'!$2:$2,MATCH(B$1,'CA Standards and Followers'!$1:$1,0)),0))</f>
        <v>0</v>
      </c>
      <c r="C46">
        <f>IF(AND(INDEX('CA Standards and Followers'!$E$14:$E$73,MATCH($A46,'CA Standards and Followers'!$A$14:$A$73,0))=1,INDEX('CA Standards and Followers'!$H$14:$H$73,MATCH($A46,'CA Standards and Followers'!$A$14:$A$73,0))&lt;=C$1),INDEX('CA Standards and Followers'!$3:$3,MATCH(C$1,'CA Standards and Followers'!$1:$1,0)),IF(AND(INDEX('CA Standards and Followers'!$D$14:$D$73,MATCH($A46,'CA Standards and Followers'!$A$14:$A$73,0))=1,INDEX('CA Standards and Followers'!$G$14:$G$73,MATCH($A46,'CA Standards and Followers'!$A$14:$A$73,0))&lt;=C$1),INDEX('CA Standards and Followers'!$2:$2,MATCH(C$1,'CA Standards and Followers'!$1:$1,0)),0))</f>
        <v>0</v>
      </c>
      <c r="D46">
        <f>IF(AND(INDEX('CA Standards and Followers'!$E$14:$E$73,MATCH($A46,'CA Standards and Followers'!$A$14:$A$73,0))=1,INDEX('CA Standards and Followers'!$H$14:$H$73,MATCH($A46,'CA Standards and Followers'!$A$14:$A$73,0))&lt;=D$1),INDEX('CA Standards and Followers'!$3:$3,MATCH(D$1,'CA Standards and Followers'!$1:$1,0)),IF(AND(INDEX('CA Standards and Followers'!$D$14:$D$73,MATCH($A46,'CA Standards and Followers'!$A$14:$A$73,0))=1,INDEX('CA Standards and Followers'!$G$14:$G$73,MATCH($A46,'CA Standards and Followers'!$A$14:$A$73,0))&lt;=D$1),INDEX('CA Standards and Followers'!$2:$2,MATCH(D$1,'CA Standards and Followers'!$1:$1,0)),0))</f>
        <v>0</v>
      </c>
      <c r="E46">
        <f>IF(AND(INDEX('CA Standards and Followers'!$E$14:$E$73,MATCH($A46,'CA Standards and Followers'!$A$14:$A$73,0))=1,INDEX('CA Standards and Followers'!$H$14:$H$73,MATCH($A46,'CA Standards and Followers'!$A$14:$A$73,0))&lt;=E$1),INDEX('CA Standards and Followers'!$3:$3,MATCH(E$1,'CA Standards and Followers'!$1:$1,0)),IF(AND(INDEX('CA Standards and Followers'!$D$14:$D$73,MATCH($A46,'CA Standards and Followers'!$A$14:$A$73,0))=1,INDEX('CA Standards and Followers'!$G$14:$G$73,MATCH($A46,'CA Standards and Followers'!$A$14:$A$73,0))&lt;=E$1),INDEX('CA Standards and Followers'!$2:$2,MATCH(E$1,'CA Standards and Followers'!$1:$1,0)),0))</f>
        <v>0</v>
      </c>
      <c r="F46">
        <f>IF(AND(INDEX('CA Standards and Followers'!$E$14:$E$73,MATCH($A46,'CA Standards and Followers'!$A$14:$A$73,0))=1,INDEX('CA Standards and Followers'!$H$14:$H$73,MATCH($A46,'CA Standards and Followers'!$A$14:$A$73,0))&lt;=F$1),INDEX('CA Standards and Followers'!$3:$3,MATCH(F$1,'CA Standards and Followers'!$1:$1,0)),IF(AND(INDEX('CA Standards and Followers'!$D$14:$D$73,MATCH($A46,'CA Standards and Followers'!$A$14:$A$73,0))=1,INDEX('CA Standards and Followers'!$G$14:$G$73,MATCH($A46,'CA Standards and Followers'!$A$14:$A$73,0))&lt;=F$1),INDEX('CA Standards and Followers'!$2:$2,MATCH(F$1,'CA Standards and Followers'!$1:$1,0)),0))</f>
        <v>0</v>
      </c>
      <c r="G46">
        <f>IF(AND(INDEX('CA Standards and Followers'!$E$14:$E$73,MATCH($A46,'CA Standards and Followers'!$A$14:$A$73,0))=1,INDEX('CA Standards and Followers'!$H$14:$H$73,MATCH($A46,'CA Standards and Followers'!$A$14:$A$73,0))&lt;=G$1),INDEX('CA Standards and Followers'!$3:$3,MATCH(G$1,'CA Standards and Followers'!$1:$1,0)),IF(AND(INDEX('CA Standards and Followers'!$D$14:$D$73,MATCH($A46,'CA Standards and Followers'!$A$14:$A$73,0))=1,INDEX('CA Standards and Followers'!$G$14:$G$73,MATCH($A46,'CA Standards and Followers'!$A$14:$A$73,0))&lt;=G$1),INDEX('CA Standards and Followers'!$2:$2,MATCH(G$1,'CA Standards and Followers'!$1:$1,0)),0))</f>
        <v>0</v>
      </c>
      <c r="H46">
        <f>IF(AND(INDEX('CA Standards and Followers'!$E$14:$E$73,MATCH($A46,'CA Standards and Followers'!$A$14:$A$73,0))=1,INDEX('CA Standards and Followers'!$H$14:$H$73,MATCH($A46,'CA Standards and Followers'!$A$14:$A$73,0))&lt;=H$1),INDEX('CA Standards and Followers'!$3:$3,MATCH(H$1,'CA Standards and Followers'!$1:$1,0)),IF(AND(INDEX('CA Standards and Followers'!$D$14:$D$73,MATCH($A46,'CA Standards and Followers'!$A$14:$A$73,0))=1,INDEX('CA Standards and Followers'!$G$14:$G$73,MATCH($A46,'CA Standards and Followers'!$A$14:$A$73,0))&lt;=H$1),INDEX('CA Standards and Followers'!$2:$2,MATCH(H$1,'CA Standards and Followers'!$1:$1,0)),0))</f>
        <v>0</v>
      </c>
      <c r="I46">
        <f>IF(AND(INDEX('CA Standards and Followers'!$E$14:$E$73,MATCH($A46,'CA Standards and Followers'!$A$14:$A$73,0))=1,INDEX('CA Standards and Followers'!$H$14:$H$73,MATCH($A46,'CA Standards and Followers'!$A$14:$A$73,0))&lt;=I$1),INDEX('CA Standards and Followers'!$3:$3,MATCH(I$1,'CA Standards and Followers'!$1:$1,0)),IF(AND(INDEX('CA Standards and Followers'!$D$14:$D$73,MATCH($A46,'CA Standards and Followers'!$A$14:$A$73,0))=1,INDEX('CA Standards and Followers'!$G$14:$G$73,MATCH($A46,'CA Standards and Followers'!$A$14:$A$73,0))&lt;=I$1),INDEX('CA Standards and Followers'!$2:$2,MATCH(I$1,'CA Standards and Followers'!$1:$1,0)),0))</f>
        <v>0</v>
      </c>
      <c r="J46">
        <f>IF(AND(INDEX('CA Standards and Followers'!$E$14:$E$73,MATCH($A46,'CA Standards and Followers'!$A$14:$A$73,0))=1,INDEX('CA Standards and Followers'!$H$14:$H$73,MATCH($A46,'CA Standards and Followers'!$A$14:$A$73,0))&lt;=J$1),INDEX('CA Standards and Followers'!$3:$3,MATCH(J$1,'CA Standards and Followers'!$1:$1,0)),IF(AND(INDEX('CA Standards and Followers'!$D$14:$D$73,MATCH($A46,'CA Standards and Followers'!$A$14:$A$73,0))=1,INDEX('CA Standards and Followers'!$G$14:$G$73,MATCH($A46,'CA Standards and Followers'!$A$14:$A$73,0))&lt;=J$1),INDEX('CA Standards and Followers'!$2:$2,MATCH(J$1,'CA Standards and Followers'!$1:$1,0)),0))</f>
        <v>0</v>
      </c>
      <c r="K46">
        <f>IF(AND(INDEX('CA Standards and Followers'!$E$14:$E$73,MATCH($A46,'CA Standards and Followers'!$A$14:$A$73,0))=1,INDEX('CA Standards and Followers'!$H$14:$H$73,MATCH($A46,'CA Standards and Followers'!$A$14:$A$73,0))&lt;=K$1),INDEX('CA Standards and Followers'!$3:$3,MATCH(K$1,'CA Standards and Followers'!$1:$1,0)),IF(AND(INDEX('CA Standards and Followers'!$D$14:$D$73,MATCH($A46,'CA Standards and Followers'!$A$14:$A$73,0))=1,INDEX('CA Standards and Followers'!$G$14:$G$73,MATCH($A46,'CA Standards and Followers'!$A$14:$A$73,0))&lt;=K$1),INDEX('CA Standards and Followers'!$2:$2,MATCH(K$1,'CA Standards and Followers'!$1:$1,0)),0))</f>
        <v>0</v>
      </c>
      <c r="L46">
        <f>IF(AND(INDEX('CA Standards and Followers'!$E$14:$E$73,MATCH($A46,'CA Standards and Followers'!$A$14:$A$73,0))=1,INDEX('CA Standards and Followers'!$H$14:$H$73,MATCH($A46,'CA Standards and Followers'!$A$14:$A$73,0))&lt;=L$1),INDEX('CA Standards and Followers'!$3:$3,MATCH(L$1,'CA Standards and Followers'!$1:$1,0)),IF(AND(INDEX('CA Standards and Followers'!$D$14:$D$73,MATCH($A46,'CA Standards and Followers'!$A$14:$A$73,0))=1,INDEX('CA Standards and Followers'!$G$14:$G$73,MATCH($A46,'CA Standards and Followers'!$A$14:$A$73,0))&lt;=L$1),INDEX('CA Standards and Followers'!$2:$2,MATCH(L$1,'CA Standards and Followers'!$1:$1,0)),0))</f>
        <v>0</v>
      </c>
      <c r="M46">
        <f>IF(AND(INDEX('CA Standards and Followers'!$E$14:$E$73,MATCH($A46,'CA Standards and Followers'!$A$14:$A$73,0))=1,INDEX('CA Standards and Followers'!$H$14:$H$73,MATCH($A46,'CA Standards and Followers'!$A$14:$A$73,0))&lt;=M$1),INDEX('CA Standards and Followers'!$3:$3,MATCH(M$1,'CA Standards and Followers'!$1:$1,0)),IF(AND(INDEX('CA Standards and Followers'!$D$14:$D$73,MATCH($A46,'CA Standards and Followers'!$A$14:$A$73,0))=1,INDEX('CA Standards and Followers'!$G$14:$G$73,MATCH($A46,'CA Standards and Followers'!$A$14:$A$73,0))&lt;=M$1),INDEX('CA Standards and Followers'!$2:$2,MATCH(M$1,'CA Standards and Followers'!$1:$1,0)),0))</f>
        <v>0</v>
      </c>
      <c r="N46">
        <f>IF(AND(INDEX('CA Standards and Followers'!$E$14:$E$73,MATCH($A46,'CA Standards and Followers'!$A$14:$A$73,0))=1,INDEX('CA Standards and Followers'!$H$14:$H$73,MATCH($A46,'CA Standards and Followers'!$A$14:$A$73,0))&lt;=N$1),INDEX('CA Standards and Followers'!$3:$3,MATCH(N$1,'CA Standards and Followers'!$1:$1,0)),IF(AND(INDEX('CA Standards and Followers'!$D$14:$D$73,MATCH($A46,'CA Standards and Followers'!$A$14:$A$73,0))=1,INDEX('CA Standards and Followers'!$G$14:$G$73,MATCH($A46,'CA Standards and Followers'!$A$14:$A$73,0))&lt;=N$1),INDEX('CA Standards and Followers'!$2:$2,MATCH(N$1,'CA Standards and Followers'!$1:$1,0)),0))</f>
        <v>0</v>
      </c>
      <c r="O46">
        <f>IF(AND(INDEX('CA Standards and Followers'!$E$14:$E$73,MATCH($A46,'CA Standards and Followers'!$A$14:$A$73,0))=1,INDEX('CA Standards and Followers'!$H$14:$H$73,MATCH($A46,'CA Standards and Followers'!$A$14:$A$73,0))&lt;=O$1),INDEX('CA Standards and Followers'!$3:$3,MATCH(O$1,'CA Standards and Followers'!$1:$1,0)),IF(AND(INDEX('CA Standards and Followers'!$D$14:$D$73,MATCH($A46,'CA Standards and Followers'!$A$14:$A$73,0))=1,INDEX('CA Standards and Followers'!$G$14:$G$73,MATCH($A46,'CA Standards and Followers'!$A$14:$A$73,0))&lt;=O$1),INDEX('CA Standards and Followers'!$2:$2,MATCH(O$1,'CA Standards and Followers'!$1:$1,0)),0))</f>
        <v>0</v>
      </c>
      <c r="P46">
        <f>IF(AND(INDEX('CA Standards and Followers'!$E$14:$E$73,MATCH($A46,'CA Standards and Followers'!$A$14:$A$73,0))=1,INDEX('CA Standards and Followers'!$H$14:$H$73,MATCH($A46,'CA Standards and Followers'!$A$14:$A$73,0))&lt;=P$1),INDEX('CA Standards and Followers'!$3:$3,MATCH(P$1,'CA Standards and Followers'!$1:$1,0)),IF(AND(INDEX('CA Standards and Followers'!$D$14:$D$73,MATCH($A46,'CA Standards and Followers'!$A$14:$A$73,0))=1,INDEX('CA Standards and Followers'!$G$14:$G$73,MATCH($A46,'CA Standards and Followers'!$A$14:$A$73,0))&lt;=P$1),INDEX('CA Standards and Followers'!$2:$2,MATCH(P$1,'CA Standards and Followers'!$1:$1,0)),0))</f>
        <v>0</v>
      </c>
      <c r="Q46">
        <f>IF(AND(INDEX('CA Standards and Followers'!$E$14:$E$73,MATCH($A46,'CA Standards and Followers'!$A$14:$A$73,0))=1,INDEX('CA Standards and Followers'!$H$14:$H$73,MATCH($A46,'CA Standards and Followers'!$A$14:$A$73,0))&lt;=Q$1),INDEX('CA Standards and Followers'!$3:$3,MATCH(Q$1,'CA Standards and Followers'!$1:$1,0)),IF(AND(INDEX('CA Standards and Followers'!$D$14:$D$73,MATCH($A46,'CA Standards and Followers'!$A$14:$A$73,0))=1,INDEX('CA Standards and Followers'!$G$14:$G$73,MATCH($A46,'CA Standards and Followers'!$A$14:$A$73,0))&lt;=Q$1),INDEX('CA Standards and Followers'!$2:$2,MATCH(Q$1,'CA Standards and Followers'!$1:$1,0)),0))</f>
        <v>0</v>
      </c>
      <c r="R46">
        <f>IF(AND(INDEX('CA Standards and Followers'!$E$14:$E$73,MATCH($A46,'CA Standards and Followers'!$A$14:$A$73,0))=1,INDEX('CA Standards and Followers'!$H$14:$H$73,MATCH($A46,'CA Standards and Followers'!$A$14:$A$73,0))&lt;=R$1),INDEX('CA Standards and Followers'!$3:$3,MATCH(R$1,'CA Standards and Followers'!$1:$1,0)),IF(AND(INDEX('CA Standards and Followers'!$D$14:$D$73,MATCH($A46,'CA Standards and Followers'!$A$14:$A$73,0))=1,INDEX('CA Standards and Followers'!$G$14:$G$73,MATCH($A46,'CA Standards and Followers'!$A$14:$A$73,0))&lt;=R$1),INDEX('CA Standards and Followers'!$2:$2,MATCH(R$1,'CA Standards and Followers'!$1:$1,0)),0))</f>
        <v>0</v>
      </c>
      <c r="S46">
        <f>IF(AND(INDEX('CA Standards and Followers'!$E$14:$E$73,MATCH($A46,'CA Standards and Followers'!$A$14:$A$73,0))=1,INDEX('CA Standards and Followers'!$H$14:$H$73,MATCH($A46,'CA Standards and Followers'!$A$14:$A$73,0))&lt;=S$1),INDEX('CA Standards and Followers'!$3:$3,MATCH(S$1,'CA Standards and Followers'!$1:$1,0)),IF(AND(INDEX('CA Standards and Followers'!$D$14:$D$73,MATCH($A46,'CA Standards and Followers'!$A$14:$A$73,0))=1,INDEX('CA Standards and Followers'!$G$14:$G$73,MATCH($A46,'CA Standards and Followers'!$A$14:$A$73,0))&lt;=S$1),INDEX('CA Standards and Followers'!$2:$2,MATCH(S$1,'CA Standards and Followers'!$1:$1,0)),0))</f>
        <v>0</v>
      </c>
      <c r="T46">
        <f>IF(AND(INDEX('CA Standards and Followers'!$E$14:$E$73,MATCH($A46,'CA Standards and Followers'!$A$14:$A$73,0))=1,INDEX('CA Standards and Followers'!$H$14:$H$73,MATCH($A46,'CA Standards and Followers'!$A$14:$A$73,0))&lt;=T$1),INDEX('CA Standards and Followers'!$3:$3,MATCH(T$1,'CA Standards and Followers'!$1:$1,0)),IF(AND(INDEX('CA Standards and Followers'!$D$14:$D$73,MATCH($A46,'CA Standards and Followers'!$A$14:$A$73,0))=1,INDEX('CA Standards and Followers'!$G$14:$G$73,MATCH($A46,'CA Standards and Followers'!$A$14:$A$73,0))&lt;=T$1),INDEX('CA Standards and Followers'!$2:$2,MATCH(T$1,'CA Standards and Followers'!$1:$1,0)),0))</f>
        <v>0</v>
      </c>
      <c r="U46">
        <f>IF(AND(INDEX('CA Standards and Followers'!$E$14:$E$73,MATCH($A46,'CA Standards and Followers'!$A$14:$A$73,0))=1,INDEX('CA Standards and Followers'!$H$14:$H$73,MATCH($A46,'CA Standards and Followers'!$A$14:$A$73,0))&lt;=U$1),INDEX('CA Standards and Followers'!$3:$3,MATCH(U$1,'CA Standards and Followers'!$1:$1,0)),IF(AND(INDEX('CA Standards and Followers'!$D$14:$D$73,MATCH($A46,'CA Standards and Followers'!$A$14:$A$73,0))=1,INDEX('CA Standards and Followers'!$G$14:$G$73,MATCH($A46,'CA Standards and Followers'!$A$14:$A$73,0))&lt;=U$1),INDEX('CA Standards and Followers'!$2:$2,MATCH(U$1,'CA Standards and Followers'!$1:$1,0)),0))</f>
        <v>0</v>
      </c>
      <c r="V46">
        <f>IF(AND(INDEX('CA Standards and Followers'!$E$14:$E$73,MATCH($A46,'CA Standards and Followers'!$A$14:$A$73,0))=1,INDEX('CA Standards and Followers'!$H$14:$H$73,MATCH($A46,'CA Standards and Followers'!$A$14:$A$73,0))&lt;=V$1),INDEX('CA Standards and Followers'!$3:$3,MATCH(V$1,'CA Standards and Followers'!$1:$1,0)),IF(AND(INDEX('CA Standards and Followers'!$D$14:$D$73,MATCH($A46,'CA Standards and Followers'!$A$14:$A$73,0))=1,INDEX('CA Standards and Followers'!$G$14:$G$73,MATCH($A46,'CA Standards and Followers'!$A$14:$A$73,0))&lt;=V$1),INDEX('CA Standards and Followers'!$2:$2,MATCH(V$1,'CA Standards and Followers'!$1:$1,0)),0))</f>
        <v>0</v>
      </c>
      <c r="W46">
        <f>IF(AND(INDEX('CA Standards and Followers'!$E$14:$E$73,MATCH($A46,'CA Standards and Followers'!$A$14:$A$73,0))=1,INDEX('CA Standards and Followers'!$H$14:$H$73,MATCH($A46,'CA Standards and Followers'!$A$14:$A$73,0))&lt;=W$1),INDEX('CA Standards and Followers'!$3:$3,MATCH(W$1,'CA Standards and Followers'!$1:$1,0)),IF(AND(INDEX('CA Standards and Followers'!$D$14:$D$73,MATCH($A46,'CA Standards and Followers'!$A$14:$A$73,0))=1,INDEX('CA Standards and Followers'!$G$14:$G$73,MATCH($A46,'CA Standards and Followers'!$A$14:$A$73,0))&lt;=W$1),INDEX('CA Standards and Followers'!$2:$2,MATCH(W$1,'CA Standards and Followers'!$1:$1,0)),0))</f>
        <v>0</v>
      </c>
      <c r="X46">
        <f>IF(AND(INDEX('CA Standards and Followers'!$E$14:$E$73,MATCH($A46,'CA Standards and Followers'!$A$14:$A$73,0))=1,INDEX('CA Standards and Followers'!$H$14:$H$73,MATCH($A46,'CA Standards and Followers'!$A$14:$A$73,0))&lt;=X$1),INDEX('CA Standards and Followers'!$3:$3,MATCH(X$1,'CA Standards and Followers'!$1:$1,0)),IF(AND(INDEX('CA Standards and Followers'!$D$14:$D$73,MATCH($A46,'CA Standards and Followers'!$A$14:$A$73,0))=1,INDEX('CA Standards and Followers'!$G$14:$G$73,MATCH($A46,'CA Standards and Followers'!$A$14:$A$73,0))&lt;=X$1),INDEX('CA Standards and Followers'!$2:$2,MATCH(X$1,'CA Standards and Followers'!$1:$1,0)),0))</f>
        <v>0</v>
      </c>
      <c r="Y46">
        <f>IF(AND(INDEX('CA Standards and Followers'!$E$14:$E$73,MATCH($A46,'CA Standards and Followers'!$A$14:$A$73,0))=1,INDEX('CA Standards and Followers'!$H$14:$H$73,MATCH($A46,'CA Standards and Followers'!$A$14:$A$73,0))&lt;=Y$1),INDEX('CA Standards and Followers'!$3:$3,MATCH(Y$1,'CA Standards and Followers'!$1:$1,0)),IF(AND(INDEX('CA Standards and Followers'!$D$14:$D$73,MATCH($A46,'CA Standards and Followers'!$A$14:$A$73,0))=1,INDEX('CA Standards and Followers'!$G$14:$G$73,MATCH($A46,'CA Standards and Followers'!$A$14:$A$73,0))&lt;=Y$1),INDEX('CA Standards and Followers'!$2:$2,MATCH(Y$1,'CA Standards and Followers'!$1:$1,0)),0))</f>
        <v>0</v>
      </c>
      <c r="Z46">
        <f>IF(AND(INDEX('CA Standards and Followers'!$E$14:$E$73,MATCH($A46,'CA Standards and Followers'!$A$14:$A$73,0))=1,INDEX('CA Standards and Followers'!$H$14:$H$73,MATCH($A46,'CA Standards and Followers'!$A$14:$A$73,0))&lt;=Z$1),INDEX('CA Standards and Followers'!$3:$3,MATCH(Z$1,'CA Standards and Followers'!$1:$1,0)),IF(AND(INDEX('CA Standards and Followers'!$D$14:$D$73,MATCH($A46,'CA Standards and Followers'!$A$14:$A$73,0))=1,INDEX('CA Standards and Followers'!$G$14:$G$73,MATCH($A46,'CA Standards and Followers'!$A$14:$A$73,0))&lt;=Z$1),INDEX('CA Standards and Followers'!$2:$2,MATCH(Z$1,'CA Standards and Followers'!$1:$1,0)),0))</f>
        <v>0</v>
      </c>
      <c r="AA46">
        <f>IF(AND(INDEX('CA Standards and Followers'!$E$14:$E$73,MATCH($A46,'CA Standards and Followers'!$A$14:$A$73,0))=1,INDEX('CA Standards and Followers'!$H$14:$H$73,MATCH($A46,'CA Standards and Followers'!$A$14:$A$73,0))&lt;=AA$1),INDEX('CA Standards and Followers'!$3:$3,MATCH(AA$1,'CA Standards and Followers'!$1:$1,0)),IF(AND(INDEX('CA Standards and Followers'!$D$14:$D$73,MATCH($A46,'CA Standards and Followers'!$A$14:$A$73,0))=1,INDEX('CA Standards and Followers'!$G$14:$G$73,MATCH($A46,'CA Standards and Followers'!$A$14:$A$73,0))&lt;=AA$1),INDEX('CA Standards and Followers'!$2:$2,MATCH(AA$1,'CA Standards and Followers'!$1:$1,0)),0))</f>
        <v>0</v>
      </c>
      <c r="AB46">
        <f>IF(AND(INDEX('CA Standards and Followers'!$E$14:$E$73,MATCH($A46,'CA Standards and Followers'!$A$14:$A$73,0))=1,INDEX('CA Standards and Followers'!$H$14:$H$73,MATCH($A46,'CA Standards and Followers'!$A$14:$A$73,0))&lt;=AB$1),INDEX('CA Standards and Followers'!$3:$3,MATCH(AB$1,'CA Standards and Followers'!$1:$1,0)),IF(AND(INDEX('CA Standards and Followers'!$D$14:$D$73,MATCH($A46,'CA Standards and Followers'!$A$14:$A$73,0))=1,INDEX('CA Standards and Followers'!$G$14:$G$73,MATCH($A46,'CA Standards and Followers'!$A$14:$A$73,0))&lt;=AB$1),INDEX('CA Standards and Followers'!$2:$2,MATCH(AB$1,'CA Standards and Followers'!$1:$1,0)),0))</f>
        <v>0</v>
      </c>
      <c r="AC46">
        <f>IF(AND(INDEX('CA Standards and Followers'!$E$14:$E$73,MATCH($A46,'CA Standards and Followers'!$A$14:$A$73,0))=1,INDEX('CA Standards and Followers'!$H$14:$H$73,MATCH($A46,'CA Standards and Followers'!$A$14:$A$73,0))&lt;=AC$1),INDEX('CA Standards and Followers'!$3:$3,MATCH(AC$1,'CA Standards and Followers'!$1:$1,0)),IF(AND(INDEX('CA Standards and Followers'!$D$14:$D$73,MATCH($A46,'CA Standards and Followers'!$A$14:$A$73,0))=1,INDEX('CA Standards and Followers'!$G$14:$G$73,MATCH($A46,'CA Standards and Followers'!$A$14:$A$73,0))&lt;=AC$1),INDEX('CA Standards and Followers'!$2:$2,MATCH(AC$1,'CA Standards and Followers'!$1:$1,0)),0))</f>
        <v>0</v>
      </c>
      <c r="AD46">
        <f>IF(AND(INDEX('CA Standards and Followers'!$E$14:$E$73,MATCH($A46,'CA Standards and Followers'!$A$14:$A$73,0))=1,INDEX('CA Standards and Followers'!$H$14:$H$73,MATCH($A46,'CA Standards and Followers'!$A$14:$A$73,0))&lt;=AD$1),INDEX('CA Standards and Followers'!$3:$3,MATCH(AD$1,'CA Standards and Followers'!$1:$1,0)),IF(AND(INDEX('CA Standards and Followers'!$D$14:$D$73,MATCH($A46,'CA Standards and Followers'!$A$14:$A$73,0))=1,INDEX('CA Standards and Followers'!$G$14:$G$73,MATCH($A46,'CA Standards and Followers'!$A$14:$A$73,0))&lt;=AD$1),INDEX('CA Standards and Followers'!$2:$2,MATCH(AD$1,'CA Standards and Followers'!$1:$1,0)),0))</f>
        <v>0</v>
      </c>
      <c r="AE46">
        <f>IF(AND(INDEX('CA Standards and Followers'!$E$14:$E$73,MATCH($A46,'CA Standards and Followers'!$A$14:$A$73,0))=1,INDEX('CA Standards and Followers'!$H$14:$H$73,MATCH($A46,'CA Standards and Followers'!$A$14:$A$73,0))&lt;=AE$1),INDEX('CA Standards and Followers'!$3:$3,MATCH(AE$1,'CA Standards and Followers'!$1:$1,0)),IF(AND(INDEX('CA Standards and Followers'!$D$14:$D$73,MATCH($A46,'CA Standards and Followers'!$A$14:$A$73,0))=1,INDEX('CA Standards and Followers'!$G$14:$G$73,MATCH($A46,'CA Standards and Followers'!$A$14:$A$73,0))&lt;=AE$1),INDEX('CA Standards and Followers'!$2:$2,MATCH(AE$1,'CA Standards and Followers'!$1:$1,0)),0))</f>
        <v>0</v>
      </c>
      <c r="AF46">
        <f>IF(AND(INDEX('CA Standards and Followers'!$E$14:$E$73,MATCH($A46,'CA Standards and Followers'!$A$14:$A$73,0))=1,INDEX('CA Standards and Followers'!$H$14:$H$73,MATCH($A46,'CA Standards and Followers'!$A$14:$A$73,0))&lt;=AF$1),INDEX('CA Standards and Followers'!$3:$3,MATCH(AF$1,'CA Standards and Followers'!$1:$1,0)),IF(AND(INDEX('CA Standards and Followers'!$D$14:$D$73,MATCH($A46,'CA Standards and Followers'!$A$14:$A$73,0))=1,INDEX('CA Standards and Followers'!$G$14:$G$73,MATCH($A46,'CA Standards and Followers'!$A$14:$A$73,0))&lt;=AF$1),INDEX('CA Standards and Followers'!$2:$2,MATCH(AF$1,'CA Standards and Followers'!$1:$1,0)),0))</f>
        <v>0</v>
      </c>
    </row>
    <row r="47" spans="1:32" x14ac:dyDescent="0.25">
      <c r="A47" t="s">
        <v>47</v>
      </c>
      <c r="B47">
        <f>IF(AND(INDEX('CA Standards and Followers'!$E$14:$E$73,MATCH($A47,'CA Standards and Followers'!$A$14:$A$73,0))=1,INDEX('CA Standards and Followers'!$H$14:$H$73,MATCH($A47,'CA Standards and Followers'!$A$14:$A$73,0))&lt;=B$1),INDEX('CA Standards and Followers'!$3:$3,MATCH(B$1,'CA Standards and Followers'!$1:$1,0)),IF(AND(INDEX('CA Standards and Followers'!$D$14:$D$73,MATCH($A47,'CA Standards and Followers'!$A$14:$A$73,0))=1,INDEX('CA Standards and Followers'!$G$14:$G$73,MATCH($A47,'CA Standards and Followers'!$A$14:$A$73,0))&lt;=B$1),INDEX('CA Standards and Followers'!$2:$2,MATCH(B$1,'CA Standards and Followers'!$1:$1,0)),0))</f>
        <v>9.5000000000000001E-2</v>
      </c>
      <c r="C47">
        <f>IF(AND(INDEX('CA Standards and Followers'!$E$14:$E$73,MATCH($A47,'CA Standards and Followers'!$A$14:$A$73,0))=1,INDEX('CA Standards and Followers'!$H$14:$H$73,MATCH($A47,'CA Standards and Followers'!$A$14:$A$73,0))&lt;=C$1),INDEX('CA Standards and Followers'!$3:$3,MATCH(C$1,'CA Standards and Followers'!$1:$1,0)),IF(AND(INDEX('CA Standards and Followers'!$D$14:$D$73,MATCH($A47,'CA Standards and Followers'!$A$14:$A$73,0))=1,INDEX('CA Standards and Followers'!$G$14:$G$73,MATCH($A47,'CA Standards and Followers'!$A$14:$A$73,0))&lt;=C$1),INDEX('CA Standards and Followers'!$2:$2,MATCH(C$1,'CA Standards and Followers'!$1:$1,0)),0))</f>
        <v>0.12</v>
      </c>
      <c r="D47">
        <f>IF(AND(INDEX('CA Standards and Followers'!$E$14:$E$73,MATCH($A47,'CA Standards and Followers'!$A$14:$A$73,0))=1,INDEX('CA Standards and Followers'!$H$14:$H$73,MATCH($A47,'CA Standards and Followers'!$A$14:$A$73,0))&lt;=D$1),INDEX('CA Standards and Followers'!$3:$3,MATCH(D$1,'CA Standards and Followers'!$1:$1,0)),IF(AND(INDEX('CA Standards and Followers'!$D$14:$D$73,MATCH($A47,'CA Standards and Followers'!$A$14:$A$73,0))=1,INDEX('CA Standards and Followers'!$G$14:$G$73,MATCH($A47,'CA Standards and Followers'!$A$14:$A$73,0))&lt;=D$1),INDEX('CA Standards and Followers'!$2:$2,MATCH(D$1,'CA Standards and Followers'!$1:$1,0)),0))</f>
        <v>0.14499999999999999</v>
      </c>
      <c r="E47">
        <f>IF(AND(INDEX('CA Standards and Followers'!$E$14:$E$73,MATCH($A47,'CA Standards and Followers'!$A$14:$A$73,0))=1,INDEX('CA Standards and Followers'!$H$14:$H$73,MATCH($A47,'CA Standards and Followers'!$A$14:$A$73,0))&lt;=E$1),INDEX('CA Standards and Followers'!$3:$3,MATCH(E$1,'CA Standards and Followers'!$1:$1,0)),IF(AND(INDEX('CA Standards and Followers'!$D$14:$D$73,MATCH($A47,'CA Standards and Followers'!$A$14:$A$73,0))=1,INDEX('CA Standards and Followers'!$G$14:$G$73,MATCH($A47,'CA Standards and Followers'!$A$14:$A$73,0))&lt;=E$1),INDEX('CA Standards and Followers'!$2:$2,MATCH(E$1,'CA Standards and Followers'!$1:$1,0)),0))</f>
        <v>0.16999999999999998</v>
      </c>
      <c r="F47">
        <f>IF(AND(INDEX('CA Standards and Followers'!$E$14:$E$73,MATCH($A47,'CA Standards and Followers'!$A$14:$A$73,0))=1,INDEX('CA Standards and Followers'!$H$14:$H$73,MATCH($A47,'CA Standards and Followers'!$A$14:$A$73,0))&lt;=F$1),INDEX('CA Standards and Followers'!$3:$3,MATCH(F$1,'CA Standards and Followers'!$1:$1,0)),IF(AND(INDEX('CA Standards and Followers'!$D$14:$D$73,MATCH($A47,'CA Standards and Followers'!$A$14:$A$73,0))=1,INDEX('CA Standards and Followers'!$G$14:$G$73,MATCH($A47,'CA Standards and Followers'!$A$14:$A$73,0))&lt;=F$1),INDEX('CA Standards and Followers'!$2:$2,MATCH(F$1,'CA Standards and Followers'!$1:$1,0)),0))</f>
        <v>0.19500000000000001</v>
      </c>
      <c r="G47">
        <f>IF(AND(INDEX('CA Standards and Followers'!$E$14:$E$73,MATCH($A47,'CA Standards and Followers'!$A$14:$A$73,0))=1,INDEX('CA Standards and Followers'!$H$14:$H$73,MATCH($A47,'CA Standards and Followers'!$A$14:$A$73,0))&lt;=G$1),INDEX('CA Standards and Followers'!$3:$3,MATCH(G$1,'CA Standards and Followers'!$1:$1,0)),IF(AND(INDEX('CA Standards and Followers'!$D$14:$D$73,MATCH($A47,'CA Standards and Followers'!$A$14:$A$73,0))=1,INDEX('CA Standards and Followers'!$G$14:$G$73,MATCH($A47,'CA Standards and Followers'!$A$14:$A$73,0))&lt;=G$1),INDEX('CA Standards and Followers'!$2:$2,MATCH(G$1,'CA Standards and Followers'!$1:$1,0)),0))</f>
        <v>0.21999999999999997</v>
      </c>
      <c r="H47">
        <f>IF(AND(INDEX('CA Standards and Followers'!$E$14:$E$73,MATCH($A47,'CA Standards and Followers'!$A$14:$A$73,0))=1,INDEX('CA Standards and Followers'!$H$14:$H$73,MATCH($A47,'CA Standards and Followers'!$A$14:$A$73,0))&lt;=H$1),INDEX('CA Standards and Followers'!$3:$3,MATCH(H$1,'CA Standards and Followers'!$1:$1,0)),IF(AND(INDEX('CA Standards and Followers'!$D$14:$D$73,MATCH($A47,'CA Standards and Followers'!$A$14:$A$73,0))=1,INDEX('CA Standards and Followers'!$G$14:$G$73,MATCH($A47,'CA Standards and Followers'!$A$14:$A$73,0))&lt;=H$1),INDEX('CA Standards and Followers'!$2:$2,MATCH(H$1,'CA Standards and Followers'!$1:$1,0)),0))</f>
        <v>0.22</v>
      </c>
      <c r="I47">
        <f>IF(AND(INDEX('CA Standards and Followers'!$E$14:$E$73,MATCH($A47,'CA Standards and Followers'!$A$14:$A$73,0))=1,INDEX('CA Standards and Followers'!$H$14:$H$73,MATCH($A47,'CA Standards and Followers'!$A$14:$A$73,0))&lt;=I$1),INDEX('CA Standards and Followers'!$3:$3,MATCH(I$1,'CA Standards and Followers'!$1:$1,0)),IF(AND(INDEX('CA Standards and Followers'!$D$14:$D$73,MATCH($A47,'CA Standards and Followers'!$A$14:$A$73,0))=1,INDEX('CA Standards and Followers'!$G$14:$G$73,MATCH($A47,'CA Standards and Followers'!$A$14:$A$73,0))&lt;=I$1),INDEX('CA Standards and Followers'!$2:$2,MATCH(I$1,'CA Standards and Followers'!$1:$1,0)),0))</f>
        <v>0.22</v>
      </c>
      <c r="J47">
        <f>IF(AND(INDEX('CA Standards and Followers'!$E$14:$E$73,MATCH($A47,'CA Standards and Followers'!$A$14:$A$73,0))=1,INDEX('CA Standards and Followers'!$H$14:$H$73,MATCH($A47,'CA Standards and Followers'!$A$14:$A$73,0))&lt;=J$1),INDEX('CA Standards and Followers'!$3:$3,MATCH(J$1,'CA Standards and Followers'!$1:$1,0)),IF(AND(INDEX('CA Standards and Followers'!$D$14:$D$73,MATCH($A47,'CA Standards and Followers'!$A$14:$A$73,0))=1,INDEX('CA Standards and Followers'!$G$14:$G$73,MATCH($A47,'CA Standards and Followers'!$A$14:$A$73,0))&lt;=J$1),INDEX('CA Standards and Followers'!$2:$2,MATCH(J$1,'CA Standards and Followers'!$1:$1,0)),0))</f>
        <v>0.22</v>
      </c>
      <c r="K47">
        <f>IF(AND(INDEX('CA Standards and Followers'!$E$14:$E$73,MATCH($A47,'CA Standards and Followers'!$A$14:$A$73,0))=1,INDEX('CA Standards and Followers'!$H$14:$H$73,MATCH($A47,'CA Standards and Followers'!$A$14:$A$73,0))&lt;=K$1),INDEX('CA Standards and Followers'!$3:$3,MATCH(K$1,'CA Standards and Followers'!$1:$1,0)),IF(AND(INDEX('CA Standards and Followers'!$D$14:$D$73,MATCH($A47,'CA Standards and Followers'!$A$14:$A$73,0))=1,INDEX('CA Standards and Followers'!$G$14:$G$73,MATCH($A47,'CA Standards and Followers'!$A$14:$A$73,0))&lt;=K$1),INDEX('CA Standards and Followers'!$2:$2,MATCH(K$1,'CA Standards and Followers'!$1:$1,0)),0))</f>
        <v>0.22</v>
      </c>
      <c r="L47">
        <f>IF(AND(INDEX('CA Standards and Followers'!$E$14:$E$73,MATCH($A47,'CA Standards and Followers'!$A$14:$A$73,0))=1,INDEX('CA Standards and Followers'!$H$14:$H$73,MATCH($A47,'CA Standards and Followers'!$A$14:$A$73,0))&lt;=L$1),INDEX('CA Standards and Followers'!$3:$3,MATCH(L$1,'CA Standards and Followers'!$1:$1,0)),IF(AND(INDEX('CA Standards and Followers'!$D$14:$D$73,MATCH($A47,'CA Standards and Followers'!$A$14:$A$73,0))=1,INDEX('CA Standards and Followers'!$G$14:$G$73,MATCH($A47,'CA Standards and Followers'!$A$14:$A$73,0))&lt;=L$1),INDEX('CA Standards and Followers'!$2:$2,MATCH(L$1,'CA Standards and Followers'!$1:$1,0)),0))</f>
        <v>0.22</v>
      </c>
      <c r="M47">
        <f>IF(AND(INDEX('CA Standards and Followers'!$E$14:$E$73,MATCH($A47,'CA Standards and Followers'!$A$14:$A$73,0))=1,INDEX('CA Standards and Followers'!$H$14:$H$73,MATCH($A47,'CA Standards and Followers'!$A$14:$A$73,0))&lt;=M$1),INDEX('CA Standards and Followers'!$3:$3,MATCH(M$1,'CA Standards and Followers'!$1:$1,0)),IF(AND(INDEX('CA Standards and Followers'!$D$14:$D$73,MATCH($A47,'CA Standards and Followers'!$A$14:$A$73,0))=1,INDEX('CA Standards and Followers'!$G$14:$G$73,MATCH($A47,'CA Standards and Followers'!$A$14:$A$73,0))&lt;=M$1),INDEX('CA Standards and Followers'!$2:$2,MATCH(M$1,'CA Standards and Followers'!$1:$1,0)),0))</f>
        <v>0.22</v>
      </c>
      <c r="N47">
        <f>IF(AND(INDEX('CA Standards and Followers'!$E$14:$E$73,MATCH($A47,'CA Standards and Followers'!$A$14:$A$73,0))=1,INDEX('CA Standards and Followers'!$H$14:$H$73,MATCH($A47,'CA Standards and Followers'!$A$14:$A$73,0))&lt;=N$1),INDEX('CA Standards and Followers'!$3:$3,MATCH(N$1,'CA Standards and Followers'!$1:$1,0)),IF(AND(INDEX('CA Standards and Followers'!$D$14:$D$73,MATCH($A47,'CA Standards and Followers'!$A$14:$A$73,0))=1,INDEX('CA Standards and Followers'!$G$14:$G$73,MATCH($A47,'CA Standards and Followers'!$A$14:$A$73,0))&lt;=N$1),INDEX('CA Standards and Followers'!$2:$2,MATCH(N$1,'CA Standards and Followers'!$1:$1,0)),0))</f>
        <v>0.22</v>
      </c>
      <c r="O47">
        <f>IF(AND(INDEX('CA Standards and Followers'!$E$14:$E$73,MATCH($A47,'CA Standards and Followers'!$A$14:$A$73,0))=1,INDEX('CA Standards and Followers'!$H$14:$H$73,MATCH($A47,'CA Standards and Followers'!$A$14:$A$73,0))&lt;=O$1),INDEX('CA Standards and Followers'!$3:$3,MATCH(O$1,'CA Standards and Followers'!$1:$1,0)),IF(AND(INDEX('CA Standards and Followers'!$D$14:$D$73,MATCH($A47,'CA Standards and Followers'!$A$14:$A$73,0))=1,INDEX('CA Standards and Followers'!$G$14:$G$73,MATCH($A47,'CA Standards and Followers'!$A$14:$A$73,0))&lt;=O$1),INDEX('CA Standards and Followers'!$2:$2,MATCH(O$1,'CA Standards and Followers'!$1:$1,0)),0))</f>
        <v>0.22</v>
      </c>
      <c r="P47">
        <f>IF(AND(INDEX('CA Standards and Followers'!$E$14:$E$73,MATCH($A47,'CA Standards and Followers'!$A$14:$A$73,0))=1,INDEX('CA Standards and Followers'!$H$14:$H$73,MATCH($A47,'CA Standards and Followers'!$A$14:$A$73,0))&lt;=P$1),INDEX('CA Standards and Followers'!$3:$3,MATCH(P$1,'CA Standards and Followers'!$1:$1,0)),IF(AND(INDEX('CA Standards and Followers'!$D$14:$D$73,MATCH($A47,'CA Standards and Followers'!$A$14:$A$73,0))=1,INDEX('CA Standards and Followers'!$G$14:$G$73,MATCH($A47,'CA Standards and Followers'!$A$14:$A$73,0))&lt;=P$1),INDEX('CA Standards and Followers'!$2:$2,MATCH(P$1,'CA Standards and Followers'!$1:$1,0)),0))</f>
        <v>0.22</v>
      </c>
      <c r="Q47">
        <f>IF(AND(INDEX('CA Standards and Followers'!$E$14:$E$73,MATCH($A47,'CA Standards and Followers'!$A$14:$A$73,0))=1,INDEX('CA Standards and Followers'!$H$14:$H$73,MATCH($A47,'CA Standards and Followers'!$A$14:$A$73,0))&lt;=Q$1),INDEX('CA Standards and Followers'!$3:$3,MATCH(Q$1,'CA Standards and Followers'!$1:$1,0)),IF(AND(INDEX('CA Standards and Followers'!$D$14:$D$73,MATCH($A47,'CA Standards and Followers'!$A$14:$A$73,0))=1,INDEX('CA Standards and Followers'!$G$14:$G$73,MATCH($A47,'CA Standards and Followers'!$A$14:$A$73,0))&lt;=Q$1),INDEX('CA Standards and Followers'!$2:$2,MATCH(Q$1,'CA Standards and Followers'!$1:$1,0)),0))</f>
        <v>0.22</v>
      </c>
      <c r="R47">
        <f>IF(AND(INDEX('CA Standards and Followers'!$E$14:$E$73,MATCH($A47,'CA Standards and Followers'!$A$14:$A$73,0))=1,INDEX('CA Standards and Followers'!$H$14:$H$73,MATCH($A47,'CA Standards and Followers'!$A$14:$A$73,0))&lt;=R$1),INDEX('CA Standards and Followers'!$3:$3,MATCH(R$1,'CA Standards and Followers'!$1:$1,0)),IF(AND(INDEX('CA Standards and Followers'!$D$14:$D$73,MATCH($A47,'CA Standards and Followers'!$A$14:$A$73,0))=1,INDEX('CA Standards and Followers'!$G$14:$G$73,MATCH($A47,'CA Standards and Followers'!$A$14:$A$73,0))&lt;=R$1),INDEX('CA Standards and Followers'!$2:$2,MATCH(R$1,'CA Standards and Followers'!$1:$1,0)),0))</f>
        <v>0.22</v>
      </c>
      <c r="S47">
        <f>IF(AND(INDEX('CA Standards and Followers'!$E$14:$E$73,MATCH($A47,'CA Standards and Followers'!$A$14:$A$73,0))=1,INDEX('CA Standards and Followers'!$H$14:$H$73,MATCH($A47,'CA Standards and Followers'!$A$14:$A$73,0))&lt;=S$1),INDEX('CA Standards and Followers'!$3:$3,MATCH(S$1,'CA Standards and Followers'!$1:$1,0)),IF(AND(INDEX('CA Standards and Followers'!$D$14:$D$73,MATCH($A47,'CA Standards and Followers'!$A$14:$A$73,0))=1,INDEX('CA Standards and Followers'!$G$14:$G$73,MATCH($A47,'CA Standards and Followers'!$A$14:$A$73,0))&lt;=S$1),INDEX('CA Standards and Followers'!$2:$2,MATCH(S$1,'CA Standards and Followers'!$1:$1,0)),0))</f>
        <v>0.22</v>
      </c>
      <c r="T47">
        <f>IF(AND(INDEX('CA Standards and Followers'!$E$14:$E$73,MATCH($A47,'CA Standards and Followers'!$A$14:$A$73,0))=1,INDEX('CA Standards and Followers'!$H$14:$H$73,MATCH($A47,'CA Standards and Followers'!$A$14:$A$73,0))&lt;=T$1),INDEX('CA Standards and Followers'!$3:$3,MATCH(T$1,'CA Standards and Followers'!$1:$1,0)),IF(AND(INDEX('CA Standards and Followers'!$D$14:$D$73,MATCH($A47,'CA Standards and Followers'!$A$14:$A$73,0))=1,INDEX('CA Standards and Followers'!$G$14:$G$73,MATCH($A47,'CA Standards and Followers'!$A$14:$A$73,0))&lt;=T$1),INDEX('CA Standards and Followers'!$2:$2,MATCH(T$1,'CA Standards and Followers'!$1:$1,0)),0))</f>
        <v>0.22</v>
      </c>
      <c r="U47">
        <f>IF(AND(INDEX('CA Standards and Followers'!$E$14:$E$73,MATCH($A47,'CA Standards and Followers'!$A$14:$A$73,0))=1,INDEX('CA Standards and Followers'!$H$14:$H$73,MATCH($A47,'CA Standards and Followers'!$A$14:$A$73,0))&lt;=U$1),INDEX('CA Standards and Followers'!$3:$3,MATCH(U$1,'CA Standards and Followers'!$1:$1,0)),IF(AND(INDEX('CA Standards and Followers'!$D$14:$D$73,MATCH($A47,'CA Standards and Followers'!$A$14:$A$73,0))=1,INDEX('CA Standards and Followers'!$G$14:$G$73,MATCH($A47,'CA Standards and Followers'!$A$14:$A$73,0))&lt;=U$1),INDEX('CA Standards and Followers'!$2:$2,MATCH(U$1,'CA Standards and Followers'!$1:$1,0)),0))</f>
        <v>0.22</v>
      </c>
      <c r="V47">
        <f>IF(AND(INDEX('CA Standards and Followers'!$E$14:$E$73,MATCH($A47,'CA Standards and Followers'!$A$14:$A$73,0))=1,INDEX('CA Standards and Followers'!$H$14:$H$73,MATCH($A47,'CA Standards and Followers'!$A$14:$A$73,0))&lt;=V$1),INDEX('CA Standards and Followers'!$3:$3,MATCH(V$1,'CA Standards and Followers'!$1:$1,0)),IF(AND(INDEX('CA Standards and Followers'!$D$14:$D$73,MATCH($A47,'CA Standards and Followers'!$A$14:$A$73,0))=1,INDEX('CA Standards and Followers'!$G$14:$G$73,MATCH($A47,'CA Standards and Followers'!$A$14:$A$73,0))&lt;=V$1),INDEX('CA Standards and Followers'!$2:$2,MATCH(V$1,'CA Standards and Followers'!$1:$1,0)),0))</f>
        <v>0.22</v>
      </c>
      <c r="W47">
        <f>IF(AND(INDEX('CA Standards and Followers'!$E$14:$E$73,MATCH($A47,'CA Standards and Followers'!$A$14:$A$73,0))=1,INDEX('CA Standards and Followers'!$H$14:$H$73,MATCH($A47,'CA Standards and Followers'!$A$14:$A$73,0))&lt;=W$1),INDEX('CA Standards and Followers'!$3:$3,MATCH(W$1,'CA Standards and Followers'!$1:$1,0)),IF(AND(INDEX('CA Standards and Followers'!$D$14:$D$73,MATCH($A47,'CA Standards and Followers'!$A$14:$A$73,0))=1,INDEX('CA Standards and Followers'!$G$14:$G$73,MATCH($A47,'CA Standards and Followers'!$A$14:$A$73,0))&lt;=W$1),INDEX('CA Standards and Followers'!$2:$2,MATCH(W$1,'CA Standards and Followers'!$1:$1,0)),0))</f>
        <v>0.22</v>
      </c>
      <c r="X47">
        <f>IF(AND(INDEX('CA Standards and Followers'!$E$14:$E$73,MATCH($A47,'CA Standards and Followers'!$A$14:$A$73,0))=1,INDEX('CA Standards and Followers'!$H$14:$H$73,MATCH($A47,'CA Standards and Followers'!$A$14:$A$73,0))&lt;=X$1),INDEX('CA Standards and Followers'!$3:$3,MATCH(X$1,'CA Standards and Followers'!$1:$1,0)),IF(AND(INDEX('CA Standards and Followers'!$D$14:$D$73,MATCH($A47,'CA Standards and Followers'!$A$14:$A$73,0))=1,INDEX('CA Standards and Followers'!$G$14:$G$73,MATCH($A47,'CA Standards and Followers'!$A$14:$A$73,0))&lt;=X$1),INDEX('CA Standards and Followers'!$2:$2,MATCH(X$1,'CA Standards and Followers'!$1:$1,0)),0))</f>
        <v>0.22</v>
      </c>
      <c r="Y47">
        <f>IF(AND(INDEX('CA Standards and Followers'!$E$14:$E$73,MATCH($A47,'CA Standards and Followers'!$A$14:$A$73,0))=1,INDEX('CA Standards and Followers'!$H$14:$H$73,MATCH($A47,'CA Standards and Followers'!$A$14:$A$73,0))&lt;=Y$1),INDEX('CA Standards and Followers'!$3:$3,MATCH(Y$1,'CA Standards and Followers'!$1:$1,0)),IF(AND(INDEX('CA Standards and Followers'!$D$14:$D$73,MATCH($A47,'CA Standards and Followers'!$A$14:$A$73,0))=1,INDEX('CA Standards and Followers'!$G$14:$G$73,MATCH($A47,'CA Standards and Followers'!$A$14:$A$73,0))&lt;=Y$1),INDEX('CA Standards and Followers'!$2:$2,MATCH(Y$1,'CA Standards and Followers'!$1:$1,0)),0))</f>
        <v>0.22</v>
      </c>
      <c r="Z47">
        <f>IF(AND(INDEX('CA Standards and Followers'!$E$14:$E$73,MATCH($A47,'CA Standards and Followers'!$A$14:$A$73,0))=1,INDEX('CA Standards and Followers'!$H$14:$H$73,MATCH($A47,'CA Standards and Followers'!$A$14:$A$73,0))&lt;=Z$1),INDEX('CA Standards and Followers'!$3:$3,MATCH(Z$1,'CA Standards and Followers'!$1:$1,0)),IF(AND(INDEX('CA Standards and Followers'!$D$14:$D$73,MATCH($A47,'CA Standards and Followers'!$A$14:$A$73,0))=1,INDEX('CA Standards and Followers'!$G$14:$G$73,MATCH($A47,'CA Standards and Followers'!$A$14:$A$73,0))&lt;=Z$1),INDEX('CA Standards and Followers'!$2:$2,MATCH(Z$1,'CA Standards and Followers'!$1:$1,0)),0))</f>
        <v>0.22</v>
      </c>
      <c r="AA47">
        <f>IF(AND(INDEX('CA Standards and Followers'!$E$14:$E$73,MATCH($A47,'CA Standards and Followers'!$A$14:$A$73,0))=1,INDEX('CA Standards and Followers'!$H$14:$H$73,MATCH($A47,'CA Standards and Followers'!$A$14:$A$73,0))&lt;=AA$1),INDEX('CA Standards and Followers'!$3:$3,MATCH(AA$1,'CA Standards and Followers'!$1:$1,0)),IF(AND(INDEX('CA Standards and Followers'!$D$14:$D$73,MATCH($A47,'CA Standards and Followers'!$A$14:$A$73,0))=1,INDEX('CA Standards and Followers'!$G$14:$G$73,MATCH($A47,'CA Standards and Followers'!$A$14:$A$73,0))&lt;=AA$1),INDEX('CA Standards and Followers'!$2:$2,MATCH(AA$1,'CA Standards and Followers'!$1:$1,0)),0))</f>
        <v>0.22</v>
      </c>
      <c r="AB47">
        <f>IF(AND(INDEX('CA Standards and Followers'!$E$14:$E$73,MATCH($A47,'CA Standards and Followers'!$A$14:$A$73,0))=1,INDEX('CA Standards and Followers'!$H$14:$H$73,MATCH($A47,'CA Standards and Followers'!$A$14:$A$73,0))&lt;=AB$1),INDEX('CA Standards and Followers'!$3:$3,MATCH(AB$1,'CA Standards and Followers'!$1:$1,0)),IF(AND(INDEX('CA Standards and Followers'!$D$14:$D$73,MATCH($A47,'CA Standards and Followers'!$A$14:$A$73,0))=1,INDEX('CA Standards and Followers'!$G$14:$G$73,MATCH($A47,'CA Standards and Followers'!$A$14:$A$73,0))&lt;=AB$1),INDEX('CA Standards and Followers'!$2:$2,MATCH(AB$1,'CA Standards and Followers'!$1:$1,0)),0))</f>
        <v>0.22</v>
      </c>
      <c r="AC47">
        <f>IF(AND(INDEX('CA Standards and Followers'!$E$14:$E$73,MATCH($A47,'CA Standards and Followers'!$A$14:$A$73,0))=1,INDEX('CA Standards and Followers'!$H$14:$H$73,MATCH($A47,'CA Standards and Followers'!$A$14:$A$73,0))&lt;=AC$1),INDEX('CA Standards and Followers'!$3:$3,MATCH(AC$1,'CA Standards and Followers'!$1:$1,0)),IF(AND(INDEX('CA Standards and Followers'!$D$14:$D$73,MATCH($A47,'CA Standards and Followers'!$A$14:$A$73,0))=1,INDEX('CA Standards and Followers'!$G$14:$G$73,MATCH($A47,'CA Standards and Followers'!$A$14:$A$73,0))&lt;=AC$1),INDEX('CA Standards and Followers'!$2:$2,MATCH(AC$1,'CA Standards and Followers'!$1:$1,0)),0))</f>
        <v>0.22</v>
      </c>
      <c r="AD47">
        <f>IF(AND(INDEX('CA Standards and Followers'!$E$14:$E$73,MATCH($A47,'CA Standards and Followers'!$A$14:$A$73,0))=1,INDEX('CA Standards and Followers'!$H$14:$H$73,MATCH($A47,'CA Standards and Followers'!$A$14:$A$73,0))&lt;=AD$1),INDEX('CA Standards and Followers'!$3:$3,MATCH(AD$1,'CA Standards and Followers'!$1:$1,0)),IF(AND(INDEX('CA Standards and Followers'!$D$14:$D$73,MATCH($A47,'CA Standards and Followers'!$A$14:$A$73,0))=1,INDEX('CA Standards and Followers'!$G$14:$G$73,MATCH($A47,'CA Standards and Followers'!$A$14:$A$73,0))&lt;=AD$1),INDEX('CA Standards and Followers'!$2:$2,MATCH(AD$1,'CA Standards and Followers'!$1:$1,0)),0))</f>
        <v>0.22</v>
      </c>
      <c r="AE47">
        <f>IF(AND(INDEX('CA Standards and Followers'!$E$14:$E$73,MATCH($A47,'CA Standards and Followers'!$A$14:$A$73,0))=1,INDEX('CA Standards and Followers'!$H$14:$H$73,MATCH($A47,'CA Standards and Followers'!$A$14:$A$73,0))&lt;=AE$1),INDEX('CA Standards and Followers'!$3:$3,MATCH(AE$1,'CA Standards and Followers'!$1:$1,0)),IF(AND(INDEX('CA Standards and Followers'!$D$14:$D$73,MATCH($A47,'CA Standards and Followers'!$A$14:$A$73,0))=1,INDEX('CA Standards and Followers'!$G$14:$G$73,MATCH($A47,'CA Standards and Followers'!$A$14:$A$73,0))&lt;=AE$1),INDEX('CA Standards and Followers'!$2:$2,MATCH(AE$1,'CA Standards and Followers'!$1:$1,0)),0))</f>
        <v>0.22</v>
      </c>
      <c r="AF47">
        <f>IF(AND(INDEX('CA Standards and Followers'!$E$14:$E$73,MATCH($A47,'CA Standards and Followers'!$A$14:$A$73,0))=1,INDEX('CA Standards and Followers'!$H$14:$H$73,MATCH($A47,'CA Standards and Followers'!$A$14:$A$73,0))&lt;=AF$1),INDEX('CA Standards and Followers'!$3:$3,MATCH(AF$1,'CA Standards and Followers'!$1:$1,0)),IF(AND(INDEX('CA Standards and Followers'!$D$14:$D$73,MATCH($A47,'CA Standards and Followers'!$A$14:$A$73,0))=1,INDEX('CA Standards and Followers'!$G$14:$G$73,MATCH($A47,'CA Standards and Followers'!$A$14:$A$73,0))&lt;=AF$1),INDEX('CA Standards and Followers'!$2:$2,MATCH(AF$1,'CA Standards and Followers'!$1:$1,0)),0))</f>
        <v>0.22</v>
      </c>
    </row>
    <row r="48" spans="1:32" x14ac:dyDescent="0.25">
      <c r="A48" t="s">
        <v>48</v>
      </c>
      <c r="B48">
        <f>IF(AND(INDEX('CA Standards and Followers'!$E$14:$E$73,MATCH($A48,'CA Standards and Followers'!$A$14:$A$73,0))=1,INDEX('CA Standards and Followers'!$H$14:$H$73,MATCH($A48,'CA Standards and Followers'!$A$14:$A$73,0))&lt;=B$1),INDEX('CA Standards and Followers'!$3:$3,MATCH(B$1,'CA Standards and Followers'!$1:$1,0)),IF(AND(INDEX('CA Standards and Followers'!$D$14:$D$73,MATCH($A48,'CA Standards and Followers'!$A$14:$A$73,0))=1,INDEX('CA Standards and Followers'!$G$14:$G$73,MATCH($A48,'CA Standards and Followers'!$A$14:$A$73,0))&lt;=B$1),INDEX('CA Standards and Followers'!$2:$2,MATCH(B$1,'CA Standards and Followers'!$1:$1,0)),0))</f>
        <v>0</v>
      </c>
      <c r="C48">
        <f>IF(AND(INDEX('CA Standards and Followers'!$E$14:$E$73,MATCH($A48,'CA Standards and Followers'!$A$14:$A$73,0))=1,INDEX('CA Standards and Followers'!$H$14:$H$73,MATCH($A48,'CA Standards and Followers'!$A$14:$A$73,0))&lt;=C$1),INDEX('CA Standards and Followers'!$3:$3,MATCH(C$1,'CA Standards and Followers'!$1:$1,0)),IF(AND(INDEX('CA Standards and Followers'!$D$14:$D$73,MATCH($A48,'CA Standards and Followers'!$A$14:$A$73,0))=1,INDEX('CA Standards and Followers'!$G$14:$G$73,MATCH($A48,'CA Standards and Followers'!$A$14:$A$73,0))&lt;=C$1),INDEX('CA Standards and Followers'!$2:$2,MATCH(C$1,'CA Standards and Followers'!$1:$1,0)),0))</f>
        <v>0</v>
      </c>
      <c r="D48">
        <f>IF(AND(INDEX('CA Standards and Followers'!$E$14:$E$73,MATCH($A48,'CA Standards and Followers'!$A$14:$A$73,0))=1,INDEX('CA Standards and Followers'!$H$14:$H$73,MATCH($A48,'CA Standards and Followers'!$A$14:$A$73,0))&lt;=D$1),INDEX('CA Standards and Followers'!$3:$3,MATCH(D$1,'CA Standards and Followers'!$1:$1,0)),IF(AND(INDEX('CA Standards and Followers'!$D$14:$D$73,MATCH($A48,'CA Standards and Followers'!$A$14:$A$73,0))=1,INDEX('CA Standards and Followers'!$G$14:$G$73,MATCH($A48,'CA Standards and Followers'!$A$14:$A$73,0))&lt;=D$1),INDEX('CA Standards and Followers'!$2:$2,MATCH(D$1,'CA Standards and Followers'!$1:$1,0)),0))</f>
        <v>0</v>
      </c>
      <c r="E48">
        <f>IF(AND(INDEX('CA Standards and Followers'!$E$14:$E$73,MATCH($A48,'CA Standards and Followers'!$A$14:$A$73,0))=1,INDEX('CA Standards and Followers'!$H$14:$H$73,MATCH($A48,'CA Standards and Followers'!$A$14:$A$73,0))&lt;=E$1),INDEX('CA Standards and Followers'!$3:$3,MATCH(E$1,'CA Standards and Followers'!$1:$1,0)),IF(AND(INDEX('CA Standards and Followers'!$D$14:$D$73,MATCH($A48,'CA Standards and Followers'!$A$14:$A$73,0))=1,INDEX('CA Standards and Followers'!$G$14:$G$73,MATCH($A48,'CA Standards and Followers'!$A$14:$A$73,0))&lt;=E$1),INDEX('CA Standards and Followers'!$2:$2,MATCH(E$1,'CA Standards and Followers'!$1:$1,0)),0))</f>
        <v>0</v>
      </c>
      <c r="F48">
        <f>IF(AND(INDEX('CA Standards and Followers'!$E$14:$E$73,MATCH($A48,'CA Standards and Followers'!$A$14:$A$73,0))=1,INDEX('CA Standards and Followers'!$H$14:$H$73,MATCH($A48,'CA Standards and Followers'!$A$14:$A$73,0))&lt;=F$1),INDEX('CA Standards and Followers'!$3:$3,MATCH(F$1,'CA Standards and Followers'!$1:$1,0)),IF(AND(INDEX('CA Standards and Followers'!$D$14:$D$73,MATCH($A48,'CA Standards and Followers'!$A$14:$A$73,0))=1,INDEX('CA Standards and Followers'!$G$14:$G$73,MATCH($A48,'CA Standards and Followers'!$A$14:$A$73,0))&lt;=F$1),INDEX('CA Standards and Followers'!$2:$2,MATCH(F$1,'CA Standards and Followers'!$1:$1,0)),0))</f>
        <v>0</v>
      </c>
      <c r="G48">
        <f>IF(AND(INDEX('CA Standards and Followers'!$E$14:$E$73,MATCH($A48,'CA Standards and Followers'!$A$14:$A$73,0))=1,INDEX('CA Standards and Followers'!$H$14:$H$73,MATCH($A48,'CA Standards and Followers'!$A$14:$A$73,0))&lt;=G$1),INDEX('CA Standards and Followers'!$3:$3,MATCH(G$1,'CA Standards and Followers'!$1:$1,0)),IF(AND(INDEX('CA Standards and Followers'!$D$14:$D$73,MATCH($A48,'CA Standards and Followers'!$A$14:$A$73,0))=1,INDEX('CA Standards and Followers'!$G$14:$G$73,MATCH($A48,'CA Standards and Followers'!$A$14:$A$73,0))&lt;=G$1),INDEX('CA Standards and Followers'!$2:$2,MATCH(G$1,'CA Standards and Followers'!$1:$1,0)),0))</f>
        <v>0.21999999999999997</v>
      </c>
      <c r="H48">
        <f>IF(AND(INDEX('CA Standards and Followers'!$E$14:$E$73,MATCH($A48,'CA Standards and Followers'!$A$14:$A$73,0))=1,INDEX('CA Standards and Followers'!$H$14:$H$73,MATCH($A48,'CA Standards and Followers'!$A$14:$A$73,0))&lt;=H$1),INDEX('CA Standards and Followers'!$3:$3,MATCH(H$1,'CA Standards and Followers'!$1:$1,0)),IF(AND(INDEX('CA Standards and Followers'!$D$14:$D$73,MATCH($A48,'CA Standards and Followers'!$A$14:$A$73,0))=1,INDEX('CA Standards and Followers'!$G$14:$G$73,MATCH($A48,'CA Standards and Followers'!$A$14:$A$73,0))&lt;=H$1),INDEX('CA Standards and Followers'!$2:$2,MATCH(H$1,'CA Standards and Followers'!$1:$1,0)),0))</f>
        <v>0.22</v>
      </c>
      <c r="I48">
        <f>IF(AND(INDEX('CA Standards and Followers'!$E$14:$E$73,MATCH($A48,'CA Standards and Followers'!$A$14:$A$73,0))=1,INDEX('CA Standards and Followers'!$H$14:$H$73,MATCH($A48,'CA Standards and Followers'!$A$14:$A$73,0))&lt;=I$1),INDEX('CA Standards and Followers'!$3:$3,MATCH(I$1,'CA Standards and Followers'!$1:$1,0)),IF(AND(INDEX('CA Standards and Followers'!$D$14:$D$73,MATCH($A48,'CA Standards and Followers'!$A$14:$A$73,0))=1,INDEX('CA Standards and Followers'!$G$14:$G$73,MATCH($A48,'CA Standards and Followers'!$A$14:$A$73,0))&lt;=I$1),INDEX('CA Standards and Followers'!$2:$2,MATCH(I$1,'CA Standards and Followers'!$1:$1,0)),0))</f>
        <v>0.22</v>
      </c>
      <c r="J48">
        <f>IF(AND(INDEX('CA Standards and Followers'!$E$14:$E$73,MATCH($A48,'CA Standards and Followers'!$A$14:$A$73,0))=1,INDEX('CA Standards and Followers'!$H$14:$H$73,MATCH($A48,'CA Standards and Followers'!$A$14:$A$73,0))&lt;=J$1),INDEX('CA Standards and Followers'!$3:$3,MATCH(J$1,'CA Standards and Followers'!$1:$1,0)),IF(AND(INDEX('CA Standards and Followers'!$D$14:$D$73,MATCH($A48,'CA Standards and Followers'!$A$14:$A$73,0))=1,INDEX('CA Standards and Followers'!$G$14:$G$73,MATCH($A48,'CA Standards and Followers'!$A$14:$A$73,0))&lt;=J$1),INDEX('CA Standards and Followers'!$2:$2,MATCH(J$1,'CA Standards and Followers'!$1:$1,0)),0))</f>
        <v>0.22</v>
      </c>
      <c r="K48">
        <f>IF(AND(INDEX('CA Standards and Followers'!$E$14:$E$73,MATCH($A48,'CA Standards and Followers'!$A$14:$A$73,0))=1,INDEX('CA Standards and Followers'!$H$14:$H$73,MATCH($A48,'CA Standards and Followers'!$A$14:$A$73,0))&lt;=K$1),INDEX('CA Standards and Followers'!$3:$3,MATCH(K$1,'CA Standards and Followers'!$1:$1,0)),IF(AND(INDEX('CA Standards and Followers'!$D$14:$D$73,MATCH($A48,'CA Standards and Followers'!$A$14:$A$73,0))=1,INDEX('CA Standards and Followers'!$G$14:$G$73,MATCH($A48,'CA Standards and Followers'!$A$14:$A$73,0))&lt;=K$1),INDEX('CA Standards and Followers'!$2:$2,MATCH(K$1,'CA Standards and Followers'!$1:$1,0)),0))</f>
        <v>0.22</v>
      </c>
      <c r="L48">
        <f>IF(AND(INDEX('CA Standards and Followers'!$E$14:$E$73,MATCH($A48,'CA Standards and Followers'!$A$14:$A$73,0))=1,INDEX('CA Standards and Followers'!$H$14:$H$73,MATCH($A48,'CA Standards and Followers'!$A$14:$A$73,0))&lt;=L$1),INDEX('CA Standards and Followers'!$3:$3,MATCH(L$1,'CA Standards and Followers'!$1:$1,0)),IF(AND(INDEX('CA Standards and Followers'!$D$14:$D$73,MATCH($A48,'CA Standards and Followers'!$A$14:$A$73,0))=1,INDEX('CA Standards and Followers'!$G$14:$G$73,MATCH($A48,'CA Standards and Followers'!$A$14:$A$73,0))&lt;=L$1),INDEX('CA Standards and Followers'!$2:$2,MATCH(L$1,'CA Standards and Followers'!$1:$1,0)),0))</f>
        <v>0.22</v>
      </c>
      <c r="M48">
        <f>IF(AND(INDEX('CA Standards and Followers'!$E$14:$E$73,MATCH($A48,'CA Standards and Followers'!$A$14:$A$73,0))=1,INDEX('CA Standards and Followers'!$H$14:$H$73,MATCH($A48,'CA Standards and Followers'!$A$14:$A$73,0))&lt;=M$1),INDEX('CA Standards and Followers'!$3:$3,MATCH(M$1,'CA Standards and Followers'!$1:$1,0)),IF(AND(INDEX('CA Standards and Followers'!$D$14:$D$73,MATCH($A48,'CA Standards and Followers'!$A$14:$A$73,0))=1,INDEX('CA Standards and Followers'!$G$14:$G$73,MATCH($A48,'CA Standards and Followers'!$A$14:$A$73,0))&lt;=M$1),INDEX('CA Standards and Followers'!$2:$2,MATCH(M$1,'CA Standards and Followers'!$1:$1,0)),0))</f>
        <v>0.22</v>
      </c>
      <c r="N48">
        <f>IF(AND(INDEX('CA Standards and Followers'!$E$14:$E$73,MATCH($A48,'CA Standards and Followers'!$A$14:$A$73,0))=1,INDEX('CA Standards and Followers'!$H$14:$H$73,MATCH($A48,'CA Standards and Followers'!$A$14:$A$73,0))&lt;=N$1),INDEX('CA Standards and Followers'!$3:$3,MATCH(N$1,'CA Standards and Followers'!$1:$1,0)),IF(AND(INDEX('CA Standards and Followers'!$D$14:$D$73,MATCH($A48,'CA Standards and Followers'!$A$14:$A$73,0))=1,INDEX('CA Standards and Followers'!$G$14:$G$73,MATCH($A48,'CA Standards and Followers'!$A$14:$A$73,0))&lt;=N$1),INDEX('CA Standards and Followers'!$2:$2,MATCH(N$1,'CA Standards and Followers'!$1:$1,0)),0))</f>
        <v>0.22</v>
      </c>
      <c r="O48">
        <f>IF(AND(INDEX('CA Standards and Followers'!$E$14:$E$73,MATCH($A48,'CA Standards and Followers'!$A$14:$A$73,0))=1,INDEX('CA Standards and Followers'!$H$14:$H$73,MATCH($A48,'CA Standards and Followers'!$A$14:$A$73,0))&lt;=O$1),INDEX('CA Standards and Followers'!$3:$3,MATCH(O$1,'CA Standards and Followers'!$1:$1,0)),IF(AND(INDEX('CA Standards and Followers'!$D$14:$D$73,MATCH($A48,'CA Standards and Followers'!$A$14:$A$73,0))=1,INDEX('CA Standards and Followers'!$G$14:$G$73,MATCH($A48,'CA Standards and Followers'!$A$14:$A$73,0))&lt;=O$1),INDEX('CA Standards and Followers'!$2:$2,MATCH(O$1,'CA Standards and Followers'!$1:$1,0)),0))</f>
        <v>0.22</v>
      </c>
      <c r="P48">
        <f>IF(AND(INDEX('CA Standards and Followers'!$E$14:$E$73,MATCH($A48,'CA Standards and Followers'!$A$14:$A$73,0))=1,INDEX('CA Standards and Followers'!$H$14:$H$73,MATCH($A48,'CA Standards and Followers'!$A$14:$A$73,0))&lt;=P$1),INDEX('CA Standards and Followers'!$3:$3,MATCH(P$1,'CA Standards and Followers'!$1:$1,0)),IF(AND(INDEX('CA Standards and Followers'!$D$14:$D$73,MATCH($A48,'CA Standards and Followers'!$A$14:$A$73,0))=1,INDEX('CA Standards and Followers'!$G$14:$G$73,MATCH($A48,'CA Standards and Followers'!$A$14:$A$73,0))&lt;=P$1),INDEX('CA Standards and Followers'!$2:$2,MATCH(P$1,'CA Standards and Followers'!$1:$1,0)),0))</f>
        <v>0.22</v>
      </c>
      <c r="Q48">
        <f>IF(AND(INDEX('CA Standards and Followers'!$E$14:$E$73,MATCH($A48,'CA Standards and Followers'!$A$14:$A$73,0))=1,INDEX('CA Standards and Followers'!$H$14:$H$73,MATCH($A48,'CA Standards and Followers'!$A$14:$A$73,0))&lt;=Q$1),INDEX('CA Standards and Followers'!$3:$3,MATCH(Q$1,'CA Standards and Followers'!$1:$1,0)),IF(AND(INDEX('CA Standards and Followers'!$D$14:$D$73,MATCH($A48,'CA Standards and Followers'!$A$14:$A$73,0))=1,INDEX('CA Standards and Followers'!$G$14:$G$73,MATCH($A48,'CA Standards and Followers'!$A$14:$A$73,0))&lt;=Q$1),INDEX('CA Standards and Followers'!$2:$2,MATCH(Q$1,'CA Standards and Followers'!$1:$1,0)),0))</f>
        <v>0.22</v>
      </c>
      <c r="R48">
        <f>IF(AND(INDEX('CA Standards and Followers'!$E$14:$E$73,MATCH($A48,'CA Standards and Followers'!$A$14:$A$73,0))=1,INDEX('CA Standards and Followers'!$H$14:$H$73,MATCH($A48,'CA Standards and Followers'!$A$14:$A$73,0))&lt;=R$1),INDEX('CA Standards and Followers'!$3:$3,MATCH(R$1,'CA Standards and Followers'!$1:$1,0)),IF(AND(INDEX('CA Standards and Followers'!$D$14:$D$73,MATCH($A48,'CA Standards and Followers'!$A$14:$A$73,0))=1,INDEX('CA Standards and Followers'!$G$14:$G$73,MATCH($A48,'CA Standards and Followers'!$A$14:$A$73,0))&lt;=R$1),INDEX('CA Standards and Followers'!$2:$2,MATCH(R$1,'CA Standards and Followers'!$1:$1,0)),0))</f>
        <v>0.22</v>
      </c>
      <c r="S48">
        <f>IF(AND(INDEX('CA Standards and Followers'!$E$14:$E$73,MATCH($A48,'CA Standards and Followers'!$A$14:$A$73,0))=1,INDEX('CA Standards and Followers'!$H$14:$H$73,MATCH($A48,'CA Standards and Followers'!$A$14:$A$73,0))&lt;=S$1),INDEX('CA Standards and Followers'!$3:$3,MATCH(S$1,'CA Standards and Followers'!$1:$1,0)),IF(AND(INDEX('CA Standards and Followers'!$D$14:$D$73,MATCH($A48,'CA Standards and Followers'!$A$14:$A$73,0))=1,INDEX('CA Standards and Followers'!$G$14:$G$73,MATCH($A48,'CA Standards and Followers'!$A$14:$A$73,0))&lt;=S$1),INDEX('CA Standards and Followers'!$2:$2,MATCH(S$1,'CA Standards and Followers'!$1:$1,0)),0))</f>
        <v>0.22</v>
      </c>
      <c r="T48">
        <f>IF(AND(INDEX('CA Standards and Followers'!$E$14:$E$73,MATCH($A48,'CA Standards and Followers'!$A$14:$A$73,0))=1,INDEX('CA Standards and Followers'!$H$14:$H$73,MATCH($A48,'CA Standards and Followers'!$A$14:$A$73,0))&lt;=T$1),INDEX('CA Standards and Followers'!$3:$3,MATCH(T$1,'CA Standards and Followers'!$1:$1,0)),IF(AND(INDEX('CA Standards and Followers'!$D$14:$D$73,MATCH($A48,'CA Standards and Followers'!$A$14:$A$73,0))=1,INDEX('CA Standards and Followers'!$G$14:$G$73,MATCH($A48,'CA Standards and Followers'!$A$14:$A$73,0))&lt;=T$1),INDEX('CA Standards and Followers'!$2:$2,MATCH(T$1,'CA Standards and Followers'!$1:$1,0)),0))</f>
        <v>0.22</v>
      </c>
      <c r="U48">
        <f>IF(AND(INDEX('CA Standards and Followers'!$E$14:$E$73,MATCH($A48,'CA Standards and Followers'!$A$14:$A$73,0))=1,INDEX('CA Standards and Followers'!$H$14:$H$73,MATCH($A48,'CA Standards and Followers'!$A$14:$A$73,0))&lt;=U$1),INDEX('CA Standards and Followers'!$3:$3,MATCH(U$1,'CA Standards and Followers'!$1:$1,0)),IF(AND(INDEX('CA Standards and Followers'!$D$14:$D$73,MATCH($A48,'CA Standards and Followers'!$A$14:$A$73,0))=1,INDEX('CA Standards and Followers'!$G$14:$G$73,MATCH($A48,'CA Standards and Followers'!$A$14:$A$73,0))&lt;=U$1),INDEX('CA Standards and Followers'!$2:$2,MATCH(U$1,'CA Standards and Followers'!$1:$1,0)),0))</f>
        <v>0.22</v>
      </c>
      <c r="V48">
        <f>IF(AND(INDEX('CA Standards and Followers'!$E$14:$E$73,MATCH($A48,'CA Standards and Followers'!$A$14:$A$73,0))=1,INDEX('CA Standards and Followers'!$H$14:$H$73,MATCH($A48,'CA Standards and Followers'!$A$14:$A$73,0))&lt;=V$1),INDEX('CA Standards and Followers'!$3:$3,MATCH(V$1,'CA Standards and Followers'!$1:$1,0)),IF(AND(INDEX('CA Standards and Followers'!$D$14:$D$73,MATCH($A48,'CA Standards and Followers'!$A$14:$A$73,0))=1,INDEX('CA Standards and Followers'!$G$14:$G$73,MATCH($A48,'CA Standards and Followers'!$A$14:$A$73,0))&lt;=V$1),INDEX('CA Standards and Followers'!$2:$2,MATCH(V$1,'CA Standards and Followers'!$1:$1,0)),0))</f>
        <v>0.22</v>
      </c>
      <c r="W48">
        <f>IF(AND(INDEX('CA Standards and Followers'!$E$14:$E$73,MATCH($A48,'CA Standards and Followers'!$A$14:$A$73,0))=1,INDEX('CA Standards and Followers'!$H$14:$H$73,MATCH($A48,'CA Standards and Followers'!$A$14:$A$73,0))&lt;=W$1),INDEX('CA Standards and Followers'!$3:$3,MATCH(W$1,'CA Standards and Followers'!$1:$1,0)),IF(AND(INDEX('CA Standards and Followers'!$D$14:$D$73,MATCH($A48,'CA Standards and Followers'!$A$14:$A$73,0))=1,INDEX('CA Standards and Followers'!$G$14:$G$73,MATCH($A48,'CA Standards and Followers'!$A$14:$A$73,0))&lt;=W$1),INDEX('CA Standards and Followers'!$2:$2,MATCH(W$1,'CA Standards and Followers'!$1:$1,0)),0))</f>
        <v>0.22</v>
      </c>
      <c r="X48">
        <f>IF(AND(INDEX('CA Standards and Followers'!$E$14:$E$73,MATCH($A48,'CA Standards and Followers'!$A$14:$A$73,0))=1,INDEX('CA Standards and Followers'!$H$14:$H$73,MATCH($A48,'CA Standards and Followers'!$A$14:$A$73,0))&lt;=X$1),INDEX('CA Standards and Followers'!$3:$3,MATCH(X$1,'CA Standards and Followers'!$1:$1,0)),IF(AND(INDEX('CA Standards and Followers'!$D$14:$D$73,MATCH($A48,'CA Standards and Followers'!$A$14:$A$73,0))=1,INDEX('CA Standards and Followers'!$G$14:$G$73,MATCH($A48,'CA Standards and Followers'!$A$14:$A$73,0))&lt;=X$1),INDEX('CA Standards and Followers'!$2:$2,MATCH(X$1,'CA Standards and Followers'!$1:$1,0)),0))</f>
        <v>0.22</v>
      </c>
      <c r="Y48">
        <f>IF(AND(INDEX('CA Standards and Followers'!$E$14:$E$73,MATCH($A48,'CA Standards and Followers'!$A$14:$A$73,0))=1,INDEX('CA Standards and Followers'!$H$14:$H$73,MATCH($A48,'CA Standards and Followers'!$A$14:$A$73,0))&lt;=Y$1),INDEX('CA Standards and Followers'!$3:$3,MATCH(Y$1,'CA Standards and Followers'!$1:$1,0)),IF(AND(INDEX('CA Standards and Followers'!$D$14:$D$73,MATCH($A48,'CA Standards and Followers'!$A$14:$A$73,0))=1,INDEX('CA Standards and Followers'!$G$14:$G$73,MATCH($A48,'CA Standards and Followers'!$A$14:$A$73,0))&lt;=Y$1),INDEX('CA Standards and Followers'!$2:$2,MATCH(Y$1,'CA Standards and Followers'!$1:$1,0)),0))</f>
        <v>0.22</v>
      </c>
      <c r="Z48">
        <f>IF(AND(INDEX('CA Standards and Followers'!$E$14:$E$73,MATCH($A48,'CA Standards and Followers'!$A$14:$A$73,0))=1,INDEX('CA Standards and Followers'!$H$14:$H$73,MATCH($A48,'CA Standards and Followers'!$A$14:$A$73,0))&lt;=Z$1),INDEX('CA Standards and Followers'!$3:$3,MATCH(Z$1,'CA Standards and Followers'!$1:$1,0)),IF(AND(INDEX('CA Standards and Followers'!$D$14:$D$73,MATCH($A48,'CA Standards and Followers'!$A$14:$A$73,0))=1,INDEX('CA Standards and Followers'!$G$14:$G$73,MATCH($A48,'CA Standards and Followers'!$A$14:$A$73,0))&lt;=Z$1),INDEX('CA Standards and Followers'!$2:$2,MATCH(Z$1,'CA Standards and Followers'!$1:$1,0)),0))</f>
        <v>0.22</v>
      </c>
      <c r="AA48">
        <f>IF(AND(INDEX('CA Standards and Followers'!$E$14:$E$73,MATCH($A48,'CA Standards and Followers'!$A$14:$A$73,0))=1,INDEX('CA Standards and Followers'!$H$14:$H$73,MATCH($A48,'CA Standards and Followers'!$A$14:$A$73,0))&lt;=AA$1),INDEX('CA Standards and Followers'!$3:$3,MATCH(AA$1,'CA Standards and Followers'!$1:$1,0)),IF(AND(INDEX('CA Standards and Followers'!$D$14:$D$73,MATCH($A48,'CA Standards and Followers'!$A$14:$A$73,0))=1,INDEX('CA Standards and Followers'!$G$14:$G$73,MATCH($A48,'CA Standards and Followers'!$A$14:$A$73,0))&lt;=AA$1),INDEX('CA Standards and Followers'!$2:$2,MATCH(AA$1,'CA Standards and Followers'!$1:$1,0)),0))</f>
        <v>0.22</v>
      </c>
      <c r="AB48">
        <f>IF(AND(INDEX('CA Standards and Followers'!$E$14:$E$73,MATCH($A48,'CA Standards and Followers'!$A$14:$A$73,0))=1,INDEX('CA Standards and Followers'!$H$14:$H$73,MATCH($A48,'CA Standards and Followers'!$A$14:$A$73,0))&lt;=AB$1),INDEX('CA Standards and Followers'!$3:$3,MATCH(AB$1,'CA Standards and Followers'!$1:$1,0)),IF(AND(INDEX('CA Standards and Followers'!$D$14:$D$73,MATCH($A48,'CA Standards and Followers'!$A$14:$A$73,0))=1,INDEX('CA Standards and Followers'!$G$14:$G$73,MATCH($A48,'CA Standards and Followers'!$A$14:$A$73,0))&lt;=AB$1),INDEX('CA Standards and Followers'!$2:$2,MATCH(AB$1,'CA Standards and Followers'!$1:$1,0)),0))</f>
        <v>0.22</v>
      </c>
      <c r="AC48">
        <f>IF(AND(INDEX('CA Standards and Followers'!$E$14:$E$73,MATCH($A48,'CA Standards and Followers'!$A$14:$A$73,0))=1,INDEX('CA Standards and Followers'!$H$14:$H$73,MATCH($A48,'CA Standards and Followers'!$A$14:$A$73,0))&lt;=AC$1),INDEX('CA Standards and Followers'!$3:$3,MATCH(AC$1,'CA Standards and Followers'!$1:$1,0)),IF(AND(INDEX('CA Standards and Followers'!$D$14:$D$73,MATCH($A48,'CA Standards and Followers'!$A$14:$A$73,0))=1,INDEX('CA Standards and Followers'!$G$14:$G$73,MATCH($A48,'CA Standards and Followers'!$A$14:$A$73,0))&lt;=AC$1),INDEX('CA Standards and Followers'!$2:$2,MATCH(AC$1,'CA Standards and Followers'!$1:$1,0)),0))</f>
        <v>0.22</v>
      </c>
      <c r="AD48">
        <f>IF(AND(INDEX('CA Standards and Followers'!$E$14:$E$73,MATCH($A48,'CA Standards and Followers'!$A$14:$A$73,0))=1,INDEX('CA Standards and Followers'!$H$14:$H$73,MATCH($A48,'CA Standards and Followers'!$A$14:$A$73,0))&lt;=AD$1),INDEX('CA Standards and Followers'!$3:$3,MATCH(AD$1,'CA Standards and Followers'!$1:$1,0)),IF(AND(INDEX('CA Standards and Followers'!$D$14:$D$73,MATCH($A48,'CA Standards and Followers'!$A$14:$A$73,0))=1,INDEX('CA Standards and Followers'!$G$14:$G$73,MATCH($A48,'CA Standards and Followers'!$A$14:$A$73,0))&lt;=AD$1),INDEX('CA Standards and Followers'!$2:$2,MATCH(AD$1,'CA Standards and Followers'!$1:$1,0)),0))</f>
        <v>0.22</v>
      </c>
      <c r="AE48">
        <f>IF(AND(INDEX('CA Standards and Followers'!$E$14:$E$73,MATCH($A48,'CA Standards and Followers'!$A$14:$A$73,0))=1,INDEX('CA Standards and Followers'!$H$14:$H$73,MATCH($A48,'CA Standards and Followers'!$A$14:$A$73,0))&lt;=AE$1),INDEX('CA Standards and Followers'!$3:$3,MATCH(AE$1,'CA Standards and Followers'!$1:$1,0)),IF(AND(INDEX('CA Standards and Followers'!$D$14:$D$73,MATCH($A48,'CA Standards and Followers'!$A$14:$A$73,0))=1,INDEX('CA Standards and Followers'!$G$14:$G$73,MATCH($A48,'CA Standards and Followers'!$A$14:$A$73,0))&lt;=AE$1),INDEX('CA Standards and Followers'!$2:$2,MATCH(AE$1,'CA Standards and Followers'!$1:$1,0)),0))</f>
        <v>0.22</v>
      </c>
      <c r="AF48">
        <f>IF(AND(INDEX('CA Standards and Followers'!$E$14:$E$73,MATCH($A48,'CA Standards and Followers'!$A$14:$A$73,0))=1,INDEX('CA Standards and Followers'!$H$14:$H$73,MATCH($A48,'CA Standards and Followers'!$A$14:$A$73,0))&lt;=AF$1),INDEX('CA Standards and Followers'!$3:$3,MATCH(AF$1,'CA Standards and Followers'!$1:$1,0)),IF(AND(INDEX('CA Standards and Followers'!$D$14:$D$73,MATCH($A48,'CA Standards and Followers'!$A$14:$A$73,0))=1,INDEX('CA Standards and Followers'!$G$14:$G$73,MATCH($A48,'CA Standards and Followers'!$A$14:$A$73,0))&lt;=AF$1),INDEX('CA Standards and Followers'!$2:$2,MATCH(AF$1,'CA Standards and Followers'!$1:$1,0)),0))</f>
        <v>0.22</v>
      </c>
    </row>
    <row r="49" spans="1:32" x14ac:dyDescent="0.25">
      <c r="A49" t="s">
        <v>49</v>
      </c>
      <c r="B49">
        <f>IF(AND(INDEX('CA Standards and Followers'!$E$14:$E$73,MATCH($A49,'CA Standards and Followers'!$A$14:$A$73,0))=1,INDEX('CA Standards and Followers'!$H$14:$H$73,MATCH($A49,'CA Standards and Followers'!$A$14:$A$73,0))&lt;=B$1),INDEX('CA Standards and Followers'!$3:$3,MATCH(B$1,'CA Standards and Followers'!$1:$1,0)),IF(AND(INDEX('CA Standards and Followers'!$D$14:$D$73,MATCH($A49,'CA Standards and Followers'!$A$14:$A$73,0))=1,INDEX('CA Standards and Followers'!$G$14:$G$73,MATCH($A49,'CA Standards and Followers'!$A$14:$A$73,0))&lt;=B$1),INDEX('CA Standards and Followers'!$2:$2,MATCH(B$1,'CA Standards and Followers'!$1:$1,0)),0))</f>
        <v>0</v>
      </c>
      <c r="C49">
        <f>IF(AND(INDEX('CA Standards and Followers'!$E$14:$E$73,MATCH($A49,'CA Standards and Followers'!$A$14:$A$73,0))=1,INDEX('CA Standards and Followers'!$H$14:$H$73,MATCH($A49,'CA Standards and Followers'!$A$14:$A$73,0))&lt;=C$1),INDEX('CA Standards and Followers'!$3:$3,MATCH(C$1,'CA Standards and Followers'!$1:$1,0)),IF(AND(INDEX('CA Standards and Followers'!$D$14:$D$73,MATCH($A49,'CA Standards and Followers'!$A$14:$A$73,0))=1,INDEX('CA Standards and Followers'!$G$14:$G$73,MATCH($A49,'CA Standards and Followers'!$A$14:$A$73,0))&lt;=C$1),INDEX('CA Standards and Followers'!$2:$2,MATCH(C$1,'CA Standards and Followers'!$1:$1,0)),0))</f>
        <v>0</v>
      </c>
      <c r="D49">
        <f>IF(AND(INDEX('CA Standards and Followers'!$E$14:$E$73,MATCH($A49,'CA Standards and Followers'!$A$14:$A$73,0))=1,INDEX('CA Standards and Followers'!$H$14:$H$73,MATCH($A49,'CA Standards and Followers'!$A$14:$A$73,0))&lt;=D$1),INDEX('CA Standards and Followers'!$3:$3,MATCH(D$1,'CA Standards and Followers'!$1:$1,0)),IF(AND(INDEX('CA Standards and Followers'!$D$14:$D$73,MATCH($A49,'CA Standards and Followers'!$A$14:$A$73,0))=1,INDEX('CA Standards and Followers'!$G$14:$G$73,MATCH($A49,'CA Standards and Followers'!$A$14:$A$73,0))&lt;=D$1),INDEX('CA Standards and Followers'!$2:$2,MATCH(D$1,'CA Standards and Followers'!$1:$1,0)),0))</f>
        <v>0</v>
      </c>
      <c r="E49">
        <f>IF(AND(INDEX('CA Standards and Followers'!$E$14:$E$73,MATCH($A49,'CA Standards and Followers'!$A$14:$A$73,0))=1,INDEX('CA Standards and Followers'!$H$14:$H$73,MATCH($A49,'CA Standards and Followers'!$A$14:$A$73,0))&lt;=E$1),INDEX('CA Standards and Followers'!$3:$3,MATCH(E$1,'CA Standards and Followers'!$1:$1,0)),IF(AND(INDEX('CA Standards and Followers'!$D$14:$D$73,MATCH($A49,'CA Standards and Followers'!$A$14:$A$73,0))=1,INDEX('CA Standards and Followers'!$G$14:$G$73,MATCH($A49,'CA Standards and Followers'!$A$14:$A$73,0))&lt;=E$1),INDEX('CA Standards and Followers'!$2:$2,MATCH(E$1,'CA Standards and Followers'!$1:$1,0)),0))</f>
        <v>0</v>
      </c>
      <c r="F49">
        <f>IF(AND(INDEX('CA Standards and Followers'!$E$14:$E$73,MATCH($A49,'CA Standards and Followers'!$A$14:$A$73,0))=1,INDEX('CA Standards and Followers'!$H$14:$H$73,MATCH($A49,'CA Standards and Followers'!$A$14:$A$73,0))&lt;=F$1),INDEX('CA Standards and Followers'!$3:$3,MATCH(F$1,'CA Standards and Followers'!$1:$1,0)),IF(AND(INDEX('CA Standards and Followers'!$D$14:$D$73,MATCH($A49,'CA Standards and Followers'!$A$14:$A$73,0))=1,INDEX('CA Standards and Followers'!$G$14:$G$73,MATCH($A49,'CA Standards and Followers'!$A$14:$A$73,0))&lt;=F$1),INDEX('CA Standards and Followers'!$2:$2,MATCH(F$1,'CA Standards and Followers'!$1:$1,0)),0))</f>
        <v>0</v>
      </c>
      <c r="G49">
        <f>IF(AND(INDEX('CA Standards and Followers'!$E$14:$E$73,MATCH($A49,'CA Standards and Followers'!$A$14:$A$73,0))=1,INDEX('CA Standards and Followers'!$H$14:$H$73,MATCH($A49,'CA Standards and Followers'!$A$14:$A$73,0))&lt;=G$1),INDEX('CA Standards and Followers'!$3:$3,MATCH(G$1,'CA Standards and Followers'!$1:$1,0)),IF(AND(INDEX('CA Standards and Followers'!$D$14:$D$73,MATCH($A49,'CA Standards and Followers'!$A$14:$A$73,0))=1,INDEX('CA Standards and Followers'!$G$14:$G$73,MATCH($A49,'CA Standards and Followers'!$A$14:$A$73,0))&lt;=G$1),INDEX('CA Standards and Followers'!$2:$2,MATCH(G$1,'CA Standards and Followers'!$1:$1,0)),0))</f>
        <v>0.21999999999999997</v>
      </c>
      <c r="H49">
        <f>IF(AND(INDEX('CA Standards and Followers'!$E$14:$E$73,MATCH($A49,'CA Standards and Followers'!$A$14:$A$73,0))=1,INDEX('CA Standards and Followers'!$H$14:$H$73,MATCH($A49,'CA Standards and Followers'!$A$14:$A$73,0))&lt;=H$1),INDEX('CA Standards and Followers'!$3:$3,MATCH(H$1,'CA Standards and Followers'!$1:$1,0)),IF(AND(INDEX('CA Standards and Followers'!$D$14:$D$73,MATCH($A49,'CA Standards and Followers'!$A$14:$A$73,0))=1,INDEX('CA Standards and Followers'!$G$14:$G$73,MATCH($A49,'CA Standards and Followers'!$A$14:$A$73,0))&lt;=H$1),INDEX('CA Standards and Followers'!$2:$2,MATCH(H$1,'CA Standards and Followers'!$1:$1,0)),0))</f>
        <v>0.22</v>
      </c>
      <c r="I49">
        <f>IF(AND(INDEX('CA Standards and Followers'!$E$14:$E$73,MATCH($A49,'CA Standards and Followers'!$A$14:$A$73,0))=1,INDEX('CA Standards and Followers'!$H$14:$H$73,MATCH($A49,'CA Standards and Followers'!$A$14:$A$73,0))&lt;=I$1),INDEX('CA Standards and Followers'!$3:$3,MATCH(I$1,'CA Standards and Followers'!$1:$1,0)),IF(AND(INDEX('CA Standards and Followers'!$D$14:$D$73,MATCH($A49,'CA Standards and Followers'!$A$14:$A$73,0))=1,INDEX('CA Standards and Followers'!$G$14:$G$73,MATCH($A49,'CA Standards and Followers'!$A$14:$A$73,0))&lt;=I$1),INDEX('CA Standards and Followers'!$2:$2,MATCH(I$1,'CA Standards and Followers'!$1:$1,0)),0))</f>
        <v>0.22</v>
      </c>
      <c r="J49">
        <f>IF(AND(INDEX('CA Standards and Followers'!$E$14:$E$73,MATCH($A49,'CA Standards and Followers'!$A$14:$A$73,0))=1,INDEX('CA Standards and Followers'!$H$14:$H$73,MATCH($A49,'CA Standards and Followers'!$A$14:$A$73,0))&lt;=J$1),INDEX('CA Standards and Followers'!$3:$3,MATCH(J$1,'CA Standards and Followers'!$1:$1,0)),IF(AND(INDEX('CA Standards and Followers'!$D$14:$D$73,MATCH($A49,'CA Standards and Followers'!$A$14:$A$73,0))=1,INDEX('CA Standards and Followers'!$G$14:$G$73,MATCH($A49,'CA Standards and Followers'!$A$14:$A$73,0))&lt;=J$1),INDEX('CA Standards and Followers'!$2:$2,MATCH(J$1,'CA Standards and Followers'!$1:$1,0)),0))</f>
        <v>0.22</v>
      </c>
      <c r="K49">
        <f>IF(AND(INDEX('CA Standards and Followers'!$E$14:$E$73,MATCH($A49,'CA Standards and Followers'!$A$14:$A$73,0))=1,INDEX('CA Standards and Followers'!$H$14:$H$73,MATCH($A49,'CA Standards and Followers'!$A$14:$A$73,0))&lt;=K$1),INDEX('CA Standards and Followers'!$3:$3,MATCH(K$1,'CA Standards and Followers'!$1:$1,0)),IF(AND(INDEX('CA Standards and Followers'!$D$14:$D$73,MATCH($A49,'CA Standards and Followers'!$A$14:$A$73,0))=1,INDEX('CA Standards and Followers'!$G$14:$G$73,MATCH($A49,'CA Standards and Followers'!$A$14:$A$73,0))&lt;=K$1),INDEX('CA Standards and Followers'!$2:$2,MATCH(K$1,'CA Standards and Followers'!$1:$1,0)),0))</f>
        <v>0.22</v>
      </c>
      <c r="L49">
        <f>IF(AND(INDEX('CA Standards and Followers'!$E$14:$E$73,MATCH($A49,'CA Standards and Followers'!$A$14:$A$73,0))=1,INDEX('CA Standards and Followers'!$H$14:$H$73,MATCH($A49,'CA Standards and Followers'!$A$14:$A$73,0))&lt;=L$1),INDEX('CA Standards and Followers'!$3:$3,MATCH(L$1,'CA Standards and Followers'!$1:$1,0)),IF(AND(INDEX('CA Standards and Followers'!$D$14:$D$73,MATCH($A49,'CA Standards and Followers'!$A$14:$A$73,0))=1,INDEX('CA Standards and Followers'!$G$14:$G$73,MATCH($A49,'CA Standards and Followers'!$A$14:$A$73,0))&lt;=L$1),INDEX('CA Standards and Followers'!$2:$2,MATCH(L$1,'CA Standards and Followers'!$1:$1,0)),0))</f>
        <v>0.22</v>
      </c>
      <c r="M49">
        <f>IF(AND(INDEX('CA Standards and Followers'!$E$14:$E$73,MATCH($A49,'CA Standards and Followers'!$A$14:$A$73,0))=1,INDEX('CA Standards and Followers'!$H$14:$H$73,MATCH($A49,'CA Standards and Followers'!$A$14:$A$73,0))&lt;=M$1),INDEX('CA Standards and Followers'!$3:$3,MATCH(M$1,'CA Standards and Followers'!$1:$1,0)),IF(AND(INDEX('CA Standards and Followers'!$D$14:$D$73,MATCH($A49,'CA Standards and Followers'!$A$14:$A$73,0))=1,INDEX('CA Standards and Followers'!$G$14:$G$73,MATCH($A49,'CA Standards and Followers'!$A$14:$A$73,0))&lt;=M$1),INDEX('CA Standards and Followers'!$2:$2,MATCH(M$1,'CA Standards and Followers'!$1:$1,0)),0))</f>
        <v>0.22</v>
      </c>
      <c r="N49">
        <f>IF(AND(INDEX('CA Standards and Followers'!$E$14:$E$73,MATCH($A49,'CA Standards and Followers'!$A$14:$A$73,0))=1,INDEX('CA Standards and Followers'!$H$14:$H$73,MATCH($A49,'CA Standards and Followers'!$A$14:$A$73,0))&lt;=N$1),INDEX('CA Standards and Followers'!$3:$3,MATCH(N$1,'CA Standards and Followers'!$1:$1,0)),IF(AND(INDEX('CA Standards and Followers'!$D$14:$D$73,MATCH($A49,'CA Standards and Followers'!$A$14:$A$73,0))=1,INDEX('CA Standards and Followers'!$G$14:$G$73,MATCH($A49,'CA Standards and Followers'!$A$14:$A$73,0))&lt;=N$1),INDEX('CA Standards and Followers'!$2:$2,MATCH(N$1,'CA Standards and Followers'!$1:$1,0)),0))</f>
        <v>0.22</v>
      </c>
      <c r="O49">
        <f>IF(AND(INDEX('CA Standards and Followers'!$E$14:$E$73,MATCH($A49,'CA Standards and Followers'!$A$14:$A$73,0))=1,INDEX('CA Standards and Followers'!$H$14:$H$73,MATCH($A49,'CA Standards and Followers'!$A$14:$A$73,0))&lt;=O$1),INDEX('CA Standards and Followers'!$3:$3,MATCH(O$1,'CA Standards and Followers'!$1:$1,0)),IF(AND(INDEX('CA Standards and Followers'!$D$14:$D$73,MATCH($A49,'CA Standards and Followers'!$A$14:$A$73,0))=1,INDEX('CA Standards and Followers'!$G$14:$G$73,MATCH($A49,'CA Standards and Followers'!$A$14:$A$73,0))&lt;=O$1),INDEX('CA Standards and Followers'!$2:$2,MATCH(O$1,'CA Standards and Followers'!$1:$1,0)),0))</f>
        <v>0.22</v>
      </c>
      <c r="P49">
        <f>IF(AND(INDEX('CA Standards and Followers'!$E$14:$E$73,MATCH($A49,'CA Standards and Followers'!$A$14:$A$73,0))=1,INDEX('CA Standards and Followers'!$H$14:$H$73,MATCH($A49,'CA Standards and Followers'!$A$14:$A$73,0))&lt;=P$1),INDEX('CA Standards and Followers'!$3:$3,MATCH(P$1,'CA Standards and Followers'!$1:$1,0)),IF(AND(INDEX('CA Standards and Followers'!$D$14:$D$73,MATCH($A49,'CA Standards and Followers'!$A$14:$A$73,0))=1,INDEX('CA Standards and Followers'!$G$14:$G$73,MATCH($A49,'CA Standards and Followers'!$A$14:$A$73,0))&lt;=P$1),INDEX('CA Standards and Followers'!$2:$2,MATCH(P$1,'CA Standards and Followers'!$1:$1,0)),0))</f>
        <v>0.22</v>
      </c>
      <c r="Q49">
        <f>IF(AND(INDEX('CA Standards and Followers'!$E$14:$E$73,MATCH($A49,'CA Standards and Followers'!$A$14:$A$73,0))=1,INDEX('CA Standards and Followers'!$H$14:$H$73,MATCH($A49,'CA Standards and Followers'!$A$14:$A$73,0))&lt;=Q$1),INDEX('CA Standards and Followers'!$3:$3,MATCH(Q$1,'CA Standards and Followers'!$1:$1,0)),IF(AND(INDEX('CA Standards and Followers'!$D$14:$D$73,MATCH($A49,'CA Standards and Followers'!$A$14:$A$73,0))=1,INDEX('CA Standards and Followers'!$G$14:$G$73,MATCH($A49,'CA Standards and Followers'!$A$14:$A$73,0))&lt;=Q$1),INDEX('CA Standards and Followers'!$2:$2,MATCH(Q$1,'CA Standards and Followers'!$1:$1,0)),0))</f>
        <v>0.22</v>
      </c>
      <c r="R49">
        <f>IF(AND(INDEX('CA Standards and Followers'!$E$14:$E$73,MATCH($A49,'CA Standards and Followers'!$A$14:$A$73,0))=1,INDEX('CA Standards and Followers'!$H$14:$H$73,MATCH($A49,'CA Standards and Followers'!$A$14:$A$73,0))&lt;=R$1),INDEX('CA Standards and Followers'!$3:$3,MATCH(R$1,'CA Standards and Followers'!$1:$1,0)),IF(AND(INDEX('CA Standards and Followers'!$D$14:$D$73,MATCH($A49,'CA Standards and Followers'!$A$14:$A$73,0))=1,INDEX('CA Standards and Followers'!$G$14:$G$73,MATCH($A49,'CA Standards and Followers'!$A$14:$A$73,0))&lt;=R$1),INDEX('CA Standards and Followers'!$2:$2,MATCH(R$1,'CA Standards and Followers'!$1:$1,0)),0))</f>
        <v>0.22</v>
      </c>
      <c r="S49">
        <f>IF(AND(INDEX('CA Standards and Followers'!$E$14:$E$73,MATCH($A49,'CA Standards and Followers'!$A$14:$A$73,0))=1,INDEX('CA Standards and Followers'!$H$14:$H$73,MATCH($A49,'CA Standards and Followers'!$A$14:$A$73,0))&lt;=S$1),INDEX('CA Standards and Followers'!$3:$3,MATCH(S$1,'CA Standards and Followers'!$1:$1,0)),IF(AND(INDEX('CA Standards and Followers'!$D$14:$D$73,MATCH($A49,'CA Standards and Followers'!$A$14:$A$73,0))=1,INDEX('CA Standards and Followers'!$G$14:$G$73,MATCH($A49,'CA Standards and Followers'!$A$14:$A$73,0))&lt;=S$1),INDEX('CA Standards and Followers'!$2:$2,MATCH(S$1,'CA Standards and Followers'!$1:$1,0)),0))</f>
        <v>0.22</v>
      </c>
      <c r="T49">
        <f>IF(AND(INDEX('CA Standards and Followers'!$E$14:$E$73,MATCH($A49,'CA Standards and Followers'!$A$14:$A$73,0))=1,INDEX('CA Standards and Followers'!$H$14:$H$73,MATCH($A49,'CA Standards and Followers'!$A$14:$A$73,0))&lt;=T$1),INDEX('CA Standards and Followers'!$3:$3,MATCH(T$1,'CA Standards and Followers'!$1:$1,0)),IF(AND(INDEX('CA Standards and Followers'!$D$14:$D$73,MATCH($A49,'CA Standards and Followers'!$A$14:$A$73,0))=1,INDEX('CA Standards and Followers'!$G$14:$G$73,MATCH($A49,'CA Standards and Followers'!$A$14:$A$73,0))&lt;=T$1),INDEX('CA Standards and Followers'!$2:$2,MATCH(T$1,'CA Standards and Followers'!$1:$1,0)),0))</f>
        <v>0.22</v>
      </c>
      <c r="U49">
        <f>IF(AND(INDEX('CA Standards and Followers'!$E$14:$E$73,MATCH($A49,'CA Standards and Followers'!$A$14:$A$73,0))=1,INDEX('CA Standards and Followers'!$H$14:$H$73,MATCH($A49,'CA Standards and Followers'!$A$14:$A$73,0))&lt;=U$1),INDEX('CA Standards and Followers'!$3:$3,MATCH(U$1,'CA Standards and Followers'!$1:$1,0)),IF(AND(INDEX('CA Standards and Followers'!$D$14:$D$73,MATCH($A49,'CA Standards and Followers'!$A$14:$A$73,0))=1,INDEX('CA Standards and Followers'!$G$14:$G$73,MATCH($A49,'CA Standards and Followers'!$A$14:$A$73,0))&lt;=U$1),INDEX('CA Standards and Followers'!$2:$2,MATCH(U$1,'CA Standards and Followers'!$1:$1,0)),0))</f>
        <v>0.22</v>
      </c>
      <c r="V49">
        <f>IF(AND(INDEX('CA Standards and Followers'!$E$14:$E$73,MATCH($A49,'CA Standards and Followers'!$A$14:$A$73,0))=1,INDEX('CA Standards and Followers'!$H$14:$H$73,MATCH($A49,'CA Standards and Followers'!$A$14:$A$73,0))&lt;=V$1),INDEX('CA Standards and Followers'!$3:$3,MATCH(V$1,'CA Standards and Followers'!$1:$1,0)),IF(AND(INDEX('CA Standards and Followers'!$D$14:$D$73,MATCH($A49,'CA Standards and Followers'!$A$14:$A$73,0))=1,INDEX('CA Standards and Followers'!$G$14:$G$73,MATCH($A49,'CA Standards and Followers'!$A$14:$A$73,0))&lt;=V$1),INDEX('CA Standards and Followers'!$2:$2,MATCH(V$1,'CA Standards and Followers'!$1:$1,0)),0))</f>
        <v>0.22</v>
      </c>
      <c r="W49">
        <f>IF(AND(INDEX('CA Standards and Followers'!$E$14:$E$73,MATCH($A49,'CA Standards and Followers'!$A$14:$A$73,0))=1,INDEX('CA Standards and Followers'!$H$14:$H$73,MATCH($A49,'CA Standards and Followers'!$A$14:$A$73,0))&lt;=W$1),INDEX('CA Standards and Followers'!$3:$3,MATCH(W$1,'CA Standards and Followers'!$1:$1,0)),IF(AND(INDEX('CA Standards and Followers'!$D$14:$D$73,MATCH($A49,'CA Standards and Followers'!$A$14:$A$73,0))=1,INDEX('CA Standards and Followers'!$G$14:$G$73,MATCH($A49,'CA Standards and Followers'!$A$14:$A$73,0))&lt;=W$1),INDEX('CA Standards and Followers'!$2:$2,MATCH(W$1,'CA Standards and Followers'!$1:$1,0)),0))</f>
        <v>0.22</v>
      </c>
      <c r="X49">
        <f>IF(AND(INDEX('CA Standards and Followers'!$E$14:$E$73,MATCH($A49,'CA Standards and Followers'!$A$14:$A$73,0))=1,INDEX('CA Standards and Followers'!$H$14:$H$73,MATCH($A49,'CA Standards and Followers'!$A$14:$A$73,0))&lt;=X$1),INDEX('CA Standards and Followers'!$3:$3,MATCH(X$1,'CA Standards and Followers'!$1:$1,0)),IF(AND(INDEX('CA Standards and Followers'!$D$14:$D$73,MATCH($A49,'CA Standards and Followers'!$A$14:$A$73,0))=1,INDEX('CA Standards and Followers'!$G$14:$G$73,MATCH($A49,'CA Standards and Followers'!$A$14:$A$73,0))&lt;=X$1),INDEX('CA Standards and Followers'!$2:$2,MATCH(X$1,'CA Standards and Followers'!$1:$1,0)),0))</f>
        <v>0.22</v>
      </c>
      <c r="Y49">
        <f>IF(AND(INDEX('CA Standards and Followers'!$E$14:$E$73,MATCH($A49,'CA Standards and Followers'!$A$14:$A$73,0))=1,INDEX('CA Standards and Followers'!$H$14:$H$73,MATCH($A49,'CA Standards and Followers'!$A$14:$A$73,0))&lt;=Y$1),INDEX('CA Standards and Followers'!$3:$3,MATCH(Y$1,'CA Standards and Followers'!$1:$1,0)),IF(AND(INDEX('CA Standards and Followers'!$D$14:$D$73,MATCH($A49,'CA Standards and Followers'!$A$14:$A$73,0))=1,INDEX('CA Standards and Followers'!$G$14:$G$73,MATCH($A49,'CA Standards and Followers'!$A$14:$A$73,0))&lt;=Y$1),INDEX('CA Standards and Followers'!$2:$2,MATCH(Y$1,'CA Standards and Followers'!$1:$1,0)),0))</f>
        <v>0.22</v>
      </c>
      <c r="Z49">
        <f>IF(AND(INDEX('CA Standards and Followers'!$E$14:$E$73,MATCH($A49,'CA Standards and Followers'!$A$14:$A$73,0))=1,INDEX('CA Standards and Followers'!$H$14:$H$73,MATCH($A49,'CA Standards and Followers'!$A$14:$A$73,0))&lt;=Z$1),INDEX('CA Standards and Followers'!$3:$3,MATCH(Z$1,'CA Standards and Followers'!$1:$1,0)),IF(AND(INDEX('CA Standards and Followers'!$D$14:$D$73,MATCH($A49,'CA Standards and Followers'!$A$14:$A$73,0))=1,INDEX('CA Standards and Followers'!$G$14:$G$73,MATCH($A49,'CA Standards and Followers'!$A$14:$A$73,0))&lt;=Z$1),INDEX('CA Standards and Followers'!$2:$2,MATCH(Z$1,'CA Standards and Followers'!$1:$1,0)),0))</f>
        <v>0.22</v>
      </c>
      <c r="AA49">
        <f>IF(AND(INDEX('CA Standards and Followers'!$E$14:$E$73,MATCH($A49,'CA Standards and Followers'!$A$14:$A$73,0))=1,INDEX('CA Standards and Followers'!$H$14:$H$73,MATCH($A49,'CA Standards and Followers'!$A$14:$A$73,0))&lt;=AA$1),INDEX('CA Standards and Followers'!$3:$3,MATCH(AA$1,'CA Standards and Followers'!$1:$1,0)),IF(AND(INDEX('CA Standards and Followers'!$D$14:$D$73,MATCH($A49,'CA Standards and Followers'!$A$14:$A$73,0))=1,INDEX('CA Standards and Followers'!$G$14:$G$73,MATCH($A49,'CA Standards and Followers'!$A$14:$A$73,0))&lt;=AA$1),INDEX('CA Standards and Followers'!$2:$2,MATCH(AA$1,'CA Standards and Followers'!$1:$1,0)),0))</f>
        <v>0.22</v>
      </c>
      <c r="AB49">
        <f>IF(AND(INDEX('CA Standards and Followers'!$E$14:$E$73,MATCH($A49,'CA Standards and Followers'!$A$14:$A$73,0))=1,INDEX('CA Standards and Followers'!$H$14:$H$73,MATCH($A49,'CA Standards and Followers'!$A$14:$A$73,0))&lt;=AB$1),INDEX('CA Standards and Followers'!$3:$3,MATCH(AB$1,'CA Standards and Followers'!$1:$1,0)),IF(AND(INDEX('CA Standards and Followers'!$D$14:$D$73,MATCH($A49,'CA Standards and Followers'!$A$14:$A$73,0))=1,INDEX('CA Standards and Followers'!$G$14:$G$73,MATCH($A49,'CA Standards and Followers'!$A$14:$A$73,0))&lt;=AB$1),INDEX('CA Standards and Followers'!$2:$2,MATCH(AB$1,'CA Standards and Followers'!$1:$1,0)),0))</f>
        <v>0.22</v>
      </c>
      <c r="AC49">
        <f>IF(AND(INDEX('CA Standards and Followers'!$E$14:$E$73,MATCH($A49,'CA Standards and Followers'!$A$14:$A$73,0))=1,INDEX('CA Standards and Followers'!$H$14:$H$73,MATCH($A49,'CA Standards and Followers'!$A$14:$A$73,0))&lt;=AC$1),INDEX('CA Standards and Followers'!$3:$3,MATCH(AC$1,'CA Standards and Followers'!$1:$1,0)),IF(AND(INDEX('CA Standards and Followers'!$D$14:$D$73,MATCH($A49,'CA Standards and Followers'!$A$14:$A$73,0))=1,INDEX('CA Standards and Followers'!$G$14:$G$73,MATCH($A49,'CA Standards and Followers'!$A$14:$A$73,0))&lt;=AC$1),INDEX('CA Standards and Followers'!$2:$2,MATCH(AC$1,'CA Standards and Followers'!$1:$1,0)),0))</f>
        <v>0.22</v>
      </c>
      <c r="AD49">
        <f>IF(AND(INDEX('CA Standards and Followers'!$E$14:$E$73,MATCH($A49,'CA Standards and Followers'!$A$14:$A$73,0))=1,INDEX('CA Standards and Followers'!$H$14:$H$73,MATCH($A49,'CA Standards and Followers'!$A$14:$A$73,0))&lt;=AD$1),INDEX('CA Standards and Followers'!$3:$3,MATCH(AD$1,'CA Standards and Followers'!$1:$1,0)),IF(AND(INDEX('CA Standards and Followers'!$D$14:$D$73,MATCH($A49,'CA Standards and Followers'!$A$14:$A$73,0))=1,INDEX('CA Standards and Followers'!$G$14:$G$73,MATCH($A49,'CA Standards and Followers'!$A$14:$A$73,0))&lt;=AD$1),INDEX('CA Standards and Followers'!$2:$2,MATCH(AD$1,'CA Standards and Followers'!$1:$1,0)),0))</f>
        <v>0.22</v>
      </c>
      <c r="AE49">
        <f>IF(AND(INDEX('CA Standards and Followers'!$E$14:$E$73,MATCH($A49,'CA Standards and Followers'!$A$14:$A$73,0))=1,INDEX('CA Standards and Followers'!$H$14:$H$73,MATCH($A49,'CA Standards and Followers'!$A$14:$A$73,0))&lt;=AE$1),INDEX('CA Standards and Followers'!$3:$3,MATCH(AE$1,'CA Standards and Followers'!$1:$1,0)),IF(AND(INDEX('CA Standards and Followers'!$D$14:$D$73,MATCH($A49,'CA Standards and Followers'!$A$14:$A$73,0))=1,INDEX('CA Standards and Followers'!$G$14:$G$73,MATCH($A49,'CA Standards and Followers'!$A$14:$A$73,0))&lt;=AE$1),INDEX('CA Standards and Followers'!$2:$2,MATCH(AE$1,'CA Standards and Followers'!$1:$1,0)),0))</f>
        <v>0.22</v>
      </c>
      <c r="AF49">
        <f>IF(AND(INDEX('CA Standards and Followers'!$E$14:$E$73,MATCH($A49,'CA Standards and Followers'!$A$14:$A$73,0))=1,INDEX('CA Standards and Followers'!$H$14:$H$73,MATCH($A49,'CA Standards and Followers'!$A$14:$A$73,0))&lt;=AF$1),INDEX('CA Standards and Followers'!$3:$3,MATCH(AF$1,'CA Standards and Followers'!$1:$1,0)),IF(AND(INDEX('CA Standards and Followers'!$D$14:$D$73,MATCH($A49,'CA Standards and Followers'!$A$14:$A$73,0))=1,INDEX('CA Standards and Followers'!$G$14:$G$73,MATCH($A49,'CA Standards and Followers'!$A$14:$A$73,0))&lt;=AF$1),INDEX('CA Standards and Followers'!$2:$2,MATCH(AF$1,'CA Standards and Followers'!$1:$1,0)),0))</f>
        <v>0.22</v>
      </c>
    </row>
    <row r="50" spans="1:32" x14ac:dyDescent="0.25">
      <c r="A50" t="s">
        <v>50</v>
      </c>
      <c r="B50">
        <f>IF(AND(INDEX('CA Standards and Followers'!$E$14:$E$73,MATCH($A50,'CA Standards and Followers'!$A$14:$A$73,0))=1,INDEX('CA Standards and Followers'!$H$14:$H$73,MATCH($A50,'CA Standards and Followers'!$A$14:$A$73,0))&lt;=B$1),INDEX('CA Standards and Followers'!$3:$3,MATCH(B$1,'CA Standards and Followers'!$1:$1,0)),IF(AND(INDEX('CA Standards and Followers'!$D$14:$D$73,MATCH($A50,'CA Standards and Followers'!$A$14:$A$73,0))=1,INDEX('CA Standards and Followers'!$G$14:$G$73,MATCH($A50,'CA Standards and Followers'!$A$14:$A$73,0))&lt;=B$1),INDEX('CA Standards and Followers'!$2:$2,MATCH(B$1,'CA Standards and Followers'!$1:$1,0)),0))</f>
        <v>0</v>
      </c>
      <c r="C50">
        <f>IF(AND(INDEX('CA Standards and Followers'!$E$14:$E$73,MATCH($A50,'CA Standards and Followers'!$A$14:$A$73,0))=1,INDEX('CA Standards and Followers'!$H$14:$H$73,MATCH($A50,'CA Standards and Followers'!$A$14:$A$73,0))&lt;=C$1),INDEX('CA Standards and Followers'!$3:$3,MATCH(C$1,'CA Standards and Followers'!$1:$1,0)),IF(AND(INDEX('CA Standards and Followers'!$D$14:$D$73,MATCH($A50,'CA Standards and Followers'!$A$14:$A$73,0))=1,INDEX('CA Standards and Followers'!$G$14:$G$73,MATCH($A50,'CA Standards and Followers'!$A$14:$A$73,0))&lt;=C$1),INDEX('CA Standards and Followers'!$2:$2,MATCH(C$1,'CA Standards and Followers'!$1:$1,0)),0))</f>
        <v>0</v>
      </c>
      <c r="D50">
        <f>IF(AND(INDEX('CA Standards and Followers'!$E$14:$E$73,MATCH($A50,'CA Standards and Followers'!$A$14:$A$73,0))=1,INDEX('CA Standards and Followers'!$H$14:$H$73,MATCH($A50,'CA Standards and Followers'!$A$14:$A$73,0))&lt;=D$1),INDEX('CA Standards and Followers'!$3:$3,MATCH(D$1,'CA Standards and Followers'!$1:$1,0)),IF(AND(INDEX('CA Standards and Followers'!$D$14:$D$73,MATCH($A50,'CA Standards and Followers'!$A$14:$A$73,0))=1,INDEX('CA Standards and Followers'!$G$14:$G$73,MATCH($A50,'CA Standards and Followers'!$A$14:$A$73,0))&lt;=D$1),INDEX('CA Standards and Followers'!$2:$2,MATCH(D$1,'CA Standards and Followers'!$1:$1,0)),0))</f>
        <v>0</v>
      </c>
      <c r="E50">
        <f>IF(AND(INDEX('CA Standards and Followers'!$E$14:$E$73,MATCH($A50,'CA Standards and Followers'!$A$14:$A$73,0))=1,INDEX('CA Standards and Followers'!$H$14:$H$73,MATCH($A50,'CA Standards and Followers'!$A$14:$A$73,0))&lt;=E$1),INDEX('CA Standards and Followers'!$3:$3,MATCH(E$1,'CA Standards and Followers'!$1:$1,0)),IF(AND(INDEX('CA Standards and Followers'!$D$14:$D$73,MATCH($A50,'CA Standards and Followers'!$A$14:$A$73,0))=1,INDEX('CA Standards and Followers'!$G$14:$G$73,MATCH($A50,'CA Standards and Followers'!$A$14:$A$73,0))&lt;=E$1),INDEX('CA Standards and Followers'!$2:$2,MATCH(E$1,'CA Standards and Followers'!$1:$1,0)),0))</f>
        <v>0</v>
      </c>
      <c r="F50">
        <f>IF(AND(INDEX('CA Standards and Followers'!$E$14:$E$73,MATCH($A50,'CA Standards and Followers'!$A$14:$A$73,0))=1,INDEX('CA Standards and Followers'!$H$14:$H$73,MATCH($A50,'CA Standards and Followers'!$A$14:$A$73,0))&lt;=F$1),INDEX('CA Standards and Followers'!$3:$3,MATCH(F$1,'CA Standards and Followers'!$1:$1,0)),IF(AND(INDEX('CA Standards and Followers'!$D$14:$D$73,MATCH($A50,'CA Standards and Followers'!$A$14:$A$73,0))=1,INDEX('CA Standards and Followers'!$G$14:$G$73,MATCH($A50,'CA Standards and Followers'!$A$14:$A$73,0))&lt;=F$1),INDEX('CA Standards and Followers'!$2:$2,MATCH(F$1,'CA Standards and Followers'!$1:$1,0)),0))</f>
        <v>0</v>
      </c>
      <c r="G50">
        <f>IF(AND(INDEX('CA Standards and Followers'!$E$14:$E$73,MATCH($A50,'CA Standards and Followers'!$A$14:$A$73,0))=1,INDEX('CA Standards and Followers'!$H$14:$H$73,MATCH($A50,'CA Standards and Followers'!$A$14:$A$73,0))&lt;=G$1),INDEX('CA Standards and Followers'!$3:$3,MATCH(G$1,'CA Standards and Followers'!$1:$1,0)),IF(AND(INDEX('CA Standards and Followers'!$D$14:$D$73,MATCH($A50,'CA Standards and Followers'!$A$14:$A$73,0))=1,INDEX('CA Standards and Followers'!$G$14:$G$73,MATCH($A50,'CA Standards and Followers'!$A$14:$A$73,0))&lt;=G$1),INDEX('CA Standards and Followers'!$2:$2,MATCH(G$1,'CA Standards and Followers'!$1:$1,0)),0))</f>
        <v>0</v>
      </c>
      <c r="H50">
        <f>IF(AND(INDEX('CA Standards and Followers'!$E$14:$E$73,MATCH($A50,'CA Standards and Followers'!$A$14:$A$73,0))=1,INDEX('CA Standards and Followers'!$H$14:$H$73,MATCH($A50,'CA Standards and Followers'!$A$14:$A$73,0))&lt;=H$1),INDEX('CA Standards and Followers'!$3:$3,MATCH(H$1,'CA Standards and Followers'!$1:$1,0)),IF(AND(INDEX('CA Standards and Followers'!$D$14:$D$73,MATCH($A50,'CA Standards and Followers'!$A$14:$A$73,0))=1,INDEX('CA Standards and Followers'!$G$14:$G$73,MATCH($A50,'CA Standards and Followers'!$A$14:$A$73,0))&lt;=H$1),INDEX('CA Standards and Followers'!$2:$2,MATCH(H$1,'CA Standards and Followers'!$1:$1,0)),0))</f>
        <v>0</v>
      </c>
      <c r="I50">
        <f>IF(AND(INDEX('CA Standards and Followers'!$E$14:$E$73,MATCH($A50,'CA Standards and Followers'!$A$14:$A$73,0))=1,INDEX('CA Standards and Followers'!$H$14:$H$73,MATCH($A50,'CA Standards and Followers'!$A$14:$A$73,0))&lt;=I$1),INDEX('CA Standards and Followers'!$3:$3,MATCH(I$1,'CA Standards and Followers'!$1:$1,0)),IF(AND(INDEX('CA Standards and Followers'!$D$14:$D$73,MATCH($A50,'CA Standards and Followers'!$A$14:$A$73,0))=1,INDEX('CA Standards and Followers'!$G$14:$G$73,MATCH($A50,'CA Standards and Followers'!$A$14:$A$73,0))&lt;=I$1),INDEX('CA Standards and Followers'!$2:$2,MATCH(I$1,'CA Standards and Followers'!$1:$1,0)),0))</f>
        <v>0</v>
      </c>
      <c r="J50">
        <f>IF(AND(INDEX('CA Standards and Followers'!$E$14:$E$73,MATCH($A50,'CA Standards and Followers'!$A$14:$A$73,0))=1,INDEX('CA Standards and Followers'!$H$14:$H$73,MATCH($A50,'CA Standards and Followers'!$A$14:$A$73,0))&lt;=J$1),INDEX('CA Standards and Followers'!$3:$3,MATCH(J$1,'CA Standards and Followers'!$1:$1,0)),IF(AND(INDEX('CA Standards and Followers'!$D$14:$D$73,MATCH($A50,'CA Standards and Followers'!$A$14:$A$73,0))=1,INDEX('CA Standards and Followers'!$G$14:$G$73,MATCH($A50,'CA Standards and Followers'!$A$14:$A$73,0))&lt;=J$1),INDEX('CA Standards and Followers'!$2:$2,MATCH(J$1,'CA Standards and Followers'!$1:$1,0)),0))</f>
        <v>0</v>
      </c>
      <c r="K50">
        <f>IF(AND(INDEX('CA Standards and Followers'!$E$14:$E$73,MATCH($A50,'CA Standards and Followers'!$A$14:$A$73,0))=1,INDEX('CA Standards and Followers'!$H$14:$H$73,MATCH($A50,'CA Standards and Followers'!$A$14:$A$73,0))&lt;=K$1),INDEX('CA Standards and Followers'!$3:$3,MATCH(K$1,'CA Standards and Followers'!$1:$1,0)),IF(AND(INDEX('CA Standards and Followers'!$D$14:$D$73,MATCH($A50,'CA Standards and Followers'!$A$14:$A$73,0))=1,INDEX('CA Standards and Followers'!$G$14:$G$73,MATCH($A50,'CA Standards and Followers'!$A$14:$A$73,0))&lt;=K$1),INDEX('CA Standards and Followers'!$2:$2,MATCH(K$1,'CA Standards and Followers'!$1:$1,0)),0))</f>
        <v>0</v>
      </c>
      <c r="L50">
        <f>IF(AND(INDEX('CA Standards and Followers'!$E$14:$E$73,MATCH($A50,'CA Standards and Followers'!$A$14:$A$73,0))=1,INDEX('CA Standards and Followers'!$H$14:$H$73,MATCH($A50,'CA Standards and Followers'!$A$14:$A$73,0))&lt;=L$1),INDEX('CA Standards and Followers'!$3:$3,MATCH(L$1,'CA Standards and Followers'!$1:$1,0)),IF(AND(INDEX('CA Standards and Followers'!$D$14:$D$73,MATCH($A50,'CA Standards and Followers'!$A$14:$A$73,0))=1,INDEX('CA Standards and Followers'!$G$14:$G$73,MATCH($A50,'CA Standards and Followers'!$A$14:$A$73,0))&lt;=L$1),INDEX('CA Standards and Followers'!$2:$2,MATCH(L$1,'CA Standards and Followers'!$1:$1,0)),0))</f>
        <v>0</v>
      </c>
      <c r="M50">
        <f>IF(AND(INDEX('CA Standards and Followers'!$E$14:$E$73,MATCH($A50,'CA Standards and Followers'!$A$14:$A$73,0))=1,INDEX('CA Standards and Followers'!$H$14:$H$73,MATCH($A50,'CA Standards and Followers'!$A$14:$A$73,0))&lt;=M$1),INDEX('CA Standards and Followers'!$3:$3,MATCH(M$1,'CA Standards and Followers'!$1:$1,0)),IF(AND(INDEX('CA Standards and Followers'!$D$14:$D$73,MATCH($A50,'CA Standards and Followers'!$A$14:$A$73,0))=1,INDEX('CA Standards and Followers'!$G$14:$G$73,MATCH($A50,'CA Standards and Followers'!$A$14:$A$73,0))&lt;=M$1),INDEX('CA Standards and Followers'!$2:$2,MATCH(M$1,'CA Standards and Followers'!$1:$1,0)),0))</f>
        <v>0</v>
      </c>
      <c r="N50">
        <f>IF(AND(INDEX('CA Standards and Followers'!$E$14:$E$73,MATCH($A50,'CA Standards and Followers'!$A$14:$A$73,0))=1,INDEX('CA Standards and Followers'!$H$14:$H$73,MATCH($A50,'CA Standards and Followers'!$A$14:$A$73,0))&lt;=N$1),INDEX('CA Standards and Followers'!$3:$3,MATCH(N$1,'CA Standards and Followers'!$1:$1,0)),IF(AND(INDEX('CA Standards and Followers'!$D$14:$D$73,MATCH($A50,'CA Standards and Followers'!$A$14:$A$73,0))=1,INDEX('CA Standards and Followers'!$G$14:$G$73,MATCH($A50,'CA Standards and Followers'!$A$14:$A$73,0))&lt;=N$1),INDEX('CA Standards and Followers'!$2:$2,MATCH(N$1,'CA Standards and Followers'!$1:$1,0)),0))</f>
        <v>0</v>
      </c>
      <c r="O50">
        <f>IF(AND(INDEX('CA Standards and Followers'!$E$14:$E$73,MATCH($A50,'CA Standards and Followers'!$A$14:$A$73,0))=1,INDEX('CA Standards and Followers'!$H$14:$H$73,MATCH($A50,'CA Standards and Followers'!$A$14:$A$73,0))&lt;=O$1),INDEX('CA Standards and Followers'!$3:$3,MATCH(O$1,'CA Standards and Followers'!$1:$1,0)),IF(AND(INDEX('CA Standards and Followers'!$D$14:$D$73,MATCH($A50,'CA Standards and Followers'!$A$14:$A$73,0))=1,INDEX('CA Standards and Followers'!$G$14:$G$73,MATCH($A50,'CA Standards and Followers'!$A$14:$A$73,0))&lt;=O$1),INDEX('CA Standards and Followers'!$2:$2,MATCH(O$1,'CA Standards and Followers'!$1:$1,0)),0))</f>
        <v>0</v>
      </c>
      <c r="P50">
        <f>IF(AND(INDEX('CA Standards and Followers'!$E$14:$E$73,MATCH($A50,'CA Standards and Followers'!$A$14:$A$73,0))=1,INDEX('CA Standards and Followers'!$H$14:$H$73,MATCH($A50,'CA Standards and Followers'!$A$14:$A$73,0))&lt;=P$1),INDEX('CA Standards and Followers'!$3:$3,MATCH(P$1,'CA Standards and Followers'!$1:$1,0)),IF(AND(INDEX('CA Standards and Followers'!$D$14:$D$73,MATCH($A50,'CA Standards and Followers'!$A$14:$A$73,0))=1,INDEX('CA Standards and Followers'!$G$14:$G$73,MATCH($A50,'CA Standards and Followers'!$A$14:$A$73,0))&lt;=P$1),INDEX('CA Standards and Followers'!$2:$2,MATCH(P$1,'CA Standards and Followers'!$1:$1,0)),0))</f>
        <v>0</v>
      </c>
      <c r="Q50">
        <f>IF(AND(INDEX('CA Standards and Followers'!$E$14:$E$73,MATCH($A50,'CA Standards and Followers'!$A$14:$A$73,0))=1,INDEX('CA Standards and Followers'!$H$14:$H$73,MATCH($A50,'CA Standards and Followers'!$A$14:$A$73,0))&lt;=Q$1),INDEX('CA Standards and Followers'!$3:$3,MATCH(Q$1,'CA Standards and Followers'!$1:$1,0)),IF(AND(INDEX('CA Standards and Followers'!$D$14:$D$73,MATCH($A50,'CA Standards and Followers'!$A$14:$A$73,0))=1,INDEX('CA Standards and Followers'!$G$14:$G$73,MATCH($A50,'CA Standards and Followers'!$A$14:$A$73,0))&lt;=Q$1),INDEX('CA Standards and Followers'!$2:$2,MATCH(Q$1,'CA Standards and Followers'!$1:$1,0)),0))</f>
        <v>0</v>
      </c>
      <c r="R50">
        <f>IF(AND(INDEX('CA Standards and Followers'!$E$14:$E$73,MATCH($A50,'CA Standards and Followers'!$A$14:$A$73,0))=1,INDEX('CA Standards and Followers'!$H$14:$H$73,MATCH($A50,'CA Standards and Followers'!$A$14:$A$73,0))&lt;=R$1),INDEX('CA Standards and Followers'!$3:$3,MATCH(R$1,'CA Standards and Followers'!$1:$1,0)),IF(AND(INDEX('CA Standards and Followers'!$D$14:$D$73,MATCH($A50,'CA Standards and Followers'!$A$14:$A$73,0))=1,INDEX('CA Standards and Followers'!$G$14:$G$73,MATCH($A50,'CA Standards and Followers'!$A$14:$A$73,0))&lt;=R$1),INDEX('CA Standards and Followers'!$2:$2,MATCH(R$1,'CA Standards and Followers'!$1:$1,0)),0))</f>
        <v>0</v>
      </c>
      <c r="S50">
        <f>IF(AND(INDEX('CA Standards and Followers'!$E$14:$E$73,MATCH($A50,'CA Standards and Followers'!$A$14:$A$73,0))=1,INDEX('CA Standards and Followers'!$H$14:$H$73,MATCH($A50,'CA Standards and Followers'!$A$14:$A$73,0))&lt;=S$1),INDEX('CA Standards and Followers'!$3:$3,MATCH(S$1,'CA Standards and Followers'!$1:$1,0)),IF(AND(INDEX('CA Standards and Followers'!$D$14:$D$73,MATCH($A50,'CA Standards and Followers'!$A$14:$A$73,0))=1,INDEX('CA Standards and Followers'!$G$14:$G$73,MATCH($A50,'CA Standards and Followers'!$A$14:$A$73,0))&lt;=S$1),INDEX('CA Standards and Followers'!$2:$2,MATCH(S$1,'CA Standards and Followers'!$1:$1,0)),0))</f>
        <v>0</v>
      </c>
      <c r="T50">
        <f>IF(AND(INDEX('CA Standards and Followers'!$E$14:$E$73,MATCH($A50,'CA Standards and Followers'!$A$14:$A$73,0))=1,INDEX('CA Standards and Followers'!$H$14:$H$73,MATCH($A50,'CA Standards and Followers'!$A$14:$A$73,0))&lt;=T$1),INDEX('CA Standards and Followers'!$3:$3,MATCH(T$1,'CA Standards and Followers'!$1:$1,0)),IF(AND(INDEX('CA Standards and Followers'!$D$14:$D$73,MATCH($A50,'CA Standards and Followers'!$A$14:$A$73,0))=1,INDEX('CA Standards and Followers'!$G$14:$G$73,MATCH($A50,'CA Standards and Followers'!$A$14:$A$73,0))&lt;=T$1),INDEX('CA Standards and Followers'!$2:$2,MATCH(T$1,'CA Standards and Followers'!$1:$1,0)),0))</f>
        <v>0</v>
      </c>
      <c r="U50">
        <f>IF(AND(INDEX('CA Standards and Followers'!$E$14:$E$73,MATCH($A50,'CA Standards and Followers'!$A$14:$A$73,0))=1,INDEX('CA Standards and Followers'!$H$14:$H$73,MATCH($A50,'CA Standards and Followers'!$A$14:$A$73,0))&lt;=U$1),INDEX('CA Standards and Followers'!$3:$3,MATCH(U$1,'CA Standards and Followers'!$1:$1,0)),IF(AND(INDEX('CA Standards and Followers'!$D$14:$D$73,MATCH($A50,'CA Standards and Followers'!$A$14:$A$73,0))=1,INDEX('CA Standards and Followers'!$G$14:$G$73,MATCH($A50,'CA Standards and Followers'!$A$14:$A$73,0))&lt;=U$1),INDEX('CA Standards and Followers'!$2:$2,MATCH(U$1,'CA Standards and Followers'!$1:$1,0)),0))</f>
        <v>0</v>
      </c>
      <c r="V50">
        <f>IF(AND(INDEX('CA Standards and Followers'!$E$14:$E$73,MATCH($A50,'CA Standards and Followers'!$A$14:$A$73,0))=1,INDEX('CA Standards and Followers'!$H$14:$H$73,MATCH($A50,'CA Standards and Followers'!$A$14:$A$73,0))&lt;=V$1),INDEX('CA Standards and Followers'!$3:$3,MATCH(V$1,'CA Standards and Followers'!$1:$1,0)),IF(AND(INDEX('CA Standards and Followers'!$D$14:$D$73,MATCH($A50,'CA Standards and Followers'!$A$14:$A$73,0))=1,INDEX('CA Standards and Followers'!$G$14:$G$73,MATCH($A50,'CA Standards and Followers'!$A$14:$A$73,0))&lt;=V$1),INDEX('CA Standards and Followers'!$2:$2,MATCH(V$1,'CA Standards and Followers'!$1:$1,0)),0))</f>
        <v>0</v>
      </c>
      <c r="W50">
        <f>IF(AND(INDEX('CA Standards and Followers'!$E$14:$E$73,MATCH($A50,'CA Standards and Followers'!$A$14:$A$73,0))=1,INDEX('CA Standards and Followers'!$H$14:$H$73,MATCH($A50,'CA Standards and Followers'!$A$14:$A$73,0))&lt;=W$1),INDEX('CA Standards and Followers'!$3:$3,MATCH(W$1,'CA Standards and Followers'!$1:$1,0)),IF(AND(INDEX('CA Standards and Followers'!$D$14:$D$73,MATCH($A50,'CA Standards and Followers'!$A$14:$A$73,0))=1,INDEX('CA Standards and Followers'!$G$14:$G$73,MATCH($A50,'CA Standards and Followers'!$A$14:$A$73,0))&lt;=W$1),INDEX('CA Standards and Followers'!$2:$2,MATCH(W$1,'CA Standards and Followers'!$1:$1,0)),0))</f>
        <v>0</v>
      </c>
      <c r="X50">
        <f>IF(AND(INDEX('CA Standards and Followers'!$E$14:$E$73,MATCH($A50,'CA Standards and Followers'!$A$14:$A$73,0))=1,INDEX('CA Standards and Followers'!$H$14:$H$73,MATCH($A50,'CA Standards and Followers'!$A$14:$A$73,0))&lt;=X$1),INDEX('CA Standards and Followers'!$3:$3,MATCH(X$1,'CA Standards and Followers'!$1:$1,0)),IF(AND(INDEX('CA Standards and Followers'!$D$14:$D$73,MATCH($A50,'CA Standards and Followers'!$A$14:$A$73,0))=1,INDEX('CA Standards and Followers'!$G$14:$G$73,MATCH($A50,'CA Standards and Followers'!$A$14:$A$73,0))&lt;=X$1),INDEX('CA Standards and Followers'!$2:$2,MATCH(X$1,'CA Standards and Followers'!$1:$1,0)),0))</f>
        <v>0</v>
      </c>
      <c r="Y50">
        <f>IF(AND(INDEX('CA Standards and Followers'!$E$14:$E$73,MATCH($A50,'CA Standards and Followers'!$A$14:$A$73,0))=1,INDEX('CA Standards and Followers'!$H$14:$H$73,MATCH($A50,'CA Standards and Followers'!$A$14:$A$73,0))&lt;=Y$1),INDEX('CA Standards and Followers'!$3:$3,MATCH(Y$1,'CA Standards and Followers'!$1:$1,0)),IF(AND(INDEX('CA Standards and Followers'!$D$14:$D$73,MATCH($A50,'CA Standards and Followers'!$A$14:$A$73,0))=1,INDEX('CA Standards and Followers'!$G$14:$G$73,MATCH($A50,'CA Standards and Followers'!$A$14:$A$73,0))&lt;=Y$1),INDEX('CA Standards and Followers'!$2:$2,MATCH(Y$1,'CA Standards and Followers'!$1:$1,0)),0))</f>
        <v>0</v>
      </c>
      <c r="Z50">
        <f>IF(AND(INDEX('CA Standards and Followers'!$E$14:$E$73,MATCH($A50,'CA Standards and Followers'!$A$14:$A$73,0))=1,INDEX('CA Standards and Followers'!$H$14:$H$73,MATCH($A50,'CA Standards and Followers'!$A$14:$A$73,0))&lt;=Z$1),INDEX('CA Standards and Followers'!$3:$3,MATCH(Z$1,'CA Standards and Followers'!$1:$1,0)),IF(AND(INDEX('CA Standards and Followers'!$D$14:$D$73,MATCH($A50,'CA Standards and Followers'!$A$14:$A$73,0))=1,INDEX('CA Standards and Followers'!$G$14:$G$73,MATCH($A50,'CA Standards and Followers'!$A$14:$A$73,0))&lt;=Z$1),INDEX('CA Standards and Followers'!$2:$2,MATCH(Z$1,'CA Standards and Followers'!$1:$1,0)),0))</f>
        <v>0</v>
      </c>
      <c r="AA50">
        <f>IF(AND(INDEX('CA Standards and Followers'!$E$14:$E$73,MATCH($A50,'CA Standards and Followers'!$A$14:$A$73,0))=1,INDEX('CA Standards and Followers'!$H$14:$H$73,MATCH($A50,'CA Standards and Followers'!$A$14:$A$73,0))&lt;=AA$1),INDEX('CA Standards and Followers'!$3:$3,MATCH(AA$1,'CA Standards and Followers'!$1:$1,0)),IF(AND(INDEX('CA Standards and Followers'!$D$14:$D$73,MATCH($A50,'CA Standards and Followers'!$A$14:$A$73,0))=1,INDEX('CA Standards and Followers'!$G$14:$G$73,MATCH($A50,'CA Standards and Followers'!$A$14:$A$73,0))&lt;=AA$1),INDEX('CA Standards and Followers'!$2:$2,MATCH(AA$1,'CA Standards and Followers'!$1:$1,0)),0))</f>
        <v>0</v>
      </c>
      <c r="AB50">
        <f>IF(AND(INDEX('CA Standards and Followers'!$E$14:$E$73,MATCH($A50,'CA Standards and Followers'!$A$14:$A$73,0))=1,INDEX('CA Standards and Followers'!$H$14:$H$73,MATCH($A50,'CA Standards and Followers'!$A$14:$A$73,0))&lt;=AB$1),INDEX('CA Standards and Followers'!$3:$3,MATCH(AB$1,'CA Standards and Followers'!$1:$1,0)),IF(AND(INDEX('CA Standards and Followers'!$D$14:$D$73,MATCH($A50,'CA Standards and Followers'!$A$14:$A$73,0))=1,INDEX('CA Standards and Followers'!$G$14:$G$73,MATCH($A50,'CA Standards and Followers'!$A$14:$A$73,0))&lt;=AB$1),INDEX('CA Standards and Followers'!$2:$2,MATCH(AB$1,'CA Standards and Followers'!$1:$1,0)),0))</f>
        <v>0</v>
      </c>
      <c r="AC50">
        <f>IF(AND(INDEX('CA Standards and Followers'!$E$14:$E$73,MATCH($A50,'CA Standards and Followers'!$A$14:$A$73,0))=1,INDEX('CA Standards and Followers'!$H$14:$H$73,MATCH($A50,'CA Standards and Followers'!$A$14:$A$73,0))&lt;=AC$1),INDEX('CA Standards and Followers'!$3:$3,MATCH(AC$1,'CA Standards and Followers'!$1:$1,0)),IF(AND(INDEX('CA Standards and Followers'!$D$14:$D$73,MATCH($A50,'CA Standards and Followers'!$A$14:$A$73,0))=1,INDEX('CA Standards and Followers'!$G$14:$G$73,MATCH($A50,'CA Standards and Followers'!$A$14:$A$73,0))&lt;=AC$1),INDEX('CA Standards and Followers'!$2:$2,MATCH(AC$1,'CA Standards and Followers'!$1:$1,0)),0))</f>
        <v>0</v>
      </c>
      <c r="AD50">
        <f>IF(AND(INDEX('CA Standards and Followers'!$E$14:$E$73,MATCH($A50,'CA Standards and Followers'!$A$14:$A$73,0))=1,INDEX('CA Standards and Followers'!$H$14:$H$73,MATCH($A50,'CA Standards and Followers'!$A$14:$A$73,0))&lt;=AD$1),INDEX('CA Standards and Followers'!$3:$3,MATCH(AD$1,'CA Standards and Followers'!$1:$1,0)),IF(AND(INDEX('CA Standards and Followers'!$D$14:$D$73,MATCH($A50,'CA Standards and Followers'!$A$14:$A$73,0))=1,INDEX('CA Standards and Followers'!$G$14:$G$73,MATCH($A50,'CA Standards and Followers'!$A$14:$A$73,0))&lt;=AD$1),INDEX('CA Standards and Followers'!$2:$2,MATCH(AD$1,'CA Standards and Followers'!$1:$1,0)),0))</f>
        <v>0</v>
      </c>
      <c r="AE50">
        <f>IF(AND(INDEX('CA Standards and Followers'!$E$14:$E$73,MATCH($A50,'CA Standards and Followers'!$A$14:$A$73,0))=1,INDEX('CA Standards and Followers'!$H$14:$H$73,MATCH($A50,'CA Standards and Followers'!$A$14:$A$73,0))&lt;=AE$1),INDEX('CA Standards and Followers'!$3:$3,MATCH(AE$1,'CA Standards and Followers'!$1:$1,0)),IF(AND(INDEX('CA Standards and Followers'!$D$14:$D$73,MATCH($A50,'CA Standards and Followers'!$A$14:$A$73,0))=1,INDEX('CA Standards and Followers'!$G$14:$G$73,MATCH($A50,'CA Standards and Followers'!$A$14:$A$73,0))&lt;=AE$1),INDEX('CA Standards and Followers'!$2:$2,MATCH(AE$1,'CA Standards and Followers'!$1:$1,0)),0))</f>
        <v>0</v>
      </c>
      <c r="AF50">
        <f>IF(AND(INDEX('CA Standards and Followers'!$E$14:$E$73,MATCH($A50,'CA Standards and Followers'!$A$14:$A$73,0))=1,INDEX('CA Standards and Followers'!$H$14:$H$73,MATCH($A50,'CA Standards and Followers'!$A$14:$A$73,0))&lt;=AF$1),INDEX('CA Standards and Followers'!$3:$3,MATCH(AF$1,'CA Standards and Followers'!$1:$1,0)),IF(AND(INDEX('CA Standards and Followers'!$D$14:$D$73,MATCH($A50,'CA Standards and Followers'!$A$14:$A$73,0))=1,INDEX('CA Standards and Followers'!$G$14:$G$73,MATCH($A50,'CA Standards and Followers'!$A$14:$A$73,0))&lt;=AF$1),INDEX('CA Standards and Followers'!$2:$2,MATCH(AF$1,'CA Standards and Followers'!$1:$1,0)),0))</f>
        <v>0</v>
      </c>
    </row>
    <row r="51" spans="1:32" x14ac:dyDescent="0.25">
      <c r="A51" t="s">
        <v>51</v>
      </c>
      <c r="B51">
        <f>IF(AND(INDEX('CA Standards and Followers'!$E$14:$E$73,MATCH($A51,'CA Standards and Followers'!$A$14:$A$73,0))=1,INDEX('CA Standards and Followers'!$H$14:$H$73,MATCH($A51,'CA Standards and Followers'!$A$14:$A$73,0))&lt;=B$1),INDEX('CA Standards and Followers'!$3:$3,MATCH(B$1,'CA Standards and Followers'!$1:$1,0)),IF(AND(INDEX('CA Standards and Followers'!$D$14:$D$73,MATCH($A51,'CA Standards and Followers'!$A$14:$A$73,0))=1,INDEX('CA Standards and Followers'!$G$14:$G$73,MATCH($A51,'CA Standards and Followers'!$A$14:$A$73,0))&lt;=B$1),INDEX('CA Standards and Followers'!$2:$2,MATCH(B$1,'CA Standards and Followers'!$1:$1,0)),0))</f>
        <v>0</v>
      </c>
      <c r="C51">
        <f>IF(AND(INDEX('CA Standards and Followers'!$E$14:$E$73,MATCH($A51,'CA Standards and Followers'!$A$14:$A$73,0))=1,INDEX('CA Standards and Followers'!$H$14:$H$73,MATCH($A51,'CA Standards and Followers'!$A$14:$A$73,0))&lt;=C$1),INDEX('CA Standards and Followers'!$3:$3,MATCH(C$1,'CA Standards and Followers'!$1:$1,0)),IF(AND(INDEX('CA Standards and Followers'!$D$14:$D$73,MATCH($A51,'CA Standards and Followers'!$A$14:$A$73,0))=1,INDEX('CA Standards and Followers'!$G$14:$G$73,MATCH($A51,'CA Standards and Followers'!$A$14:$A$73,0))&lt;=C$1),INDEX('CA Standards and Followers'!$2:$2,MATCH(C$1,'CA Standards and Followers'!$1:$1,0)),0))</f>
        <v>0</v>
      </c>
      <c r="D51">
        <f>IF(AND(INDEX('CA Standards and Followers'!$E$14:$E$73,MATCH($A51,'CA Standards and Followers'!$A$14:$A$73,0))=1,INDEX('CA Standards and Followers'!$H$14:$H$73,MATCH($A51,'CA Standards and Followers'!$A$14:$A$73,0))&lt;=D$1),INDEX('CA Standards and Followers'!$3:$3,MATCH(D$1,'CA Standards and Followers'!$1:$1,0)),IF(AND(INDEX('CA Standards and Followers'!$D$14:$D$73,MATCH($A51,'CA Standards and Followers'!$A$14:$A$73,0))=1,INDEX('CA Standards and Followers'!$G$14:$G$73,MATCH($A51,'CA Standards and Followers'!$A$14:$A$73,0))&lt;=D$1),INDEX('CA Standards and Followers'!$2:$2,MATCH(D$1,'CA Standards and Followers'!$1:$1,0)),0))</f>
        <v>0</v>
      </c>
      <c r="E51">
        <f>IF(AND(INDEX('CA Standards and Followers'!$E$14:$E$73,MATCH($A51,'CA Standards and Followers'!$A$14:$A$73,0))=1,INDEX('CA Standards and Followers'!$H$14:$H$73,MATCH($A51,'CA Standards and Followers'!$A$14:$A$73,0))&lt;=E$1),INDEX('CA Standards and Followers'!$3:$3,MATCH(E$1,'CA Standards and Followers'!$1:$1,0)),IF(AND(INDEX('CA Standards and Followers'!$D$14:$D$73,MATCH($A51,'CA Standards and Followers'!$A$14:$A$73,0))=1,INDEX('CA Standards and Followers'!$G$14:$G$73,MATCH($A51,'CA Standards and Followers'!$A$14:$A$73,0))&lt;=E$1),INDEX('CA Standards and Followers'!$2:$2,MATCH(E$1,'CA Standards and Followers'!$1:$1,0)),0))</f>
        <v>0</v>
      </c>
      <c r="F51">
        <f>IF(AND(INDEX('CA Standards and Followers'!$E$14:$E$73,MATCH($A51,'CA Standards and Followers'!$A$14:$A$73,0))=1,INDEX('CA Standards and Followers'!$H$14:$H$73,MATCH($A51,'CA Standards and Followers'!$A$14:$A$73,0))&lt;=F$1),INDEX('CA Standards and Followers'!$3:$3,MATCH(F$1,'CA Standards and Followers'!$1:$1,0)),IF(AND(INDEX('CA Standards and Followers'!$D$14:$D$73,MATCH($A51,'CA Standards and Followers'!$A$14:$A$73,0))=1,INDEX('CA Standards and Followers'!$G$14:$G$73,MATCH($A51,'CA Standards and Followers'!$A$14:$A$73,0))&lt;=F$1),INDEX('CA Standards and Followers'!$2:$2,MATCH(F$1,'CA Standards and Followers'!$1:$1,0)),0))</f>
        <v>0</v>
      </c>
      <c r="G51">
        <f>IF(AND(INDEX('CA Standards and Followers'!$E$14:$E$73,MATCH($A51,'CA Standards and Followers'!$A$14:$A$73,0))=1,INDEX('CA Standards and Followers'!$H$14:$H$73,MATCH($A51,'CA Standards and Followers'!$A$14:$A$73,0))&lt;=G$1),INDEX('CA Standards and Followers'!$3:$3,MATCH(G$1,'CA Standards and Followers'!$1:$1,0)),IF(AND(INDEX('CA Standards and Followers'!$D$14:$D$73,MATCH($A51,'CA Standards and Followers'!$A$14:$A$73,0))=1,INDEX('CA Standards and Followers'!$G$14:$G$73,MATCH($A51,'CA Standards and Followers'!$A$14:$A$73,0))&lt;=G$1),INDEX('CA Standards and Followers'!$2:$2,MATCH(G$1,'CA Standards and Followers'!$1:$1,0)),0))</f>
        <v>0</v>
      </c>
      <c r="H51">
        <f>IF(AND(INDEX('CA Standards and Followers'!$E$14:$E$73,MATCH($A51,'CA Standards and Followers'!$A$14:$A$73,0))=1,INDEX('CA Standards and Followers'!$H$14:$H$73,MATCH($A51,'CA Standards and Followers'!$A$14:$A$73,0))&lt;=H$1),INDEX('CA Standards and Followers'!$3:$3,MATCH(H$1,'CA Standards and Followers'!$1:$1,0)),IF(AND(INDEX('CA Standards and Followers'!$D$14:$D$73,MATCH($A51,'CA Standards and Followers'!$A$14:$A$73,0))=1,INDEX('CA Standards and Followers'!$G$14:$G$73,MATCH($A51,'CA Standards and Followers'!$A$14:$A$73,0))&lt;=H$1),INDEX('CA Standards and Followers'!$2:$2,MATCH(H$1,'CA Standards and Followers'!$1:$1,0)),0))</f>
        <v>0</v>
      </c>
      <c r="I51">
        <f>IF(AND(INDEX('CA Standards and Followers'!$E$14:$E$73,MATCH($A51,'CA Standards and Followers'!$A$14:$A$73,0))=1,INDEX('CA Standards and Followers'!$H$14:$H$73,MATCH($A51,'CA Standards and Followers'!$A$14:$A$73,0))&lt;=I$1),INDEX('CA Standards and Followers'!$3:$3,MATCH(I$1,'CA Standards and Followers'!$1:$1,0)),IF(AND(INDEX('CA Standards and Followers'!$D$14:$D$73,MATCH($A51,'CA Standards and Followers'!$A$14:$A$73,0))=1,INDEX('CA Standards and Followers'!$G$14:$G$73,MATCH($A51,'CA Standards and Followers'!$A$14:$A$73,0))&lt;=I$1),INDEX('CA Standards and Followers'!$2:$2,MATCH(I$1,'CA Standards and Followers'!$1:$1,0)),0))</f>
        <v>0</v>
      </c>
      <c r="J51">
        <f>IF(AND(INDEX('CA Standards and Followers'!$E$14:$E$73,MATCH($A51,'CA Standards and Followers'!$A$14:$A$73,0))=1,INDEX('CA Standards and Followers'!$H$14:$H$73,MATCH($A51,'CA Standards and Followers'!$A$14:$A$73,0))&lt;=J$1),INDEX('CA Standards and Followers'!$3:$3,MATCH(J$1,'CA Standards and Followers'!$1:$1,0)),IF(AND(INDEX('CA Standards and Followers'!$D$14:$D$73,MATCH($A51,'CA Standards and Followers'!$A$14:$A$73,0))=1,INDEX('CA Standards and Followers'!$G$14:$G$73,MATCH($A51,'CA Standards and Followers'!$A$14:$A$73,0))&lt;=J$1),INDEX('CA Standards and Followers'!$2:$2,MATCH(J$1,'CA Standards and Followers'!$1:$1,0)),0))</f>
        <v>0</v>
      </c>
      <c r="K51">
        <f>IF(AND(INDEX('CA Standards and Followers'!$E$14:$E$73,MATCH($A51,'CA Standards and Followers'!$A$14:$A$73,0))=1,INDEX('CA Standards and Followers'!$H$14:$H$73,MATCH($A51,'CA Standards and Followers'!$A$14:$A$73,0))&lt;=K$1),INDEX('CA Standards and Followers'!$3:$3,MATCH(K$1,'CA Standards and Followers'!$1:$1,0)),IF(AND(INDEX('CA Standards and Followers'!$D$14:$D$73,MATCH($A51,'CA Standards and Followers'!$A$14:$A$73,0))=1,INDEX('CA Standards and Followers'!$G$14:$G$73,MATCH($A51,'CA Standards and Followers'!$A$14:$A$73,0))&lt;=K$1),INDEX('CA Standards and Followers'!$2:$2,MATCH(K$1,'CA Standards and Followers'!$1:$1,0)),0))</f>
        <v>0</v>
      </c>
      <c r="L51">
        <f>IF(AND(INDEX('CA Standards and Followers'!$E$14:$E$73,MATCH($A51,'CA Standards and Followers'!$A$14:$A$73,0))=1,INDEX('CA Standards and Followers'!$H$14:$H$73,MATCH($A51,'CA Standards and Followers'!$A$14:$A$73,0))&lt;=L$1),INDEX('CA Standards and Followers'!$3:$3,MATCH(L$1,'CA Standards and Followers'!$1:$1,0)),IF(AND(INDEX('CA Standards and Followers'!$D$14:$D$73,MATCH($A51,'CA Standards and Followers'!$A$14:$A$73,0))=1,INDEX('CA Standards and Followers'!$G$14:$G$73,MATCH($A51,'CA Standards and Followers'!$A$14:$A$73,0))&lt;=L$1),INDEX('CA Standards and Followers'!$2:$2,MATCH(L$1,'CA Standards and Followers'!$1:$1,0)),0))</f>
        <v>0</v>
      </c>
      <c r="M51">
        <f>IF(AND(INDEX('CA Standards and Followers'!$E$14:$E$73,MATCH($A51,'CA Standards and Followers'!$A$14:$A$73,0))=1,INDEX('CA Standards and Followers'!$H$14:$H$73,MATCH($A51,'CA Standards and Followers'!$A$14:$A$73,0))&lt;=M$1),INDEX('CA Standards and Followers'!$3:$3,MATCH(M$1,'CA Standards and Followers'!$1:$1,0)),IF(AND(INDEX('CA Standards and Followers'!$D$14:$D$73,MATCH($A51,'CA Standards and Followers'!$A$14:$A$73,0))=1,INDEX('CA Standards and Followers'!$G$14:$G$73,MATCH($A51,'CA Standards and Followers'!$A$14:$A$73,0))&lt;=M$1),INDEX('CA Standards and Followers'!$2:$2,MATCH(M$1,'CA Standards and Followers'!$1:$1,0)),0))</f>
        <v>0</v>
      </c>
      <c r="N51">
        <f>IF(AND(INDEX('CA Standards and Followers'!$E$14:$E$73,MATCH($A51,'CA Standards and Followers'!$A$14:$A$73,0))=1,INDEX('CA Standards and Followers'!$H$14:$H$73,MATCH($A51,'CA Standards and Followers'!$A$14:$A$73,0))&lt;=N$1),INDEX('CA Standards and Followers'!$3:$3,MATCH(N$1,'CA Standards and Followers'!$1:$1,0)),IF(AND(INDEX('CA Standards and Followers'!$D$14:$D$73,MATCH($A51,'CA Standards and Followers'!$A$14:$A$73,0))=1,INDEX('CA Standards and Followers'!$G$14:$G$73,MATCH($A51,'CA Standards and Followers'!$A$14:$A$73,0))&lt;=N$1),INDEX('CA Standards and Followers'!$2:$2,MATCH(N$1,'CA Standards and Followers'!$1:$1,0)),0))</f>
        <v>0</v>
      </c>
      <c r="O51">
        <f>IF(AND(INDEX('CA Standards and Followers'!$E$14:$E$73,MATCH($A51,'CA Standards and Followers'!$A$14:$A$73,0))=1,INDEX('CA Standards and Followers'!$H$14:$H$73,MATCH($A51,'CA Standards and Followers'!$A$14:$A$73,0))&lt;=O$1),INDEX('CA Standards and Followers'!$3:$3,MATCH(O$1,'CA Standards and Followers'!$1:$1,0)),IF(AND(INDEX('CA Standards and Followers'!$D$14:$D$73,MATCH($A51,'CA Standards and Followers'!$A$14:$A$73,0))=1,INDEX('CA Standards and Followers'!$G$14:$G$73,MATCH($A51,'CA Standards and Followers'!$A$14:$A$73,0))&lt;=O$1),INDEX('CA Standards and Followers'!$2:$2,MATCH(O$1,'CA Standards and Followers'!$1:$1,0)),0))</f>
        <v>0</v>
      </c>
      <c r="P51">
        <f>IF(AND(INDEX('CA Standards and Followers'!$E$14:$E$73,MATCH($A51,'CA Standards and Followers'!$A$14:$A$73,0))=1,INDEX('CA Standards and Followers'!$H$14:$H$73,MATCH($A51,'CA Standards and Followers'!$A$14:$A$73,0))&lt;=P$1),INDEX('CA Standards and Followers'!$3:$3,MATCH(P$1,'CA Standards and Followers'!$1:$1,0)),IF(AND(INDEX('CA Standards and Followers'!$D$14:$D$73,MATCH($A51,'CA Standards and Followers'!$A$14:$A$73,0))=1,INDEX('CA Standards and Followers'!$G$14:$G$73,MATCH($A51,'CA Standards and Followers'!$A$14:$A$73,0))&lt;=P$1),INDEX('CA Standards and Followers'!$2:$2,MATCH(P$1,'CA Standards and Followers'!$1:$1,0)),0))</f>
        <v>0</v>
      </c>
      <c r="Q51">
        <f>IF(AND(INDEX('CA Standards and Followers'!$E$14:$E$73,MATCH($A51,'CA Standards and Followers'!$A$14:$A$73,0))=1,INDEX('CA Standards and Followers'!$H$14:$H$73,MATCH($A51,'CA Standards and Followers'!$A$14:$A$73,0))&lt;=Q$1),INDEX('CA Standards and Followers'!$3:$3,MATCH(Q$1,'CA Standards and Followers'!$1:$1,0)),IF(AND(INDEX('CA Standards and Followers'!$D$14:$D$73,MATCH($A51,'CA Standards and Followers'!$A$14:$A$73,0))=1,INDEX('CA Standards and Followers'!$G$14:$G$73,MATCH($A51,'CA Standards and Followers'!$A$14:$A$73,0))&lt;=Q$1),INDEX('CA Standards and Followers'!$2:$2,MATCH(Q$1,'CA Standards and Followers'!$1:$1,0)),0))</f>
        <v>0</v>
      </c>
      <c r="R51">
        <f>IF(AND(INDEX('CA Standards and Followers'!$E$14:$E$73,MATCH($A51,'CA Standards and Followers'!$A$14:$A$73,0))=1,INDEX('CA Standards and Followers'!$H$14:$H$73,MATCH($A51,'CA Standards and Followers'!$A$14:$A$73,0))&lt;=R$1),INDEX('CA Standards and Followers'!$3:$3,MATCH(R$1,'CA Standards and Followers'!$1:$1,0)),IF(AND(INDEX('CA Standards and Followers'!$D$14:$D$73,MATCH($A51,'CA Standards and Followers'!$A$14:$A$73,0))=1,INDEX('CA Standards and Followers'!$G$14:$G$73,MATCH($A51,'CA Standards and Followers'!$A$14:$A$73,0))&lt;=R$1),INDEX('CA Standards and Followers'!$2:$2,MATCH(R$1,'CA Standards and Followers'!$1:$1,0)),0))</f>
        <v>0</v>
      </c>
      <c r="S51">
        <f>IF(AND(INDEX('CA Standards and Followers'!$E$14:$E$73,MATCH($A51,'CA Standards and Followers'!$A$14:$A$73,0))=1,INDEX('CA Standards and Followers'!$H$14:$H$73,MATCH($A51,'CA Standards and Followers'!$A$14:$A$73,0))&lt;=S$1),INDEX('CA Standards and Followers'!$3:$3,MATCH(S$1,'CA Standards and Followers'!$1:$1,0)),IF(AND(INDEX('CA Standards and Followers'!$D$14:$D$73,MATCH($A51,'CA Standards and Followers'!$A$14:$A$73,0))=1,INDEX('CA Standards and Followers'!$G$14:$G$73,MATCH($A51,'CA Standards and Followers'!$A$14:$A$73,0))&lt;=S$1),INDEX('CA Standards and Followers'!$2:$2,MATCH(S$1,'CA Standards and Followers'!$1:$1,0)),0))</f>
        <v>0</v>
      </c>
      <c r="T51">
        <f>IF(AND(INDEX('CA Standards and Followers'!$E$14:$E$73,MATCH($A51,'CA Standards and Followers'!$A$14:$A$73,0))=1,INDEX('CA Standards and Followers'!$H$14:$H$73,MATCH($A51,'CA Standards and Followers'!$A$14:$A$73,0))&lt;=T$1),INDEX('CA Standards and Followers'!$3:$3,MATCH(T$1,'CA Standards and Followers'!$1:$1,0)),IF(AND(INDEX('CA Standards and Followers'!$D$14:$D$73,MATCH($A51,'CA Standards and Followers'!$A$14:$A$73,0))=1,INDEX('CA Standards and Followers'!$G$14:$G$73,MATCH($A51,'CA Standards and Followers'!$A$14:$A$73,0))&lt;=T$1),INDEX('CA Standards and Followers'!$2:$2,MATCH(T$1,'CA Standards and Followers'!$1:$1,0)),0))</f>
        <v>0</v>
      </c>
      <c r="U51">
        <f>IF(AND(INDEX('CA Standards and Followers'!$E$14:$E$73,MATCH($A51,'CA Standards and Followers'!$A$14:$A$73,0))=1,INDEX('CA Standards and Followers'!$H$14:$H$73,MATCH($A51,'CA Standards and Followers'!$A$14:$A$73,0))&lt;=U$1),INDEX('CA Standards and Followers'!$3:$3,MATCH(U$1,'CA Standards and Followers'!$1:$1,0)),IF(AND(INDEX('CA Standards and Followers'!$D$14:$D$73,MATCH($A51,'CA Standards and Followers'!$A$14:$A$73,0))=1,INDEX('CA Standards and Followers'!$G$14:$G$73,MATCH($A51,'CA Standards and Followers'!$A$14:$A$73,0))&lt;=U$1),INDEX('CA Standards and Followers'!$2:$2,MATCH(U$1,'CA Standards and Followers'!$1:$1,0)),0))</f>
        <v>0</v>
      </c>
      <c r="V51">
        <f>IF(AND(INDEX('CA Standards and Followers'!$E$14:$E$73,MATCH($A51,'CA Standards and Followers'!$A$14:$A$73,0))=1,INDEX('CA Standards and Followers'!$H$14:$H$73,MATCH($A51,'CA Standards and Followers'!$A$14:$A$73,0))&lt;=V$1),INDEX('CA Standards and Followers'!$3:$3,MATCH(V$1,'CA Standards and Followers'!$1:$1,0)),IF(AND(INDEX('CA Standards and Followers'!$D$14:$D$73,MATCH($A51,'CA Standards and Followers'!$A$14:$A$73,0))=1,INDEX('CA Standards and Followers'!$G$14:$G$73,MATCH($A51,'CA Standards and Followers'!$A$14:$A$73,0))&lt;=V$1),INDEX('CA Standards and Followers'!$2:$2,MATCH(V$1,'CA Standards and Followers'!$1:$1,0)),0))</f>
        <v>0</v>
      </c>
      <c r="W51">
        <f>IF(AND(INDEX('CA Standards and Followers'!$E$14:$E$73,MATCH($A51,'CA Standards and Followers'!$A$14:$A$73,0))=1,INDEX('CA Standards and Followers'!$H$14:$H$73,MATCH($A51,'CA Standards and Followers'!$A$14:$A$73,0))&lt;=W$1),INDEX('CA Standards and Followers'!$3:$3,MATCH(W$1,'CA Standards and Followers'!$1:$1,0)),IF(AND(INDEX('CA Standards and Followers'!$D$14:$D$73,MATCH($A51,'CA Standards and Followers'!$A$14:$A$73,0))=1,INDEX('CA Standards and Followers'!$G$14:$G$73,MATCH($A51,'CA Standards and Followers'!$A$14:$A$73,0))&lt;=W$1),INDEX('CA Standards and Followers'!$2:$2,MATCH(W$1,'CA Standards and Followers'!$1:$1,0)),0))</f>
        <v>0</v>
      </c>
      <c r="X51">
        <f>IF(AND(INDEX('CA Standards and Followers'!$E$14:$E$73,MATCH($A51,'CA Standards and Followers'!$A$14:$A$73,0))=1,INDEX('CA Standards and Followers'!$H$14:$H$73,MATCH($A51,'CA Standards and Followers'!$A$14:$A$73,0))&lt;=X$1),INDEX('CA Standards and Followers'!$3:$3,MATCH(X$1,'CA Standards and Followers'!$1:$1,0)),IF(AND(INDEX('CA Standards and Followers'!$D$14:$D$73,MATCH($A51,'CA Standards and Followers'!$A$14:$A$73,0))=1,INDEX('CA Standards and Followers'!$G$14:$G$73,MATCH($A51,'CA Standards and Followers'!$A$14:$A$73,0))&lt;=X$1),INDEX('CA Standards and Followers'!$2:$2,MATCH(X$1,'CA Standards and Followers'!$1:$1,0)),0))</f>
        <v>0</v>
      </c>
      <c r="Y51">
        <f>IF(AND(INDEX('CA Standards and Followers'!$E$14:$E$73,MATCH($A51,'CA Standards and Followers'!$A$14:$A$73,0))=1,INDEX('CA Standards and Followers'!$H$14:$H$73,MATCH($A51,'CA Standards and Followers'!$A$14:$A$73,0))&lt;=Y$1),INDEX('CA Standards and Followers'!$3:$3,MATCH(Y$1,'CA Standards and Followers'!$1:$1,0)),IF(AND(INDEX('CA Standards and Followers'!$D$14:$D$73,MATCH($A51,'CA Standards and Followers'!$A$14:$A$73,0))=1,INDEX('CA Standards and Followers'!$G$14:$G$73,MATCH($A51,'CA Standards and Followers'!$A$14:$A$73,0))&lt;=Y$1),INDEX('CA Standards and Followers'!$2:$2,MATCH(Y$1,'CA Standards and Followers'!$1:$1,0)),0))</f>
        <v>0</v>
      </c>
      <c r="Z51">
        <f>IF(AND(INDEX('CA Standards and Followers'!$E$14:$E$73,MATCH($A51,'CA Standards and Followers'!$A$14:$A$73,0))=1,INDEX('CA Standards and Followers'!$H$14:$H$73,MATCH($A51,'CA Standards and Followers'!$A$14:$A$73,0))&lt;=Z$1),INDEX('CA Standards and Followers'!$3:$3,MATCH(Z$1,'CA Standards and Followers'!$1:$1,0)),IF(AND(INDEX('CA Standards and Followers'!$D$14:$D$73,MATCH($A51,'CA Standards and Followers'!$A$14:$A$73,0))=1,INDEX('CA Standards and Followers'!$G$14:$G$73,MATCH($A51,'CA Standards and Followers'!$A$14:$A$73,0))&lt;=Z$1),INDEX('CA Standards and Followers'!$2:$2,MATCH(Z$1,'CA Standards and Followers'!$1:$1,0)),0))</f>
        <v>0</v>
      </c>
      <c r="AA51">
        <f>IF(AND(INDEX('CA Standards and Followers'!$E$14:$E$73,MATCH($A51,'CA Standards and Followers'!$A$14:$A$73,0))=1,INDEX('CA Standards and Followers'!$H$14:$H$73,MATCH($A51,'CA Standards and Followers'!$A$14:$A$73,0))&lt;=AA$1),INDEX('CA Standards and Followers'!$3:$3,MATCH(AA$1,'CA Standards and Followers'!$1:$1,0)),IF(AND(INDEX('CA Standards and Followers'!$D$14:$D$73,MATCH($A51,'CA Standards and Followers'!$A$14:$A$73,0))=1,INDEX('CA Standards and Followers'!$G$14:$G$73,MATCH($A51,'CA Standards and Followers'!$A$14:$A$73,0))&lt;=AA$1),INDEX('CA Standards and Followers'!$2:$2,MATCH(AA$1,'CA Standards and Followers'!$1:$1,0)),0))</f>
        <v>0</v>
      </c>
      <c r="AB51">
        <f>IF(AND(INDEX('CA Standards and Followers'!$E$14:$E$73,MATCH($A51,'CA Standards and Followers'!$A$14:$A$73,0))=1,INDEX('CA Standards and Followers'!$H$14:$H$73,MATCH($A51,'CA Standards and Followers'!$A$14:$A$73,0))&lt;=AB$1),INDEX('CA Standards and Followers'!$3:$3,MATCH(AB$1,'CA Standards and Followers'!$1:$1,0)),IF(AND(INDEX('CA Standards and Followers'!$D$14:$D$73,MATCH($A51,'CA Standards and Followers'!$A$14:$A$73,0))=1,INDEX('CA Standards and Followers'!$G$14:$G$73,MATCH($A51,'CA Standards and Followers'!$A$14:$A$73,0))&lt;=AB$1),INDEX('CA Standards and Followers'!$2:$2,MATCH(AB$1,'CA Standards and Followers'!$1:$1,0)),0))</f>
        <v>0</v>
      </c>
      <c r="AC51">
        <f>IF(AND(INDEX('CA Standards and Followers'!$E$14:$E$73,MATCH($A51,'CA Standards and Followers'!$A$14:$A$73,0))=1,INDEX('CA Standards and Followers'!$H$14:$H$73,MATCH($A51,'CA Standards and Followers'!$A$14:$A$73,0))&lt;=AC$1),INDEX('CA Standards and Followers'!$3:$3,MATCH(AC$1,'CA Standards and Followers'!$1:$1,0)),IF(AND(INDEX('CA Standards and Followers'!$D$14:$D$73,MATCH($A51,'CA Standards and Followers'!$A$14:$A$73,0))=1,INDEX('CA Standards and Followers'!$G$14:$G$73,MATCH($A51,'CA Standards and Followers'!$A$14:$A$73,0))&lt;=AC$1),INDEX('CA Standards and Followers'!$2:$2,MATCH(AC$1,'CA Standards and Followers'!$1:$1,0)),0))</f>
        <v>0</v>
      </c>
      <c r="AD51">
        <f>IF(AND(INDEX('CA Standards and Followers'!$E$14:$E$73,MATCH($A51,'CA Standards and Followers'!$A$14:$A$73,0))=1,INDEX('CA Standards and Followers'!$H$14:$H$73,MATCH($A51,'CA Standards and Followers'!$A$14:$A$73,0))&lt;=AD$1),INDEX('CA Standards and Followers'!$3:$3,MATCH(AD$1,'CA Standards and Followers'!$1:$1,0)),IF(AND(INDEX('CA Standards and Followers'!$D$14:$D$73,MATCH($A51,'CA Standards and Followers'!$A$14:$A$73,0))=1,INDEX('CA Standards and Followers'!$G$14:$G$73,MATCH($A51,'CA Standards and Followers'!$A$14:$A$73,0))&lt;=AD$1),INDEX('CA Standards and Followers'!$2:$2,MATCH(AD$1,'CA Standards and Followers'!$1:$1,0)),0))</f>
        <v>0</v>
      </c>
      <c r="AE51">
        <f>IF(AND(INDEX('CA Standards and Followers'!$E$14:$E$73,MATCH($A51,'CA Standards and Followers'!$A$14:$A$73,0))=1,INDEX('CA Standards and Followers'!$H$14:$H$73,MATCH($A51,'CA Standards and Followers'!$A$14:$A$73,0))&lt;=AE$1),INDEX('CA Standards and Followers'!$3:$3,MATCH(AE$1,'CA Standards and Followers'!$1:$1,0)),IF(AND(INDEX('CA Standards and Followers'!$D$14:$D$73,MATCH($A51,'CA Standards and Followers'!$A$14:$A$73,0))=1,INDEX('CA Standards and Followers'!$G$14:$G$73,MATCH($A51,'CA Standards and Followers'!$A$14:$A$73,0))&lt;=AE$1),INDEX('CA Standards and Followers'!$2:$2,MATCH(AE$1,'CA Standards and Followers'!$1:$1,0)),0))</f>
        <v>0</v>
      </c>
      <c r="AF51">
        <f>IF(AND(INDEX('CA Standards and Followers'!$E$14:$E$73,MATCH($A51,'CA Standards and Followers'!$A$14:$A$73,0))=1,INDEX('CA Standards and Followers'!$H$14:$H$73,MATCH($A51,'CA Standards and Followers'!$A$14:$A$73,0))&lt;=AF$1),INDEX('CA Standards and Followers'!$3:$3,MATCH(AF$1,'CA Standards and Followers'!$1:$1,0)),IF(AND(INDEX('CA Standards and Followers'!$D$14:$D$73,MATCH($A51,'CA Standards and Followers'!$A$14:$A$73,0))=1,INDEX('CA Standards and Followers'!$G$14:$G$73,MATCH($A51,'CA Standards and Followers'!$A$14:$A$73,0))&lt;=AF$1),INDEX('CA Standards and Followers'!$2:$2,MATCH(AF$1,'CA Standards and Followers'!$1:$1,0)),0))</f>
        <v>0</v>
      </c>
    </row>
    <row r="52" spans="1:32" x14ac:dyDescent="0.25">
      <c r="A52" t="s">
        <v>52</v>
      </c>
      <c r="B52">
        <f>IF(AND(INDEX('CA Standards and Followers'!$E$14:$E$73,MATCH($A52,'CA Standards and Followers'!$A$14:$A$73,0))=1,INDEX('CA Standards and Followers'!$H$14:$H$73,MATCH($A52,'CA Standards and Followers'!$A$14:$A$73,0))&lt;=B$1),INDEX('CA Standards and Followers'!$3:$3,MATCH(B$1,'CA Standards and Followers'!$1:$1,0)),IF(AND(INDEX('CA Standards and Followers'!$D$14:$D$73,MATCH($A52,'CA Standards and Followers'!$A$14:$A$73,0))=1,INDEX('CA Standards and Followers'!$G$14:$G$73,MATCH($A52,'CA Standards and Followers'!$A$14:$A$73,0))&lt;=B$1),INDEX('CA Standards and Followers'!$2:$2,MATCH(B$1,'CA Standards and Followers'!$1:$1,0)),0))</f>
        <v>0</v>
      </c>
      <c r="C52">
        <f>IF(AND(INDEX('CA Standards and Followers'!$E$14:$E$73,MATCH($A52,'CA Standards and Followers'!$A$14:$A$73,0))=1,INDEX('CA Standards and Followers'!$H$14:$H$73,MATCH($A52,'CA Standards and Followers'!$A$14:$A$73,0))&lt;=C$1),INDEX('CA Standards and Followers'!$3:$3,MATCH(C$1,'CA Standards and Followers'!$1:$1,0)),IF(AND(INDEX('CA Standards and Followers'!$D$14:$D$73,MATCH($A52,'CA Standards and Followers'!$A$14:$A$73,0))=1,INDEX('CA Standards and Followers'!$G$14:$G$73,MATCH($A52,'CA Standards and Followers'!$A$14:$A$73,0))&lt;=C$1),INDEX('CA Standards and Followers'!$2:$2,MATCH(C$1,'CA Standards and Followers'!$1:$1,0)),0))</f>
        <v>0</v>
      </c>
      <c r="D52">
        <f>IF(AND(INDEX('CA Standards and Followers'!$E$14:$E$73,MATCH($A52,'CA Standards and Followers'!$A$14:$A$73,0))=1,INDEX('CA Standards and Followers'!$H$14:$H$73,MATCH($A52,'CA Standards and Followers'!$A$14:$A$73,0))&lt;=D$1),INDEX('CA Standards and Followers'!$3:$3,MATCH(D$1,'CA Standards and Followers'!$1:$1,0)),IF(AND(INDEX('CA Standards and Followers'!$D$14:$D$73,MATCH($A52,'CA Standards and Followers'!$A$14:$A$73,0))=1,INDEX('CA Standards and Followers'!$G$14:$G$73,MATCH($A52,'CA Standards and Followers'!$A$14:$A$73,0))&lt;=D$1),INDEX('CA Standards and Followers'!$2:$2,MATCH(D$1,'CA Standards and Followers'!$1:$1,0)),0))</f>
        <v>0</v>
      </c>
      <c r="E52">
        <f>IF(AND(INDEX('CA Standards and Followers'!$E$14:$E$73,MATCH($A52,'CA Standards and Followers'!$A$14:$A$73,0))=1,INDEX('CA Standards and Followers'!$H$14:$H$73,MATCH($A52,'CA Standards and Followers'!$A$14:$A$73,0))&lt;=E$1),INDEX('CA Standards and Followers'!$3:$3,MATCH(E$1,'CA Standards and Followers'!$1:$1,0)),IF(AND(INDEX('CA Standards and Followers'!$D$14:$D$73,MATCH($A52,'CA Standards and Followers'!$A$14:$A$73,0))=1,INDEX('CA Standards and Followers'!$G$14:$G$73,MATCH($A52,'CA Standards and Followers'!$A$14:$A$73,0))&lt;=E$1),INDEX('CA Standards and Followers'!$2:$2,MATCH(E$1,'CA Standards and Followers'!$1:$1,0)),0))</f>
        <v>0</v>
      </c>
      <c r="F52">
        <f>IF(AND(INDEX('CA Standards and Followers'!$E$14:$E$73,MATCH($A52,'CA Standards and Followers'!$A$14:$A$73,0))=1,INDEX('CA Standards and Followers'!$H$14:$H$73,MATCH($A52,'CA Standards and Followers'!$A$14:$A$73,0))&lt;=F$1),INDEX('CA Standards and Followers'!$3:$3,MATCH(F$1,'CA Standards and Followers'!$1:$1,0)),IF(AND(INDEX('CA Standards and Followers'!$D$14:$D$73,MATCH($A52,'CA Standards and Followers'!$A$14:$A$73,0))=1,INDEX('CA Standards and Followers'!$G$14:$G$73,MATCH($A52,'CA Standards and Followers'!$A$14:$A$73,0))&lt;=F$1),INDEX('CA Standards and Followers'!$2:$2,MATCH(F$1,'CA Standards and Followers'!$1:$1,0)),0))</f>
        <v>0</v>
      </c>
      <c r="G52">
        <f>IF(AND(INDEX('CA Standards and Followers'!$E$14:$E$73,MATCH($A52,'CA Standards and Followers'!$A$14:$A$73,0))=1,INDEX('CA Standards and Followers'!$H$14:$H$73,MATCH($A52,'CA Standards and Followers'!$A$14:$A$73,0))&lt;=G$1),INDEX('CA Standards and Followers'!$3:$3,MATCH(G$1,'CA Standards and Followers'!$1:$1,0)),IF(AND(INDEX('CA Standards and Followers'!$D$14:$D$73,MATCH($A52,'CA Standards and Followers'!$A$14:$A$73,0))=1,INDEX('CA Standards and Followers'!$G$14:$G$73,MATCH($A52,'CA Standards and Followers'!$A$14:$A$73,0))&lt;=G$1),INDEX('CA Standards and Followers'!$2:$2,MATCH(G$1,'CA Standards and Followers'!$1:$1,0)),0))</f>
        <v>0</v>
      </c>
      <c r="H52">
        <f>IF(AND(INDEX('CA Standards and Followers'!$E$14:$E$73,MATCH($A52,'CA Standards and Followers'!$A$14:$A$73,0))=1,INDEX('CA Standards and Followers'!$H$14:$H$73,MATCH($A52,'CA Standards and Followers'!$A$14:$A$73,0))&lt;=H$1),INDEX('CA Standards and Followers'!$3:$3,MATCH(H$1,'CA Standards and Followers'!$1:$1,0)),IF(AND(INDEX('CA Standards and Followers'!$D$14:$D$73,MATCH($A52,'CA Standards and Followers'!$A$14:$A$73,0))=1,INDEX('CA Standards and Followers'!$G$14:$G$73,MATCH($A52,'CA Standards and Followers'!$A$14:$A$73,0))&lt;=H$1),INDEX('CA Standards and Followers'!$2:$2,MATCH(H$1,'CA Standards and Followers'!$1:$1,0)),0))</f>
        <v>0</v>
      </c>
      <c r="I52">
        <f>IF(AND(INDEX('CA Standards and Followers'!$E$14:$E$73,MATCH($A52,'CA Standards and Followers'!$A$14:$A$73,0))=1,INDEX('CA Standards and Followers'!$H$14:$H$73,MATCH($A52,'CA Standards and Followers'!$A$14:$A$73,0))&lt;=I$1),INDEX('CA Standards and Followers'!$3:$3,MATCH(I$1,'CA Standards and Followers'!$1:$1,0)),IF(AND(INDEX('CA Standards and Followers'!$D$14:$D$73,MATCH($A52,'CA Standards and Followers'!$A$14:$A$73,0))=1,INDEX('CA Standards and Followers'!$G$14:$G$73,MATCH($A52,'CA Standards and Followers'!$A$14:$A$73,0))&lt;=I$1),INDEX('CA Standards and Followers'!$2:$2,MATCH(I$1,'CA Standards and Followers'!$1:$1,0)),0))</f>
        <v>0</v>
      </c>
      <c r="J52">
        <f>IF(AND(INDEX('CA Standards and Followers'!$E$14:$E$73,MATCH($A52,'CA Standards and Followers'!$A$14:$A$73,0))=1,INDEX('CA Standards and Followers'!$H$14:$H$73,MATCH($A52,'CA Standards and Followers'!$A$14:$A$73,0))&lt;=J$1),INDEX('CA Standards and Followers'!$3:$3,MATCH(J$1,'CA Standards and Followers'!$1:$1,0)),IF(AND(INDEX('CA Standards and Followers'!$D$14:$D$73,MATCH($A52,'CA Standards and Followers'!$A$14:$A$73,0))=1,INDEX('CA Standards and Followers'!$G$14:$G$73,MATCH($A52,'CA Standards and Followers'!$A$14:$A$73,0))&lt;=J$1),INDEX('CA Standards and Followers'!$2:$2,MATCH(J$1,'CA Standards and Followers'!$1:$1,0)),0))</f>
        <v>0</v>
      </c>
      <c r="K52">
        <f>IF(AND(INDEX('CA Standards and Followers'!$E$14:$E$73,MATCH($A52,'CA Standards and Followers'!$A$14:$A$73,0))=1,INDEX('CA Standards and Followers'!$H$14:$H$73,MATCH($A52,'CA Standards and Followers'!$A$14:$A$73,0))&lt;=K$1),INDEX('CA Standards and Followers'!$3:$3,MATCH(K$1,'CA Standards and Followers'!$1:$1,0)),IF(AND(INDEX('CA Standards and Followers'!$D$14:$D$73,MATCH($A52,'CA Standards and Followers'!$A$14:$A$73,0))=1,INDEX('CA Standards and Followers'!$G$14:$G$73,MATCH($A52,'CA Standards and Followers'!$A$14:$A$73,0))&lt;=K$1),INDEX('CA Standards and Followers'!$2:$2,MATCH(K$1,'CA Standards and Followers'!$1:$1,0)),0))</f>
        <v>0</v>
      </c>
      <c r="L52">
        <f>IF(AND(INDEX('CA Standards and Followers'!$E$14:$E$73,MATCH($A52,'CA Standards and Followers'!$A$14:$A$73,0))=1,INDEX('CA Standards and Followers'!$H$14:$H$73,MATCH($A52,'CA Standards and Followers'!$A$14:$A$73,0))&lt;=L$1),INDEX('CA Standards and Followers'!$3:$3,MATCH(L$1,'CA Standards and Followers'!$1:$1,0)),IF(AND(INDEX('CA Standards and Followers'!$D$14:$D$73,MATCH($A52,'CA Standards and Followers'!$A$14:$A$73,0))=1,INDEX('CA Standards and Followers'!$G$14:$G$73,MATCH($A52,'CA Standards and Followers'!$A$14:$A$73,0))&lt;=L$1),INDEX('CA Standards and Followers'!$2:$2,MATCH(L$1,'CA Standards and Followers'!$1:$1,0)),0))</f>
        <v>0</v>
      </c>
      <c r="M52">
        <f>IF(AND(INDEX('CA Standards and Followers'!$E$14:$E$73,MATCH($A52,'CA Standards and Followers'!$A$14:$A$73,0))=1,INDEX('CA Standards and Followers'!$H$14:$H$73,MATCH($A52,'CA Standards and Followers'!$A$14:$A$73,0))&lt;=M$1),INDEX('CA Standards and Followers'!$3:$3,MATCH(M$1,'CA Standards and Followers'!$1:$1,0)),IF(AND(INDEX('CA Standards and Followers'!$D$14:$D$73,MATCH($A52,'CA Standards and Followers'!$A$14:$A$73,0))=1,INDEX('CA Standards and Followers'!$G$14:$G$73,MATCH($A52,'CA Standards and Followers'!$A$14:$A$73,0))&lt;=M$1),INDEX('CA Standards and Followers'!$2:$2,MATCH(M$1,'CA Standards and Followers'!$1:$1,0)),0))</f>
        <v>0</v>
      </c>
      <c r="N52">
        <f>IF(AND(INDEX('CA Standards and Followers'!$E$14:$E$73,MATCH($A52,'CA Standards and Followers'!$A$14:$A$73,0))=1,INDEX('CA Standards and Followers'!$H$14:$H$73,MATCH($A52,'CA Standards and Followers'!$A$14:$A$73,0))&lt;=N$1),INDEX('CA Standards and Followers'!$3:$3,MATCH(N$1,'CA Standards and Followers'!$1:$1,0)),IF(AND(INDEX('CA Standards and Followers'!$D$14:$D$73,MATCH($A52,'CA Standards and Followers'!$A$14:$A$73,0))=1,INDEX('CA Standards and Followers'!$G$14:$G$73,MATCH($A52,'CA Standards and Followers'!$A$14:$A$73,0))&lt;=N$1),INDEX('CA Standards and Followers'!$2:$2,MATCH(N$1,'CA Standards and Followers'!$1:$1,0)),0))</f>
        <v>0</v>
      </c>
      <c r="O52">
        <f>IF(AND(INDEX('CA Standards and Followers'!$E$14:$E$73,MATCH($A52,'CA Standards and Followers'!$A$14:$A$73,0))=1,INDEX('CA Standards and Followers'!$H$14:$H$73,MATCH($A52,'CA Standards and Followers'!$A$14:$A$73,0))&lt;=O$1),INDEX('CA Standards and Followers'!$3:$3,MATCH(O$1,'CA Standards and Followers'!$1:$1,0)),IF(AND(INDEX('CA Standards and Followers'!$D$14:$D$73,MATCH($A52,'CA Standards and Followers'!$A$14:$A$73,0))=1,INDEX('CA Standards and Followers'!$G$14:$G$73,MATCH($A52,'CA Standards and Followers'!$A$14:$A$73,0))&lt;=O$1),INDEX('CA Standards and Followers'!$2:$2,MATCH(O$1,'CA Standards and Followers'!$1:$1,0)),0))</f>
        <v>0</v>
      </c>
      <c r="P52">
        <f>IF(AND(INDEX('CA Standards and Followers'!$E$14:$E$73,MATCH($A52,'CA Standards and Followers'!$A$14:$A$73,0))=1,INDEX('CA Standards and Followers'!$H$14:$H$73,MATCH($A52,'CA Standards and Followers'!$A$14:$A$73,0))&lt;=P$1),INDEX('CA Standards and Followers'!$3:$3,MATCH(P$1,'CA Standards and Followers'!$1:$1,0)),IF(AND(INDEX('CA Standards and Followers'!$D$14:$D$73,MATCH($A52,'CA Standards and Followers'!$A$14:$A$73,0))=1,INDEX('CA Standards and Followers'!$G$14:$G$73,MATCH($A52,'CA Standards and Followers'!$A$14:$A$73,0))&lt;=P$1),INDEX('CA Standards and Followers'!$2:$2,MATCH(P$1,'CA Standards and Followers'!$1:$1,0)),0))</f>
        <v>0</v>
      </c>
      <c r="Q52">
        <f>IF(AND(INDEX('CA Standards and Followers'!$E$14:$E$73,MATCH($A52,'CA Standards and Followers'!$A$14:$A$73,0))=1,INDEX('CA Standards and Followers'!$H$14:$H$73,MATCH($A52,'CA Standards and Followers'!$A$14:$A$73,0))&lt;=Q$1),INDEX('CA Standards and Followers'!$3:$3,MATCH(Q$1,'CA Standards and Followers'!$1:$1,0)),IF(AND(INDEX('CA Standards and Followers'!$D$14:$D$73,MATCH($A52,'CA Standards and Followers'!$A$14:$A$73,0))=1,INDEX('CA Standards and Followers'!$G$14:$G$73,MATCH($A52,'CA Standards and Followers'!$A$14:$A$73,0))&lt;=Q$1),INDEX('CA Standards and Followers'!$2:$2,MATCH(Q$1,'CA Standards and Followers'!$1:$1,0)),0))</f>
        <v>0</v>
      </c>
      <c r="R52">
        <f>IF(AND(INDEX('CA Standards and Followers'!$E$14:$E$73,MATCH($A52,'CA Standards and Followers'!$A$14:$A$73,0))=1,INDEX('CA Standards and Followers'!$H$14:$H$73,MATCH($A52,'CA Standards and Followers'!$A$14:$A$73,0))&lt;=R$1),INDEX('CA Standards and Followers'!$3:$3,MATCH(R$1,'CA Standards and Followers'!$1:$1,0)),IF(AND(INDEX('CA Standards and Followers'!$D$14:$D$73,MATCH($A52,'CA Standards and Followers'!$A$14:$A$73,0))=1,INDEX('CA Standards and Followers'!$G$14:$G$73,MATCH($A52,'CA Standards and Followers'!$A$14:$A$73,0))&lt;=R$1),INDEX('CA Standards and Followers'!$2:$2,MATCH(R$1,'CA Standards and Followers'!$1:$1,0)),0))</f>
        <v>0</v>
      </c>
      <c r="S52">
        <f>IF(AND(INDEX('CA Standards and Followers'!$E$14:$E$73,MATCH($A52,'CA Standards and Followers'!$A$14:$A$73,0))=1,INDEX('CA Standards and Followers'!$H$14:$H$73,MATCH($A52,'CA Standards and Followers'!$A$14:$A$73,0))&lt;=S$1),INDEX('CA Standards and Followers'!$3:$3,MATCH(S$1,'CA Standards and Followers'!$1:$1,0)),IF(AND(INDEX('CA Standards and Followers'!$D$14:$D$73,MATCH($A52,'CA Standards and Followers'!$A$14:$A$73,0))=1,INDEX('CA Standards and Followers'!$G$14:$G$73,MATCH($A52,'CA Standards and Followers'!$A$14:$A$73,0))&lt;=S$1),INDEX('CA Standards and Followers'!$2:$2,MATCH(S$1,'CA Standards and Followers'!$1:$1,0)),0))</f>
        <v>0</v>
      </c>
      <c r="T52">
        <f>IF(AND(INDEX('CA Standards and Followers'!$E$14:$E$73,MATCH($A52,'CA Standards and Followers'!$A$14:$A$73,0))=1,INDEX('CA Standards and Followers'!$H$14:$H$73,MATCH($A52,'CA Standards and Followers'!$A$14:$A$73,0))&lt;=T$1),INDEX('CA Standards and Followers'!$3:$3,MATCH(T$1,'CA Standards and Followers'!$1:$1,0)),IF(AND(INDEX('CA Standards and Followers'!$D$14:$D$73,MATCH($A52,'CA Standards and Followers'!$A$14:$A$73,0))=1,INDEX('CA Standards and Followers'!$G$14:$G$73,MATCH($A52,'CA Standards and Followers'!$A$14:$A$73,0))&lt;=T$1),INDEX('CA Standards and Followers'!$2:$2,MATCH(T$1,'CA Standards and Followers'!$1:$1,0)),0))</f>
        <v>0</v>
      </c>
      <c r="U52">
        <f>IF(AND(INDEX('CA Standards and Followers'!$E$14:$E$73,MATCH($A52,'CA Standards and Followers'!$A$14:$A$73,0))=1,INDEX('CA Standards and Followers'!$H$14:$H$73,MATCH($A52,'CA Standards and Followers'!$A$14:$A$73,0))&lt;=U$1),INDEX('CA Standards and Followers'!$3:$3,MATCH(U$1,'CA Standards and Followers'!$1:$1,0)),IF(AND(INDEX('CA Standards and Followers'!$D$14:$D$73,MATCH($A52,'CA Standards and Followers'!$A$14:$A$73,0))=1,INDEX('CA Standards and Followers'!$G$14:$G$73,MATCH($A52,'CA Standards and Followers'!$A$14:$A$73,0))&lt;=U$1),INDEX('CA Standards and Followers'!$2:$2,MATCH(U$1,'CA Standards and Followers'!$1:$1,0)),0))</f>
        <v>0</v>
      </c>
      <c r="V52">
        <f>IF(AND(INDEX('CA Standards and Followers'!$E$14:$E$73,MATCH($A52,'CA Standards and Followers'!$A$14:$A$73,0))=1,INDEX('CA Standards and Followers'!$H$14:$H$73,MATCH($A52,'CA Standards and Followers'!$A$14:$A$73,0))&lt;=V$1),INDEX('CA Standards and Followers'!$3:$3,MATCH(V$1,'CA Standards and Followers'!$1:$1,0)),IF(AND(INDEX('CA Standards and Followers'!$D$14:$D$73,MATCH($A52,'CA Standards and Followers'!$A$14:$A$73,0))=1,INDEX('CA Standards and Followers'!$G$14:$G$73,MATCH($A52,'CA Standards and Followers'!$A$14:$A$73,0))&lt;=V$1),INDEX('CA Standards and Followers'!$2:$2,MATCH(V$1,'CA Standards and Followers'!$1:$1,0)),0))</f>
        <v>0</v>
      </c>
      <c r="W52">
        <f>IF(AND(INDEX('CA Standards and Followers'!$E$14:$E$73,MATCH($A52,'CA Standards and Followers'!$A$14:$A$73,0))=1,INDEX('CA Standards and Followers'!$H$14:$H$73,MATCH($A52,'CA Standards and Followers'!$A$14:$A$73,0))&lt;=W$1),INDEX('CA Standards and Followers'!$3:$3,MATCH(W$1,'CA Standards and Followers'!$1:$1,0)),IF(AND(INDEX('CA Standards and Followers'!$D$14:$D$73,MATCH($A52,'CA Standards and Followers'!$A$14:$A$73,0))=1,INDEX('CA Standards and Followers'!$G$14:$G$73,MATCH($A52,'CA Standards and Followers'!$A$14:$A$73,0))&lt;=W$1),INDEX('CA Standards and Followers'!$2:$2,MATCH(W$1,'CA Standards and Followers'!$1:$1,0)),0))</f>
        <v>0</v>
      </c>
      <c r="X52">
        <f>IF(AND(INDEX('CA Standards and Followers'!$E$14:$E$73,MATCH($A52,'CA Standards and Followers'!$A$14:$A$73,0))=1,INDEX('CA Standards and Followers'!$H$14:$H$73,MATCH($A52,'CA Standards and Followers'!$A$14:$A$73,0))&lt;=X$1),INDEX('CA Standards and Followers'!$3:$3,MATCH(X$1,'CA Standards and Followers'!$1:$1,0)),IF(AND(INDEX('CA Standards and Followers'!$D$14:$D$73,MATCH($A52,'CA Standards and Followers'!$A$14:$A$73,0))=1,INDEX('CA Standards and Followers'!$G$14:$G$73,MATCH($A52,'CA Standards and Followers'!$A$14:$A$73,0))&lt;=X$1),INDEX('CA Standards and Followers'!$2:$2,MATCH(X$1,'CA Standards and Followers'!$1:$1,0)),0))</f>
        <v>0</v>
      </c>
      <c r="Y52">
        <f>IF(AND(INDEX('CA Standards and Followers'!$E$14:$E$73,MATCH($A52,'CA Standards and Followers'!$A$14:$A$73,0))=1,INDEX('CA Standards and Followers'!$H$14:$H$73,MATCH($A52,'CA Standards and Followers'!$A$14:$A$73,0))&lt;=Y$1),INDEX('CA Standards and Followers'!$3:$3,MATCH(Y$1,'CA Standards and Followers'!$1:$1,0)),IF(AND(INDEX('CA Standards and Followers'!$D$14:$D$73,MATCH($A52,'CA Standards and Followers'!$A$14:$A$73,0))=1,INDEX('CA Standards and Followers'!$G$14:$G$73,MATCH($A52,'CA Standards and Followers'!$A$14:$A$73,0))&lt;=Y$1),INDEX('CA Standards and Followers'!$2:$2,MATCH(Y$1,'CA Standards and Followers'!$1:$1,0)),0))</f>
        <v>0</v>
      </c>
      <c r="Z52">
        <f>IF(AND(INDEX('CA Standards and Followers'!$E$14:$E$73,MATCH($A52,'CA Standards and Followers'!$A$14:$A$73,0))=1,INDEX('CA Standards and Followers'!$H$14:$H$73,MATCH($A52,'CA Standards and Followers'!$A$14:$A$73,0))&lt;=Z$1),INDEX('CA Standards and Followers'!$3:$3,MATCH(Z$1,'CA Standards and Followers'!$1:$1,0)),IF(AND(INDEX('CA Standards and Followers'!$D$14:$D$73,MATCH($A52,'CA Standards and Followers'!$A$14:$A$73,0))=1,INDEX('CA Standards and Followers'!$G$14:$G$73,MATCH($A52,'CA Standards and Followers'!$A$14:$A$73,0))&lt;=Z$1),INDEX('CA Standards and Followers'!$2:$2,MATCH(Z$1,'CA Standards and Followers'!$1:$1,0)),0))</f>
        <v>0</v>
      </c>
      <c r="AA52">
        <f>IF(AND(INDEX('CA Standards and Followers'!$E$14:$E$73,MATCH($A52,'CA Standards and Followers'!$A$14:$A$73,0))=1,INDEX('CA Standards and Followers'!$H$14:$H$73,MATCH($A52,'CA Standards and Followers'!$A$14:$A$73,0))&lt;=AA$1),INDEX('CA Standards and Followers'!$3:$3,MATCH(AA$1,'CA Standards and Followers'!$1:$1,0)),IF(AND(INDEX('CA Standards and Followers'!$D$14:$D$73,MATCH($A52,'CA Standards and Followers'!$A$14:$A$73,0))=1,INDEX('CA Standards and Followers'!$G$14:$G$73,MATCH($A52,'CA Standards and Followers'!$A$14:$A$73,0))&lt;=AA$1),INDEX('CA Standards and Followers'!$2:$2,MATCH(AA$1,'CA Standards and Followers'!$1:$1,0)),0))</f>
        <v>0</v>
      </c>
      <c r="AB52">
        <f>IF(AND(INDEX('CA Standards and Followers'!$E$14:$E$73,MATCH($A52,'CA Standards and Followers'!$A$14:$A$73,0))=1,INDEX('CA Standards and Followers'!$H$14:$H$73,MATCH($A52,'CA Standards and Followers'!$A$14:$A$73,0))&lt;=AB$1),INDEX('CA Standards and Followers'!$3:$3,MATCH(AB$1,'CA Standards and Followers'!$1:$1,0)),IF(AND(INDEX('CA Standards and Followers'!$D$14:$D$73,MATCH($A52,'CA Standards and Followers'!$A$14:$A$73,0))=1,INDEX('CA Standards and Followers'!$G$14:$G$73,MATCH($A52,'CA Standards and Followers'!$A$14:$A$73,0))&lt;=AB$1),INDEX('CA Standards and Followers'!$2:$2,MATCH(AB$1,'CA Standards and Followers'!$1:$1,0)),0))</f>
        <v>0</v>
      </c>
      <c r="AC52">
        <f>IF(AND(INDEX('CA Standards and Followers'!$E$14:$E$73,MATCH($A52,'CA Standards and Followers'!$A$14:$A$73,0))=1,INDEX('CA Standards and Followers'!$H$14:$H$73,MATCH($A52,'CA Standards and Followers'!$A$14:$A$73,0))&lt;=AC$1),INDEX('CA Standards and Followers'!$3:$3,MATCH(AC$1,'CA Standards and Followers'!$1:$1,0)),IF(AND(INDEX('CA Standards and Followers'!$D$14:$D$73,MATCH($A52,'CA Standards and Followers'!$A$14:$A$73,0))=1,INDEX('CA Standards and Followers'!$G$14:$G$73,MATCH($A52,'CA Standards and Followers'!$A$14:$A$73,0))&lt;=AC$1),INDEX('CA Standards and Followers'!$2:$2,MATCH(AC$1,'CA Standards and Followers'!$1:$1,0)),0))</f>
        <v>0</v>
      </c>
      <c r="AD52">
        <f>IF(AND(INDEX('CA Standards and Followers'!$E$14:$E$73,MATCH($A52,'CA Standards and Followers'!$A$14:$A$73,0))=1,INDEX('CA Standards and Followers'!$H$14:$H$73,MATCH($A52,'CA Standards and Followers'!$A$14:$A$73,0))&lt;=AD$1),INDEX('CA Standards and Followers'!$3:$3,MATCH(AD$1,'CA Standards and Followers'!$1:$1,0)),IF(AND(INDEX('CA Standards and Followers'!$D$14:$D$73,MATCH($A52,'CA Standards and Followers'!$A$14:$A$73,0))=1,INDEX('CA Standards and Followers'!$G$14:$G$73,MATCH($A52,'CA Standards and Followers'!$A$14:$A$73,0))&lt;=AD$1),INDEX('CA Standards and Followers'!$2:$2,MATCH(AD$1,'CA Standards and Followers'!$1:$1,0)),0))</f>
        <v>0</v>
      </c>
      <c r="AE52">
        <f>IF(AND(INDEX('CA Standards and Followers'!$E$14:$E$73,MATCH($A52,'CA Standards and Followers'!$A$14:$A$73,0))=1,INDEX('CA Standards and Followers'!$H$14:$H$73,MATCH($A52,'CA Standards and Followers'!$A$14:$A$73,0))&lt;=AE$1),INDEX('CA Standards and Followers'!$3:$3,MATCH(AE$1,'CA Standards and Followers'!$1:$1,0)),IF(AND(INDEX('CA Standards and Followers'!$D$14:$D$73,MATCH($A52,'CA Standards and Followers'!$A$14:$A$73,0))=1,INDEX('CA Standards and Followers'!$G$14:$G$73,MATCH($A52,'CA Standards and Followers'!$A$14:$A$73,0))&lt;=AE$1),INDEX('CA Standards and Followers'!$2:$2,MATCH(AE$1,'CA Standards and Followers'!$1:$1,0)),0))</f>
        <v>0</v>
      </c>
      <c r="AF52">
        <f>IF(AND(INDEX('CA Standards and Followers'!$E$14:$E$73,MATCH($A52,'CA Standards and Followers'!$A$14:$A$73,0))=1,INDEX('CA Standards and Followers'!$H$14:$H$73,MATCH($A52,'CA Standards and Followers'!$A$14:$A$73,0))&lt;=AF$1),INDEX('CA Standards and Followers'!$3:$3,MATCH(AF$1,'CA Standards and Followers'!$1:$1,0)),IF(AND(INDEX('CA Standards and Followers'!$D$14:$D$73,MATCH($A52,'CA Standards and Followers'!$A$14:$A$73,0))=1,INDEX('CA Standards and Followers'!$G$14:$G$73,MATCH($A52,'CA Standards and Followers'!$A$14:$A$73,0))&lt;=AF$1),INDEX('CA Standards and Followers'!$2:$2,MATCH(AF$1,'CA Standards and Followers'!$1:$1,0)),0))</f>
        <v>0</v>
      </c>
    </row>
    <row r="53" spans="1:32" x14ac:dyDescent="0.25">
      <c r="A53" t="s">
        <v>53</v>
      </c>
      <c r="B53">
        <f>IF(AND(INDEX('CA Standards and Followers'!$E$14:$E$73,MATCH($A53,'CA Standards and Followers'!$A$14:$A$73,0))=1,INDEX('CA Standards and Followers'!$H$14:$H$73,MATCH($A53,'CA Standards and Followers'!$A$14:$A$73,0))&lt;=B$1),INDEX('CA Standards and Followers'!$3:$3,MATCH(B$1,'CA Standards and Followers'!$1:$1,0)),IF(AND(INDEX('CA Standards and Followers'!$D$14:$D$73,MATCH($A53,'CA Standards and Followers'!$A$14:$A$73,0))=1,INDEX('CA Standards and Followers'!$G$14:$G$73,MATCH($A53,'CA Standards and Followers'!$A$14:$A$73,0))&lt;=B$1),INDEX('CA Standards and Followers'!$2:$2,MATCH(B$1,'CA Standards and Followers'!$1:$1,0)),0))</f>
        <v>0</v>
      </c>
      <c r="C53">
        <f>IF(AND(INDEX('CA Standards and Followers'!$E$14:$E$73,MATCH($A53,'CA Standards and Followers'!$A$14:$A$73,0))=1,INDEX('CA Standards and Followers'!$H$14:$H$73,MATCH($A53,'CA Standards and Followers'!$A$14:$A$73,0))&lt;=C$1),INDEX('CA Standards and Followers'!$3:$3,MATCH(C$1,'CA Standards and Followers'!$1:$1,0)),IF(AND(INDEX('CA Standards and Followers'!$D$14:$D$73,MATCH($A53,'CA Standards and Followers'!$A$14:$A$73,0))=1,INDEX('CA Standards and Followers'!$G$14:$G$73,MATCH($A53,'CA Standards and Followers'!$A$14:$A$73,0))&lt;=C$1),INDEX('CA Standards and Followers'!$2:$2,MATCH(C$1,'CA Standards and Followers'!$1:$1,0)),0))</f>
        <v>0</v>
      </c>
      <c r="D53">
        <f>IF(AND(INDEX('CA Standards and Followers'!$E$14:$E$73,MATCH($A53,'CA Standards and Followers'!$A$14:$A$73,0))=1,INDEX('CA Standards and Followers'!$H$14:$H$73,MATCH($A53,'CA Standards and Followers'!$A$14:$A$73,0))&lt;=D$1),INDEX('CA Standards and Followers'!$3:$3,MATCH(D$1,'CA Standards and Followers'!$1:$1,0)),IF(AND(INDEX('CA Standards and Followers'!$D$14:$D$73,MATCH($A53,'CA Standards and Followers'!$A$14:$A$73,0))=1,INDEX('CA Standards and Followers'!$G$14:$G$73,MATCH($A53,'CA Standards and Followers'!$A$14:$A$73,0))&lt;=D$1),INDEX('CA Standards and Followers'!$2:$2,MATCH(D$1,'CA Standards and Followers'!$1:$1,0)),0))</f>
        <v>0</v>
      </c>
      <c r="E53">
        <f>IF(AND(INDEX('CA Standards and Followers'!$E$14:$E$73,MATCH($A53,'CA Standards and Followers'!$A$14:$A$73,0))=1,INDEX('CA Standards and Followers'!$H$14:$H$73,MATCH($A53,'CA Standards and Followers'!$A$14:$A$73,0))&lt;=E$1),INDEX('CA Standards and Followers'!$3:$3,MATCH(E$1,'CA Standards and Followers'!$1:$1,0)),IF(AND(INDEX('CA Standards and Followers'!$D$14:$D$73,MATCH($A53,'CA Standards and Followers'!$A$14:$A$73,0))=1,INDEX('CA Standards and Followers'!$G$14:$G$73,MATCH($A53,'CA Standards and Followers'!$A$14:$A$73,0))&lt;=E$1),INDEX('CA Standards and Followers'!$2:$2,MATCH(E$1,'CA Standards and Followers'!$1:$1,0)),0))</f>
        <v>0</v>
      </c>
      <c r="F53">
        <f>IF(AND(INDEX('CA Standards and Followers'!$E$14:$E$73,MATCH($A53,'CA Standards and Followers'!$A$14:$A$73,0))=1,INDEX('CA Standards and Followers'!$H$14:$H$73,MATCH($A53,'CA Standards and Followers'!$A$14:$A$73,0))&lt;=F$1),INDEX('CA Standards and Followers'!$3:$3,MATCH(F$1,'CA Standards and Followers'!$1:$1,0)),IF(AND(INDEX('CA Standards and Followers'!$D$14:$D$73,MATCH($A53,'CA Standards and Followers'!$A$14:$A$73,0))=1,INDEX('CA Standards and Followers'!$G$14:$G$73,MATCH($A53,'CA Standards and Followers'!$A$14:$A$73,0))&lt;=F$1),INDEX('CA Standards and Followers'!$2:$2,MATCH(F$1,'CA Standards and Followers'!$1:$1,0)),0))</f>
        <v>0</v>
      </c>
      <c r="G53">
        <f>IF(AND(INDEX('CA Standards and Followers'!$E$14:$E$73,MATCH($A53,'CA Standards and Followers'!$A$14:$A$73,0))=1,INDEX('CA Standards and Followers'!$H$14:$H$73,MATCH($A53,'CA Standards and Followers'!$A$14:$A$73,0))&lt;=G$1),INDEX('CA Standards and Followers'!$3:$3,MATCH(G$1,'CA Standards and Followers'!$1:$1,0)),IF(AND(INDEX('CA Standards and Followers'!$D$14:$D$73,MATCH($A53,'CA Standards and Followers'!$A$14:$A$73,0))=1,INDEX('CA Standards and Followers'!$G$14:$G$73,MATCH($A53,'CA Standards and Followers'!$A$14:$A$73,0))&lt;=G$1),INDEX('CA Standards and Followers'!$2:$2,MATCH(G$1,'CA Standards and Followers'!$1:$1,0)),0))</f>
        <v>0</v>
      </c>
      <c r="H53">
        <f>IF(AND(INDEX('CA Standards and Followers'!$E$14:$E$73,MATCH($A53,'CA Standards and Followers'!$A$14:$A$73,0))=1,INDEX('CA Standards and Followers'!$H$14:$H$73,MATCH($A53,'CA Standards and Followers'!$A$14:$A$73,0))&lt;=H$1),INDEX('CA Standards and Followers'!$3:$3,MATCH(H$1,'CA Standards and Followers'!$1:$1,0)),IF(AND(INDEX('CA Standards and Followers'!$D$14:$D$73,MATCH($A53,'CA Standards and Followers'!$A$14:$A$73,0))=1,INDEX('CA Standards and Followers'!$G$14:$G$73,MATCH($A53,'CA Standards and Followers'!$A$14:$A$73,0))&lt;=H$1),INDEX('CA Standards and Followers'!$2:$2,MATCH(H$1,'CA Standards and Followers'!$1:$1,0)),0))</f>
        <v>0</v>
      </c>
      <c r="I53">
        <f>IF(AND(INDEX('CA Standards and Followers'!$E$14:$E$73,MATCH($A53,'CA Standards and Followers'!$A$14:$A$73,0))=1,INDEX('CA Standards and Followers'!$H$14:$H$73,MATCH($A53,'CA Standards and Followers'!$A$14:$A$73,0))&lt;=I$1),INDEX('CA Standards and Followers'!$3:$3,MATCH(I$1,'CA Standards and Followers'!$1:$1,0)),IF(AND(INDEX('CA Standards and Followers'!$D$14:$D$73,MATCH($A53,'CA Standards and Followers'!$A$14:$A$73,0))=1,INDEX('CA Standards and Followers'!$G$14:$G$73,MATCH($A53,'CA Standards and Followers'!$A$14:$A$73,0))&lt;=I$1),INDEX('CA Standards and Followers'!$2:$2,MATCH(I$1,'CA Standards and Followers'!$1:$1,0)),0))</f>
        <v>0</v>
      </c>
      <c r="J53">
        <f>IF(AND(INDEX('CA Standards and Followers'!$E$14:$E$73,MATCH($A53,'CA Standards and Followers'!$A$14:$A$73,0))=1,INDEX('CA Standards and Followers'!$H$14:$H$73,MATCH($A53,'CA Standards and Followers'!$A$14:$A$73,0))&lt;=J$1),INDEX('CA Standards and Followers'!$3:$3,MATCH(J$1,'CA Standards and Followers'!$1:$1,0)),IF(AND(INDEX('CA Standards and Followers'!$D$14:$D$73,MATCH($A53,'CA Standards and Followers'!$A$14:$A$73,0))=1,INDEX('CA Standards and Followers'!$G$14:$G$73,MATCH($A53,'CA Standards and Followers'!$A$14:$A$73,0))&lt;=J$1),INDEX('CA Standards and Followers'!$2:$2,MATCH(J$1,'CA Standards and Followers'!$1:$1,0)),0))</f>
        <v>0</v>
      </c>
      <c r="K53">
        <f>IF(AND(INDEX('CA Standards and Followers'!$E$14:$E$73,MATCH($A53,'CA Standards and Followers'!$A$14:$A$73,0))=1,INDEX('CA Standards and Followers'!$H$14:$H$73,MATCH($A53,'CA Standards and Followers'!$A$14:$A$73,0))&lt;=K$1),INDEX('CA Standards and Followers'!$3:$3,MATCH(K$1,'CA Standards and Followers'!$1:$1,0)),IF(AND(INDEX('CA Standards and Followers'!$D$14:$D$73,MATCH($A53,'CA Standards and Followers'!$A$14:$A$73,0))=1,INDEX('CA Standards and Followers'!$G$14:$G$73,MATCH($A53,'CA Standards and Followers'!$A$14:$A$73,0))&lt;=K$1),INDEX('CA Standards and Followers'!$2:$2,MATCH(K$1,'CA Standards and Followers'!$1:$1,0)),0))</f>
        <v>0</v>
      </c>
      <c r="L53">
        <f>IF(AND(INDEX('CA Standards and Followers'!$E$14:$E$73,MATCH($A53,'CA Standards and Followers'!$A$14:$A$73,0))=1,INDEX('CA Standards and Followers'!$H$14:$H$73,MATCH($A53,'CA Standards and Followers'!$A$14:$A$73,0))&lt;=L$1),INDEX('CA Standards and Followers'!$3:$3,MATCH(L$1,'CA Standards and Followers'!$1:$1,0)),IF(AND(INDEX('CA Standards and Followers'!$D$14:$D$73,MATCH($A53,'CA Standards and Followers'!$A$14:$A$73,0))=1,INDEX('CA Standards and Followers'!$G$14:$G$73,MATCH($A53,'CA Standards and Followers'!$A$14:$A$73,0))&lt;=L$1),INDEX('CA Standards and Followers'!$2:$2,MATCH(L$1,'CA Standards and Followers'!$1:$1,0)),0))</f>
        <v>0</v>
      </c>
      <c r="M53">
        <f>IF(AND(INDEX('CA Standards and Followers'!$E$14:$E$73,MATCH($A53,'CA Standards and Followers'!$A$14:$A$73,0))=1,INDEX('CA Standards and Followers'!$H$14:$H$73,MATCH($A53,'CA Standards and Followers'!$A$14:$A$73,0))&lt;=M$1),INDEX('CA Standards and Followers'!$3:$3,MATCH(M$1,'CA Standards and Followers'!$1:$1,0)),IF(AND(INDEX('CA Standards and Followers'!$D$14:$D$73,MATCH($A53,'CA Standards and Followers'!$A$14:$A$73,0))=1,INDEX('CA Standards and Followers'!$G$14:$G$73,MATCH($A53,'CA Standards and Followers'!$A$14:$A$73,0))&lt;=M$1),INDEX('CA Standards and Followers'!$2:$2,MATCH(M$1,'CA Standards and Followers'!$1:$1,0)),0))</f>
        <v>0</v>
      </c>
      <c r="N53">
        <f>IF(AND(INDEX('CA Standards and Followers'!$E$14:$E$73,MATCH($A53,'CA Standards and Followers'!$A$14:$A$73,0))=1,INDEX('CA Standards and Followers'!$H$14:$H$73,MATCH($A53,'CA Standards and Followers'!$A$14:$A$73,0))&lt;=N$1),INDEX('CA Standards and Followers'!$3:$3,MATCH(N$1,'CA Standards and Followers'!$1:$1,0)),IF(AND(INDEX('CA Standards and Followers'!$D$14:$D$73,MATCH($A53,'CA Standards and Followers'!$A$14:$A$73,0))=1,INDEX('CA Standards and Followers'!$G$14:$G$73,MATCH($A53,'CA Standards and Followers'!$A$14:$A$73,0))&lt;=N$1),INDEX('CA Standards and Followers'!$2:$2,MATCH(N$1,'CA Standards and Followers'!$1:$1,0)),0))</f>
        <v>0</v>
      </c>
      <c r="O53">
        <f>IF(AND(INDEX('CA Standards and Followers'!$E$14:$E$73,MATCH($A53,'CA Standards and Followers'!$A$14:$A$73,0))=1,INDEX('CA Standards and Followers'!$H$14:$H$73,MATCH($A53,'CA Standards and Followers'!$A$14:$A$73,0))&lt;=O$1),INDEX('CA Standards and Followers'!$3:$3,MATCH(O$1,'CA Standards and Followers'!$1:$1,0)),IF(AND(INDEX('CA Standards and Followers'!$D$14:$D$73,MATCH($A53,'CA Standards and Followers'!$A$14:$A$73,0))=1,INDEX('CA Standards and Followers'!$G$14:$G$73,MATCH($A53,'CA Standards and Followers'!$A$14:$A$73,0))&lt;=O$1),INDEX('CA Standards and Followers'!$2:$2,MATCH(O$1,'CA Standards and Followers'!$1:$1,0)),0))</f>
        <v>0</v>
      </c>
      <c r="P53">
        <f>IF(AND(INDEX('CA Standards and Followers'!$E$14:$E$73,MATCH($A53,'CA Standards and Followers'!$A$14:$A$73,0))=1,INDEX('CA Standards and Followers'!$H$14:$H$73,MATCH($A53,'CA Standards and Followers'!$A$14:$A$73,0))&lt;=P$1),INDEX('CA Standards and Followers'!$3:$3,MATCH(P$1,'CA Standards and Followers'!$1:$1,0)),IF(AND(INDEX('CA Standards and Followers'!$D$14:$D$73,MATCH($A53,'CA Standards and Followers'!$A$14:$A$73,0))=1,INDEX('CA Standards and Followers'!$G$14:$G$73,MATCH($A53,'CA Standards and Followers'!$A$14:$A$73,0))&lt;=P$1),INDEX('CA Standards and Followers'!$2:$2,MATCH(P$1,'CA Standards and Followers'!$1:$1,0)),0))</f>
        <v>0</v>
      </c>
      <c r="Q53">
        <f>IF(AND(INDEX('CA Standards and Followers'!$E$14:$E$73,MATCH($A53,'CA Standards and Followers'!$A$14:$A$73,0))=1,INDEX('CA Standards and Followers'!$H$14:$H$73,MATCH($A53,'CA Standards and Followers'!$A$14:$A$73,0))&lt;=Q$1),INDEX('CA Standards and Followers'!$3:$3,MATCH(Q$1,'CA Standards and Followers'!$1:$1,0)),IF(AND(INDEX('CA Standards and Followers'!$D$14:$D$73,MATCH($A53,'CA Standards and Followers'!$A$14:$A$73,0))=1,INDEX('CA Standards and Followers'!$G$14:$G$73,MATCH($A53,'CA Standards and Followers'!$A$14:$A$73,0))&lt;=Q$1),INDEX('CA Standards and Followers'!$2:$2,MATCH(Q$1,'CA Standards and Followers'!$1:$1,0)),0))</f>
        <v>0</v>
      </c>
      <c r="R53">
        <f>IF(AND(INDEX('CA Standards and Followers'!$E$14:$E$73,MATCH($A53,'CA Standards and Followers'!$A$14:$A$73,0))=1,INDEX('CA Standards and Followers'!$H$14:$H$73,MATCH($A53,'CA Standards and Followers'!$A$14:$A$73,0))&lt;=R$1),INDEX('CA Standards and Followers'!$3:$3,MATCH(R$1,'CA Standards and Followers'!$1:$1,0)),IF(AND(INDEX('CA Standards and Followers'!$D$14:$D$73,MATCH($A53,'CA Standards and Followers'!$A$14:$A$73,0))=1,INDEX('CA Standards and Followers'!$G$14:$G$73,MATCH($A53,'CA Standards and Followers'!$A$14:$A$73,0))&lt;=R$1),INDEX('CA Standards and Followers'!$2:$2,MATCH(R$1,'CA Standards and Followers'!$1:$1,0)),0))</f>
        <v>0</v>
      </c>
      <c r="S53">
        <f>IF(AND(INDEX('CA Standards and Followers'!$E$14:$E$73,MATCH($A53,'CA Standards and Followers'!$A$14:$A$73,0))=1,INDEX('CA Standards and Followers'!$H$14:$H$73,MATCH($A53,'CA Standards and Followers'!$A$14:$A$73,0))&lt;=S$1),INDEX('CA Standards and Followers'!$3:$3,MATCH(S$1,'CA Standards and Followers'!$1:$1,0)),IF(AND(INDEX('CA Standards and Followers'!$D$14:$D$73,MATCH($A53,'CA Standards and Followers'!$A$14:$A$73,0))=1,INDEX('CA Standards and Followers'!$G$14:$G$73,MATCH($A53,'CA Standards and Followers'!$A$14:$A$73,0))&lt;=S$1),INDEX('CA Standards and Followers'!$2:$2,MATCH(S$1,'CA Standards and Followers'!$1:$1,0)),0))</f>
        <v>0</v>
      </c>
      <c r="T53">
        <f>IF(AND(INDEX('CA Standards and Followers'!$E$14:$E$73,MATCH($A53,'CA Standards and Followers'!$A$14:$A$73,0))=1,INDEX('CA Standards and Followers'!$H$14:$H$73,MATCH($A53,'CA Standards and Followers'!$A$14:$A$73,0))&lt;=T$1),INDEX('CA Standards and Followers'!$3:$3,MATCH(T$1,'CA Standards and Followers'!$1:$1,0)),IF(AND(INDEX('CA Standards and Followers'!$D$14:$D$73,MATCH($A53,'CA Standards and Followers'!$A$14:$A$73,0))=1,INDEX('CA Standards and Followers'!$G$14:$G$73,MATCH($A53,'CA Standards and Followers'!$A$14:$A$73,0))&lt;=T$1),INDEX('CA Standards and Followers'!$2:$2,MATCH(T$1,'CA Standards and Followers'!$1:$1,0)),0))</f>
        <v>0</v>
      </c>
      <c r="U53">
        <f>IF(AND(INDEX('CA Standards and Followers'!$E$14:$E$73,MATCH($A53,'CA Standards and Followers'!$A$14:$A$73,0))=1,INDEX('CA Standards and Followers'!$H$14:$H$73,MATCH($A53,'CA Standards and Followers'!$A$14:$A$73,0))&lt;=U$1),INDEX('CA Standards and Followers'!$3:$3,MATCH(U$1,'CA Standards and Followers'!$1:$1,0)),IF(AND(INDEX('CA Standards and Followers'!$D$14:$D$73,MATCH($A53,'CA Standards and Followers'!$A$14:$A$73,0))=1,INDEX('CA Standards and Followers'!$G$14:$G$73,MATCH($A53,'CA Standards and Followers'!$A$14:$A$73,0))&lt;=U$1),INDEX('CA Standards and Followers'!$2:$2,MATCH(U$1,'CA Standards and Followers'!$1:$1,0)),0))</f>
        <v>0</v>
      </c>
      <c r="V53">
        <f>IF(AND(INDEX('CA Standards and Followers'!$E$14:$E$73,MATCH($A53,'CA Standards and Followers'!$A$14:$A$73,0))=1,INDEX('CA Standards and Followers'!$H$14:$H$73,MATCH($A53,'CA Standards and Followers'!$A$14:$A$73,0))&lt;=V$1),INDEX('CA Standards and Followers'!$3:$3,MATCH(V$1,'CA Standards and Followers'!$1:$1,0)),IF(AND(INDEX('CA Standards and Followers'!$D$14:$D$73,MATCH($A53,'CA Standards and Followers'!$A$14:$A$73,0))=1,INDEX('CA Standards and Followers'!$G$14:$G$73,MATCH($A53,'CA Standards and Followers'!$A$14:$A$73,0))&lt;=V$1),INDEX('CA Standards and Followers'!$2:$2,MATCH(V$1,'CA Standards and Followers'!$1:$1,0)),0))</f>
        <v>0</v>
      </c>
      <c r="W53">
        <f>IF(AND(INDEX('CA Standards and Followers'!$E$14:$E$73,MATCH($A53,'CA Standards and Followers'!$A$14:$A$73,0))=1,INDEX('CA Standards and Followers'!$H$14:$H$73,MATCH($A53,'CA Standards and Followers'!$A$14:$A$73,0))&lt;=W$1),INDEX('CA Standards and Followers'!$3:$3,MATCH(W$1,'CA Standards and Followers'!$1:$1,0)),IF(AND(INDEX('CA Standards and Followers'!$D$14:$D$73,MATCH($A53,'CA Standards and Followers'!$A$14:$A$73,0))=1,INDEX('CA Standards and Followers'!$G$14:$G$73,MATCH($A53,'CA Standards and Followers'!$A$14:$A$73,0))&lt;=W$1),INDEX('CA Standards and Followers'!$2:$2,MATCH(W$1,'CA Standards and Followers'!$1:$1,0)),0))</f>
        <v>0</v>
      </c>
      <c r="X53">
        <f>IF(AND(INDEX('CA Standards and Followers'!$E$14:$E$73,MATCH($A53,'CA Standards and Followers'!$A$14:$A$73,0))=1,INDEX('CA Standards and Followers'!$H$14:$H$73,MATCH($A53,'CA Standards and Followers'!$A$14:$A$73,0))&lt;=X$1),INDEX('CA Standards and Followers'!$3:$3,MATCH(X$1,'CA Standards and Followers'!$1:$1,0)),IF(AND(INDEX('CA Standards and Followers'!$D$14:$D$73,MATCH($A53,'CA Standards and Followers'!$A$14:$A$73,0))=1,INDEX('CA Standards and Followers'!$G$14:$G$73,MATCH($A53,'CA Standards and Followers'!$A$14:$A$73,0))&lt;=X$1),INDEX('CA Standards and Followers'!$2:$2,MATCH(X$1,'CA Standards and Followers'!$1:$1,0)),0))</f>
        <v>0</v>
      </c>
      <c r="Y53">
        <f>IF(AND(INDEX('CA Standards and Followers'!$E$14:$E$73,MATCH($A53,'CA Standards and Followers'!$A$14:$A$73,0))=1,INDEX('CA Standards and Followers'!$H$14:$H$73,MATCH($A53,'CA Standards and Followers'!$A$14:$A$73,0))&lt;=Y$1),INDEX('CA Standards and Followers'!$3:$3,MATCH(Y$1,'CA Standards and Followers'!$1:$1,0)),IF(AND(INDEX('CA Standards and Followers'!$D$14:$D$73,MATCH($A53,'CA Standards and Followers'!$A$14:$A$73,0))=1,INDEX('CA Standards and Followers'!$G$14:$G$73,MATCH($A53,'CA Standards and Followers'!$A$14:$A$73,0))&lt;=Y$1),INDEX('CA Standards and Followers'!$2:$2,MATCH(Y$1,'CA Standards and Followers'!$1:$1,0)),0))</f>
        <v>0</v>
      </c>
      <c r="Z53">
        <f>IF(AND(INDEX('CA Standards and Followers'!$E$14:$E$73,MATCH($A53,'CA Standards and Followers'!$A$14:$A$73,0))=1,INDEX('CA Standards and Followers'!$H$14:$H$73,MATCH($A53,'CA Standards and Followers'!$A$14:$A$73,0))&lt;=Z$1),INDEX('CA Standards and Followers'!$3:$3,MATCH(Z$1,'CA Standards and Followers'!$1:$1,0)),IF(AND(INDEX('CA Standards and Followers'!$D$14:$D$73,MATCH($A53,'CA Standards and Followers'!$A$14:$A$73,0))=1,INDEX('CA Standards and Followers'!$G$14:$G$73,MATCH($A53,'CA Standards and Followers'!$A$14:$A$73,0))&lt;=Z$1),INDEX('CA Standards and Followers'!$2:$2,MATCH(Z$1,'CA Standards and Followers'!$1:$1,0)),0))</f>
        <v>0</v>
      </c>
      <c r="AA53">
        <f>IF(AND(INDEX('CA Standards and Followers'!$E$14:$E$73,MATCH($A53,'CA Standards and Followers'!$A$14:$A$73,0))=1,INDEX('CA Standards and Followers'!$H$14:$H$73,MATCH($A53,'CA Standards and Followers'!$A$14:$A$73,0))&lt;=AA$1),INDEX('CA Standards and Followers'!$3:$3,MATCH(AA$1,'CA Standards and Followers'!$1:$1,0)),IF(AND(INDEX('CA Standards and Followers'!$D$14:$D$73,MATCH($A53,'CA Standards and Followers'!$A$14:$A$73,0))=1,INDEX('CA Standards and Followers'!$G$14:$G$73,MATCH($A53,'CA Standards and Followers'!$A$14:$A$73,0))&lt;=AA$1),INDEX('CA Standards and Followers'!$2:$2,MATCH(AA$1,'CA Standards and Followers'!$1:$1,0)),0))</f>
        <v>0</v>
      </c>
      <c r="AB53">
        <f>IF(AND(INDEX('CA Standards and Followers'!$E$14:$E$73,MATCH($A53,'CA Standards and Followers'!$A$14:$A$73,0))=1,INDEX('CA Standards and Followers'!$H$14:$H$73,MATCH($A53,'CA Standards and Followers'!$A$14:$A$73,0))&lt;=AB$1),INDEX('CA Standards and Followers'!$3:$3,MATCH(AB$1,'CA Standards and Followers'!$1:$1,0)),IF(AND(INDEX('CA Standards and Followers'!$D$14:$D$73,MATCH($A53,'CA Standards and Followers'!$A$14:$A$73,0))=1,INDEX('CA Standards and Followers'!$G$14:$G$73,MATCH($A53,'CA Standards and Followers'!$A$14:$A$73,0))&lt;=AB$1),INDEX('CA Standards and Followers'!$2:$2,MATCH(AB$1,'CA Standards and Followers'!$1:$1,0)),0))</f>
        <v>0</v>
      </c>
      <c r="AC53">
        <f>IF(AND(INDEX('CA Standards and Followers'!$E$14:$E$73,MATCH($A53,'CA Standards and Followers'!$A$14:$A$73,0))=1,INDEX('CA Standards and Followers'!$H$14:$H$73,MATCH($A53,'CA Standards and Followers'!$A$14:$A$73,0))&lt;=AC$1),INDEX('CA Standards and Followers'!$3:$3,MATCH(AC$1,'CA Standards and Followers'!$1:$1,0)),IF(AND(INDEX('CA Standards and Followers'!$D$14:$D$73,MATCH($A53,'CA Standards and Followers'!$A$14:$A$73,0))=1,INDEX('CA Standards and Followers'!$G$14:$G$73,MATCH($A53,'CA Standards and Followers'!$A$14:$A$73,0))&lt;=AC$1),INDEX('CA Standards and Followers'!$2:$2,MATCH(AC$1,'CA Standards and Followers'!$1:$1,0)),0))</f>
        <v>0</v>
      </c>
      <c r="AD53">
        <f>IF(AND(INDEX('CA Standards and Followers'!$E$14:$E$73,MATCH($A53,'CA Standards and Followers'!$A$14:$A$73,0))=1,INDEX('CA Standards and Followers'!$H$14:$H$73,MATCH($A53,'CA Standards and Followers'!$A$14:$A$73,0))&lt;=AD$1),INDEX('CA Standards and Followers'!$3:$3,MATCH(AD$1,'CA Standards and Followers'!$1:$1,0)),IF(AND(INDEX('CA Standards and Followers'!$D$14:$D$73,MATCH($A53,'CA Standards and Followers'!$A$14:$A$73,0))=1,INDEX('CA Standards and Followers'!$G$14:$G$73,MATCH($A53,'CA Standards and Followers'!$A$14:$A$73,0))&lt;=AD$1),INDEX('CA Standards and Followers'!$2:$2,MATCH(AD$1,'CA Standards and Followers'!$1:$1,0)),0))</f>
        <v>0</v>
      </c>
      <c r="AE53">
        <f>IF(AND(INDEX('CA Standards and Followers'!$E$14:$E$73,MATCH($A53,'CA Standards and Followers'!$A$14:$A$73,0))=1,INDEX('CA Standards and Followers'!$H$14:$H$73,MATCH($A53,'CA Standards and Followers'!$A$14:$A$73,0))&lt;=AE$1),INDEX('CA Standards and Followers'!$3:$3,MATCH(AE$1,'CA Standards and Followers'!$1:$1,0)),IF(AND(INDEX('CA Standards and Followers'!$D$14:$D$73,MATCH($A53,'CA Standards and Followers'!$A$14:$A$73,0))=1,INDEX('CA Standards and Followers'!$G$14:$G$73,MATCH($A53,'CA Standards and Followers'!$A$14:$A$73,0))&lt;=AE$1),INDEX('CA Standards and Followers'!$2:$2,MATCH(AE$1,'CA Standards and Followers'!$1:$1,0)),0))</f>
        <v>0</v>
      </c>
      <c r="AF53">
        <f>IF(AND(INDEX('CA Standards and Followers'!$E$14:$E$73,MATCH($A53,'CA Standards and Followers'!$A$14:$A$73,0))=1,INDEX('CA Standards and Followers'!$H$14:$H$73,MATCH($A53,'CA Standards and Followers'!$A$14:$A$73,0))&lt;=AF$1),INDEX('CA Standards and Followers'!$3:$3,MATCH(AF$1,'CA Standards and Followers'!$1:$1,0)),IF(AND(INDEX('CA Standards and Followers'!$D$14:$D$73,MATCH($A53,'CA Standards and Followers'!$A$14:$A$73,0))=1,INDEX('CA Standards and Followers'!$G$14:$G$73,MATCH($A53,'CA Standards and Followers'!$A$14:$A$73,0))&lt;=AF$1),INDEX('CA Standards and Followers'!$2:$2,MATCH(AF$1,'CA Standards and Followers'!$1:$1,0)),0))</f>
        <v>0</v>
      </c>
    </row>
    <row r="54" spans="1:32" x14ac:dyDescent="0.25">
      <c r="A54" t="s">
        <v>54</v>
      </c>
      <c r="B54">
        <f>IF(AND(INDEX('CA Standards and Followers'!$E$14:$E$73,MATCH($A54,'CA Standards and Followers'!$A$14:$A$73,0))=1,INDEX('CA Standards and Followers'!$H$14:$H$73,MATCH($A54,'CA Standards and Followers'!$A$14:$A$73,0))&lt;=B$1),INDEX('CA Standards and Followers'!$3:$3,MATCH(B$1,'CA Standards and Followers'!$1:$1,0)),IF(AND(INDEX('CA Standards and Followers'!$D$14:$D$73,MATCH($A54,'CA Standards and Followers'!$A$14:$A$73,0))=1,INDEX('CA Standards and Followers'!$G$14:$G$73,MATCH($A54,'CA Standards and Followers'!$A$14:$A$73,0))&lt;=B$1),INDEX('CA Standards and Followers'!$2:$2,MATCH(B$1,'CA Standards and Followers'!$1:$1,0)),0))</f>
        <v>0</v>
      </c>
      <c r="C54">
        <f>IF(AND(INDEX('CA Standards and Followers'!$E$14:$E$73,MATCH($A54,'CA Standards and Followers'!$A$14:$A$73,0))=1,INDEX('CA Standards and Followers'!$H$14:$H$73,MATCH($A54,'CA Standards and Followers'!$A$14:$A$73,0))&lt;=C$1),INDEX('CA Standards and Followers'!$3:$3,MATCH(C$1,'CA Standards and Followers'!$1:$1,0)),IF(AND(INDEX('CA Standards and Followers'!$D$14:$D$73,MATCH($A54,'CA Standards and Followers'!$A$14:$A$73,0))=1,INDEX('CA Standards and Followers'!$G$14:$G$73,MATCH($A54,'CA Standards and Followers'!$A$14:$A$73,0))&lt;=C$1),INDEX('CA Standards and Followers'!$2:$2,MATCH(C$1,'CA Standards and Followers'!$1:$1,0)),0))</f>
        <v>0</v>
      </c>
      <c r="D54">
        <f>IF(AND(INDEX('CA Standards and Followers'!$E$14:$E$73,MATCH($A54,'CA Standards and Followers'!$A$14:$A$73,0))=1,INDEX('CA Standards and Followers'!$H$14:$H$73,MATCH($A54,'CA Standards and Followers'!$A$14:$A$73,0))&lt;=D$1),INDEX('CA Standards and Followers'!$3:$3,MATCH(D$1,'CA Standards and Followers'!$1:$1,0)),IF(AND(INDEX('CA Standards and Followers'!$D$14:$D$73,MATCH($A54,'CA Standards and Followers'!$A$14:$A$73,0))=1,INDEX('CA Standards and Followers'!$G$14:$G$73,MATCH($A54,'CA Standards and Followers'!$A$14:$A$73,0))&lt;=D$1),INDEX('CA Standards and Followers'!$2:$2,MATCH(D$1,'CA Standards and Followers'!$1:$1,0)),0))</f>
        <v>0</v>
      </c>
      <c r="E54">
        <f>IF(AND(INDEX('CA Standards and Followers'!$E$14:$E$73,MATCH($A54,'CA Standards and Followers'!$A$14:$A$73,0))=1,INDEX('CA Standards and Followers'!$H$14:$H$73,MATCH($A54,'CA Standards and Followers'!$A$14:$A$73,0))&lt;=E$1),INDEX('CA Standards and Followers'!$3:$3,MATCH(E$1,'CA Standards and Followers'!$1:$1,0)),IF(AND(INDEX('CA Standards and Followers'!$D$14:$D$73,MATCH($A54,'CA Standards and Followers'!$A$14:$A$73,0))=1,INDEX('CA Standards and Followers'!$G$14:$G$73,MATCH($A54,'CA Standards and Followers'!$A$14:$A$73,0))&lt;=E$1),INDEX('CA Standards and Followers'!$2:$2,MATCH(E$1,'CA Standards and Followers'!$1:$1,0)),0))</f>
        <v>0</v>
      </c>
      <c r="F54">
        <f>IF(AND(INDEX('CA Standards and Followers'!$E$14:$E$73,MATCH($A54,'CA Standards and Followers'!$A$14:$A$73,0))=1,INDEX('CA Standards and Followers'!$H$14:$H$73,MATCH($A54,'CA Standards and Followers'!$A$14:$A$73,0))&lt;=F$1),INDEX('CA Standards and Followers'!$3:$3,MATCH(F$1,'CA Standards and Followers'!$1:$1,0)),IF(AND(INDEX('CA Standards and Followers'!$D$14:$D$73,MATCH($A54,'CA Standards and Followers'!$A$14:$A$73,0))=1,INDEX('CA Standards and Followers'!$G$14:$G$73,MATCH($A54,'CA Standards and Followers'!$A$14:$A$73,0))&lt;=F$1),INDEX('CA Standards and Followers'!$2:$2,MATCH(F$1,'CA Standards and Followers'!$1:$1,0)),0))</f>
        <v>0</v>
      </c>
      <c r="G54">
        <f>IF(AND(INDEX('CA Standards and Followers'!$E$14:$E$73,MATCH($A54,'CA Standards and Followers'!$A$14:$A$73,0))=1,INDEX('CA Standards and Followers'!$H$14:$H$73,MATCH($A54,'CA Standards and Followers'!$A$14:$A$73,0))&lt;=G$1),INDEX('CA Standards and Followers'!$3:$3,MATCH(G$1,'CA Standards and Followers'!$1:$1,0)),IF(AND(INDEX('CA Standards and Followers'!$D$14:$D$73,MATCH($A54,'CA Standards and Followers'!$A$14:$A$73,0))=1,INDEX('CA Standards and Followers'!$G$14:$G$73,MATCH($A54,'CA Standards and Followers'!$A$14:$A$73,0))&lt;=G$1),INDEX('CA Standards and Followers'!$2:$2,MATCH(G$1,'CA Standards and Followers'!$1:$1,0)),0))</f>
        <v>0</v>
      </c>
      <c r="H54">
        <f>IF(AND(INDEX('CA Standards and Followers'!$E$14:$E$73,MATCH($A54,'CA Standards and Followers'!$A$14:$A$73,0))=1,INDEX('CA Standards and Followers'!$H$14:$H$73,MATCH($A54,'CA Standards and Followers'!$A$14:$A$73,0))&lt;=H$1),INDEX('CA Standards and Followers'!$3:$3,MATCH(H$1,'CA Standards and Followers'!$1:$1,0)),IF(AND(INDEX('CA Standards and Followers'!$D$14:$D$73,MATCH($A54,'CA Standards and Followers'!$A$14:$A$73,0))=1,INDEX('CA Standards and Followers'!$G$14:$G$73,MATCH($A54,'CA Standards and Followers'!$A$14:$A$73,0))&lt;=H$1),INDEX('CA Standards and Followers'!$2:$2,MATCH(H$1,'CA Standards and Followers'!$1:$1,0)),0))</f>
        <v>0</v>
      </c>
      <c r="I54">
        <f>IF(AND(INDEX('CA Standards and Followers'!$E$14:$E$73,MATCH($A54,'CA Standards and Followers'!$A$14:$A$73,0))=1,INDEX('CA Standards and Followers'!$H$14:$H$73,MATCH($A54,'CA Standards and Followers'!$A$14:$A$73,0))&lt;=I$1),INDEX('CA Standards and Followers'!$3:$3,MATCH(I$1,'CA Standards and Followers'!$1:$1,0)),IF(AND(INDEX('CA Standards and Followers'!$D$14:$D$73,MATCH($A54,'CA Standards and Followers'!$A$14:$A$73,0))=1,INDEX('CA Standards and Followers'!$G$14:$G$73,MATCH($A54,'CA Standards and Followers'!$A$14:$A$73,0))&lt;=I$1),INDEX('CA Standards and Followers'!$2:$2,MATCH(I$1,'CA Standards and Followers'!$1:$1,0)),0))</f>
        <v>0</v>
      </c>
      <c r="J54">
        <f>IF(AND(INDEX('CA Standards and Followers'!$E$14:$E$73,MATCH($A54,'CA Standards and Followers'!$A$14:$A$73,0))=1,INDEX('CA Standards and Followers'!$H$14:$H$73,MATCH($A54,'CA Standards and Followers'!$A$14:$A$73,0))&lt;=J$1),INDEX('CA Standards and Followers'!$3:$3,MATCH(J$1,'CA Standards and Followers'!$1:$1,0)),IF(AND(INDEX('CA Standards and Followers'!$D$14:$D$73,MATCH($A54,'CA Standards and Followers'!$A$14:$A$73,0))=1,INDEX('CA Standards and Followers'!$G$14:$G$73,MATCH($A54,'CA Standards and Followers'!$A$14:$A$73,0))&lt;=J$1),INDEX('CA Standards and Followers'!$2:$2,MATCH(J$1,'CA Standards and Followers'!$1:$1,0)),0))</f>
        <v>0</v>
      </c>
      <c r="K54">
        <f>IF(AND(INDEX('CA Standards and Followers'!$E$14:$E$73,MATCH($A54,'CA Standards and Followers'!$A$14:$A$73,0))=1,INDEX('CA Standards and Followers'!$H$14:$H$73,MATCH($A54,'CA Standards and Followers'!$A$14:$A$73,0))&lt;=K$1),INDEX('CA Standards and Followers'!$3:$3,MATCH(K$1,'CA Standards and Followers'!$1:$1,0)),IF(AND(INDEX('CA Standards and Followers'!$D$14:$D$73,MATCH($A54,'CA Standards and Followers'!$A$14:$A$73,0))=1,INDEX('CA Standards and Followers'!$G$14:$G$73,MATCH($A54,'CA Standards and Followers'!$A$14:$A$73,0))&lt;=K$1),INDEX('CA Standards and Followers'!$2:$2,MATCH(K$1,'CA Standards and Followers'!$1:$1,0)),0))</f>
        <v>0</v>
      </c>
      <c r="L54">
        <f>IF(AND(INDEX('CA Standards and Followers'!$E$14:$E$73,MATCH($A54,'CA Standards and Followers'!$A$14:$A$73,0))=1,INDEX('CA Standards and Followers'!$H$14:$H$73,MATCH($A54,'CA Standards and Followers'!$A$14:$A$73,0))&lt;=L$1),INDEX('CA Standards and Followers'!$3:$3,MATCH(L$1,'CA Standards and Followers'!$1:$1,0)),IF(AND(INDEX('CA Standards and Followers'!$D$14:$D$73,MATCH($A54,'CA Standards and Followers'!$A$14:$A$73,0))=1,INDEX('CA Standards and Followers'!$G$14:$G$73,MATCH($A54,'CA Standards and Followers'!$A$14:$A$73,0))&lt;=L$1),INDEX('CA Standards and Followers'!$2:$2,MATCH(L$1,'CA Standards and Followers'!$1:$1,0)),0))</f>
        <v>0</v>
      </c>
      <c r="M54">
        <f>IF(AND(INDEX('CA Standards and Followers'!$E$14:$E$73,MATCH($A54,'CA Standards and Followers'!$A$14:$A$73,0))=1,INDEX('CA Standards and Followers'!$H$14:$H$73,MATCH($A54,'CA Standards and Followers'!$A$14:$A$73,0))&lt;=M$1),INDEX('CA Standards and Followers'!$3:$3,MATCH(M$1,'CA Standards and Followers'!$1:$1,0)),IF(AND(INDEX('CA Standards and Followers'!$D$14:$D$73,MATCH($A54,'CA Standards and Followers'!$A$14:$A$73,0))=1,INDEX('CA Standards and Followers'!$G$14:$G$73,MATCH($A54,'CA Standards and Followers'!$A$14:$A$73,0))&lt;=M$1),INDEX('CA Standards and Followers'!$2:$2,MATCH(M$1,'CA Standards and Followers'!$1:$1,0)),0))</f>
        <v>0</v>
      </c>
      <c r="N54">
        <f>IF(AND(INDEX('CA Standards and Followers'!$E$14:$E$73,MATCH($A54,'CA Standards and Followers'!$A$14:$A$73,0))=1,INDEX('CA Standards and Followers'!$H$14:$H$73,MATCH($A54,'CA Standards and Followers'!$A$14:$A$73,0))&lt;=N$1),INDEX('CA Standards and Followers'!$3:$3,MATCH(N$1,'CA Standards and Followers'!$1:$1,0)),IF(AND(INDEX('CA Standards and Followers'!$D$14:$D$73,MATCH($A54,'CA Standards and Followers'!$A$14:$A$73,0))=1,INDEX('CA Standards and Followers'!$G$14:$G$73,MATCH($A54,'CA Standards and Followers'!$A$14:$A$73,0))&lt;=N$1),INDEX('CA Standards and Followers'!$2:$2,MATCH(N$1,'CA Standards and Followers'!$1:$1,0)),0))</f>
        <v>0</v>
      </c>
      <c r="O54">
        <f>IF(AND(INDEX('CA Standards and Followers'!$E$14:$E$73,MATCH($A54,'CA Standards and Followers'!$A$14:$A$73,0))=1,INDEX('CA Standards and Followers'!$H$14:$H$73,MATCH($A54,'CA Standards and Followers'!$A$14:$A$73,0))&lt;=O$1),INDEX('CA Standards and Followers'!$3:$3,MATCH(O$1,'CA Standards and Followers'!$1:$1,0)),IF(AND(INDEX('CA Standards and Followers'!$D$14:$D$73,MATCH($A54,'CA Standards and Followers'!$A$14:$A$73,0))=1,INDEX('CA Standards and Followers'!$G$14:$G$73,MATCH($A54,'CA Standards and Followers'!$A$14:$A$73,0))&lt;=O$1),INDEX('CA Standards and Followers'!$2:$2,MATCH(O$1,'CA Standards and Followers'!$1:$1,0)),0))</f>
        <v>0</v>
      </c>
      <c r="P54">
        <f>IF(AND(INDEX('CA Standards and Followers'!$E$14:$E$73,MATCH($A54,'CA Standards and Followers'!$A$14:$A$73,0))=1,INDEX('CA Standards and Followers'!$H$14:$H$73,MATCH($A54,'CA Standards and Followers'!$A$14:$A$73,0))&lt;=P$1),INDEX('CA Standards and Followers'!$3:$3,MATCH(P$1,'CA Standards and Followers'!$1:$1,0)),IF(AND(INDEX('CA Standards and Followers'!$D$14:$D$73,MATCH($A54,'CA Standards and Followers'!$A$14:$A$73,0))=1,INDEX('CA Standards and Followers'!$G$14:$G$73,MATCH($A54,'CA Standards and Followers'!$A$14:$A$73,0))&lt;=P$1),INDEX('CA Standards and Followers'!$2:$2,MATCH(P$1,'CA Standards and Followers'!$1:$1,0)),0))</f>
        <v>0</v>
      </c>
      <c r="Q54">
        <f>IF(AND(INDEX('CA Standards and Followers'!$E$14:$E$73,MATCH($A54,'CA Standards and Followers'!$A$14:$A$73,0))=1,INDEX('CA Standards and Followers'!$H$14:$H$73,MATCH($A54,'CA Standards and Followers'!$A$14:$A$73,0))&lt;=Q$1),INDEX('CA Standards and Followers'!$3:$3,MATCH(Q$1,'CA Standards and Followers'!$1:$1,0)),IF(AND(INDEX('CA Standards and Followers'!$D$14:$D$73,MATCH($A54,'CA Standards and Followers'!$A$14:$A$73,0))=1,INDEX('CA Standards and Followers'!$G$14:$G$73,MATCH($A54,'CA Standards and Followers'!$A$14:$A$73,0))&lt;=Q$1),INDEX('CA Standards and Followers'!$2:$2,MATCH(Q$1,'CA Standards and Followers'!$1:$1,0)),0))</f>
        <v>0</v>
      </c>
      <c r="R54">
        <f>IF(AND(INDEX('CA Standards and Followers'!$E$14:$E$73,MATCH($A54,'CA Standards and Followers'!$A$14:$A$73,0))=1,INDEX('CA Standards and Followers'!$H$14:$H$73,MATCH($A54,'CA Standards and Followers'!$A$14:$A$73,0))&lt;=R$1),INDEX('CA Standards and Followers'!$3:$3,MATCH(R$1,'CA Standards and Followers'!$1:$1,0)),IF(AND(INDEX('CA Standards and Followers'!$D$14:$D$73,MATCH($A54,'CA Standards and Followers'!$A$14:$A$73,0))=1,INDEX('CA Standards and Followers'!$G$14:$G$73,MATCH($A54,'CA Standards and Followers'!$A$14:$A$73,0))&lt;=R$1),INDEX('CA Standards and Followers'!$2:$2,MATCH(R$1,'CA Standards and Followers'!$1:$1,0)),0))</f>
        <v>0</v>
      </c>
      <c r="S54">
        <f>IF(AND(INDEX('CA Standards and Followers'!$E$14:$E$73,MATCH($A54,'CA Standards and Followers'!$A$14:$A$73,0))=1,INDEX('CA Standards and Followers'!$H$14:$H$73,MATCH($A54,'CA Standards and Followers'!$A$14:$A$73,0))&lt;=S$1),INDEX('CA Standards and Followers'!$3:$3,MATCH(S$1,'CA Standards and Followers'!$1:$1,0)),IF(AND(INDEX('CA Standards and Followers'!$D$14:$D$73,MATCH($A54,'CA Standards and Followers'!$A$14:$A$73,0))=1,INDEX('CA Standards and Followers'!$G$14:$G$73,MATCH($A54,'CA Standards and Followers'!$A$14:$A$73,0))&lt;=S$1),INDEX('CA Standards and Followers'!$2:$2,MATCH(S$1,'CA Standards and Followers'!$1:$1,0)),0))</f>
        <v>0</v>
      </c>
      <c r="T54">
        <f>IF(AND(INDEX('CA Standards and Followers'!$E$14:$E$73,MATCH($A54,'CA Standards and Followers'!$A$14:$A$73,0))=1,INDEX('CA Standards and Followers'!$H$14:$H$73,MATCH($A54,'CA Standards and Followers'!$A$14:$A$73,0))&lt;=T$1),INDEX('CA Standards and Followers'!$3:$3,MATCH(T$1,'CA Standards and Followers'!$1:$1,0)),IF(AND(INDEX('CA Standards and Followers'!$D$14:$D$73,MATCH($A54,'CA Standards and Followers'!$A$14:$A$73,0))=1,INDEX('CA Standards and Followers'!$G$14:$G$73,MATCH($A54,'CA Standards and Followers'!$A$14:$A$73,0))&lt;=T$1),INDEX('CA Standards and Followers'!$2:$2,MATCH(T$1,'CA Standards and Followers'!$1:$1,0)),0))</f>
        <v>0</v>
      </c>
      <c r="U54">
        <f>IF(AND(INDEX('CA Standards and Followers'!$E$14:$E$73,MATCH($A54,'CA Standards and Followers'!$A$14:$A$73,0))=1,INDEX('CA Standards and Followers'!$H$14:$H$73,MATCH($A54,'CA Standards and Followers'!$A$14:$A$73,0))&lt;=U$1),INDEX('CA Standards and Followers'!$3:$3,MATCH(U$1,'CA Standards and Followers'!$1:$1,0)),IF(AND(INDEX('CA Standards and Followers'!$D$14:$D$73,MATCH($A54,'CA Standards and Followers'!$A$14:$A$73,0))=1,INDEX('CA Standards and Followers'!$G$14:$G$73,MATCH($A54,'CA Standards and Followers'!$A$14:$A$73,0))&lt;=U$1),INDEX('CA Standards and Followers'!$2:$2,MATCH(U$1,'CA Standards and Followers'!$1:$1,0)),0))</f>
        <v>0</v>
      </c>
      <c r="V54">
        <f>IF(AND(INDEX('CA Standards and Followers'!$E$14:$E$73,MATCH($A54,'CA Standards and Followers'!$A$14:$A$73,0))=1,INDEX('CA Standards and Followers'!$H$14:$H$73,MATCH($A54,'CA Standards and Followers'!$A$14:$A$73,0))&lt;=V$1),INDEX('CA Standards and Followers'!$3:$3,MATCH(V$1,'CA Standards and Followers'!$1:$1,0)),IF(AND(INDEX('CA Standards and Followers'!$D$14:$D$73,MATCH($A54,'CA Standards and Followers'!$A$14:$A$73,0))=1,INDEX('CA Standards and Followers'!$G$14:$G$73,MATCH($A54,'CA Standards and Followers'!$A$14:$A$73,0))&lt;=V$1),INDEX('CA Standards and Followers'!$2:$2,MATCH(V$1,'CA Standards and Followers'!$1:$1,0)),0))</f>
        <v>0</v>
      </c>
      <c r="W54">
        <f>IF(AND(INDEX('CA Standards and Followers'!$E$14:$E$73,MATCH($A54,'CA Standards and Followers'!$A$14:$A$73,0))=1,INDEX('CA Standards and Followers'!$H$14:$H$73,MATCH($A54,'CA Standards and Followers'!$A$14:$A$73,0))&lt;=W$1),INDEX('CA Standards and Followers'!$3:$3,MATCH(W$1,'CA Standards and Followers'!$1:$1,0)),IF(AND(INDEX('CA Standards and Followers'!$D$14:$D$73,MATCH($A54,'CA Standards and Followers'!$A$14:$A$73,0))=1,INDEX('CA Standards and Followers'!$G$14:$G$73,MATCH($A54,'CA Standards and Followers'!$A$14:$A$73,0))&lt;=W$1),INDEX('CA Standards and Followers'!$2:$2,MATCH(W$1,'CA Standards and Followers'!$1:$1,0)),0))</f>
        <v>0</v>
      </c>
      <c r="X54">
        <f>IF(AND(INDEX('CA Standards and Followers'!$E$14:$E$73,MATCH($A54,'CA Standards and Followers'!$A$14:$A$73,0))=1,INDEX('CA Standards and Followers'!$H$14:$H$73,MATCH($A54,'CA Standards and Followers'!$A$14:$A$73,0))&lt;=X$1),INDEX('CA Standards and Followers'!$3:$3,MATCH(X$1,'CA Standards and Followers'!$1:$1,0)),IF(AND(INDEX('CA Standards and Followers'!$D$14:$D$73,MATCH($A54,'CA Standards and Followers'!$A$14:$A$73,0))=1,INDEX('CA Standards and Followers'!$G$14:$G$73,MATCH($A54,'CA Standards and Followers'!$A$14:$A$73,0))&lt;=X$1),INDEX('CA Standards and Followers'!$2:$2,MATCH(X$1,'CA Standards and Followers'!$1:$1,0)),0))</f>
        <v>0</v>
      </c>
      <c r="Y54">
        <f>IF(AND(INDEX('CA Standards and Followers'!$E$14:$E$73,MATCH($A54,'CA Standards and Followers'!$A$14:$A$73,0))=1,INDEX('CA Standards and Followers'!$H$14:$H$73,MATCH($A54,'CA Standards and Followers'!$A$14:$A$73,0))&lt;=Y$1),INDEX('CA Standards and Followers'!$3:$3,MATCH(Y$1,'CA Standards and Followers'!$1:$1,0)),IF(AND(INDEX('CA Standards and Followers'!$D$14:$D$73,MATCH($A54,'CA Standards and Followers'!$A$14:$A$73,0))=1,INDEX('CA Standards and Followers'!$G$14:$G$73,MATCH($A54,'CA Standards and Followers'!$A$14:$A$73,0))&lt;=Y$1),INDEX('CA Standards and Followers'!$2:$2,MATCH(Y$1,'CA Standards and Followers'!$1:$1,0)),0))</f>
        <v>0</v>
      </c>
      <c r="Z54">
        <f>IF(AND(INDEX('CA Standards and Followers'!$E$14:$E$73,MATCH($A54,'CA Standards and Followers'!$A$14:$A$73,0))=1,INDEX('CA Standards and Followers'!$H$14:$H$73,MATCH($A54,'CA Standards and Followers'!$A$14:$A$73,0))&lt;=Z$1),INDEX('CA Standards and Followers'!$3:$3,MATCH(Z$1,'CA Standards and Followers'!$1:$1,0)),IF(AND(INDEX('CA Standards and Followers'!$D$14:$D$73,MATCH($A54,'CA Standards and Followers'!$A$14:$A$73,0))=1,INDEX('CA Standards and Followers'!$G$14:$G$73,MATCH($A54,'CA Standards and Followers'!$A$14:$A$73,0))&lt;=Z$1),INDEX('CA Standards and Followers'!$2:$2,MATCH(Z$1,'CA Standards and Followers'!$1:$1,0)),0))</f>
        <v>0</v>
      </c>
      <c r="AA54">
        <f>IF(AND(INDEX('CA Standards and Followers'!$E$14:$E$73,MATCH($A54,'CA Standards and Followers'!$A$14:$A$73,0))=1,INDEX('CA Standards and Followers'!$H$14:$H$73,MATCH($A54,'CA Standards and Followers'!$A$14:$A$73,0))&lt;=AA$1),INDEX('CA Standards and Followers'!$3:$3,MATCH(AA$1,'CA Standards and Followers'!$1:$1,0)),IF(AND(INDEX('CA Standards and Followers'!$D$14:$D$73,MATCH($A54,'CA Standards and Followers'!$A$14:$A$73,0))=1,INDEX('CA Standards and Followers'!$G$14:$G$73,MATCH($A54,'CA Standards and Followers'!$A$14:$A$73,0))&lt;=AA$1),INDEX('CA Standards and Followers'!$2:$2,MATCH(AA$1,'CA Standards and Followers'!$1:$1,0)),0))</f>
        <v>0</v>
      </c>
      <c r="AB54">
        <f>IF(AND(INDEX('CA Standards and Followers'!$E$14:$E$73,MATCH($A54,'CA Standards and Followers'!$A$14:$A$73,0))=1,INDEX('CA Standards and Followers'!$H$14:$H$73,MATCH($A54,'CA Standards and Followers'!$A$14:$A$73,0))&lt;=AB$1),INDEX('CA Standards and Followers'!$3:$3,MATCH(AB$1,'CA Standards and Followers'!$1:$1,0)),IF(AND(INDEX('CA Standards and Followers'!$D$14:$D$73,MATCH($A54,'CA Standards and Followers'!$A$14:$A$73,0))=1,INDEX('CA Standards and Followers'!$G$14:$G$73,MATCH($A54,'CA Standards and Followers'!$A$14:$A$73,0))&lt;=AB$1),INDEX('CA Standards and Followers'!$2:$2,MATCH(AB$1,'CA Standards and Followers'!$1:$1,0)),0))</f>
        <v>0</v>
      </c>
      <c r="AC54">
        <f>IF(AND(INDEX('CA Standards and Followers'!$E$14:$E$73,MATCH($A54,'CA Standards and Followers'!$A$14:$A$73,0))=1,INDEX('CA Standards and Followers'!$H$14:$H$73,MATCH($A54,'CA Standards and Followers'!$A$14:$A$73,0))&lt;=AC$1),INDEX('CA Standards and Followers'!$3:$3,MATCH(AC$1,'CA Standards and Followers'!$1:$1,0)),IF(AND(INDEX('CA Standards and Followers'!$D$14:$D$73,MATCH($A54,'CA Standards and Followers'!$A$14:$A$73,0))=1,INDEX('CA Standards and Followers'!$G$14:$G$73,MATCH($A54,'CA Standards and Followers'!$A$14:$A$73,0))&lt;=AC$1),INDEX('CA Standards and Followers'!$2:$2,MATCH(AC$1,'CA Standards and Followers'!$1:$1,0)),0))</f>
        <v>0</v>
      </c>
      <c r="AD54">
        <f>IF(AND(INDEX('CA Standards and Followers'!$E$14:$E$73,MATCH($A54,'CA Standards and Followers'!$A$14:$A$73,0))=1,INDEX('CA Standards and Followers'!$H$14:$H$73,MATCH($A54,'CA Standards and Followers'!$A$14:$A$73,0))&lt;=AD$1),INDEX('CA Standards and Followers'!$3:$3,MATCH(AD$1,'CA Standards and Followers'!$1:$1,0)),IF(AND(INDEX('CA Standards and Followers'!$D$14:$D$73,MATCH($A54,'CA Standards and Followers'!$A$14:$A$73,0))=1,INDEX('CA Standards and Followers'!$G$14:$G$73,MATCH($A54,'CA Standards and Followers'!$A$14:$A$73,0))&lt;=AD$1),INDEX('CA Standards and Followers'!$2:$2,MATCH(AD$1,'CA Standards and Followers'!$1:$1,0)),0))</f>
        <v>0</v>
      </c>
      <c r="AE54">
        <f>IF(AND(INDEX('CA Standards and Followers'!$E$14:$E$73,MATCH($A54,'CA Standards and Followers'!$A$14:$A$73,0))=1,INDEX('CA Standards and Followers'!$H$14:$H$73,MATCH($A54,'CA Standards and Followers'!$A$14:$A$73,0))&lt;=AE$1),INDEX('CA Standards and Followers'!$3:$3,MATCH(AE$1,'CA Standards and Followers'!$1:$1,0)),IF(AND(INDEX('CA Standards and Followers'!$D$14:$D$73,MATCH($A54,'CA Standards and Followers'!$A$14:$A$73,0))=1,INDEX('CA Standards and Followers'!$G$14:$G$73,MATCH($A54,'CA Standards and Followers'!$A$14:$A$73,0))&lt;=AE$1),INDEX('CA Standards and Followers'!$2:$2,MATCH(AE$1,'CA Standards and Followers'!$1:$1,0)),0))</f>
        <v>0</v>
      </c>
      <c r="AF54">
        <f>IF(AND(INDEX('CA Standards and Followers'!$E$14:$E$73,MATCH($A54,'CA Standards and Followers'!$A$14:$A$73,0))=1,INDEX('CA Standards and Followers'!$H$14:$H$73,MATCH($A54,'CA Standards and Followers'!$A$14:$A$73,0))&lt;=AF$1),INDEX('CA Standards and Followers'!$3:$3,MATCH(AF$1,'CA Standards and Followers'!$1:$1,0)),IF(AND(INDEX('CA Standards and Followers'!$D$14:$D$73,MATCH($A54,'CA Standards and Followers'!$A$14:$A$73,0))=1,INDEX('CA Standards and Followers'!$G$14:$G$73,MATCH($A54,'CA Standards and Followers'!$A$14:$A$73,0))&lt;=AF$1),INDEX('CA Standards and Followers'!$2:$2,MATCH(AF$1,'CA Standards and Followers'!$1:$1,0)),0))</f>
        <v>0</v>
      </c>
    </row>
    <row r="55" spans="1:32" x14ac:dyDescent="0.25">
      <c r="A55" t="s">
        <v>55</v>
      </c>
      <c r="B55">
        <f>IF(AND(INDEX('CA Standards and Followers'!$E$14:$E$73,MATCH($A55,'CA Standards and Followers'!$A$14:$A$73,0))=1,INDEX('CA Standards and Followers'!$H$14:$H$73,MATCH($A55,'CA Standards and Followers'!$A$14:$A$73,0))&lt;=B$1),INDEX('CA Standards and Followers'!$3:$3,MATCH(B$1,'CA Standards and Followers'!$1:$1,0)),IF(AND(INDEX('CA Standards and Followers'!$D$14:$D$73,MATCH($A55,'CA Standards and Followers'!$A$14:$A$73,0))=1,INDEX('CA Standards and Followers'!$G$14:$G$73,MATCH($A55,'CA Standards and Followers'!$A$14:$A$73,0))&lt;=B$1),INDEX('CA Standards and Followers'!$2:$2,MATCH(B$1,'CA Standards and Followers'!$1:$1,0)),0))</f>
        <v>0</v>
      </c>
      <c r="C55">
        <f>IF(AND(INDEX('CA Standards and Followers'!$E$14:$E$73,MATCH($A55,'CA Standards and Followers'!$A$14:$A$73,0))=1,INDEX('CA Standards and Followers'!$H$14:$H$73,MATCH($A55,'CA Standards and Followers'!$A$14:$A$73,0))&lt;=C$1),INDEX('CA Standards and Followers'!$3:$3,MATCH(C$1,'CA Standards and Followers'!$1:$1,0)),IF(AND(INDEX('CA Standards and Followers'!$D$14:$D$73,MATCH($A55,'CA Standards and Followers'!$A$14:$A$73,0))=1,INDEX('CA Standards and Followers'!$G$14:$G$73,MATCH($A55,'CA Standards and Followers'!$A$14:$A$73,0))&lt;=C$1),INDEX('CA Standards and Followers'!$2:$2,MATCH(C$1,'CA Standards and Followers'!$1:$1,0)),0))</f>
        <v>0</v>
      </c>
      <c r="D55">
        <f>IF(AND(INDEX('CA Standards and Followers'!$E$14:$E$73,MATCH($A55,'CA Standards and Followers'!$A$14:$A$73,0))=1,INDEX('CA Standards and Followers'!$H$14:$H$73,MATCH($A55,'CA Standards and Followers'!$A$14:$A$73,0))&lt;=D$1),INDEX('CA Standards and Followers'!$3:$3,MATCH(D$1,'CA Standards and Followers'!$1:$1,0)),IF(AND(INDEX('CA Standards and Followers'!$D$14:$D$73,MATCH($A55,'CA Standards and Followers'!$A$14:$A$73,0))=1,INDEX('CA Standards and Followers'!$G$14:$G$73,MATCH($A55,'CA Standards and Followers'!$A$14:$A$73,0))&lt;=D$1),INDEX('CA Standards and Followers'!$2:$2,MATCH(D$1,'CA Standards and Followers'!$1:$1,0)),0))</f>
        <v>0</v>
      </c>
      <c r="E55">
        <f>IF(AND(INDEX('CA Standards and Followers'!$E$14:$E$73,MATCH($A55,'CA Standards and Followers'!$A$14:$A$73,0))=1,INDEX('CA Standards and Followers'!$H$14:$H$73,MATCH($A55,'CA Standards and Followers'!$A$14:$A$73,0))&lt;=E$1),INDEX('CA Standards and Followers'!$3:$3,MATCH(E$1,'CA Standards and Followers'!$1:$1,0)),IF(AND(INDEX('CA Standards and Followers'!$D$14:$D$73,MATCH($A55,'CA Standards and Followers'!$A$14:$A$73,0))=1,INDEX('CA Standards and Followers'!$G$14:$G$73,MATCH($A55,'CA Standards and Followers'!$A$14:$A$73,0))&lt;=E$1),INDEX('CA Standards and Followers'!$2:$2,MATCH(E$1,'CA Standards and Followers'!$1:$1,0)),0))</f>
        <v>0</v>
      </c>
      <c r="F55">
        <f>IF(AND(INDEX('CA Standards and Followers'!$E$14:$E$73,MATCH($A55,'CA Standards and Followers'!$A$14:$A$73,0))=1,INDEX('CA Standards and Followers'!$H$14:$H$73,MATCH($A55,'CA Standards and Followers'!$A$14:$A$73,0))&lt;=F$1),INDEX('CA Standards and Followers'!$3:$3,MATCH(F$1,'CA Standards and Followers'!$1:$1,0)),IF(AND(INDEX('CA Standards and Followers'!$D$14:$D$73,MATCH($A55,'CA Standards and Followers'!$A$14:$A$73,0))=1,INDEX('CA Standards and Followers'!$G$14:$G$73,MATCH($A55,'CA Standards and Followers'!$A$14:$A$73,0))&lt;=F$1),INDEX('CA Standards and Followers'!$2:$2,MATCH(F$1,'CA Standards and Followers'!$1:$1,0)),0))</f>
        <v>0</v>
      </c>
      <c r="G55">
        <f>IF(AND(INDEX('CA Standards and Followers'!$E$14:$E$73,MATCH($A55,'CA Standards and Followers'!$A$14:$A$73,0))=1,INDEX('CA Standards and Followers'!$H$14:$H$73,MATCH($A55,'CA Standards and Followers'!$A$14:$A$73,0))&lt;=G$1),INDEX('CA Standards and Followers'!$3:$3,MATCH(G$1,'CA Standards and Followers'!$1:$1,0)),IF(AND(INDEX('CA Standards and Followers'!$D$14:$D$73,MATCH($A55,'CA Standards and Followers'!$A$14:$A$73,0))=1,INDEX('CA Standards and Followers'!$G$14:$G$73,MATCH($A55,'CA Standards and Followers'!$A$14:$A$73,0))&lt;=G$1),INDEX('CA Standards and Followers'!$2:$2,MATCH(G$1,'CA Standards and Followers'!$1:$1,0)),0))</f>
        <v>0</v>
      </c>
      <c r="H55">
        <f>IF(AND(INDEX('CA Standards and Followers'!$E$14:$E$73,MATCH($A55,'CA Standards and Followers'!$A$14:$A$73,0))=1,INDEX('CA Standards and Followers'!$H$14:$H$73,MATCH($A55,'CA Standards and Followers'!$A$14:$A$73,0))&lt;=H$1),INDEX('CA Standards and Followers'!$3:$3,MATCH(H$1,'CA Standards and Followers'!$1:$1,0)),IF(AND(INDEX('CA Standards and Followers'!$D$14:$D$73,MATCH($A55,'CA Standards and Followers'!$A$14:$A$73,0))=1,INDEX('CA Standards and Followers'!$G$14:$G$73,MATCH($A55,'CA Standards and Followers'!$A$14:$A$73,0))&lt;=H$1),INDEX('CA Standards and Followers'!$2:$2,MATCH(H$1,'CA Standards and Followers'!$1:$1,0)),0))</f>
        <v>0</v>
      </c>
      <c r="I55">
        <f>IF(AND(INDEX('CA Standards and Followers'!$E$14:$E$73,MATCH($A55,'CA Standards and Followers'!$A$14:$A$73,0))=1,INDEX('CA Standards and Followers'!$H$14:$H$73,MATCH($A55,'CA Standards and Followers'!$A$14:$A$73,0))&lt;=I$1),INDEX('CA Standards and Followers'!$3:$3,MATCH(I$1,'CA Standards and Followers'!$1:$1,0)),IF(AND(INDEX('CA Standards and Followers'!$D$14:$D$73,MATCH($A55,'CA Standards and Followers'!$A$14:$A$73,0))=1,INDEX('CA Standards and Followers'!$G$14:$G$73,MATCH($A55,'CA Standards and Followers'!$A$14:$A$73,0))&lt;=I$1),INDEX('CA Standards and Followers'!$2:$2,MATCH(I$1,'CA Standards and Followers'!$1:$1,0)),0))</f>
        <v>0</v>
      </c>
      <c r="J55">
        <f>IF(AND(INDEX('CA Standards and Followers'!$E$14:$E$73,MATCH($A55,'CA Standards and Followers'!$A$14:$A$73,0))=1,INDEX('CA Standards and Followers'!$H$14:$H$73,MATCH($A55,'CA Standards and Followers'!$A$14:$A$73,0))&lt;=J$1),INDEX('CA Standards and Followers'!$3:$3,MATCH(J$1,'CA Standards and Followers'!$1:$1,0)),IF(AND(INDEX('CA Standards and Followers'!$D$14:$D$73,MATCH($A55,'CA Standards and Followers'!$A$14:$A$73,0))=1,INDEX('CA Standards and Followers'!$G$14:$G$73,MATCH($A55,'CA Standards and Followers'!$A$14:$A$73,0))&lt;=J$1),INDEX('CA Standards and Followers'!$2:$2,MATCH(J$1,'CA Standards and Followers'!$1:$1,0)),0))</f>
        <v>0</v>
      </c>
      <c r="K55">
        <f>IF(AND(INDEX('CA Standards and Followers'!$E$14:$E$73,MATCH($A55,'CA Standards and Followers'!$A$14:$A$73,0))=1,INDEX('CA Standards and Followers'!$H$14:$H$73,MATCH($A55,'CA Standards and Followers'!$A$14:$A$73,0))&lt;=K$1),INDEX('CA Standards and Followers'!$3:$3,MATCH(K$1,'CA Standards and Followers'!$1:$1,0)),IF(AND(INDEX('CA Standards and Followers'!$D$14:$D$73,MATCH($A55,'CA Standards and Followers'!$A$14:$A$73,0))=1,INDEX('CA Standards and Followers'!$G$14:$G$73,MATCH($A55,'CA Standards and Followers'!$A$14:$A$73,0))&lt;=K$1),INDEX('CA Standards and Followers'!$2:$2,MATCH(K$1,'CA Standards and Followers'!$1:$1,0)),0))</f>
        <v>0</v>
      </c>
      <c r="L55">
        <f>IF(AND(INDEX('CA Standards and Followers'!$E$14:$E$73,MATCH($A55,'CA Standards and Followers'!$A$14:$A$73,0))=1,INDEX('CA Standards and Followers'!$H$14:$H$73,MATCH($A55,'CA Standards and Followers'!$A$14:$A$73,0))&lt;=L$1),INDEX('CA Standards and Followers'!$3:$3,MATCH(L$1,'CA Standards and Followers'!$1:$1,0)),IF(AND(INDEX('CA Standards and Followers'!$D$14:$D$73,MATCH($A55,'CA Standards and Followers'!$A$14:$A$73,0))=1,INDEX('CA Standards and Followers'!$G$14:$G$73,MATCH($A55,'CA Standards and Followers'!$A$14:$A$73,0))&lt;=L$1),INDEX('CA Standards and Followers'!$2:$2,MATCH(L$1,'CA Standards and Followers'!$1:$1,0)),0))</f>
        <v>0</v>
      </c>
      <c r="M55">
        <f>IF(AND(INDEX('CA Standards and Followers'!$E$14:$E$73,MATCH($A55,'CA Standards and Followers'!$A$14:$A$73,0))=1,INDEX('CA Standards and Followers'!$H$14:$H$73,MATCH($A55,'CA Standards and Followers'!$A$14:$A$73,0))&lt;=M$1),INDEX('CA Standards and Followers'!$3:$3,MATCH(M$1,'CA Standards and Followers'!$1:$1,0)),IF(AND(INDEX('CA Standards and Followers'!$D$14:$D$73,MATCH($A55,'CA Standards and Followers'!$A$14:$A$73,0))=1,INDEX('CA Standards and Followers'!$G$14:$G$73,MATCH($A55,'CA Standards and Followers'!$A$14:$A$73,0))&lt;=M$1),INDEX('CA Standards and Followers'!$2:$2,MATCH(M$1,'CA Standards and Followers'!$1:$1,0)),0))</f>
        <v>0</v>
      </c>
      <c r="N55">
        <f>IF(AND(INDEX('CA Standards and Followers'!$E$14:$E$73,MATCH($A55,'CA Standards and Followers'!$A$14:$A$73,0))=1,INDEX('CA Standards and Followers'!$H$14:$H$73,MATCH($A55,'CA Standards and Followers'!$A$14:$A$73,0))&lt;=N$1),INDEX('CA Standards and Followers'!$3:$3,MATCH(N$1,'CA Standards and Followers'!$1:$1,0)),IF(AND(INDEX('CA Standards and Followers'!$D$14:$D$73,MATCH($A55,'CA Standards and Followers'!$A$14:$A$73,0))=1,INDEX('CA Standards and Followers'!$G$14:$G$73,MATCH($A55,'CA Standards and Followers'!$A$14:$A$73,0))&lt;=N$1),INDEX('CA Standards and Followers'!$2:$2,MATCH(N$1,'CA Standards and Followers'!$1:$1,0)),0))</f>
        <v>0</v>
      </c>
      <c r="O55">
        <f>IF(AND(INDEX('CA Standards and Followers'!$E$14:$E$73,MATCH($A55,'CA Standards and Followers'!$A$14:$A$73,0))=1,INDEX('CA Standards and Followers'!$H$14:$H$73,MATCH($A55,'CA Standards and Followers'!$A$14:$A$73,0))&lt;=O$1),INDEX('CA Standards and Followers'!$3:$3,MATCH(O$1,'CA Standards and Followers'!$1:$1,0)),IF(AND(INDEX('CA Standards and Followers'!$D$14:$D$73,MATCH($A55,'CA Standards and Followers'!$A$14:$A$73,0))=1,INDEX('CA Standards and Followers'!$G$14:$G$73,MATCH($A55,'CA Standards and Followers'!$A$14:$A$73,0))&lt;=O$1),INDEX('CA Standards and Followers'!$2:$2,MATCH(O$1,'CA Standards and Followers'!$1:$1,0)),0))</f>
        <v>0</v>
      </c>
      <c r="P55">
        <f>IF(AND(INDEX('CA Standards and Followers'!$E$14:$E$73,MATCH($A55,'CA Standards and Followers'!$A$14:$A$73,0))=1,INDEX('CA Standards and Followers'!$H$14:$H$73,MATCH($A55,'CA Standards and Followers'!$A$14:$A$73,0))&lt;=P$1),INDEX('CA Standards and Followers'!$3:$3,MATCH(P$1,'CA Standards and Followers'!$1:$1,0)),IF(AND(INDEX('CA Standards and Followers'!$D$14:$D$73,MATCH($A55,'CA Standards and Followers'!$A$14:$A$73,0))=1,INDEX('CA Standards and Followers'!$G$14:$G$73,MATCH($A55,'CA Standards and Followers'!$A$14:$A$73,0))&lt;=P$1),INDEX('CA Standards and Followers'!$2:$2,MATCH(P$1,'CA Standards and Followers'!$1:$1,0)),0))</f>
        <v>0</v>
      </c>
      <c r="Q55">
        <f>IF(AND(INDEX('CA Standards and Followers'!$E$14:$E$73,MATCH($A55,'CA Standards and Followers'!$A$14:$A$73,0))=1,INDEX('CA Standards and Followers'!$H$14:$H$73,MATCH($A55,'CA Standards and Followers'!$A$14:$A$73,0))&lt;=Q$1),INDEX('CA Standards and Followers'!$3:$3,MATCH(Q$1,'CA Standards and Followers'!$1:$1,0)),IF(AND(INDEX('CA Standards and Followers'!$D$14:$D$73,MATCH($A55,'CA Standards and Followers'!$A$14:$A$73,0))=1,INDEX('CA Standards and Followers'!$G$14:$G$73,MATCH($A55,'CA Standards and Followers'!$A$14:$A$73,0))&lt;=Q$1),INDEX('CA Standards and Followers'!$2:$2,MATCH(Q$1,'CA Standards and Followers'!$1:$1,0)),0))</f>
        <v>0</v>
      </c>
      <c r="R55">
        <f>IF(AND(INDEX('CA Standards and Followers'!$E$14:$E$73,MATCH($A55,'CA Standards and Followers'!$A$14:$A$73,0))=1,INDEX('CA Standards and Followers'!$H$14:$H$73,MATCH($A55,'CA Standards and Followers'!$A$14:$A$73,0))&lt;=R$1),INDEX('CA Standards and Followers'!$3:$3,MATCH(R$1,'CA Standards and Followers'!$1:$1,0)),IF(AND(INDEX('CA Standards and Followers'!$D$14:$D$73,MATCH($A55,'CA Standards and Followers'!$A$14:$A$73,0))=1,INDEX('CA Standards and Followers'!$G$14:$G$73,MATCH($A55,'CA Standards and Followers'!$A$14:$A$73,0))&lt;=R$1),INDEX('CA Standards and Followers'!$2:$2,MATCH(R$1,'CA Standards and Followers'!$1:$1,0)),0))</f>
        <v>0</v>
      </c>
      <c r="S55">
        <f>IF(AND(INDEX('CA Standards and Followers'!$E$14:$E$73,MATCH($A55,'CA Standards and Followers'!$A$14:$A$73,0))=1,INDEX('CA Standards and Followers'!$H$14:$H$73,MATCH($A55,'CA Standards and Followers'!$A$14:$A$73,0))&lt;=S$1),INDEX('CA Standards and Followers'!$3:$3,MATCH(S$1,'CA Standards and Followers'!$1:$1,0)),IF(AND(INDEX('CA Standards and Followers'!$D$14:$D$73,MATCH($A55,'CA Standards and Followers'!$A$14:$A$73,0))=1,INDEX('CA Standards and Followers'!$G$14:$G$73,MATCH($A55,'CA Standards and Followers'!$A$14:$A$73,0))&lt;=S$1),INDEX('CA Standards and Followers'!$2:$2,MATCH(S$1,'CA Standards and Followers'!$1:$1,0)),0))</f>
        <v>0</v>
      </c>
      <c r="T55">
        <f>IF(AND(INDEX('CA Standards and Followers'!$E$14:$E$73,MATCH($A55,'CA Standards and Followers'!$A$14:$A$73,0))=1,INDEX('CA Standards and Followers'!$H$14:$H$73,MATCH($A55,'CA Standards and Followers'!$A$14:$A$73,0))&lt;=T$1),INDEX('CA Standards and Followers'!$3:$3,MATCH(T$1,'CA Standards and Followers'!$1:$1,0)),IF(AND(INDEX('CA Standards and Followers'!$D$14:$D$73,MATCH($A55,'CA Standards and Followers'!$A$14:$A$73,0))=1,INDEX('CA Standards and Followers'!$G$14:$G$73,MATCH($A55,'CA Standards and Followers'!$A$14:$A$73,0))&lt;=T$1),INDEX('CA Standards and Followers'!$2:$2,MATCH(T$1,'CA Standards and Followers'!$1:$1,0)),0))</f>
        <v>0</v>
      </c>
      <c r="U55">
        <f>IF(AND(INDEX('CA Standards and Followers'!$E$14:$E$73,MATCH($A55,'CA Standards and Followers'!$A$14:$A$73,0))=1,INDEX('CA Standards and Followers'!$H$14:$H$73,MATCH($A55,'CA Standards and Followers'!$A$14:$A$73,0))&lt;=U$1),INDEX('CA Standards and Followers'!$3:$3,MATCH(U$1,'CA Standards and Followers'!$1:$1,0)),IF(AND(INDEX('CA Standards and Followers'!$D$14:$D$73,MATCH($A55,'CA Standards and Followers'!$A$14:$A$73,0))=1,INDEX('CA Standards and Followers'!$G$14:$G$73,MATCH($A55,'CA Standards and Followers'!$A$14:$A$73,0))&lt;=U$1),INDEX('CA Standards and Followers'!$2:$2,MATCH(U$1,'CA Standards and Followers'!$1:$1,0)),0))</f>
        <v>0</v>
      </c>
      <c r="V55">
        <f>IF(AND(INDEX('CA Standards and Followers'!$E$14:$E$73,MATCH($A55,'CA Standards and Followers'!$A$14:$A$73,0))=1,INDEX('CA Standards and Followers'!$H$14:$H$73,MATCH($A55,'CA Standards and Followers'!$A$14:$A$73,0))&lt;=V$1),INDEX('CA Standards and Followers'!$3:$3,MATCH(V$1,'CA Standards and Followers'!$1:$1,0)),IF(AND(INDEX('CA Standards and Followers'!$D$14:$D$73,MATCH($A55,'CA Standards and Followers'!$A$14:$A$73,0))=1,INDEX('CA Standards and Followers'!$G$14:$G$73,MATCH($A55,'CA Standards and Followers'!$A$14:$A$73,0))&lt;=V$1),INDEX('CA Standards and Followers'!$2:$2,MATCH(V$1,'CA Standards and Followers'!$1:$1,0)),0))</f>
        <v>0</v>
      </c>
      <c r="W55">
        <f>IF(AND(INDEX('CA Standards and Followers'!$E$14:$E$73,MATCH($A55,'CA Standards and Followers'!$A$14:$A$73,0))=1,INDEX('CA Standards and Followers'!$H$14:$H$73,MATCH($A55,'CA Standards and Followers'!$A$14:$A$73,0))&lt;=W$1),INDEX('CA Standards and Followers'!$3:$3,MATCH(W$1,'CA Standards and Followers'!$1:$1,0)),IF(AND(INDEX('CA Standards and Followers'!$D$14:$D$73,MATCH($A55,'CA Standards and Followers'!$A$14:$A$73,0))=1,INDEX('CA Standards and Followers'!$G$14:$G$73,MATCH($A55,'CA Standards and Followers'!$A$14:$A$73,0))&lt;=W$1),INDEX('CA Standards and Followers'!$2:$2,MATCH(W$1,'CA Standards and Followers'!$1:$1,0)),0))</f>
        <v>0</v>
      </c>
      <c r="X55">
        <f>IF(AND(INDEX('CA Standards and Followers'!$E$14:$E$73,MATCH($A55,'CA Standards and Followers'!$A$14:$A$73,0))=1,INDEX('CA Standards and Followers'!$H$14:$H$73,MATCH($A55,'CA Standards and Followers'!$A$14:$A$73,0))&lt;=X$1),INDEX('CA Standards and Followers'!$3:$3,MATCH(X$1,'CA Standards and Followers'!$1:$1,0)),IF(AND(INDEX('CA Standards and Followers'!$D$14:$D$73,MATCH($A55,'CA Standards and Followers'!$A$14:$A$73,0))=1,INDEX('CA Standards and Followers'!$G$14:$G$73,MATCH($A55,'CA Standards and Followers'!$A$14:$A$73,0))&lt;=X$1),INDEX('CA Standards and Followers'!$2:$2,MATCH(X$1,'CA Standards and Followers'!$1:$1,0)),0))</f>
        <v>0</v>
      </c>
      <c r="Y55">
        <f>IF(AND(INDEX('CA Standards and Followers'!$E$14:$E$73,MATCH($A55,'CA Standards and Followers'!$A$14:$A$73,0))=1,INDEX('CA Standards and Followers'!$H$14:$H$73,MATCH($A55,'CA Standards and Followers'!$A$14:$A$73,0))&lt;=Y$1),INDEX('CA Standards and Followers'!$3:$3,MATCH(Y$1,'CA Standards and Followers'!$1:$1,0)),IF(AND(INDEX('CA Standards and Followers'!$D$14:$D$73,MATCH($A55,'CA Standards and Followers'!$A$14:$A$73,0))=1,INDEX('CA Standards and Followers'!$G$14:$G$73,MATCH($A55,'CA Standards and Followers'!$A$14:$A$73,0))&lt;=Y$1),INDEX('CA Standards and Followers'!$2:$2,MATCH(Y$1,'CA Standards and Followers'!$1:$1,0)),0))</f>
        <v>0</v>
      </c>
      <c r="Z55">
        <f>IF(AND(INDEX('CA Standards and Followers'!$E$14:$E$73,MATCH($A55,'CA Standards and Followers'!$A$14:$A$73,0))=1,INDEX('CA Standards and Followers'!$H$14:$H$73,MATCH($A55,'CA Standards and Followers'!$A$14:$A$73,0))&lt;=Z$1),INDEX('CA Standards and Followers'!$3:$3,MATCH(Z$1,'CA Standards and Followers'!$1:$1,0)),IF(AND(INDEX('CA Standards and Followers'!$D$14:$D$73,MATCH($A55,'CA Standards and Followers'!$A$14:$A$73,0))=1,INDEX('CA Standards and Followers'!$G$14:$G$73,MATCH($A55,'CA Standards and Followers'!$A$14:$A$73,0))&lt;=Z$1),INDEX('CA Standards and Followers'!$2:$2,MATCH(Z$1,'CA Standards and Followers'!$1:$1,0)),0))</f>
        <v>0</v>
      </c>
      <c r="AA55">
        <f>IF(AND(INDEX('CA Standards and Followers'!$E$14:$E$73,MATCH($A55,'CA Standards and Followers'!$A$14:$A$73,0))=1,INDEX('CA Standards and Followers'!$H$14:$H$73,MATCH($A55,'CA Standards and Followers'!$A$14:$A$73,0))&lt;=AA$1),INDEX('CA Standards and Followers'!$3:$3,MATCH(AA$1,'CA Standards and Followers'!$1:$1,0)),IF(AND(INDEX('CA Standards and Followers'!$D$14:$D$73,MATCH($A55,'CA Standards and Followers'!$A$14:$A$73,0))=1,INDEX('CA Standards and Followers'!$G$14:$G$73,MATCH($A55,'CA Standards and Followers'!$A$14:$A$73,0))&lt;=AA$1),INDEX('CA Standards and Followers'!$2:$2,MATCH(AA$1,'CA Standards and Followers'!$1:$1,0)),0))</f>
        <v>0</v>
      </c>
      <c r="AB55">
        <f>IF(AND(INDEX('CA Standards and Followers'!$E$14:$E$73,MATCH($A55,'CA Standards and Followers'!$A$14:$A$73,0))=1,INDEX('CA Standards and Followers'!$H$14:$H$73,MATCH($A55,'CA Standards and Followers'!$A$14:$A$73,0))&lt;=AB$1),INDEX('CA Standards and Followers'!$3:$3,MATCH(AB$1,'CA Standards and Followers'!$1:$1,0)),IF(AND(INDEX('CA Standards and Followers'!$D$14:$D$73,MATCH($A55,'CA Standards and Followers'!$A$14:$A$73,0))=1,INDEX('CA Standards and Followers'!$G$14:$G$73,MATCH($A55,'CA Standards and Followers'!$A$14:$A$73,0))&lt;=AB$1),INDEX('CA Standards and Followers'!$2:$2,MATCH(AB$1,'CA Standards and Followers'!$1:$1,0)),0))</f>
        <v>0</v>
      </c>
      <c r="AC55">
        <f>IF(AND(INDEX('CA Standards and Followers'!$E$14:$E$73,MATCH($A55,'CA Standards and Followers'!$A$14:$A$73,0))=1,INDEX('CA Standards and Followers'!$H$14:$H$73,MATCH($A55,'CA Standards and Followers'!$A$14:$A$73,0))&lt;=AC$1),INDEX('CA Standards and Followers'!$3:$3,MATCH(AC$1,'CA Standards and Followers'!$1:$1,0)),IF(AND(INDEX('CA Standards and Followers'!$D$14:$D$73,MATCH($A55,'CA Standards and Followers'!$A$14:$A$73,0))=1,INDEX('CA Standards and Followers'!$G$14:$G$73,MATCH($A55,'CA Standards and Followers'!$A$14:$A$73,0))&lt;=AC$1),INDEX('CA Standards and Followers'!$2:$2,MATCH(AC$1,'CA Standards and Followers'!$1:$1,0)),0))</f>
        <v>0</v>
      </c>
      <c r="AD55">
        <f>IF(AND(INDEX('CA Standards and Followers'!$E$14:$E$73,MATCH($A55,'CA Standards and Followers'!$A$14:$A$73,0))=1,INDEX('CA Standards and Followers'!$H$14:$H$73,MATCH($A55,'CA Standards and Followers'!$A$14:$A$73,0))&lt;=AD$1),INDEX('CA Standards and Followers'!$3:$3,MATCH(AD$1,'CA Standards and Followers'!$1:$1,0)),IF(AND(INDEX('CA Standards and Followers'!$D$14:$D$73,MATCH($A55,'CA Standards and Followers'!$A$14:$A$73,0))=1,INDEX('CA Standards and Followers'!$G$14:$G$73,MATCH($A55,'CA Standards and Followers'!$A$14:$A$73,0))&lt;=AD$1),INDEX('CA Standards and Followers'!$2:$2,MATCH(AD$1,'CA Standards and Followers'!$1:$1,0)),0))</f>
        <v>0</v>
      </c>
      <c r="AE55">
        <f>IF(AND(INDEX('CA Standards and Followers'!$E$14:$E$73,MATCH($A55,'CA Standards and Followers'!$A$14:$A$73,0))=1,INDEX('CA Standards and Followers'!$H$14:$H$73,MATCH($A55,'CA Standards and Followers'!$A$14:$A$73,0))&lt;=AE$1),INDEX('CA Standards and Followers'!$3:$3,MATCH(AE$1,'CA Standards and Followers'!$1:$1,0)),IF(AND(INDEX('CA Standards and Followers'!$D$14:$D$73,MATCH($A55,'CA Standards and Followers'!$A$14:$A$73,0))=1,INDEX('CA Standards and Followers'!$G$14:$G$73,MATCH($A55,'CA Standards and Followers'!$A$14:$A$73,0))&lt;=AE$1),INDEX('CA Standards and Followers'!$2:$2,MATCH(AE$1,'CA Standards and Followers'!$1:$1,0)),0))</f>
        <v>0</v>
      </c>
      <c r="AF55">
        <f>IF(AND(INDEX('CA Standards and Followers'!$E$14:$E$73,MATCH($A55,'CA Standards and Followers'!$A$14:$A$73,0))=1,INDEX('CA Standards and Followers'!$H$14:$H$73,MATCH($A55,'CA Standards and Followers'!$A$14:$A$73,0))&lt;=AF$1),INDEX('CA Standards and Followers'!$3:$3,MATCH(AF$1,'CA Standards and Followers'!$1:$1,0)),IF(AND(INDEX('CA Standards and Followers'!$D$14:$D$73,MATCH($A55,'CA Standards and Followers'!$A$14:$A$73,0))=1,INDEX('CA Standards and Followers'!$G$14:$G$73,MATCH($A55,'CA Standards and Followers'!$A$14:$A$73,0))&lt;=AF$1),INDEX('CA Standards and Followers'!$2:$2,MATCH(AF$1,'CA Standards and Followers'!$1:$1,0)),0))</f>
        <v>0</v>
      </c>
    </row>
    <row r="56" spans="1:32" x14ac:dyDescent="0.25">
      <c r="A56" t="s">
        <v>56</v>
      </c>
      <c r="B56">
        <f>IF(AND(INDEX('CA Standards and Followers'!$E$14:$E$73,MATCH($A56,'CA Standards and Followers'!$A$14:$A$73,0))=1,INDEX('CA Standards and Followers'!$H$14:$H$73,MATCH($A56,'CA Standards and Followers'!$A$14:$A$73,0))&lt;=B$1),INDEX('CA Standards and Followers'!$3:$3,MATCH(B$1,'CA Standards and Followers'!$1:$1,0)),IF(AND(INDEX('CA Standards and Followers'!$D$14:$D$73,MATCH($A56,'CA Standards and Followers'!$A$14:$A$73,0))=1,INDEX('CA Standards and Followers'!$G$14:$G$73,MATCH($A56,'CA Standards and Followers'!$A$14:$A$73,0))&lt;=B$1),INDEX('CA Standards and Followers'!$2:$2,MATCH(B$1,'CA Standards and Followers'!$1:$1,0)),0))</f>
        <v>0</v>
      </c>
      <c r="C56">
        <f>IF(AND(INDEX('CA Standards and Followers'!$E$14:$E$73,MATCH($A56,'CA Standards and Followers'!$A$14:$A$73,0))=1,INDEX('CA Standards and Followers'!$H$14:$H$73,MATCH($A56,'CA Standards and Followers'!$A$14:$A$73,0))&lt;=C$1),INDEX('CA Standards and Followers'!$3:$3,MATCH(C$1,'CA Standards and Followers'!$1:$1,0)),IF(AND(INDEX('CA Standards and Followers'!$D$14:$D$73,MATCH($A56,'CA Standards and Followers'!$A$14:$A$73,0))=1,INDEX('CA Standards and Followers'!$G$14:$G$73,MATCH($A56,'CA Standards and Followers'!$A$14:$A$73,0))&lt;=C$1),INDEX('CA Standards and Followers'!$2:$2,MATCH(C$1,'CA Standards and Followers'!$1:$1,0)),0))</f>
        <v>0</v>
      </c>
      <c r="D56">
        <f>IF(AND(INDEX('CA Standards and Followers'!$E$14:$E$73,MATCH($A56,'CA Standards and Followers'!$A$14:$A$73,0))=1,INDEX('CA Standards and Followers'!$H$14:$H$73,MATCH($A56,'CA Standards and Followers'!$A$14:$A$73,0))&lt;=D$1),INDEX('CA Standards and Followers'!$3:$3,MATCH(D$1,'CA Standards and Followers'!$1:$1,0)),IF(AND(INDEX('CA Standards and Followers'!$D$14:$D$73,MATCH($A56,'CA Standards and Followers'!$A$14:$A$73,0))=1,INDEX('CA Standards and Followers'!$G$14:$G$73,MATCH($A56,'CA Standards and Followers'!$A$14:$A$73,0))&lt;=D$1),INDEX('CA Standards and Followers'!$2:$2,MATCH(D$1,'CA Standards and Followers'!$1:$1,0)),0))</f>
        <v>0</v>
      </c>
      <c r="E56">
        <f>IF(AND(INDEX('CA Standards and Followers'!$E$14:$E$73,MATCH($A56,'CA Standards and Followers'!$A$14:$A$73,0))=1,INDEX('CA Standards and Followers'!$H$14:$H$73,MATCH($A56,'CA Standards and Followers'!$A$14:$A$73,0))&lt;=E$1),INDEX('CA Standards and Followers'!$3:$3,MATCH(E$1,'CA Standards and Followers'!$1:$1,0)),IF(AND(INDEX('CA Standards and Followers'!$D$14:$D$73,MATCH($A56,'CA Standards and Followers'!$A$14:$A$73,0))=1,INDEX('CA Standards and Followers'!$G$14:$G$73,MATCH($A56,'CA Standards and Followers'!$A$14:$A$73,0))&lt;=E$1),INDEX('CA Standards and Followers'!$2:$2,MATCH(E$1,'CA Standards and Followers'!$1:$1,0)),0))</f>
        <v>0</v>
      </c>
      <c r="F56">
        <f>IF(AND(INDEX('CA Standards and Followers'!$E$14:$E$73,MATCH($A56,'CA Standards and Followers'!$A$14:$A$73,0))=1,INDEX('CA Standards and Followers'!$H$14:$H$73,MATCH($A56,'CA Standards and Followers'!$A$14:$A$73,0))&lt;=F$1),INDEX('CA Standards and Followers'!$3:$3,MATCH(F$1,'CA Standards and Followers'!$1:$1,0)),IF(AND(INDEX('CA Standards and Followers'!$D$14:$D$73,MATCH($A56,'CA Standards and Followers'!$A$14:$A$73,0))=1,INDEX('CA Standards and Followers'!$G$14:$G$73,MATCH($A56,'CA Standards and Followers'!$A$14:$A$73,0))&lt;=F$1),INDEX('CA Standards and Followers'!$2:$2,MATCH(F$1,'CA Standards and Followers'!$1:$1,0)),0))</f>
        <v>0</v>
      </c>
      <c r="G56">
        <f>IF(AND(INDEX('CA Standards and Followers'!$E$14:$E$73,MATCH($A56,'CA Standards and Followers'!$A$14:$A$73,0))=1,INDEX('CA Standards and Followers'!$H$14:$H$73,MATCH($A56,'CA Standards and Followers'!$A$14:$A$73,0))&lt;=G$1),INDEX('CA Standards and Followers'!$3:$3,MATCH(G$1,'CA Standards and Followers'!$1:$1,0)),IF(AND(INDEX('CA Standards and Followers'!$D$14:$D$73,MATCH($A56,'CA Standards and Followers'!$A$14:$A$73,0))=1,INDEX('CA Standards and Followers'!$G$14:$G$73,MATCH($A56,'CA Standards and Followers'!$A$14:$A$73,0))&lt;=G$1),INDEX('CA Standards and Followers'!$2:$2,MATCH(G$1,'CA Standards and Followers'!$1:$1,0)),0))</f>
        <v>0</v>
      </c>
      <c r="H56">
        <f>IF(AND(INDEX('CA Standards and Followers'!$E$14:$E$73,MATCH($A56,'CA Standards and Followers'!$A$14:$A$73,0))=1,INDEX('CA Standards and Followers'!$H$14:$H$73,MATCH($A56,'CA Standards and Followers'!$A$14:$A$73,0))&lt;=H$1),INDEX('CA Standards and Followers'!$3:$3,MATCH(H$1,'CA Standards and Followers'!$1:$1,0)),IF(AND(INDEX('CA Standards and Followers'!$D$14:$D$73,MATCH($A56,'CA Standards and Followers'!$A$14:$A$73,0))=1,INDEX('CA Standards and Followers'!$G$14:$G$73,MATCH($A56,'CA Standards and Followers'!$A$14:$A$73,0))&lt;=H$1),INDEX('CA Standards and Followers'!$2:$2,MATCH(H$1,'CA Standards and Followers'!$1:$1,0)),0))</f>
        <v>0</v>
      </c>
      <c r="I56">
        <f>IF(AND(INDEX('CA Standards and Followers'!$E$14:$E$73,MATCH($A56,'CA Standards and Followers'!$A$14:$A$73,0))=1,INDEX('CA Standards and Followers'!$H$14:$H$73,MATCH($A56,'CA Standards and Followers'!$A$14:$A$73,0))&lt;=I$1),INDEX('CA Standards and Followers'!$3:$3,MATCH(I$1,'CA Standards and Followers'!$1:$1,0)),IF(AND(INDEX('CA Standards and Followers'!$D$14:$D$73,MATCH($A56,'CA Standards and Followers'!$A$14:$A$73,0))=1,INDEX('CA Standards and Followers'!$G$14:$G$73,MATCH($A56,'CA Standards and Followers'!$A$14:$A$73,0))&lt;=I$1),INDEX('CA Standards and Followers'!$2:$2,MATCH(I$1,'CA Standards and Followers'!$1:$1,0)),0))</f>
        <v>0</v>
      </c>
      <c r="J56">
        <f>IF(AND(INDEX('CA Standards and Followers'!$E$14:$E$73,MATCH($A56,'CA Standards and Followers'!$A$14:$A$73,0))=1,INDEX('CA Standards and Followers'!$H$14:$H$73,MATCH($A56,'CA Standards and Followers'!$A$14:$A$73,0))&lt;=J$1),INDEX('CA Standards and Followers'!$3:$3,MATCH(J$1,'CA Standards and Followers'!$1:$1,0)),IF(AND(INDEX('CA Standards and Followers'!$D$14:$D$73,MATCH($A56,'CA Standards and Followers'!$A$14:$A$73,0))=1,INDEX('CA Standards and Followers'!$G$14:$G$73,MATCH($A56,'CA Standards and Followers'!$A$14:$A$73,0))&lt;=J$1),INDEX('CA Standards and Followers'!$2:$2,MATCH(J$1,'CA Standards and Followers'!$1:$1,0)),0))</f>
        <v>0</v>
      </c>
      <c r="K56">
        <f>IF(AND(INDEX('CA Standards and Followers'!$E$14:$E$73,MATCH($A56,'CA Standards and Followers'!$A$14:$A$73,0))=1,INDEX('CA Standards and Followers'!$H$14:$H$73,MATCH($A56,'CA Standards and Followers'!$A$14:$A$73,0))&lt;=K$1),INDEX('CA Standards and Followers'!$3:$3,MATCH(K$1,'CA Standards and Followers'!$1:$1,0)),IF(AND(INDEX('CA Standards and Followers'!$D$14:$D$73,MATCH($A56,'CA Standards and Followers'!$A$14:$A$73,0))=1,INDEX('CA Standards and Followers'!$G$14:$G$73,MATCH($A56,'CA Standards and Followers'!$A$14:$A$73,0))&lt;=K$1),INDEX('CA Standards and Followers'!$2:$2,MATCH(K$1,'CA Standards and Followers'!$1:$1,0)),0))</f>
        <v>0</v>
      </c>
      <c r="L56">
        <f>IF(AND(INDEX('CA Standards and Followers'!$E$14:$E$73,MATCH($A56,'CA Standards and Followers'!$A$14:$A$73,0))=1,INDEX('CA Standards and Followers'!$H$14:$H$73,MATCH($A56,'CA Standards and Followers'!$A$14:$A$73,0))&lt;=L$1),INDEX('CA Standards and Followers'!$3:$3,MATCH(L$1,'CA Standards and Followers'!$1:$1,0)),IF(AND(INDEX('CA Standards and Followers'!$D$14:$D$73,MATCH($A56,'CA Standards and Followers'!$A$14:$A$73,0))=1,INDEX('CA Standards and Followers'!$G$14:$G$73,MATCH($A56,'CA Standards and Followers'!$A$14:$A$73,0))&lt;=L$1),INDEX('CA Standards and Followers'!$2:$2,MATCH(L$1,'CA Standards and Followers'!$1:$1,0)),0))</f>
        <v>0</v>
      </c>
      <c r="M56">
        <f>IF(AND(INDEX('CA Standards and Followers'!$E$14:$E$73,MATCH($A56,'CA Standards and Followers'!$A$14:$A$73,0))=1,INDEX('CA Standards and Followers'!$H$14:$H$73,MATCH($A56,'CA Standards and Followers'!$A$14:$A$73,0))&lt;=M$1),INDEX('CA Standards and Followers'!$3:$3,MATCH(M$1,'CA Standards and Followers'!$1:$1,0)),IF(AND(INDEX('CA Standards and Followers'!$D$14:$D$73,MATCH($A56,'CA Standards and Followers'!$A$14:$A$73,0))=1,INDEX('CA Standards and Followers'!$G$14:$G$73,MATCH($A56,'CA Standards and Followers'!$A$14:$A$73,0))&lt;=M$1),INDEX('CA Standards and Followers'!$2:$2,MATCH(M$1,'CA Standards and Followers'!$1:$1,0)),0))</f>
        <v>0</v>
      </c>
      <c r="N56">
        <f>IF(AND(INDEX('CA Standards and Followers'!$E$14:$E$73,MATCH($A56,'CA Standards and Followers'!$A$14:$A$73,0))=1,INDEX('CA Standards and Followers'!$H$14:$H$73,MATCH($A56,'CA Standards and Followers'!$A$14:$A$73,0))&lt;=N$1),INDEX('CA Standards and Followers'!$3:$3,MATCH(N$1,'CA Standards and Followers'!$1:$1,0)),IF(AND(INDEX('CA Standards and Followers'!$D$14:$D$73,MATCH($A56,'CA Standards and Followers'!$A$14:$A$73,0))=1,INDEX('CA Standards and Followers'!$G$14:$G$73,MATCH($A56,'CA Standards and Followers'!$A$14:$A$73,0))&lt;=N$1),INDEX('CA Standards and Followers'!$2:$2,MATCH(N$1,'CA Standards and Followers'!$1:$1,0)),0))</f>
        <v>0</v>
      </c>
      <c r="O56">
        <f>IF(AND(INDEX('CA Standards and Followers'!$E$14:$E$73,MATCH($A56,'CA Standards and Followers'!$A$14:$A$73,0))=1,INDEX('CA Standards and Followers'!$H$14:$H$73,MATCH($A56,'CA Standards and Followers'!$A$14:$A$73,0))&lt;=O$1),INDEX('CA Standards and Followers'!$3:$3,MATCH(O$1,'CA Standards and Followers'!$1:$1,0)),IF(AND(INDEX('CA Standards and Followers'!$D$14:$D$73,MATCH($A56,'CA Standards and Followers'!$A$14:$A$73,0))=1,INDEX('CA Standards and Followers'!$G$14:$G$73,MATCH($A56,'CA Standards and Followers'!$A$14:$A$73,0))&lt;=O$1),INDEX('CA Standards and Followers'!$2:$2,MATCH(O$1,'CA Standards and Followers'!$1:$1,0)),0))</f>
        <v>0</v>
      </c>
      <c r="P56">
        <f>IF(AND(INDEX('CA Standards and Followers'!$E$14:$E$73,MATCH($A56,'CA Standards and Followers'!$A$14:$A$73,0))=1,INDEX('CA Standards and Followers'!$H$14:$H$73,MATCH($A56,'CA Standards and Followers'!$A$14:$A$73,0))&lt;=P$1),INDEX('CA Standards and Followers'!$3:$3,MATCH(P$1,'CA Standards and Followers'!$1:$1,0)),IF(AND(INDEX('CA Standards and Followers'!$D$14:$D$73,MATCH($A56,'CA Standards and Followers'!$A$14:$A$73,0))=1,INDEX('CA Standards and Followers'!$G$14:$G$73,MATCH($A56,'CA Standards and Followers'!$A$14:$A$73,0))&lt;=P$1),INDEX('CA Standards and Followers'!$2:$2,MATCH(P$1,'CA Standards and Followers'!$1:$1,0)),0))</f>
        <v>0</v>
      </c>
      <c r="Q56">
        <f>IF(AND(INDEX('CA Standards and Followers'!$E$14:$E$73,MATCH($A56,'CA Standards and Followers'!$A$14:$A$73,0))=1,INDEX('CA Standards and Followers'!$H$14:$H$73,MATCH($A56,'CA Standards and Followers'!$A$14:$A$73,0))&lt;=Q$1),INDEX('CA Standards and Followers'!$3:$3,MATCH(Q$1,'CA Standards and Followers'!$1:$1,0)),IF(AND(INDEX('CA Standards and Followers'!$D$14:$D$73,MATCH($A56,'CA Standards and Followers'!$A$14:$A$73,0))=1,INDEX('CA Standards and Followers'!$G$14:$G$73,MATCH($A56,'CA Standards and Followers'!$A$14:$A$73,0))&lt;=Q$1),INDEX('CA Standards and Followers'!$2:$2,MATCH(Q$1,'CA Standards and Followers'!$1:$1,0)),0))</f>
        <v>0</v>
      </c>
      <c r="R56">
        <f>IF(AND(INDEX('CA Standards and Followers'!$E$14:$E$73,MATCH($A56,'CA Standards and Followers'!$A$14:$A$73,0))=1,INDEX('CA Standards and Followers'!$H$14:$H$73,MATCH($A56,'CA Standards and Followers'!$A$14:$A$73,0))&lt;=R$1),INDEX('CA Standards and Followers'!$3:$3,MATCH(R$1,'CA Standards and Followers'!$1:$1,0)),IF(AND(INDEX('CA Standards and Followers'!$D$14:$D$73,MATCH($A56,'CA Standards and Followers'!$A$14:$A$73,0))=1,INDEX('CA Standards and Followers'!$G$14:$G$73,MATCH($A56,'CA Standards and Followers'!$A$14:$A$73,0))&lt;=R$1),INDEX('CA Standards and Followers'!$2:$2,MATCH(R$1,'CA Standards and Followers'!$1:$1,0)),0))</f>
        <v>0</v>
      </c>
      <c r="S56">
        <f>IF(AND(INDEX('CA Standards and Followers'!$E$14:$E$73,MATCH($A56,'CA Standards and Followers'!$A$14:$A$73,0))=1,INDEX('CA Standards and Followers'!$H$14:$H$73,MATCH($A56,'CA Standards and Followers'!$A$14:$A$73,0))&lt;=S$1),INDEX('CA Standards and Followers'!$3:$3,MATCH(S$1,'CA Standards and Followers'!$1:$1,0)),IF(AND(INDEX('CA Standards and Followers'!$D$14:$D$73,MATCH($A56,'CA Standards and Followers'!$A$14:$A$73,0))=1,INDEX('CA Standards and Followers'!$G$14:$G$73,MATCH($A56,'CA Standards and Followers'!$A$14:$A$73,0))&lt;=S$1),INDEX('CA Standards and Followers'!$2:$2,MATCH(S$1,'CA Standards and Followers'!$1:$1,0)),0))</f>
        <v>0</v>
      </c>
      <c r="T56">
        <f>IF(AND(INDEX('CA Standards and Followers'!$E$14:$E$73,MATCH($A56,'CA Standards and Followers'!$A$14:$A$73,0))=1,INDEX('CA Standards and Followers'!$H$14:$H$73,MATCH($A56,'CA Standards and Followers'!$A$14:$A$73,0))&lt;=T$1),INDEX('CA Standards and Followers'!$3:$3,MATCH(T$1,'CA Standards and Followers'!$1:$1,0)),IF(AND(INDEX('CA Standards and Followers'!$D$14:$D$73,MATCH($A56,'CA Standards and Followers'!$A$14:$A$73,0))=1,INDEX('CA Standards and Followers'!$G$14:$G$73,MATCH($A56,'CA Standards and Followers'!$A$14:$A$73,0))&lt;=T$1),INDEX('CA Standards and Followers'!$2:$2,MATCH(T$1,'CA Standards and Followers'!$1:$1,0)),0))</f>
        <v>0</v>
      </c>
      <c r="U56">
        <f>IF(AND(INDEX('CA Standards and Followers'!$E$14:$E$73,MATCH($A56,'CA Standards and Followers'!$A$14:$A$73,0))=1,INDEX('CA Standards and Followers'!$H$14:$H$73,MATCH($A56,'CA Standards and Followers'!$A$14:$A$73,0))&lt;=U$1),INDEX('CA Standards and Followers'!$3:$3,MATCH(U$1,'CA Standards and Followers'!$1:$1,0)),IF(AND(INDEX('CA Standards and Followers'!$D$14:$D$73,MATCH($A56,'CA Standards and Followers'!$A$14:$A$73,0))=1,INDEX('CA Standards and Followers'!$G$14:$G$73,MATCH($A56,'CA Standards and Followers'!$A$14:$A$73,0))&lt;=U$1),INDEX('CA Standards and Followers'!$2:$2,MATCH(U$1,'CA Standards and Followers'!$1:$1,0)),0))</f>
        <v>0</v>
      </c>
      <c r="V56">
        <f>IF(AND(INDEX('CA Standards and Followers'!$E$14:$E$73,MATCH($A56,'CA Standards and Followers'!$A$14:$A$73,0))=1,INDEX('CA Standards and Followers'!$H$14:$H$73,MATCH($A56,'CA Standards and Followers'!$A$14:$A$73,0))&lt;=V$1),INDEX('CA Standards and Followers'!$3:$3,MATCH(V$1,'CA Standards and Followers'!$1:$1,0)),IF(AND(INDEX('CA Standards and Followers'!$D$14:$D$73,MATCH($A56,'CA Standards and Followers'!$A$14:$A$73,0))=1,INDEX('CA Standards and Followers'!$G$14:$G$73,MATCH($A56,'CA Standards and Followers'!$A$14:$A$73,0))&lt;=V$1),INDEX('CA Standards and Followers'!$2:$2,MATCH(V$1,'CA Standards and Followers'!$1:$1,0)),0))</f>
        <v>0</v>
      </c>
      <c r="W56">
        <f>IF(AND(INDEX('CA Standards and Followers'!$E$14:$E$73,MATCH($A56,'CA Standards and Followers'!$A$14:$A$73,0))=1,INDEX('CA Standards and Followers'!$H$14:$H$73,MATCH($A56,'CA Standards and Followers'!$A$14:$A$73,0))&lt;=W$1),INDEX('CA Standards and Followers'!$3:$3,MATCH(W$1,'CA Standards and Followers'!$1:$1,0)),IF(AND(INDEX('CA Standards and Followers'!$D$14:$D$73,MATCH($A56,'CA Standards and Followers'!$A$14:$A$73,0))=1,INDEX('CA Standards and Followers'!$G$14:$G$73,MATCH($A56,'CA Standards and Followers'!$A$14:$A$73,0))&lt;=W$1),INDEX('CA Standards and Followers'!$2:$2,MATCH(W$1,'CA Standards and Followers'!$1:$1,0)),0))</f>
        <v>0</v>
      </c>
      <c r="X56">
        <f>IF(AND(INDEX('CA Standards and Followers'!$E$14:$E$73,MATCH($A56,'CA Standards and Followers'!$A$14:$A$73,0))=1,INDEX('CA Standards and Followers'!$H$14:$H$73,MATCH($A56,'CA Standards and Followers'!$A$14:$A$73,0))&lt;=X$1),INDEX('CA Standards and Followers'!$3:$3,MATCH(X$1,'CA Standards and Followers'!$1:$1,0)),IF(AND(INDEX('CA Standards and Followers'!$D$14:$D$73,MATCH($A56,'CA Standards and Followers'!$A$14:$A$73,0))=1,INDEX('CA Standards and Followers'!$G$14:$G$73,MATCH($A56,'CA Standards and Followers'!$A$14:$A$73,0))&lt;=X$1),INDEX('CA Standards and Followers'!$2:$2,MATCH(X$1,'CA Standards and Followers'!$1:$1,0)),0))</f>
        <v>0</v>
      </c>
      <c r="Y56">
        <f>IF(AND(INDEX('CA Standards and Followers'!$E$14:$E$73,MATCH($A56,'CA Standards and Followers'!$A$14:$A$73,0))=1,INDEX('CA Standards and Followers'!$H$14:$H$73,MATCH($A56,'CA Standards and Followers'!$A$14:$A$73,0))&lt;=Y$1),INDEX('CA Standards and Followers'!$3:$3,MATCH(Y$1,'CA Standards and Followers'!$1:$1,0)),IF(AND(INDEX('CA Standards and Followers'!$D$14:$D$73,MATCH($A56,'CA Standards and Followers'!$A$14:$A$73,0))=1,INDEX('CA Standards and Followers'!$G$14:$G$73,MATCH($A56,'CA Standards and Followers'!$A$14:$A$73,0))&lt;=Y$1),INDEX('CA Standards and Followers'!$2:$2,MATCH(Y$1,'CA Standards and Followers'!$1:$1,0)),0))</f>
        <v>0</v>
      </c>
      <c r="Z56">
        <f>IF(AND(INDEX('CA Standards and Followers'!$E$14:$E$73,MATCH($A56,'CA Standards and Followers'!$A$14:$A$73,0))=1,INDEX('CA Standards and Followers'!$H$14:$H$73,MATCH($A56,'CA Standards and Followers'!$A$14:$A$73,0))&lt;=Z$1),INDEX('CA Standards and Followers'!$3:$3,MATCH(Z$1,'CA Standards and Followers'!$1:$1,0)),IF(AND(INDEX('CA Standards and Followers'!$D$14:$D$73,MATCH($A56,'CA Standards and Followers'!$A$14:$A$73,0))=1,INDEX('CA Standards and Followers'!$G$14:$G$73,MATCH($A56,'CA Standards and Followers'!$A$14:$A$73,0))&lt;=Z$1),INDEX('CA Standards and Followers'!$2:$2,MATCH(Z$1,'CA Standards and Followers'!$1:$1,0)),0))</f>
        <v>0</v>
      </c>
      <c r="AA56">
        <f>IF(AND(INDEX('CA Standards and Followers'!$E$14:$E$73,MATCH($A56,'CA Standards and Followers'!$A$14:$A$73,0))=1,INDEX('CA Standards and Followers'!$H$14:$H$73,MATCH($A56,'CA Standards and Followers'!$A$14:$A$73,0))&lt;=AA$1),INDEX('CA Standards and Followers'!$3:$3,MATCH(AA$1,'CA Standards and Followers'!$1:$1,0)),IF(AND(INDEX('CA Standards and Followers'!$D$14:$D$73,MATCH($A56,'CA Standards and Followers'!$A$14:$A$73,0))=1,INDEX('CA Standards and Followers'!$G$14:$G$73,MATCH($A56,'CA Standards and Followers'!$A$14:$A$73,0))&lt;=AA$1),INDEX('CA Standards and Followers'!$2:$2,MATCH(AA$1,'CA Standards and Followers'!$1:$1,0)),0))</f>
        <v>0</v>
      </c>
      <c r="AB56">
        <f>IF(AND(INDEX('CA Standards and Followers'!$E$14:$E$73,MATCH($A56,'CA Standards and Followers'!$A$14:$A$73,0))=1,INDEX('CA Standards and Followers'!$H$14:$H$73,MATCH($A56,'CA Standards and Followers'!$A$14:$A$73,0))&lt;=AB$1),INDEX('CA Standards and Followers'!$3:$3,MATCH(AB$1,'CA Standards and Followers'!$1:$1,0)),IF(AND(INDEX('CA Standards and Followers'!$D$14:$D$73,MATCH($A56,'CA Standards and Followers'!$A$14:$A$73,0))=1,INDEX('CA Standards and Followers'!$G$14:$G$73,MATCH($A56,'CA Standards and Followers'!$A$14:$A$73,0))&lt;=AB$1),INDEX('CA Standards and Followers'!$2:$2,MATCH(AB$1,'CA Standards and Followers'!$1:$1,0)),0))</f>
        <v>0</v>
      </c>
      <c r="AC56">
        <f>IF(AND(INDEX('CA Standards and Followers'!$E$14:$E$73,MATCH($A56,'CA Standards and Followers'!$A$14:$A$73,0))=1,INDEX('CA Standards and Followers'!$H$14:$H$73,MATCH($A56,'CA Standards and Followers'!$A$14:$A$73,0))&lt;=AC$1),INDEX('CA Standards and Followers'!$3:$3,MATCH(AC$1,'CA Standards and Followers'!$1:$1,0)),IF(AND(INDEX('CA Standards and Followers'!$D$14:$D$73,MATCH($A56,'CA Standards and Followers'!$A$14:$A$73,0))=1,INDEX('CA Standards and Followers'!$G$14:$G$73,MATCH($A56,'CA Standards and Followers'!$A$14:$A$73,0))&lt;=AC$1),INDEX('CA Standards and Followers'!$2:$2,MATCH(AC$1,'CA Standards and Followers'!$1:$1,0)),0))</f>
        <v>0</v>
      </c>
      <c r="AD56">
        <f>IF(AND(INDEX('CA Standards and Followers'!$E$14:$E$73,MATCH($A56,'CA Standards and Followers'!$A$14:$A$73,0))=1,INDEX('CA Standards and Followers'!$H$14:$H$73,MATCH($A56,'CA Standards and Followers'!$A$14:$A$73,0))&lt;=AD$1),INDEX('CA Standards and Followers'!$3:$3,MATCH(AD$1,'CA Standards and Followers'!$1:$1,0)),IF(AND(INDEX('CA Standards and Followers'!$D$14:$D$73,MATCH($A56,'CA Standards and Followers'!$A$14:$A$73,0))=1,INDEX('CA Standards and Followers'!$G$14:$G$73,MATCH($A56,'CA Standards and Followers'!$A$14:$A$73,0))&lt;=AD$1),INDEX('CA Standards and Followers'!$2:$2,MATCH(AD$1,'CA Standards and Followers'!$1:$1,0)),0))</f>
        <v>0</v>
      </c>
      <c r="AE56">
        <f>IF(AND(INDEX('CA Standards and Followers'!$E$14:$E$73,MATCH($A56,'CA Standards and Followers'!$A$14:$A$73,0))=1,INDEX('CA Standards and Followers'!$H$14:$H$73,MATCH($A56,'CA Standards and Followers'!$A$14:$A$73,0))&lt;=AE$1),INDEX('CA Standards and Followers'!$3:$3,MATCH(AE$1,'CA Standards and Followers'!$1:$1,0)),IF(AND(INDEX('CA Standards and Followers'!$D$14:$D$73,MATCH($A56,'CA Standards and Followers'!$A$14:$A$73,0))=1,INDEX('CA Standards and Followers'!$G$14:$G$73,MATCH($A56,'CA Standards and Followers'!$A$14:$A$73,0))&lt;=AE$1),INDEX('CA Standards and Followers'!$2:$2,MATCH(AE$1,'CA Standards and Followers'!$1:$1,0)),0))</f>
        <v>0</v>
      </c>
      <c r="AF56">
        <f>IF(AND(INDEX('CA Standards and Followers'!$E$14:$E$73,MATCH($A56,'CA Standards and Followers'!$A$14:$A$73,0))=1,INDEX('CA Standards and Followers'!$H$14:$H$73,MATCH($A56,'CA Standards and Followers'!$A$14:$A$73,0))&lt;=AF$1),INDEX('CA Standards and Followers'!$3:$3,MATCH(AF$1,'CA Standards and Followers'!$1:$1,0)),IF(AND(INDEX('CA Standards and Followers'!$D$14:$D$73,MATCH($A56,'CA Standards and Followers'!$A$14:$A$73,0))=1,INDEX('CA Standards and Followers'!$G$14:$G$73,MATCH($A56,'CA Standards and Followers'!$A$14:$A$73,0))&lt;=AF$1),INDEX('CA Standards and Followers'!$2:$2,MATCH(AF$1,'CA Standards and Followers'!$1:$1,0)),0))</f>
        <v>0</v>
      </c>
    </row>
    <row r="57" spans="1:32" x14ac:dyDescent="0.25">
      <c r="A57" t="s">
        <v>57</v>
      </c>
      <c r="B57">
        <f>IF(AND(INDEX('CA Standards and Followers'!$E$14:$E$73,MATCH($A57,'CA Standards and Followers'!$A$14:$A$73,0))=1,INDEX('CA Standards and Followers'!$H$14:$H$73,MATCH($A57,'CA Standards and Followers'!$A$14:$A$73,0))&lt;=B$1),INDEX('CA Standards and Followers'!$3:$3,MATCH(B$1,'CA Standards and Followers'!$1:$1,0)),IF(AND(INDEX('CA Standards and Followers'!$D$14:$D$73,MATCH($A57,'CA Standards and Followers'!$A$14:$A$73,0))=1,INDEX('CA Standards and Followers'!$G$14:$G$73,MATCH($A57,'CA Standards and Followers'!$A$14:$A$73,0))&lt;=B$1),INDEX('CA Standards and Followers'!$2:$2,MATCH(B$1,'CA Standards and Followers'!$1:$1,0)),0))</f>
        <v>0</v>
      </c>
      <c r="C57">
        <f>IF(AND(INDEX('CA Standards and Followers'!$E$14:$E$73,MATCH($A57,'CA Standards and Followers'!$A$14:$A$73,0))=1,INDEX('CA Standards and Followers'!$H$14:$H$73,MATCH($A57,'CA Standards and Followers'!$A$14:$A$73,0))&lt;=C$1),INDEX('CA Standards and Followers'!$3:$3,MATCH(C$1,'CA Standards and Followers'!$1:$1,0)),IF(AND(INDEX('CA Standards and Followers'!$D$14:$D$73,MATCH($A57,'CA Standards and Followers'!$A$14:$A$73,0))=1,INDEX('CA Standards and Followers'!$G$14:$G$73,MATCH($A57,'CA Standards and Followers'!$A$14:$A$73,0))&lt;=C$1),INDEX('CA Standards and Followers'!$2:$2,MATCH(C$1,'CA Standards and Followers'!$1:$1,0)),0))</f>
        <v>0</v>
      </c>
      <c r="D57">
        <f>IF(AND(INDEX('CA Standards and Followers'!$E$14:$E$73,MATCH($A57,'CA Standards and Followers'!$A$14:$A$73,0))=1,INDEX('CA Standards and Followers'!$H$14:$H$73,MATCH($A57,'CA Standards and Followers'!$A$14:$A$73,0))&lt;=D$1),INDEX('CA Standards and Followers'!$3:$3,MATCH(D$1,'CA Standards and Followers'!$1:$1,0)),IF(AND(INDEX('CA Standards and Followers'!$D$14:$D$73,MATCH($A57,'CA Standards and Followers'!$A$14:$A$73,0))=1,INDEX('CA Standards and Followers'!$G$14:$G$73,MATCH($A57,'CA Standards and Followers'!$A$14:$A$73,0))&lt;=D$1),INDEX('CA Standards and Followers'!$2:$2,MATCH(D$1,'CA Standards and Followers'!$1:$1,0)),0))</f>
        <v>0</v>
      </c>
      <c r="E57">
        <f>IF(AND(INDEX('CA Standards and Followers'!$E$14:$E$73,MATCH($A57,'CA Standards and Followers'!$A$14:$A$73,0))=1,INDEX('CA Standards and Followers'!$H$14:$H$73,MATCH($A57,'CA Standards and Followers'!$A$14:$A$73,0))&lt;=E$1),INDEX('CA Standards and Followers'!$3:$3,MATCH(E$1,'CA Standards and Followers'!$1:$1,0)),IF(AND(INDEX('CA Standards and Followers'!$D$14:$D$73,MATCH($A57,'CA Standards and Followers'!$A$14:$A$73,0))=1,INDEX('CA Standards and Followers'!$G$14:$G$73,MATCH($A57,'CA Standards and Followers'!$A$14:$A$73,0))&lt;=E$1),INDEX('CA Standards and Followers'!$2:$2,MATCH(E$1,'CA Standards and Followers'!$1:$1,0)),0))</f>
        <v>0</v>
      </c>
      <c r="F57">
        <f>IF(AND(INDEX('CA Standards and Followers'!$E$14:$E$73,MATCH($A57,'CA Standards and Followers'!$A$14:$A$73,0))=1,INDEX('CA Standards and Followers'!$H$14:$H$73,MATCH($A57,'CA Standards and Followers'!$A$14:$A$73,0))&lt;=F$1),INDEX('CA Standards and Followers'!$3:$3,MATCH(F$1,'CA Standards and Followers'!$1:$1,0)),IF(AND(INDEX('CA Standards and Followers'!$D$14:$D$73,MATCH($A57,'CA Standards and Followers'!$A$14:$A$73,0))=1,INDEX('CA Standards and Followers'!$G$14:$G$73,MATCH($A57,'CA Standards and Followers'!$A$14:$A$73,0))&lt;=F$1),INDEX('CA Standards and Followers'!$2:$2,MATCH(F$1,'CA Standards and Followers'!$1:$1,0)),0))</f>
        <v>0</v>
      </c>
      <c r="G57">
        <f>IF(AND(INDEX('CA Standards and Followers'!$E$14:$E$73,MATCH($A57,'CA Standards and Followers'!$A$14:$A$73,0))=1,INDEX('CA Standards and Followers'!$H$14:$H$73,MATCH($A57,'CA Standards and Followers'!$A$14:$A$73,0))&lt;=G$1),INDEX('CA Standards and Followers'!$3:$3,MATCH(G$1,'CA Standards and Followers'!$1:$1,0)),IF(AND(INDEX('CA Standards and Followers'!$D$14:$D$73,MATCH($A57,'CA Standards and Followers'!$A$14:$A$73,0))=1,INDEX('CA Standards and Followers'!$G$14:$G$73,MATCH($A57,'CA Standards and Followers'!$A$14:$A$73,0))&lt;=G$1),INDEX('CA Standards and Followers'!$2:$2,MATCH(G$1,'CA Standards and Followers'!$1:$1,0)),0))</f>
        <v>0</v>
      </c>
      <c r="H57">
        <f>IF(AND(INDEX('CA Standards and Followers'!$E$14:$E$73,MATCH($A57,'CA Standards and Followers'!$A$14:$A$73,0))=1,INDEX('CA Standards and Followers'!$H$14:$H$73,MATCH($A57,'CA Standards and Followers'!$A$14:$A$73,0))&lt;=H$1),INDEX('CA Standards and Followers'!$3:$3,MATCH(H$1,'CA Standards and Followers'!$1:$1,0)),IF(AND(INDEX('CA Standards and Followers'!$D$14:$D$73,MATCH($A57,'CA Standards and Followers'!$A$14:$A$73,0))=1,INDEX('CA Standards and Followers'!$G$14:$G$73,MATCH($A57,'CA Standards and Followers'!$A$14:$A$73,0))&lt;=H$1),INDEX('CA Standards and Followers'!$2:$2,MATCH(H$1,'CA Standards and Followers'!$1:$1,0)),0))</f>
        <v>0</v>
      </c>
      <c r="I57">
        <f>IF(AND(INDEX('CA Standards and Followers'!$E$14:$E$73,MATCH($A57,'CA Standards and Followers'!$A$14:$A$73,0))=1,INDEX('CA Standards and Followers'!$H$14:$H$73,MATCH($A57,'CA Standards and Followers'!$A$14:$A$73,0))&lt;=I$1),INDEX('CA Standards and Followers'!$3:$3,MATCH(I$1,'CA Standards and Followers'!$1:$1,0)),IF(AND(INDEX('CA Standards and Followers'!$D$14:$D$73,MATCH($A57,'CA Standards and Followers'!$A$14:$A$73,0))=1,INDEX('CA Standards and Followers'!$G$14:$G$73,MATCH($A57,'CA Standards and Followers'!$A$14:$A$73,0))&lt;=I$1),INDEX('CA Standards and Followers'!$2:$2,MATCH(I$1,'CA Standards and Followers'!$1:$1,0)),0))</f>
        <v>0</v>
      </c>
      <c r="J57">
        <f>IF(AND(INDEX('CA Standards and Followers'!$E$14:$E$73,MATCH($A57,'CA Standards and Followers'!$A$14:$A$73,0))=1,INDEX('CA Standards and Followers'!$H$14:$H$73,MATCH($A57,'CA Standards and Followers'!$A$14:$A$73,0))&lt;=J$1),INDEX('CA Standards and Followers'!$3:$3,MATCH(J$1,'CA Standards and Followers'!$1:$1,0)),IF(AND(INDEX('CA Standards and Followers'!$D$14:$D$73,MATCH($A57,'CA Standards and Followers'!$A$14:$A$73,0))=1,INDEX('CA Standards and Followers'!$G$14:$G$73,MATCH($A57,'CA Standards and Followers'!$A$14:$A$73,0))&lt;=J$1),INDEX('CA Standards and Followers'!$2:$2,MATCH(J$1,'CA Standards and Followers'!$1:$1,0)),0))</f>
        <v>0</v>
      </c>
      <c r="K57">
        <f>IF(AND(INDEX('CA Standards and Followers'!$E$14:$E$73,MATCH($A57,'CA Standards and Followers'!$A$14:$A$73,0))=1,INDEX('CA Standards and Followers'!$H$14:$H$73,MATCH($A57,'CA Standards and Followers'!$A$14:$A$73,0))&lt;=K$1),INDEX('CA Standards and Followers'!$3:$3,MATCH(K$1,'CA Standards and Followers'!$1:$1,0)),IF(AND(INDEX('CA Standards and Followers'!$D$14:$D$73,MATCH($A57,'CA Standards and Followers'!$A$14:$A$73,0))=1,INDEX('CA Standards and Followers'!$G$14:$G$73,MATCH($A57,'CA Standards and Followers'!$A$14:$A$73,0))&lt;=K$1),INDEX('CA Standards and Followers'!$2:$2,MATCH(K$1,'CA Standards and Followers'!$1:$1,0)),0))</f>
        <v>0</v>
      </c>
      <c r="L57">
        <f>IF(AND(INDEX('CA Standards and Followers'!$E$14:$E$73,MATCH($A57,'CA Standards and Followers'!$A$14:$A$73,0))=1,INDEX('CA Standards and Followers'!$H$14:$H$73,MATCH($A57,'CA Standards and Followers'!$A$14:$A$73,0))&lt;=L$1),INDEX('CA Standards and Followers'!$3:$3,MATCH(L$1,'CA Standards and Followers'!$1:$1,0)),IF(AND(INDEX('CA Standards and Followers'!$D$14:$D$73,MATCH($A57,'CA Standards and Followers'!$A$14:$A$73,0))=1,INDEX('CA Standards and Followers'!$G$14:$G$73,MATCH($A57,'CA Standards and Followers'!$A$14:$A$73,0))&lt;=L$1),INDEX('CA Standards and Followers'!$2:$2,MATCH(L$1,'CA Standards and Followers'!$1:$1,0)),0))</f>
        <v>0</v>
      </c>
      <c r="M57">
        <f>IF(AND(INDEX('CA Standards and Followers'!$E$14:$E$73,MATCH($A57,'CA Standards and Followers'!$A$14:$A$73,0))=1,INDEX('CA Standards and Followers'!$H$14:$H$73,MATCH($A57,'CA Standards and Followers'!$A$14:$A$73,0))&lt;=M$1),INDEX('CA Standards and Followers'!$3:$3,MATCH(M$1,'CA Standards and Followers'!$1:$1,0)),IF(AND(INDEX('CA Standards and Followers'!$D$14:$D$73,MATCH($A57,'CA Standards and Followers'!$A$14:$A$73,0))=1,INDEX('CA Standards and Followers'!$G$14:$G$73,MATCH($A57,'CA Standards and Followers'!$A$14:$A$73,0))&lt;=M$1),INDEX('CA Standards and Followers'!$2:$2,MATCH(M$1,'CA Standards and Followers'!$1:$1,0)),0))</f>
        <v>0</v>
      </c>
      <c r="N57">
        <f>IF(AND(INDEX('CA Standards and Followers'!$E$14:$E$73,MATCH($A57,'CA Standards and Followers'!$A$14:$A$73,0))=1,INDEX('CA Standards and Followers'!$H$14:$H$73,MATCH($A57,'CA Standards and Followers'!$A$14:$A$73,0))&lt;=N$1),INDEX('CA Standards and Followers'!$3:$3,MATCH(N$1,'CA Standards and Followers'!$1:$1,0)),IF(AND(INDEX('CA Standards and Followers'!$D$14:$D$73,MATCH($A57,'CA Standards and Followers'!$A$14:$A$73,0))=1,INDEX('CA Standards and Followers'!$G$14:$G$73,MATCH($A57,'CA Standards and Followers'!$A$14:$A$73,0))&lt;=N$1),INDEX('CA Standards and Followers'!$2:$2,MATCH(N$1,'CA Standards and Followers'!$1:$1,0)),0))</f>
        <v>0</v>
      </c>
      <c r="O57">
        <f>IF(AND(INDEX('CA Standards and Followers'!$E$14:$E$73,MATCH($A57,'CA Standards and Followers'!$A$14:$A$73,0))=1,INDEX('CA Standards and Followers'!$H$14:$H$73,MATCH($A57,'CA Standards and Followers'!$A$14:$A$73,0))&lt;=O$1),INDEX('CA Standards and Followers'!$3:$3,MATCH(O$1,'CA Standards and Followers'!$1:$1,0)),IF(AND(INDEX('CA Standards and Followers'!$D$14:$D$73,MATCH($A57,'CA Standards and Followers'!$A$14:$A$73,0))=1,INDEX('CA Standards and Followers'!$G$14:$G$73,MATCH($A57,'CA Standards and Followers'!$A$14:$A$73,0))&lt;=O$1),INDEX('CA Standards and Followers'!$2:$2,MATCH(O$1,'CA Standards and Followers'!$1:$1,0)),0))</f>
        <v>0</v>
      </c>
      <c r="P57">
        <f>IF(AND(INDEX('CA Standards and Followers'!$E$14:$E$73,MATCH($A57,'CA Standards and Followers'!$A$14:$A$73,0))=1,INDEX('CA Standards and Followers'!$H$14:$H$73,MATCH($A57,'CA Standards and Followers'!$A$14:$A$73,0))&lt;=P$1),INDEX('CA Standards and Followers'!$3:$3,MATCH(P$1,'CA Standards and Followers'!$1:$1,0)),IF(AND(INDEX('CA Standards and Followers'!$D$14:$D$73,MATCH($A57,'CA Standards and Followers'!$A$14:$A$73,0))=1,INDEX('CA Standards and Followers'!$G$14:$G$73,MATCH($A57,'CA Standards and Followers'!$A$14:$A$73,0))&lt;=P$1),INDEX('CA Standards and Followers'!$2:$2,MATCH(P$1,'CA Standards and Followers'!$1:$1,0)),0))</f>
        <v>0</v>
      </c>
      <c r="Q57">
        <f>IF(AND(INDEX('CA Standards and Followers'!$E$14:$E$73,MATCH($A57,'CA Standards and Followers'!$A$14:$A$73,0))=1,INDEX('CA Standards and Followers'!$H$14:$H$73,MATCH($A57,'CA Standards and Followers'!$A$14:$A$73,0))&lt;=Q$1),INDEX('CA Standards and Followers'!$3:$3,MATCH(Q$1,'CA Standards and Followers'!$1:$1,0)),IF(AND(INDEX('CA Standards and Followers'!$D$14:$D$73,MATCH($A57,'CA Standards and Followers'!$A$14:$A$73,0))=1,INDEX('CA Standards and Followers'!$G$14:$G$73,MATCH($A57,'CA Standards and Followers'!$A$14:$A$73,0))&lt;=Q$1),INDEX('CA Standards and Followers'!$2:$2,MATCH(Q$1,'CA Standards and Followers'!$1:$1,0)),0))</f>
        <v>0</v>
      </c>
      <c r="R57">
        <f>IF(AND(INDEX('CA Standards and Followers'!$E$14:$E$73,MATCH($A57,'CA Standards and Followers'!$A$14:$A$73,0))=1,INDEX('CA Standards and Followers'!$H$14:$H$73,MATCH($A57,'CA Standards and Followers'!$A$14:$A$73,0))&lt;=R$1),INDEX('CA Standards and Followers'!$3:$3,MATCH(R$1,'CA Standards and Followers'!$1:$1,0)),IF(AND(INDEX('CA Standards and Followers'!$D$14:$D$73,MATCH($A57,'CA Standards and Followers'!$A$14:$A$73,0))=1,INDEX('CA Standards and Followers'!$G$14:$G$73,MATCH($A57,'CA Standards and Followers'!$A$14:$A$73,0))&lt;=R$1),INDEX('CA Standards and Followers'!$2:$2,MATCH(R$1,'CA Standards and Followers'!$1:$1,0)),0))</f>
        <v>0</v>
      </c>
      <c r="S57">
        <f>IF(AND(INDEX('CA Standards and Followers'!$E$14:$E$73,MATCH($A57,'CA Standards and Followers'!$A$14:$A$73,0))=1,INDEX('CA Standards and Followers'!$H$14:$H$73,MATCH($A57,'CA Standards and Followers'!$A$14:$A$73,0))&lt;=S$1),INDEX('CA Standards and Followers'!$3:$3,MATCH(S$1,'CA Standards and Followers'!$1:$1,0)),IF(AND(INDEX('CA Standards and Followers'!$D$14:$D$73,MATCH($A57,'CA Standards and Followers'!$A$14:$A$73,0))=1,INDEX('CA Standards and Followers'!$G$14:$G$73,MATCH($A57,'CA Standards and Followers'!$A$14:$A$73,0))&lt;=S$1),INDEX('CA Standards and Followers'!$2:$2,MATCH(S$1,'CA Standards and Followers'!$1:$1,0)),0))</f>
        <v>0</v>
      </c>
      <c r="T57">
        <f>IF(AND(INDEX('CA Standards and Followers'!$E$14:$E$73,MATCH($A57,'CA Standards and Followers'!$A$14:$A$73,0))=1,INDEX('CA Standards and Followers'!$H$14:$H$73,MATCH($A57,'CA Standards and Followers'!$A$14:$A$73,0))&lt;=T$1),INDEX('CA Standards and Followers'!$3:$3,MATCH(T$1,'CA Standards and Followers'!$1:$1,0)),IF(AND(INDEX('CA Standards and Followers'!$D$14:$D$73,MATCH($A57,'CA Standards and Followers'!$A$14:$A$73,0))=1,INDEX('CA Standards and Followers'!$G$14:$G$73,MATCH($A57,'CA Standards and Followers'!$A$14:$A$73,0))&lt;=T$1),INDEX('CA Standards and Followers'!$2:$2,MATCH(T$1,'CA Standards and Followers'!$1:$1,0)),0))</f>
        <v>0</v>
      </c>
      <c r="U57">
        <f>IF(AND(INDEX('CA Standards and Followers'!$E$14:$E$73,MATCH($A57,'CA Standards and Followers'!$A$14:$A$73,0))=1,INDEX('CA Standards and Followers'!$H$14:$H$73,MATCH($A57,'CA Standards and Followers'!$A$14:$A$73,0))&lt;=U$1),INDEX('CA Standards and Followers'!$3:$3,MATCH(U$1,'CA Standards and Followers'!$1:$1,0)),IF(AND(INDEX('CA Standards and Followers'!$D$14:$D$73,MATCH($A57,'CA Standards and Followers'!$A$14:$A$73,0))=1,INDEX('CA Standards and Followers'!$G$14:$G$73,MATCH($A57,'CA Standards and Followers'!$A$14:$A$73,0))&lt;=U$1),INDEX('CA Standards and Followers'!$2:$2,MATCH(U$1,'CA Standards and Followers'!$1:$1,0)),0))</f>
        <v>0</v>
      </c>
      <c r="V57">
        <f>IF(AND(INDEX('CA Standards and Followers'!$E$14:$E$73,MATCH($A57,'CA Standards and Followers'!$A$14:$A$73,0))=1,INDEX('CA Standards and Followers'!$H$14:$H$73,MATCH($A57,'CA Standards and Followers'!$A$14:$A$73,0))&lt;=V$1),INDEX('CA Standards and Followers'!$3:$3,MATCH(V$1,'CA Standards and Followers'!$1:$1,0)),IF(AND(INDEX('CA Standards and Followers'!$D$14:$D$73,MATCH($A57,'CA Standards and Followers'!$A$14:$A$73,0))=1,INDEX('CA Standards and Followers'!$G$14:$G$73,MATCH($A57,'CA Standards and Followers'!$A$14:$A$73,0))&lt;=V$1),INDEX('CA Standards and Followers'!$2:$2,MATCH(V$1,'CA Standards and Followers'!$1:$1,0)),0))</f>
        <v>0</v>
      </c>
      <c r="W57">
        <f>IF(AND(INDEX('CA Standards and Followers'!$E$14:$E$73,MATCH($A57,'CA Standards and Followers'!$A$14:$A$73,0))=1,INDEX('CA Standards and Followers'!$H$14:$H$73,MATCH($A57,'CA Standards and Followers'!$A$14:$A$73,0))&lt;=W$1),INDEX('CA Standards and Followers'!$3:$3,MATCH(W$1,'CA Standards and Followers'!$1:$1,0)),IF(AND(INDEX('CA Standards and Followers'!$D$14:$D$73,MATCH($A57,'CA Standards and Followers'!$A$14:$A$73,0))=1,INDEX('CA Standards and Followers'!$G$14:$G$73,MATCH($A57,'CA Standards and Followers'!$A$14:$A$73,0))&lt;=W$1),INDEX('CA Standards and Followers'!$2:$2,MATCH(W$1,'CA Standards and Followers'!$1:$1,0)),0))</f>
        <v>0</v>
      </c>
      <c r="X57">
        <f>IF(AND(INDEX('CA Standards and Followers'!$E$14:$E$73,MATCH($A57,'CA Standards and Followers'!$A$14:$A$73,0))=1,INDEX('CA Standards and Followers'!$H$14:$H$73,MATCH($A57,'CA Standards and Followers'!$A$14:$A$73,0))&lt;=X$1),INDEX('CA Standards and Followers'!$3:$3,MATCH(X$1,'CA Standards and Followers'!$1:$1,0)),IF(AND(INDEX('CA Standards and Followers'!$D$14:$D$73,MATCH($A57,'CA Standards and Followers'!$A$14:$A$73,0))=1,INDEX('CA Standards and Followers'!$G$14:$G$73,MATCH($A57,'CA Standards and Followers'!$A$14:$A$73,0))&lt;=X$1),INDEX('CA Standards and Followers'!$2:$2,MATCH(X$1,'CA Standards and Followers'!$1:$1,0)),0))</f>
        <v>0</v>
      </c>
      <c r="Y57">
        <f>IF(AND(INDEX('CA Standards and Followers'!$E$14:$E$73,MATCH($A57,'CA Standards and Followers'!$A$14:$A$73,0))=1,INDEX('CA Standards and Followers'!$H$14:$H$73,MATCH($A57,'CA Standards and Followers'!$A$14:$A$73,0))&lt;=Y$1),INDEX('CA Standards and Followers'!$3:$3,MATCH(Y$1,'CA Standards and Followers'!$1:$1,0)),IF(AND(INDEX('CA Standards and Followers'!$D$14:$D$73,MATCH($A57,'CA Standards and Followers'!$A$14:$A$73,0))=1,INDEX('CA Standards and Followers'!$G$14:$G$73,MATCH($A57,'CA Standards and Followers'!$A$14:$A$73,0))&lt;=Y$1),INDEX('CA Standards and Followers'!$2:$2,MATCH(Y$1,'CA Standards and Followers'!$1:$1,0)),0))</f>
        <v>0</v>
      </c>
      <c r="Z57">
        <f>IF(AND(INDEX('CA Standards and Followers'!$E$14:$E$73,MATCH($A57,'CA Standards and Followers'!$A$14:$A$73,0))=1,INDEX('CA Standards and Followers'!$H$14:$H$73,MATCH($A57,'CA Standards and Followers'!$A$14:$A$73,0))&lt;=Z$1),INDEX('CA Standards and Followers'!$3:$3,MATCH(Z$1,'CA Standards and Followers'!$1:$1,0)),IF(AND(INDEX('CA Standards and Followers'!$D$14:$D$73,MATCH($A57,'CA Standards and Followers'!$A$14:$A$73,0))=1,INDEX('CA Standards and Followers'!$G$14:$G$73,MATCH($A57,'CA Standards and Followers'!$A$14:$A$73,0))&lt;=Z$1),INDEX('CA Standards and Followers'!$2:$2,MATCH(Z$1,'CA Standards and Followers'!$1:$1,0)),0))</f>
        <v>0</v>
      </c>
      <c r="AA57">
        <f>IF(AND(INDEX('CA Standards and Followers'!$E$14:$E$73,MATCH($A57,'CA Standards and Followers'!$A$14:$A$73,0))=1,INDEX('CA Standards and Followers'!$H$14:$H$73,MATCH($A57,'CA Standards and Followers'!$A$14:$A$73,0))&lt;=AA$1),INDEX('CA Standards and Followers'!$3:$3,MATCH(AA$1,'CA Standards and Followers'!$1:$1,0)),IF(AND(INDEX('CA Standards and Followers'!$D$14:$D$73,MATCH($A57,'CA Standards and Followers'!$A$14:$A$73,0))=1,INDEX('CA Standards and Followers'!$G$14:$G$73,MATCH($A57,'CA Standards and Followers'!$A$14:$A$73,0))&lt;=AA$1),INDEX('CA Standards and Followers'!$2:$2,MATCH(AA$1,'CA Standards and Followers'!$1:$1,0)),0))</f>
        <v>0</v>
      </c>
      <c r="AB57">
        <f>IF(AND(INDEX('CA Standards and Followers'!$E$14:$E$73,MATCH($A57,'CA Standards and Followers'!$A$14:$A$73,0))=1,INDEX('CA Standards and Followers'!$H$14:$H$73,MATCH($A57,'CA Standards and Followers'!$A$14:$A$73,0))&lt;=AB$1),INDEX('CA Standards and Followers'!$3:$3,MATCH(AB$1,'CA Standards and Followers'!$1:$1,0)),IF(AND(INDEX('CA Standards and Followers'!$D$14:$D$73,MATCH($A57,'CA Standards and Followers'!$A$14:$A$73,0))=1,INDEX('CA Standards and Followers'!$G$14:$G$73,MATCH($A57,'CA Standards and Followers'!$A$14:$A$73,0))&lt;=AB$1),INDEX('CA Standards and Followers'!$2:$2,MATCH(AB$1,'CA Standards and Followers'!$1:$1,0)),0))</f>
        <v>0</v>
      </c>
      <c r="AC57">
        <f>IF(AND(INDEX('CA Standards and Followers'!$E$14:$E$73,MATCH($A57,'CA Standards and Followers'!$A$14:$A$73,0))=1,INDEX('CA Standards and Followers'!$H$14:$H$73,MATCH($A57,'CA Standards and Followers'!$A$14:$A$73,0))&lt;=AC$1),INDEX('CA Standards and Followers'!$3:$3,MATCH(AC$1,'CA Standards and Followers'!$1:$1,0)),IF(AND(INDEX('CA Standards and Followers'!$D$14:$D$73,MATCH($A57,'CA Standards and Followers'!$A$14:$A$73,0))=1,INDEX('CA Standards and Followers'!$G$14:$G$73,MATCH($A57,'CA Standards and Followers'!$A$14:$A$73,0))&lt;=AC$1),INDEX('CA Standards and Followers'!$2:$2,MATCH(AC$1,'CA Standards and Followers'!$1:$1,0)),0))</f>
        <v>0</v>
      </c>
      <c r="AD57">
        <f>IF(AND(INDEX('CA Standards and Followers'!$E$14:$E$73,MATCH($A57,'CA Standards and Followers'!$A$14:$A$73,0))=1,INDEX('CA Standards and Followers'!$H$14:$H$73,MATCH($A57,'CA Standards and Followers'!$A$14:$A$73,0))&lt;=AD$1),INDEX('CA Standards and Followers'!$3:$3,MATCH(AD$1,'CA Standards and Followers'!$1:$1,0)),IF(AND(INDEX('CA Standards and Followers'!$D$14:$D$73,MATCH($A57,'CA Standards and Followers'!$A$14:$A$73,0))=1,INDEX('CA Standards and Followers'!$G$14:$G$73,MATCH($A57,'CA Standards and Followers'!$A$14:$A$73,0))&lt;=AD$1),INDEX('CA Standards and Followers'!$2:$2,MATCH(AD$1,'CA Standards and Followers'!$1:$1,0)),0))</f>
        <v>0</v>
      </c>
      <c r="AE57">
        <f>IF(AND(INDEX('CA Standards and Followers'!$E$14:$E$73,MATCH($A57,'CA Standards and Followers'!$A$14:$A$73,0))=1,INDEX('CA Standards and Followers'!$H$14:$H$73,MATCH($A57,'CA Standards and Followers'!$A$14:$A$73,0))&lt;=AE$1),INDEX('CA Standards and Followers'!$3:$3,MATCH(AE$1,'CA Standards and Followers'!$1:$1,0)),IF(AND(INDEX('CA Standards and Followers'!$D$14:$D$73,MATCH($A57,'CA Standards and Followers'!$A$14:$A$73,0))=1,INDEX('CA Standards and Followers'!$G$14:$G$73,MATCH($A57,'CA Standards and Followers'!$A$14:$A$73,0))&lt;=AE$1),INDEX('CA Standards and Followers'!$2:$2,MATCH(AE$1,'CA Standards and Followers'!$1:$1,0)),0))</f>
        <v>0</v>
      </c>
      <c r="AF57">
        <f>IF(AND(INDEX('CA Standards and Followers'!$E$14:$E$73,MATCH($A57,'CA Standards and Followers'!$A$14:$A$73,0))=1,INDEX('CA Standards and Followers'!$H$14:$H$73,MATCH($A57,'CA Standards and Followers'!$A$14:$A$73,0))&lt;=AF$1),INDEX('CA Standards and Followers'!$3:$3,MATCH(AF$1,'CA Standards and Followers'!$1:$1,0)),IF(AND(INDEX('CA Standards and Followers'!$D$14:$D$73,MATCH($A57,'CA Standards and Followers'!$A$14:$A$73,0))=1,INDEX('CA Standards and Followers'!$G$14:$G$73,MATCH($A57,'CA Standards and Followers'!$A$14:$A$73,0))&lt;=AF$1),INDEX('CA Standards and Followers'!$2:$2,MATCH(AF$1,'CA Standards and Followers'!$1:$1,0)),0))</f>
        <v>0</v>
      </c>
    </row>
    <row r="58" spans="1:32" x14ac:dyDescent="0.25">
      <c r="A58" t="s">
        <v>58</v>
      </c>
      <c r="B58">
        <f>IF(AND(INDEX('CA Standards and Followers'!$E$14:$E$73,MATCH($A58,'CA Standards and Followers'!$A$14:$A$73,0))=1,INDEX('CA Standards and Followers'!$H$14:$H$73,MATCH($A58,'CA Standards and Followers'!$A$14:$A$73,0))&lt;=B$1),INDEX('CA Standards and Followers'!$3:$3,MATCH(B$1,'CA Standards and Followers'!$1:$1,0)),IF(AND(INDEX('CA Standards and Followers'!$D$14:$D$73,MATCH($A58,'CA Standards and Followers'!$A$14:$A$73,0))=1,INDEX('CA Standards and Followers'!$G$14:$G$73,MATCH($A58,'CA Standards and Followers'!$A$14:$A$73,0))&lt;=B$1),INDEX('CA Standards and Followers'!$2:$2,MATCH(B$1,'CA Standards and Followers'!$1:$1,0)),0))</f>
        <v>0</v>
      </c>
      <c r="C58">
        <f>IF(AND(INDEX('CA Standards and Followers'!$E$14:$E$73,MATCH($A58,'CA Standards and Followers'!$A$14:$A$73,0))=1,INDEX('CA Standards and Followers'!$H$14:$H$73,MATCH($A58,'CA Standards and Followers'!$A$14:$A$73,0))&lt;=C$1),INDEX('CA Standards and Followers'!$3:$3,MATCH(C$1,'CA Standards and Followers'!$1:$1,0)),IF(AND(INDEX('CA Standards and Followers'!$D$14:$D$73,MATCH($A58,'CA Standards and Followers'!$A$14:$A$73,0))=1,INDEX('CA Standards and Followers'!$G$14:$G$73,MATCH($A58,'CA Standards and Followers'!$A$14:$A$73,0))&lt;=C$1),INDEX('CA Standards and Followers'!$2:$2,MATCH(C$1,'CA Standards and Followers'!$1:$1,0)),0))</f>
        <v>0</v>
      </c>
      <c r="D58">
        <f>IF(AND(INDEX('CA Standards and Followers'!$E$14:$E$73,MATCH($A58,'CA Standards and Followers'!$A$14:$A$73,0))=1,INDEX('CA Standards and Followers'!$H$14:$H$73,MATCH($A58,'CA Standards and Followers'!$A$14:$A$73,0))&lt;=D$1),INDEX('CA Standards and Followers'!$3:$3,MATCH(D$1,'CA Standards and Followers'!$1:$1,0)),IF(AND(INDEX('CA Standards and Followers'!$D$14:$D$73,MATCH($A58,'CA Standards and Followers'!$A$14:$A$73,0))=1,INDEX('CA Standards and Followers'!$G$14:$G$73,MATCH($A58,'CA Standards and Followers'!$A$14:$A$73,0))&lt;=D$1),INDEX('CA Standards and Followers'!$2:$2,MATCH(D$1,'CA Standards and Followers'!$1:$1,0)),0))</f>
        <v>0</v>
      </c>
      <c r="E58">
        <f>IF(AND(INDEX('CA Standards and Followers'!$E$14:$E$73,MATCH($A58,'CA Standards and Followers'!$A$14:$A$73,0))=1,INDEX('CA Standards and Followers'!$H$14:$H$73,MATCH($A58,'CA Standards and Followers'!$A$14:$A$73,0))&lt;=E$1),INDEX('CA Standards and Followers'!$3:$3,MATCH(E$1,'CA Standards and Followers'!$1:$1,0)),IF(AND(INDEX('CA Standards and Followers'!$D$14:$D$73,MATCH($A58,'CA Standards and Followers'!$A$14:$A$73,0))=1,INDEX('CA Standards and Followers'!$G$14:$G$73,MATCH($A58,'CA Standards and Followers'!$A$14:$A$73,0))&lt;=E$1),INDEX('CA Standards and Followers'!$2:$2,MATCH(E$1,'CA Standards and Followers'!$1:$1,0)),0))</f>
        <v>0</v>
      </c>
      <c r="F58">
        <f>IF(AND(INDEX('CA Standards and Followers'!$E$14:$E$73,MATCH($A58,'CA Standards and Followers'!$A$14:$A$73,0))=1,INDEX('CA Standards and Followers'!$H$14:$H$73,MATCH($A58,'CA Standards and Followers'!$A$14:$A$73,0))&lt;=F$1),INDEX('CA Standards and Followers'!$3:$3,MATCH(F$1,'CA Standards and Followers'!$1:$1,0)),IF(AND(INDEX('CA Standards and Followers'!$D$14:$D$73,MATCH($A58,'CA Standards and Followers'!$A$14:$A$73,0))=1,INDEX('CA Standards and Followers'!$G$14:$G$73,MATCH($A58,'CA Standards and Followers'!$A$14:$A$73,0))&lt;=F$1),INDEX('CA Standards and Followers'!$2:$2,MATCH(F$1,'CA Standards and Followers'!$1:$1,0)),0))</f>
        <v>0</v>
      </c>
      <c r="G58">
        <f>IF(AND(INDEX('CA Standards and Followers'!$E$14:$E$73,MATCH($A58,'CA Standards and Followers'!$A$14:$A$73,0))=1,INDEX('CA Standards and Followers'!$H$14:$H$73,MATCH($A58,'CA Standards and Followers'!$A$14:$A$73,0))&lt;=G$1),INDEX('CA Standards and Followers'!$3:$3,MATCH(G$1,'CA Standards and Followers'!$1:$1,0)),IF(AND(INDEX('CA Standards and Followers'!$D$14:$D$73,MATCH($A58,'CA Standards and Followers'!$A$14:$A$73,0))=1,INDEX('CA Standards and Followers'!$G$14:$G$73,MATCH($A58,'CA Standards and Followers'!$A$14:$A$73,0))&lt;=G$1),INDEX('CA Standards and Followers'!$2:$2,MATCH(G$1,'CA Standards and Followers'!$1:$1,0)),0))</f>
        <v>0</v>
      </c>
      <c r="H58">
        <f>IF(AND(INDEX('CA Standards and Followers'!$E$14:$E$73,MATCH($A58,'CA Standards and Followers'!$A$14:$A$73,0))=1,INDEX('CA Standards and Followers'!$H$14:$H$73,MATCH($A58,'CA Standards and Followers'!$A$14:$A$73,0))&lt;=H$1),INDEX('CA Standards and Followers'!$3:$3,MATCH(H$1,'CA Standards and Followers'!$1:$1,0)),IF(AND(INDEX('CA Standards and Followers'!$D$14:$D$73,MATCH($A58,'CA Standards and Followers'!$A$14:$A$73,0))=1,INDEX('CA Standards and Followers'!$G$14:$G$73,MATCH($A58,'CA Standards and Followers'!$A$14:$A$73,0))&lt;=H$1),INDEX('CA Standards and Followers'!$2:$2,MATCH(H$1,'CA Standards and Followers'!$1:$1,0)),0))</f>
        <v>0</v>
      </c>
      <c r="I58">
        <f>IF(AND(INDEX('CA Standards and Followers'!$E$14:$E$73,MATCH($A58,'CA Standards and Followers'!$A$14:$A$73,0))=1,INDEX('CA Standards and Followers'!$H$14:$H$73,MATCH($A58,'CA Standards and Followers'!$A$14:$A$73,0))&lt;=I$1),INDEX('CA Standards and Followers'!$3:$3,MATCH(I$1,'CA Standards and Followers'!$1:$1,0)),IF(AND(INDEX('CA Standards and Followers'!$D$14:$D$73,MATCH($A58,'CA Standards and Followers'!$A$14:$A$73,0))=1,INDEX('CA Standards and Followers'!$G$14:$G$73,MATCH($A58,'CA Standards and Followers'!$A$14:$A$73,0))&lt;=I$1),INDEX('CA Standards and Followers'!$2:$2,MATCH(I$1,'CA Standards and Followers'!$1:$1,0)),0))</f>
        <v>0</v>
      </c>
      <c r="J58">
        <f>IF(AND(INDEX('CA Standards and Followers'!$E$14:$E$73,MATCH($A58,'CA Standards and Followers'!$A$14:$A$73,0))=1,INDEX('CA Standards and Followers'!$H$14:$H$73,MATCH($A58,'CA Standards and Followers'!$A$14:$A$73,0))&lt;=J$1),INDEX('CA Standards and Followers'!$3:$3,MATCH(J$1,'CA Standards and Followers'!$1:$1,0)),IF(AND(INDEX('CA Standards and Followers'!$D$14:$D$73,MATCH($A58,'CA Standards and Followers'!$A$14:$A$73,0))=1,INDEX('CA Standards and Followers'!$G$14:$G$73,MATCH($A58,'CA Standards and Followers'!$A$14:$A$73,0))&lt;=J$1),INDEX('CA Standards and Followers'!$2:$2,MATCH(J$1,'CA Standards and Followers'!$1:$1,0)),0))</f>
        <v>0</v>
      </c>
      <c r="K58">
        <f>IF(AND(INDEX('CA Standards and Followers'!$E$14:$E$73,MATCH($A58,'CA Standards and Followers'!$A$14:$A$73,0))=1,INDEX('CA Standards and Followers'!$H$14:$H$73,MATCH($A58,'CA Standards and Followers'!$A$14:$A$73,0))&lt;=K$1),INDEX('CA Standards and Followers'!$3:$3,MATCH(K$1,'CA Standards and Followers'!$1:$1,0)),IF(AND(INDEX('CA Standards and Followers'!$D$14:$D$73,MATCH($A58,'CA Standards and Followers'!$A$14:$A$73,0))=1,INDEX('CA Standards and Followers'!$G$14:$G$73,MATCH($A58,'CA Standards and Followers'!$A$14:$A$73,0))&lt;=K$1),INDEX('CA Standards and Followers'!$2:$2,MATCH(K$1,'CA Standards and Followers'!$1:$1,0)),0))</f>
        <v>0</v>
      </c>
      <c r="L58">
        <f>IF(AND(INDEX('CA Standards and Followers'!$E$14:$E$73,MATCH($A58,'CA Standards and Followers'!$A$14:$A$73,0))=1,INDEX('CA Standards and Followers'!$H$14:$H$73,MATCH($A58,'CA Standards and Followers'!$A$14:$A$73,0))&lt;=L$1),INDEX('CA Standards and Followers'!$3:$3,MATCH(L$1,'CA Standards and Followers'!$1:$1,0)),IF(AND(INDEX('CA Standards and Followers'!$D$14:$D$73,MATCH($A58,'CA Standards and Followers'!$A$14:$A$73,0))=1,INDEX('CA Standards and Followers'!$G$14:$G$73,MATCH($A58,'CA Standards and Followers'!$A$14:$A$73,0))&lt;=L$1),INDEX('CA Standards and Followers'!$2:$2,MATCH(L$1,'CA Standards and Followers'!$1:$1,0)),0))</f>
        <v>0</v>
      </c>
      <c r="M58">
        <f>IF(AND(INDEX('CA Standards and Followers'!$E$14:$E$73,MATCH($A58,'CA Standards and Followers'!$A$14:$A$73,0))=1,INDEX('CA Standards and Followers'!$H$14:$H$73,MATCH($A58,'CA Standards and Followers'!$A$14:$A$73,0))&lt;=M$1),INDEX('CA Standards and Followers'!$3:$3,MATCH(M$1,'CA Standards and Followers'!$1:$1,0)),IF(AND(INDEX('CA Standards and Followers'!$D$14:$D$73,MATCH($A58,'CA Standards and Followers'!$A$14:$A$73,0))=1,INDEX('CA Standards and Followers'!$G$14:$G$73,MATCH($A58,'CA Standards and Followers'!$A$14:$A$73,0))&lt;=M$1),INDEX('CA Standards and Followers'!$2:$2,MATCH(M$1,'CA Standards and Followers'!$1:$1,0)),0))</f>
        <v>0</v>
      </c>
      <c r="N58">
        <f>IF(AND(INDEX('CA Standards and Followers'!$E$14:$E$73,MATCH($A58,'CA Standards and Followers'!$A$14:$A$73,0))=1,INDEX('CA Standards and Followers'!$H$14:$H$73,MATCH($A58,'CA Standards and Followers'!$A$14:$A$73,0))&lt;=N$1),INDEX('CA Standards and Followers'!$3:$3,MATCH(N$1,'CA Standards and Followers'!$1:$1,0)),IF(AND(INDEX('CA Standards and Followers'!$D$14:$D$73,MATCH($A58,'CA Standards and Followers'!$A$14:$A$73,0))=1,INDEX('CA Standards and Followers'!$G$14:$G$73,MATCH($A58,'CA Standards and Followers'!$A$14:$A$73,0))&lt;=N$1),INDEX('CA Standards and Followers'!$2:$2,MATCH(N$1,'CA Standards and Followers'!$1:$1,0)),0))</f>
        <v>0</v>
      </c>
      <c r="O58">
        <f>IF(AND(INDEX('CA Standards and Followers'!$E$14:$E$73,MATCH($A58,'CA Standards and Followers'!$A$14:$A$73,0))=1,INDEX('CA Standards and Followers'!$H$14:$H$73,MATCH($A58,'CA Standards and Followers'!$A$14:$A$73,0))&lt;=O$1),INDEX('CA Standards and Followers'!$3:$3,MATCH(O$1,'CA Standards and Followers'!$1:$1,0)),IF(AND(INDEX('CA Standards and Followers'!$D$14:$D$73,MATCH($A58,'CA Standards and Followers'!$A$14:$A$73,0))=1,INDEX('CA Standards and Followers'!$G$14:$G$73,MATCH($A58,'CA Standards and Followers'!$A$14:$A$73,0))&lt;=O$1),INDEX('CA Standards and Followers'!$2:$2,MATCH(O$1,'CA Standards and Followers'!$1:$1,0)),0))</f>
        <v>0</v>
      </c>
      <c r="P58">
        <f>IF(AND(INDEX('CA Standards and Followers'!$E$14:$E$73,MATCH($A58,'CA Standards and Followers'!$A$14:$A$73,0))=1,INDEX('CA Standards and Followers'!$H$14:$H$73,MATCH($A58,'CA Standards and Followers'!$A$14:$A$73,0))&lt;=P$1),INDEX('CA Standards and Followers'!$3:$3,MATCH(P$1,'CA Standards and Followers'!$1:$1,0)),IF(AND(INDEX('CA Standards and Followers'!$D$14:$D$73,MATCH($A58,'CA Standards and Followers'!$A$14:$A$73,0))=1,INDEX('CA Standards and Followers'!$G$14:$G$73,MATCH($A58,'CA Standards and Followers'!$A$14:$A$73,0))&lt;=P$1),INDEX('CA Standards and Followers'!$2:$2,MATCH(P$1,'CA Standards and Followers'!$1:$1,0)),0))</f>
        <v>0</v>
      </c>
      <c r="Q58">
        <f>IF(AND(INDEX('CA Standards and Followers'!$E$14:$E$73,MATCH($A58,'CA Standards and Followers'!$A$14:$A$73,0))=1,INDEX('CA Standards and Followers'!$H$14:$H$73,MATCH($A58,'CA Standards and Followers'!$A$14:$A$73,0))&lt;=Q$1),INDEX('CA Standards and Followers'!$3:$3,MATCH(Q$1,'CA Standards and Followers'!$1:$1,0)),IF(AND(INDEX('CA Standards and Followers'!$D$14:$D$73,MATCH($A58,'CA Standards and Followers'!$A$14:$A$73,0))=1,INDEX('CA Standards and Followers'!$G$14:$G$73,MATCH($A58,'CA Standards and Followers'!$A$14:$A$73,0))&lt;=Q$1),INDEX('CA Standards and Followers'!$2:$2,MATCH(Q$1,'CA Standards and Followers'!$1:$1,0)),0))</f>
        <v>0</v>
      </c>
      <c r="R58">
        <f>IF(AND(INDEX('CA Standards and Followers'!$E$14:$E$73,MATCH($A58,'CA Standards and Followers'!$A$14:$A$73,0))=1,INDEX('CA Standards and Followers'!$H$14:$H$73,MATCH($A58,'CA Standards and Followers'!$A$14:$A$73,0))&lt;=R$1),INDEX('CA Standards and Followers'!$3:$3,MATCH(R$1,'CA Standards and Followers'!$1:$1,0)),IF(AND(INDEX('CA Standards and Followers'!$D$14:$D$73,MATCH($A58,'CA Standards and Followers'!$A$14:$A$73,0))=1,INDEX('CA Standards and Followers'!$G$14:$G$73,MATCH($A58,'CA Standards and Followers'!$A$14:$A$73,0))&lt;=R$1),INDEX('CA Standards and Followers'!$2:$2,MATCH(R$1,'CA Standards and Followers'!$1:$1,0)),0))</f>
        <v>0</v>
      </c>
      <c r="S58">
        <f>IF(AND(INDEX('CA Standards and Followers'!$E$14:$E$73,MATCH($A58,'CA Standards and Followers'!$A$14:$A$73,0))=1,INDEX('CA Standards and Followers'!$H$14:$H$73,MATCH($A58,'CA Standards and Followers'!$A$14:$A$73,0))&lt;=S$1),INDEX('CA Standards and Followers'!$3:$3,MATCH(S$1,'CA Standards and Followers'!$1:$1,0)),IF(AND(INDEX('CA Standards and Followers'!$D$14:$D$73,MATCH($A58,'CA Standards and Followers'!$A$14:$A$73,0))=1,INDEX('CA Standards and Followers'!$G$14:$G$73,MATCH($A58,'CA Standards and Followers'!$A$14:$A$73,0))&lt;=S$1),INDEX('CA Standards and Followers'!$2:$2,MATCH(S$1,'CA Standards and Followers'!$1:$1,0)),0))</f>
        <v>0</v>
      </c>
      <c r="T58">
        <f>IF(AND(INDEX('CA Standards and Followers'!$E$14:$E$73,MATCH($A58,'CA Standards and Followers'!$A$14:$A$73,0))=1,INDEX('CA Standards and Followers'!$H$14:$H$73,MATCH($A58,'CA Standards and Followers'!$A$14:$A$73,0))&lt;=T$1),INDEX('CA Standards and Followers'!$3:$3,MATCH(T$1,'CA Standards and Followers'!$1:$1,0)),IF(AND(INDEX('CA Standards and Followers'!$D$14:$D$73,MATCH($A58,'CA Standards and Followers'!$A$14:$A$73,0))=1,INDEX('CA Standards and Followers'!$G$14:$G$73,MATCH($A58,'CA Standards and Followers'!$A$14:$A$73,0))&lt;=T$1),INDEX('CA Standards and Followers'!$2:$2,MATCH(T$1,'CA Standards and Followers'!$1:$1,0)),0))</f>
        <v>0</v>
      </c>
      <c r="U58">
        <f>IF(AND(INDEX('CA Standards and Followers'!$E$14:$E$73,MATCH($A58,'CA Standards and Followers'!$A$14:$A$73,0))=1,INDEX('CA Standards and Followers'!$H$14:$H$73,MATCH($A58,'CA Standards and Followers'!$A$14:$A$73,0))&lt;=U$1),INDEX('CA Standards and Followers'!$3:$3,MATCH(U$1,'CA Standards and Followers'!$1:$1,0)),IF(AND(INDEX('CA Standards and Followers'!$D$14:$D$73,MATCH($A58,'CA Standards and Followers'!$A$14:$A$73,0))=1,INDEX('CA Standards and Followers'!$G$14:$G$73,MATCH($A58,'CA Standards and Followers'!$A$14:$A$73,0))&lt;=U$1),INDEX('CA Standards and Followers'!$2:$2,MATCH(U$1,'CA Standards and Followers'!$1:$1,0)),0))</f>
        <v>0</v>
      </c>
      <c r="V58">
        <f>IF(AND(INDEX('CA Standards and Followers'!$E$14:$E$73,MATCH($A58,'CA Standards and Followers'!$A$14:$A$73,0))=1,INDEX('CA Standards and Followers'!$H$14:$H$73,MATCH($A58,'CA Standards and Followers'!$A$14:$A$73,0))&lt;=V$1),INDEX('CA Standards and Followers'!$3:$3,MATCH(V$1,'CA Standards and Followers'!$1:$1,0)),IF(AND(INDEX('CA Standards and Followers'!$D$14:$D$73,MATCH($A58,'CA Standards and Followers'!$A$14:$A$73,0))=1,INDEX('CA Standards and Followers'!$G$14:$G$73,MATCH($A58,'CA Standards and Followers'!$A$14:$A$73,0))&lt;=V$1),INDEX('CA Standards and Followers'!$2:$2,MATCH(V$1,'CA Standards and Followers'!$1:$1,0)),0))</f>
        <v>0</v>
      </c>
      <c r="W58">
        <f>IF(AND(INDEX('CA Standards and Followers'!$E$14:$E$73,MATCH($A58,'CA Standards and Followers'!$A$14:$A$73,0))=1,INDEX('CA Standards and Followers'!$H$14:$H$73,MATCH($A58,'CA Standards and Followers'!$A$14:$A$73,0))&lt;=W$1),INDEX('CA Standards and Followers'!$3:$3,MATCH(W$1,'CA Standards and Followers'!$1:$1,0)),IF(AND(INDEX('CA Standards and Followers'!$D$14:$D$73,MATCH($A58,'CA Standards and Followers'!$A$14:$A$73,0))=1,INDEX('CA Standards and Followers'!$G$14:$G$73,MATCH($A58,'CA Standards and Followers'!$A$14:$A$73,0))&lt;=W$1),INDEX('CA Standards and Followers'!$2:$2,MATCH(W$1,'CA Standards and Followers'!$1:$1,0)),0))</f>
        <v>0</v>
      </c>
      <c r="X58">
        <f>IF(AND(INDEX('CA Standards and Followers'!$E$14:$E$73,MATCH($A58,'CA Standards and Followers'!$A$14:$A$73,0))=1,INDEX('CA Standards and Followers'!$H$14:$H$73,MATCH($A58,'CA Standards and Followers'!$A$14:$A$73,0))&lt;=X$1),INDEX('CA Standards and Followers'!$3:$3,MATCH(X$1,'CA Standards and Followers'!$1:$1,0)),IF(AND(INDEX('CA Standards and Followers'!$D$14:$D$73,MATCH($A58,'CA Standards and Followers'!$A$14:$A$73,0))=1,INDEX('CA Standards and Followers'!$G$14:$G$73,MATCH($A58,'CA Standards and Followers'!$A$14:$A$73,0))&lt;=X$1),INDEX('CA Standards and Followers'!$2:$2,MATCH(X$1,'CA Standards and Followers'!$1:$1,0)),0))</f>
        <v>0</v>
      </c>
      <c r="Y58">
        <f>IF(AND(INDEX('CA Standards and Followers'!$E$14:$E$73,MATCH($A58,'CA Standards and Followers'!$A$14:$A$73,0))=1,INDEX('CA Standards and Followers'!$H$14:$H$73,MATCH($A58,'CA Standards and Followers'!$A$14:$A$73,0))&lt;=Y$1),INDEX('CA Standards and Followers'!$3:$3,MATCH(Y$1,'CA Standards and Followers'!$1:$1,0)),IF(AND(INDEX('CA Standards and Followers'!$D$14:$D$73,MATCH($A58,'CA Standards and Followers'!$A$14:$A$73,0))=1,INDEX('CA Standards and Followers'!$G$14:$G$73,MATCH($A58,'CA Standards and Followers'!$A$14:$A$73,0))&lt;=Y$1),INDEX('CA Standards and Followers'!$2:$2,MATCH(Y$1,'CA Standards and Followers'!$1:$1,0)),0))</f>
        <v>0</v>
      </c>
      <c r="Z58">
        <f>IF(AND(INDEX('CA Standards and Followers'!$E$14:$E$73,MATCH($A58,'CA Standards and Followers'!$A$14:$A$73,0))=1,INDEX('CA Standards and Followers'!$H$14:$H$73,MATCH($A58,'CA Standards and Followers'!$A$14:$A$73,0))&lt;=Z$1),INDEX('CA Standards and Followers'!$3:$3,MATCH(Z$1,'CA Standards and Followers'!$1:$1,0)),IF(AND(INDEX('CA Standards and Followers'!$D$14:$D$73,MATCH($A58,'CA Standards and Followers'!$A$14:$A$73,0))=1,INDEX('CA Standards and Followers'!$G$14:$G$73,MATCH($A58,'CA Standards and Followers'!$A$14:$A$73,0))&lt;=Z$1),INDEX('CA Standards and Followers'!$2:$2,MATCH(Z$1,'CA Standards and Followers'!$1:$1,0)),0))</f>
        <v>0</v>
      </c>
      <c r="AA58">
        <f>IF(AND(INDEX('CA Standards and Followers'!$E$14:$E$73,MATCH($A58,'CA Standards and Followers'!$A$14:$A$73,0))=1,INDEX('CA Standards and Followers'!$H$14:$H$73,MATCH($A58,'CA Standards and Followers'!$A$14:$A$73,0))&lt;=AA$1),INDEX('CA Standards and Followers'!$3:$3,MATCH(AA$1,'CA Standards and Followers'!$1:$1,0)),IF(AND(INDEX('CA Standards and Followers'!$D$14:$D$73,MATCH($A58,'CA Standards and Followers'!$A$14:$A$73,0))=1,INDEX('CA Standards and Followers'!$G$14:$G$73,MATCH($A58,'CA Standards and Followers'!$A$14:$A$73,0))&lt;=AA$1),INDEX('CA Standards and Followers'!$2:$2,MATCH(AA$1,'CA Standards and Followers'!$1:$1,0)),0))</f>
        <v>0</v>
      </c>
      <c r="AB58">
        <f>IF(AND(INDEX('CA Standards and Followers'!$E$14:$E$73,MATCH($A58,'CA Standards and Followers'!$A$14:$A$73,0))=1,INDEX('CA Standards and Followers'!$H$14:$H$73,MATCH($A58,'CA Standards and Followers'!$A$14:$A$73,0))&lt;=AB$1),INDEX('CA Standards and Followers'!$3:$3,MATCH(AB$1,'CA Standards and Followers'!$1:$1,0)),IF(AND(INDEX('CA Standards and Followers'!$D$14:$D$73,MATCH($A58,'CA Standards and Followers'!$A$14:$A$73,0))=1,INDEX('CA Standards and Followers'!$G$14:$G$73,MATCH($A58,'CA Standards and Followers'!$A$14:$A$73,0))&lt;=AB$1),INDEX('CA Standards and Followers'!$2:$2,MATCH(AB$1,'CA Standards and Followers'!$1:$1,0)),0))</f>
        <v>0</v>
      </c>
      <c r="AC58">
        <f>IF(AND(INDEX('CA Standards and Followers'!$E$14:$E$73,MATCH($A58,'CA Standards and Followers'!$A$14:$A$73,0))=1,INDEX('CA Standards and Followers'!$H$14:$H$73,MATCH($A58,'CA Standards and Followers'!$A$14:$A$73,0))&lt;=AC$1),INDEX('CA Standards and Followers'!$3:$3,MATCH(AC$1,'CA Standards and Followers'!$1:$1,0)),IF(AND(INDEX('CA Standards and Followers'!$D$14:$D$73,MATCH($A58,'CA Standards and Followers'!$A$14:$A$73,0))=1,INDEX('CA Standards and Followers'!$G$14:$G$73,MATCH($A58,'CA Standards and Followers'!$A$14:$A$73,0))&lt;=AC$1),INDEX('CA Standards and Followers'!$2:$2,MATCH(AC$1,'CA Standards and Followers'!$1:$1,0)),0))</f>
        <v>0</v>
      </c>
      <c r="AD58">
        <f>IF(AND(INDEX('CA Standards and Followers'!$E$14:$E$73,MATCH($A58,'CA Standards and Followers'!$A$14:$A$73,0))=1,INDEX('CA Standards and Followers'!$H$14:$H$73,MATCH($A58,'CA Standards and Followers'!$A$14:$A$73,0))&lt;=AD$1),INDEX('CA Standards and Followers'!$3:$3,MATCH(AD$1,'CA Standards and Followers'!$1:$1,0)),IF(AND(INDEX('CA Standards and Followers'!$D$14:$D$73,MATCH($A58,'CA Standards and Followers'!$A$14:$A$73,0))=1,INDEX('CA Standards and Followers'!$G$14:$G$73,MATCH($A58,'CA Standards and Followers'!$A$14:$A$73,0))&lt;=AD$1),INDEX('CA Standards and Followers'!$2:$2,MATCH(AD$1,'CA Standards and Followers'!$1:$1,0)),0))</f>
        <v>0</v>
      </c>
      <c r="AE58">
        <f>IF(AND(INDEX('CA Standards and Followers'!$E$14:$E$73,MATCH($A58,'CA Standards and Followers'!$A$14:$A$73,0))=1,INDEX('CA Standards and Followers'!$H$14:$H$73,MATCH($A58,'CA Standards and Followers'!$A$14:$A$73,0))&lt;=AE$1),INDEX('CA Standards and Followers'!$3:$3,MATCH(AE$1,'CA Standards and Followers'!$1:$1,0)),IF(AND(INDEX('CA Standards and Followers'!$D$14:$D$73,MATCH($A58,'CA Standards and Followers'!$A$14:$A$73,0))=1,INDEX('CA Standards and Followers'!$G$14:$G$73,MATCH($A58,'CA Standards and Followers'!$A$14:$A$73,0))&lt;=AE$1),INDEX('CA Standards and Followers'!$2:$2,MATCH(AE$1,'CA Standards and Followers'!$1:$1,0)),0))</f>
        <v>0</v>
      </c>
      <c r="AF58">
        <f>IF(AND(INDEX('CA Standards and Followers'!$E$14:$E$73,MATCH($A58,'CA Standards and Followers'!$A$14:$A$73,0))=1,INDEX('CA Standards and Followers'!$H$14:$H$73,MATCH($A58,'CA Standards and Followers'!$A$14:$A$73,0))&lt;=AF$1),INDEX('CA Standards and Followers'!$3:$3,MATCH(AF$1,'CA Standards and Followers'!$1:$1,0)),IF(AND(INDEX('CA Standards and Followers'!$D$14:$D$73,MATCH($A58,'CA Standards and Followers'!$A$14:$A$73,0))=1,INDEX('CA Standards and Followers'!$G$14:$G$73,MATCH($A58,'CA Standards and Followers'!$A$14:$A$73,0))&lt;=AF$1),INDEX('CA Standards and Followers'!$2:$2,MATCH(AF$1,'CA Standards and Followers'!$1:$1,0)),0))</f>
        <v>0</v>
      </c>
    </row>
    <row r="59" spans="1:32" x14ac:dyDescent="0.25">
      <c r="A59" t="s">
        <v>59</v>
      </c>
      <c r="B59">
        <f>IF(AND(INDEX('CA Standards and Followers'!$E$14:$E$73,MATCH($A59,'CA Standards and Followers'!$A$14:$A$73,0))=1,INDEX('CA Standards and Followers'!$H$14:$H$73,MATCH($A59,'CA Standards and Followers'!$A$14:$A$73,0))&lt;=B$1),INDEX('CA Standards and Followers'!$3:$3,MATCH(B$1,'CA Standards and Followers'!$1:$1,0)),IF(AND(INDEX('CA Standards and Followers'!$D$14:$D$73,MATCH($A59,'CA Standards and Followers'!$A$14:$A$73,0))=1,INDEX('CA Standards and Followers'!$G$14:$G$73,MATCH($A59,'CA Standards and Followers'!$A$14:$A$73,0))&lt;=B$1),INDEX('CA Standards and Followers'!$2:$2,MATCH(B$1,'CA Standards and Followers'!$1:$1,0)),0))</f>
        <v>0</v>
      </c>
      <c r="C59">
        <f>IF(AND(INDEX('CA Standards and Followers'!$E$14:$E$73,MATCH($A59,'CA Standards and Followers'!$A$14:$A$73,0))=1,INDEX('CA Standards and Followers'!$H$14:$H$73,MATCH($A59,'CA Standards and Followers'!$A$14:$A$73,0))&lt;=C$1),INDEX('CA Standards and Followers'!$3:$3,MATCH(C$1,'CA Standards and Followers'!$1:$1,0)),IF(AND(INDEX('CA Standards and Followers'!$D$14:$D$73,MATCH($A59,'CA Standards and Followers'!$A$14:$A$73,0))=1,INDEX('CA Standards and Followers'!$G$14:$G$73,MATCH($A59,'CA Standards and Followers'!$A$14:$A$73,0))&lt;=C$1),INDEX('CA Standards and Followers'!$2:$2,MATCH(C$1,'CA Standards and Followers'!$1:$1,0)),0))</f>
        <v>0</v>
      </c>
      <c r="D59">
        <f>IF(AND(INDEX('CA Standards and Followers'!$E$14:$E$73,MATCH($A59,'CA Standards and Followers'!$A$14:$A$73,0))=1,INDEX('CA Standards and Followers'!$H$14:$H$73,MATCH($A59,'CA Standards and Followers'!$A$14:$A$73,0))&lt;=D$1),INDEX('CA Standards and Followers'!$3:$3,MATCH(D$1,'CA Standards and Followers'!$1:$1,0)),IF(AND(INDEX('CA Standards and Followers'!$D$14:$D$73,MATCH($A59,'CA Standards and Followers'!$A$14:$A$73,0))=1,INDEX('CA Standards and Followers'!$G$14:$G$73,MATCH($A59,'CA Standards and Followers'!$A$14:$A$73,0))&lt;=D$1),INDEX('CA Standards and Followers'!$2:$2,MATCH(D$1,'CA Standards and Followers'!$1:$1,0)),0))</f>
        <v>0</v>
      </c>
      <c r="E59">
        <f>IF(AND(INDEX('CA Standards and Followers'!$E$14:$E$73,MATCH($A59,'CA Standards and Followers'!$A$14:$A$73,0))=1,INDEX('CA Standards and Followers'!$H$14:$H$73,MATCH($A59,'CA Standards and Followers'!$A$14:$A$73,0))&lt;=E$1),INDEX('CA Standards and Followers'!$3:$3,MATCH(E$1,'CA Standards and Followers'!$1:$1,0)),IF(AND(INDEX('CA Standards and Followers'!$D$14:$D$73,MATCH($A59,'CA Standards and Followers'!$A$14:$A$73,0))=1,INDEX('CA Standards and Followers'!$G$14:$G$73,MATCH($A59,'CA Standards and Followers'!$A$14:$A$73,0))&lt;=E$1),INDEX('CA Standards and Followers'!$2:$2,MATCH(E$1,'CA Standards and Followers'!$1:$1,0)),0))</f>
        <v>0</v>
      </c>
      <c r="F59">
        <f>IF(AND(INDEX('CA Standards and Followers'!$E$14:$E$73,MATCH($A59,'CA Standards and Followers'!$A$14:$A$73,0))=1,INDEX('CA Standards and Followers'!$H$14:$H$73,MATCH($A59,'CA Standards and Followers'!$A$14:$A$73,0))&lt;=F$1),INDEX('CA Standards and Followers'!$3:$3,MATCH(F$1,'CA Standards and Followers'!$1:$1,0)),IF(AND(INDEX('CA Standards and Followers'!$D$14:$D$73,MATCH($A59,'CA Standards and Followers'!$A$14:$A$73,0))=1,INDEX('CA Standards and Followers'!$G$14:$G$73,MATCH($A59,'CA Standards and Followers'!$A$14:$A$73,0))&lt;=F$1),INDEX('CA Standards and Followers'!$2:$2,MATCH(F$1,'CA Standards and Followers'!$1:$1,0)),0))</f>
        <v>0</v>
      </c>
      <c r="G59">
        <f>IF(AND(INDEX('CA Standards and Followers'!$E$14:$E$73,MATCH($A59,'CA Standards and Followers'!$A$14:$A$73,0))=1,INDEX('CA Standards and Followers'!$H$14:$H$73,MATCH($A59,'CA Standards and Followers'!$A$14:$A$73,0))&lt;=G$1),INDEX('CA Standards and Followers'!$3:$3,MATCH(G$1,'CA Standards and Followers'!$1:$1,0)),IF(AND(INDEX('CA Standards and Followers'!$D$14:$D$73,MATCH($A59,'CA Standards and Followers'!$A$14:$A$73,0))=1,INDEX('CA Standards and Followers'!$G$14:$G$73,MATCH($A59,'CA Standards and Followers'!$A$14:$A$73,0))&lt;=G$1),INDEX('CA Standards and Followers'!$2:$2,MATCH(G$1,'CA Standards and Followers'!$1:$1,0)),0))</f>
        <v>0</v>
      </c>
      <c r="H59">
        <f>IF(AND(INDEX('CA Standards and Followers'!$E$14:$E$73,MATCH($A59,'CA Standards and Followers'!$A$14:$A$73,0))=1,INDEX('CA Standards and Followers'!$H$14:$H$73,MATCH($A59,'CA Standards and Followers'!$A$14:$A$73,0))&lt;=H$1),INDEX('CA Standards and Followers'!$3:$3,MATCH(H$1,'CA Standards and Followers'!$1:$1,0)),IF(AND(INDEX('CA Standards and Followers'!$D$14:$D$73,MATCH($A59,'CA Standards and Followers'!$A$14:$A$73,0))=1,INDEX('CA Standards and Followers'!$G$14:$G$73,MATCH($A59,'CA Standards and Followers'!$A$14:$A$73,0))&lt;=H$1),INDEX('CA Standards and Followers'!$2:$2,MATCH(H$1,'CA Standards and Followers'!$1:$1,0)),0))</f>
        <v>0</v>
      </c>
      <c r="I59">
        <f>IF(AND(INDEX('CA Standards and Followers'!$E$14:$E$73,MATCH($A59,'CA Standards and Followers'!$A$14:$A$73,0))=1,INDEX('CA Standards and Followers'!$H$14:$H$73,MATCH($A59,'CA Standards and Followers'!$A$14:$A$73,0))&lt;=I$1),INDEX('CA Standards and Followers'!$3:$3,MATCH(I$1,'CA Standards and Followers'!$1:$1,0)),IF(AND(INDEX('CA Standards and Followers'!$D$14:$D$73,MATCH($A59,'CA Standards and Followers'!$A$14:$A$73,0))=1,INDEX('CA Standards and Followers'!$G$14:$G$73,MATCH($A59,'CA Standards and Followers'!$A$14:$A$73,0))&lt;=I$1),INDEX('CA Standards and Followers'!$2:$2,MATCH(I$1,'CA Standards and Followers'!$1:$1,0)),0))</f>
        <v>0</v>
      </c>
      <c r="J59">
        <f>IF(AND(INDEX('CA Standards and Followers'!$E$14:$E$73,MATCH($A59,'CA Standards and Followers'!$A$14:$A$73,0))=1,INDEX('CA Standards and Followers'!$H$14:$H$73,MATCH($A59,'CA Standards and Followers'!$A$14:$A$73,0))&lt;=J$1),INDEX('CA Standards and Followers'!$3:$3,MATCH(J$1,'CA Standards and Followers'!$1:$1,0)),IF(AND(INDEX('CA Standards and Followers'!$D$14:$D$73,MATCH($A59,'CA Standards and Followers'!$A$14:$A$73,0))=1,INDEX('CA Standards and Followers'!$G$14:$G$73,MATCH($A59,'CA Standards and Followers'!$A$14:$A$73,0))&lt;=J$1),INDEX('CA Standards and Followers'!$2:$2,MATCH(J$1,'CA Standards and Followers'!$1:$1,0)),0))</f>
        <v>0</v>
      </c>
      <c r="K59">
        <f>IF(AND(INDEX('CA Standards and Followers'!$E$14:$E$73,MATCH($A59,'CA Standards and Followers'!$A$14:$A$73,0))=1,INDEX('CA Standards and Followers'!$H$14:$H$73,MATCH($A59,'CA Standards and Followers'!$A$14:$A$73,0))&lt;=K$1),INDEX('CA Standards and Followers'!$3:$3,MATCH(K$1,'CA Standards and Followers'!$1:$1,0)),IF(AND(INDEX('CA Standards and Followers'!$D$14:$D$73,MATCH($A59,'CA Standards and Followers'!$A$14:$A$73,0))=1,INDEX('CA Standards and Followers'!$G$14:$G$73,MATCH($A59,'CA Standards and Followers'!$A$14:$A$73,0))&lt;=K$1),INDEX('CA Standards and Followers'!$2:$2,MATCH(K$1,'CA Standards and Followers'!$1:$1,0)),0))</f>
        <v>0</v>
      </c>
      <c r="L59">
        <f>IF(AND(INDEX('CA Standards and Followers'!$E$14:$E$73,MATCH($A59,'CA Standards and Followers'!$A$14:$A$73,0))=1,INDEX('CA Standards and Followers'!$H$14:$H$73,MATCH($A59,'CA Standards and Followers'!$A$14:$A$73,0))&lt;=L$1),INDEX('CA Standards and Followers'!$3:$3,MATCH(L$1,'CA Standards and Followers'!$1:$1,0)),IF(AND(INDEX('CA Standards and Followers'!$D$14:$D$73,MATCH($A59,'CA Standards and Followers'!$A$14:$A$73,0))=1,INDEX('CA Standards and Followers'!$G$14:$G$73,MATCH($A59,'CA Standards and Followers'!$A$14:$A$73,0))&lt;=L$1),INDEX('CA Standards and Followers'!$2:$2,MATCH(L$1,'CA Standards and Followers'!$1:$1,0)),0))</f>
        <v>0</v>
      </c>
      <c r="M59">
        <f>IF(AND(INDEX('CA Standards and Followers'!$E$14:$E$73,MATCH($A59,'CA Standards and Followers'!$A$14:$A$73,0))=1,INDEX('CA Standards and Followers'!$H$14:$H$73,MATCH($A59,'CA Standards and Followers'!$A$14:$A$73,0))&lt;=M$1),INDEX('CA Standards and Followers'!$3:$3,MATCH(M$1,'CA Standards and Followers'!$1:$1,0)),IF(AND(INDEX('CA Standards and Followers'!$D$14:$D$73,MATCH($A59,'CA Standards and Followers'!$A$14:$A$73,0))=1,INDEX('CA Standards and Followers'!$G$14:$G$73,MATCH($A59,'CA Standards and Followers'!$A$14:$A$73,0))&lt;=M$1),INDEX('CA Standards and Followers'!$2:$2,MATCH(M$1,'CA Standards and Followers'!$1:$1,0)),0))</f>
        <v>0</v>
      </c>
      <c r="N59">
        <f>IF(AND(INDEX('CA Standards and Followers'!$E$14:$E$73,MATCH($A59,'CA Standards and Followers'!$A$14:$A$73,0))=1,INDEX('CA Standards and Followers'!$H$14:$H$73,MATCH($A59,'CA Standards and Followers'!$A$14:$A$73,0))&lt;=N$1),INDEX('CA Standards and Followers'!$3:$3,MATCH(N$1,'CA Standards and Followers'!$1:$1,0)),IF(AND(INDEX('CA Standards and Followers'!$D$14:$D$73,MATCH($A59,'CA Standards and Followers'!$A$14:$A$73,0))=1,INDEX('CA Standards and Followers'!$G$14:$G$73,MATCH($A59,'CA Standards and Followers'!$A$14:$A$73,0))&lt;=N$1),INDEX('CA Standards and Followers'!$2:$2,MATCH(N$1,'CA Standards and Followers'!$1:$1,0)),0))</f>
        <v>0</v>
      </c>
      <c r="O59">
        <f>IF(AND(INDEX('CA Standards and Followers'!$E$14:$E$73,MATCH($A59,'CA Standards and Followers'!$A$14:$A$73,0))=1,INDEX('CA Standards and Followers'!$H$14:$H$73,MATCH($A59,'CA Standards and Followers'!$A$14:$A$73,0))&lt;=O$1),INDEX('CA Standards and Followers'!$3:$3,MATCH(O$1,'CA Standards and Followers'!$1:$1,0)),IF(AND(INDEX('CA Standards and Followers'!$D$14:$D$73,MATCH($A59,'CA Standards and Followers'!$A$14:$A$73,0))=1,INDEX('CA Standards and Followers'!$G$14:$G$73,MATCH($A59,'CA Standards and Followers'!$A$14:$A$73,0))&lt;=O$1),INDEX('CA Standards and Followers'!$2:$2,MATCH(O$1,'CA Standards and Followers'!$1:$1,0)),0))</f>
        <v>0</v>
      </c>
      <c r="P59">
        <f>IF(AND(INDEX('CA Standards and Followers'!$E$14:$E$73,MATCH($A59,'CA Standards and Followers'!$A$14:$A$73,0))=1,INDEX('CA Standards and Followers'!$H$14:$H$73,MATCH($A59,'CA Standards and Followers'!$A$14:$A$73,0))&lt;=P$1),INDEX('CA Standards and Followers'!$3:$3,MATCH(P$1,'CA Standards and Followers'!$1:$1,0)),IF(AND(INDEX('CA Standards and Followers'!$D$14:$D$73,MATCH($A59,'CA Standards and Followers'!$A$14:$A$73,0))=1,INDEX('CA Standards and Followers'!$G$14:$G$73,MATCH($A59,'CA Standards and Followers'!$A$14:$A$73,0))&lt;=P$1),INDEX('CA Standards and Followers'!$2:$2,MATCH(P$1,'CA Standards and Followers'!$1:$1,0)),0))</f>
        <v>0</v>
      </c>
      <c r="Q59">
        <f>IF(AND(INDEX('CA Standards and Followers'!$E$14:$E$73,MATCH($A59,'CA Standards and Followers'!$A$14:$A$73,0))=1,INDEX('CA Standards and Followers'!$H$14:$H$73,MATCH($A59,'CA Standards and Followers'!$A$14:$A$73,0))&lt;=Q$1),INDEX('CA Standards and Followers'!$3:$3,MATCH(Q$1,'CA Standards and Followers'!$1:$1,0)),IF(AND(INDEX('CA Standards and Followers'!$D$14:$D$73,MATCH($A59,'CA Standards and Followers'!$A$14:$A$73,0))=1,INDEX('CA Standards and Followers'!$G$14:$G$73,MATCH($A59,'CA Standards and Followers'!$A$14:$A$73,0))&lt;=Q$1),INDEX('CA Standards and Followers'!$2:$2,MATCH(Q$1,'CA Standards and Followers'!$1:$1,0)),0))</f>
        <v>0</v>
      </c>
      <c r="R59">
        <f>IF(AND(INDEX('CA Standards and Followers'!$E$14:$E$73,MATCH($A59,'CA Standards and Followers'!$A$14:$A$73,0))=1,INDEX('CA Standards and Followers'!$H$14:$H$73,MATCH($A59,'CA Standards and Followers'!$A$14:$A$73,0))&lt;=R$1),INDEX('CA Standards and Followers'!$3:$3,MATCH(R$1,'CA Standards and Followers'!$1:$1,0)),IF(AND(INDEX('CA Standards and Followers'!$D$14:$D$73,MATCH($A59,'CA Standards and Followers'!$A$14:$A$73,0))=1,INDEX('CA Standards and Followers'!$G$14:$G$73,MATCH($A59,'CA Standards and Followers'!$A$14:$A$73,0))&lt;=R$1),INDEX('CA Standards and Followers'!$2:$2,MATCH(R$1,'CA Standards and Followers'!$1:$1,0)),0))</f>
        <v>0</v>
      </c>
      <c r="S59">
        <f>IF(AND(INDEX('CA Standards and Followers'!$E$14:$E$73,MATCH($A59,'CA Standards and Followers'!$A$14:$A$73,0))=1,INDEX('CA Standards and Followers'!$H$14:$H$73,MATCH($A59,'CA Standards and Followers'!$A$14:$A$73,0))&lt;=S$1),INDEX('CA Standards and Followers'!$3:$3,MATCH(S$1,'CA Standards and Followers'!$1:$1,0)),IF(AND(INDEX('CA Standards and Followers'!$D$14:$D$73,MATCH($A59,'CA Standards and Followers'!$A$14:$A$73,0))=1,INDEX('CA Standards and Followers'!$G$14:$G$73,MATCH($A59,'CA Standards and Followers'!$A$14:$A$73,0))&lt;=S$1),INDEX('CA Standards and Followers'!$2:$2,MATCH(S$1,'CA Standards and Followers'!$1:$1,0)),0))</f>
        <v>0</v>
      </c>
      <c r="T59">
        <f>IF(AND(INDEX('CA Standards and Followers'!$E$14:$E$73,MATCH($A59,'CA Standards and Followers'!$A$14:$A$73,0))=1,INDEX('CA Standards and Followers'!$H$14:$H$73,MATCH($A59,'CA Standards and Followers'!$A$14:$A$73,0))&lt;=T$1),INDEX('CA Standards and Followers'!$3:$3,MATCH(T$1,'CA Standards and Followers'!$1:$1,0)),IF(AND(INDEX('CA Standards and Followers'!$D$14:$D$73,MATCH($A59,'CA Standards and Followers'!$A$14:$A$73,0))=1,INDEX('CA Standards and Followers'!$G$14:$G$73,MATCH($A59,'CA Standards and Followers'!$A$14:$A$73,0))&lt;=T$1),INDEX('CA Standards and Followers'!$2:$2,MATCH(T$1,'CA Standards and Followers'!$1:$1,0)),0))</f>
        <v>0</v>
      </c>
      <c r="U59">
        <f>IF(AND(INDEX('CA Standards and Followers'!$E$14:$E$73,MATCH($A59,'CA Standards and Followers'!$A$14:$A$73,0))=1,INDEX('CA Standards and Followers'!$H$14:$H$73,MATCH($A59,'CA Standards and Followers'!$A$14:$A$73,0))&lt;=U$1),INDEX('CA Standards and Followers'!$3:$3,MATCH(U$1,'CA Standards and Followers'!$1:$1,0)),IF(AND(INDEX('CA Standards and Followers'!$D$14:$D$73,MATCH($A59,'CA Standards and Followers'!$A$14:$A$73,0))=1,INDEX('CA Standards and Followers'!$G$14:$G$73,MATCH($A59,'CA Standards and Followers'!$A$14:$A$73,0))&lt;=U$1),INDEX('CA Standards and Followers'!$2:$2,MATCH(U$1,'CA Standards and Followers'!$1:$1,0)),0))</f>
        <v>0</v>
      </c>
      <c r="V59">
        <f>IF(AND(INDEX('CA Standards and Followers'!$E$14:$E$73,MATCH($A59,'CA Standards and Followers'!$A$14:$A$73,0))=1,INDEX('CA Standards and Followers'!$H$14:$H$73,MATCH($A59,'CA Standards and Followers'!$A$14:$A$73,0))&lt;=V$1),INDEX('CA Standards and Followers'!$3:$3,MATCH(V$1,'CA Standards and Followers'!$1:$1,0)),IF(AND(INDEX('CA Standards and Followers'!$D$14:$D$73,MATCH($A59,'CA Standards and Followers'!$A$14:$A$73,0))=1,INDEX('CA Standards and Followers'!$G$14:$G$73,MATCH($A59,'CA Standards and Followers'!$A$14:$A$73,0))&lt;=V$1),INDEX('CA Standards and Followers'!$2:$2,MATCH(V$1,'CA Standards and Followers'!$1:$1,0)),0))</f>
        <v>0</v>
      </c>
      <c r="W59">
        <f>IF(AND(INDEX('CA Standards and Followers'!$E$14:$E$73,MATCH($A59,'CA Standards and Followers'!$A$14:$A$73,0))=1,INDEX('CA Standards and Followers'!$H$14:$H$73,MATCH($A59,'CA Standards and Followers'!$A$14:$A$73,0))&lt;=W$1),INDEX('CA Standards and Followers'!$3:$3,MATCH(W$1,'CA Standards and Followers'!$1:$1,0)),IF(AND(INDEX('CA Standards and Followers'!$D$14:$D$73,MATCH($A59,'CA Standards and Followers'!$A$14:$A$73,0))=1,INDEX('CA Standards and Followers'!$G$14:$G$73,MATCH($A59,'CA Standards and Followers'!$A$14:$A$73,0))&lt;=W$1),INDEX('CA Standards and Followers'!$2:$2,MATCH(W$1,'CA Standards and Followers'!$1:$1,0)),0))</f>
        <v>0</v>
      </c>
      <c r="X59">
        <f>IF(AND(INDEX('CA Standards and Followers'!$E$14:$E$73,MATCH($A59,'CA Standards and Followers'!$A$14:$A$73,0))=1,INDEX('CA Standards and Followers'!$H$14:$H$73,MATCH($A59,'CA Standards and Followers'!$A$14:$A$73,0))&lt;=X$1),INDEX('CA Standards and Followers'!$3:$3,MATCH(X$1,'CA Standards and Followers'!$1:$1,0)),IF(AND(INDEX('CA Standards and Followers'!$D$14:$D$73,MATCH($A59,'CA Standards and Followers'!$A$14:$A$73,0))=1,INDEX('CA Standards and Followers'!$G$14:$G$73,MATCH($A59,'CA Standards and Followers'!$A$14:$A$73,0))&lt;=X$1),INDEX('CA Standards and Followers'!$2:$2,MATCH(X$1,'CA Standards and Followers'!$1:$1,0)),0))</f>
        <v>0</v>
      </c>
      <c r="Y59">
        <f>IF(AND(INDEX('CA Standards and Followers'!$E$14:$E$73,MATCH($A59,'CA Standards and Followers'!$A$14:$A$73,0))=1,INDEX('CA Standards and Followers'!$H$14:$H$73,MATCH($A59,'CA Standards and Followers'!$A$14:$A$73,0))&lt;=Y$1),INDEX('CA Standards and Followers'!$3:$3,MATCH(Y$1,'CA Standards and Followers'!$1:$1,0)),IF(AND(INDEX('CA Standards and Followers'!$D$14:$D$73,MATCH($A59,'CA Standards and Followers'!$A$14:$A$73,0))=1,INDEX('CA Standards and Followers'!$G$14:$G$73,MATCH($A59,'CA Standards and Followers'!$A$14:$A$73,0))&lt;=Y$1),INDEX('CA Standards and Followers'!$2:$2,MATCH(Y$1,'CA Standards and Followers'!$1:$1,0)),0))</f>
        <v>0</v>
      </c>
      <c r="Z59">
        <f>IF(AND(INDEX('CA Standards and Followers'!$E$14:$E$73,MATCH($A59,'CA Standards and Followers'!$A$14:$A$73,0))=1,INDEX('CA Standards and Followers'!$H$14:$H$73,MATCH($A59,'CA Standards and Followers'!$A$14:$A$73,0))&lt;=Z$1),INDEX('CA Standards and Followers'!$3:$3,MATCH(Z$1,'CA Standards and Followers'!$1:$1,0)),IF(AND(INDEX('CA Standards and Followers'!$D$14:$D$73,MATCH($A59,'CA Standards and Followers'!$A$14:$A$73,0))=1,INDEX('CA Standards and Followers'!$G$14:$G$73,MATCH($A59,'CA Standards and Followers'!$A$14:$A$73,0))&lt;=Z$1),INDEX('CA Standards and Followers'!$2:$2,MATCH(Z$1,'CA Standards and Followers'!$1:$1,0)),0))</f>
        <v>0</v>
      </c>
      <c r="AA59">
        <f>IF(AND(INDEX('CA Standards and Followers'!$E$14:$E$73,MATCH($A59,'CA Standards and Followers'!$A$14:$A$73,0))=1,INDEX('CA Standards and Followers'!$H$14:$H$73,MATCH($A59,'CA Standards and Followers'!$A$14:$A$73,0))&lt;=AA$1),INDEX('CA Standards and Followers'!$3:$3,MATCH(AA$1,'CA Standards and Followers'!$1:$1,0)),IF(AND(INDEX('CA Standards and Followers'!$D$14:$D$73,MATCH($A59,'CA Standards and Followers'!$A$14:$A$73,0))=1,INDEX('CA Standards and Followers'!$G$14:$G$73,MATCH($A59,'CA Standards and Followers'!$A$14:$A$73,0))&lt;=AA$1),INDEX('CA Standards and Followers'!$2:$2,MATCH(AA$1,'CA Standards and Followers'!$1:$1,0)),0))</f>
        <v>0</v>
      </c>
      <c r="AB59">
        <f>IF(AND(INDEX('CA Standards and Followers'!$E$14:$E$73,MATCH($A59,'CA Standards and Followers'!$A$14:$A$73,0))=1,INDEX('CA Standards and Followers'!$H$14:$H$73,MATCH($A59,'CA Standards and Followers'!$A$14:$A$73,0))&lt;=AB$1),INDEX('CA Standards and Followers'!$3:$3,MATCH(AB$1,'CA Standards and Followers'!$1:$1,0)),IF(AND(INDEX('CA Standards and Followers'!$D$14:$D$73,MATCH($A59,'CA Standards and Followers'!$A$14:$A$73,0))=1,INDEX('CA Standards and Followers'!$G$14:$G$73,MATCH($A59,'CA Standards and Followers'!$A$14:$A$73,0))&lt;=AB$1),INDEX('CA Standards and Followers'!$2:$2,MATCH(AB$1,'CA Standards and Followers'!$1:$1,0)),0))</f>
        <v>0</v>
      </c>
      <c r="AC59">
        <f>IF(AND(INDEX('CA Standards and Followers'!$E$14:$E$73,MATCH($A59,'CA Standards and Followers'!$A$14:$A$73,0))=1,INDEX('CA Standards and Followers'!$H$14:$H$73,MATCH($A59,'CA Standards and Followers'!$A$14:$A$73,0))&lt;=AC$1),INDEX('CA Standards and Followers'!$3:$3,MATCH(AC$1,'CA Standards and Followers'!$1:$1,0)),IF(AND(INDEX('CA Standards and Followers'!$D$14:$D$73,MATCH($A59,'CA Standards and Followers'!$A$14:$A$73,0))=1,INDEX('CA Standards and Followers'!$G$14:$G$73,MATCH($A59,'CA Standards and Followers'!$A$14:$A$73,0))&lt;=AC$1),INDEX('CA Standards and Followers'!$2:$2,MATCH(AC$1,'CA Standards and Followers'!$1:$1,0)),0))</f>
        <v>0</v>
      </c>
      <c r="AD59">
        <f>IF(AND(INDEX('CA Standards and Followers'!$E$14:$E$73,MATCH($A59,'CA Standards and Followers'!$A$14:$A$73,0))=1,INDEX('CA Standards and Followers'!$H$14:$H$73,MATCH($A59,'CA Standards and Followers'!$A$14:$A$73,0))&lt;=AD$1),INDEX('CA Standards and Followers'!$3:$3,MATCH(AD$1,'CA Standards and Followers'!$1:$1,0)),IF(AND(INDEX('CA Standards and Followers'!$D$14:$D$73,MATCH($A59,'CA Standards and Followers'!$A$14:$A$73,0))=1,INDEX('CA Standards and Followers'!$G$14:$G$73,MATCH($A59,'CA Standards and Followers'!$A$14:$A$73,0))&lt;=AD$1),INDEX('CA Standards and Followers'!$2:$2,MATCH(AD$1,'CA Standards and Followers'!$1:$1,0)),0))</f>
        <v>0</v>
      </c>
      <c r="AE59">
        <f>IF(AND(INDEX('CA Standards and Followers'!$E$14:$E$73,MATCH($A59,'CA Standards and Followers'!$A$14:$A$73,0))=1,INDEX('CA Standards and Followers'!$H$14:$H$73,MATCH($A59,'CA Standards and Followers'!$A$14:$A$73,0))&lt;=AE$1),INDEX('CA Standards and Followers'!$3:$3,MATCH(AE$1,'CA Standards and Followers'!$1:$1,0)),IF(AND(INDEX('CA Standards and Followers'!$D$14:$D$73,MATCH($A59,'CA Standards and Followers'!$A$14:$A$73,0))=1,INDEX('CA Standards and Followers'!$G$14:$G$73,MATCH($A59,'CA Standards and Followers'!$A$14:$A$73,0))&lt;=AE$1),INDEX('CA Standards and Followers'!$2:$2,MATCH(AE$1,'CA Standards and Followers'!$1:$1,0)),0))</f>
        <v>0</v>
      </c>
      <c r="AF59">
        <f>IF(AND(INDEX('CA Standards and Followers'!$E$14:$E$73,MATCH($A59,'CA Standards and Followers'!$A$14:$A$73,0))=1,INDEX('CA Standards and Followers'!$H$14:$H$73,MATCH($A59,'CA Standards and Followers'!$A$14:$A$73,0))&lt;=AF$1),INDEX('CA Standards and Followers'!$3:$3,MATCH(AF$1,'CA Standards and Followers'!$1:$1,0)),IF(AND(INDEX('CA Standards and Followers'!$D$14:$D$73,MATCH($A59,'CA Standards and Followers'!$A$14:$A$73,0))=1,INDEX('CA Standards and Followers'!$G$14:$G$73,MATCH($A59,'CA Standards and Followers'!$A$14:$A$73,0))&lt;=AF$1),INDEX('CA Standards and Followers'!$2:$2,MATCH(AF$1,'CA Standards and Followers'!$1:$1,0)),0))</f>
        <v>0</v>
      </c>
    </row>
    <row r="60" spans="1:32" x14ac:dyDescent="0.25">
      <c r="A60" t="s">
        <v>60</v>
      </c>
      <c r="B60">
        <f>IF(AND(INDEX('CA Standards and Followers'!$E$14:$E$73,MATCH($A60,'CA Standards and Followers'!$A$14:$A$73,0))=1,INDEX('CA Standards and Followers'!$H$14:$H$73,MATCH($A60,'CA Standards and Followers'!$A$14:$A$73,0))&lt;=B$1),INDEX('CA Standards and Followers'!$3:$3,MATCH(B$1,'CA Standards and Followers'!$1:$1,0)),IF(AND(INDEX('CA Standards and Followers'!$D$14:$D$73,MATCH($A60,'CA Standards and Followers'!$A$14:$A$73,0))=1,INDEX('CA Standards and Followers'!$G$14:$G$73,MATCH($A60,'CA Standards and Followers'!$A$14:$A$73,0))&lt;=B$1),INDEX('CA Standards and Followers'!$2:$2,MATCH(B$1,'CA Standards and Followers'!$1:$1,0)),0))</f>
        <v>0</v>
      </c>
      <c r="C60">
        <f>IF(AND(INDEX('CA Standards and Followers'!$E$14:$E$73,MATCH($A60,'CA Standards and Followers'!$A$14:$A$73,0))=1,INDEX('CA Standards and Followers'!$H$14:$H$73,MATCH($A60,'CA Standards and Followers'!$A$14:$A$73,0))&lt;=C$1),INDEX('CA Standards and Followers'!$3:$3,MATCH(C$1,'CA Standards and Followers'!$1:$1,0)),IF(AND(INDEX('CA Standards and Followers'!$D$14:$D$73,MATCH($A60,'CA Standards and Followers'!$A$14:$A$73,0))=1,INDEX('CA Standards and Followers'!$G$14:$G$73,MATCH($A60,'CA Standards and Followers'!$A$14:$A$73,0))&lt;=C$1),INDEX('CA Standards and Followers'!$2:$2,MATCH(C$1,'CA Standards and Followers'!$1:$1,0)),0))</f>
        <v>0</v>
      </c>
      <c r="D60">
        <f>IF(AND(INDEX('CA Standards and Followers'!$E$14:$E$73,MATCH($A60,'CA Standards and Followers'!$A$14:$A$73,0))=1,INDEX('CA Standards and Followers'!$H$14:$H$73,MATCH($A60,'CA Standards and Followers'!$A$14:$A$73,0))&lt;=D$1),INDEX('CA Standards and Followers'!$3:$3,MATCH(D$1,'CA Standards and Followers'!$1:$1,0)),IF(AND(INDEX('CA Standards and Followers'!$D$14:$D$73,MATCH($A60,'CA Standards and Followers'!$A$14:$A$73,0))=1,INDEX('CA Standards and Followers'!$G$14:$G$73,MATCH($A60,'CA Standards and Followers'!$A$14:$A$73,0))&lt;=D$1),INDEX('CA Standards and Followers'!$2:$2,MATCH(D$1,'CA Standards and Followers'!$1:$1,0)),0))</f>
        <v>0</v>
      </c>
      <c r="E60">
        <f>IF(AND(INDEX('CA Standards and Followers'!$E$14:$E$73,MATCH($A60,'CA Standards and Followers'!$A$14:$A$73,0))=1,INDEX('CA Standards and Followers'!$H$14:$H$73,MATCH($A60,'CA Standards and Followers'!$A$14:$A$73,0))&lt;=E$1),INDEX('CA Standards and Followers'!$3:$3,MATCH(E$1,'CA Standards and Followers'!$1:$1,0)),IF(AND(INDEX('CA Standards and Followers'!$D$14:$D$73,MATCH($A60,'CA Standards and Followers'!$A$14:$A$73,0))=1,INDEX('CA Standards and Followers'!$G$14:$G$73,MATCH($A60,'CA Standards and Followers'!$A$14:$A$73,0))&lt;=E$1),INDEX('CA Standards and Followers'!$2:$2,MATCH(E$1,'CA Standards and Followers'!$1:$1,0)),0))</f>
        <v>0</v>
      </c>
      <c r="F60">
        <f>IF(AND(INDEX('CA Standards and Followers'!$E$14:$E$73,MATCH($A60,'CA Standards and Followers'!$A$14:$A$73,0))=1,INDEX('CA Standards and Followers'!$H$14:$H$73,MATCH($A60,'CA Standards and Followers'!$A$14:$A$73,0))&lt;=F$1),INDEX('CA Standards and Followers'!$3:$3,MATCH(F$1,'CA Standards and Followers'!$1:$1,0)),IF(AND(INDEX('CA Standards and Followers'!$D$14:$D$73,MATCH($A60,'CA Standards and Followers'!$A$14:$A$73,0))=1,INDEX('CA Standards and Followers'!$G$14:$G$73,MATCH($A60,'CA Standards and Followers'!$A$14:$A$73,0))&lt;=F$1),INDEX('CA Standards and Followers'!$2:$2,MATCH(F$1,'CA Standards and Followers'!$1:$1,0)),0))</f>
        <v>0</v>
      </c>
      <c r="G60">
        <f>IF(AND(INDEX('CA Standards and Followers'!$E$14:$E$73,MATCH($A60,'CA Standards and Followers'!$A$14:$A$73,0))=1,INDEX('CA Standards and Followers'!$H$14:$H$73,MATCH($A60,'CA Standards and Followers'!$A$14:$A$73,0))&lt;=G$1),INDEX('CA Standards and Followers'!$3:$3,MATCH(G$1,'CA Standards and Followers'!$1:$1,0)),IF(AND(INDEX('CA Standards and Followers'!$D$14:$D$73,MATCH($A60,'CA Standards and Followers'!$A$14:$A$73,0))=1,INDEX('CA Standards and Followers'!$G$14:$G$73,MATCH($A60,'CA Standards and Followers'!$A$14:$A$73,0))&lt;=G$1),INDEX('CA Standards and Followers'!$2:$2,MATCH(G$1,'CA Standards and Followers'!$1:$1,0)),0))</f>
        <v>0</v>
      </c>
      <c r="H60">
        <f>IF(AND(INDEX('CA Standards and Followers'!$E$14:$E$73,MATCH($A60,'CA Standards and Followers'!$A$14:$A$73,0))=1,INDEX('CA Standards and Followers'!$H$14:$H$73,MATCH($A60,'CA Standards and Followers'!$A$14:$A$73,0))&lt;=H$1),INDEX('CA Standards and Followers'!$3:$3,MATCH(H$1,'CA Standards and Followers'!$1:$1,0)),IF(AND(INDEX('CA Standards and Followers'!$D$14:$D$73,MATCH($A60,'CA Standards and Followers'!$A$14:$A$73,0))=1,INDEX('CA Standards and Followers'!$G$14:$G$73,MATCH($A60,'CA Standards and Followers'!$A$14:$A$73,0))&lt;=H$1),INDEX('CA Standards and Followers'!$2:$2,MATCH(H$1,'CA Standards and Followers'!$1:$1,0)),0))</f>
        <v>0</v>
      </c>
      <c r="I60">
        <f>IF(AND(INDEX('CA Standards and Followers'!$E$14:$E$73,MATCH($A60,'CA Standards and Followers'!$A$14:$A$73,0))=1,INDEX('CA Standards and Followers'!$H$14:$H$73,MATCH($A60,'CA Standards and Followers'!$A$14:$A$73,0))&lt;=I$1),INDEX('CA Standards and Followers'!$3:$3,MATCH(I$1,'CA Standards and Followers'!$1:$1,0)),IF(AND(INDEX('CA Standards and Followers'!$D$14:$D$73,MATCH($A60,'CA Standards and Followers'!$A$14:$A$73,0))=1,INDEX('CA Standards and Followers'!$G$14:$G$73,MATCH($A60,'CA Standards and Followers'!$A$14:$A$73,0))&lt;=I$1),INDEX('CA Standards and Followers'!$2:$2,MATCH(I$1,'CA Standards and Followers'!$1:$1,0)),0))</f>
        <v>0</v>
      </c>
      <c r="J60">
        <f>IF(AND(INDEX('CA Standards and Followers'!$E$14:$E$73,MATCH($A60,'CA Standards and Followers'!$A$14:$A$73,0))=1,INDEX('CA Standards and Followers'!$H$14:$H$73,MATCH($A60,'CA Standards and Followers'!$A$14:$A$73,0))&lt;=J$1),INDEX('CA Standards and Followers'!$3:$3,MATCH(J$1,'CA Standards and Followers'!$1:$1,0)),IF(AND(INDEX('CA Standards and Followers'!$D$14:$D$73,MATCH($A60,'CA Standards and Followers'!$A$14:$A$73,0))=1,INDEX('CA Standards and Followers'!$G$14:$G$73,MATCH($A60,'CA Standards and Followers'!$A$14:$A$73,0))&lt;=J$1),INDEX('CA Standards and Followers'!$2:$2,MATCH(J$1,'CA Standards and Followers'!$1:$1,0)),0))</f>
        <v>0</v>
      </c>
      <c r="K60">
        <f>IF(AND(INDEX('CA Standards and Followers'!$E$14:$E$73,MATCH($A60,'CA Standards and Followers'!$A$14:$A$73,0))=1,INDEX('CA Standards and Followers'!$H$14:$H$73,MATCH($A60,'CA Standards and Followers'!$A$14:$A$73,0))&lt;=K$1),INDEX('CA Standards and Followers'!$3:$3,MATCH(K$1,'CA Standards and Followers'!$1:$1,0)),IF(AND(INDEX('CA Standards and Followers'!$D$14:$D$73,MATCH($A60,'CA Standards and Followers'!$A$14:$A$73,0))=1,INDEX('CA Standards and Followers'!$G$14:$G$73,MATCH($A60,'CA Standards and Followers'!$A$14:$A$73,0))&lt;=K$1),INDEX('CA Standards and Followers'!$2:$2,MATCH(K$1,'CA Standards and Followers'!$1:$1,0)),0))</f>
        <v>0</v>
      </c>
      <c r="L60">
        <f>IF(AND(INDEX('CA Standards and Followers'!$E$14:$E$73,MATCH($A60,'CA Standards and Followers'!$A$14:$A$73,0))=1,INDEX('CA Standards and Followers'!$H$14:$H$73,MATCH($A60,'CA Standards and Followers'!$A$14:$A$73,0))&lt;=L$1),INDEX('CA Standards and Followers'!$3:$3,MATCH(L$1,'CA Standards and Followers'!$1:$1,0)),IF(AND(INDEX('CA Standards and Followers'!$D$14:$D$73,MATCH($A60,'CA Standards and Followers'!$A$14:$A$73,0))=1,INDEX('CA Standards and Followers'!$G$14:$G$73,MATCH($A60,'CA Standards and Followers'!$A$14:$A$73,0))&lt;=L$1),INDEX('CA Standards and Followers'!$2:$2,MATCH(L$1,'CA Standards and Followers'!$1:$1,0)),0))</f>
        <v>0</v>
      </c>
      <c r="M60">
        <f>IF(AND(INDEX('CA Standards and Followers'!$E$14:$E$73,MATCH($A60,'CA Standards and Followers'!$A$14:$A$73,0))=1,INDEX('CA Standards and Followers'!$H$14:$H$73,MATCH($A60,'CA Standards and Followers'!$A$14:$A$73,0))&lt;=M$1),INDEX('CA Standards and Followers'!$3:$3,MATCH(M$1,'CA Standards and Followers'!$1:$1,0)),IF(AND(INDEX('CA Standards and Followers'!$D$14:$D$73,MATCH($A60,'CA Standards and Followers'!$A$14:$A$73,0))=1,INDEX('CA Standards and Followers'!$G$14:$G$73,MATCH($A60,'CA Standards and Followers'!$A$14:$A$73,0))&lt;=M$1),INDEX('CA Standards and Followers'!$2:$2,MATCH(M$1,'CA Standards and Followers'!$1:$1,0)),0))</f>
        <v>0</v>
      </c>
      <c r="N60">
        <f>IF(AND(INDEX('CA Standards and Followers'!$E$14:$E$73,MATCH($A60,'CA Standards and Followers'!$A$14:$A$73,0))=1,INDEX('CA Standards and Followers'!$H$14:$H$73,MATCH($A60,'CA Standards and Followers'!$A$14:$A$73,0))&lt;=N$1),INDEX('CA Standards and Followers'!$3:$3,MATCH(N$1,'CA Standards and Followers'!$1:$1,0)),IF(AND(INDEX('CA Standards and Followers'!$D$14:$D$73,MATCH($A60,'CA Standards and Followers'!$A$14:$A$73,0))=1,INDEX('CA Standards and Followers'!$G$14:$G$73,MATCH($A60,'CA Standards and Followers'!$A$14:$A$73,0))&lt;=N$1),INDEX('CA Standards and Followers'!$2:$2,MATCH(N$1,'CA Standards and Followers'!$1:$1,0)),0))</f>
        <v>0</v>
      </c>
      <c r="O60">
        <f>IF(AND(INDEX('CA Standards and Followers'!$E$14:$E$73,MATCH($A60,'CA Standards and Followers'!$A$14:$A$73,0))=1,INDEX('CA Standards and Followers'!$H$14:$H$73,MATCH($A60,'CA Standards and Followers'!$A$14:$A$73,0))&lt;=O$1),INDEX('CA Standards and Followers'!$3:$3,MATCH(O$1,'CA Standards and Followers'!$1:$1,0)),IF(AND(INDEX('CA Standards and Followers'!$D$14:$D$73,MATCH($A60,'CA Standards and Followers'!$A$14:$A$73,0))=1,INDEX('CA Standards and Followers'!$G$14:$G$73,MATCH($A60,'CA Standards and Followers'!$A$14:$A$73,0))&lt;=O$1),INDEX('CA Standards and Followers'!$2:$2,MATCH(O$1,'CA Standards and Followers'!$1:$1,0)),0))</f>
        <v>0</v>
      </c>
      <c r="P60">
        <f>IF(AND(INDEX('CA Standards and Followers'!$E$14:$E$73,MATCH($A60,'CA Standards and Followers'!$A$14:$A$73,0))=1,INDEX('CA Standards and Followers'!$H$14:$H$73,MATCH($A60,'CA Standards and Followers'!$A$14:$A$73,0))&lt;=P$1),INDEX('CA Standards and Followers'!$3:$3,MATCH(P$1,'CA Standards and Followers'!$1:$1,0)),IF(AND(INDEX('CA Standards and Followers'!$D$14:$D$73,MATCH($A60,'CA Standards and Followers'!$A$14:$A$73,0))=1,INDEX('CA Standards and Followers'!$G$14:$G$73,MATCH($A60,'CA Standards and Followers'!$A$14:$A$73,0))&lt;=P$1),INDEX('CA Standards and Followers'!$2:$2,MATCH(P$1,'CA Standards and Followers'!$1:$1,0)),0))</f>
        <v>0</v>
      </c>
      <c r="Q60">
        <f>IF(AND(INDEX('CA Standards and Followers'!$E$14:$E$73,MATCH($A60,'CA Standards and Followers'!$A$14:$A$73,0))=1,INDEX('CA Standards and Followers'!$H$14:$H$73,MATCH($A60,'CA Standards and Followers'!$A$14:$A$73,0))&lt;=Q$1),INDEX('CA Standards and Followers'!$3:$3,MATCH(Q$1,'CA Standards and Followers'!$1:$1,0)),IF(AND(INDEX('CA Standards and Followers'!$D$14:$D$73,MATCH($A60,'CA Standards and Followers'!$A$14:$A$73,0))=1,INDEX('CA Standards and Followers'!$G$14:$G$73,MATCH($A60,'CA Standards and Followers'!$A$14:$A$73,0))&lt;=Q$1),INDEX('CA Standards and Followers'!$2:$2,MATCH(Q$1,'CA Standards and Followers'!$1:$1,0)),0))</f>
        <v>0</v>
      </c>
      <c r="R60">
        <f>IF(AND(INDEX('CA Standards and Followers'!$E$14:$E$73,MATCH($A60,'CA Standards and Followers'!$A$14:$A$73,0))=1,INDEX('CA Standards and Followers'!$H$14:$H$73,MATCH($A60,'CA Standards and Followers'!$A$14:$A$73,0))&lt;=R$1),INDEX('CA Standards and Followers'!$3:$3,MATCH(R$1,'CA Standards and Followers'!$1:$1,0)),IF(AND(INDEX('CA Standards and Followers'!$D$14:$D$73,MATCH($A60,'CA Standards and Followers'!$A$14:$A$73,0))=1,INDEX('CA Standards and Followers'!$G$14:$G$73,MATCH($A60,'CA Standards and Followers'!$A$14:$A$73,0))&lt;=R$1),INDEX('CA Standards and Followers'!$2:$2,MATCH(R$1,'CA Standards and Followers'!$1:$1,0)),0))</f>
        <v>0</v>
      </c>
      <c r="S60">
        <f>IF(AND(INDEX('CA Standards and Followers'!$E$14:$E$73,MATCH($A60,'CA Standards and Followers'!$A$14:$A$73,0))=1,INDEX('CA Standards and Followers'!$H$14:$H$73,MATCH($A60,'CA Standards and Followers'!$A$14:$A$73,0))&lt;=S$1),INDEX('CA Standards and Followers'!$3:$3,MATCH(S$1,'CA Standards and Followers'!$1:$1,0)),IF(AND(INDEX('CA Standards and Followers'!$D$14:$D$73,MATCH($A60,'CA Standards and Followers'!$A$14:$A$73,0))=1,INDEX('CA Standards and Followers'!$G$14:$G$73,MATCH($A60,'CA Standards and Followers'!$A$14:$A$73,0))&lt;=S$1),INDEX('CA Standards and Followers'!$2:$2,MATCH(S$1,'CA Standards and Followers'!$1:$1,0)),0))</f>
        <v>0</v>
      </c>
      <c r="T60">
        <f>IF(AND(INDEX('CA Standards and Followers'!$E$14:$E$73,MATCH($A60,'CA Standards and Followers'!$A$14:$A$73,0))=1,INDEX('CA Standards and Followers'!$H$14:$H$73,MATCH($A60,'CA Standards and Followers'!$A$14:$A$73,0))&lt;=T$1),INDEX('CA Standards and Followers'!$3:$3,MATCH(T$1,'CA Standards and Followers'!$1:$1,0)),IF(AND(INDEX('CA Standards and Followers'!$D$14:$D$73,MATCH($A60,'CA Standards and Followers'!$A$14:$A$73,0))=1,INDEX('CA Standards and Followers'!$G$14:$G$73,MATCH($A60,'CA Standards and Followers'!$A$14:$A$73,0))&lt;=T$1),INDEX('CA Standards and Followers'!$2:$2,MATCH(T$1,'CA Standards and Followers'!$1:$1,0)),0))</f>
        <v>0</v>
      </c>
      <c r="U60">
        <f>IF(AND(INDEX('CA Standards and Followers'!$E$14:$E$73,MATCH($A60,'CA Standards and Followers'!$A$14:$A$73,0))=1,INDEX('CA Standards and Followers'!$H$14:$H$73,MATCH($A60,'CA Standards and Followers'!$A$14:$A$73,0))&lt;=U$1),INDEX('CA Standards and Followers'!$3:$3,MATCH(U$1,'CA Standards and Followers'!$1:$1,0)),IF(AND(INDEX('CA Standards and Followers'!$D$14:$D$73,MATCH($A60,'CA Standards and Followers'!$A$14:$A$73,0))=1,INDEX('CA Standards and Followers'!$G$14:$G$73,MATCH($A60,'CA Standards and Followers'!$A$14:$A$73,0))&lt;=U$1),INDEX('CA Standards and Followers'!$2:$2,MATCH(U$1,'CA Standards and Followers'!$1:$1,0)),0))</f>
        <v>0</v>
      </c>
      <c r="V60">
        <f>IF(AND(INDEX('CA Standards and Followers'!$E$14:$E$73,MATCH($A60,'CA Standards and Followers'!$A$14:$A$73,0))=1,INDEX('CA Standards and Followers'!$H$14:$H$73,MATCH($A60,'CA Standards and Followers'!$A$14:$A$73,0))&lt;=V$1),INDEX('CA Standards and Followers'!$3:$3,MATCH(V$1,'CA Standards and Followers'!$1:$1,0)),IF(AND(INDEX('CA Standards and Followers'!$D$14:$D$73,MATCH($A60,'CA Standards and Followers'!$A$14:$A$73,0))=1,INDEX('CA Standards and Followers'!$G$14:$G$73,MATCH($A60,'CA Standards and Followers'!$A$14:$A$73,0))&lt;=V$1),INDEX('CA Standards and Followers'!$2:$2,MATCH(V$1,'CA Standards and Followers'!$1:$1,0)),0))</f>
        <v>0</v>
      </c>
      <c r="W60">
        <f>IF(AND(INDEX('CA Standards and Followers'!$E$14:$E$73,MATCH($A60,'CA Standards and Followers'!$A$14:$A$73,0))=1,INDEX('CA Standards and Followers'!$H$14:$H$73,MATCH($A60,'CA Standards and Followers'!$A$14:$A$73,0))&lt;=W$1),INDEX('CA Standards and Followers'!$3:$3,MATCH(W$1,'CA Standards and Followers'!$1:$1,0)),IF(AND(INDEX('CA Standards and Followers'!$D$14:$D$73,MATCH($A60,'CA Standards and Followers'!$A$14:$A$73,0))=1,INDEX('CA Standards and Followers'!$G$14:$G$73,MATCH($A60,'CA Standards and Followers'!$A$14:$A$73,0))&lt;=W$1),INDEX('CA Standards and Followers'!$2:$2,MATCH(W$1,'CA Standards and Followers'!$1:$1,0)),0))</f>
        <v>0</v>
      </c>
      <c r="X60">
        <f>IF(AND(INDEX('CA Standards and Followers'!$E$14:$E$73,MATCH($A60,'CA Standards and Followers'!$A$14:$A$73,0))=1,INDEX('CA Standards and Followers'!$H$14:$H$73,MATCH($A60,'CA Standards and Followers'!$A$14:$A$73,0))&lt;=X$1),INDEX('CA Standards and Followers'!$3:$3,MATCH(X$1,'CA Standards and Followers'!$1:$1,0)),IF(AND(INDEX('CA Standards and Followers'!$D$14:$D$73,MATCH($A60,'CA Standards and Followers'!$A$14:$A$73,0))=1,INDEX('CA Standards and Followers'!$G$14:$G$73,MATCH($A60,'CA Standards and Followers'!$A$14:$A$73,0))&lt;=X$1),INDEX('CA Standards and Followers'!$2:$2,MATCH(X$1,'CA Standards and Followers'!$1:$1,0)),0))</f>
        <v>0</v>
      </c>
      <c r="Y60">
        <f>IF(AND(INDEX('CA Standards and Followers'!$E$14:$E$73,MATCH($A60,'CA Standards and Followers'!$A$14:$A$73,0))=1,INDEX('CA Standards and Followers'!$H$14:$H$73,MATCH($A60,'CA Standards and Followers'!$A$14:$A$73,0))&lt;=Y$1),INDEX('CA Standards and Followers'!$3:$3,MATCH(Y$1,'CA Standards and Followers'!$1:$1,0)),IF(AND(INDEX('CA Standards and Followers'!$D$14:$D$73,MATCH($A60,'CA Standards and Followers'!$A$14:$A$73,0))=1,INDEX('CA Standards and Followers'!$G$14:$G$73,MATCH($A60,'CA Standards and Followers'!$A$14:$A$73,0))&lt;=Y$1),INDEX('CA Standards and Followers'!$2:$2,MATCH(Y$1,'CA Standards and Followers'!$1:$1,0)),0))</f>
        <v>0</v>
      </c>
      <c r="Z60">
        <f>IF(AND(INDEX('CA Standards and Followers'!$E$14:$E$73,MATCH($A60,'CA Standards and Followers'!$A$14:$A$73,0))=1,INDEX('CA Standards and Followers'!$H$14:$H$73,MATCH($A60,'CA Standards and Followers'!$A$14:$A$73,0))&lt;=Z$1),INDEX('CA Standards and Followers'!$3:$3,MATCH(Z$1,'CA Standards and Followers'!$1:$1,0)),IF(AND(INDEX('CA Standards and Followers'!$D$14:$D$73,MATCH($A60,'CA Standards and Followers'!$A$14:$A$73,0))=1,INDEX('CA Standards and Followers'!$G$14:$G$73,MATCH($A60,'CA Standards and Followers'!$A$14:$A$73,0))&lt;=Z$1),INDEX('CA Standards and Followers'!$2:$2,MATCH(Z$1,'CA Standards and Followers'!$1:$1,0)),0))</f>
        <v>0</v>
      </c>
      <c r="AA60">
        <f>IF(AND(INDEX('CA Standards and Followers'!$E$14:$E$73,MATCH($A60,'CA Standards and Followers'!$A$14:$A$73,0))=1,INDEX('CA Standards and Followers'!$H$14:$H$73,MATCH($A60,'CA Standards and Followers'!$A$14:$A$73,0))&lt;=AA$1),INDEX('CA Standards and Followers'!$3:$3,MATCH(AA$1,'CA Standards and Followers'!$1:$1,0)),IF(AND(INDEX('CA Standards and Followers'!$D$14:$D$73,MATCH($A60,'CA Standards and Followers'!$A$14:$A$73,0))=1,INDEX('CA Standards and Followers'!$G$14:$G$73,MATCH($A60,'CA Standards and Followers'!$A$14:$A$73,0))&lt;=AA$1),INDEX('CA Standards and Followers'!$2:$2,MATCH(AA$1,'CA Standards and Followers'!$1:$1,0)),0))</f>
        <v>0</v>
      </c>
      <c r="AB60">
        <f>IF(AND(INDEX('CA Standards and Followers'!$E$14:$E$73,MATCH($A60,'CA Standards and Followers'!$A$14:$A$73,0))=1,INDEX('CA Standards and Followers'!$H$14:$H$73,MATCH($A60,'CA Standards and Followers'!$A$14:$A$73,0))&lt;=AB$1),INDEX('CA Standards and Followers'!$3:$3,MATCH(AB$1,'CA Standards and Followers'!$1:$1,0)),IF(AND(INDEX('CA Standards and Followers'!$D$14:$D$73,MATCH($A60,'CA Standards and Followers'!$A$14:$A$73,0))=1,INDEX('CA Standards and Followers'!$G$14:$G$73,MATCH($A60,'CA Standards and Followers'!$A$14:$A$73,0))&lt;=AB$1),INDEX('CA Standards and Followers'!$2:$2,MATCH(AB$1,'CA Standards and Followers'!$1:$1,0)),0))</f>
        <v>0</v>
      </c>
      <c r="AC60">
        <f>IF(AND(INDEX('CA Standards and Followers'!$E$14:$E$73,MATCH($A60,'CA Standards and Followers'!$A$14:$A$73,0))=1,INDEX('CA Standards and Followers'!$H$14:$H$73,MATCH($A60,'CA Standards and Followers'!$A$14:$A$73,0))&lt;=AC$1),INDEX('CA Standards and Followers'!$3:$3,MATCH(AC$1,'CA Standards and Followers'!$1:$1,0)),IF(AND(INDEX('CA Standards and Followers'!$D$14:$D$73,MATCH($A60,'CA Standards and Followers'!$A$14:$A$73,0))=1,INDEX('CA Standards and Followers'!$G$14:$G$73,MATCH($A60,'CA Standards and Followers'!$A$14:$A$73,0))&lt;=AC$1),INDEX('CA Standards and Followers'!$2:$2,MATCH(AC$1,'CA Standards and Followers'!$1:$1,0)),0))</f>
        <v>0</v>
      </c>
      <c r="AD60">
        <f>IF(AND(INDEX('CA Standards and Followers'!$E$14:$E$73,MATCH($A60,'CA Standards and Followers'!$A$14:$A$73,0))=1,INDEX('CA Standards and Followers'!$H$14:$H$73,MATCH($A60,'CA Standards and Followers'!$A$14:$A$73,0))&lt;=AD$1),INDEX('CA Standards and Followers'!$3:$3,MATCH(AD$1,'CA Standards and Followers'!$1:$1,0)),IF(AND(INDEX('CA Standards and Followers'!$D$14:$D$73,MATCH($A60,'CA Standards and Followers'!$A$14:$A$73,0))=1,INDEX('CA Standards and Followers'!$G$14:$G$73,MATCH($A60,'CA Standards and Followers'!$A$14:$A$73,0))&lt;=AD$1),INDEX('CA Standards and Followers'!$2:$2,MATCH(AD$1,'CA Standards and Followers'!$1:$1,0)),0))</f>
        <v>0</v>
      </c>
      <c r="AE60">
        <f>IF(AND(INDEX('CA Standards and Followers'!$E$14:$E$73,MATCH($A60,'CA Standards and Followers'!$A$14:$A$73,0))=1,INDEX('CA Standards and Followers'!$H$14:$H$73,MATCH($A60,'CA Standards and Followers'!$A$14:$A$73,0))&lt;=AE$1),INDEX('CA Standards and Followers'!$3:$3,MATCH(AE$1,'CA Standards and Followers'!$1:$1,0)),IF(AND(INDEX('CA Standards and Followers'!$D$14:$D$73,MATCH($A60,'CA Standards and Followers'!$A$14:$A$73,0))=1,INDEX('CA Standards and Followers'!$G$14:$G$73,MATCH($A60,'CA Standards and Followers'!$A$14:$A$73,0))&lt;=AE$1),INDEX('CA Standards and Followers'!$2:$2,MATCH(AE$1,'CA Standards and Followers'!$1:$1,0)),0))</f>
        <v>0</v>
      </c>
      <c r="AF60">
        <f>IF(AND(INDEX('CA Standards and Followers'!$E$14:$E$73,MATCH($A60,'CA Standards and Followers'!$A$14:$A$73,0))=1,INDEX('CA Standards and Followers'!$H$14:$H$73,MATCH($A60,'CA Standards and Followers'!$A$14:$A$73,0))&lt;=AF$1),INDEX('CA Standards and Followers'!$3:$3,MATCH(AF$1,'CA Standards and Followers'!$1:$1,0)),IF(AND(INDEX('CA Standards and Followers'!$D$14:$D$73,MATCH($A60,'CA Standards and Followers'!$A$14:$A$73,0))=1,INDEX('CA Standards and Followers'!$G$14:$G$73,MATCH($A60,'CA Standards and Followers'!$A$14:$A$73,0))&lt;=AF$1),INDEX('CA Standards and Followers'!$2:$2,MATCH(AF$1,'CA Standards and Followers'!$1:$1,0)),0))</f>
        <v>0</v>
      </c>
    </row>
    <row r="61" spans="1:32" x14ac:dyDescent="0.25">
      <c r="A61" t="s">
        <v>61</v>
      </c>
      <c r="B61">
        <f>IF(AND(INDEX('CA Standards and Followers'!$E$14:$E$73,MATCH($A61,'CA Standards and Followers'!$A$14:$A$73,0))=1,INDEX('CA Standards and Followers'!$H$14:$H$73,MATCH($A61,'CA Standards and Followers'!$A$14:$A$73,0))&lt;=B$1),INDEX('CA Standards and Followers'!$3:$3,MATCH(B$1,'CA Standards and Followers'!$1:$1,0)),IF(AND(INDEX('CA Standards and Followers'!$D$14:$D$73,MATCH($A61,'CA Standards and Followers'!$A$14:$A$73,0))=1,INDEX('CA Standards and Followers'!$G$14:$G$73,MATCH($A61,'CA Standards and Followers'!$A$14:$A$73,0))&lt;=B$1),INDEX('CA Standards and Followers'!$2:$2,MATCH(B$1,'CA Standards and Followers'!$1:$1,0)),0))</f>
        <v>0</v>
      </c>
      <c r="C61">
        <f>IF(AND(INDEX('CA Standards and Followers'!$E$14:$E$73,MATCH($A61,'CA Standards and Followers'!$A$14:$A$73,0))=1,INDEX('CA Standards and Followers'!$H$14:$H$73,MATCH($A61,'CA Standards and Followers'!$A$14:$A$73,0))&lt;=C$1),INDEX('CA Standards and Followers'!$3:$3,MATCH(C$1,'CA Standards and Followers'!$1:$1,0)),IF(AND(INDEX('CA Standards and Followers'!$D$14:$D$73,MATCH($A61,'CA Standards and Followers'!$A$14:$A$73,0))=1,INDEX('CA Standards and Followers'!$G$14:$G$73,MATCH($A61,'CA Standards and Followers'!$A$14:$A$73,0))&lt;=C$1),INDEX('CA Standards and Followers'!$2:$2,MATCH(C$1,'CA Standards and Followers'!$1:$1,0)),0))</f>
        <v>0</v>
      </c>
      <c r="D61">
        <f>IF(AND(INDEX('CA Standards and Followers'!$E$14:$E$73,MATCH($A61,'CA Standards and Followers'!$A$14:$A$73,0))=1,INDEX('CA Standards and Followers'!$H$14:$H$73,MATCH($A61,'CA Standards and Followers'!$A$14:$A$73,0))&lt;=D$1),INDEX('CA Standards and Followers'!$3:$3,MATCH(D$1,'CA Standards and Followers'!$1:$1,0)),IF(AND(INDEX('CA Standards and Followers'!$D$14:$D$73,MATCH($A61,'CA Standards and Followers'!$A$14:$A$73,0))=1,INDEX('CA Standards and Followers'!$G$14:$G$73,MATCH($A61,'CA Standards and Followers'!$A$14:$A$73,0))&lt;=D$1),INDEX('CA Standards and Followers'!$2:$2,MATCH(D$1,'CA Standards and Followers'!$1:$1,0)),0))</f>
        <v>0</v>
      </c>
      <c r="E61">
        <f>IF(AND(INDEX('CA Standards and Followers'!$E$14:$E$73,MATCH($A61,'CA Standards and Followers'!$A$14:$A$73,0))=1,INDEX('CA Standards and Followers'!$H$14:$H$73,MATCH($A61,'CA Standards and Followers'!$A$14:$A$73,0))&lt;=E$1),INDEX('CA Standards and Followers'!$3:$3,MATCH(E$1,'CA Standards and Followers'!$1:$1,0)),IF(AND(INDEX('CA Standards and Followers'!$D$14:$D$73,MATCH($A61,'CA Standards and Followers'!$A$14:$A$73,0))=1,INDEX('CA Standards and Followers'!$G$14:$G$73,MATCH($A61,'CA Standards and Followers'!$A$14:$A$73,0))&lt;=E$1),INDEX('CA Standards and Followers'!$2:$2,MATCH(E$1,'CA Standards and Followers'!$1:$1,0)),0))</f>
        <v>0</v>
      </c>
      <c r="F61">
        <f>IF(AND(INDEX('CA Standards and Followers'!$E$14:$E$73,MATCH($A61,'CA Standards and Followers'!$A$14:$A$73,0))=1,INDEX('CA Standards and Followers'!$H$14:$H$73,MATCH($A61,'CA Standards and Followers'!$A$14:$A$73,0))&lt;=F$1),INDEX('CA Standards and Followers'!$3:$3,MATCH(F$1,'CA Standards and Followers'!$1:$1,0)),IF(AND(INDEX('CA Standards and Followers'!$D$14:$D$73,MATCH($A61,'CA Standards and Followers'!$A$14:$A$73,0))=1,INDEX('CA Standards and Followers'!$G$14:$G$73,MATCH($A61,'CA Standards and Followers'!$A$14:$A$73,0))&lt;=F$1),INDEX('CA Standards and Followers'!$2:$2,MATCH(F$1,'CA Standards and Followers'!$1:$1,0)),0))</f>
        <v>0</v>
      </c>
      <c r="G61">
        <f>IF(AND(INDEX('CA Standards and Followers'!$E$14:$E$73,MATCH($A61,'CA Standards and Followers'!$A$14:$A$73,0))=1,INDEX('CA Standards and Followers'!$H$14:$H$73,MATCH($A61,'CA Standards and Followers'!$A$14:$A$73,0))&lt;=G$1),INDEX('CA Standards and Followers'!$3:$3,MATCH(G$1,'CA Standards and Followers'!$1:$1,0)),IF(AND(INDEX('CA Standards and Followers'!$D$14:$D$73,MATCH($A61,'CA Standards and Followers'!$A$14:$A$73,0))=1,INDEX('CA Standards and Followers'!$G$14:$G$73,MATCH($A61,'CA Standards and Followers'!$A$14:$A$73,0))&lt;=G$1),INDEX('CA Standards and Followers'!$2:$2,MATCH(G$1,'CA Standards and Followers'!$1:$1,0)),0))</f>
        <v>0</v>
      </c>
      <c r="H61">
        <f>IF(AND(INDEX('CA Standards and Followers'!$E$14:$E$73,MATCH($A61,'CA Standards and Followers'!$A$14:$A$73,0))=1,INDEX('CA Standards and Followers'!$H$14:$H$73,MATCH($A61,'CA Standards and Followers'!$A$14:$A$73,0))&lt;=H$1),INDEX('CA Standards and Followers'!$3:$3,MATCH(H$1,'CA Standards and Followers'!$1:$1,0)),IF(AND(INDEX('CA Standards and Followers'!$D$14:$D$73,MATCH($A61,'CA Standards and Followers'!$A$14:$A$73,0))=1,INDEX('CA Standards and Followers'!$G$14:$G$73,MATCH($A61,'CA Standards and Followers'!$A$14:$A$73,0))&lt;=H$1),INDEX('CA Standards and Followers'!$2:$2,MATCH(H$1,'CA Standards and Followers'!$1:$1,0)),0))</f>
        <v>0</v>
      </c>
      <c r="I61">
        <f>IF(AND(INDEX('CA Standards and Followers'!$E$14:$E$73,MATCH($A61,'CA Standards and Followers'!$A$14:$A$73,0))=1,INDEX('CA Standards and Followers'!$H$14:$H$73,MATCH($A61,'CA Standards and Followers'!$A$14:$A$73,0))&lt;=I$1),INDEX('CA Standards and Followers'!$3:$3,MATCH(I$1,'CA Standards and Followers'!$1:$1,0)),IF(AND(INDEX('CA Standards and Followers'!$D$14:$D$73,MATCH($A61,'CA Standards and Followers'!$A$14:$A$73,0))=1,INDEX('CA Standards and Followers'!$G$14:$G$73,MATCH($A61,'CA Standards and Followers'!$A$14:$A$73,0))&lt;=I$1),INDEX('CA Standards and Followers'!$2:$2,MATCH(I$1,'CA Standards and Followers'!$1:$1,0)),0))</f>
        <v>0</v>
      </c>
      <c r="J61">
        <f>IF(AND(INDEX('CA Standards and Followers'!$E$14:$E$73,MATCH($A61,'CA Standards and Followers'!$A$14:$A$73,0))=1,INDEX('CA Standards and Followers'!$H$14:$H$73,MATCH($A61,'CA Standards and Followers'!$A$14:$A$73,0))&lt;=J$1),INDEX('CA Standards and Followers'!$3:$3,MATCH(J$1,'CA Standards and Followers'!$1:$1,0)),IF(AND(INDEX('CA Standards and Followers'!$D$14:$D$73,MATCH($A61,'CA Standards and Followers'!$A$14:$A$73,0))=1,INDEX('CA Standards and Followers'!$G$14:$G$73,MATCH($A61,'CA Standards and Followers'!$A$14:$A$73,0))&lt;=J$1),INDEX('CA Standards and Followers'!$2:$2,MATCH(J$1,'CA Standards and Followers'!$1:$1,0)),0))</f>
        <v>0</v>
      </c>
      <c r="K61">
        <f>IF(AND(INDEX('CA Standards and Followers'!$E$14:$E$73,MATCH($A61,'CA Standards and Followers'!$A$14:$A$73,0))=1,INDEX('CA Standards and Followers'!$H$14:$H$73,MATCH($A61,'CA Standards and Followers'!$A$14:$A$73,0))&lt;=K$1),INDEX('CA Standards and Followers'!$3:$3,MATCH(K$1,'CA Standards and Followers'!$1:$1,0)),IF(AND(INDEX('CA Standards and Followers'!$D$14:$D$73,MATCH($A61,'CA Standards and Followers'!$A$14:$A$73,0))=1,INDEX('CA Standards and Followers'!$G$14:$G$73,MATCH($A61,'CA Standards and Followers'!$A$14:$A$73,0))&lt;=K$1),INDEX('CA Standards and Followers'!$2:$2,MATCH(K$1,'CA Standards and Followers'!$1:$1,0)),0))</f>
        <v>0</v>
      </c>
      <c r="L61">
        <f>IF(AND(INDEX('CA Standards and Followers'!$E$14:$E$73,MATCH($A61,'CA Standards and Followers'!$A$14:$A$73,0))=1,INDEX('CA Standards and Followers'!$H$14:$H$73,MATCH($A61,'CA Standards and Followers'!$A$14:$A$73,0))&lt;=L$1),INDEX('CA Standards and Followers'!$3:$3,MATCH(L$1,'CA Standards and Followers'!$1:$1,0)),IF(AND(INDEX('CA Standards and Followers'!$D$14:$D$73,MATCH($A61,'CA Standards and Followers'!$A$14:$A$73,0))=1,INDEX('CA Standards and Followers'!$G$14:$G$73,MATCH($A61,'CA Standards and Followers'!$A$14:$A$73,0))&lt;=L$1),INDEX('CA Standards and Followers'!$2:$2,MATCH(L$1,'CA Standards and Followers'!$1:$1,0)),0))</f>
        <v>0</v>
      </c>
      <c r="M61">
        <f>IF(AND(INDEX('CA Standards and Followers'!$E$14:$E$73,MATCH($A61,'CA Standards and Followers'!$A$14:$A$73,0))=1,INDEX('CA Standards and Followers'!$H$14:$H$73,MATCH($A61,'CA Standards and Followers'!$A$14:$A$73,0))&lt;=M$1),INDEX('CA Standards and Followers'!$3:$3,MATCH(M$1,'CA Standards and Followers'!$1:$1,0)),IF(AND(INDEX('CA Standards and Followers'!$D$14:$D$73,MATCH($A61,'CA Standards and Followers'!$A$14:$A$73,0))=1,INDEX('CA Standards and Followers'!$G$14:$G$73,MATCH($A61,'CA Standards and Followers'!$A$14:$A$73,0))&lt;=M$1),INDEX('CA Standards and Followers'!$2:$2,MATCH(M$1,'CA Standards and Followers'!$1:$1,0)),0))</f>
        <v>0</v>
      </c>
      <c r="N61">
        <f>IF(AND(INDEX('CA Standards and Followers'!$E$14:$E$73,MATCH($A61,'CA Standards and Followers'!$A$14:$A$73,0))=1,INDEX('CA Standards and Followers'!$H$14:$H$73,MATCH($A61,'CA Standards and Followers'!$A$14:$A$73,0))&lt;=N$1),INDEX('CA Standards and Followers'!$3:$3,MATCH(N$1,'CA Standards and Followers'!$1:$1,0)),IF(AND(INDEX('CA Standards and Followers'!$D$14:$D$73,MATCH($A61,'CA Standards and Followers'!$A$14:$A$73,0))=1,INDEX('CA Standards and Followers'!$G$14:$G$73,MATCH($A61,'CA Standards and Followers'!$A$14:$A$73,0))&lt;=N$1),INDEX('CA Standards and Followers'!$2:$2,MATCH(N$1,'CA Standards and Followers'!$1:$1,0)),0))</f>
        <v>0</v>
      </c>
      <c r="O61">
        <f>IF(AND(INDEX('CA Standards and Followers'!$E$14:$E$73,MATCH($A61,'CA Standards and Followers'!$A$14:$A$73,0))=1,INDEX('CA Standards and Followers'!$H$14:$H$73,MATCH($A61,'CA Standards and Followers'!$A$14:$A$73,0))&lt;=O$1),INDEX('CA Standards and Followers'!$3:$3,MATCH(O$1,'CA Standards and Followers'!$1:$1,0)),IF(AND(INDEX('CA Standards and Followers'!$D$14:$D$73,MATCH($A61,'CA Standards and Followers'!$A$14:$A$73,0))=1,INDEX('CA Standards and Followers'!$G$14:$G$73,MATCH($A61,'CA Standards and Followers'!$A$14:$A$73,0))&lt;=O$1),INDEX('CA Standards and Followers'!$2:$2,MATCH(O$1,'CA Standards and Followers'!$1:$1,0)),0))</f>
        <v>0</v>
      </c>
      <c r="P61">
        <f>IF(AND(INDEX('CA Standards and Followers'!$E$14:$E$73,MATCH($A61,'CA Standards and Followers'!$A$14:$A$73,0))=1,INDEX('CA Standards and Followers'!$H$14:$H$73,MATCH($A61,'CA Standards and Followers'!$A$14:$A$73,0))&lt;=P$1),INDEX('CA Standards and Followers'!$3:$3,MATCH(P$1,'CA Standards and Followers'!$1:$1,0)),IF(AND(INDEX('CA Standards and Followers'!$D$14:$D$73,MATCH($A61,'CA Standards and Followers'!$A$14:$A$73,0))=1,INDEX('CA Standards and Followers'!$G$14:$G$73,MATCH($A61,'CA Standards and Followers'!$A$14:$A$73,0))&lt;=P$1),INDEX('CA Standards and Followers'!$2:$2,MATCH(P$1,'CA Standards and Followers'!$1:$1,0)),0))</f>
        <v>0</v>
      </c>
      <c r="Q61">
        <f>IF(AND(INDEX('CA Standards and Followers'!$E$14:$E$73,MATCH($A61,'CA Standards and Followers'!$A$14:$A$73,0))=1,INDEX('CA Standards and Followers'!$H$14:$H$73,MATCH($A61,'CA Standards and Followers'!$A$14:$A$73,0))&lt;=Q$1),INDEX('CA Standards and Followers'!$3:$3,MATCH(Q$1,'CA Standards and Followers'!$1:$1,0)),IF(AND(INDEX('CA Standards and Followers'!$D$14:$D$73,MATCH($A61,'CA Standards and Followers'!$A$14:$A$73,0))=1,INDEX('CA Standards and Followers'!$G$14:$G$73,MATCH($A61,'CA Standards and Followers'!$A$14:$A$73,0))&lt;=Q$1),INDEX('CA Standards and Followers'!$2:$2,MATCH(Q$1,'CA Standards and Followers'!$1:$1,0)),0))</f>
        <v>0</v>
      </c>
      <c r="R61">
        <f>IF(AND(INDEX('CA Standards and Followers'!$E$14:$E$73,MATCH($A61,'CA Standards and Followers'!$A$14:$A$73,0))=1,INDEX('CA Standards and Followers'!$H$14:$H$73,MATCH($A61,'CA Standards and Followers'!$A$14:$A$73,0))&lt;=R$1),INDEX('CA Standards and Followers'!$3:$3,MATCH(R$1,'CA Standards and Followers'!$1:$1,0)),IF(AND(INDEX('CA Standards and Followers'!$D$14:$D$73,MATCH($A61,'CA Standards and Followers'!$A$14:$A$73,0))=1,INDEX('CA Standards and Followers'!$G$14:$G$73,MATCH($A61,'CA Standards and Followers'!$A$14:$A$73,0))&lt;=R$1),INDEX('CA Standards and Followers'!$2:$2,MATCH(R$1,'CA Standards and Followers'!$1:$1,0)),0))</f>
        <v>0</v>
      </c>
      <c r="S61">
        <f>IF(AND(INDEX('CA Standards and Followers'!$E$14:$E$73,MATCH($A61,'CA Standards and Followers'!$A$14:$A$73,0))=1,INDEX('CA Standards and Followers'!$H$14:$H$73,MATCH($A61,'CA Standards and Followers'!$A$14:$A$73,0))&lt;=S$1),INDEX('CA Standards and Followers'!$3:$3,MATCH(S$1,'CA Standards and Followers'!$1:$1,0)),IF(AND(INDEX('CA Standards and Followers'!$D$14:$D$73,MATCH($A61,'CA Standards and Followers'!$A$14:$A$73,0))=1,INDEX('CA Standards and Followers'!$G$14:$G$73,MATCH($A61,'CA Standards and Followers'!$A$14:$A$73,0))&lt;=S$1),INDEX('CA Standards and Followers'!$2:$2,MATCH(S$1,'CA Standards and Followers'!$1:$1,0)),0))</f>
        <v>0</v>
      </c>
      <c r="T61">
        <f>IF(AND(INDEX('CA Standards and Followers'!$E$14:$E$73,MATCH($A61,'CA Standards and Followers'!$A$14:$A$73,0))=1,INDEX('CA Standards and Followers'!$H$14:$H$73,MATCH($A61,'CA Standards and Followers'!$A$14:$A$73,0))&lt;=T$1),INDEX('CA Standards and Followers'!$3:$3,MATCH(T$1,'CA Standards and Followers'!$1:$1,0)),IF(AND(INDEX('CA Standards and Followers'!$D$14:$D$73,MATCH($A61,'CA Standards and Followers'!$A$14:$A$73,0))=1,INDEX('CA Standards and Followers'!$G$14:$G$73,MATCH($A61,'CA Standards and Followers'!$A$14:$A$73,0))&lt;=T$1),INDEX('CA Standards and Followers'!$2:$2,MATCH(T$1,'CA Standards and Followers'!$1:$1,0)),0))</f>
        <v>0</v>
      </c>
      <c r="U61">
        <f>IF(AND(INDEX('CA Standards and Followers'!$E$14:$E$73,MATCH($A61,'CA Standards and Followers'!$A$14:$A$73,0))=1,INDEX('CA Standards and Followers'!$H$14:$H$73,MATCH($A61,'CA Standards and Followers'!$A$14:$A$73,0))&lt;=U$1),INDEX('CA Standards and Followers'!$3:$3,MATCH(U$1,'CA Standards and Followers'!$1:$1,0)),IF(AND(INDEX('CA Standards and Followers'!$D$14:$D$73,MATCH($A61,'CA Standards and Followers'!$A$14:$A$73,0))=1,INDEX('CA Standards and Followers'!$G$14:$G$73,MATCH($A61,'CA Standards and Followers'!$A$14:$A$73,0))&lt;=U$1),INDEX('CA Standards and Followers'!$2:$2,MATCH(U$1,'CA Standards and Followers'!$1:$1,0)),0))</f>
        <v>0</v>
      </c>
      <c r="V61">
        <f>IF(AND(INDEX('CA Standards and Followers'!$E$14:$E$73,MATCH($A61,'CA Standards and Followers'!$A$14:$A$73,0))=1,INDEX('CA Standards and Followers'!$H$14:$H$73,MATCH($A61,'CA Standards and Followers'!$A$14:$A$73,0))&lt;=V$1),INDEX('CA Standards and Followers'!$3:$3,MATCH(V$1,'CA Standards and Followers'!$1:$1,0)),IF(AND(INDEX('CA Standards and Followers'!$D$14:$D$73,MATCH($A61,'CA Standards and Followers'!$A$14:$A$73,0))=1,INDEX('CA Standards and Followers'!$G$14:$G$73,MATCH($A61,'CA Standards and Followers'!$A$14:$A$73,0))&lt;=V$1),INDEX('CA Standards and Followers'!$2:$2,MATCH(V$1,'CA Standards and Followers'!$1:$1,0)),0))</f>
        <v>0</v>
      </c>
      <c r="W61">
        <f>IF(AND(INDEX('CA Standards and Followers'!$E$14:$E$73,MATCH($A61,'CA Standards and Followers'!$A$14:$A$73,0))=1,INDEX('CA Standards and Followers'!$H$14:$H$73,MATCH($A61,'CA Standards and Followers'!$A$14:$A$73,0))&lt;=W$1),INDEX('CA Standards and Followers'!$3:$3,MATCH(W$1,'CA Standards and Followers'!$1:$1,0)),IF(AND(INDEX('CA Standards and Followers'!$D$14:$D$73,MATCH($A61,'CA Standards and Followers'!$A$14:$A$73,0))=1,INDEX('CA Standards and Followers'!$G$14:$G$73,MATCH($A61,'CA Standards and Followers'!$A$14:$A$73,0))&lt;=W$1),INDEX('CA Standards and Followers'!$2:$2,MATCH(W$1,'CA Standards and Followers'!$1:$1,0)),0))</f>
        <v>0</v>
      </c>
      <c r="X61">
        <f>IF(AND(INDEX('CA Standards and Followers'!$E$14:$E$73,MATCH($A61,'CA Standards and Followers'!$A$14:$A$73,0))=1,INDEX('CA Standards and Followers'!$H$14:$H$73,MATCH($A61,'CA Standards and Followers'!$A$14:$A$73,0))&lt;=X$1),INDEX('CA Standards and Followers'!$3:$3,MATCH(X$1,'CA Standards and Followers'!$1:$1,0)),IF(AND(INDEX('CA Standards and Followers'!$D$14:$D$73,MATCH($A61,'CA Standards and Followers'!$A$14:$A$73,0))=1,INDEX('CA Standards and Followers'!$G$14:$G$73,MATCH($A61,'CA Standards and Followers'!$A$14:$A$73,0))&lt;=X$1),INDEX('CA Standards and Followers'!$2:$2,MATCH(X$1,'CA Standards and Followers'!$1:$1,0)),0))</f>
        <v>0</v>
      </c>
      <c r="Y61">
        <f>IF(AND(INDEX('CA Standards and Followers'!$E$14:$E$73,MATCH($A61,'CA Standards and Followers'!$A$14:$A$73,0))=1,INDEX('CA Standards and Followers'!$H$14:$H$73,MATCH($A61,'CA Standards and Followers'!$A$14:$A$73,0))&lt;=Y$1),INDEX('CA Standards and Followers'!$3:$3,MATCH(Y$1,'CA Standards and Followers'!$1:$1,0)),IF(AND(INDEX('CA Standards and Followers'!$D$14:$D$73,MATCH($A61,'CA Standards and Followers'!$A$14:$A$73,0))=1,INDEX('CA Standards and Followers'!$G$14:$G$73,MATCH($A61,'CA Standards and Followers'!$A$14:$A$73,0))&lt;=Y$1),INDEX('CA Standards and Followers'!$2:$2,MATCH(Y$1,'CA Standards and Followers'!$1:$1,0)),0))</f>
        <v>0</v>
      </c>
      <c r="Z61">
        <f>IF(AND(INDEX('CA Standards and Followers'!$E$14:$E$73,MATCH($A61,'CA Standards and Followers'!$A$14:$A$73,0))=1,INDEX('CA Standards and Followers'!$H$14:$H$73,MATCH($A61,'CA Standards and Followers'!$A$14:$A$73,0))&lt;=Z$1),INDEX('CA Standards and Followers'!$3:$3,MATCH(Z$1,'CA Standards and Followers'!$1:$1,0)),IF(AND(INDEX('CA Standards and Followers'!$D$14:$D$73,MATCH($A61,'CA Standards and Followers'!$A$14:$A$73,0))=1,INDEX('CA Standards and Followers'!$G$14:$G$73,MATCH($A61,'CA Standards and Followers'!$A$14:$A$73,0))&lt;=Z$1),INDEX('CA Standards and Followers'!$2:$2,MATCH(Z$1,'CA Standards and Followers'!$1:$1,0)),0))</f>
        <v>0</v>
      </c>
      <c r="AA61">
        <f>IF(AND(INDEX('CA Standards and Followers'!$E$14:$E$73,MATCH($A61,'CA Standards and Followers'!$A$14:$A$73,0))=1,INDEX('CA Standards and Followers'!$H$14:$H$73,MATCH($A61,'CA Standards and Followers'!$A$14:$A$73,0))&lt;=AA$1),INDEX('CA Standards and Followers'!$3:$3,MATCH(AA$1,'CA Standards and Followers'!$1:$1,0)),IF(AND(INDEX('CA Standards and Followers'!$D$14:$D$73,MATCH($A61,'CA Standards and Followers'!$A$14:$A$73,0))=1,INDEX('CA Standards and Followers'!$G$14:$G$73,MATCH($A61,'CA Standards and Followers'!$A$14:$A$73,0))&lt;=AA$1),INDEX('CA Standards and Followers'!$2:$2,MATCH(AA$1,'CA Standards and Followers'!$1:$1,0)),0))</f>
        <v>0</v>
      </c>
      <c r="AB61">
        <f>IF(AND(INDEX('CA Standards and Followers'!$E$14:$E$73,MATCH($A61,'CA Standards and Followers'!$A$14:$A$73,0))=1,INDEX('CA Standards and Followers'!$H$14:$H$73,MATCH($A61,'CA Standards and Followers'!$A$14:$A$73,0))&lt;=AB$1),INDEX('CA Standards and Followers'!$3:$3,MATCH(AB$1,'CA Standards and Followers'!$1:$1,0)),IF(AND(INDEX('CA Standards and Followers'!$D$14:$D$73,MATCH($A61,'CA Standards and Followers'!$A$14:$A$73,0))=1,INDEX('CA Standards and Followers'!$G$14:$G$73,MATCH($A61,'CA Standards and Followers'!$A$14:$A$73,0))&lt;=AB$1),INDEX('CA Standards and Followers'!$2:$2,MATCH(AB$1,'CA Standards and Followers'!$1:$1,0)),0))</f>
        <v>0</v>
      </c>
      <c r="AC61">
        <f>IF(AND(INDEX('CA Standards and Followers'!$E$14:$E$73,MATCH($A61,'CA Standards and Followers'!$A$14:$A$73,0))=1,INDEX('CA Standards and Followers'!$H$14:$H$73,MATCH($A61,'CA Standards and Followers'!$A$14:$A$73,0))&lt;=AC$1),INDEX('CA Standards and Followers'!$3:$3,MATCH(AC$1,'CA Standards and Followers'!$1:$1,0)),IF(AND(INDEX('CA Standards and Followers'!$D$14:$D$73,MATCH($A61,'CA Standards and Followers'!$A$14:$A$73,0))=1,INDEX('CA Standards and Followers'!$G$14:$G$73,MATCH($A61,'CA Standards and Followers'!$A$14:$A$73,0))&lt;=AC$1),INDEX('CA Standards and Followers'!$2:$2,MATCH(AC$1,'CA Standards and Followers'!$1:$1,0)),0))</f>
        <v>0</v>
      </c>
      <c r="AD61">
        <f>IF(AND(INDEX('CA Standards and Followers'!$E$14:$E$73,MATCH($A61,'CA Standards and Followers'!$A$14:$A$73,0))=1,INDEX('CA Standards and Followers'!$H$14:$H$73,MATCH($A61,'CA Standards and Followers'!$A$14:$A$73,0))&lt;=AD$1),INDEX('CA Standards and Followers'!$3:$3,MATCH(AD$1,'CA Standards and Followers'!$1:$1,0)),IF(AND(INDEX('CA Standards and Followers'!$D$14:$D$73,MATCH($A61,'CA Standards and Followers'!$A$14:$A$73,0))=1,INDEX('CA Standards and Followers'!$G$14:$G$73,MATCH($A61,'CA Standards and Followers'!$A$14:$A$73,0))&lt;=AD$1),INDEX('CA Standards and Followers'!$2:$2,MATCH(AD$1,'CA Standards and Followers'!$1:$1,0)),0))</f>
        <v>0</v>
      </c>
      <c r="AE61">
        <f>IF(AND(INDEX('CA Standards and Followers'!$E$14:$E$73,MATCH($A61,'CA Standards and Followers'!$A$14:$A$73,0))=1,INDEX('CA Standards and Followers'!$H$14:$H$73,MATCH($A61,'CA Standards and Followers'!$A$14:$A$73,0))&lt;=AE$1),INDEX('CA Standards and Followers'!$3:$3,MATCH(AE$1,'CA Standards and Followers'!$1:$1,0)),IF(AND(INDEX('CA Standards and Followers'!$D$14:$D$73,MATCH($A61,'CA Standards and Followers'!$A$14:$A$73,0))=1,INDEX('CA Standards and Followers'!$G$14:$G$73,MATCH($A61,'CA Standards and Followers'!$A$14:$A$73,0))&lt;=AE$1),INDEX('CA Standards and Followers'!$2:$2,MATCH(AE$1,'CA Standards and Followers'!$1:$1,0)),0))</f>
        <v>0</v>
      </c>
      <c r="AF61">
        <f>IF(AND(INDEX('CA Standards and Followers'!$E$14:$E$73,MATCH($A61,'CA Standards and Followers'!$A$14:$A$73,0))=1,INDEX('CA Standards and Followers'!$H$14:$H$73,MATCH($A61,'CA Standards and Followers'!$A$14:$A$73,0))&lt;=AF$1),INDEX('CA Standards and Followers'!$3:$3,MATCH(AF$1,'CA Standards and Followers'!$1:$1,0)),IF(AND(INDEX('CA Standards and Followers'!$D$14:$D$73,MATCH($A61,'CA Standards and Followers'!$A$14:$A$73,0))=1,INDEX('CA Standards and Followers'!$G$14:$G$73,MATCH($A61,'CA Standards and Followers'!$A$14:$A$73,0))&lt;=AF$1),INDEX('CA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Followers'!B$5,0)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Followers'!C$5,0)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Followers'!D$5,0)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Followers'!E$5,0)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Followers'!F$5,0)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Followers'!G$5,0)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Followers'!B$5,0)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Followers'!C$5,0)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Followers'!D$5,0)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Followers'!E$5,0)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Followers'!F$5,0)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Followers'!G$5,0)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Followers'!B$5,0)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Followers'!C$5,0)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Followers'!D$5,0)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Followers'!E$5,0)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Followers'!F$5,0)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Followers'!G$5,0)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Followers'!B$5,0)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Followers'!C$5,0)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Followers'!D$5,0)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Followers'!E$5,0)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Followers'!F$5,0)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Followers'!G$5,0)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Followers'!B$5,0)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Followers'!C$5,0)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Followers'!D$5,0)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Followers'!E$5,0)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Followers'!F$5,0)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Followers'!G$5,0)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Followers'!B$5,0)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Followers'!C$5,0)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Followers'!D$5,0)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Followers'!E$5,0)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Followers'!F$5,0)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Followers'!G$5,0)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Followers'!B$5,0)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Followers'!C$5,0)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Followers'!D$5,0)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Followers'!E$5,0)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Followers'!F$5,0)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Followers'!G$5,0)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Followers'!B$5,0)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Followers'!C$5,0)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Followers'!D$5,0)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Followers'!E$5,0)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Followers'!F$5,0)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Followers'!G$5,0)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Followers'!B$5,0)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Followers'!C$5,0)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Followers'!D$5,0)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Followers'!E$5,0)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Followers'!F$5,0)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Followers'!G$5,0)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Followers'!B$5,0)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Followers'!C$5,0)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Followers'!D$5,0)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Followers'!E$5,0)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Followers'!F$5,0)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Followers'!G$5,0)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Followers'!B$5,0)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Followers'!C$5,0)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Followers'!D$5,0)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Followers'!E$5,0)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Followers'!F$5,0)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Followers'!G$5,0)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Followers'!B$5,0)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Followers'!C$5,0)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Followers'!D$5,0)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Followers'!E$5,0)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Followers'!F$5,0)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Followers'!G$5,0)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Followers'!B$5,0)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Followers'!C$5,0)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Followers'!D$5,0)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Followers'!E$5,0)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Followers'!F$5,0)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Followers'!G$5,0)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Followers'!B$5,0)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Followers'!C$5,0)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Followers'!D$5,0)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Followers'!E$5,0)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Followers'!F$5,0)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Followers'!G$5,0)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Followers'!B$5,0)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Followers'!C$5,0)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Followers'!D$5,0)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Followers'!E$5,0)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Followers'!F$5,0)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Followers'!G$5,0)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Followers'!B$5,0)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Followers'!C$5,0)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Followers'!D$5,0)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Followers'!E$5,0)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Followers'!F$5,0)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Followers'!G$5,0)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Followers'!B$5,0)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Followers'!C$5,0)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Followers'!D$5,0)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Followers'!E$5,0)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Followers'!F$5,0)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Followers'!G$5,0)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Followers'!B$5,0)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Followers'!C$5,0)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Followers'!D$5,0)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Followers'!E$5,0)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Followers'!F$5,0)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Followers'!G$5,0)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Followers'!B$5,0)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Followers'!C$5,0)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Followers'!D$5,0)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Followers'!E$5,0)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Followers'!F$5,0)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Followers'!G$5,0)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Followers'!B$5,0)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Followers'!C$5,0)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Followers'!D$5,0)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Followers'!E$5,0)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Followers'!F$5,0)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Followers'!G$5,0)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Followers'!B$5,0)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Followers'!C$5,0)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Followers'!D$5,0)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Followers'!E$5,0)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Followers'!F$5,0)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Followers'!G$5,0)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Followers'!B$5,0)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Followers'!C$5,0)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Followers'!D$5,0)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Followers'!E$5,0)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Followers'!F$5,0)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Followers'!G$5,0)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Followers'!B$5,0)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Followers'!C$5,0)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Followers'!D$5,0)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Followers'!E$5,0)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Followers'!F$5,0)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Followers'!G$5,0)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Followers'!B$5,0)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Followers'!C$5,0)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Followers'!D$5,0)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Followers'!E$5,0)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Followers'!F$5,0)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Followers'!G$5,0)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Followers'!B$5,0)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Followers'!C$5,0)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Followers'!D$5,0)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Followers'!E$5,0)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Followers'!F$5,0)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Followers'!G$5,0)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Followers'!B$5,0)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Followers'!C$5,0)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Followers'!D$5,0)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Followers'!E$5,0)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Followers'!F$5,0)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Followers'!G$5,0)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Followers'!B$5,0)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Followers'!C$5,0)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Followers'!D$5,0)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Followers'!E$5,0)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Followers'!F$5,0)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Followers'!G$5,0)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Followers'!B$5,0)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Followers'!C$5,0)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Followers'!D$5,0)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Followers'!E$5,0)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Followers'!F$5,0)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Followers'!G$5,0)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Followers'!B$5,0)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Followers'!C$5,0)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Followers'!D$5,0)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Followers'!E$5,0)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Followers'!F$5,0)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Followers'!G$5,0)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Followers'!B$5,0)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Followers'!C$5,0)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Followers'!D$5,0)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Followers'!E$5,0)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Followers'!F$5,0)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Followers'!G$5,0)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Followers'!B$5,0)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Followers'!C$5,0)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Followers'!D$5,0)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Followers'!E$5,0)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Followers'!F$5,0)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Followers'!G$5,0)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Followers'!B$5,0)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Followers'!C$5,0)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Followers'!D$5,0)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Followers'!E$5,0)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Followers'!F$5,0)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Followers'!G$5,0)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Followers'!B$5,0)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Followers'!C$5,0)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Followers'!D$5,0)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Followers'!E$5,0)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Followers'!F$5,0)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Followers'!G$5,0)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Followers'!B$5,0)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Followers'!C$5,0)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Followers'!D$5,0)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Followers'!E$5,0)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Followers'!F$5,0)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Followers'!G$5,0)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Followers'!B$5,0)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Followers'!C$5,0)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Followers'!D$5,0)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Followers'!E$5,0)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Followers'!F$5,0)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Followers'!G$5,0)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Followers'!B$5,0)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Followers'!C$5,0)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Followers'!D$5,0)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Followers'!E$5,0)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Followers'!F$5,0)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Followers'!G$5,0)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Followers'!B$5,0)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Followers'!C$5,0)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Followers'!D$5,0)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Followers'!E$5,0)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Followers'!F$5,0)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Followers'!G$5,0)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Followers'!B$5,0)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Followers'!C$5,0)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Followers'!D$5,0)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Followers'!E$5,0)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Followers'!F$5,0)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Followers'!G$5,0)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Followers'!B$5,0)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Followers'!C$5,0)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Followers'!D$5,0)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Followers'!E$5,0)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Followers'!F$5,0)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Followers'!G$5,0)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Followers'!B$5,0)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Followers'!C$5,0)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Followers'!D$5,0)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Followers'!E$5,0)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Followers'!F$5,0)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Followers'!G$5,0)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Followers'!B$5,0)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Followers'!C$5,0)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Followers'!D$5,0)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Followers'!E$5,0)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Followers'!F$5,0)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Followers'!G$5,0)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Followers'!B$5,0)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Followers'!C$5,0)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Followers'!D$5,0)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Followers'!E$5,0)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Followers'!F$5,0)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Followers'!G$5,0)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Followers'!B$5,0)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Followers'!C$5,0)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Followers'!D$5,0)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Followers'!E$5,0)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Followers'!F$5,0)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Followers'!G$5,0)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Followers'!B$5,0)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Followers'!C$5,0)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Followers'!D$5,0)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Followers'!E$5,0)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Followers'!F$5,0)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Followers'!G$5,0)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Followers'!B$5,0)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Followers'!C$5,0)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Followers'!D$5,0)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Followers'!E$5,0)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Followers'!F$5,0)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Followers'!G$5,0)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Followers'!B$5,0)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Followers'!C$5,0)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Followers'!D$5,0)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Followers'!E$5,0)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Followers'!F$5,0)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Followers'!G$5,0)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Followers'!B$5,0)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Followers'!C$5,0)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Followers'!D$5,0)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Followers'!E$5,0)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Followers'!F$5,0)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Followers'!G$5,0)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Followers'!B$5,0)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Followers'!C$5,0)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Followers'!D$5,0)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Followers'!E$5,0)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Followers'!F$5,0)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Followers'!G$5,0)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Followers'!B$5,0)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Followers'!C$5,0)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Followers'!D$5,0)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Followers'!E$5,0)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Followers'!F$5,0)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Followers'!G$5,0)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Followers'!B$5,0)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Followers'!C$5,0)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Followers'!D$5,0)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Followers'!E$5,0)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Followers'!F$5,0)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Followers'!G$5,0)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Followers'!B$5,0)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Followers'!C$5,0)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Followers'!D$5,0)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Followers'!E$5,0)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Followers'!F$5,0)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Followers'!G$5,0)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Followers'!B$5,0)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Followers'!C$5,0)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Followers'!D$5,0)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Followers'!E$5,0)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Followers'!F$5,0)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Followers'!G$5,0)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Followers'!B$5,0)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Followers'!C$5,0)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Followers'!D$5,0)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Followers'!E$5,0)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Followers'!F$5,0)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Followers'!G$5,0)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Followers'!B$5,0)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Followers'!C$5,0)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Followers'!D$5,0)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Followers'!E$5,0)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Followers'!F$5,0)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Followers'!G$5,0)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Followers'!B$5,0)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Followers'!C$5,0)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Followers'!D$5,0)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Followers'!E$5,0)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Followers'!F$5,0)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Followers'!G$5,0)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Followers'!B$5,0)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Followers'!C$5,0)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Followers'!D$5,0)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Followers'!E$5,0)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Followers'!F$5,0)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Followers'!G$5,0)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Followers'!B$5,0)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Followers'!C$5,0)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Followers'!D$5,0)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Followers'!E$5,0)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Followers'!F$5,0)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Followers'!G$5,0)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Followers'!B$5,0)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Followers'!C$5,0)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Followers'!D$5,0)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Followers'!E$5,0)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Followers'!F$5,0)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Followers'!G$5,0)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Followers'!B$5,0)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Followers'!C$5,0)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Followers'!D$5,0)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Followers'!E$5,0)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Followers'!F$5,0)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Followers'!G$5,0)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Followers'!B$5,0)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Followers'!C$5,0)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Followers'!D$5,0)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Followers'!E$5,0)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Followers'!F$5,0)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Followers'!G$5,0)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2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2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2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2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2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2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2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2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2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2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2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2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2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2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2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2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2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2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2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2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2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2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2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2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2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2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2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2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2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2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2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2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2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2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2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2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2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2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2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2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2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2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2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2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2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2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2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2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2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2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2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2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2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2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2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2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2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2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2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Followers'!B$7,0)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Followers'!C$7,0)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Followers'!D$7,0)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Followers'!E$7,0)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Followers'!F$7,0)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Followers'!G$7,0)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Followers'!B$7,0)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Followers'!C$7,0)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Followers'!D$7,0)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Followers'!E$7,0)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Followers'!F$7,0)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Followers'!G$7,0)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Followers'!B$7,0)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Followers'!C$7,0)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Followers'!D$7,0)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Followers'!E$7,0)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Followers'!F$7,0)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Followers'!G$7,0)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Followers'!B$7,0)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Followers'!C$7,0)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Followers'!D$7,0)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Followers'!E$7,0)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Followers'!F$7,0)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Followers'!G$7,0)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Followers'!B$7,0)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Followers'!C$7,0)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Followers'!D$7,0)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Followers'!E$7,0)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Followers'!F$7,0)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Followers'!G$7,0)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Followers'!B$7,0)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Followers'!C$7,0)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Followers'!D$7,0)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Followers'!E$7,0)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Followers'!F$7,0)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Followers'!G$7,0)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Followers'!B$7,0)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Followers'!C$7,0)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Followers'!D$7,0)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Followers'!E$7,0)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Followers'!F$7,0)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Followers'!G$7,0)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Followers'!B$7,0)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Followers'!C$7,0)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Followers'!D$7,0)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Followers'!E$7,0)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Followers'!F$7,0)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Followers'!G$7,0)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Followers'!B$7,0)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Followers'!C$7,0)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Followers'!D$7,0)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Followers'!E$7,0)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Followers'!F$7,0)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Followers'!G$7,0)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Followers'!B$7,0)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Followers'!C$7,0)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Followers'!D$7,0)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Followers'!E$7,0)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Followers'!F$7,0)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Followers'!G$7,0)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Followers'!B$7,0)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Followers'!C$7,0)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Followers'!D$7,0)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Followers'!E$7,0)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Followers'!F$7,0)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Followers'!G$7,0)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Followers'!B$7,0)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Followers'!C$7,0)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Followers'!D$7,0)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Followers'!E$7,0)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Followers'!F$7,0)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Followers'!G$7,0)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Followers'!B$7,0)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Followers'!C$7,0)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Followers'!D$7,0)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Followers'!E$7,0)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Followers'!F$7,0)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Followers'!G$7,0)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Followers'!B$7,0)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Followers'!C$7,0)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Followers'!D$7,0)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Followers'!E$7,0)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Followers'!F$7,0)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Followers'!G$7,0)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Followers'!B$7,0)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Followers'!C$7,0)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Followers'!D$7,0)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Followers'!E$7,0)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Followers'!F$7,0)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Followers'!G$7,0)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Followers'!B$7,0)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Followers'!C$7,0)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Followers'!D$7,0)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Followers'!E$7,0)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Followers'!F$7,0)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Followers'!G$7,0)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Followers'!B$7,0)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Followers'!C$7,0)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Followers'!D$7,0)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Followers'!E$7,0)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Followers'!F$7,0)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Followers'!G$7,0)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Followers'!B$7,0)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Followers'!C$7,0)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Followers'!D$7,0)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Followers'!E$7,0)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Followers'!F$7,0)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Followers'!G$7,0)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Followers'!B$7,0)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Followers'!C$7,0)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Followers'!D$7,0)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Followers'!E$7,0)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Followers'!F$7,0)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Followers'!G$7,0)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Followers'!B$7,0)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Followers'!C$7,0)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Followers'!D$7,0)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Followers'!E$7,0)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Followers'!F$7,0)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Followers'!G$7,0)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Followers'!B$7,0)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Followers'!C$7,0)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Followers'!D$7,0)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Followers'!E$7,0)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Followers'!F$7,0)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Followers'!G$7,0)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Followers'!B$7,0)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Followers'!C$7,0)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Followers'!D$7,0)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Followers'!E$7,0)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Followers'!F$7,0)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Followers'!G$7,0)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Followers'!B$7,0)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Followers'!C$7,0)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Followers'!D$7,0)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Followers'!E$7,0)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Followers'!F$7,0)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Followers'!G$7,0)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Followers'!B$7,0)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Followers'!C$7,0)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Followers'!D$7,0)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Followers'!E$7,0)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Followers'!F$7,0)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Followers'!G$7,0)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Followers'!B$7,0)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Followers'!C$7,0)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Followers'!D$7,0)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Followers'!E$7,0)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Followers'!F$7,0)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Followers'!G$7,0)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Followers'!B$7,0)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Followers'!C$7,0)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Followers'!D$7,0)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Followers'!E$7,0)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Followers'!F$7,0)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Followers'!G$7,0)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Followers'!B$7,0)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Followers'!C$7,0)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Followers'!D$7,0)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Followers'!E$7,0)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Followers'!F$7,0)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Followers'!G$7,0)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Followers'!B$7,0)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Followers'!C$7,0)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Followers'!D$7,0)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Followers'!E$7,0)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Followers'!F$7,0)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Followers'!G$7,0)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Followers'!B$7,0)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Followers'!C$7,0)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Followers'!D$7,0)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Followers'!E$7,0)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Followers'!F$7,0)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Followers'!G$7,0)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Followers'!B$7,0)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Followers'!C$7,0)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Followers'!D$7,0)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Followers'!E$7,0)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Followers'!F$7,0)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Followers'!G$7,0)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Followers'!B$7,0)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Followers'!C$7,0)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Followers'!D$7,0)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Followers'!E$7,0)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Followers'!F$7,0)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Followers'!G$7,0)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Followers'!B$7,0)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Followers'!C$7,0)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Followers'!D$7,0)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Followers'!E$7,0)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Followers'!F$7,0)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Followers'!G$7,0)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Followers'!B$7,0)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Followers'!C$7,0)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Followers'!D$7,0)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Followers'!E$7,0)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Followers'!F$7,0)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Followers'!G$7,0)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Followers'!B$7,0)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Followers'!C$7,0)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Followers'!D$7,0)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Followers'!E$7,0)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Followers'!F$7,0)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Followers'!G$7,0)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Followers'!B$7,0)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Followers'!C$7,0)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Followers'!D$7,0)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Followers'!E$7,0)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Followers'!F$7,0)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Followers'!G$7,0)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Followers'!B$7,0)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Followers'!C$7,0)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Followers'!D$7,0)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Followers'!E$7,0)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Followers'!F$7,0)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Followers'!G$7,0)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Followers'!B$7,0)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Followers'!C$7,0)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Followers'!D$7,0)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Followers'!E$7,0)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Followers'!F$7,0)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Followers'!G$7,0)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Followers'!B$7,0)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Followers'!C$7,0)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Followers'!D$7,0)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Followers'!E$7,0)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Followers'!F$7,0)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Followers'!G$7,0)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Followers'!B$7,0)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Followers'!C$7,0)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Followers'!D$7,0)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Followers'!E$7,0)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Followers'!F$7,0)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Followers'!G$7,0)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Followers'!B$7,0)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Followers'!C$7,0)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Followers'!D$7,0)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Followers'!E$7,0)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Followers'!F$7,0)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Followers'!G$7,0)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Followers'!B$7,0)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Followers'!C$7,0)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Followers'!D$7,0)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Followers'!E$7,0)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Followers'!F$7,0)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Followers'!G$7,0)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Followers'!B$7,0)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Followers'!C$7,0)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Followers'!D$7,0)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Followers'!E$7,0)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Followers'!F$7,0)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Followers'!G$7,0)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Followers'!B$7,0)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Followers'!C$7,0)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Followers'!D$7,0)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Followers'!E$7,0)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Followers'!F$7,0)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Followers'!G$7,0)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Followers'!B$7,0)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Followers'!C$7,0)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Followers'!D$7,0)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Followers'!E$7,0)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Followers'!F$7,0)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Followers'!G$7,0)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Followers'!B$7,0)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Followers'!C$7,0)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Followers'!D$7,0)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Followers'!E$7,0)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Followers'!F$7,0)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Followers'!G$7,0)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Followers'!B$7,0)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Followers'!C$7,0)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Followers'!D$7,0)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Followers'!E$7,0)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Followers'!F$7,0)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Followers'!G$7,0)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Followers'!B$7,0)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Followers'!C$7,0)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Followers'!D$7,0)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Followers'!E$7,0)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Followers'!F$7,0)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Followers'!G$7,0)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Followers'!B$7,0)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Followers'!C$7,0)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Followers'!D$7,0)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Followers'!E$7,0)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Followers'!F$7,0)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Followers'!G$7,0)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Followers'!B$7,0)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Followers'!C$7,0)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Followers'!D$7,0)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Followers'!E$7,0)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Followers'!F$7,0)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Followers'!G$7,0)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Followers'!B$7,0)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Followers'!C$7,0)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Followers'!D$7,0)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Followers'!E$7,0)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Followers'!F$7,0)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Followers'!G$7,0)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Followers'!B$7,0)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Followers'!C$7,0)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Followers'!D$7,0)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Followers'!E$7,0)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Followers'!F$7,0)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Followers'!G$7,0)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Followers'!B$7,0)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Followers'!C$7,0)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Followers'!D$7,0)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Followers'!E$7,0)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Followers'!F$7,0)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Followers'!G$7,0)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Followers'!B$7,0)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Followers'!C$7,0)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Followers'!D$7,0)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Followers'!E$7,0)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Followers'!F$7,0)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Followers'!G$7,0)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Followers'!B$7,0)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Followers'!C$7,0)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Followers'!D$7,0)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Followers'!E$7,0)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Followers'!F$7,0)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Followers'!G$7,0)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Followers'!B$7,0)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Followers'!C$7,0)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Followers'!D$7,0)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Followers'!E$7,0)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Followers'!F$7,0)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Followers'!G$7,0)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Followers'!B$7,0)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Followers'!C$7,0)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Followers'!D$7,0)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Followers'!E$7,0)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Followers'!F$7,0)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Followers'!G$7,0)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Followers'!B$7,0)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Followers'!C$7,0)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Followers'!D$7,0)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Followers'!E$7,0)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Followers'!F$7,0)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Followers'!G$7,0)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Followers'!B$7,0)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Followers'!C$7,0)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Followers'!D$7,0)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Followers'!E$7,0)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Followers'!F$7,0)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Followers'!G$7,0)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Followers'!B$7,0)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Followers'!C$7,0)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Followers'!D$7,0)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Followers'!E$7,0)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Followers'!F$7,0)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Followers'!G$7,0)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Followers'!B$7,0)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Followers'!C$7,0)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Followers'!D$7,0)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Followers'!E$7,0)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Followers'!F$7,0)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Followers'!G$7,0)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Followers'!B$8,0)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Followers'!C$8,0)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Followers'!D$8,0)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Followers'!E$8,0)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Followers'!F$8,0)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Followers'!G$8,0)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Followers'!B$8,0)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Followers'!C$8,0)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Followers'!D$8,0)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Followers'!E$8,0)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Followers'!F$8,0)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Followers'!G$8,0)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Followers'!B$8,0)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Followers'!C$8,0)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Followers'!D$8,0)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Followers'!E$8,0)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Followers'!F$8,0)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Followers'!G$8,0)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Followers'!B$8,0)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Followers'!C$8,0)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Followers'!D$8,0)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Followers'!E$8,0)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Followers'!F$8,0)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Followers'!G$8,0)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Followers'!B$8,0)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Followers'!C$8,0)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Followers'!D$8,0)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Followers'!E$8,0)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Followers'!F$8,0)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Followers'!G$8,0)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Followers'!B$8,0)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Followers'!C$8,0)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Followers'!D$8,0)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Followers'!E$8,0)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Followers'!F$8,0)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Followers'!G$8,0)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Followers'!B$8,0)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Followers'!C$8,0)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Followers'!D$8,0)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Followers'!E$8,0)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Followers'!F$8,0)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Followers'!G$8,0)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Followers'!B$8,0)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Followers'!C$8,0)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Followers'!D$8,0)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Followers'!E$8,0)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Followers'!F$8,0)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Followers'!G$8,0)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Followers'!B$8,0)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Followers'!C$8,0)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Followers'!D$8,0)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Followers'!E$8,0)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Followers'!F$8,0)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Followers'!G$8,0)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Followers'!B$8,0)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Followers'!C$8,0)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Followers'!D$8,0)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Followers'!E$8,0)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Followers'!F$8,0)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Followers'!G$8,0)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Followers'!B$8,0)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Followers'!C$8,0)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Followers'!D$8,0)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Followers'!E$8,0)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Followers'!F$8,0)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Followers'!G$8,0)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Followers'!B$8,0)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Followers'!C$8,0)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Followers'!D$8,0)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Followers'!E$8,0)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Followers'!F$8,0)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Followers'!G$8,0)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Followers'!B$8,0)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Followers'!C$8,0)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Followers'!D$8,0)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Followers'!E$8,0)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Followers'!F$8,0)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Followers'!G$8,0)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Followers'!B$8,0)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Followers'!C$8,0)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Followers'!D$8,0)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Followers'!E$8,0)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Followers'!F$8,0)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Followers'!G$8,0)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Followers'!B$8,0)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Followers'!C$8,0)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Followers'!D$8,0)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Followers'!E$8,0)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Followers'!F$8,0)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Followers'!G$8,0)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Followers'!B$8,0)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Followers'!C$8,0)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Followers'!D$8,0)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Followers'!E$8,0)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Followers'!F$8,0)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Followers'!G$8,0)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Followers'!B$8,0)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Followers'!C$8,0)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Followers'!D$8,0)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Followers'!E$8,0)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Followers'!F$8,0)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Followers'!G$8,0)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Followers'!B$8,0)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Followers'!C$8,0)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Followers'!D$8,0)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Followers'!E$8,0)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Followers'!F$8,0)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Followers'!G$8,0)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Followers'!B$8,0)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Followers'!C$8,0)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Followers'!D$8,0)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Followers'!E$8,0)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Followers'!F$8,0)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Followers'!G$8,0)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Followers'!B$8,0)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Followers'!C$8,0)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Followers'!D$8,0)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Followers'!E$8,0)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Followers'!F$8,0)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Followers'!G$8,0)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Followers'!B$8,0)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Followers'!C$8,0)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Followers'!D$8,0)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Followers'!E$8,0)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Followers'!F$8,0)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Followers'!G$8,0)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Followers'!B$8,0)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Followers'!C$8,0)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Followers'!D$8,0)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Followers'!E$8,0)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Followers'!F$8,0)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Followers'!G$8,0)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Followers'!B$8,0)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Followers'!C$8,0)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Followers'!D$8,0)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Followers'!E$8,0)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Followers'!F$8,0)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Followers'!G$8,0)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Followers'!B$8,0)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Followers'!C$8,0)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Followers'!D$8,0)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Followers'!E$8,0)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Followers'!F$8,0)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Followers'!G$8,0)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Followers'!B$8,0)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Followers'!C$8,0)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Followers'!D$8,0)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Followers'!E$8,0)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Followers'!F$8,0)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Followers'!G$8,0)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Followers'!B$8,0)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Followers'!C$8,0)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Followers'!D$8,0)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Followers'!E$8,0)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Followers'!F$8,0)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Followers'!G$8,0)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Followers'!B$8,0)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Followers'!C$8,0)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Followers'!D$8,0)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Followers'!E$8,0)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Followers'!F$8,0)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Followers'!G$8,0)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Followers'!B$8,0)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Followers'!C$8,0)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Followers'!D$8,0)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Followers'!E$8,0)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Followers'!F$8,0)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Followers'!G$8,0)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Followers'!B$8,0)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Followers'!C$8,0)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Followers'!D$8,0)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Followers'!E$8,0)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Followers'!F$8,0)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Followers'!G$8,0)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Followers'!B$8,0)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Followers'!C$8,0)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Followers'!D$8,0)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Followers'!E$8,0)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Followers'!F$8,0)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Followers'!G$8,0)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Followers'!B$8,0)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Followers'!C$8,0)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Followers'!D$8,0)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Followers'!E$8,0)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Followers'!F$8,0)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Followers'!G$8,0)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Followers'!B$8,0)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Followers'!C$8,0)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Followers'!D$8,0)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Followers'!E$8,0)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Followers'!F$8,0)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Followers'!G$8,0)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Followers'!B$8,0)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Followers'!C$8,0)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Followers'!D$8,0)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Followers'!E$8,0)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Followers'!F$8,0)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Followers'!G$8,0)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Followers'!B$8,0)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Followers'!C$8,0)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Followers'!D$8,0)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Followers'!E$8,0)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Followers'!F$8,0)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Followers'!G$8,0)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Followers'!B$8,0)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Followers'!C$8,0)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Followers'!D$8,0)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Followers'!E$8,0)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Followers'!F$8,0)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Followers'!G$8,0)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Followers'!B$8,0)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Followers'!C$8,0)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Followers'!D$8,0)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Followers'!E$8,0)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Followers'!F$8,0)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Followers'!G$8,0)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Followers'!B$8,0)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Followers'!C$8,0)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Followers'!D$8,0)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Followers'!E$8,0)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Followers'!F$8,0)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Followers'!G$8,0)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Followers'!B$8,0)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Followers'!C$8,0)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Followers'!D$8,0)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Followers'!E$8,0)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Followers'!F$8,0)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Followers'!G$8,0)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Followers'!B$8,0)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Followers'!C$8,0)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Followers'!D$8,0)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Followers'!E$8,0)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Followers'!F$8,0)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Followers'!G$8,0)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Followers'!B$8,0)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Followers'!C$8,0)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Followers'!D$8,0)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Followers'!E$8,0)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Followers'!F$8,0)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Followers'!G$8,0)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Followers'!B$8,0)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Followers'!C$8,0)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Followers'!D$8,0)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Followers'!E$8,0)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Followers'!F$8,0)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Followers'!G$8,0)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Followers'!B$8,0)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Followers'!C$8,0)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Followers'!D$8,0)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Followers'!E$8,0)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Followers'!F$8,0)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Followers'!G$8,0)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Followers'!B$8,0)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Followers'!C$8,0)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Followers'!D$8,0)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Followers'!E$8,0)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Followers'!F$8,0)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Followers'!G$8,0)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Followers'!B$8,0)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Followers'!C$8,0)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Followers'!D$8,0)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Followers'!E$8,0)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Followers'!F$8,0)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Followers'!G$8,0)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Followers'!B$8,0)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Followers'!C$8,0)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Followers'!D$8,0)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Followers'!E$8,0)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Followers'!F$8,0)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Followers'!G$8,0)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Followers'!B$8,0)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Followers'!C$8,0)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Followers'!D$8,0)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Followers'!E$8,0)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Followers'!F$8,0)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Followers'!G$8,0)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Followers'!B$8,0)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Followers'!C$8,0)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Followers'!D$8,0)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Followers'!E$8,0)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Followers'!F$8,0)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Followers'!G$8,0)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Followers'!B$8,0)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Followers'!C$8,0)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Followers'!D$8,0)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Followers'!E$8,0)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Followers'!F$8,0)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Followers'!G$8,0)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Followers'!B$8,0)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Followers'!C$8,0)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Followers'!D$8,0)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Followers'!E$8,0)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Followers'!F$8,0)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Followers'!G$8,0)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Followers'!B$8,0)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Followers'!C$8,0)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Followers'!D$8,0)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Followers'!E$8,0)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Followers'!F$8,0)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Followers'!G$8,0)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Followers'!B$8,0)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Followers'!C$8,0)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Followers'!D$8,0)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Followers'!E$8,0)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Followers'!F$8,0)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Followers'!G$8,0)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Followers'!B$8,0)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Followers'!C$8,0)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Followers'!D$8,0)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Followers'!E$8,0)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Followers'!F$8,0)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Followers'!G$8,0)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Followers'!B$8,0)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Followers'!C$8,0)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Followers'!D$8,0)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Followers'!E$8,0)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Followers'!F$8,0)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Followers'!G$8,0)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Followers'!B$8,0)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Followers'!C$8,0)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Followers'!D$8,0)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Followers'!E$8,0)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Followers'!F$8,0)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Followers'!G$8,0)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Followers'!B$8,0)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Followers'!C$8,0)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Followers'!D$8,0)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Followers'!E$8,0)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Followers'!F$8,0)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Followers'!G$8,0)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Followers'!B$8,0)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Followers'!C$8,0)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Followers'!D$8,0)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Followers'!E$8,0)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Followers'!F$8,0)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Followers'!G$8,0)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Followers'!B$8,0)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Followers'!C$8,0)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Followers'!D$8,0)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Followers'!E$8,0)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Followers'!F$8,0)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Followers'!G$8,0)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Followers'!B$8,0)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Followers'!C$8,0)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Followers'!D$8,0)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Followers'!E$8,0)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Followers'!F$8,0)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Followers'!G$8,0)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Followers'!B$8,0)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Followers'!C$8,0)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Followers'!D$8,0)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Followers'!E$8,0)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Followers'!F$8,0)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Followers'!G$8,0)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Followers'!B$8,0)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Followers'!C$8,0)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Followers'!D$8,0)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Followers'!E$8,0)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Followers'!F$8,0)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Followers'!G$8,0)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tabSelected="1"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2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2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2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2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2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2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2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2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2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2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2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2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2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2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2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2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2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2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2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2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2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2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2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2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2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2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2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2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2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2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2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2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2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2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2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2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2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2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2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2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2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2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2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2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2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2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2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2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2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2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2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2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2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2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2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2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2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2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2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EPS Vehicle Class Mapping</vt:lpstr>
      <vt:lpstr>CA Standards and Followers</vt:lpstr>
      <vt:lpstr>ICCT MDV HDV Data</vt:lpstr>
      <vt:lpstr>AEO by Class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2025-12-09T20:51:22Z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