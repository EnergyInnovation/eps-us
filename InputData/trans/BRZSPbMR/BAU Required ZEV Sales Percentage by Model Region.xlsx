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defaultThemeVersion="124226"/>
  <mc:AlternateContent xmlns:mc="http://schemas.openxmlformats.org/markup-compatibility/2006">
    <mc:Choice Requires="x15">
      <x15ac:absPath xmlns:x15ac="http://schemas.microsoft.com/office/spreadsheetml/2010/11/ac" url="C:\Users\Olivia Ashmoore\Documents\EPS_Models by Region\United States\us-eps\InputData\trans\BRZSPbMR\"/>
    </mc:Choice>
  </mc:AlternateContent>
  <xr:revisionPtr revIDLastSave="0" documentId="13_ncr:1_{2D87118F-F023-4C40-BB41-B4952595236E}" xr6:coauthVersionLast="47" xr6:coauthVersionMax="47" xr10:uidLastSave="{00000000-0000-0000-0000-000000000000}"/>
  <bookViews>
    <workbookView xWindow="-120" yWindow="-120" windowWidth="29040" windowHeight="17520" firstSheet="3" activeTab="9" xr2:uid="{00000000-000D-0000-FFFF-FFFF00000000}"/>
  </bookViews>
  <sheets>
    <sheet name="About" sheetId="1" r:id="rId1"/>
    <sheet name="EPS Vehicle Class Mapping" sheetId="10" r:id="rId2"/>
    <sheet name="CA Standards and Followers" sheetId="11" r:id="rId3"/>
    <sheet name="EPA LDV Rules" sheetId="12" r:id="rId4"/>
    <sheet name="ICCT MDV HDV Data" sheetId="17" r:id="rId5"/>
    <sheet name="AEO by Class" sheetId="18" r:id="rId6"/>
    <sheet name="hd trucs" sheetId="19" r:id="rId7"/>
    <sheet name="EPA HDV Rules" sheetId="20" r:id="rId8"/>
    <sheet name="BRZSPbMR-passenger" sheetId="5" r:id="rId9"/>
    <sheet name="BRZSPbMR-freight" sheetId="6" r:id="rId10"/>
  </sheets>
  <definedNames>
    <definedName name="_xlnm._FilterDatabase" localSheetId="5" hidden="1">'AEO by Class'!$A$21:$AD$372</definedName>
    <definedName name="_xlnm._FilterDatabase" localSheetId="6" hidden="1">'hd trucs'!$O$6:$BI$107</definedName>
    <definedName name="Eno_TM">#REF!</definedName>
    <definedName name="Eno_Tons">#REF!</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Sum_T2">#REF!</definedName>
    <definedName name="Sum_TTM">#REF!</definedName>
    <definedName name="ti_tbl_50">#REF!</definedName>
    <definedName name="ti_tbl_69">#REF!</definedName>
    <definedName name="TitleRegion1.f2.y3.5">#REF!</definedName>
    <definedName name="TitleRegion1.f3.n4.5">#REF!</definedName>
    <definedName name="TitleRegion2.e6.y15.5">#REF!</definedName>
    <definedName name="TitleRegion2.e8.n17.5">#REF!</definedName>
    <definedName name="TitleRegion3.c19.y51.5">#REF!</definedName>
    <definedName name="TitleRegion3.c24.n53.5">#REF!</definedName>
    <definedName name="TitleRegion4.e54.y63.5">#REF!</definedName>
    <definedName name="TitleRegion4.e57.n66.5">#REF!</definedName>
    <definedName name="TitleRegion5.d68.y124.5">#REF!</definedName>
    <definedName name="TitleRegion5.d73.n129.5">#REF!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30" i="20" l="1" a="1"/>
  <c r="F30" i="20" s="1"/>
  <c r="E30" i="20" a="1"/>
  <c r="E30" i="20" s="1"/>
  <c r="H44" i="20" l="1"/>
  <c r="I40" i="20"/>
  <c r="G30" i="20" a="1"/>
  <c r="G30" i="20" s="1"/>
  <c r="H30" i="20" s="1"/>
  <c r="D30" i="20" a="1"/>
  <c r="D30" i="20" s="1"/>
  <c r="C30" i="20" a="1"/>
  <c r="C30" i="20" s="1"/>
  <c r="C40" i="20" s="1"/>
  <c r="B30" i="20" a="1"/>
  <c r="B30" i="20" s="1"/>
  <c r="Y36" i="20"/>
  <c r="X36" i="20"/>
  <c r="W36" i="20"/>
  <c r="C10" i="20"/>
  <c r="D147" i="19"/>
  <c r="B144" i="19"/>
  <c r="B143" i="19"/>
  <c r="D142" i="19"/>
  <c r="B142" i="19"/>
  <c r="C143" i="19" s="1"/>
  <c r="H135" i="19"/>
  <c r="B118" i="19"/>
  <c r="B117" i="19"/>
  <c r="B116" i="19"/>
  <c r="B115" i="19"/>
  <c r="B114" i="19"/>
  <c r="B113" i="19"/>
  <c r="L107" i="19"/>
  <c r="K107" i="19"/>
  <c r="J107" i="19"/>
  <c r="I107" i="19"/>
  <c r="D107" i="19"/>
  <c r="C107" i="19"/>
  <c r="A107" i="19"/>
  <c r="K106" i="19"/>
  <c r="J106" i="19"/>
  <c r="I106" i="19"/>
  <c r="D106" i="19"/>
  <c r="C106" i="19"/>
  <c r="A106" i="19"/>
  <c r="K105" i="19"/>
  <c r="J105" i="19"/>
  <c r="I105" i="19"/>
  <c r="D105" i="19"/>
  <c r="C105" i="19"/>
  <c r="A105" i="19"/>
  <c r="K104" i="19"/>
  <c r="J104" i="19"/>
  <c r="I104" i="19"/>
  <c r="D104" i="19"/>
  <c r="C104" i="19"/>
  <c r="A104" i="19"/>
  <c r="K103" i="19"/>
  <c r="J103" i="19"/>
  <c r="I103" i="19"/>
  <c r="D103" i="19"/>
  <c r="C103" i="19"/>
  <c r="A103" i="19"/>
  <c r="K102" i="19"/>
  <c r="J102" i="19"/>
  <c r="I102" i="19"/>
  <c r="D102" i="19"/>
  <c r="C102" i="19"/>
  <c r="A102" i="19"/>
  <c r="K101" i="19"/>
  <c r="J101" i="19"/>
  <c r="I101" i="19"/>
  <c r="D101" i="19"/>
  <c r="N10" i="19" s="1"/>
  <c r="C101" i="19"/>
  <c r="A101" i="19"/>
  <c r="K100" i="19"/>
  <c r="J100" i="19"/>
  <c r="I100" i="19"/>
  <c r="D100" i="19"/>
  <c r="C100" i="19"/>
  <c r="A100" i="19"/>
  <c r="K99" i="19"/>
  <c r="J99" i="19"/>
  <c r="I99" i="19"/>
  <c r="D99" i="19"/>
  <c r="C99" i="19"/>
  <c r="A99" i="19"/>
  <c r="L98" i="19"/>
  <c r="K98" i="19"/>
  <c r="J98" i="19"/>
  <c r="I98" i="19"/>
  <c r="D98" i="19"/>
  <c r="C98" i="19"/>
  <c r="A98" i="19"/>
  <c r="K97" i="19"/>
  <c r="J97" i="19"/>
  <c r="I97" i="19"/>
  <c r="D97" i="19"/>
  <c r="C97" i="19"/>
  <c r="A97" i="19"/>
  <c r="K96" i="19"/>
  <c r="J96" i="19"/>
  <c r="I96" i="19"/>
  <c r="D96" i="19"/>
  <c r="C96" i="19"/>
  <c r="A96" i="19"/>
  <c r="N95" i="19"/>
  <c r="K95" i="19"/>
  <c r="J95" i="19"/>
  <c r="I95" i="19"/>
  <c r="D95" i="19"/>
  <c r="C95" i="19"/>
  <c r="A95" i="19"/>
  <c r="K94" i="19"/>
  <c r="J94" i="19"/>
  <c r="I94" i="19"/>
  <c r="D94" i="19"/>
  <c r="C94" i="19"/>
  <c r="A94" i="19"/>
  <c r="K93" i="19"/>
  <c r="J93" i="19"/>
  <c r="I93" i="19"/>
  <c r="D93" i="19"/>
  <c r="C93" i="19"/>
  <c r="A93" i="19"/>
  <c r="K92" i="19"/>
  <c r="J92" i="19"/>
  <c r="I92" i="19"/>
  <c r="D92" i="19"/>
  <c r="C92" i="19"/>
  <c r="A92" i="19"/>
  <c r="K91" i="19"/>
  <c r="J91" i="19"/>
  <c r="I91" i="19"/>
  <c r="D91" i="19"/>
  <c r="C91" i="19"/>
  <c r="A91" i="19"/>
  <c r="K90" i="19"/>
  <c r="J90" i="19"/>
  <c r="I90" i="19"/>
  <c r="D90" i="19"/>
  <c r="C90" i="19"/>
  <c r="A90" i="19"/>
  <c r="N89" i="19"/>
  <c r="K89" i="19"/>
  <c r="J89" i="19"/>
  <c r="I89" i="19"/>
  <c r="D89" i="19"/>
  <c r="C89" i="19"/>
  <c r="A89" i="19"/>
  <c r="K88" i="19"/>
  <c r="J88" i="19"/>
  <c r="I88" i="19"/>
  <c r="D88" i="19"/>
  <c r="C88" i="19"/>
  <c r="A88" i="19"/>
  <c r="K87" i="19"/>
  <c r="J87" i="19"/>
  <c r="I87" i="19"/>
  <c r="D87" i="19"/>
  <c r="C87" i="19"/>
  <c r="A87" i="19"/>
  <c r="K86" i="19"/>
  <c r="J86" i="19"/>
  <c r="I86" i="19"/>
  <c r="D86" i="19"/>
  <c r="C86" i="19"/>
  <c r="A86" i="19"/>
  <c r="K85" i="19"/>
  <c r="J85" i="19"/>
  <c r="I85" i="19"/>
  <c r="D85" i="19"/>
  <c r="C85" i="19"/>
  <c r="A85" i="19"/>
  <c r="M84" i="19"/>
  <c r="K84" i="19"/>
  <c r="J84" i="19"/>
  <c r="I84" i="19"/>
  <c r="D84" i="19"/>
  <c r="C84" i="19"/>
  <c r="A84" i="19"/>
  <c r="K83" i="19"/>
  <c r="J83" i="19"/>
  <c r="I83" i="19"/>
  <c r="D83" i="19"/>
  <c r="C83" i="19"/>
  <c r="A83" i="19"/>
  <c r="K82" i="19"/>
  <c r="J82" i="19"/>
  <c r="I82" i="19"/>
  <c r="D82" i="19"/>
  <c r="C82" i="19"/>
  <c r="A82" i="19"/>
  <c r="K81" i="19"/>
  <c r="J81" i="19"/>
  <c r="I81" i="19"/>
  <c r="D81" i="19"/>
  <c r="C81" i="19"/>
  <c r="A81" i="19"/>
  <c r="K80" i="19"/>
  <c r="J80" i="19"/>
  <c r="I80" i="19"/>
  <c r="D80" i="19"/>
  <c r="C80" i="19"/>
  <c r="A80" i="19"/>
  <c r="K79" i="19"/>
  <c r="J79" i="19"/>
  <c r="I79" i="19"/>
  <c r="D79" i="19"/>
  <c r="C79" i="19"/>
  <c r="A79" i="19"/>
  <c r="K78" i="19"/>
  <c r="J78" i="19"/>
  <c r="I78" i="19"/>
  <c r="D78" i="19"/>
  <c r="C78" i="19"/>
  <c r="A78" i="19"/>
  <c r="K77" i="19"/>
  <c r="J77" i="19"/>
  <c r="I77" i="19"/>
  <c r="D77" i="19"/>
  <c r="C77" i="19"/>
  <c r="A77" i="19"/>
  <c r="K76" i="19"/>
  <c r="J76" i="19"/>
  <c r="I76" i="19"/>
  <c r="D76" i="19"/>
  <c r="C76" i="19"/>
  <c r="A76" i="19"/>
  <c r="K75" i="19"/>
  <c r="J75" i="19"/>
  <c r="I75" i="19"/>
  <c r="D75" i="19"/>
  <c r="N106" i="19" s="1"/>
  <c r="C75" i="19"/>
  <c r="A75" i="19"/>
  <c r="K74" i="19"/>
  <c r="J74" i="19"/>
  <c r="I74" i="19"/>
  <c r="D74" i="19"/>
  <c r="C74" i="19"/>
  <c r="A74" i="19"/>
  <c r="K73" i="19"/>
  <c r="J73" i="19"/>
  <c r="I73" i="19"/>
  <c r="D73" i="19"/>
  <c r="C73" i="19"/>
  <c r="A73" i="19"/>
  <c r="K72" i="19"/>
  <c r="J72" i="19"/>
  <c r="I72" i="19"/>
  <c r="D72" i="19"/>
  <c r="C72" i="19"/>
  <c r="A72" i="19"/>
  <c r="K71" i="19"/>
  <c r="J71" i="19"/>
  <c r="I71" i="19"/>
  <c r="D71" i="19"/>
  <c r="C71" i="19"/>
  <c r="A71" i="19"/>
  <c r="K70" i="19"/>
  <c r="J70" i="19"/>
  <c r="I70" i="19"/>
  <c r="D70" i="19"/>
  <c r="C70" i="19"/>
  <c r="A70" i="19"/>
  <c r="K69" i="19"/>
  <c r="J69" i="19"/>
  <c r="I69" i="19"/>
  <c r="D69" i="19"/>
  <c r="C69" i="19"/>
  <c r="A69" i="19"/>
  <c r="K68" i="19"/>
  <c r="J68" i="19"/>
  <c r="I68" i="19"/>
  <c r="D68" i="19"/>
  <c r="C68" i="19"/>
  <c r="A68" i="19"/>
  <c r="K67" i="19"/>
  <c r="J67" i="19"/>
  <c r="I67" i="19"/>
  <c r="D67" i="19"/>
  <c r="C67" i="19"/>
  <c r="A67" i="19"/>
  <c r="K66" i="19"/>
  <c r="J66" i="19"/>
  <c r="I66" i="19"/>
  <c r="D66" i="19"/>
  <c r="C66" i="19"/>
  <c r="A66" i="19"/>
  <c r="K65" i="19"/>
  <c r="J65" i="19"/>
  <c r="I65" i="19"/>
  <c r="D65" i="19"/>
  <c r="C65" i="19"/>
  <c r="A65" i="19"/>
  <c r="K64" i="19"/>
  <c r="J64" i="19"/>
  <c r="I64" i="19"/>
  <c r="D64" i="19"/>
  <c r="C64" i="19"/>
  <c r="C117" i="19" s="1"/>
  <c r="A64" i="19"/>
  <c r="K63" i="19"/>
  <c r="J63" i="19"/>
  <c r="I63" i="19"/>
  <c r="D63" i="19"/>
  <c r="C63" i="19"/>
  <c r="C118" i="19" s="1"/>
  <c r="A63" i="19"/>
  <c r="K62" i="19"/>
  <c r="J62" i="19"/>
  <c r="I62" i="19"/>
  <c r="D62" i="19"/>
  <c r="C62" i="19"/>
  <c r="A62" i="19"/>
  <c r="L61" i="19"/>
  <c r="K61" i="19"/>
  <c r="J61" i="19"/>
  <c r="I61" i="19"/>
  <c r="D61" i="19"/>
  <c r="C61" i="19"/>
  <c r="A61" i="19"/>
  <c r="M60" i="19"/>
  <c r="L60" i="19"/>
  <c r="K60" i="19"/>
  <c r="J60" i="19"/>
  <c r="I60" i="19"/>
  <c r="D60" i="19"/>
  <c r="C60" i="19"/>
  <c r="A60" i="19"/>
  <c r="K59" i="19"/>
  <c r="J59" i="19"/>
  <c r="I130" i="19" s="1"/>
  <c r="I59" i="19"/>
  <c r="D59" i="19"/>
  <c r="C59" i="19"/>
  <c r="A59" i="19"/>
  <c r="K58" i="19"/>
  <c r="J58" i="19"/>
  <c r="I58" i="19"/>
  <c r="D58" i="19"/>
  <c r="C58" i="19"/>
  <c r="A58" i="19"/>
  <c r="K57" i="19"/>
  <c r="J57" i="19"/>
  <c r="I57" i="19"/>
  <c r="D57" i="19"/>
  <c r="C57" i="19"/>
  <c r="A57" i="19"/>
  <c r="K56" i="19"/>
  <c r="J56" i="19"/>
  <c r="I56" i="19"/>
  <c r="D56" i="19"/>
  <c r="C56" i="19"/>
  <c r="A56" i="19"/>
  <c r="K55" i="19"/>
  <c r="J55" i="19"/>
  <c r="I55" i="19"/>
  <c r="D55" i="19"/>
  <c r="C55" i="19"/>
  <c r="A55" i="19"/>
  <c r="K54" i="19"/>
  <c r="J54" i="19"/>
  <c r="I54" i="19"/>
  <c r="D54" i="19"/>
  <c r="C54" i="19"/>
  <c r="A54" i="19"/>
  <c r="K53" i="19"/>
  <c r="J53" i="19"/>
  <c r="I53" i="19"/>
  <c r="D53" i="19"/>
  <c r="C53" i="19"/>
  <c r="A53" i="19"/>
  <c r="L52" i="19"/>
  <c r="K52" i="19"/>
  <c r="J52" i="19"/>
  <c r="I52" i="19"/>
  <c r="D52" i="19"/>
  <c r="C52" i="19"/>
  <c r="A52" i="19"/>
  <c r="K51" i="19"/>
  <c r="J51" i="19"/>
  <c r="I51" i="19"/>
  <c r="D51" i="19"/>
  <c r="M36" i="19" s="1"/>
  <c r="C51" i="19"/>
  <c r="A51" i="19"/>
  <c r="K50" i="19"/>
  <c r="J50" i="19"/>
  <c r="I50" i="19"/>
  <c r="D50" i="19"/>
  <c r="C50" i="19"/>
  <c r="A50" i="19"/>
  <c r="K49" i="19"/>
  <c r="J49" i="19"/>
  <c r="I49" i="19"/>
  <c r="D49" i="19"/>
  <c r="C49" i="19"/>
  <c r="A49" i="19"/>
  <c r="K48" i="19"/>
  <c r="J48" i="19"/>
  <c r="I48" i="19"/>
  <c r="D48" i="19"/>
  <c r="C48" i="19"/>
  <c r="A48" i="19"/>
  <c r="K47" i="19"/>
  <c r="J47" i="19"/>
  <c r="I47" i="19"/>
  <c r="D47" i="19"/>
  <c r="C47" i="19"/>
  <c r="A47" i="19"/>
  <c r="I135" i="19" s="1"/>
  <c r="K46" i="19"/>
  <c r="J46" i="19"/>
  <c r="I46" i="19"/>
  <c r="D46" i="19"/>
  <c r="C46" i="19"/>
  <c r="A46" i="19"/>
  <c r="K45" i="19"/>
  <c r="J45" i="19"/>
  <c r="I45" i="19"/>
  <c r="D45" i="19"/>
  <c r="C45" i="19"/>
  <c r="A45" i="19"/>
  <c r="K44" i="19"/>
  <c r="J44" i="19"/>
  <c r="I44" i="19"/>
  <c r="D44" i="19"/>
  <c r="C44" i="19"/>
  <c r="A44" i="19"/>
  <c r="D143" i="19" s="1"/>
  <c r="K43" i="19"/>
  <c r="J43" i="19"/>
  <c r="I43" i="19"/>
  <c r="D43" i="19"/>
  <c r="C43" i="19"/>
  <c r="A43" i="19"/>
  <c r="K42" i="19"/>
  <c r="J42" i="19"/>
  <c r="I42" i="19"/>
  <c r="D42" i="19"/>
  <c r="C42" i="19"/>
  <c r="A42" i="19"/>
  <c r="K41" i="19"/>
  <c r="J41" i="19"/>
  <c r="I41" i="19"/>
  <c r="D41" i="19"/>
  <c r="C41" i="19"/>
  <c r="A41" i="19"/>
  <c r="K40" i="19"/>
  <c r="J40" i="19"/>
  <c r="I40" i="19"/>
  <c r="D40" i="19"/>
  <c r="C40" i="19"/>
  <c r="A40" i="19"/>
  <c r="K39" i="19"/>
  <c r="J39" i="19"/>
  <c r="I39" i="19"/>
  <c r="D39" i="19"/>
  <c r="C39" i="19"/>
  <c r="A39" i="19"/>
  <c r="K38" i="19"/>
  <c r="J38" i="19"/>
  <c r="I38" i="19"/>
  <c r="D38" i="19"/>
  <c r="C38" i="19"/>
  <c r="A38" i="19"/>
  <c r="K37" i="19"/>
  <c r="J37" i="19"/>
  <c r="I37" i="19"/>
  <c r="D37" i="19"/>
  <c r="C37" i="19"/>
  <c r="A37" i="19"/>
  <c r="K36" i="19"/>
  <c r="J128" i="19" s="1"/>
  <c r="J36" i="19"/>
  <c r="I128" i="19" s="1"/>
  <c r="I36" i="19"/>
  <c r="D36" i="19"/>
  <c r="C36" i="19"/>
  <c r="A36" i="19"/>
  <c r="K35" i="19"/>
  <c r="J35" i="19"/>
  <c r="I35" i="19"/>
  <c r="D35" i="19"/>
  <c r="C35" i="19"/>
  <c r="A35" i="19"/>
  <c r="K34" i="19"/>
  <c r="J34" i="19"/>
  <c r="I34" i="19"/>
  <c r="D34" i="19"/>
  <c r="C34" i="19"/>
  <c r="C115" i="19" s="1"/>
  <c r="A34" i="19"/>
  <c r="K33" i="19"/>
  <c r="J33" i="19"/>
  <c r="I33" i="19"/>
  <c r="D33" i="19"/>
  <c r="C33" i="19"/>
  <c r="A33" i="19"/>
  <c r="K32" i="19"/>
  <c r="J32" i="19"/>
  <c r="I32" i="19"/>
  <c r="D32" i="19"/>
  <c r="C32" i="19"/>
  <c r="A32" i="19"/>
  <c r="K31" i="19"/>
  <c r="J31" i="19"/>
  <c r="I31" i="19"/>
  <c r="D31" i="19"/>
  <c r="C31" i="19"/>
  <c r="A31" i="19"/>
  <c r="K30" i="19"/>
  <c r="J30" i="19"/>
  <c r="I30" i="19"/>
  <c r="D30" i="19"/>
  <c r="C30" i="19"/>
  <c r="A30" i="19"/>
  <c r="K29" i="19"/>
  <c r="J29" i="19"/>
  <c r="I29" i="19"/>
  <c r="D29" i="19"/>
  <c r="C29" i="19"/>
  <c r="A29" i="19"/>
  <c r="K28" i="19"/>
  <c r="J28" i="19"/>
  <c r="I28" i="19"/>
  <c r="D28" i="19"/>
  <c r="C28" i="19"/>
  <c r="A28" i="19"/>
  <c r="K27" i="19"/>
  <c r="J27" i="19"/>
  <c r="I27" i="19"/>
  <c r="D27" i="19"/>
  <c r="C27" i="19"/>
  <c r="A27" i="19"/>
  <c r="K26" i="19"/>
  <c r="J26" i="19"/>
  <c r="I26" i="19"/>
  <c r="D26" i="19"/>
  <c r="C26" i="19"/>
  <c r="A26" i="19"/>
  <c r="K25" i="19"/>
  <c r="J25" i="19"/>
  <c r="I25" i="19"/>
  <c r="D25" i="19"/>
  <c r="C25" i="19"/>
  <c r="A25" i="19"/>
  <c r="K24" i="19"/>
  <c r="J130" i="19" s="1"/>
  <c r="J24" i="19"/>
  <c r="I24" i="19"/>
  <c r="D24" i="19"/>
  <c r="C24" i="19"/>
  <c r="A24" i="19"/>
  <c r="K23" i="19"/>
  <c r="J23" i="19"/>
  <c r="I23" i="19"/>
  <c r="D23" i="19"/>
  <c r="C23" i="19"/>
  <c r="A23" i="19"/>
  <c r="K22" i="19"/>
  <c r="J22" i="19"/>
  <c r="I22" i="19"/>
  <c r="D22" i="19"/>
  <c r="C22" i="19"/>
  <c r="A22" i="19"/>
  <c r="K21" i="19"/>
  <c r="J21" i="19"/>
  <c r="I21" i="19"/>
  <c r="D21" i="19"/>
  <c r="C21" i="19"/>
  <c r="A21" i="19"/>
  <c r="K20" i="19"/>
  <c r="J20" i="19"/>
  <c r="I20" i="19"/>
  <c r="D20" i="19"/>
  <c r="C20" i="19"/>
  <c r="A20" i="19"/>
  <c r="K19" i="19"/>
  <c r="J19" i="19"/>
  <c r="I19" i="19"/>
  <c r="D19" i="19"/>
  <c r="C19" i="19"/>
  <c r="A19" i="19"/>
  <c r="K18" i="19"/>
  <c r="J18" i="19"/>
  <c r="I18" i="19"/>
  <c r="D18" i="19"/>
  <c r="C18" i="19"/>
  <c r="A18" i="19"/>
  <c r="K17" i="19"/>
  <c r="J17" i="19"/>
  <c r="I17" i="19"/>
  <c r="D17" i="19"/>
  <c r="C17" i="19"/>
  <c r="A17" i="19"/>
  <c r="K16" i="19"/>
  <c r="J16" i="19"/>
  <c r="I16" i="19"/>
  <c r="D16" i="19"/>
  <c r="C16" i="19"/>
  <c r="A16" i="19"/>
  <c r="K15" i="19"/>
  <c r="J15" i="19"/>
  <c r="I15" i="19"/>
  <c r="D15" i="19"/>
  <c r="C15" i="19"/>
  <c r="A15" i="19"/>
  <c r="K14" i="19"/>
  <c r="J14" i="19"/>
  <c r="I14" i="19"/>
  <c r="D14" i="19"/>
  <c r="C14" i="19"/>
  <c r="A14" i="19"/>
  <c r="K13" i="19"/>
  <c r="J13" i="19"/>
  <c r="I13" i="19"/>
  <c r="D13" i="19"/>
  <c r="C13" i="19"/>
  <c r="A13" i="19"/>
  <c r="K12" i="19"/>
  <c r="J12" i="19"/>
  <c r="I12" i="19"/>
  <c r="H127" i="19" s="1"/>
  <c r="D12" i="19"/>
  <c r="M95" i="19" s="1"/>
  <c r="C12" i="19"/>
  <c r="C8" i="20" s="1"/>
  <c r="A12" i="19"/>
  <c r="K11" i="19"/>
  <c r="J11" i="19"/>
  <c r="I11" i="19"/>
  <c r="D11" i="19"/>
  <c r="C11" i="19"/>
  <c r="A11" i="19"/>
  <c r="K10" i="19"/>
  <c r="J10" i="19"/>
  <c r="I10" i="19"/>
  <c r="D10" i="19"/>
  <c r="C10" i="19"/>
  <c r="A10" i="19"/>
  <c r="K9" i="19"/>
  <c r="J125" i="19" s="1"/>
  <c r="J9" i="19"/>
  <c r="I9" i="19"/>
  <c r="D9" i="19"/>
  <c r="C9" i="19"/>
  <c r="A9" i="19"/>
  <c r="K8" i="19"/>
  <c r="J8" i="19"/>
  <c r="I8" i="19"/>
  <c r="D8" i="19"/>
  <c r="C8" i="19"/>
  <c r="A8" i="19"/>
  <c r="K7" i="19"/>
  <c r="J7" i="19"/>
  <c r="I7" i="19"/>
  <c r="D7" i="19"/>
  <c r="C7" i="19"/>
  <c r="A7" i="19"/>
  <c r="C129" i="18"/>
  <c r="C138" i="18" s="1"/>
  <c r="C147" i="18" s="1"/>
  <c r="C156" i="18" s="1"/>
  <c r="C165" i="18" s="1"/>
  <c r="C174" i="18" s="1"/>
  <c r="C183" i="18" s="1"/>
  <c r="C192" i="18" s="1"/>
  <c r="C201" i="18" s="1"/>
  <c r="C210" i="18" s="1"/>
  <c r="C219" i="18" s="1"/>
  <c r="C228" i="18" s="1"/>
  <c r="C237" i="18" s="1"/>
  <c r="C246" i="18" s="1"/>
  <c r="C255" i="18" s="1"/>
  <c r="C264" i="18" s="1"/>
  <c r="C273" i="18" s="1"/>
  <c r="C282" i="18" s="1"/>
  <c r="C291" i="18" s="1"/>
  <c r="C300" i="18" s="1"/>
  <c r="C309" i="18" s="1"/>
  <c r="C318" i="18" s="1"/>
  <c r="C327" i="18" s="1"/>
  <c r="C336" i="18" s="1"/>
  <c r="C345" i="18" s="1"/>
  <c r="C354" i="18" s="1"/>
  <c r="C363" i="18" s="1"/>
  <c r="C372" i="18" s="1"/>
  <c r="C84" i="18"/>
  <c r="C93" i="18" s="1"/>
  <c r="C102" i="18" s="1"/>
  <c r="C111" i="18" s="1"/>
  <c r="C120" i="18" s="1"/>
  <c r="C72" i="18"/>
  <c r="C81" i="18" s="1"/>
  <c r="C90" i="18" s="1"/>
  <c r="C99" i="18" s="1"/>
  <c r="C108" i="18" s="1"/>
  <c r="C117" i="18" s="1"/>
  <c r="C126" i="18" s="1"/>
  <c r="C135" i="18" s="1"/>
  <c r="C144" i="18" s="1"/>
  <c r="C153" i="18" s="1"/>
  <c r="C162" i="18" s="1"/>
  <c r="C171" i="18" s="1"/>
  <c r="C180" i="18" s="1"/>
  <c r="C189" i="18" s="1"/>
  <c r="C198" i="18" s="1"/>
  <c r="C207" i="18" s="1"/>
  <c r="C216" i="18" s="1"/>
  <c r="C225" i="18" s="1"/>
  <c r="C234" i="18" s="1"/>
  <c r="C243" i="18" s="1"/>
  <c r="C252" i="18" s="1"/>
  <c r="C261" i="18" s="1"/>
  <c r="C270" i="18" s="1"/>
  <c r="C279" i="18" s="1"/>
  <c r="C288" i="18" s="1"/>
  <c r="C297" i="18" s="1"/>
  <c r="C306" i="18" s="1"/>
  <c r="C315" i="18" s="1"/>
  <c r="C324" i="18" s="1"/>
  <c r="C333" i="18" s="1"/>
  <c r="C342" i="18" s="1"/>
  <c r="C351" i="18" s="1"/>
  <c r="C360" i="18" s="1"/>
  <c r="C369" i="18" s="1"/>
  <c r="C66" i="18"/>
  <c r="C75" i="18" s="1"/>
  <c r="AC60" i="18" a="1"/>
  <c r="AC60" i="18" s="1"/>
  <c r="AB60" i="18" a="1"/>
  <c r="AB60" i="18" s="1"/>
  <c r="AA60" i="18" a="1"/>
  <c r="AA60" i="18" s="1"/>
  <c r="AD60" i="18" s="1"/>
  <c r="AC59" i="18"/>
  <c r="AC59" i="18" a="1"/>
  <c r="AB59" i="18" a="1"/>
  <c r="AB59" i="18" s="1"/>
  <c r="AD59" i="18" s="1"/>
  <c r="AA59" i="18"/>
  <c r="AA59" i="18" a="1"/>
  <c r="AC58" i="18" a="1"/>
  <c r="AC58" i="18" s="1"/>
  <c r="AB58" i="18" a="1"/>
  <c r="AB58" i="18" s="1"/>
  <c r="AA58" i="18" a="1"/>
  <c r="AA58" i="18" s="1"/>
  <c r="AD58" i="18" s="1"/>
  <c r="AD57" i="18"/>
  <c r="AC57" i="18" a="1"/>
  <c r="AC57" i="18" s="1"/>
  <c r="AB57" i="18" a="1"/>
  <c r="AB57" i="18" s="1"/>
  <c r="AA57" i="18"/>
  <c r="AA57" i="18" a="1"/>
  <c r="AC56" i="18" a="1"/>
  <c r="AC56" i="18" s="1"/>
  <c r="AB56" i="18" a="1"/>
  <c r="AB56" i="18" s="1"/>
  <c r="AD56" i="18" s="1"/>
  <c r="AA56" i="18" a="1"/>
  <c r="AA56" i="18" s="1"/>
  <c r="AC55" i="18" a="1"/>
  <c r="AC55" i="18" s="1"/>
  <c r="AB55" i="18" a="1"/>
  <c r="AB55" i="18" s="1"/>
  <c r="AA55" i="18" a="1"/>
  <c r="AA55" i="18" s="1"/>
  <c r="C55" i="18"/>
  <c r="C64" i="18" s="1"/>
  <c r="C73" i="18" s="1"/>
  <c r="C82" i="18" s="1"/>
  <c r="C91" i="18" s="1"/>
  <c r="C100" i="18" s="1"/>
  <c r="C109" i="18" s="1"/>
  <c r="C118" i="18" s="1"/>
  <c r="C127" i="18" s="1"/>
  <c r="C136" i="18" s="1"/>
  <c r="C145" i="18" s="1"/>
  <c r="C154" i="18" s="1"/>
  <c r="C163" i="18" s="1"/>
  <c r="C172" i="18" s="1"/>
  <c r="C181" i="18" s="1"/>
  <c r="C190" i="18" s="1"/>
  <c r="C199" i="18" s="1"/>
  <c r="C208" i="18" s="1"/>
  <c r="C217" i="18" s="1"/>
  <c r="C226" i="18" s="1"/>
  <c r="C235" i="18" s="1"/>
  <c r="C244" i="18" s="1"/>
  <c r="C253" i="18" s="1"/>
  <c r="C262" i="18" s="1"/>
  <c r="C271" i="18" s="1"/>
  <c r="C280" i="18" s="1"/>
  <c r="C289" i="18" s="1"/>
  <c r="C298" i="18" s="1"/>
  <c r="C307" i="18" s="1"/>
  <c r="C316" i="18" s="1"/>
  <c r="C325" i="18" s="1"/>
  <c r="C334" i="18" s="1"/>
  <c r="C343" i="18" s="1"/>
  <c r="C352" i="18" s="1"/>
  <c r="C361" i="18" s="1"/>
  <c r="C370" i="18" s="1"/>
  <c r="AC54" i="18"/>
  <c r="AC54" i="18" a="1"/>
  <c r="AB54" i="18"/>
  <c r="AB54" i="18" a="1"/>
  <c r="AA54" i="18" a="1"/>
  <c r="AA54" i="18" s="1"/>
  <c r="AD54" i="18" s="1"/>
  <c r="C54" i="18"/>
  <c r="C63" i="18" s="1"/>
  <c r="AC53" i="18" a="1"/>
  <c r="AC53" i="18" s="1"/>
  <c r="AB53" i="18" a="1"/>
  <c r="AB53" i="18" s="1"/>
  <c r="AA53" i="18"/>
  <c r="AA53" i="18" a="1"/>
  <c r="AC52" i="18" a="1"/>
  <c r="AC52" i="18" s="1"/>
  <c r="AB52" i="18" a="1"/>
  <c r="AB52" i="18" s="1"/>
  <c r="AA52" i="18"/>
  <c r="AA52" i="18" a="1"/>
  <c r="AC51" i="18"/>
  <c r="AC51" i="18" a="1"/>
  <c r="AB51" i="18" a="1"/>
  <c r="AB51" i="18" s="1"/>
  <c r="AA51" i="18" a="1"/>
  <c r="AA51" i="18" s="1"/>
  <c r="AD51" i="18" s="1"/>
  <c r="C51" i="18"/>
  <c r="C60" i="18" s="1"/>
  <c r="C69" i="18" s="1"/>
  <c r="C78" i="18" s="1"/>
  <c r="C87" i="18" s="1"/>
  <c r="C96" i="18" s="1"/>
  <c r="C105" i="18" s="1"/>
  <c r="C114" i="18" s="1"/>
  <c r="C123" i="18" s="1"/>
  <c r="C132" i="18" s="1"/>
  <c r="C141" i="18" s="1"/>
  <c r="C150" i="18" s="1"/>
  <c r="C159" i="18" s="1"/>
  <c r="C168" i="18" s="1"/>
  <c r="C177" i="18" s="1"/>
  <c r="C186" i="18" s="1"/>
  <c r="C195" i="18" s="1"/>
  <c r="C204" i="18" s="1"/>
  <c r="C213" i="18" s="1"/>
  <c r="C222" i="18" s="1"/>
  <c r="C231" i="18" s="1"/>
  <c r="C240" i="18" s="1"/>
  <c r="C249" i="18" s="1"/>
  <c r="C258" i="18" s="1"/>
  <c r="C267" i="18" s="1"/>
  <c r="C276" i="18" s="1"/>
  <c r="C285" i="18" s="1"/>
  <c r="C294" i="18" s="1"/>
  <c r="C303" i="18" s="1"/>
  <c r="C312" i="18" s="1"/>
  <c r="C321" i="18" s="1"/>
  <c r="C330" i="18" s="1"/>
  <c r="C339" i="18" s="1"/>
  <c r="C348" i="18" s="1"/>
  <c r="C357" i="18" s="1"/>
  <c r="C366" i="18" s="1"/>
  <c r="AC50" i="18"/>
  <c r="AD50" i="18" s="1"/>
  <c r="AC50" i="18" a="1"/>
  <c r="AB50" i="18"/>
  <c r="AB50" i="18" a="1"/>
  <c r="AA50" i="18" a="1"/>
  <c r="AA50" i="18" s="1"/>
  <c r="AC49" i="18"/>
  <c r="AC49" i="18" a="1"/>
  <c r="AB49" i="18"/>
  <c r="AB49" i="18" a="1"/>
  <c r="AA49" i="18" a="1"/>
  <c r="AA49" i="18" s="1"/>
  <c r="AD49" i="18" s="1"/>
  <c r="AC48" i="18" a="1"/>
  <c r="AC48" i="18" s="1"/>
  <c r="AB48" i="18" a="1"/>
  <c r="AB48" i="18" s="1"/>
  <c r="AA48" i="18" a="1"/>
  <c r="AA48" i="18" s="1"/>
  <c r="AD48" i="18" s="1"/>
  <c r="C48" i="18"/>
  <c r="C57" i="18" s="1"/>
  <c r="AC47" i="18" a="1"/>
  <c r="AC47" i="18" s="1"/>
  <c r="AB47" i="18" a="1"/>
  <c r="AB47" i="18" s="1"/>
  <c r="AD47" i="18" s="1"/>
  <c r="AA47" i="18"/>
  <c r="AA47" i="18" a="1"/>
  <c r="AD46" i="18"/>
  <c r="AC46" i="18"/>
  <c r="AC46" i="18" a="1"/>
  <c r="AB46" i="18" a="1"/>
  <c r="AB46" i="18" s="1"/>
  <c r="AA46" i="18" a="1"/>
  <c r="AA46" i="18" s="1"/>
  <c r="AC45" i="18"/>
  <c r="AC45" i="18" a="1"/>
  <c r="AB45" i="18" a="1"/>
  <c r="AB45" i="18" s="1"/>
  <c r="AA45" i="18" a="1"/>
  <c r="AA45" i="18" s="1"/>
  <c r="AD45" i="18" s="1"/>
  <c r="C45" i="18"/>
  <c r="AC44" i="18"/>
  <c r="AC44" i="18" a="1"/>
  <c r="AB44" i="18" a="1"/>
  <c r="AB44" i="18" s="1"/>
  <c r="AA44" i="18"/>
  <c r="AD44" i="18" s="1"/>
  <c r="AA44" i="18" a="1"/>
  <c r="AC43" i="18" a="1"/>
  <c r="AC43" i="18" s="1"/>
  <c r="AB43" i="18" a="1"/>
  <c r="AB43" i="18" s="1"/>
  <c r="AA43" i="18"/>
  <c r="AA43" i="18" a="1"/>
  <c r="C43" i="18"/>
  <c r="C52" i="18" s="1"/>
  <c r="C61" i="18" s="1"/>
  <c r="C70" i="18" s="1"/>
  <c r="C79" i="18" s="1"/>
  <c r="C88" i="18" s="1"/>
  <c r="C97" i="18" s="1"/>
  <c r="C106" i="18" s="1"/>
  <c r="C115" i="18" s="1"/>
  <c r="C124" i="18" s="1"/>
  <c r="C133" i="18" s="1"/>
  <c r="C142" i="18" s="1"/>
  <c r="C151" i="18" s="1"/>
  <c r="C160" i="18" s="1"/>
  <c r="C169" i="18" s="1"/>
  <c r="C178" i="18" s="1"/>
  <c r="C187" i="18" s="1"/>
  <c r="C196" i="18" s="1"/>
  <c r="C205" i="18" s="1"/>
  <c r="C214" i="18" s="1"/>
  <c r="C223" i="18" s="1"/>
  <c r="C232" i="18" s="1"/>
  <c r="C241" i="18" s="1"/>
  <c r="C250" i="18" s="1"/>
  <c r="C259" i="18" s="1"/>
  <c r="C268" i="18" s="1"/>
  <c r="C277" i="18" s="1"/>
  <c r="C286" i="18" s="1"/>
  <c r="C295" i="18" s="1"/>
  <c r="C304" i="18" s="1"/>
  <c r="C313" i="18" s="1"/>
  <c r="C322" i="18" s="1"/>
  <c r="C331" i="18" s="1"/>
  <c r="C340" i="18" s="1"/>
  <c r="C349" i="18" s="1"/>
  <c r="C358" i="18" s="1"/>
  <c r="C367" i="18" s="1"/>
  <c r="AC42" i="18" a="1"/>
  <c r="AC42" i="18" s="1"/>
  <c r="AB42" i="18" a="1"/>
  <c r="AB42" i="18" s="1"/>
  <c r="AA42" i="18" a="1"/>
  <c r="AA42" i="18" s="1"/>
  <c r="AD42" i="18" s="1"/>
  <c r="C42" i="18"/>
  <c r="AC41" i="18" a="1"/>
  <c r="AC41" i="18" s="1"/>
  <c r="AB41" i="18"/>
  <c r="AB41" i="18" a="1"/>
  <c r="AA41" i="18" a="1"/>
  <c r="AA41" i="18" s="1"/>
  <c r="AC40" i="18" a="1"/>
  <c r="AC40" i="18" s="1"/>
  <c r="AD40" i="18" s="1"/>
  <c r="AB40" i="18"/>
  <c r="AB40" i="18" a="1"/>
  <c r="AA40" i="18" a="1"/>
  <c r="AA40" i="18" s="1"/>
  <c r="C40" i="18"/>
  <c r="C49" i="18" s="1"/>
  <c r="C58" i="18" s="1"/>
  <c r="C67" i="18" s="1"/>
  <c r="C76" i="18" s="1"/>
  <c r="C85" i="18" s="1"/>
  <c r="C94" i="18" s="1"/>
  <c r="C103" i="18" s="1"/>
  <c r="C112" i="18" s="1"/>
  <c r="C121" i="18" s="1"/>
  <c r="C130" i="18" s="1"/>
  <c r="C139" i="18" s="1"/>
  <c r="C148" i="18" s="1"/>
  <c r="C157" i="18" s="1"/>
  <c r="C166" i="18" s="1"/>
  <c r="C175" i="18" s="1"/>
  <c r="C184" i="18" s="1"/>
  <c r="C193" i="18" s="1"/>
  <c r="C202" i="18" s="1"/>
  <c r="C211" i="18" s="1"/>
  <c r="C220" i="18" s="1"/>
  <c r="C229" i="18" s="1"/>
  <c r="C238" i="18" s="1"/>
  <c r="C247" i="18" s="1"/>
  <c r="C256" i="18" s="1"/>
  <c r="C265" i="18" s="1"/>
  <c r="C274" i="18" s="1"/>
  <c r="C283" i="18" s="1"/>
  <c r="C292" i="18" s="1"/>
  <c r="C301" i="18" s="1"/>
  <c r="C310" i="18" s="1"/>
  <c r="C319" i="18" s="1"/>
  <c r="C328" i="18" s="1"/>
  <c r="C337" i="18" s="1"/>
  <c r="C346" i="18" s="1"/>
  <c r="C355" i="18" s="1"/>
  <c r="C364" i="18" s="1"/>
  <c r="AC39" i="18"/>
  <c r="AD39" i="18" s="1"/>
  <c r="AC39" i="18" a="1"/>
  <c r="AB39" i="18" a="1"/>
  <c r="AB39" i="18" s="1"/>
  <c r="AA39" i="18"/>
  <c r="AA39" i="18" a="1"/>
  <c r="C39" i="18"/>
  <c r="AC38" i="18" a="1"/>
  <c r="AC38" i="18" s="1"/>
  <c r="AB38" i="18" a="1"/>
  <c r="AB38" i="18" s="1"/>
  <c r="AA38" i="18" a="1"/>
  <c r="AA38" i="18" s="1"/>
  <c r="C38" i="18"/>
  <c r="C47" i="18" s="1"/>
  <c r="C56" i="18" s="1"/>
  <c r="C65" i="18" s="1"/>
  <c r="C74" i="18" s="1"/>
  <c r="C83" i="18" s="1"/>
  <c r="C92" i="18" s="1"/>
  <c r="C101" i="18" s="1"/>
  <c r="C110" i="18" s="1"/>
  <c r="C119" i="18" s="1"/>
  <c r="C128" i="18" s="1"/>
  <c r="C137" i="18" s="1"/>
  <c r="C146" i="18" s="1"/>
  <c r="C155" i="18" s="1"/>
  <c r="C164" i="18" s="1"/>
  <c r="C173" i="18" s="1"/>
  <c r="C182" i="18" s="1"/>
  <c r="C191" i="18" s="1"/>
  <c r="C200" i="18" s="1"/>
  <c r="C209" i="18" s="1"/>
  <c r="C218" i="18" s="1"/>
  <c r="C227" i="18" s="1"/>
  <c r="C236" i="18" s="1"/>
  <c r="C245" i="18" s="1"/>
  <c r="C254" i="18" s="1"/>
  <c r="C263" i="18" s="1"/>
  <c r="C272" i="18" s="1"/>
  <c r="C281" i="18" s="1"/>
  <c r="C290" i="18" s="1"/>
  <c r="C299" i="18" s="1"/>
  <c r="C308" i="18" s="1"/>
  <c r="C317" i="18" s="1"/>
  <c r="C326" i="18" s="1"/>
  <c r="C335" i="18" s="1"/>
  <c r="C344" i="18" s="1"/>
  <c r="C353" i="18" s="1"/>
  <c r="C362" i="18" s="1"/>
  <c r="C371" i="18" s="1"/>
  <c r="AC37" i="18" a="1"/>
  <c r="AC37" i="18" s="1"/>
  <c r="AB37" i="18" a="1"/>
  <c r="AB37" i="18" s="1"/>
  <c r="AD37" i="18" s="1"/>
  <c r="AA37" i="18" a="1"/>
  <c r="AA37" i="18" s="1"/>
  <c r="C37" i="18"/>
  <c r="C46" i="18" s="1"/>
  <c r="AC36" i="18"/>
  <c r="AD36" i="18" s="1"/>
  <c r="AC36" i="18" a="1"/>
  <c r="AB36" i="18"/>
  <c r="AB36" i="18" a="1"/>
  <c r="AA36" i="18" a="1"/>
  <c r="AA36" i="18" s="1"/>
  <c r="C36" i="18"/>
  <c r="AC35" i="18" a="1"/>
  <c r="AC35" i="18" s="1"/>
  <c r="AB35" i="18" a="1"/>
  <c r="AB35" i="18" s="1"/>
  <c r="AA35" i="18" a="1"/>
  <c r="AA35" i="18" s="1"/>
  <c r="AD35" i="18" s="1"/>
  <c r="C35" i="18"/>
  <c r="C44" i="18" s="1"/>
  <c r="C53" i="18" s="1"/>
  <c r="C62" i="18" s="1"/>
  <c r="C71" i="18" s="1"/>
  <c r="C80" i="18" s="1"/>
  <c r="C89" i="18" s="1"/>
  <c r="C98" i="18" s="1"/>
  <c r="C107" i="18" s="1"/>
  <c r="C116" i="18" s="1"/>
  <c r="C125" i="18" s="1"/>
  <c r="C134" i="18" s="1"/>
  <c r="C143" i="18" s="1"/>
  <c r="C152" i="18" s="1"/>
  <c r="C161" i="18" s="1"/>
  <c r="C170" i="18" s="1"/>
  <c r="C179" i="18" s="1"/>
  <c r="C188" i="18" s="1"/>
  <c r="C197" i="18" s="1"/>
  <c r="C206" i="18" s="1"/>
  <c r="C215" i="18" s="1"/>
  <c r="C224" i="18" s="1"/>
  <c r="C233" i="18" s="1"/>
  <c r="C242" i="18" s="1"/>
  <c r="C251" i="18" s="1"/>
  <c r="C260" i="18" s="1"/>
  <c r="C269" i="18" s="1"/>
  <c r="C278" i="18" s="1"/>
  <c r="C287" i="18" s="1"/>
  <c r="C296" i="18" s="1"/>
  <c r="C305" i="18" s="1"/>
  <c r="C314" i="18" s="1"/>
  <c r="C323" i="18" s="1"/>
  <c r="C332" i="18" s="1"/>
  <c r="C341" i="18" s="1"/>
  <c r="C350" i="18" s="1"/>
  <c r="C359" i="18" s="1"/>
  <c r="C368" i="18" s="1"/>
  <c r="AC34" i="18"/>
  <c r="AD34" i="18" s="1"/>
  <c r="AC34" i="18" a="1"/>
  <c r="AB34" i="18"/>
  <c r="AB34" i="18" a="1"/>
  <c r="AA34" i="18"/>
  <c r="AA34" i="18" a="1"/>
  <c r="C34" i="18"/>
  <c r="AC33" i="18" a="1"/>
  <c r="AC33" i="18" s="1"/>
  <c r="AB33" i="18"/>
  <c r="AD33" i="18" s="1"/>
  <c r="AB33" i="18" a="1"/>
  <c r="AA33" i="18"/>
  <c r="AA33" i="18" a="1"/>
  <c r="C33" i="18"/>
  <c r="AC32" i="18" a="1"/>
  <c r="AC32" i="18" s="1"/>
  <c r="AB32" i="18" a="1"/>
  <c r="AB32" i="18" s="1"/>
  <c r="AA32" i="18" a="1"/>
  <c r="AA32" i="18" s="1"/>
  <c r="AD32" i="18" s="1"/>
  <c r="C32" i="18"/>
  <c r="C41" i="18" s="1"/>
  <c r="C50" i="18" s="1"/>
  <c r="C59" i="18" s="1"/>
  <c r="C68" i="18" s="1"/>
  <c r="C77" i="18" s="1"/>
  <c r="C86" i="18" s="1"/>
  <c r="C95" i="18" s="1"/>
  <c r="C104" i="18" s="1"/>
  <c r="C113" i="18" s="1"/>
  <c r="C122" i="18" s="1"/>
  <c r="C131" i="18" s="1"/>
  <c r="C140" i="18" s="1"/>
  <c r="C149" i="18" s="1"/>
  <c r="C158" i="18" s="1"/>
  <c r="C167" i="18" s="1"/>
  <c r="C176" i="18" s="1"/>
  <c r="C185" i="18" s="1"/>
  <c r="C194" i="18" s="1"/>
  <c r="C203" i="18" s="1"/>
  <c r="C212" i="18" s="1"/>
  <c r="C221" i="18" s="1"/>
  <c r="C230" i="18" s="1"/>
  <c r="C239" i="18" s="1"/>
  <c r="C248" i="18" s="1"/>
  <c r="C257" i="18" s="1"/>
  <c r="C266" i="18" s="1"/>
  <c r="C275" i="18" s="1"/>
  <c r="C284" i="18" s="1"/>
  <c r="C293" i="18" s="1"/>
  <c r="C302" i="18" s="1"/>
  <c r="C311" i="18" s="1"/>
  <c r="C320" i="18" s="1"/>
  <c r="C329" i="18" s="1"/>
  <c r="C338" i="18" s="1"/>
  <c r="C347" i="18" s="1"/>
  <c r="C356" i="18" s="1"/>
  <c r="C365" i="18" s="1"/>
  <c r="AD31" i="18"/>
  <c r="AC31" i="18"/>
  <c r="AC31" i="18" a="1"/>
  <c r="AB31" i="18"/>
  <c r="AB31" i="18" a="1"/>
  <c r="AA31" i="18" a="1"/>
  <c r="AA31" i="18" s="1"/>
  <c r="C31" i="18"/>
  <c r="AC30" i="18" a="1"/>
  <c r="AC30" i="18" s="1"/>
  <c r="AD30" i="18" s="1"/>
  <c r="AB30" i="18"/>
  <c r="AB30" i="18" a="1"/>
  <c r="AA30" i="18" a="1"/>
  <c r="AA30" i="18" s="1"/>
  <c r="AC29" i="18" a="1"/>
  <c r="AC29" i="18" s="1"/>
  <c r="AB29" i="18" a="1"/>
  <c r="AB29" i="18" s="1"/>
  <c r="AA29" i="18" a="1"/>
  <c r="AA29" i="18" s="1"/>
  <c r="AD29" i="18" s="1"/>
  <c r="AC28" i="18"/>
  <c r="AC28" i="18" a="1"/>
  <c r="AB28" i="18" a="1"/>
  <c r="AB28" i="18" s="1"/>
  <c r="AA28" i="18"/>
  <c r="AD28" i="18" s="1"/>
  <c r="AA28" i="18" a="1"/>
  <c r="AC27" i="18" a="1"/>
  <c r="AC27" i="18" s="1"/>
  <c r="AB27" i="18"/>
  <c r="AB27" i="18" a="1"/>
  <c r="AA27" i="18"/>
  <c r="AA27" i="18" a="1"/>
  <c r="AC26" i="18" a="1"/>
  <c r="AC26" i="18" s="1"/>
  <c r="AB26" i="18" a="1"/>
  <c r="AB26" i="18" s="1"/>
  <c r="AA26" i="18" a="1"/>
  <c r="AA26" i="18" s="1"/>
  <c r="AD26" i="18" s="1"/>
  <c r="AD25" i="18"/>
  <c r="AC25" i="18"/>
  <c r="AC25" i="18" a="1"/>
  <c r="AB25" i="18"/>
  <c r="AB25" i="18" a="1"/>
  <c r="AA25" i="18" a="1"/>
  <c r="AA25" i="18" s="1"/>
  <c r="AC24" i="18" a="1"/>
  <c r="AC24" i="18" s="1"/>
  <c r="AB24" i="18" a="1"/>
  <c r="AB24" i="18" s="1"/>
  <c r="AA24" i="18"/>
  <c r="AD24" i="18" s="1"/>
  <c r="AA24" i="18" a="1"/>
  <c r="AC23" i="18" a="1"/>
  <c r="AC23" i="18" s="1"/>
  <c r="AB23" i="18" a="1"/>
  <c r="AB23" i="18" s="1"/>
  <c r="AA23" i="18"/>
  <c r="AD23" i="18" s="1"/>
  <c r="AA23" i="18" a="1"/>
  <c r="AC22" i="18" a="1"/>
  <c r="AC22" i="18" s="1"/>
  <c r="AB22" i="18" a="1"/>
  <c r="AB22" i="18" s="1"/>
  <c r="AA22" i="18" a="1"/>
  <c r="AA22" i="18" s="1"/>
  <c r="AB15" i="18"/>
  <c r="AA15" i="18"/>
  <c r="Z15" i="18"/>
  <c r="S15" i="18"/>
  <c r="Q15" i="18"/>
  <c r="P15" i="18"/>
  <c r="G15" i="18"/>
  <c r="F15" i="18"/>
  <c r="AB14" i="18"/>
  <c r="AA14" i="18"/>
  <c r="Z14" i="18"/>
  <c r="Q14" i="18"/>
  <c r="P14" i="18"/>
  <c r="AE10" i="18"/>
  <c r="AD10" i="18"/>
  <c r="AC10" i="18"/>
  <c r="AB10" i="18"/>
  <c r="AA10" i="18"/>
  <c r="Z10" i="18"/>
  <c r="Y10" i="18"/>
  <c r="X10" i="18"/>
  <c r="W10" i="18"/>
  <c r="W15" i="18" s="1"/>
  <c r="V10" i="18"/>
  <c r="V15" i="18" s="1"/>
  <c r="U10" i="18"/>
  <c r="T10" i="18"/>
  <c r="S10" i="18"/>
  <c r="T24" i="10" s="1"/>
  <c r="R10" i="18"/>
  <c r="Q10" i="18"/>
  <c r="P10" i="18"/>
  <c r="O10" i="18"/>
  <c r="N10" i="18"/>
  <c r="M10" i="18"/>
  <c r="L10" i="18"/>
  <c r="K10" i="18"/>
  <c r="K15" i="18" s="1"/>
  <c r="J10" i="18"/>
  <c r="I10" i="18"/>
  <c r="H10" i="18"/>
  <c r="G10" i="18"/>
  <c r="F10" i="18"/>
  <c r="E10" i="18"/>
  <c r="D10" i="18"/>
  <c r="C10" i="18"/>
  <c r="B10" i="18"/>
  <c r="B15" i="18" s="1"/>
  <c r="AE9" i="18"/>
  <c r="AD9" i="18"/>
  <c r="AE24" i="10" s="1"/>
  <c r="AC9" i="18"/>
  <c r="AC14" i="18" s="1"/>
  <c r="AB9" i="18"/>
  <c r="AA9" i="18"/>
  <c r="Z9" i="18"/>
  <c r="AA24" i="10" s="1"/>
  <c r="Y9" i="18"/>
  <c r="X9" i="18"/>
  <c r="W9" i="18"/>
  <c r="V9" i="18"/>
  <c r="W24" i="10" s="1"/>
  <c r="U9" i="18"/>
  <c r="U15" i="18" s="1"/>
  <c r="T9" i="18"/>
  <c r="S9" i="18"/>
  <c r="R9" i="18"/>
  <c r="Q9" i="18"/>
  <c r="P9" i="18"/>
  <c r="O9" i="18"/>
  <c r="P24" i="10" s="1"/>
  <c r="N9" i="18"/>
  <c r="O24" i="10" s="1"/>
  <c r="M9" i="18"/>
  <c r="N24" i="10" s="1"/>
  <c r="L9" i="18"/>
  <c r="M24" i="10" s="1"/>
  <c r="K9" i="18"/>
  <c r="J9" i="18"/>
  <c r="K24" i="10" s="1"/>
  <c r="I9" i="18"/>
  <c r="I14" i="18" s="1"/>
  <c r="H9" i="18"/>
  <c r="G9" i="18"/>
  <c r="F9" i="18"/>
  <c r="G24" i="10" s="1"/>
  <c r="E9" i="18"/>
  <c r="D9" i="18"/>
  <c r="C9" i="18"/>
  <c r="B9" i="18"/>
  <c r="AE8" i="18"/>
  <c r="AE14" i="18" s="1"/>
  <c r="AD8" i="18"/>
  <c r="AC8" i="18"/>
  <c r="AB8" i="18"/>
  <c r="AA8" i="18"/>
  <c r="Z8" i="18"/>
  <c r="Y8" i="18"/>
  <c r="Y14" i="18" s="1"/>
  <c r="X8" i="18"/>
  <c r="X14" i="18" s="1"/>
  <c r="W8" i="18"/>
  <c r="V8" i="18"/>
  <c r="U8" i="18"/>
  <c r="T8" i="18"/>
  <c r="T14" i="18" s="1"/>
  <c r="S8" i="18"/>
  <c r="S14" i="18" s="1"/>
  <c r="R8" i="18"/>
  <c r="Q8" i="18"/>
  <c r="P8" i="18"/>
  <c r="O8" i="18"/>
  <c r="N8" i="18"/>
  <c r="M8" i="18"/>
  <c r="L8" i="18"/>
  <c r="K8" i="18"/>
  <c r="J8" i="18"/>
  <c r="I8" i="18"/>
  <c r="H8" i="18"/>
  <c r="G8" i="18"/>
  <c r="G14" i="18" s="1"/>
  <c r="F8" i="18"/>
  <c r="F14" i="18" s="1"/>
  <c r="E8" i="18"/>
  <c r="E14" i="18" s="1"/>
  <c r="D8" i="18"/>
  <c r="D14" i="18" s="1"/>
  <c r="C8" i="18"/>
  <c r="C14" i="18" s="1"/>
  <c r="B8" i="18"/>
  <c r="B14" i="18" s="1"/>
  <c r="AE7" i="18"/>
  <c r="AD7" i="18"/>
  <c r="AC7" i="18"/>
  <c r="AB7" i="18"/>
  <c r="AA7" i="18"/>
  <c r="Z7" i="18"/>
  <c r="Y7" i="18"/>
  <c r="X7" i="18"/>
  <c r="W7" i="18"/>
  <c r="V7" i="18"/>
  <c r="U7" i="18"/>
  <c r="T7" i="18"/>
  <c r="S7" i="18"/>
  <c r="R7" i="18"/>
  <c r="Q7" i="18"/>
  <c r="P7" i="18"/>
  <c r="O7" i="18"/>
  <c r="N7" i="18"/>
  <c r="M7" i="18"/>
  <c r="L7" i="18"/>
  <c r="K7" i="18"/>
  <c r="J7" i="18"/>
  <c r="I7" i="18"/>
  <c r="H7" i="18"/>
  <c r="G7" i="18"/>
  <c r="F7" i="18"/>
  <c r="E7" i="18"/>
  <c r="D7" i="18"/>
  <c r="C7" i="18"/>
  <c r="B7" i="18"/>
  <c r="AE6" i="18"/>
  <c r="AD6" i="18"/>
  <c r="AC6" i="18"/>
  <c r="AB6" i="18"/>
  <c r="AA6" i="18"/>
  <c r="Z6" i="18"/>
  <c r="Y6" i="18"/>
  <c r="Z23" i="10" s="1"/>
  <c r="X6" i="18"/>
  <c r="W6" i="18"/>
  <c r="V6" i="18"/>
  <c r="U6" i="18"/>
  <c r="T6" i="18"/>
  <c r="U26" i="10" s="1"/>
  <c r="U27" i="10" s="1"/>
  <c r="S6" i="18"/>
  <c r="R6" i="18"/>
  <c r="Q6" i="18"/>
  <c r="P6" i="18"/>
  <c r="O6" i="18"/>
  <c r="N6" i="18"/>
  <c r="M6" i="18"/>
  <c r="L6" i="18"/>
  <c r="K6" i="18"/>
  <c r="L26" i="10" s="1"/>
  <c r="L27" i="10" s="1"/>
  <c r="J6" i="18"/>
  <c r="I6" i="18"/>
  <c r="H6" i="18"/>
  <c r="G6" i="18"/>
  <c r="F6" i="18"/>
  <c r="E6" i="18"/>
  <c r="D6" i="18"/>
  <c r="C6" i="18"/>
  <c r="B6" i="18"/>
  <c r="AE5" i="18"/>
  <c r="AD5" i="18"/>
  <c r="AC5" i="18"/>
  <c r="AD26" i="10" s="1"/>
  <c r="AD27" i="10" s="1"/>
  <c r="AB5" i="18"/>
  <c r="AA5" i="18"/>
  <c r="Z5" i="18"/>
  <c r="AA26" i="10" s="1"/>
  <c r="Y5" i="18"/>
  <c r="X5" i="18"/>
  <c r="W5" i="18"/>
  <c r="V5" i="18"/>
  <c r="U5" i="18"/>
  <c r="V23" i="10" s="1"/>
  <c r="T5" i="18"/>
  <c r="S5" i="18"/>
  <c r="R5" i="18"/>
  <c r="S26" i="10" s="1"/>
  <c r="Q5" i="18"/>
  <c r="P5" i="18"/>
  <c r="O5" i="18"/>
  <c r="P26" i="10" s="1"/>
  <c r="P27" i="10" s="1"/>
  <c r="N5" i="18"/>
  <c r="M5" i="18"/>
  <c r="L5" i="18"/>
  <c r="K5" i="18"/>
  <c r="J5" i="18"/>
  <c r="K26" i="10" s="1"/>
  <c r="K27" i="10" s="1"/>
  <c r="I5" i="18"/>
  <c r="H5" i="18"/>
  <c r="G5" i="18"/>
  <c r="F5" i="18"/>
  <c r="E5" i="18"/>
  <c r="D5" i="18"/>
  <c r="C5" i="18"/>
  <c r="B5" i="18"/>
  <c r="AE4" i="18"/>
  <c r="AF22" i="10" s="1"/>
  <c r="AD4" i="18"/>
  <c r="AC4" i="18"/>
  <c r="AB4" i="18"/>
  <c r="AA4" i="18"/>
  <c r="Z4" i="18"/>
  <c r="Y4" i="18"/>
  <c r="X4" i="18"/>
  <c r="W4" i="18"/>
  <c r="V4" i="18"/>
  <c r="U4" i="18"/>
  <c r="T4" i="18"/>
  <c r="S4" i="18"/>
  <c r="T22" i="10" s="1"/>
  <c r="R4" i="18"/>
  <c r="Q4" i="18"/>
  <c r="P4" i="18"/>
  <c r="O4" i="18"/>
  <c r="N4" i="18"/>
  <c r="M4" i="18"/>
  <c r="L4" i="18"/>
  <c r="K4" i="18"/>
  <c r="L22" i="10" s="1"/>
  <c r="J4" i="18"/>
  <c r="I4" i="18"/>
  <c r="H4" i="18"/>
  <c r="I22" i="10" s="1"/>
  <c r="G4" i="18"/>
  <c r="F4" i="18"/>
  <c r="E4" i="18"/>
  <c r="D4" i="18"/>
  <c r="C4" i="18"/>
  <c r="B4" i="18"/>
  <c r="AE3" i="18"/>
  <c r="AD3" i="18"/>
  <c r="AE22" i="10" s="1"/>
  <c r="AC3" i="18"/>
  <c r="AD22" i="10" s="1"/>
  <c r="AB3" i="18"/>
  <c r="AA3" i="18"/>
  <c r="Z3" i="18"/>
  <c r="Y3" i="18"/>
  <c r="X3" i="18"/>
  <c r="W3" i="18"/>
  <c r="V3" i="18"/>
  <c r="U3" i="18"/>
  <c r="V22" i="10" s="1"/>
  <c r="T3" i="18"/>
  <c r="S3" i="18"/>
  <c r="R3" i="18"/>
  <c r="Q3" i="18"/>
  <c r="P3" i="18"/>
  <c r="O3" i="18"/>
  <c r="P22" i="10" s="1"/>
  <c r="P29" i="10" s="1"/>
  <c r="N3" i="18"/>
  <c r="O22" i="10" s="1"/>
  <c r="M3" i="18"/>
  <c r="N22" i="10" s="1"/>
  <c r="L3" i="18"/>
  <c r="M22" i="10" s="1"/>
  <c r="K3" i="18"/>
  <c r="J3" i="18"/>
  <c r="K22" i="10" s="1"/>
  <c r="I3" i="18"/>
  <c r="H3" i="18"/>
  <c r="G3" i="18"/>
  <c r="F3" i="18"/>
  <c r="G22" i="10" s="1"/>
  <c r="E3" i="18"/>
  <c r="D3" i="18"/>
  <c r="C3" i="18"/>
  <c r="B3" i="18"/>
  <c r="H23" i="12"/>
  <c r="G23" i="12"/>
  <c r="F23" i="12"/>
  <c r="E23" i="12"/>
  <c r="D23" i="12"/>
  <c r="C23" i="12"/>
  <c r="B23" i="12"/>
  <c r="G22" i="12"/>
  <c r="F22" i="12"/>
  <c r="E22" i="12"/>
  <c r="D22" i="12"/>
  <c r="C22" i="12"/>
  <c r="B22" i="12"/>
  <c r="G21" i="12"/>
  <c r="F21" i="12"/>
  <c r="E21" i="12"/>
  <c r="D21" i="12"/>
  <c r="B21" i="12"/>
  <c r="G5" i="12"/>
  <c r="H5" i="12" s="1"/>
  <c r="H21" i="12" s="1"/>
  <c r="F5" i="12"/>
  <c r="E5" i="12"/>
  <c r="D5" i="12"/>
  <c r="C5" i="12"/>
  <c r="C21" i="12" s="1"/>
  <c r="B5" i="12"/>
  <c r="H4" i="12"/>
  <c r="H3" i="12"/>
  <c r="I3" i="12" s="1"/>
  <c r="C73" i="11"/>
  <c r="B73" i="11"/>
  <c r="C72" i="11"/>
  <c r="B72" i="11"/>
  <c r="C71" i="11"/>
  <c r="B71" i="11"/>
  <c r="C70" i="11"/>
  <c r="B70" i="11"/>
  <c r="C69" i="11"/>
  <c r="B69" i="11"/>
  <c r="C68" i="11"/>
  <c r="B68" i="11"/>
  <c r="C67" i="11"/>
  <c r="B67" i="11"/>
  <c r="C66" i="11"/>
  <c r="B66" i="11"/>
  <c r="C65" i="11"/>
  <c r="B65" i="11"/>
  <c r="C64" i="11"/>
  <c r="B64" i="11"/>
  <c r="C63" i="11"/>
  <c r="B63" i="11"/>
  <c r="C62" i="11"/>
  <c r="B62" i="11"/>
  <c r="C61" i="11"/>
  <c r="B61" i="11"/>
  <c r="C60" i="11"/>
  <c r="B60" i="11"/>
  <c r="C59" i="11"/>
  <c r="B59" i="11"/>
  <c r="C58" i="11"/>
  <c r="B58" i="11"/>
  <c r="C57" i="11"/>
  <c r="B57" i="11"/>
  <c r="C56" i="11"/>
  <c r="B56" i="11"/>
  <c r="C55" i="11"/>
  <c r="B55" i="11"/>
  <c r="C54" i="11"/>
  <c r="B54" i="11"/>
  <c r="C53" i="11"/>
  <c r="B53" i="11"/>
  <c r="C52" i="11"/>
  <c r="B52" i="11"/>
  <c r="C51" i="11"/>
  <c r="B51" i="11"/>
  <c r="C50" i="11"/>
  <c r="B50" i="11"/>
  <c r="C49" i="11"/>
  <c r="B49" i="11"/>
  <c r="C48" i="11"/>
  <c r="B48" i="11"/>
  <c r="C47" i="11"/>
  <c r="B47" i="11"/>
  <c r="C46" i="11"/>
  <c r="B46" i="11"/>
  <c r="C45" i="11"/>
  <c r="B45" i="11"/>
  <c r="C44" i="11"/>
  <c r="B44" i="11"/>
  <c r="C43" i="11"/>
  <c r="B43" i="11"/>
  <c r="C42" i="11"/>
  <c r="B42" i="11"/>
  <c r="C41" i="11"/>
  <c r="B41" i="11"/>
  <c r="C40" i="11"/>
  <c r="B40" i="11"/>
  <c r="C39" i="11"/>
  <c r="B39" i="11"/>
  <c r="C38" i="11"/>
  <c r="B38" i="11"/>
  <c r="C37" i="11"/>
  <c r="B37" i="11"/>
  <c r="C36" i="11"/>
  <c r="B36" i="11"/>
  <c r="C35" i="11"/>
  <c r="B35" i="11"/>
  <c r="C34" i="11"/>
  <c r="B34" i="11"/>
  <c r="C33" i="11"/>
  <c r="B33" i="11"/>
  <c r="C32" i="11"/>
  <c r="B32" i="11"/>
  <c r="C31" i="11"/>
  <c r="B31" i="11"/>
  <c r="C30" i="11"/>
  <c r="B30" i="11"/>
  <c r="C29" i="11"/>
  <c r="B29" i="11"/>
  <c r="C28" i="11"/>
  <c r="B28" i="11"/>
  <c r="C27" i="11"/>
  <c r="B27" i="11"/>
  <c r="C26" i="11"/>
  <c r="B26" i="11"/>
  <c r="C25" i="11"/>
  <c r="B25" i="11"/>
  <c r="C24" i="11"/>
  <c r="B24" i="11"/>
  <c r="C23" i="11"/>
  <c r="B23" i="11"/>
  <c r="C22" i="11"/>
  <c r="B22" i="11"/>
  <c r="C21" i="11"/>
  <c r="B21" i="11"/>
  <c r="C20" i="11"/>
  <c r="B20" i="11"/>
  <c r="C19" i="11"/>
  <c r="B19" i="11"/>
  <c r="C18" i="11"/>
  <c r="B18" i="11"/>
  <c r="C17" i="11"/>
  <c r="B17" i="11"/>
  <c r="C16" i="11"/>
  <c r="B16" i="11"/>
  <c r="C15" i="11"/>
  <c r="B15" i="11"/>
  <c r="C14" i="11"/>
  <c r="B14" i="11"/>
  <c r="AF9" i="11"/>
  <c r="AE9" i="11"/>
  <c r="AD9" i="11"/>
  <c r="AC9" i="11"/>
  <c r="AB9" i="11"/>
  <c r="AA9" i="11"/>
  <c r="Z9" i="11"/>
  <c r="Y9" i="11"/>
  <c r="X9" i="11"/>
  <c r="W9" i="11"/>
  <c r="V9" i="11"/>
  <c r="U9" i="11"/>
  <c r="T9" i="11"/>
  <c r="S9" i="11"/>
  <c r="R9" i="11"/>
  <c r="Q9" i="11"/>
  <c r="P9" i="11"/>
  <c r="O9" i="11"/>
  <c r="N9" i="11"/>
  <c r="M9" i="11"/>
  <c r="L9" i="11"/>
  <c r="K9" i="11"/>
  <c r="J9" i="11"/>
  <c r="I9" i="11"/>
  <c r="H9" i="11"/>
  <c r="G9" i="11"/>
  <c r="F9" i="11"/>
  <c r="E9" i="11"/>
  <c r="D9" i="11"/>
  <c r="C9" i="11"/>
  <c r="B9" i="11"/>
  <c r="E8" i="11"/>
  <c r="D8" i="11"/>
  <c r="C8" i="11"/>
  <c r="B8" i="11"/>
  <c r="E7" i="11"/>
  <c r="D7" i="11"/>
  <c r="C7" i="11"/>
  <c r="B7" i="11"/>
  <c r="AF6" i="11"/>
  <c r="AE6" i="11"/>
  <c r="AD6" i="11"/>
  <c r="AC6" i="11"/>
  <c r="AB6" i="11"/>
  <c r="AA6" i="11"/>
  <c r="Z6" i="11"/>
  <c r="Y6" i="11"/>
  <c r="X6" i="11"/>
  <c r="W6" i="11"/>
  <c r="V6" i="11"/>
  <c r="U6" i="11"/>
  <c r="T6" i="11"/>
  <c r="S6" i="11"/>
  <c r="R6" i="11"/>
  <c r="Q6" i="11"/>
  <c r="P6" i="11"/>
  <c r="O6" i="11"/>
  <c r="N6" i="11"/>
  <c r="M6" i="11"/>
  <c r="L6" i="11"/>
  <c r="K6" i="11"/>
  <c r="J6" i="11"/>
  <c r="I6" i="11"/>
  <c r="H6" i="11"/>
  <c r="G6" i="11"/>
  <c r="F6" i="11"/>
  <c r="E6" i="11"/>
  <c r="D6" i="11"/>
  <c r="C6" i="11"/>
  <c r="B6" i="11"/>
  <c r="O5" i="11"/>
  <c r="H35" i="20" s="1"/>
  <c r="N5" i="11"/>
  <c r="G35" i="20" s="1"/>
  <c r="L5" i="11"/>
  <c r="E35" i="20" s="1"/>
  <c r="K5" i="11"/>
  <c r="D35" i="20" s="1"/>
  <c r="H5" i="11"/>
  <c r="E5" i="11"/>
  <c r="D5" i="11"/>
  <c r="C5" i="11"/>
  <c r="B5" i="11"/>
  <c r="Y4" i="11"/>
  <c r="W4" i="11"/>
  <c r="V4" i="11"/>
  <c r="U4" i="11"/>
  <c r="M4" i="11"/>
  <c r="K4" i="11"/>
  <c r="I4" i="11"/>
  <c r="Q3" i="11"/>
  <c r="P3" i="11"/>
  <c r="O3" i="11"/>
  <c r="L3" i="11"/>
  <c r="L4" i="11" s="1"/>
  <c r="K3" i="11"/>
  <c r="J3" i="11"/>
  <c r="J4" i="11" s="1"/>
  <c r="C3" i="11"/>
  <c r="C4" i="11" s="1"/>
  <c r="O2" i="11"/>
  <c r="N2" i="11"/>
  <c r="M2" i="11"/>
  <c r="L2" i="11"/>
  <c r="K2" i="11"/>
  <c r="I2" i="11"/>
  <c r="Q49" i="10"/>
  <c r="Q5" i="11" s="1"/>
  <c r="J35" i="20" s="1"/>
  <c r="P49" i="10"/>
  <c r="P5" i="11" s="1"/>
  <c r="I35" i="20" s="1"/>
  <c r="O49" i="10"/>
  <c r="N49" i="10"/>
  <c r="M49" i="10"/>
  <c r="M5" i="11" s="1"/>
  <c r="F35" i="20" s="1"/>
  <c r="L49" i="10"/>
  <c r="K49" i="10"/>
  <c r="J49" i="10"/>
  <c r="J5" i="11" s="1"/>
  <c r="C35" i="20" s="1"/>
  <c r="I49" i="10"/>
  <c r="I5" i="11" s="1"/>
  <c r="B35" i="20" s="1"/>
  <c r="H49" i="10"/>
  <c r="G49" i="10"/>
  <c r="G5" i="11" s="1"/>
  <c r="F49" i="10"/>
  <c r="F5" i="11" s="1"/>
  <c r="R48" i="10"/>
  <c r="R3" i="11" s="1"/>
  <c r="Q48" i="10"/>
  <c r="P48" i="10"/>
  <c r="O48" i="10"/>
  <c r="N48" i="10"/>
  <c r="N3" i="11" s="1"/>
  <c r="N4" i="11" s="1"/>
  <c r="M48" i="10"/>
  <c r="M3" i="11" s="1"/>
  <c r="L48" i="10"/>
  <c r="K48" i="10"/>
  <c r="J48" i="10"/>
  <c r="I48" i="10"/>
  <c r="I3" i="11" s="1"/>
  <c r="H48" i="10"/>
  <c r="H3" i="11" s="1"/>
  <c r="H4" i="11" s="1"/>
  <c r="S47" i="10"/>
  <c r="S2" i="11" s="1"/>
  <c r="R47" i="10"/>
  <c r="R2" i="11" s="1"/>
  <c r="Q47" i="10"/>
  <c r="Q2" i="11" s="1"/>
  <c r="P47" i="10"/>
  <c r="P2" i="11" s="1"/>
  <c r="O47" i="10"/>
  <c r="N47" i="10"/>
  <c r="M47" i="10"/>
  <c r="L47" i="10"/>
  <c r="K47" i="10"/>
  <c r="J47" i="10"/>
  <c r="J2" i="11" s="1"/>
  <c r="I47" i="10"/>
  <c r="H47" i="10"/>
  <c r="H2" i="11" s="1"/>
  <c r="G47" i="10"/>
  <c r="G2" i="11" s="1"/>
  <c r="F47" i="10"/>
  <c r="F2" i="11" s="1"/>
  <c r="E47" i="10"/>
  <c r="E2" i="11" s="1"/>
  <c r="D47" i="10"/>
  <c r="D2" i="11" s="1"/>
  <c r="G31" i="10"/>
  <c r="I30" i="10"/>
  <c r="H30" i="10"/>
  <c r="I29" i="10"/>
  <c r="H29" i="10"/>
  <c r="AA27" i="10"/>
  <c r="T27" i="10"/>
  <c r="T31" i="10" s="1"/>
  <c r="T32" i="10" s="1"/>
  <c r="S27" i="10"/>
  <c r="J27" i="10"/>
  <c r="I27" i="10"/>
  <c r="H27" i="10"/>
  <c r="AC26" i="10"/>
  <c r="AC27" i="10" s="1"/>
  <c r="AB26" i="10"/>
  <c r="AB27" i="10" s="1"/>
  <c r="T26" i="10"/>
  <c r="T29" i="10" s="1"/>
  <c r="T30" i="10" s="1"/>
  <c r="R26" i="10"/>
  <c r="R27" i="10" s="1"/>
  <c r="Q26" i="10"/>
  <c r="Q27" i="10" s="1"/>
  <c r="J26" i="10"/>
  <c r="J29" i="10" s="1"/>
  <c r="I26" i="10"/>
  <c r="H26" i="10"/>
  <c r="G26" i="10"/>
  <c r="G27" i="10" s="1"/>
  <c r="F26" i="10"/>
  <c r="F27" i="10" s="1"/>
  <c r="E26" i="10"/>
  <c r="E27" i="10" s="1"/>
  <c r="AC24" i="10"/>
  <c r="AB24" i="10"/>
  <c r="Y24" i="10"/>
  <c r="X24" i="10"/>
  <c r="R24" i="10"/>
  <c r="J24" i="10"/>
  <c r="I24" i="10"/>
  <c r="H24" i="10"/>
  <c r="F24" i="10"/>
  <c r="AD23" i="10"/>
  <c r="AC23" i="10"/>
  <c r="AC31" i="10" s="1"/>
  <c r="AC32" i="10" s="1"/>
  <c r="AB23" i="10"/>
  <c r="AA23" i="10"/>
  <c r="AA31" i="10" s="1"/>
  <c r="AA32" i="10" s="1"/>
  <c r="T23" i="10"/>
  <c r="S23" i="10"/>
  <c r="R23" i="10"/>
  <c r="R31" i="10" s="1"/>
  <c r="Q23" i="10"/>
  <c r="P23" i="10"/>
  <c r="P31" i="10" s="1"/>
  <c r="L23" i="10"/>
  <c r="J23" i="10"/>
  <c r="I23" i="10"/>
  <c r="H23" i="10"/>
  <c r="G23" i="10"/>
  <c r="AC22" i="10"/>
  <c r="AB22" i="10"/>
  <c r="AB29" i="10" s="1"/>
  <c r="AB30" i="10" s="1"/>
  <c r="AA22" i="10"/>
  <c r="AA29" i="10" s="1"/>
  <c r="AA30" i="10" s="1"/>
  <c r="S22" i="10"/>
  <c r="S29" i="10" s="1"/>
  <c r="S30" i="10" s="1"/>
  <c r="R22" i="10"/>
  <c r="R29" i="10" s="1"/>
  <c r="R30" i="10" s="1"/>
  <c r="Q22" i="10"/>
  <c r="J22" i="10"/>
  <c r="H22" i="10"/>
  <c r="D22" i="10"/>
  <c r="C22" i="10"/>
  <c r="R20" i="10"/>
  <c r="S20" i="10" s="1"/>
  <c r="T20" i="10" s="1"/>
  <c r="U20" i="10" s="1"/>
  <c r="V20" i="10" s="1"/>
  <c r="W20" i="10" s="1"/>
  <c r="X20" i="10" s="1"/>
  <c r="Y20" i="10" s="1"/>
  <c r="Z20" i="10" s="1"/>
  <c r="AA20" i="10" s="1"/>
  <c r="AB20" i="10" s="1"/>
  <c r="AC20" i="10" s="1"/>
  <c r="AD20" i="10" s="1"/>
  <c r="AE20" i="10" s="1"/>
  <c r="AF20" i="10" s="1"/>
  <c r="R19" i="10"/>
  <c r="R18" i="10"/>
  <c r="R51" i="10" s="1"/>
  <c r="R7" i="11" s="1"/>
  <c r="H36" i="20" s="1"/>
  <c r="T17" i="10"/>
  <c r="T48" i="10" s="1"/>
  <c r="T3" i="11" s="1"/>
  <c r="S17" i="10"/>
  <c r="S48" i="10" s="1"/>
  <c r="S3" i="11" s="1"/>
  <c r="R17" i="10"/>
  <c r="C17" i="10"/>
  <c r="C48" i="10" s="1"/>
  <c r="R16" i="10"/>
  <c r="S16" i="10" s="1"/>
  <c r="T16" i="10" s="1"/>
  <c r="G16" i="10"/>
  <c r="G17" i="10" s="1"/>
  <c r="G48" i="10" s="1"/>
  <c r="G3" i="11" s="1"/>
  <c r="G4" i="11" s="1"/>
  <c r="F16" i="10"/>
  <c r="F17" i="10" s="1"/>
  <c r="F48" i="10" s="1"/>
  <c r="F3" i="11" s="1"/>
  <c r="F4" i="11" s="1"/>
  <c r="E16" i="10"/>
  <c r="E17" i="10" s="1"/>
  <c r="E48" i="10" s="1"/>
  <c r="E3" i="11" s="1"/>
  <c r="E4" i="11" s="1"/>
  <c r="D16" i="10"/>
  <c r="D17" i="10" s="1"/>
  <c r="D48" i="10" s="1"/>
  <c r="D3" i="11" s="1"/>
  <c r="D4" i="11" s="1"/>
  <c r="C16" i="10"/>
  <c r="C47" i="10" s="1"/>
  <c r="C2" i="11" s="1"/>
  <c r="B16" i="10"/>
  <c r="C142" i="19" l="1"/>
  <c r="C144" i="19"/>
  <c r="H40" i="20"/>
  <c r="P30" i="10"/>
  <c r="P51" i="10" s="1"/>
  <c r="P7" i="11" s="1"/>
  <c r="F36" i="20" s="1"/>
  <c r="I23" i="12"/>
  <c r="J3" i="12"/>
  <c r="L143" i="19"/>
  <c r="Z31" i="10"/>
  <c r="Z32" i="10" s="1"/>
  <c r="J30" i="10"/>
  <c r="J51" i="10" s="1"/>
  <c r="J7" i="11" s="1"/>
  <c r="C29" i="10"/>
  <c r="C30" i="10" s="1"/>
  <c r="D29" i="10"/>
  <c r="D30" i="10" s="1"/>
  <c r="T15" i="18"/>
  <c r="U24" i="10"/>
  <c r="D8" i="20"/>
  <c r="P32" i="10"/>
  <c r="P52" i="10"/>
  <c r="P8" i="11" s="1"/>
  <c r="I37" i="20" s="1"/>
  <c r="N28" i="19"/>
  <c r="M43" i="19"/>
  <c r="M16" i="19"/>
  <c r="F134" i="19" s="1"/>
  <c r="L134" i="19" s="1"/>
  <c r="M81" i="19"/>
  <c r="N98" i="19"/>
  <c r="L65" i="19"/>
  <c r="M28" i="19"/>
  <c r="L28" i="19"/>
  <c r="L31" i="19"/>
  <c r="N31" i="19"/>
  <c r="M31" i="19"/>
  <c r="M61" i="19"/>
  <c r="N68" i="19"/>
  <c r="M68" i="19"/>
  <c r="L68" i="19"/>
  <c r="S18" i="10"/>
  <c r="R32" i="10"/>
  <c r="R52" i="10" s="1"/>
  <c r="R8" i="11" s="1"/>
  <c r="K37" i="20" s="1"/>
  <c r="C15" i="18"/>
  <c r="L9" i="19"/>
  <c r="J135" i="19"/>
  <c r="O23" i="10"/>
  <c r="O31" i="10" s="1"/>
  <c r="O26" i="10"/>
  <c r="O27" i="10" s="1"/>
  <c r="D15" i="18"/>
  <c r="U16" i="10"/>
  <c r="T47" i="10"/>
  <c r="T2" i="11" s="1"/>
  <c r="I126" i="19"/>
  <c r="N44" i="19"/>
  <c r="M94" i="19"/>
  <c r="L94" i="19"/>
  <c r="N94" i="19"/>
  <c r="M99" i="19"/>
  <c r="H51" i="10"/>
  <c r="H7" i="11" s="1"/>
  <c r="U23" i="10"/>
  <c r="J126" i="19"/>
  <c r="AF29" i="10"/>
  <c r="AF30" i="10" s="1"/>
  <c r="AE15" i="18"/>
  <c r="AF24" i="10"/>
  <c r="M10" i="19"/>
  <c r="M13" i="19"/>
  <c r="W23" i="10"/>
  <c r="W26" i="10"/>
  <c r="W27" i="10" s="1"/>
  <c r="L15" i="18"/>
  <c r="D145" i="19"/>
  <c r="AC29" i="10"/>
  <c r="AC30" i="10" s="1"/>
  <c r="X22" i="10"/>
  <c r="D26" i="10"/>
  <c r="D27" i="10" s="1"/>
  <c r="D23" i="10"/>
  <c r="M14" i="18"/>
  <c r="D24" i="10"/>
  <c r="L57" i="19"/>
  <c r="N85" i="19"/>
  <c r="M85" i="19"/>
  <c r="L84" i="19"/>
  <c r="N38" i="19"/>
  <c r="L38" i="19"/>
  <c r="L85" i="19"/>
  <c r="V26" i="10"/>
  <c r="V27" i="10" s="1"/>
  <c r="V31" i="10" s="1"/>
  <c r="V32" i="10" s="1"/>
  <c r="Y22" i="10"/>
  <c r="Y29" i="10" s="1"/>
  <c r="Y30" i="10" s="1"/>
  <c r="E23" i="10"/>
  <c r="E24" i="10"/>
  <c r="M23" i="19"/>
  <c r="F130" i="19" s="1"/>
  <c r="L130" i="19" s="1"/>
  <c r="Q4" i="11"/>
  <c r="T4" i="11"/>
  <c r="AA4" i="11"/>
  <c r="Z4" i="11"/>
  <c r="X4" i="11"/>
  <c r="AE4" i="11"/>
  <c r="AD4" i="11"/>
  <c r="AC4" i="11"/>
  <c r="AF4" i="11"/>
  <c r="AB4" i="11"/>
  <c r="S4" i="11"/>
  <c r="R4" i="11"/>
  <c r="P4" i="11"/>
  <c r="O4" i="11"/>
  <c r="F22" i="10"/>
  <c r="Z22" i="10"/>
  <c r="Z29" i="10" s="1"/>
  <c r="Z30" i="10" s="1"/>
  <c r="F23" i="10"/>
  <c r="F31" i="10" s="1"/>
  <c r="O14" i="18"/>
  <c r="N20" i="19"/>
  <c r="L24" i="10"/>
  <c r="L31" i="10" s="1"/>
  <c r="L73" i="19"/>
  <c r="M100" i="19"/>
  <c r="V24" i="10"/>
  <c r="N14" i="19"/>
  <c r="N30" i="19"/>
  <c r="M70" i="19"/>
  <c r="M73" i="19"/>
  <c r="H22" i="12"/>
  <c r="I4" i="12"/>
  <c r="AE26" i="10"/>
  <c r="AE27" i="10" s="1"/>
  <c r="AE23" i="10"/>
  <c r="AE29" i="10" s="1"/>
  <c r="AE30" i="10" s="1"/>
  <c r="M101" i="19"/>
  <c r="L101" i="19"/>
  <c r="N101" i="19"/>
  <c r="L49" i="19"/>
  <c r="M98" i="19"/>
  <c r="V14" i="18"/>
  <c r="W14" i="18"/>
  <c r="L51" i="19"/>
  <c r="N51" i="19"/>
  <c r="M51" i="19"/>
  <c r="N97" i="19"/>
  <c r="M97" i="19"/>
  <c r="L97" i="19"/>
  <c r="N99" i="19"/>
  <c r="I51" i="10"/>
  <c r="I7" i="11" s="1"/>
  <c r="G32" i="10"/>
  <c r="G52" i="10" s="1"/>
  <c r="G8" i="11" s="1"/>
  <c r="L29" i="10"/>
  <c r="AF26" i="10"/>
  <c r="AF27" i="10" s="1"/>
  <c r="AF23" i="10"/>
  <c r="K14" i="18"/>
  <c r="M20" i="19"/>
  <c r="N29" i="19"/>
  <c r="L32" i="19"/>
  <c r="H130" i="19"/>
  <c r="N81" i="19"/>
  <c r="N88" i="19"/>
  <c r="L88" i="19"/>
  <c r="M88" i="19"/>
  <c r="W22" i="10"/>
  <c r="C23" i="10"/>
  <c r="C26" i="10"/>
  <c r="C27" i="10" s="1"/>
  <c r="L14" i="18"/>
  <c r="C24" i="10"/>
  <c r="X23" i="10"/>
  <c r="X26" i="10"/>
  <c r="X27" i="10" s="1"/>
  <c r="AD15" i="18"/>
  <c r="L37" i="19"/>
  <c r="E22" i="10"/>
  <c r="Y26" i="10"/>
  <c r="Y27" i="10" s="1"/>
  <c r="Y23" i="10"/>
  <c r="Y31" i="10" s="1"/>
  <c r="Y32" i="10" s="1"/>
  <c r="N14" i="18"/>
  <c r="AD22" i="18"/>
  <c r="AD38" i="18"/>
  <c r="L79" i="19"/>
  <c r="N103" i="19"/>
  <c r="I31" i="10"/>
  <c r="L36" i="19"/>
  <c r="L70" i="19"/>
  <c r="L76" i="19"/>
  <c r="J31" i="10"/>
  <c r="U14" i="18"/>
  <c r="L33" i="19"/>
  <c r="U17" i="10"/>
  <c r="K23" i="10"/>
  <c r="K31" i="10" s="1"/>
  <c r="L18" i="19"/>
  <c r="M18" i="19"/>
  <c r="N18" i="19"/>
  <c r="N9" i="19"/>
  <c r="M8" i="19"/>
  <c r="L8" i="19"/>
  <c r="E134" i="19" s="1"/>
  <c r="K134" i="19" s="1"/>
  <c r="M104" i="19"/>
  <c r="L104" i="19"/>
  <c r="L12" i="19"/>
  <c r="M12" i="19"/>
  <c r="M32" i="19"/>
  <c r="N12" i="19"/>
  <c r="L25" i="19"/>
  <c r="M23" i="10"/>
  <c r="M26" i="10"/>
  <c r="M27" i="10" s="1"/>
  <c r="N61" i="19"/>
  <c r="N23" i="10"/>
  <c r="N26" i="10"/>
  <c r="N27" i="10" s="1"/>
  <c r="M80" i="19"/>
  <c r="N104" i="19"/>
  <c r="X15" i="18"/>
  <c r="M15" i="18"/>
  <c r="M9" i="19"/>
  <c r="M40" i="19"/>
  <c r="N80" i="19"/>
  <c r="M107" i="19"/>
  <c r="E15" i="18"/>
  <c r="Y15" i="18"/>
  <c r="Z24" i="10"/>
  <c r="N15" i="18"/>
  <c r="D144" i="19"/>
  <c r="L144" i="19" s="1"/>
  <c r="C109" i="19"/>
  <c r="B109" i="19"/>
  <c r="J136" i="19"/>
  <c r="H134" i="19"/>
  <c r="I136" i="19"/>
  <c r="C111" i="19"/>
  <c r="B110" i="19"/>
  <c r="H136" i="19"/>
  <c r="J134" i="19"/>
  <c r="I134" i="19"/>
  <c r="N37" i="19"/>
  <c r="C110" i="19"/>
  <c r="C116" i="19" s="1"/>
  <c r="O15" i="18"/>
  <c r="C3" i="20"/>
  <c r="D3" i="20" s="1"/>
  <c r="L56" i="19"/>
  <c r="M78" i="19"/>
  <c r="L78" i="19"/>
  <c r="N78" i="19"/>
  <c r="N102" i="19"/>
  <c r="B111" i="19"/>
  <c r="M66" i="19"/>
  <c r="M35" i="19"/>
  <c r="N35" i="19"/>
  <c r="L35" i="19"/>
  <c r="L53" i="19"/>
  <c r="N75" i="19"/>
  <c r="M75" i="19"/>
  <c r="L75" i="19"/>
  <c r="M96" i="19"/>
  <c r="Q29" i="10"/>
  <c r="AB31" i="10"/>
  <c r="AB32" i="10" s="1"/>
  <c r="M47" i="19"/>
  <c r="L90" i="19"/>
  <c r="L99" i="19"/>
  <c r="M34" i="19"/>
  <c r="L34" i="19"/>
  <c r="M54" i="19"/>
  <c r="L54" i="19"/>
  <c r="N54" i="19"/>
  <c r="M56" i="19"/>
  <c r="L59" i="19"/>
  <c r="N96" i="19"/>
  <c r="M82" i="19"/>
  <c r="M42" i="19"/>
  <c r="L11" i="19"/>
  <c r="E127" i="19" s="1"/>
  <c r="K127" i="19" s="1"/>
  <c r="N42" i="19"/>
  <c r="N82" i="19"/>
  <c r="L96" i="19"/>
  <c r="L48" i="19"/>
  <c r="L44" i="19"/>
  <c r="N79" i="19"/>
  <c r="M79" i="19"/>
  <c r="N67" i="19"/>
  <c r="M11" i="19"/>
  <c r="N86" i="19"/>
  <c r="M67" i="19"/>
  <c r="N27" i="19"/>
  <c r="L67" i="19"/>
  <c r="M27" i="19"/>
  <c r="L82" i="19"/>
  <c r="N15" i="19"/>
  <c r="G135" i="19" s="1"/>
  <c r="M135" i="19" s="1"/>
  <c r="M15" i="19"/>
  <c r="L15" i="19"/>
  <c r="M17" i="19"/>
  <c r="N17" i="19"/>
  <c r="L17" i="19"/>
  <c r="M19" i="19"/>
  <c r="M72" i="19"/>
  <c r="M63" i="19"/>
  <c r="L50" i="19"/>
  <c r="L42" i="19"/>
  <c r="L71" i="19"/>
  <c r="N71" i="19"/>
  <c r="M71" i="19"/>
  <c r="AD27" i="18"/>
  <c r="L23" i="19"/>
  <c r="B26" i="20" s="1"/>
  <c r="L91" i="19"/>
  <c r="N59" i="19"/>
  <c r="M59" i="19"/>
  <c r="N91" i="19"/>
  <c r="N23" i="19"/>
  <c r="D26" i="20" s="1"/>
  <c r="M48" i="19"/>
  <c r="M91" i="19"/>
  <c r="B47" i="10"/>
  <c r="B2" i="11" s="1"/>
  <c r="B17" i="10"/>
  <c r="B48" i="10" s="1"/>
  <c r="B3" i="11" s="1"/>
  <c r="B4" i="11" s="1"/>
  <c r="H14" i="18"/>
  <c r="H15" i="18"/>
  <c r="R14" i="18"/>
  <c r="R15" i="18"/>
  <c r="S24" i="10"/>
  <c r="S31" i="10" s="1"/>
  <c r="S32" i="10" s="1"/>
  <c r="AD41" i="18"/>
  <c r="H126" i="19"/>
  <c r="L26" i="19"/>
  <c r="N26" i="19"/>
  <c r="M26" i="19"/>
  <c r="L40" i="19"/>
  <c r="N40" i="19"/>
  <c r="I5" i="12"/>
  <c r="I15" i="18"/>
  <c r="AC15" i="18"/>
  <c r="L20" i="19"/>
  <c r="N34" i="19"/>
  <c r="L46" i="19"/>
  <c r="N46" i="19"/>
  <c r="M46" i="19"/>
  <c r="H129" i="19"/>
  <c r="L62" i="19"/>
  <c r="L83" i="19"/>
  <c r="N83" i="19"/>
  <c r="M83" i="19"/>
  <c r="M106" i="19"/>
  <c r="L106" i="19"/>
  <c r="U22" i="10"/>
  <c r="U29" i="10" s="1"/>
  <c r="U30" i="10" s="1"/>
  <c r="J14" i="18"/>
  <c r="AD14" i="18"/>
  <c r="J15" i="18"/>
  <c r="N11" i="19"/>
  <c r="N32" i="19"/>
  <c r="N62" i="19"/>
  <c r="N77" i="19"/>
  <c r="M92" i="19"/>
  <c r="L92" i="19"/>
  <c r="N92" i="19"/>
  <c r="M103" i="19"/>
  <c r="AD31" i="10"/>
  <c r="AD32" i="10" s="1"/>
  <c r="G29" i="10"/>
  <c r="H125" i="19"/>
  <c r="L72" i="19"/>
  <c r="N93" i="19"/>
  <c r="M93" i="19"/>
  <c r="L93" i="19"/>
  <c r="I125" i="19"/>
  <c r="N55" i="19"/>
  <c r="L142" i="19"/>
  <c r="AD24" i="10"/>
  <c r="M21" i="19"/>
  <c r="N24" i="19"/>
  <c r="L27" i="19"/>
  <c r="N33" i="19"/>
  <c r="M33" i="19"/>
  <c r="N36" i="19"/>
  <c r="N47" i="19"/>
  <c r="N107" i="19"/>
  <c r="N87" i="19"/>
  <c r="M87" i="19"/>
  <c r="L39" i="19"/>
  <c r="L87" i="19"/>
  <c r="M89" i="19"/>
  <c r="L89" i="19"/>
  <c r="M90" i="19"/>
  <c r="N90" i="19"/>
  <c r="N39" i="19"/>
  <c r="M39" i="19"/>
  <c r="Z26" i="10"/>
  <c r="Z27" i="10" s="1"/>
  <c r="M102" i="19"/>
  <c r="M41" i="19"/>
  <c r="L41" i="19"/>
  <c r="M52" i="19"/>
  <c r="L55" i="19"/>
  <c r="N58" i="19"/>
  <c r="L58" i="19"/>
  <c r="M58" i="19"/>
  <c r="AD53" i="18"/>
  <c r="M55" i="19"/>
  <c r="H31" i="10"/>
  <c r="AD29" i="10"/>
  <c r="AD30" i="10" s="1"/>
  <c r="AD43" i="18"/>
  <c r="N41" i="19"/>
  <c r="M44" i="19"/>
  <c r="L47" i="19"/>
  <c r="M64" i="19"/>
  <c r="L64" i="19"/>
  <c r="N64" i="19"/>
  <c r="AD55" i="18"/>
  <c r="R49" i="10"/>
  <c r="R5" i="11" s="1"/>
  <c r="K35" i="20" s="1"/>
  <c r="S19" i="10"/>
  <c r="N8" i="19"/>
  <c r="L19" i="19"/>
  <c r="M7" i="19"/>
  <c r="L102" i="19"/>
  <c r="N19" i="19"/>
  <c r="N7" i="19"/>
  <c r="N22" i="19"/>
  <c r="N50" i="19"/>
  <c r="L22" i="19"/>
  <c r="L7" i="19"/>
  <c r="C113" i="19"/>
  <c r="C7" i="20"/>
  <c r="M50" i="19"/>
  <c r="N63" i="19"/>
  <c r="M74" i="19"/>
  <c r="L74" i="19"/>
  <c r="N74" i="19"/>
  <c r="M77" i="19"/>
  <c r="L77" i="19"/>
  <c r="N53" i="19"/>
  <c r="M53" i="19"/>
  <c r="AD52" i="18"/>
  <c r="L10" i="19"/>
  <c r="N13" i="19"/>
  <c r="M30" i="19"/>
  <c r="L13" i="19"/>
  <c r="M29" i="19"/>
  <c r="N70" i="19"/>
  <c r="L29" i="19"/>
  <c r="L30" i="19"/>
  <c r="L16" i="19"/>
  <c r="N49" i="19"/>
  <c r="M49" i="19"/>
  <c r="N21" i="19"/>
  <c r="L21" i="19"/>
  <c r="N56" i="19"/>
  <c r="N66" i="19"/>
  <c r="L69" i="19"/>
  <c r="M69" i="19"/>
  <c r="N69" i="19"/>
  <c r="L80" i="19"/>
  <c r="Q24" i="10"/>
  <c r="Q31" i="10" s="1"/>
  <c r="N25" i="19"/>
  <c r="M25" i="19"/>
  <c r="I129" i="19"/>
  <c r="N65" i="19"/>
  <c r="M65" i="19"/>
  <c r="N72" i="19"/>
  <c r="L81" i="19"/>
  <c r="J129" i="19"/>
  <c r="N43" i="19"/>
  <c r="N60" i="19"/>
  <c r="N84" i="19"/>
  <c r="M57" i="19"/>
  <c r="N57" i="19"/>
  <c r="I127" i="19"/>
  <c r="C114" i="19"/>
  <c r="N52" i="19"/>
  <c r="L103" i="19"/>
  <c r="J127" i="19"/>
  <c r="M14" i="19"/>
  <c r="L14" i="19"/>
  <c r="M24" i="19"/>
  <c r="L24" i="19"/>
  <c r="M37" i="19"/>
  <c r="F128" i="19" s="1"/>
  <c r="L128" i="19" s="1"/>
  <c r="L43" i="19"/>
  <c r="L63" i="19"/>
  <c r="L86" i="19"/>
  <c r="M86" i="19"/>
  <c r="N76" i="19"/>
  <c r="M76" i="19"/>
  <c r="N73" i="19"/>
  <c r="L95" i="19"/>
  <c r="C4" i="20"/>
  <c r="C9" i="20"/>
  <c r="D9" i="20" s="1"/>
  <c r="L66" i="19"/>
  <c r="L100" i="19"/>
  <c r="N100" i="19"/>
  <c r="N105" i="19"/>
  <c r="M105" i="19"/>
  <c r="L105" i="19"/>
  <c r="N16" i="19"/>
  <c r="M38" i="19"/>
  <c r="N45" i="19"/>
  <c r="M45" i="19"/>
  <c r="L45" i="19"/>
  <c r="H128" i="19"/>
  <c r="N48" i="19"/>
  <c r="M22" i="19"/>
  <c r="M62" i="19"/>
  <c r="L32" i="10" l="1"/>
  <c r="L52" i="10" s="1"/>
  <c r="L8" i="11" s="1"/>
  <c r="E37" i="20" s="1"/>
  <c r="Q32" i="10"/>
  <c r="Q52" i="10" s="1"/>
  <c r="Q8" i="11" s="1"/>
  <c r="J37" i="20" s="1"/>
  <c r="H32" i="10"/>
  <c r="H52" i="10" s="1"/>
  <c r="H8" i="11" s="1"/>
  <c r="G125" i="19"/>
  <c r="M125" i="19" s="1"/>
  <c r="J23" i="12"/>
  <c r="K3" i="12"/>
  <c r="M127" i="19"/>
  <c r="S49" i="10"/>
  <c r="S5" i="11" s="1"/>
  <c r="L35" i="20" s="1"/>
  <c r="S52" i="10"/>
  <c r="S8" i="11" s="1"/>
  <c r="L37" i="20" s="1"/>
  <c r="T19" i="10"/>
  <c r="E135" i="19"/>
  <c r="K135" i="19" s="1"/>
  <c r="L30" i="10"/>
  <c r="L51" i="10" s="1"/>
  <c r="L7" i="11" s="1"/>
  <c r="B36" i="20" s="1"/>
  <c r="K32" i="10"/>
  <c r="K52" i="10" s="1"/>
  <c r="K8" i="11" s="1"/>
  <c r="D37" i="20" s="1"/>
  <c r="F127" i="19"/>
  <c r="L127" i="19" s="1"/>
  <c r="F135" i="19"/>
  <c r="L135" i="19" s="1"/>
  <c r="U48" i="10"/>
  <c r="U3" i="11" s="1"/>
  <c r="V17" i="10"/>
  <c r="X31" i="10"/>
  <c r="X32" i="10" s="1"/>
  <c r="V29" i="10"/>
  <c r="V30" i="10" s="1"/>
  <c r="D4" i="20"/>
  <c r="C20" i="20" s="1"/>
  <c r="B31" i="20" s="1"/>
  <c r="B41" i="20" s="1"/>
  <c r="Q30" i="10"/>
  <c r="Q51" i="10" s="1"/>
  <c r="Q7" i="11" s="1"/>
  <c r="G36" i="20" s="1"/>
  <c r="C26" i="20"/>
  <c r="L126" i="19"/>
  <c r="M31" i="10"/>
  <c r="C31" i="10"/>
  <c r="C32" i="10" s="1"/>
  <c r="X29" i="10"/>
  <c r="X30" i="10" s="1"/>
  <c r="M29" i="10"/>
  <c r="D7" i="20"/>
  <c r="E128" i="19"/>
  <c r="K128" i="19" s="1"/>
  <c r="I32" i="10"/>
  <c r="I52" i="10" s="1"/>
  <c r="I8" i="11" s="1"/>
  <c r="B37" i="20" s="1"/>
  <c r="K29" i="10"/>
  <c r="F136" i="19"/>
  <c r="L136" i="19" s="1"/>
  <c r="E31" i="10"/>
  <c r="E32" i="10" s="1"/>
  <c r="E130" i="19"/>
  <c r="J4" i="12"/>
  <c r="I22" i="12"/>
  <c r="H20" i="20"/>
  <c r="G31" i="20" s="1"/>
  <c r="G20" i="20"/>
  <c r="F31" i="20" s="1"/>
  <c r="F41" i="20" s="1"/>
  <c r="N20" i="20"/>
  <c r="M20" i="20"/>
  <c r="K20" i="20"/>
  <c r="D20" i="20"/>
  <c r="C31" i="20" s="1"/>
  <c r="C41" i="20" s="1"/>
  <c r="N31" i="10"/>
  <c r="N29" i="10"/>
  <c r="E136" i="19"/>
  <c r="K136" i="19" s="1"/>
  <c r="J32" i="10"/>
  <c r="J52" i="10" s="1"/>
  <c r="J8" i="11" s="1"/>
  <c r="C37" i="20" s="1"/>
  <c r="D31" i="10"/>
  <c r="D32" i="10" s="1"/>
  <c r="W29" i="10"/>
  <c r="W30" i="10" s="1"/>
  <c r="U47" i="10"/>
  <c r="U2" i="11" s="1"/>
  <c r="V16" i="10"/>
  <c r="M129" i="19"/>
  <c r="E125" i="19"/>
  <c r="K125" i="19" s="1"/>
  <c r="G30" i="10"/>
  <c r="G51" i="10" s="1"/>
  <c r="G7" i="11" s="1"/>
  <c r="D10" i="20"/>
  <c r="O32" i="10"/>
  <c r="O52" i="10" s="1"/>
  <c r="O8" i="11" s="1"/>
  <c r="H37" i="20" s="1"/>
  <c r="W31" i="10"/>
  <c r="W32" i="10" s="1"/>
  <c r="O29" i="10"/>
  <c r="K130" i="19"/>
  <c r="F32" i="10"/>
  <c r="F52" i="10"/>
  <c r="F8" i="11" s="1"/>
  <c r="F126" i="19"/>
  <c r="E126" i="19"/>
  <c r="K126" i="19" s="1"/>
  <c r="G128" i="19"/>
  <c r="M128" i="19" s="1"/>
  <c r="G130" i="19"/>
  <c r="M130" i="19" s="1"/>
  <c r="G136" i="19"/>
  <c r="M136" i="19" s="1"/>
  <c r="G134" i="19"/>
  <c r="M134" i="19" s="1"/>
  <c r="F29" i="10"/>
  <c r="G126" i="19"/>
  <c r="M126" i="19" s="1"/>
  <c r="F129" i="19"/>
  <c r="L129" i="19" s="1"/>
  <c r="F125" i="19"/>
  <c r="L125" i="19" s="1"/>
  <c r="E129" i="19"/>
  <c r="T18" i="10"/>
  <c r="S51" i="10"/>
  <c r="S7" i="11" s="1"/>
  <c r="I36" i="20" s="1"/>
  <c r="J5" i="12"/>
  <c r="I21" i="12"/>
  <c r="E29" i="10"/>
  <c r="E30" i="10" s="1"/>
  <c r="AF31" i="10"/>
  <c r="AF32" i="10" s="1"/>
  <c r="G129" i="19"/>
  <c r="G127" i="19"/>
  <c r="AE31" i="10"/>
  <c r="AE32" i="10" s="1"/>
  <c r="U31" i="10"/>
  <c r="U32" i="10" s="1"/>
  <c r="O30" i="20" l="1"/>
  <c r="N30" i="20"/>
  <c r="M30" i="20"/>
  <c r="Y30" i="20"/>
  <c r="S30" i="20"/>
  <c r="R30" i="20"/>
  <c r="U30" i="20"/>
  <c r="G40" i="20"/>
  <c r="X30" i="20"/>
  <c r="W30" i="20"/>
  <c r="K30" i="20"/>
  <c r="J30" i="20"/>
  <c r="I30" i="20"/>
  <c r="P30" i="20"/>
  <c r="L30" i="20"/>
  <c r="Q30" i="20"/>
  <c r="T30" i="20"/>
  <c r="V30" i="20"/>
  <c r="U18" i="10"/>
  <c r="T51" i="10"/>
  <c r="T7" i="11" s="1"/>
  <c r="J36" i="20" s="1"/>
  <c r="T49" i="10"/>
  <c r="T5" i="11" s="1"/>
  <c r="M35" i="20" s="1"/>
  <c r="T52" i="10"/>
  <c r="T8" i="11" s="1"/>
  <c r="M37" i="20" s="1"/>
  <c r="U19" i="10"/>
  <c r="F30" i="10"/>
  <c r="F51" i="10"/>
  <c r="F7" i="11" s="1"/>
  <c r="G41" i="20"/>
  <c r="K31" i="20"/>
  <c r="K41" i="20" s="1"/>
  <c r="J31" i="20"/>
  <c r="J41" i="20" s="1"/>
  <c r="I31" i="20"/>
  <c r="I41" i="20" s="1"/>
  <c r="V31" i="20"/>
  <c r="V41" i="20" s="1"/>
  <c r="U31" i="20"/>
  <c r="U41" i="20" s="1"/>
  <c r="O31" i="20"/>
  <c r="O41" i="20" s="1"/>
  <c r="N31" i="20"/>
  <c r="N41" i="20" s="1"/>
  <c r="Q31" i="20"/>
  <c r="Q41" i="20" s="1"/>
  <c r="T31" i="20"/>
  <c r="T41" i="20" s="1"/>
  <c r="S31" i="20"/>
  <c r="S41" i="20" s="1"/>
  <c r="L31" i="20"/>
  <c r="L41" i="20" s="1"/>
  <c r="H31" i="20"/>
  <c r="H41" i="20" s="1"/>
  <c r="P31" i="20"/>
  <c r="P41" i="20" s="1"/>
  <c r="Y31" i="20"/>
  <c r="Y41" i="20" s="1"/>
  <c r="X31" i="20"/>
  <c r="X41" i="20" s="1"/>
  <c r="W31" i="20"/>
  <c r="W41" i="20" s="1"/>
  <c r="R31" i="20"/>
  <c r="R41" i="20" s="1"/>
  <c r="M31" i="20"/>
  <c r="M41" i="20" s="1"/>
  <c r="K23" i="12"/>
  <c r="L3" i="12"/>
  <c r="J22" i="12"/>
  <c r="K4" i="12"/>
  <c r="D40" i="20"/>
  <c r="M32" i="10"/>
  <c r="M52" i="10" s="1"/>
  <c r="M8" i="11" s="1"/>
  <c r="F37" i="20" s="1"/>
  <c r="B40" i="20"/>
  <c r="N30" i="10"/>
  <c r="N51" i="10" s="1"/>
  <c r="N7" i="11" s="1"/>
  <c r="D36" i="20" s="1"/>
  <c r="V48" i="10"/>
  <c r="V3" i="11" s="1"/>
  <c r="W17" i="10"/>
  <c r="F40" i="20"/>
  <c r="H21" i="20"/>
  <c r="G32" i="20" s="1"/>
  <c r="G21" i="20"/>
  <c r="F32" i="20" s="1"/>
  <c r="F42" i="20" s="1"/>
  <c r="L21" i="20"/>
  <c r="O21" i="20"/>
  <c r="N21" i="20"/>
  <c r="K21" i="20"/>
  <c r="J21" i="20"/>
  <c r="F21" i="20"/>
  <c r="E32" i="20" s="1"/>
  <c r="E42" i="20" s="1"/>
  <c r="D21" i="20"/>
  <c r="C32" i="20" s="1"/>
  <c r="C42" i="20" s="1"/>
  <c r="C21" i="20"/>
  <c r="B32" i="20" s="1"/>
  <c r="B42" i="20" s="1"/>
  <c r="E21" i="20"/>
  <c r="D32" i="20" s="1"/>
  <c r="D42" i="20" s="1"/>
  <c r="M21" i="20"/>
  <c r="M30" i="10"/>
  <c r="M51" i="10" s="1"/>
  <c r="M7" i="11" s="1"/>
  <c r="C36" i="20" s="1"/>
  <c r="V47" i="10"/>
  <c r="V2" i="11" s="1"/>
  <c r="W16" i="10"/>
  <c r="K30" i="10"/>
  <c r="K51" i="10"/>
  <c r="K7" i="11" s="1"/>
  <c r="E40" i="20"/>
  <c r="N32" i="10"/>
  <c r="N52" i="10" s="1"/>
  <c r="N8" i="11" s="1"/>
  <c r="G37" i="20" s="1"/>
  <c r="E20" i="20"/>
  <c r="D31" i="20" s="1"/>
  <c r="D41" i="20" s="1"/>
  <c r="F20" i="20"/>
  <c r="E31" i="20" s="1"/>
  <c r="E41" i="20" s="1"/>
  <c r="O30" i="10"/>
  <c r="O51" i="10" s="1"/>
  <c r="O7" i="11" s="1"/>
  <c r="E36" i="20" s="1"/>
  <c r="J20" i="20"/>
  <c r="L20" i="20"/>
  <c r="K5" i="12"/>
  <c r="J21" i="12"/>
  <c r="O20" i="20"/>
  <c r="W48" i="10" l="1"/>
  <c r="W3" i="11" s="1"/>
  <c r="X17" i="10"/>
  <c r="Q44" i="20"/>
  <c r="Q40" i="20"/>
  <c r="P44" i="20"/>
  <c r="P40" i="20"/>
  <c r="X16" i="10"/>
  <c r="W47" i="10"/>
  <c r="W2" i="11" s="1"/>
  <c r="I44" i="20"/>
  <c r="K40" i="20"/>
  <c r="K44" i="20"/>
  <c r="W44" i="20"/>
  <c r="W40" i="20"/>
  <c r="U51" i="10"/>
  <c r="U7" i="11" s="1"/>
  <c r="K36" i="20" s="1"/>
  <c r="V18" i="10"/>
  <c r="Y32" i="20"/>
  <c r="Y42" i="20" s="1"/>
  <c r="R32" i="20"/>
  <c r="R42" i="20" s="1"/>
  <c r="Q32" i="20"/>
  <c r="Q42" i="20" s="1"/>
  <c r="G42" i="20"/>
  <c r="K32" i="20"/>
  <c r="K42" i="20" s="1"/>
  <c r="J32" i="20"/>
  <c r="J42" i="20" s="1"/>
  <c r="W32" i="20"/>
  <c r="W42" i="20" s="1"/>
  <c r="L32" i="20"/>
  <c r="L42" i="20" s="1"/>
  <c r="I32" i="20"/>
  <c r="I42" i="20" s="1"/>
  <c r="S32" i="20"/>
  <c r="S42" i="20" s="1"/>
  <c r="P32" i="20"/>
  <c r="P42" i="20" s="1"/>
  <c r="O32" i="20"/>
  <c r="O42" i="20" s="1"/>
  <c r="N32" i="20"/>
  <c r="N42" i="20" s="1"/>
  <c r="M32" i="20"/>
  <c r="M42" i="20" s="1"/>
  <c r="H32" i="20"/>
  <c r="H42" i="20" s="1"/>
  <c r="X32" i="20"/>
  <c r="X42" i="20" s="1"/>
  <c r="V32" i="20"/>
  <c r="V42" i="20" s="1"/>
  <c r="U32" i="20"/>
  <c r="U42" i="20" s="1"/>
  <c r="T32" i="20"/>
  <c r="T42" i="20" s="1"/>
  <c r="V40" i="20"/>
  <c r="V44" i="20"/>
  <c r="T44" i="20"/>
  <c r="T40" i="20"/>
  <c r="L40" i="20"/>
  <c r="L44" i="20"/>
  <c r="J40" i="20"/>
  <c r="J44" i="20"/>
  <c r="X44" i="20"/>
  <c r="X40" i="20"/>
  <c r="L4" i="12"/>
  <c r="K22" i="12"/>
  <c r="K21" i="12"/>
  <c r="L5" i="12"/>
  <c r="M3" i="12"/>
  <c r="L23" i="12"/>
  <c r="U40" i="20"/>
  <c r="U44" i="20"/>
  <c r="R44" i="20"/>
  <c r="R40" i="20"/>
  <c r="S44" i="20"/>
  <c r="S40" i="20"/>
  <c r="U49" i="10"/>
  <c r="U5" i="11" s="1"/>
  <c r="N35" i="20" s="1"/>
  <c r="U52" i="10"/>
  <c r="U8" i="11" s="1"/>
  <c r="N37" i="20" s="1"/>
  <c r="V19" i="10"/>
  <c r="Y44" i="20"/>
  <c r="Y40" i="20"/>
  <c r="M40" i="20"/>
  <c r="M44" i="20"/>
  <c r="N40" i="20"/>
  <c r="N44" i="20"/>
  <c r="O44" i="20"/>
  <c r="O40" i="20"/>
  <c r="V51" i="10" l="1"/>
  <c r="V7" i="11" s="1"/>
  <c r="L36" i="20" s="1"/>
  <c r="W18" i="10"/>
  <c r="N3" i="12"/>
  <c r="M23" i="12"/>
  <c r="L21" i="12"/>
  <c r="M5" i="12"/>
  <c r="X47" i="10"/>
  <c r="X2" i="11" s="1"/>
  <c r="Y16" i="10"/>
  <c r="V49" i="10"/>
  <c r="V5" i="11" s="1"/>
  <c r="O35" i="20" s="1"/>
  <c r="W19" i="10"/>
  <c r="V52" i="10"/>
  <c r="V8" i="11" s="1"/>
  <c r="O37" i="20" s="1"/>
  <c r="Y17" i="10"/>
  <c r="X48" i="10"/>
  <c r="X3" i="11" s="1"/>
  <c r="L22" i="12"/>
  <c r="M4" i="12"/>
  <c r="Z16" i="10" l="1"/>
  <c r="Y47" i="10"/>
  <c r="Y2" i="11" s="1"/>
  <c r="M21" i="12"/>
  <c r="N5" i="12"/>
  <c r="N23" i="12"/>
  <c r="O3" i="12"/>
  <c r="W51" i="10"/>
  <c r="W7" i="11" s="1"/>
  <c r="M36" i="20" s="1"/>
  <c r="X18" i="10"/>
  <c r="M22" i="12"/>
  <c r="N4" i="12"/>
  <c r="Y48" i="10"/>
  <c r="Y3" i="11" s="1"/>
  <c r="Z17" i="10"/>
  <c r="W49" i="10"/>
  <c r="W5" i="11" s="1"/>
  <c r="P35" i="20" s="1"/>
  <c r="X19" i="10"/>
  <c r="W52" i="10"/>
  <c r="W8" i="11" s="1"/>
  <c r="P37" i="20" s="1"/>
  <c r="X51" i="10" l="1"/>
  <c r="X7" i="11" s="1"/>
  <c r="N36" i="20" s="1"/>
  <c r="Y18" i="10"/>
  <c r="P3" i="12"/>
  <c r="O23" i="12"/>
  <c r="O5" i="12"/>
  <c r="N21" i="12"/>
  <c r="Z47" i="10"/>
  <c r="Z2" i="11" s="1"/>
  <c r="AA16" i="10"/>
  <c r="X49" i="10"/>
  <c r="X5" i="11" s="1"/>
  <c r="Q35" i="20" s="1"/>
  <c r="Y19" i="10"/>
  <c r="X52" i="10"/>
  <c r="X8" i="11" s="1"/>
  <c r="Q37" i="20" s="1"/>
  <c r="AA17" i="10"/>
  <c r="Z48" i="10"/>
  <c r="Z3" i="11" s="1"/>
  <c r="O4" i="12"/>
  <c r="N22" i="12"/>
  <c r="AA47" i="10" l="1"/>
  <c r="AA2" i="11" s="1"/>
  <c r="AB16" i="10"/>
  <c r="Q3" i="12"/>
  <c r="P23" i="12"/>
  <c r="Y51" i="10"/>
  <c r="Y7" i="11" s="1"/>
  <c r="O36" i="20" s="1"/>
  <c r="Z18" i="10"/>
  <c r="P4" i="12"/>
  <c r="O22" i="12"/>
  <c r="AB17" i="10"/>
  <c r="AA48" i="10"/>
  <c r="AA3" i="11" s="1"/>
  <c r="Y49" i="10"/>
  <c r="Y5" i="11" s="1"/>
  <c r="R35" i="20" s="1"/>
  <c r="Z19" i="10"/>
  <c r="Y52" i="10"/>
  <c r="Y8" i="11" s="1"/>
  <c r="R37" i="20" s="1"/>
  <c r="O21" i="12"/>
  <c r="P5" i="12"/>
  <c r="AC17" i="10" l="1"/>
  <c r="AB48" i="10"/>
  <c r="AB3" i="11" s="1"/>
  <c r="R3" i="12"/>
  <c r="Q23" i="12"/>
  <c r="AB47" i="10"/>
  <c r="AB2" i="11" s="1"/>
  <c r="AC16" i="10"/>
  <c r="P21" i="12"/>
  <c r="Q5" i="12"/>
  <c r="AA19" i="10"/>
  <c r="Z52" i="10"/>
  <c r="Z8" i="11" s="1"/>
  <c r="S37" i="20" s="1"/>
  <c r="Z49" i="10"/>
  <c r="Z5" i="11" s="1"/>
  <c r="S35" i="20" s="1"/>
  <c r="Q4" i="12"/>
  <c r="P22" i="12"/>
  <c r="Z51" i="10"/>
  <c r="Z7" i="11" s="1"/>
  <c r="P36" i="20" s="1"/>
  <c r="AA18" i="10"/>
  <c r="AA51" i="10" l="1"/>
  <c r="AA7" i="11" s="1"/>
  <c r="Q36" i="20" s="1"/>
  <c r="AB18" i="10"/>
  <c r="Q22" i="12"/>
  <c r="R4" i="12"/>
  <c r="AA49" i="10"/>
  <c r="AA5" i="11" s="1"/>
  <c r="T35" i="20" s="1"/>
  <c r="AB19" i="10"/>
  <c r="AA52" i="10"/>
  <c r="AA8" i="11" s="1"/>
  <c r="T37" i="20" s="1"/>
  <c r="R5" i="12"/>
  <c r="Q21" i="12"/>
  <c r="AD16" i="10"/>
  <c r="AC47" i="10"/>
  <c r="AC2" i="11" s="1"/>
  <c r="R23" i="12"/>
  <c r="S3" i="12"/>
  <c r="AC48" i="10"/>
  <c r="AC3" i="11" s="1"/>
  <c r="AD17" i="10"/>
  <c r="S4" i="12" l="1"/>
  <c r="R22" i="12"/>
  <c r="AE17" i="10"/>
  <c r="AD48" i="10"/>
  <c r="AD3" i="11" s="1"/>
  <c r="S23" i="12"/>
  <c r="T3" i="12"/>
  <c r="AD47" i="10"/>
  <c r="AD2" i="11" s="1"/>
  <c r="AE16" i="10"/>
  <c r="S5" i="12"/>
  <c r="R21" i="12"/>
  <c r="AB52" i="10"/>
  <c r="AB8" i="11" s="1"/>
  <c r="U37" i="20" s="1"/>
  <c r="AC19" i="10"/>
  <c r="AB49" i="10"/>
  <c r="AB5" i="11" s="1"/>
  <c r="U35" i="20" s="1"/>
  <c r="AB51" i="10"/>
  <c r="AB7" i="11" s="1"/>
  <c r="R36" i="20" s="1"/>
  <c r="AC18" i="10"/>
  <c r="AD18" i="10" l="1"/>
  <c r="AC51" i="10"/>
  <c r="AC7" i="11" s="1"/>
  <c r="S36" i="20" s="1"/>
  <c r="AC52" i="10"/>
  <c r="AC8" i="11" s="1"/>
  <c r="V37" i="20" s="1"/>
  <c r="AC49" i="10"/>
  <c r="AC5" i="11" s="1"/>
  <c r="V35" i="20" s="1"/>
  <c r="AD19" i="10"/>
  <c r="T5" i="12"/>
  <c r="S21" i="12"/>
  <c r="AE47" i="10"/>
  <c r="AE2" i="11" s="1"/>
  <c r="AF16" i="10"/>
  <c r="AF47" i="10" s="1"/>
  <c r="AF2" i="11" s="1"/>
  <c r="T23" i="12"/>
  <c r="U3" i="12"/>
  <c r="AE48" i="10"/>
  <c r="AE3" i="11" s="1"/>
  <c r="AF17" i="10"/>
  <c r="AF48" i="10" s="1"/>
  <c r="AF3" i="11" s="1"/>
  <c r="T4" i="12"/>
  <c r="S22" i="12"/>
  <c r="AE18" i="10" l="1"/>
  <c r="AD51" i="10"/>
  <c r="AD7" i="11" s="1"/>
  <c r="T36" i="20" s="1"/>
  <c r="U4" i="12"/>
  <c r="T22" i="12"/>
  <c r="V3" i="12"/>
  <c r="U23" i="12"/>
  <c r="U5" i="12"/>
  <c r="T21" i="12"/>
  <c r="AD52" i="10"/>
  <c r="AD8" i="11" s="1"/>
  <c r="W37" i="20" s="1"/>
  <c r="AD49" i="10"/>
  <c r="AD5" i="11" s="1"/>
  <c r="W35" i="20" s="1"/>
  <c r="AE19" i="10"/>
  <c r="U21" i="12" l="1"/>
  <c r="V5" i="12"/>
  <c r="W3" i="12"/>
  <c r="V23" i="12"/>
  <c r="AE51" i="10"/>
  <c r="AE7" i="11" s="1"/>
  <c r="U36" i="20" s="1"/>
  <c r="AF18" i="10"/>
  <c r="AE52" i="10"/>
  <c r="AE8" i="11" s="1"/>
  <c r="X37" i="20" s="1"/>
  <c r="AE49" i="10"/>
  <c r="AE5" i="11" s="1"/>
  <c r="X35" i="20" s="1"/>
  <c r="AF19" i="10"/>
  <c r="U22" i="12"/>
  <c r="V4" i="12"/>
  <c r="V22" i="12" l="1"/>
  <c r="W4" i="12"/>
  <c r="AF52" i="10"/>
  <c r="AF8" i="11" s="1"/>
  <c r="Y37" i="20" s="1"/>
  <c r="AF49" i="10"/>
  <c r="AF5" i="11" s="1"/>
  <c r="Y35" i="20" s="1"/>
  <c r="AF51" i="10"/>
  <c r="AF7" i="11" s="1"/>
  <c r="V36" i="20" s="1"/>
  <c r="W23" i="12"/>
  <c r="X3" i="12"/>
  <c r="V21" i="12"/>
  <c r="W5" i="12"/>
  <c r="X5" i="12" l="1"/>
  <c r="W21" i="12"/>
  <c r="Y3" i="12"/>
  <c r="Y23" i="12" s="1"/>
  <c r="X23" i="12"/>
  <c r="X4" i="12"/>
  <c r="W22" i="12"/>
  <c r="Y4" i="12" l="1"/>
  <c r="Y22" i="12" s="1"/>
  <c r="X22" i="12"/>
  <c r="Y5" i="12"/>
  <c r="Y21" i="12" s="1"/>
  <c r="X21"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Miller, Neil</author>
    <author>Sui, Lang</author>
  </authors>
  <commentList>
    <comment ref="AH6" authorId="0" shapeId="0" xr:uid="{A4D41E33-33AA-4618-AB71-93050687D86A}">
      <text>
        <r>
          <rPr>
            <b/>
            <sz val="9"/>
            <color indexed="81"/>
            <rFont val="Tahoma"/>
            <family val="2"/>
          </rPr>
          <t>Miller, Neil:</t>
        </r>
        <r>
          <rPr>
            <sz val="9"/>
            <color indexed="81"/>
            <rFont val="Tahoma"/>
            <family val="2"/>
          </rPr>
          <t xml:space="preserve">
From 2019MY CD PV Data</t>
        </r>
      </text>
    </comment>
    <comment ref="AN6" authorId="1" shapeId="0" xr:uid="{E9B5600B-0684-4527-9860-0D7DCF05C67E}">
      <text>
        <r>
          <rPr>
            <b/>
            <sz val="9"/>
            <color indexed="81"/>
            <rFont val="Tahoma"/>
            <family val="2"/>
          </rPr>
          <t>Sui, Lang:</t>
        </r>
        <r>
          <rPr>
            <sz val="9"/>
            <color indexed="81"/>
            <rFont val="Tahoma"/>
            <family val="2"/>
          </rPr>
          <t xml:space="preserve">
With AC Discounting</t>
        </r>
      </text>
    </comment>
    <comment ref="AS6" authorId="1" shapeId="0" xr:uid="{1CCA5A52-F447-4EEC-8F75-10FE4862855F}">
      <text>
        <r>
          <rPr>
            <b/>
            <sz val="9"/>
            <color indexed="81"/>
            <rFont val="Tahoma"/>
            <family val="2"/>
          </rPr>
          <t>Sui, Lang:</t>
        </r>
        <r>
          <rPr>
            <sz val="9"/>
            <color indexed="81"/>
            <rFont val="Tahoma"/>
            <family val="2"/>
          </rPr>
          <t xml:space="preserve">
Combined = GEM+Regen+Aux w/o HVAC</t>
        </r>
      </text>
    </comment>
    <comment ref="AT6" authorId="1" shapeId="0" xr:uid="{CA7819FA-E618-491B-B975-CBE2E029AF12}">
      <text>
        <r>
          <rPr>
            <b/>
            <sz val="9"/>
            <color indexed="81"/>
            <rFont val="Tahoma"/>
            <family val="2"/>
          </rPr>
          <t>Sui, Lang:</t>
        </r>
        <r>
          <rPr>
            <sz val="9"/>
            <color indexed="81"/>
            <rFont val="Tahoma"/>
            <family val="2"/>
          </rPr>
          <t xml:space="preserve">
Combined = GEM+Regen+Aux+ 20F HVAC + battery conditioning</t>
        </r>
      </text>
    </comment>
    <comment ref="AU6" authorId="1" shapeId="0" xr:uid="{C93D8DD7-2599-48D0-A72F-C96CE6286734}">
      <text>
        <r>
          <rPr>
            <b/>
            <sz val="9"/>
            <color indexed="81"/>
            <rFont val="Tahoma"/>
            <family val="2"/>
          </rPr>
          <t>Sui, Lang:</t>
        </r>
        <r>
          <rPr>
            <sz val="9"/>
            <color indexed="81"/>
            <rFont val="Tahoma"/>
            <family val="2"/>
          </rPr>
          <t xml:space="preserve">
Basline +95 F</t>
        </r>
      </text>
    </comment>
    <comment ref="AY6" authorId="1" shapeId="0" xr:uid="{87C1B1F6-1C05-47B3-B106-850594832D3D}">
      <text>
        <r>
          <rPr>
            <b/>
            <sz val="9"/>
            <color indexed="81"/>
            <rFont val="Tahoma"/>
            <family val="2"/>
          </rPr>
          <t>Sui, Lang:</t>
        </r>
        <r>
          <rPr>
            <sz val="9"/>
            <color indexed="81"/>
            <rFont val="Tahoma"/>
            <family val="2"/>
          </rPr>
          <t xml:space="preserve">
Has to be kWh/mi for vehicle range calculation. Can have separate one for kWh/day</t>
        </r>
      </text>
    </comment>
    <comment ref="BB6" authorId="1" shapeId="0" xr:uid="{54B44CD4-D226-4F2E-AD24-2AF937BB7628}">
      <text>
        <r>
          <rPr>
            <b/>
            <sz val="9"/>
            <color indexed="81"/>
            <rFont val="Tahoma"/>
            <family val="2"/>
          </rPr>
          <t>Sui, Lang:</t>
        </r>
        <r>
          <rPr>
            <sz val="9"/>
            <color indexed="81"/>
            <rFont val="Tahoma"/>
            <family val="2"/>
          </rPr>
          <t xml:space="preserve">
Combined = GEM+Regen+Aux w/o HVAC</t>
        </r>
      </text>
    </comment>
    <comment ref="BC6" authorId="1" shapeId="0" xr:uid="{9088C999-88EF-4291-9054-82B83D533898}">
      <text>
        <r>
          <rPr>
            <b/>
            <sz val="9"/>
            <color indexed="81"/>
            <rFont val="Tahoma"/>
            <family val="2"/>
          </rPr>
          <t>Sui, Lang:</t>
        </r>
        <r>
          <rPr>
            <sz val="9"/>
            <color indexed="81"/>
            <rFont val="Tahoma"/>
            <family val="2"/>
          </rPr>
          <t xml:space="preserve">
Combined = GEM+Regen+Aux+ active HVAC</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<sst xmlns="http://schemas.openxmlformats.org/spreadsheetml/2006/main" count="1567" uniqueCount="751">
  <si>
    <t>passenger LDVs</t>
  </si>
  <si>
    <t>Sources:</t>
  </si>
  <si>
    <t>freight HDVs</t>
  </si>
  <si>
    <t>LDVs</t>
  </si>
  <si>
    <t>HDVs</t>
  </si>
  <si>
    <t>aircraft</t>
  </si>
  <si>
    <t>rail</t>
  </si>
  <si>
    <t>ships</t>
  </si>
  <si>
    <t>motorbikes</t>
  </si>
  <si>
    <t>Vehicle Loading (passengers)</t>
  </si>
  <si>
    <t>Vehicle Loading (tons)</t>
  </si>
  <si>
    <t/>
  </si>
  <si>
    <t>DC</t>
  </si>
  <si>
    <t>Diesel</t>
  </si>
  <si>
    <t>Gasoline</t>
  </si>
  <si>
    <t>Alabama</t>
  </si>
  <si>
    <t>Arizona</t>
  </si>
  <si>
    <t>Arkansas</t>
  </si>
  <si>
    <t>Connecticut</t>
  </si>
  <si>
    <t>Hawaii</t>
  </si>
  <si>
    <t>Idaho</t>
  </si>
  <si>
    <t>Kansas</t>
  </si>
  <si>
    <t>Kentucky</t>
  </si>
  <si>
    <t>Louisiana</t>
  </si>
  <si>
    <t>Maryland</t>
  </si>
  <si>
    <t>Massachusetts</t>
  </si>
  <si>
    <t>Michigan</t>
  </si>
  <si>
    <t>Missouri</t>
  </si>
  <si>
    <t>Nebraska</t>
  </si>
  <si>
    <t>New Hampshire</t>
  </si>
  <si>
    <t>New Mexico</t>
  </si>
  <si>
    <t>North Carolina</t>
  </si>
  <si>
    <t>North Dakota</t>
  </si>
  <si>
    <t>Ohio</t>
  </si>
  <si>
    <t>Pennsylvania</t>
  </si>
  <si>
    <t>South Carolina</t>
  </si>
  <si>
    <t>SC</t>
  </si>
  <si>
    <t>Utah</t>
  </si>
  <si>
    <t>Vermont</t>
  </si>
  <si>
    <t>Virginia</t>
  </si>
  <si>
    <t>West Virginia</t>
  </si>
  <si>
    <t>BRZSPbMR BAU Required ZEV Sales Percentage by Model Region</t>
  </si>
  <si>
    <t>The ZEV sales standards imposed by a region or subregion may have schedules that</t>
  </si>
  <si>
    <t xml:space="preserve">  do not overlap with EPS classifications. In this sheet, the California Air Resource Board (CARB)</t>
  </si>
  <si>
    <t xml:space="preserve">  Advanced Clean Cars I/II (ACC I/II) and Advanced Clean Trucks (ACT) schedules are mapped</t>
  </si>
  <si>
    <t xml:space="preserve">  onto EPS vehicle classes using U.S. vehicle registration &amp; sales data.</t>
  </si>
  <si>
    <t>EPS Vehicle Classes</t>
  </si>
  <si>
    <t>Description</t>
  </si>
  <si>
    <t>Cars</t>
  </si>
  <si>
    <t>most light-duty road vehicles (such as cars and SUVs)</t>
  </si>
  <si>
    <t>passenger HDVs</t>
  </si>
  <si>
    <t>Buses</t>
  </si>
  <si>
    <t>buses (including school, transit, and intercity buses)</t>
  </si>
  <si>
    <t>passenger motorbikes</t>
  </si>
  <si>
    <t>registered motorcycles</t>
  </si>
  <si>
    <t>freight LDVs</t>
  </si>
  <si>
    <t>Class 2b-6</t>
  </si>
  <si>
    <t>light commercial trucks</t>
  </si>
  <si>
    <t>Class 7-8</t>
  </si>
  <si>
    <t>all other heavy road vehicles (mostly freight trucks)</t>
  </si>
  <si>
    <t>freight motorbikes</t>
  </si>
  <si>
    <t>CARB Schedules</t>
  </si>
  <si>
    <t>Year</t>
  </si>
  <si>
    <t>ACC I passenger cars</t>
  </si>
  <si>
    <t>ACC II passenger cars</t>
  </si>
  <si>
    <t>ACT Class 2b-3 pickup trucks and vans</t>
  </si>
  <si>
    <t>ACT Class 4-8 rigid (i.e., non-tractor) trucks</t>
  </si>
  <si>
    <t>ACT Class 7-8 tractor trucks</t>
  </si>
  <si>
    <t>Class 2b-3 VMT</t>
  </si>
  <si>
    <t>Class 4-8 rigid truck VMT</t>
  </si>
  <si>
    <t>Class 7-8 tractor truck VMT</t>
  </si>
  <si>
    <t>Percent of Class 4-8 truck VMT in freight LDV EPS category</t>
  </si>
  <si>
    <t>Percent of Class 4-8 truck VMT in freight HDV EPS category</t>
  </si>
  <si>
    <t>Class 2b-3 percent of freight LDV VMT</t>
  </si>
  <si>
    <t>Class 4-8 rigid truck percent of freight LDV VMT</t>
  </si>
  <si>
    <t>Class 4-8 rigid truck percent of freight HDV VMT</t>
  </si>
  <si>
    <t>Class 7-8 tractor truck percent of freight HDV VMT</t>
  </si>
  <si>
    <r>
      <t xml:space="preserve">U.S. DOT Federal Highway Administration, </t>
    </r>
    <r>
      <rPr>
        <b/>
        <i/>
        <sz val="11"/>
        <color theme="1"/>
        <rFont val="Calibri"/>
        <family val="2"/>
        <scheme val="minor"/>
      </rPr>
      <t>Highway Statistics</t>
    </r>
    <r>
      <rPr>
        <b/>
        <sz val="11"/>
        <color theme="1"/>
        <rFont val="Calibri"/>
        <family val="2"/>
        <scheme val="minor"/>
      </rPr>
      <t xml:space="preserve"> Table MV-10 - 2020</t>
    </r>
  </si>
  <si>
    <t>Bus Registrations</t>
  </si>
  <si>
    <t>TOTAL BUSES</t>
  </si>
  <si>
    <t>TOTAL</t>
  </si>
  <si>
    <t>SCHOOL</t>
  </si>
  <si>
    <t>NON-SCHOOL</t>
  </si>
  <si>
    <t>GRAND</t>
  </si>
  <si>
    <t>AND FEDERAL</t>
  </si>
  <si>
    <t>EPS Schedules</t>
  </si>
  <si>
    <t>passenger LDVs  ACC I</t>
  </si>
  <si>
    <t>passenger LDVs  ACC II</t>
  </si>
  <si>
    <t>passenger LDVs ACC II</t>
  </si>
  <si>
    <t>passenger LDVs ACC II - CO</t>
  </si>
  <si>
    <t>use '1' to indicate that the state follows the rule</t>
  </si>
  <si>
    <t>Calibration Values for EPA LDV Stds Applied?</t>
  </si>
  <si>
    <t>Calibration Values for EPA HDV Stds Applied?</t>
  </si>
  <si>
    <t>Does this state follow:</t>
  </si>
  <si>
    <t>What model year does this state begin regulating:</t>
  </si>
  <si>
    <t>ACC I</t>
  </si>
  <si>
    <t>ACC II</t>
  </si>
  <si>
    <t>ACT</t>
  </si>
  <si>
    <t>ACC I Cars</t>
  </si>
  <si>
    <t>ACC II Cars</t>
  </si>
  <si>
    <t>Trucks</t>
  </si>
  <si>
    <t xml:space="preserve">Alaska </t>
  </si>
  <si>
    <t xml:space="preserve">California </t>
  </si>
  <si>
    <t xml:space="preserve">Colorado </t>
  </si>
  <si>
    <t xml:space="preserve">Delaware </t>
  </si>
  <si>
    <t>District of Columbia</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</si>
  <si>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</si>
  <si>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</si>
  <si>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</si>
  <si>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</si>
  <si>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</si>
  <si>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</si>
  <si>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</si>
  <si>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</si>
  <si>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</si>
  <si>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</si>
  <si>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</si>
  <si>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</si>
  <si>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</si>
  <si>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</si>
  <si>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</si>
  <si>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</si>
  <si>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</si>
  <si>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</si>
  <si>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</si>
  <si>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</si>
  <si>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</si>
  <si>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</si>
  <si>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</si>
  <si>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</si>
  <si>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</si>
  <si>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</si>
  <si>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</si>
  <si>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</si>
  <si>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</si>
  <si>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</si>
  <si>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Targets</t>
  </si>
  <si>
    <t>PEVs</t>
  </si>
  <si>
    <t>PHEVs</t>
  </si>
  <si>
    <t>BEVs</t>
  </si>
  <si>
    <t>Non ACCII standard</t>
  </si>
  <si>
    <t>EPS Check</t>
  </si>
  <si>
    <t>Time (Year)</t>
  </si>
  <si>
    <t>Percent Vehicle Sales by Vehicle Technology[LDVs,passenger,battery electric vehicle] : test</t>
  </si>
  <si>
    <t>Percent Vehicle Sales by Vehicle Technology[LDVs,passenger,natural gas vehicle] : test</t>
  </si>
  <si>
    <t>Percent Vehicle Sales by Vehicle Technology[LDVs,passenger,gasoline vehicle] : test</t>
  </si>
  <si>
    <t>Percent Vehicle Sales by Vehicle Technology[LDVs,passenger,diesel vehicle] : test</t>
  </si>
  <si>
    <t>Percent Vehicle Sales by Vehicle Technology[LDVs,passenger,plugin hybrid vehicle] : test</t>
  </si>
  <si>
    <t>Percent Vehicle Sales by Vehicle Technology[LDVs,passenger,LPG vehicle] : test</t>
  </si>
  <si>
    <t>Percent Vehicle Sales by Vehicle Technology[LDVs,passenger,hydrogen vehicle] : test</t>
  </si>
  <si>
    <t>Percent of PHEVs Achieved</t>
  </si>
  <si>
    <t>Percent of BEVs Achieved</t>
  </si>
  <si>
    <t>Percent of PEVs Achieved</t>
  </si>
  <si>
    <t>ICCT Data</t>
  </si>
  <si>
    <t>BET cost</t>
  </si>
  <si>
    <t>Rigid truck, 4-5</t>
  </si>
  <si>
    <t>Rigid truck, 6-7</t>
  </si>
  <si>
    <t>Rigid truck, 8</t>
  </si>
  <si>
    <t>Tractor truck, short-haul</t>
  </si>
  <si>
    <t>Tractor truck, long-haul</t>
  </si>
  <si>
    <t>Refuse truck</t>
  </si>
  <si>
    <t>Overall HDT</t>
  </si>
  <si>
    <t>Small bus, 4-5</t>
  </si>
  <si>
    <t>Transit bus, 6-8</t>
  </si>
  <si>
    <t>School bus, 6-8</t>
  </si>
  <si>
    <t>Other bus, 6-8</t>
  </si>
  <si>
    <t>Overall Bus</t>
  </si>
  <si>
    <t>Average Battery Pack Size</t>
  </si>
  <si>
    <t>Total vehicle sales - historical data and projections</t>
  </si>
  <si>
    <t>EPS Category</t>
  </si>
  <si>
    <t>Annual sales</t>
  </si>
  <si>
    <t>Freight LDV</t>
  </si>
  <si>
    <t>Freight HDV</t>
  </si>
  <si>
    <t>Passenger HDV</t>
  </si>
  <si>
    <t>VKT per vehicle</t>
  </si>
  <si>
    <t>Average of VKTpVeh</t>
  </si>
  <si>
    <t>Row Labels</t>
  </si>
  <si>
    <t>bus</t>
  </si>
  <si>
    <t>Motor Home_4_5</t>
  </si>
  <si>
    <t>Motor Home_6_7</t>
  </si>
  <si>
    <t>Motor Home_8</t>
  </si>
  <si>
    <t>Other Buses_4_5</t>
  </si>
  <si>
    <t>Other Buses_6_7</t>
  </si>
  <si>
    <t>Other Buses_8</t>
  </si>
  <si>
    <t>School Bus_4_5</t>
  </si>
  <si>
    <t>School Bus_6_7</t>
  </si>
  <si>
    <t>School Bus_8</t>
  </si>
  <si>
    <t>Transit Bus_4_5</t>
  </si>
  <si>
    <t>Transit Bus_6_7</t>
  </si>
  <si>
    <t>Transit Bus_8</t>
  </si>
  <si>
    <t>Transit Bus_Urban</t>
  </si>
  <si>
    <t>ldv</t>
  </si>
  <si>
    <t>Light Commercial Truck_2b_3</t>
  </si>
  <si>
    <t>Light Commercial Van</t>
  </si>
  <si>
    <t>Light Duty  Truck</t>
  </si>
  <si>
    <t>Motorcycle</t>
  </si>
  <si>
    <t xml:space="preserve"> Car</t>
  </si>
  <si>
    <t xml:space="preserve"> Truck_2b_3</t>
  </si>
  <si>
    <t>Refuse Truck_2b_3</t>
  </si>
  <si>
    <t>School Bus_2b_3</t>
  </si>
  <si>
    <t>Single Unit Long-haul Truck_2b_3</t>
  </si>
  <si>
    <t>Single Unit Short-haul Truck_2b_3</t>
  </si>
  <si>
    <t>Combination Long Haul Glider</t>
  </si>
  <si>
    <t>Combination Long-haul Truck_7</t>
  </si>
  <si>
    <t>Combination Long-haul Truck_8</t>
  </si>
  <si>
    <t>Combination Short Haul Glider</t>
  </si>
  <si>
    <t>Combination Short-haul Truck_7</t>
  </si>
  <si>
    <t>Combination Short-haul Truck_8</t>
  </si>
  <si>
    <t>Refuse Truck_4_5</t>
  </si>
  <si>
    <t>Refuse Truck_6_7</t>
  </si>
  <si>
    <t>Refuse Truck_8</t>
  </si>
  <si>
    <t>Single Unit Long-haul Truck_4_5</t>
  </si>
  <si>
    <t>Single Unit Long-haul Truck_6_7</t>
  </si>
  <si>
    <t>Single Unit Long-haul Truck_8</t>
  </si>
  <si>
    <t>Single Unit Short-haul Truck_4_5</t>
  </si>
  <si>
    <t>Single Unit Short-haul Truck_6_7</t>
  </si>
  <si>
    <t>Single Unit Short-haul Truck_8</t>
  </si>
  <si>
    <t>(blank)</t>
  </si>
  <si>
    <t>Grand Total</t>
  </si>
  <si>
    <t>Total Vehicle Kilometers by Vehicle Type</t>
  </si>
  <si>
    <t>EPS Vehicle Type</t>
  </si>
  <si>
    <t>Total New Vehicle Miles</t>
  </si>
  <si>
    <t>Share New Vehicle Miles by EPS Vehicle Type</t>
  </si>
  <si>
    <t>Weighted New BEV Size</t>
  </si>
  <si>
    <t>New BEV Battery Size by EPS Vehicle Type</t>
  </si>
  <si>
    <t>Annual Percent Improvement in Battery Size by Vehicle Type</t>
  </si>
  <si>
    <t>Total VMT by Class</t>
  </si>
  <si>
    <t>2b</t>
  </si>
  <si>
    <t>7 rigid</t>
  </si>
  <si>
    <t>7 tractor</t>
  </si>
  <si>
    <t>8 tractor</t>
  </si>
  <si>
    <t>Percentage of HDV from class 7</t>
  </si>
  <si>
    <t>Percentage of HDV from class 8</t>
  </si>
  <si>
    <t>Freight truck VMT (Class 2b-8) by fuel and market class</t>
  </si>
  <si>
    <t>AEO2023 Reference case</t>
  </si>
  <si>
    <t>Vocational</t>
  </si>
  <si>
    <t>Class 7 tractor</t>
  </si>
  <si>
    <t>Class 8</t>
  </si>
  <si>
    <t>Powertrain</t>
  </si>
  <si>
    <t>Class 2 pickup and van</t>
  </si>
  <si>
    <t>Class 2 vocational</t>
  </si>
  <si>
    <t>Class 3 pickup and van</t>
  </si>
  <si>
    <t>Day low</t>
  </si>
  <si>
    <t>day mid</t>
  </si>
  <si>
    <t>day high</t>
  </si>
  <si>
    <t>voc</t>
  </si>
  <si>
    <t>day low</t>
  </si>
  <si>
    <t>sleeper low</t>
  </si>
  <si>
    <t>sleeper mid</t>
  </si>
  <si>
    <t>sleeper high</t>
  </si>
  <si>
    <t>heavy-haul</t>
  </si>
  <si>
    <t>Light-Medium</t>
  </si>
  <si>
    <t>Medium-Heavy</t>
  </si>
  <si>
    <t>Heavy-heavy</t>
  </si>
  <si>
    <t>LPG</t>
  </si>
  <si>
    <t>CNG</t>
  </si>
  <si>
    <t>Flex</t>
  </si>
  <si>
    <t>BEV</t>
  </si>
  <si>
    <t>PHEV diesel</t>
  </si>
  <si>
    <t>PHEV gasoline</t>
  </si>
  <si>
    <t>Fuel cell</t>
  </si>
  <si>
    <t>EPA RIA Table 2-102</t>
  </si>
  <si>
    <t>Return to Table of Contents</t>
  </si>
  <si>
    <t>Hide</t>
  </si>
  <si>
    <t>EPS Mapping</t>
  </si>
  <si>
    <t>Updated Sales % from final EPA RIA</t>
  </si>
  <si>
    <t>Annual VMT from New Sales</t>
  </si>
  <si>
    <t>VMT Weight</t>
  </si>
  <si>
    <t>EPA Regulatory Group</t>
  </si>
  <si>
    <t>MY 2027 ZEV</t>
  </si>
  <si>
    <t>MY 2030 ZEV</t>
  </si>
  <si>
    <t>MY 2032 ZEV</t>
  </si>
  <si>
    <t>Sales Weighted MY 2027 Sales</t>
  </si>
  <si>
    <t>Sales Weighted MY 2030 Sales</t>
  </si>
  <si>
    <t>Sales Weighted MY 2032 Sales</t>
  </si>
  <si>
    <t>VMT Weighted MY 2027 Sales</t>
  </si>
  <si>
    <t>VMT Weighted MY 2030 Sales</t>
  </si>
  <si>
    <t>VMT Weighted MY 2032 Sales</t>
  </si>
  <si>
    <t>Vehicle ID</t>
  </si>
  <si>
    <t>Vehicle ID2</t>
  </si>
  <si>
    <t>MOVES source TypeID</t>
  </si>
  <si>
    <t>MOVES regClassID</t>
  </si>
  <si>
    <t>GEM Energy ID</t>
  </si>
  <si>
    <t>Vehicle Application</t>
  </si>
  <si>
    <t>Class</t>
  </si>
  <si>
    <t>Example Vehicle</t>
  </si>
  <si>
    <t>Typical Duty Cycle</t>
  </si>
  <si>
    <t>GEM Weight [kg]</t>
  </si>
  <si>
    <t>GEM Weight [lb]</t>
  </si>
  <si>
    <t>Rotational Mass</t>
  </si>
  <si>
    <t>Coefficient of Drag Area</t>
  </si>
  <si>
    <t>Tire Rolling Resistance</t>
  </si>
  <si>
    <t>Max 0-30 mph Acc Time</t>
  </si>
  <si>
    <t>Max 0-60 mph Acc Time</t>
  </si>
  <si>
    <t>Cruise Speed @ Grade</t>
  </si>
  <si>
    <t>Payload Weight</t>
  </si>
  <si>
    <t>Sales Estimates</t>
  </si>
  <si>
    <t>Percent Total HD Sales</t>
  </si>
  <si>
    <t>Average Daily Operation</t>
  </si>
  <si>
    <t>Daily Operational VMT</t>
  </si>
  <si>
    <t>10 yr Average Daily Operational VMT</t>
  </si>
  <si>
    <t>Daily Sizing VMT</t>
  </si>
  <si>
    <t>ZEV Energy Demand @ Axle</t>
  </si>
  <si>
    <t>Regenerative Braking Available Energy @ Axle</t>
  </si>
  <si>
    <t>PTO Energy Demand</t>
  </si>
  <si>
    <t>Battery Conditioning @ Cold Ambient Temp</t>
  </si>
  <si>
    <t>Battery Conditioning @ Hot Ambient Temp</t>
  </si>
  <si>
    <t>ZEV Baseline Energy</t>
  </si>
  <si>
    <t>BEV HVAC Heating Load</t>
  </si>
  <si>
    <t>ZEV HVAC Cooling Load</t>
  </si>
  <si>
    <t>BEV Total Energy per day @ Cold Ambient Temp</t>
  </si>
  <si>
    <t>ZEV Total Energy Without Temp Effects</t>
  </si>
  <si>
    <t>ZEV Total Energy per day @ Hot Ambient Temp</t>
  </si>
  <si>
    <t>Units</t>
  </si>
  <si>
    <t>kg</t>
  </si>
  <si>
    <t>m^2</t>
  </si>
  <si>
    <t>kg/ton</t>
  </si>
  <si>
    <t>sec</t>
  </si>
  <si>
    <t>MPH</t>
  </si>
  <si>
    <t>lbs</t>
  </si>
  <si>
    <t>unit</t>
  </si>
  <si>
    <t>%</t>
  </si>
  <si>
    <t>hours</t>
  </si>
  <si>
    <t>miles</t>
  </si>
  <si>
    <t>kWh/mi</t>
  </si>
  <si>
    <t>kWh/day</t>
  </si>
  <si>
    <t>#</t>
  </si>
  <si>
    <t>Segment</t>
  </si>
  <si>
    <t>Duty Cycle</t>
  </si>
  <si>
    <t>Mrot [kg]</t>
  </si>
  <si>
    <t>GEM CdA</t>
  </si>
  <si>
    <t>GEM Crr (kg/ton)</t>
  </si>
  <si>
    <t>0-30</t>
  </si>
  <si>
    <t>0-60</t>
  </si>
  <si>
    <t>Cruise @ Grade</t>
  </si>
  <si>
    <t>Phase II Payload Weight (lbs)</t>
  </si>
  <si>
    <t>Sales (unit)</t>
  </si>
  <si>
    <t>Sales %</t>
  </si>
  <si>
    <t>Operation Hours</t>
  </si>
  <si>
    <t>Operation VMT (50%)</t>
  </si>
  <si>
    <t>10 yr Average Operational VMT</t>
  </si>
  <si>
    <t>Absolute Sizing VMT (90%)</t>
  </si>
  <si>
    <t>Energy Use per Mile - GEM 2027 (kWh/mi)</t>
  </si>
  <si>
    <t>Regen Use per Mile (kWh/mi)</t>
  </si>
  <si>
    <t>Default PTO Load Only (kWh/mi)</t>
  </si>
  <si>
    <t>Default Cold Battery Conditioning (kWh/mi)</t>
  </si>
  <si>
    <t>Default Hot Battery Conditioning (kWh/mi)</t>
  </si>
  <si>
    <t>Default Baseline Energy 75 F (kWh/mi)</t>
  </si>
  <si>
    <t>Default HVAC Load Only @ 20 F (kWh/mi)</t>
  </si>
  <si>
    <t>Default HVAC Load Only @ 95 F (kWh/mi)</t>
  </si>
  <si>
    <t>Default Energy per Day 20 F HVAC (kWh/day)</t>
  </si>
  <si>
    <t>Default Energy per Day 75 F (kWh/day)</t>
  </si>
  <si>
    <t>Default Energy per Day 95 F HVAC (kWh/day)</t>
  </si>
  <si>
    <t>LHD</t>
  </si>
  <si>
    <t>01V_Amb_Cl4-5_MP</t>
  </si>
  <si>
    <t>V_Amb_Cl4-5</t>
  </si>
  <si>
    <t>LHD_M</t>
  </si>
  <si>
    <t>Ambulance</t>
  </si>
  <si>
    <t>4-5</t>
  </si>
  <si>
    <t>Envirotech Drive Systems C Series Cutaway</t>
  </si>
  <si>
    <t>Multi-Purpose</t>
  </si>
  <si>
    <t>02V_Amb_Cl2b-3_MP</t>
  </si>
  <si>
    <t>V_Amb_Cl2b-3</t>
  </si>
  <si>
    <t>2b-3</t>
  </si>
  <si>
    <t>03V_Amb_Cl4-5_U</t>
  </si>
  <si>
    <t>LHD_U</t>
  </si>
  <si>
    <t>Urban</t>
  </si>
  <si>
    <t>04V_Amb_Cl2b-3_U</t>
  </si>
  <si>
    <t>HHD</t>
  </si>
  <si>
    <t>05T_Box_Cl8_MP</t>
  </si>
  <si>
    <t>T_Box_Cl8</t>
  </si>
  <si>
    <t>HHD_M</t>
  </si>
  <si>
    <t>Box Truck</t>
  </si>
  <si>
    <t>8</t>
  </si>
  <si>
    <t>Lion Electric Lion8P</t>
  </si>
  <si>
    <t>06T_Box_Cl8_R</t>
  </si>
  <si>
    <t>HHD_R</t>
  </si>
  <si>
    <t>Regional</t>
  </si>
  <si>
    <t>MHD</t>
  </si>
  <si>
    <t>07T_Box_Cl6-7_MP</t>
  </si>
  <si>
    <t>T_Box_Cl6-7</t>
  </si>
  <si>
    <t>MHD_M</t>
  </si>
  <si>
    <t>6-7</t>
  </si>
  <si>
    <t>Freightliner eM2</t>
  </si>
  <si>
    <t>08T_Box_Cl6-7_R</t>
  </si>
  <si>
    <t>MHD_R</t>
  </si>
  <si>
    <t>09T_Box_Cl8_U</t>
  </si>
  <si>
    <t>HHD_U</t>
  </si>
  <si>
    <t>10T_Box_Cl6-7_U</t>
  </si>
  <si>
    <t>MHD_U</t>
  </si>
  <si>
    <t>11T_Box_Cl2b-3_U</t>
  </si>
  <si>
    <t>T_Box_Cl2b-3</t>
  </si>
  <si>
    <t>12T_Box_Cl2b-3_R</t>
  </si>
  <si>
    <t>LHD_R</t>
  </si>
  <si>
    <t>13T_Box_Cl2b-3_MP</t>
  </si>
  <si>
    <t>14T_Box_Cl4-5_U</t>
  </si>
  <si>
    <t>T_Box_Cl4-5</t>
  </si>
  <si>
    <t>15T_Box_Cl4-5_R</t>
  </si>
  <si>
    <t>16T_Box_Cl4-5_MP</t>
  </si>
  <si>
    <t>Bus</t>
  </si>
  <si>
    <t>17B_Coach_Cl8_R</t>
  </si>
  <si>
    <t>B_Coach_Cl8</t>
  </si>
  <si>
    <t>Coach Bus</t>
  </si>
  <si>
    <t>MCI J4500e</t>
  </si>
  <si>
    <t>18B_Coach_Cl8_MP</t>
  </si>
  <si>
    <t>19C_Mix_Cl8_MP</t>
  </si>
  <si>
    <t>C_Mix_Cl8</t>
  </si>
  <si>
    <t>Concrete Mixer</t>
  </si>
  <si>
    <t>Cement Mixer</t>
  </si>
  <si>
    <t>20T_Dump_Cl8_U</t>
  </si>
  <si>
    <t>T_Dump_Cl8</t>
  </si>
  <si>
    <t>Dump Truck</t>
  </si>
  <si>
    <t>Volvo VNR</t>
  </si>
  <si>
    <t>21T_Dump_Cl8_MP</t>
  </si>
  <si>
    <t>22T_Dump_Cl6-7_MP</t>
  </si>
  <si>
    <t>T_Dump_Cl6-7</t>
  </si>
  <si>
    <t>Navistar eMV</t>
  </si>
  <si>
    <t>23T_Dump_Cl8_U</t>
  </si>
  <si>
    <t>24T_Dump_Cl6-7_U</t>
  </si>
  <si>
    <t>25T_Fire_Cl8_MP</t>
  </si>
  <si>
    <t>T_Fire_Cl8</t>
  </si>
  <si>
    <t>Fire Truck</t>
  </si>
  <si>
    <t>26T_Fire_Cl8_U</t>
  </si>
  <si>
    <t>27T_Flat_Cl6-7_MP</t>
  </si>
  <si>
    <t>T_Flat_Cl6-7</t>
  </si>
  <si>
    <t>Flatbed/Stake Truck</t>
  </si>
  <si>
    <t>28T_Flat_Cl6-7_R</t>
  </si>
  <si>
    <t>29T_Flat_Cl6-7_U</t>
  </si>
  <si>
    <t>30Tractor_DC_Cl8_MP</t>
  </si>
  <si>
    <t>Tractor_DC_Cl8</t>
  </si>
  <si>
    <t>C8_DC_LR</t>
  </si>
  <si>
    <t>Port Drayage Tractor</t>
  </si>
  <si>
    <t>BYD 8TT</t>
  </si>
  <si>
    <t>31Tractor_DC_Cl6-7_MP</t>
  </si>
  <si>
    <t>Tractor_DC_Cl6-7</t>
  </si>
  <si>
    <t>C7_DC_LR</t>
  </si>
  <si>
    <t>32Tractor_DC_Cl8_U</t>
  </si>
  <si>
    <t>33Tractor_DC_Cl6-7_U</t>
  </si>
  <si>
    <t>34T_Ref_Cl8_MP</t>
  </si>
  <si>
    <t>T_Ref_Cl8</t>
  </si>
  <si>
    <t>Refuse Truck</t>
  </si>
  <si>
    <t>Refuse</t>
  </si>
  <si>
    <t>Mack LR</t>
  </si>
  <si>
    <t>35T_Ref_Cl6-7_MP</t>
  </si>
  <si>
    <t>T_Ref_Cl6-7</t>
  </si>
  <si>
    <t>36T_Ref_Cl8_U</t>
  </si>
  <si>
    <t>37T_Ref_Cl6-7_U</t>
  </si>
  <si>
    <t>38RV_Cl8_R</t>
  </si>
  <si>
    <t>RV_Cl8</t>
  </si>
  <si>
    <t>RV</t>
  </si>
  <si>
    <t>39RV_Cl6-7_R</t>
  </si>
  <si>
    <t>RV_Cl6-7</t>
  </si>
  <si>
    <t>40RV_Cl4-5_R</t>
  </si>
  <si>
    <t>RV_Cl4-5</t>
  </si>
  <si>
    <t>41RV_Cl2b-3_R</t>
  </si>
  <si>
    <t>RV_Cl2b-3</t>
  </si>
  <si>
    <t>42RV_Cl8_MP</t>
  </si>
  <si>
    <t>43RV_Cl6-7_MP</t>
  </si>
  <si>
    <t>44RV_Cl4-5_MP</t>
  </si>
  <si>
    <t>45RV_Cl2b-3_MP</t>
  </si>
  <si>
    <t>46B_School_Cl8_MP</t>
  </si>
  <si>
    <t>B_School_Cl8</t>
  </si>
  <si>
    <t>School Bus</t>
  </si>
  <si>
    <t>Blue Bird All American</t>
  </si>
  <si>
    <t>47B_School_Cl6-7_MP</t>
  </si>
  <si>
    <t>B_School_Cl6-7</t>
  </si>
  <si>
    <t>Thomas Built eC2 Jouley</t>
  </si>
  <si>
    <t>48B_School_Cl4-5_MP</t>
  </si>
  <si>
    <t>B_School_Cl4-5</t>
  </si>
  <si>
    <t>Pheonix Zeus 600</t>
  </si>
  <si>
    <t>49B_School_Cl2b-3_MP</t>
  </si>
  <si>
    <t>B_School_Cl2b-3</t>
  </si>
  <si>
    <t>50B_School_Cl8_U</t>
  </si>
  <si>
    <t>51B_School_Cl6-7_U</t>
  </si>
  <si>
    <t>52B_School_Cl4-5_U</t>
  </si>
  <si>
    <t>53B_School_Cl2b-3_U</t>
  </si>
  <si>
    <t>54B_Shuttle_Cl4-5_MP</t>
  </si>
  <si>
    <t>B_Shuttle_Cl4-5</t>
  </si>
  <si>
    <t>Shuttle Bus</t>
  </si>
  <si>
    <t>GreenPower Motors AV Star</t>
  </si>
  <si>
    <t>55B_Shuttle_Cl2b-3_MP</t>
  </si>
  <si>
    <t>B_Shuttle_Cl2b-3</t>
  </si>
  <si>
    <t>56B_Shuttle_Cl4-5_U</t>
  </si>
  <si>
    <t>57B_Shuttle_Cl2b-3_U</t>
  </si>
  <si>
    <t>58B_Shuttle_Cl6-7_MP</t>
  </si>
  <si>
    <t>B_Shuttle_Cl6-7</t>
  </si>
  <si>
    <t>59B_Shuttle_Cl6-7_U</t>
  </si>
  <si>
    <t>60S_Plow_Cl6-7_MP</t>
  </si>
  <si>
    <t>S_Plow_Cl6-7</t>
  </si>
  <si>
    <t>Snow Plow</t>
  </si>
  <si>
    <t>61S_Plow_Cl8_MP</t>
  </si>
  <si>
    <t>S_Plow_Cl8</t>
  </si>
  <si>
    <t>62S_Plow_Cl6-7_U</t>
  </si>
  <si>
    <t>63S_Plow_Cl8_U</t>
  </si>
  <si>
    <t>64V_Step_Cl6-7_MP</t>
  </si>
  <si>
    <t>V_Step_Cl6-7</t>
  </si>
  <si>
    <t>Step Van</t>
  </si>
  <si>
    <t>Sea Electric F-59</t>
  </si>
  <si>
    <t>65V_Step_Cl4-5_MP</t>
  </si>
  <si>
    <t>V_Step_Cl4-5</t>
  </si>
  <si>
    <t>Lilghtning Systems Transit Cargo Van</t>
  </si>
  <si>
    <t>66V_Step_Cl2b-3_MP</t>
  </si>
  <si>
    <t>V_Step_Cl2b-3</t>
  </si>
  <si>
    <t>Brightdrop EV600</t>
  </si>
  <si>
    <t>67V_Step_Cl6-7_U</t>
  </si>
  <si>
    <t>68V_Step_Cl4-5_U</t>
  </si>
  <si>
    <t>69V_Step_Cl2b-3_U</t>
  </si>
  <si>
    <t>70S_Sweep_Cl6-7_U</t>
  </si>
  <si>
    <t>S_Sweep_Cl6-7</t>
  </si>
  <si>
    <t>Street Sweeper</t>
  </si>
  <si>
    <t>71T_Tanker_Cl8_R</t>
  </si>
  <si>
    <t>T_Tanker_Cl8</t>
  </si>
  <si>
    <t>Tanker Truck</t>
  </si>
  <si>
    <t>72T_Tanker_Cl8_MP</t>
  </si>
  <si>
    <t>73T_Tanker_Cl8_U</t>
  </si>
  <si>
    <t>74T_Tow_Cl8_R</t>
  </si>
  <si>
    <t>T_Tow_Cl8</t>
  </si>
  <si>
    <t>Tow Truck</t>
  </si>
  <si>
    <t>75T_Tow_Cl6-7_R</t>
  </si>
  <si>
    <t>T_Tow_Cl6-7</t>
  </si>
  <si>
    <t>76T_Tow_Cl8_U</t>
  </si>
  <si>
    <t>77T_Tow_Cl6-7_U</t>
  </si>
  <si>
    <t>78Tractor_SC_Cl8_MP</t>
  </si>
  <si>
    <t>Tractor_SC_Cl8</t>
  </si>
  <si>
    <t>C8_SC_LR</t>
  </si>
  <si>
    <t>Tractor_SC</t>
  </si>
  <si>
    <t>79Tractor_SC_Cl8_R</t>
  </si>
  <si>
    <t>80Tractor_DC_Cl8_HH</t>
  </si>
  <si>
    <t>C8_HH</t>
  </si>
  <si>
    <t>Tractor_DC</t>
  </si>
  <si>
    <t>Heavy Haul</t>
  </si>
  <si>
    <t>81Tractor_DC_Cl7_R</t>
  </si>
  <si>
    <t>Tractor_DC_Cl7</t>
  </si>
  <si>
    <t>7</t>
  </si>
  <si>
    <t>82Tractor_DC_Cl8_R</t>
  </si>
  <si>
    <t>Freightliner eCascadia</t>
  </si>
  <si>
    <t>83Tractor_DC_Cl7_U</t>
  </si>
  <si>
    <t>84Tractor_DC_Cl8_U</t>
  </si>
  <si>
    <t>85B_Transit_Cl8_MP</t>
  </si>
  <si>
    <t>B_Transit_Cl8</t>
  </si>
  <si>
    <t>Transit Bus</t>
  </si>
  <si>
    <t>Eldorado National Axess</t>
  </si>
  <si>
    <t>86B_Transit_Cl6-7_MP</t>
  </si>
  <si>
    <t>B_Transit_Cl6-7</t>
  </si>
  <si>
    <t>New Flyer Xcelsior Charge NG</t>
  </si>
  <si>
    <t>87B_Transit_Cl8_U</t>
  </si>
  <si>
    <t>88B_Transit_Cl6-7_U</t>
  </si>
  <si>
    <t>89T_Utility_Cl8_MP</t>
  </si>
  <si>
    <t>T_Utility_Cl8</t>
  </si>
  <si>
    <t>Utility Truck</t>
  </si>
  <si>
    <t>Lion Electric Bucket Truck</t>
  </si>
  <si>
    <t>90T_Utility_Cl8_R</t>
  </si>
  <si>
    <t>91T_Utility_Cl6-7_MP</t>
  </si>
  <si>
    <t>T_Utility_Cl6-7</t>
  </si>
  <si>
    <t>Sea Electric F-750</t>
  </si>
  <si>
    <t>92T_Utility_Cl6-7_R</t>
  </si>
  <si>
    <t>93T_Utility_Cl4-5_MP</t>
  </si>
  <si>
    <t>T_Utility_Cl4-5</t>
  </si>
  <si>
    <t>SEA Electric Hino FG</t>
  </si>
  <si>
    <t>94T_Utility_Cl2b-3_MP</t>
  </si>
  <si>
    <t>T_Utility_Cl2b-3</t>
  </si>
  <si>
    <t>95T_Utility_Cl4-5_R</t>
  </si>
  <si>
    <t>96T_Utility_Cl2b-3_R</t>
  </si>
  <si>
    <t>97T_Utility_Cl8_U</t>
  </si>
  <si>
    <t>98T_Utility_Cl6-7_U</t>
  </si>
  <si>
    <t>99T_Utility_Cl4-5_U</t>
  </si>
  <si>
    <t>100T_Utility_Cl2b-3_U</t>
  </si>
  <si>
    <t>101Tractor_DC_Cl8_U</t>
  </si>
  <si>
    <t>Yard Tractor</t>
  </si>
  <si>
    <t>Orange EV T-Series</t>
  </si>
  <si>
    <t>freight LDV</t>
  </si>
  <si>
    <t>freight HDV</t>
  </si>
  <si>
    <t>passenger HDV</t>
  </si>
  <si>
    <t>VMT Weighted</t>
  </si>
  <si>
    <t>Sales Weighted</t>
  </si>
  <si>
    <t>Sales:VMT Weighted Proportion</t>
  </si>
  <si>
    <t>Sales: VMT Weighted Proportion</t>
  </si>
  <si>
    <t>Annual Sales</t>
  </si>
  <si>
    <t>Percent of annual freight LDV sales</t>
  </si>
  <si>
    <t>Annual VMT from new sales</t>
  </si>
  <si>
    <t>% of EPS freight LDV category</t>
  </si>
  <si>
    <t>commercial trucks and class 3</t>
  </si>
  <si>
    <t>class 7-8 from AEO</t>
  </si>
  <si>
    <t>Calculating Weighted Targets</t>
  </si>
  <si>
    <t>freight LDV VMT by Category</t>
  </si>
  <si>
    <t>EPA's reference case for comparison</t>
  </si>
  <si>
    <t>*only class 6 portion</t>
  </si>
  <si>
    <t>freight HDV VMT by Category</t>
  </si>
  <si>
    <t>*only class 7 portion</t>
  </si>
  <si>
    <t>Final Sales Shares from Rules</t>
  </si>
  <si>
    <t>Final LHDV</t>
  </si>
  <si>
    <t>Final MHDV</t>
  </si>
  <si>
    <t>Final HHDV</t>
  </si>
  <si>
    <t>Final Day Cab Tractor</t>
  </si>
  <si>
    <t>Final Sleeper Cab Tractor</t>
  </si>
  <si>
    <t>weighted freight LDVs</t>
  </si>
  <si>
    <t>weighted freight HDVs</t>
  </si>
  <si>
    <t>*we take sales shares from the calculations on the hd trucs tab, as the high level tables used from the EPA RIA above are not detailed enough to pull out specific vocational vehicles</t>
  </si>
  <si>
    <t>Bus Sales Shares</t>
  </si>
  <si>
    <t>Meeting Targets in the EPS</t>
  </si>
  <si>
    <t>Sales Share</t>
  </si>
  <si>
    <t>ACT Sales Shares</t>
  </si>
  <si>
    <t>Percent of Target Reached</t>
  </si>
  <si>
    <t>Percent Vehicle Sales by Vehicle Technology[LDVs,freight,battery electric vehicle] : test</t>
  </si>
  <si>
    <t>Percent Vehicle Sales by Vehicle Technology[LDVs,freight,natural gas vehicle] : test</t>
  </si>
  <si>
    <t>Percent Vehicle Sales by Vehicle Technology[LDVs,freight,gasoline vehicle] : test</t>
  </si>
  <si>
    <t>Percent Vehicle Sales by Vehicle Technology[LDVs,freight,diesel vehicle] : test</t>
  </si>
  <si>
    <t>Percent Vehicle Sales by Vehicle Technology[LDVs,freight,plugin hybrid vehicle] : test</t>
  </si>
  <si>
    <t>Percent Vehicle Sales by Vehicle Technology[LDVs,freight,LPG vehicle] : test</t>
  </si>
  <si>
    <t>Percent Vehicle Sales by Vehicle Technology[LDVs,freight,hydrogen vehicle] : test</t>
  </si>
  <si>
    <t>Percent Vehicle Sales by Vehicle Technology[HDVs,passenger,battery electric vehicle] : test</t>
  </si>
  <si>
    <t>Percent Vehicle Sales by Vehicle Technology[HDVs,passenger,natural gas vehicle] : test</t>
  </si>
  <si>
    <t>Percent Vehicle Sales by Vehicle Technology[HDVs,passenger,gasoline vehicle] : test</t>
  </si>
  <si>
    <t>Percent Vehicle Sales by Vehicle Technology[HDVs,passenger,diesel vehicle] : test</t>
  </si>
  <si>
    <t>Percent Vehicle Sales by Vehicle Technology[HDVs,passenger,plugin hybrid vehicle] : test</t>
  </si>
  <si>
    <t>Percent Vehicle Sales by Vehicle Technology[HDVs,passenger,LPG vehicle] : test</t>
  </si>
  <si>
    <t>Percent Vehicle Sales by Vehicle Technology[HDVs,passenger,hydrogen vehicle] : test</t>
  </si>
  <si>
    <t>Percent Vehicle Sales by Vehicle Technology[HDVs,freight,battery electric vehicle] : test</t>
  </si>
  <si>
    <t>Percent Vehicle Sales by Vehicle Technology[HDVs,freight,natural gas vehicle] : test</t>
  </si>
  <si>
    <t>Percent Vehicle Sales by Vehicle Technology[HDVs,freight,gasoline vehicle] : test</t>
  </si>
  <si>
    <t>Percent Vehicle Sales by Vehicle Technology[HDVs,freight,diesel vehicle] : test</t>
  </si>
  <si>
    <t>Percent Vehicle Sales by Vehicle Technology[HDVs,freight,plugin hybrid vehicle] : test</t>
  </si>
  <si>
    <t>Percent Vehicle Sales by Vehicle Technology[HDVs,freight,LPG vehicle] : test</t>
  </si>
  <si>
    <t>Percent Vehicle Sales by Vehicle Technology[HDVs,freight,hydrogen vehicle] : test</t>
  </si>
  <si>
    <t>Percent Vehicle Sales by Vehicle Technology[aircraft,passenger,battery electric vehicle] : test</t>
  </si>
  <si>
    <t>Percent Vehicle Sales by Vehicle Technology[aircraft,passenger,natural gas vehicle] : test</t>
  </si>
  <si>
    <t>Percent Vehicle Sales by Vehicle Technology[aircraft,passenger,gasoline vehicle] : test</t>
  </si>
  <si>
    <t>Percent Vehicle Sales by Vehicle Technology[aircraft,passenger,diesel vehicle] : test</t>
  </si>
  <si>
    <t>Percent Vehicle Sales by Vehicle Technology[aircraft,passenger,plugin hybrid vehicle] : test</t>
  </si>
  <si>
    <t>Percent Vehicle Sales by Vehicle Technology[aircraft,passenger,LPG vehicle] : test</t>
  </si>
  <si>
    <t>Percent Vehicle Sales by Vehicle Technology[aircraft,passenger,hydrogen vehicle] : test</t>
  </si>
  <si>
    <t>Percent Vehicle Sales by Vehicle Technology[aircraft,freight,battery electric vehicle] : test</t>
  </si>
  <si>
    <t>Percent Vehicle Sales by Vehicle Technology[aircraft,freight,natural gas vehicle] : test</t>
  </si>
  <si>
    <t>Percent Vehicle Sales by Vehicle Technology[aircraft,freight,gasoline vehicle] : test</t>
  </si>
  <si>
    <t>Percent Vehicle Sales by Vehicle Technology[aircraft,freight,diesel vehicle] : test</t>
  </si>
  <si>
    <t>Percent Vehicle Sales by Vehicle Technology[aircraft,freight,plugin hybrid vehicle] : test</t>
  </si>
  <si>
    <t>Percent Vehicle Sales by Vehicle Technology[aircraft,freight,LPG vehicle] : test</t>
  </si>
  <si>
    <t>Percent Vehicle Sales by Vehicle Technology[aircraft,freight,hydrogen vehicle] : test</t>
  </si>
  <si>
    <t>Percent Vehicle Sales by Vehicle Technology[rail,passenger,battery electric vehicle] : test</t>
  </si>
  <si>
    <t>Percent Vehicle Sales by Vehicle Technology[rail,passenger,natural gas vehicle] : test</t>
  </si>
  <si>
    <t>Percent Vehicle Sales by Vehicle Technology[rail,passenger,gasoline vehicle] : test</t>
  </si>
  <si>
    <t>Percent Vehicle Sales by Vehicle Technology[rail,passenger,diesel vehicle] : test</t>
  </si>
  <si>
    <t>Percent Vehicle Sales by Vehicle Technology[rail,passenger,plugin hybrid vehicle] : test</t>
  </si>
  <si>
    <t>Percent Vehicle Sales by Vehicle Technology[rail,passenger,LPG vehicle] : test</t>
  </si>
  <si>
    <t>Percent Vehicle Sales by Vehicle Technology[rail,passenger,hydrogen vehicle] : test</t>
  </si>
  <si>
    <t>Percent Vehicle Sales by Vehicle Technology[rail,freight,battery electric vehicle] : test</t>
  </si>
  <si>
    <t>Percent Vehicle Sales by Vehicle Technology[rail,freight,natural gas vehicle] : test</t>
  </si>
  <si>
    <t>Percent Vehicle Sales by Vehicle Technology[rail,freight,gasoline vehicle] : test</t>
  </si>
  <si>
    <t>Percent Vehicle Sales by Vehicle Technology[rail,freight,diesel vehicle] : test</t>
  </si>
  <si>
    <t>Percent Vehicle Sales by Vehicle Technology[rail,freight,plugin hybrid vehicle] : test</t>
  </si>
  <si>
    <t>Percent Vehicle Sales by Vehicle Technology[rail,freight,LPG vehicle] : test</t>
  </si>
  <si>
    <t>Percent Vehicle Sales by Vehicle Technology[rail,freight,hydrogen vehicle] : test</t>
  </si>
  <si>
    <t>Percent Vehicle Sales by Vehicle Technology[ships,passenger,battery electric vehicle] : test</t>
  </si>
  <si>
    <t>Percent Vehicle Sales by Vehicle Technology[ships,passenger,natural gas vehicle] : test</t>
  </si>
  <si>
    <t>Percent Vehicle Sales by Vehicle Technology[ships,passenger,gasoline vehicle] : test</t>
  </si>
  <si>
    <t>Percent Vehicle Sales by Vehicle Technology[ships,passenger,diesel vehicle] : test</t>
  </si>
  <si>
    <t>Percent Vehicle Sales by Vehicle Technology[ships,passenger,plugin hybrid vehicle] : test</t>
  </si>
  <si>
    <t>Percent Vehicle Sales by Vehicle Technology[ships,passenger,LPG vehicle] : test</t>
  </si>
  <si>
    <t>Percent Vehicle Sales by Vehicle Technology[ships,passenger,hydrogen vehicle] : test</t>
  </si>
  <si>
    <t>Percent Vehicle Sales by Vehicle Technology[ships,freight,battery electric vehicle] : test</t>
  </si>
  <si>
    <t>Percent Vehicle Sales by Vehicle Technology[ships,freight,natural gas vehicle] : test</t>
  </si>
  <si>
    <t>Percent Vehicle Sales by Vehicle Technology[ships,freight,gasoline vehicle] : test</t>
  </si>
  <si>
    <t>Percent Vehicle Sales by Vehicle Technology[ships,freight,diesel vehicle] : test</t>
  </si>
  <si>
    <t>Percent Vehicle Sales by Vehicle Technology[ships,freight,plugin hybrid vehicle] : test</t>
  </si>
  <si>
    <t>Percent Vehicle Sales by Vehicle Technology[ships,freight,LPG vehicle] : test</t>
  </si>
  <si>
    <t>Percent Vehicle Sales by Vehicle Technology[ships,freight,hydrogen vehicle] : test</t>
  </si>
  <si>
    <t>Percent Vehicle Sales by Vehicle Technology[motorbikes,passenger,battery electric vehicle] : test</t>
  </si>
  <si>
    <t>Percent Vehicle Sales by Vehicle Technology[motorbikes,passenger,natural gas vehicle] : test</t>
  </si>
  <si>
    <t>Percent Vehicle Sales by Vehicle Technology[motorbikes,passenger,gasoline vehicle] : test</t>
  </si>
  <si>
    <t>Percent Vehicle Sales by Vehicle Technology[motorbikes,passenger,diesel vehicle] : test</t>
  </si>
  <si>
    <t>Percent Vehicle Sales by Vehicle Technology[motorbikes,passenger,plugin hybrid vehicle] : test</t>
  </si>
  <si>
    <t>Percent Vehicle Sales by Vehicle Technology[motorbikes,passenger,LPG vehicle] : test</t>
  </si>
  <si>
    <t>Percent Vehicle Sales by Vehicle Technology[motorbikes,passenger,hydrogen vehicle] : test</t>
  </si>
  <si>
    <t>Percent Vehicle Sales by Vehicle Technology[motorbikes,freight,battery electric vehicle] : test</t>
  </si>
  <si>
    <t>Percent Vehicle Sales by Vehicle Technology[motorbikes,freight,natural gas vehicle] : test</t>
  </si>
  <si>
    <t>Percent Vehicle Sales by Vehicle Technology[motorbikes,freight,gasoline vehicle] : test</t>
  </si>
  <si>
    <t>Percent Vehicle Sales by Vehicle Technology[motorbikes,freight,diesel vehicle] : test</t>
  </si>
  <si>
    <t>Percent Vehicle Sales by Vehicle Technology[motorbikes,freight,plugin hybrid vehicle] : test</t>
  </si>
  <si>
    <t>Percent Vehicle Sales by Vehicle Technology[motorbikes,freight,LPG vehicle] : test</t>
  </si>
  <si>
    <t>Percent Vehicle Sales by Vehicle Technology[motorbikes,freight,hydrogen vehicle] : test</t>
  </si>
  <si>
    <t>State Passenger LDVs</t>
  </si>
  <si>
    <t>Federal Tailpipe Standards, Light-Duty</t>
  </si>
  <si>
    <t>California Air Resources Board</t>
  </si>
  <si>
    <t>EPA</t>
  </si>
  <si>
    <t>Final Regulation Order, Section 1962.4, Title 13, California Code of Regulations</t>
  </si>
  <si>
    <t>Multi-Pollutant Emissions Standards for Model Years 2027 and Later Light-Duty and Medium-Duty Vehicles</t>
  </si>
  <si>
    <t>https://ww2.arb.ca.gov/sites/default/files/barcu/regact/2022/accii/acciifro1962.4.pdf</t>
  </si>
  <si>
    <t>https://www.epa.gov/system/files/documents/2024-03/lmdv-veh-standrds-ghg-emission-frm-2024-03.pdf</t>
  </si>
  <si>
    <t>Page 4</t>
  </si>
  <si>
    <t>Tables 75, 77, 85, and 87</t>
  </si>
  <si>
    <t>State Freight LDVs and HDVs</t>
  </si>
  <si>
    <t>Federal Tailpipe Standards, Heavy-Duty</t>
  </si>
  <si>
    <t>Final Regulation Order: Advanced Clean Trucks Regulation</t>
  </si>
  <si>
    <t>https://ww2.arb.ca.gov/sites/default/files/barcu/regact/2019/act2019/fro2.pdf</t>
  </si>
  <si>
    <t>Page 5, Table A-1</t>
  </si>
  <si>
    <t>Which States Follow ACC I Standards?</t>
  </si>
  <si>
    <t>California Air Resources Board + state regs</t>
  </si>
  <si>
    <t>2019-2022</t>
  </si>
  <si>
    <t>HD TRUCS Model</t>
  </si>
  <si>
    <t>177 States</t>
  </si>
  <si>
    <t>https://www.epa.gov/system/files/other-files/2023-04/hd-tech-trucs-tool-2023-04.xlsm</t>
  </si>
  <si>
    <t>https://ww2.arb.ca.gov/sites/default/files/2019-03/177-states.pdf</t>
  </si>
  <si>
    <t>1_Veh Prop tab</t>
  </si>
  <si>
    <t>https://ecology.wa.gov/Regulations-Permits/Laws-rules-rulemaking/Rulemaking/WAC-173-423-400</t>
  </si>
  <si>
    <t xml:space="preserve"> </t>
  </si>
  <si>
    <t>https://ndep.nv.gov/uploads/air-ccn-docs/clean_cars_nv_reg.pdf</t>
  </si>
  <si>
    <t>https://cloud.env.nm.gov/air/resources/_translator.php/NoP4Wd1EyorPC~sl~BWz~sl~H2+PXdCQEKefUZ7Ou8Vgq~sl~x2ZYzqa1zexRjaNVbxGMCgU8AVirLkjjLdev8vysjOadSflGgbBfGQtLEpGCtN+kDVh1YPy2q5u9L4gGZ4Ls+vKK.pdf</t>
  </si>
  <si>
    <t>https://lis.virginia.gov/cgi-bin/legp604.exe?212+ful+HB1965ER</t>
  </si>
  <si>
    <t>Greenhouse Gas Emissions Standards for Heavy-Duty Vehicles: Phase 3</t>
  </si>
  <si>
    <t>https://www.epa.gov/system/files/documents/2024-03/420r24006.pdf</t>
  </si>
  <si>
    <t>Which States Follow ACC II and Advanced Clean Truck Standards?</t>
  </si>
  <si>
    <t>Table 2-102</t>
  </si>
  <si>
    <t>Sierra Club</t>
  </si>
  <si>
    <t>Clean Vehicle Programs: State Tracker</t>
  </si>
  <si>
    <t>https://www.sierraclub.org/transportation/clean-vehicle-programs-state-tracker</t>
  </si>
  <si>
    <t>Last Accessed January 9, 2024</t>
  </si>
  <si>
    <t>Transportation Data</t>
  </si>
  <si>
    <t>Oak Ridge National Laboratory</t>
  </si>
  <si>
    <t>Transportation Energy Data Book: Edition 40</t>
  </si>
  <si>
    <t>https://tedb.ornl.gov/data/</t>
  </si>
  <si>
    <t>Bus Registration Data</t>
  </si>
  <si>
    <t>U.S. DOT Federal Highway Administration</t>
  </si>
  <si>
    <t>Highway Statistics 2020 - Table MV-10</t>
  </si>
  <si>
    <t>https://www.fhwa.dot.gov/policyinformation/statistics/2020/mv10.cfm</t>
  </si>
  <si>
    <t>Medium-Duty Truck Data</t>
  </si>
  <si>
    <t>Transportation Electrification Beyond Light Duty: Technology and Market Assessment</t>
  </si>
  <si>
    <t>https://info.ornl.gov/sites/publications/Files/Pub72938.pdf</t>
  </si>
  <si>
    <t>Notes</t>
  </si>
  <si>
    <t>The model will allow more ZEVs than this to be sold if economic factors would favor</t>
  </si>
  <si>
    <t>a higher level of ZEV deployment.  This variable should only contain the legislative</t>
  </si>
  <si>
    <t>required ZEV shares, not projected or expected ZEV shares based on economics,</t>
  </si>
  <si>
    <t>ZEV subsidies, or other such factors.</t>
  </si>
  <si>
    <t>Although manufacturers often begin selling new models before the calendar year begins, the</t>
  </si>
  <si>
    <t>EPS can't impose a ZEV standard for part of a year. Therefore, we assume sales year = model year.</t>
  </si>
  <si>
    <t>U.S. Data</t>
  </si>
  <si>
    <t>We use the Sierra Club Clean Vehicle tracker to select which states to apply ACCII to.</t>
  </si>
  <si>
    <t>The variable also includes CA's Advanced Clean Trucks (ACT) rule, and assumes that California</t>
  </si>
  <si>
    <t xml:space="preserve">and some other states follow the zero-emission vehicle requirement of the rule. </t>
  </si>
  <si>
    <t>The EPS represents class 2b-6 commercial vehicles as freight LDVs and class 7-8 commercial</t>
  </si>
  <si>
    <t>vehicles as freight HDVs. Within these broad categories, there are large differences in average</t>
  </si>
  <si>
    <t>VMT per vehicle, for example a subset of long-haul class 8 tractors represent the large majority</t>
  </si>
  <si>
    <t>of annual VMT and emissions for heavy trucks.</t>
  </si>
  <si>
    <t>For this reason, we weight the ZEV requirements by VMT instead of annual sales.</t>
  </si>
  <si>
    <t>We take the same VMT weighted approach above when calculating the ZEV sales due to EPA's</t>
  </si>
  <si>
    <t>medium- and heavy-duty truck rules.</t>
  </si>
  <si>
    <t>The states that follow each rule can be toggled in the 'CA Standards and Followers' tab, and</t>
  </si>
  <si>
    <t>should be updated as states pass legislation to do so.</t>
  </si>
  <si>
    <t>This variable expresses the percentage of vehicles sold at the model region level (not the subregion level) that are ZEVs</t>
  </si>
  <si>
    <t>(i.e., due to a mandate or binding target implemented in legislation).</t>
  </si>
  <si>
    <t>This variable accounts for ACCII and ACCI for states that have formally adopted these rules.</t>
  </si>
  <si>
    <t>We then calculate the binding federal requirement for all non-ACC states needed to meet the federal target.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</si>
</sst>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43" formatCode="_(* #,##0.00_);_(* \(#,##0.00\);_(* &quot;-&quot;??_);_(@_)"/>
    <numFmt numFmtId="164" formatCode="0.000"/>
    <numFmt numFmtId="165" formatCode="###0.00_)"/>
    <numFmt numFmtId="166" formatCode="#,##0_)"/>
    <numFmt numFmtId="167" formatCode="_(* #,##0_);_(* \(#,##0\);_(* &quot;-&quot;??_);_(@_)"/>
    <numFmt numFmtId="168" formatCode="0.0%"/>
    <numFmt numFmtId="169" formatCode="00"/>
  </numFmts>
  <fonts count="64">
    <font>
      <sz val="11"/>
      <color theme="1"/>
      <name val="Calibri"/>
      <family val="2"/>
      <scheme val="minor"/>
    </font>
    <font>
      <b/>
      <sz val="11"/>
      <color theme="1"/>
      <name val="Calibri"/>
      <family val="2"/>
      <scheme val="minor"/>
    </font>
    <font>
      <u/>
      <sz val="11"/>
      <color theme="10"/>
      <name val="Calibri"/>
      <family val="2"/>
      <scheme val="minor"/>
    </font>
    <font>
      <sz val="11"/>
      <color theme="1"/>
      <name val="Calibri"/>
      <family val="2"/>
      <scheme val="minor"/>
    </font>
    <font>
      <sz val="11"/>
      <color indexed="8"/>
      <name val="Calibri"/>
      <family val="2"/>
    </font>
    <font>
      <sz val="11"/>
      <color indexed="9"/>
      <name val="Calibri"/>
      <family val="2"/>
    </font>
    <font>
      <sz val="11"/>
      <color indexed="20"/>
      <name val="Calibri"/>
      <family val="2"/>
    </font>
    <font>
      <sz val="9"/>
      <color indexed="8"/>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9"/>
      <color indexed="8"/>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2"/>
      <color indexed="30"/>
      <name val="Calibri"/>
      <family val="2"/>
    </font>
    <font>
      <b/>
      <sz val="18"/>
      <color indexed="56"/>
      <name val="Cambria"/>
      <family val="2"/>
    </font>
    <font>
      <b/>
      <sz val="14"/>
      <name val="Helv"/>
    </font>
    <font>
      <b/>
      <sz val="11"/>
      <color indexed="8"/>
      <name val="Calibri"/>
      <family val="2"/>
    </font>
    <font>
      <sz val="11"/>
      <color indexed="10"/>
      <name val="Calibri"/>
      <family val="2"/>
    </font>
    <font>
      <b/>
      <sz val="11"/>
      <color rgb="FF3F3F3F"/>
      <name val="Calibri"/>
      <family val="2"/>
      <scheme val="minor"/>
    </font>
    <font>
      <i/>
      <sz val="11"/>
      <color theme="1"/>
      <name val="Calibri"/>
      <family val="2"/>
      <scheme val="minor"/>
    </font>
    <font>
      <b/>
      <i/>
      <sz val="11"/>
      <color theme="1"/>
      <name val="Calibri"/>
      <family val="2"/>
      <scheme val="minor"/>
    </font>
    <font>
      <sz val="6"/>
      <name val="Arial"/>
      <family val="2"/>
    </font>
    <font>
      <sz val="10"/>
      <color theme="1"/>
      <name val="Arial"/>
      <family val="2"/>
    </font>
    <font>
      <b/>
      <sz val="10"/>
      <name val="Arial"/>
      <family val="2"/>
    </font>
    <font>
      <b/>
      <sz val="10"/>
      <color theme="1"/>
      <name val="Arial"/>
      <family val="2"/>
    </font>
    <font>
      <i/>
      <sz val="10"/>
      <name val="Arial"/>
      <family val="2"/>
    </font>
    <font>
      <sz val="10"/>
      <color rgb="FF3F3F3F"/>
      <name val="Arial"/>
      <family val="2"/>
    </font>
    <font>
      <b/>
      <sz val="10"/>
      <color rgb="FF3F3F3F"/>
      <name val="Arial"/>
      <family val="2"/>
    </font>
    <font>
      <sz val="12"/>
      <color theme="1"/>
      <name val="Calibri"/>
      <family val="2"/>
      <scheme val="minor"/>
    </font>
    <font>
      <b/>
      <sz val="26"/>
      <color theme="1"/>
      <name val="Calibri"/>
      <family val="2"/>
      <scheme val="minor"/>
    </font>
    <font>
      <b/>
      <sz val="12"/>
      <color theme="1"/>
      <name val="Calibri"/>
      <family val="2"/>
      <scheme val="minor"/>
    </font>
    <font>
      <sz val="9"/>
      <name val="Arial"/>
      <family val="2"/>
    </font>
    <font>
      <u/>
      <sz val="9"/>
      <color theme="10"/>
      <name val="Arial"/>
      <family val="2"/>
    </font>
    <font>
      <sz val="9"/>
      <color theme="0" tint="-0.249977111117893"/>
      <name val="Arial"/>
      <family val="2"/>
    </font>
    <font>
      <sz val="9"/>
      <color theme="1"/>
      <name val="Arial"/>
      <family val="2"/>
    </font>
    <font>
      <sz val="9"/>
      <color theme="0" tint="-4.9989318521683403E-2"/>
      <name val="Arial"/>
      <family val="2"/>
    </font>
    <font>
      <b/>
      <sz val="9"/>
      <color theme="1"/>
      <name val="Arial"/>
      <family val="2"/>
    </font>
    <font>
      <b/>
      <sz val="9"/>
      <color theme="0" tint="-4.9989318521683403E-2"/>
      <name val="Arial"/>
      <family val="2"/>
    </font>
    <font>
      <b/>
      <sz val="9"/>
      <name val="Arial"/>
      <family val="2"/>
    </font>
    <font>
      <b/>
      <sz val="9"/>
      <color indexed="81"/>
      <name val="Tahoma"/>
      <family val="2"/>
    </font>
    <font>
      <sz val="9"/>
      <color indexed="81"/>
      <name val="Tahoma"/>
      <family val="2"/>
    </font>
  </fonts>
  <fills count="35">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2F2F2"/>
      </patternFill>
    </fill>
    <fill>
      <patternFill patternType="solid">
        <fgColor theme="0" tint="-0.34998626667073579"/>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8" tint="0.59999389629810485"/>
        <bgColor indexed="64"/>
      </patternFill>
    </fill>
  </fills>
  <borders count="48">
    <border>
      <left/>
      <right/>
      <top/>
      <bottom/>
      <diagonal/>
    </border>
    <border>
      <left style="thin">
        <color rgb="FFB2B2B2"/>
      </left>
      <right style="thin">
        <color rgb="FFB2B2B2"/>
      </right>
      <top style="thin">
        <color rgb="FFB2B2B2"/>
      </top>
      <bottom style="thin">
        <color rgb="FFB2B2B2"/>
      </bottom>
      <diagonal/>
    </border>
    <border>
      <left/>
      <right/>
      <top/>
      <bottom style="dashed">
        <color rgb="FFBFBFBF"/>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style="medium">
        <color rgb="FF0096D7"/>
      </top>
      <bottom/>
      <diagonal/>
    </border>
    <border>
      <left/>
      <right/>
      <top/>
      <bottom style="thick">
        <color rgb="FF0096D7"/>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thin">
        <color rgb="FFBFBFBF"/>
      </bottom>
      <diagonal/>
    </border>
    <border>
      <left/>
      <right/>
      <top/>
      <bottom style="hair">
        <color indexed="8"/>
      </bottom>
      <diagonal/>
    </border>
    <border>
      <left/>
      <right/>
      <top style="thin">
        <color indexed="62"/>
      </top>
      <bottom style="double">
        <color indexed="62"/>
      </bottom>
      <diagonal/>
    </border>
    <border>
      <left style="thin">
        <color auto="1"/>
      </left>
      <right/>
      <top/>
      <bottom/>
      <diagonal/>
    </border>
    <border>
      <left style="thin">
        <color rgb="FF3F3F3F"/>
      </left>
      <right style="thin">
        <color rgb="FF3F3F3F"/>
      </right>
      <top style="thin">
        <color rgb="FF3F3F3F"/>
      </top>
      <bottom style="thin">
        <color rgb="FF3F3F3F"/>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64"/>
      </left>
      <right style="thin">
        <color indexed="8"/>
      </right>
      <top/>
      <bottom/>
      <diagonal/>
    </border>
    <border>
      <left style="thin">
        <color indexed="8"/>
      </left>
      <right style="thin">
        <color indexed="8"/>
      </right>
      <top style="thin">
        <color indexed="8"/>
      </top>
      <bottom/>
      <diagonal/>
    </border>
    <border>
      <left style="thin">
        <color indexed="8"/>
      </left>
      <right style="thin">
        <color indexed="8"/>
      </right>
      <top/>
      <bottom/>
      <diagonal/>
    </border>
    <border>
      <left style="thin">
        <color indexed="64"/>
      </left>
      <right style="thin">
        <color indexed="8"/>
      </right>
      <top/>
      <bottom style="thin">
        <color indexed="8"/>
      </bottom>
      <diagonal/>
    </border>
    <border>
      <left style="thin">
        <color indexed="8"/>
      </left>
      <right style="thin">
        <color indexed="8"/>
      </right>
      <top/>
      <bottom style="thin">
        <color indexed="8"/>
      </bottom>
      <diagonal/>
    </border>
    <border>
      <left style="thin">
        <color indexed="64"/>
      </left>
      <right style="thin">
        <color indexed="8"/>
      </right>
      <top/>
      <bottom style="thin">
        <color indexed="64"/>
      </bottom>
      <diagonal/>
    </border>
    <border>
      <left style="thin">
        <color indexed="8"/>
      </left>
      <right style="thin">
        <color indexed="8"/>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bottom/>
      <diagonal/>
    </border>
    <border>
      <left/>
      <right/>
      <top style="medium">
        <color indexed="64"/>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169">
    <xf numFmtId="0" fontId="0" fillId="0" borderId="0"/>
    <xf numFmtId="0" fontId="2" fillId="0" borderId="0" applyNumberFormat="0" applyFill="0" applyBorder="0" applyAlignment="0" applyProtection="0"/>
    <xf numFmtId="0" fontId="4" fillId="5" borderId="0" applyNumberFormat="0" applyBorder="0" applyAlignment="0" applyProtection="0"/>
    <xf numFmtId="0" fontId="4" fillId="6" borderId="0" applyNumberFormat="0" applyBorder="0" applyAlignment="0" applyProtection="0"/>
    <xf numFmtId="0" fontId="4" fillId="7" borderId="0" applyNumberFormat="0" applyBorder="0" applyAlignment="0" applyProtection="0"/>
    <xf numFmtId="0" fontId="4" fillId="8" borderId="0" applyNumberFormat="0" applyBorder="0" applyAlignment="0" applyProtection="0"/>
    <xf numFmtId="0" fontId="4" fillId="9" borderId="0" applyNumberFormat="0" applyBorder="0" applyAlignment="0" applyProtection="0"/>
    <xf numFmtId="0" fontId="4" fillId="10" borderId="0" applyNumberFormat="0" applyBorder="0" applyAlignment="0" applyProtection="0"/>
    <xf numFmtId="0" fontId="4" fillId="11" borderId="0" applyNumberFormat="0" applyBorder="0" applyAlignment="0" applyProtection="0"/>
    <xf numFmtId="0" fontId="4" fillId="12" borderId="0" applyNumberFormat="0" applyBorder="0" applyAlignment="0" applyProtection="0"/>
    <xf numFmtId="0" fontId="4" fillId="13" borderId="0" applyNumberFormat="0" applyBorder="0" applyAlignment="0" applyProtection="0"/>
    <xf numFmtId="0" fontId="4" fillId="8" borderId="0" applyNumberFormat="0" applyBorder="0" applyAlignment="0" applyProtection="0"/>
    <xf numFmtId="0" fontId="4" fillId="11" borderId="0" applyNumberFormat="0" applyBorder="0" applyAlignment="0" applyProtection="0"/>
    <xf numFmtId="0" fontId="4" fillId="14" borderId="0" applyNumberFormat="0" applyBorder="0" applyAlignment="0" applyProtection="0"/>
    <xf numFmtId="0" fontId="5" fillId="15" borderId="0" applyNumberFormat="0" applyBorder="0" applyAlignment="0" applyProtection="0"/>
    <xf numFmtId="0" fontId="5" fillId="12" borderId="0" applyNumberFormat="0" applyBorder="0" applyAlignment="0" applyProtection="0"/>
    <xf numFmtId="0" fontId="5" fillId="13" borderId="0" applyNumberFormat="0" applyBorder="0" applyAlignment="0" applyProtection="0"/>
    <xf numFmtId="0" fontId="5" fillId="16" borderId="0" applyNumberFormat="0" applyBorder="0" applyAlignment="0" applyProtection="0"/>
    <xf numFmtId="0" fontId="5" fillId="17" borderId="0" applyNumberFormat="0" applyBorder="0" applyAlignment="0" applyProtection="0"/>
    <xf numFmtId="0" fontId="5" fillId="18"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1" borderId="0" applyNumberFormat="0" applyBorder="0" applyAlignment="0" applyProtection="0"/>
    <xf numFmtId="0" fontId="5" fillId="16" borderId="0" applyNumberFormat="0" applyBorder="0" applyAlignment="0" applyProtection="0"/>
    <xf numFmtId="0" fontId="5" fillId="17" borderId="0" applyNumberFormat="0" applyBorder="0" applyAlignment="0" applyProtection="0"/>
    <xf numFmtId="0" fontId="5" fillId="22" borderId="0" applyNumberFormat="0" applyBorder="0" applyAlignment="0" applyProtection="0"/>
    <xf numFmtId="0" fontId="6" fillId="6" borderId="0" applyNumberFormat="0" applyBorder="0" applyAlignment="0" applyProtection="0"/>
    <xf numFmtId="0" fontId="7" fillId="0" borderId="2" applyNumberFormat="0" applyFont="0" applyProtection="0">
      <alignment wrapText="1"/>
    </xf>
    <xf numFmtId="0" fontId="7" fillId="0" borderId="2" applyNumberFormat="0" applyFont="0" applyProtection="0">
      <alignment wrapText="1"/>
    </xf>
    <xf numFmtId="0" fontId="8" fillId="23" borderId="3" applyNumberFormat="0" applyAlignment="0" applyProtection="0"/>
    <xf numFmtId="0" fontId="9" fillId="24" borderId="4" applyNumberFormat="0" applyAlignment="0" applyProtection="0"/>
    <xf numFmtId="0" fontId="10" fillId="0" borderId="0">
      <alignment horizontal="center" vertical="center" wrapText="1"/>
    </xf>
    <xf numFmtId="43" fontId="11" fillId="0" borderId="0" applyFont="0" applyFill="0" applyBorder="0" applyAlignment="0" applyProtection="0"/>
    <xf numFmtId="43" fontId="3" fillId="0" borderId="0" applyFont="0" applyFill="0" applyBorder="0" applyAlignment="0" applyProtection="0"/>
    <xf numFmtId="43" fontId="4" fillId="0" borderId="0" applyFont="0" applyFill="0" applyBorder="0" applyAlignment="0" applyProtection="0"/>
    <xf numFmtId="43" fontId="11"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0" fontId="12" fillId="0" borderId="0">
      <alignment horizontal="left" vertical="center" wrapText="1"/>
    </xf>
    <xf numFmtId="44" fontId="3" fillId="0" borderId="0" applyFont="0" applyFill="0" applyBorder="0" applyAlignment="0" applyProtection="0"/>
    <xf numFmtId="44" fontId="3" fillId="0" borderId="0" applyFont="0" applyFill="0" applyBorder="0" applyAlignment="0" applyProtection="0"/>
    <xf numFmtId="44" fontId="11" fillId="0" borderId="0" applyFont="0" applyFill="0" applyBorder="0" applyAlignment="0" applyProtection="0"/>
    <xf numFmtId="165" fontId="13" fillId="0" borderId="5" applyNumberFormat="0" applyFill="0">
      <alignment horizontal="right"/>
    </xf>
    <xf numFmtId="165" fontId="14" fillId="0" borderId="5" applyNumberFormat="0" applyFill="0">
      <alignment horizontal="right"/>
    </xf>
    <xf numFmtId="166" fontId="15" fillId="0" borderId="5">
      <alignment horizontal="right" vertical="center"/>
    </xf>
    <xf numFmtId="49" fontId="16" fillId="0" borderId="5">
      <alignment horizontal="left" vertical="center"/>
    </xf>
    <xf numFmtId="165" fontId="13" fillId="0" borderId="5" applyNumberFormat="0" applyFill="0">
      <alignment horizontal="right"/>
    </xf>
    <xf numFmtId="0" fontId="1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6" applyNumberFormat="0" applyProtection="0">
      <alignment wrapText="1"/>
    </xf>
    <xf numFmtId="0" fontId="7" fillId="0" borderId="6" applyNumberFormat="0" applyProtection="0">
      <alignment wrapText="1"/>
    </xf>
    <xf numFmtId="0" fontId="18" fillId="7" borderId="0" applyNumberFormat="0" applyBorder="0" applyAlignment="0" applyProtection="0"/>
    <xf numFmtId="0" fontId="19" fillId="0" borderId="7" applyNumberFormat="0" applyProtection="0">
      <alignment wrapText="1"/>
    </xf>
    <xf numFmtId="0" fontId="19" fillId="0" borderId="7" applyNumberFormat="0" applyProtection="0">
      <alignment wrapText="1"/>
    </xf>
    <xf numFmtId="0" fontId="20" fillId="0" borderId="8" applyNumberFormat="0" applyFill="0" applyAlignment="0" applyProtection="0"/>
    <xf numFmtId="0" fontId="21" fillId="0" borderId="9" applyNumberFormat="0" applyFill="0" applyAlignment="0" applyProtection="0"/>
    <xf numFmtId="0" fontId="22" fillId="0" borderId="10" applyNumberFormat="0" applyFill="0" applyAlignment="0" applyProtection="0"/>
    <xf numFmtId="0" fontId="22" fillId="0" borderId="0" applyNumberFormat="0" applyFill="0" applyBorder="0" applyAlignment="0" applyProtection="0"/>
    <xf numFmtId="0" fontId="23" fillId="0" borderId="5">
      <alignment horizontal="left"/>
    </xf>
    <xf numFmtId="0" fontId="24" fillId="0" borderId="5">
      <alignment horizontal="left"/>
    </xf>
    <xf numFmtId="0" fontId="25" fillId="0" borderId="11">
      <alignment horizontal="right" vertical="center"/>
    </xf>
    <xf numFmtId="0" fontId="26" fillId="0" borderId="5">
      <alignment horizontal="left" vertical="center"/>
    </xf>
    <xf numFmtId="0" fontId="13" fillId="0" borderId="5">
      <alignment horizontal="left" vertical="center"/>
    </xf>
    <xf numFmtId="0" fontId="23" fillId="0" borderId="5">
      <alignment horizontal="left"/>
    </xf>
    <xf numFmtId="0" fontId="23" fillId="25" borderId="0">
      <alignment horizontal="centerContinuous" wrapText="1"/>
    </xf>
    <xf numFmtId="49" fontId="23" fillId="25" borderId="12">
      <alignment horizontal="left" vertical="center"/>
    </xf>
    <xf numFmtId="0" fontId="23" fillId="25" borderId="0">
      <alignment horizontal="centerContinuous" vertical="center" wrapText="1"/>
    </xf>
    <xf numFmtId="0" fontId="27" fillId="0" borderId="0" applyNumberFormat="0" applyFill="0" applyBorder="0" applyAlignment="0" applyProtection="0">
      <alignment vertical="top"/>
      <protection locked="0"/>
    </xf>
    <xf numFmtId="0" fontId="28" fillId="10" borderId="3" applyNumberFormat="0" applyAlignment="0" applyProtection="0"/>
    <xf numFmtId="0" fontId="29" fillId="0" borderId="13" applyNumberFormat="0" applyFill="0" applyAlignment="0" applyProtection="0"/>
    <xf numFmtId="0" fontId="30" fillId="26" borderId="0" applyNumberFormat="0" applyBorder="0" applyAlignment="0" applyProtection="0"/>
    <xf numFmtId="0" fontId="3" fillId="0" borderId="0"/>
    <xf numFmtId="0" fontId="3" fillId="0" borderId="0"/>
    <xf numFmtId="0" fontId="7" fillId="0" borderId="0"/>
    <xf numFmtId="0" fontId="11" fillId="0" borderId="0"/>
    <xf numFmtId="0" fontId="31" fillId="0" borderId="0"/>
    <xf numFmtId="0" fontId="11" fillId="0" borderId="0"/>
    <xf numFmtId="0" fontId="11"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1"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1" fillId="0" borderId="0"/>
    <xf numFmtId="0" fontId="11" fillId="0" borderId="0"/>
    <xf numFmtId="0" fontId="3" fillId="0" borderId="0"/>
    <xf numFmtId="0" fontId="3" fillId="0" borderId="0"/>
    <xf numFmtId="0" fontId="3" fillId="0" borderId="0"/>
    <xf numFmtId="0" fontId="11" fillId="0" borderId="0"/>
    <xf numFmtId="0" fontId="3" fillId="4" borderId="1" applyNumberFormat="0" applyFont="0" applyAlignment="0" applyProtection="0"/>
    <xf numFmtId="0" fontId="11" fillId="27" borderId="14" applyNumberFormat="0" applyFont="0" applyAlignment="0" applyProtection="0"/>
    <xf numFmtId="0" fontId="32" fillId="23" borderId="15" applyNumberFormat="0" applyAlignment="0" applyProtection="0"/>
    <xf numFmtId="0" fontId="19" fillId="0" borderId="16" applyNumberFormat="0" applyProtection="0">
      <alignment wrapText="1"/>
    </xf>
    <xf numFmtId="0" fontId="19" fillId="0" borderId="16" applyNumberFormat="0" applyProtection="0">
      <alignment wrapText="1"/>
    </xf>
    <xf numFmtId="9" fontId="3" fillId="0" borderId="0" applyFont="0" applyFill="0" applyBorder="0" applyAlignment="0" applyProtection="0"/>
    <xf numFmtId="9" fontId="3" fillId="0" borderId="0" applyFont="0" applyFill="0" applyBorder="0" applyAlignment="0" applyProtection="0"/>
    <xf numFmtId="9" fontId="11" fillId="0" borderId="0" applyFont="0" applyFill="0" applyBorder="0" applyAlignment="0" applyProtection="0"/>
    <xf numFmtId="9" fontId="11" fillId="0" borderId="0" applyFont="0" applyFill="0" applyBorder="0" applyAlignment="0" applyProtection="0"/>
    <xf numFmtId="9" fontId="3" fillId="0" borderId="0" applyFont="0" applyFill="0" applyBorder="0" applyAlignment="0" applyProtection="0"/>
    <xf numFmtId="3" fontId="15" fillId="0" borderId="0">
      <alignment horizontal="left" vertical="center"/>
    </xf>
    <xf numFmtId="0" fontId="10" fillId="0" borderId="0">
      <alignment horizontal="left" vertical="center"/>
    </xf>
    <xf numFmtId="0" fontId="33" fillId="0" borderId="0">
      <alignment horizontal="right"/>
    </xf>
    <xf numFmtId="49" fontId="33" fillId="0" borderId="0">
      <alignment horizontal="center"/>
    </xf>
    <xf numFmtId="0" fontId="16" fillId="0" borderId="0">
      <alignment horizontal="right"/>
    </xf>
    <xf numFmtId="0" fontId="34" fillId="0" borderId="0">
      <alignment horizontal="right"/>
    </xf>
    <xf numFmtId="0" fontId="33" fillId="0" borderId="0">
      <alignment horizontal="left"/>
    </xf>
    <xf numFmtId="0" fontId="35" fillId="0" borderId="0">
      <alignment horizontal="left"/>
    </xf>
    <xf numFmtId="49" fontId="15" fillId="0" borderId="0">
      <alignment horizontal="left" vertical="center"/>
    </xf>
    <xf numFmtId="49" fontId="16" fillId="0" borderId="5">
      <alignment horizontal="left"/>
    </xf>
    <xf numFmtId="165" fontId="15" fillId="0" borderId="0" applyNumberFormat="0">
      <alignment horizontal="right"/>
    </xf>
    <xf numFmtId="0" fontId="25" fillId="28" borderId="0">
      <alignment horizontal="centerContinuous" vertical="center" wrapText="1"/>
    </xf>
    <xf numFmtId="0" fontId="25" fillId="0" borderId="17">
      <alignment horizontal="left" vertical="center"/>
    </xf>
    <xf numFmtId="0" fontId="36" fillId="0" borderId="0" applyNumberFormat="0" applyProtection="0">
      <alignment horizontal="left"/>
    </xf>
    <xf numFmtId="0" fontId="36" fillId="0" borderId="0" applyNumberFormat="0" applyProtection="0">
      <alignment horizontal="left"/>
    </xf>
    <xf numFmtId="0" fontId="37" fillId="0" borderId="0" applyNumberFormat="0" applyFill="0" applyBorder="0" applyAlignment="0" applyProtection="0"/>
    <xf numFmtId="0" fontId="23" fillId="0" borderId="0">
      <alignment horizontal="left"/>
    </xf>
    <xf numFmtId="0" fontId="12" fillId="0" borderId="0">
      <alignment horizontal="left"/>
    </xf>
    <xf numFmtId="0" fontId="13" fillId="0" borderId="0">
      <alignment horizontal="left"/>
    </xf>
    <xf numFmtId="0" fontId="38" fillId="0" borderId="0">
      <alignment horizontal="left" vertical="top"/>
    </xf>
    <xf numFmtId="0" fontId="12" fillId="0" borderId="0">
      <alignment horizontal="left"/>
    </xf>
    <xf numFmtId="0" fontId="13" fillId="0" borderId="0">
      <alignment horizontal="left"/>
    </xf>
    <xf numFmtId="0" fontId="39" fillId="0" borderId="18" applyNumberFormat="0" applyFill="0" applyAlignment="0" applyProtection="0"/>
    <xf numFmtId="0" fontId="40" fillId="0" borderId="0" applyNumberFormat="0" applyFill="0" applyBorder="0" applyAlignment="0" applyProtection="0"/>
    <xf numFmtId="49" fontId="15" fillId="0" borderId="5">
      <alignment horizontal="left"/>
    </xf>
    <xf numFmtId="0" fontId="25" fillId="0" borderId="11">
      <alignment horizontal="left"/>
    </xf>
    <xf numFmtId="0" fontId="23" fillId="0" borderId="0">
      <alignment horizontal="left" vertical="center"/>
    </xf>
    <xf numFmtId="49" fontId="33" fillId="0" borderId="5">
      <alignment horizontal="left"/>
    </xf>
    <xf numFmtId="43" fontId="3" fillId="0" borderId="0" applyFont="0" applyFill="0" applyBorder="0" applyAlignment="0" applyProtection="0"/>
    <xf numFmtId="9" fontId="3" fillId="0" borderId="0" applyFont="0" applyFill="0" applyBorder="0" applyAlignment="0" applyProtection="0"/>
    <xf numFmtId="43" fontId="11" fillId="0" borderId="0"/>
    <xf numFmtId="0" fontId="41" fillId="29" borderId="20" applyNumberFormat="0" applyAlignment="0" applyProtection="0"/>
    <xf numFmtId="0" fontId="7" fillId="0" borderId="0"/>
    <xf numFmtId="0" fontId="7" fillId="0" borderId="0"/>
    <xf numFmtId="0" fontId="19" fillId="0" borderId="7">
      <alignment wrapText="1"/>
    </xf>
    <xf numFmtId="0" fontId="7" fillId="0" borderId="0"/>
    <xf numFmtId="0" fontId="36" fillId="0" borderId="0">
      <alignment horizontal="left"/>
    </xf>
    <xf numFmtId="0" fontId="19" fillId="0" borderId="16">
      <alignment wrapText="1"/>
    </xf>
    <xf numFmtId="0" fontId="7" fillId="0" borderId="2">
      <alignment wrapText="1"/>
    </xf>
    <xf numFmtId="0" fontId="7" fillId="0" borderId="6">
      <alignment wrapText="1"/>
    </xf>
    <xf numFmtId="0" fontId="45" fillId="0" borderId="0"/>
    <xf numFmtId="0" fontId="3" fillId="0" borderId="0"/>
    <xf numFmtId="0" fontId="51" fillId="0" borderId="0"/>
  </cellStyleXfs>
  <cellXfs count="213">
    <xf numFmtId="0" fontId="0" fillId="0" borderId="0" xfId="0"/>
    <xf numFmtId="0" fontId="1" fillId="0" borderId="0" xfId="0" applyFont="1"/>
    <xf numFmtId="0" fontId="0" fillId="0" borderId="0" xfId="0" applyAlignment="1">
      <alignment horizontal="left"/>
    </xf>
    <xf numFmtId="0" fontId="2" fillId="0" borderId="0" xfId="1"/>
    <xf numFmtId="0" fontId="1" fillId="2" borderId="0" xfId="0" applyFont="1" applyFill="1"/>
    <xf numFmtId="1" fontId="0" fillId="0" borderId="0" xfId="0" applyNumberFormat="1"/>
    <xf numFmtId="2" fontId="0" fillId="0" borderId="0" xfId="0" applyNumberFormat="1"/>
    <xf numFmtId="164" fontId="0" fillId="0" borderId="0" xfId="0" applyNumberFormat="1"/>
    <xf numFmtId="0" fontId="0" fillId="0" borderId="0" xfId="0" applyAlignment="1">
      <alignment wrapText="1"/>
    </xf>
    <xf numFmtId="0" fontId="1" fillId="0" borderId="0" xfId="0" applyFont="1" applyAlignment="1">
      <alignment wrapText="1"/>
    </xf>
    <xf numFmtId="9" fontId="0" fillId="0" borderId="0" xfId="155" applyFont="1"/>
    <xf numFmtId="0" fontId="42" fillId="0" borderId="21" xfId="0" applyFont="1" applyBorder="1"/>
    <xf numFmtId="0" fontId="0" fillId="0" borderId="22" xfId="0" applyBorder="1"/>
    <xf numFmtId="0" fontId="0" fillId="0" borderId="23" xfId="0" applyBorder="1"/>
    <xf numFmtId="0" fontId="42" fillId="0" borderId="19" xfId="0" applyFont="1" applyBorder="1"/>
    <xf numFmtId="0" fontId="0" fillId="0" borderId="24" xfId="0" applyBorder="1"/>
    <xf numFmtId="0" fontId="42" fillId="0" borderId="25" xfId="0" applyFont="1" applyBorder="1"/>
    <xf numFmtId="0" fontId="0" fillId="0" borderId="12" xfId="0" applyBorder="1"/>
    <xf numFmtId="0" fontId="0" fillId="0" borderId="26" xfId="0" applyBorder="1"/>
    <xf numFmtId="0" fontId="1" fillId="0" borderId="21" xfId="0" applyFont="1" applyBorder="1"/>
    <xf numFmtId="0" fontId="0" fillId="0" borderId="19" xfId="0" applyBorder="1"/>
    <xf numFmtId="0" fontId="0" fillId="0" borderId="25" xfId="0" applyBorder="1"/>
    <xf numFmtId="0" fontId="1" fillId="0" borderId="22" xfId="0" applyFont="1" applyBorder="1"/>
    <xf numFmtId="9" fontId="0" fillId="0" borderId="0" xfId="155" applyFont="1" applyBorder="1" applyAlignment="1"/>
    <xf numFmtId="9" fontId="0" fillId="0" borderId="0" xfId="0" applyNumberFormat="1"/>
    <xf numFmtId="9" fontId="0" fillId="0" borderId="24" xfId="0" applyNumberFormat="1" applyBorder="1"/>
    <xf numFmtId="9" fontId="0" fillId="0" borderId="0" xfId="155" applyFont="1" applyBorder="1"/>
    <xf numFmtId="9" fontId="0" fillId="0" borderId="12" xfId="155" applyFont="1" applyBorder="1" applyAlignment="1"/>
    <xf numFmtId="9" fontId="0" fillId="0" borderId="12" xfId="155" applyFont="1" applyBorder="1"/>
    <xf numFmtId="9" fontId="0" fillId="0" borderId="12" xfId="0" applyNumberFormat="1" applyBorder="1"/>
    <xf numFmtId="9" fontId="0" fillId="0" borderId="26" xfId="0" applyNumberFormat="1" applyBorder="1"/>
    <xf numFmtId="0" fontId="1" fillId="0" borderId="23" xfId="0" applyFont="1" applyBorder="1"/>
    <xf numFmtId="0" fontId="1" fillId="0" borderId="19" xfId="0" applyFont="1" applyBorder="1"/>
    <xf numFmtId="0" fontId="44" fillId="0" borderId="30" xfId="0" applyFont="1" applyBorder="1" applyAlignment="1">
      <alignment horizontal="center"/>
    </xf>
    <xf numFmtId="0" fontId="44" fillId="0" borderId="31" xfId="0" applyFont="1" applyBorder="1" applyAlignment="1">
      <alignment horizontal="center"/>
    </xf>
    <xf numFmtId="0" fontId="44" fillId="0" borderId="32" xfId="0" applyFont="1" applyBorder="1" applyAlignment="1">
      <alignment horizontal="center"/>
    </xf>
    <xf numFmtId="0" fontId="44" fillId="0" borderId="33" xfId="0" applyFont="1" applyBorder="1"/>
    <xf numFmtId="0" fontId="44" fillId="0" borderId="34" xfId="0" applyFont="1" applyBorder="1"/>
    <xf numFmtId="3" fontId="44" fillId="0" borderId="35" xfId="155" applyNumberFormat="1" applyFont="1" applyFill="1" applyBorder="1" applyProtection="1"/>
    <xf numFmtId="3" fontId="44" fillId="0" borderId="36" xfId="155" applyNumberFormat="1" applyFont="1" applyFill="1" applyBorder="1" applyProtection="1"/>
    <xf numFmtId="1" fontId="1" fillId="0" borderId="0" xfId="0" applyNumberFormat="1" applyFont="1"/>
    <xf numFmtId="0" fontId="1" fillId="3" borderId="0" xfId="0" applyFont="1" applyFill="1"/>
    <xf numFmtId="0" fontId="42" fillId="0" borderId="0" xfId="0" applyFont="1" applyAlignment="1">
      <alignment horizontal="right" wrapText="1"/>
    </xf>
    <xf numFmtId="0" fontId="1" fillId="0" borderId="37" xfId="0" applyFont="1" applyBorder="1" applyAlignment="1">
      <alignment horizontal="center" wrapText="1"/>
    </xf>
    <xf numFmtId="0" fontId="0" fillId="0" borderId="38" xfId="0" applyBorder="1"/>
    <xf numFmtId="0" fontId="0" fillId="0" borderId="39" xfId="0" applyBorder="1"/>
    <xf numFmtId="164" fontId="1" fillId="0" borderId="39" xfId="0" applyNumberFormat="1" applyFont="1" applyBorder="1"/>
    <xf numFmtId="0" fontId="1" fillId="0" borderId="24" xfId="0" applyFont="1" applyBorder="1"/>
    <xf numFmtId="0" fontId="1" fillId="0" borderId="39" xfId="0" applyFont="1" applyBorder="1"/>
    <xf numFmtId="1" fontId="0" fillId="0" borderId="39" xfId="0" applyNumberFormat="1" applyBorder="1"/>
    <xf numFmtId="0" fontId="0" fillId="3" borderId="0" xfId="0" applyFill="1"/>
    <xf numFmtId="1" fontId="0" fillId="0" borderId="25" xfId="0" applyNumberFormat="1" applyBorder="1"/>
    <xf numFmtId="0" fontId="1" fillId="30" borderId="0" xfId="0" applyFont="1" applyFill="1"/>
    <xf numFmtId="0" fontId="0" fillId="30" borderId="0" xfId="0" applyFill="1"/>
    <xf numFmtId="11" fontId="0" fillId="0" borderId="0" xfId="0" applyNumberFormat="1"/>
    <xf numFmtId="9" fontId="0" fillId="0" borderId="0" xfId="155" applyFont="1" applyFill="1"/>
    <xf numFmtId="9" fontId="3" fillId="0" borderId="0" xfId="155" applyFont="1" applyFill="1"/>
    <xf numFmtId="11" fontId="0" fillId="0" borderId="0" xfId="155" applyNumberFormat="1" applyFont="1" applyFill="1"/>
    <xf numFmtId="0" fontId="0" fillId="0" borderId="0" xfId="155" applyNumberFormat="1" applyFont="1" applyFill="1"/>
    <xf numFmtId="0" fontId="46" fillId="31" borderId="0" xfId="0" applyFont="1" applyFill="1"/>
    <xf numFmtId="0" fontId="11" fillId="31" borderId="0" xfId="0" applyFont="1" applyFill="1"/>
    <xf numFmtId="0" fontId="45" fillId="0" borderId="0" xfId="0" applyFont="1"/>
    <xf numFmtId="0" fontId="47" fillId="0" borderId="0" xfId="0" applyFont="1"/>
    <xf numFmtId="0" fontId="11" fillId="0" borderId="0" xfId="0" applyFont="1"/>
    <xf numFmtId="0" fontId="11" fillId="32" borderId="0" xfId="0" applyFont="1" applyFill="1"/>
    <xf numFmtId="0" fontId="1" fillId="0" borderId="0" xfId="167" applyFont="1"/>
    <xf numFmtId="0" fontId="1" fillId="0" borderId="0" xfId="167" applyFont="1" applyAlignment="1">
      <alignment horizontal="center"/>
    </xf>
    <xf numFmtId="0" fontId="11" fillId="0" borderId="0" xfId="0" applyFont="1" applyAlignment="1">
      <alignment horizontal="left" indent="3"/>
    </xf>
    <xf numFmtId="0" fontId="42" fillId="0" borderId="0" xfId="0" applyFont="1"/>
    <xf numFmtId="0" fontId="0" fillId="0" borderId="0" xfId="0" applyAlignment="1">
      <alignment horizontal="right"/>
    </xf>
    <xf numFmtId="0" fontId="45" fillId="0" borderId="12" xfId="0" applyFont="1" applyBorder="1"/>
    <xf numFmtId="0" fontId="47" fillId="0" borderId="12" xfId="0" applyFont="1" applyBorder="1"/>
    <xf numFmtId="3" fontId="11" fillId="0" borderId="0" xfId="0" applyNumberFormat="1" applyFont="1"/>
    <xf numFmtId="3" fontId="48" fillId="0" borderId="0" xfId="0" applyNumberFormat="1" applyFont="1"/>
    <xf numFmtId="0" fontId="49" fillId="32" borderId="20" xfId="157" applyFont="1" applyFill="1"/>
    <xf numFmtId="3" fontId="50" fillId="32" borderId="20" xfId="157" applyNumberFormat="1" applyFont="1" applyFill="1"/>
    <xf numFmtId="0" fontId="51" fillId="0" borderId="0" xfId="168"/>
    <xf numFmtId="0" fontId="52" fillId="0" borderId="0" xfId="168" applyFont="1" applyAlignment="1">
      <alignment horizontal="left"/>
    </xf>
    <xf numFmtId="0" fontId="3" fillId="0" borderId="0" xfId="167"/>
    <xf numFmtId="0" fontId="53" fillId="0" borderId="0" xfId="168" applyFont="1"/>
    <xf numFmtId="1" fontId="51" fillId="0" borderId="0" xfId="168" applyNumberFormat="1"/>
    <xf numFmtId="11" fontId="51" fillId="0" borderId="0" xfId="168" applyNumberFormat="1"/>
    <xf numFmtId="168" fontId="51" fillId="0" borderId="0" xfId="155" applyNumberFormat="1" applyFont="1"/>
    <xf numFmtId="0" fontId="53" fillId="0" borderId="12" xfId="0" applyFont="1" applyBorder="1"/>
    <xf numFmtId="0" fontId="51" fillId="0" borderId="12" xfId="0" applyFont="1" applyBorder="1"/>
    <xf numFmtId="0" fontId="0" fillId="0" borderId="39" xfId="0" applyBorder="1" applyAlignment="1">
      <alignment horizontal="centerContinuous"/>
    </xf>
    <xf numFmtId="0" fontId="0" fillId="0" borderId="0" xfId="0" applyAlignment="1">
      <alignment horizontal="centerContinuous"/>
    </xf>
    <xf numFmtId="0" fontId="0" fillId="0" borderId="24" xfId="0" applyBorder="1" applyAlignment="1">
      <alignment horizontal="centerContinuous"/>
    </xf>
    <xf numFmtId="0" fontId="54" fillId="0" borderId="0" xfId="0" applyFont="1" applyAlignment="1">
      <alignment horizontal="center"/>
    </xf>
    <xf numFmtId="0" fontId="55" fillId="0" borderId="0" xfId="1" applyFont="1" applyFill="1" applyAlignment="1">
      <alignment horizontal="left" vertical="center" wrapText="1"/>
    </xf>
    <xf numFmtId="0" fontId="56" fillId="0" borderId="0" xfId="0" applyFont="1"/>
    <xf numFmtId="0" fontId="56" fillId="0" borderId="0" xfId="0" applyFont="1" applyAlignment="1">
      <alignment horizontal="center"/>
    </xf>
    <xf numFmtId="0" fontId="56" fillId="0" borderId="0" xfId="0" applyFont="1" applyAlignment="1">
      <alignment horizontal="center" vertical="center"/>
    </xf>
    <xf numFmtId="0" fontId="56" fillId="0" borderId="0" xfId="0" applyFont="1" applyAlignment="1">
      <alignment horizontal="left" vertical="center"/>
    </xf>
    <xf numFmtId="0" fontId="56" fillId="0" borderId="0" xfId="0" applyFont="1" applyAlignment="1">
      <alignment wrapText="1"/>
    </xf>
    <xf numFmtId="0" fontId="56" fillId="0" borderId="0" xfId="0" applyFont="1" applyAlignment="1">
      <alignment horizontal="center" wrapText="1"/>
    </xf>
    <xf numFmtId="167" fontId="56" fillId="0" borderId="0" xfId="154" applyNumberFormat="1" applyFont="1" applyFill="1" applyBorder="1" applyAlignment="1">
      <alignment horizontal="center"/>
    </xf>
    <xf numFmtId="0" fontId="57" fillId="0" borderId="0" xfId="0" applyFont="1"/>
    <xf numFmtId="9" fontId="56" fillId="0" borderId="0" xfId="0" applyNumberFormat="1" applyFont="1" applyAlignment="1">
      <alignment horizontal="center"/>
    </xf>
    <xf numFmtId="0" fontId="58" fillId="0" borderId="0" xfId="0" applyFont="1" applyAlignment="1">
      <alignment horizontal="center" vertical="top"/>
    </xf>
    <xf numFmtId="0" fontId="59" fillId="0" borderId="0" xfId="0" applyFont="1" applyAlignment="1">
      <alignment horizontal="center" vertical="center"/>
    </xf>
    <xf numFmtId="0" fontId="60" fillId="0" borderId="0" xfId="0" applyFont="1" applyAlignment="1">
      <alignment vertical="center"/>
    </xf>
    <xf numFmtId="0" fontId="58" fillId="0" borderId="0" xfId="0" applyFont="1" applyAlignment="1">
      <alignment vertical="center"/>
    </xf>
    <xf numFmtId="9" fontId="58" fillId="0" borderId="0" xfId="155" applyFont="1" applyFill="1" applyBorder="1" applyAlignment="1">
      <alignment horizontal="center" vertical="center"/>
    </xf>
    <xf numFmtId="9" fontId="57" fillId="0" borderId="0" xfId="155" applyFont="1" applyFill="1" applyBorder="1"/>
    <xf numFmtId="0" fontId="59" fillId="0" borderId="0" xfId="0" applyFont="1" applyAlignment="1">
      <alignment vertical="center"/>
    </xf>
    <xf numFmtId="0" fontId="57" fillId="0" borderId="0" xfId="0" applyFont="1" applyAlignment="1">
      <alignment horizontal="left" vertical="top"/>
    </xf>
    <xf numFmtId="0" fontId="61" fillId="3" borderId="40" xfId="0" applyFont="1" applyFill="1" applyBorder="1" applyAlignment="1">
      <alignment horizontal="center" vertical="center" wrapText="1"/>
    </xf>
    <xf numFmtId="0" fontId="61" fillId="3" borderId="0" xfId="0" applyFont="1" applyFill="1" applyAlignment="1">
      <alignment horizontal="center" vertical="center" wrapText="1"/>
    </xf>
    <xf numFmtId="0" fontId="61" fillId="0" borderId="0" xfId="0" applyFont="1" applyAlignment="1">
      <alignment horizontal="center" vertical="center" wrapText="1"/>
    </xf>
    <xf numFmtId="0" fontId="61" fillId="0" borderId="41" xfId="0" applyFont="1" applyBorder="1" applyAlignment="1">
      <alignment horizontal="center" vertical="center" wrapText="1"/>
    </xf>
    <xf numFmtId="0" fontId="61" fillId="0" borderId="40" xfId="0" applyFont="1" applyBorder="1" applyAlignment="1">
      <alignment horizontal="center" vertical="center" wrapText="1"/>
    </xf>
    <xf numFmtId="167" fontId="61" fillId="0" borderId="40" xfId="154" applyNumberFormat="1" applyFont="1" applyFill="1" applyBorder="1" applyAlignment="1">
      <alignment horizontal="center" vertical="center" wrapText="1"/>
    </xf>
    <xf numFmtId="9" fontId="61" fillId="0" borderId="42" xfId="0" applyNumberFormat="1" applyFont="1" applyBorder="1" applyAlignment="1">
      <alignment horizontal="center" vertical="center" wrapText="1"/>
    </xf>
    <xf numFmtId="0" fontId="61" fillId="0" borderId="42" xfId="0" applyFont="1" applyBorder="1" applyAlignment="1">
      <alignment horizontal="center" vertical="center" wrapText="1"/>
    </xf>
    <xf numFmtId="9" fontId="61" fillId="0" borderId="0" xfId="155" applyFont="1" applyFill="1" applyBorder="1" applyAlignment="1">
      <alignment horizontal="center" vertical="center" wrapText="1"/>
    </xf>
    <xf numFmtId="0" fontId="56" fillId="0" borderId="43" xfId="0" applyFont="1" applyBorder="1"/>
    <xf numFmtId="9" fontId="56" fillId="0" borderId="44" xfId="0" applyNumberFormat="1" applyFont="1" applyBorder="1" applyAlignment="1">
      <alignment horizontal="center"/>
    </xf>
    <xf numFmtId="0" fontId="59" fillId="0" borderId="43" xfId="0" applyFont="1" applyBorder="1" applyAlignment="1">
      <alignment vertical="center"/>
    </xf>
    <xf numFmtId="0" fontId="57" fillId="0" borderId="0" xfId="0" applyFont="1" applyAlignment="1">
      <alignment horizontal="center" vertical="center"/>
    </xf>
    <xf numFmtId="0" fontId="59" fillId="0" borderId="44" xfId="0" applyFont="1" applyBorder="1" applyAlignment="1">
      <alignment horizontal="center" vertical="center"/>
    </xf>
    <xf numFmtId="0" fontId="59" fillId="0" borderId="43" xfId="0" applyFont="1" applyBorder="1" applyAlignment="1">
      <alignment horizontal="center" vertical="center"/>
    </xf>
    <xf numFmtId="0" fontId="61" fillId="0" borderId="0" xfId="0" applyFont="1" applyAlignment="1">
      <alignment horizontal="center" vertical="center"/>
    </xf>
    <xf numFmtId="0" fontId="61" fillId="0" borderId="45" xfId="0" applyFont="1" applyBorder="1" applyAlignment="1">
      <alignment horizontal="center" vertical="center"/>
    </xf>
    <xf numFmtId="0" fontId="61" fillId="0" borderId="46" xfId="0" applyFont="1" applyBorder="1" applyAlignment="1">
      <alignment horizontal="center" vertical="center"/>
    </xf>
    <xf numFmtId="0" fontId="61" fillId="0" borderId="46" xfId="0" applyFont="1" applyBorder="1" applyAlignment="1">
      <alignment horizontal="center" vertical="center" wrapText="1"/>
    </xf>
    <xf numFmtId="167" fontId="61" fillId="0" borderId="46" xfId="154" applyNumberFormat="1" applyFont="1" applyFill="1" applyBorder="1" applyAlignment="1">
      <alignment horizontal="center" vertical="center"/>
    </xf>
    <xf numFmtId="9" fontId="61" fillId="0" borderId="47" xfId="0" applyNumberFormat="1" applyFont="1" applyBorder="1" applyAlignment="1">
      <alignment horizontal="center" vertical="center"/>
    </xf>
    <xf numFmtId="0" fontId="61" fillId="0" borderId="47" xfId="0" applyFont="1" applyBorder="1" applyAlignment="1">
      <alignment horizontal="center" vertical="center"/>
    </xf>
    <xf numFmtId="9" fontId="61" fillId="0" borderId="0" xfId="155" applyFont="1" applyFill="1" applyBorder="1" applyAlignment="1">
      <alignment horizontal="center" vertical="center"/>
    </xf>
    <xf numFmtId="0" fontId="57" fillId="0" borderId="0" xfId="0" applyFont="1" applyAlignment="1">
      <alignment horizontal="center" vertical="top"/>
    </xf>
    <xf numFmtId="0" fontId="57" fillId="0" borderId="43" xfId="0" applyFont="1" applyBorder="1" applyAlignment="1">
      <alignment vertical="top"/>
    </xf>
    <xf numFmtId="0" fontId="57" fillId="0" borderId="0" xfId="0" applyFont="1" applyAlignment="1">
      <alignment vertical="top"/>
    </xf>
    <xf numFmtId="0" fontId="57" fillId="0" borderId="0" xfId="0" applyFont="1" applyAlignment="1">
      <alignment horizontal="center" vertical="top" wrapText="1"/>
    </xf>
    <xf numFmtId="167" fontId="57" fillId="0" borderId="0" xfId="154" applyNumberFormat="1" applyFont="1" applyFill="1" applyBorder="1" applyAlignment="1">
      <alignment horizontal="center" vertical="top" wrapText="1"/>
    </xf>
    <xf numFmtId="0" fontId="57" fillId="0" borderId="44" xfId="0" applyFont="1" applyBorder="1" applyAlignment="1">
      <alignment horizontal="center" vertical="top" wrapText="1"/>
    </xf>
    <xf numFmtId="0" fontId="57" fillId="0" borderId="43" xfId="0" applyFont="1" applyBorder="1" applyAlignment="1">
      <alignment horizontal="center" vertical="top" wrapText="1"/>
    </xf>
    <xf numFmtId="0" fontId="59" fillId="0" borderId="0" xfId="0" applyFont="1" applyAlignment="1">
      <alignment horizontal="center" vertical="top" wrapText="1"/>
    </xf>
    <xf numFmtId="0" fontId="59" fillId="0" borderId="44" xfId="0" applyFont="1" applyBorder="1" applyAlignment="1">
      <alignment horizontal="center" vertical="top" wrapText="1"/>
    </xf>
    <xf numFmtId="0" fontId="58" fillId="0" borderId="0" xfId="0" applyFont="1" applyAlignment="1">
      <alignment horizontal="center" vertical="top" wrapText="1"/>
    </xf>
    <xf numFmtId="0" fontId="60" fillId="0" borderId="0" xfId="0" applyFont="1" applyAlignment="1">
      <alignment horizontal="center" vertical="top" wrapText="1"/>
    </xf>
    <xf numFmtId="10" fontId="0" fillId="0" borderId="0" xfId="155" applyNumberFormat="1" applyFont="1"/>
    <xf numFmtId="0" fontId="0" fillId="0" borderId="0" xfId="155" applyNumberFormat="1" applyFont="1"/>
    <xf numFmtId="169" fontId="57" fillId="0" borderId="0" xfId="0" applyNumberFormat="1" applyFont="1" applyAlignment="1">
      <alignment horizontal="center"/>
    </xf>
    <xf numFmtId="0" fontId="57" fillId="0" borderId="43" xfId="0" applyFont="1" applyBorder="1"/>
    <xf numFmtId="0" fontId="57" fillId="0" borderId="0" xfId="0" applyFont="1" applyAlignment="1">
      <alignment horizontal="center"/>
    </xf>
    <xf numFmtId="1" fontId="57" fillId="0" borderId="0" xfId="0" applyNumberFormat="1" applyFont="1" applyAlignment="1">
      <alignment horizontal="center"/>
    </xf>
    <xf numFmtId="16" fontId="57" fillId="0" borderId="0" xfId="0" quotePrefix="1" applyNumberFormat="1" applyFont="1" applyAlignment="1">
      <alignment horizontal="center" vertical="center"/>
    </xf>
    <xf numFmtId="16" fontId="57" fillId="0" borderId="0" xfId="0" quotePrefix="1" applyNumberFormat="1" applyFont="1" applyAlignment="1">
      <alignment horizontal="left" vertical="center"/>
    </xf>
    <xf numFmtId="167" fontId="57" fillId="0" borderId="0" xfId="154" applyNumberFormat="1" applyFont="1" applyFill="1" applyBorder="1"/>
    <xf numFmtId="0" fontId="57" fillId="0" borderId="0" xfId="0" applyFont="1" applyAlignment="1">
      <alignment wrapText="1"/>
    </xf>
    <xf numFmtId="1" fontId="57" fillId="0" borderId="0" xfId="0" applyNumberFormat="1" applyFont="1" applyAlignment="1">
      <alignment horizontal="center" wrapText="1"/>
    </xf>
    <xf numFmtId="0" fontId="57" fillId="0" borderId="0" xfId="0" applyFont="1" applyAlignment="1">
      <alignment horizontal="center" wrapText="1"/>
    </xf>
    <xf numFmtId="167" fontId="57" fillId="0" borderId="0" xfId="154" applyNumberFormat="1" applyFont="1" applyFill="1" applyBorder="1" applyAlignment="1">
      <alignment horizontal="center"/>
    </xf>
    <xf numFmtId="1" fontId="57" fillId="0" borderId="0" xfId="155" applyNumberFormat="1" applyFont="1" applyFill="1" applyBorder="1"/>
    <xf numFmtId="10" fontId="57" fillId="0" borderId="0" xfId="155" applyNumberFormat="1" applyFont="1" applyFill="1" applyBorder="1"/>
    <xf numFmtId="1" fontId="57" fillId="0" borderId="44" xfId="0" applyNumberFormat="1" applyFont="1" applyBorder="1" applyAlignment="1">
      <alignment horizontal="center"/>
    </xf>
    <xf numFmtId="2" fontId="57" fillId="0" borderId="43" xfId="0" applyNumberFormat="1" applyFont="1" applyBorder="1" applyAlignment="1">
      <alignment horizontal="center"/>
    </xf>
    <xf numFmtId="2" fontId="57" fillId="0" borderId="0" xfId="0" applyNumberFormat="1" applyFont="1" applyAlignment="1">
      <alignment horizontal="center"/>
    </xf>
    <xf numFmtId="2" fontId="57" fillId="0" borderId="44" xfId="0" applyNumberFormat="1" applyFont="1" applyBorder="1" applyAlignment="1">
      <alignment horizontal="center"/>
    </xf>
    <xf numFmtId="1" fontId="57" fillId="0" borderId="43" xfId="0" applyNumberFormat="1" applyFont="1" applyBorder="1" applyAlignment="1">
      <alignment horizontal="center"/>
    </xf>
    <xf numFmtId="2" fontId="58" fillId="0" borderId="0" xfId="0" applyNumberFormat="1" applyFont="1" applyAlignment="1">
      <alignment horizontal="center"/>
    </xf>
    <xf numFmtId="1" fontId="58" fillId="0" borderId="0" xfId="0" applyNumberFormat="1" applyFont="1" applyAlignment="1">
      <alignment horizontal="center"/>
    </xf>
    <xf numFmtId="168" fontId="57" fillId="0" borderId="0" xfId="155" applyNumberFormat="1" applyFont="1" applyFill="1" applyBorder="1" applyAlignment="1">
      <alignment horizontal="center"/>
    </xf>
    <xf numFmtId="16" fontId="57" fillId="0" borderId="0" xfId="0" applyNumberFormat="1" applyFont="1" applyAlignment="1">
      <alignment horizontal="center" vertical="center"/>
    </xf>
    <xf numFmtId="16" fontId="57" fillId="0" borderId="0" xfId="0" applyNumberFormat="1" applyFont="1" applyAlignment="1">
      <alignment horizontal="left" vertical="center"/>
    </xf>
    <xf numFmtId="0" fontId="57" fillId="0" borderId="0" xfId="0" quotePrefix="1" applyFont="1" applyAlignment="1">
      <alignment horizontal="center" vertical="center"/>
    </xf>
    <xf numFmtId="0" fontId="57" fillId="0" borderId="0" xfId="0" applyFont="1" applyAlignment="1">
      <alignment horizontal="left" vertical="center"/>
    </xf>
    <xf numFmtId="1" fontId="57" fillId="0" borderId="0" xfId="0" applyNumberFormat="1" applyFont="1"/>
    <xf numFmtId="0" fontId="57" fillId="0" borderId="0" xfId="0" applyFont="1" applyAlignment="1">
      <alignment vertical="center"/>
    </xf>
    <xf numFmtId="0" fontId="57" fillId="0" borderId="45" xfId="0" applyFont="1" applyBorder="1"/>
    <xf numFmtId="0" fontId="57" fillId="0" borderId="46" xfId="0" applyFont="1" applyBorder="1"/>
    <xf numFmtId="0" fontId="57" fillId="0" borderId="46" xfId="0" applyFont="1" applyBorder="1" applyAlignment="1">
      <alignment horizontal="center"/>
    </xf>
    <xf numFmtId="1" fontId="57" fillId="0" borderId="46" xfId="0" applyNumberFormat="1" applyFont="1" applyBorder="1" applyAlignment="1">
      <alignment horizontal="center"/>
    </xf>
    <xf numFmtId="0" fontId="57" fillId="0" borderId="46" xfId="0" quotePrefix="1" applyFont="1" applyBorder="1" applyAlignment="1">
      <alignment horizontal="center" vertical="center"/>
    </xf>
    <xf numFmtId="0" fontId="57" fillId="0" borderId="46" xfId="0" applyFont="1" applyBorder="1" applyAlignment="1">
      <alignment horizontal="left" vertical="center"/>
    </xf>
    <xf numFmtId="167" fontId="57" fillId="0" borderId="46" xfId="154" applyNumberFormat="1" applyFont="1" applyFill="1" applyBorder="1"/>
    <xf numFmtId="0" fontId="57" fillId="0" borderId="46" xfId="0" applyFont="1" applyBorder="1" applyAlignment="1">
      <alignment wrapText="1"/>
    </xf>
    <xf numFmtId="1" fontId="57" fillId="0" borderId="46" xfId="0" applyNumberFormat="1" applyFont="1" applyBorder="1" applyAlignment="1">
      <alignment horizontal="center" wrapText="1"/>
    </xf>
    <xf numFmtId="0" fontId="57" fillId="0" borderId="46" xfId="0" applyFont="1" applyBorder="1" applyAlignment="1">
      <alignment horizontal="center" wrapText="1"/>
    </xf>
    <xf numFmtId="167" fontId="57" fillId="0" borderId="46" xfId="154" applyNumberFormat="1" applyFont="1" applyFill="1" applyBorder="1" applyAlignment="1">
      <alignment horizontal="center"/>
    </xf>
    <xf numFmtId="1" fontId="57" fillId="0" borderId="46" xfId="155" applyNumberFormat="1" applyFont="1" applyFill="1" applyBorder="1"/>
    <xf numFmtId="10" fontId="57" fillId="0" borderId="46" xfId="155" applyNumberFormat="1" applyFont="1" applyFill="1" applyBorder="1"/>
    <xf numFmtId="1" fontId="57" fillId="0" borderId="47" xfId="0" applyNumberFormat="1" applyFont="1" applyBorder="1" applyAlignment="1">
      <alignment horizontal="center"/>
    </xf>
    <xf numFmtId="2" fontId="57" fillId="0" borderId="45" xfId="0" applyNumberFormat="1" applyFont="1" applyBorder="1" applyAlignment="1">
      <alignment horizontal="center"/>
    </xf>
    <xf numFmtId="2" fontId="57" fillId="0" borderId="46" xfId="0" applyNumberFormat="1" applyFont="1" applyBorder="1" applyAlignment="1">
      <alignment horizontal="center"/>
    </xf>
    <xf numFmtId="2" fontId="57" fillId="0" borderId="47" xfId="0" applyNumberFormat="1" applyFont="1" applyBorder="1" applyAlignment="1">
      <alignment horizontal="center"/>
    </xf>
    <xf numFmtId="1" fontId="57" fillId="0" borderId="45" xfId="0" applyNumberFormat="1" applyFont="1" applyBorder="1" applyAlignment="1">
      <alignment horizontal="center"/>
    </xf>
    <xf numFmtId="0" fontId="58" fillId="0" borderId="0" xfId="0" applyFont="1" applyAlignment="1">
      <alignment horizontal="center" vertical="center"/>
    </xf>
    <xf numFmtId="0" fontId="58" fillId="0" borderId="0" xfId="0" applyFont="1" applyAlignment="1">
      <alignment horizontal="center"/>
    </xf>
    <xf numFmtId="10" fontId="0" fillId="0" borderId="0" xfId="0" applyNumberFormat="1"/>
    <xf numFmtId="10" fontId="57" fillId="0" borderId="0" xfId="0" applyNumberFormat="1" applyFont="1"/>
    <xf numFmtId="9" fontId="57" fillId="0" borderId="0" xfId="155" applyFont="1" applyAlignment="1">
      <alignment horizontal="center"/>
    </xf>
    <xf numFmtId="9" fontId="42" fillId="0" borderId="0" xfId="155" applyFont="1"/>
    <xf numFmtId="168" fontId="0" fillId="0" borderId="0" xfId="0" applyNumberFormat="1"/>
    <xf numFmtId="168" fontId="0" fillId="0" borderId="0" xfId="155" applyNumberFormat="1" applyFont="1"/>
    <xf numFmtId="2" fontId="0" fillId="0" borderId="0" xfId="155" applyNumberFormat="1" applyFont="1"/>
    <xf numFmtId="9" fontId="0" fillId="33" borderId="0" xfId="155" applyFont="1" applyFill="1"/>
    <xf numFmtId="168" fontId="0" fillId="33" borderId="0" xfId="0" applyNumberFormat="1" applyFill="1"/>
    <xf numFmtId="11" fontId="0" fillId="0" borderId="0" xfId="155" applyNumberFormat="1" applyFont="1"/>
    <xf numFmtId="0" fontId="1" fillId="34" borderId="0" xfId="0" applyFont="1" applyFill="1"/>
    <xf numFmtId="0" fontId="0" fillId="34" borderId="0" xfId="0" applyFill="1"/>
    <xf numFmtId="0" fontId="1" fillId="0" borderId="0" xfId="0" applyFont="1" applyAlignment="1">
      <alignment horizontal="right"/>
    </xf>
    <xf numFmtId="0" fontId="44" fillId="0" borderId="27" xfId="0" applyFont="1" applyBorder="1" applyAlignment="1">
      <alignment horizontal="center"/>
    </xf>
    <xf numFmtId="0" fontId="44" fillId="0" borderId="28" xfId="0" applyFont="1" applyBorder="1" applyAlignment="1">
      <alignment horizontal="center"/>
    </xf>
    <xf numFmtId="0" fontId="44" fillId="0" borderId="29" xfId="0" applyFont="1" applyBorder="1" applyAlignment="1">
      <alignment horizontal="center"/>
    </xf>
    <xf numFmtId="0" fontId="1" fillId="0" borderId="21" xfId="0" applyFont="1" applyBorder="1" applyAlignment="1">
      <alignment horizontal="center"/>
    </xf>
    <xf numFmtId="0" fontId="1" fillId="0" borderId="22" xfId="0" applyFont="1" applyBorder="1" applyAlignment="1">
      <alignment horizontal="center"/>
    </xf>
    <xf numFmtId="0" fontId="1" fillId="0" borderId="23" xfId="0" applyFont="1" applyBorder="1" applyAlignment="1">
      <alignment horizontal="center"/>
    </xf>
    <xf numFmtId="0" fontId="1" fillId="0" borderId="21" xfId="0" applyFont="1" applyBorder="1" applyAlignment="1">
      <alignment horizontal="center" wrapText="1"/>
    </xf>
    <xf numFmtId="0" fontId="1" fillId="0" borderId="22" xfId="0" applyFont="1" applyBorder="1" applyAlignment="1">
      <alignment horizontal="center" wrapText="1"/>
    </xf>
    <xf numFmtId="0" fontId="1" fillId="0" borderId="23" xfId="0" applyFont="1" applyBorder="1" applyAlignment="1">
      <alignment horizontal="center" wrapText="1"/>
    </xf>
    <xf numFmtId="0" fontId="0" fillId="0" borderId="0" xfId="0" applyAlignment="1">
      <alignment horizontal="center"/>
    </xf>
  </cellXfs>
  <cellStyles count="169">
    <cellStyle name="20% - Accent1 2" xfId="2" xr:uid="{00000000-0005-0000-0000-000000000000}"/>
    <cellStyle name="20% - Accent2 2" xfId="3" xr:uid="{00000000-0005-0000-0000-000001000000}"/>
    <cellStyle name="20% - Accent3 2" xfId="4" xr:uid="{00000000-0005-0000-0000-000002000000}"/>
    <cellStyle name="20% - Accent4 2" xfId="5" xr:uid="{00000000-0005-0000-0000-000003000000}"/>
    <cellStyle name="20% - Accent5 2" xfId="6" xr:uid="{00000000-0005-0000-0000-000004000000}"/>
    <cellStyle name="20% - Accent6 2" xfId="7" xr:uid="{00000000-0005-0000-0000-000005000000}"/>
    <cellStyle name="40% - Accent1 2" xfId="8" xr:uid="{00000000-0005-0000-0000-000006000000}"/>
    <cellStyle name="40% - Accent2 2" xfId="9" xr:uid="{00000000-0005-0000-0000-000007000000}"/>
    <cellStyle name="40% - Accent3 2" xfId="10" xr:uid="{00000000-0005-0000-0000-000008000000}"/>
    <cellStyle name="40% - Accent4 2" xfId="11" xr:uid="{00000000-0005-0000-0000-000009000000}"/>
    <cellStyle name="40% - Accent5 2" xfId="12" xr:uid="{00000000-0005-0000-0000-00000A000000}"/>
    <cellStyle name="40% - Accent6 2" xfId="13" xr:uid="{00000000-0005-0000-0000-00000B000000}"/>
    <cellStyle name="60% - Accent1 2" xfId="14" xr:uid="{00000000-0005-0000-0000-00000C000000}"/>
    <cellStyle name="60% - Accent2 2" xfId="15" xr:uid="{00000000-0005-0000-0000-00000D000000}"/>
    <cellStyle name="60% - Accent3 2" xfId="16" xr:uid="{00000000-0005-0000-0000-00000E000000}"/>
    <cellStyle name="60% - Accent4 2" xfId="17" xr:uid="{00000000-0005-0000-0000-00000F000000}"/>
    <cellStyle name="60% - Accent5 2" xfId="18" xr:uid="{00000000-0005-0000-0000-000010000000}"/>
    <cellStyle name="60% - Accent6 2" xfId="19" xr:uid="{00000000-0005-0000-0000-000011000000}"/>
    <cellStyle name="Accent1 2" xfId="20" xr:uid="{00000000-0005-0000-0000-000012000000}"/>
    <cellStyle name="Accent2 2" xfId="21" xr:uid="{00000000-0005-0000-0000-000013000000}"/>
    <cellStyle name="Accent3 2" xfId="22" xr:uid="{00000000-0005-0000-0000-000014000000}"/>
    <cellStyle name="Accent4 2" xfId="23" xr:uid="{00000000-0005-0000-0000-000015000000}"/>
    <cellStyle name="Accent5 2" xfId="24" xr:uid="{00000000-0005-0000-0000-000016000000}"/>
    <cellStyle name="Accent6 2" xfId="25" xr:uid="{00000000-0005-0000-0000-000017000000}"/>
    <cellStyle name="Bad 2" xfId="26" xr:uid="{00000000-0005-0000-0000-000018000000}"/>
    <cellStyle name="Body: normal cell" xfId="27" xr:uid="{00000000-0005-0000-0000-000019000000}"/>
    <cellStyle name="Body: normal cell 2" xfId="28" xr:uid="{00000000-0005-0000-0000-00001A000000}"/>
    <cellStyle name="Body: normal cell 3" xfId="164" xr:uid="{BD8220D3-7308-40A8-86EF-1070EC057E26}"/>
    <cellStyle name="Calculation 2" xfId="29" xr:uid="{00000000-0005-0000-0000-00001B000000}"/>
    <cellStyle name="Check Cell 2" xfId="30" xr:uid="{00000000-0005-0000-0000-00001C000000}"/>
    <cellStyle name="Column heading" xfId="31" xr:uid="{00000000-0005-0000-0000-00001D000000}"/>
    <cellStyle name="Comma" xfId="154" builtinId="3"/>
    <cellStyle name="Comma 2" xfId="32" xr:uid="{00000000-0005-0000-0000-00001E000000}"/>
    <cellStyle name="Comma 2 2" xfId="33" xr:uid="{00000000-0005-0000-0000-00001F000000}"/>
    <cellStyle name="Comma 2 3" xfId="156" xr:uid="{F51FC19E-4EAF-4071-9F29-F9F4A72863A2}"/>
    <cellStyle name="Comma 3" xfId="34" xr:uid="{00000000-0005-0000-0000-000020000000}"/>
    <cellStyle name="Comma 4" xfId="35" xr:uid="{00000000-0005-0000-0000-000021000000}"/>
    <cellStyle name="Comma 5" xfId="36" xr:uid="{00000000-0005-0000-0000-000022000000}"/>
    <cellStyle name="Comma 6" xfId="37" xr:uid="{00000000-0005-0000-0000-000023000000}"/>
    <cellStyle name="Comma 7" xfId="38" xr:uid="{00000000-0005-0000-0000-000024000000}"/>
    <cellStyle name="Comma 8" xfId="39" xr:uid="{00000000-0005-0000-0000-000025000000}"/>
    <cellStyle name="Corner heading" xfId="40" xr:uid="{00000000-0005-0000-0000-000026000000}"/>
    <cellStyle name="Currency 2" xfId="41" xr:uid="{00000000-0005-0000-0000-000027000000}"/>
    <cellStyle name="Currency 3" xfId="42" xr:uid="{00000000-0005-0000-0000-000028000000}"/>
    <cellStyle name="Currency 3 2" xfId="43" xr:uid="{00000000-0005-0000-0000-000029000000}"/>
    <cellStyle name="Data" xfId="44" xr:uid="{00000000-0005-0000-0000-00002A000000}"/>
    <cellStyle name="Data 2" xfId="45" xr:uid="{00000000-0005-0000-0000-00002B000000}"/>
    <cellStyle name="Data no deci" xfId="46" xr:uid="{00000000-0005-0000-0000-00002C000000}"/>
    <cellStyle name="Data Superscript" xfId="47" xr:uid="{00000000-0005-0000-0000-00002D000000}"/>
    <cellStyle name="Data_1-1A-Regular" xfId="48" xr:uid="{00000000-0005-0000-0000-00002E000000}"/>
    <cellStyle name="Explanatory Text 2" xfId="49" xr:uid="{00000000-0005-0000-0000-00002F000000}"/>
    <cellStyle name="Font: Calibri, 9pt regular" xfId="50" xr:uid="{00000000-0005-0000-0000-000030000000}"/>
    <cellStyle name="Font: Calibri, 9pt regular 2" xfId="51" xr:uid="{00000000-0005-0000-0000-000031000000}"/>
    <cellStyle name="Font: Calibri, 9pt regular 3" xfId="159" xr:uid="{75D153AD-1A1B-4894-B4DF-1C8F27DC84A5}"/>
    <cellStyle name="Footnotes: top row" xfId="52" xr:uid="{00000000-0005-0000-0000-000032000000}"/>
    <cellStyle name="Footnotes: top row 2" xfId="53" xr:uid="{00000000-0005-0000-0000-000033000000}"/>
    <cellStyle name="Footnotes: top row 3" xfId="165" xr:uid="{EE0409B9-1DE2-4195-91E0-9BF7C92026C8}"/>
    <cellStyle name="Good 2" xfId="54" xr:uid="{00000000-0005-0000-0000-000034000000}"/>
    <cellStyle name="Header: bottom row" xfId="55" xr:uid="{00000000-0005-0000-0000-000035000000}"/>
    <cellStyle name="Header: bottom row 2" xfId="56" xr:uid="{00000000-0005-0000-0000-000036000000}"/>
    <cellStyle name="Header: bottom row 3" xfId="160" xr:uid="{1BE7A04C-F99A-43BB-8257-9F1789CB02A3}"/>
    <cellStyle name="Heading 1 2" xfId="57" xr:uid="{00000000-0005-0000-0000-000037000000}"/>
    <cellStyle name="Heading 2 2" xfId="58" xr:uid="{00000000-0005-0000-0000-000038000000}"/>
    <cellStyle name="Heading 3 2" xfId="59" xr:uid="{00000000-0005-0000-0000-000039000000}"/>
    <cellStyle name="Heading 4 2" xfId="60" xr:uid="{00000000-0005-0000-0000-00003A000000}"/>
    <cellStyle name="Hed Side" xfId="61" xr:uid="{00000000-0005-0000-0000-00003B000000}"/>
    <cellStyle name="Hed Side 2" xfId="62" xr:uid="{00000000-0005-0000-0000-00003C000000}"/>
    <cellStyle name="Hed Side bold" xfId="63" xr:uid="{00000000-0005-0000-0000-00003D000000}"/>
    <cellStyle name="Hed Side Indent" xfId="64" xr:uid="{00000000-0005-0000-0000-00003E000000}"/>
    <cellStyle name="Hed Side Regular" xfId="65" xr:uid="{00000000-0005-0000-0000-00003F000000}"/>
    <cellStyle name="Hed Side_1-1A-Regular" xfId="66" xr:uid="{00000000-0005-0000-0000-000040000000}"/>
    <cellStyle name="Hed Top" xfId="67" xr:uid="{00000000-0005-0000-0000-000041000000}"/>
    <cellStyle name="Hed Top - SECTION" xfId="68" xr:uid="{00000000-0005-0000-0000-000042000000}"/>
    <cellStyle name="Hed Top_3-new4" xfId="69" xr:uid="{00000000-0005-0000-0000-000043000000}"/>
    <cellStyle name="Hyperlink" xfId="1" builtinId="8"/>
    <cellStyle name="Hyperlink 2" xfId="70" xr:uid="{00000000-0005-0000-0000-000045000000}"/>
    <cellStyle name="Input 2" xfId="71" xr:uid="{00000000-0005-0000-0000-000046000000}"/>
    <cellStyle name="Linked Cell 2" xfId="72" xr:uid="{00000000-0005-0000-0000-000047000000}"/>
    <cellStyle name="Neutral 2" xfId="73" xr:uid="{00000000-0005-0000-0000-000048000000}"/>
    <cellStyle name="Normal" xfId="0" builtinId="0"/>
    <cellStyle name="Normal 10" xfId="74" xr:uid="{00000000-0005-0000-0000-00004A000000}"/>
    <cellStyle name="Normal 11" xfId="75" xr:uid="{00000000-0005-0000-0000-00004B000000}"/>
    <cellStyle name="Normal 2" xfId="76" xr:uid="{00000000-0005-0000-0000-00004C000000}"/>
    <cellStyle name="Normal 2 2" xfId="77" xr:uid="{00000000-0005-0000-0000-00004D000000}"/>
    <cellStyle name="Normal 2 2 2" xfId="161" xr:uid="{4FA03537-DCFD-4BEF-9EC9-F51B1454AE86}"/>
    <cellStyle name="Normal 2 3" xfId="78" xr:uid="{00000000-0005-0000-0000-00004E000000}"/>
    <cellStyle name="Normal 2 4" xfId="166" xr:uid="{643CD30A-9AC2-49AF-9D62-DF0EE989F3C7}"/>
    <cellStyle name="Normal 3" xfId="79" xr:uid="{00000000-0005-0000-0000-00004F000000}"/>
    <cellStyle name="Normal 3 2" xfId="80" xr:uid="{00000000-0005-0000-0000-000050000000}"/>
    <cellStyle name="Normal 3 2 2" xfId="81" xr:uid="{00000000-0005-0000-0000-000051000000}"/>
    <cellStyle name="Normal 3 2 2 2" xfId="82" xr:uid="{00000000-0005-0000-0000-000052000000}"/>
    <cellStyle name="Normal 3 2 3" xfId="83" xr:uid="{00000000-0005-0000-0000-000053000000}"/>
    <cellStyle name="Normal 3 3" xfId="84" xr:uid="{00000000-0005-0000-0000-000054000000}"/>
    <cellStyle name="Normal 3 3 2" xfId="85" xr:uid="{00000000-0005-0000-0000-000055000000}"/>
    <cellStyle name="Normal 3 3 2 2" xfId="86" xr:uid="{00000000-0005-0000-0000-000056000000}"/>
    <cellStyle name="Normal 3 3 3" xfId="87" xr:uid="{00000000-0005-0000-0000-000057000000}"/>
    <cellStyle name="Normal 3 4" xfId="88" xr:uid="{00000000-0005-0000-0000-000058000000}"/>
    <cellStyle name="Normal 3 4 2" xfId="89" xr:uid="{00000000-0005-0000-0000-000059000000}"/>
    <cellStyle name="Normal 3 5" xfId="90" xr:uid="{00000000-0005-0000-0000-00005A000000}"/>
    <cellStyle name="Normal 3 6" xfId="91" xr:uid="{00000000-0005-0000-0000-00005B000000}"/>
    <cellStyle name="Normal 3 7" xfId="92" xr:uid="{00000000-0005-0000-0000-00005C000000}"/>
    <cellStyle name="Normal 4" xfId="93" xr:uid="{00000000-0005-0000-0000-00005D000000}"/>
    <cellStyle name="Normal 4 2" xfId="94" xr:uid="{00000000-0005-0000-0000-00005E000000}"/>
    <cellStyle name="Normal 4 2 2" xfId="95" xr:uid="{00000000-0005-0000-0000-00005F000000}"/>
    <cellStyle name="Normal 4 2 2 2" xfId="96" xr:uid="{00000000-0005-0000-0000-000060000000}"/>
    <cellStyle name="Normal 4 2 3" xfId="97" xr:uid="{00000000-0005-0000-0000-000061000000}"/>
    <cellStyle name="Normal 4 3" xfId="98" xr:uid="{00000000-0005-0000-0000-000062000000}"/>
    <cellStyle name="Normal 4 3 2" xfId="99" xr:uid="{00000000-0005-0000-0000-000063000000}"/>
    <cellStyle name="Normal 4 3 2 2" xfId="100" xr:uid="{00000000-0005-0000-0000-000064000000}"/>
    <cellStyle name="Normal 4 3 3" xfId="101" xr:uid="{00000000-0005-0000-0000-000065000000}"/>
    <cellStyle name="Normal 4 4" xfId="102" xr:uid="{00000000-0005-0000-0000-000066000000}"/>
    <cellStyle name="Normal 4 4 2" xfId="103" xr:uid="{00000000-0005-0000-0000-000067000000}"/>
    <cellStyle name="Normal 4 5" xfId="104" xr:uid="{00000000-0005-0000-0000-000068000000}"/>
    <cellStyle name="Normal 4 6" xfId="105" xr:uid="{00000000-0005-0000-0000-000069000000}"/>
    <cellStyle name="Normal 4 7"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6 3" xfId="167" xr:uid="{5F3CB142-6535-4C51-81A0-7CCF5F704DF2}"/>
    <cellStyle name="Normal 7" xfId="112" xr:uid="{00000000-0005-0000-0000-000070000000}"/>
    <cellStyle name="Normal 7 2" xfId="113" xr:uid="{00000000-0005-0000-0000-000071000000}"/>
    <cellStyle name="Normal 7 3" xfId="168" xr:uid="{96E73DB5-C399-4E22-9800-AE72CCFF496F}"/>
    <cellStyle name="Normal 8" xfId="114" xr:uid="{00000000-0005-0000-0000-000072000000}"/>
    <cellStyle name="Normal 8 2" xfId="158" xr:uid="{DB476EEE-3602-4B18-B1D9-AAA3716C63E6}"/>
    <cellStyle name="Normal 9" xfId="115" xr:uid="{00000000-0005-0000-0000-000073000000}"/>
    <cellStyle name="Note 2" xfId="116" xr:uid="{00000000-0005-0000-0000-000074000000}"/>
    <cellStyle name="Note 2 2" xfId="117" xr:uid="{00000000-0005-0000-0000-000075000000}"/>
    <cellStyle name="Output" xfId="157" builtinId="21"/>
    <cellStyle name="Output 2" xfId="118" xr:uid="{00000000-0005-0000-0000-000076000000}"/>
    <cellStyle name="Parent row" xfId="119" xr:uid="{00000000-0005-0000-0000-000077000000}"/>
    <cellStyle name="Parent row 2" xfId="120" xr:uid="{00000000-0005-0000-0000-000078000000}"/>
    <cellStyle name="Parent row 3" xfId="163" xr:uid="{36B06B76-252B-4C2C-871B-D9B43BF09D1D}"/>
    <cellStyle name="Percent" xfId="155" builtinId="5"/>
    <cellStyle name="Percent 2" xfId="121" xr:uid="{00000000-0005-0000-0000-000079000000}"/>
    <cellStyle name="Percent 2 2" xfId="122" xr:uid="{00000000-0005-0000-0000-00007A000000}"/>
    <cellStyle name="Percent 3" xfId="123" xr:uid="{00000000-0005-0000-0000-00007B000000}"/>
    <cellStyle name="Percent 3 2" xfId="124" xr:uid="{00000000-0005-0000-0000-00007C000000}"/>
    <cellStyle name="Percent 4" xfId="125" xr:uid="{00000000-0005-0000-0000-00007D000000}"/>
    <cellStyle name="Reference" xfId="126" xr:uid="{00000000-0005-0000-0000-00007E000000}"/>
    <cellStyle name="Row heading" xfId="127" xr:uid="{00000000-0005-0000-0000-00007F000000}"/>
    <cellStyle name="Source Hed" xfId="128" xr:uid="{00000000-0005-0000-0000-000080000000}"/>
    <cellStyle name="Source Letter" xfId="129" xr:uid="{00000000-0005-0000-0000-000081000000}"/>
    <cellStyle name="Source Superscript" xfId="130" xr:uid="{00000000-0005-0000-0000-000082000000}"/>
    <cellStyle name="Source Superscript 2" xfId="131" xr:uid="{00000000-0005-0000-0000-000083000000}"/>
    <cellStyle name="Source Text" xfId="132" xr:uid="{00000000-0005-0000-0000-000084000000}"/>
    <cellStyle name="Source Text 2" xfId="133" xr:uid="{00000000-0005-0000-0000-000085000000}"/>
    <cellStyle name="State" xfId="134" xr:uid="{00000000-0005-0000-0000-000086000000}"/>
    <cellStyle name="Superscript" xfId="135" xr:uid="{00000000-0005-0000-0000-000087000000}"/>
    <cellStyle name="Table Data" xfId="136" xr:uid="{00000000-0005-0000-0000-000088000000}"/>
    <cellStyle name="Table Head Top" xfId="137" xr:uid="{00000000-0005-0000-0000-000089000000}"/>
    <cellStyle name="Table Hed Side" xfId="138" xr:uid="{00000000-0005-0000-0000-00008A000000}"/>
    <cellStyle name="Table title" xfId="139" xr:uid="{00000000-0005-0000-0000-00008B000000}"/>
    <cellStyle name="Table title 2" xfId="140" xr:uid="{00000000-0005-0000-0000-00008C000000}"/>
    <cellStyle name="Table title 3" xfId="162" xr:uid="{982F4A70-75F5-4ABB-8B76-14B697F9C8B6}"/>
    <cellStyle name="Title 2" xfId="141" xr:uid="{00000000-0005-0000-0000-00008D000000}"/>
    <cellStyle name="Title Text" xfId="142" xr:uid="{00000000-0005-0000-0000-00008E000000}"/>
    <cellStyle name="Title Text 1" xfId="143" xr:uid="{00000000-0005-0000-0000-00008F000000}"/>
    <cellStyle name="Title Text 2" xfId="144" xr:uid="{00000000-0005-0000-0000-000090000000}"/>
    <cellStyle name="Title-1" xfId="145" xr:uid="{00000000-0005-0000-0000-000091000000}"/>
    <cellStyle name="Title-2" xfId="146" xr:uid="{00000000-0005-0000-0000-000092000000}"/>
    <cellStyle name="Title-3" xfId="147" xr:uid="{00000000-0005-0000-0000-000093000000}"/>
    <cellStyle name="Total 2" xfId="148" xr:uid="{00000000-0005-0000-0000-000094000000}"/>
    <cellStyle name="Warning Text 2" xfId="149" xr:uid="{00000000-0005-0000-0000-000095000000}"/>
    <cellStyle name="Wrap" xfId="150" xr:uid="{00000000-0005-0000-0000-000096000000}"/>
    <cellStyle name="Wrap Bold" xfId="151" xr:uid="{00000000-0005-0000-0000-000097000000}"/>
    <cellStyle name="Wrap Title" xfId="152" xr:uid="{00000000-0005-0000-0000-000098000000}"/>
    <cellStyle name="Wrap_NTS99-~11" xfId="153" xr:uid="{00000000-0005-0000-0000-000099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6</xdr:col>
      <xdr:colOff>381473</xdr:colOff>
      <xdr:row>0</xdr:row>
      <xdr:rowOff>119939</xdr:rowOff>
    </xdr:from>
    <xdr:to>
      <xdr:col>14</xdr:col>
      <xdr:colOff>504824</xdr:colOff>
      <xdr:row>12</xdr:row>
      <xdr:rowOff>63500</xdr:rowOff>
    </xdr:to>
    <xdr:pic>
      <xdr:nvPicPr>
        <xdr:cNvPr id="2" name="Picture 1">
          <a:extLst>
            <a:ext uri="{FF2B5EF4-FFF2-40B4-BE49-F238E27FC236}">
              <a16:creationId xmlns:a16="http://schemas.microsoft.com/office/drawing/2014/main" id="{8B52BCFD-C004-4C4D-AFA1-961CBDFA8707}"/>
            </a:ext>
          </a:extLst>
        </xdr:cNvPr>
        <xdr:cNvPicPr>
          <a:picLocks noChangeAspect="1" noChangeArrowheads="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b="65557"/>
        <a:stretch/>
      </xdr:blipFill>
      <xdr:spPr bwMode="auto">
        <a:xfrm>
          <a:off x="6902923" y="119939"/>
          <a:ext cx="5079526" cy="210891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pa.gov/system/files/documents/2024-03/lmdv-veh-standrds-ghg-emission-frm-2024-03.pdf" TargetMode="External"/><Relationship Id="rId2" Type="http://schemas.openxmlformats.org/officeDocument/2006/relationships/hyperlink" Target="https://ww2.arb.ca.gov/sites/default/files/barcu/regact/2019/act2019/fro2.pdf" TargetMode="External"/><Relationship Id="rId1" Type="http://schemas.openxmlformats.org/officeDocument/2006/relationships/hyperlink" Target="https://ww2.arb.ca.gov/sites/default/files/barcu/regact/2022/accii/acciifro1962.4.pdf" TargetMode="Externa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0"/>
  <sheetViews>
    <sheetView workbookViewId="0">
      <selection activeCell="A12" sqref="A12"/>
    </sheetView>
  </sheetViews>
  <sheetFormatPr defaultRowHeight="15"/>
  <cols>
    <col min="1" max="1" width="11.5703125" customWidth="1"/>
    <col min="2" max="2" width="85.140625" customWidth="1"/>
    <col min="4" max="4" width="94" customWidth="1"/>
  </cols>
  <sheetData>
    <row r="1" spans="1:4">
      <c r="A1" s="1" t="s">
        <v>41</v>
      </c>
    </row>
    <row r="3" spans="1:4">
      <c r="A3" s="1" t="s">
        <v>1</v>
      </c>
      <c r="B3" s="4" t="s">
        <v>680</v>
      </c>
      <c r="D3" s="4" t="s">
        <v>681</v>
      </c>
    </row>
    <row r="4" spans="1:4">
      <c r="B4" t="s">
        <v>682</v>
      </c>
      <c r="D4" t="s">
        <v>683</v>
      </c>
    </row>
    <row r="5" spans="1:4">
      <c r="B5" s="2">
        <v>2022</v>
      </c>
      <c r="D5" s="2">
        <v>2024</v>
      </c>
    </row>
    <row r="6" spans="1:4">
      <c r="B6" t="s">
        <v>684</v>
      </c>
      <c r="D6" t="s">
        <v>685</v>
      </c>
    </row>
    <row r="7" spans="1:4">
      <c r="B7" s="3" t="s">
        <v>686</v>
      </c>
      <c r="D7" s="3" t="s">
        <v>687</v>
      </c>
    </row>
    <row r="8" spans="1:4">
      <c r="B8" t="s">
        <v>688</v>
      </c>
      <c r="D8" t="s">
        <v>689</v>
      </c>
    </row>
    <row r="10" spans="1:4">
      <c r="B10" s="4" t="s">
        <v>690</v>
      </c>
      <c r="D10" s="4" t="s">
        <v>691</v>
      </c>
    </row>
    <row r="11" spans="1:4">
      <c r="B11" t="s">
        <v>682</v>
      </c>
      <c r="D11" t="s">
        <v>683</v>
      </c>
    </row>
    <row r="12" spans="1:4">
      <c r="B12" s="2">
        <v>2022</v>
      </c>
      <c r="D12" s="2">
        <v>2024</v>
      </c>
    </row>
    <row r="13" spans="1:4">
      <c r="B13" t="s">
        <v>692</v>
      </c>
      <c r="D13" t="s">
        <v>685</v>
      </c>
    </row>
    <row r="14" spans="1:4">
      <c r="B14" s="3" t="s">
        <v>693</v>
      </c>
      <c r="D14" s="3" t="s">
        <v>687</v>
      </c>
    </row>
    <row r="15" spans="1:4">
      <c r="B15" t="s">
        <v>694</v>
      </c>
      <c r="D15" t="s">
        <v>689</v>
      </c>
    </row>
    <row r="17" spans="2:4">
      <c r="B17" s="4" t="s">
        <v>695</v>
      </c>
      <c r="D17" t="s">
        <v>683</v>
      </c>
    </row>
    <row r="18" spans="2:4">
      <c r="B18" t="s">
        <v>696</v>
      </c>
      <c r="D18" s="2">
        <v>2023</v>
      </c>
    </row>
    <row r="19" spans="2:4">
      <c r="B19" s="2" t="s">
        <v>697</v>
      </c>
      <c r="D19" t="s">
        <v>698</v>
      </c>
    </row>
    <row r="20" spans="2:4">
      <c r="B20" t="s">
        <v>699</v>
      </c>
      <c r="D20" s="3" t="s">
        <v>700</v>
      </c>
    </row>
    <row r="21" spans="2:4">
      <c r="B21" s="3" t="s">
        <v>701</v>
      </c>
      <c r="D21" t="s">
        <v>702</v>
      </c>
    </row>
    <row r="22" spans="2:4">
      <c r="B22" s="3" t="s">
        <v>703</v>
      </c>
      <c r="C22" t="s">
        <v>704</v>
      </c>
    </row>
    <row r="23" spans="2:4">
      <c r="B23" s="3" t="s">
        <v>705</v>
      </c>
      <c r="D23" t="s">
        <v>683</v>
      </c>
    </row>
    <row r="24" spans="2:4">
      <c r="B24" s="3" t="s">
        <v>706</v>
      </c>
      <c r="C24" t="s">
        <v>704</v>
      </c>
      <c r="D24" s="2">
        <v>2024</v>
      </c>
    </row>
    <row r="25" spans="2:4">
      <c r="B25" s="3" t="s">
        <v>707</v>
      </c>
      <c r="D25" t="s">
        <v>708</v>
      </c>
    </row>
    <row r="26" spans="2:4">
      <c r="D26" s="3" t="s">
        <v>709</v>
      </c>
    </row>
    <row r="27" spans="2:4">
      <c r="B27" s="4" t="s">
        <v>710</v>
      </c>
      <c r="D27" t="s">
        <v>711</v>
      </c>
    </row>
    <row r="28" spans="2:4">
      <c r="B28" t="s">
        <v>712</v>
      </c>
    </row>
    <row r="29" spans="2:4">
      <c r="B29" s="2">
        <v>2023</v>
      </c>
    </row>
    <row r="30" spans="2:4">
      <c r="B30" t="s">
        <v>713</v>
      </c>
    </row>
    <row r="31" spans="2:4">
      <c r="B31" s="3" t="s">
        <v>714</v>
      </c>
    </row>
    <row r="32" spans="2:4">
      <c r="B32" t="s">
        <v>715</v>
      </c>
    </row>
    <row r="33" spans="2:2">
      <c r="B33" s="3"/>
    </row>
    <row r="34" spans="2:2">
      <c r="B34" s="4" t="s">
        <v>716</v>
      </c>
    </row>
    <row r="35" spans="2:2">
      <c r="B35" t="s">
        <v>717</v>
      </c>
    </row>
    <row r="36" spans="2:2">
      <c r="B36" s="2">
        <v>2022</v>
      </c>
    </row>
    <row r="37" spans="2:2">
      <c r="B37" t="s">
        <v>718</v>
      </c>
    </row>
    <row r="38" spans="2:2">
      <c r="B38" s="3" t="s">
        <v>719</v>
      </c>
    </row>
    <row r="39" spans="2:2">
      <c r="B39" s="3"/>
    </row>
    <row r="40" spans="2:2">
      <c r="B40" s="4" t="s">
        <v>720</v>
      </c>
    </row>
    <row r="41" spans="2:2">
      <c r="B41" t="s">
        <v>721</v>
      </c>
    </row>
    <row r="42" spans="2:2">
      <c r="B42" s="2">
        <v>2022</v>
      </c>
    </row>
    <row r="43" spans="2:2">
      <c r="B43" t="s">
        <v>722</v>
      </c>
    </row>
    <row r="44" spans="2:2">
      <c r="B44" s="3" t="s">
        <v>723</v>
      </c>
    </row>
    <row r="45" spans="2:2">
      <c r="B45" s="3"/>
    </row>
    <row r="46" spans="2:2">
      <c r="B46" s="4" t="s">
        <v>724</v>
      </c>
    </row>
    <row r="47" spans="2:2">
      <c r="B47" t="s">
        <v>717</v>
      </c>
    </row>
    <row r="48" spans="2:2">
      <c r="B48" s="2">
        <v>2017</v>
      </c>
    </row>
    <row r="49" spans="1:2">
      <c r="B49" t="s">
        <v>725</v>
      </c>
    </row>
    <row r="50" spans="1:2">
      <c r="B50" s="3" t="s">
        <v>726</v>
      </c>
    </row>
    <row r="51" spans="1:2">
      <c r="B51" s="3"/>
    </row>
    <row r="52" spans="1:2">
      <c r="A52" s="1" t="s">
        <v>727</v>
      </c>
    </row>
    <row r="53" spans="1:2">
      <c r="A53" t="s">
        <v>747</v>
      </c>
    </row>
    <row r="54" spans="1:2">
      <c r="A54" t="s">
        <v>748</v>
      </c>
    </row>
    <row r="55" spans="1:2">
      <c r="A55" t="s">
        <v>728</v>
      </c>
    </row>
    <row r="56" spans="1:2">
      <c r="A56" t="s">
        <v>729</v>
      </c>
    </row>
    <row r="57" spans="1:2">
      <c r="A57" t="s">
        <v>730</v>
      </c>
    </row>
    <row r="58" spans="1:2">
      <c r="A58" t="s">
        <v>731</v>
      </c>
    </row>
    <row r="60" spans="1:2">
      <c r="A60" t="s">
        <v>732</v>
      </c>
    </row>
    <row r="61" spans="1:2">
      <c r="A61" t="s">
        <v>733</v>
      </c>
    </row>
    <row r="63" spans="1:2">
      <c r="A63" s="200" t="s">
        <v>734</v>
      </c>
      <c r="B63" s="201"/>
    </row>
    <row r="64" spans="1:2">
      <c r="A64" t="s">
        <v>749</v>
      </c>
    </row>
    <row r="65" spans="1:1">
      <c r="A65" t="s">
        <v>735</v>
      </c>
    </row>
    <row r="66" spans="1:1">
      <c r="A66" t="s">
        <v>750</v>
      </c>
    </row>
    <row r="68" spans="1:1">
      <c r="A68" t="s">
        <v>736</v>
      </c>
    </row>
    <row r="69" spans="1:1">
      <c r="A69" t="s">
        <v>737</v>
      </c>
    </row>
    <row r="70" spans="1:1">
      <c r="A70" t="s">
        <v>738</v>
      </c>
    </row>
    <row r="71" spans="1:1">
      <c r="A71" t="s">
        <v>739</v>
      </c>
    </row>
    <row r="72" spans="1:1">
      <c r="A72" t="s">
        <v>740</v>
      </c>
    </row>
    <row r="73" spans="1:1">
      <c r="A73" t="s">
        <v>741</v>
      </c>
    </row>
    <row r="74" spans="1:1">
      <c r="A74" t="s">
        <v>742</v>
      </c>
    </row>
    <row r="76" spans="1:1">
      <c r="A76" t="s">
        <v>743</v>
      </c>
    </row>
    <row r="77" spans="1:1">
      <c r="A77" t="s">
        <v>744</v>
      </c>
    </row>
    <row r="79" spans="1:1">
      <c r="A79" t="s">
        <v>745</v>
      </c>
    </row>
    <row r="80" spans="1:1">
      <c r="A80" t="s">
        <v>746</v>
      </c>
    </row>
  </sheetData>
  <hyperlinks>
    <hyperlink ref="B7" r:id="rId1" xr:uid="{D3A00BEF-EAD6-4791-8209-CABBB39CA443}"/>
    <hyperlink ref="B14" r:id="rId2" xr:uid="{97C10EA4-7B2D-4E47-B6B0-4725460ACD14}"/>
    <hyperlink ref="D7" r:id="rId3" xr:uid="{A814D033-F6D1-4056-8006-92A13BA0BF66}"/>
  </hyperlinks>
  <pageMargins left="0.7" right="0.7" top="0.75" bottom="0.75" header="0.3" footer="0.3"/>
  <pageSetup orientation="portrait" horizontalDpi="1200" verticalDpi="1200"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471F6E-8C2A-49A7-A59E-01343289140E}">
  <dimension ref="A1:AF53"/>
  <sheetViews>
    <sheetView topLeftCell="A28" workbookViewId="0">
      <selection activeCell="K51" sqref="K51"/>
    </sheetView>
  </sheetViews>
  <sheetFormatPr defaultRowHeight="15"/>
  <cols>
    <col min="1" max="1" width="36.42578125" customWidth="1"/>
    <col min="2" max="2" width="10.7109375" customWidth="1"/>
    <col min="3" max="3" width="20" bestFit="1" customWidth="1"/>
    <col min="13" max="13" width="9.85546875" bestFit="1" customWidth="1"/>
    <col min="18" max="18" width="9.85546875" bestFit="1" customWidth="1"/>
  </cols>
  <sheetData>
    <row r="1" spans="1:32">
      <c r="A1" s="11" t="s">
        <v>42</v>
      </c>
      <c r="B1" s="12"/>
      <c r="C1" s="12"/>
      <c r="D1" s="12"/>
      <c r="E1" s="12"/>
      <c r="F1" s="13"/>
    </row>
    <row r="2" spans="1:32">
      <c r="A2" s="14" t="s">
        <v>43</v>
      </c>
      <c r="F2" s="15"/>
    </row>
    <row r="3" spans="1:32">
      <c r="A3" s="14" t="s">
        <v>44</v>
      </c>
      <c r="F3" s="15"/>
    </row>
    <row r="4" spans="1:32">
      <c r="A4" s="16" t="s">
        <v>45</v>
      </c>
      <c r="B4" s="17"/>
      <c r="C4" s="17"/>
      <c r="D4" s="17"/>
      <c r="E4" s="17"/>
      <c r="F4" s="18"/>
    </row>
    <row r="6" spans="1:32">
      <c r="A6" s="19" t="s">
        <v>46</v>
      </c>
      <c r="B6" s="12"/>
      <c r="C6" s="12" t="s">
        <v>47</v>
      </c>
      <c r="D6" s="12"/>
      <c r="E6" s="12"/>
      <c r="F6" s="13"/>
    </row>
    <row r="7" spans="1:32">
      <c r="A7" s="20" t="s">
        <v>0</v>
      </c>
      <c r="B7" t="s">
        <v>48</v>
      </c>
      <c r="C7" t="s">
        <v>49</v>
      </c>
      <c r="F7" s="15"/>
    </row>
    <row r="8" spans="1:32">
      <c r="A8" s="20" t="s">
        <v>50</v>
      </c>
      <c r="B8" t="s">
        <v>51</v>
      </c>
      <c r="C8" t="s">
        <v>52</v>
      </c>
      <c r="F8" s="15"/>
    </row>
    <row r="9" spans="1:32">
      <c r="A9" s="20" t="s">
        <v>53</v>
      </c>
      <c r="C9" t="s">
        <v>54</v>
      </c>
      <c r="F9" s="15"/>
    </row>
    <row r="10" spans="1:32">
      <c r="A10" s="20" t="s">
        <v>55</v>
      </c>
      <c r="B10" t="s">
        <v>56</v>
      </c>
      <c r="C10" t="s">
        <v>57</v>
      </c>
      <c r="F10" s="15"/>
    </row>
    <row r="11" spans="1:32">
      <c r="A11" s="20" t="s">
        <v>2</v>
      </c>
      <c r="B11" t="s">
        <v>58</v>
      </c>
      <c r="C11" t="s">
        <v>59</v>
      </c>
      <c r="F11" s="15"/>
    </row>
    <row r="12" spans="1:32">
      <c r="A12" s="21" t="s">
        <v>60</v>
      </c>
      <c r="B12" s="17"/>
      <c r="C12" s="17" t="s">
        <v>54</v>
      </c>
      <c r="D12" s="17"/>
      <c r="E12" s="17"/>
      <c r="F12" s="18"/>
    </row>
    <row r="14" spans="1:32">
      <c r="A14" s="19" t="s">
        <v>61</v>
      </c>
      <c r="B14" s="22"/>
      <c r="C14" s="22"/>
      <c r="D14" s="22"/>
      <c r="E14" s="22"/>
      <c r="F14" s="12"/>
      <c r="G14" s="12"/>
      <c r="H14" s="12"/>
      <c r="I14" s="12"/>
      <c r="J14" s="12"/>
      <c r="K14" s="12"/>
      <c r="L14" s="12"/>
      <c r="M14" s="12"/>
      <c r="N14" s="12"/>
      <c r="O14" s="12"/>
      <c r="P14" s="12"/>
      <c r="Q14" s="12"/>
      <c r="R14" s="12"/>
      <c r="S14" s="12"/>
      <c r="T14" s="12"/>
      <c r="U14" s="12"/>
      <c r="V14" s="12"/>
      <c r="W14" s="12"/>
      <c r="X14" s="12"/>
      <c r="Y14" s="12"/>
      <c r="Z14" s="12"/>
      <c r="AA14" s="12"/>
      <c r="AB14" s="12"/>
      <c r="AC14" s="12"/>
      <c r="AD14" s="12"/>
      <c r="AE14" s="12"/>
      <c r="AF14" s="13"/>
    </row>
    <row r="15" spans="1:32">
      <c r="A15" s="20" t="s">
        <v>62</v>
      </c>
      <c r="B15">
        <v>2020</v>
      </c>
      <c r="C15">
        <v>2021</v>
      </c>
      <c r="D15">
        <v>2022</v>
      </c>
      <c r="E15">
        <v>2023</v>
      </c>
      <c r="F15">
        <v>2024</v>
      </c>
      <c r="G15">
        <v>2025</v>
      </c>
      <c r="H15">
        <v>2026</v>
      </c>
      <c r="I15">
        <v>2027</v>
      </c>
      <c r="J15">
        <v>2028</v>
      </c>
      <c r="K15">
        <v>2029</v>
      </c>
      <c r="L15">
        <v>2030</v>
      </c>
      <c r="M15">
        <v>2031</v>
      </c>
      <c r="N15">
        <v>2032</v>
      </c>
      <c r="O15">
        <v>2033</v>
      </c>
      <c r="P15">
        <v>2034</v>
      </c>
      <c r="Q15">
        <v>2035</v>
      </c>
      <c r="R15">
        <v>2036</v>
      </c>
      <c r="S15">
        <v>2037</v>
      </c>
      <c r="T15">
        <v>2038</v>
      </c>
      <c r="U15">
        <v>2039</v>
      </c>
      <c r="V15">
        <v>2040</v>
      </c>
      <c r="W15">
        <v>2041</v>
      </c>
      <c r="X15">
        <v>2042</v>
      </c>
      <c r="Y15">
        <v>2043</v>
      </c>
      <c r="Z15">
        <v>2044</v>
      </c>
      <c r="AA15">
        <v>2045</v>
      </c>
      <c r="AB15">
        <v>2046</v>
      </c>
      <c r="AC15">
        <v>2047</v>
      </c>
      <c r="AD15">
        <v>2048</v>
      </c>
      <c r="AE15">
        <v>2049</v>
      </c>
      <c r="AF15" s="15">
        <v>2050</v>
      </c>
    </row>
    <row r="16" spans="1:32">
      <c r="A16" s="20" t="s">
        <v>63</v>
      </c>
      <c r="B16" s="23">
        <f t="shared" ref="B16:G16" si="0">(B15-2018)/(2025-2018)*(0.22-0.045)+0.045</f>
        <v>9.5000000000000001E-2</v>
      </c>
      <c r="C16" s="23">
        <f t="shared" si="0"/>
        <v>0.12</v>
      </c>
      <c r="D16" s="23">
        <f t="shared" si="0"/>
        <v>0.14499999999999999</v>
      </c>
      <c r="E16" s="23">
        <f t="shared" si="0"/>
        <v>0.16999999999999998</v>
      </c>
      <c r="F16" s="23">
        <f t="shared" si="0"/>
        <v>0.19500000000000001</v>
      </c>
      <c r="G16" s="23">
        <f t="shared" si="0"/>
        <v>0.21999999999999997</v>
      </c>
      <c r="H16" s="23">
        <v>0.22</v>
      </c>
      <c r="I16" s="23">
        <v>0.22</v>
      </c>
      <c r="J16" s="23">
        <v>0.22</v>
      </c>
      <c r="K16" s="23">
        <v>0.22</v>
      </c>
      <c r="L16" s="23">
        <v>0.22</v>
      </c>
      <c r="M16" s="23">
        <v>0.22</v>
      </c>
      <c r="N16" s="23">
        <v>0.22</v>
      </c>
      <c r="O16" s="23">
        <v>0.22</v>
      </c>
      <c r="P16" s="23">
        <v>0.22</v>
      </c>
      <c r="Q16" s="23">
        <v>0.22</v>
      </c>
      <c r="R16" s="24">
        <f>Q16</f>
        <v>0.22</v>
      </c>
      <c r="S16" s="24">
        <f t="shared" ref="S16:AF16" si="1">R16</f>
        <v>0.22</v>
      </c>
      <c r="T16" s="24">
        <f t="shared" si="1"/>
        <v>0.22</v>
      </c>
      <c r="U16" s="24">
        <f t="shared" si="1"/>
        <v>0.22</v>
      </c>
      <c r="V16" s="24">
        <f t="shared" si="1"/>
        <v>0.22</v>
      </c>
      <c r="W16" s="24">
        <f t="shared" si="1"/>
        <v>0.22</v>
      </c>
      <c r="X16" s="24">
        <f t="shared" si="1"/>
        <v>0.22</v>
      </c>
      <c r="Y16" s="24">
        <f t="shared" si="1"/>
        <v>0.22</v>
      </c>
      <c r="Z16" s="24">
        <f t="shared" si="1"/>
        <v>0.22</v>
      </c>
      <c r="AA16" s="24">
        <f t="shared" si="1"/>
        <v>0.22</v>
      </c>
      <c r="AB16" s="24">
        <f t="shared" si="1"/>
        <v>0.22</v>
      </c>
      <c r="AC16" s="24">
        <f t="shared" si="1"/>
        <v>0.22</v>
      </c>
      <c r="AD16" s="24">
        <f t="shared" si="1"/>
        <v>0.22</v>
      </c>
      <c r="AE16" s="24">
        <f t="shared" si="1"/>
        <v>0.22</v>
      </c>
      <c r="AF16" s="25">
        <f t="shared" si="1"/>
        <v>0.22</v>
      </c>
    </row>
    <row r="17" spans="1:32">
      <c r="A17" s="20" t="s">
        <v>64</v>
      </c>
      <c r="B17" s="23">
        <f t="shared" ref="B17:G17" si="2">B16</f>
        <v>9.5000000000000001E-2</v>
      </c>
      <c r="C17" s="23">
        <f t="shared" si="2"/>
        <v>0.12</v>
      </c>
      <c r="D17" s="23">
        <f t="shared" si="2"/>
        <v>0.14499999999999999</v>
      </c>
      <c r="E17" s="23">
        <f t="shared" si="2"/>
        <v>0.16999999999999998</v>
      </c>
      <c r="F17" s="23">
        <f t="shared" si="2"/>
        <v>0.19500000000000001</v>
      </c>
      <c r="G17" s="23">
        <f t="shared" si="2"/>
        <v>0.21999999999999997</v>
      </c>
      <c r="H17" s="23">
        <v>0.35</v>
      </c>
      <c r="I17" s="23">
        <v>0.43</v>
      </c>
      <c r="J17" s="23">
        <v>0.51</v>
      </c>
      <c r="K17" s="23">
        <v>0.59</v>
      </c>
      <c r="L17" s="23">
        <v>0.68</v>
      </c>
      <c r="M17" s="23">
        <v>0.76</v>
      </c>
      <c r="N17" s="23">
        <v>0.82</v>
      </c>
      <c r="O17" s="23">
        <v>0.88</v>
      </c>
      <c r="P17" s="23">
        <v>0.94</v>
      </c>
      <c r="Q17" s="23">
        <v>1</v>
      </c>
      <c r="R17" s="24">
        <f t="shared" ref="R17:AF20" si="3">Q17</f>
        <v>1</v>
      </c>
      <c r="S17" s="24">
        <f t="shared" si="3"/>
        <v>1</v>
      </c>
      <c r="T17" s="24">
        <f t="shared" si="3"/>
        <v>1</v>
      </c>
      <c r="U17" s="24">
        <f t="shared" si="3"/>
        <v>1</v>
      </c>
      <c r="V17" s="24">
        <f t="shared" si="3"/>
        <v>1</v>
      </c>
      <c r="W17" s="24">
        <f t="shared" si="3"/>
        <v>1</v>
      </c>
      <c r="X17" s="24">
        <f t="shared" si="3"/>
        <v>1</v>
      </c>
      <c r="Y17" s="24">
        <f t="shared" si="3"/>
        <v>1</v>
      </c>
      <c r="Z17" s="24">
        <f t="shared" si="3"/>
        <v>1</v>
      </c>
      <c r="AA17" s="24">
        <f t="shared" si="3"/>
        <v>1</v>
      </c>
      <c r="AB17" s="24">
        <f t="shared" si="3"/>
        <v>1</v>
      </c>
      <c r="AC17" s="24">
        <f t="shared" si="3"/>
        <v>1</v>
      </c>
      <c r="AD17" s="24">
        <f t="shared" si="3"/>
        <v>1</v>
      </c>
      <c r="AE17" s="24">
        <f t="shared" si="3"/>
        <v>1</v>
      </c>
      <c r="AF17" s="25">
        <f t="shared" si="3"/>
        <v>1</v>
      </c>
    </row>
    <row r="18" spans="1:32">
      <c r="A18" s="20" t="s">
        <v>65</v>
      </c>
      <c r="B18" s="23">
        <v>0</v>
      </c>
      <c r="C18" s="23">
        <v>0</v>
      </c>
      <c r="D18" s="23">
        <v>0</v>
      </c>
      <c r="E18" s="23">
        <v>0</v>
      </c>
      <c r="F18" s="23">
        <v>0.05</v>
      </c>
      <c r="G18" s="23">
        <v>7.0000000000000007E-2</v>
      </c>
      <c r="H18" s="26">
        <v>0.1</v>
      </c>
      <c r="I18" s="26">
        <v>0.15</v>
      </c>
      <c r="J18" s="26">
        <v>0.2</v>
      </c>
      <c r="K18" s="26">
        <v>0.25</v>
      </c>
      <c r="L18" s="26">
        <v>0.3</v>
      </c>
      <c r="M18" s="26">
        <v>0.35</v>
      </c>
      <c r="N18" s="26">
        <v>0.4</v>
      </c>
      <c r="O18" s="26">
        <v>0.45</v>
      </c>
      <c r="P18" s="26">
        <v>0.5</v>
      </c>
      <c r="Q18" s="26">
        <v>0.55000000000000004</v>
      </c>
      <c r="R18" s="24">
        <f t="shared" si="3"/>
        <v>0.55000000000000004</v>
      </c>
      <c r="S18" s="24">
        <f t="shared" si="3"/>
        <v>0.55000000000000004</v>
      </c>
      <c r="T18" s="24">
        <f t="shared" si="3"/>
        <v>0.55000000000000004</v>
      </c>
      <c r="U18" s="24">
        <f t="shared" si="3"/>
        <v>0.55000000000000004</v>
      </c>
      <c r="V18" s="24">
        <f t="shared" si="3"/>
        <v>0.55000000000000004</v>
      </c>
      <c r="W18" s="24">
        <f t="shared" si="3"/>
        <v>0.55000000000000004</v>
      </c>
      <c r="X18" s="24">
        <f t="shared" si="3"/>
        <v>0.55000000000000004</v>
      </c>
      <c r="Y18" s="24">
        <f t="shared" si="3"/>
        <v>0.55000000000000004</v>
      </c>
      <c r="Z18" s="24">
        <f t="shared" si="3"/>
        <v>0.55000000000000004</v>
      </c>
      <c r="AA18" s="24">
        <f t="shared" si="3"/>
        <v>0.55000000000000004</v>
      </c>
      <c r="AB18" s="24">
        <f t="shared" si="3"/>
        <v>0.55000000000000004</v>
      </c>
      <c r="AC18" s="24">
        <f t="shared" si="3"/>
        <v>0.55000000000000004</v>
      </c>
      <c r="AD18" s="24">
        <f t="shared" si="3"/>
        <v>0.55000000000000004</v>
      </c>
      <c r="AE18" s="24">
        <f t="shared" si="3"/>
        <v>0.55000000000000004</v>
      </c>
      <c r="AF18" s="25">
        <f t="shared" si="3"/>
        <v>0.55000000000000004</v>
      </c>
    </row>
    <row r="19" spans="1:32">
      <c r="A19" s="20" t="s">
        <v>66</v>
      </c>
      <c r="B19" s="23">
        <v>0</v>
      </c>
      <c r="C19" s="23">
        <v>0</v>
      </c>
      <c r="D19" s="23">
        <v>0</v>
      </c>
      <c r="E19" s="23">
        <v>0</v>
      </c>
      <c r="F19" s="23">
        <v>0.09</v>
      </c>
      <c r="G19" s="23">
        <v>0.11</v>
      </c>
      <c r="H19" s="26">
        <v>0.13</v>
      </c>
      <c r="I19" s="26">
        <v>0.2</v>
      </c>
      <c r="J19" s="26">
        <v>0.3</v>
      </c>
      <c r="K19" s="26">
        <v>0.4</v>
      </c>
      <c r="L19" s="26">
        <v>0.5</v>
      </c>
      <c r="M19" s="26">
        <v>0.55000000000000004</v>
      </c>
      <c r="N19" s="26">
        <v>0.6</v>
      </c>
      <c r="O19" s="26">
        <v>0.65</v>
      </c>
      <c r="P19" s="26">
        <v>0.7</v>
      </c>
      <c r="Q19" s="26">
        <v>0.75</v>
      </c>
      <c r="R19" s="24">
        <f t="shared" si="3"/>
        <v>0.75</v>
      </c>
      <c r="S19" s="24">
        <f t="shared" si="3"/>
        <v>0.75</v>
      </c>
      <c r="T19" s="24">
        <f t="shared" si="3"/>
        <v>0.75</v>
      </c>
      <c r="U19" s="24">
        <f t="shared" si="3"/>
        <v>0.75</v>
      </c>
      <c r="V19" s="24">
        <f t="shared" si="3"/>
        <v>0.75</v>
      </c>
      <c r="W19" s="24">
        <f t="shared" si="3"/>
        <v>0.75</v>
      </c>
      <c r="X19" s="24">
        <f t="shared" si="3"/>
        <v>0.75</v>
      </c>
      <c r="Y19" s="24">
        <f t="shared" si="3"/>
        <v>0.75</v>
      </c>
      <c r="Z19" s="24">
        <f t="shared" si="3"/>
        <v>0.75</v>
      </c>
      <c r="AA19" s="24">
        <f t="shared" si="3"/>
        <v>0.75</v>
      </c>
      <c r="AB19" s="24">
        <f t="shared" si="3"/>
        <v>0.75</v>
      </c>
      <c r="AC19" s="24">
        <f t="shared" si="3"/>
        <v>0.75</v>
      </c>
      <c r="AD19" s="24">
        <f t="shared" si="3"/>
        <v>0.75</v>
      </c>
      <c r="AE19" s="24">
        <f t="shared" si="3"/>
        <v>0.75</v>
      </c>
      <c r="AF19" s="25">
        <f t="shared" si="3"/>
        <v>0.75</v>
      </c>
    </row>
    <row r="20" spans="1:32">
      <c r="A20" s="21" t="s">
        <v>67</v>
      </c>
      <c r="B20" s="27">
        <v>0</v>
      </c>
      <c r="C20" s="27">
        <v>0</v>
      </c>
      <c r="D20" s="27">
        <v>0</v>
      </c>
      <c r="E20" s="27">
        <v>0</v>
      </c>
      <c r="F20" s="27">
        <v>0.05</v>
      </c>
      <c r="G20" s="27">
        <v>7.0000000000000007E-2</v>
      </c>
      <c r="H20" s="28">
        <v>0.1</v>
      </c>
      <c r="I20" s="28">
        <v>0.15</v>
      </c>
      <c r="J20" s="28">
        <v>0.2</v>
      </c>
      <c r="K20" s="28">
        <v>0.25</v>
      </c>
      <c r="L20" s="28">
        <v>0.3</v>
      </c>
      <c r="M20" s="28">
        <v>0.35</v>
      </c>
      <c r="N20" s="28">
        <v>0.4</v>
      </c>
      <c r="O20" s="28">
        <v>0.4</v>
      </c>
      <c r="P20" s="28">
        <v>0.4</v>
      </c>
      <c r="Q20" s="28">
        <v>0.4</v>
      </c>
      <c r="R20" s="29">
        <f t="shared" si="3"/>
        <v>0.4</v>
      </c>
      <c r="S20" s="29">
        <f t="shared" si="3"/>
        <v>0.4</v>
      </c>
      <c r="T20" s="29">
        <f t="shared" si="3"/>
        <v>0.4</v>
      </c>
      <c r="U20" s="29">
        <f t="shared" si="3"/>
        <v>0.4</v>
      </c>
      <c r="V20" s="29">
        <f t="shared" si="3"/>
        <v>0.4</v>
      </c>
      <c r="W20" s="29">
        <f t="shared" si="3"/>
        <v>0.4</v>
      </c>
      <c r="X20" s="29">
        <f t="shared" si="3"/>
        <v>0.4</v>
      </c>
      <c r="Y20" s="29">
        <f t="shared" si="3"/>
        <v>0.4</v>
      </c>
      <c r="Z20" s="29">
        <f t="shared" si="3"/>
        <v>0.4</v>
      </c>
      <c r="AA20" s="29">
        <f t="shared" si="3"/>
        <v>0.4</v>
      </c>
      <c r="AB20" s="29">
        <f t="shared" si="3"/>
        <v>0.4</v>
      </c>
      <c r="AC20" s="29">
        <f t="shared" si="3"/>
        <v>0.4</v>
      </c>
      <c r="AD20" s="29">
        <f t="shared" si="3"/>
        <v>0.4</v>
      </c>
      <c r="AE20" s="29">
        <f t="shared" si="3"/>
        <v>0.4</v>
      </c>
      <c r="AF20" s="30">
        <f t="shared" si="3"/>
        <v>0.4</v>
      </c>
    </row>
    <row r="22" spans="1:32">
      <c r="A22" t="s">
        <v>68</v>
      </c>
      <c r="C22">
        <f>SUM('AEO by Class'!B3:B4)</f>
        <v>162858256786</v>
      </c>
      <c r="D22">
        <f>SUM('AEO by Class'!C3:C4)</f>
        <v>171035865319</v>
      </c>
      <c r="E22">
        <f>SUM('AEO by Class'!D3:D4)</f>
        <v>173544893263</v>
      </c>
      <c r="F22">
        <f>SUM('AEO by Class'!E3:E4)</f>
        <v>175151360297</v>
      </c>
      <c r="G22">
        <f>SUM('AEO by Class'!F3:F4)</f>
        <v>176642088958</v>
      </c>
      <c r="H22">
        <f>SUM('AEO by Class'!G3:G4)</f>
        <v>179046425003</v>
      </c>
      <c r="I22">
        <f>SUM('AEO by Class'!H3:H4)</f>
        <v>181640723246</v>
      </c>
      <c r="J22">
        <f>SUM('AEO by Class'!I3:I4)</f>
        <v>184184673851</v>
      </c>
      <c r="K22">
        <f>SUM('AEO by Class'!J3:J4)</f>
        <v>186581922334</v>
      </c>
      <c r="L22">
        <f>SUM('AEO by Class'!K3:K4)</f>
        <v>189068256529</v>
      </c>
      <c r="M22">
        <f>SUM('AEO by Class'!L3:L4)</f>
        <v>191650262835</v>
      </c>
      <c r="N22">
        <f>SUM('AEO by Class'!M3:M4)</f>
        <v>194501761415</v>
      </c>
      <c r="O22">
        <f>SUM('AEO by Class'!N3:N4)</f>
        <v>197434006647</v>
      </c>
      <c r="P22">
        <f>SUM('AEO by Class'!O3:O4)</f>
        <v>200304540927</v>
      </c>
      <c r="Q22">
        <f>SUM('AEO by Class'!P3:P4)</f>
        <v>203205786762</v>
      </c>
      <c r="R22">
        <f>SUM('AEO by Class'!Q3:Q4)</f>
        <v>206021038651</v>
      </c>
      <c r="S22">
        <f>SUM('AEO by Class'!R3:R4)</f>
        <v>208918487676</v>
      </c>
      <c r="T22">
        <f>SUM('AEO by Class'!S3:S4)</f>
        <v>211902862668</v>
      </c>
      <c r="U22">
        <f>SUM('AEO by Class'!T3:T4)</f>
        <v>214990837582</v>
      </c>
      <c r="V22">
        <f>SUM('AEO by Class'!U3:U4)</f>
        <v>218136358796</v>
      </c>
      <c r="W22">
        <f>SUM('AEO by Class'!V3:V4)</f>
        <v>221493213710</v>
      </c>
      <c r="X22">
        <f>SUM('AEO by Class'!W3:W4)</f>
        <v>224978160109</v>
      </c>
      <c r="Y22">
        <f>SUM('AEO by Class'!X3:X4)</f>
        <v>228368844922</v>
      </c>
      <c r="Z22">
        <f>SUM('AEO by Class'!Y3:Y4)</f>
        <v>231664445877</v>
      </c>
      <c r="AA22">
        <f>SUM('AEO by Class'!Z3:Z4)</f>
        <v>234914485683</v>
      </c>
      <c r="AB22">
        <f>SUM('AEO by Class'!AA3:AA4)</f>
        <v>238389095450</v>
      </c>
      <c r="AC22">
        <f>SUM('AEO by Class'!AB3:AB4)</f>
        <v>242133297894</v>
      </c>
      <c r="AD22">
        <f>SUM('AEO by Class'!AC3:AC4)</f>
        <v>245932140959</v>
      </c>
      <c r="AE22">
        <f>SUM('AEO by Class'!AD3:AD4)</f>
        <v>249756763542</v>
      </c>
      <c r="AF22">
        <f>SUM('AEO by Class'!AE3:AE4)</f>
        <v>253966556134</v>
      </c>
    </row>
    <row r="23" spans="1:32">
      <c r="A23" t="s">
        <v>69</v>
      </c>
      <c r="C23">
        <f>SUM('AEO by Class'!B5:B8)</f>
        <v>60343802126</v>
      </c>
      <c r="D23">
        <f>SUM('AEO by Class'!C5:C8)</f>
        <v>61265916527</v>
      </c>
      <c r="E23">
        <f>SUM('AEO by Class'!D5:D8)</f>
        <v>60770468811</v>
      </c>
      <c r="F23">
        <f>SUM('AEO by Class'!E5:E8)</f>
        <v>60621853767</v>
      </c>
      <c r="G23">
        <f>SUM('AEO by Class'!F5:F8)</f>
        <v>60956381365</v>
      </c>
      <c r="H23">
        <f>SUM('AEO by Class'!G5:G8)</f>
        <v>61694583706</v>
      </c>
      <c r="I23">
        <f>SUM('AEO by Class'!H5:H8)</f>
        <v>62460976106</v>
      </c>
      <c r="J23">
        <f>SUM('AEO by Class'!I5:I8)</f>
        <v>63287516270</v>
      </c>
      <c r="K23">
        <f>SUM('AEO by Class'!J5:J8)</f>
        <v>64038617557</v>
      </c>
      <c r="L23">
        <f>SUM('AEO by Class'!K5:K8)</f>
        <v>64741960588</v>
      </c>
      <c r="M23">
        <f>SUM('AEO by Class'!L5:L8)</f>
        <v>65547854691</v>
      </c>
      <c r="N23">
        <f>SUM('AEO by Class'!M5:M8)</f>
        <v>66635051943</v>
      </c>
      <c r="O23">
        <f>SUM('AEO by Class'!N5:N8)</f>
        <v>67586687279</v>
      </c>
      <c r="P23">
        <f>SUM('AEO by Class'!O5:O8)</f>
        <v>68516456210</v>
      </c>
      <c r="Q23">
        <f>SUM('AEO by Class'!P5:P8)</f>
        <v>69507951791</v>
      </c>
      <c r="R23">
        <f>SUM('AEO by Class'!Q5:Q8)</f>
        <v>70404648529</v>
      </c>
      <c r="S23">
        <f>SUM('AEO by Class'!R5:R8)</f>
        <v>71452534590</v>
      </c>
      <c r="T23">
        <f>SUM('AEO by Class'!S5:S8)</f>
        <v>72457945271</v>
      </c>
      <c r="U23">
        <f>SUM('AEO by Class'!T5:T8)</f>
        <v>73521971417</v>
      </c>
      <c r="V23">
        <f>SUM('AEO by Class'!U5:U8)</f>
        <v>74640424532</v>
      </c>
      <c r="W23">
        <f>SUM('AEO by Class'!V5:V8)</f>
        <v>75781826114</v>
      </c>
      <c r="X23">
        <f>SUM('AEO by Class'!W5:W8)</f>
        <v>76955216837</v>
      </c>
      <c r="Y23">
        <f>SUM('AEO by Class'!X5:X8)</f>
        <v>78155468332</v>
      </c>
      <c r="Z23">
        <f>SUM('AEO by Class'!Y5:Y8)</f>
        <v>79318177935</v>
      </c>
      <c r="AA23">
        <f>SUM('AEO by Class'!Z5:Z8)</f>
        <v>80359643678</v>
      </c>
      <c r="AB23">
        <f>SUM('AEO by Class'!AA5:AA8)</f>
        <v>81435590132</v>
      </c>
      <c r="AC23">
        <f>SUM('AEO by Class'!AB5:AB8)</f>
        <v>82557450134</v>
      </c>
      <c r="AD23">
        <f>SUM('AEO by Class'!AC5:AC8)</f>
        <v>83650369190</v>
      </c>
      <c r="AE23">
        <f>SUM('AEO by Class'!AD5:AD8)</f>
        <v>84801770699</v>
      </c>
      <c r="AF23">
        <f>SUM('AEO by Class'!AE5:AE8)</f>
        <v>86169767894</v>
      </c>
    </row>
    <row r="24" spans="1:32">
      <c r="A24" t="s">
        <v>70</v>
      </c>
      <c r="C24">
        <f>SUM('AEO by Class'!B9:B10)</f>
        <v>181451501319</v>
      </c>
      <c r="D24">
        <f>SUM('AEO by Class'!C9:C10)</f>
        <v>185622287850</v>
      </c>
      <c r="E24">
        <f>SUM('AEO by Class'!D9:D10)</f>
        <v>185197254875</v>
      </c>
      <c r="F24">
        <f>SUM('AEO by Class'!E9:E10)</f>
        <v>185421480578</v>
      </c>
      <c r="G24">
        <f>SUM('AEO by Class'!F9:F10)</f>
        <v>186898742848</v>
      </c>
      <c r="H24">
        <f>SUM('AEO by Class'!G9:G10)</f>
        <v>189159842657</v>
      </c>
      <c r="I24">
        <f>SUM('AEO by Class'!H9:H10)</f>
        <v>191006166106</v>
      </c>
      <c r="J24">
        <f>SUM('AEO by Class'!I9:I10)</f>
        <v>192510372713</v>
      </c>
      <c r="K24">
        <f>SUM('AEO by Class'!J9:J10)</f>
        <v>193403876675</v>
      </c>
      <c r="L24">
        <f>SUM('AEO by Class'!K9:K10)</f>
        <v>193836505715</v>
      </c>
      <c r="M24">
        <f>SUM('AEO by Class'!L9:L10)</f>
        <v>194356568224</v>
      </c>
      <c r="N24">
        <f>SUM('AEO by Class'!M9:M10)</f>
        <v>195360161244</v>
      </c>
      <c r="O24">
        <f>SUM('AEO by Class'!N9:N10)</f>
        <v>195957119918</v>
      </c>
      <c r="P24">
        <f>SUM('AEO by Class'!O9:O10)</f>
        <v>196452901255</v>
      </c>
      <c r="Q24">
        <f>SUM('AEO by Class'!P9:P10)</f>
        <v>197071770052</v>
      </c>
      <c r="R24">
        <f>SUM('AEO by Class'!Q9:Q10)</f>
        <v>197384353091</v>
      </c>
      <c r="S24">
        <f>SUM('AEO by Class'!R9:R10)</f>
        <v>198010882704</v>
      </c>
      <c r="T24">
        <f>SUM('AEO by Class'!S9:S10)</f>
        <v>198678021958</v>
      </c>
      <c r="U24">
        <f>SUM('AEO by Class'!T9:T10)</f>
        <v>199223960287</v>
      </c>
      <c r="V24">
        <f>SUM('AEO by Class'!U9:U10)</f>
        <v>199883512408</v>
      </c>
      <c r="W24">
        <f>SUM('AEO by Class'!V9:V10)</f>
        <v>200520305295</v>
      </c>
      <c r="X24">
        <f>SUM('AEO by Class'!W9:W10)</f>
        <v>201276857928</v>
      </c>
      <c r="Y24">
        <f>SUM('AEO by Class'!X9:X10)</f>
        <v>201943305171</v>
      </c>
      <c r="Z24">
        <f>SUM('AEO by Class'!Y9:Y10)</f>
        <v>202405862723</v>
      </c>
      <c r="AA24">
        <f>SUM('AEO by Class'!Z9:Z10)</f>
        <v>202528104010</v>
      </c>
      <c r="AB24">
        <f>SUM('AEO by Class'!AA9:AA10)</f>
        <v>202671301677</v>
      </c>
      <c r="AC24">
        <f>SUM('AEO by Class'!AB9:AB10)</f>
        <v>202825983331</v>
      </c>
      <c r="AD24">
        <f>SUM('AEO by Class'!AC9:AC10)</f>
        <v>202857798998</v>
      </c>
      <c r="AE24">
        <f>SUM('AEO by Class'!AD9:AD10)</f>
        <v>202995764719</v>
      </c>
      <c r="AF24">
        <f>SUM('AEO by Class'!AE9:AE10)</f>
        <v>203649410349</v>
      </c>
    </row>
    <row r="26" spans="1:32">
      <c r="A26" t="s">
        <v>71</v>
      </c>
      <c r="C26" s="10">
        <f>SUM('AEO by Class'!B5:B7)/SUM('AEO by Class'!B5:B8)</f>
        <v>0.97399342957006296</v>
      </c>
      <c r="D26" s="10">
        <f>SUM('AEO by Class'!C5:C7)/SUM('AEO by Class'!C5:C8)</f>
        <v>0.97438177853246821</v>
      </c>
      <c r="E26" s="10">
        <f>SUM('AEO by Class'!D5:D7)/SUM('AEO by Class'!D5:D8)</f>
        <v>0.97470041794836859</v>
      </c>
      <c r="F26" s="10">
        <f>SUM('AEO by Class'!E5:E7)/SUM('AEO by Class'!E5:E8)</f>
        <v>0.97497706050312571</v>
      </c>
      <c r="G26" s="10">
        <f>SUM('AEO by Class'!F5:F7)/SUM('AEO by Class'!F5:F8)</f>
        <v>0.9752052547058212</v>
      </c>
      <c r="H26" s="10">
        <f>SUM('AEO by Class'!G5:G7)/SUM('AEO by Class'!G5:G8)</f>
        <v>0.97543855500798793</v>
      </c>
      <c r="I26" s="10">
        <f>SUM('AEO by Class'!H5:H7)/SUM('AEO by Class'!H5:H8)</f>
        <v>0.97570204653183101</v>
      </c>
      <c r="J26" s="10">
        <f>SUM('AEO by Class'!I5:I7)/SUM('AEO by Class'!I5:I8)</f>
        <v>0.97600378813222777</v>
      </c>
      <c r="K26" s="10">
        <f>SUM('AEO by Class'!J5:J7)/SUM('AEO by Class'!J5:J8)</f>
        <v>0.97633142222892477</v>
      </c>
      <c r="L26" s="10">
        <f>SUM('AEO by Class'!K5:K7)/SUM('AEO by Class'!K5:K8)</f>
        <v>0.97666499767262194</v>
      </c>
      <c r="M26" s="10">
        <f>SUM('AEO by Class'!L5:L7)/SUM('AEO by Class'!L5:L8)</f>
        <v>0.97698892042904495</v>
      </c>
      <c r="N26" s="10">
        <f>SUM('AEO by Class'!M5:M7)/SUM('AEO by Class'!M5:M8)</f>
        <v>0.97732770343914011</v>
      </c>
      <c r="O26" s="10">
        <f>SUM('AEO by Class'!N5:N7)/SUM('AEO by Class'!N5:N8)</f>
        <v>0.97765304408595732</v>
      </c>
      <c r="P26" s="10">
        <f>SUM('AEO by Class'!O5:O7)/SUM('AEO by Class'!O5:O8)</f>
        <v>0.97796609810973179</v>
      </c>
      <c r="Q26" s="10">
        <f>SUM('AEO by Class'!P5:P7)/SUM('AEO by Class'!P5:P8)</f>
        <v>0.97826613135512352</v>
      </c>
      <c r="R26" s="10">
        <f>SUM('AEO by Class'!Q5:Q7)/SUM('AEO by Class'!Q5:Q8)</f>
        <v>0.97855336237666113</v>
      </c>
      <c r="S26" s="10">
        <f>SUM('AEO by Class'!R5:R7)/SUM('AEO by Class'!R5:R8)</f>
        <v>0.9788391933655548</v>
      </c>
      <c r="T26" s="10">
        <f>SUM('AEO by Class'!S5:S7)/SUM('AEO by Class'!S5:S8)</f>
        <v>0.97909778967185035</v>
      </c>
      <c r="U26" s="10">
        <f>SUM('AEO by Class'!T5:T7)/SUM('AEO by Class'!T5:T8)</f>
        <v>0.97938743971642761</v>
      </c>
      <c r="V26" s="10">
        <f>SUM('AEO by Class'!U5:U7)/SUM('AEO by Class'!U5:U8)</f>
        <v>0.97967228590253375</v>
      </c>
      <c r="W26" s="10">
        <f>SUM('AEO by Class'!V5:V7)/SUM('AEO by Class'!V5:V8)</f>
        <v>0.97996078928323094</v>
      </c>
      <c r="X26" s="10">
        <f>SUM('AEO by Class'!W5:W7)/SUM('AEO by Class'!W5:W8)</f>
        <v>0.98022728375617529</v>
      </c>
      <c r="Y26" s="10">
        <f>SUM('AEO by Class'!X5:X7)/SUM('AEO by Class'!X5:X8)</f>
        <v>0.98049734909750497</v>
      </c>
      <c r="Z26" s="10">
        <f>SUM('AEO by Class'!Y5:Y7)/SUM('AEO by Class'!Y5:Y8)</f>
        <v>0.98076514176548202</v>
      </c>
      <c r="AA26" s="10">
        <f>SUM('AEO by Class'!Z5:Z7)/SUM('AEO by Class'!Z5:Z8)</f>
        <v>0.98102325628632059</v>
      </c>
      <c r="AB26" s="10">
        <f>SUM('AEO by Class'!AA5:AA7)/SUM('AEO by Class'!AA5:AA8)</f>
        <v>0.98128138536812781</v>
      </c>
      <c r="AC26" s="10">
        <f>SUM('AEO by Class'!AB5:AB7)/SUM('AEO by Class'!AB5:AB8)</f>
        <v>0.98154309417833552</v>
      </c>
      <c r="AD26" s="10">
        <f>SUM('AEO by Class'!AC5:AC7)/SUM('AEO by Class'!AC5:AC8)</f>
        <v>0.98179848779218515</v>
      </c>
      <c r="AE26" s="10">
        <f>SUM('AEO by Class'!AD5:AD7)/SUM('AEO by Class'!AD5:AD8)</f>
        <v>0.98204846511515176</v>
      </c>
      <c r="AF26" s="10">
        <f>SUM('AEO by Class'!AE5:AE7)/SUM('AEO by Class'!AE5:AE8)</f>
        <v>0.982288809761245</v>
      </c>
    </row>
    <row r="27" spans="1:32">
      <c r="A27" t="s">
        <v>72</v>
      </c>
      <c r="C27" s="10">
        <f>1-C26</f>
        <v>2.6006570429937037E-2</v>
      </c>
      <c r="D27" s="10">
        <f t="shared" ref="D27:AF27" si="4">1-D26</f>
        <v>2.5618221467531788E-2</v>
      </c>
      <c r="E27" s="10">
        <f t="shared" si="4"/>
        <v>2.5299582051631408E-2</v>
      </c>
      <c r="F27" s="10">
        <f t="shared" si="4"/>
        <v>2.5022939496874286E-2</v>
      </c>
      <c r="G27" s="10">
        <f t="shared" si="4"/>
        <v>2.4794745294178799E-2</v>
      </c>
      <c r="H27" s="10">
        <f t="shared" si="4"/>
        <v>2.4561444992012071E-2</v>
      </c>
      <c r="I27" s="10">
        <f t="shared" si="4"/>
        <v>2.4297953468168987E-2</v>
      </c>
      <c r="J27" s="10">
        <f t="shared" si="4"/>
        <v>2.3996211867772232E-2</v>
      </c>
      <c r="K27" s="10">
        <f t="shared" si="4"/>
        <v>2.3668577771075228E-2</v>
      </c>
      <c r="L27" s="10">
        <f t="shared" si="4"/>
        <v>2.3335002327378063E-2</v>
      </c>
      <c r="M27" s="10">
        <f t="shared" si="4"/>
        <v>2.3011079570955051E-2</v>
      </c>
      <c r="N27" s="10">
        <f t="shared" si="4"/>
        <v>2.2672296560859895E-2</v>
      </c>
      <c r="O27" s="10">
        <f t="shared" si="4"/>
        <v>2.2346955914042677E-2</v>
      </c>
      <c r="P27" s="10">
        <f t="shared" si="4"/>
        <v>2.2033901890268215E-2</v>
      </c>
      <c r="Q27" s="10">
        <f t="shared" si="4"/>
        <v>2.1733868644876475E-2</v>
      </c>
      <c r="R27" s="10">
        <f t="shared" si="4"/>
        <v>2.1446637623338871E-2</v>
      </c>
      <c r="S27" s="10">
        <f t="shared" si="4"/>
        <v>2.1160806634445195E-2</v>
      </c>
      <c r="T27" s="10">
        <f t="shared" si="4"/>
        <v>2.0902210328149651E-2</v>
      </c>
      <c r="U27" s="10">
        <f t="shared" si="4"/>
        <v>2.061256028357239E-2</v>
      </c>
      <c r="V27" s="10">
        <f t="shared" si="4"/>
        <v>2.0327714097466254E-2</v>
      </c>
      <c r="W27" s="10">
        <f t="shared" si="4"/>
        <v>2.0039210716769063E-2</v>
      </c>
      <c r="X27" s="10">
        <f t="shared" si="4"/>
        <v>1.9772716243824706E-2</v>
      </c>
      <c r="Y27" s="10">
        <f t="shared" si="4"/>
        <v>1.9502650902495033E-2</v>
      </c>
      <c r="Z27" s="10">
        <f t="shared" si="4"/>
        <v>1.9234858234517982E-2</v>
      </c>
      <c r="AA27" s="10">
        <f t="shared" si="4"/>
        <v>1.8976743713679411E-2</v>
      </c>
      <c r="AB27" s="10">
        <f t="shared" si="4"/>
        <v>1.8718614631872188E-2</v>
      </c>
      <c r="AC27" s="10">
        <f t="shared" si="4"/>
        <v>1.8456905821664482E-2</v>
      </c>
      <c r="AD27" s="10">
        <f t="shared" si="4"/>
        <v>1.8201512207814852E-2</v>
      </c>
      <c r="AE27" s="10">
        <f t="shared" si="4"/>
        <v>1.7951534884848241E-2</v>
      </c>
      <c r="AF27" s="10">
        <f t="shared" si="4"/>
        <v>1.7711190238755004E-2</v>
      </c>
    </row>
    <row r="29" spans="1:32">
      <c r="A29" t="s">
        <v>73</v>
      </c>
      <c r="C29" s="10">
        <f>C22/SUM(C22,C23*C26)</f>
        <v>0.73481142207366135</v>
      </c>
      <c r="D29" s="10">
        <f t="shared" ref="D29:AF29" si="5">D22/SUM(D22,D23*D26)</f>
        <v>0.74127417978219723</v>
      </c>
      <c r="E29" s="10">
        <f t="shared" si="5"/>
        <v>0.74553854674331921</v>
      </c>
      <c r="F29" s="10">
        <f t="shared" si="5"/>
        <v>0.74769121441064412</v>
      </c>
      <c r="G29" s="10">
        <f t="shared" si="5"/>
        <v>0.74820737612823907</v>
      </c>
      <c r="H29" s="10">
        <f t="shared" si="5"/>
        <v>0.74844142817917036</v>
      </c>
      <c r="I29" s="10">
        <f t="shared" si="5"/>
        <v>0.74877446237778833</v>
      </c>
      <c r="J29" s="10">
        <f t="shared" si="5"/>
        <v>0.74885964940774741</v>
      </c>
      <c r="K29" s="10">
        <f t="shared" si="5"/>
        <v>0.74900963250120289</v>
      </c>
      <c r="L29" s="10">
        <f t="shared" si="5"/>
        <v>0.74938033574885499</v>
      </c>
      <c r="M29" s="10">
        <f t="shared" si="5"/>
        <v>0.74954210086287232</v>
      </c>
      <c r="N29" s="10">
        <f t="shared" si="5"/>
        <v>0.7491612114249121</v>
      </c>
      <c r="O29" s="10">
        <f t="shared" si="5"/>
        <v>0.74924577434472572</v>
      </c>
      <c r="P29" s="10">
        <f t="shared" si="5"/>
        <v>0.74933058100409178</v>
      </c>
      <c r="Q29" s="10">
        <f t="shared" si="5"/>
        <v>0.74927541514132256</v>
      </c>
      <c r="R29" s="10">
        <f t="shared" si="5"/>
        <v>0.74939701708796347</v>
      </c>
      <c r="S29" s="10">
        <f t="shared" si="5"/>
        <v>0.74919032898697491</v>
      </c>
      <c r="T29" s="10">
        <f t="shared" si="5"/>
        <v>0.74918031490485637</v>
      </c>
      <c r="U29" s="10">
        <f t="shared" si="5"/>
        <v>0.74910395642487793</v>
      </c>
      <c r="V29" s="10">
        <f t="shared" si="5"/>
        <v>0.7489415734849606</v>
      </c>
      <c r="W29" s="10">
        <f t="shared" si="5"/>
        <v>0.74890413145208234</v>
      </c>
      <c r="X29" s="10">
        <f t="shared" si="5"/>
        <v>0.74889930291880147</v>
      </c>
      <c r="Y29" s="10">
        <f t="shared" si="5"/>
        <v>0.74875012847799738</v>
      </c>
      <c r="Z29" s="10">
        <f t="shared" si="5"/>
        <v>0.7486160706646503</v>
      </c>
      <c r="AA29" s="10">
        <f t="shared" si="5"/>
        <v>0.74873342112160668</v>
      </c>
      <c r="AB29" s="10">
        <f t="shared" si="5"/>
        <v>0.74894392924152842</v>
      </c>
      <c r="AC29" s="10">
        <f t="shared" si="5"/>
        <v>0.74925132572081576</v>
      </c>
      <c r="AD29" s="10">
        <f t="shared" si="5"/>
        <v>0.74965610175272923</v>
      </c>
      <c r="AE29" s="10">
        <f t="shared" si="5"/>
        <v>0.74993875837147139</v>
      </c>
      <c r="AF29" s="10">
        <f t="shared" si="5"/>
        <v>0.75002640197546133</v>
      </c>
    </row>
    <row r="30" spans="1:32">
      <c r="A30" t="s">
        <v>74</v>
      </c>
      <c r="C30" s="10">
        <f>1-C29</f>
        <v>0.26518857792633865</v>
      </c>
      <c r="D30" s="10">
        <f t="shared" ref="D30:AF30" si="6">1-D29</f>
        <v>0.25872582021780277</v>
      </c>
      <c r="E30" s="10">
        <f t="shared" si="6"/>
        <v>0.25446145325668079</v>
      </c>
      <c r="F30" s="10">
        <f t="shared" si="6"/>
        <v>0.25230878558935588</v>
      </c>
      <c r="G30" s="10">
        <f t="shared" si="6"/>
        <v>0.25179262387176093</v>
      </c>
      <c r="H30" s="10">
        <f t="shared" si="6"/>
        <v>0.25155857182082964</v>
      </c>
      <c r="I30" s="10">
        <f t="shared" si="6"/>
        <v>0.25122553762221167</v>
      </c>
      <c r="J30" s="10">
        <f t="shared" si="6"/>
        <v>0.25114035059225259</v>
      </c>
      <c r="K30" s="10">
        <f t="shared" si="6"/>
        <v>0.25099036749879711</v>
      </c>
      <c r="L30" s="10">
        <f t="shared" si="6"/>
        <v>0.25061966425114501</v>
      </c>
      <c r="M30" s="10">
        <f t="shared" si="6"/>
        <v>0.25045789913712768</v>
      </c>
      <c r="N30" s="10">
        <f t="shared" si="6"/>
        <v>0.2508387885750879</v>
      </c>
      <c r="O30" s="10">
        <f t="shared" si="6"/>
        <v>0.25075422565527428</v>
      </c>
      <c r="P30" s="10">
        <f t="shared" si="6"/>
        <v>0.25066941899590822</v>
      </c>
      <c r="Q30" s="10">
        <f t="shared" si="6"/>
        <v>0.25072458485867744</v>
      </c>
      <c r="R30" s="10">
        <f t="shared" si="6"/>
        <v>0.25060298291203653</v>
      </c>
      <c r="S30" s="10">
        <f t="shared" si="6"/>
        <v>0.25080967101302509</v>
      </c>
      <c r="T30" s="10">
        <f t="shared" si="6"/>
        <v>0.25081968509514363</v>
      </c>
      <c r="U30" s="10">
        <f t="shared" si="6"/>
        <v>0.25089604357512207</v>
      </c>
      <c r="V30" s="10">
        <f t="shared" si="6"/>
        <v>0.2510584265150394</v>
      </c>
      <c r="W30" s="10">
        <f t="shared" si="6"/>
        <v>0.25109586854791766</v>
      </c>
      <c r="X30" s="10">
        <f t="shared" si="6"/>
        <v>0.25110069708119853</v>
      </c>
      <c r="Y30" s="10">
        <f t="shared" si="6"/>
        <v>0.25124987152200262</v>
      </c>
      <c r="Z30" s="10">
        <f t="shared" si="6"/>
        <v>0.2513839293353497</v>
      </c>
      <c r="AA30" s="10">
        <f t="shared" si="6"/>
        <v>0.25126657887839332</v>
      </c>
      <c r="AB30" s="10">
        <f t="shared" si="6"/>
        <v>0.25105607075847158</v>
      </c>
      <c r="AC30" s="10">
        <f t="shared" si="6"/>
        <v>0.25074867427918424</v>
      </c>
      <c r="AD30" s="10">
        <f t="shared" si="6"/>
        <v>0.25034389824727077</v>
      </c>
      <c r="AE30" s="10">
        <f t="shared" si="6"/>
        <v>0.25006124162852861</v>
      </c>
      <c r="AF30" s="10">
        <f t="shared" si="6"/>
        <v>0.24997359802453867</v>
      </c>
    </row>
    <row r="31" spans="1:32">
      <c r="A31" t="s">
        <v>75</v>
      </c>
      <c r="C31" s="10">
        <f>(C23*C27)/SUM(C23*C27,C24)</f>
        <v>8.5746266307587214E-3</v>
      </c>
      <c r="D31" s="10">
        <f t="shared" ref="D31:AF31" si="7">(D23*D27)/SUM(D23*D27,D24)</f>
        <v>8.3845751799425973E-3</v>
      </c>
      <c r="E31" s="10">
        <f t="shared" si="7"/>
        <v>8.2334310553413611E-3</v>
      </c>
      <c r="F31" s="10">
        <f t="shared" si="7"/>
        <v>8.1146347488336226E-3</v>
      </c>
      <c r="G31" s="10">
        <f t="shared" si="7"/>
        <v>8.0218503292793335E-3</v>
      </c>
      <c r="H31" s="10">
        <f t="shared" si="7"/>
        <v>7.9470666093266178E-3</v>
      </c>
      <c r="I31" s="10">
        <f t="shared" si="7"/>
        <v>7.8830439441871306E-3</v>
      </c>
      <c r="J31" s="10">
        <f t="shared" si="7"/>
        <v>7.8269763173361619E-3</v>
      </c>
      <c r="K31" s="10">
        <f t="shared" si="7"/>
        <v>7.7760428302134244E-3</v>
      </c>
      <c r="L31" s="10">
        <f t="shared" si="7"/>
        <v>7.7336831074216314E-3</v>
      </c>
      <c r="M31" s="10">
        <f t="shared" si="7"/>
        <v>7.7008536881767115E-3</v>
      </c>
      <c r="N31" s="10">
        <f t="shared" si="7"/>
        <v>7.6739092565390899E-3</v>
      </c>
      <c r="O31" s="10">
        <f t="shared" si="7"/>
        <v>7.6486353434351076E-3</v>
      </c>
      <c r="P31" s="10">
        <f t="shared" si="7"/>
        <v>7.6261121029012518E-3</v>
      </c>
      <c r="Q31" s="10">
        <f t="shared" si="7"/>
        <v>7.6073022502953407E-3</v>
      </c>
      <c r="R31" s="10">
        <f t="shared" si="7"/>
        <v>7.5916857033980741E-3</v>
      </c>
      <c r="S31" s="10">
        <f t="shared" si="7"/>
        <v>7.5780446760008715E-3</v>
      </c>
      <c r="T31" s="10">
        <f t="shared" si="7"/>
        <v>7.5653723778320815E-3</v>
      </c>
      <c r="U31" s="10">
        <f t="shared" si="7"/>
        <v>7.5494685823464065E-3</v>
      </c>
      <c r="V31" s="10">
        <f t="shared" si="7"/>
        <v>7.5335815373240734E-3</v>
      </c>
      <c r="W31" s="10">
        <f t="shared" si="7"/>
        <v>7.5164133352764173E-3</v>
      </c>
      <c r="X31" s="10">
        <f t="shared" si="7"/>
        <v>7.5030825135913937E-3</v>
      </c>
      <c r="Y31" s="10">
        <f t="shared" si="7"/>
        <v>7.4913118089481642E-3</v>
      </c>
      <c r="Z31" s="10">
        <f t="shared" si="7"/>
        <v>7.481304427968875E-3</v>
      </c>
      <c r="AA31" s="10">
        <f t="shared" si="7"/>
        <v>7.4733713889194578E-3</v>
      </c>
      <c r="AB31" s="10">
        <f t="shared" si="7"/>
        <v>7.4651998275237141E-3</v>
      </c>
      <c r="AC31" s="10">
        <f t="shared" si="7"/>
        <v>7.4566040252051716E-3</v>
      </c>
      <c r="AD31" s="10">
        <f t="shared" si="7"/>
        <v>7.4496551405745046E-3</v>
      </c>
      <c r="AE31" s="10">
        <f t="shared" si="7"/>
        <v>7.4434587660748173E-3</v>
      </c>
      <c r="AF31" s="10">
        <f t="shared" si="7"/>
        <v>7.4383567270127236E-3</v>
      </c>
    </row>
    <row r="32" spans="1:32">
      <c r="A32" t="s">
        <v>76</v>
      </c>
      <c r="C32" s="10">
        <f>1-C31</f>
        <v>0.9914253733692413</v>
      </c>
      <c r="D32" s="10">
        <f t="shared" ref="D32:AF32" si="8">1-D31</f>
        <v>0.99161542482005738</v>
      </c>
      <c r="E32" s="10">
        <f t="shared" si="8"/>
        <v>0.99176656894465864</v>
      </c>
      <c r="F32" s="10">
        <f t="shared" si="8"/>
        <v>0.99188536525116633</v>
      </c>
      <c r="G32" s="10">
        <f t="shared" si="8"/>
        <v>0.99197814967072062</v>
      </c>
      <c r="H32" s="10">
        <f t="shared" si="8"/>
        <v>0.99205293339067335</v>
      </c>
      <c r="I32" s="10">
        <f t="shared" si="8"/>
        <v>0.99211695605581285</v>
      </c>
      <c r="J32" s="10">
        <f t="shared" si="8"/>
        <v>0.9921730236826638</v>
      </c>
      <c r="K32" s="10">
        <f t="shared" si="8"/>
        <v>0.99222395716978662</v>
      </c>
      <c r="L32" s="10">
        <f t="shared" si="8"/>
        <v>0.99226631689257838</v>
      </c>
      <c r="M32" s="10">
        <f t="shared" si="8"/>
        <v>0.99229914631182325</v>
      </c>
      <c r="N32" s="10">
        <f t="shared" si="8"/>
        <v>0.9923260907434609</v>
      </c>
      <c r="O32" s="10">
        <f t="shared" si="8"/>
        <v>0.99235136465656493</v>
      </c>
      <c r="P32" s="10">
        <f t="shared" si="8"/>
        <v>0.99237388789709879</v>
      </c>
      <c r="Q32" s="10">
        <f t="shared" si="8"/>
        <v>0.99239269774970462</v>
      </c>
      <c r="R32" s="10">
        <f t="shared" si="8"/>
        <v>0.99240831429660192</v>
      </c>
      <c r="S32" s="10">
        <f t="shared" si="8"/>
        <v>0.99242195532399913</v>
      </c>
      <c r="T32" s="10">
        <f t="shared" si="8"/>
        <v>0.99243462762216794</v>
      </c>
      <c r="U32" s="10">
        <f t="shared" si="8"/>
        <v>0.9924505314176536</v>
      </c>
      <c r="V32" s="10">
        <f t="shared" si="8"/>
        <v>0.99246641846267591</v>
      </c>
      <c r="W32" s="10">
        <f t="shared" si="8"/>
        <v>0.99248358666472358</v>
      </c>
      <c r="X32" s="10">
        <f t="shared" si="8"/>
        <v>0.99249691748640856</v>
      </c>
      <c r="Y32" s="10">
        <f t="shared" si="8"/>
        <v>0.99250868819105187</v>
      </c>
      <c r="Z32" s="10">
        <f t="shared" si="8"/>
        <v>0.9925186955720311</v>
      </c>
      <c r="AA32" s="10">
        <f t="shared" si="8"/>
        <v>0.99252662861108054</v>
      </c>
      <c r="AB32" s="10">
        <f t="shared" si="8"/>
        <v>0.99253480017247631</v>
      </c>
      <c r="AC32" s="10">
        <f t="shared" si="8"/>
        <v>0.9925433959747948</v>
      </c>
      <c r="AD32" s="10">
        <f t="shared" si="8"/>
        <v>0.9925503448594255</v>
      </c>
      <c r="AE32" s="10">
        <f t="shared" si="8"/>
        <v>0.99255654123392523</v>
      </c>
      <c r="AF32" s="10">
        <f t="shared" si="8"/>
        <v>0.99256164327298724</v>
      </c>
    </row>
    <row r="35" spans="1:32" s="1" customFormat="1">
      <c r="A35" s="19" t="s">
        <v>77</v>
      </c>
      <c r="B35" s="22"/>
      <c r="C35" s="22"/>
      <c r="D35" s="31"/>
    </row>
    <row r="36" spans="1:32">
      <c r="A36" s="32" t="s">
        <v>78</v>
      </c>
      <c r="D36" s="15"/>
    </row>
    <row r="37" spans="1:32">
      <c r="A37" s="203" t="s">
        <v>79</v>
      </c>
      <c r="B37" s="204"/>
      <c r="C37" s="205"/>
      <c r="D37" s="15"/>
    </row>
    <row r="38" spans="1:32">
      <c r="A38" s="33"/>
      <c r="B38" s="34"/>
      <c r="C38" s="34"/>
      <c r="D38" s="15"/>
    </row>
    <row r="39" spans="1:32">
      <c r="A39" s="33" t="s">
        <v>80</v>
      </c>
      <c r="B39" s="35" t="s">
        <v>80</v>
      </c>
      <c r="C39" s="35" t="s">
        <v>11</v>
      </c>
      <c r="D39" s="15"/>
    </row>
    <row r="40" spans="1:32">
      <c r="A40" s="33" t="s">
        <v>81</v>
      </c>
      <c r="B40" s="35" t="s">
        <v>82</v>
      </c>
      <c r="C40" s="35" t="s">
        <v>83</v>
      </c>
      <c r="D40" s="15"/>
    </row>
    <row r="41" spans="1:32">
      <c r="A41" s="33"/>
      <c r="B41" s="35" t="s">
        <v>84</v>
      </c>
      <c r="C41" s="35" t="s">
        <v>80</v>
      </c>
      <c r="D41" s="15"/>
    </row>
    <row r="42" spans="1:32">
      <c r="A42" s="36"/>
      <c r="B42" s="37"/>
      <c r="C42" s="37"/>
      <c r="D42" s="15"/>
    </row>
    <row r="43" spans="1:32">
      <c r="A43" s="38">
        <v>441729.57892933337</v>
      </c>
      <c r="B43" s="39">
        <v>420505.54779706453</v>
      </c>
      <c r="C43" s="39">
        <v>967456.95259556803</v>
      </c>
      <c r="D43" s="18"/>
    </row>
    <row r="45" spans="1:32">
      <c r="A45" s="1" t="s">
        <v>85</v>
      </c>
    </row>
    <row r="46" spans="1:32">
      <c r="A46" t="s">
        <v>62</v>
      </c>
      <c r="B46">
        <v>2020</v>
      </c>
      <c r="C46">
        <v>2021</v>
      </c>
      <c r="D46">
        <v>2022</v>
      </c>
      <c r="E46">
        <v>2023</v>
      </c>
      <c r="F46">
        <v>2024</v>
      </c>
      <c r="G46">
        <v>2025</v>
      </c>
      <c r="H46">
        <v>2026</v>
      </c>
      <c r="I46">
        <v>2027</v>
      </c>
      <c r="J46">
        <v>2028</v>
      </c>
      <c r="K46">
        <v>2029</v>
      </c>
      <c r="L46">
        <v>2030</v>
      </c>
      <c r="M46">
        <v>2031</v>
      </c>
      <c r="N46">
        <v>2032</v>
      </c>
      <c r="O46">
        <v>2033</v>
      </c>
      <c r="P46">
        <v>2034</v>
      </c>
      <c r="Q46">
        <v>2035</v>
      </c>
      <c r="R46">
        <v>2036</v>
      </c>
      <c r="S46">
        <v>2037</v>
      </c>
      <c r="T46">
        <v>2038</v>
      </c>
      <c r="U46">
        <v>2039</v>
      </c>
      <c r="V46">
        <v>2040</v>
      </c>
      <c r="W46">
        <v>2041</v>
      </c>
      <c r="X46">
        <v>2042</v>
      </c>
      <c r="Y46">
        <v>2043</v>
      </c>
      <c r="Z46">
        <v>2044</v>
      </c>
      <c r="AA46">
        <v>2045</v>
      </c>
      <c r="AB46">
        <v>2046</v>
      </c>
      <c r="AC46">
        <v>2047</v>
      </c>
      <c r="AD46">
        <v>2048</v>
      </c>
      <c r="AE46">
        <v>2049</v>
      </c>
      <c r="AF46">
        <v>2050</v>
      </c>
    </row>
    <row r="47" spans="1:32">
      <c r="A47" t="s">
        <v>86</v>
      </c>
      <c r="B47" s="6">
        <f t="shared" ref="B47:AF48" si="9">B16</f>
        <v>9.5000000000000001E-2</v>
      </c>
      <c r="C47" s="6">
        <f t="shared" si="9"/>
        <v>0.12</v>
      </c>
      <c r="D47" s="6">
        <f t="shared" si="9"/>
        <v>0.14499999999999999</v>
      </c>
      <c r="E47" s="6">
        <f t="shared" si="9"/>
        <v>0.16999999999999998</v>
      </c>
      <c r="F47" s="6">
        <f t="shared" si="9"/>
        <v>0.19500000000000001</v>
      </c>
      <c r="G47" s="6">
        <f t="shared" si="9"/>
        <v>0.21999999999999997</v>
      </c>
      <c r="H47" s="6">
        <f t="shared" si="9"/>
        <v>0.22</v>
      </c>
      <c r="I47" s="6">
        <f t="shared" si="9"/>
        <v>0.22</v>
      </c>
      <c r="J47" s="6">
        <f t="shared" si="9"/>
        <v>0.22</v>
      </c>
      <c r="K47" s="6">
        <f t="shared" si="9"/>
        <v>0.22</v>
      </c>
      <c r="L47" s="6">
        <f t="shared" si="9"/>
        <v>0.22</v>
      </c>
      <c r="M47" s="6">
        <f t="shared" si="9"/>
        <v>0.22</v>
      </c>
      <c r="N47" s="6">
        <f t="shared" si="9"/>
        <v>0.22</v>
      </c>
      <c r="O47" s="6">
        <f t="shared" si="9"/>
        <v>0.22</v>
      </c>
      <c r="P47" s="6">
        <f t="shared" si="9"/>
        <v>0.22</v>
      </c>
      <c r="Q47" s="6">
        <f t="shared" si="9"/>
        <v>0.22</v>
      </c>
      <c r="R47" s="6">
        <f t="shared" si="9"/>
        <v>0.22</v>
      </c>
      <c r="S47" s="6">
        <f t="shared" si="9"/>
        <v>0.22</v>
      </c>
      <c r="T47" s="6">
        <f t="shared" si="9"/>
        <v>0.22</v>
      </c>
      <c r="U47" s="6">
        <f t="shared" si="9"/>
        <v>0.22</v>
      </c>
      <c r="V47" s="6">
        <f t="shared" si="9"/>
        <v>0.22</v>
      </c>
      <c r="W47" s="6">
        <f t="shared" si="9"/>
        <v>0.22</v>
      </c>
      <c r="X47" s="6">
        <f t="shared" si="9"/>
        <v>0.22</v>
      </c>
      <c r="Y47" s="6">
        <f t="shared" si="9"/>
        <v>0.22</v>
      </c>
      <c r="Z47" s="6">
        <f t="shared" si="9"/>
        <v>0.22</v>
      </c>
      <c r="AA47" s="6">
        <f t="shared" si="9"/>
        <v>0.22</v>
      </c>
      <c r="AB47" s="6">
        <f t="shared" si="9"/>
        <v>0.22</v>
      </c>
      <c r="AC47" s="6">
        <f t="shared" si="9"/>
        <v>0.22</v>
      </c>
      <c r="AD47" s="6">
        <f t="shared" si="9"/>
        <v>0.22</v>
      </c>
      <c r="AE47" s="6">
        <f t="shared" si="9"/>
        <v>0.22</v>
      </c>
      <c r="AF47" s="6">
        <f t="shared" si="9"/>
        <v>0.22</v>
      </c>
    </row>
    <row r="48" spans="1:32">
      <c r="A48" t="s">
        <v>87</v>
      </c>
      <c r="B48" s="6">
        <f t="shared" si="9"/>
        <v>9.5000000000000001E-2</v>
      </c>
      <c r="C48" s="6">
        <f t="shared" si="9"/>
        <v>0.12</v>
      </c>
      <c r="D48" s="6">
        <f t="shared" si="9"/>
        <v>0.14499999999999999</v>
      </c>
      <c r="E48" s="6">
        <f t="shared" si="9"/>
        <v>0.16999999999999998</v>
      </c>
      <c r="F48" s="6">
        <f t="shared" si="9"/>
        <v>0.19500000000000001</v>
      </c>
      <c r="G48" s="6">
        <f t="shared" si="9"/>
        <v>0.21999999999999997</v>
      </c>
      <c r="H48" s="6">
        <f t="shared" si="9"/>
        <v>0.35</v>
      </c>
      <c r="I48" s="6">
        <f t="shared" si="9"/>
        <v>0.43</v>
      </c>
      <c r="J48" s="6">
        <f t="shared" si="9"/>
        <v>0.51</v>
      </c>
      <c r="K48" s="6">
        <f t="shared" si="9"/>
        <v>0.59</v>
      </c>
      <c r="L48" s="6">
        <f t="shared" si="9"/>
        <v>0.68</v>
      </c>
      <c r="M48" s="6">
        <f t="shared" si="9"/>
        <v>0.76</v>
      </c>
      <c r="N48" s="6">
        <f t="shared" si="9"/>
        <v>0.82</v>
      </c>
      <c r="O48" s="6">
        <f t="shared" si="9"/>
        <v>0.88</v>
      </c>
      <c r="P48" s="6">
        <f t="shared" si="9"/>
        <v>0.94</v>
      </c>
      <c r="Q48" s="6">
        <f t="shared" si="9"/>
        <v>1</v>
      </c>
      <c r="R48" s="6">
        <f t="shared" si="9"/>
        <v>1</v>
      </c>
      <c r="S48" s="6">
        <f t="shared" si="9"/>
        <v>1</v>
      </c>
      <c r="T48" s="6">
        <f t="shared" si="9"/>
        <v>1</v>
      </c>
      <c r="U48" s="6">
        <f t="shared" si="9"/>
        <v>1</v>
      </c>
      <c r="V48" s="6">
        <f t="shared" si="9"/>
        <v>1</v>
      </c>
      <c r="W48" s="6">
        <f t="shared" si="9"/>
        <v>1</v>
      </c>
      <c r="X48" s="6">
        <f t="shared" si="9"/>
        <v>1</v>
      </c>
      <c r="Y48" s="6">
        <f t="shared" si="9"/>
        <v>1</v>
      </c>
      <c r="Z48" s="6">
        <f t="shared" si="9"/>
        <v>1</v>
      </c>
      <c r="AA48" s="6">
        <f t="shared" si="9"/>
        <v>1</v>
      </c>
      <c r="AB48" s="6">
        <f t="shared" si="9"/>
        <v>1</v>
      </c>
      <c r="AC48" s="6">
        <f t="shared" si="9"/>
        <v>1</v>
      </c>
      <c r="AD48" s="6">
        <f t="shared" si="9"/>
        <v>1</v>
      </c>
      <c r="AE48" s="6">
        <f t="shared" si="9"/>
        <v>1</v>
      </c>
      <c r="AF48" s="6">
        <f t="shared" si="9"/>
        <v>1</v>
      </c>
    </row>
    <row r="49" spans="1:32">
      <c r="A49" t="s">
        <v>50</v>
      </c>
      <c r="B49" s="6">
        <v>0</v>
      </c>
      <c r="C49" s="6">
        <v>0</v>
      </c>
      <c r="D49" s="6">
        <v>0</v>
      </c>
      <c r="E49" s="6">
        <v>0</v>
      </c>
      <c r="F49" s="6">
        <f t="shared" ref="F49:AF49" si="10">($A$43*0+$B$43*F19)/($C$43)</f>
        <v>3.9118535662182166E-2</v>
      </c>
      <c r="G49" s="6">
        <f t="shared" si="10"/>
        <v>4.7811543587111538E-2</v>
      </c>
      <c r="H49" s="6">
        <f t="shared" si="10"/>
        <v>5.6504551512040903E-2</v>
      </c>
      <c r="I49" s="6">
        <f t="shared" si="10"/>
        <v>8.6930079249293704E-2</v>
      </c>
      <c r="J49" s="6">
        <f t="shared" si="10"/>
        <v>0.13039511887394054</v>
      </c>
      <c r="K49" s="6">
        <f t="shared" si="10"/>
        <v>0.17386015849858741</v>
      </c>
      <c r="L49" s="6">
        <f t="shared" si="10"/>
        <v>0.21732519812323425</v>
      </c>
      <c r="M49" s="6">
        <f t="shared" si="10"/>
        <v>0.23905771793555769</v>
      </c>
      <c r="N49" s="6">
        <f t="shared" si="10"/>
        <v>0.26079023774788107</v>
      </c>
      <c r="O49" s="6">
        <f t="shared" si="10"/>
        <v>0.28252275756020451</v>
      </c>
      <c r="P49" s="6">
        <f t="shared" si="10"/>
        <v>0.30425527737252789</v>
      </c>
      <c r="Q49" s="6">
        <f t="shared" si="10"/>
        <v>0.32598779718485138</v>
      </c>
      <c r="R49" s="6">
        <f t="shared" si="10"/>
        <v>0.32598779718485138</v>
      </c>
      <c r="S49" s="6">
        <f t="shared" si="10"/>
        <v>0.32598779718485138</v>
      </c>
      <c r="T49" s="6">
        <f t="shared" si="10"/>
        <v>0.32598779718485138</v>
      </c>
      <c r="U49" s="6">
        <f t="shared" si="10"/>
        <v>0.32598779718485138</v>
      </c>
      <c r="V49" s="6">
        <f t="shared" si="10"/>
        <v>0.32598779718485138</v>
      </c>
      <c r="W49" s="6">
        <f t="shared" si="10"/>
        <v>0.32598779718485138</v>
      </c>
      <c r="X49" s="6">
        <f t="shared" si="10"/>
        <v>0.32598779718485138</v>
      </c>
      <c r="Y49" s="6">
        <f t="shared" si="10"/>
        <v>0.32598779718485138</v>
      </c>
      <c r="Z49" s="6">
        <f t="shared" si="10"/>
        <v>0.32598779718485138</v>
      </c>
      <c r="AA49" s="6">
        <f t="shared" si="10"/>
        <v>0.32598779718485138</v>
      </c>
      <c r="AB49" s="6">
        <f t="shared" si="10"/>
        <v>0.32598779718485138</v>
      </c>
      <c r="AC49" s="6">
        <f t="shared" si="10"/>
        <v>0.32598779718485138</v>
      </c>
      <c r="AD49" s="6">
        <f t="shared" si="10"/>
        <v>0.32598779718485138</v>
      </c>
      <c r="AE49" s="6">
        <f t="shared" si="10"/>
        <v>0.32598779718485138</v>
      </c>
      <c r="AF49" s="6">
        <f t="shared" si="10"/>
        <v>0.32598779718485138</v>
      </c>
    </row>
    <row r="50" spans="1:32">
      <c r="A50" t="s">
        <v>53</v>
      </c>
      <c r="B50" s="6">
        <v>0</v>
      </c>
      <c r="C50" s="6">
        <v>0</v>
      </c>
      <c r="D50" s="6">
        <v>0</v>
      </c>
      <c r="E50" s="6">
        <v>0</v>
      </c>
      <c r="F50" s="6">
        <v>0</v>
      </c>
      <c r="G50" s="6">
        <v>0</v>
      </c>
      <c r="H50" s="6">
        <v>0</v>
      </c>
      <c r="I50" s="6">
        <v>0</v>
      </c>
      <c r="J50" s="6">
        <v>0</v>
      </c>
      <c r="K50" s="6">
        <v>0</v>
      </c>
      <c r="L50" s="6">
        <v>0</v>
      </c>
      <c r="M50" s="6">
        <v>0</v>
      </c>
      <c r="N50" s="6">
        <v>0</v>
      </c>
      <c r="O50" s="6">
        <v>0</v>
      </c>
      <c r="P50" s="6">
        <v>0</v>
      </c>
      <c r="Q50" s="6">
        <v>0</v>
      </c>
      <c r="R50" s="6">
        <v>0</v>
      </c>
      <c r="S50" s="6">
        <v>0</v>
      </c>
      <c r="T50" s="6">
        <v>0</v>
      </c>
      <c r="U50" s="6">
        <v>0</v>
      </c>
      <c r="V50" s="6">
        <v>0</v>
      </c>
      <c r="W50" s="6">
        <v>0</v>
      </c>
      <c r="X50" s="6">
        <v>0</v>
      </c>
      <c r="Y50" s="6">
        <v>0</v>
      </c>
      <c r="Z50" s="6">
        <v>0</v>
      </c>
      <c r="AA50" s="6">
        <v>0</v>
      </c>
      <c r="AB50" s="6">
        <v>0</v>
      </c>
      <c r="AC50" s="6">
        <v>0</v>
      </c>
      <c r="AD50" s="6">
        <v>0</v>
      </c>
      <c r="AE50" s="6">
        <v>0</v>
      </c>
      <c r="AF50" s="6">
        <v>0</v>
      </c>
    </row>
    <row r="51" spans="1:32">
      <c r="A51" t="s">
        <v>55</v>
      </c>
      <c r="B51" s="6">
        <v>0</v>
      </c>
      <c r="C51" s="6">
        <v>0</v>
      </c>
      <c r="D51" s="6">
        <v>0</v>
      </c>
      <c r="E51" s="6">
        <v>0</v>
      </c>
      <c r="F51" s="6">
        <f>F18*F29+F19*F30</f>
        <v>6.0092351423574233E-2</v>
      </c>
      <c r="G51" s="6">
        <f t="shared" ref="G51:AF51" si="11">G18*G29+G19*G30</f>
        <v>8.007170495487044E-2</v>
      </c>
      <c r="H51" s="6">
        <f t="shared" si="11"/>
        <v>0.10754675715462489</v>
      </c>
      <c r="I51" s="6">
        <f t="shared" si="11"/>
        <v>0.16256127688111058</v>
      </c>
      <c r="J51" s="6">
        <f t="shared" si="11"/>
        <v>0.22511403505922528</v>
      </c>
      <c r="K51" s="6">
        <f t="shared" si="11"/>
        <v>0.28764855512481957</v>
      </c>
      <c r="L51" s="6">
        <f t="shared" si="11"/>
        <v>0.35012393285022902</v>
      </c>
      <c r="M51" s="6">
        <f t="shared" si="11"/>
        <v>0.40009157982742549</v>
      </c>
      <c r="N51" s="6">
        <f t="shared" si="11"/>
        <v>0.4501677577150176</v>
      </c>
      <c r="O51" s="6">
        <f t="shared" si="11"/>
        <v>0.5001508451310549</v>
      </c>
      <c r="P51" s="6">
        <f t="shared" si="11"/>
        <v>0.5501338837991816</v>
      </c>
      <c r="Q51" s="6">
        <f t="shared" si="11"/>
        <v>0.60014491697173544</v>
      </c>
      <c r="R51" s="6">
        <f t="shared" si="11"/>
        <v>0.60012059658240735</v>
      </c>
      <c r="S51" s="6">
        <f t="shared" si="11"/>
        <v>0.600161934202605</v>
      </c>
      <c r="T51" s="6">
        <f t="shared" si="11"/>
        <v>0.60016393701902881</v>
      </c>
      <c r="U51" s="6">
        <f t="shared" si="11"/>
        <v>0.60017920871502439</v>
      </c>
      <c r="V51" s="6">
        <f t="shared" si="11"/>
        <v>0.60021168530300795</v>
      </c>
      <c r="W51" s="6">
        <f t="shared" si="11"/>
        <v>0.60021917370958355</v>
      </c>
      <c r="X51" s="6">
        <f t="shared" si="11"/>
        <v>0.60022013941623975</v>
      </c>
      <c r="Y51" s="6">
        <f t="shared" si="11"/>
        <v>0.60024997430440052</v>
      </c>
      <c r="Z51" s="6">
        <f t="shared" si="11"/>
        <v>0.6002767858670699</v>
      </c>
      <c r="AA51" s="6">
        <f t="shared" si="11"/>
        <v>0.60025331577567864</v>
      </c>
      <c r="AB51" s="6">
        <f t="shared" si="11"/>
        <v>0.60021121415169432</v>
      </c>
      <c r="AC51" s="6">
        <f t="shared" si="11"/>
        <v>0.60014973485583689</v>
      </c>
      <c r="AD51" s="6">
        <f t="shared" si="11"/>
        <v>0.60006877964945415</v>
      </c>
      <c r="AE51" s="6">
        <f t="shared" si="11"/>
        <v>0.60001224832570577</v>
      </c>
      <c r="AF51" s="6">
        <f t="shared" si="11"/>
        <v>0.5999947196049078</v>
      </c>
    </row>
    <row r="52" spans="1:32">
      <c r="A52" t="s">
        <v>2</v>
      </c>
      <c r="B52" s="6">
        <v>0</v>
      </c>
      <c r="C52" s="6">
        <v>0</v>
      </c>
      <c r="D52" s="6">
        <v>0</v>
      </c>
      <c r="E52" s="6">
        <v>0</v>
      </c>
      <c r="F52" s="6">
        <f>F19*F31+F20*F32</f>
        <v>5.0324585389953345E-2</v>
      </c>
      <c r="G52" s="6">
        <f t="shared" ref="G52:AF52" si="12">G19*G31+G20*G32</f>
        <v>7.0320874013171178E-2</v>
      </c>
      <c r="H52" s="6">
        <f t="shared" si="12"/>
        <v>0.10023841199827981</v>
      </c>
      <c r="I52" s="6">
        <f t="shared" si="12"/>
        <v>0.15039415219720934</v>
      </c>
      <c r="J52" s="6">
        <f t="shared" si="12"/>
        <v>0.20078269763173362</v>
      </c>
      <c r="K52" s="6">
        <f t="shared" si="12"/>
        <v>0.25116640642453203</v>
      </c>
      <c r="L52" s="6">
        <f t="shared" si="12"/>
        <v>0.30154673662148429</v>
      </c>
      <c r="M52" s="6">
        <f t="shared" si="12"/>
        <v>0.35154017073763533</v>
      </c>
      <c r="N52" s="6">
        <f t="shared" si="12"/>
        <v>0.40153478185130786</v>
      </c>
      <c r="O52" s="6">
        <f t="shared" si="12"/>
        <v>0.40191215883585885</v>
      </c>
      <c r="P52" s="6">
        <f t="shared" si="12"/>
        <v>0.40228783363087045</v>
      </c>
      <c r="Q52" s="6">
        <f t="shared" si="12"/>
        <v>0.40266255578760335</v>
      </c>
      <c r="R52" s="6">
        <f t="shared" si="12"/>
        <v>0.40265708999618932</v>
      </c>
      <c r="S52" s="6">
        <f t="shared" si="12"/>
        <v>0.40265231563660031</v>
      </c>
      <c r="T52" s="6">
        <f t="shared" si="12"/>
        <v>0.40264788033224125</v>
      </c>
      <c r="U52" s="6">
        <f t="shared" si="12"/>
        <v>0.40264231400382128</v>
      </c>
      <c r="V52" s="6">
        <f t="shared" si="12"/>
        <v>0.40263675353806344</v>
      </c>
      <c r="W52" s="6">
        <f t="shared" si="12"/>
        <v>0.40263074466734672</v>
      </c>
      <c r="X52" s="6">
        <f t="shared" si="12"/>
        <v>0.40262607887975699</v>
      </c>
      <c r="Y52" s="6">
        <f t="shared" si="12"/>
        <v>0.40262195913313187</v>
      </c>
      <c r="Z52" s="6">
        <f t="shared" si="12"/>
        <v>0.40261845654978912</v>
      </c>
      <c r="AA52" s="6">
        <f t="shared" si="12"/>
        <v>0.40261567998612185</v>
      </c>
      <c r="AB52" s="6">
        <f t="shared" si="12"/>
        <v>0.40261281993963333</v>
      </c>
      <c r="AC52" s="6">
        <f t="shared" si="12"/>
        <v>0.40260981140882179</v>
      </c>
      <c r="AD52" s="6">
        <f t="shared" si="12"/>
        <v>0.4026073792992011</v>
      </c>
      <c r="AE52" s="6">
        <f t="shared" si="12"/>
        <v>0.40260521056812626</v>
      </c>
      <c r="AF52" s="6">
        <f t="shared" si="12"/>
        <v>0.40260342485445444</v>
      </c>
    </row>
    <row r="53" spans="1:32">
      <c r="A53" t="s">
        <v>60</v>
      </c>
      <c r="B53" s="6">
        <v>0</v>
      </c>
      <c r="C53" s="6">
        <v>0</v>
      </c>
      <c r="D53" s="6">
        <v>0</v>
      </c>
      <c r="E53" s="6">
        <v>0</v>
      </c>
      <c r="F53" s="6">
        <v>0</v>
      </c>
      <c r="G53" s="6">
        <v>0</v>
      </c>
      <c r="H53" s="6">
        <v>0</v>
      </c>
      <c r="I53" s="6">
        <v>0</v>
      </c>
      <c r="J53" s="6">
        <v>0</v>
      </c>
      <c r="K53" s="6">
        <v>0</v>
      </c>
      <c r="L53" s="6">
        <v>0</v>
      </c>
      <c r="M53" s="6">
        <v>0</v>
      </c>
      <c r="N53" s="6">
        <v>0</v>
      </c>
      <c r="O53" s="6">
        <v>0</v>
      </c>
      <c r="P53" s="6">
        <v>0</v>
      </c>
      <c r="Q53" s="6">
        <v>0</v>
      </c>
      <c r="R53" s="6">
        <v>0</v>
      </c>
      <c r="S53" s="6">
        <v>0</v>
      </c>
      <c r="T53" s="6">
        <v>0</v>
      </c>
      <c r="U53" s="6">
        <v>0</v>
      </c>
      <c r="V53" s="6">
        <v>0</v>
      </c>
      <c r="W53" s="6">
        <v>0</v>
      </c>
      <c r="X53" s="6">
        <v>0</v>
      </c>
      <c r="Y53" s="6">
        <v>0</v>
      </c>
      <c r="Z53" s="6">
        <v>0</v>
      </c>
      <c r="AA53" s="6">
        <v>0</v>
      </c>
      <c r="AB53" s="6">
        <v>0</v>
      </c>
      <c r="AC53" s="6">
        <v>0</v>
      </c>
      <c r="AD53" s="6">
        <v>0</v>
      </c>
      <c r="AE53" s="6">
        <v>0</v>
      </c>
      <c r="AF53" s="6">
        <v>0</v>
      </c>
    </row>
  </sheetData>
  <mergeCells count="1">
    <mergeCell ref="A37:C37"/>
  </mergeCell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C18589-43C3-4932-B5AC-B0DE08E68F3F}">
  <dimension ref="A1:AF73"/>
  <sheetViews>
    <sheetView workbookViewId="0">
      <selection activeCell="F51" sqref="F51:AF52"/>
    </sheetView>
  </sheetViews>
  <sheetFormatPr defaultRowHeight="15"/>
  <cols>
    <col min="1" max="1" width="30" customWidth="1"/>
    <col min="2" max="2" width="25" style="7" customWidth="1"/>
    <col min="3" max="3" width="21.5703125" customWidth="1"/>
    <col min="4" max="4" width="8.7109375" customWidth="1"/>
    <col min="5" max="6" width="12" customWidth="1"/>
    <col min="7" max="7" width="10.42578125" bestFit="1" customWidth="1"/>
    <col min="8" max="8" width="12.28515625" bestFit="1" customWidth="1"/>
    <col min="12" max="12" width="12.28515625" bestFit="1" customWidth="1"/>
  </cols>
  <sheetData>
    <row r="1" spans="1:32">
      <c r="B1" s="40">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row>
    <row r="2" spans="1:32">
      <c r="A2" s="1" t="s">
        <v>86</v>
      </c>
      <c r="B2" s="7">
        <f>'EPS Vehicle Class Mapping'!B47</f>
        <v>9.5000000000000001E-2</v>
      </c>
      <c r="C2" s="6">
        <f>'EPS Vehicle Class Mapping'!C47</f>
        <v>0.12</v>
      </c>
      <c r="D2" s="6">
        <f>'EPS Vehicle Class Mapping'!D47</f>
        <v>0.14499999999999999</v>
      </c>
      <c r="E2" s="6">
        <f>'EPS Vehicle Class Mapping'!E47</f>
        <v>0.16999999999999998</v>
      </c>
      <c r="F2" s="6">
        <f>'EPS Vehicle Class Mapping'!F47</f>
        <v>0.19500000000000001</v>
      </c>
      <c r="G2" s="6">
        <f>'EPS Vehicle Class Mapping'!G47</f>
        <v>0.21999999999999997</v>
      </c>
      <c r="H2" s="6">
        <f>'EPS Vehicle Class Mapping'!H47</f>
        <v>0.22</v>
      </c>
      <c r="I2" s="6">
        <f>'EPS Vehicle Class Mapping'!I47</f>
        <v>0.22</v>
      </c>
      <c r="J2" s="6">
        <f>'EPS Vehicle Class Mapping'!J47</f>
        <v>0.22</v>
      </c>
      <c r="K2" s="6">
        <f>'EPS Vehicle Class Mapping'!K47</f>
        <v>0.22</v>
      </c>
      <c r="L2" s="6">
        <f>'EPS Vehicle Class Mapping'!L47</f>
        <v>0.22</v>
      </c>
      <c r="M2" s="6">
        <f>'EPS Vehicle Class Mapping'!M47</f>
        <v>0.22</v>
      </c>
      <c r="N2" s="6">
        <f>'EPS Vehicle Class Mapping'!N47</f>
        <v>0.22</v>
      </c>
      <c r="O2" s="6">
        <f>'EPS Vehicle Class Mapping'!O47</f>
        <v>0.22</v>
      </c>
      <c r="P2" s="6">
        <f>'EPS Vehicle Class Mapping'!P47</f>
        <v>0.22</v>
      </c>
      <c r="Q2" s="6">
        <f>'EPS Vehicle Class Mapping'!Q47</f>
        <v>0.22</v>
      </c>
      <c r="R2" s="6">
        <f>'EPS Vehicle Class Mapping'!R47</f>
        <v>0.22</v>
      </c>
      <c r="S2" s="6">
        <f>'EPS Vehicle Class Mapping'!S47</f>
        <v>0.22</v>
      </c>
      <c r="T2" s="6">
        <f>'EPS Vehicle Class Mapping'!T47</f>
        <v>0.22</v>
      </c>
      <c r="U2" s="6">
        <f>'EPS Vehicle Class Mapping'!U47</f>
        <v>0.22</v>
      </c>
      <c r="V2" s="6">
        <f>'EPS Vehicle Class Mapping'!V47</f>
        <v>0.22</v>
      </c>
      <c r="W2" s="6">
        <f>'EPS Vehicle Class Mapping'!W47</f>
        <v>0.22</v>
      </c>
      <c r="X2" s="6">
        <f>'EPS Vehicle Class Mapping'!X47</f>
        <v>0.22</v>
      </c>
      <c r="Y2" s="6">
        <f>'EPS Vehicle Class Mapping'!Y47</f>
        <v>0.22</v>
      </c>
      <c r="Z2" s="6">
        <f>'EPS Vehicle Class Mapping'!Z47</f>
        <v>0.22</v>
      </c>
      <c r="AA2" s="6">
        <f>'EPS Vehicle Class Mapping'!AA47</f>
        <v>0.22</v>
      </c>
      <c r="AB2" s="6">
        <f>'EPS Vehicle Class Mapping'!AB47</f>
        <v>0.22</v>
      </c>
      <c r="AC2" s="6">
        <f>'EPS Vehicle Class Mapping'!AC47</f>
        <v>0.22</v>
      </c>
      <c r="AD2" s="6">
        <f>'EPS Vehicle Class Mapping'!AD47</f>
        <v>0.22</v>
      </c>
      <c r="AE2" s="6">
        <f>'EPS Vehicle Class Mapping'!AE47</f>
        <v>0.22</v>
      </c>
      <c r="AF2" s="6">
        <f>'EPS Vehicle Class Mapping'!AF47</f>
        <v>0.22</v>
      </c>
    </row>
    <row r="3" spans="1:32">
      <c r="A3" s="1" t="s">
        <v>88</v>
      </c>
      <c r="B3" s="7">
        <f>'EPS Vehicle Class Mapping'!B48</f>
        <v>9.5000000000000001E-2</v>
      </c>
      <c r="C3" s="6">
        <f>'EPS Vehicle Class Mapping'!C48</f>
        <v>0.12</v>
      </c>
      <c r="D3" s="6">
        <f>'EPS Vehicle Class Mapping'!D48</f>
        <v>0.14499999999999999</v>
      </c>
      <c r="E3" s="6">
        <f>'EPS Vehicle Class Mapping'!E48</f>
        <v>0.16999999999999998</v>
      </c>
      <c r="F3" s="6">
        <f>'EPS Vehicle Class Mapping'!F48</f>
        <v>0.19500000000000001</v>
      </c>
      <c r="G3" s="6">
        <f>'EPS Vehicle Class Mapping'!G48</f>
        <v>0.21999999999999997</v>
      </c>
      <c r="H3" s="6">
        <f>'EPS Vehicle Class Mapping'!H48</f>
        <v>0.35</v>
      </c>
      <c r="I3" s="6">
        <f>'EPS Vehicle Class Mapping'!I48</f>
        <v>0.43</v>
      </c>
      <c r="J3" s="6">
        <f>'EPS Vehicle Class Mapping'!J48</f>
        <v>0.51</v>
      </c>
      <c r="K3" s="6">
        <f>'EPS Vehicle Class Mapping'!K48</f>
        <v>0.59</v>
      </c>
      <c r="L3" s="6">
        <f>'EPS Vehicle Class Mapping'!L48</f>
        <v>0.68</v>
      </c>
      <c r="M3" s="6">
        <f>'EPS Vehicle Class Mapping'!M48</f>
        <v>0.76</v>
      </c>
      <c r="N3" s="6">
        <f>'EPS Vehicle Class Mapping'!N48</f>
        <v>0.82</v>
      </c>
      <c r="O3" s="6">
        <f>'EPS Vehicle Class Mapping'!O48</f>
        <v>0.88</v>
      </c>
      <c r="P3" s="6">
        <f>'EPS Vehicle Class Mapping'!P48</f>
        <v>0.94</v>
      </c>
      <c r="Q3" s="6">
        <f>'EPS Vehicle Class Mapping'!Q48</f>
        <v>1</v>
      </c>
      <c r="R3" s="6">
        <f>'EPS Vehicle Class Mapping'!R48</f>
        <v>1</v>
      </c>
      <c r="S3" s="6">
        <f>'EPS Vehicle Class Mapping'!S48</f>
        <v>1</v>
      </c>
      <c r="T3" s="6">
        <f>'EPS Vehicle Class Mapping'!T48</f>
        <v>1</v>
      </c>
      <c r="U3" s="6">
        <f>'EPS Vehicle Class Mapping'!U48</f>
        <v>1</v>
      </c>
      <c r="V3" s="6">
        <f>'EPS Vehicle Class Mapping'!V48</f>
        <v>1</v>
      </c>
      <c r="W3" s="6">
        <f>'EPS Vehicle Class Mapping'!W48</f>
        <v>1</v>
      </c>
      <c r="X3" s="6">
        <f>'EPS Vehicle Class Mapping'!X48</f>
        <v>1</v>
      </c>
      <c r="Y3" s="6">
        <f>'EPS Vehicle Class Mapping'!Y48</f>
        <v>1</v>
      </c>
      <c r="Z3" s="6">
        <f>'EPS Vehicle Class Mapping'!Z48</f>
        <v>1</v>
      </c>
      <c r="AA3" s="6">
        <f>'EPS Vehicle Class Mapping'!AA48</f>
        <v>1</v>
      </c>
      <c r="AB3" s="6">
        <f>'EPS Vehicle Class Mapping'!AB48</f>
        <v>1</v>
      </c>
      <c r="AC3" s="6">
        <f>'EPS Vehicle Class Mapping'!AC48</f>
        <v>1</v>
      </c>
      <c r="AD3" s="6">
        <f>'EPS Vehicle Class Mapping'!AD48</f>
        <v>1</v>
      </c>
      <c r="AE3" s="6">
        <f>'EPS Vehicle Class Mapping'!AE48</f>
        <v>1</v>
      </c>
      <c r="AF3" s="6">
        <f>'EPS Vehicle Class Mapping'!AF48</f>
        <v>1</v>
      </c>
    </row>
    <row r="4" spans="1:32">
      <c r="A4" s="41" t="s">
        <v>89</v>
      </c>
      <c r="B4" s="7">
        <f>B3</f>
        <v>9.5000000000000001E-2</v>
      </c>
      <c r="C4" s="6">
        <f t="shared" ref="C4:N4" si="0">C3</f>
        <v>0.12</v>
      </c>
      <c r="D4" s="6">
        <f t="shared" si="0"/>
        <v>0.14499999999999999</v>
      </c>
      <c r="E4" s="6">
        <f t="shared" si="0"/>
        <v>0.16999999999999998</v>
      </c>
      <c r="F4" s="6">
        <f t="shared" si="0"/>
        <v>0.19500000000000001</v>
      </c>
      <c r="G4" s="6">
        <f t="shared" si="0"/>
        <v>0.21999999999999997</v>
      </c>
      <c r="H4" s="6">
        <f t="shared" si="0"/>
        <v>0.35</v>
      </c>
      <c r="I4" s="6">
        <f t="shared" si="0"/>
        <v>0.43</v>
      </c>
      <c r="J4" s="6">
        <f t="shared" si="0"/>
        <v>0.51</v>
      </c>
      <c r="K4" s="6">
        <f t="shared" si="0"/>
        <v>0.59</v>
      </c>
      <c r="L4" s="6">
        <f t="shared" si="0"/>
        <v>0.68</v>
      </c>
      <c r="M4" s="6">
        <f t="shared" si="0"/>
        <v>0.76</v>
      </c>
      <c r="N4" s="6">
        <f t="shared" si="0"/>
        <v>0.82</v>
      </c>
      <c r="O4" s="6">
        <f>$N$4</f>
        <v>0.82</v>
      </c>
      <c r="P4" s="6">
        <f t="shared" ref="P4:AF4" si="1">$N$4</f>
        <v>0.82</v>
      </c>
      <c r="Q4" s="6">
        <f t="shared" si="1"/>
        <v>0.82</v>
      </c>
      <c r="R4" s="6">
        <f t="shared" si="1"/>
        <v>0.82</v>
      </c>
      <c r="S4" s="6">
        <f t="shared" si="1"/>
        <v>0.82</v>
      </c>
      <c r="T4" s="6">
        <f t="shared" si="1"/>
        <v>0.82</v>
      </c>
      <c r="U4" s="6">
        <f t="shared" si="1"/>
        <v>0.82</v>
      </c>
      <c r="V4" s="6">
        <f t="shared" si="1"/>
        <v>0.82</v>
      </c>
      <c r="W4" s="6">
        <f t="shared" si="1"/>
        <v>0.82</v>
      </c>
      <c r="X4" s="6">
        <f t="shared" si="1"/>
        <v>0.82</v>
      </c>
      <c r="Y4" s="6">
        <f t="shared" si="1"/>
        <v>0.82</v>
      </c>
      <c r="Z4" s="6">
        <f t="shared" si="1"/>
        <v>0.82</v>
      </c>
      <c r="AA4" s="6">
        <f t="shared" si="1"/>
        <v>0.82</v>
      </c>
      <c r="AB4" s="6">
        <f t="shared" si="1"/>
        <v>0.82</v>
      </c>
      <c r="AC4" s="6">
        <f t="shared" si="1"/>
        <v>0.82</v>
      </c>
      <c r="AD4" s="6">
        <f t="shared" si="1"/>
        <v>0.82</v>
      </c>
      <c r="AE4" s="6">
        <f t="shared" si="1"/>
        <v>0.82</v>
      </c>
      <c r="AF4" s="6">
        <f t="shared" si="1"/>
        <v>0.82</v>
      </c>
    </row>
    <row r="5" spans="1:32">
      <c r="A5" s="1" t="s">
        <v>50</v>
      </c>
      <c r="B5" s="7">
        <f>'EPS Vehicle Class Mapping'!B49</f>
        <v>0</v>
      </c>
      <c r="C5" s="6">
        <f>'EPS Vehicle Class Mapping'!C49</f>
        <v>0</v>
      </c>
      <c r="D5" s="6">
        <f>'EPS Vehicle Class Mapping'!D49</f>
        <v>0</v>
      </c>
      <c r="E5" s="6">
        <f>'EPS Vehicle Class Mapping'!E49</f>
        <v>0</v>
      </c>
      <c r="F5" s="6">
        <f>'EPS Vehicle Class Mapping'!F49</f>
        <v>3.9118535662182166E-2</v>
      </c>
      <c r="G5" s="6">
        <f>'EPS Vehicle Class Mapping'!G49</f>
        <v>4.7811543587111538E-2</v>
      </c>
      <c r="H5" s="6">
        <f>'EPS Vehicle Class Mapping'!H49</f>
        <v>5.6504551512040903E-2</v>
      </c>
      <c r="I5" s="6">
        <f>'EPS Vehicle Class Mapping'!I49</f>
        <v>8.6930079249293704E-2</v>
      </c>
      <c r="J5" s="6">
        <f>'EPS Vehicle Class Mapping'!J49</f>
        <v>0.13039511887394054</v>
      </c>
      <c r="K5" s="6">
        <f>'EPS Vehicle Class Mapping'!K49</f>
        <v>0.17386015849858741</v>
      </c>
      <c r="L5" s="6">
        <f>'EPS Vehicle Class Mapping'!L49</f>
        <v>0.21732519812323425</v>
      </c>
      <c r="M5" s="6">
        <f>'EPS Vehicle Class Mapping'!M49</f>
        <v>0.23905771793555769</v>
      </c>
      <c r="N5" s="6">
        <f>'EPS Vehicle Class Mapping'!N49</f>
        <v>0.26079023774788107</v>
      </c>
      <c r="O5" s="6">
        <f>'EPS Vehicle Class Mapping'!O49</f>
        <v>0.28252275756020451</v>
      </c>
      <c r="P5" s="6">
        <f>'EPS Vehicle Class Mapping'!P49</f>
        <v>0.30425527737252789</v>
      </c>
      <c r="Q5" s="6">
        <f>'EPS Vehicle Class Mapping'!Q49</f>
        <v>0.32598779718485138</v>
      </c>
      <c r="R5" s="6">
        <f>'EPS Vehicle Class Mapping'!R49</f>
        <v>0.32598779718485138</v>
      </c>
      <c r="S5" s="6">
        <f>'EPS Vehicle Class Mapping'!S49</f>
        <v>0.32598779718485138</v>
      </c>
      <c r="T5" s="6">
        <f>'EPS Vehicle Class Mapping'!T49</f>
        <v>0.32598779718485138</v>
      </c>
      <c r="U5" s="6">
        <f>'EPS Vehicle Class Mapping'!U49</f>
        <v>0.32598779718485138</v>
      </c>
      <c r="V5" s="6">
        <f>'EPS Vehicle Class Mapping'!V49</f>
        <v>0.32598779718485138</v>
      </c>
      <c r="W5" s="6">
        <f>'EPS Vehicle Class Mapping'!W49</f>
        <v>0.32598779718485138</v>
      </c>
      <c r="X5" s="6">
        <f>'EPS Vehicle Class Mapping'!X49</f>
        <v>0.32598779718485138</v>
      </c>
      <c r="Y5" s="6">
        <f>'EPS Vehicle Class Mapping'!Y49</f>
        <v>0.32598779718485138</v>
      </c>
      <c r="Z5" s="6">
        <f>'EPS Vehicle Class Mapping'!Z49</f>
        <v>0.32598779718485138</v>
      </c>
      <c r="AA5" s="6">
        <f>'EPS Vehicle Class Mapping'!AA49</f>
        <v>0.32598779718485138</v>
      </c>
      <c r="AB5" s="6">
        <f>'EPS Vehicle Class Mapping'!AB49</f>
        <v>0.32598779718485138</v>
      </c>
      <c r="AC5" s="6">
        <f>'EPS Vehicle Class Mapping'!AC49</f>
        <v>0.32598779718485138</v>
      </c>
      <c r="AD5" s="6">
        <f>'EPS Vehicle Class Mapping'!AD49</f>
        <v>0.32598779718485138</v>
      </c>
      <c r="AE5" s="6">
        <f>'EPS Vehicle Class Mapping'!AE49</f>
        <v>0.32598779718485138</v>
      </c>
      <c r="AF5" s="6">
        <f>'EPS Vehicle Class Mapping'!AF49</f>
        <v>0.32598779718485138</v>
      </c>
    </row>
    <row r="6" spans="1:32">
      <c r="A6" s="1" t="s">
        <v>53</v>
      </c>
      <c r="B6" s="7">
        <f>'EPS Vehicle Class Mapping'!B50</f>
        <v>0</v>
      </c>
      <c r="C6" s="6">
        <f>'EPS Vehicle Class Mapping'!C50</f>
        <v>0</v>
      </c>
      <c r="D6" s="6">
        <f>'EPS Vehicle Class Mapping'!D50</f>
        <v>0</v>
      </c>
      <c r="E6" s="6">
        <f>'EPS Vehicle Class Mapping'!E50</f>
        <v>0</v>
      </c>
      <c r="F6" s="6">
        <f>'EPS Vehicle Class Mapping'!F50</f>
        <v>0</v>
      </c>
      <c r="G6" s="6">
        <f>'EPS Vehicle Class Mapping'!G50</f>
        <v>0</v>
      </c>
      <c r="H6" s="6">
        <f>'EPS Vehicle Class Mapping'!H50</f>
        <v>0</v>
      </c>
      <c r="I6" s="6">
        <f>'EPS Vehicle Class Mapping'!I50</f>
        <v>0</v>
      </c>
      <c r="J6" s="6">
        <f>'EPS Vehicle Class Mapping'!J50</f>
        <v>0</v>
      </c>
      <c r="K6" s="6">
        <f>'EPS Vehicle Class Mapping'!K50</f>
        <v>0</v>
      </c>
      <c r="L6" s="6">
        <f>'EPS Vehicle Class Mapping'!L50</f>
        <v>0</v>
      </c>
      <c r="M6" s="6">
        <f>'EPS Vehicle Class Mapping'!M50</f>
        <v>0</v>
      </c>
      <c r="N6" s="6">
        <f>'EPS Vehicle Class Mapping'!N50</f>
        <v>0</v>
      </c>
      <c r="O6" s="6">
        <f>'EPS Vehicle Class Mapping'!O50</f>
        <v>0</v>
      </c>
      <c r="P6" s="6">
        <f>'EPS Vehicle Class Mapping'!P50</f>
        <v>0</v>
      </c>
      <c r="Q6" s="6">
        <f>'EPS Vehicle Class Mapping'!Q50</f>
        <v>0</v>
      </c>
      <c r="R6" s="6">
        <f>'EPS Vehicle Class Mapping'!R50</f>
        <v>0</v>
      </c>
      <c r="S6" s="6">
        <f>'EPS Vehicle Class Mapping'!S50</f>
        <v>0</v>
      </c>
      <c r="T6" s="6">
        <f>'EPS Vehicle Class Mapping'!T50</f>
        <v>0</v>
      </c>
      <c r="U6" s="6">
        <f>'EPS Vehicle Class Mapping'!U50</f>
        <v>0</v>
      </c>
      <c r="V6" s="6">
        <f>'EPS Vehicle Class Mapping'!V50</f>
        <v>0</v>
      </c>
      <c r="W6" s="6">
        <f>'EPS Vehicle Class Mapping'!W50</f>
        <v>0</v>
      </c>
      <c r="X6" s="6">
        <f>'EPS Vehicle Class Mapping'!X50</f>
        <v>0</v>
      </c>
      <c r="Y6" s="6">
        <f>'EPS Vehicle Class Mapping'!Y50</f>
        <v>0</v>
      </c>
      <c r="Z6" s="6">
        <f>'EPS Vehicle Class Mapping'!Z50</f>
        <v>0</v>
      </c>
      <c r="AA6" s="6">
        <f>'EPS Vehicle Class Mapping'!AA50</f>
        <v>0</v>
      </c>
      <c r="AB6" s="6">
        <f>'EPS Vehicle Class Mapping'!AB50</f>
        <v>0</v>
      </c>
      <c r="AC6" s="6">
        <f>'EPS Vehicle Class Mapping'!AC50</f>
        <v>0</v>
      </c>
      <c r="AD6" s="6">
        <f>'EPS Vehicle Class Mapping'!AD50</f>
        <v>0</v>
      </c>
      <c r="AE6" s="6">
        <f>'EPS Vehicle Class Mapping'!AE50</f>
        <v>0</v>
      </c>
      <c r="AF6" s="6">
        <f>'EPS Vehicle Class Mapping'!AF50</f>
        <v>0</v>
      </c>
    </row>
    <row r="7" spans="1:32">
      <c r="A7" s="1" t="s">
        <v>55</v>
      </c>
      <c r="B7" s="7">
        <f>'EPS Vehicle Class Mapping'!B51</f>
        <v>0</v>
      </c>
      <c r="C7" s="6">
        <f>'EPS Vehicle Class Mapping'!C51</f>
        <v>0</v>
      </c>
      <c r="D7" s="6">
        <f>'EPS Vehicle Class Mapping'!D51</f>
        <v>0</v>
      </c>
      <c r="E7" s="6">
        <f>'EPS Vehicle Class Mapping'!E51</f>
        <v>0</v>
      </c>
      <c r="F7" s="6">
        <f>'EPS Vehicle Class Mapping'!F51</f>
        <v>6.0092351423574233E-2</v>
      </c>
      <c r="G7" s="6">
        <f>'EPS Vehicle Class Mapping'!G51</f>
        <v>8.007170495487044E-2</v>
      </c>
      <c r="H7" s="6">
        <f>'EPS Vehicle Class Mapping'!H51</f>
        <v>0.10754675715462489</v>
      </c>
      <c r="I7" s="6">
        <f>'EPS Vehicle Class Mapping'!I51</f>
        <v>0.16256127688111058</v>
      </c>
      <c r="J7" s="6">
        <f>'EPS Vehicle Class Mapping'!J51</f>
        <v>0.22511403505922528</v>
      </c>
      <c r="K7" s="6">
        <f>'EPS Vehicle Class Mapping'!K51</f>
        <v>0.28764855512481957</v>
      </c>
      <c r="L7" s="6">
        <f>'EPS Vehicle Class Mapping'!L51</f>
        <v>0.35012393285022902</v>
      </c>
      <c r="M7" s="6">
        <f>'EPS Vehicle Class Mapping'!M51</f>
        <v>0.40009157982742549</v>
      </c>
      <c r="N7" s="6">
        <f>'EPS Vehicle Class Mapping'!N51</f>
        <v>0.4501677577150176</v>
      </c>
      <c r="O7" s="6">
        <f>'EPS Vehicle Class Mapping'!O51</f>
        <v>0.5001508451310549</v>
      </c>
      <c r="P7" s="6">
        <f>'EPS Vehicle Class Mapping'!P51</f>
        <v>0.5501338837991816</v>
      </c>
      <c r="Q7" s="6">
        <f>'EPS Vehicle Class Mapping'!Q51</f>
        <v>0.60014491697173544</v>
      </c>
      <c r="R7" s="6">
        <f>'EPS Vehicle Class Mapping'!R51</f>
        <v>0.60012059658240735</v>
      </c>
      <c r="S7" s="6">
        <f>'EPS Vehicle Class Mapping'!S51</f>
        <v>0.600161934202605</v>
      </c>
      <c r="T7" s="6">
        <f>'EPS Vehicle Class Mapping'!T51</f>
        <v>0.60016393701902881</v>
      </c>
      <c r="U7" s="6">
        <f>'EPS Vehicle Class Mapping'!U51</f>
        <v>0.60017920871502439</v>
      </c>
      <c r="V7" s="6">
        <f>'EPS Vehicle Class Mapping'!V51</f>
        <v>0.60021168530300795</v>
      </c>
      <c r="W7" s="6">
        <f>'EPS Vehicle Class Mapping'!W51</f>
        <v>0.60021917370958355</v>
      </c>
      <c r="X7" s="6">
        <f>'EPS Vehicle Class Mapping'!X51</f>
        <v>0.60022013941623975</v>
      </c>
      <c r="Y7" s="6">
        <f>'EPS Vehicle Class Mapping'!Y51</f>
        <v>0.60024997430440052</v>
      </c>
      <c r="Z7" s="6">
        <f>'EPS Vehicle Class Mapping'!Z51</f>
        <v>0.6002767858670699</v>
      </c>
      <c r="AA7" s="6">
        <f>'EPS Vehicle Class Mapping'!AA51</f>
        <v>0.60025331577567864</v>
      </c>
      <c r="AB7" s="6">
        <f>'EPS Vehicle Class Mapping'!AB51</f>
        <v>0.60021121415169432</v>
      </c>
      <c r="AC7" s="6">
        <f>'EPS Vehicle Class Mapping'!AC51</f>
        <v>0.60014973485583689</v>
      </c>
      <c r="AD7" s="6">
        <f>'EPS Vehicle Class Mapping'!AD51</f>
        <v>0.60006877964945415</v>
      </c>
      <c r="AE7" s="6">
        <f>'EPS Vehicle Class Mapping'!AE51</f>
        <v>0.60001224832570577</v>
      </c>
      <c r="AF7" s="6">
        <f>'EPS Vehicle Class Mapping'!AF51</f>
        <v>0.5999947196049078</v>
      </c>
    </row>
    <row r="8" spans="1:32">
      <c r="A8" s="1" t="s">
        <v>2</v>
      </c>
      <c r="B8" s="7">
        <f>'EPS Vehicle Class Mapping'!B52</f>
        <v>0</v>
      </c>
      <c r="C8" s="6">
        <f>'EPS Vehicle Class Mapping'!C52</f>
        <v>0</v>
      </c>
      <c r="D8" s="6">
        <f>'EPS Vehicle Class Mapping'!D52</f>
        <v>0</v>
      </c>
      <c r="E8" s="6">
        <f>'EPS Vehicle Class Mapping'!E52</f>
        <v>0</v>
      </c>
      <c r="F8" s="6">
        <f>'EPS Vehicle Class Mapping'!F52</f>
        <v>5.0324585389953345E-2</v>
      </c>
      <c r="G8" s="6">
        <f>'EPS Vehicle Class Mapping'!G52</f>
        <v>7.0320874013171178E-2</v>
      </c>
      <c r="H8" s="6">
        <f>'EPS Vehicle Class Mapping'!H52</f>
        <v>0.10023841199827981</v>
      </c>
      <c r="I8" s="6">
        <f>'EPS Vehicle Class Mapping'!I52</f>
        <v>0.15039415219720934</v>
      </c>
      <c r="J8" s="6">
        <f>'EPS Vehicle Class Mapping'!J52</f>
        <v>0.20078269763173362</v>
      </c>
      <c r="K8" s="6">
        <f>'EPS Vehicle Class Mapping'!K52</f>
        <v>0.25116640642453203</v>
      </c>
      <c r="L8" s="6">
        <f>'EPS Vehicle Class Mapping'!L52</f>
        <v>0.30154673662148429</v>
      </c>
      <c r="M8" s="6">
        <f>'EPS Vehicle Class Mapping'!M52</f>
        <v>0.35154017073763533</v>
      </c>
      <c r="N8" s="6">
        <f>'EPS Vehicle Class Mapping'!N52</f>
        <v>0.40153478185130786</v>
      </c>
      <c r="O8" s="6">
        <f>'EPS Vehicle Class Mapping'!O52</f>
        <v>0.40191215883585885</v>
      </c>
      <c r="P8" s="6">
        <f>'EPS Vehicle Class Mapping'!P52</f>
        <v>0.40228783363087045</v>
      </c>
      <c r="Q8" s="6">
        <f>'EPS Vehicle Class Mapping'!Q52</f>
        <v>0.40266255578760335</v>
      </c>
      <c r="R8" s="6">
        <f>'EPS Vehicle Class Mapping'!R52</f>
        <v>0.40265708999618932</v>
      </c>
      <c r="S8" s="6">
        <f>'EPS Vehicle Class Mapping'!S52</f>
        <v>0.40265231563660031</v>
      </c>
      <c r="T8" s="6">
        <f>'EPS Vehicle Class Mapping'!T52</f>
        <v>0.40264788033224125</v>
      </c>
      <c r="U8" s="6">
        <f>'EPS Vehicle Class Mapping'!U52</f>
        <v>0.40264231400382128</v>
      </c>
      <c r="V8" s="6">
        <f>'EPS Vehicle Class Mapping'!V52</f>
        <v>0.40263675353806344</v>
      </c>
      <c r="W8" s="6">
        <f>'EPS Vehicle Class Mapping'!W52</f>
        <v>0.40263074466734672</v>
      </c>
      <c r="X8" s="6">
        <f>'EPS Vehicle Class Mapping'!X52</f>
        <v>0.40262607887975699</v>
      </c>
      <c r="Y8" s="6">
        <f>'EPS Vehicle Class Mapping'!Y52</f>
        <v>0.40262195913313187</v>
      </c>
      <c r="Z8" s="6">
        <f>'EPS Vehicle Class Mapping'!Z52</f>
        <v>0.40261845654978912</v>
      </c>
      <c r="AA8" s="6">
        <f>'EPS Vehicle Class Mapping'!AA52</f>
        <v>0.40261567998612185</v>
      </c>
      <c r="AB8" s="6">
        <f>'EPS Vehicle Class Mapping'!AB52</f>
        <v>0.40261281993963333</v>
      </c>
      <c r="AC8" s="6">
        <f>'EPS Vehicle Class Mapping'!AC52</f>
        <v>0.40260981140882179</v>
      </c>
      <c r="AD8" s="6">
        <f>'EPS Vehicle Class Mapping'!AD52</f>
        <v>0.4026073792992011</v>
      </c>
      <c r="AE8" s="6">
        <f>'EPS Vehicle Class Mapping'!AE52</f>
        <v>0.40260521056812626</v>
      </c>
      <c r="AF8" s="6">
        <f>'EPS Vehicle Class Mapping'!AF52</f>
        <v>0.40260342485445444</v>
      </c>
    </row>
    <row r="9" spans="1:32">
      <c r="A9" s="1" t="s">
        <v>60</v>
      </c>
      <c r="B9" s="7">
        <f>'EPS Vehicle Class Mapping'!B53</f>
        <v>0</v>
      </c>
      <c r="C9" s="6">
        <f>'EPS Vehicle Class Mapping'!C53</f>
        <v>0</v>
      </c>
      <c r="D9" s="6">
        <f>'EPS Vehicle Class Mapping'!D53</f>
        <v>0</v>
      </c>
      <c r="E9" s="6">
        <f>'EPS Vehicle Class Mapping'!E53</f>
        <v>0</v>
      </c>
      <c r="F9" s="6">
        <f>'EPS Vehicle Class Mapping'!F53</f>
        <v>0</v>
      </c>
      <c r="G9" s="6">
        <f>'EPS Vehicle Class Mapping'!G53</f>
        <v>0</v>
      </c>
      <c r="H9" s="6">
        <f>'EPS Vehicle Class Mapping'!H53</f>
        <v>0</v>
      </c>
      <c r="I9" s="6">
        <f>'EPS Vehicle Class Mapping'!I53</f>
        <v>0</v>
      </c>
      <c r="J9" s="6">
        <f>'EPS Vehicle Class Mapping'!J53</f>
        <v>0</v>
      </c>
      <c r="K9" s="6">
        <f>'EPS Vehicle Class Mapping'!K53</f>
        <v>0</v>
      </c>
      <c r="L9" s="6">
        <f>'EPS Vehicle Class Mapping'!L53</f>
        <v>0</v>
      </c>
      <c r="M9" s="6">
        <f>'EPS Vehicle Class Mapping'!M53</f>
        <v>0</v>
      </c>
      <c r="N9" s="6">
        <f>'EPS Vehicle Class Mapping'!N53</f>
        <v>0</v>
      </c>
      <c r="O9" s="6">
        <f>'EPS Vehicle Class Mapping'!O53</f>
        <v>0</v>
      </c>
      <c r="P9" s="6">
        <f>'EPS Vehicle Class Mapping'!P53</f>
        <v>0</v>
      </c>
      <c r="Q9" s="6">
        <f>'EPS Vehicle Class Mapping'!Q53</f>
        <v>0</v>
      </c>
      <c r="R9" s="6">
        <f>'EPS Vehicle Class Mapping'!R53</f>
        <v>0</v>
      </c>
      <c r="S9" s="6">
        <f>'EPS Vehicle Class Mapping'!S53</f>
        <v>0</v>
      </c>
      <c r="T9" s="6">
        <f>'EPS Vehicle Class Mapping'!T53</f>
        <v>0</v>
      </c>
      <c r="U9" s="6">
        <f>'EPS Vehicle Class Mapping'!U53</f>
        <v>0</v>
      </c>
      <c r="V9" s="6">
        <f>'EPS Vehicle Class Mapping'!V53</f>
        <v>0</v>
      </c>
      <c r="W9" s="6">
        <f>'EPS Vehicle Class Mapping'!W53</f>
        <v>0</v>
      </c>
      <c r="X9" s="6">
        <f>'EPS Vehicle Class Mapping'!X53</f>
        <v>0</v>
      </c>
      <c r="Y9" s="6">
        <f>'EPS Vehicle Class Mapping'!Y53</f>
        <v>0</v>
      </c>
      <c r="Z9" s="6">
        <f>'EPS Vehicle Class Mapping'!Z53</f>
        <v>0</v>
      </c>
      <c r="AA9" s="6">
        <f>'EPS Vehicle Class Mapping'!AA53</f>
        <v>0</v>
      </c>
      <c r="AB9" s="6">
        <f>'EPS Vehicle Class Mapping'!AB53</f>
        <v>0</v>
      </c>
      <c r="AC9" s="6">
        <f>'EPS Vehicle Class Mapping'!AC53</f>
        <v>0</v>
      </c>
      <c r="AD9" s="6">
        <f>'EPS Vehicle Class Mapping'!AD53</f>
        <v>0</v>
      </c>
      <c r="AE9" s="6">
        <f>'EPS Vehicle Class Mapping'!AE53</f>
        <v>0</v>
      </c>
      <c r="AF9" s="6">
        <f>'EPS Vehicle Class Mapping'!AF53</f>
        <v>0</v>
      </c>
    </row>
    <row r="12" spans="1:32" ht="29.1" customHeight="1">
      <c r="A12" s="42" t="s">
        <v>90</v>
      </c>
      <c r="B12" s="43" t="s">
        <v>91</v>
      </c>
      <c r="C12" s="43" t="s">
        <v>92</v>
      </c>
      <c r="D12" s="206" t="s">
        <v>93</v>
      </c>
      <c r="E12" s="207"/>
      <c r="F12" s="208"/>
      <c r="G12" s="209" t="s">
        <v>94</v>
      </c>
      <c r="H12" s="210"/>
      <c r="I12" s="211"/>
    </row>
    <row r="13" spans="1:32">
      <c r="B13" s="44"/>
      <c r="C13" s="45"/>
      <c r="D13" s="46" t="s">
        <v>95</v>
      </c>
      <c r="E13" s="1" t="s">
        <v>96</v>
      </c>
      <c r="F13" s="47" t="s">
        <v>97</v>
      </c>
      <c r="G13" s="48" t="s">
        <v>98</v>
      </c>
      <c r="H13" s="1" t="s">
        <v>99</v>
      </c>
      <c r="I13" s="47" t="s">
        <v>100</v>
      </c>
      <c r="J13" s="1"/>
      <c r="K13" s="1"/>
    </row>
    <row r="14" spans="1:32">
      <c r="A14" t="s">
        <v>15</v>
      </c>
      <c r="B14" s="44">
        <f>IF(E14&gt;0,0,1)</f>
        <v>1</v>
      </c>
      <c r="C14" s="45">
        <f>IF(F14=0,1)</f>
        <v>1</v>
      </c>
      <c r="D14" s="49">
        <v>0</v>
      </c>
      <c r="E14">
        <v>0</v>
      </c>
      <c r="F14" s="15">
        <v>0</v>
      </c>
      <c r="G14" s="45"/>
      <c r="I14" s="15"/>
    </row>
    <row r="15" spans="1:32">
      <c r="A15" t="s">
        <v>101</v>
      </c>
      <c r="B15" s="44">
        <f t="shared" ref="B15:B73" si="2">IF(E15&gt;0,0,1)</f>
        <v>1</v>
      </c>
      <c r="C15" s="45">
        <f t="shared" ref="C15:C73" si="3">IF(F15=0,1)</f>
        <v>1</v>
      </c>
      <c r="D15" s="49">
        <v>0</v>
      </c>
      <c r="E15">
        <v>0</v>
      </c>
      <c r="F15" s="15">
        <v>0</v>
      </c>
      <c r="G15" s="45"/>
      <c r="I15" s="15"/>
    </row>
    <row r="16" spans="1:32">
      <c r="A16" t="s">
        <v>16</v>
      </c>
      <c r="B16" s="44">
        <f t="shared" si="2"/>
        <v>1</v>
      </c>
      <c r="C16" s="45">
        <f t="shared" si="3"/>
        <v>1</v>
      </c>
      <c r="D16" s="49">
        <v>0</v>
      </c>
      <c r="E16">
        <v>0</v>
      </c>
      <c r="F16" s="15">
        <v>0</v>
      </c>
      <c r="G16" s="45"/>
      <c r="I16" s="15"/>
    </row>
    <row r="17" spans="1:9">
      <c r="A17" t="s">
        <v>17</v>
      </c>
      <c r="B17" s="44">
        <f t="shared" si="2"/>
        <v>1</v>
      </c>
      <c r="C17" s="45">
        <f t="shared" si="3"/>
        <v>1</v>
      </c>
      <c r="D17" s="49">
        <v>0</v>
      </c>
      <c r="E17">
        <v>0</v>
      </c>
      <c r="F17" s="15">
        <v>0</v>
      </c>
      <c r="G17" s="45"/>
      <c r="I17" s="15"/>
    </row>
    <row r="18" spans="1:9">
      <c r="A18" t="s">
        <v>102</v>
      </c>
      <c r="B18" s="44">
        <f t="shared" si="2"/>
        <v>0</v>
      </c>
      <c r="C18" s="45" t="b">
        <f t="shared" si="3"/>
        <v>0</v>
      </c>
      <c r="D18" s="49">
        <v>1</v>
      </c>
      <c r="E18">
        <v>1</v>
      </c>
      <c r="F18" s="15">
        <v>1</v>
      </c>
      <c r="G18" s="45">
        <v>1990</v>
      </c>
      <c r="H18">
        <v>2026</v>
      </c>
      <c r="I18" s="15">
        <v>2024</v>
      </c>
    </row>
    <row r="19" spans="1:9">
      <c r="A19" t="s">
        <v>103</v>
      </c>
      <c r="B19" s="44">
        <f t="shared" si="2"/>
        <v>0</v>
      </c>
      <c r="C19" s="45" t="b">
        <f t="shared" si="3"/>
        <v>0</v>
      </c>
      <c r="D19" s="49">
        <v>1</v>
      </c>
      <c r="E19" s="50">
        <v>0.82</v>
      </c>
      <c r="F19" s="15">
        <v>1</v>
      </c>
      <c r="G19" s="45">
        <v>2023</v>
      </c>
      <c r="H19">
        <v>2026</v>
      </c>
      <c r="I19" s="15">
        <v>2027</v>
      </c>
    </row>
    <row r="20" spans="1:9">
      <c r="A20" t="s">
        <v>18</v>
      </c>
      <c r="B20" s="44">
        <f t="shared" si="2"/>
        <v>1</v>
      </c>
      <c r="C20" s="45">
        <f t="shared" si="3"/>
        <v>1</v>
      </c>
      <c r="D20" s="49">
        <v>1</v>
      </c>
      <c r="E20">
        <v>0</v>
      </c>
      <c r="F20" s="15">
        <v>0</v>
      </c>
      <c r="G20" s="45">
        <v>2008</v>
      </c>
      <c r="I20" s="15"/>
    </row>
    <row r="21" spans="1:9">
      <c r="A21" t="s">
        <v>104</v>
      </c>
      <c r="B21" s="44">
        <f t="shared" si="2"/>
        <v>0</v>
      </c>
      <c r="C21" s="45">
        <f t="shared" si="3"/>
        <v>1</v>
      </c>
      <c r="D21" s="49">
        <v>0</v>
      </c>
      <c r="E21" s="50">
        <v>0.82</v>
      </c>
      <c r="F21" s="15">
        <v>0</v>
      </c>
      <c r="G21" s="45"/>
      <c r="H21">
        <v>2026</v>
      </c>
      <c r="I21" s="15"/>
    </row>
    <row r="22" spans="1:9">
      <c r="A22" t="s">
        <v>105</v>
      </c>
      <c r="B22" s="44">
        <f t="shared" si="2"/>
        <v>0</v>
      </c>
      <c r="C22" s="45">
        <f t="shared" si="3"/>
        <v>1</v>
      </c>
      <c r="D22" s="49">
        <v>0</v>
      </c>
      <c r="E22">
        <v>1</v>
      </c>
      <c r="F22" s="15">
        <v>0</v>
      </c>
      <c r="G22" s="45"/>
      <c r="H22">
        <v>2026</v>
      </c>
      <c r="I22" s="15"/>
    </row>
    <row r="23" spans="1:9">
      <c r="A23" t="s">
        <v>106</v>
      </c>
      <c r="B23" s="44">
        <f t="shared" si="2"/>
        <v>1</v>
      </c>
      <c r="C23" s="45">
        <f t="shared" si="3"/>
        <v>1</v>
      </c>
      <c r="D23" s="49">
        <v>0</v>
      </c>
      <c r="E23">
        <v>0</v>
      </c>
      <c r="F23" s="15">
        <v>0</v>
      </c>
      <c r="G23" s="45"/>
      <c r="I23" s="15"/>
    </row>
    <row r="24" spans="1:9">
      <c r="A24" t="s">
        <v>107</v>
      </c>
      <c r="B24" s="44">
        <f t="shared" si="2"/>
        <v>1</v>
      </c>
      <c r="C24" s="45">
        <f t="shared" si="3"/>
        <v>1</v>
      </c>
      <c r="D24" s="49">
        <v>0</v>
      </c>
      <c r="E24">
        <v>0</v>
      </c>
      <c r="F24" s="15">
        <v>0</v>
      </c>
      <c r="G24" s="45"/>
      <c r="I24" s="15"/>
    </row>
    <row r="25" spans="1:9">
      <c r="A25" t="s">
        <v>19</v>
      </c>
      <c r="B25" s="44">
        <f t="shared" si="2"/>
        <v>1</v>
      </c>
      <c r="C25" s="45">
        <f t="shared" si="3"/>
        <v>1</v>
      </c>
      <c r="D25" s="49">
        <v>0</v>
      </c>
      <c r="E25">
        <v>0</v>
      </c>
      <c r="F25" s="15">
        <v>0</v>
      </c>
      <c r="G25" s="45"/>
      <c r="I25" s="15"/>
    </row>
    <row r="26" spans="1:9">
      <c r="A26" t="s">
        <v>20</v>
      </c>
      <c r="B26" s="44">
        <f t="shared" si="2"/>
        <v>1</v>
      </c>
      <c r="C26" s="45">
        <f t="shared" si="3"/>
        <v>1</v>
      </c>
      <c r="D26" s="49">
        <v>0</v>
      </c>
      <c r="E26">
        <v>0</v>
      </c>
      <c r="F26" s="15">
        <v>0</v>
      </c>
      <c r="G26" s="45"/>
      <c r="I26" s="15"/>
    </row>
    <row r="27" spans="1:9">
      <c r="A27" t="s">
        <v>108</v>
      </c>
      <c r="B27" s="44">
        <f t="shared" si="2"/>
        <v>1</v>
      </c>
      <c r="C27" s="45">
        <f t="shared" si="3"/>
        <v>1</v>
      </c>
      <c r="D27" s="49">
        <v>0</v>
      </c>
      <c r="E27">
        <v>0</v>
      </c>
      <c r="F27" s="15">
        <v>0</v>
      </c>
      <c r="G27" s="45"/>
      <c r="I27" s="15"/>
    </row>
    <row r="28" spans="1:9">
      <c r="A28" t="s">
        <v>109</v>
      </c>
      <c r="B28" s="44">
        <f t="shared" si="2"/>
        <v>1</v>
      </c>
      <c r="C28" s="45">
        <f t="shared" si="3"/>
        <v>1</v>
      </c>
      <c r="D28" s="49">
        <v>0</v>
      </c>
      <c r="E28">
        <v>0</v>
      </c>
      <c r="F28" s="15">
        <v>0</v>
      </c>
      <c r="G28" s="45"/>
      <c r="I28" s="15"/>
    </row>
    <row r="29" spans="1:9">
      <c r="A29" t="s">
        <v>110</v>
      </c>
      <c r="B29" s="44">
        <f t="shared" si="2"/>
        <v>1</v>
      </c>
      <c r="C29" s="45">
        <f t="shared" si="3"/>
        <v>1</v>
      </c>
      <c r="D29" s="49">
        <v>0</v>
      </c>
      <c r="E29">
        <v>0</v>
      </c>
      <c r="F29" s="15">
        <v>0</v>
      </c>
      <c r="G29" s="45"/>
      <c r="I29" s="15"/>
    </row>
    <row r="30" spans="1:9">
      <c r="A30" t="s">
        <v>21</v>
      </c>
      <c r="B30" s="44">
        <f t="shared" si="2"/>
        <v>1</v>
      </c>
      <c r="C30" s="45">
        <f t="shared" si="3"/>
        <v>1</v>
      </c>
      <c r="D30" s="49">
        <v>0</v>
      </c>
      <c r="E30">
        <v>0</v>
      </c>
      <c r="F30" s="15">
        <v>0</v>
      </c>
      <c r="G30" s="45"/>
      <c r="I30" s="15"/>
    </row>
    <row r="31" spans="1:9">
      <c r="A31" t="s">
        <v>22</v>
      </c>
      <c r="B31" s="44">
        <f t="shared" si="2"/>
        <v>1</v>
      </c>
      <c r="C31" s="45">
        <f t="shared" si="3"/>
        <v>1</v>
      </c>
      <c r="D31" s="49">
        <v>0</v>
      </c>
      <c r="E31">
        <v>0</v>
      </c>
      <c r="F31" s="15">
        <v>0</v>
      </c>
      <c r="G31" s="45"/>
      <c r="I31" s="15"/>
    </row>
    <row r="32" spans="1:9">
      <c r="A32" t="s">
        <v>23</v>
      </c>
      <c r="B32" s="44">
        <f t="shared" si="2"/>
        <v>1</v>
      </c>
      <c r="C32" s="45">
        <f t="shared" si="3"/>
        <v>1</v>
      </c>
      <c r="D32" s="49">
        <v>0</v>
      </c>
      <c r="E32">
        <v>0</v>
      </c>
      <c r="F32" s="15">
        <v>0</v>
      </c>
      <c r="G32" s="45"/>
      <c r="I32" s="15"/>
    </row>
    <row r="33" spans="1:9">
      <c r="A33" t="s">
        <v>111</v>
      </c>
      <c r="B33" s="44">
        <f t="shared" si="2"/>
        <v>1</v>
      </c>
      <c r="C33" s="45">
        <f t="shared" si="3"/>
        <v>1</v>
      </c>
      <c r="D33" s="49">
        <v>1</v>
      </c>
      <c r="E33">
        <v>0</v>
      </c>
      <c r="F33" s="15">
        <v>0</v>
      </c>
      <c r="G33" s="45">
        <v>2001</v>
      </c>
      <c r="I33" s="15"/>
    </row>
    <row r="34" spans="1:9">
      <c r="A34" t="s">
        <v>24</v>
      </c>
      <c r="B34" s="44">
        <f t="shared" si="2"/>
        <v>0</v>
      </c>
      <c r="C34" s="45" t="b">
        <f t="shared" si="3"/>
        <v>0</v>
      </c>
      <c r="D34" s="49">
        <v>1</v>
      </c>
      <c r="E34">
        <v>1</v>
      </c>
      <c r="F34" s="15">
        <v>1</v>
      </c>
      <c r="G34" s="45">
        <v>2011</v>
      </c>
      <c r="H34">
        <v>2026</v>
      </c>
      <c r="I34" s="15">
        <v>2027</v>
      </c>
    </row>
    <row r="35" spans="1:9">
      <c r="A35" t="s">
        <v>25</v>
      </c>
      <c r="B35" s="44">
        <f t="shared" si="2"/>
        <v>0</v>
      </c>
      <c r="C35" s="45" t="b">
        <f t="shared" si="3"/>
        <v>0</v>
      </c>
      <c r="D35" s="49">
        <v>1</v>
      </c>
      <c r="E35">
        <v>1</v>
      </c>
      <c r="F35" s="15">
        <v>1</v>
      </c>
      <c r="G35" s="45">
        <v>1995</v>
      </c>
      <c r="H35">
        <v>2026</v>
      </c>
      <c r="I35" s="15">
        <v>2025</v>
      </c>
    </row>
    <row r="36" spans="1:9">
      <c r="A36" t="s">
        <v>26</v>
      </c>
      <c r="B36" s="44">
        <f t="shared" si="2"/>
        <v>1</v>
      </c>
      <c r="C36" s="45">
        <f t="shared" si="3"/>
        <v>1</v>
      </c>
      <c r="D36" s="49">
        <v>0</v>
      </c>
      <c r="E36">
        <v>0</v>
      </c>
      <c r="F36" s="15">
        <v>0</v>
      </c>
      <c r="G36" s="45"/>
      <c r="I36" s="15"/>
    </row>
    <row r="37" spans="1:9">
      <c r="A37" t="s">
        <v>112</v>
      </c>
      <c r="B37" s="44">
        <f t="shared" si="2"/>
        <v>1</v>
      </c>
      <c r="C37" s="45">
        <f t="shared" si="3"/>
        <v>1</v>
      </c>
      <c r="D37" s="49">
        <v>1</v>
      </c>
      <c r="E37">
        <v>0</v>
      </c>
      <c r="F37" s="15">
        <v>0</v>
      </c>
      <c r="G37" s="45">
        <v>2025</v>
      </c>
      <c r="I37" s="15"/>
    </row>
    <row r="38" spans="1:9">
      <c r="A38" t="s">
        <v>113</v>
      </c>
      <c r="B38" s="44">
        <f t="shared" si="2"/>
        <v>1</v>
      </c>
      <c r="C38" s="45">
        <f t="shared" si="3"/>
        <v>1</v>
      </c>
      <c r="D38" s="49">
        <v>0</v>
      </c>
      <c r="E38">
        <v>0</v>
      </c>
      <c r="F38" s="15">
        <v>0</v>
      </c>
      <c r="G38" s="45"/>
      <c r="I38" s="15"/>
    </row>
    <row r="39" spans="1:9">
      <c r="A39" t="s">
        <v>27</v>
      </c>
      <c r="B39" s="44">
        <f t="shared" si="2"/>
        <v>1</v>
      </c>
      <c r="C39" s="45">
        <f t="shared" si="3"/>
        <v>1</v>
      </c>
      <c r="D39" s="49">
        <v>0</v>
      </c>
      <c r="E39">
        <v>0</v>
      </c>
      <c r="F39" s="15">
        <v>0</v>
      </c>
      <c r="G39" s="45"/>
      <c r="I39" s="15"/>
    </row>
    <row r="40" spans="1:9">
      <c r="A40" t="s">
        <v>114</v>
      </c>
      <c r="B40" s="44">
        <f t="shared" si="2"/>
        <v>1</v>
      </c>
      <c r="C40" s="45">
        <f t="shared" si="3"/>
        <v>1</v>
      </c>
      <c r="D40" s="49">
        <v>0</v>
      </c>
      <c r="E40">
        <v>0</v>
      </c>
      <c r="F40" s="15">
        <v>0</v>
      </c>
      <c r="G40" s="45"/>
      <c r="I40" s="15"/>
    </row>
    <row r="41" spans="1:9">
      <c r="A41" t="s">
        <v>28</v>
      </c>
      <c r="B41" s="44">
        <f t="shared" si="2"/>
        <v>1</v>
      </c>
      <c r="C41" s="45">
        <f t="shared" si="3"/>
        <v>1</v>
      </c>
      <c r="D41" s="49">
        <v>0</v>
      </c>
      <c r="E41">
        <v>0</v>
      </c>
      <c r="F41" s="15">
        <v>0</v>
      </c>
      <c r="G41" s="45"/>
      <c r="I41" s="15"/>
    </row>
    <row r="42" spans="1:9">
      <c r="A42" t="s">
        <v>115</v>
      </c>
      <c r="B42" s="44">
        <f t="shared" si="2"/>
        <v>1</v>
      </c>
      <c r="C42" s="45">
        <f t="shared" si="3"/>
        <v>1</v>
      </c>
      <c r="D42" s="49">
        <v>1</v>
      </c>
      <c r="E42">
        <v>0</v>
      </c>
      <c r="F42" s="15">
        <v>0</v>
      </c>
      <c r="G42" s="45">
        <v>2025</v>
      </c>
      <c r="I42" s="15"/>
    </row>
    <row r="43" spans="1:9">
      <c r="A43" t="s">
        <v>29</v>
      </c>
      <c r="B43" s="44">
        <f t="shared" si="2"/>
        <v>1</v>
      </c>
      <c r="C43" s="45">
        <f t="shared" si="3"/>
        <v>1</v>
      </c>
      <c r="D43" s="49">
        <v>0</v>
      </c>
      <c r="E43">
        <v>0</v>
      </c>
      <c r="F43" s="15">
        <v>0</v>
      </c>
      <c r="G43" s="45"/>
      <c r="I43" s="15"/>
    </row>
    <row r="44" spans="1:9">
      <c r="A44" t="s">
        <v>116</v>
      </c>
      <c r="B44" s="44">
        <f t="shared" si="2"/>
        <v>0</v>
      </c>
      <c r="C44" s="45" t="b">
        <f t="shared" si="3"/>
        <v>0</v>
      </c>
      <c r="D44" s="49">
        <v>1</v>
      </c>
      <c r="E44">
        <v>1</v>
      </c>
      <c r="F44" s="15">
        <v>1</v>
      </c>
      <c r="G44" s="45">
        <v>2009</v>
      </c>
      <c r="H44">
        <v>2026</v>
      </c>
      <c r="I44" s="15">
        <v>2025</v>
      </c>
    </row>
    <row r="45" spans="1:9">
      <c r="A45" t="s">
        <v>30</v>
      </c>
      <c r="B45" s="44">
        <f t="shared" si="2"/>
        <v>0</v>
      </c>
      <c r="C45" s="45" t="b">
        <f t="shared" si="3"/>
        <v>0</v>
      </c>
      <c r="D45" s="49">
        <v>1</v>
      </c>
      <c r="E45" s="50">
        <v>0.82</v>
      </c>
      <c r="F45" s="15">
        <v>1</v>
      </c>
      <c r="G45" s="45">
        <v>2026</v>
      </c>
      <c r="H45">
        <v>2026</v>
      </c>
      <c r="I45" s="15">
        <v>2027</v>
      </c>
    </row>
    <row r="46" spans="1:9">
      <c r="A46" t="s">
        <v>117</v>
      </c>
      <c r="B46" s="44">
        <f t="shared" si="2"/>
        <v>0</v>
      </c>
      <c r="C46" s="45" t="b">
        <f t="shared" si="3"/>
        <v>0</v>
      </c>
      <c r="D46" s="49">
        <v>1</v>
      </c>
      <c r="E46">
        <v>1</v>
      </c>
      <c r="F46" s="15">
        <v>1</v>
      </c>
      <c r="G46" s="45">
        <v>1993</v>
      </c>
      <c r="H46">
        <v>2026</v>
      </c>
      <c r="I46" s="15">
        <v>2025</v>
      </c>
    </row>
    <row r="47" spans="1:9">
      <c r="A47" t="s">
        <v>31</v>
      </c>
      <c r="B47" s="44">
        <f t="shared" si="2"/>
        <v>1</v>
      </c>
      <c r="C47" s="45">
        <f t="shared" si="3"/>
        <v>1</v>
      </c>
      <c r="D47" s="49">
        <v>0</v>
      </c>
      <c r="E47">
        <v>0</v>
      </c>
      <c r="F47" s="15">
        <v>0</v>
      </c>
      <c r="G47" s="45"/>
      <c r="I47" s="15"/>
    </row>
    <row r="48" spans="1:9">
      <c r="A48" t="s">
        <v>32</v>
      </c>
      <c r="B48" s="44">
        <f t="shared" si="2"/>
        <v>1</v>
      </c>
      <c r="C48" s="45">
        <f t="shared" si="3"/>
        <v>1</v>
      </c>
      <c r="D48" s="49">
        <v>0</v>
      </c>
      <c r="E48">
        <v>0</v>
      </c>
      <c r="F48" s="15">
        <v>0</v>
      </c>
      <c r="G48" s="45"/>
      <c r="I48" s="15"/>
    </row>
    <row r="49" spans="1:9">
      <c r="A49" t="s">
        <v>33</v>
      </c>
      <c r="B49" s="44">
        <f t="shared" si="2"/>
        <v>1</v>
      </c>
      <c r="C49" s="45">
        <f t="shared" si="3"/>
        <v>1</v>
      </c>
      <c r="D49" s="49">
        <v>0</v>
      </c>
      <c r="E49">
        <v>0</v>
      </c>
      <c r="F49" s="15">
        <v>0</v>
      </c>
      <c r="G49" s="45"/>
      <c r="I49" s="15"/>
    </row>
    <row r="50" spans="1:9">
      <c r="A50" t="s">
        <v>118</v>
      </c>
      <c r="B50" s="44">
        <f t="shared" si="2"/>
        <v>1</v>
      </c>
      <c r="C50" s="45">
        <f t="shared" si="3"/>
        <v>1</v>
      </c>
      <c r="D50" s="49">
        <v>0</v>
      </c>
      <c r="E50">
        <v>0</v>
      </c>
      <c r="F50" s="15">
        <v>0</v>
      </c>
      <c r="G50" s="45"/>
      <c r="I50" s="15"/>
    </row>
    <row r="51" spans="1:9">
      <c r="A51" t="s">
        <v>119</v>
      </c>
      <c r="B51" s="44">
        <f t="shared" si="2"/>
        <v>0</v>
      </c>
      <c r="C51" s="45" t="b">
        <f t="shared" si="3"/>
        <v>0</v>
      </c>
      <c r="D51" s="49">
        <v>1</v>
      </c>
      <c r="E51">
        <v>1</v>
      </c>
      <c r="F51" s="15">
        <v>1</v>
      </c>
      <c r="G51" s="45">
        <v>2009</v>
      </c>
      <c r="H51">
        <v>2026</v>
      </c>
      <c r="I51" s="15">
        <v>2024</v>
      </c>
    </row>
    <row r="52" spans="1:9">
      <c r="A52" t="s">
        <v>34</v>
      </c>
      <c r="B52" s="44">
        <f t="shared" si="2"/>
        <v>1</v>
      </c>
      <c r="C52" s="45">
        <f t="shared" si="3"/>
        <v>1</v>
      </c>
      <c r="D52" s="49">
        <v>0</v>
      </c>
      <c r="E52">
        <v>0</v>
      </c>
      <c r="F52" s="15">
        <v>0</v>
      </c>
      <c r="G52" s="45"/>
      <c r="I52" s="15"/>
    </row>
    <row r="53" spans="1:9">
      <c r="A53" t="s">
        <v>120</v>
      </c>
      <c r="B53" s="44">
        <f t="shared" si="2"/>
        <v>0</v>
      </c>
      <c r="C53" s="45" t="b">
        <f t="shared" si="3"/>
        <v>0</v>
      </c>
      <c r="D53" s="49">
        <v>1</v>
      </c>
      <c r="E53">
        <v>1</v>
      </c>
      <c r="F53" s="15">
        <v>1</v>
      </c>
      <c r="G53" s="45">
        <v>2008</v>
      </c>
      <c r="H53">
        <v>2026</v>
      </c>
      <c r="I53" s="15">
        <v>2027</v>
      </c>
    </row>
    <row r="54" spans="1:9">
      <c r="A54" t="s">
        <v>35</v>
      </c>
      <c r="B54" s="44">
        <f t="shared" si="2"/>
        <v>1</v>
      </c>
      <c r="C54" s="45">
        <f t="shared" si="3"/>
        <v>1</v>
      </c>
      <c r="D54" s="49">
        <v>0</v>
      </c>
      <c r="E54">
        <v>0</v>
      </c>
      <c r="F54" s="15">
        <v>0</v>
      </c>
      <c r="G54" s="45"/>
      <c r="I54" s="15"/>
    </row>
    <row r="55" spans="1:9">
      <c r="A55" t="s">
        <v>121</v>
      </c>
      <c r="B55" s="44">
        <f t="shared" si="2"/>
        <v>1</v>
      </c>
      <c r="C55" s="45">
        <f t="shared" si="3"/>
        <v>1</v>
      </c>
      <c r="D55" s="49">
        <v>0</v>
      </c>
      <c r="E55">
        <v>0</v>
      </c>
      <c r="F55" s="15">
        <v>0</v>
      </c>
      <c r="G55" s="45"/>
      <c r="I55" s="15"/>
    </row>
    <row r="56" spans="1:9">
      <c r="A56" t="s">
        <v>122</v>
      </c>
      <c r="B56" s="44">
        <f t="shared" si="2"/>
        <v>1</v>
      </c>
      <c r="C56" s="45">
        <f t="shared" si="3"/>
        <v>1</v>
      </c>
      <c r="D56" s="49">
        <v>0</v>
      </c>
      <c r="E56">
        <v>0</v>
      </c>
      <c r="F56" s="15">
        <v>0</v>
      </c>
      <c r="G56" s="45"/>
      <c r="I56" s="15"/>
    </row>
    <row r="57" spans="1:9">
      <c r="A57" t="s">
        <v>123</v>
      </c>
      <c r="B57" s="44">
        <f t="shared" si="2"/>
        <v>1</v>
      </c>
      <c r="C57" s="45">
        <f t="shared" si="3"/>
        <v>1</v>
      </c>
      <c r="D57" s="49">
        <v>0</v>
      </c>
      <c r="E57">
        <v>0</v>
      </c>
      <c r="F57" s="15">
        <v>0</v>
      </c>
      <c r="G57" s="45"/>
      <c r="I57" s="15"/>
    </row>
    <row r="58" spans="1:9">
      <c r="A58" t="s">
        <v>37</v>
      </c>
      <c r="B58" s="44">
        <f t="shared" si="2"/>
        <v>1</v>
      </c>
      <c r="C58" s="45">
        <f t="shared" si="3"/>
        <v>1</v>
      </c>
      <c r="D58" s="49">
        <v>0</v>
      </c>
      <c r="E58">
        <v>0</v>
      </c>
      <c r="F58" s="15">
        <v>0</v>
      </c>
      <c r="G58" s="45"/>
      <c r="I58" s="15"/>
    </row>
    <row r="59" spans="1:9">
      <c r="A59" t="s">
        <v>38</v>
      </c>
      <c r="B59" s="44">
        <f t="shared" si="2"/>
        <v>0</v>
      </c>
      <c r="C59" s="45" t="b">
        <f t="shared" si="3"/>
        <v>0</v>
      </c>
      <c r="D59" s="49">
        <v>1</v>
      </c>
      <c r="E59">
        <v>1</v>
      </c>
      <c r="F59" s="15">
        <v>1</v>
      </c>
      <c r="G59" s="45">
        <v>2000</v>
      </c>
      <c r="H59">
        <v>2026</v>
      </c>
      <c r="I59" s="15">
        <v>2025</v>
      </c>
    </row>
    <row r="60" spans="1:9">
      <c r="A60" t="s">
        <v>39</v>
      </c>
      <c r="B60" s="44">
        <f t="shared" si="2"/>
        <v>0</v>
      </c>
      <c r="C60" s="45">
        <f t="shared" si="3"/>
        <v>1</v>
      </c>
      <c r="D60" s="49">
        <v>1</v>
      </c>
      <c r="E60">
        <v>1</v>
      </c>
      <c r="F60" s="15">
        <v>0</v>
      </c>
      <c r="G60" s="45">
        <v>2025</v>
      </c>
      <c r="H60">
        <v>2026</v>
      </c>
      <c r="I60" s="15"/>
    </row>
    <row r="61" spans="1:9">
      <c r="A61" t="s">
        <v>124</v>
      </c>
      <c r="B61" s="44">
        <f t="shared" si="2"/>
        <v>0</v>
      </c>
      <c r="C61" s="45" t="b">
        <f t="shared" si="3"/>
        <v>0</v>
      </c>
      <c r="D61" s="49">
        <v>1</v>
      </c>
      <c r="E61">
        <v>1</v>
      </c>
      <c r="F61" s="15">
        <v>1</v>
      </c>
      <c r="G61" s="45">
        <v>2025</v>
      </c>
      <c r="H61">
        <v>2026</v>
      </c>
      <c r="I61" s="15">
        <v>2025</v>
      </c>
    </row>
    <row r="62" spans="1:9">
      <c r="A62" t="s">
        <v>40</v>
      </c>
      <c r="B62" s="44">
        <f t="shared" si="2"/>
        <v>1</v>
      </c>
      <c r="C62" s="45">
        <f t="shared" si="3"/>
        <v>1</v>
      </c>
      <c r="D62" s="49">
        <v>0</v>
      </c>
      <c r="E62">
        <v>0</v>
      </c>
      <c r="F62" s="15">
        <v>0</v>
      </c>
      <c r="G62" s="45"/>
      <c r="I62" s="15"/>
    </row>
    <row r="63" spans="1:9">
      <c r="A63" t="s">
        <v>125</v>
      </c>
      <c r="B63" s="44">
        <f t="shared" si="2"/>
        <v>1</v>
      </c>
      <c r="C63" s="45">
        <f t="shared" si="3"/>
        <v>1</v>
      </c>
      <c r="D63" s="49">
        <v>0</v>
      </c>
      <c r="E63">
        <v>0</v>
      </c>
      <c r="F63" s="15">
        <v>0</v>
      </c>
      <c r="G63" s="45"/>
      <c r="I63" s="15"/>
    </row>
    <row r="64" spans="1:9">
      <c r="A64" t="s">
        <v>126</v>
      </c>
      <c r="B64" s="44">
        <f t="shared" si="2"/>
        <v>1</v>
      </c>
      <c r="C64" s="45">
        <f t="shared" si="3"/>
        <v>1</v>
      </c>
      <c r="D64" s="49">
        <v>0</v>
      </c>
      <c r="E64">
        <v>0</v>
      </c>
      <c r="F64" s="15">
        <v>0</v>
      </c>
      <c r="G64" s="45"/>
      <c r="I64" s="15"/>
    </row>
    <row r="65" spans="1:9">
      <c r="A65" t="s">
        <v>127</v>
      </c>
      <c r="B65" s="44">
        <f t="shared" si="2"/>
        <v>1</v>
      </c>
      <c r="C65" s="45">
        <f t="shared" si="3"/>
        <v>1</v>
      </c>
      <c r="D65" s="49">
        <v>0</v>
      </c>
      <c r="E65">
        <v>0</v>
      </c>
      <c r="F65" s="15">
        <v>0</v>
      </c>
      <c r="G65" s="45"/>
      <c r="I65" s="15"/>
    </row>
    <row r="66" spans="1:9">
      <c r="A66" t="s">
        <v>128</v>
      </c>
      <c r="B66" s="44">
        <f t="shared" si="2"/>
        <v>1</v>
      </c>
      <c r="C66" s="45">
        <f t="shared" si="3"/>
        <v>1</v>
      </c>
      <c r="D66" s="49">
        <v>0</v>
      </c>
      <c r="E66">
        <v>0</v>
      </c>
      <c r="F66" s="15">
        <v>0</v>
      </c>
      <c r="G66" s="45"/>
      <c r="I66" s="15"/>
    </row>
    <row r="67" spans="1:9">
      <c r="A67" t="s">
        <v>129</v>
      </c>
      <c r="B67" s="44">
        <f t="shared" si="2"/>
        <v>1</v>
      </c>
      <c r="C67" s="45">
        <f t="shared" si="3"/>
        <v>1</v>
      </c>
      <c r="D67" s="49">
        <v>0</v>
      </c>
      <c r="E67">
        <v>0</v>
      </c>
      <c r="F67" s="15">
        <v>0</v>
      </c>
      <c r="G67" s="45"/>
      <c r="I67" s="15"/>
    </row>
    <row r="68" spans="1:9">
      <c r="A68" t="s">
        <v>130</v>
      </c>
      <c r="B68" s="44">
        <f t="shared" si="2"/>
        <v>1</v>
      </c>
      <c r="C68" s="45">
        <f t="shared" si="3"/>
        <v>1</v>
      </c>
      <c r="D68" s="49">
        <v>0</v>
      </c>
      <c r="E68">
        <v>0</v>
      </c>
      <c r="F68" s="15">
        <v>0</v>
      </c>
      <c r="G68" s="45"/>
      <c r="I68" s="15"/>
    </row>
    <row r="69" spans="1:9">
      <c r="A69" t="s">
        <v>131</v>
      </c>
      <c r="B69" s="44">
        <f t="shared" si="2"/>
        <v>1</v>
      </c>
      <c r="C69" s="45">
        <f t="shared" si="3"/>
        <v>1</v>
      </c>
      <c r="D69" s="49">
        <v>0</v>
      </c>
      <c r="E69">
        <v>0</v>
      </c>
      <c r="F69" s="15">
        <v>0</v>
      </c>
      <c r="G69" s="45"/>
      <c r="I69" s="15"/>
    </row>
    <row r="70" spans="1:9">
      <c r="A70" t="s">
        <v>132</v>
      </c>
      <c r="B70" s="44">
        <f t="shared" si="2"/>
        <v>1</v>
      </c>
      <c r="C70" s="45">
        <f t="shared" si="3"/>
        <v>1</v>
      </c>
      <c r="D70" s="49">
        <v>0</v>
      </c>
      <c r="E70">
        <v>0</v>
      </c>
      <c r="F70" s="15">
        <v>0</v>
      </c>
      <c r="G70" s="45"/>
      <c r="I70" s="15"/>
    </row>
    <row r="71" spans="1:9">
      <c r="A71" t="s">
        <v>133</v>
      </c>
      <c r="B71" s="44">
        <f t="shared" si="2"/>
        <v>1</v>
      </c>
      <c r="C71" s="45">
        <f t="shared" si="3"/>
        <v>1</v>
      </c>
      <c r="D71" s="49">
        <v>0</v>
      </c>
      <c r="E71">
        <v>0</v>
      </c>
      <c r="F71" s="15">
        <v>0</v>
      </c>
      <c r="G71" s="45"/>
      <c r="I71" s="15"/>
    </row>
    <row r="72" spans="1:9">
      <c r="A72" t="s">
        <v>134</v>
      </c>
      <c r="B72" s="44">
        <f t="shared" si="2"/>
        <v>1</v>
      </c>
      <c r="C72" s="45">
        <f t="shared" si="3"/>
        <v>1</v>
      </c>
      <c r="D72" s="49">
        <v>0</v>
      </c>
      <c r="E72">
        <v>0</v>
      </c>
      <c r="F72" s="15">
        <v>0</v>
      </c>
      <c r="G72" s="45"/>
      <c r="I72" s="15"/>
    </row>
    <row r="73" spans="1:9">
      <c r="A73" t="s">
        <v>135</v>
      </c>
      <c r="B73" s="44">
        <f t="shared" si="2"/>
        <v>1</v>
      </c>
      <c r="C73" s="45">
        <f t="shared" si="3"/>
        <v>1</v>
      </c>
      <c r="D73" s="51">
        <v>0</v>
      </c>
      <c r="E73" s="17">
        <v>0</v>
      </c>
      <c r="F73" s="18">
        <v>0</v>
      </c>
      <c r="G73" s="21"/>
      <c r="H73" s="17"/>
      <c r="I73" s="18"/>
    </row>
  </sheetData>
  <mergeCells count="2">
    <mergeCell ref="D12:F12"/>
    <mergeCell ref="G12:I12"/>
  </mergeCell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785F61-06E2-4985-95EE-2F5534241F99}">
  <dimension ref="A1:AE23"/>
  <sheetViews>
    <sheetView zoomScale="130" zoomScaleNormal="130" workbookViewId="0">
      <selection activeCell="F51" sqref="F51:AF52"/>
    </sheetView>
  </sheetViews>
  <sheetFormatPr defaultRowHeight="15"/>
  <cols>
    <col min="1" max="1" width="58.7109375" customWidth="1"/>
    <col min="2" max="2" width="9.28515625" bestFit="1" customWidth="1"/>
    <col min="3" max="7" width="12.85546875" bestFit="1" customWidth="1"/>
  </cols>
  <sheetData>
    <row r="1" spans="1:31" s="53" customFormat="1">
      <c r="A1" s="52" t="s">
        <v>136</v>
      </c>
    </row>
    <row r="2" spans="1:31">
      <c r="A2" s="8"/>
      <c r="B2">
        <v>2027</v>
      </c>
      <c r="C2">
        <v>2028</v>
      </c>
      <c r="D2">
        <v>2029</v>
      </c>
      <c r="E2">
        <v>2030</v>
      </c>
      <c r="F2">
        <v>2031</v>
      </c>
      <c r="G2">
        <v>2032</v>
      </c>
      <c r="H2">
        <v>2033</v>
      </c>
      <c r="I2">
        <v>2034</v>
      </c>
      <c r="J2">
        <v>2035</v>
      </c>
      <c r="K2">
        <v>2036</v>
      </c>
      <c r="L2">
        <v>2037</v>
      </c>
      <c r="M2">
        <v>2038</v>
      </c>
      <c r="N2">
        <v>2039</v>
      </c>
      <c r="O2">
        <v>2040</v>
      </c>
      <c r="P2">
        <v>2041</v>
      </c>
      <c r="Q2">
        <v>2042</v>
      </c>
      <c r="R2">
        <v>2043</v>
      </c>
      <c r="S2">
        <v>2044</v>
      </c>
      <c r="T2">
        <v>2045</v>
      </c>
      <c r="U2">
        <v>2046</v>
      </c>
      <c r="V2">
        <v>2047</v>
      </c>
      <c r="W2">
        <v>2048</v>
      </c>
      <c r="X2">
        <v>2049</v>
      </c>
      <c r="Y2">
        <v>2050</v>
      </c>
    </row>
    <row r="3" spans="1:31">
      <c r="A3" t="s">
        <v>137</v>
      </c>
      <c r="B3">
        <v>0.32</v>
      </c>
      <c r="C3">
        <v>0.37</v>
      </c>
      <c r="D3">
        <v>0.46</v>
      </c>
      <c r="E3">
        <v>0.53</v>
      </c>
      <c r="F3">
        <v>0.61</v>
      </c>
      <c r="G3">
        <v>0.68</v>
      </c>
      <c r="H3">
        <f>G3</f>
        <v>0.68</v>
      </c>
      <c r="I3">
        <f t="shared" ref="I3:X3" si="0">H3</f>
        <v>0.68</v>
      </c>
      <c r="J3">
        <f t="shared" si="0"/>
        <v>0.68</v>
      </c>
      <c r="K3">
        <f t="shared" si="0"/>
        <v>0.68</v>
      </c>
      <c r="L3">
        <f t="shared" si="0"/>
        <v>0.68</v>
      </c>
      <c r="M3">
        <f t="shared" si="0"/>
        <v>0.68</v>
      </c>
      <c r="N3">
        <f t="shared" si="0"/>
        <v>0.68</v>
      </c>
      <c r="O3">
        <f t="shared" si="0"/>
        <v>0.68</v>
      </c>
      <c r="P3">
        <f t="shared" si="0"/>
        <v>0.68</v>
      </c>
      <c r="Q3">
        <f t="shared" si="0"/>
        <v>0.68</v>
      </c>
      <c r="R3">
        <f t="shared" si="0"/>
        <v>0.68</v>
      </c>
      <c r="S3">
        <f t="shared" si="0"/>
        <v>0.68</v>
      </c>
      <c r="T3">
        <f t="shared" si="0"/>
        <v>0.68</v>
      </c>
      <c r="U3">
        <f t="shared" si="0"/>
        <v>0.68</v>
      </c>
      <c r="V3">
        <f t="shared" si="0"/>
        <v>0.68</v>
      </c>
      <c r="W3">
        <f t="shared" si="0"/>
        <v>0.68</v>
      </c>
      <c r="X3">
        <f t="shared" si="0"/>
        <v>0.68</v>
      </c>
      <c r="Y3">
        <f t="shared" ref="X3:Y5" si="1">X3</f>
        <v>0.68</v>
      </c>
    </row>
    <row r="4" spans="1:31">
      <c r="A4" t="s">
        <v>138</v>
      </c>
      <c r="B4">
        <v>0.06</v>
      </c>
      <c r="C4">
        <v>0.06</v>
      </c>
      <c r="D4">
        <v>0.08</v>
      </c>
      <c r="E4">
        <v>0.09</v>
      </c>
      <c r="F4">
        <v>0.11</v>
      </c>
      <c r="G4">
        <v>0.13</v>
      </c>
      <c r="H4">
        <f t="shared" ref="H4:W5" si="2">G4</f>
        <v>0.13</v>
      </c>
      <c r="I4">
        <f t="shared" si="2"/>
        <v>0.13</v>
      </c>
      <c r="J4">
        <f t="shared" si="2"/>
        <v>0.13</v>
      </c>
      <c r="K4">
        <f t="shared" si="2"/>
        <v>0.13</v>
      </c>
      <c r="L4">
        <f t="shared" si="2"/>
        <v>0.13</v>
      </c>
      <c r="M4">
        <f t="shared" si="2"/>
        <v>0.13</v>
      </c>
      <c r="N4">
        <f t="shared" si="2"/>
        <v>0.13</v>
      </c>
      <c r="O4">
        <f t="shared" si="2"/>
        <v>0.13</v>
      </c>
      <c r="P4">
        <f t="shared" si="2"/>
        <v>0.13</v>
      </c>
      <c r="Q4">
        <f t="shared" si="2"/>
        <v>0.13</v>
      </c>
      <c r="R4">
        <f t="shared" si="2"/>
        <v>0.13</v>
      </c>
      <c r="S4">
        <f t="shared" si="2"/>
        <v>0.13</v>
      </c>
      <c r="T4">
        <f t="shared" si="2"/>
        <v>0.13</v>
      </c>
      <c r="U4">
        <f t="shared" si="2"/>
        <v>0.13</v>
      </c>
      <c r="V4">
        <f t="shared" si="2"/>
        <v>0.13</v>
      </c>
      <c r="W4">
        <f t="shared" si="2"/>
        <v>0.13</v>
      </c>
      <c r="X4">
        <f t="shared" si="1"/>
        <v>0.13</v>
      </c>
      <c r="Y4">
        <f t="shared" si="1"/>
        <v>0.13</v>
      </c>
    </row>
    <row r="5" spans="1:31">
      <c r="A5" s="8" t="s">
        <v>139</v>
      </c>
      <c r="B5">
        <f>B3-B4</f>
        <v>0.26</v>
      </c>
      <c r="C5">
        <f t="shared" ref="C5:G5" si="3">C3-C4</f>
        <v>0.31</v>
      </c>
      <c r="D5">
        <f t="shared" si="3"/>
        <v>0.38</v>
      </c>
      <c r="E5">
        <f t="shared" si="3"/>
        <v>0.44000000000000006</v>
      </c>
      <c r="F5">
        <f t="shared" si="3"/>
        <v>0.5</v>
      </c>
      <c r="G5">
        <f t="shared" si="3"/>
        <v>0.55000000000000004</v>
      </c>
      <c r="H5">
        <f t="shared" si="2"/>
        <v>0.55000000000000004</v>
      </c>
      <c r="I5">
        <f t="shared" si="2"/>
        <v>0.55000000000000004</v>
      </c>
      <c r="J5">
        <f t="shared" si="2"/>
        <v>0.55000000000000004</v>
      </c>
      <c r="K5">
        <f t="shared" si="2"/>
        <v>0.55000000000000004</v>
      </c>
      <c r="L5">
        <f t="shared" si="2"/>
        <v>0.55000000000000004</v>
      </c>
      <c r="M5">
        <f t="shared" si="2"/>
        <v>0.55000000000000004</v>
      </c>
      <c r="N5">
        <f t="shared" si="2"/>
        <v>0.55000000000000004</v>
      </c>
      <c r="O5">
        <f t="shared" si="2"/>
        <v>0.55000000000000004</v>
      </c>
      <c r="P5">
        <f t="shared" si="2"/>
        <v>0.55000000000000004</v>
      </c>
      <c r="Q5">
        <f t="shared" si="2"/>
        <v>0.55000000000000004</v>
      </c>
      <c r="R5">
        <f t="shared" si="2"/>
        <v>0.55000000000000004</v>
      </c>
      <c r="S5">
        <f t="shared" si="2"/>
        <v>0.55000000000000004</v>
      </c>
      <c r="T5">
        <f t="shared" si="2"/>
        <v>0.55000000000000004</v>
      </c>
      <c r="U5">
        <f t="shared" si="2"/>
        <v>0.55000000000000004</v>
      </c>
      <c r="V5">
        <f t="shared" si="2"/>
        <v>0.55000000000000004</v>
      </c>
      <c r="W5">
        <f t="shared" si="2"/>
        <v>0.55000000000000004</v>
      </c>
      <c r="X5">
        <f t="shared" si="1"/>
        <v>0.55000000000000004</v>
      </c>
      <c r="Y5">
        <f t="shared" si="1"/>
        <v>0.55000000000000004</v>
      </c>
    </row>
    <row r="8" spans="1:31">
      <c r="A8" t="s">
        <v>140</v>
      </c>
      <c r="B8">
        <v>0.26200000000000001</v>
      </c>
      <c r="C8">
        <v>0.3</v>
      </c>
      <c r="D8">
        <v>0.39600000000000002</v>
      </c>
      <c r="E8">
        <v>0.45500000000000002</v>
      </c>
      <c r="F8">
        <v>0.53</v>
      </c>
      <c r="G8">
        <v>0.61</v>
      </c>
      <c r="H8">
        <v>0.57999999999999996</v>
      </c>
      <c r="I8">
        <v>0.55000000000000004</v>
      </c>
      <c r="J8" s="54"/>
      <c r="K8" s="54"/>
      <c r="L8" s="54"/>
      <c r="M8" s="54"/>
      <c r="N8" s="54"/>
      <c r="O8" s="54"/>
      <c r="P8" s="54"/>
      <c r="Q8" s="54"/>
      <c r="R8" s="54"/>
      <c r="S8" s="54"/>
      <c r="T8" s="54"/>
      <c r="U8" s="54"/>
      <c r="V8" s="54"/>
      <c r="W8" s="54"/>
      <c r="X8" s="54"/>
      <c r="Y8" s="54"/>
      <c r="Z8" s="54"/>
      <c r="AA8" s="54"/>
      <c r="AB8" s="54"/>
      <c r="AC8" s="54"/>
      <c r="AD8" s="54"/>
      <c r="AE8" s="54"/>
    </row>
    <row r="10" spans="1:31" s="53" customFormat="1">
      <c r="A10" s="52" t="s">
        <v>141</v>
      </c>
    </row>
    <row r="11" spans="1:31">
      <c r="A11" t="s">
        <v>142</v>
      </c>
      <c r="B11">
        <v>2021</v>
      </c>
      <c r="C11">
        <v>2022</v>
      </c>
      <c r="D11">
        <v>2023</v>
      </c>
      <c r="E11">
        <v>2024</v>
      </c>
      <c r="F11">
        <v>2025</v>
      </c>
      <c r="G11">
        <v>2026</v>
      </c>
      <c r="H11">
        <v>2027</v>
      </c>
      <c r="I11">
        <v>2028</v>
      </c>
      <c r="J11">
        <v>2029</v>
      </c>
      <c r="K11">
        <v>2030</v>
      </c>
      <c r="L11">
        <v>2031</v>
      </c>
      <c r="M11">
        <v>2032</v>
      </c>
      <c r="N11">
        <v>2033</v>
      </c>
      <c r="O11">
        <v>2034</v>
      </c>
      <c r="P11">
        <v>2035</v>
      </c>
      <c r="Q11">
        <v>2036</v>
      </c>
      <c r="R11">
        <v>2037</v>
      </c>
      <c r="S11">
        <v>2038</v>
      </c>
      <c r="T11">
        <v>2039</v>
      </c>
      <c r="U11">
        <v>2040</v>
      </c>
      <c r="V11">
        <v>2041</v>
      </c>
      <c r="W11">
        <v>2042</v>
      </c>
      <c r="X11">
        <v>2043</v>
      </c>
      <c r="Y11">
        <v>2044</v>
      </c>
      <c r="Z11">
        <v>2045</v>
      </c>
      <c r="AA11">
        <v>2046</v>
      </c>
      <c r="AB11">
        <v>2047</v>
      </c>
      <c r="AC11">
        <v>2048</v>
      </c>
      <c r="AD11">
        <v>2049</v>
      </c>
      <c r="AE11">
        <v>2050</v>
      </c>
    </row>
    <row r="12" spans="1:31">
      <c r="A12" t="s">
        <v>143</v>
      </c>
      <c r="B12" s="55">
        <v>3.0753800000000001E-2</v>
      </c>
      <c r="C12" s="55">
        <v>5.3280800000000003E-2</v>
      </c>
      <c r="D12" s="55">
        <v>7.6439099999999996E-2</v>
      </c>
      <c r="E12" s="55">
        <v>0.110365</v>
      </c>
      <c r="F12" s="55">
        <v>0.13914699999999999</v>
      </c>
      <c r="G12" s="55">
        <v>0.195137</v>
      </c>
      <c r="H12" s="55">
        <v>0.259052</v>
      </c>
      <c r="I12" s="55">
        <v>0.31076799999999999</v>
      </c>
      <c r="J12" s="55">
        <v>0.38180700000000001</v>
      </c>
      <c r="K12" s="55">
        <v>0.44122600000000001</v>
      </c>
      <c r="L12" s="55">
        <v>0.49776199999999998</v>
      </c>
      <c r="M12" s="55">
        <v>0.55159100000000005</v>
      </c>
      <c r="N12" s="55">
        <v>0.54988300000000001</v>
      </c>
      <c r="O12" s="55">
        <v>0.55410899999999996</v>
      </c>
      <c r="P12" s="55">
        <v>0.57012799999999997</v>
      </c>
      <c r="Q12" s="55">
        <v>0.58896599999999999</v>
      </c>
      <c r="R12" s="55">
        <v>0.60536999999999996</v>
      </c>
      <c r="S12" s="55">
        <v>0.61964799999999998</v>
      </c>
      <c r="T12" s="55">
        <v>0.63217999999999996</v>
      </c>
      <c r="U12" s="55">
        <v>0.64280499999999996</v>
      </c>
      <c r="V12" s="55">
        <v>0.65243499999999999</v>
      </c>
      <c r="W12" s="55">
        <v>0.6613</v>
      </c>
      <c r="X12" s="55">
        <v>0.66929799999999995</v>
      </c>
      <c r="Y12" s="55">
        <v>0.676176</v>
      </c>
      <c r="Z12" s="55">
        <v>0.68215400000000004</v>
      </c>
      <c r="AA12" s="55">
        <v>0.68816200000000005</v>
      </c>
      <c r="AB12" s="55">
        <v>0.69322499999999998</v>
      </c>
      <c r="AC12" s="55">
        <v>0.69818800000000003</v>
      </c>
      <c r="AD12" s="55">
        <v>0.70122200000000001</v>
      </c>
      <c r="AE12" s="55">
        <v>0.70567000000000002</v>
      </c>
    </row>
    <row r="13" spans="1:31">
      <c r="A13" t="s">
        <v>144</v>
      </c>
      <c r="B13" s="55">
        <v>2.31129E-4</v>
      </c>
      <c r="C13" s="55">
        <v>2.9055200000000002E-4</v>
      </c>
      <c r="D13" s="55">
        <v>2.6344399999999999E-4</v>
      </c>
      <c r="E13" s="55">
        <v>2.6992699999999999E-4</v>
      </c>
      <c r="F13" s="55">
        <v>2.4936199999999999E-4</v>
      </c>
      <c r="G13" s="55">
        <v>2.27242E-4</v>
      </c>
      <c r="H13" s="55">
        <v>2.0463400000000001E-4</v>
      </c>
      <c r="I13" s="55">
        <v>1.92456E-4</v>
      </c>
      <c r="J13" s="55">
        <v>1.7049799999999999E-4</v>
      </c>
      <c r="K13" s="55">
        <v>1.5539899999999999E-4</v>
      </c>
      <c r="L13" s="55">
        <v>1.3707899999999999E-4</v>
      </c>
      <c r="M13" s="55">
        <v>1.1849999999999999E-4</v>
      </c>
      <c r="N13" s="55">
        <v>1.27131E-4</v>
      </c>
      <c r="O13" s="55">
        <v>1.37059E-4</v>
      </c>
      <c r="P13" s="55">
        <v>1.41676E-4</v>
      </c>
      <c r="Q13" s="55">
        <v>1.4430199999999999E-4</v>
      </c>
      <c r="R13" s="55">
        <v>1.46842E-4</v>
      </c>
      <c r="S13" s="55">
        <v>1.49436E-4</v>
      </c>
      <c r="T13" s="55">
        <v>1.51559E-4</v>
      </c>
      <c r="U13" s="55">
        <v>1.52993E-4</v>
      </c>
      <c r="V13" s="55">
        <v>1.5364400000000001E-4</v>
      </c>
      <c r="W13" s="55">
        <v>1.5369799999999999E-4</v>
      </c>
      <c r="X13" s="55">
        <v>1.53012E-4</v>
      </c>
      <c r="Y13" s="55">
        <v>1.5214300000000001E-4</v>
      </c>
      <c r="Z13" s="55">
        <v>1.5090000000000001E-4</v>
      </c>
      <c r="AA13" s="55">
        <v>1.4857600000000001E-4</v>
      </c>
      <c r="AB13" s="55">
        <v>1.4683200000000001E-4</v>
      </c>
      <c r="AC13" s="55">
        <v>1.4510900000000001E-4</v>
      </c>
      <c r="AD13" s="55">
        <v>1.4373000000000001E-4</v>
      </c>
      <c r="AE13" s="55">
        <v>1.4180099999999999E-4</v>
      </c>
    </row>
    <row r="14" spans="1:31">
      <c r="A14" t="s">
        <v>145</v>
      </c>
      <c r="B14" s="55">
        <v>0.95379700000000001</v>
      </c>
      <c r="C14" s="55">
        <v>0.92879900000000004</v>
      </c>
      <c r="D14" s="55">
        <v>0.89791900000000002</v>
      </c>
      <c r="E14" s="55">
        <v>0.86359399999999997</v>
      </c>
      <c r="F14" s="55">
        <v>0.82858600000000004</v>
      </c>
      <c r="G14" s="55">
        <v>0.760768</v>
      </c>
      <c r="H14" s="55">
        <v>0.67572600000000005</v>
      </c>
      <c r="I14" s="55">
        <v>0.62343099999999996</v>
      </c>
      <c r="J14" s="55">
        <v>0.53322199999999997</v>
      </c>
      <c r="K14" s="55">
        <v>0.46402900000000002</v>
      </c>
      <c r="L14" s="55">
        <v>0.387826</v>
      </c>
      <c r="M14" s="55">
        <v>0.31515199999999999</v>
      </c>
      <c r="N14" s="55">
        <v>0.31596200000000002</v>
      </c>
      <c r="O14" s="55">
        <v>0.31676599999999999</v>
      </c>
      <c r="P14" s="55">
        <v>0.30397600000000002</v>
      </c>
      <c r="Q14" s="55">
        <v>0.28738399999999997</v>
      </c>
      <c r="R14" s="55">
        <v>0.27377099999999999</v>
      </c>
      <c r="S14" s="55">
        <v>0.26244200000000001</v>
      </c>
      <c r="T14" s="55">
        <v>0.25275199999999998</v>
      </c>
      <c r="U14" s="55">
        <v>0.24490600000000001</v>
      </c>
      <c r="V14" s="55">
        <v>0.23796400000000001</v>
      </c>
      <c r="W14" s="55">
        <v>0.23160700000000001</v>
      </c>
      <c r="X14" s="55">
        <v>0.226054</v>
      </c>
      <c r="Y14" s="55">
        <v>0.22114800000000001</v>
      </c>
      <c r="Z14" s="55">
        <v>0.21698700000000001</v>
      </c>
      <c r="AA14" s="55">
        <v>0.212864</v>
      </c>
      <c r="AB14" s="55">
        <v>0.20937500000000001</v>
      </c>
      <c r="AC14" s="55">
        <v>0.20587</v>
      </c>
      <c r="AD14" s="55">
        <v>0.20354700000000001</v>
      </c>
      <c r="AE14" s="55">
        <v>0.200409</v>
      </c>
    </row>
    <row r="15" spans="1:31" ht="30">
      <c r="A15" s="8" t="s">
        <v>146</v>
      </c>
      <c r="B15" s="55">
        <v>3.4687099999999998E-3</v>
      </c>
      <c r="C15" s="55">
        <v>3.2825200000000001E-3</v>
      </c>
      <c r="D15" s="55">
        <v>3.9199200000000003E-3</v>
      </c>
      <c r="E15" s="55">
        <v>4.3956300000000002E-3</v>
      </c>
      <c r="F15" s="55">
        <v>4.8484699999999997E-3</v>
      </c>
      <c r="G15" s="55">
        <v>5.0196900000000003E-3</v>
      </c>
      <c r="H15" s="55">
        <v>4.9596099999999997E-3</v>
      </c>
      <c r="I15" s="55">
        <v>5.0692300000000001E-3</v>
      </c>
      <c r="J15" s="55">
        <v>4.7405399999999997E-3</v>
      </c>
      <c r="K15" s="55">
        <v>4.4852E-3</v>
      </c>
      <c r="L15" s="55">
        <v>4.0432599999999999E-3</v>
      </c>
      <c r="M15" s="55">
        <v>3.5312500000000001E-3</v>
      </c>
      <c r="N15" s="55">
        <v>3.7905999999999999E-3</v>
      </c>
      <c r="O15" s="55">
        <v>4.0537500000000001E-3</v>
      </c>
      <c r="P15" s="55">
        <v>4.1342799999999997E-3</v>
      </c>
      <c r="Q15" s="55">
        <v>4.1533500000000001E-3</v>
      </c>
      <c r="R15" s="55">
        <v>4.1788399999999996E-3</v>
      </c>
      <c r="S15" s="55">
        <v>4.2231999999999999E-3</v>
      </c>
      <c r="T15" s="55">
        <v>4.2867000000000001E-3</v>
      </c>
      <c r="U15" s="55">
        <v>4.3542199999999998E-3</v>
      </c>
      <c r="V15" s="55">
        <v>4.4263999999999996E-3</v>
      </c>
      <c r="W15" s="55">
        <v>4.5059999999999996E-3</v>
      </c>
      <c r="X15" s="55">
        <v>4.5778700000000004E-3</v>
      </c>
      <c r="Y15" s="55">
        <v>4.6784900000000004E-3</v>
      </c>
      <c r="Z15" s="55">
        <v>4.7726399999999999E-3</v>
      </c>
      <c r="AA15" s="55">
        <v>4.8733200000000004E-3</v>
      </c>
      <c r="AB15" s="55">
        <v>4.9680899999999997E-3</v>
      </c>
      <c r="AC15" s="55">
        <v>5.0759899999999998E-3</v>
      </c>
      <c r="AD15" s="55">
        <v>5.2020599999999997E-3</v>
      </c>
      <c r="AE15" s="55">
        <v>5.3131300000000001E-3</v>
      </c>
    </row>
    <row r="16" spans="1:31" ht="30">
      <c r="A16" s="8" t="s">
        <v>147</v>
      </c>
      <c r="B16" s="56">
        <v>1.1545400000000001E-2</v>
      </c>
      <c r="C16" s="56">
        <v>1.40646E-2</v>
      </c>
      <c r="D16" s="56">
        <v>2.11719E-2</v>
      </c>
      <c r="E16" s="56">
        <v>2.1078599999999999E-2</v>
      </c>
      <c r="F16" s="56">
        <v>2.6858900000000002E-2</v>
      </c>
      <c r="G16" s="56">
        <v>3.8541199999999998E-2</v>
      </c>
      <c r="H16" s="56">
        <v>5.97689E-2</v>
      </c>
      <c r="I16" s="56">
        <v>6.0259600000000003E-2</v>
      </c>
      <c r="J16" s="56">
        <v>7.9805899999999999E-2</v>
      </c>
      <c r="K16" s="56">
        <v>8.9871800000000002E-2</v>
      </c>
      <c r="L16" s="56">
        <v>0.110024</v>
      </c>
      <c r="M16" s="56">
        <v>0.12942699999999999</v>
      </c>
      <c r="N16" s="56">
        <v>0.130055</v>
      </c>
      <c r="O16" s="56">
        <v>0.12474399999999999</v>
      </c>
      <c r="P16" s="56">
        <v>0.121429</v>
      </c>
      <c r="Q16" s="56">
        <v>0.11916300000000001</v>
      </c>
      <c r="R16" s="56">
        <v>0.116344</v>
      </c>
      <c r="S16" s="56">
        <v>0.113348</v>
      </c>
      <c r="T16" s="56">
        <v>0.11044</v>
      </c>
      <c r="U16" s="56">
        <v>0.10759000000000001</v>
      </c>
      <c r="V16" s="56">
        <v>0.104828</v>
      </c>
      <c r="W16" s="56">
        <v>0.102239</v>
      </c>
      <c r="X16" s="56">
        <v>9.9721099999999993E-2</v>
      </c>
      <c r="Y16" s="56">
        <v>9.7646999999999998E-2</v>
      </c>
      <c r="Z16" s="55">
        <v>9.5735200000000006E-2</v>
      </c>
      <c r="AA16" s="55">
        <v>9.3749499999999999E-2</v>
      </c>
      <c r="AB16" s="55">
        <v>9.2080899999999993E-2</v>
      </c>
      <c r="AC16" s="55">
        <v>9.0514800000000006E-2</v>
      </c>
      <c r="AD16" s="55">
        <v>8.9677000000000007E-2</v>
      </c>
      <c r="AE16" s="55">
        <v>8.8255799999999995E-2</v>
      </c>
    </row>
    <row r="17" spans="1:31">
      <c r="A17" t="s">
        <v>148</v>
      </c>
      <c r="B17" s="55">
        <v>1.98393E-4</v>
      </c>
      <c r="C17" s="55">
        <v>2.7786899999999998E-4</v>
      </c>
      <c r="D17" s="55">
        <v>2.8057899999999998E-4</v>
      </c>
      <c r="E17" s="55">
        <v>2.9164600000000001E-4</v>
      </c>
      <c r="F17" s="55">
        <v>3.0436800000000001E-4</v>
      </c>
      <c r="G17" s="55">
        <v>2.9889100000000002E-4</v>
      </c>
      <c r="H17" s="55">
        <v>2.7941199999999999E-4</v>
      </c>
      <c r="I17" s="55">
        <v>2.68867E-4</v>
      </c>
      <c r="J17" s="55">
        <v>2.4055800000000001E-4</v>
      </c>
      <c r="K17" s="55">
        <v>2.18051E-4</v>
      </c>
      <c r="L17" s="55">
        <v>1.8938000000000001E-4</v>
      </c>
      <c r="M17" s="55">
        <v>1.59569E-4</v>
      </c>
      <c r="N17" s="55">
        <v>1.6568299999999999E-4</v>
      </c>
      <c r="O17" s="55">
        <v>1.7160499999999999E-4</v>
      </c>
      <c r="P17" s="55">
        <v>1.7034799999999999E-4</v>
      </c>
      <c r="Q17" s="55">
        <v>1.66358E-4</v>
      </c>
      <c r="R17" s="55">
        <v>1.6323999999999999E-4</v>
      </c>
      <c r="S17" s="55">
        <v>1.60946E-4</v>
      </c>
      <c r="T17" s="55">
        <v>1.5950599999999999E-4</v>
      </c>
      <c r="U17" s="55">
        <v>1.5850900000000001E-4</v>
      </c>
      <c r="V17" s="55">
        <v>1.5784999999999999E-4</v>
      </c>
      <c r="W17" s="55">
        <v>1.5751799999999999E-4</v>
      </c>
      <c r="X17" s="55">
        <v>1.5771399999999999E-4</v>
      </c>
      <c r="Y17" s="55">
        <v>1.58438E-4</v>
      </c>
      <c r="Z17" s="55">
        <v>1.5912399999999999E-4</v>
      </c>
      <c r="AA17" s="55">
        <v>1.5995000000000001E-4</v>
      </c>
      <c r="AB17" s="55">
        <v>1.60791E-4</v>
      </c>
      <c r="AC17" s="55">
        <v>1.6162199999999999E-4</v>
      </c>
      <c r="AD17" s="55">
        <v>1.62941E-4</v>
      </c>
      <c r="AE17" s="55">
        <v>1.64365E-4</v>
      </c>
    </row>
    <row r="18" spans="1:31">
      <c r="A18" t="s">
        <v>149</v>
      </c>
      <c r="B18" s="57">
        <v>5.7190699999999996E-6</v>
      </c>
      <c r="C18" s="57">
        <v>4.4880500000000002E-6</v>
      </c>
      <c r="D18" s="57">
        <v>5.64662E-6</v>
      </c>
      <c r="E18" s="57">
        <v>5.4295700000000001E-6</v>
      </c>
      <c r="F18" s="57">
        <v>6.1761400000000003E-6</v>
      </c>
      <c r="G18" s="57">
        <v>7.8756699999999994E-6</v>
      </c>
      <c r="H18" s="57">
        <v>9.56235E-6</v>
      </c>
      <c r="I18" s="57">
        <v>1.1052E-5</v>
      </c>
      <c r="J18" s="57">
        <v>1.29108E-5</v>
      </c>
      <c r="K18" s="57">
        <v>1.5331700000000001E-5</v>
      </c>
      <c r="L18" s="57">
        <v>1.7559700000000001E-5</v>
      </c>
      <c r="M18" s="57">
        <v>2.0346499999999999E-5</v>
      </c>
      <c r="N18" s="57">
        <v>1.74898E-5</v>
      </c>
      <c r="O18" s="57">
        <v>1.8587400000000001E-5</v>
      </c>
      <c r="P18" s="57">
        <v>2.06142E-5</v>
      </c>
      <c r="Q18" s="57">
        <v>2.3178000000000001E-5</v>
      </c>
      <c r="R18" s="57">
        <v>2.5715899999999999E-5</v>
      </c>
      <c r="S18" s="57">
        <v>2.82166E-5</v>
      </c>
      <c r="T18" s="57">
        <v>3.0681400000000001E-5</v>
      </c>
      <c r="U18" s="57">
        <v>3.3099299999999997E-5</v>
      </c>
      <c r="V18" s="57">
        <v>3.5118499999999999E-5</v>
      </c>
      <c r="W18" s="57">
        <v>3.6924000000000001E-5</v>
      </c>
      <c r="X18" s="57">
        <v>3.85242E-5</v>
      </c>
      <c r="Y18" s="57">
        <v>3.9924099999999999E-5</v>
      </c>
      <c r="Z18" s="57">
        <v>4.1300700000000003E-5</v>
      </c>
      <c r="AA18" s="57">
        <v>4.2475599999999997E-5</v>
      </c>
      <c r="AB18" s="57">
        <v>4.32899E-5</v>
      </c>
      <c r="AC18" s="57">
        <v>4.4094799999999997E-5</v>
      </c>
      <c r="AD18" s="57">
        <v>4.5232299999999997E-5</v>
      </c>
      <c r="AE18" s="57">
        <v>4.58208E-5</v>
      </c>
    </row>
    <row r="20" spans="1:31">
      <c r="B20" s="58">
        <v>2027</v>
      </c>
      <c r="C20" s="58">
        <v>2028</v>
      </c>
      <c r="D20" s="58">
        <v>2029</v>
      </c>
      <c r="E20" s="58">
        <v>2030</v>
      </c>
      <c r="F20" s="58">
        <v>2031</v>
      </c>
      <c r="G20" s="58">
        <v>2032</v>
      </c>
      <c r="H20" s="58">
        <v>2033</v>
      </c>
      <c r="I20" s="58">
        <v>2034</v>
      </c>
      <c r="J20" s="58">
        <v>2035</v>
      </c>
      <c r="K20" s="58">
        <v>2036</v>
      </c>
      <c r="L20" s="58">
        <v>2037</v>
      </c>
      <c r="M20" s="58">
        <v>2038</v>
      </c>
      <c r="N20" s="58">
        <v>2039</v>
      </c>
      <c r="O20" s="58">
        <v>2040</v>
      </c>
      <c r="P20" s="58">
        <v>2041</v>
      </c>
      <c r="Q20" s="58">
        <v>2042</v>
      </c>
      <c r="R20" s="58">
        <v>2043</v>
      </c>
      <c r="S20" s="58">
        <v>2044</v>
      </c>
      <c r="T20" s="58">
        <v>2045</v>
      </c>
      <c r="U20" s="58">
        <v>2046</v>
      </c>
      <c r="V20" s="58">
        <v>2047</v>
      </c>
      <c r="W20" s="58">
        <v>2048</v>
      </c>
      <c r="X20" s="58">
        <v>2049</v>
      </c>
      <c r="Y20" s="58">
        <v>2050</v>
      </c>
    </row>
    <row r="21" spans="1:31">
      <c r="A21" t="s">
        <v>150</v>
      </c>
      <c r="B21" s="10">
        <f>H12/B5</f>
        <v>0.99635384615384615</v>
      </c>
      <c r="C21" s="10">
        <f t="shared" ref="C21:Y21" si="4">I12/C5</f>
        <v>1.0024774193548387</v>
      </c>
      <c r="D21" s="10">
        <f t="shared" si="4"/>
        <v>1.0047552631578947</v>
      </c>
      <c r="E21" s="10">
        <f t="shared" si="4"/>
        <v>1.0027863636363634</v>
      </c>
      <c r="F21" s="10">
        <f t="shared" si="4"/>
        <v>0.99552399999999996</v>
      </c>
      <c r="G21" s="10">
        <f t="shared" si="4"/>
        <v>1.0028927272727273</v>
      </c>
      <c r="H21" s="10">
        <f t="shared" si="4"/>
        <v>0.99978727272727264</v>
      </c>
      <c r="I21" s="10">
        <f t="shared" si="4"/>
        <v>1.0074709090909089</v>
      </c>
      <c r="J21" s="10">
        <f t="shared" si="4"/>
        <v>1.0365963636363635</v>
      </c>
      <c r="K21" s="10">
        <f t="shared" si="4"/>
        <v>1.0708472727272726</v>
      </c>
      <c r="L21" s="10">
        <f t="shared" si="4"/>
        <v>1.100672727272727</v>
      </c>
      <c r="M21" s="10">
        <f t="shared" si="4"/>
        <v>1.1266327272727272</v>
      </c>
      <c r="N21" s="10">
        <f t="shared" si="4"/>
        <v>1.1494181818181817</v>
      </c>
      <c r="O21" s="10">
        <f t="shared" si="4"/>
        <v>1.1687363636363635</v>
      </c>
      <c r="P21" s="10">
        <f t="shared" si="4"/>
        <v>1.1862454545454544</v>
      </c>
      <c r="Q21" s="10">
        <f t="shared" si="4"/>
        <v>1.2023636363636363</v>
      </c>
      <c r="R21" s="10">
        <f t="shared" si="4"/>
        <v>1.2169054545454543</v>
      </c>
      <c r="S21" s="10">
        <f t="shared" si="4"/>
        <v>1.2294109090909089</v>
      </c>
      <c r="T21" s="10">
        <f t="shared" si="4"/>
        <v>1.24028</v>
      </c>
      <c r="U21" s="10">
        <f t="shared" si="4"/>
        <v>1.2512036363636363</v>
      </c>
      <c r="V21" s="10">
        <f t="shared" si="4"/>
        <v>1.2604090909090908</v>
      </c>
      <c r="W21" s="10">
        <f t="shared" si="4"/>
        <v>1.2694327272727273</v>
      </c>
      <c r="X21" s="10">
        <f t="shared" si="4"/>
        <v>1.2749490909090908</v>
      </c>
      <c r="Y21" s="10">
        <f t="shared" si="4"/>
        <v>1.2830363636363635</v>
      </c>
    </row>
    <row r="22" spans="1:31">
      <c r="A22" t="s">
        <v>151</v>
      </c>
      <c r="B22" s="10">
        <f>H16/B4</f>
        <v>0.99614833333333341</v>
      </c>
      <c r="C22" s="10">
        <f t="shared" ref="C22:Y22" si="5">I16/C4</f>
        <v>1.0043266666666668</v>
      </c>
      <c r="D22" s="10">
        <f t="shared" si="5"/>
        <v>0.99757374999999993</v>
      </c>
      <c r="E22" s="10">
        <f t="shared" si="5"/>
        <v>0.99857555555555566</v>
      </c>
      <c r="F22" s="10">
        <f t="shared" si="5"/>
        <v>1.0002181818181817</v>
      </c>
      <c r="G22" s="10">
        <f t="shared" si="5"/>
        <v>0.99559230769230755</v>
      </c>
      <c r="H22" s="10">
        <f t="shared" si="5"/>
        <v>1.0004230769230769</v>
      </c>
      <c r="I22" s="10">
        <f t="shared" si="5"/>
        <v>0.95956923076923073</v>
      </c>
      <c r="J22" s="10">
        <f t="shared" si="5"/>
        <v>0.93406923076923065</v>
      </c>
      <c r="K22" s="10">
        <f t="shared" si="5"/>
        <v>0.91663846153846151</v>
      </c>
      <c r="L22" s="10">
        <f t="shared" si="5"/>
        <v>0.8949538461538461</v>
      </c>
      <c r="M22" s="10">
        <f t="shared" si="5"/>
        <v>0.87190769230769227</v>
      </c>
      <c r="N22" s="10">
        <f t="shared" si="5"/>
        <v>0.84953846153846146</v>
      </c>
      <c r="O22" s="10">
        <f t="shared" si="5"/>
        <v>0.82761538461538464</v>
      </c>
      <c r="P22" s="10">
        <f t="shared" si="5"/>
        <v>0.80636923076923073</v>
      </c>
      <c r="Q22" s="10">
        <f t="shared" si="5"/>
        <v>0.78645384615384606</v>
      </c>
      <c r="R22" s="10">
        <f t="shared" si="5"/>
        <v>0.76708538461538456</v>
      </c>
      <c r="S22" s="10">
        <f t="shared" si="5"/>
        <v>0.75113076923076916</v>
      </c>
      <c r="T22" s="10">
        <f t="shared" si="5"/>
        <v>0.73642461538461546</v>
      </c>
      <c r="U22" s="10">
        <f t="shared" si="5"/>
        <v>0.72114999999999996</v>
      </c>
      <c r="V22" s="10">
        <f t="shared" si="5"/>
        <v>0.70831461538461526</v>
      </c>
      <c r="W22" s="10">
        <f t="shared" si="5"/>
        <v>0.69626769230769237</v>
      </c>
      <c r="X22" s="10">
        <f t="shared" si="5"/>
        <v>0.68982307692307698</v>
      </c>
      <c r="Y22" s="10">
        <f t="shared" si="5"/>
        <v>0.67889076923076919</v>
      </c>
    </row>
    <row r="23" spans="1:31">
      <c r="A23" t="s">
        <v>152</v>
      </c>
      <c r="B23" s="10">
        <f>SUM(H12,H16)/B3</f>
        <v>0.99631531250000005</v>
      </c>
      <c r="C23" s="10">
        <f t="shared" ref="C23:Y23" si="6">SUM(I12,I16)/C3</f>
        <v>1.0027772972972973</v>
      </c>
      <c r="D23" s="10">
        <f>SUM(J12,J16)/D3</f>
        <v>1.0035063043478261</v>
      </c>
      <c r="E23" s="10">
        <f t="shared" si="6"/>
        <v>1.0020713207547169</v>
      </c>
      <c r="F23" s="10">
        <f t="shared" si="6"/>
        <v>0.99637049180327864</v>
      </c>
      <c r="G23" s="10">
        <f t="shared" si="6"/>
        <v>1.0014970588235295</v>
      </c>
      <c r="H23" s="10">
        <f t="shared" si="6"/>
        <v>0.99990882352941179</v>
      </c>
      <c r="I23" s="10">
        <f t="shared" si="6"/>
        <v>0.99831323529411742</v>
      </c>
      <c r="J23" s="10">
        <f t="shared" si="6"/>
        <v>1.0169955882352939</v>
      </c>
      <c r="K23" s="10">
        <f t="shared" si="6"/>
        <v>1.0413661764705882</v>
      </c>
      <c r="L23" s="10">
        <f t="shared" si="6"/>
        <v>1.0613441176470586</v>
      </c>
      <c r="M23" s="10">
        <f t="shared" si="6"/>
        <v>1.077935294117647</v>
      </c>
      <c r="N23" s="10">
        <f t="shared" si="6"/>
        <v>1.0920882352941175</v>
      </c>
      <c r="O23" s="10">
        <f t="shared" si="6"/>
        <v>1.1035220588235293</v>
      </c>
      <c r="P23" s="10">
        <f t="shared" si="6"/>
        <v>1.1136220588235293</v>
      </c>
      <c r="Q23" s="10">
        <f t="shared" si="6"/>
        <v>1.1228514705882351</v>
      </c>
      <c r="R23" s="10">
        <f t="shared" si="6"/>
        <v>1.1309104411764705</v>
      </c>
      <c r="S23" s="10">
        <f t="shared" si="6"/>
        <v>1.137975</v>
      </c>
      <c r="T23" s="10">
        <f t="shared" si="6"/>
        <v>1.1439547058823529</v>
      </c>
      <c r="U23" s="10">
        <f t="shared" si="6"/>
        <v>1.1498698529411766</v>
      </c>
      <c r="V23" s="10">
        <f t="shared" si="6"/>
        <v>1.1548616176470587</v>
      </c>
      <c r="W23" s="10">
        <f t="shared" si="6"/>
        <v>1.1598570588235293</v>
      </c>
      <c r="X23" s="10">
        <f t="shared" si="6"/>
        <v>1.1630867647058822</v>
      </c>
      <c r="Y23" s="10">
        <f t="shared" si="6"/>
        <v>1.1675379411764706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70B2AB-6E30-425F-BE67-CA96739FBBA6}">
  <dimension ref="A1:BA149"/>
  <sheetViews>
    <sheetView workbookViewId="0">
      <selection activeCell="F51" sqref="F51:AF52"/>
    </sheetView>
  </sheetViews>
  <sheetFormatPr defaultRowHeight="15"/>
  <cols>
    <col min="1" max="1" width="56.140625" bestFit="1" customWidth="1"/>
    <col min="3" max="3" width="9.5703125" bestFit="1" customWidth="1"/>
  </cols>
  <sheetData>
    <row r="1" spans="1:16">
      <c r="A1" s="59" t="s">
        <v>153</v>
      </c>
      <c r="B1" s="60"/>
      <c r="C1" s="60"/>
      <c r="D1" s="60"/>
      <c r="E1" s="60"/>
      <c r="F1" s="60"/>
      <c r="G1" s="60"/>
      <c r="H1" s="60"/>
      <c r="I1" s="60"/>
      <c r="J1" s="60"/>
      <c r="K1" s="60"/>
      <c r="L1" s="60"/>
      <c r="M1" s="60"/>
      <c r="N1" s="60"/>
      <c r="O1" s="60"/>
      <c r="P1" s="60"/>
    </row>
    <row r="2" spans="1:16" ht="15.75" customHeight="1">
      <c r="A2" s="61"/>
      <c r="B2" s="62">
        <v>2021</v>
      </c>
      <c r="C2" s="62">
        <v>2022</v>
      </c>
      <c r="D2" s="62">
        <v>2023</v>
      </c>
      <c r="E2" s="62">
        <v>2024</v>
      </c>
      <c r="F2" s="62">
        <v>2025</v>
      </c>
      <c r="G2" s="62">
        <v>2026</v>
      </c>
      <c r="H2" s="62">
        <v>2027</v>
      </c>
      <c r="I2" s="62">
        <v>2028</v>
      </c>
      <c r="J2" s="62">
        <v>2029</v>
      </c>
      <c r="K2" s="62">
        <v>2030</v>
      </c>
      <c r="L2" s="62">
        <v>2031</v>
      </c>
      <c r="M2" s="62">
        <v>2032</v>
      </c>
      <c r="N2" s="62">
        <v>2033</v>
      </c>
      <c r="O2" s="62">
        <v>2034</v>
      </c>
      <c r="P2" s="62">
        <v>2035</v>
      </c>
    </row>
    <row r="3" spans="1:16">
      <c r="A3" s="62" t="s">
        <v>154</v>
      </c>
      <c r="B3" s="63"/>
      <c r="C3" s="63"/>
      <c r="D3" s="63"/>
      <c r="E3" s="63"/>
      <c r="F3" s="63"/>
      <c r="G3" s="63"/>
      <c r="H3" s="63"/>
      <c r="I3" s="63"/>
      <c r="J3" s="63"/>
      <c r="K3" s="63"/>
      <c r="L3" s="63"/>
      <c r="M3" s="63"/>
      <c r="N3" s="63"/>
      <c r="O3" s="63"/>
      <c r="P3" s="63"/>
    </row>
    <row r="4" spans="1:16">
      <c r="A4" s="63" t="s">
        <v>155</v>
      </c>
      <c r="B4" s="63"/>
      <c r="C4" s="63">
        <v>123014.02814171401</v>
      </c>
      <c r="D4" s="63">
        <v>116891.10064479</v>
      </c>
      <c r="E4" s="63">
        <v>110861.018872339</v>
      </c>
      <c r="F4" s="63">
        <v>105086.28082494601</v>
      </c>
      <c r="G4" s="63">
        <v>99480.616976928504</v>
      </c>
      <c r="H4" s="63">
        <v>94041.791663598196</v>
      </c>
      <c r="I4" s="63">
        <v>88699.548094428494</v>
      </c>
      <c r="J4" s="63">
        <v>83590.763893754396</v>
      </c>
      <c r="K4" s="63">
        <v>78642.067397142804</v>
      </c>
      <c r="L4" s="63">
        <v>77971.135744342799</v>
      </c>
      <c r="M4" s="63">
        <v>77306.302529942797</v>
      </c>
      <c r="N4" s="63">
        <v>76647.5677539428</v>
      </c>
      <c r="O4" s="63">
        <v>75994.931416342806</v>
      </c>
      <c r="P4" s="63">
        <v>75348.393517142802</v>
      </c>
    </row>
    <row r="5" spans="1:16">
      <c r="A5" s="63" t="s">
        <v>156</v>
      </c>
      <c r="B5" s="63"/>
      <c r="C5" s="63">
        <v>159207.807414857</v>
      </c>
      <c r="D5" s="63">
        <v>150762.980531254</v>
      </c>
      <c r="E5" s="63">
        <v>142465.294625482</v>
      </c>
      <c r="F5" s="63">
        <v>134523.43449766</v>
      </c>
      <c r="G5" s="63">
        <v>126825.62026921401</v>
      </c>
      <c r="H5" s="63">
        <v>119368.456662955</v>
      </c>
      <c r="I5" s="63">
        <v>112062.610816714</v>
      </c>
      <c r="J5" s="63">
        <v>105080.852304361</v>
      </c>
      <c r="K5" s="63">
        <v>98329.492008571397</v>
      </c>
      <c r="L5" s="63">
        <v>97356.117983771401</v>
      </c>
      <c r="M5" s="63">
        <v>96392.003173371399</v>
      </c>
      <c r="N5" s="63">
        <v>95437.147577371405</v>
      </c>
      <c r="O5" s="63">
        <v>94491.551195771404</v>
      </c>
      <c r="P5" s="63">
        <v>93555.214028571398</v>
      </c>
    </row>
    <row r="6" spans="1:16">
      <c r="A6" s="63" t="s">
        <v>157</v>
      </c>
      <c r="B6" s="63"/>
      <c r="C6" s="63">
        <v>270108.76006399997</v>
      </c>
      <c r="D6" s="63">
        <v>255656.81353143699</v>
      </c>
      <c r="E6" s="63">
        <v>241481.05590024899</v>
      </c>
      <c r="F6" s="63">
        <v>227934.40233675</v>
      </c>
      <c r="G6" s="63">
        <v>214826.43245699999</v>
      </c>
      <c r="H6" s="63">
        <v>202150.519416625</v>
      </c>
      <c r="I6" s="63">
        <v>189754.51910199999</v>
      </c>
      <c r="J6" s="63">
        <v>177930.10464693699</v>
      </c>
      <c r="K6" s="63">
        <v>166517.73655999999</v>
      </c>
      <c r="L6" s="63">
        <v>164752.88939120001</v>
      </c>
      <c r="M6" s="63">
        <v>163006.1020288</v>
      </c>
      <c r="N6" s="63">
        <v>161277.3744728</v>
      </c>
      <c r="O6" s="63">
        <v>159566.70672320001</v>
      </c>
      <c r="P6" s="63">
        <v>157874.09878</v>
      </c>
    </row>
    <row r="7" spans="1:16">
      <c r="A7" s="63" t="s">
        <v>158</v>
      </c>
      <c r="B7" s="63"/>
      <c r="C7" s="63">
        <v>279260.18559999898</v>
      </c>
      <c r="D7" s="63">
        <v>263473.356940625</v>
      </c>
      <c r="E7" s="63">
        <v>248012.4213625</v>
      </c>
      <c r="F7" s="63">
        <v>233239.7419125</v>
      </c>
      <c r="G7" s="63">
        <v>218958.3682</v>
      </c>
      <c r="H7" s="63">
        <v>205160.76274375001</v>
      </c>
      <c r="I7" s="63">
        <v>191692.3847</v>
      </c>
      <c r="J7" s="63">
        <v>178847.74184062399</v>
      </c>
      <c r="K7" s="63">
        <v>166464.10699999999</v>
      </c>
      <c r="L7" s="63">
        <v>164483.975832</v>
      </c>
      <c r="M7" s="63">
        <v>162524.389708</v>
      </c>
      <c r="N7" s="63">
        <v>160585.34862800001</v>
      </c>
      <c r="O7" s="63">
        <v>158666.85259200001</v>
      </c>
      <c r="P7" s="63">
        <v>156768.90160000001</v>
      </c>
    </row>
    <row r="8" spans="1:16">
      <c r="A8" s="63" t="s">
        <v>159</v>
      </c>
      <c r="B8" s="63"/>
      <c r="C8" s="63">
        <v>514693.025792</v>
      </c>
      <c r="D8" s="63">
        <v>478374.445650562</v>
      </c>
      <c r="E8" s="63">
        <v>443236.40154075</v>
      </c>
      <c r="F8" s="63">
        <v>409916.57607524999</v>
      </c>
      <c r="G8" s="63">
        <v>378042.57344100002</v>
      </c>
      <c r="H8" s="63">
        <v>347585.904687375</v>
      </c>
      <c r="I8" s="63">
        <v>318274.00570600003</v>
      </c>
      <c r="J8" s="63">
        <v>290584.82838206203</v>
      </c>
      <c r="K8" s="63">
        <v>264226.95948000002</v>
      </c>
      <c r="L8" s="63">
        <v>259041.23675519999</v>
      </c>
      <c r="M8" s="63">
        <v>253933.1637608</v>
      </c>
      <c r="N8" s="63">
        <v>248902.74049679999</v>
      </c>
      <c r="O8" s="63">
        <v>243949.96696319999</v>
      </c>
      <c r="P8" s="63">
        <v>239074.84315999999</v>
      </c>
    </row>
    <row r="9" spans="1:16">
      <c r="A9" s="63" t="s">
        <v>160</v>
      </c>
      <c r="B9" s="63"/>
      <c r="C9" s="63">
        <v>352345.79063954199</v>
      </c>
      <c r="D9" s="63">
        <v>336920.40289145103</v>
      </c>
      <c r="E9" s="63">
        <v>321714.49663779198</v>
      </c>
      <c r="F9" s="63">
        <v>307197.76116126397</v>
      </c>
      <c r="G9" s="63">
        <v>293121.27323848498</v>
      </c>
      <c r="H9" s="63">
        <v>279478.32417008199</v>
      </c>
      <c r="I9" s="63">
        <v>266058.17291548499</v>
      </c>
      <c r="J9" s="63">
        <v>253269.417264894</v>
      </c>
      <c r="K9" s="63">
        <v>240893.94282742799</v>
      </c>
      <c r="L9" s="63">
        <v>239120.828568228</v>
      </c>
      <c r="M9" s="63">
        <v>237366.00342662801</v>
      </c>
      <c r="N9" s="63">
        <v>235629.46740262801</v>
      </c>
      <c r="O9" s="63">
        <v>233911.22049622799</v>
      </c>
      <c r="P9" s="63">
        <v>232211.26270742799</v>
      </c>
    </row>
    <row r="10" spans="1:16">
      <c r="A10" s="64" t="s">
        <v>161</v>
      </c>
      <c r="B10" s="64"/>
      <c r="C10" s="64">
        <v>254244.29587332401</v>
      </c>
      <c r="D10" s="64">
        <v>238190.03010017413</v>
      </c>
      <c r="E10" s="64">
        <v>222651.14064541471</v>
      </c>
      <c r="F10" s="64">
        <v>207942.32020082459</v>
      </c>
      <c r="G10" s="64">
        <v>193798.83210084747</v>
      </c>
      <c r="H10" s="64">
        <v>180291.79864733585</v>
      </c>
      <c r="I10" s="64">
        <v>167274.24981139184</v>
      </c>
      <c r="J10" s="64">
        <v>154992.181179804</v>
      </c>
      <c r="K10" s="64">
        <v>143291.09355900332</v>
      </c>
      <c r="L10" s="64">
        <v>141012.55439962645</v>
      </c>
      <c r="M10" s="64">
        <v>138777.42258643205</v>
      </c>
      <c r="N10" s="64">
        <v>136585.20558876757</v>
      </c>
      <c r="O10" s="64">
        <v>134435.41087598051</v>
      </c>
      <c r="P10" s="64">
        <v>132327.54591741826</v>
      </c>
    </row>
    <row r="11" spans="1:16">
      <c r="A11" s="63" t="s">
        <v>162</v>
      </c>
      <c r="B11" s="63"/>
      <c r="C11" s="63">
        <v>122214.21173028499</v>
      </c>
      <c r="D11" s="63">
        <v>117413.976644366</v>
      </c>
      <c r="E11" s="63">
        <v>112666.51620153501</v>
      </c>
      <c r="F11" s="63">
        <v>108136.271422178</v>
      </c>
      <c r="G11" s="63">
        <v>103736.844151571</v>
      </c>
      <c r="H11" s="63">
        <v>99466.245995339297</v>
      </c>
      <c r="I11" s="63">
        <v>95249.444506571395</v>
      </c>
      <c r="J11" s="63">
        <v>91232.695573151796</v>
      </c>
      <c r="K11" s="63">
        <v>87338.771582857094</v>
      </c>
      <c r="L11" s="63">
        <v>86812.205402057094</v>
      </c>
      <c r="M11" s="63">
        <v>86291.055923657099</v>
      </c>
      <c r="N11" s="63">
        <v>85775.323147657095</v>
      </c>
      <c r="O11" s="63">
        <v>85265.007074057095</v>
      </c>
      <c r="P11" s="63">
        <v>84760.107702857102</v>
      </c>
    </row>
    <row r="12" spans="1:16">
      <c r="A12" s="63" t="s">
        <v>163</v>
      </c>
      <c r="B12" s="63"/>
      <c r="C12" s="63">
        <v>450892.87437165697</v>
      </c>
      <c r="D12" s="63">
        <v>434385.76652422902</v>
      </c>
      <c r="E12" s="63">
        <v>418045.41355878202</v>
      </c>
      <c r="F12" s="63">
        <v>402480.97438276</v>
      </c>
      <c r="G12" s="63">
        <v>387372.71199361398</v>
      </c>
      <c r="H12" s="63">
        <v>372713.172470405</v>
      </c>
      <c r="I12" s="63">
        <v>358220.19315511402</v>
      </c>
      <c r="J12" s="63">
        <v>344442.81400393602</v>
      </c>
      <c r="K12" s="63">
        <v>331091.64980057097</v>
      </c>
      <c r="L12" s="63">
        <v>329239.34992377099</v>
      </c>
      <c r="M12" s="63">
        <v>327407.37197737099</v>
      </c>
      <c r="N12" s="63">
        <v>325595.71596137102</v>
      </c>
      <c r="O12" s="63">
        <v>323804.38187577098</v>
      </c>
      <c r="P12" s="63">
        <v>322033.36972057098</v>
      </c>
    </row>
    <row r="13" spans="1:16">
      <c r="A13" s="63" t="s">
        <v>164</v>
      </c>
      <c r="B13" s="63"/>
      <c r="C13" s="63">
        <v>189784.88384365701</v>
      </c>
      <c r="D13" s="63">
        <v>182723.316817135</v>
      </c>
      <c r="E13" s="63">
        <v>175696.32320265699</v>
      </c>
      <c r="F13" s="63">
        <v>168961.49064488499</v>
      </c>
      <c r="G13" s="63">
        <v>162385.75271211399</v>
      </c>
      <c r="H13" s="63">
        <v>155967.40409184201</v>
      </c>
      <c r="I13" s="63">
        <v>149590.02319611399</v>
      </c>
      <c r="J13" s="63">
        <v>143484.56591959199</v>
      </c>
      <c r="K13" s="63">
        <v>137531.34858057101</v>
      </c>
      <c r="L13" s="63">
        <v>136760.20458057101</v>
      </c>
      <c r="M13" s="63">
        <v>135995.25818057099</v>
      </c>
      <c r="N13" s="63">
        <v>135236.50938057099</v>
      </c>
      <c r="O13" s="63">
        <v>134483.958180571</v>
      </c>
      <c r="P13" s="63">
        <v>133737.604580571</v>
      </c>
    </row>
    <row r="14" spans="1:16">
      <c r="A14" s="63" t="s">
        <v>165</v>
      </c>
      <c r="B14" s="63"/>
      <c r="C14" s="63">
        <v>824534.65599999996</v>
      </c>
      <c r="D14" s="63">
        <v>800245.73403125</v>
      </c>
      <c r="E14" s="63">
        <v>775788.07787499996</v>
      </c>
      <c r="F14" s="63">
        <v>752300.28262499999</v>
      </c>
      <c r="G14" s="63">
        <v>729205.34050000005</v>
      </c>
      <c r="H14" s="63">
        <v>706501.54618749896</v>
      </c>
      <c r="I14" s="63">
        <v>683662.91299999994</v>
      </c>
      <c r="J14" s="63">
        <v>661746.40228124999</v>
      </c>
      <c r="K14" s="63">
        <v>640215.89</v>
      </c>
      <c r="L14" s="63">
        <v>637719.42559999996</v>
      </c>
      <c r="M14" s="63">
        <v>635235.356399999</v>
      </c>
      <c r="N14" s="63">
        <v>632763.682399999</v>
      </c>
      <c r="O14" s="63">
        <v>630304.40359999996</v>
      </c>
      <c r="P14" s="63">
        <v>627857.52</v>
      </c>
    </row>
    <row r="15" spans="1:16">
      <c r="A15" s="64" t="s">
        <v>166</v>
      </c>
      <c r="B15" s="64"/>
      <c r="C15" s="64">
        <v>402865.46875217895</v>
      </c>
      <c r="D15" s="64">
        <v>389825.18971002812</v>
      </c>
      <c r="E15" s="64">
        <v>376772.31348939822</v>
      </c>
      <c r="F15" s="64">
        <v>364259.15831143828</v>
      </c>
      <c r="G15" s="64">
        <v>352003.04838521645</v>
      </c>
      <c r="H15" s="64">
        <v>340001.81820427557</v>
      </c>
      <c r="I15" s="64">
        <v>328001.63240464276</v>
      </c>
      <c r="J15" s="64">
        <v>316508.86796336708</v>
      </c>
      <c r="K15" s="64">
        <v>305264.03705494152</v>
      </c>
      <c r="L15" s="64">
        <v>303882.39721301734</v>
      </c>
      <c r="M15" s="64">
        <v>302510.17136795085</v>
      </c>
      <c r="N15" s="64">
        <v>301147.35951930378</v>
      </c>
      <c r="O15" s="64">
        <v>299793.96166663681</v>
      </c>
      <c r="P15" s="64">
        <v>298449.97780951031</v>
      </c>
    </row>
    <row r="18" spans="1:53">
      <c r="A18" s="65" t="s">
        <v>167</v>
      </c>
      <c r="B18" s="66">
        <v>2020</v>
      </c>
      <c r="C18" s="66">
        <v>2021</v>
      </c>
      <c r="D18" s="66">
        <v>2022</v>
      </c>
      <c r="E18" s="66">
        <v>2023</v>
      </c>
      <c r="F18" s="66">
        <v>2024</v>
      </c>
      <c r="G18" s="66">
        <v>2025</v>
      </c>
      <c r="H18" s="66">
        <v>2026</v>
      </c>
      <c r="I18" s="66">
        <v>2027</v>
      </c>
      <c r="J18" s="66">
        <v>2028</v>
      </c>
      <c r="K18" s="66">
        <v>2029</v>
      </c>
      <c r="L18" s="66">
        <v>2030</v>
      </c>
      <c r="M18" s="66">
        <v>2031</v>
      </c>
      <c r="N18" s="66">
        <v>2032</v>
      </c>
      <c r="O18" s="66">
        <v>2033</v>
      </c>
      <c r="P18" s="66">
        <v>2034</v>
      </c>
      <c r="Q18" s="66">
        <v>2035</v>
      </c>
      <c r="R18" s="66">
        <v>2036</v>
      </c>
      <c r="S18" s="66">
        <v>2037</v>
      </c>
      <c r="T18" s="66">
        <v>2038</v>
      </c>
      <c r="U18" s="66">
        <v>2039</v>
      </c>
      <c r="V18" s="66">
        <v>2040</v>
      </c>
      <c r="W18" s="66">
        <v>2041</v>
      </c>
      <c r="X18" s="66">
        <v>2042</v>
      </c>
      <c r="Y18" s="66">
        <v>2043</v>
      </c>
      <c r="Z18" s="66">
        <v>2044</v>
      </c>
      <c r="AA18" s="66">
        <v>2045</v>
      </c>
      <c r="AB18" s="66">
        <v>2046</v>
      </c>
      <c r="AC18" s="66">
        <v>2047</v>
      </c>
      <c r="AD18" s="66">
        <v>2048</v>
      </c>
      <c r="AE18" s="66">
        <v>2049</v>
      </c>
      <c r="AF18" s="66">
        <v>2050</v>
      </c>
    </row>
    <row r="19" spans="1:53">
      <c r="A19" s="67" t="s">
        <v>155</v>
      </c>
      <c r="B19" s="68">
        <v>140.5</v>
      </c>
      <c r="C19" s="68">
        <v>137.75</v>
      </c>
      <c r="D19" s="69">
        <v>135</v>
      </c>
      <c r="E19" s="69">
        <v>132.25</v>
      </c>
      <c r="F19" s="69">
        <v>129.5</v>
      </c>
      <c r="G19" s="69">
        <v>126.75</v>
      </c>
      <c r="H19" s="69">
        <v>124</v>
      </c>
      <c r="I19" s="69">
        <v>121.25</v>
      </c>
      <c r="J19" s="69">
        <v>118.5</v>
      </c>
      <c r="K19" s="69">
        <v>115.75</v>
      </c>
      <c r="L19" s="69">
        <v>113</v>
      </c>
      <c r="M19" s="69">
        <v>113</v>
      </c>
      <c r="N19" s="69">
        <v>113</v>
      </c>
      <c r="O19" s="69">
        <v>113</v>
      </c>
      <c r="P19" s="69">
        <v>113</v>
      </c>
      <c r="Q19" s="69">
        <v>113</v>
      </c>
      <c r="R19" s="69">
        <v>113</v>
      </c>
      <c r="S19" s="69">
        <v>113</v>
      </c>
      <c r="T19" s="69">
        <v>113</v>
      </c>
      <c r="U19" s="69">
        <v>113</v>
      </c>
      <c r="V19" s="69">
        <v>113</v>
      </c>
      <c r="W19" s="69">
        <v>113</v>
      </c>
      <c r="X19" s="69">
        <v>113</v>
      </c>
      <c r="Y19" s="69">
        <v>113</v>
      </c>
      <c r="Z19" s="69">
        <v>113</v>
      </c>
      <c r="AA19" s="69">
        <v>113</v>
      </c>
      <c r="AB19" s="69">
        <v>113</v>
      </c>
      <c r="AC19" s="69">
        <v>113</v>
      </c>
      <c r="AD19" s="69">
        <v>113</v>
      </c>
      <c r="AE19" s="69">
        <v>113</v>
      </c>
      <c r="AF19" s="69">
        <v>113</v>
      </c>
    </row>
    <row r="20" spans="1:53">
      <c r="A20" s="67" t="s">
        <v>156</v>
      </c>
      <c r="B20" s="68">
        <v>213.5</v>
      </c>
      <c r="C20" s="68">
        <v>209.25</v>
      </c>
      <c r="D20" s="69">
        <v>205</v>
      </c>
      <c r="E20" s="69">
        <v>200.75</v>
      </c>
      <c r="F20" s="69">
        <v>196.5</v>
      </c>
      <c r="G20" s="69">
        <v>192.25</v>
      </c>
      <c r="H20" s="69">
        <v>188</v>
      </c>
      <c r="I20" s="69">
        <v>183.75</v>
      </c>
      <c r="J20" s="69">
        <v>179.5</v>
      </c>
      <c r="K20" s="69">
        <v>175.25</v>
      </c>
      <c r="L20" s="69">
        <v>171</v>
      </c>
      <c r="M20" s="69">
        <v>171</v>
      </c>
      <c r="N20" s="69">
        <v>171</v>
      </c>
      <c r="O20" s="69">
        <v>171</v>
      </c>
      <c r="P20" s="69">
        <v>171</v>
      </c>
      <c r="Q20" s="69">
        <v>171</v>
      </c>
      <c r="R20" s="69">
        <v>171</v>
      </c>
      <c r="S20" s="69">
        <v>171</v>
      </c>
      <c r="T20" s="69">
        <v>171</v>
      </c>
      <c r="U20" s="69">
        <v>171</v>
      </c>
      <c r="V20" s="69">
        <v>171</v>
      </c>
      <c r="W20" s="69">
        <v>171</v>
      </c>
      <c r="X20" s="69">
        <v>171</v>
      </c>
      <c r="Y20" s="69">
        <v>171</v>
      </c>
      <c r="Z20" s="69">
        <v>171</v>
      </c>
      <c r="AA20" s="69">
        <v>171</v>
      </c>
      <c r="AB20" s="69">
        <v>171</v>
      </c>
      <c r="AC20" s="69">
        <v>171</v>
      </c>
      <c r="AD20" s="69">
        <v>171</v>
      </c>
      <c r="AE20" s="69">
        <v>171</v>
      </c>
      <c r="AF20" s="69">
        <v>171</v>
      </c>
    </row>
    <row r="21" spans="1:53">
      <c r="A21" s="67" t="s">
        <v>157</v>
      </c>
      <c r="B21" s="68">
        <v>425</v>
      </c>
      <c r="C21" s="68">
        <v>412.5</v>
      </c>
      <c r="D21" s="69">
        <v>400</v>
      </c>
      <c r="E21" s="69">
        <v>387.5</v>
      </c>
      <c r="F21" s="69">
        <v>375</v>
      </c>
      <c r="G21" s="69">
        <v>362.5</v>
      </c>
      <c r="H21" s="69">
        <v>350</v>
      </c>
      <c r="I21" s="69">
        <v>337.5</v>
      </c>
      <c r="J21" s="69">
        <v>325</v>
      </c>
      <c r="K21" s="69">
        <v>312.5</v>
      </c>
      <c r="L21" s="69">
        <v>300</v>
      </c>
      <c r="M21" s="69">
        <v>300</v>
      </c>
      <c r="N21" s="69">
        <v>300</v>
      </c>
      <c r="O21" s="69">
        <v>300</v>
      </c>
      <c r="P21" s="69">
        <v>300</v>
      </c>
      <c r="Q21" s="69">
        <v>300</v>
      </c>
      <c r="R21" s="69">
        <v>300</v>
      </c>
      <c r="S21" s="69">
        <v>300</v>
      </c>
      <c r="T21" s="69">
        <v>300</v>
      </c>
      <c r="U21" s="69">
        <v>300</v>
      </c>
      <c r="V21" s="69">
        <v>300</v>
      </c>
      <c r="W21" s="69">
        <v>300</v>
      </c>
      <c r="X21" s="69">
        <v>300</v>
      </c>
      <c r="Y21" s="69">
        <v>300</v>
      </c>
      <c r="Z21" s="69">
        <v>300</v>
      </c>
      <c r="AA21" s="69">
        <v>300</v>
      </c>
      <c r="AB21" s="69">
        <v>300</v>
      </c>
      <c r="AC21" s="69">
        <v>300</v>
      </c>
      <c r="AD21" s="69">
        <v>300</v>
      </c>
      <c r="AE21" s="69">
        <v>300</v>
      </c>
      <c r="AF21" s="69">
        <v>300</v>
      </c>
    </row>
    <row r="22" spans="1:53">
      <c r="A22" s="67" t="s">
        <v>158</v>
      </c>
      <c r="B22" s="68">
        <v>485.5</v>
      </c>
      <c r="C22" s="68">
        <v>470.25</v>
      </c>
      <c r="D22" s="69">
        <v>455</v>
      </c>
      <c r="E22" s="69">
        <v>439.75</v>
      </c>
      <c r="F22" s="69">
        <v>424.5</v>
      </c>
      <c r="G22" s="69">
        <v>409.25</v>
      </c>
      <c r="H22" s="69">
        <v>394</v>
      </c>
      <c r="I22" s="69">
        <v>378.75</v>
      </c>
      <c r="J22" s="69">
        <v>363.5</v>
      </c>
      <c r="K22" s="69">
        <v>348.25</v>
      </c>
      <c r="L22" s="69">
        <v>333</v>
      </c>
      <c r="M22" s="69">
        <v>333</v>
      </c>
      <c r="N22" s="69">
        <v>333</v>
      </c>
      <c r="O22" s="69">
        <v>333</v>
      </c>
      <c r="P22" s="69">
        <v>333</v>
      </c>
      <c r="Q22" s="69">
        <v>333</v>
      </c>
      <c r="R22" s="69">
        <v>333</v>
      </c>
      <c r="S22" s="69">
        <v>333</v>
      </c>
      <c r="T22" s="69">
        <v>333</v>
      </c>
      <c r="U22" s="69">
        <v>333</v>
      </c>
      <c r="V22" s="69">
        <v>333</v>
      </c>
      <c r="W22" s="69">
        <v>333</v>
      </c>
      <c r="X22" s="69">
        <v>333</v>
      </c>
      <c r="Y22" s="69">
        <v>333</v>
      </c>
      <c r="Z22" s="69">
        <v>333</v>
      </c>
      <c r="AA22" s="69">
        <v>333</v>
      </c>
      <c r="AB22" s="69">
        <v>333</v>
      </c>
      <c r="AC22" s="69">
        <v>333</v>
      </c>
      <c r="AD22" s="69">
        <v>333</v>
      </c>
      <c r="AE22" s="69">
        <v>333</v>
      </c>
      <c r="AF22" s="69">
        <v>333</v>
      </c>
    </row>
    <row r="23" spans="1:53">
      <c r="A23" s="67" t="s">
        <v>159</v>
      </c>
      <c r="B23" s="68">
        <v>984.25</v>
      </c>
      <c r="C23" s="68">
        <v>952.125</v>
      </c>
      <c r="D23" s="69">
        <v>920</v>
      </c>
      <c r="E23" s="69">
        <v>887.875</v>
      </c>
      <c r="F23" s="69">
        <v>855.75</v>
      </c>
      <c r="G23" s="69">
        <v>823.625</v>
      </c>
      <c r="H23" s="69">
        <v>791.5</v>
      </c>
      <c r="I23" s="69">
        <v>759.375</v>
      </c>
      <c r="J23" s="69">
        <v>727.25</v>
      </c>
      <c r="K23" s="69">
        <v>695.125</v>
      </c>
      <c r="L23" s="69">
        <v>663</v>
      </c>
      <c r="M23" s="69">
        <v>663</v>
      </c>
      <c r="N23" s="69">
        <v>663</v>
      </c>
      <c r="O23" s="69">
        <v>663</v>
      </c>
      <c r="P23" s="69">
        <v>663</v>
      </c>
      <c r="Q23" s="69">
        <v>663</v>
      </c>
      <c r="R23" s="69">
        <v>663</v>
      </c>
      <c r="S23" s="69">
        <v>663</v>
      </c>
      <c r="T23" s="69">
        <v>663</v>
      </c>
      <c r="U23" s="69">
        <v>663</v>
      </c>
      <c r="V23" s="69">
        <v>663</v>
      </c>
      <c r="W23" s="69">
        <v>663</v>
      </c>
      <c r="X23" s="69">
        <v>663</v>
      </c>
      <c r="Y23" s="69">
        <v>663</v>
      </c>
      <c r="Z23" s="69">
        <v>663</v>
      </c>
      <c r="AA23" s="69">
        <v>663</v>
      </c>
      <c r="AB23" s="69">
        <v>663</v>
      </c>
      <c r="AC23" s="69">
        <v>663</v>
      </c>
      <c r="AD23" s="69">
        <v>663</v>
      </c>
      <c r="AE23" s="69">
        <v>663</v>
      </c>
      <c r="AF23" s="69">
        <v>663</v>
      </c>
    </row>
    <row r="24" spans="1:53">
      <c r="A24" s="67" t="s">
        <v>160</v>
      </c>
      <c r="B24" s="68">
        <v>428.25</v>
      </c>
      <c r="C24" s="68">
        <v>416.625</v>
      </c>
      <c r="D24" s="69">
        <v>405</v>
      </c>
      <c r="E24" s="69">
        <v>393.375</v>
      </c>
      <c r="F24" s="69">
        <v>381.75</v>
      </c>
      <c r="G24" s="69">
        <v>370.125</v>
      </c>
      <c r="H24" s="69">
        <v>358.5</v>
      </c>
      <c r="I24" s="69">
        <v>346.875</v>
      </c>
      <c r="J24" s="69">
        <v>335.25</v>
      </c>
      <c r="K24" s="69">
        <v>323.625</v>
      </c>
      <c r="L24" s="69">
        <v>312</v>
      </c>
      <c r="M24" s="69">
        <v>312</v>
      </c>
      <c r="N24" s="69">
        <v>312</v>
      </c>
      <c r="O24" s="69">
        <v>312</v>
      </c>
      <c r="P24" s="69">
        <v>312</v>
      </c>
      <c r="Q24" s="69">
        <v>312</v>
      </c>
      <c r="R24" s="69">
        <v>312</v>
      </c>
      <c r="S24" s="69">
        <v>312</v>
      </c>
      <c r="T24" s="69">
        <v>312</v>
      </c>
      <c r="U24" s="69">
        <v>312</v>
      </c>
      <c r="V24" s="69">
        <v>312</v>
      </c>
      <c r="W24" s="69">
        <v>312</v>
      </c>
      <c r="X24" s="69">
        <v>312</v>
      </c>
      <c r="Y24" s="69">
        <v>312</v>
      </c>
      <c r="Z24" s="69">
        <v>312</v>
      </c>
      <c r="AA24" s="69">
        <v>312</v>
      </c>
      <c r="AB24" s="69">
        <v>312</v>
      </c>
      <c r="AC24" s="69">
        <v>312</v>
      </c>
      <c r="AD24" s="69">
        <v>312</v>
      </c>
      <c r="AE24" s="69">
        <v>312</v>
      </c>
      <c r="AF24" s="69">
        <v>312</v>
      </c>
    </row>
    <row r="25" spans="1:53">
      <c r="A25" s="67" t="s">
        <v>162</v>
      </c>
      <c r="B25" s="68">
        <v>121.25</v>
      </c>
      <c r="C25" s="68">
        <v>120.625</v>
      </c>
      <c r="D25" s="69">
        <v>120</v>
      </c>
      <c r="E25" s="69">
        <v>119.375</v>
      </c>
      <c r="F25" s="69">
        <v>118.75</v>
      </c>
      <c r="G25" s="69">
        <v>118.125</v>
      </c>
      <c r="H25" s="69">
        <v>117.5</v>
      </c>
      <c r="I25" s="69">
        <v>116.875</v>
      </c>
      <c r="J25" s="69">
        <v>116.25</v>
      </c>
      <c r="K25" s="69">
        <v>115.625</v>
      </c>
      <c r="L25" s="69">
        <v>115</v>
      </c>
      <c r="M25" s="69">
        <v>115</v>
      </c>
      <c r="N25" s="69">
        <v>115</v>
      </c>
      <c r="O25" s="69">
        <v>115</v>
      </c>
      <c r="P25" s="69">
        <v>115</v>
      </c>
      <c r="Q25" s="69">
        <v>115</v>
      </c>
      <c r="R25" s="69">
        <v>115</v>
      </c>
      <c r="S25" s="69">
        <v>115</v>
      </c>
      <c r="T25" s="69">
        <v>115</v>
      </c>
      <c r="U25" s="69">
        <v>115</v>
      </c>
      <c r="V25" s="69">
        <v>115</v>
      </c>
      <c r="W25" s="69">
        <v>115</v>
      </c>
      <c r="X25" s="69">
        <v>115</v>
      </c>
      <c r="Y25" s="69">
        <v>115</v>
      </c>
      <c r="Z25" s="69">
        <v>115</v>
      </c>
      <c r="AA25" s="69">
        <v>115</v>
      </c>
      <c r="AB25" s="69">
        <v>115</v>
      </c>
      <c r="AC25" s="69">
        <v>115</v>
      </c>
      <c r="AD25" s="69">
        <v>115</v>
      </c>
      <c r="AE25" s="69">
        <v>115</v>
      </c>
      <c r="AF25" s="69">
        <v>115</v>
      </c>
    </row>
    <row r="26" spans="1:53">
      <c r="A26" s="67" t="s">
        <v>163</v>
      </c>
      <c r="B26" s="68">
        <v>455</v>
      </c>
      <c r="C26" s="68">
        <v>452.5</v>
      </c>
      <c r="D26" s="69">
        <v>450</v>
      </c>
      <c r="E26" s="69">
        <v>447.5</v>
      </c>
      <c r="F26" s="69">
        <v>445</v>
      </c>
      <c r="G26" s="69">
        <v>442.5</v>
      </c>
      <c r="H26" s="69">
        <v>440</v>
      </c>
      <c r="I26" s="69">
        <v>437.5</v>
      </c>
      <c r="J26" s="69">
        <v>435</v>
      </c>
      <c r="K26" s="69">
        <v>432.5</v>
      </c>
      <c r="L26" s="69">
        <v>430</v>
      </c>
      <c r="M26" s="69">
        <v>430</v>
      </c>
      <c r="N26" s="69">
        <v>430</v>
      </c>
      <c r="O26" s="69">
        <v>430</v>
      </c>
      <c r="P26" s="69">
        <v>430</v>
      </c>
      <c r="Q26" s="69">
        <v>430</v>
      </c>
      <c r="R26" s="69">
        <v>430</v>
      </c>
      <c r="S26" s="69">
        <v>430</v>
      </c>
      <c r="T26" s="69">
        <v>430</v>
      </c>
      <c r="U26" s="69">
        <v>430</v>
      </c>
      <c r="V26" s="69">
        <v>430</v>
      </c>
      <c r="W26" s="69">
        <v>430</v>
      </c>
      <c r="X26" s="69">
        <v>430</v>
      </c>
      <c r="Y26" s="69">
        <v>430</v>
      </c>
      <c r="Z26" s="69">
        <v>430</v>
      </c>
      <c r="AA26" s="69">
        <v>430</v>
      </c>
      <c r="AB26" s="69">
        <v>430</v>
      </c>
      <c r="AC26" s="69">
        <v>430</v>
      </c>
      <c r="AD26" s="69">
        <v>430</v>
      </c>
      <c r="AE26" s="69">
        <v>430</v>
      </c>
      <c r="AF26" s="69">
        <v>430</v>
      </c>
    </row>
    <row r="27" spans="1:53">
      <c r="A27" s="67" t="s">
        <v>164</v>
      </c>
      <c r="B27" s="68">
        <v>182.00000000000023</v>
      </c>
      <c r="C27" s="68">
        <v>181.00000000000023</v>
      </c>
      <c r="D27" s="69">
        <v>180</v>
      </c>
      <c r="E27" s="69">
        <v>179</v>
      </c>
      <c r="F27" s="69">
        <v>178</v>
      </c>
      <c r="G27" s="69">
        <v>177</v>
      </c>
      <c r="H27" s="69">
        <v>176</v>
      </c>
      <c r="I27" s="69">
        <v>175</v>
      </c>
      <c r="J27" s="69">
        <v>174</v>
      </c>
      <c r="K27" s="69">
        <v>173</v>
      </c>
      <c r="L27" s="69">
        <v>172</v>
      </c>
      <c r="M27" s="69">
        <v>172</v>
      </c>
      <c r="N27" s="69">
        <v>172</v>
      </c>
      <c r="O27" s="69">
        <v>172</v>
      </c>
      <c r="P27" s="69">
        <v>172</v>
      </c>
      <c r="Q27" s="69">
        <v>172</v>
      </c>
      <c r="R27" s="69">
        <v>172</v>
      </c>
      <c r="S27" s="69">
        <v>172</v>
      </c>
      <c r="T27" s="69">
        <v>172</v>
      </c>
      <c r="U27" s="69">
        <v>172</v>
      </c>
      <c r="V27" s="69">
        <v>172</v>
      </c>
      <c r="W27" s="69">
        <v>172</v>
      </c>
      <c r="X27" s="69">
        <v>172</v>
      </c>
      <c r="Y27" s="69">
        <v>172</v>
      </c>
      <c r="Z27" s="69">
        <v>172</v>
      </c>
      <c r="AA27" s="69">
        <v>172</v>
      </c>
      <c r="AB27" s="69">
        <v>172</v>
      </c>
      <c r="AC27" s="69">
        <v>172</v>
      </c>
      <c r="AD27" s="69">
        <v>172</v>
      </c>
      <c r="AE27" s="69">
        <v>172</v>
      </c>
      <c r="AF27" s="69">
        <v>172</v>
      </c>
    </row>
    <row r="28" spans="1:53">
      <c r="A28" s="67" t="s">
        <v>165</v>
      </c>
      <c r="B28" s="68">
        <v>683.50000000000091</v>
      </c>
      <c r="C28" s="68">
        <v>679.75000000000091</v>
      </c>
      <c r="D28" s="69">
        <v>676</v>
      </c>
      <c r="E28" s="69">
        <v>672.25</v>
      </c>
      <c r="F28" s="69">
        <v>668.5</v>
      </c>
      <c r="G28" s="69">
        <v>664.75</v>
      </c>
      <c r="H28" s="69">
        <v>661</v>
      </c>
      <c r="I28" s="69">
        <v>657.25</v>
      </c>
      <c r="J28" s="69">
        <v>653.5</v>
      </c>
      <c r="K28" s="69">
        <v>649.75</v>
      </c>
      <c r="L28" s="69">
        <v>646</v>
      </c>
      <c r="M28" s="69">
        <v>646</v>
      </c>
      <c r="N28" s="69">
        <v>646</v>
      </c>
      <c r="O28" s="69">
        <v>646</v>
      </c>
      <c r="P28" s="69">
        <v>646</v>
      </c>
      <c r="Q28" s="69">
        <v>646</v>
      </c>
      <c r="R28" s="69">
        <v>646</v>
      </c>
      <c r="S28" s="69">
        <v>646</v>
      </c>
      <c r="T28" s="69">
        <v>646</v>
      </c>
      <c r="U28" s="69">
        <v>646</v>
      </c>
      <c r="V28" s="69">
        <v>646</v>
      </c>
      <c r="W28" s="69">
        <v>646</v>
      </c>
      <c r="X28" s="69">
        <v>646</v>
      </c>
      <c r="Y28" s="69">
        <v>646</v>
      </c>
      <c r="Z28" s="69">
        <v>646</v>
      </c>
      <c r="AA28" s="69">
        <v>646</v>
      </c>
      <c r="AB28" s="69">
        <v>646</v>
      </c>
      <c r="AC28" s="69">
        <v>646</v>
      </c>
      <c r="AD28" s="69">
        <v>646</v>
      </c>
      <c r="AE28" s="69">
        <v>646</v>
      </c>
      <c r="AF28" s="69">
        <v>646</v>
      </c>
    </row>
    <row r="31" spans="1:53">
      <c r="A31" s="62" t="s">
        <v>168</v>
      </c>
      <c r="B31" s="63"/>
      <c r="C31" s="63"/>
      <c r="D31" s="63"/>
      <c r="E31" s="63"/>
      <c r="F31" s="63"/>
      <c r="G31" s="63"/>
      <c r="H31" s="63"/>
      <c r="I31" s="63"/>
      <c r="J31" s="63"/>
      <c r="K31" s="63"/>
      <c r="L31" s="63"/>
      <c r="M31" s="63"/>
      <c r="N31" s="63"/>
      <c r="O31" s="63"/>
      <c r="P31" s="63"/>
      <c r="Q31" s="63"/>
      <c r="R31" s="63"/>
      <c r="S31" s="63"/>
      <c r="T31" s="63"/>
      <c r="U31" s="63"/>
      <c r="V31" s="63"/>
      <c r="W31" s="63"/>
      <c r="X31" s="63"/>
      <c r="Y31" s="63"/>
      <c r="Z31" s="63"/>
      <c r="AA31" s="63"/>
      <c r="AB31" s="63"/>
      <c r="AC31" s="63"/>
      <c r="AD31" s="63"/>
      <c r="AE31" s="63"/>
      <c r="AF31" s="63"/>
      <c r="AG31" s="63"/>
      <c r="AH31" s="63"/>
      <c r="AI31" s="63"/>
      <c r="AJ31" s="63"/>
      <c r="AK31" s="63"/>
      <c r="AL31" s="63"/>
      <c r="AM31" s="63"/>
      <c r="AN31" s="63"/>
      <c r="AO31" s="63"/>
      <c r="AP31" s="63"/>
      <c r="AQ31" s="63"/>
      <c r="AR31" s="63"/>
      <c r="AS31" s="63"/>
      <c r="AT31" s="63"/>
      <c r="AU31" s="63"/>
      <c r="AV31" s="63"/>
      <c r="AW31" s="63"/>
      <c r="AX31" s="63"/>
      <c r="AY31" s="63"/>
      <c r="AZ31" s="63"/>
      <c r="BA31" s="63"/>
    </row>
    <row r="32" spans="1:53">
      <c r="A32" s="61"/>
      <c r="B32" s="62">
        <v>2020</v>
      </c>
      <c r="C32" s="62">
        <v>2021</v>
      </c>
      <c r="D32" s="62">
        <v>2022</v>
      </c>
      <c r="E32" s="62">
        <v>2023</v>
      </c>
      <c r="F32" s="62">
        <v>2024</v>
      </c>
      <c r="G32" s="62">
        <v>2025</v>
      </c>
      <c r="H32" s="62">
        <v>2026</v>
      </c>
      <c r="I32" s="62">
        <v>2027</v>
      </c>
      <c r="J32" s="62">
        <v>2028</v>
      </c>
      <c r="K32" s="62">
        <v>2029</v>
      </c>
      <c r="L32" s="62">
        <v>2030</v>
      </c>
      <c r="M32" s="62">
        <v>2031</v>
      </c>
      <c r="N32" s="62">
        <v>2032</v>
      </c>
      <c r="O32" s="62">
        <v>2033</v>
      </c>
      <c r="P32" s="62">
        <v>2034</v>
      </c>
      <c r="Q32" s="62">
        <v>2035</v>
      </c>
      <c r="R32" s="62">
        <v>2036</v>
      </c>
      <c r="S32" s="62">
        <v>2037</v>
      </c>
      <c r="T32" s="62">
        <v>2038</v>
      </c>
      <c r="U32" s="62">
        <v>2039</v>
      </c>
      <c r="V32" s="62">
        <v>2040</v>
      </c>
      <c r="W32" s="62">
        <v>2041</v>
      </c>
      <c r="X32" s="62">
        <v>2042</v>
      </c>
      <c r="Y32" s="62">
        <v>2043</v>
      </c>
      <c r="Z32" s="62">
        <v>2044</v>
      </c>
      <c r="AA32" s="62">
        <v>2045</v>
      </c>
      <c r="AB32" s="62">
        <v>2046</v>
      </c>
      <c r="AC32" s="62">
        <v>2047</v>
      </c>
      <c r="AD32" s="62">
        <v>2048</v>
      </c>
      <c r="AE32" s="62">
        <v>2049</v>
      </c>
      <c r="AF32" s="62">
        <v>2050</v>
      </c>
      <c r="AG32" s="62">
        <v>2051</v>
      </c>
      <c r="AH32" s="62">
        <v>2052</v>
      </c>
      <c r="AI32" s="62">
        <v>2053</v>
      </c>
      <c r="AJ32" s="62" t="s">
        <v>169</v>
      </c>
      <c r="AK32" s="62"/>
      <c r="AL32" s="62"/>
      <c r="AM32" s="62"/>
      <c r="AN32" s="62"/>
      <c r="AO32" s="62"/>
      <c r="AP32" s="62"/>
      <c r="AQ32" s="62"/>
      <c r="AR32" s="62"/>
      <c r="AS32" s="62"/>
      <c r="AT32" s="62"/>
      <c r="AU32" s="62"/>
      <c r="AV32" s="62"/>
      <c r="AW32" s="62"/>
      <c r="AX32" s="62"/>
      <c r="AY32" s="62"/>
      <c r="AZ32" s="62"/>
      <c r="BA32" s="62"/>
    </row>
    <row r="33" spans="1:53">
      <c r="A33" s="70" t="s">
        <v>170</v>
      </c>
      <c r="B33" s="71"/>
      <c r="C33" s="71"/>
      <c r="D33" s="71"/>
      <c r="E33" s="71"/>
      <c r="F33" s="71"/>
      <c r="G33" s="71"/>
      <c r="H33" s="71"/>
      <c r="I33" s="71"/>
      <c r="J33" s="71"/>
      <c r="K33" s="71"/>
      <c r="L33" s="71"/>
      <c r="M33" s="71"/>
      <c r="N33" s="71"/>
      <c r="O33" s="71"/>
      <c r="P33" s="71"/>
      <c r="Q33" s="71"/>
      <c r="R33" s="71"/>
      <c r="S33" s="71"/>
      <c r="T33" s="71"/>
      <c r="U33" s="71"/>
      <c r="V33" s="71"/>
      <c r="W33" s="61"/>
      <c r="X33" s="61"/>
      <c r="Y33" s="61"/>
      <c r="Z33" s="61"/>
      <c r="AA33" s="61"/>
      <c r="AB33" s="61"/>
      <c r="AC33" s="61"/>
      <c r="AD33" s="61"/>
      <c r="AE33" s="61"/>
      <c r="AF33" s="61"/>
      <c r="AG33" s="61"/>
      <c r="AH33" s="61"/>
      <c r="AI33" s="61"/>
      <c r="AJ33" s="61"/>
      <c r="AK33" s="61"/>
      <c r="AL33" s="61"/>
      <c r="AM33" s="61"/>
      <c r="AN33" s="61"/>
      <c r="AO33" s="61"/>
      <c r="AP33" s="61"/>
      <c r="AQ33" s="61"/>
      <c r="AR33" s="61"/>
      <c r="AS33" s="61"/>
      <c r="AT33" s="61"/>
      <c r="AU33" s="61"/>
      <c r="AV33" s="61"/>
      <c r="AW33" s="61"/>
      <c r="AX33" s="61"/>
      <c r="AY33" s="61"/>
      <c r="AZ33" s="61"/>
      <c r="BA33" s="61"/>
    </row>
    <row r="34" spans="1:53">
      <c r="A34" s="63" t="s">
        <v>155</v>
      </c>
      <c r="B34" s="72">
        <v>116537.59</v>
      </c>
      <c r="C34" s="72">
        <v>117344.414</v>
      </c>
      <c r="D34" s="72">
        <v>118151.23800000001</v>
      </c>
      <c r="E34" s="72">
        <v>118958.06200000002</v>
      </c>
      <c r="F34" s="72">
        <v>119764.88600000003</v>
      </c>
      <c r="G34" s="72">
        <v>120571.71</v>
      </c>
      <c r="H34" s="72">
        <v>122325.784</v>
      </c>
      <c r="I34" s="72">
        <v>124079.85799999999</v>
      </c>
      <c r="J34" s="72">
        <v>125833.93199999999</v>
      </c>
      <c r="K34" s="72">
        <v>127588.00599999998</v>
      </c>
      <c r="L34" s="72">
        <v>129342.08</v>
      </c>
      <c r="M34" s="72">
        <v>132498.092</v>
      </c>
      <c r="N34" s="72">
        <v>135654.10399999999</v>
      </c>
      <c r="O34" s="72">
        <v>138810.11599999998</v>
      </c>
      <c r="P34" s="72">
        <v>141966.12799999997</v>
      </c>
      <c r="Q34" s="72">
        <v>145122.14000000001</v>
      </c>
      <c r="R34" s="72">
        <v>148198.992</v>
      </c>
      <c r="S34" s="72">
        <v>151275.84399999998</v>
      </c>
      <c r="T34" s="72">
        <v>154352.69599999997</v>
      </c>
      <c r="U34" s="72">
        <v>157429.54799999995</v>
      </c>
      <c r="V34" s="72">
        <v>160506.4</v>
      </c>
      <c r="W34" s="73">
        <v>163688.79866666719</v>
      </c>
      <c r="X34" s="73">
        <v>166799.23369697016</v>
      </c>
      <c r="Y34" s="73">
        <v>169909.66872727312</v>
      </c>
      <c r="Z34" s="73">
        <v>173020.10375757609</v>
      </c>
      <c r="AA34" s="73">
        <v>176130.53878787905</v>
      </c>
      <c r="AB34" s="73">
        <v>179240.97381818201</v>
      </c>
      <c r="AC34" s="73">
        <v>182351.40884848498</v>
      </c>
      <c r="AD34" s="73">
        <v>185461.84387878794</v>
      </c>
      <c r="AE34" s="73">
        <v>188572.27890909091</v>
      </c>
      <c r="AF34" s="73">
        <v>191682.71393939387</v>
      </c>
      <c r="AG34" s="73">
        <v>194793.14896969683</v>
      </c>
      <c r="AH34" s="73">
        <v>197903.5839999998</v>
      </c>
      <c r="AI34" s="73">
        <v>201014.01903030276</v>
      </c>
      <c r="AJ34" s="63" t="s">
        <v>171</v>
      </c>
      <c r="AK34" s="63"/>
      <c r="AL34" s="63"/>
      <c r="AM34" s="63"/>
      <c r="AN34" s="63"/>
      <c r="AO34" s="63"/>
      <c r="AP34" s="63"/>
      <c r="AQ34" s="63"/>
      <c r="AR34" s="63"/>
      <c r="AS34" s="63"/>
      <c r="AT34" s="63"/>
      <c r="AU34" s="63"/>
      <c r="AV34" s="63"/>
      <c r="AW34" s="63"/>
      <c r="AX34" s="63"/>
      <c r="AY34" s="63"/>
      <c r="AZ34" s="63"/>
      <c r="BA34" s="63"/>
    </row>
    <row r="35" spans="1:53">
      <c r="A35" s="63" t="s">
        <v>156</v>
      </c>
      <c r="B35" s="72">
        <v>118399.012</v>
      </c>
      <c r="C35" s="72">
        <v>119218.6992</v>
      </c>
      <c r="D35" s="72">
        <v>120038.3864</v>
      </c>
      <c r="E35" s="72">
        <v>120858.0736</v>
      </c>
      <c r="F35" s="72">
        <v>121677.7608</v>
      </c>
      <c r="G35" s="72">
        <v>122497.448</v>
      </c>
      <c r="H35" s="72">
        <v>124279.485</v>
      </c>
      <c r="I35" s="72">
        <v>126061.522</v>
      </c>
      <c r="J35" s="72">
        <v>127843.55899999999</v>
      </c>
      <c r="K35" s="72">
        <v>129625.59599999999</v>
      </c>
      <c r="L35" s="72">
        <v>131407.633</v>
      </c>
      <c r="M35" s="72">
        <v>134614.11480000001</v>
      </c>
      <c r="N35" s="72">
        <v>137820.59660000002</v>
      </c>
      <c r="O35" s="72">
        <v>141027.07840000003</v>
      </c>
      <c r="P35" s="72">
        <v>144233.56020000004</v>
      </c>
      <c r="Q35" s="72">
        <v>147440.04199999999</v>
      </c>
      <c r="R35" s="72">
        <v>150566.04759999999</v>
      </c>
      <c r="S35" s="72">
        <v>153692.05319999999</v>
      </c>
      <c r="T35" s="72">
        <v>156818.0588</v>
      </c>
      <c r="U35" s="72">
        <v>159944.0644</v>
      </c>
      <c r="V35" s="72">
        <v>163070.06999999998</v>
      </c>
      <c r="W35" s="73">
        <v>166303.37719999999</v>
      </c>
      <c r="X35" s="73">
        <v>169463.52421818208</v>
      </c>
      <c r="Y35" s="73">
        <v>172623.67123636324</v>
      </c>
      <c r="Z35" s="73">
        <v>175783.81825454533</v>
      </c>
      <c r="AA35" s="73">
        <v>178943.96527272742</v>
      </c>
      <c r="AB35" s="73">
        <v>182104.11229090951</v>
      </c>
      <c r="AC35" s="73">
        <v>185264.25930909067</v>
      </c>
      <c r="AD35" s="73">
        <v>188424.40632727277</v>
      </c>
      <c r="AE35" s="73">
        <v>191584.55334545486</v>
      </c>
      <c r="AF35" s="73">
        <v>194744.70036363602</v>
      </c>
      <c r="AG35" s="73">
        <v>197904.84738181811</v>
      </c>
      <c r="AH35" s="73">
        <v>201064.9944000002</v>
      </c>
      <c r="AI35" s="73">
        <v>204225.14141818229</v>
      </c>
      <c r="AJ35" s="63" t="s">
        <v>171</v>
      </c>
      <c r="AK35" s="63"/>
      <c r="AL35" s="63"/>
      <c r="AM35" s="63"/>
      <c r="AN35" s="63"/>
      <c r="AO35" s="63"/>
      <c r="AP35" s="63"/>
      <c r="AQ35" s="63"/>
      <c r="AR35" s="63"/>
      <c r="AS35" s="63"/>
      <c r="AT35" s="63"/>
      <c r="AU35" s="63"/>
      <c r="AV35" s="63"/>
      <c r="AW35" s="63"/>
      <c r="AX35" s="63"/>
      <c r="AY35" s="63"/>
      <c r="AZ35" s="63"/>
      <c r="BA35" s="63"/>
    </row>
    <row r="36" spans="1:53">
      <c r="A36" s="63" t="s">
        <v>157</v>
      </c>
      <c r="B36" s="72">
        <v>95647.28</v>
      </c>
      <c r="C36" s="72">
        <v>96309.491800000003</v>
      </c>
      <c r="D36" s="72">
        <v>96971.703600000008</v>
      </c>
      <c r="E36" s="72">
        <v>97633.915400000013</v>
      </c>
      <c r="F36" s="72">
        <v>98296.127200000017</v>
      </c>
      <c r="G36" s="72">
        <v>98958.338999999993</v>
      </c>
      <c r="H36" s="72">
        <v>100397.96219999999</v>
      </c>
      <c r="I36" s="72">
        <v>101837.5854</v>
      </c>
      <c r="J36" s="72">
        <v>103277.2086</v>
      </c>
      <c r="K36" s="72">
        <v>104716.8318</v>
      </c>
      <c r="L36" s="72">
        <v>106156.455</v>
      </c>
      <c r="M36" s="72">
        <v>108746.7678</v>
      </c>
      <c r="N36" s="72">
        <v>111337.0806</v>
      </c>
      <c r="O36" s="72">
        <v>113927.3934</v>
      </c>
      <c r="P36" s="72">
        <v>116517.7062</v>
      </c>
      <c r="Q36" s="72">
        <v>119108.019</v>
      </c>
      <c r="R36" s="72">
        <v>121633.35619999999</v>
      </c>
      <c r="S36" s="72">
        <v>124158.69339999999</v>
      </c>
      <c r="T36" s="72">
        <v>126684.03059999998</v>
      </c>
      <c r="U36" s="72">
        <v>129209.36779999998</v>
      </c>
      <c r="V36" s="72">
        <v>131734.70499999999</v>
      </c>
      <c r="W36" s="73">
        <v>134346.67633333337</v>
      </c>
      <c r="X36" s="73">
        <v>136899.57893939409</v>
      </c>
      <c r="Y36" s="73">
        <v>139452.48154545482</v>
      </c>
      <c r="Z36" s="73">
        <v>142005.38415151555</v>
      </c>
      <c r="AA36" s="73">
        <v>144558.28675757535</v>
      </c>
      <c r="AB36" s="73">
        <v>147111.18936363608</v>
      </c>
      <c r="AC36" s="73">
        <v>149664.0919696968</v>
      </c>
      <c r="AD36" s="73">
        <v>152216.99457575753</v>
      </c>
      <c r="AE36" s="73">
        <v>154769.89718181826</v>
      </c>
      <c r="AF36" s="73">
        <v>157322.79978787899</v>
      </c>
      <c r="AG36" s="73">
        <v>159875.70239393972</v>
      </c>
      <c r="AH36" s="73">
        <v>162428.60499999952</v>
      </c>
      <c r="AI36" s="73">
        <v>164981.50760606024</v>
      </c>
      <c r="AJ36" s="63" t="s">
        <v>172</v>
      </c>
      <c r="AK36" s="63"/>
      <c r="AL36" s="63"/>
      <c r="AM36" s="63"/>
      <c r="AN36" s="63"/>
      <c r="AO36" s="63"/>
      <c r="AP36" s="63"/>
      <c r="AQ36" s="63"/>
      <c r="AR36" s="63"/>
      <c r="AS36" s="63"/>
      <c r="AT36" s="63"/>
      <c r="AU36" s="63"/>
      <c r="AV36" s="63"/>
      <c r="AW36" s="63"/>
      <c r="AX36" s="63"/>
      <c r="AY36" s="63"/>
      <c r="AZ36" s="63"/>
      <c r="BA36" s="63"/>
    </row>
    <row r="37" spans="1:53">
      <c r="A37" s="63" t="s">
        <v>158</v>
      </c>
      <c r="B37" s="72">
        <v>55945.25</v>
      </c>
      <c r="C37" s="72">
        <v>55322.91</v>
      </c>
      <c r="D37" s="72">
        <v>54700.570000000007</v>
      </c>
      <c r="E37" s="72">
        <v>54078.23000000001</v>
      </c>
      <c r="F37" s="72">
        <v>53455.890000000014</v>
      </c>
      <c r="G37" s="72">
        <v>52833.55</v>
      </c>
      <c r="H37" s="72">
        <v>52462.840000000004</v>
      </c>
      <c r="I37" s="72">
        <v>52092.130000000005</v>
      </c>
      <c r="J37" s="72">
        <v>51721.420000000006</v>
      </c>
      <c r="K37" s="72">
        <v>51350.710000000006</v>
      </c>
      <c r="L37" s="72">
        <v>50980</v>
      </c>
      <c r="M37" s="72">
        <v>51194.304000000004</v>
      </c>
      <c r="N37" s="72">
        <v>51408.608000000007</v>
      </c>
      <c r="O37" s="72">
        <v>51622.912000000011</v>
      </c>
      <c r="P37" s="72">
        <v>51837.216000000015</v>
      </c>
      <c r="Q37" s="72">
        <v>52051.520000000004</v>
      </c>
      <c r="R37" s="72">
        <v>52259.394</v>
      </c>
      <c r="S37" s="72">
        <v>52467.267999999996</v>
      </c>
      <c r="T37" s="72">
        <v>52675.141999999993</v>
      </c>
      <c r="U37" s="72">
        <v>52883.015999999989</v>
      </c>
      <c r="V37" s="72">
        <v>53090.889999999992</v>
      </c>
      <c r="W37" s="73">
        <v>53307.337333333329</v>
      </c>
      <c r="X37" s="73">
        <v>53517.939212121186</v>
      </c>
      <c r="Y37" s="73">
        <v>53728.541090909042</v>
      </c>
      <c r="Z37" s="73">
        <v>53939.142969696957</v>
      </c>
      <c r="AA37" s="73">
        <v>54149.744848484814</v>
      </c>
      <c r="AB37" s="73">
        <v>54360.34672727267</v>
      </c>
      <c r="AC37" s="73">
        <v>54570.948606060585</v>
      </c>
      <c r="AD37" s="73">
        <v>54781.550484848442</v>
      </c>
      <c r="AE37" s="73">
        <v>54992.152363636298</v>
      </c>
      <c r="AF37" s="73">
        <v>55202.754242424213</v>
      </c>
      <c r="AG37" s="73">
        <v>55413.356121212069</v>
      </c>
      <c r="AH37" s="73">
        <v>55623.957999999926</v>
      </c>
      <c r="AI37" s="73">
        <v>55834.559878787841</v>
      </c>
      <c r="AJ37" s="63" t="s">
        <v>172</v>
      </c>
      <c r="AK37" s="63"/>
      <c r="AL37" s="63"/>
      <c r="AM37" s="63"/>
      <c r="AN37" s="63"/>
      <c r="AO37" s="63"/>
      <c r="AP37" s="63"/>
      <c r="AQ37" s="63"/>
      <c r="AR37" s="63"/>
      <c r="AS37" s="63"/>
      <c r="AT37" s="63"/>
      <c r="AU37" s="63"/>
      <c r="AV37" s="63"/>
      <c r="AW37" s="63"/>
      <c r="AX37" s="63"/>
      <c r="AY37" s="63"/>
      <c r="AZ37" s="63"/>
      <c r="BA37" s="63"/>
    </row>
    <row r="38" spans="1:53">
      <c r="A38" s="63" t="s">
        <v>159</v>
      </c>
      <c r="B38" s="72">
        <v>92843.9</v>
      </c>
      <c r="C38" s="72">
        <v>91811.12</v>
      </c>
      <c r="D38" s="72">
        <v>90778.34</v>
      </c>
      <c r="E38" s="72">
        <v>89745.56</v>
      </c>
      <c r="F38" s="72">
        <v>88712.78</v>
      </c>
      <c r="G38" s="72">
        <v>87680</v>
      </c>
      <c r="H38" s="72">
        <v>87064.76</v>
      </c>
      <c r="I38" s="72">
        <v>86449.51999999999</v>
      </c>
      <c r="J38" s="72">
        <v>85834.279999999984</v>
      </c>
      <c r="K38" s="72">
        <v>85219.039999999979</v>
      </c>
      <c r="L38" s="72">
        <v>84603.8</v>
      </c>
      <c r="M38" s="72">
        <v>84959.44</v>
      </c>
      <c r="N38" s="72">
        <v>85315.08</v>
      </c>
      <c r="O38" s="72">
        <v>85670.720000000001</v>
      </c>
      <c r="P38" s="72">
        <v>86026.36</v>
      </c>
      <c r="Q38" s="72">
        <v>86382</v>
      </c>
      <c r="R38" s="72">
        <v>86726.98</v>
      </c>
      <c r="S38" s="72">
        <v>87071.959999999992</v>
      </c>
      <c r="T38" s="72">
        <v>87416.939999999988</v>
      </c>
      <c r="U38" s="72">
        <v>87761.919999999984</v>
      </c>
      <c r="V38" s="72">
        <v>88106.9</v>
      </c>
      <c r="W38" s="73">
        <v>88466.093333333265</v>
      </c>
      <c r="X38" s="73">
        <v>88815.595757575706</v>
      </c>
      <c r="Y38" s="73">
        <v>89165.098181818146</v>
      </c>
      <c r="Z38" s="73">
        <v>89514.600606060587</v>
      </c>
      <c r="AA38" s="73">
        <v>89864.103030302911</v>
      </c>
      <c r="AB38" s="73">
        <v>90213.605454545352</v>
      </c>
      <c r="AC38" s="73">
        <v>90563.107878787792</v>
      </c>
      <c r="AD38" s="73">
        <v>90912.610303030233</v>
      </c>
      <c r="AE38" s="73">
        <v>91262.112727272674</v>
      </c>
      <c r="AF38" s="73">
        <v>91611.615151515114</v>
      </c>
      <c r="AG38" s="73">
        <v>91961.117575757555</v>
      </c>
      <c r="AH38" s="73">
        <v>92310.619999999879</v>
      </c>
      <c r="AI38" s="73">
        <v>92660.12242424232</v>
      </c>
      <c r="AJ38" s="63" t="s">
        <v>172</v>
      </c>
      <c r="AK38" s="63"/>
      <c r="AL38" s="63"/>
      <c r="AM38" s="63"/>
      <c r="AN38" s="63"/>
      <c r="AO38" s="63"/>
      <c r="AP38" s="63"/>
      <c r="AQ38" s="63"/>
      <c r="AR38" s="63"/>
      <c r="AS38" s="63"/>
      <c r="AT38" s="63"/>
      <c r="AU38" s="63"/>
      <c r="AV38" s="63"/>
      <c r="AW38" s="63"/>
      <c r="AX38" s="63"/>
      <c r="AY38" s="63"/>
      <c r="AZ38" s="63"/>
      <c r="BA38" s="63"/>
    </row>
    <row r="39" spans="1:53">
      <c r="A39" s="63" t="s">
        <v>160</v>
      </c>
      <c r="B39" s="72">
        <v>3614</v>
      </c>
      <c r="C39" s="72">
        <v>3639</v>
      </c>
      <c r="D39" s="72">
        <v>3664</v>
      </c>
      <c r="E39" s="72">
        <v>3689</v>
      </c>
      <c r="F39" s="72">
        <v>3714</v>
      </c>
      <c r="G39" s="72">
        <v>3739</v>
      </c>
      <c r="H39" s="72">
        <v>3793.4</v>
      </c>
      <c r="I39" s="72">
        <v>3847.8</v>
      </c>
      <c r="J39" s="72">
        <v>3902.2000000000003</v>
      </c>
      <c r="K39" s="72">
        <v>3956.6000000000004</v>
      </c>
      <c r="L39" s="72">
        <v>4011</v>
      </c>
      <c r="M39" s="72">
        <v>4108.8</v>
      </c>
      <c r="N39" s="72">
        <v>4206.6000000000004</v>
      </c>
      <c r="O39" s="72">
        <v>4304.4000000000005</v>
      </c>
      <c r="P39" s="72">
        <v>4402.2000000000007</v>
      </c>
      <c r="Q39" s="72">
        <v>4500</v>
      </c>
      <c r="R39" s="72">
        <v>4595.3999999999996</v>
      </c>
      <c r="S39" s="72">
        <v>4690.7999999999993</v>
      </c>
      <c r="T39" s="72">
        <v>4786.1999999999989</v>
      </c>
      <c r="U39" s="72">
        <v>4881.5999999999985</v>
      </c>
      <c r="V39" s="72">
        <v>4977</v>
      </c>
      <c r="W39" s="73">
        <v>5075.5999999999767</v>
      </c>
      <c r="X39" s="73">
        <v>5172.0181818181591</v>
      </c>
      <c r="Y39" s="73">
        <v>5268.4363636363414</v>
      </c>
      <c r="Z39" s="73">
        <v>5364.8545454545238</v>
      </c>
      <c r="AA39" s="73">
        <v>5461.2727272727061</v>
      </c>
      <c r="AB39" s="73">
        <v>5557.6909090908885</v>
      </c>
      <c r="AC39" s="73">
        <v>5654.1090909090708</v>
      </c>
      <c r="AD39" s="73">
        <v>5750.5272727272531</v>
      </c>
      <c r="AE39" s="73">
        <v>5846.9454545454355</v>
      </c>
      <c r="AF39" s="73">
        <v>5943.3636363636178</v>
      </c>
      <c r="AG39" s="73">
        <v>6039.7818181818002</v>
      </c>
      <c r="AH39" s="73">
        <v>6136.1999999999825</v>
      </c>
      <c r="AI39" s="73">
        <v>6232.6181818181649</v>
      </c>
      <c r="AJ39" s="63" t="s">
        <v>172</v>
      </c>
      <c r="AK39" s="63"/>
      <c r="AL39" s="63"/>
      <c r="AM39" s="63"/>
      <c r="AN39" s="63"/>
      <c r="AO39" s="63"/>
      <c r="AP39" s="63"/>
      <c r="AQ39" s="63"/>
      <c r="AR39" s="63"/>
      <c r="AS39" s="63"/>
      <c r="AT39" s="63"/>
      <c r="AU39" s="63"/>
      <c r="AV39" s="63"/>
      <c r="AW39" s="63"/>
      <c r="AX39" s="63"/>
      <c r="AY39" s="63"/>
      <c r="AZ39" s="63"/>
      <c r="BA39" s="63"/>
    </row>
    <row r="40" spans="1:53">
      <c r="A40" s="74" t="s">
        <v>161</v>
      </c>
      <c r="B40" s="75">
        <v>482987.03200000001</v>
      </c>
      <c r="C40" s="75"/>
      <c r="D40" s="75"/>
      <c r="E40" s="75"/>
      <c r="F40" s="75"/>
      <c r="G40" s="75">
        <v>486280.04699999996</v>
      </c>
      <c r="H40" s="75"/>
      <c r="I40" s="75"/>
      <c r="J40" s="75"/>
      <c r="K40" s="75"/>
      <c r="L40" s="75">
        <v>506500.96799999999</v>
      </c>
      <c r="M40" s="75"/>
      <c r="N40" s="75"/>
      <c r="O40" s="75"/>
      <c r="P40" s="75"/>
      <c r="Q40" s="75">
        <v>554603.72100000002</v>
      </c>
      <c r="R40" s="75"/>
      <c r="S40" s="75"/>
      <c r="T40" s="75"/>
      <c r="U40" s="75"/>
      <c r="V40" s="75">
        <v>601485.96499999997</v>
      </c>
      <c r="W40" s="73"/>
      <c r="X40" s="73"/>
      <c r="Y40" s="73"/>
      <c r="Z40" s="73"/>
      <c r="AA40" s="73"/>
      <c r="AB40" s="73"/>
      <c r="AC40" s="73"/>
      <c r="AD40" s="73"/>
      <c r="AE40" s="73"/>
      <c r="AF40" s="73"/>
      <c r="AG40" s="73"/>
      <c r="AH40" s="73"/>
      <c r="AI40" s="73"/>
      <c r="AJ40" s="64"/>
      <c r="AK40" s="64"/>
      <c r="AL40" s="64"/>
      <c r="AM40" s="64"/>
      <c r="AN40" s="64"/>
      <c r="AO40" s="64"/>
      <c r="AP40" s="64"/>
      <c r="AQ40" s="64"/>
      <c r="AR40" s="64"/>
      <c r="AS40" s="64"/>
      <c r="AT40" s="64"/>
      <c r="AU40" s="64"/>
      <c r="AV40" s="64"/>
      <c r="AW40" s="64"/>
      <c r="AX40" s="64"/>
      <c r="AY40" s="64"/>
      <c r="AZ40" s="64"/>
      <c r="BA40" s="64"/>
    </row>
    <row r="41" spans="1:53">
      <c r="A41" s="63" t="s">
        <v>162</v>
      </c>
      <c r="B41" s="72">
        <v>4754.0109999999995</v>
      </c>
      <c r="C41" s="72">
        <v>4754.1695999999993</v>
      </c>
      <c r="D41" s="72">
        <v>4754.328199999999</v>
      </c>
      <c r="E41" s="72">
        <v>4754.4867999999988</v>
      </c>
      <c r="F41" s="72">
        <v>4754.6453999999985</v>
      </c>
      <c r="G41" s="72">
        <v>4754.8040000000001</v>
      </c>
      <c r="H41" s="72">
        <v>4784.2997999999998</v>
      </c>
      <c r="I41" s="72">
        <v>4813.7955999999995</v>
      </c>
      <c r="J41" s="72">
        <v>4843.2913999999992</v>
      </c>
      <c r="K41" s="72">
        <v>4872.7871999999988</v>
      </c>
      <c r="L41" s="72">
        <v>4902.2830000000004</v>
      </c>
      <c r="M41" s="72">
        <v>4986.5684000000001</v>
      </c>
      <c r="N41" s="72">
        <v>5070.8537999999999</v>
      </c>
      <c r="O41" s="72">
        <v>5155.1391999999996</v>
      </c>
      <c r="P41" s="72">
        <v>5239.4245999999994</v>
      </c>
      <c r="Q41" s="72">
        <v>5323.7099999999991</v>
      </c>
      <c r="R41" s="72">
        <v>5405.777399999999</v>
      </c>
      <c r="S41" s="72">
        <v>5487.8447999999989</v>
      </c>
      <c r="T41" s="72">
        <v>5569.9121999999988</v>
      </c>
      <c r="U41" s="72">
        <v>5651.9795999999988</v>
      </c>
      <c r="V41" s="72">
        <v>5734.0469999999996</v>
      </c>
      <c r="W41" s="73">
        <v>5819.0717333333159</v>
      </c>
      <c r="X41" s="73">
        <v>5902.0801030302828</v>
      </c>
      <c r="Y41" s="73">
        <v>5985.0884727272787</v>
      </c>
      <c r="Z41" s="73">
        <v>6068.0968424242456</v>
      </c>
      <c r="AA41" s="73">
        <v>6151.1052121212124</v>
      </c>
      <c r="AB41" s="73">
        <v>6234.1135818181792</v>
      </c>
      <c r="AC41" s="73">
        <v>6317.1219515151461</v>
      </c>
      <c r="AD41" s="73">
        <v>6400.1303212121129</v>
      </c>
      <c r="AE41" s="73">
        <v>6483.1386909090797</v>
      </c>
      <c r="AF41" s="73">
        <v>6566.1470606060466</v>
      </c>
      <c r="AG41" s="73">
        <v>6649.1554303030134</v>
      </c>
      <c r="AH41" s="73">
        <v>6732.1637999999803</v>
      </c>
      <c r="AI41" s="73">
        <v>6815.1721696969471</v>
      </c>
      <c r="AJ41" s="63" t="s">
        <v>173</v>
      </c>
      <c r="AK41" s="63"/>
      <c r="AL41" s="63"/>
      <c r="AM41" s="63"/>
      <c r="AN41" s="63"/>
      <c r="AO41" s="63"/>
      <c r="AP41" s="63"/>
      <c r="AQ41" s="63"/>
      <c r="AR41" s="63"/>
      <c r="AS41" s="63"/>
      <c r="AT41" s="63"/>
      <c r="AU41" s="63"/>
      <c r="AV41" s="63"/>
      <c r="AW41" s="63"/>
      <c r="AX41" s="63"/>
      <c r="AY41" s="63"/>
      <c r="AZ41" s="63"/>
      <c r="BA41" s="63"/>
    </row>
    <row r="42" spans="1:53">
      <c r="A42" s="63" t="s">
        <v>163</v>
      </c>
      <c r="B42" s="72">
        <v>5282.9840000000004</v>
      </c>
      <c r="C42" s="72">
        <v>5283.1580000000004</v>
      </c>
      <c r="D42" s="72">
        <v>5283.3320000000003</v>
      </c>
      <c r="E42" s="72">
        <v>5283.5060000000003</v>
      </c>
      <c r="F42" s="72">
        <v>5283.68</v>
      </c>
      <c r="G42" s="72">
        <v>5283.8539999999994</v>
      </c>
      <c r="H42" s="72">
        <v>5316.6317999999992</v>
      </c>
      <c r="I42" s="72">
        <v>5349.409599999999</v>
      </c>
      <c r="J42" s="72">
        <v>5382.1873999999989</v>
      </c>
      <c r="K42" s="72">
        <v>5414.9651999999987</v>
      </c>
      <c r="L42" s="72">
        <v>5447.7430000000004</v>
      </c>
      <c r="M42" s="72">
        <v>5541.4026000000003</v>
      </c>
      <c r="N42" s="72">
        <v>5635.0622000000003</v>
      </c>
      <c r="O42" s="72">
        <v>5728.7218000000003</v>
      </c>
      <c r="P42" s="72">
        <v>5822.3814000000002</v>
      </c>
      <c r="Q42" s="72">
        <v>5916.0410000000002</v>
      </c>
      <c r="R42" s="72">
        <v>6007.2420000000002</v>
      </c>
      <c r="S42" s="72">
        <v>6098.4430000000002</v>
      </c>
      <c r="T42" s="72">
        <v>6189.6440000000002</v>
      </c>
      <c r="U42" s="72">
        <v>6280.8450000000003</v>
      </c>
      <c r="V42" s="72">
        <v>6372.0460000000003</v>
      </c>
      <c r="W42" s="73">
        <v>6466.5251333333435</v>
      </c>
      <c r="X42" s="73">
        <v>6558.7691757575958</v>
      </c>
      <c r="Y42" s="73">
        <v>6651.0132181818481</v>
      </c>
      <c r="Z42" s="73">
        <v>6743.2572606060712</v>
      </c>
      <c r="AA42" s="73">
        <v>6835.5013030303235</v>
      </c>
      <c r="AB42" s="73">
        <v>6927.7453454545757</v>
      </c>
      <c r="AC42" s="73">
        <v>7019.9893878787989</v>
      </c>
      <c r="AD42" s="73">
        <v>7112.2334303030511</v>
      </c>
      <c r="AE42" s="73">
        <v>7204.4774727273034</v>
      </c>
      <c r="AF42" s="73">
        <v>7296.7215151515265</v>
      </c>
      <c r="AG42" s="73">
        <v>7388.9655575757788</v>
      </c>
      <c r="AH42" s="73">
        <v>7481.2096000000311</v>
      </c>
      <c r="AI42" s="73">
        <v>7573.4536424242542</v>
      </c>
      <c r="AJ42" s="63" t="s">
        <v>173</v>
      </c>
      <c r="AK42" s="63"/>
      <c r="AL42" s="63"/>
      <c r="AM42" s="63"/>
      <c r="AN42" s="63"/>
      <c r="AO42" s="63"/>
      <c r="AP42" s="63"/>
      <c r="AQ42" s="63"/>
      <c r="AR42" s="63"/>
      <c r="AS42" s="63"/>
      <c r="AT42" s="63"/>
      <c r="AU42" s="63"/>
      <c r="AV42" s="63"/>
      <c r="AW42" s="63"/>
      <c r="AX42" s="63"/>
      <c r="AY42" s="63"/>
      <c r="AZ42" s="63"/>
      <c r="BA42" s="63"/>
    </row>
    <row r="43" spans="1:53">
      <c r="A43" s="63" t="s">
        <v>164</v>
      </c>
      <c r="B43" s="72">
        <v>27044.906999999999</v>
      </c>
      <c r="C43" s="72">
        <v>27045.8024</v>
      </c>
      <c r="D43" s="72">
        <v>27046.697800000002</v>
      </c>
      <c r="E43" s="72">
        <v>27047.593200000003</v>
      </c>
      <c r="F43" s="72">
        <v>27048.488600000004</v>
      </c>
      <c r="G43" s="72">
        <v>27049.384000000002</v>
      </c>
      <c r="H43" s="72">
        <v>27217.201800000003</v>
      </c>
      <c r="I43" s="72">
        <v>27385.019600000003</v>
      </c>
      <c r="J43" s="72">
        <v>27552.837400000004</v>
      </c>
      <c r="K43" s="72">
        <v>27720.655200000005</v>
      </c>
      <c r="L43" s="72">
        <v>27888.472999999998</v>
      </c>
      <c r="M43" s="72">
        <v>28367.96</v>
      </c>
      <c r="N43" s="72">
        <v>28847.447</v>
      </c>
      <c r="O43" s="72">
        <v>29326.934000000001</v>
      </c>
      <c r="P43" s="72">
        <v>29806.421000000002</v>
      </c>
      <c r="Q43" s="72">
        <v>30285.907999999999</v>
      </c>
      <c r="R43" s="72">
        <v>30752.794000000002</v>
      </c>
      <c r="S43" s="72">
        <v>31219.680000000004</v>
      </c>
      <c r="T43" s="72">
        <v>31686.566000000006</v>
      </c>
      <c r="U43" s="72">
        <v>32153.452000000008</v>
      </c>
      <c r="V43" s="72">
        <v>32620.338000000003</v>
      </c>
      <c r="W43" s="73">
        <v>33104.025333333295</v>
      </c>
      <c r="X43" s="73">
        <v>33576.257212121156</v>
      </c>
      <c r="Y43" s="73">
        <v>34048.489090909017</v>
      </c>
      <c r="Z43" s="73">
        <v>34520.720969696878</v>
      </c>
      <c r="AA43" s="73">
        <v>34992.952848484856</v>
      </c>
      <c r="AB43" s="73">
        <v>35465.184727272717</v>
      </c>
      <c r="AC43" s="73">
        <v>35937.416606060578</v>
      </c>
      <c r="AD43" s="73">
        <v>36409.64848484844</v>
      </c>
      <c r="AE43" s="73">
        <v>36881.880363636301</v>
      </c>
      <c r="AF43" s="73">
        <v>37354.112242424162</v>
      </c>
      <c r="AG43" s="73">
        <v>37826.344121212023</v>
      </c>
      <c r="AH43" s="73">
        <v>38298.576000000001</v>
      </c>
      <c r="AI43" s="73">
        <v>38770.807878787862</v>
      </c>
      <c r="AJ43" s="63" t="s">
        <v>173</v>
      </c>
      <c r="AK43" s="63"/>
      <c r="AL43" s="63"/>
      <c r="AM43" s="63"/>
      <c r="AN43" s="63"/>
      <c r="AO43" s="63"/>
      <c r="AP43" s="63"/>
      <c r="AQ43" s="63"/>
      <c r="AR43" s="63"/>
      <c r="AS43" s="63"/>
      <c r="AT43" s="63"/>
      <c r="AU43" s="63"/>
      <c r="AV43" s="63"/>
      <c r="AW43" s="63"/>
      <c r="AX43" s="63"/>
      <c r="AY43" s="63"/>
      <c r="AZ43" s="63"/>
      <c r="BA43" s="63"/>
    </row>
    <row r="44" spans="1:53">
      <c r="A44" s="63" t="s">
        <v>165</v>
      </c>
      <c r="B44" s="72">
        <v>16228.913</v>
      </c>
      <c r="C44" s="72">
        <v>16229.455</v>
      </c>
      <c r="D44" s="72">
        <v>16229.996999999999</v>
      </c>
      <c r="E44" s="72">
        <v>16230.538999999999</v>
      </c>
      <c r="F44" s="72">
        <v>16231.080999999998</v>
      </c>
      <c r="G44" s="72">
        <v>16231.623</v>
      </c>
      <c r="H44" s="72">
        <v>16332.3094</v>
      </c>
      <c r="I44" s="72">
        <v>16432.995800000001</v>
      </c>
      <c r="J44" s="72">
        <v>16533.682199999999</v>
      </c>
      <c r="K44" s="72">
        <v>16634.368599999998</v>
      </c>
      <c r="L44" s="72">
        <v>16735.055</v>
      </c>
      <c r="M44" s="72">
        <v>17022.7916</v>
      </c>
      <c r="N44" s="72">
        <v>17310.528200000001</v>
      </c>
      <c r="O44" s="72">
        <v>17598.264800000001</v>
      </c>
      <c r="P44" s="72">
        <v>17886.001400000001</v>
      </c>
      <c r="Q44" s="72">
        <v>18173.738000000001</v>
      </c>
      <c r="R44" s="72">
        <v>18453.896000000001</v>
      </c>
      <c r="S44" s="72">
        <v>18734.054</v>
      </c>
      <c r="T44" s="72">
        <v>19014.212</v>
      </c>
      <c r="U44" s="72">
        <v>19294.37</v>
      </c>
      <c r="V44" s="72">
        <v>19574.527999999998</v>
      </c>
      <c r="W44" s="73">
        <v>19864.790800000075</v>
      </c>
      <c r="X44" s="73">
        <v>20148.163963636383</v>
      </c>
      <c r="Y44" s="73">
        <v>20431.537127272808</v>
      </c>
      <c r="Z44" s="73">
        <v>20714.910290909116</v>
      </c>
      <c r="AA44" s="73">
        <v>20998.283454545541</v>
      </c>
      <c r="AB44" s="73">
        <v>21281.656618181849</v>
      </c>
      <c r="AC44" s="73">
        <v>21565.029781818273</v>
      </c>
      <c r="AD44" s="73">
        <v>21848.402945454582</v>
      </c>
      <c r="AE44" s="73">
        <v>22131.77610909089</v>
      </c>
      <c r="AF44" s="73">
        <v>22415.149272727314</v>
      </c>
      <c r="AG44" s="73">
        <v>22698.522436363623</v>
      </c>
      <c r="AH44" s="73">
        <v>22981.895600000047</v>
      </c>
      <c r="AI44" s="73">
        <v>23265.268763636355</v>
      </c>
      <c r="AJ44" s="63" t="s">
        <v>173</v>
      </c>
      <c r="AK44" s="63"/>
      <c r="AL44" s="63"/>
      <c r="AM44" s="63"/>
      <c r="AN44" s="63"/>
      <c r="AO44" s="63"/>
      <c r="AP44" s="63"/>
      <c r="AQ44" s="63"/>
      <c r="AR44" s="63"/>
      <c r="AS44" s="63"/>
      <c r="AT44" s="63"/>
      <c r="AU44" s="63"/>
      <c r="AV44" s="63"/>
      <c r="AW44" s="63"/>
      <c r="AX44" s="63"/>
      <c r="AY44" s="63"/>
      <c r="AZ44" s="63"/>
      <c r="BA44" s="63"/>
    </row>
    <row r="45" spans="1:53">
      <c r="A45" s="74" t="s">
        <v>166</v>
      </c>
      <c r="B45" s="75">
        <v>53310.815000000002</v>
      </c>
      <c r="C45" s="75"/>
      <c r="D45" s="75"/>
      <c r="E45" s="75"/>
      <c r="F45" s="75"/>
      <c r="G45" s="75">
        <v>53319.665000000001</v>
      </c>
      <c r="H45" s="75"/>
      <c r="I45" s="75"/>
      <c r="J45" s="75"/>
      <c r="K45" s="75"/>
      <c r="L45" s="75">
        <v>54973.553999999996</v>
      </c>
      <c r="M45" s="75"/>
      <c r="N45" s="75"/>
      <c r="O45" s="75"/>
      <c r="P45" s="75"/>
      <c r="Q45" s="75">
        <v>59699.396999999997</v>
      </c>
      <c r="R45" s="75"/>
      <c r="S45" s="75"/>
      <c r="T45" s="75"/>
      <c r="U45" s="75"/>
      <c r="V45" s="75">
        <v>64300.959000000003</v>
      </c>
      <c r="W45" s="72"/>
      <c r="X45" s="72"/>
      <c r="Y45" s="72"/>
      <c r="Z45" s="72"/>
      <c r="AA45" s="72"/>
      <c r="AB45" s="72"/>
      <c r="AC45" s="72"/>
      <c r="AD45" s="72"/>
      <c r="AE45" s="72"/>
      <c r="AF45" s="72"/>
      <c r="AG45" s="72"/>
      <c r="AH45" s="72"/>
      <c r="AI45" s="72"/>
      <c r="AJ45" s="64"/>
      <c r="AK45" s="64"/>
      <c r="AL45" s="64"/>
      <c r="AM45" s="64"/>
      <c r="AN45" s="64"/>
      <c r="AO45" s="64"/>
      <c r="AP45" s="64"/>
      <c r="AQ45" s="64"/>
      <c r="AR45" s="64"/>
      <c r="AS45" s="64"/>
      <c r="AT45" s="64"/>
      <c r="AU45" s="64"/>
      <c r="AV45" s="64"/>
      <c r="AW45" s="64"/>
      <c r="AX45" s="64"/>
      <c r="AY45" s="64"/>
      <c r="AZ45" s="64"/>
      <c r="BA45" s="64"/>
    </row>
    <row r="48" spans="1:53" ht="33.75">
      <c r="A48" s="76"/>
      <c r="B48" s="77" t="s">
        <v>174</v>
      </c>
      <c r="C48" s="76"/>
      <c r="D48" s="76"/>
      <c r="E48" s="76"/>
      <c r="F48" s="76"/>
      <c r="G48" s="76"/>
      <c r="H48" s="76"/>
      <c r="I48" s="76"/>
      <c r="J48" s="76"/>
      <c r="K48" s="76"/>
      <c r="L48" s="76"/>
      <c r="M48" s="76"/>
      <c r="N48" s="76"/>
      <c r="O48" s="76"/>
      <c r="P48" s="76"/>
      <c r="Q48" s="76"/>
      <c r="R48" s="76"/>
      <c r="S48" s="76"/>
      <c r="T48" s="76"/>
      <c r="U48" s="76"/>
      <c r="V48" s="76"/>
      <c r="W48" s="76"/>
      <c r="X48" s="76"/>
      <c r="Y48" s="76"/>
      <c r="Z48" s="76"/>
      <c r="AA48" s="76"/>
      <c r="AB48" s="76"/>
      <c r="AC48" s="76"/>
      <c r="AD48" s="76"/>
      <c r="AE48" s="76"/>
      <c r="AF48" s="76"/>
      <c r="AG48" s="76"/>
      <c r="AH48" s="76"/>
      <c r="AI48" s="76"/>
      <c r="AJ48" s="76"/>
      <c r="AK48" s="76"/>
      <c r="AL48" s="76"/>
      <c r="AM48" s="76"/>
      <c r="AN48" s="76"/>
      <c r="AO48" s="76"/>
      <c r="AP48" s="76"/>
      <c r="AQ48" s="76"/>
      <c r="AR48" s="76"/>
      <c r="AS48" s="76"/>
      <c r="AT48" s="76"/>
      <c r="AU48" s="76"/>
      <c r="AV48" s="76"/>
      <c r="AW48" s="76"/>
      <c r="AX48" s="76"/>
      <c r="AY48" s="76"/>
      <c r="AZ48" s="76"/>
      <c r="BA48" s="76"/>
    </row>
    <row r="49" spans="1:53" ht="15.75">
      <c r="A49" s="76"/>
      <c r="B49" s="76" t="s">
        <v>175</v>
      </c>
      <c r="C49" s="76"/>
      <c r="D49" s="76"/>
      <c r="E49" s="76"/>
      <c r="F49" s="76"/>
      <c r="G49" s="76"/>
      <c r="H49" s="76"/>
      <c r="I49" s="76"/>
      <c r="J49" s="76"/>
      <c r="K49" s="76"/>
      <c r="L49" s="76"/>
      <c r="M49" s="76"/>
      <c r="N49" s="76"/>
      <c r="O49" s="76"/>
      <c r="P49" s="76"/>
      <c r="Q49" s="76"/>
      <c r="R49" s="76"/>
      <c r="S49" s="76"/>
      <c r="T49" s="76"/>
      <c r="U49" s="76"/>
      <c r="V49" s="76"/>
      <c r="W49" s="76"/>
      <c r="X49" s="76"/>
      <c r="Y49" s="76"/>
      <c r="Z49" s="76"/>
      <c r="AA49" s="76"/>
      <c r="AB49" s="76"/>
      <c r="AC49" s="76"/>
      <c r="AD49" s="76"/>
      <c r="AE49" s="76"/>
      <c r="AF49" s="76"/>
      <c r="AG49" s="76"/>
      <c r="AH49" s="76"/>
      <c r="AI49" s="76"/>
      <c r="AJ49" s="76"/>
      <c r="AK49" s="76"/>
      <c r="AL49" s="76"/>
      <c r="AM49" s="76"/>
      <c r="AN49" s="76"/>
      <c r="AO49" s="76"/>
      <c r="AP49" s="76"/>
      <c r="AQ49" s="76"/>
      <c r="AR49" s="76"/>
      <c r="AS49" s="76"/>
      <c r="AT49" s="76"/>
      <c r="AU49" s="76"/>
      <c r="AV49" s="76"/>
      <c r="AW49" s="76"/>
      <c r="AX49" s="76"/>
      <c r="AY49" s="76"/>
      <c r="AZ49" s="76"/>
      <c r="BA49" s="76"/>
    </row>
    <row r="50" spans="1:53" ht="15.75">
      <c r="A50" s="76"/>
      <c r="B50" s="76" t="s">
        <v>176</v>
      </c>
      <c r="C50" s="76">
        <v>2020</v>
      </c>
      <c r="D50" s="76">
        <v>2021</v>
      </c>
      <c r="E50" s="76">
        <v>2022</v>
      </c>
      <c r="F50" s="76">
        <v>2023</v>
      </c>
      <c r="G50" s="76">
        <v>2024</v>
      </c>
      <c r="H50" s="76">
        <v>2025</v>
      </c>
      <c r="I50" s="76">
        <v>2026</v>
      </c>
      <c r="J50" s="76">
        <v>2027</v>
      </c>
      <c r="K50" s="76">
        <v>2028</v>
      </c>
      <c r="L50" s="76">
        <v>2029</v>
      </c>
      <c r="M50" s="76">
        <v>2030</v>
      </c>
      <c r="N50" s="76">
        <v>2031</v>
      </c>
      <c r="O50" s="76">
        <v>2032</v>
      </c>
      <c r="P50" s="76">
        <v>2033</v>
      </c>
      <c r="Q50" s="76">
        <v>2034</v>
      </c>
      <c r="R50" s="76">
        <v>2035</v>
      </c>
      <c r="S50" s="76">
        <v>2036</v>
      </c>
      <c r="T50" s="76">
        <v>2037</v>
      </c>
      <c r="U50" s="76">
        <v>2038</v>
      </c>
      <c r="V50" s="76">
        <v>2039</v>
      </c>
      <c r="W50" s="76">
        <v>2040</v>
      </c>
      <c r="X50" s="76">
        <v>2041</v>
      </c>
      <c r="Y50" s="76">
        <v>2042</v>
      </c>
      <c r="Z50" s="76">
        <v>2043</v>
      </c>
      <c r="AA50" s="76">
        <v>2044</v>
      </c>
      <c r="AB50" s="76">
        <v>2045</v>
      </c>
      <c r="AC50" s="76">
        <v>2046</v>
      </c>
      <c r="AD50" s="76">
        <v>2047</v>
      </c>
      <c r="AE50" s="76">
        <v>2048</v>
      </c>
      <c r="AF50" s="76">
        <v>2049</v>
      </c>
      <c r="AG50" s="76">
        <v>2050</v>
      </c>
      <c r="AH50" s="76">
        <v>2051</v>
      </c>
      <c r="AI50" s="76">
        <v>2052</v>
      </c>
      <c r="AJ50" s="76">
        <v>2053</v>
      </c>
      <c r="AK50" s="76">
        <v>2054</v>
      </c>
      <c r="AL50" s="76">
        <v>2055</v>
      </c>
      <c r="AM50" s="76">
        <v>2056</v>
      </c>
      <c r="AN50" s="76">
        <v>2057</v>
      </c>
      <c r="AO50" s="76">
        <v>2058</v>
      </c>
      <c r="AP50" s="76">
        <v>2059</v>
      </c>
      <c r="AQ50" s="76">
        <v>2060</v>
      </c>
      <c r="AR50" s="76">
        <v>2061</v>
      </c>
      <c r="AS50" s="76">
        <v>2062</v>
      </c>
      <c r="AT50" s="76">
        <v>2063</v>
      </c>
      <c r="AU50" s="76">
        <v>2064</v>
      </c>
      <c r="AV50" s="76">
        <v>2065</v>
      </c>
      <c r="AW50" s="76">
        <v>2066</v>
      </c>
      <c r="AX50" s="76">
        <v>2067</v>
      </c>
      <c r="AY50" s="76">
        <v>2068</v>
      </c>
      <c r="AZ50" s="76">
        <v>2069</v>
      </c>
      <c r="BA50" s="76">
        <v>2070</v>
      </c>
    </row>
    <row r="51" spans="1:53" ht="15.75">
      <c r="A51" s="76" t="s">
        <v>177</v>
      </c>
      <c r="B51" s="76" t="s">
        <v>178</v>
      </c>
      <c r="C51" s="76">
        <v>7282.1416874353799</v>
      </c>
      <c r="D51" s="76">
        <v>7350.0019452482002</v>
      </c>
      <c r="E51" s="76">
        <v>7417.8622030610204</v>
      </c>
      <c r="F51" s="76">
        <v>7485.7224608738397</v>
      </c>
      <c r="G51" s="76">
        <v>7553.58271868666</v>
      </c>
      <c r="H51" s="76">
        <v>7621.4429764994802</v>
      </c>
      <c r="I51" s="76">
        <v>7849.9524195209297</v>
      </c>
      <c r="J51" s="76">
        <v>8078.46186254237</v>
      </c>
      <c r="K51" s="76">
        <v>8306.9713055638204</v>
      </c>
      <c r="L51" s="76">
        <v>8535.4807485852598</v>
      </c>
      <c r="M51" s="76">
        <v>8763.9901916067101</v>
      </c>
      <c r="N51" s="76">
        <v>8847.3832993936594</v>
      </c>
      <c r="O51" s="76">
        <v>8930.7764071805996</v>
      </c>
      <c r="P51" s="76">
        <v>9014.1695149675397</v>
      </c>
      <c r="Q51" s="76">
        <v>9097.5626227544908</v>
      </c>
      <c r="R51" s="76">
        <v>9180.9557305414291</v>
      </c>
      <c r="S51" s="76">
        <v>9222.1208253382392</v>
      </c>
      <c r="T51" s="76">
        <v>9263.2859201350402</v>
      </c>
      <c r="U51" s="76">
        <v>9304.4510149318503</v>
      </c>
      <c r="V51" s="76">
        <v>9345.6161097286495</v>
      </c>
      <c r="W51" s="76">
        <v>9386.7812045254595</v>
      </c>
      <c r="X51" s="76">
        <v>9369.1215439642492</v>
      </c>
      <c r="Y51" s="76">
        <v>9351.4618834030498</v>
      </c>
      <c r="Z51" s="76">
        <v>9333.8022228418395</v>
      </c>
      <c r="AA51" s="76">
        <v>9316.1425622806291</v>
      </c>
      <c r="AB51" s="76">
        <v>9298.4829017194297</v>
      </c>
      <c r="AC51" s="76">
        <v>9319.9003916430102</v>
      </c>
      <c r="AD51" s="76">
        <v>9341.3178815665997</v>
      </c>
      <c r="AE51" s="76">
        <v>9362.7353714901801</v>
      </c>
      <c r="AF51" s="76">
        <v>9384.1528614137696</v>
      </c>
      <c r="AG51" s="76">
        <v>9405.5703513373501</v>
      </c>
      <c r="AH51" s="76">
        <v>9452.4188033549399</v>
      </c>
      <c r="AI51" s="76">
        <v>9499.2672553725406</v>
      </c>
      <c r="AJ51" s="76">
        <v>9546.1157073901304</v>
      </c>
      <c r="AK51" s="76">
        <v>9592.9641594077293</v>
      </c>
      <c r="AL51" s="76">
        <v>9639.8126114253191</v>
      </c>
      <c r="AM51" s="76">
        <v>9681.9087710619006</v>
      </c>
      <c r="AN51" s="76">
        <v>9724.0049306984802</v>
      </c>
      <c r="AO51" s="76">
        <v>9766.1010903350598</v>
      </c>
      <c r="AP51" s="76">
        <v>9808.1972499716394</v>
      </c>
      <c r="AQ51" s="76">
        <v>9850.2934096082208</v>
      </c>
      <c r="AR51" s="76">
        <v>9850.2934096082208</v>
      </c>
      <c r="AS51" s="76">
        <v>9850.2934096082208</v>
      </c>
      <c r="AT51" s="76">
        <v>9850.2934096082208</v>
      </c>
      <c r="AU51" s="76">
        <v>9850.2934096082208</v>
      </c>
      <c r="AV51" s="76">
        <v>9850.2934096082208</v>
      </c>
      <c r="AW51" s="76">
        <v>9850.2934096082208</v>
      </c>
      <c r="AX51" s="76">
        <v>9850.2934096082208</v>
      </c>
      <c r="AY51" s="76">
        <v>9850.2934096082208</v>
      </c>
      <c r="AZ51" s="76">
        <v>9850.2934096082208</v>
      </c>
      <c r="BA51" s="76">
        <v>9850.2934096082208</v>
      </c>
    </row>
    <row r="52" spans="1:53" ht="15.75">
      <c r="A52" s="76" t="s">
        <v>177</v>
      </c>
      <c r="B52" s="76" t="s">
        <v>179</v>
      </c>
      <c r="C52" s="76">
        <v>8136.7392927447199</v>
      </c>
      <c r="D52" s="76">
        <v>8129.89814642275</v>
      </c>
      <c r="E52" s="76">
        <v>8123.05700010079</v>
      </c>
      <c r="F52" s="76">
        <v>8116.21585377882</v>
      </c>
      <c r="G52" s="76">
        <v>8109.37470745685</v>
      </c>
      <c r="H52" s="76">
        <v>8102.5335611348901</v>
      </c>
      <c r="I52" s="76">
        <v>8172.67728868431</v>
      </c>
      <c r="J52" s="76">
        <v>8242.82101623374</v>
      </c>
      <c r="K52" s="76">
        <v>8312.9647437831609</v>
      </c>
      <c r="L52" s="76">
        <v>8383.1084713325799</v>
      </c>
      <c r="M52" s="76">
        <v>8453.2521988820099</v>
      </c>
      <c r="N52" s="76">
        <v>8557.9386804889291</v>
      </c>
      <c r="O52" s="76">
        <v>8662.6251620958501</v>
      </c>
      <c r="P52" s="76">
        <v>8767.3116437027693</v>
      </c>
      <c r="Q52" s="76">
        <v>8871.9981253096903</v>
      </c>
      <c r="R52" s="76">
        <v>8976.6846069166095</v>
      </c>
      <c r="S52" s="76">
        <v>9033.8403811891603</v>
      </c>
      <c r="T52" s="76">
        <v>9090.9961554617003</v>
      </c>
      <c r="U52" s="76">
        <v>9148.1519297342493</v>
      </c>
      <c r="V52" s="76">
        <v>9205.3077040067892</v>
      </c>
      <c r="W52" s="76">
        <v>9262.4634782793401</v>
      </c>
      <c r="X52" s="76">
        <v>9269.66684530575</v>
      </c>
      <c r="Y52" s="76">
        <v>9276.87021233216</v>
      </c>
      <c r="Z52" s="76">
        <v>9284.07357935857</v>
      </c>
      <c r="AA52" s="76">
        <v>9291.2769463849909</v>
      </c>
      <c r="AB52" s="76">
        <v>9298.4803134114009</v>
      </c>
      <c r="AC52" s="76">
        <v>9319.8974401309006</v>
      </c>
      <c r="AD52" s="76">
        <v>9341.3145668504094</v>
      </c>
      <c r="AE52" s="76">
        <v>9362.7316935699091</v>
      </c>
      <c r="AF52" s="76">
        <v>9384.1488202894197</v>
      </c>
      <c r="AG52" s="76">
        <v>9405.5659470089195</v>
      </c>
      <c r="AH52" s="76">
        <v>9452.4154481758997</v>
      </c>
      <c r="AI52" s="76">
        <v>9499.2649493428798</v>
      </c>
      <c r="AJ52" s="76">
        <v>9546.1144505098691</v>
      </c>
      <c r="AK52" s="76">
        <v>9592.9639516768493</v>
      </c>
      <c r="AL52" s="76">
        <v>9639.8134528438295</v>
      </c>
      <c r="AM52" s="76">
        <v>9681.9106629611397</v>
      </c>
      <c r="AN52" s="76">
        <v>9724.0078730784408</v>
      </c>
      <c r="AO52" s="76">
        <v>9766.1050831957491</v>
      </c>
      <c r="AP52" s="76">
        <v>9808.2022933130593</v>
      </c>
      <c r="AQ52" s="76">
        <v>9850.2995034303694</v>
      </c>
      <c r="AR52" s="76">
        <v>9850.2995034303694</v>
      </c>
      <c r="AS52" s="76">
        <v>9850.2995034303694</v>
      </c>
      <c r="AT52" s="76">
        <v>9850.2995034303694</v>
      </c>
      <c r="AU52" s="76">
        <v>9850.2995034303694</v>
      </c>
      <c r="AV52" s="76">
        <v>9850.2995034303694</v>
      </c>
      <c r="AW52" s="76">
        <v>9850.2995034303694</v>
      </c>
      <c r="AX52" s="76">
        <v>9850.2995034303694</v>
      </c>
      <c r="AY52" s="76">
        <v>9850.2995034303694</v>
      </c>
      <c r="AZ52" s="76">
        <v>9850.2995034303694</v>
      </c>
      <c r="BA52" s="76">
        <v>9850.2995034303694</v>
      </c>
    </row>
    <row r="53" spans="1:53" ht="15.75">
      <c r="A53" s="76" t="s">
        <v>177</v>
      </c>
      <c r="B53" s="76" t="s">
        <v>180</v>
      </c>
      <c r="C53" s="76">
        <v>8719.9366767922602</v>
      </c>
      <c r="D53" s="76">
        <v>8710.9261931227702</v>
      </c>
      <c r="E53" s="76">
        <v>8701.9157094532693</v>
      </c>
      <c r="F53" s="76">
        <v>8692.9052257837793</v>
      </c>
      <c r="G53" s="76">
        <v>8683.8947421142802</v>
      </c>
      <c r="H53" s="76">
        <v>8674.8842584447793</v>
      </c>
      <c r="I53" s="76">
        <v>8710.6315544953795</v>
      </c>
      <c r="J53" s="76">
        <v>8746.3788505459797</v>
      </c>
      <c r="K53" s="76">
        <v>8782.1261465965799</v>
      </c>
      <c r="L53" s="76">
        <v>8817.8734426471801</v>
      </c>
      <c r="M53" s="76">
        <v>8853.6207386977803</v>
      </c>
      <c r="N53" s="76">
        <v>8903.4735663380998</v>
      </c>
      <c r="O53" s="76">
        <v>8953.3263939784301</v>
      </c>
      <c r="P53" s="76">
        <v>9003.1792216187605</v>
      </c>
      <c r="Q53" s="76">
        <v>9053.0320492590909</v>
      </c>
      <c r="R53" s="76">
        <v>9102.8848768994194</v>
      </c>
      <c r="S53" s="76">
        <v>9139.2060599065098</v>
      </c>
      <c r="T53" s="76">
        <v>9175.5272429136003</v>
      </c>
      <c r="U53" s="76">
        <v>9211.8484259206907</v>
      </c>
      <c r="V53" s="76">
        <v>9248.1696089277793</v>
      </c>
      <c r="W53" s="76">
        <v>9284.4907919348807</v>
      </c>
      <c r="X53" s="76">
        <v>9287.2933523149804</v>
      </c>
      <c r="Y53" s="76">
        <v>9290.0959126950893</v>
      </c>
      <c r="Z53" s="76">
        <v>9292.8984730751909</v>
      </c>
      <c r="AA53" s="76">
        <v>9295.7010334552997</v>
      </c>
      <c r="AB53" s="76">
        <v>9298.5035938353994</v>
      </c>
      <c r="AC53" s="76">
        <v>9319.9192845638208</v>
      </c>
      <c r="AD53" s="76">
        <v>9341.3349752922404</v>
      </c>
      <c r="AE53" s="76">
        <v>9362.7506660206509</v>
      </c>
      <c r="AF53" s="76">
        <v>9384.1663567490705</v>
      </c>
      <c r="AG53" s="76">
        <v>9405.5820474774901</v>
      </c>
      <c r="AH53" s="76">
        <v>9452.4314031117792</v>
      </c>
      <c r="AI53" s="76">
        <v>9499.2807587460793</v>
      </c>
      <c r="AJ53" s="76">
        <v>9546.1301143803703</v>
      </c>
      <c r="AK53" s="76">
        <v>9592.9794700146595</v>
      </c>
      <c r="AL53" s="76">
        <v>9639.8288256489595</v>
      </c>
      <c r="AM53" s="76">
        <v>9681.9269695596195</v>
      </c>
      <c r="AN53" s="76">
        <v>9724.0251134702703</v>
      </c>
      <c r="AO53" s="76">
        <v>9766.1232573809302</v>
      </c>
      <c r="AP53" s="76">
        <v>9808.2214012915792</v>
      </c>
      <c r="AQ53" s="76">
        <v>9850.3195452022392</v>
      </c>
      <c r="AR53" s="76">
        <v>9850.3195452022392</v>
      </c>
      <c r="AS53" s="76">
        <v>9850.3195452022392</v>
      </c>
      <c r="AT53" s="76">
        <v>9850.3195452022392</v>
      </c>
      <c r="AU53" s="76">
        <v>9850.3195452022392</v>
      </c>
      <c r="AV53" s="76">
        <v>9850.3195452022392</v>
      </c>
      <c r="AW53" s="76">
        <v>9850.3195452022392</v>
      </c>
      <c r="AX53" s="76">
        <v>9850.3195452022392</v>
      </c>
      <c r="AY53" s="76">
        <v>9850.3195452022392</v>
      </c>
      <c r="AZ53" s="76">
        <v>9850.3195452022392</v>
      </c>
      <c r="BA53" s="76">
        <v>9850.3195452022392</v>
      </c>
    </row>
    <row r="54" spans="1:53" ht="15.75">
      <c r="A54" s="76" t="s">
        <v>177</v>
      </c>
      <c r="B54" s="76" t="s">
        <v>181</v>
      </c>
      <c r="C54" s="76">
        <v>47403.3425431941</v>
      </c>
      <c r="D54" s="76">
        <v>47370.819333551997</v>
      </c>
      <c r="E54" s="76">
        <v>47338.2961239098</v>
      </c>
      <c r="F54" s="76">
        <v>47305.772914267603</v>
      </c>
      <c r="G54" s="76">
        <v>47273.249704625399</v>
      </c>
      <c r="H54" s="76">
        <v>47240.726494983202</v>
      </c>
      <c r="I54" s="76">
        <v>47313.685103101299</v>
      </c>
      <c r="J54" s="76">
        <v>47386.643711219403</v>
      </c>
      <c r="K54" s="76">
        <v>47459.602319337399</v>
      </c>
      <c r="L54" s="76">
        <v>47532.560927455503</v>
      </c>
      <c r="M54" s="76">
        <v>47605.5195355736</v>
      </c>
      <c r="N54" s="76">
        <v>47813.840253793001</v>
      </c>
      <c r="O54" s="76">
        <v>48022.160972012498</v>
      </c>
      <c r="P54" s="76">
        <v>48230.4816902319</v>
      </c>
      <c r="Q54" s="76">
        <v>48438.802408451404</v>
      </c>
      <c r="R54" s="76">
        <v>48647.123126670798</v>
      </c>
      <c r="S54" s="76">
        <v>49000.982680654299</v>
      </c>
      <c r="T54" s="76">
        <v>49354.842234637799</v>
      </c>
      <c r="U54" s="76">
        <v>49708.7017886213</v>
      </c>
      <c r="V54" s="76">
        <v>50062.5613426048</v>
      </c>
      <c r="W54" s="76">
        <v>50416.420896588301</v>
      </c>
      <c r="X54" s="76">
        <v>50436.5317338143</v>
      </c>
      <c r="Y54" s="76">
        <v>50456.642571040204</v>
      </c>
      <c r="Z54" s="76">
        <v>50476.753408266202</v>
      </c>
      <c r="AA54" s="76">
        <v>50496.864245492099</v>
      </c>
      <c r="AB54" s="76">
        <v>50516.975082718098</v>
      </c>
      <c r="AC54" s="76">
        <v>50482.10912501</v>
      </c>
      <c r="AD54" s="76">
        <v>50447.243167301902</v>
      </c>
      <c r="AE54" s="76">
        <v>50412.377209593797</v>
      </c>
      <c r="AF54" s="76">
        <v>50377.5112518858</v>
      </c>
      <c r="AG54" s="76">
        <v>50342.645294177702</v>
      </c>
      <c r="AH54" s="76">
        <v>50354.0822247123</v>
      </c>
      <c r="AI54" s="76">
        <v>50365.519155246897</v>
      </c>
      <c r="AJ54" s="76">
        <v>50376.956085781399</v>
      </c>
      <c r="AK54" s="76">
        <v>50388.393016315997</v>
      </c>
      <c r="AL54" s="76">
        <v>50399.829946850601</v>
      </c>
      <c r="AM54" s="76">
        <v>50409.758310406403</v>
      </c>
      <c r="AN54" s="76">
        <v>50419.686673962198</v>
      </c>
      <c r="AO54" s="76">
        <v>50429.615037518</v>
      </c>
      <c r="AP54" s="76">
        <v>50439.543401073803</v>
      </c>
      <c r="AQ54" s="76">
        <v>50449.471764629598</v>
      </c>
      <c r="AR54" s="76">
        <v>50449.471764629598</v>
      </c>
      <c r="AS54" s="76">
        <v>50449.471764629598</v>
      </c>
      <c r="AT54" s="76">
        <v>50449.471764629598</v>
      </c>
      <c r="AU54" s="76">
        <v>50449.471764629598</v>
      </c>
      <c r="AV54" s="76">
        <v>50449.471764629598</v>
      </c>
      <c r="AW54" s="76">
        <v>50449.471764629598</v>
      </c>
      <c r="AX54" s="76">
        <v>50449.471764629598</v>
      </c>
      <c r="AY54" s="76">
        <v>50449.471764629598</v>
      </c>
      <c r="AZ54" s="76">
        <v>50449.471764629598</v>
      </c>
      <c r="BA54" s="76">
        <v>50449.471764629598</v>
      </c>
    </row>
    <row r="55" spans="1:53" ht="15.75">
      <c r="A55" s="78" t="s">
        <v>165</v>
      </c>
      <c r="B55" s="76" t="s">
        <v>182</v>
      </c>
      <c r="C55" s="76">
        <v>46342.194513281</v>
      </c>
      <c r="D55" s="76">
        <v>46524.799897631303</v>
      </c>
      <c r="E55" s="76">
        <v>46707.405281981599</v>
      </c>
      <c r="F55" s="76">
        <v>46890.010666331997</v>
      </c>
      <c r="G55" s="76">
        <v>47072.6160506823</v>
      </c>
      <c r="H55" s="76">
        <v>47255.221435032698</v>
      </c>
      <c r="I55" s="76">
        <v>47488.017480245799</v>
      </c>
      <c r="J55" s="76">
        <v>47720.813525459002</v>
      </c>
      <c r="K55" s="76">
        <v>47953.609570672197</v>
      </c>
      <c r="L55" s="76">
        <v>48186.405615885298</v>
      </c>
      <c r="M55" s="76">
        <v>48419.201661098501</v>
      </c>
      <c r="N55" s="76">
        <v>48697.120556422902</v>
      </c>
      <c r="O55" s="76">
        <v>48975.039451747398</v>
      </c>
      <c r="P55" s="76">
        <v>49252.958347071799</v>
      </c>
      <c r="Q55" s="76">
        <v>49530.8772423962</v>
      </c>
      <c r="R55" s="76">
        <v>49808.796137720703</v>
      </c>
      <c r="S55" s="76">
        <v>50037.092172565797</v>
      </c>
      <c r="T55" s="76">
        <v>50265.388207411001</v>
      </c>
      <c r="U55" s="76">
        <v>50493.684242256102</v>
      </c>
      <c r="V55" s="76">
        <v>50721.980277101298</v>
      </c>
      <c r="W55" s="76">
        <v>50950.2763119464</v>
      </c>
      <c r="X55" s="76">
        <v>50863.640684938699</v>
      </c>
      <c r="Y55" s="76">
        <v>50777.005057930903</v>
      </c>
      <c r="Z55" s="76">
        <v>50690.3694309231</v>
      </c>
      <c r="AA55" s="76">
        <v>50603.733803915398</v>
      </c>
      <c r="AB55" s="76">
        <v>50517.098176907602</v>
      </c>
      <c r="AC55" s="76">
        <v>50482.235228493199</v>
      </c>
      <c r="AD55" s="76">
        <v>50447.3722800787</v>
      </c>
      <c r="AE55" s="76">
        <v>50412.509331664303</v>
      </c>
      <c r="AF55" s="76">
        <v>50377.646383249899</v>
      </c>
      <c r="AG55" s="76">
        <v>50342.783434835503</v>
      </c>
      <c r="AH55" s="76">
        <v>50354.217722337198</v>
      </c>
      <c r="AI55" s="76">
        <v>50365.652009838799</v>
      </c>
      <c r="AJ55" s="76">
        <v>50377.086297340502</v>
      </c>
      <c r="AK55" s="76">
        <v>50388.520584842197</v>
      </c>
      <c r="AL55" s="76">
        <v>50399.9548723439</v>
      </c>
      <c r="AM55" s="76">
        <v>50409.8910974135</v>
      </c>
      <c r="AN55" s="76">
        <v>50419.827322483201</v>
      </c>
      <c r="AO55" s="76">
        <v>50429.7635475528</v>
      </c>
      <c r="AP55" s="76">
        <v>50439.699772622502</v>
      </c>
      <c r="AQ55" s="76">
        <v>50449.635997692203</v>
      </c>
      <c r="AR55" s="76">
        <v>50449.635997692203</v>
      </c>
      <c r="AS55" s="76">
        <v>50449.635997692203</v>
      </c>
      <c r="AT55" s="76">
        <v>50449.635997692203</v>
      </c>
      <c r="AU55" s="76">
        <v>50449.635997692203</v>
      </c>
      <c r="AV55" s="76">
        <v>50449.635997692203</v>
      </c>
      <c r="AW55" s="76">
        <v>50449.635997692203</v>
      </c>
      <c r="AX55" s="76">
        <v>50449.635997692203</v>
      </c>
      <c r="AY55" s="76">
        <v>50449.635997692203</v>
      </c>
      <c r="AZ55" s="76">
        <v>50449.635997692203</v>
      </c>
      <c r="BA55" s="76">
        <v>50449.635997692203</v>
      </c>
    </row>
    <row r="56" spans="1:53" ht="15.75">
      <c r="A56" s="78" t="s">
        <v>165</v>
      </c>
      <c r="B56" s="76" t="s">
        <v>183</v>
      </c>
      <c r="C56" s="76">
        <v>47278.1584279175</v>
      </c>
      <c r="D56" s="76">
        <v>47569.074100935803</v>
      </c>
      <c r="E56" s="76">
        <v>47859.989773954097</v>
      </c>
      <c r="F56" s="76">
        <v>48150.9054469724</v>
      </c>
      <c r="G56" s="76">
        <v>48441.821119990702</v>
      </c>
      <c r="H56" s="76">
        <v>48732.736793008997</v>
      </c>
      <c r="I56" s="76">
        <v>48956.526623976002</v>
      </c>
      <c r="J56" s="76">
        <v>49180.316454943102</v>
      </c>
      <c r="K56" s="76">
        <v>49404.1062859101</v>
      </c>
      <c r="L56" s="76">
        <v>49627.8961168772</v>
      </c>
      <c r="M56" s="76">
        <v>49851.685947844198</v>
      </c>
      <c r="N56" s="76">
        <v>49992.597794347399</v>
      </c>
      <c r="O56" s="76">
        <v>50133.5096408506</v>
      </c>
      <c r="P56" s="76">
        <v>50274.4214873538</v>
      </c>
      <c r="Q56" s="76">
        <v>50415.333333857001</v>
      </c>
      <c r="R56" s="76">
        <v>50556.245180360202</v>
      </c>
      <c r="S56" s="76">
        <v>50632.372515471499</v>
      </c>
      <c r="T56" s="76">
        <v>50708.499850582797</v>
      </c>
      <c r="U56" s="76">
        <v>50784.627185694102</v>
      </c>
      <c r="V56" s="76">
        <v>50860.7545208054</v>
      </c>
      <c r="W56" s="76">
        <v>50936.881855916698</v>
      </c>
      <c r="X56" s="76">
        <v>50852.920852365198</v>
      </c>
      <c r="Y56" s="76">
        <v>50768.959848813698</v>
      </c>
      <c r="Z56" s="76">
        <v>50684.9988452623</v>
      </c>
      <c r="AA56" s="76">
        <v>50601.0378417108</v>
      </c>
      <c r="AB56" s="76">
        <v>50517.076838159403</v>
      </c>
      <c r="AC56" s="76">
        <v>50482.206494930797</v>
      </c>
      <c r="AD56" s="76">
        <v>50447.3361517023</v>
      </c>
      <c r="AE56" s="76">
        <v>50412.465808473702</v>
      </c>
      <c r="AF56" s="76">
        <v>50377.595465245198</v>
      </c>
      <c r="AG56" s="76">
        <v>50342.725122016702</v>
      </c>
      <c r="AH56" s="76">
        <v>50354.162869706503</v>
      </c>
      <c r="AI56" s="76">
        <v>50365.600617396398</v>
      </c>
      <c r="AJ56" s="76">
        <v>50377.0383650863</v>
      </c>
      <c r="AK56" s="76">
        <v>50388.476112776101</v>
      </c>
      <c r="AL56" s="76">
        <v>50399.913860465997</v>
      </c>
      <c r="AM56" s="76">
        <v>50409.8556951274</v>
      </c>
      <c r="AN56" s="76">
        <v>50419.797529788797</v>
      </c>
      <c r="AO56" s="76">
        <v>50429.739364450201</v>
      </c>
      <c r="AP56" s="76">
        <v>50439.681199111699</v>
      </c>
      <c r="AQ56" s="76">
        <v>50449.623033773103</v>
      </c>
      <c r="AR56" s="76">
        <v>50449.623033773103</v>
      </c>
      <c r="AS56" s="76">
        <v>50449.623033773103</v>
      </c>
      <c r="AT56" s="76">
        <v>50449.623033773103</v>
      </c>
      <c r="AU56" s="76">
        <v>50449.623033773103</v>
      </c>
      <c r="AV56" s="76">
        <v>50449.623033773103</v>
      </c>
      <c r="AW56" s="76">
        <v>50449.623033773103</v>
      </c>
      <c r="AX56" s="76">
        <v>50449.623033773103</v>
      </c>
      <c r="AY56" s="76">
        <v>50449.623033773103</v>
      </c>
      <c r="AZ56" s="76">
        <v>50449.623033773103</v>
      </c>
      <c r="BA56" s="76">
        <v>50449.623033773103</v>
      </c>
    </row>
    <row r="57" spans="1:53" ht="15.75">
      <c r="A57" s="78" t="s">
        <v>162</v>
      </c>
      <c r="B57" s="76" t="s">
        <v>184</v>
      </c>
      <c r="C57" s="76">
        <v>16553.996349754801</v>
      </c>
      <c r="D57" s="76">
        <v>16490.0208218193</v>
      </c>
      <c r="E57" s="76">
        <v>16426.045293883901</v>
      </c>
      <c r="F57" s="76">
        <v>16362.069765948399</v>
      </c>
      <c r="G57" s="76">
        <v>16298.094238013</v>
      </c>
      <c r="H57" s="76">
        <v>16234.118710077601</v>
      </c>
      <c r="I57" s="76">
        <v>16231.1416573607</v>
      </c>
      <c r="J57" s="76">
        <v>16228.1646046439</v>
      </c>
      <c r="K57" s="76">
        <v>16225.187551927</v>
      </c>
      <c r="L57" s="76">
        <v>16222.210499210199</v>
      </c>
      <c r="M57" s="76">
        <v>16219.233446493399</v>
      </c>
      <c r="N57" s="76">
        <v>16279.774472630001</v>
      </c>
      <c r="O57" s="76">
        <v>16340.3154987665</v>
      </c>
      <c r="P57" s="76">
        <v>16400.856524903102</v>
      </c>
      <c r="Q57" s="76">
        <v>16461.397551039699</v>
      </c>
      <c r="R57" s="76">
        <v>16521.938577176301</v>
      </c>
      <c r="S57" s="76">
        <v>16649.0811900755</v>
      </c>
      <c r="T57" s="76">
        <v>16776.223802974699</v>
      </c>
      <c r="U57" s="76">
        <v>16903.366415873901</v>
      </c>
      <c r="V57" s="76">
        <v>17030.5090287731</v>
      </c>
      <c r="W57" s="76">
        <v>17157.651641672299</v>
      </c>
      <c r="X57" s="76">
        <v>17212.593460200598</v>
      </c>
      <c r="Y57" s="76">
        <v>17267.535278728799</v>
      </c>
      <c r="Z57" s="76">
        <v>17322.477097257099</v>
      </c>
      <c r="AA57" s="76">
        <v>17377.418915785402</v>
      </c>
      <c r="AB57" s="76">
        <v>17432.360734313701</v>
      </c>
      <c r="AC57" s="76">
        <v>17419.187550922499</v>
      </c>
      <c r="AD57" s="76">
        <v>17406.014367531399</v>
      </c>
      <c r="AE57" s="76">
        <v>17392.841184140299</v>
      </c>
      <c r="AF57" s="76">
        <v>17379.668000749101</v>
      </c>
      <c r="AG57" s="76">
        <v>17366.494817358001</v>
      </c>
      <c r="AH57" s="76">
        <v>17369.148701652699</v>
      </c>
      <c r="AI57" s="76">
        <v>17371.8025859474</v>
      </c>
      <c r="AJ57" s="76">
        <v>17374.456470242101</v>
      </c>
      <c r="AK57" s="76">
        <v>17377.110354536799</v>
      </c>
      <c r="AL57" s="76">
        <v>17379.7642388315</v>
      </c>
      <c r="AM57" s="76">
        <v>17382.863465345799</v>
      </c>
      <c r="AN57" s="76">
        <v>17385.962691860099</v>
      </c>
      <c r="AO57" s="76">
        <v>17389.061918374398</v>
      </c>
      <c r="AP57" s="76">
        <v>17392.161144888702</v>
      </c>
      <c r="AQ57" s="76">
        <v>17395.260371403001</v>
      </c>
      <c r="AR57" s="76">
        <v>17395.260371403001</v>
      </c>
      <c r="AS57" s="76">
        <v>17395.260371403001</v>
      </c>
      <c r="AT57" s="76">
        <v>17395.260371403001</v>
      </c>
      <c r="AU57" s="76">
        <v>17395.260371403001</v>
      </c>
      <c r="AV57" s="76">
        <v>17395.260371403001</v>
      </c>
      <c r="AW57" s="76">
        <v>17395.260371403001</v>
      </c>
      <c r="AX57" s="76">
        <v>17395.260371403001</v>
      </c>
      <c r="AY57" s="76">
        <v>17395.260371403001</v>
      </c>
      <c r="AZ57" s="76">
        <v>17395.260371403001</v>
      </c>
      <c r="BA57" s="76">
        <v>17395.260371403001</v>
      </c>
    </row>
    <row r="58" spans="1:53" ht="15.75">
      <c r="A58" s="78" t="s">
        <v>164</v>
      </c>
      <c r="B58" s="76" t="s">
        <v>185</v>
      </c>
      <c r="C58" s="76">
        <v>16570.754794578301</v>
      </c>
      <c r="D58" s="76">
        <v>16622.4153990339</v>
      </c>
      <c r="E58" s="76">
        <v>16674.076003489401</v>
      </c>
      <c r="F58" s="76">
        <v>16725.736607945</v>
      </c>
      <c r="G58" s="76">
        <v>16777.3972124006</v>
      </c>
      <c r="H58" s="76">
        <v>16829.057816856101</v>
      </c>
      <c r="I58" s="76">
        <v>16868.7637990484</v>
      </c>
      <c r="J58" s="76">
        <v>16908.469781240699</v>
      </c>
      <c r="K58" s="76">
        <v>16948.175763432999</v>
      </c>
      <c r="L58" s="76">
        <v>16987.881745625298</v>
      </c>
      <c r="M58" s="76">
        <v>17027.587727817601</v>
      </c>
      <c r="N58" s="76">
        <v>17080.179941132999</v>
      </c>
      <c r="O58" s="76">
        <v>17132.772154448401</v>
      </c>
      <c r="P58" s="76">
        <v>17185.364367763799</v>
      </c>
      <c r="Q58" s="76">
        <v>17237.956581079201</v>
      </c>
      <c r="R58" s="76">
        <v>17290.548794394599</v>
      </c>
      <c r="S58" s="76">
        <v>17338.470504758399</v>
      </c>
      <c r="T58" s="76">
        <v>17386.3922151222</v>
      </c>
      <c r="U58" s="76">
        <v>17434.313925485902</v>
      </c>
      <c r="V58" s="76">
        <v>17482.235635849702</v>
      </c>
      <c r="W58" s="76">
        <v>17530.1573462134</v>
      </c>
      <c r="X58" s="76">
        <v>17510.593600268901</v>
      </c>
      <c r="Y58" s="76">
        <v>17491.029854324301</v>
      </c>
      <c r="Z58" s="76">
        <v>17471.466108379798</v>
      </c>
      <c r="AA58" s="76">
        <v>17451.902362435201</v>
      </c>
      <c r="AB58" s="76">
        <v>17432.338616490601</v>
      </c>
      <c r="AC58" s="76">
        <v>17419.1652077334</v>
      </c>
      <c r="AD58" s="76">
        <v>17405.9917989762</v>
      </c>
      <c r="AE58" s="76">
        <v>17392.818390218999</v>
      </c>
      <c r="AF58" s="76">
        <v>17379.644981461701</v>
      </c>
      <c r="AG58" s="76">
        <v>17366.4715727045</v>
      </c>
      <c r="AH58" s="76">
        <v>17369.1280221659</v>
      </c>
      <c r="AI58" s="76">
        <v>17371.784471627299</v>
      </c>
      <c r="AJ58" s="76">
        <v>17374.440921088699</v>
      </c>
      <c r="AK58" s="76">
        <v>17377.097370550098</v>
      </c>
      <c r="AL58" s="76">
        <v>17379.753820011501</v>
      </c>
      <c r="AM58" s="76">
        <v>17382.852288731701</v>
      </c>
      <c r="AN58" s="76">
        <v>17385.950757451799</v>
      </c>
      <c r="AO58" s="76">
        <v>17389.049226171999</v>
      </c>
      <c r="AP58" s="76">
        <v>17392.147694892101</v>
      </c>
      <c r="AQ58" s="76">
        <v>17395.246163612301</v>
      </c>
      <c r="AR58" s="76">
        <v>17395.246163612301</v>
      </c>
      <c r="AS58" s="76">
        <v>17395.246163612301</v>
      </c>
      <c r="AT58" s="76">
        <v>17395.246163612301</v>
      </c>
      <c r="AU58" s="76">
        <v>17395.246163612301</v>
      </c>
      <c r="AV58" s="76">
        <v>17395.246163612301</v>
      </c>
      <c r="AW58" s="76">
        <v>17395.246163612301</v>
      </c>
      <c r="AX58" s="76">
        <v>17395.246163612301</v>
      </c>
      <c r="AY58" s="76">
        <v>17395.246163612301</v>
      </c>
      <c r="AZ58" s="76">
        <v>17395.246163612301</v>
      </c>
      <c r="BA58" s="76">
        <v>17395.246163612301</v>
      </c>
    </row>
    <row r="59" spans="1:53" ht="15.75">
      <c r="A59" s="78" t="s">
        <v>164</v>
      </c>
      <c r="B59" s="76" t="s">
        <v>186</v>
      </c>
      <c r="C59" s="76">
        <v>16704.542098382299</v>
      </c>
      <c r="D59" s="76">
        <v>16744.325322286499</v>
      </c>
      <c r="E59" s="76">
        <v>16784.108546190699</v>
      </c>
      <c r="F59" s="76">
        <v>16823.8917700948</v>
      </c>
      <c r="G59" s="76">
        <v>16863.674993999</v>
      </c>
      <c r="H59" s="76">
        <v>16903.458217903099</v>
      </c>
      <c r="I59" s="76">
        <v>16930.0178621267</v>
      </c>
      <c r="J59" s="76">
        <v>16956.577506350299</v>
      </c>
      <c r="K59" s="76">
        <v>16983.137150573799</v>
      </c>
      <c r="L59" s="76">
        <v>17009.696794797401</v>
      </c>
      <c r="M59" s="76">
        <v>17036.256439020999</v>
      </c>
      <c r="N59" s="76">
        <v>17092.802504269799</v>
      </c>
      <c r="O59" s="76">
        <v>17149.348569518501</v>
      </c>
      <c r="P59" s="76">
        <v>17205.894634767301</v>
      </c>
      <c r="Q59" s="76">
        <v>17262.440700016101</v>
      </c>
      <c r="R59" s="76">
        <v>17318.986765264901</v>
      </c>
      <c r="S59" s="76">
        <v>17364.257959149501</v>
      </c>
      <c r="T59" s="76">
        <v>17409.529153034098</v>
      </c>
      <c r="U59" s="76">
        <v>17454.800346918801</v>
      </c>
      <c r="V59" s="76">
        <v>17500.071540803401</v>
      </c>
      <c r="W59" s="76">
        <v>17545.342734688002</v>
      </c>
      <c r="X59" s="76">
        <v>17522.7431531449</v>
      </c>
      <c r="Y59" s="76">
        <v>17500.143571601799</v>
      </c>
      <c r="Z59" s="76">
        <v>17477.543990058701</v>
      </c>
      <c r="AA59" s="76">
        <v>17454.944408515501</v>
      </c>
      <c r="AB59" s="76">
        <v>17432.344826972399</v>
      </c>
      <c r="AC59" s="76">
        <v>17419.170605622599</v>
      </c>
      <c r="AD59" s="76">
        <v>17405.996384272799</v>
      </c>
      <c r="AE59" s="76">
        <v>17392.822162922999</v>
      </c>
      <c r="AF59" s="76">
        <v>17379.647941573199</v>
      </c>
      <c r="AG59" s="76">
        <v>17366.473720223399</v>
      </c>
      <c r="AH59" s="76">
        <v>17369.1279193954</v>
      </c>
      <c r="AI59" s="76">
        <v>17371.7821185674</v>
      </c>
      <c r="AJ59" s="76">
        <v>17374.436317739401</v>
      </c>
      <c r="AK59" s="76">
        <v>17377.090516911499</v>
      </c>
      <c r="AL59" s="76">
        <v>17379.7447160835</v>
      </c>
      <c r="AM59" s="76">
        <v>17382.842621448199</v>
      </c>
      <c r="AN59" s="76">
        <v>17385.940526812999</v>
      </c>
      <c r="AO59" s="76">
        <v>17389.038432177698</v>
      </c>
      <c r="AP59" s="76">
        <v>17392.136337542499</v>
      </c>
      <c r="AQ59" s="76">
        <v>17395.234242907201</v>
      </c>
      <c r="AR59" s="76">
        <v>17395.234242907201</v>
      </c>
      <c r="AS59" s="76">
        <v>17395.234242907201</v>
      </c>
      <c r="AT59" s="76">
        <v>17395.234242907201</v>
      </c>
      <c r="AU59" s="76">
        <v>17395.234242907201</v>
      </c>
      <c r="AV59" s="76">
        <v>17395.234242907201</v>
      </c>
      <c r="AW59" s="76">
        <v>17395.234242907201</v>
      </c>
      <c r="AX59" s="76">
        <v>17395.234242907201</v>
      </c>
      <c r="AY59" s="76">
        <v>17395.234242907201</v>
      </c>
      <c r="AZ59" s="76">
        <v>17395.234242907201</v>
      </c>
      <c r="BA59" s="76">
        <v>17395.234242907201</v>
      </c>
    </row>
    <row r="60" spans="1:53" ht="15.75">
      <c r="A60" s="78" t="s">
        <v>162</v>
      </c>
      <c r="B60" s="76" t="s">
        <v>187</v>
      </c>
      <c r="C60" s="76">
        <v>48680.059179703101</v>
      </c>
      <c r="D60" s="76">
        <v>48531.565439054502</v>
      </c>
      <c r="E60" s="76">
        <v>48383.071698405802</v>
      </c>
      <c r="F60" s="76">
        <v>48234.577957757203</v>
      </c>
      <c r="G60" s="76">
        <v>48086.084217108597</v>
      </c>
      <c r="H60" s="76">
        <v>47937.590476459998</v>
      </c>
      <c r="I60" s="76">
        <v>47927.115820955602</v>
      </c>
      <c r="J60" s="76">
        <v>47916.641165451198</v>
      </c>
      <c r="K60" s="76">
        <v>47906.166509946699</v>
      </c>
      <c r="L60" s="76">
        <v>47895.691854442302</v>
      </c>
      <c r="M60" s="76">
        <v>47885.217198937899</v>
      </c>
      <c r="N60" s="76">
        <v>47968.700590354703</v>
      </c>
      <c r="O60" s="76">
        <v>48052.183981771501</v>
      </c>
      <c r="P60" s="76">
        <v>48135.667373188298</v>
      </c>
      <c r="Q60" s="76">
        <v>48219.150764605103</v>
      </c>
      <c r="R60" s="76">
        <v>48302.634156021901</v>
      </c>
      <c r="S60" s="76">
        <v>48572.493863907002</v>
      </c>
      <c r="T60" s="76">
        <v>48842.353571792097</v>
      </c>
      <c r="U60" s="76">
        <v>49112.213279677198</v>
      </c>
      <c r="V60" s="76">
        <v>49382.0729875623</v>
      </c>
      <c r="W60" s="76">
        <v>49651.932695447402</v>
      </c>
      <c r="X60" s="76">
        <v>49714.262858998103</v>
      </c>
      <c r="Y60" s="76">
        <v>49776.593022548797</v>
      </c>
      <c r="Z60" s="76">
        <v>49838.923186099499</v>
      </c>
      <c r="AA60" s="76">
        <v>49901.2533496502</v>
      </c>
      <c r="AB60" s="76">
        <v>49963.583513200902</v>
      </c>
      <c r="AC60" s="76">
        <v>49892.910659401299</v>
      </c>
      <c r="AD60" s="76">
        <v>49822.237805601799</v>
      </c>
      <c r="AE60" s="76">
        <v>49751.564951802298</v>
      </c>
      <c r="AF60" s="76">
        <v>49680.892098002798</v>
      </c>
      <c r="AG60" s="76">
        <v>49610.219244203297</v>
      </c>
      <c r="AH60" s="76">
        <v>49619.684017236097</v>
      </c>
      <c r="AI60" s="76">
        <v>49629.148790268999</v>
      </c>
      <c r="AJ60" s="76">
        <v>49638.6135633019</v>
      </c>
      <c r="AK60" s="76">
        <v>49648.078336334802</v>
      </c>
      <c r="AL60" s="76">
        <v>49657.543109367602</v>
      </c>
      <c r="AM60" s="76">
        <v>49669.802400022898</v>
      </c>
      <c r="AN60" s="76">
        <v>49682.061690678202</v>
      </c>
      <c r="AO60" s="76">
        <v>49694.3209813336</v>
      </c>
      <c r="AP60" s="76">
        <v>49706.580271988903</v>
      </c>
      <c r="AQ60" s="76">
        <v>49718.8395626442</v>
      </c>
      <c r="AR60" s="76">
        <v>49718.8395626442</v>
      </c>
      <c r="AS60" s="76">
        <v>49718.8395626442</v>
      </c>
      <c r="AT60" s="76">
        <v>49718.8395626442</v>
      </c>
      <c r="AU60" s="76">
        <v>49718.8395626442</v>
      </c>
      <c r="AV60" s="76">
        <v>49718.8395626442</v>
      </c>
      <c r="AW60" s="76">
        <v>49718.8395626442</v>
      </c>
      <c r="AX60" s="76">
        <v>49718.8395626442</v>
      </c>
      <c r="AY60" s="76">
        <v>49718.8395626442</v>
      </c>
      <c r="AZ60" s="76">
        <v>49718.8395626442</v>
      </c>
      <c r="BA60" s="76">
        <v>49718.8395626442</v>
      </c>
    </row>
    <row r="61" spans="1:53" ht="15.75">
      <c r="A61" s="78" t="s">
        <v>163</v>
      </c>
      <c r="B61" s="76" t="s">
        <v>188</v>
      </c>
      <c r="C61" s="76">
        <v>48928.255233450298</v>
      </c>
      <c r="D61" s="76">
        <v>48905.9512639452</v>
      </c>
      <c r="E61" s="76">
        <v>48883.647294440001</v>
      </c>
      <c r="F61" s="76">
        <v>48861.343324934896</v>
      </c>
      <c r="G61" s="76">
        <v>48839.039355429697</v>
      </c>
      <c r="H61" s="76">
        <v>48816.7353859246</v>
      </c>
      <c r="I61" s="76">
        <v>48853.189681665601</v>
      </c>
      <c r="J61" s="76">
        <v>48889.643977406697</v>
      </c>
      <c r="K61" s="76">
        <v>48926.098273147698</v>
      </c>
      <c r="L61" s="76">
        <v>48962.552568888801</v>
      </c>
      <c r="M61" s="76">
        <v>48999.006864629802</v>
      </c>
      <c r="N61" s="76">
        <v>49142.051968313703</v>
      </c>
      <c r="O61" s="76">
        <v>49285.097071997698</v>
      </c>
      <c r="P61" s="76">
        <v>49428.142175681598</v>
      </c>
      <c r="Q61" s="76">
        <v>49571.187279365498</v>
      </c>
      <c r="R61" s="76">
        <v>49714.232383049399</v>
      </c>
      <c r="S61" s="76">
        <v>49870.381640020802</v>
      </c>
      <c r="T61" s="76">
        <v>50026.530896992299</v>
      </c>
      <c r="U61" s="76">
        <v>50182.680153963702</v>
      </c>
      <c r="V61" s="76">
        <v>50338.829410935097</v>
      </c>
      <c r="W61" s="76">
        <v>50494.9786679065</v>
      </c>
      <c r="X61" s="76">
        <v>50388.725495065999</v>
      </c>
      <c r="Y61" s="76">
        <v>50282.472322225498</v>
      </c>
      <c r="Z61" s="76">
        <v>50176.219149384902</v>
      </c>
      <c r="AA61" s="76">
        <v>50069.965976544401</v>
      </c>
      <c r="AB61" s="76">
        <v>49963.712803703798</v>
      </c>
      <c r="AC61" s="76">
        <v>49893.036372125403</v>
      </c>
      <c r="AD61" s="76">
        <v>49822.359940547001</v>
      </c>
      <c r="AE61" s="76">
        <v>49751.683508968599</v>
      </c>
      <c r="AF61" s="76">
        <v>49681.007077390197</v>
      </c>
      <c r="AG61" s="76">
        <v>49610.3306458117</v>
      </c>
      <c r="AH61" s="76">
        <v>49619.803571141398</v>
      </c>
      <c r="AI61" s="76">
        <v>49629.276496471102</v>
      </c>
      <c r="AJ61" s="76">
        <v>49638.7494218008</v>
      </c>
      <c r="AK61" s="76">
        <v>49648.222347130497</v>
      </c>
      <c r="AL61" s="76">
        <v>49657.695272460202</v>
      </c>
      <c r="AM61" s="76">
        <v>49669.9530566182</v>
      </c>
      <c r="AN61" s="76">
        <v>49682.210840776199</v>
      </c>
      <c r="AO61" s="76">
        <v>49694.468624934198</v>
      </c>
      <c r="AP61" s="76">
        <v>49706.726409092298</v>
      </c>
      <c r="AQ61" s="76">
        <v>49718.984193250297</v>
      </c>
      <c r="AR61" s="76">
        <v>49718.984193250297</v>
      </c>
      <c r="AS61" s="76">
        <v>49718.984193250297</v>
      </c>
      <c r="AT61" s="76">
        <v>49718.984193250297</v>
      </c>
      <c r="AU61" s="76">
        <v>49718.984193250297</v>
      </c>
      <c r="AV61" s="76">
        <v>49718.984193250297</v>
      </c>
      <c r="AW61" s="76">
        <v>49718.984193250297</v>
      </c>
      <c r="AX61" s="76">
        <v>49718.984193250297</v>
      </c>
      <c r="AY61" s="76">
        <v>49718.984193250297</v>
      </c>
      <c r="AZ61" s="76">
        <v>49718.984193250297</v>
      </c>
      <c r="BA61" s="76">
        <v>49718.984193250297</v>
      </c>
    </row>
    <row r="62" spans="1:53" ht="15.75">
      <c r="A62" s="78" t="s">
        <v>163</v>
      </c>
      <c r="B62" s="76" t="s">
        <v>189</v>
      </c>
      <c r="C62" s="76">
        <v>41840.8040271758</v>
      </c>
      <c r="D62" s="76">
        <v>40833.384495642596</v>
      </c>
      <c r="E62" s="76">
        <v>39825.964964109298</v>
      </c>
      <c r="F62" s="76">
        <v>38818.545432576102</v>
      </c>
      <c r="G62" s="76">
        <v>37811.125901042898</v>
      </c>
      <c r="H62" s="76">
        <v>36803.7063695096</v>
      </c>
      <c r="I62" s="76">
        <v>35882.5363325976</v>
      </c>
      <c r="J62" s="76">
        <v>34961.366295685497</v>
      </c>
      <c r="K62" s="76">
        <v>34040.196258773401</v>
      </c>
      <c r="L62" s="76">
        <v>33119.026221861401</v>
      </c>
      <c r="M62" s="76">
        <v>32197.856184949302</v>
      </c>
      <c r="N62" s="76">
        <v>31358.835275197402</v>
      </c>
      <c r="O62" s="76">
        <v>30519.814365445502</v>
      </c>
      <c r="P62" s="76">
        <v>29680.793455693602</v>
      </c>
      <c r="Q62" s="76">
        <v>28841.772545941702</v>
      </c>
      <c r="R62" s="76">
        <v>28002.751636189802</v>
      </c>
      <c r="S62" s="76">
        <v>28002.751636189802</v>
      </c>
      <c r="T62" s="76">
        <v>28002.751636189802</v>
      </c>
      <c r="U62" s="76">
        <v>28002.751636189802</v>
      </c>
      <c r="V62" s="76">
        <v>28002.751636189802</v>
      </c>
      <c r="W62" s="76">
        <v>28002.751636189802</v>
      </c>
      <c r="X62" s="76">
        <v>28002.751636189802</v>
      </c>
      <c r="Y62" s="76">
        <v>28002.751636189802</v>
      </c>
      <c r="Z62" s="76">
        <v>28002.751636189802</v>
      </c>
      <c r="AA62" s="76">
        <v>28002.751636189802</v>
      </c>
      <c r="AB62" s="76">
        <v>28002.751636189802</v>
      </c>
      <c r="AC62" s="76">
        <v>28002.751636189802</v>
      </c>
      <c r="AD62" s="76">
        <v>28002.751636189802</v>
      </c>
      <c r="AE62" s="76">
        <v>28002.751636189802</v>
      </c>
      <c r="AF62" s="76">
        <v>28002.751636189802</v>
      </c>
      <c r="AG62" s="76">
        <v>28002.751636189802</v>
      </c>
      <c r="AH62" s="76">
        <v>28002.751636189802</v>
      </c>
      <c r="AI62" s="76">
        <v>28002.751636189802</v>
      </c>
      <c r="AJ62" s="76">
        <v>28002.751636189802</v>
      </c>
      <c r="AK62" s="76">
        <v>28002.751636189802</v>
      </c>
      <c r="AL62" s="76">
        <v>28002.751636189802</v>
      </c>
      <c r="AM62" s="76">
        <v>28002.751636189802</v>
      </c>
      <c r="AN62" s="76">
        <v>28002.751636189802</v>
      </c>
      <c r="AO62" s="76">
        <v>28002.751636189802</v>
      </c>
      <c r="AP62" s="76">
        <v>28002.751636189802</v>
      </c>
      <c r="AQ62" s="76">
        <v>28002.751636189802</v>
      </c>
      <c r="AR62" s="76">
        <v>28002.751636189802</v>
      </c>
      <c r="AS62" s="76">
        <v>28002.751636189802</v>
      </c>
      <c r="AT62" s="76">
        <v>28002.751636189802</v>
      </c>
      <c r="AU62" s="76">
        <v>28002.751636189802</v>
      </c>
      <c r="AV62" s="76">
        <v>28002.751636189802</v>
      </c>
      <c r="AW62" s="76">
        <v>28002.751636189802</v>
      </c>
      <c r="AX62" s="76">
        <v>28002.751636189802</v>
      </c>
      <c r="AY62" s="76">
        <v>28002.751636189802</v>
      </c>
      <c r="AZ62" s="76">
        <v>28002.751636189802</v>
      </c>
      <c r="BA62" s="76">
        <v>28002.751636189802</v>
      </c>
    </row>
    <row r="63" spans="1:53" ht="15.75">
      <c r="A63" s="76" t="s">
        <v>177</v>
      </c>
      <c r="B63" s="76" t="s">
        <v>190</v>
      </c>
      <c r="C63" s="76">
        <v>50685.4623430063</v>
      </c>
      <c r="D63" s="76">
        <v>50583.8805170345</v>
      </c>
      <c r="E63" s="76">
        <v>50482.298691062599</v>
      </c>
      <c r="F63" s="76">
        <v>50380.716865090799</v>
      </c>
      <c r="G63" s="76">
        <v>50279.135039118897</v>
      </c>
      <c r="H63" s="76">
        <v>50177.553213147097</v>
      </c>
      <c r="I63" s="76">
        <v>50126.056446811002</v>
      </c>
      <c r="J63" s="76">
        <v>50074.559680475002</v>
      </c>
      <c r="K63" s="76">
        <v>50023.0629141389</v>
      </c>
      <c r="L63" s="76">
        <v>49971.566147802798</v>
      </c>
      <c r="M63" s="76">
        <v>49920.069381466797</v>
      </c>
      <c r="N63" s="76">
        <v>49971.697861011198</v>
      </c>
      <c r="O63" s="76">
        <v>50023.326340555599</v>
      </c>
      <c r="P63" s="76">
        <v>50074.954820099898</v>
      </c>
      <c r="Q63" s="76">
        <v>50126.583299644299</v>
      </c>
      <c r="R63" s="76">
        <v>50178.211779188699</v>
      </c>
      <c r="S63" s="76">
        <v>50243.600408327002</v>
      </c>
      <c r="T63" s="76">
        <v>50308.989037465297</v>
      </c>
      <c r="U63" s="76">
        <v>50374.377666603599</v>
      </c>
      <c r="V63" s="76">
        <v>50439.7662957418</v>
      </c>
      <c r="W63" s="76">
        <v>50505.154924880102</v>
      </c>
      <c r="X63" s="76">
        <v>50396.860215410503</v>
      </c>
      <c r="Y63" s="76">
        <v>50288.565505940802</v>
      </c>
      <c r="Z63" s="76">
        <v>50180.270796471203</v>
      </c>
      <c r="AA63" s="76">
        <v>50071.976087001603</v>
      </c>
      <c r="AB63" s="76">
        <v>49963.681377531902</v>
      </c>
      <c r="AC63" s="76">
        <v>49893.016098539498</v>
      </c>
      <c r="AD63" s="76">
        <v>49822.350819546999</v>
      </c>
      <c r="AE63" s="76">
        <v>49751.685540554499</v>
      </c>
      <c r="AF63" s="76">
        <v>49681.020261562102</v>
      </c>
      <c r="AG63" s="76">
        <v>49610.354982569603</v>
      </c>
      <c r="AH63" s="76">
        <v>49619.818479635702</v>
      </c>
      <c r="AI63" s="76">
        <v>49629.281976701699</v>
      </c>
      <c r="AJ63" s="76">
        <v>49638.745473767798</v>
      </c>
      <c r="AK63" s="76">
        <v>49648.208970833897</v>
      </c>
      <c r="AL63" s="76">
        <v>49657.672467899902</v>
      </c>
      <c r="AM63" s="76">
        <v>49669.930950411203</v>
      </c>
      <c r="AN63" s="76">
        <v>49682.189432922401</v>
      </c>
      <c r="AO63" s="76">
        <v>49694.447915433702</v>
      </c>
      <c r="AP63" s="76">
        <v>49706.706397945003</v>
      </c>
      <c r="AQ63" s="76">
        <v>49718.964880456202</v>
      </c>
      <c r="AR63" s="76">
        <v>49718.964880456202</v>
      </c>
      <c r="AS63" s="76">
        <v>49718.964880456202</v>
      </c>
      <c r="AT63" s="76">
        <v>49718.964880456202</v>
      </c>
      <c r="AU63" s="76">
        <v>49718.964880456202</v>
      </c>
      <c r="AV63" s="76">
        <v>49718.964880456202</v>
      </c>
      <c r="AW63" s="76">
        <v>49718.964880456202</v>
      </c>
      <c r="AX63" s="76">
        <v>49718.964880456202</v>
      </c>
      <c r="AY63" s="76">
        <v>49718.964880456202</v>
      </c>
      <c r="AZ63" s="76">
        <v>49718.964880456202</v>
      </c>
      <c r="BA63" s="76">
        <v>49718.964880456202</v>
      </c>
    </row>
    <row r="64" spans="1:53" ht="15.75">
      <c r="A64" s="76" t="s">
        <v>191</v>
      </c>
      <c r="B64" s="76" t="s">
        <v>192</v>
      </c>
      <c r="C64" s="76">
        <v>18168.339556343199</v>
      </c>
      <c r="D64" s="76">
        <v>18087.779843213699</v>
      </c>
      <c r="E64" s="76">
        <v>18007.220130084301</v>
      </c>
      <c r="F64" s="76">
        <v>17926.660416954801</v>
      </c>
      <c r="G64" s="76">
        <v>17846.100703825399</v>
      </c>
      <c r="H64" s="76">
        <v>17765.540990695899</v>
      </c>
      <c r="I64" s="76">
        <v>17855.717347129601</v>
      </c>
      <c r="J64" s="76">
        <v>17945.893703563201</v>
      </c>
      <c r="K64" s="76">
        <v>18036.0700599968</v>
      </c>
      <c r="L64" s="76">
        <v>18126.246416430498</v>
      </c>
      <c r="M64" s="76">
        <v>18216.422772864102</v>
      </c>
      <c r="N64" s="76">
        <v>18333.793370800799</v>
      </c>
      <c r="O64" s="76">
        <v>18451.163968737499</v>
      </c>
      <c r="P64" s="76">
        <v>18568.534566674101</v>
      </c>
      <c r="Q64" s="76">
        <v>18685.905164610798</v>
      </c>
      <c r="R64" s="76">
        <v>18803.275762547499</v>
      </c>
      <c r="S64" s="76">
        <v>18989.4734114286</v>
      </c>
      <c r="T64" s="76">
        <v>19175.671060309702</v>
      </c>
      <c r="U64" s="76">
        <v>19361.8687091908</v>
      </c>
      <c r="V64" s="76">
        <v>19548.066358071999</v>
      </c>
      <c r="W64" s="76">
        <v>19734.264006953101</v>
      </c>
      <c r="X64" s="76">
        <v>19821.558269623201</v>
      </c>
      <c r="Y64" s="76">
        <v>19908.852532293298</v>
      </c>
      <c r="Z64" s="76">
        <v>19996.146794963501</v>
      </c>
      <c r="AA64" s="76">
        <v>20083.441057633601</v>
      </c>
      <c r="AB64" s="76">
        <v>20170.735320303698</v>
      </c>
      <c r="AC64" s="76">
        <v>20216.8878974441</v>
      </c>
      <c r="AD64" s="76">
        <v>20263.040474584599</v>
      </c>
      <c r="AE64" s="76">
        <v>20309.193051725</v>
      </c>
      <c r="AF64" s="76">
        <v>20355.345628865402</v>
      </c>
      <c r="AG64" s="76">
        <v>20401.498206005799</v>
      </c>
      <c r="AH64" s="76">
        <v>20465.361529331502</v>
      </c>
      <c r="AI64" s="76">
        <v>20529.2248526572</v>
      </c>
      <c r="AJ64" s="76">
        <v>20593.088175982801</v>
      </c>
      <c r="AK64" s="76">
        <v>20656.951499308499</v>
      </c>
      <c r="AL64" s="76">
        <v>20720.814822634198</v>
      </c>
      <c r="AM64" s="76">
        <v>20782.652656748</v>
      </c>
      <c r="AN64" s="76">
        <v>20844.490490861801</v>
      </c>
      <c r="AO64" s="76">
        <v>20906.328324975599</v>
      </c>
      <c r="AP64" s="76">
        <v>20968.166159089302</v>
      </c>
      <c r="AQ64" s="76">
        <v>21030.0039932031</v>
      </c>
      <c r="AR64" s="76">
        <v>21030.0039932031</v>
      </c>
      <c r="AS64" s="76">
        <v>21030.0039932031</v>
      </c>
      <c r="AT64" s="76">
        <v>21030.0039932031</v>
      </c>
      <c r="AU64" s="76">
        <v>21030.0039932031</v>
      </c>
      <c r="AV64" s="76">
        <v>21030.0039932031</v>
      </c>
      <c r="AW64" s="76">
        <v>21030.0039932031</v>
      </c>
      <c r="AX64" s="76">
        <v>21030.0039932031</v>
      </c>
      <c r="AY64" s="76">
        <v>21030.0039932031</v>
      </c>
      <c r="AZ64" s="76">
        <v>21030.0039932031</v>
      </c>
      <c r="BA64" s="76">
        <v>21030.0039932031</v>
      </c>
    </row>
    <row r="65" spans="1:53" ht="15.75">
      <c r="A65" s="76" t="s">
        <v>191</v>
      </c>
      <c r="B65" s="76" t="s">
        <v>193</v>
      </c>
      <c r="C65" s="76">
        <v>20917.827201155302</v>
      </c>
      <c r="D65" s="76">
        <v>20769.874522766298</v>
      </c>
      <c r="E65" s="76">
        <v>20621.921844377201</v>
      </c>
      <c r="F65" s="76">
        <v>20473.969165988099</v>
      </c>
      <c r="G65" s="76">
        <v>20326.016487599099</v>
      </c>
      <c r="H65" s="76">
        <v>20178.063809210002</v>
      </c>
      <c r="I65" s="76">
        <v>20110.102201513899</v>
      </c>
      <c r="J65" s="76">
        <v>20042.1405938178</v>
      </c>
      <c r="K65" s="76">
        <v>19974.178986121799</v>
      </c>
      <c r="L65" s="76">
        <v>19906.217378425699</v>
      </c>
      <c r="M65" s="76">
        <v>19838.2557707296</v>
      </c>
      <c r="N65" s="76">
        <v>19789.940504021601</v>
      </c>
      <c r="O65" s="76">
        <v>19741.625237313499</v>
      </c>
      <c r="P65" s="76">
        <v>19693.3099706055</v>
      </c>
      <c r="Q65" s="76">
        <v>19644.994703897399</v>
      </c>
      <c r="R65" s="76">
        <v>19596.679437189301</v>
      </c>
      <c r="S65" s="76">
        <v>19630.934993729701</v>
      </c>
      <c r="T65" s="76">
        <v>19665.190550270101</v>
      </c>
      <c r="U65" s="76">
        <v>19699.446106810399</v>
      </c>
      <c r="V65" s="76">
        <v>19733.701663350799</v>
      </c>
      <c r="W65" s="76">
        <v>19767.957219891101</v>
      </c>
      <c r="X65" s="76">
        <v>19842.261503890299</v>
      </c>
      <c r="Y65" s="76">
        <v>19916.5657878895</v>
      </c>
      <c r="Z65" s="76">
        <v>19990.870071888599</v>
      </c>
      <c r="AA65" s="76">
        <v>20065.174355887801</v>
      </c>
      <c r="AB65" s="76">
        <v>20139.478639886998</v>
      </c>
      <c r="AC65" s="76">
        <v>20205.411162817101</v>
      </c>
      <c r="AD65" s="76">
        <v>20271.343685747201</v>
      </c>
      <c r="AE65" s="76">
        <v>20337.2762086773</v>
      </c>
      <c r="AF65" s="76">
        <v>20403.208731607399</v>
      </c>
      <c r="AG65" s="76">
        <v>20469.141254537499</v>
      </c>
      <c r="AH65" s="76">
        <v>20531.942875398301</v>
      </c>
      <c r="AI65" s="76">
        <v>20594.744496259002</v>
      </c>
      <c r="AJ65" s="76">
        <v>20657.546117119698</v>
      </c>
      <c r="AK65" s="76">
        <v>20720.347737980501</v>
      </c>
      <c r="AL65" s="76">
        <v>20783.149358841201</v>
      </c>
      <c r="AM65" s="76">
        <v>20840.506481954799</v>
      </c>
      <c r="AN65" s="76">
        <v>20897.863605068502</v>
      </c>
      <c r="AO65" s="76">
        <v>20955.220728182099</v>
      </c>
      <c r="AP65" s="76">
        <v>21012.577851295799</v>
      </c>
      <c r="AQ65" s="76">
        <v>21069.9349744094</v>
      </c>
      <c r="AR65" s="76">
        <v>21069.9349744094</v>
      </c>
      <c r="AS65" s="76">
        <v>21069.9349744094</v>
      </c>
      <c r="AT65" s="76">
        <v>21069.9349744094</v>
      </c>
      <c r="AU65" s="76">
        <v>21069.9349744094</v>
      </c>
      <c r="AV65" s="76">
        <v>21069.9349744094</v>
      </c>
      <c r="AW65" s="76">
        <v>21069.9349744094</v>
      </c>
      <c r="AX65" s="76">
        <v>21069.9349744094</v>
      </c>
      <c r="AY65" s="76">
        <v>21069.9349744094</v>
      </c>
      <c r="AZ65" s="76">
        <v>21069.9349744094</v>
      </c>
      <c r="BA65" s="76">
        <v>21069.9349744094</v>
      </c>
    </row>
    <row r="66" spans="1:53" ht="15.75">
      <c r="A66" s="76" t="s">
        <v>191</v>
      </c>
      <c r="B66" s="76" t="s">
        <v>194</v>
      </c>
      <c r="C66" s="76">
        <v>19711.017562032201</v>
      </c>
      <c r="D66" s="76">
        <v>19686.4424373316</v>
      </c>
      <c r="E66" s="76">
        <v>19661.867312630999</v>
      </c>
      <c r="F66" s="76">
        <v>19637.292187930401</v>
      </c>
      <c r="G66" s="76">
        <v>19612.7170632298</v>
      </c>
      <c r="H66" s="76">
        <v>19588.141938529199</v>
      </c>
      <c r="I66" s="76">
        <v>19605.874300359101</v>
      </c>
      <c r="J66" s="76">
        <v>19623.6066621891</v>
      </c>
      <c r="K66" s="76">
        <v>19641.339024018998</v>
      </c>
      <c r="L66" s="76">
        <v>19659.071385849002</v>
      </c>
      <c r="M66" s="76">
        <v>19676.8037476789</v>
      </c>
      <c r="N66" s="76">
        <v>19666.568665689101</v>
      </c>
      <c r="O66" s="76">
        <v>19656.333583699299</v>
      </c>
      <c r="P66" s="76">
        <v>19646.098501709501</v>
      </c>
      <c r="Q66" s="76">
        <v>19635.863419719699</v>
      </c>
      <c r="R66" s="76">
        <v>19625.628337729901</v>
      </c>
      <c r="S66" s="76">
        <v>19664.817091797599</v>
      </c>
      <c r="T66" s="76">
        <v>19704.0058458653</v>
      </c>
      <c r="U66" s="76">
        <v>19743.194599932998</v>
      </c>
      <c r="V66" s="76">
        <v>19782.3833540007</v>
      </c>
      <c r="W66" s="76">
        <v>19821.572108068402</v>
      </c>
      <c r="X66" s="76">
        <v>19877.844543290899</v>
      </c>
      <c r="Y66" s="76">
        <v>19934.116978513401</v>
      </c>
      <c r="Z66" s="76">
        <v>19990.389413735898</v>
      </c>
      <c r="AA66" s="76">
        <v>20046.6618489584</v>
      </c>
      <c r="AB66" s="76">
        <v>20102.934284180901</v>
      </c>
      <c r="AC66" s="76">
        <v>20177.648909189898</v>
      </c>
      <c r="AD66" s="76">
        <v>20252.363534198899</v>
      </c>
      <c r="AE66" s="76">
        <v>20327.0781592079</v>
      </c>
      <c r="AF66" s="76">
        <v>20401.792784216999</v>
      </c>
      <c r="AG66" s="76">
        <v>20476.507409226</v>
      </c>
      <c r="AH66" s="76">
        <v>20541.9653622769</v>
      </c>
      <c r="AI66" s="76">
        <v>20607.4233153278</v>
      </c>
      <c r="AJ66" s="76">
        <v>20672.8812683787</v>
      </c>
      <c r="AK66" s="76">
        <v>20738.3392214296</v>
      </c>
      <c r="AL66" s="76">
        <v>20803.7971744805</v>
      </c>
      <c r="AM66" s="76">
        <v>20861.918369165</v>
      </c>
      <c r="AN66" s="76">
        <v>20920.039563849499</v>
      </c>
      <c r="AO66" s="76">
        <v>20978.160758533999</v>
      </c>
      <c r="AP66" s="76">
        <v>21036.281953218499</v>
      </c>
      <c r="AQ66" s="76">
        <v>21094.403147903002</v>
      </c>
      <c r="AR66" s="76">
        <v>21094.403147903002</v>
      </c>
      <c r="AS66" s="76">
        <v>21094.403147903002</v>
      </c>
      <c r="AT66" s="76">
        <v>21094.403147903002</v>
      </c>
      <c r="AU66" s="76">
        <v>21094.403147903002</v>
      </c>
      <c r="AV66" s="76">
        <v>21094.403147903002</v>
      </c>
      <c r="AW66" s="76">
        <v>21094.403147903002</v>
      </c>
      <c r="AX66" s="76">
        <v>21094.403147903002</v>
      </c>
      <c r="AY66" s="76">
        <v>21094.403147903002</v>
      </c>
      <c r="AZ66" s="76">
        <v>21094.403147903002</v>
      </c>
      <c r="BA66" s="76">
        <v>21094.403147903002</v>
      </c>
    </row>
    <row r="67" spans="1:53" ht="15.75">
      <c r="A67" s="76" t="s">
        <v>191</v>
      </c>
      <c r="B67" s="76" t="s">
        <v>195</v>
      </c>
      <c r="C67" s="76">
        <v>4020.7458490282002</v>
      </c>
      <c r="D67" s="76">
        <v>4009.3755094142798</v>
      </c>
      <c r="E67" s="76">
        <v>3998.0051698003599</v>
      </c>
      <c r="F67" s="76">
        <v>3986.63483018643</v>
      </c>
      <c r="G67" s="76">
        <v>3975.2644905725101</v>
      </c>
      <c r="H67" s="76">
        <v>3963.8941509585902</v>
      </c>
      <c r="I67" s="76">
        <v>3956.4469152118099</v>
      </c>
      <c r="J67" s="76">
        <v>3948.9996794650301</v>
      </c>
      <c r="K67" s="76">
        <v>3941.5524437182598</v>
      </c>
      <c r="L67" s="76">
        <v>3934.10520797148</v>
      </c>
      <c r="M67" s="76">
        <v>3926.6579722247002</v>
      </c>
      <c r="N67" s="76">
        <v>3906.55227623563</v>
      </c>
      <c r="O67" s="76">
        <v>3886.4465802465602</v>
      </c>
      <c r="P67" s="76">
        <v>3866.34088425748</v>
      </c>
      <c r="Q67" s="76">
        <v>3846.2351882684102</v>
      </c>
      <c r="R67" s="76">
        <v>3826.12949227934</v>
      </c>
      <c r="S67" s="76">
        <v>3806.4515496110998</v>
      </c>
      <c r="T67" s="76">
        <v>3786.7736069428702</v>
      </c>
      <c r="U67" s="76">
        <v>3767.0956642746401</v>
      </c>
      <c r="V67" s="76">
        <v>3747.4177216064099</v>
      </c>
      <c r="W67" s="76">
        <v>3727.7397789381698</v>
      </c>
      <c r="X67" s="76">
        <v>3710.80597965675</v>
      </c>
      <c r="Y67" s="76">
        <v>3693.8721803753201</v>
      </c>
      <c r="Z67" s="76">
        <v>3676.9383810938998</v>
      </c>
      <c r="AA67" s="76">
        <v>3660.00458181247</v>
      </c>
      <c r="AB67" s="76">
        <v>3643.0707825310501</v>
      </c>
      <c r="AC67" s="76">
        <v>3634.6787038867601</v>
      </c>
      <c r="AD67" s="76">
        <v>3626.2866252424601</v>
      </c>
      <c r="AE67" s="76">
        <v>3617.8945465981701</v>
      </c>
      <c r="AF67" s="76">
        <v>3609.5024679538801</v>
      </c>
      <c r="AG67" s="76">
        <v>3601.1103893095801</v>
      </c>
      <c r="AH67" s="76">
        <v>3596.2500154659301</v>
      </c>
      <c r="AI67" s="76">
        <v>3591.3896416222801</v>
      </c>
      <c r="AJ67" s="76">
        <v>3586.5292677786301</v>
      </c>
      <c r="AK67" s="76">
        <v>3581.6688939349801</v>
      </c>
      <c r="AL67" s="76">
        <v>3576.8085200913301</v>
      </c>
      <c r="AM67" s="76">
        <v>3571.9814206059</v>
      </c>
      <c r="AN67" s="76">
        <v>3567.1543211204698</v>
      </c>
      <c r="AO67" s="76">
        <v>3562.3272216350401</v>
      </c>
      <c r="AP67" s="76">
        <v>3557.50012214961</v>
      </c>
      <c r="AQ67" s="76">
        <v>3552.6730226641798</v>
      </c>
      <c r="AR67" s="76">
        <v>3552.6730226641798</v>
      </c>
      <c r="AS67" s="76">
        <v>3552.6730226641798</v>
      </c>
      <c r="AT67" s="76">
        <v>3552.6730226641798</v>
      </c>
      <c r="AU67" s="76">
        <v>3552.6730226641798</v>
      </c>
      <c r="AV67" s="76">
        <v>3552.6730226641798</v>
      </c>
      <c r="AW67" s="76">
        <v>3552.6730226641798</v>
      </c>
      <c r="AX67" s="76">
        <v>3552.6730226641798</v>
      </c>
      <c r="AY67" s="76">
        <v>3552.6730226641798</v>
      </c>
      <c r="AZ67" s="76">
        <v>3552.6730226641798</v>
      </c>
      <c r="BA67" s="76">
        <v>3552.6730226641798</v>
      </c>
    </row>
    <row r="68" spans="1:53" ht="15.75">
      <c r="A68" s="76" t="s">
        <v>191</v>
      </c>
      <c r="B68" s="76" t="s">
        <v>196</v>
      </c>
      <c r="C68" s="76">
        <v>17973.6624094611</v>
      </c>
      <c r="D68" s="76">
        <v>17954.289625518501</v>
      </c>
      <c r="E68" s="76">
        <v>17934.916841576</v>
      </c>
      <c r="F68" s="76">
        <v>17915.544057633499</v>
      </c>
      <c r="G68" s="76">
        <v>17896.171273690899</v>
      </c>
      <c r="H68" s="76">
        <v>17876.798489748398</v>
      </c>
      <c r="I68" s="76">
        <v>17935.451709955902</v>
      </c>
      <c r="J68" s="76">
        <v>17994.104930163299</v>
      </c>
      <c r="K68" s="76">
        <v>18052.758150370799</v>
      </c>
      <c r="L68" s="76">
        <v>18111.4113705782</v>
      </c>
      <c r="M68" s="76">
        <v>18170.0645907857</v>
      </c>
      <c r="N68" s="76">
        <v>18231.495605779499</v>
      </c>
      <c r="O68" s="76">
        <v>18292.926620773302</v>
      </c>
      <c r="P68" s="76">
        <v>18354.357635767199</v>
      </c>
      <c r="Q68" s="76">
        <v>18415.788650760998</v>
      </c>
      <c r="R68" s="76">
        <v>18477.219665754801</v>
      </c>
      <c r="S68" s="76">
        <v>18557.101117931001</v>
      </c>
      <c r="T68" s="76">
        <v>18636.9825701072</v>
      </c>
      <c r="U68" s="76">
        <v>18716.864022283498</v>
      </c>
      <c r="V68" s="76">
        <v>18796.745474459702</v>
      </c>
      <c r="W68" s="76">
        <v>18876.626926635901</v>
      </c>
      <c r="X68" s="76">
        <v>18925.201737731099</v>
      </c>
      <c r="Y68" s="76">
        <v>18973.776548826299</v>
      </c>
      <c r="Z68" s="76">
        <v>19022.351359921598</v>
      </c>
      <c r="AA68" s="76">
        <v>19070.926171016799</v>
      </c>
      <c r="AB68" s="76">
        <v>19119.500982112098</v>
      </c>
      <c r="AC68" s="76">
        <v>19157.192925413699</v>
      </c>
      <c r="AD68" s="76">
        <v>19194.884868715399</v>
      </c>
      <c r="AE68" s="76">
        <v>19232.576812017</v>
      </c>
      <c r="AF68" s="76">
        <v>19270.268755318699</v>
      </c>
      <c r="AG68" s="76">
        <v>19307.9606986203</v>
      </c>
      <c r="AH68" s="76">
        <v>19346.846818670299</v>
      </c>
      <c r="AI68" s="76">
        <v>19385.732938720299</v>
      </c>
      <c r="AJ68" s="76">
        <v>19424.619058770299</v>
      </c>
      <c r="AK68" s="76">
        <v>19463.505178820302</v>
      </c>
      <c r="AL68" s="76">
        <v>19502.391298870301</v>
      </c>
      <c r="AM68" s="76">
        <v>19541.963390087101</v>
      </c>
      <c r="AN68" s="76">
        <v>19581.535481303999</v>
      </c>
      <c r="AO68" s="76">
        <v>19621.107572520901</v>
      </c>
      <c r="AP68" s="76">
        <v>19660.679663737701</v>
      </c>
      <c r="AQ68" s="76">
        <v>19700.251754954599</v>
      </c>
      <c r="AR68" s="76">
        <v>19700.251754954599</v>
      </c>
      <c r="AS68" s="76">
        <v>19700.251754954599</v>
      </c>
      <c r="AT68" s="76">
        <v>19700.251754954599</v>
      </c>
      <c r="AU68" s="76">
        <v>19700.251754954599</v>
      </c>
      <c r="AV68" s="76">
        <v>19700.251754954599</v>
      </c>
      <c r="AW68" s="76">
        <v>19700.251754954599</v>
      </c>
      <c r="AX68" s="76">
        <v>19700.251754954599</v>
      </c>
      <c r="AY68" s="76">
        <v>19700.251754954599</v>
      </c>
      <c r="AZ68" s="76">
        <v>19700.251754954599</v>
      </c>
      <c r="BA68" s="76">
        <v>19700.251754954599</v>
      </c>
    </row>
    <row r="69" spans="1:53" ht="15.75">
      <c r="A69" s="76" t="s">
        <v>191</v>
      </c>
      <c r="B69" s="76" t="s">
        <v>197</v>
      </c>
      <c r="C69" s="76">
        <v>17469.851457130699</v>
      </c>
      <c r="D69" s="76">
        <v>17675.241642131401</v>
      </c>
      <c r="E69" s="76">
        <v>17880.6318271321</v>
      </c>
      <c r="F69" s="76">
        <v>18086.022012132798</v>
      </c>
      <c r="G69" s="76">
        <v>18291.412197133501</v>
      </c>
      <c r="H69" s="76">
        <v>18496.802382134199</v>
      </c>
      <c r="I69" s="76">
        <v>18718.869345213701</v>
      </c>
      <c r="J69" s="76">
        <v>18940.936308293301</v>
      </c>
      <c r="K69" s="76">
        <v>19163.003271372902</v>
      </c>
      <c r="L69" s="76">
        <v>19385.070234452502</v>
      </c>
      <c r="M69" s="76">
        <v>19607.137197532102</v>
      </c>
      <c r="N69" s="76">
        <v>19703.901797418999</v>
      </c>
      <c r="O69" s="76">
        <v>19800.666397305999</v>
      </c>
      <c r="P69" s="76">
        <v>19897.4309971929</v>
      </c>
      <c r="Q69" s="76">
        <v>19994.195597079801</v>
      </c>
      <c r="R69" s="76">
        <v>20090.9601969668</v>
      </c>
      <c r="S69" s="76">
        <v>20130.9816244496</v>
      </c>
      <c r="T69" s="76">
        <v>20171.003051932501</v>
      </c>
      <c r="U69" s="76">
        <v>20211.024479415399</v>
      </c>
      <c r="V69" s="76">
        <v>20251.0459068983</v>
      </c>
      <c r="W69" s="76">
        <v>20291.067334381201</v>
      </c>
      <c r="X69" s="76">
        <v>20285.970104992699</v>
      </c>
      <c r="Y69" s="76">
        <v>20280.8728756042</v>
      </c>
      <c r="Z69" s="76">
        <v>20275.775646215701</v>
      </c>
      <c r="AA69" s="76">
        <v>20270.678416827199</v>
      </c>
      <c r="AB69" s="76">
        <v>20265.5811874387</v>
      </c>
      <c r="AC69" s="76">
        <v>20297.143188716102</v>
      </c>
      <c r="AD69" s="76">
        <v>20328.705189993601</v>
      </c>
      <c r="AE69" s="76">
        <v>20360.267191270999</v>
      </c>
      <c r="AF69" s="76">
        <v>20391.829192548401</v>
      </c>
      <c r="AG69" s="76">
        <v>20423.391193825901</v>
      </c>
      <c r="AH69" s="76">
        <v>20485.4421145704</v>
      </c>
      <c r="AI69" s="76">
        <v>20547.493035314899</v>
      </c>
      <c r="AJ69" s="76">
        <v>20609.543956059399</v>
      </c>
      <c r="AK69" s="76">
        <v>20671.594876804</v>
      </c>
      <c r="AL69" s="76">
        <v>20733.645797548499</v>
      </c>
      <c r="AM69" s="76">
        <v>20794.9371745811</v>
      </c>
      <c r="AN69" s="76">
        <v>20856.228551613702</v>
      </c>
      <c r="AO69" s="76">
        <v>20917.519928646299</v>
      </c>
      <c r="AP69" s="76">
        <v>20978.811305678799</v>
      </c>
      <c r="AQ69" s="76">
        <v>21040.1026827114</v>
      </c>
      <c r="AR69" s="76">
        <v>21040.1026827114</v>
      </c>
      <c r="AS69" s="76">
        <v>21040.1026827114</v>
      </c>
      <c r="AT69" s="76">
        <v>21040.1026827114</v>
      </c>
      <c r="AU69" s="76">
        <v>21040.1026827114</v>
      </c>
      <c r="AV69" s="76">
        <v>21040.1026827114</v>
      </c>
      <c r="AW69" s="76">
        <v>21040.1026827114</v>
      </c>
      <c r="AX69" s="76">
        <v>21040.1026827114</v>
      </c>
      <c r="AY69" s="76">
        <v>21040.1026827114</v>
      </c>
      <c r="AZ69" s="76">
        <v>21040.1026827114</v>
      </c>
      <c r="BA69" s="76">
        <v>21040.1026827114</v>
      </c>
    </row>
    <row r="70" spans="1:53" ht="15.75">
      <c r="A70" s="76" t="s">
        <v>191</v>
      </c>
      <c r="B70" s="76" t="s">
        <v>198</v>
      </c>
      <c r="C70" s="76">
        <v>8881.8420615397299</v>
      </c>
      <c r="D70" s="76">
        <v>7546.38357193908</v>
      </c>
      <c r="E70" s="76">
        <v>6210.92508233843</v>
      </c>
      <c r="F70" s="76">
        <v>4875.46659273778</v>
      </c>
      <c r="G70" s="76">
        <v>3540.0081031371301</v>
      </c>
      <c r="H70" s="76">
        <v>2204.5496135364801</v>
      </c>
      <c r="I70" s="76">
        <v>2204.5496135364801</v>
      </c>
      <c r="J70" s="76">
        <v>2204.5496135364801</v>
      </c>
      <c r="K70" s="76">
        <v>2204.5496135364801</v>
      </c>
      <c r="L70" s="76">
        <v>2204.5496135364801</v>
      </c>
      <c r="M70" s="76">
        <v>2204.5496135364801</v>
      </c>
      <c r="N70" s="76">
        <v>2204.5496135364801</v>
      </c>
      <c r="O70" s="76">
        <v>2204.5496135364801</v>
      </c>
      <c r="P70" s="76">
        <v>2204.5496135364801</v>
      </c>
      <c r="Q70" s="76">
        <v>2204.5496135364801</v>
      </c>
      <c r="R70" s="76">
        <v>2204.5496135364801</v>
      </c>
      <c r="S70" s="76">
        <v>2204.5496135364801</v>
      </c>
      <c r="T70" s="76">
        <v>2204.5496135364801</v>
      </c>
      <c r="U70" s="76">
        <v>2204.5496135364801</v>
      </c>
      <c r="V70" s="76">
        <v>2204.5496135364801</v>
      </c>
      <c r="W70" s="76">
        <v>2204.5496135364801</v>
      </c>
      <c r="X70" s="76">
        <v>2204.5496135364801</v>
      </c>
      <c r="Y70" s="76">
        <v>2204.5496135364801</v>
      </c>
      <c r="Z70" s="76">
        <v>2204.5496135364801</v>
      </c>
      <c r="AA70" s="76">
        <v>2204.5496135364801</v>
      </c>
      <c r="AB70" s="76">
        <v>2204.5496135364801</v>
      </c>
      <c r="AC70" s="76">
        <v>2204.5496135364801</v>
      </c>
      <c r="AD70" s="76">
        <v>2204.5496135364801</v>
      </c>
      <c r="AE70" s="76">
        <v>2204.5496135364801</v>
      </c>
      <c r="AF70" s="76">
        <v>2204.5496135364801</v>
      </c>
      <c r="AG70" s="76">
        <v>2204.5496135364801</v>
      </c>
      <c r="AH70" s="76">
        <v>2204.5496135364801</v>
      </c>
      <c r="AI70" s="76">
        <v>2204.5496135364801</v>
      </c>
      <c r="AJ70" s="76">
        <v>2204.5496135364801</v>
      </c>
      <c r="AK70" s="76">
        <v>2204.5496135364801</v>
      </c>
      <c r="AL70" s="76">
        <v>2204.5496135364801</v>
      </c>
      <c r="AM70" s="76">
        <v>2204.5496135364801</v>
      </c>
      <c r="AN70" s="76">
        <v>2204.5496135364801</v>
      </c>
      <c r="AO70" s="76">
        <v>2204.5496135364801</v>
      </c>
      <c r="AP70" s="76">
        <v>2204.5496135364801</v>
      </c>
      <c r="AQ70" s="76">
        <v>2204.5496135364801</v>
      </c>
      <c r="AR70" s="76">
        <v>2204.5496135364801</v>
      </c>
      <c r="AS70" s="76">
        <v>2204.5496135364801</v>
      </c>
      <c r="AT70" s="76">
        <v>2204.5496135364801</v>
      </c>
      <c r="AU70" s="76">
        <v>2204.5496135364801</v>
      </c>
      <c r="AV70" s="76">
        <v>2204.5496135364801</v>
      </c>
      <c r="AW70" s="76">
        <v>2204.5496135364801</v>
      </c>
      <c r="AX70" s="76">
        <v>2204.5496135364801</v>
      </c>
      <c r="AY70" s="76">
        <v>2204.5496135364801</v>
      </c>
      <c r="AZ70" s="76">
        <v>2204.5496135364801</v>
      </c>
      <c r="BA70" s="76">
        <v>2204.5496135364801</v>
      </c>
    </row>
    <row r="71" spans="1:53" ht="15.75">
      <c r="A71" s="76" t="s">
        <v>191</v>
      </c>
      <c r="B71" s="76" t="s">
        <v>199</v>
      </c>
      <c r="C71" s="76">
        <v>9806.50378464393</v>
      </c>
      <c r="D71" s="76">
        <v>9655.4741716267999</v>
      </c>
      <c r="E71" s="76">
        <v>9504.4445586096808</v>
      </c>
      <c r="F71" s="76">
        <v>9353.4149455925508</v>
      </c>
      <c r="G71" s="76">
        <v>9202.3853325754208</v>
      </c>
      <c r="H71" s="76">
        <v>9051.3557195582907</v>
      </c>
      <c r="I71" s="76">
        <v>9051.3557195582907</v>
      </c>
      <c r="J71" s="76">
        <v>9051.3557195582907</v>
      </c>
      <c r="K71" s="76">
        <v>9051.3557195582907</v>
      </c>
      <c r="L71" s="76">
        <v>9051.3557195582907</v>
      </c>
      <c r="M71" s="76">
        <v>9051.3557195582907</v>
      </c>
      <c r="N71" s="76">
        <v>9051.3557195582907</v>
      </c>
      <c r="O71" s="76">
        <v>9051.3557195582907</v>
      </c>
      <c r="P71" s="76">
        <v>9051.3557195582907</v>
      </c>
      <c r="Q71" s="76">
        <v>9051.3557195582907</v>
      </c>
      <c r="R71" s="76">
        <v>9051.3557195582907</v>
      </c>
      <c r="S71" s="76">
        <v>9051.3557195582907</v>
      </c>
      <c r="T71" s="76">
        <v>9051.3557195582907</v>
      </c>
      <c r="U71" s="76">
        <v>9051.3557195582907</v>
      </c>
      <c r="V71" s="76">
        <v>9051.3557195582907</v>
      </c>
      <c r="W71" s="76">
        <v>9051.3557195582907</v>
      </c>
      <c r="X71" s="76">
        <v>9051.3557195582907</v>
      </c>
      <c r="Y71" s="76">
        <v>9051.3557195582907</v>
      </c>
      <c r="Z71" s="76">
        <v>9051.3557195582907</v>
      </c>
      <c r="AA71" s="76">
        <v>9051.3557195582907</v>
      </c>
      <c r="AB71" s="76">
        <v>9051.3557195582907</v>
      </c>
      <c r="AC71" s="76">
        <v>9051.3557195582907</v>
      </c>
      <c r="AD71" s="76">
        <v>9051.3557195582907</v>
      </c>
      <c r="AE71" s="76">
        <v>9051.3557195582907</v>
      </c>
      <c r="AF71" s="76">
        <v>9051.3557195582907</v>
      </c>
      <c r="AG71" s="76">
        <v>9051.3557195582907</v>
      </c>
      <c r="AH71" s="76">
        <v>9051.3557195582907</v>
      </c>
      <c r="AI71" s="76">
        <v>9051.3557195582907</v>
      </c>
      <c r="AJ71" s="76">
        <v>9051.3557195582907</v>
      </c>
      <c r="AK71" s="76">
        <v>9051.3557195582907</v>
      </c>
      <c r="AL71" s="76">
        <v>9051.3557195582907</v>
      </c>
      <c r="AM71" s="76">
        <v>9051.3557195582907</v>
      </c>
      <c r="AN71" s="76">
        <v>9051.3557195582907</v>
      </c>
      <c r="AO71" s="76">
        <v>9051.3557195582907</v>
      </c>
      <c r="AP71" s="76">
        <v>9051.3557195582907</v>
      </c>
      <c r="AQ71" s="76">
        <v>9051.3557195582907</v>
      </c>
      <c r="AR71" s="76">
        <v>9051.3557195582907</v>
      </c>
      <c r="AS71" s="76">
        <v>9051.3557195582907</v>
      </c>
      <c r="AT71" s="76">
        <v>9051.3557195582907</v>
      </c>
      <c r="AU71" s="76">
        <v>9051.3557195582907</v>
      </c>
      <c r="AV71" s="76">
        <v>9051.3557195582907</v>
      </c>
      <c r="AW71" s="76">
        <v>9051.3557195582907</v>
      </c>
      <c r="AX71" s="76">
        <v>9051.3557195582907</v>
      </c>
      <c r="AY71" s="76">
        <v>9051.3557195582907</v>
      </c>
      <c r="AZ71" s="76">
        <v>9051.3557195582907</v>
      </c>
      <c r="BA71" s="76">
        <v>9051.3557195582907</v>
      </c>
    </row>
    <row r="72" spans="1:53" ht="15.75">
      <c r="A72" s="76" t="s">
        <v>191</v>
      </c>
      <c r="B72" s="76" t="s">
        <v>200</v>
      </c>
      <c r="C72" s="76">
        <v>29590.554377012799</v>
      </c>
      <c r="D72" s="76">
        <v>29843.707659375901</v>
      </c>
      <c r="E72" s="76">
        <v>30096.860941739</v>
      </c>
      <c r="F72" s="76">
        <v>30350.014224102099</v>
      </c>
      <c r="G72" s="76">
        <v>30603.167506465201</v>
      </c>
      <c r="H72" s="76">
        <v>30856.320788828201</v>
      </c>
      <c r="I72" s="76">
        <v>31215.788652550498</v>
      </c>
      <c r="J72" s="76">
        <v>31575.256516272701</v>
      </c>
      <c r="K72" s="76">
        <v>31934.724379995001</v>
      </c>
      <c r="L72" s="76">
        <v>32294.1922437172</v>
      </c>
      <c r="M72" s="76">
        <v>32653.660107439398</v>
      </c>
      <c r="N72" s="76">
        <v>32855.763706417398</v>
      </c>
      <c r="O72" s="76">
        <v>33057.867305395303</v>
      </c>
      <c r="P72" s="76">
        <v>33259.970904373302</v>
      </c>
      <c r="Q72" s="76">
        <v>33462.074503351199</v>
      </c>
      <c r="R72" s="76">
        <v>33664.178102329097</v>
      </c>
      <c r="S72" s="76">
        <v>33952.175930452599</v>
      </c>
      <c r="T72" s="76">
        <v>34240.1737585761</v>
      </c>
      <c r="U72" s="76">
        <v>34528.1715866995</v>
      </c>
      <c r="V72" s="76">
        <v>34816.169414823002</v>
      </c>
      <c r="W72" s="76">
        <v>35104.167242946503</v>
      </c>
      <c r="X72" s="76">
        <v>35244.166328981097</v>
      </c>
      <c r="Y72" s="76">
        <v>35384.165415015697</v>
      </c>
      <c r="Z72" s="76">
        <v>35524.164501050298</v>
      </c>
      <c r="AA72" s="76">
        <v>35664.163587084899</v>
      </c>
      <c r="AB72" s="76">
        <v>35804.162673119499</v>
      </c>
      <c r="AC72" s="76">
        <v>35876.120541892902</v>
      </c>
      <c r="AD72" s="76">
        <v>35948.078410666298</v>
      </c>
      <c r="AE72" s="76">
        <v>36020.036279439599</v>
      </c>
      <c r="AF72" s="76">
        <v>36091.994148213002</v>
      </c>
      <c r="AG72" s="76">
        <v>36163.952016986303</v>
      </c>
      <c r="AH72" s="76">
        <v>36287.348008594199</v>
      </c>
      <c r="AI72" s="76">
        <v>36410.744000202198</v>
      </c>
      <c r="AJ72" s="76">
        <v>36534.139991810101</v>
      </c>
      <c r="AK72" s="76">
        <v>36657.535983417998</v>
      </c>
      <c r="AL72" s="76">
        <v>36780.931975025902</v>
      </c>
      <c r="AM72" s="76">
        <v>36913.565554859102</v>
      </c>
      <c r="AN72" s="76">
        <v>37046.199134692397</v>
      </c>
      <c r="AO72" s="76">
        <v>37178.832714525597</v>
      </c>
      <c r="AP72" s="76">
        <v>37311.466294358797</v>
      </c>
      <c r="AQ72" s="76">
        <v>37444.099874192099</v>
      </c>
      <c r="AR72" s="76">
        <v>37444.099874192099</v>
      </c>
      <c r="AS72" s="76">
        <v>37444.099874192099</v>
      </c>
      <c r="AT72" s="76">
        <v>37444.099874192099</v>
      </c>
      <c r="AU72" s="76">
        <v>37444.099874192099</v>
      </c>
      <c r="AV72" s="76">
        <v>37444.099874192099</v>
      </c>
      <c r="AW72" s="76">
        <v>37444.099874192099</v>
      </c>
      <c r="AX72" s="76">
        <v>37444.099874192099</v>
      </c>
      <c r="AY72" s="76">
        <v>37444.099874192099</v>
      </c>
      <c r="AZ72" s="76">
        <v>37444.099874192099</v>
      </c>
      <c r="BA72" s="76">
        <v>37444.099874192099</v>
      </c>
    </row>
    <row r="73" spans="1:53" ht="15.75">
      <c r="A73" s="76" t="s">
        <v>191</v>
      </c>
      <c r="B73" s="76" t="s">
        <v>201</v>
      </c>
      <c r="C73" s="76">
        <v>20601.9178116148</v>
      </c>
      <c r="D73" s="76">
        <v>20613.482334111901</v>
      </c>
      <c r="E73" s="76">
        <v>20625.046856608998</v>
      </c>
      <c r="F73" s="76">
        <v>20636.611379106002</v>
      </c>
      <c r="G73" s="76">
        <v>20648.175901603099</v>
      </c>
      <c r="H73" s="76">
        <v>20659.7404241002</v>
      </c>
      <c r="I73" s="76">
        <v>20848.529148828398</v>
      </c>
      <c r="J73" s="76">
        <v>21037.3178735566</v>
      </c>
      <c r="K73" s="76">
        <v>21226.1065982849</v>
      </c>
      <c r="L73" s="76">
        <v>21414.895323013101</v>
      </c>
      <c r="M73" s="76">
        <v>21603.684047741299</v>
      </c>
      <c r="N73" s="76">
        <v>21736.752972212998</v>
      </c>
      <c r="O73" s="76">
        <v>21869.821896684702</v>
      </c>
      <c r="P73" s="76">
        <v>22002.890821156299</v>
      </c>
      <c r="Q73" s="76">
        <v>22135.959745627999</v>
      </c>
      <c r="R73" s="76">
        <v>22269.0286700996</v>
      </c>
      <c r="S73" s="76">
        <v>22455.030324339499</v>
      </c>
      <c r="T73" s="76">
        <v>22641.031978579402</v>
      </c>
      <c r="U73" s="76">
        <v>22827.033632819301</v>
      </c>
      <c r="V73" s="76">
        <v>23013.035287059101</v>
      </c>
      <c r="W73" s="76">
        <v>23199.036941299</v>
      </c>
      <c r="X73" s="76">
        <v>23288.025731774698</v>
      </c>
      <c r="Y73" s="76">
        <v>23377.014522250302</v>
      </c>
      <c r="Z73" s="76">
        <v>23466.003312725999</v>
      </c>
      <c r="AA73" s="76">
        <v>23554.992103201599</v>
      </c>
      <c r="AB73" s="76">
        <v>23643.980893677301</v>
      </c>
      <c r="AC73" s="76">
        <v>23696.157259764499</v>
      </c>
      <c r="AD73" s="76">
        <v>23748.333625851701</v>
      </c>
      <c r="AE73" s="76">
        <v>23800.509991939001</v>
      </c>
      <c r="AF73" s="76">
        <v>23852.6863580262</v>
      </c>
      <c r="AG73" s="76">
        <v>23904.8627241135</v>
      </c>
      <c r="AH73" s="76">
        <v>23991.679599139399</v>
      </c>
      <c r="AI73" s="76">
        <v>24078.496474165298</v>
      </c>
      <c r="AJ73" s="76">
        <v>24165.313349191201</v>
      </c>
      <c r="AK73" s="76">
        <v>24252.130224217199</v>
      </c>
      <c r="AL73" s="76">
        <v>24338.947099243102</v>
      </c>
      <c r="AM73" s="76">
        <v>24427.752812512401</v>
      </c>
      <c r="AN73" s="76">
        <v>24516.5585257817</v>
      </c>
      <c r="AO73" s="76">
        <v>24605.364239050999</v>
      </c>
      <c r="AP73" s="76">
        <v>24694.169952320299</v>
      </c>
      <c r="AQ73" s="76">
        <v>24782.9756655897</v>
      </c>
      <c r="AR73" s="76">
        <v>24782.9756655897</v>
      </c>
      <c r="AS73" s="76">
        <v>24782.9756655897</v>
      </c>
      <c r="AT73" s="76">
        <v>24782.9756655897</v>
      </c>
      <c r="AU73" s="76">
        <v>24782.9756655897</v>
      </c>
      <c r="AV73" s="76">
        <v>24782.9756655897</v>
      </c>
      <c r="AW73" s="76">
        <v>24782.9756655897</v>
      </c>
      <c r="AX73" s="76">
        <v>24782.9756655897</v>
      </c>
      <c r="AY73" s="76">
        <v>24782.9756655897</v>
      </c>
      <c r="AZ73" s="76">
        <v>24782.9756655897</v>
      </c>
      <c r="BA73" s="76">
        <v>24782.9756655897</v>
      </c>
    </row>
    <row r="74" spans="1:53" ht="15.75">
      <c r="A74" s="78" t="s">
        <v>159</v>
      </c>
      <c r="B74" s="76" t="s">
        <v>202</v>
      </c>
      <c r="C74" s="76">
        <v>190484.51206755501</v>
      </c>
      <c r="D74" s="76">
        <v>185869.99882967299</v>
      </c>
      <c r="E74" s="76">
        <v>181255.48559179201</v>
      </c>
      <c r="F74" s="76">
        <v>176640.972353911</v>
      </c>
      <c r="G74" s="76">
        <v>172026.459116029</v>
      </c>
      <c r="H74" s="76">
        <v>167411.94587814799</v>
      </c>
      <c r="I74" s="76">
        <v>164530.66751514899</v>
      </c>
      <c r="J74" s="76">
        <v>161649.38915214999</v>
      </c>
      <c r="K74" s="76">
        <v>158768.11078915099</v>
      </c>
      <c r="L74" s="76">
        <v>155886.83242615301</v>
      </c>
      <c r="M74" s="76">
        <v>153005.55406315401</v>
      </c>
      <c r="N74" s="76">
        <v>152117.022918339</v>
      </c>
      <c r="O74" s="76">
        <v>151228.491773524</v>
      </c>
      <c r="P74" s="76">
        <v>150339.96062870999</v>
      </c>
      <c r="Q74" s="76">
        <v>149451.42948389499</v>
      </c>
      <c r="R74" s="76">
        <v>148562.89833908001</v>
      </c>
      <c r="S74" s="76">
        <v>148377.44336477001</v>
      </c>
      <c r="T74" s="76">
        <v>148191.98839045901</v>
      </c>
      <c r="U74" s="76">
        <v>148006.533416149</v>
      </c>
      <c r="V74" s="76">
        <v>147821.07844183801</v>
      </c>
      <c r="W74" s="76">
        <v>147635.623467528</v>
      </c>
      <c r="X74" s="76">
        <v>147766.400561377</v>
      </c>
      <c r="Y74" s="76">
        <v>147897.17765522501</v>
      </c>
      <c r="Z74" s="76">
        <v>148027.95474907401</v>
      </c>
      <c r="AA74" s="76">
        <v>148158.73184292301</v>
      </c>
      <c r="AB74" s="76">
        <v>148289.50893677099</v>
      </c>
      <c r="AC74" s="76">
        <v>149440.60907093601</v>
      </c>
      <c r="AD74" s="76">
        <v>150591.70920510101</v>
      </c>
      <c r="AE74" s="76">
        <v>151742.80933926499</v>
      </c>
      <c r="AF74" s="76">
        <v>152893.90947342999</v>
      </c>
      <c r="AG74" s="76">
        <v>154045.00960759501</v>
      </c>
      <c r="AH74" s="76">
        <v>154636.241342714</v>
      </c>
      <c r="AI74" s="76">
        <v>155227.47307783301</v>
      </c>
      <c r="AJ74" s="76">
        <v>155818.704812952</v>
      </c>
      <c r="AK74" s="76">
        <v>156409.93654807101</v>
      </c>
      <c r="AL74" s="76">
        <v>157001.16828319</v>
      </c>
      <c r="AM74" s="76">
        <v>157740.077000555</v>
      </c>
      <c r="AN74" s="76">
        <v>158478.98571791899</v>
      </c>
      <c r="AO74" s="76">
        <v>159217.89443528399</v>
      </c>
      <c r="AP74" s="76">
        <v>159956.803152648</v>
      </c>
      <c r="AQ74" s="76">
        <v>160695.71187001199</v>
      </c>
      <c r="AR74" s="76">
        <v>160695.71187001199</v>
      </c>
      <c r="AS74" s="76">
        <v>160695.71187001199</v>
      </c>
      <c r="AT74" s="76">
        <v>160695.71187001199</v>
      </c>
      <c r="AU74" s="76">
        <v>160695.71187001199</v>
      </c>
      <c r="AV74" s="76">
        <v>160695.71187001199</v>
      </c>
      <c r="AW74" s="76">
        <v>160695.71187001199</v>
      </c>
      <c r="AX74" s="76">
        <v>160695.71187001199</v>
      </c>
      <c r="AY74" s="76">
        <v>160695.71187001199</v>
      </c>
      <c r="AZ74" s="76">
        <v>160695.71187001199</v>
      </c>
      <c r="BA74" s="76">
        <v>160695.71187001199</v>
      </c>
    </row>
    <row r="75" spans="1:53" ht="15.75">
      <c r="A75" s="78" t="s">
        <v>159</v>
      </c>
      <c r="B75" s="76" t="s">
        <v>203</v>
      </c>
      <c r="C75" s="76">
        <v>28394.8576211994</v>
      </c>
      <c r="D75" s="76">
        <v>26500.136287038</v>
      </c>
      <c r="E75" s="76">
        <v>24605.414952876599</v>
      </c>
      <c r="F75" s="76">
        <v>22710.693618715301</v>
      </c>
      <c r="G75" s="76">
        <v>20815.9722845539</v>
      </c>
      <c r="H75" s="76">
        <v>18921.250950392499</v>
      </c>
      <c r="I75" s="76">
        <v>18676.8852736097</v>
      </c>
      <c r="J75" s="76">
        <v>18432.5195968269</v>
      </c>
      <c r="K75" s="76">
        <v>18188.1539200441</v>
      </c>
      <c r="L75" s="76">
        <v>17943.788243261199</v>
      </c>
      <c r="M75" s="76">
        <v>17699.422566478399</v>
      </c>
      <c r="N75" s="76">
        <v>17464.265516594802</v>
      </c>
      <c r="O75" s="76">
        <v>17229.108466711201</v>
      </c>
      <c r="P75" s="76">
        <v>16993.951416827698</v>
      </c>
      <c r="Q75" s="76">
        <v>16758.794366944101</v>
      </c>
      <c r="R75" s="76">
        <v>16523.6373170605</v>
      </c>
      <c r="S75" s="76">
        <v>16523.6373170605</v>
      </c>
      <c r="T75" s="76">
        <v>16523.6373170605</v>
      </c>
      <c r="U75" s="76">
        <v>16523.6373170605</v>
      </c>
      <c r="V75" s="76">
        <v>16523.6373170605</v>
      </c>
      <c r="W75" s="76">
        <v>16523.6373170605</v>
      </c>
      <c r="X75" s="76">
        <v>16523.6373170605</v>
      </c>
      <c r="Y75" s="76">
        <v>16523.6373170605</v>
      </c>
      <c r="Z75" s="76">
        <v>16523.6373170605</v>
      </c>
      <c r="AA75" s="76">
        <v>16523.6373170605</v>
      </c>
      <c r="AB75" s="76">
        <v>16523.6373170605</v>
      </c>
      <c r="AC75" s="76">
        <v>16523.6373170605</v>
      </c>
      <c r="AD75" s="76">
        <v>16523.6373170605</v>
      </c>
      <c r="AE75" s="76">
        <v>16523.6373170605</v>
      </c>
      <c r="AF75" s="76">
        <v>16523.6373170605</v>
      </c>
      <c r="AG75" s="76">
        <v>16523.6373170605</v>
      </c>
      <c r="AH75" s="76">
        <v>16523.6373170605</v>
      </c>
      <c r="AI75" s="76">
        <v>16523.6373170605</v>
      </c>
      <c r="AJ75" s="76">
        <v>16523.6373170605</v>
      </c>
      <c r="AK75" s="76">
        <v>16523.6373170605</v>
      </c>
      <c r="AL75" s="76">
        <v>16523.6373170605</v>
      </c>
      <c r="AM75" s="76">
        <v>16523.6373170605</v>
      </c>
      <c r="AN75" s="76">
        <v>16523.6373170605</v>
      </c>
      <c r="AO75" s="76">
        <v>16523.6373170605</v>
      </c>
      <c r="AP75" s="76">
        <v>16523.6373170605</v>
      </c>
      <c r="AQ75" s="76">
        <v>16523.6373170605</v>
      </c>
      <c r="AR75" s="76">
        <v>16523.6373170605</v>
      </c>
      <c r="AS75" s="76">
        <v>16523.6373170605</v>
      </c>
      <c r="AT75" s="76">
        <v>16523.6373170605</v>
      </c>
      <c r="AU75" s="76">
        <v>16523.6373170605</v>
      </c>
      <c r="AV75" s="76">
        <v>16523.6373170605</v>
      </c>
      <c r="AW75" s="76">
        <v>16523.6373170605</v>
      </c>
      <c r="AX75" s="76">
        <v>16523.6373170605</v>
      </c>
      <c r="AY75" s="76">
        <v>16523.6373170605</v>
      </c>
      <c r="AZ75" s="76">
        <v>16523.6373170605</v>
      </c>
      <c r="BA75" s="76">
        <v>16523.6373170605</v>
      </c>
    </row>
    <row r="76" spans="1:53" ht="15.75">
      <c r="A76" s="78" t="s">
        <v>159</v>
      </c>
      <c r="B76" s="76" t="s">
        <v>204</v>
      </c>
      <c r="C76" s="76">
        <v>138294.38126705101</v>
      </c>
      <c r="D76" s="76">
        <v>139104.112757758</v>
      </c>
      <c r="E76" s="76">
        <v>139913.84424846599</v>
      </c>
      <c r="F76" s="76">
        <v>140723.57573917299</v>
      </c>
      <c r="G76" s="76">
        <v>141533.30722988001</v>
      </c>
      <c r="H76" s="76">
        <v>142343.038720588</v>
      </c>
      <c r="I76" s="76">
        <v>143239.89194552699</v>
      </c>
      <c r="J76" s="76">
        <v>144136.74517046599</v>
      </c>
      <c r="K76" s="76">
        <v>145033.59839540499</v>
      </c>
      <c r="L76" s="76">
        <v>145930.45162034401</v>
      </c>
      <c r="M76" s="76">
        <v>146827.30484528301</v>
      </c>
      <c r="N76" s="76">
        <v>147871.22505721301</v>
      </c>
      <c r="O76" s="76">
        <v>148915.14526914299</v>
      </c>
      <c r="P76" s="76">
        <v>149959.06548107401</v>
      </c>
      <c r="Q76" s="76">
        <v>151002.98569300401</v>
      </c>
      <c r="R76" s="76">
        <v>152046.90590493401</v>
      </c>
      <c r="S76" s="76">
        <v>153172.02501982299</v>
      </c>
      <c r="T76" s="76">
        <v>154297.144134712</v>
      </c>
      <c r="U76" s="76">
        <v>155422.26324959999</v>
      </c>
      <c r="V76" s="76">
        <v>156547.38236448899</v>
      </c>
      <c r="W76" s="76">
        <v>157672.501479378</v>
      </c>
      <c r="X76" s="76">
        <v>158090.231596289</v>
      </c>
      <c r="Y76" s="76">
        <v>158507.9617132</v>
      </c>
      <c r="Z76" s="76">
        <v>158925.691830111</v>
      </c>
      <c r="AA76" s="76">
        <v>159343.42194702101</v>
      </c>
      <c r="AB76" s="76">
        <v>159761.15206393201</v>
      </c>
      <c r="AC76" s="76">
        <v>160280.50917428601</v>
      </c>
      <c r="AD76" s="76">
        <v>160799.86628464001</v>
      </c>
      <c r="AE76" s="76">
        <v>161319.22339499299</v>
      </c>
      <c r="AF76" s="76">
        <v>161838.580505347</v>
      </c>
      <c r="AG76" s="76">
        <v>162357.937615701</v>
      </c>
      <c r="AH76" s="76">
        <v>163001.17365393401</v>
      </c>
      <c r="AI76" s="76">
        <v>163644.40969216701</v>
      </c>
      <c r="AJ76" s="76">
        <v>164287.64573039999</v>
      </c>
      <c r="AK76" s="76">
        <v>164930.881768633</v>
      </c>
      <c r="AL76" s="76">
        <v>165574.11780686601</v>
      </c>
      <c r="AM76" s="76">
        <v>166236.21381735301</v>
      </c>
      <c r="AN76" s="76">
        <v>166898.30982784001</v>
      </c>
      <c r="AO76" s="76">
        <v>167560.40583832699</v>
      </c>
      <c r="AP76" s="76">
        <v>168222.50184881399</v>
      </c>
      <c r="AQ76" s="76">
        <v>168884.59785930099</v>
      </c>
      <c r="AR76" s="76">
        <v>168884.59785930099</v>
      </c>
      <c r="AS76" s="76">
        <v>168884.59785930099</v>
      </c>
      <c r="AT76" s="76">
        <v>168884.59785930099</v>
      </c>
      <c r="AU76" s="76">
        <v>168884.59785930099</v>
      </c>
      <c r="AV76" s="76">
        <v>168884.59785930099</v>
      </c>
      <c r="AW76" s="76">
        <v>168884.59785930099</v>
      </c>
      <c r="AX76" s="76">
        <v>168884.59785930099</v>
      </c>
      <c r="AY76" s="76">
        <v>168884.59785930099</v>
      </c>
      <c r="AZ76" s="76">
        <v>168884.59785930099</v>
      </c>
      <c r="BA76" s="76">
        <v>168884.59785930099</v>
      </c>
    </row>
    <row r="77" spans="1:53" ht="15.75">
      <c r="A77" s="78" t="s">
        <v>158</v>
      </c>
      <c r="B77" s="76" t="s">
        <v>205</v>
      </c>
      <c r="C77" s="76">
        <v>97482.285015364498</v>
      </c>
      <c r="D77" s="76">
        <v>94547.246519103603</v>
      </c>
      <c r="E77" s="76">
        <v>91612.208022842795</v>
      </c>
      <c r="F77" s="76">
        <v>88677.169526582002</v>
      </c>
      <c r="G77" s="76">
        <v>85742.131030321107</v>
      </c>
      <c r="H77" s="76">
        <v>82807.092534060299</v>
      </c>
      <c r="I77" s="76">
        <v>80681.429948827004</v>
      </c>
      <c r="J77" s="76">
        <v>78555.767363593695</v>
      </c>
      <c r="K77" s="76">
        <v>76430.104778360401</v>
      </c>
      <c r="L77" s="76">
        <v>74304.442193127194</v>
      </c>
      <c r="M77" s="76">
        <v>72178.779607893899</v>
      </c>
      <c r="N77" s="76">
        <v>71369.036015554506</v>
      </c>
      <c r="O77" s="76">
        <v>70559.292423215098</v>
      </c>
      <c r="P77" s="76">
        <v>69749.548830875603</v>
      </c>
      <c r="Q77" s="76">
        <v>68939.805238536195</v>
      </c>
      <c r="R77" s="76">
        <v>68130.061646196802</v>
      </c>
      <c r="S77" s="76">
        <v>67922.795119143106</v>
      </c>
      <c r="T77" s="76">
        <v>67715.528592089395</v>
      </c>
      <c r="U77" s="76">
        <v>67508.262065035698</v>
      </c>
      <c r="V77" s="76">
        <v>67300.995537982002</v>
      </c>
      <c r="W77" s="76">
        <v>67093.729010928306</v>
      </c>
      <c r="X77" s="76">
        <v>67012.204587708999</v>
      </c>
      <c r="Y77" s="76">
        <v>66930.680164489604</v>
      </c>
      <c r="Z77" s="76">
        <v>66849.155741270195</v>
      </c>
      <c r="AA77" s="76">
        <v>66767.6313180508</v>
      </c>
      <c r="AB77" s="76">
        <v>66686.106894831493</v>
      </c>
      <c r="AC77" s="76">
        <v>67204.251713669102</v>
      </c>
      <c r="AD77" s="76">
        <v>67722.396532506697</v>
      </c>
      <c r="AE77" s="76">
        <v>68240.541351344305</v>
      </c>
      <c r="AF77" s="76">
        <v>68758.686170182002</v>
      </c>
      <c r="AG77" s="76">
        <v>69276.830989019596</v>
      </c>
      <c r="AH77" s="76">
        <v>69563.164489717296</v>
      </c>
      <c r="AI77" s="76">
        <v>69849.497990414995</v>
      </c>
      <c r="AJ77" s="76">
        <v>70135.831491112694</v>
      </c>
      <c r="AK77" s="76">
        <v>70422.164991810394</v>
      </c>
      <c r="AL77" s="76">
        <v>70708.498492508093</v>
      </c>
      <c r="AM77" s="76">
        <v>71037.151684264696</v>
      </c>
      <c r="AN77" s="76">
        <v>71365.804876021401</v>
      </c>
      <c r="AO77" s="76">
        <v>71694.458067778003</v>
      </c>
      <c r="AP77" s="76">
        <v>72023.111259534693</v>
      </c>
      <c r="AQ77" s="76">
        <v>72351.764451291296</v>
      </c>
      <c r="AR77" s="76">
        <v>72351.764451291296</v>
      </c>
      <c r="AS77" s="76">
        <v>72351.764451291296</v>
      </c>
      <c r="AT77" s="76">
        <v>72351.764451291296</v>
      </c>
      <c r="AU77" s="76">
        <v>72351.764451291296</v>
      </c>
      <c r="AV77" s="76">
        <v>72351.764451291296</v>
      </c>
      <c r="AW77" s="76">
        <v>72351.764451291296</v>
      </c>
      <c r="AX77" s="76">
        <v>72351.764451291296</v>
      </c>
      <c r="AY77" s="76">
        <v>72351.764451291296</v>
      </c>
      <c r="AZ77" s="76">
        <v>72351.764451291296</v>
      </c>
      <c r="BA77" s="76">
        <v>72351.764451291296</v>
      </c>
    </row>
    <row r="78" spans="1:53" ht="15.75">
      <c r="A78" s="78" t="s">
        <v>158</v>
      </c>
      <c r="B78" s="76" t="s">
        <v>206</v>
      </c>
      <c r="C78" s="76">
        <v>59019.370874527798</v>
      </c>
      <c r="D78" s="76">
        <v>60182.230590568302</v>
      </c>
      <c r="E78" s="76">
        <v>61345.090306608901</v>
      </c>
      <c r="F78" s="76">
        <v>62507.950022649398</v>
      </c>
      <c r="G78" s="76">
        <v>63670.809738689903</v>
      </c>
      <c r="H78" s="76">
        <v>64833.669454730501</v>
      </c>
      <c r="I78" s="76">
        <v>65335.714840973502</v>
      </c>
      <c r="J78" s="76">
        <v>65837.760227216495</v>
      </c>
      <c r="K78" s="76">
        <v>66339.805613459495</v>
      </c>
      <c r="L78" s="76">
        <v>66841.850999702496</v>
      </c>
      <c r="M78" s="76">
        <v>67343.896385945598</v>
      </c>
      <c r="N78" s="76">
        <v>67811.559032627905</v>
      </c>
      <c r="O78" s="76">
        <v>68279.2216793103</v>
      </c>
      <c r="P78" s="76">
        <v>68746.884325992607</v>
      </c>
      <c r="Q78" s="76">
        <v>69214.546972675002</v>
      </c>
      <c r="R78" s="76">
        <v>69682.209619357396</v>
      </c>
      <c r="S78" s="76">
        <v>70168.452056750495</v>
      </c>
      <c r="T78" s="76">
        <v>70654.694494143696</v>
      </c>
      <c r="U78" s="76">
        <v>71140.936931536897</v>
      </c>
      <c r="V78" s="76">
        <v>71627.179368929996</v>
      </c>
      <c r="W78" s="76">
        <v>72113.421806323197</v>
      </c>
      <c r="X78" s="76">
        <v>72254.578302727299</v>
      </c>
      <c r="Y78" s="76">
        <v>72395.734799131402</v>
      </c>
      <c r="Z78" s="76">
        <v>72536.891295535403</v>
      </c>
      <c r="AA78" s="76">
        <v>72678.047791939505</v>
      </c>
      <c r="AB78" s="76">
        <v>72819.204288343593</v>
      </c>
      <c r="AC78" s="76">
        <v>73076.874988623793</v>
      </c>
      <c r="AD78" s="76">
        <v>73334.545688903905</v>
      </c>
      <c r="AE78" s="76">
        <v>73592.216389184105</v>
      </c>
      <c r="AF78" s="76">
        <v>73849.887089464304</v>
      </c>
      <c r="AG78" s="76">
        <v>74107.557789744504</v>
      </c>
      <c r="AH78" s="76">
        <v>74403.922994788503</v>
      </c>
      <c r="AI78" s="76">
        <v>74700.288199832605</v>
      </c>
      <c r="AJ78" s="76">
        <v>74996.653404876604</v>
      </c>
      <c r="AK78" s="76">
        <v>75293.018609920604</v>
      </c>
      <c r="AL78" s="76">
        <v>75589.383814964604</v>
      </c>
      <c r="AM78" s="76">
        <v>75876.299282349006</v>
      </c>
      <c r="AN78" s="76">
        <v>76163.214749733394</v>
      </c>
      <c r="AO78" s="76">
        <v>76450.130217117694</v>
      </c>
      <c r="AP78" s="76">
        <v>76737.045684502096</v>
      </c>
      <c r="AQ78" s="76">
        <v>77023.961151886499</v>
      </c>
      <c r="AR78" s="76">
        <v>77023.961151886499</v>
      </c>
      <c r="AS78" s="76">
        <v>77023.961151886499</v>
      </c>
      <c r="AT78" s="76">
        <v>77023.961151886499</v>
      </c>
      <c r="AU78" s="76">
        <v>77023.961151886499</v>
      </c>
      <c r="AV78" s="76">
        <v>77023.961151886499</v>
      </c>
      <c r="AW78" s="76">
        <v>77023.961151886499</v>
      </c>
      <c r="AX78" s="76">
        <v>77023.961151886499</v>
      </c>
      <c r="AY78" s="76">
        <v>77023.961151886499</v>
      </c>
      <c r="AZ78" s="76">
        <v>77023.961151886499</v>
      </c>
      <c r="BA78" s="76">
        <v>77023.961151886499</v>
      </c>
    </row>
    <row r="79" spans="1:53" ht="15.75">
      <c r="A79" s="78" t="s">
        <v>158</v>
      </c>
      <c r="B79" s="76" t="s">
        <v>207</v>
      </c>
      <c r="C79" s="76">
        <v>55872.689100644697</v>
      </c>
      <c r="D79" s="76">
        <v>57397.498968030501</v>
      </c>
      <c r="E79" s="76">
        <v>58922.308835416297</v>
      </c>
      <c r="F79" s="76">
        <v>60447.118702802101</v>
      </c>
      <c r="G79" s="76">
        <v>61971.928570187898</v>
      </c>
      <c r="H79" s="76">
        <v>63496.738437573702</v>
      </c>
      <c r="I79" s="76">
        <v>64360.659543596099</v>
      </c>
      <c r="J79" s="76">
        <v>65224.580649618598</v>
      </c>
      <c r="K79" s="76">
        <v>66088.501755641002</v>
      </c>
      <c r="L79" s="76">
        <v>66952.422861663494</v>
      </c>
      <c r="M79" s="76">
        <v>67816.343967685898</v>
      </c>
      <c r="N79" s="76">
        <v>68250.988822889907</v>
      </c>
      <c r="O79" s="76">
        <v>68685.633678094004</v>
      </c>
      <c r="P79" s="76">
        <v>69120.278533297998</v>
      </c>
      <c r="Q79" s="76">
        <v>69554.923388502095</v>
      </c>
      <c r="R79" s="76">
        <v>69989.568243706104</v>
      </c>
      <c r="S79" s="76">
        <v>70468.787934473003</v>
      </c>
      <c r="T79" s="76">
        <v>70948.007625239901</v>
      </c>
      <c r="U79" s="76">
        <v>71427.2273160068</v>
      </c>
      <c r="V79" s="76">
        <v>71906.4470067738</v>
      </c>
      <c r="W79" s="76">
        <v>72385.666697540699</v>
      </c>
      <c r="X79" s="76">
        <v>72518.591640727798</v>
      </c>
      <c r="Y79" s="76">
        <v>72651.516583914898</v>
      </c>
      <c r="Z79" s="76">
        <v>72784.441527102099</v>
      </c>
      <c r="AA79" s="76">
        <v>72917.366470289198</v>
      </c>
      <c r="AB79" s="76">
        <v>73050.2914134764</v>
      </c>
      <c r="AC79" s="76">
        <v>73295.0666035373</v>
      </c>
      <c r="AD79" s="76">
        <v>73539.8417935982</v>
      </c>
      <c r="AE79" s="76">
        <v>73784.6169836591</v>
      </c>
      <c r="AF79" s="76">
        <v>74029.39217372</v>
      </c>
      <c r="AG79" s="76">
        <v>74274.1673637809</v>
      </c>
      <c r="AH79" s="76">
        <v>74568.931474696903</v>
      </c>
      <c r="AI79" s="76">
        <v>74863.695585612993</v>
      </c>
      <c r="AJ79" s="76">
        <v>75158.459696529098</v>
      </c>
      <c r="AK79" s="76">
        <v>75453.223807445102</v>
      </c>
      <c r="AL79" s="76">
        <v>75747.987918361207</v>
      </c>
      <c r="AM79" s="76">
        <v>76031.667268913705</v>
      </c>
      <c r="AN79" s="76">
        <v>76315.346619466305</v>
      </c>
      <c r="AO79" s="76">
        <v>76599.025970018803</v>
      </c>
      <c r="AP79" s="76">
        <v>76882.705320571404</v>
      </c>
      <c r="AQ79" s="76">
        <v>77166.384671123902</v>
      </c>
      <c r="AR79" s="76">
        <v>77166.384671123902</v>
      </c>
      <c r="AS79" s="76">
        <v>77166.384671123902</v>
      </c>
      <c r="AT79" s="76">
        <v>77166.384671123902</v>
      </c>
      <c r="AU79" s="76">
        <v>77166.384671123902</v>
      </c>
      <c r="AV79" s="76">
        <v>77166.384671123902</v>
      </c>
      <c r="AW79" s="76">
        <v>77166.384671123902</v>
      </c>
      <c r="AX79" s="76">
        <v>77166.384671123902</v>
      </c>
      <c r="AY79" s="76">
        <v>77166.384671123902</v>
      </c>
      <c r="AZ79" s="76">
        <v>77166.384671123902</v>
      </c>
      <c r="BA79" s="76">
        <v>77166.384671123902</v>
      </c>
    </row>
    <row r="80" spans="1:53" ht="15.75">
      <c r="A80" s="78" t="s">
        <v>160</v>
      </c>
      <c r="B80" s="76" t="s">
        <v>208</v>
      </c>
      <c r="C80" s="76">
        <v>9774.9513045954609</v>
      </c>
      <c r="D80" s="76">
        <v>8876.3608749922205</v>
      </c>
      <c r="E80" s="76">
        <v>7977.7704453889701</v>
      </c>
      <c r="F80" s="76">
        <v>7079.1800157857297</v>
      </c>
      <c r="G80" s="76">
        <v>6180.5895861824802</v>
      </c>
      <c r="H80" s="76">
        <v>5281.9991565792297</v>
      </c>
      <c r="I80" s="76">
        <v>5281.9991565792297</v>
      </c>
      <c r="J80" s="76">
        <v>5281.9991565792297</v>
      </c>
      <c r="K80" s="76">
        <v>5281.9991565792297</v>
      </c>
      <c r="L80" s="76">
        <v>5281.9991565792297</v>
      </c>
      <c r="M80" s="76">
        <v>5281.9991565792297</v>
      </c>
      <c r="N80" s="76">
        <v>5281.9991565792297</v>
      </c>
      <c r="O80" s="76">
        <v>5281.9991565792297</v>
      </c>
      <c r="P80" s="76">
        <v>5281.9991565792297</v>
      </c>
      <c r="Q80" s="76">
        <v>5281.9991565792297</v>
      </c>
      <c r="R80" s="76">
        <v>5281.9991565792297</v>
      </c>
      <c r="S80" s="76">
        <v>5281.9991565792297</v>
      </c>
      <c r="T80" s="76">
        <v>5281.9991565792297</v>
      </c>
      <c r="U80" s="76">
        <v>5281.9991565792297</v>
      </c>
      <c r="V80" s="76">
        <v>5281.9991565792297</v>
      </c>
      <c r="W80" s="76">
        <v>5281.9991565792297</v>
      </c>
      <c r="X80" s="76">
        <v>5281.9991565792297</v>
      </c>
      <c r="Y80" s="76">
        <v>5281.9991565792297</v>
      </c>
      <c r="Z80" s="76">
        <v>5281.9991565792297</v>
      </c>
      <c r="AA80" s="76">
        <v>5281.9991565792297</v>
      </c>
      <c r="AB80" s="76">
        <v>5281.9991565792297</v>
      </c>
      <c r="AC80" s="76">
        <v>5281.9991565792297</v>
      </c>
      <c r="AD80" s="76">
        <v>5281.9991565792297</v>
      </c>
      <c r="AE80" s="76">
        <v>5281.9991565792297</v>
      </c>
      <c r="AF80" s="76">
        <v>5281.9991565792297</v>
      </c>
      <c r="AG80" s="76">
        <v>5281.9991565792297</v>
      </c>
      <c r="AH80" s="76">
        <v>5281.9991565792297</v>
      </c>
      <c r="AI80" s="76">
        <v>5281.9991565792297</v>
      </c>
      <c r="AJ80" s="76">
        <v>5281.9991565792297</v>
      </c>
      <c r="AK80" s="76">
        <v>5281.9991565792297</v>
      </c>
      <c r="AL80" s="76">
        <v>5281.9991565792297</v>
      </c>
      <c r="AM80" s="76">
        <v>5281.9991565792297</v>
      </c>
      <c r="AN80" s="76">
        <v>5281.9991565792297</v>
      </c>
      <c r="AO80" s="76">
        <v>5281.9991565792297</v>
      </c>
      <c r="AP80" s="76">
        <v>5281.9991565792297</v>
      </c>
      <c r="AQ80" s="76">
        <v>5281.9991565792297</v>
      </c>
      <c r="AR80" s="76">
        <v>5281.9991565792297</v>
      </c>
      <c r="AS80" s="76">
        <v>5281.9991565792297</v>
      </c>
      <c r="AT80" s="76">
        <v>5281.9991565792297</v>
      </c>
      <c r="AU80" s="76">
        <v>5281.9991565792297</v>
      </c>
      <c r="AV80" s="76">
        <v>5281.9991565792297</v>
      </c>
      <c r="AW80" s="76">
        <v>5281.9991565792297</v>
      </c>
      <c r="AX80" s="76">
        <v>5281.9991565792297</v>
      </c>
      <c r="AY80" s="76">
        <v>5281.9991565792297</v>
      </c>
      <c r="AZ80" s="76">
        <v>5281.9991565792297</v>
      </c>
      <c r="BA80" s="76">
        <v>5281.9991565792297</v>
      </c>
    </row>
    <row r="81" spans="1:53" ht="15.75">
      <c r="A81" s="78" t="s">
        <v>160</v>
      </c>
      <c r="B81" s="76" t="s">
        <v>209</v>
      </c>
      <c r="C81" s="76">
        <v>28293.7961012509</v>
      </c>
      <c r="D81" s="76">
        <v>28394.2099718805</v>
      </c>
      <c r="E81" s="76">
        <v>28494.6238425101</v>
      </c>
      <c r="F81" s="76">
        <v>28595.0377131397</v>
      </c>
      <c r="G81" s="76">
        <v>28695.4515837693</v>
      </c>
      <c r="H81" s="76">
        <v>28795.8654543989</v>
      </c>
      <c r="I81" s="76">
        <v>29125.892695095899</v>
      </c>
      <c r="J81" s="76">
        <v>29455.919935793001</v>
      </c>
      <c r="K81" s="76">
        <v>29785.947176490001</v>
      </c>
      <c r="L81" s="76">
        <v>30115.974417187099</v>
      </c>
      <c r="M81" s="76">
        <v>30446.001657884099</v>
      </c>
      <c r="N81" s="76">
        <v>31110.395693909701</v>
      </c>
      <c r="O81" s="76">
        <v>31774.789729935201</v>
      </c>
      <c r="P81" s="76">
        <v>32439.183765960799</v>
      </c>
      <c r="Q81" s="76">
        <v>33103.577801986401</v>
      </c>
      <c r="R81" s="76">
        <v>33767.971838011901</v>
      </c>
      <c r="S81" s="76">
        <v>34108.489276413296</v>
      </c>
      <c r="T81" s="76">
        <v>34449.006714814699</v>
      </c>
      <c r="U81" s="76">
        <v>34789.524153216204</v>
      </c>
      <c r="V81" s="76">
        <v>35130.041591617599</v>
      </c>
      <c r="W81" s="76">
        <v>35470.559030019002</v>
      </c>
      <c r="X81" s="76">
        <v>35553.576702596103</v>
      </c>
      <c r="Y81" s="76">
        <v>35636.594375173197</v>
      </c>
      <c r="Z81" s="76">
        <v>35719.612047750401</v>
      </c>
      <c r="AA81" s="76">
        <v>35802.629720327503</v>
      </c>
      <c r="AB81" s="76">
        <v>35885.647392904597</v>
      </c>
      <c r="AC81" s="76">
        <v>35942.882074081601</v>
      </c>
      <c r="AD81" s="76">
        <v>36000.116755258503</v>
      </c>
      <c r="AE81" s="76">
        <v>36057.3514364355</v>
      </c>
      <c r="AF81" s="76">
        <v>36114.586117612402</v>
      </c>
      <c r="AG81" s="76">
        <v>36171.820798789398</v>
      </c>
      <c r="AH81" s="76">
        <v>36335.919549424703</v>
      </c>
      <c r="AI81" s="76">
        <v>36500.018300060001</v>
      </c>
      <c r="AJ81" s="76">
        <v>36664.117050695299</v>
      </c>
      <c r="AK81" s="76">
        <v>36828.215801330502</v>
      </c>
      <c r="AL81" s="76">
        <v>36992.314551965799</v>
      </c>
      <c r="AM81" s="76">
        <v>37139.883741300997</v>
      </c>
      <c r="AN81" s="76">
        <v>37287.452930636202</v>
      </c>
      <c r="AO81" s="76">
        <v>37435.022119971298</v>
      </c>
      <c r="AP81" s="76">
        <v>37582.591309306503</v>
      </c>
      <c r="AQ81" s="76">
        <v>37730.160498641599</v>
      </c>
      <c r="AR81" s="76">
        <v>37730.160498641599</v>
      </c>
      <c r="AS81" s="76">
        <v>37730.160498641599</v>
      </c>
      <c r="AT81" s="76">
        <v>37730.160498641599</v>
      </c>
      <c r="AU81" s="76">
        <v>37730.160498641599</v>
      </c>
      <c r="AV81" s="76">
        <v>37730.160498641599</v>
      </c>
      <c r="AW81" s="76">
        <v>37730.160498641599</v>
      </c>
      <c r="AX81" s="76">
        <v>37730.160498641599</v>
      </c>
      <c r="AY81" s="76">
        <v>37730.160498641599</v>
      </c>
      <c r="AZ81" s="76">
        <v>37730.160498641599</v>
      </c>
      <c r="BA81" s="76">
        <v>37730.160498641599</v>
      </c>
    </row>
    <row r="82" spans="1:53" ht="15.75">
      <c r="A82" s="78" t="s">
        <v>160</v>
      </c>
      <c r="B82" s="76" t="s">
        <v>210</v>
      </c>
      <c r="C82" s="76">
        <v>29743.257671373602</v>
      </c>
      <c r="D82" s="76">
        <v>30023.0241217086</v>
      </c>
      <c r="E82" s="76">
        <v>30302.790572043599</v>
      </c>
      <c r="F82" s="76">
        <v>30582.5570223787</v>
      </c>
      <c r="G82" s="76">
        <v>30862.323472713699</v>
      </c>
      <c r="H82" s="76">
        <v>31142.089923048799</v>
      </c>
      <c r="I82" s="76">
        <v>31588.249456296198</v>
      </c>
      <c r="J82" s="76">
        <v>32034.408989543699</v>
      </c>
      <c r="K82" s="76">
        <v>32480.5685227912</v>
      </c>
      <c r="L82" s="76">
        <v>32926.728056038701</v>
      </c>
      <c r="M82" s="76">
        <v>33372.887589286198</v>
      </c>
      <c r="N82" s="76">
        <v>33741.876910819199</v>
      </c>
      <c r="O82" s="76">
        <v>34110.8662323522</v>
      </c>
      <c r="P82" s="76">
        <v>34479.855553885303</v>
      </c>
      <c r="Q82" s="76">
        <v>34848.844875418297</v>
      </c>
      <c r="R82" s="76">
        <v>35217.8341969514</v>
      </c>
      <c r="S82" s="76">
        <v>35407.1533924588</v>
      </c>
      <c r="T82" s="76">
        <v>35596.4725879662</v>
      </c>
      <c r="U82" s="76">
        <v>35785.7917834736</v>
      </c>
      <c r="V82" s="76">
        <v>35975.110978981</v>
      </c>
      <c r="W82" s="76">
        <v>36164.4301744884</v>
      </c>
      <c r="X82" s="76">
        <v>36108.663249625402</v>
      </c>
      <c r="Y82" s="76">
        <v>36052.896324762398</v>
      </c>
      <c r="Z82" s="76">
        <v>35997.129399899401</v>
      </c>
      <c r="AA82" s="76">
        <v>35941.362475036301</v>
      </c>
      <c r="AB82" s="76">
        <v>35885.595550173297</v>
      </c>
      <c r="AC82" s="76">
        <v>35942.827475116297</v>
      </c>
      <c r="AD82" s="76">
        <v>36000.059400059297</v>
      </c>
      <c r="AE82" s="76">
        <v>36057.291325002298</v>
      </c>
      <c r="AF82" s="76">
        <v>36114.523249945298</v>
      </c>
      <c r="AG82" s="76">
        <v>36171.755174888298</v>
      </c>
      <c r="AH82" s="76">
        <v>36335.859731908997</v>
      </c>
      <c r="AI82" s="76">
        <v>36499.964288929703</v>
      </c>
      <c r="AJ82" s="76">
        <v>36664.068845950402</v>
      </c>
      <c r="AK82" s="76">
        <v>36828.173402971101</v>
      </c>
      <c r="AL82" s="76">
        <v>36992.277959991799</v>
      </c>
      <c r="AM82" s="76">
        <v>37139.840213364601</v>
      </c>
      <c r="AN82" s="76">
        <v>37287.402466737301</v>
      </c>
      <c r="AO82" s="76">
        <v>37434.964720110103</v>
      </c>
      <c r="AP82" s="76">
        <v>37582.526973482898</v>
      </c>
      <c r="AQ82" s="76">
        <v>37730.089226855598</v>
      </c>
      <c r="AR82" s="76">
        <v>37730.089226855598</v>
      </c>
      <c r="AS82" s="76">
        <v>37730.089226855598</v>
      </c>
      <c r="AT82" s="76">
        <v>37730.089226855598</v>
      </c>
      <c r="AU82" s="76">
        <v>37730.089226855598</v>
      </c>
      <c r="AV82" s="76">
        <v>37730.089226855598</v>
      </c>
      <c r="AW82" s="76">
        <v>37730.089226855598</v>
      </c>
      <c r="AX82" s="76">
        <v>37730.089226855598</v>
      </c>
      <c r="AY82" s="76">
        <v>37730.089226855598</v>
      </c>
      <c r="AZ82" s="76">
        <v>37730.089226855598</v>
      </c>
      <c r="BA82" s="76">
        <v>37730.089226855598</v>
      </c>
    </row>
    <row r="83" spans="1:53" ht="15.75">
      <c r="A83" s="78" t="s">
        <v>155</v>
      </c>
      <c r="B83" s="76" t="s">
        <v>211</v>
      </c>
      <c r="C83" s="76">
        <v>33506.174613714997</v>
      </c>
      <c r="D83" s="76">
        <v>33567.945136029201</v>
      </c>
      <c r="E83" s="76">
        <v>33629.715658343302</v>
      </c>
      <c r="F83" s="76">
        <v>33691.486180657499</v>
      </c>
      <c r="G83" s="76">
        <v>33753.256702971601</v>
      </c>
      <c r="H83" s="76">
        <v>33815.027225285798</v>
      </c>
      <c r="I83" s="76">
        <v>33563.849751429203</v>
      </c>
      <c r="J83" s="76">
        <v>33312.672277572601</v>
      </c>
      <c r="K83" s="76">
        <v>33061.494803715999</v>
      </c>
      <c r="L83" s="76">
        <v>32810.317329859499</v>
      </c>
      <c r="M83" s="76">
        <v>32559.139856002901</v>
      </c>
      <c r="N83" s="76">
        <v>32888.823987353098</v>
      </c>
      <c r="O83" s="76">
        <v>33218.508118703401</v>
      </c>
      <c r="P83" s="76">
        <v>33548.192250053602</v>
      </c>
      <c r="Q83" s="76">
        <v>33877.876381403898</v>
      </c>
      <c r="R83" s="76">
        <v>34207.560512754098</v>
      </c>
      <c r="S83" s="76">
        <v>34394.800427427297</v>
      </c>
      <c r="T83" s="76">
        <v>34582.040342100503</v>
      </c>
      <c r="U83" s="76">
        <v>34769.280256773702</v>
      </c>
      <c r="V83" s="76">
        <v>34956.5201714469</v>
      </c>
      <c r="W83" s="76">
        <v>35143.760086119997</v>
      </c>
      <c r="X83" s="76">
        <v>35275.832030121303</v>
      </c>
      <c r="Y83" s="76">
        <v>35407.903974122601</v>
      </c>
      <c r="Z83" s="76">
        <v>35539.975918123899</v>
      </c>
      <c r="AA83" s="76">
        <v>35672.047862125197</v>
      </c>
      <c r="AB83" s="76">
        <v>35804.119806126502</v>
      </c>
      <c r="AC83" s="76">
        <v>35876.0838533231</v>
      </c>
      <c r="AD83" s="76">
        <v>35948.047900519698</v>
      </c>
      <c r="AE83" s="76">
        <v>36020.011947716303</v>
      </c>
      <c r="AF83" s="76">
        <v>36091.9759949129</v>
      </c>
      <c r="AG83" s="76">
        <v>36163.940042109498</v>
      </c>
      <c r="AH83" s="76">
        <v>36287.331365920501</v>
      </c>
      <c r="AI83" s="76">
        <v>36410.722689731498</v>
      </c>
      <c r="AJ83" s="76">
        <v>36534.114013542501</v>
      </c>
      <c r="AK83" s="76">
        <v>36657.505337353497</v>
      </c>
      <c r="AL83" s="76">
        <v>36780.896661164501</v>
      </c>
      <c r="AM83" s="76">
        <v>36913.529601854199</v>
      </c>
      <c r="AN83" s="76">
        <v>37046.162542544</v>
      </c>
      <c r="AO83" s="76">
        <v>37178.795483233698</v>
      </c>
      <c r="AP83" s="76">
        <v>37311.428423923397</v>
      </c>
      <c r="AQ83" s="76">
        <v>37444.061364613197</v>
      </c>
      <c r="AR83" s="76">
        <v>37444.061364613197</v>
      </c>
      <c r="AS83" s="76">
        <v>37444.061364613197</v>
      </c>
      <c r="AT83" s="76">
        <v>37444.061364613197</v>
      </c>
      <c r="AU83" s="76">
        <v>37444.061364613197</v>
      </c>
      <c r="AV83" s="76">
        <v>37444.061364613197</v>
      </c>
      <c r="AW83" s="76">
        <v>37444.061364613197</v>
      </c>
      <c r="AX83" s="76">
        <v>37444.061364613197</v>
      </c>
      <c r="AY83" s="76">
        <v>37444.061364613197</v>
      </c>
      <c r="AZ83" s="76">
        <v>37444.061364613197</v>
      </c>
      <c r="BA83" s="76">
        <v>37444.061364613197</v>
      </c>
    </row>
    <row r="84" spans="1:53" ht="15.75">
      <c r="A84" s="78" t="s">
        <v>156</v>
      </c>
      <c r="B84" s="76" t="s">
        <v>212</v>
      </c>
      <c r="C84" s="76">
        <v>33346.165253846499</v>
      </c>
      <c r="D84" s="76">
        <v>33196.863402926603</v>
      </c>
      <c r="E84" s="76">
        <v>33047.5615520067</v>
      </c>
      <c r="F84" s="76">
        <v>32898.259701086798</v>
      </c>
      <c r="G84" s="76">
        <v>32748.957850166898</v>
      </c>
      <c r="H84" s="76">
        <v>32599.655999246999</v>
      </c>
      <c r="I84" s="76">
        <v>32842.649489881202</v>
      </c>
      <c r="J84" s="76">
        <v>33085.642980515498</v>
      </c>
      <c r="K84" s="76">
        <v>33328.636471149803</v>
      </c>
      <c r="L84" s="76">
        <v>33571.6299617841</v>
      </c>
      <c r="M84" s="76">
        <v>33814.623452418396</v>
      </c>
      <c r="N84" s="76">
        <v>34018.455779169803</v>
      </c>
      <c r="O84" s="76">
        <v>34222.288105921303</v>
      </c>
      <c r="P84" s="76">
        <v>34426.120432672702</v>
      </c>
      <c r="Q84" s="76">
        <v>34629.952759424203</v>
      </c>
      <c r="R84" s="76">
        <v>34833.785086175601</v>
      </c>
      <c r="S84" s="76">
        <v>35044.833122538897</v>
      </c>
      <c r="T84" s="76">
        <v>35255.881158902099</v>
      </c>
      <c r="U84" s="76">
        <v>35466.9291952653</v>
      </c>
      <c r="V84" s="76">
        <v>35677.977231628502</v>
      </c>
      <c r="W84" s="76">
        <v>35889.025267991703</v>
      </c>
      <c r="X84" s="76">
        <v>35872.046367672701</v>
      </c>
      <c r="Y84" s="76">
        <v>35855.067467353598</v>
      </c>
      <c r="Z84" s="76">
        <v>35838.088567034501</v>
      </c>
      <c r="AA84" s="76">
        <v>35821.1096667155</v>
      </c>
      <c r="AB84" s="76">
        <v>35804.130766396403</v>
      </c>
      <c r="AC84" s="76">
        <v>35876.088240460398</v>
      </c>
      <c r="AD84" s="76">
        <v>35948.045714524298</v>
      </c>
      <c r="AE84" s="76">
        <v>36020.0031885883</v>
      </c>
      <c r="AF84" s="76">
        <v>36091.960662652302</v>
      </c>
      <c r="AG84" s="76">
        <v>36163.918136716296</v>
      </c>
      <c r="AH84" s="76">
        <v>36287.315730036702</v>
      </c>
      <c r="AI84" s="76">
        <v>36410.713323357202</v>
      </c>
      <c r="AJ84" s="76">
        <v>36534.110916677702</v>
      </c>
      <c r="AK84" s="76">
        <v>36657.508509998101</v>
      </c>
      <c r="AL84" s="76">
        <v>36780.906103318601</v>
      </c>
      <c r="AM84" s="76">
        <v>36913.536544001203</v>
      </c>
      <c r="AN84" s="76">
        <v>37046.166984683798</v>
      </c>
      <c r="AO84" s="76">
        <v>37178.7974253664</v>
      </c>
      <c r="AP84" s="76">
        <v>37311.427866049002</v>
      </c>
      <c r="AQ84" s="76">
        <v>37444.058306731597</v>
      </c>
      <c r="AR84" s="76">
        <v>37444.058306731597</v>
      </c>
      <c r="AS84" s="76">
        <v>37444.058306731597</v>
      </c>
      <c r="AT84" s="76">
        <v>37444.058306731597</v>
      </c>
      <c r="AU84" s="76">
        <v>37444.058306731597</v>
      </c>
      <c r="AV84" s="76">
        <v>37444.058306731597</v>
      </c>
      <c r="AW84" s="76">
        <v>37444.058306731597</v>
      </c>
      <c r="AX84" s="76">
        <v>37444.058306731597</v>
      </c>
      <c r="AY84" s="76">
        <v>37444.058306731597</v>
      </c>
      <c r="AZ84" s="76">
        <v>37444.058306731597</v>
      </c>
      <c r="BA84" s="76">
        <v>37444.058306731597</v>
      </c>
    </row>
    <row r="85" spans="1:53" ht="15.75">
      <c r="A85" s="78" t="s">
        <v>157</v>
      </c>
      <c r="B85" s="76" t="s">
        <v>213</v>
      </c>
      <c r="C85" s="76">
        <v>34768.761814708399</v>
      </c>
      <c r="D85" s="76">
        <v>34874.359196547302</v>
      </c>
      <c r="E85" s="76">
        <v>34979.956578386104</v>
      </c>
      <c r="F85" s="76">
        <v>35085.553960224897</v>
      </c>
      <c r="G85" s="76">
        <v>35191.1513420638</v>
      </c>
      <c r="H85" s="76">
        <v>35296.748723902601</v>
      </c>
      <c r="I85" s="76">
        <v>35258.3694670431</v>
      </c>
      <c r="J85" s="76">
        <v>35219.9902101837</v>
      </c>
      <c r="K85" s="76">
        <v>35181.610953324198</v>
      </c>
      <c r="L85" s="76">
        <v>35143.231696464703</v>
      </c>
      <c r="M85" s="76">
        <v>35104.852439605202</v>
      </c>
      <c r="N85" s="76">
        <v>35196.179680737703</v>
      </c>
      <c r="O85" s="76">
        <v>35287.506921870197</v>
      </c>
      <c r="P85" s="76">
        <v>35378.834163002699</v>
      </c>
      <c r="Q85" s="76">
        <v>35470.161404135099</v>
      </c>
      <c r="R85" s="76">
        <v>35561.4886452676</v>
      </c>
      <c r="S85" s="76">
        <v>35651.631605449198</v>
      </c>
      <c r="T85" s="76">
        <v>35741.774565630702</v>
      </c>
      <c r="U85" s="76">
        <v>35831.9175258123</v>
      </c>
      <c r="V85" s="76">
        <v>35922.060485993898</v>
      </c>
      <c r="W85" s="76">
        <v>36012.203446175503</v>
      </c>
      <c r="X85" s="76">
        <v>35970.592426470401</v>
      </c>
      <c r="Y85" s="76">
        <v>35928.981406765299</v>
      </c>
      <c r="Z85" s="76">
        <v>35887.370387060197</v>
      </c>
      <c r="AA85" s="76">
        <v>35845.759367355102</v>
      </c>
      <c r="AB85" s="76">
        <v>35804.148347650102</v>
      </c>
      <c r="AC85" s="76">
        <v>35876.111654955297</v>
      </c>
      <c r="AD85" s="76">
        <v>35948.074962260602</v>
      </c>
      <c r="AE85" s="76">
        <v>36020.038269565899</v>
      </c>
      <c r="AF85" s="76">
        <v>36092.001576871102</v>
      </c>
      <c r="AG85" s="76">
        <v>36163.964884176399</v>
      </c>
      <c r="AH85" s="76">
        <v>36287.359135307503</v>
      </c>
      <c r="AI85" s="76">
        <v>36410.753386438599</v>
      </c>
      <c r="AJ85" s="76">
        <v>36534.147637569797</v>
      </c>
      <c r="AK85" s="76">
        <v>36657.5418887009</v>
      </c>
      <c r="AL85" s="76">
        <v>36780.936139832003</v>
      </c>
      <c r="AM85" s="76">
        <v>36913.564143494397</v>
      </c>
      <c r="AN85" s="76">
        <v>37046.1921471569</v>
      </c>
      <c r="AO85" s="76">
        <v>37178.820150819301</v>
      </c>
      <c r="AP85" s="76">
        <v>37311.448154481703</v>
      </c>
      <c r="AQ85" s="76">
        <v>37444.076158144198</v>
      </c>
      <c r="AR85" s="76">
        <v>37444.076158144198</v>
      </c>
      <c r="AS85" s="76">
        <v>37444.076158144198</v>
      </c>
      <c r="AT85" s="76">
        <v>37444.076158144198</v>
      </c>
      <c r="AU85" s="76">
        <v>37444.076158144198</v>
      </c>
      <c r="AV85" s="76">
        <v>37444.076158144198</v>
      </c>
      <c r="AW85" s="76">
        <v>37444.076158144198</v>
      </c>
      <c r="AX85" s="76">
        <v>37444.076158144198</v>
      </c>
      <c r="AY85" s="76">
        <v>37444.076158144198</v>
      </c>
      <c r="AZ85" s="76">
        <v>37444.076158144198</v>
      </c>
      <c r="BA85" s="76">
        <v>37444.076158144198</v>
      </c>
    </row>
    <row r="86" spans="1:53" ht="15.75">
      <c r="A86" s="78" t="s">
        <v>155</v>
      </c>
      <c r="B86" s="76" t="s">
        <v>214</v>
      </c>
      <c r="C86" s="76">
        <v>21091.627394977299</v>
      </c>
      <c r="D86" s="76">
        <v>21037.2655284008</v>
      </c>
      <c r="E86" s="76">
        <v>20982.903661824399</v>
      </c>
      <c r="F86" s="76">
        <v>20928.5417952479</v>
      </c>
      <c r="G86" s="76">
        <v>20874.1799286715</v>
      </c>
      <c r="H86" s="76">
        <v>20819.818062095001</v>
      </c>
      <c r="I86" s="76">
        <v>20953.839773384399</v>
      </c>
      <c r="J86" s="76">
        <v>21087.861484673798</v>
      </c>
      <c r="K86" s="76">
        <v>21221.883195963299</v>
      </c>
      <c r="L86" s="76">
        <v>21355.904907252701</v>
      </c>
      <c r="M86" s="76">
        <v>21489.9266185421</v>
      </c>
      <c r="N86" s="76">
        <v>21724.936820316099</v>
      </c>
      <c r="O86" s="76">
        <v>21959.9470220902</v>
      </c>
      <c r="P86" s="76">
        <v>22194.957223864199</v>
      </c>
      <c r="Q86" s="76">
        <v>22429.967425638199</v>
      </c>
      <c r="R86" s="76">
        <v>22664.9776274123</v>
      </c>
      <c r="S86" s="76">
        <v>22777.3993085865</v>
      </c>
      <c r="T86" s="76">
        <v>22889.820989760701</v>
      </c>
      <c r="U86" s="76">
        <v>23002.2426709348</v>
      </c>
      <c r="V86" s="76">
        <v>23114.664352109001</v>
      </c>
      <c r="W86" s="76">
        <v>23227.086033283202</v>
      </c>
      <c r="X86" s="76">
        <v>23310.4589883958</v>
      </c>
      <c r="Y86" s="76">
        <v>23393.831943508401</v>
      </c>
      <c r="Z86" s="76">
        <v>23477.204898620901</v>
      </c>
      <c r="AA86" s="76">
        <v>23560.577853733499</v>
      </c>
      <c r="AB86" s="76">
        <v>23643.950808846101</v>
      </c>
      <c r="AC86" s="76">
        <v>23696.126683395501</v>
      </c>
      <c r="AD86" s="76">
        <v>23748.302557944899</v>
      </c>
      <c r="AE86" s="76">
        <v>23800.478432494299</v>
      </c>
      <c r="AF86" s="76">
        <v>23852.6543070437</v>
      </c>
      <c r="AG86" s="76">
        <v>23904.830181593101</v>
      </c>
      <c r="AH86" s="76">
        <v>23991.649797753798</v>
      </c>
      <c r="AI86" s="76">
        <v>24078.469413914601</v>
      </c>
      <c r="AJ86" s="76">
        <v>24165.289030075299</v>
      </c>
      <c r="AK86" s="76">
        <v>24252.108646236</v>
      </c>
      <c r="AL86" s="76">
        <v>24338.928262396701</v>
      </c>
      <c r="AM86" s="76">
        <v>24427.7320157084</v>
      </c>
      <c r="AN86" s="76">
        <v>24516.535769020102</v>
      </c>
      <c r="AO86" s="76">
        <v>24605.339522331698</v>
      </c>
      <c r="AP86" s="76">
        <v>24694.143275643401</v>
      </c>
      <c r="AQ86" s="76">
        <v>24782.947028955099</v>
      </c>
      <c r="AR86" s="76">
        <v>24782.947028955099</v>
      </c>
      <c r="AS86" s="76">
        <v>24782.947028955099</v>
      </c>
      <c r="AT86" s="76">
        <v>24782.947028955099</v>
      </c>
      <c r="AU86" s="76">
        <v>24782.947028955099</v>
      </c>
      <c r="AV86" s="76">
        <v>24782.947028955099</v>
      </c>
      <c r="AW86" s="76">
        <v>24782.947028955099</v>
      </c>
      <c r="AX86" s="76">
        <v>24782.947028955099</v>
      </c>
      <c r="AY86" s="76">
        <v>24782.947028955099</v>
      </c>
      <c r="AZ86" s="76">
        <v>24782.947028955099</v>
      </c>
      <c r="BA86" s="76">
        <v>24782.947028955099</v>
      </c>
    </row>
    <row r="87" spans="1:53" ht="15.75">
      <c r="A87" s="78" t="s">
        <v>156</v>
      </c>
      <c r="B87" s="76" t="s">
        <v>215</v>
      </c>
      <c r="C87" s="76">
        <v>21659.777928002099</v>
      </c>
      <c r="D87" s="76">
        <v>21791.387955775499</v>
      </c>
      <c r="E87" s="76">
        <v>21922.997983548899</v>
      </c>
      <c r="F87" s="76">
        <v>22054.6080113223</v>
      </c>
      <c r="G87" s="76">
        <v>22186.218039095598</v>
      </c>
      <c r="H87" s="76">
        <v>22317.828066868999</v>
      </c>
      <c r="I87" s="76">
        <v>22305.2654963194</v>
      </c>
      <c r="J87" s="76">
        <v>22292.702925769801</v>
      </c>
      <c r="K87" s="76">
        <v>22280.140355220199</v>
      </c>
      <c r="L87" s="76">
        <v>22267.577784670499</v>
      </c>
      <c r="M87" s="76">
        <v>22255.0152141209</v>
      </c>
      <c r="N87" s="76">
        <v>22421.279904337502</v>
      </c>
      <c r="O87" s="76">
        <v>22587.544594554001</v>
      </c>
      <c r="P87" s="76">
        <v>22753.809284770599</v>
      </c>
      <c r="Q87" s="76">
        <v>22920.073974987201</v>
      </c>
      <c r="R87" s="76">
        <v>23086.338665203701</v>
      </c>
      <c r="S87" s="76">
        <v>23225.269035171699</v>
      </c>
      <c r="T87" s="76">
        <v>23364.199405139701</v>
      </c>
      <c r="U87" s="76">
        <v>23503.1297751077</v>
      </c>
      <c r="V87" s="76">
        <v>23642.0601450756</v>
      </c>
      <c r="W87" s="76">
        <v>23780.990515043599</v>
      </c>
      <c r="X87" s="76">
        <v>23753.581778601299</v>
      </c>
      <c r="Y87" s="76">
        <v>23726.173042158902</v>
      </c>
      <c r="Z87" s="76">
        <v>23698.764305716599</v>
      </c>
      <c r="AA87" s="76">
        <v>23671.355569274201</v>
      </c>
      <c r="AB87" s="76">
        <v>23643.946832831902</v>
      </c>
      <c r="AC87" s="76">
        <v>23696.121758489699</v>
      </c>
      <c r="AD87" s="76">
        <v>23748.296684147499</v>
      </c>
      <c r="AE87" s="76">
        <v>23800.4716098053</v>
      </c>
      <c r="AF87" s="76">
        <v>23852.6465354631</v>
      </c>
      <c r="AG87" s="76">
        <v>23904.8214611209</v>
      </c>
      <c r="AH87" s="76">
        <v>23991.640895692701</v>
      </c>
      <c r="AI87" s="76">
        <v>24078.460330264399</v>
      </c>
      <c r="AJ87" s="76">
        <v>24165.279764836199</v>
      </c>
      <c r="AK87" s="76">
        <v>24252.099199408</v>
      </c>
      <c r="AL87" s="76">
        <v>24338.918633979702</v>
      </c>
      <c r="AM87" s="76">
        <v>24427.724380483702</v>
      </c>
      <c r="AN87" s="76">
        <v>24516.5301269878</v>
      </c>
      <c r="AO87" s="76">
        <v>24605.3358734918</v>
      </c>
      <c r="AP87" s="76">
        <v>24694.1416199958</v>
      </c>
      <c r="AQ87" s="76">
        <v>24782.9473664998</v>
      </c>
      <c r="AR87" s="76">
        <v>24782.9473664998</v>
      </c>
      <c r="AS87" s="76">
        <v>24782.9473664998</v>
      </c>
      <c r="AT87" s="76">
        <v>24782.9473664998</v>
      </c>
      <c r="AU87" s="76">
        <v>24782.9473664998</v>
      </c>
      <c r="AV87" s="76">
        <v>24782.9473664998</v>
      </c>
      <c r="AW87" s="76">
        <v>24782.9473664998</v>
      </c>
      <c r="AX87" s="76">
        <v>24782.9473664998</v>
      </c>
      <c r="AY87" s="76">
        <v>24782.9473664998</v>
      </c>
      <c r="AZ87" s="76">
        <v>24782.9473664998</v>
      </c>
      <c r="BA87" s="76">
        <v>24782.9473664998</v>
      </c>
    </row>
    <row r="88" spans="1:53" ht="15.75">
      <c r="A88" s="78" t="s">
        <v>157</v>
      </c>
      <c r="B88" s="76" t="s">
        <v>216</v>
      </c>
      <c r="C88" s="76">
        <v>22089.612400879501</v>
      </c>
      <c r="D88" s="76">
        <v>22254.830516849201</v>
      </c>
      <c r="E88" s="76">
        <v>22420.048632819002</v>
      </c>
      <c r="F88" s="76">
        <v>22585.266748788701</v>
      </c>
      <c r="G88" s="76">
        <v>22750.484864758499</v>
      </c>
      <c r="H88" s="76">
        <v>22915.702980728202</v>
      </c>
      <c r="I88" s="76">
        <v>22961.0601345865</v>
      </c>
      <c r="J88" s="76">
        <v>23006.4172884447</v>
      </c>
      <c r="K88" s="76">
        <v>23051.7744423029</v>
      </c>
      <c r="L88" s="76">
        <v>23097.1315961611</v>
      </c>
      <c r="M88" s="76">
        <v>23142.488750019402</v>
      </c>
      <c r="N88" s="76">
        <v>23237.1787034726</v>
      </c>
      <c r="O88" s="76">
        <v>23331.868656925799</v>
      </c>
      <c r="P88" s="76">
        <v>23426.558610379001</v>
      </c>
      <c r="Q88" s="76">
        <v>23521.2485638322</v>
      </c>
      <c r="R88" s="76">
        <v>23615.938517285402</v>
      </c>
      <c r="S88" s="76">
        <v>23667.042041819201</v>
      </c>
      <c r="T88" s="76">
        <v>23718.145566353101</v>
      </c>
      <c r="U88" s="76">
        <v>23769.2490908869</v>
      </c>
      <c r="V88" s="76">
        <v>23820.352615420699</v>
      </c>
      <c r="W88" s="76">
        <v>23871.456139954498</v>
      </c>
      <c r="X88" s="76">
        <v>23825.9595253433</v>
      </c>
      <c r="Y88" s="76">
        <v>23780.4629107322</v>
      </c>
      <c r="Z88" s="76">
        <v>23734.966296121002</v>
      </c>
      <c r="AA88" s="76">
        <v>23689.4696815098</v>
      </c>
      <c r="AB88" s="76">
        <v>23643.973066898601</v>
      </c>
      <c r="AC88" s="76">
        <v>23696.145507457801</v>
      </c>
      <c r="AD88" s="76">
        <v>23748.317948017</v>
      </c>
      <c r="AE88" s="76">
        <v>23800.490388576301</v>
      </c>
      <c r="AF88" s="76">
        <v>23852.662829135501</v>
      </c>
      <c r="AG88" s="76">
        <v>23904.8352696947</v>
      </c>
      <c r="AH88" s="76">
        <v>23991.6580708851</v>
      </c>
      <c r="AI88" s="76">
        <v>24078.480872075401</v>
      </c>
      <c r="AJ88" s="76">
        <v>24165.3036732658</v>
      </c>
      <c r="AK88" s="76">
        <v>24252.1264744562</v>
      </c>
      <c r="AL88" s="76">
        <v>24338.949275646501</v>
      </c>
      <c r="AM88" s="76">
        <v>24427.753076080298</v>
      </c>
      <c r="AN88" s="76">
        <v>24516.5568765141</v>
      </c>
      <c r="AO88" s="76">
        <v>24605.360676947999</v>
      </c>
      <c r="AP88" s="76">
        <v>24694.164477381801</v>
      </c>
      <c r="AQ88" s="76">
        <v>24782.968277815598</v>
      </c>
      <c r="AR88" s="76">
        <v>24782.968277815598</v>
      </c>
      <c r="AS88" s="76">
        <v>24782.968277815598</v>
      </c>
      <c r="AT88" s="76">
        <v>24782.968277815598</v>
      </c>
      <c r="AU88" s="76">
        <v>24782.968277815598</v>
      </c>
      <c r="AV88" s="76">
        <v>24782.968277815598</v>
      </c>
      <c r="AW88" s="76">
        <v>24782.968277815598</v>
      </c>
      <c r="AX88" s="76">
        <v>24782.968277815598</v>
      </c>
      <c r="AY88" s="76">
        <v>24782.968277815598</v>
      </c>
      <c r="AZ88" s="76">
        <v>24782.968277815598</v>
      </c>
      <c r="BA88" s="76">
        <v>24782.968277815598</v>
      </c>
    </row>
    <row r="89" spans="1:53" ht="15.75">
      <c r="A89" s="76"/>
      <c r="B89" s="76" t="s">
        <v>217</v>
      </c>
      <c r="C89" s="76"/>
      <c r="D89" s="76"/>
      <c r="E89" s="76"/>
      <c r="F89" s="76"/>
      <c r="G89" s="76"/>
      <c r="H89" s="76"/>
      <c r="I89" s="76"/>
      <c r="J89" s="76"/>
      <c r="K89" s="76"/>
      <c r="L89" s="76"/>
      <c r="M89" s="76"/>
      <c r="N89" s="76"/>
      <c r="O89" s="76"/>
      <c r="P89" s="76"/>
      <c r="Q89" s="76"/>
      <c r="R89" s="76"/>
      <c r="S89" s="76"/>
      <c r="T89" s="76"/>
      <c r="U89" s="76"/>
      <c r="V89" s="76"/>
      <c r="W89" s="76"/>
      <c r="X89" s="76"/>
      <c r="Y89" s="76"/>
      <c r="Z89" s="76"/>
      <c r="AA89" s="76"/>
      <c r="AB89" s="76"/>
      <c r="AC89" s="76"/>
      <c r="AD89" s="76"/>
      <c r="AE89" s="76"/>
      <c r="AF89" s="76"/>
      <c r="AG89" s="76"/>
      <c r="AH89" s="76"/>
      <c r="AI89" s="76"/>
      <c r="AJ89" s="76"/>
      <c r="AK89" s="76"/>
      <c r="AL89" s="76"/>
      <c r="AM89" s="76"/>
      <c r="AN89" s="76"/>
      <c r="AO89" s="76"/>
      <c r="AP89" s="76"/>
      <c r="AQ89" s="76"/>
      <c r="AR89" s="76"/>
      <c r="AS89" s="76"/>
      <c r="AT89" s="76"/>
      <c r="AU89" s="76"/>
      <c r="AV89" s="76"/>
      <c r="AW89" s="76"/>
      <c r="AX89" s="76"/>
      <c r="AY89" s="76"/>
      <c r="AZ89" s="76"/>
      <c r="BA89" s="76"/>
    </row>
    <row r="90" spans="1:53" ht="15.75">
      <c r="A90" s="76"/>
      <c r="B90" s="76" t="s">
        <v>218</v>
      </c>
      <c r="C90" s="76">
        <v>36212.917622817593</v>
      </c>
      <c r="D90" s="76">
        <v>35995.436443432634</v>
      </c>
      <c r="E90" s="76">
        <v>35777.955264047698</v>
      </c>
      <c r="F90" s="76">
        <v>35560.474084662776</v>
      </c>
      <c r="G90" s="76">
        <v>35342.992905277788</v>
      </c>
      <c r="H90" s="76">
        <v>35125.511725892873</v>
      </c>
      <c r="I90" s="76">
        <v>35092.616355598533</v>
      </c>
      <c r="J90" s="76">
        <v>35059.72098530423</v>
      </c>
      <c r="K90" s="76">
        <v>35026.82561500989</v>
      </c>
      <c r="L90" s="76">
        <v>34993.930244715593</v>
      </c>
      <c r="M90" s="76">
        <v>34961.034874421275</v>
      </c>
      <c r="N90" s="76">
        <v>35044.534078823126</v>
      </c>
      <c r="O90" s="76">
        <v>35128.033283224977</v>
      </c>
      <c r="P90" s="76">
        <v>35211.532487626893</v>
      </c>
      <c r="Q90" s="76">
        <v>35295.031692028722</v>
      </c>
      <c r="R90" s="76">
        <v>35378.53089643058</v>
      </c>
      <c r="S90" s="76">
        <v>35519.507405075063</v>
      </c>
      <c r="T90" s="76">
        <v>35660.483913719538</v>
      </c>
      <c r="U90" s="76">
        <v>35801.460422363969</v>
      </c>
      <c r="V90" s="76">
        <v>35942.436931008444</v>
      </c>
      <c r="W90" s="76">
        <v>36083.413439652904</v>
      </c>
      <c r="X90" s="76">
        <v>36110.468399902995</v>
      </c>
      <c r="Y90" s="76">
        <v>36137.52336015302</v>
      </c>
      <c r="Z90" s="76">
        <v>36164.578320403096</v>
      </c>
      <c r="AA90" s="76">
        <v>36191.633280653135</v>
      </c>
      <c r="AB90" s="76">
        <v>36218.68824090319</v>
      </c>
      <c r="AC90" s="76">
        <v>36304.420718144684</v>
      </c>
      <c r="AD90" s="76">
        <v>36390.153195386178</v>
      </c>
      <c r="AE90" s="76">
        <v>36475.885672627621</v>
      </c>
      <c r="AF90" s="76">
        <v>36561.618149869115</v>
      </c>
      <c r="AG90" s="76">
        <v>36647.350627110602</v>
      </c>
      <c r="AH90" s="76">
        <v>36746.835188994162</v>
      </c>
      <c r="AI90" s="76">
        <v>36846.319750877708</v>
      </c>
      <c r="AJ90" s="76">
        <v>36945.804312761255</v>
      </c>
      <c r="AK90" s="76">
        <v>37045.288874644808</v>
      </c>
      <c r="AL90" s="76">
        <v>37144.773436528369</v>
      </c>
      <c r="AM90" s="76">
        <v>37248.895799007085</v>
      </c>
      <c r="AN90" s="76">
        <v>37353.018161485779</v>
      </c>
      <c r="AO90" s="76">
        <v>37457.140523964496</v>
      </c>
      <c r="AP90" s="76">
        <v>37561.262886443212</v>
      </c>
      <c r="AQ90" s="76">
        <v>37665.385248921906</v>
      </c>
      <c r="AR90" s="76">
        <v>37665.385248921906</v>
      </c>
      <c r="AS90" s="76">
        <v>37665.385248921906</v>
      </c>
      <c r="AT90" s="76">
        <v>37665.385248921906</v>
      </c>
      <c r="AU90" s="76">
        <v>37665.385248921906</v>
      </c>
      <c r="AV90" s="76">
        <v>37665.385248921906</v>
      </c>
      <c r="AW90" s="76">
        <v>37665.385248921906</v>
      </c>
      <c r="AX90" s="76">
        <v>37665.385248921906</v>
      </c>
      <c r="AY90" s="76">
        <v>37665.385248921906</v>
      </c>
      <c r="AZ90" s="76">
        <v>37665.385248921906</v>
      </c>
      <c r="BA90" s="76">
        <v>37665.385248921906</v>
      </c>
    </row>
    <row r="91" spans="1:53" ht="15.75">
      <c r="A91" s="76"/>
      <c r="B91" s="76"/>
      <c r="C91" s="76"/>
      <c r="D91" s="76"/>
      <c r="E91" s="76"/>
      <c r="F91" s="76"/>
      <c r="G91" s="76"/>
      <c r="H91" s="76"/>
      <c r="I91" s="76"/>
      <c r="J91" s="76"/>
      <c r="K91" s="76"/>
      <c r="L91" s="76"/>
      <c r="M91" s="76"/>
      <c r="N91" s="76"/>
      <c r="O91" s="76"/>
      <c r="P91" s="76"/>
      <c r="Q91" s="76"/>
      <c r="R91" s="76"/>
      <c r="S91" s="76"/>
      <c r="T91" s="76"/>
      <c r="U91" s="76"/>
      <c r="V91" s="76"/>
      <c r="W91" s="76"/>
      <c r="X91" s="76"/>
      <c r="Y91" s="76"/>
      <c r="Z91" s="76"/>
      <c r="AA91" s="76"/>
      <c r="AB91" s="76"/>
      <c r="AC91" s="76"/>
      <c r="AD91" s="76"/>
      <c r="AE91" s="76"/>
      <c r="AF91" s="76"/>
      <c r="AG91" s="76"/>
      <c r="AH91" s="76"/>
      <c r="AI91" s="76"/>
      <c r="AJ91" s="76"/>
      <c r="AK91" s="76"/>
      <c r="AL91" s="76"/>
      <c r="AM91" s="76"/>
      <c r="AN91" s="76"/>
      <c r="AO91" s="76"/>
      <c r="AP91" s="76"/>
      <c r="AQ91" s="76"/>
      <c r="AR91" s="76"/>
      <c r="AS91" s="76"/>
      <c r="AT91" s="76"/>
      <c r="AU91" s="76"/>
      <c r="AV91" s="76"/>
      <c r="AW91" s="76"/>
      <c r="AX91" s="76"/>
      <c r="AY91" s="76"/>
      <c r="AZ91" s="76"/>
      <c r="BA91" s="76"/>
    </row>
    <row r="92" spans="1:53" ht="15.75">
      <c r="A92" s="76"/>
      <c r="B92" s="76"/>
      <c r="C92" s="76"/>
      <c r="D92" s="76"/>
      <c r="E92" s="76"/>
      <c r="F92" s="76"/>
      <c r="G92" s="76"/>
      <c r="H92" s="76"/>
      <c r="I92" s="76"/>
      <c r="J92" s="76"/>
      <c r="K92" s="76"/>
      <c r="L92" s="76"/>
      <c r="M92" s="76"/>
      <c r="N92" s="76"/>
      <c r="O92" s="76"/>
      <c r="P92" s="76"/>
      <c r="Q92" s="76"/>
      <c r="R92" s="76"/>
      <c r="S92" s="76"/>
      <c r="T92" s="76"/>
      <c r="U92" s="76"/>
      <c r="V92" s="76"/>
      <c r="W92" s="76"/>
      <c r="X92" s="76"/>
      <c r="Y92" s="76"/>
      <c r="Z92" s="76"/>
      <c r="AA92" s="76"/>
      <c r="AB92" s="76"/>
      <c r="AC92" s="76"/>
      <c r="AD92" s="76"/>
      <c r="AE92" s="76"/>
      <c r="AF92" s="76"/>
      <c r="AG92" s="76"/>
      <c r="AH92" s="76"/>
      <c r="AI92" s="76"/>
      <c r="AJ92" s="76"/>
      <c r="AK92" s="76"/>
      <c r="AL92" s="76"/>
      <c r="AM92" s="76"/>
      <c r="AN92" s="76"/>
      <c r="AO92" s="76"/>
      <c r="AP92" s="76"/>
      <c r="AQ92" s="76"/>
      <c r="AR92" s="76"/>
      <c r="AS92" s="76"/>
      <c r="AT92" s="76"/>
      <c r="AU92" s="76"/>
      <c r="AV92" s="76"/>
      <c r="AW92" s="76"/>
      <c r="AX92" s="76"/>
      <c r="AY92" s="76"/>
      <c r="AZ92" s="76"/>
      <c r="BA92" s="76"/>
    </row>
    <row r="93" spans="1:53" ht="15.75">
      <c r="A93" s="65" t="s">
        <v>219</v>
      </c>
      <c r="B93" s="76" t="s">
        <v>220</v>
      </c>
      <c r="C93" s="79">
        <v>2020</v>
      </c>
      <c r="D93" s="79">
        <v>2021</v>
      </c>
      <c r="E93" s="79">
        <v>2022</v>
      </c>
      <c r="F93" s="79">
        <v>2023</v>
      </c>
      <c r="G93" s="79">
        <v>2024</v>
      </c>
      <c r="H93" s="79">
        <v>2025</v>
      </c>
      <c r="I93" s="79">
        <v>2026</v>
      </c>
      <c r="J93" s="79">
        <v>2027</v>
      </c>
      <c r="K93" s="79">
        <v>2028</v>
      </c>
      <c r="L93" s="79">
        <v>2029</v>
      </c>
      <c r="M93" s="79">
        <v>2030</v>
      </c>
      <c r="N93" s="79">
        <v>2031</v>
      </c>
      <c r="O93" s="79">
        <v>2032</v>
      </c>
      <c r="P93" s="79">
        <v>2033</v>
      </c>
      <c r="Q93" s="79">
        <v>2034</v>
      </c>
      <c r="R93" s="79">
        <v>2035</v>
      </c>
      <c r="S93" s="79">
        <v>2036</v>
      </c>
      <c r="T93" s="79">
        <v>2037</v>
      </c>
      <c r="U93" s="79">
        <v>2038</v>
      </c>
      <c r="V93" s="79">
        <v>2039</v>
      </c>
      <c r="W93" s="79">
        <v>2040</v>
      </c>
      <c r="X93" s="79">
        <v>2041</v>
      </c>
      <c r="Y93" s="79">
        <v>2042</v>
      </c>
      <c r="Z93" s="79">
        <v>2043</v>
      </c>
      <c r="AA93" s="79">
        <v>2044</v>
      </c>
      <c r="AB93" s="79">
        <v>2045</v>
      </c>
      <c r="AC93" s="79">
        <v>2046</v>
      </c>
      <c r="AD93" s="79">
        <v>2047</v>
      </c>
      <c r="AE93" s="79">
        <v>2048</v>
      </c>
      <c r="AF93" s="79">
        <v>2049</v>
      </c>
      <c r="AG93" s="79">
        <v>2050</v>
      </c>
      <c r="AH93" s="79"/>
      <c r="AI93" s="79"/>
      <c r="AJ93" s="79"/>
      <c r="AK93" s="76"/>
      <c r="AL93" s="76"/>
      <c r="AM93" s="76"/>
      <c r="AN93" s="76"/>
      <c r="AO93" s="76"/>
      <c r="AP93" s="76"/>
      <c r="AQ93" s="76"/>
      <c r="AR93" s="76"/>
      <c r="AS93" s="76"/>
      <c r="AT93" s="76"/>
      <c r="AU93" s="76"/>
      <c r="AV93" s="76"/>
      <c r="AW93" s="76"/>
      <c r="AX93" s="76"/>
      <c r="AY93" s="76"/>
      <c r="AZ93" s="76"/>
      <c r="BA93" s="76"/>
    </row>
    <row r="94" spans="1:53" ht="15.75">
      <c r="A94" s="78" t="s">
        <v>155</v>
      </c>
      <c r="B94" s="76" t="s">
        <v>171</v>
      </c>
      <c r="C94" s="80">
        <v>28710.322132816953</v>
      </c>
      <c r="D94" s="80">
        <v>28740.361267211476</v>
      </c>
      <c r="E94" s="80">
        <v>28770.640209197707</v>
      </c>
      <c r="F94" s="80">
        <v>28801.158861193297</v>
      </c>
      <c r="G94" s="80">
        <v>28831.917125668646</v>
      </c>
      <c r="H94" s="80">
        <v>28862.914905147245</v>
      </c>
      <c r="I94" s="80">
        <v>28717.200325824579</v>
      </c>
      <c r="J94" s="80">
        <v>28573.837952827373</v>
      </c>
      <c r="K94" s="80">
        <v>28432.843015929622</v>
      </c>
      <c r="L94" s="80">
        <v>28294.23087666685</v>
      </c>
      <c r="M94" s="80">
        <v>28158.017029763927</v>
      </c>
      <c r="N94" s="80">
        <v>28447.914960283164</v>
      </c>
      <c r="O94" s="80">
        <v>28737.820781666884</v>
      </c>
      <c r="P94" s="80">
        <v>29027.734254104627</v>
      </c>
      <c r="Q94" s="80">
        <v>29317.655147406247</v>
      </c>
      <c r="R94" s="80">
        <v>29607.583240523665</v>
      </c>
      <c r="S94" s="80">
        <v>29766.428851142275</v>
      </c>
      <c r="T94" s="80">
        <v>29925.277854408047</v>
      </c>
      <c r="U94" s="80">
        <v>30084.130197527837</v>
      </c>
      <c r="V94" s="80">
        <v>30242.985828798304</v>
      </c>
      <c r="W94" s="80">
        <v>30401.844697577679</v>
      </c>
      <c r="X94" s="80">
        <v>30515.019684416697</v>
      </c>
      <c r="Y94" s="80">
        <v>30628.195047925372</v>
      </c>
      <c r="Z94" s="80">
        <v>30741.370783978513</v>
      </c>
      <c r="AA94" s="80">
        <v>30854.546888511064</v>
      </c>
      <c r="AB94" s="80">
        <v>30967.723357516781</v>
      </c>
      <c r="AC94" s="80">
        <v>31031.244195760959</v>
      </c>
      <c r="AD94" s="80">
        <v>31094.765559132204</v>
      </c>
      <c r="AE94" s="80">
        <v>31158.287444361296</v>
      </c>
      <c r="AF94" s="80">
        <v>31221.809848206052</v>
      </c>
      <c r="AG94" s="80">
        <v>31285.332767451124</v>
      </c>
      <c r="AH94" s="80"/>
      <c r="AI94" s="80"/>
      <c r="AJ94" s="80"/>
      <c r="AK94" s="76"/>
      <c r="AL94" s="76"/>
      <c r="AM94" s="76"/>
      <c r="AN94" s="76"/>
      <c r="AO94" s="76"/>
      <c r="AP94" s="76"/>
      <c r="AQ94" s="76"/>
      <c r="AR94" s="76"/>
      <c r="AS94" s="76"/>
      <c r="AT94" s="76"/>
      <c r="AU94" s="76"/>
      <c r="AV94" s="76"/>
      <c r="AW94" s="76"/>
      <c r="AX94" s="76"/>
      <c r="AY94" s="76"/>
      <c r="AZ94" s="76"/>
      <c r="BA94" s="76"/>
    </row>
    <row r="95" spans="1:53" ht="15.75">
      <c r="A95" s="78" t="s">
        <v>156</v>
      </c>
      <c r="B95" s="76" t="s">
        <v>171</v>
      </c>
      <c r="C95" s="80">
        <v>28744.397888062351</v>
      </c>
      <c r="D95" s="80">
        <v>28676.968077147903</v>
      </c>
      <c r="E95" s="80">
        <v>28610.93607939504</v>
      </c>
      <c r="F95" s="80">
        <v>28546.303244862313</v>
      </c>
      <c r="G95" s="80">
        <v>28483.07092534742</v>
      </c>
      <c r="H95" s="80">
        <v>28421.240474390048</v>
      </c>
      <c r="I95" s="80">
        <v>28580.672447378776</v>
      </c>
      <c r="J95" s="80">
        <v>28740.915769933003</v>
      </c>
      <c r="K95" s="80">
        <v>28901.960355873602</v>
      </c>
      <c r="L95" s="80">
        <v>29063.796285511478</v>
      </c>
      <c r="M95" s="80">
        <v>29226.413802226503</v>
      </c>
      <c r="N95" s="80">
        <v>29411.355422648674</v>
      </c>
      <c r="O95" s="80">
        <v>29596.323278761934</v>
      </c>
      <c r="P95" s="80">
        <v>29781.316861134808</v>
      </c>
      <c r="Q95" s="80">
        <v>29966.335673440339</v>
      </c>
      <c r="R95" s="80">
        <v>30151.379232036968</v>
      </c>
      <c r="S95" s="80">
        <v>30333.797005516542</v>
      </c>
      <c r="T95" s="80">
        <v>30516.214800821454</v>
      </c>
      <c r="U95" s="80">
        <v>30698.632617563169</v>
      </c>
      <c r="V95" s="80">
        <v>30881.050455362249</v>
      </c>
      <c r="W95" s="80">
        <v>31063.468313848229</v>
      </c>
      <c r="X95" s="80">
        <v>31044.307883452144</v>
      </c>
      <c r="Y95" s="80">
        <v>31025.15379853193</v>
      </c>
      <c r="Z95" s="80">
        <v>31006.006073280296</v>
      </c>
      <c r="AA95" s="80">
        <v>30986.864721932208</v>
      </c>
      <c r="AB95" s="80">
        <v>30967.729758765032</v>
      </c>
      <c r="AC95" s="80">
        <v>31031.245842030195</v>
      </c>
      <c r="AD95" s="80">
        <v>31094.762451193659</v>
      </c>
      <c r="AE95" s="80">
        <v>31158.279582981715</v>
      </c>
      <c r="AF95" s="80">
        <v>31221.797234147554</v>
      </c>
      <c r="AG95" s="80">
        <v>31285.315401471289</v>
      </c>
      <c r="AH95" s="80"/>
      <c r="AI95" s="80"/>
      <c r="AJ95" s="80"/>
      <c r="AK95" s="76"/>
      <c r="AL95" s="76"/>
      <c r="AM95" s="76"/>
      <c r="AN95" s="76"/>
      <c r="AO95" s="76"/>
      <c r="AP95" s="76"/>
      <c r="AQ95" s="76"/>
      <c r="AR95" s="76"/>
      <c r="AS95" s="76"/>
      <c r="AT95" s="76"/>
      <c r="AU95" s="76"/>
      <c r="AV95" s="76"/>
      <c r="AW95" s="76"/>
      <c r="AX95" s="76"/>
      <c r="AY95" s="76"/>
      <c r="AZ95" s="76"/>
      <c r="BA95" s="76"/>
    </row>
    <row r="96" spans="1:53" ht="15.75">
      <c r="A96" s="78" t="s">
        <v>157</v>
      </c>
      <c r="B96" s="76" t="s">
        <v>172</v>
      </c>
      <c r="C96" s="80">
        <v>29842.882382026088</v>
      </c>
      <c r="D96" s="80">
        <v>29958.387634931714</v>
      </c>
      <c r="E96" s="80">
        <v>30074.142616746009</v>
      </c>
      <c r="F96" s="80">
        <v>30190.143809374844</v>
      </c>
      <c r="G96" s="80">
        <v>30306.387760497608</v>
      </c>
      <c r="H96" s="80">
        <v>30422.871082036781</v>
      </c>
      <c r="I96" s="80">
        <v>30408.454910885299</v>
      </c>
      <c r="J96" s="80">
        <v>30394.163454050838</v>
      </c>
      <c r="K96" s="80">
        <v>30379.996666701074</v>
      </c>
      <c r="L96" s="80">
        <v>30365.95450402538</v>
      </c>
      <c r="M96" s="80">
        <v>30352.036921234514</v>
      </c>
      <c r="N96" s="80">
        <v>30440.446816702897</v>
      </c>
      <c r="O96" s="80">
        <v>30528.886091246739</v>
      </c>
      <c r="P96" s="80">
        <v>30617.3544660644</v>
      </c>
      <c r="Q96" s="80">
        <v>30705.851665870759</v>
      </c>
      <c r="R96" s="80">
        <v>30794.377418842192</v>
      </c>
      <c r="S96" s="80">
        <v>30870.004377183614</v>
      </c>
      <c r="T96" s="80">
        <v>30945.633194978374</v>
      </c>
      <c r="U96" s="80">
        <v>31021.263859006613</v>
      </c>
      <c r="V96" s="80">
        <v>31096.896356173373</v>
      </c>
      <c r="W96" s="80">
        <v>31172.530673507281</v>
      </c>
      <c r="X96" s="80">
        <v>31131.558694465555</v>
      </c>
      <c r="Y96" s="80">
        <v>31090.594501352422</v>
      </c>
      <c r="Z96" s="80">
        <v>31049.638128293333</v>
      </c>
      <c r="AA96" s="80">
        <v>31008.689609613521</v>
      </c>
      <c r="AB96" s="80">
        <v>30967.748979839445</v>
      </c>
      <c r="AC96" s="80">
        <v>31031.268369596062</v>
      </c>
      <c r="AD96" s="80">
        <v>31094.788283813279</v>
      </c>
      <c r="AE96" s="80">
        <v>31158.308719226068</v>
      </c>
      <c r="AF96" s="80">
        <v>31221.82967259637</v>
      </c>
      <c r="AG96" s="80">
        <v>31285.351140713188</v>
      </c>
      <c r="AH96" s="80"/>
      <c r="AI96" s="80"/>
      <c r="AJ96" s="80"/>
      <c r="AK96" s="76"/>
      <c r="AL96" s="76"/>
      <c r="AM96" s="76"/>
      <c r="AN96" s="76"/>
      <c r="AO96" s="76"/>
      <c r="AP96" s="76"/>
      <c r="AQ96" s="76"/>
      <c r="AR96" s="76"/>
      <c r="AS96" s="76"/>
      <c r="AT96" s="76"/>
      <c r="AU96" s="76"/>
      <c r="AV96" s="76"/>
      <c r="AW96" s="76"/>
      <c r="AX96" s="76"/>
      <c r="AY96" s="76"/>
      <c r="AZ96" s="76"/>
      <c r="BA96" s="76"/>
    </row>
    <row r="97" spans="1:53" ht="15.75">
      <c r="A97" s="78" t="s">
        <v>158</v>
      </c>
      <c r="B97" s="76" t="s">
        <v>172</v>
      </c>
      <c r="C97" s="80">
        <v>75846.446604917626</v>
      </c>
      <c r="D97" s="80">
        <v>74745.588157432809</v>
      </c>
      <c r="E97" s="80">
        <v>73758.184901119035</v>
      </c>
      <c r="F97" s="80">
        <v>72884.634676411981</v>
      </c>
      <c r="G97" s="80">
        <v>72125.337186006625</v>
      </c>
      <c r="H97" s="80">
        <v>71480.694005766389</v>
      </c>
      <c r="I97" s="80">
        <v>70922.611425347015</v>
      </c>
      <c r="J97" s="80">
        <v>70413.120806379782</v>
      </c>
      <c r="K97" s="80">
        <v>69952.752390230788</v>
      </c>
      <c r="L97" s="80">
        <v>69542.04416117417</v>
      </c>
      <c r="M97" s="80">
        <v>69181.54198824281</v>
      </c>
      <c r="N97" s="80">
        <v>69180.131818530455</v>
      </c>
      <c r="O97" s="80">
        <v>69188.970477484938</v>
      </c>
      <c r="P97" s="80">
        <v>69208.044257081739</v>
      </c>
      <c r="Q97" s="80">
        <v>69237.339473732121</v>
      </c>
      <c r="R97" s="80">
        <v>69276.84246822806</v>
      </c>
      <c r="S97" s="80">
        <v>69538.575912286236</v>
      </c>
      <c r="T97" s="80">
        <v>69803.277062369627</v>
      </c>
      <c r="U97" s="80">
        <v>70070.913785863042</v>
      </c>
      <c r="V97" s="80">
        <v>70341.454412367704</v>
      </c>
      <c r="W97" s="80">
        <v>70614.86772542019</v>
      </c>
      <c r="X97" s="80">
        <v>70686.211529501437</v>
      </c>
      <c r="Y97" s="80">
        <v>70757.843124658903</v>
      </c>
      <c r="Z97" s="80">
        <v>70829.761727331352</v>
      </c>
      <c r="AA97" s="80">
        <v>70901.966556799467</v>
      </c>
      <c r="AB97" s="80">
        <v>70974.456835173027</v>
      </c>
      <c r="AC97" s="80">
        <v>71303.864251888983</v>
      </c>
      <c r="AD97" s="80">
        <v>71633.817743775333</v>
      </c>
      <c r="AE97" s="80">
        <v>71964.309556551074</v>
      </c>
      <c r="AF97" s="80">
        <v>72295.332082058099</v>
      </c>
      <c r="AG97" s="80">
        <v>72626.877854835358</v>
      </c>
      <c r="AH97" s="80"/>
      <c r="AI97" s="80"/>
      <c r="AJ97" s="80"/>
      <c r="AK97" s="76"/>
      <c r="AL97" s="76"/>
      <c r="AM97" s="76"/>
      <c r="AN97" s="76"/>
      <c r="AO97" s="76"/>
      <c r="AP97" s="76"/>
      <c r="AQ97" s="76"/>
      <c r="AR97" s="76"/>
      <c r="AS97" s="76"/>
      <c r="AT97" s="76"/>
      <c r="AU97" s="76"/>
      <c r="AV97" s="76"/>
      <c r="AW97" s="76"/>
      <c r="AX97" s="76"/>
      <c r="AY97" s="76"/>
      <c r="AZ97" s="76"/>
      <c r="BA97" s="76"/>
    </row>
    <row r="98" spans="1:53" ht="15.75">
      <c r="A98" s="78" t="s">
        <v>159</v>
      </c>
      <c r="B98" s="76" t="s">
        <v>172</v>
      </c>
      <c r="C98" s="80">
        <v>157391.05412014163</v>
      </c>
      <c r="D98" s="80">
        <v>155345.28690078575</v>
      </c>
      <c r="E98" s="80">
        <v>153379.80032703816</v>
      </c>
      <c r="F98" s="80">
        <v>151498.63079788405</v>
      </c>
      <c r="G98" s="80">
        <v>149706.08991730609</v>
      </c>
      <c r="H98" s="80">
        <v>148006.78835563437</v>
      </c>
      <c r="I98" s="80">
        <v>146843.95302921996</v>
      </c>
      <c r="J98" s="80">
        <v>145721.6712522204</v>
      </c>
      <c r="K98" s="80">
        <v>144640.78515094591</v>
      </c>
      <c r="L98" s="80">
        <v>143602.16033078023</v>
      </c>
      <c r="M98" s="80">
        <v>142606.686700188</v>
      </c>
      <c r="N98" s="80">
        <v>142731.54725742762</v>
      </c>
      <c r="O98" s="80">
        <v>142868.66164392376</v>
      </c>
      <c r="P98" s="80">
        <v>143018.03910157658</v>
      </c>
      <c r="Q98" s="80">
        <v>143179.6888815795</v>
      </c>
      <c r="R98" s="80">
        <v>143353.6202444364</v>
      </c>
      <c r="S98" s="80">
        <v>143836.63603812424</v>
      </c>
      <c r="T98" s="80">
        <v>144324.95828991957</v>
      </c>
      <c r="U98" s="80">
        <v>144818.5402464194</v>
      </c>
      <c r="V98" s="80">
        <v>145317.33570185001</v>
      </c>
      <c r="W98" s="80">
        <v>145821.29899007289</v>
      </c>
      <c r="X98" s="80">
        <v>146102.18276683919</v>
      </c>
      <c r="Y98" s="80">
        <v>146383.29900552621</v>
      </c>
      <c r="Z98" s="80">
        <v>146664.64652360621</v>
      </c>
      <c r="AA98" s="80">
        <v>146946.22414655687</v>
      </c>
      <c r="AB98" s="80">
        <v>147228.03070779666</v>
      </c>
      <c r="AC98" s="80">
        <v>148034.15848818608</v>
      </c>
      <c r="AD98" s="80">
        <v>148841.79983870883</v>
      </c>
      <c r="AE98" s="80">
        <v>149650.93174543077</v>
      </c>
      <c r="AF98" s="80">
        <v>150461.53165863908</v>
      </c>
      <c r="AG98" s="80">
        <v>151273.57748119021</v>
      </c>
      <c r="AH98" s="80"/>
      <c r="AI98" s="80"/>
      <c r="AJ98" s="80"/>
      <c r="AK98" s="76"/>
      <c r="AL98" s="76"/>
      <c r="AM98" s="76"/>
      <c r="AN98" s="76"/>
      <c r="AO98" s="76"/>
      <c r="AP98" s="76"/>
      <c r="AQ98" s="76"/>
      <c r="AR98" s="76"/>
      <c r="AS98" s="76"/>
      <c r="AT98" s="76"/>
      <c r="AU98" s="76"/>
      <c r="AV98" s="76"/>
      <c r="AW98" s="76"/>
      <c r="AX98" s="76"/>
      <c r="AY98" s="76"/>
      <c r="AZ98" s="76"/>
      <c r="BA98" s="76"/>
    </row>
    <row r="99" spans="1:53" ht="15.75">
      <c r="A99" s="78" t="s">
        <v>160</v>
      </c>
      <c r="B99" s="76" t="s">
        <v>172</v>
      </c>
      <c r="C99" s="80">
        <v>26260.098720046608</v>
      </c>
      <c r="D99" s="80">
        <v>26546.403421560106</v>
      </c>
      <c r="E99" s="80">
        <v>26863.984419078723</v>
      </c>
      <c r="F99" s="80">
        <v>27213.575854042556</v>
      </c>
      <c r="G99" s="80">
        <v>27595.935025531449</v>
      </c>
      <c r="H99" s="80">
        <v>28011.843310624336</v>
      </c>
      <c r="I99" s="80">
        <v>28396.124484677814</v>
      </c>
      <c r="J99" s="80">
        <v>28780.696268455875</v>
      </c>
      <c r="K99" s="80">
        <v>29165.548643939848</v>
      </c>
      <c r="L99" s="80">
        <v>29550.672048340701</v>
      </c>
      <c r="M99" s="80">
        <v>29936.057348531449</v>
      </c>
      <c r="N99" s="80">
        <v>30431.20630168221</v>
      </c>
      <c r="O99" s="80">
        <v>30928.207047383996</v>
      </c>
      <c r="P99" s="80">
        <v>31426.980073833067</v>
      </c>
      <c r="Q99" s="80">
        <v>31927.450357069909</v>
      </c>
      <c r="R99" s="80">
        <v>32429.547048754041</v>
      </c>
      <c r="S99" s="80">
        <v>32687.595591208446</v>
      </c>
      <c r="T99" s="80">
        <v>32946.044261553288</v>
      </c>
      <c r="U99" s="80">
        <v>33204.884675531372</v>
      </c>
      <c r="V99" s="80">
        <v>33464.108681504928</v>
      </c>
      <c r="W99" s="80">
        <v>33723.708352443973</v>
      </c>
      <c r="X99" s="80">
        <v>33736.013549264331</v>
      </c>
      <c r="Y99" s="80">
        <v>33748.569918514186</v>
      </c>
      <c r="Z99" s="80">
        <v>33761.377193515073</v>
      </c>
      <c r="AA99" s="80">
        <v>33774.435107965735</v>
      </c>
      <c r="AB99" s="80">
        <v>33787.743395941885</v>
      </c>
      <c r="AC99" s="80">
        <v>33844.171060529276</v>
      </c>
      <c r="AD99" s="80">
        <v>33900.601111661883</v>
      </c>
      <c r="AE99" s="80">
        <v>33957.033538751013</v>
      </c>
      <c r="AF99" s="80">
        <v>34013.468331270284</v>
      </c>
      <c r="AG99" s="80">
        <v>34069.905478755602</v>
      </c>
      <c r="AH99" s="80"/>
      <c r="AI99" s="80"/>
      <c r="AJ99" s="80"/>
      <c r="AK99" s="76"/>
      <c r="AL99" s="76"/>
      <c r="AM99" s="76"/>
      <c r="AN99" s="76"/>
      <c r="AO99" s="76"/>
      <c r="AP99" s="76"/>
      <c r="AQ99" s="76"/>
      <c r="AR99" s="76"/>
      <c r="AS99" s="76"/>
      <c r="AT99" s="76"/>
      <c r="AU99" s="76"/>
      <c r="AV99" s="76"/>
      <c r="AW99" s="76"/>
      <c r="AX99" s="76"/>
      <c r="AY99" s="76"/>
      <c r="AZ99" s="76"/>
      <c r="BA99" s="76"/>
    </row>
    <row r="100" spans="1:53" ht="15.75">
      <c r="A100" s="78" t="s">
        <v>162</v>
      </c>
      <c r="B100" s="76" t="s">
        <v>173</v>
      </c>
      <c r="C100" s="80">
        <v>40527.6497901197</v>
      </c>
      <c r="D100" s="80">
        <v>40405.560395412562</v>
      </c>
      <c r="E100" s="80">
        <v>40283.47726571247</v>
      </c>
      <c r="F100" s="80">
        <v>40161.400462839643</v>
      </c>
      <c r="G100" s="80">
        <v>40039.330049429984</v>
      </c>
      <c r="H100" s="80">
        <v>39917.266088949087</v>
      </c>
      <c r="I100" s="80">
        <v>39908.477740093957</v>
      </c>
      <c r="J100" s="80">
        <v>39899.689402555268</v>
      </c>
      <c r="K100" s="80">
        <v>39890.901076340095</v>
      </c>
      <c r="L100" s="80">
        <v>39882.112761455719</v>
      </c>
      <c r="M100" s="80">
        <v>39873.324457909192</v>
      </c>
      <c r="N100" s="80">
        <v>39939.115919735646</v>
      </c>
      <c r="O100" s="80">
        <v>40004.943383131489</v>
      </c>
      <c r="P100" s="80">
        <v>40070.806607065497</v>
      </c>
      <c r="Q100" s="80">
        <v>40136.705352653327</v>
      </c>
      <c r="R100" s="80">
        <v>40202.639383133559</v>
      </c>
      <c r="S100" s="80">
        <v>40423.419128575959</v>
      </c>
      <c r="T100" s="80">
        <v>40644.239698878795</v>
      </c>
      <c r="U100" s="80">
        <v>40865.100357508483</v>
      </c>
      <c r="V100" s="80">
        <v>41086.000385542851</v>
      </c>
      <c r="W100" s="80">
        <v>41306.939081147939</v>
      </c>
      <c r="X100" s="80">
        <v>41355.316198315595</v>
      </c>
      <c r="Y100" s="80">
        <v>41403.730018840441</v>
      </c>
      <c r="Z100" s="80">
        <v>41452.180350456867</v>
      </c>
      <c r="AA100" s="80">
        <v>41500.667002239839</v>
      </c>
      <c r="AB100" s="80">
        <v>41549.189784593145</v>
      </c>
      <c r="AC100" s="80">
        <v>41489.282064496481</v>
      </c>
      <c r="AD100" s="80">
        <v>41429.378662825351</v>
      </c>
      <c r="AE100" s="80">
        <v>41369.479595757468</v>
      </c>
      <c r="AF100" s="80">
        <v>41309.584879551541</v>
      </c>
      <c r="AG100" s="80">
        <v>41249.694530547684</v>
      </c>
      <c r="AH100" s="80"/>
      <c r="AI100" s="80"/>
      <c r="AJ100" s="80"/>
      <c r="AK100" s="76"/>
      <c r="AL100" s="76"/>
      <c r="AM100" s="76"/>
      <c r="AN100" s="76"/>
      <c r="AO100" s="76"/>
      <c r="AP100" s="76"/>
      <c r="AQ100" s="76"/>
      <c r="AR100" s="76"/>
      <c r="AS100" s="76"/>
      <c r="AT100" s="76"/>
      <c r="AU100" s="76"/>
      <c r="AV100" s="76"/>
      <c r="AW100" s="76"/>
      <c r="AX100" s="76"/>
      <c r="AY100" s="76"/>
      <c r="AZ100" s="76"/>
      <c r="BA100" s="76"/>
    </row>
    <row r="101" spans="1:53" ht="15.75">
      <c r="A101" s="78" t="s">
        <v>163</v>
      </c>
      <c r="B101" s="76" t="s">
        <v>173</v>
      </c>
      <c r="C101" s="80">
        <v>45661.231653064497</v>
      </c>
      <c r="D101" s="80">
        <v>45232.754667082387</v>
      </c>
      <c r="E101" s="80">
        <v>44817.22281168597</v>
      </c>
      <c r="F101" s="80">
        <v>44415.092174538528</v>
      </c>
      <c r="G101" s="80">
        <v>44026.840523316372</v>
      </c>
      <c r="H101" s="80">
        <v>43652.968609394557</v>
      </c>
      <c r="I101" s="80">
        <v>43360.583883054525</v>
      </c>
      <c r="J101" s="80">
        <v>43082.300496240088</v>
      </c>
      <c r="K101" s="80">
        <v>42818.569560229073</v>
      </c>
      <c r="L101" s="80">
        <v>42569.861635498957</v>
      </c>
      <c r="M101" s="80">
        <v>42336.667791312364</v>
      </c>
      <c r="N101" s="80">
        <v>42214.662941461385</v>
      </c>
      <c r="O101" s="80">
        <v>42108.684813611682</v>
      </c>
      <c r="P101" s="80">
        <v>42019.156402106593</v>
      </c>
      <c r="Q101" s="80">
        <v>41946.515718900526</v>
      </c>
      <c r="R101" s="80">
        <v>41891.216465991711</v>
      </c>
      <c r="S101" s="80">
        <v>42006.901822181761</v>
      </c>
      <c r="T101" s="80">
        <v>42122.749128035808</v>
      </c>
      <c r="U101" s="80">
        <v>42238.757413232794</v>
      </c>
      <c r="V101" s="80">
        <v>42354.925715188001</v>
      </c>
      <c r="W101" s="80">
        <v>42471.253078975809</v>
      </c>
      <c r="X101" s="80">
        <v>42392.079825859619</v>
      </c>
      <c r="Y101" s="80">
        <v>42312.980081567839</v>
      </c>
      <c r="Z101" s="80">
        <v>42233.954145818308</v>
      </c>
      <c r="AA101" s="80">
        <v>42155.002319960666</v>
      </c>
      <c r="AB101" s="80">
        <v>42076.124906987025</v>
      </c>
      <c r="AC101" s="80">
        <v>42023.699372280869</v>
      </c>
      <c r="AD101" s="80">
        <v>41971.306986470678</v>
      </c>
      <c r="AE101" s="80">
        <v>41918.947839950495</v>
      </c>
      <c r="AF101" s="80">
        <v>41866.62202344332</v>
      </c>
      <c r="AG101" s="80">
        <v>41814.329628002539</v>
      </c>
      <c r="AH101" s="80"/>
      <c r="AI101" s="80"/>
      <c r="AJ101" s="80"/>
      <c r="AK101" s="76"/>
      <c r="AL101" s="76"/>
      <c r="AM101" s="76"/>
      <c r="AN101" s="76"/>
      <c r="AO101" s="76"/>
      <c r="AP101" s="76"/>
      <c r="AQ101" s="76"/>
      <c r="AR101" s="76"/>
      <c r="AS101" s="76"/>
      <c r="AT101" s="76"/>
      <c r="AU101" s="76"/>
      <c r="AV101" s="76"/>
      <c r="AW101" s="76"/>
      <c r="AX101" s="76"/>
      <c r="AY101" s="76"/>
      <c r="AZ101" s="76"/>
      <c r="BA101" s="76"/>
    </row>
    <row r="102" spans="1:53" ht="15.75">
      <c r="A102" s="78" t="s">
        <v>164</v>
      </c>
      <c r="B102" s="76" t="s">
        <v>173</v>
      </c>
      <c r="C102" s="80">
        <v>16637.917400394021</v>
      </c>
      <c r="D102" s="80">
        <v>16683.593067899001</v>
      </c>
      <c r="E102" s="80">
        <v>16729.273204567955</v>
      </c>
      <c r="F102" s="80">
        <v>16774.957773857088</v>
      </c>
      <c r="G102" s="80">
        <v>16820.646739619948</v>
      </c>
      <c r="H102" s="80">
        <v>16866.34006610182</v>
      </c>
      <c r="I102" s="80">
        <v>16899.446336438043</v>
      </c>
      <c r="J102" s="80">
        <v>16932.557814030009</v>
      </c>
      <c r="K102" s="80">
        <v>16965.674468369391</v>
      </c>
      <c r="L102" s="80">
        <v>16998.796269185848</v>
      </c>
      <c r="M102" s="80">
        <v>17031.923186444455</v>
      </c>
      <c r="N102" s="80">
        <v>17086.493553915836</v>
      </c>
      <c r="O102" s="80">
        <v>17141.064369575903</v>
      </c>
      <c r="P102" s="80">
        <v>17195.63562915786</v>
      </c>
      <c r="Q102" s="80">
        <v>17250.207328448771</v>
      </c>
      <c r="R102" s="80">
        <v>17304.779463288862</v>
      </c>
      <c r="S102" s="80">
        <v>17351.373813229449</v>
      </c>
      <c r="T102" s="80">
        <v>17397.968376328776</v>
      </c>
      <c r="U102" s="80">
        <v>17444.563150878734</v>
      </c>
      <c r="V102" s="80">
        <v>17491.158135189395</v>
      </c>
      <c r="W102" s="80">
        <v>17537.753327588769</v>
      </c>
      <c r="X102" s="80">
        <v>17516.670483437927</v>
      </c>
      <c r="Y102" s="80">
        <v>17495.587899831546</v>
      </c>
      <c r="Z102" s="80">
        <v>17474.505577712698</v>
      </c>
      <c r="AA102" s="80">
        <v>17453.423518028776</v>
      </c>
      <c r="AB102" s="80">
        <v>17432.341721732053</v>
      </c>
      <c r="AC102" s="80">
        <v>17419.16790667842</v>
      </c>
      <c r="AD102" s="80">
        <v>17405.994091624802</v>
      </c>
      <c r="AE102" s="80">
        <v>17392.820276571201</v>
      </c>
      <c r="AF102" s="80">
        <v>17379.646461517576</v>
      </c>
      <c r="AG102" s="80">
        <v>17366.472646464019</v>
      </c>
      <c r="AH102" s="80"/>
      <c r="AI102" s="80"/>
      <c r="AJ102" s="80"/>
      <c r="AK102" s="76"/>
      <c r="AL102" s="76"/>
      <c r="AM102" s="76"/>
      <c r="AN102" s="76"/>
      <c r="AO102" s="76"/>
      <c r="AP102" s="76"/>
      <c r="AQ102" s="76"/>
      <c r="AR102" s="76"/>
      <c r="AS102" s="76"/>
      <c r="AT102" s="76"/>
      <c r="AU102" s="76"/>
      <c r="AV102" s="76"/>
      <c r="AW102" s="76"/>
      <c r="AX102" s="76"/>
      <c r="AY102" s="76"/>
      <c r="AZ102" s="76"/>
      <c r="BA102" s="76"/>
    </row>
    <row r="103" spans="1:53" ht="15.75">
      <c r="A103" s="78" t="s">
        <v>165</v>
      </c>
      <c r="B103" s="76" t="s">
        <v>173</v>
      </c>
      <c r="C103" s="80">
        <v>46814.855092405189</v>
      </c>
      <c r="D103" s="80">
        <v>47052.731789982165</v>
      </c>
      <c r="E103" s="80">
        <v>47290.721360073774</v>
      </c>
      <c r="F103" s="80">
        <v>47528.822115590505</v>
      </c>
      <c r="G103" s="80">
        <v>47767.032402898294</v>
      </c>
      <c r="H103" s="80">
        <v>48005.350600993566</v>
      </c>
      <c r="I103" s="80">
        <v>48233.452151126614</v>
      </c>
      <c r="J103" s="80">
        <v>48461.556341909774</v>
      </c>
      <c r="K103" s="80">
        <v>48689.66313619072</v>
      </c>
      <c r="L103" s="80">
        <v>48917.772497511061</v>
      </c>
      <c r="M103" s="80">
        <v>49145.88439008985</v>
      </c>
      <c r="N103" s="80">
        <v>49353.361891281122</v>
      </c>
      <c r="O103" s="80">
        <v>49561.045168971461</v>
      </c>
      <c r="P103" s="80">
        <v>49768.931625317091</v>
      </c>
      <c r="Q103" s="80">
        <v>49977.01870602015</v>
      </c>
      <c r="R103" s="80">
        <v>50185.303899419792</v>
      </c>
      <c r="S103" s="80">
        <v>50336.492354801208</v>
      </c>
      <c r="T103" s="80">
        <v>50487.916299809141</v>
      </c>
      <c r="U103" s="80">
        <v>50639.573610932224</v>
      </c>
      <c r="V103" s="80">
        <v>50791.462190114245</v>
      </c>
      <c r="W103" s="80">
        <v>50943.579964373486</v>
      </c>
      <c r="X103" s="80">
        <v>50858.281333529521</v>
      </c>
      <c r="Y103" s="80">
        <v>50772.982772072261</v>
      </c>
      <c r="Z103" s="80">
        <v>50687.684280352056</v>
      </c>
      <c r="AA103" s="80">
        <v>50602.385858721544</v>
      </c>
      <c r="AB103" s="80">
        <v>50517.087507535754</v>
      </c>
      <c r="AC103" s="80">
        <v>50482.220861716087</v>
      </c>
      <c r="AD103" s="80">
        <v>50447.354215896958</v>
      </c>
      <c r="AE103" s="80">
        <v>50412.487570078396</v>
      </c>
      <c r="AF103" s="80">
        <v>50377.620924260424</v>
      </c>
      <c r="AG103" s="80">
        <v>50342.754278442982</v>
      </c>
      <c r="AH103" s="80"/>
      <c r="AI103" s="80"/>
      <c r="AJ103" s="80"/>
      <c r="AK103" s="76"/>
      <c r="AL103" s="76"/>
      <c r="AM103" s="76"/>
      <c r="AN103" s="76"/>
      <c r="AO103" s="76"/>
      <c r="AP103" s="76"/>
      <c r="AQ103" s="76"/>
      <c r="AR103" s="76"/>
      <c r="AS103" s="76"/>
      <c r="AT103" s="76"/>
      <c r="AU103" s="76"/>
      <c r="AV103" s="76"/>
      <c r="AW103" s="76"/>
      <c r="AX103" s="76"/>
      <c r="AY103" s="76"/>
      <c r="AZ103" s="76"/>
      <c r="BA103" s="76"/>
    </row>
    <row r="104" spans="1:53" ht="15.75">
      <c r="A104" s="76"/>
      <c r="B104" s="76"/>
      <c r="C104" s="76"/>
      <c r="D104" s="76"/>
      <c r="E104" s="76"/>
      <c r="F104" s="76"/>
      <c r="G104" s="76"/>
      <c r="H104" s="76"/>
      <c r="I104" s="76"/>
      <c r="J104" s="76"/>
      <c r="K104" s="76"/>
      <c r="L104" s="76"/>
      <c r="M104" s="76"/>
      <c r="N104" s="76"/>
      <c r="O104" s="76"/>
      <c r="P104" s="76"/>
      <c r="Q104" s="76"/>
      <c r="R104" s="76"/>
      <c r="S104" s="76"/>
      <c r="T104" s="76"/>
      <c r="U104" s="76"/>
      <c r="V104" s="76"/>
      <c r="W104" s="76"/>
      <c r="X104" s="76"/>
      <c r="Y104" s="76"/>
      <c r="Z104" s="76"/>
      <c r="AA104" s="76"/>
      <c r="AB104" s="76"/>
      <c r="AC104" s="76"/>
      <c r="AD104" s="76"/>
      <c r="AE104" s="76"/>
      <c r="AF104" s="76"/>
      <c r="AG104" s="76"/>
      <c r="AH104" s="76"/>
      <c r="AI104" s="76"/>
      <c r="AJ104" s="76"/>
      <c r="AK104" s="76"/>
      <c r="AL104" s="76"/>
      <c r="AM104" s="76"/>
      <c r="AN104" s="76"/>
      <c r="AO104" s="76"/>
      <c r="AP104" s="76"/>
      <c r="AQ104" s="76"/>
      <c r="AR104" s="76"/>
      <c r="AS104" s="76"/>
      <c r="AT104" s="76"/>
      <c r="AU104" s="76"/>
      <c r="AV104" s="76"/>
      <c r="AW104" s="76"/>
      <c r="AX104" s="76"/>
      <c r="AY104" s="76"/>
      <c r="AZ104" s="76"/>
      <c r="BA104" s="76"/>
    </row>
    <row r="105" spans="1:53" ht="15.75">
      <c r="A105" s="65" t="s">
        <v>221</v>
      </c>
      <c r="B105" s="76" t="s">
        <v>220</v>
      </c>
      <c r="C105" s="79">
        <v>2020</v>
      </c>
      <c r="D105" s="79">
        <v>2021</v>
      </c>
      <c r="E105" s="79">
        <v>2022</v>
      </c>
      <c r="F105" s="79">
        <v>2023</v>
      </c>
      <c r="G105" s="79">
        <v>2024</v>
      </c>
      <c r="H105" s="79">
        <v>2025</v>
      </c>
      <c r="I105" s="79">
        <v>2026</v>
      </c>
      <c r="J105" s="79">
        <v>2027</v>
      </c>
      <c r="K105" s="79">
        <v>2028</v>
      </c>
      <c r="L105" s="79">
        <v>2029</v>
      </c>
      <c r="M105" s="79">
        <v>2030</v>
      </c>
      <c r="N105" s="79">
        <v>2031</v>
      </c>
      <c r="O105" s="79">
        <v>2032</v>
      </c>
      <c r="P105" s="79">
        <v>2033</v>
      </c>
      <c r="Q105" s="79">
        <v>2034</v>
      </c>
      <c r="R105" s="79">
        <v>2035</v>
      </c>
      <c r="S105" s="79">
        <v>2036</v>
      </c>
      <c r="T105" s="79">
        <v>2037</v>
      </c>
      <c r="U105" s="79">
        <v>2038</v>
      </c>
      <c r="V105" s="79">
        <v>2039</v>
      </c>
      <c r="W105" s="79">
        <v>2040</v>
      </c>
      <c r="X105" s="79">
        <v>2041</v>
      </c>
      <c r="Y105" s="79">
        <v>2042</v>
      </c>
      <c r="Z105" s="79">
        <v>2043</v>
      </c>
      <c r="AA105" s="79">
        <v>2044</v>
      </c>
      <c r="AB105" s="79">
        <v>2045</v>
      </c>
      <c r="AC105" s="79">
        <v>2046</v>
      </c>
      <c r="AD105" s="79">
        <v>2047</v>
      </c>
      <c r="AE105" s="79">
        <v>2048</v>
      </c>
      <c r="AF105" s="79">
        <v>2049</v>
      </c>
      <c r="AG105" s="79">
        <v>2050</v>
      </c>
    </row>
    <row r="106" spans="1:53" ht="15.75">
      <c r="A106" s="78" t="s">
        <v>155</v>
      </c>
      <c r="B106" s="76" t="s">
        <v>171</v>
      </c>
      <c r="C106" s="81">
        <v>3345831749.4821477</v>
      </c>
      <c r="D106" s="81">
        <v>3372520851.0492282</v>
      </c>
      <c r="E106" s="81">
        <v>3399286758.7692885</v>
      </c>
      <c r="F106" s="81">
        <v>3426130041.4816823</v>
      </c>
      <c r="G106" s="81">
        <v>3453051267.717154</v>
      </c>
      <c r="H106" s="81">
        <v>3480051005.6980915</v>
      </c>
      <c r="I106" s="81">
        <v>3512854044.1415472</v>
      </c>
      <c r="J106" s="81">
        <v>3545437755.7018309</v>
      </c>
      <c r="K106" s="81">
        <v>3577816434.6331625</v>
      </c>
      <c r="L106" s="81">
        <v>3610004498.8575549</v>
      </c>
      <c r="M106" s="81">
        <v>3642016491.305088</v>
      </c>
      <c r="N106" s="81">
        <v>3769294453.6157751</v>
      </c>
      <c r="O106" s="81">
        <v>3898403329.0496006</v>
      </c>
      <c r="P106" s="81">
        <v>4029343159.0294361</v>
      </c>
      <c r="Q106" s="81">
        <v>4162113983.3165331</v>
      </c>
      <c r="R106" s="81">
        <v>4296715840.0929298</v>
      </c>
      <c r="S106" s="81">
        <v>4411354751.1790028</v>
      </c>
      <c r="T106" s="81">
        <v>4526971664.3600855</v>
      </c>
      <c r="U106" s="81">
        <v>4643566602.8034334</v>
      </c>
      <c r="V106" s="81">
        <v>4761139589.1981211</v>
      </c>
      <c r="W106" s="81">
        <v>4879690645.7672815</v>
      </c>
      <c r="X106" s="81">
        <v>4994966913.4318705</v>
      </c>
      <c r="Y106" s="81">
        <v>5108759463.5152884</v>
      </c>
      <c r="Z106" s="81">
        <v>5223256126.1280613</v>
      </c>
      <c r="AA106" s="81">
        <v>5338456904.0431805</v>
      </c>
      <c r="AB106" s="81">
        <v>5454361799.9934177</v>
      </c>
      <c r="AC106" s="81">
        <v>5562070428.4380026</v>
      </c>
      <c r="AD106" s="81">
        <v>5670174307.5211058</v>
      </c>
      <c r="AE106" s="81">
        <v>5778673441.5365334</v>
      </c>
      <c r="AF106" s="81">
        <v>5887567834.7425127</v>
      </c>
      <c r="AG106" s="81">
        <v>5996857491.3620796</v>
      </c>
    </row>
    <row r="107" spans="1:53" ht="15.75">
      <c r="A107" s="78" t="s">
        <v>156</v>
      </c>
      <c r="B107" s="76" t="s">
        <v>171</v>
      </c>
      <c r="C107" s="81">
        <v>3403308310.4814692</v>
      </c>
      <c r="D107" s="81">
        <v>3418830831.1574984</v>
      </c>
      <c r="E107" s="81">
        <v>3434410600.3641229</v>
      </c>
      <c r="F107" s="81">
        <v>3450051218.5754881</v>
      </c>
      <c r="G107" s="81">
        <v>3465756290.9038582</v>
      </c>
      <c r="H107" s="81">
        <v>3481529427.1070905</v>
      </c>
      <c r="I107" s="81">
        <v>3551991252.7139239</v>
      </c>
      <c r="J107" s="81">
        <v>3623123585.631556</v>
      </c>
      <c r="K107" s="81">
        <v>3694929473.9717875</v>
      </c>
      <c r="L107" s="81">
        <v>3767411915.532011</v>
      </c>
      <c r="M107" s="81">
        <v>3840573858.8291149</v>
      </c>
      <c r="N107" s="81">
        <v>3959183575.2880316</v>
      </c>
      <c r="O107" s="81">
        <v>4078982931.4454384</v>
      </c>
      <c r="P107" s="81">
        <v>4199972107.8305016</v>
      </c>
      <c r="Q107" s="81">
        <v>4322151280.3285656</v>
      </c>
      <c r="R107" s="81">
        <v>4445520620.3294582</v>
      </c>
      <c r="S107" s="81">
        <v>4567239923.8213406</v>
      </c>
      <c r="T107" s="81">
        <v>4690099708.6304779</v>
      </c>
      <c r="U107" s="81">
        <v>4814099974.9006186</v>
      </c>
      <c r="V107" s="81">
        <v>4939240722.772109</v>
      </c>
      <c r="W107" s="81">
        <v>5065521952.3820124</v>
      </c>
      <c r="X107" s="81">
        <v>5162773243.8546753</v>
      </c>
      <c r="Y107" s="81">
        <v>5257631902.1103392</v>
      </c>
      <c r="Z107" s="81">
        <v>5352370598.7466202</v>
      </c>
      <c r="AA107" s="81">
        <v>5446989396.5583134</v>
      </c>
      <c r="AB107" s="81">
        <v>5541488358.5276575</v>
      </c>
      <c r="AC107" s="81">
        <v>5650917477.3438854</v>
      </c>
      <c r="AD107" s="81">
        <v>5760748133.9125175</v>
      </c>
      <c r="AE107" s="81">
        <v>5870980332.6025133</v>
      </c>
      <c r="AF107" s="81">
        <v>5981614077.7465172</v>
      </c>
      <c r="AG107" s="81">
        <v>6092649373.6413736</v>
      </c>
    </row>
    <row r="108" spans="1:53" ht="15.75">
      <c r="A108" s="78" t="s">
        <v>157</v>
      </c>
      <c r="B108" s="76" t="s">
        <v>172</v>
      </c>
      <c r="C108" s="81">
        <v>2854390527.200716</v>
      </c>
      <c r="D108" s="81">
        <v>2885277088.2676773</v>
      </c>
      <c r="E108" s="81">
        <v>2916340843.8552227</v>
      </c>
      <c r="F108" s="81">
        <v>2947581946.5983377</v>
      </c>
      <c r="G108" s="81">
        <v>2979000546.2783966</v>
      </c>
      <c r="H108" s="81">
        <v>3010596789.8894925</v>
      </c>
      <c r="I108" s="81">
        <v>3052946906.7034664</v>
      </c>
      <c r="J108" s="81">
        <v>3095268216.4134612</v>
      </c>
      <c r="K108" s="81">
        <v>3137561253.0141916</v>
      </c>
      <c r="L108" s="81">
        <v>3179826550.2444782</v>
      </c>
      <c r="M108" s="81">
        <v>3222064641.5873704</v>
      </c>
      <c r="N108" s="81">
        <v>3310300201.7042394</v>
      </c>
      <c r="O108" s="81">
        <v>3398997051.3693571</v>
      </c>
      <c r="P108" s="81">
        <v>3488155387.1225657</v>
      </c>
      <c r="Q108" s="81">
        <v>3577775403.0247097</v>
      </c>
      <c r="R108" s="81">
        <v>3667857290.6966267</v>
      </c>
      <c r="S108" s="81">
        <v>3754822238.3055334</v>
      </c>
      <c r="T108" s="81">
        <v>3842169383.9241819</v>
      </c>
      <c r="U108" s="81">
        <v>3929898739.9650674</v>
      </c>
      <c r="V108" s="81">
        <v>4018010318.7232842</v>
      </c>
      <c r="W108" s="81">
        <v>4106504132.3779325</v>
      </c>
      <c r="X108" s="81">
        <v>4182421439.6775341</v>
      </c>
      <c r="Y108" s="81">
        <v>4256289296.210588</v>
      </c>
      <c r="Z108" s="81">
        <v>4329949088.0788765</v>
      </c>
      <c r="AA108" s="81">
        <v>4403400880.0482769</v>
      </c>
      <c r="AB108" s="81">
        <v>4476644737.2642422</v>
      </c>
      <c r="AC108" s="81">
        <v>4565046797.3134565</v>
      </c>
      <c r="AD108" s="81">
        <v>4653773253.4868813</v>
      </c>
      <c r="AE108" s="81">
        <v>4742824109.3042135</v>
      </c>
      <c r="AF108" s="81">
        <v>4832199368.2559824</v>
      </c>
      <c r="AG108" s="81">
        <v>4921899033.8039122</v>
      </c>
    </row>
    <row r="109" spans="1:53" ht="15.75">
      <c r="A109" s="78" t="s">
        <v>158</v>
      </c>
      <c r="B109" s="76" t="s">
        <v>172</v>
      </c>
      <c r="C109" s="81">
        <v>4243248416.923768</v>
      </c>
      <c r="D109" s="81">
        <v>4135143446.5307212</v>
      </c>
      <c r="E109" s="81">
        <v>4034614756.2566051</v>
      </c>
      <c r="F109" s="81">
        <v>3941472037.4969835</v>
      </c>
      <c r="G109" s="81">
        <v>3855524090.8280807</v>
      </c>
      <c r="H109" s="81">
        <v>3776578820.7883592</v>
      </c>
      <c r="I109" s="81">
        <v>3720801615.5901527</v>
      </c>
      <c r="J109" s="81">
        <v>3667969442.7516408</v>
      </c>
      <c r="K109" s="81">
        <v>3618055686.5311308</v>
      </c>
      <c r="L109" s="81">
        <v>3571033342.5276484</v>
      </c>
      <c r="M109" s="81">
        <v>3526875010.5606184</v>
      </c>
      <c r="N109" s="81">
        <v>3541628699.0779214</v>
      </c>
      <c r="O109" s="81">
        <v>3556908661.2005963</v>
      </c>
      <c r="P109" s="81">
        <v>3572720778.3754368</v>
      </c>
      <c r="Q109" s="81">
        <v>3589070921.5651793</v>
      </c>
      <c r="R109" s="81">
        <v>3605964951.2718225</v>
      </c>
      <c r="S109" s="81">
        <v>3634043836.7990761</v>
      </c>
      <c r="T109" s="81">
        <v>3662387244.9095998</v>
      </c>
      <c r="U109" s="81">
        <v>3690995333.7400928</v>
      </c>
      <c r="V109" s="81">
        <v>3719868259.1525111</v>
      </c>
      <c r="W109" s="81">
        <v>3749006174.7748332</v>
      </c>
      <c r="X109" s="81">
        <v>3768093722.8184886</v>
      </c>
      <c r="Y109" s="81">
        <v>3786813947.1263022</v>
      </c>
      <c r="Z109" s="81">
        <v>3805579763.426219</v>
      </c>
      <c r="AA109" s="81">
        <v>3824391310.9398789</v>
      </c>
      <c r="AB109" s="81">
        <v>3843248728.3844185</v>
      </c>
      <c r="AC109" s="81">
        <v>3876102783.7270679</v>
      </c>
      <c r="AD109" s="81">
        <v>3909125386.5514746</v>
      </c>
      <c r="AE109" s="81">
        <v>3942316457.079464</v>
      </c>
      <c r="AF109" s="81">
        <v>3975675917.0362225</v>
      </c>
      <c r="AG109" s="81">
        <v>4009203689.6150379</v>
      </c>
    </row>
    <row r="110" spans="1:53" ht="15.75">
      <c r="A110" s="78" t="s">
        <v>159</v>
      </c>
      <c r="B110" s="76" t="s">
        <v>172</v>
      </c>
      <c r="C110" s="81">
        <v>14612799289.625017</v>
      </c>
      <c r="D110" s="81">
        <v>14262424777.082468</v>
      </c>
      <c r="E110" s="81">
        <v>13923563663.21998</v>
      </c>
      <c r="F110" s="81">
        <v>13596329460.18935</v>
      </c>
      <c r="G110" s="81">
        <v>13280843419.494194</v>
      </c>
      <c r="H110" s="81">
        <v>12977235203.022022</v>
      </c>
      <c r="I110" s="81">
        <v>12784933527.940308</v>
      </c>
      <c r="J110" s="81">
        <v>12597568533.352251</v>
      </c>
      <c r="K110" s="81">
        <v>12415137652.066132</v>
      </c>
      <c r="L110" s="81">
        <v>12237638245.31517</v>
      </c>
      <c r="M110" s="81">
        <v>12065067600.245365</v>
      </c>
      <c r="N110" s="81">
        <v>12126392325.324587</v>
      </c>
      <c r="O110" s="81">
        <v>12188851297.644287</v>
      </c>
      <c r="P110" s="81">
        <v>12252458382.820219</v>
      </c>
      <c r="Q110" s="81">
        <v>12317227460.414755</v>
      </c>
      <c r="R110" s="81">
        <v>12383172423.954905</v>
      </c>
      <c r="S110" s="81">
        <v>12474517056.945681</v>
      </c>
      <c r="T110" s="81">
        <v>12566656995.221544</v>
      </c>
      <c r="U110" s="81">
        <v>12659593643.608829</v>
      </c>
      <c r="V110" s="81">
        <v>12753328390.478903</v>
      </c>
      <c r="W110" s="81">
        <v>12847862607.988451</v>
      </c>
      <c r="X110" s="81">
        <v>12925089336.854912</v>
      </c>
      <c r="Y110" s="81">
        <v>13001119910.135149</v>
      </c>
      <c r="Z110" s="81">
        <v>13077367607.079</v>
      </c>
      <c r="AA110" s="81">
        <v>13153832565.047693</v>
      </c>
      <c r="AB110" s="81">
        <v>13230514920.474039</v>
      </c>
      <c r="AC110" s="81">
        <v>13354695167.648855</v>
      </c>
      <c r="AD110" s="81">
        <v>13479575975.665928</v>
      </c>
      <c r="AE110" s="81">
        <v>13605156839.257725</v>
      </c>
      <c r="AF110" s="81">
        <v>13731437263.348825</v>
      </c>
      <c r="AG110" s="81">
        <v>13858416762.7997</v>
      </c>
    </row>
    <row r="111" spans="1:53" ht="15.75">
      <c r="A111" s="78" t="s">
        <v>160</v>
      </c>
      <c r="B111" s="76" t="s">
        <v>172</v>
      </c>
      <c r="C111" s="81">
        <v>94903996.774248436</v>
      </c>
      <c r="D111" s="81">
        <v>96602362.05105722</v>
      </c>
      <c r="E111" s="81">
        <v>98429638.911504433</v>
      </c>
      <c r="F111" s="81">
        <v>100390881.32556298</v>
      </c>
      <c r="G111" s="81">
        <v>102491302.6848238</v>
      </c>
      <c r="H111" s="81">
        <v>104736282.1384244</v>
      </c>
      <c r="I111" s="81">
        <v>107717858.62017682</v>
      </c>
      <c r="J111" s="81">
        <v>110742363.10176452</v>
      </c>
      <c r="K111" s="81">
        <v>113809803.91838208</v>
      </c>
      <c r="L111" s="81">
        <v>116920189.02646482</v>
      </c>
      <c r="M111" s="81">
        <v>120073526.02495964</v>
      </c>
      <c r="N111" s="81">
        <v>125035740.45235187</v>
      </c>
      <c r="O111" s="81">
        <v>130102595.76552553</v>
      </c>
      <c r="P111" s="81">
        <v>135274293.02980706</v>
      </c>
      <c r="Q111" s="81">
        <v>140551021.96189317</v>
      </c>
      <c r="R111" s="81">
        <v>145932961.71939319</v>
      </c>
      <c r="S111" s="81">
        <v>150212576.77983928</v>
      </c>
      <c r="T111" s="81">
        <v>154543304.42209414</v>
      </c>
      <c r="U111" s="81">
        <v>158925219.0340282</v>
      </c>
      <c r="V111" s="81">
        <v>163358392.93963441</v>
      </c>
      <c r="W111" s="81">
        <v>167842896.47011366</v>
      </c>
      <c r="X111" s="81">
        <v>171230510.37064525</v>
      </c>
      <c r="Y111" s="81">
        <v>174548217.22891676</v>
      </c>
      <c r="Z111" s="81">
        <v>177869667.29275745</v>
      </c>
      <c r="AA111" s="81">
        <v>181194931.70912883</v>
      </c>
      <c r="AB111" s="81">
        <v>184524081.5243459</v>
      </c>
      <c r="AC111" s="81">
        <v>188095441.8288205</v>
      </c>
      <c r="AD111" s="81">
        <v>191677696.9327296</v>
      </c>
      <c r="AE111" s="81">
        <v>195270847.46550173</v>
      </c>
      <c r="AF111" s="81">
        <v>198874894.0528459</v>
      </c>
      <c r="AG111" s="81">
        <v>202489837.31678164</v>
      </c>
    </row>
    <row r="112" spans="1:53" ht="15.75">
      <c r="A112" s="78" t="s">
        <v>162</v>
      </c>
      <c r="B112" s="76" t="s">
        <v>173</v>
      </c>
      <c r="C112" s="81">
        <v>192668892.90637672</v>
      </c>
      <c r="D112" s="81">
        <v>192094886.90283436</v>
      </c>
      <c r="E112" s="81">
        <v>191520871.95843565</v>
      </c>
      <c r="F112" s="81">
        <v>190946848.37008491</v>
      </c>
      <c r="G112" s="81">
        <v>190372816.438604</v>
      </c>
      <c r="H112" s="81">
        <v>189798776.46879947</v>
      </c>
      <c r="I112" s="81">
        <v>190934122.07023597</v>
      </c>
      <c r="J112" s="81">
        <v>192068949.28738716</v>
      </c>
      <c r="K112" s="81">
        <v>193203258.12128869</v>
      </c>
      <c r="L112" s="81">
        <v>194337048.57297805</v>
      </c>
      <c r="M112" s="81">
        <v>195470320.64349246</v>
      </c>
      <c r="N112" s="81">
        <v>199159133.36929071</v>
      </c>
      <c r="O112" s="81">
        <v>202859219.17313716</v>
      </c>
      <c r="P112" s="81">
        <v>206570585.91570231</v>
      </c>
      <c r="Q112" s="81">
        <v>210293241.38764349</v>
      </c>
      <c r="R112" s="81">
        <v>214027193.31038192</v>
      </c>
      <c r="S112" s="81">
        <v>218520005.55598357</v>
      </c>
      <c r="T112" s="81">
        <v>223049279.48144552</v>
      </c>
      <c r="U112" s="81">
        <v>227615021.03551081</v>
      </c>
      <c r="V112" s="81">
        <v>232217236.02468029</v>
      </c>
      <c r="W112" s="81">
        <v>236855930.11743909</v>
      </c>
      <c r="X112" s="81">
        <v>240649551.5126797</v>
      </c>
      <c r="Y112" s="81">
        <v>244368131.13543579</v>
      </c>
      <c r="Z112" s="81">
        <v>248094966.7849316</v>
      </c>
      <c r="AA112" s="81">
        <v>251830066.39479166</v>
      </c>
      <c r="AB112" s="81">
        <v>255573437.84342432</v>
      </c>
      <c r="AC112" s="81">
        <v>258648896.81816289</v>
      </c>
      <c r="AD112" s="81">
        <v>261714437.38856724</v>
      </c>
      <c r="AE112" s="81">
        <v>264770060.7335732</v>
      </c>
      <c r="AF112" s="81">
        <v>267815768.03801328</v>
      </c>
      <c r="AG112" s="81">
        <v>270851560.49265301</v>
      </c>
    </row>
    <row r="113" spans="1:33" ht="15.75">
      <c r="A113" s="78" t="s">
        <v>163</v>
      </c>
      <c r="B113" s="76" t="s">
        <v>173</v>
      </c>
      <c r="C113" s="81">
        <v>241227556.2434333</v>
      </c>
      <c r="D113" s="81">
        <v>238971789.68143368</v>
      </c>
      <c r="E113" s="81">
        <v>236784267.43211046</v>
      </c>
      <c r="F113" s="81">
        <v>234667405.99472737</v>
      </c>
      <c r="G113" s="81">
        <v>232623736.73623627</v>
      </c>
      <c r="H113" s="81">
        <v>230655912.79862383</v>
      </c>
      <c r="I113" s="81">
        <v>230532259.13921514</v>
      </c>
      <c r="J113" s="81">
        <v>230464871.86467144</v>
      </c>
      <c r="K113" s="81">
        <v>230457565.57308841</v>
      </c>
      <c r="L113" s="81">
        <v>230514319.32504189</v>
      </c>
      <c r="M113" s="81">
        <v>230639285.60344741</v>
      </c>
      <c r="N113" s="81">
        <v>233928442.9819378</v>
      </c>
      <c r="O113" s="81">
        <v>237285058.08489725</v>
      </c>
      <c r="P113" s="81">
        <v>240716057.29835761</v>
      </c>
      <c r="Q113" s="81">
        <v>244228612.91653407</v>
      </c>
      <c r="R113" s="81">
        <v>247830154.15268207</v>
      </c>
      <c r="S113" s="81">
        <v>252345624.91608682</v>
      </c>
      <c r="T113" s="81">
        <v>256883184.56062609</v>
      </c>
      <c r="U113" s="81">
        <v>261442871.3902719</v>
      </c>
      <c r="V113" s="81">
        <v>266024723.40360999</v>
      </c>
      <c r="W113" s="81">
        <v>270628778.29687548</v>
      </c>
      <c r="X113" s="81">
        <v>274129449.64819461</v>
      </c>
      <c r="Y113" s="81">
        <v>277521069.49343228</v>
      </c>
      <c r="Z113" s="81">
        <v>280898587.27992362</v>
      </c>
      <c r="AA113" s="81">
        <v>284262025.46494055</v>
      </c>
      <c r="AB113" s="81">
        <v>287611406.62817645</v>
      </c>
      <c r="AC113" s="81">
        <v>291129487.72510117</v>
      </c>
      <c r="AD113" s="81">
        <v>294638129.64042747</v>
      </c>
      <c r="AE113" s="81">
        <v>298137342.19042581</v>
      </c>
      <c r="AF113" s="81">
        <v>301627135.22708619</v>
      </c>
      <c r="AG113" s="81">
        <v>305107518.63828403</v>
      </c>
    </row>
    <row r="114" spans="1:33" ht="15.75">
      <c r="A114" s="78" t="s">
        <v>164</v>
      </c>
      <c r="B114" s="76" t="s">
        <v>173</v>
      </c>
      <c r="C114" s="81">
        <v>449970928.76733804</v>
      </c>
      <c r="D114" s="81">
        <v>451221161.4364062</v>
      </c>
      <c r="E114" s="81">
        <v>452471596.77758712</v>
      </c>
      <c r="F114" s="81">
        <v>453722233.81446415</v>
      </c>
      <c r="G114" s="81">
        <v>454973071.58123738</v>
      </c>
      <c r="H114" s="81">
        <v>456224109.12257355</v>
      </c>
      <c r="I114" s="81">
        <v>459955641.24710494</v>
      </c>
      <c r="J114" s="81">
        <v>463698427.615345</v>
      </c>
      <c r="K114" s="81">
        <v>467452470.0083133</v>
      </c>
      <c r="L114" s="81">
        <v>471217770.19314736</v>
      </c>
      <c r="M114" s="81">
        <v>474994329.92323011</v>
      </c>
      <c r="N114" s="81">
        <v>484708965.67774224</v>
      </c>
      <c r="O114" s="81">
        <v>494475945.92492926</v>
      </c>
      <c r="P114" s="81">
        <v>504295271.18436104</v>
      </c>
      <c r="Q114" s="81">
        <v>514166941.96902937</v>
      </c>
      <c r="R114" s="81">
        <v>524090958.78545582</v>
      </c>
      <c r="S114" s="81">
        <v>533603224.49523973</v>
      </c>
      <c r="T114" s="81">
        <v>543159005.35910404</v>
      </c>
      <c r="U114" s="81">
        <v>552758301.62148702</v>
      </c>
      <c r="V114" s="81">
        <v>562401113.5242219</v>
      </c>
      <c r="W114" s="81">
        <v>572087441.30657041</v>
      </c>
      <c r="X114" s="81">
        <v>579872303.43938076</v>
      </c>
      <c r="Y114" s="81">
        <v>587436359.40201855</v>
      </c>
      <c r="Z114" s="81">
        <v>594980512.53177953</v>
      </c>
      <c r="AA114" s="81">
        <v>602504763.23181665</v>
      </c>
      <c r="AB114" s="81">
        <v>610009111.90724504</v>
      </c>
      <c r="AC114" s="81">
        <v>617774007.60573053</v>
      </c>
      <c r="AD114" s="81">
        <v>625526461.11334944</v>
      </c>
      <c r="AE114" s="81">
        <v>633266472.43010187</v>
      </c>
      <c r="AF114" s="81">
        <v>640994041.55598617</v>
      </c>
      <c r="AG114" s="81">
        <v>648709168.4910059</v>
      </c>
    </row>
    <row r="115" spans="1:33" ht="15.75">
      <c r="A115" s="78" t="s">
        <v>165</v>
      </c>
      <c r="B115" s="76" t="s">
        <v>173</v>
      </c>
      <c r="C115" s="81">
        <v>759754210.40225077</v>
      </c>
      <c r="D115" s="81">
        <v>763640193.21258497</v>
      </c>
      <c r="E115" s="81">
        <v>767528265.80183327</v>
      </c>
      <c r="F115" s="81">
        <v>771418400.97115409</v>
      </c>
      <c r="G115" s="81">
        <v>775310572.06106675</v>
      </c>
      <c r="H115" s="81">
        <v>779204752.938151</v>
      </c>
      <c r="I115" s="81">
        <v>787763663.96229541</v>
      </c>
      <c r="J115" s="81">
        <v>796368551.82806671</v>
      </c>
      <c r="K115" s="81">
        <v>805019416.71883261</v>
      </c>
      <c r="L115" s="81">
        <v>813716258.81454146</v>
      </c>
      <c r="M115" s="81">
        <v>822459078.29179513</v>
      </c>
      <c r="N115" s="81">
        <v>840131994.23466039</v>
      </c>
      <c r="O115" s="81">
        <v>857927870.01895428</v>
      </c>
      <c r="P115" s="81">
        <v>875846837.55542457</v>
      </c>
      <c r="Q115" s="81">
        <v>893889026.5437026</v>
      </c>
      <c r="R115" s="81">
        <v>912054564.51843369</v>
      </c>
      <c r="S115" s="81">
        <v>928904394.92029667</v>
      </c>
      <c r="T115" s="81">
        <v>945843350.30810463</v>
      </c>
      <c r="U115" s="81">
        <v>962871588.22787082</v>
      </c>
      <c r="V115" s="81">
        <v>979989264.33707452</v>
      </c>
      <c r="W115" s="81">
        <v>997196532.43286777</v>
      </c>
      <c r="X115" s="81">
        <v>1010289119.1381128</v>
      </c>
      <c r="Y115" s="81">
        <v>1022982381.8145972</v>
      </c>
      <c r="Z115" s="81">
        <v>1035627303.2694954</v>
      </c>
      <c r="AA115" s="81">
        <v>1048223883.5693848</v>
      </c>
      <c r="AB115" s="81">
        <v>1060772122.7813172</v>
      </c>
      <c r="AC115" s="81">
        <v>1074345289.7022579</v>
      </c>
      <c r="AD115" s="81">
        <v>1087898696.0797536</v>
      </c>
      <c r="AE115" s="81">
        <v>1101432341.9137933</v>
      </c>
      <c r="AF115" s="81">
        <v>1114946227.2043841</v>
      </c>
      <c r="AG115" s="81">
        <v>1128440351.9515312</v>
      </c>
    </row>
    <row r="117" spans="1:33" ht="15.75">
      <c r="A117" s="65" t="s">
        <v>222</v>
      </c>
      <c r="B117" s="79" t="s">
        <v>220</v>
      </c>
      <c r="C117" s="79">
        <v>2020</v>
      </c>
      <c r="D117" s="79">
        <v>2021</v>
      </c>
      <c r="E117" s="79">
        <v>2022</v>
      </c>
      <c r="F117" s="79">
        <v>2023</v>
      </c>
      <c r="G117" s="79">
        <v>2024</v>
      </c>
      <c r="H117" s="79">
        <v>2025</v>
      </c>
      <c r="I117" s="79">
        <v>2026</v>
      </c>
      <c r="J117" s="79">
        <v>2027</v>
      </c>
      <c r="K117" s="79">
        <v>2028</v>
      </c>
      <c r="L117" s="79">
        <v>2029</v>
      </c>
      <c r="M117" s="79">
        <v>2030</v>
      </c>
      <c r="N117" s="79">
        <v>2031</v>
      </c>
      <c r="O117" s="79">
        <v>2032</v>
      </c>
      <c r="P117" s="79">
        <v>2033</v>
      </c>
      <c r="Q117" s="79">
        <v>2034</v>
      </c>
      <c r="R117" s="79">
        <v>2035</v>
      </c>
      <c r="S117" s="79">
        <v>2036</v>
      </c>
      <c r="T117" s="79">
        <v>2037</v>
      </c>
      <c r="U117" s="79">
        <v>2038</v>
      </c>
      <c r="V117" s="79">
        <v>2039</v>
      </c>
      <c r="W117" s="79">
        <v>2040</v>
      </c>
      <c r="X117" s="79">
        <v>2041</v>
      </c>
      <c r="Y117" s="79">
        <v>2042</v>
      </c>
      <c r="Z117" s="79">
        <v>2043</v>
      </c>
      <c r="AA117" s="79">
        <v>2044</v>
      </c>
      <c r="AB117" s="79">
        <v>2045</v>
      </c>
      <c r="AC117" s="79">
        <v>2046</v>
      </c>
      <c r="AD117" s="79">
        <v>2047</v>
      </c>
      <c r="AE117" s="79">
        <v>2048</v>
      </c>
      <c r="AF117" s="79">
        <v>2049</v>
      </c>
      <c r="AG117" s="79">
        <v>2050</v>
      </c>
    </row>
    <row r="118" spans="1:33" ht="15.75">
      <c r="A118" s="78" t="s">
        <v>155</v>
      </c>
      <c r="B118" s="76" t="s">
        <v>171</v>
      </c>
      <c r="C118" s="82">
        <v>0.49574193449175274</v>
      </c>
      <c r="D118" s="82">
        <v>0.49659051818582733</v>
      </c>
      <c r="E118" s="82">
        <v>0.49743009971403762</v>
      </c>
      <c r="F118" s="82">
        <v>0.49826057689660092</v>
      </c>
      <c r="G118" s="82">
        <v>0.49908184878108997</v>
      </c>
      <c r="H118" s="82">
        <v>0.49989381567711033</v>
      </c>
      <c r="I118" s="82">
        <v>0.49723014397853865</v>
      </c>
      <c r="J118" s="82">
        <v>0.49458149088564013</v>
      </c>
      <c r="K118" s="82">
        <v>0.49194849917690242</v>
      </c>
      <c r="L118" s="82">
        <v>0.48933180616133887</v>
      </c>
      <c r="M118" s="82">
        <v>0.48673204343463317</v>
      </c>
      <c r="N118" s="82">
        <v>0.4877149730540678</v>
      </c>
      <c r="O118" s="82">
        <v>0.48868178144450086</v>
      </c>
      <c r="P118" s="82">
        <v>0.48963285867244627</v>
      </c>
      <c r="Q118" s="82">
        <v>0.49056858242647194</v>
      </c>
      <c r="R118" s="82">
        <v>0.49148931849932259</v>
      </c>
      <c r="S118" s="82">
        <v>0.49131906616319487</v>
      </c>
      <c r="T118" s="82">
        <v>0.49115076591744655</v>
      </c>
      <c r="U118" s="82">
        <v>0.49098438443055242</v>
      </c>
      <c r="V118" s="82">
        <v>0.49081988912567626</v>
      </c>
      <c r="W118" s="82">
        <v>0.49065724815931477</v>
      </c>
      <c r="X118" s="82">
        <v>0.49173997720829521</v>
      </c>
      <c r="Y118" s="82">
        <v>0.49281946661358439</v>
      </c>
      <c r="Z118" s="82">
        <v>0.49389565857525625</v>
      </c>
      <c r="AA118" s="82">
        <v>0.49496856738746731</v>
      </c>
      <c r="AB118" s="82">
        <v>0.49603820726555087</v>
      </c>
      <c r="AC118" s="82">
        <v>0.49603820811845928</v>
      </c>
      <c r="AD118" s="82">
        <v>0.49603821008954141</v>
      </c>
      <c r="AE118" s="82">
        <v>0.49603821311535928</v>
      </c>
      <c r="AF118" s="82">
        <v>0.49603821713672425</v>
      </c>
      <c r="AG118" s="82">
        <v>0.49603822209834753</v>
      </c>
    </row>
    <row r="119" spans="1:33" ht="15.75">
      <c r="A119" s="78" t="s">
        <v>156</v>
      </c>
      <c r="B119" s="76" t="s">
        <v>171</v>
      </c>
      <c r="C119" s="82">
        <v>0.50425806550824714</v>
      </c>
      <c r="D119" s="82">
        <v>0.50340948181417278</v>
      </c>
      <c r="E119" s="82">
        <v>0.50256990028596238</v>
      </c>
      <c r="F119" s="82">
        <v>0.50173942310339903</v>
      </c>
      <c r="G119" s="82">
        <v>0.50091815121891015</v>
      </c>
      <c r="H119" s="82">
        <v>0.50010618432288967</v>
      </c>
      <c r="I119" s="82">
        <v>0.5027698560214614</v>
      </c>
      <c r="J119" s="82">
        <v>0.50541850911435982</v>
      </c>
      <c r="K119" s="82">
        <v>0.50805150082309758</v>
      </c>
      <c r="L119" s="82">
        <v>0.51066819383866102</v>
      </c>
      <c r="M119" s="82">
        <v>0.51326795656536683</v>
      </c>
      <c r="N119" s="82">
        <v>0.51228502694593225</v>
      </c>
      <c r="O119" s="82">
        <v>0.51131821855549919</v>
      </c>
      <c r="P119" s="82">
        <v>0.51036714132755379</v>
      </c>
      <c r="Q119" s="82">
        <v>0.50943141757352806</v>
      </c>
      <c r="R119" s="82">
        <v>0.50851068150067735</v>
      </c>
      <c r="S119" s="82">
        <v>0.50868093383680513</v>
      </c>
      <c r="T119" s="82">
        <v>0.50884923408255356</v>
      </c>
      <c r="U119" s="82">
        <v>0.50901561556944752</v>
      </c>
      <c r="V119" s="82">
        <v>0.5091801108743238</v>
      </c>
      <c r="W119" s="82">
        <v>0.50934275184068523</v>
      </c>
      <c r="X119" s="82">
        <v>0.5082600227917049</v>
      </c>
      <c r="Y119" s="82">
        <v>0.50718053338641567</v>
      </c>
      <c r="Z119" s="82">
        <v>0.5061043414247437</v>
      </c>
      <c r="AA119" s="82">
        <v>0.50503143261253269</v>
      </c>
      <c r="AB119" s="82">
        <v>0.50396179273444908</v>
      </c>
      <c r="AC119" s="82">
        <v>0.50396179188154078</v>
      </c>
      <c r="AD119" s="82">
        <v>0.50396178991045848</v>
      </c>
      <c r="AE119" s="82">
        <v>0.50396178688464077</v>
      </c>
      <c r="AF119" s="82">
        <v>0.50396178286327586</v>
      </c>
      <c r="AG119" s="82">
        <v>0.50396177790165253</v>
      </c>
    </row>
    <row r="120" spans="1:33" ht="15.75">
      <c r="A120" s="78" t="s">
        <v>157</v>
      </c>
      <c r="B120" s="76" t="s">
        <v>172</v>
      </c>
      <c r="C120" s="82">
        <v>0.1309032665951492</v>
      </c>
      <c r="D120" s="82">
        <v>0.134955642085446</v>
      </c>
      <c r="E120" s="82">
        <v>0.13905249364066702</v>
      </c>
      <c r="F120" s="82">
        <v>0.1431853813208924</v>
      </c>
      <c r="G120" s="82">
        <v>0.14734500291744415</v>
      </c>
      <c r="H120" s="82">
        <v>0.15152118887478963</v>
      </c>
      <c r="I120" s="82">
        <v>0.15523669410022445</v>
      </c>
      <c r="J120" s="82">
        <v>0.15896363905377345</v>
      </c>
      <c r="K120" s="82">
        <v>0.16269806196615355</v>
      </c>
      <c r="L120" s="82">
        <v>0.16643585059489518</v>
      </c>
      <c r="M120" s="82">
        <v>0.17017275247182767</v>
      </c>
      <c r="N120" s="82">
        <v>0.17328369079314188</v>
      </c>
      <c r="O120" s="82">
        <v>0.17634354391431539</v>
      </c>
      <c r="P120" s="82">
        <v>0.1793524367515015</v>
      </c>
      <c r="Q120" s="82">
        <v>0.18231051233930526</v>
      </c>
      <c r="R120" s="82">
        <v>0.18521793139195711</v>
      </c>
      <c r="S120" s="82">
        <v>0.18761357493840458</v>
      </c>
      <c r="T120" s="82">
        <v>0.1899641826761248</v>
      </c>
      <c r="U120" s="82">
        <v>0.19227062695995598</v>
      </c>
      <c r="V120" s="82">
        <v>0.19453376279962023</v>
      </c>
      <c r="W120" s="82">
        <v>0.19675442817726757</v>
      </c>
      <c r="X120" s="82">
        <v>0.1987197332874831</v>
      </c>
      <c r="Y120" s="82">
        <v>0.20059075154972006</v>
      </c>
      <c r="Z120" s="82">
        <v>0.20242141223922069</v>
      </c>
      <c r="AA120" s="82">
        <v>0.20421266531069251</v>
      </c>
      <c r="AB120" s="82">
        <v>0.20596543117526739</v>
      </c>
      <c r="AC120" s="82">
        <v>0.20765371256251813</v>
      </c>
      <c r="AD120" s="82">
        <v>0.20930742886212308</v>
      </c>
      <c r="AE120" s="82">
        <v>0.21092747383197141</v>
      </c>
      <c r="AF120" s="82">
        <v>0.21251471254841123</v>
      </c>
      <c r="AG120" s="82">
        <v>0.21406998251195397</v>
      </c>
    </row>
    <row r="121" spans="1:33" ht="15.75">
      <c r="A121" s="78" t="s">
        <v>158</v>
      </c>
      <c r="B121" s="76" t="s">
        <v>172</v>
      </c>
      <c r="C121" s="82">
        <v>0.19459673561022794</v>
      </c>
      <c r="D121" s="82">
        <v>0.19341675751393353</v>
      </c>
      <c r="E121" s="82">
        <v>0.1923723161231301</v>
      </c>
      <c r="F121" s="82">
        <v>0.19146581397200588</v>
      </c>
      <c r="G121" s="82">
        <v>0.19069892723619858</v>
      </c>
      <c r="H121" s="82">
        <v>0.19007251808908215</v>
      </c>
      <c r="I121" s="82">
        <v>0.18919586873218178</v>
      </c>
      <c r="J121" s="82">
        <v>0.18837584654730169</v>
      </c>
      <c r="K121" s="82">
        <v>0.18761407373919198</v>
      </c>
      <c r="L121" s="82">
        <v>0.1869120728678188</v>
      </c>
      <c r="M121" s="82">
        <v>0.18627125614572565</v>
      </c>
      <c r="N121" s="82">
        <v>0.18539300214499632</v>
      </c>
      <c r="O121" s="82">
        <v>0.18453616440853934</v>
      </c>
      <c r="P121" s="82">
        <v>0.18370058277791981</v>
      </c>
      <c r="Q121" s="82">
        <v>0.18288609116700646</v>
      </c>
      <c r="R121" s="82">
        <v>0.18209251778703087</v>
      </c>
      <c r="S121" s="82">
        <v>0.18157875724429232</v>
      </c>
      <c r="T121" s="82">
        <v>0.1810754108170379</v>
      </c>
      <c r="U121" s="82">
        <v>0.18058225768198491</v>
      </c>
      <c r="V121" s="82">
        <v>0.18009908192613755</v>
      </c>
      <c r="W121" s="82">
        <v>0.17962567243874411</v>
      </c>
      <c r="X121" s="82">
        <v>0.17903374645536954</v>
      </c>
      <c r="Y121" s="82">
        <v>0.17846527873688128</v>
      </c>
      <c r="Z121" s="82">
        <v>0.17790759531621123</v>
      </c>
      <c r="AA121" s="82">
        <v>0.17736044572655935</v>
      </c>
      <c r="AB121" s="82">
        <v>0.17682358728766165</v>
      </c>
      <c r="AC121" s="82">
        <v>0.17631519873761545</v>
      </c>
      <c r="AD121" s="82">
        <v>0.1758162547231307</v>
      </c>
      <c r="AE121" s="82">
        <v>0.17532652111359212</v>
      </c>
      <c r="AF121" s="82">
        <v>0.17484577110888702</v>
      </c>
      <c r="AG121" s="82">
        <v>0.17437378496150294</v>
      </c>
    </row>
    <row r="122" spans="1:33" ht="15.75">
      <c r="A122" s="78" t="s">
        <v>159</v>
      </c>
      <c r="B122" s="76" t="s">
        <v>172</v>
      </c>
      <c r="C122" s="82">
        <v>0.67014767001315834</v>
      </c>
      <c r="D122" s="82">
        <v>0.66710913184500642</v>
      </c>
      <c r="E122" s="82">
        <v>0.66388201907699707</v>
      </c>
      <c r="F122" s="82">
        <v>0.6604720932588144</v>
      </c>
      <c r="G122" s="82">
        <v>0.65688672492395583</v>
      </c>
      <c r="H122" s="82">
        <v>0.65313499066802794</v>
      </c>
      <c r="I122" s="82">
        <v>0.65009018362249116</v>
      </c>
      <c r="J122" s="82">
        <v>0.64697312067235824</v>
      </c>
      <c r="K122" s="82">
        <v>0.64378626332591482</v>
      </c>
      <c r="L122" s="82">
        <v>0.64053233673234622</v>
      </c>
      <c r="M122" s="82">
        <v>0.63721433015103235</v>
      </c>
      <c r="N122" s="82">
        <v>0.63477808358772436</v>
      </c>
      <c r="O122" s="82">
        <v>0.63237043209709598</v>
      </c>
      <c r="P122" s="82">
        <v>0.62999150647584168</v>
      </c>
      <c r="Q122" s="82">
        <v>0.62764142405628387</v>
      </c>
      <c r="R122" s="82">
        <v>0.6253202888379662</v>
      </c>
      <c r="S122" s="82">
        <v>0.62330214112608673</v>
      </c>
      <c r="T122" s="82">
        <v>0.62131949076911763</v>
      </c>
      <c r="U122" s="82">
        <v>0.61937168562683609</v>
      </c>
      <c r="V122" s="82">
        <v>0.61745808577400663</v>
      </c>
      <c r="W122" s="82">
        <v>0.61557806329810327</v>
      </c>
      <c r="X122" s="82">
        <v>0.61411083095794616</v>
      </c>
      <c r="Y122" s="82">
        <v>0.61271784699500542</v>
      </c>
      <c r="Z122" s="82">
        <v>0.61135573780403485</v>
      </c>
      <c r="AA122" s="82">
        <v>0.61002377033851218</v>
      </c>
      <c r="AB122" s="82">
        <v>0.60872123436168801</v>
      </c>
      <c r="AC122" s="82">
        <v>0.60747505005534963</v>
      </c>
      <c r="AD122" s="82">
        <v>0.60625544820094945</v>
      </c>
      <c r="AE122" s="82">
        <v>0.60506173053366608</v>
      </c>
      <c r="AF122" s="82">
        <v>0.60389322139047386</v>
      </c>
      <c r="AG122" s="82">
        <v>0.60274926683392283</v>
      </c>
    </row>
    <row r="123" spans="1:33" ht="15.75">
      <c r="A123" s="78" t="s">
        <v>160</v>
      </c>
      <c r="B123" s="76" t="s">
        <v>172</v>
      </c>
      <c r="C123" s="82">
        <v>4.3523277814644466E-3</v>
      </c>
      <c r="D123" s="82">
        <v>4.5184685556140447E-3</v>
      </c>
      <c r="E123" s="82">
        <v>4.6931711592057609E-3</v>
      </c>
      <c r="F123" s="82">
        <v>4.8767114482873384E-3</v>
      </c>
      <c r="G123" s="82">
        <v>5.0693449224016108E-3</v>
      </c>
      <c r="H123" s="82">
        <v>5.2713023681002381E-3</v>
      </c>
      <c r="I123" s="82">
        <v>5.477253545102612E-3</v>
      </c>
      <c r="J123" s="82">
        <v>5.6873937265665697E-3</v>
      </c>
      <c r="K123" s="82">
        <v>5.9016009687397038E-3</v>
      </c>
      <c r="L123" s="82">
        <v>6.1197398049398196E-3</v>
      </c>
      <c r="M123" s="82">
        <v>6.3416612314141684E-3</v>
      </c>
      <c r="N123" s="82">
        <v>6.5452234741375584E-3</v>
      </c>
      <c r="O123" s="82">
        <v>6.7498595800491818E-3</v>
      </c>
      <c r="P123" s="82">
        <v>6.9554739947369354E-3</v>
      </c>
      <c r="Q123" s="82">
        <v>7.161972437404204E-3</v>
      </c>
      <c r="R123" s="82">
        <v>7.3692619830457049E-3</v>
      </c>
      <c r="S123" s="82">
        <v>7.5055266912164376E-3</v>
      </c>
      <c r="T123" s="82">
        <v>7.6409157377195884E-3</v>
      </c>
      <c r="U123" s="82">
        <v>7.7754297312231883E-3</v>
      </c>
      <c r="V123" s="82">
        <v>7.9090695002355365E-3</v>
      </c>
      <c r="W123" s="82">
        <v>8.0418360858851966E-3</v>
      </c>
      <c r="X123" s="82">
        <v>8.1356892992012105E-3</v>
      </c>
      <c r="Y123" s="82">
        <v>8.2261227183933142E-3</v>
      </c>
      <c r="Z123" s="82">
        <v>8.3152546405331797E-3</v>
      </c>
      <c r="AA123" s="82">
        <v>8.403118624235829E-3</v>
      </c>
      <c r="AB123" s="82">
        <v>8.4897471753829605E-3</v>
      </c>
      <c r="AC123" s="82">
        <v>8.5560386445168342E-3</v>
      </c>
      <c r="AD123" s="82">
        <v>8.620868213796826E-3</v>
      </c>
      <c r="AE123" s="82">
        <v>8.6842745207704741E-3</v>
      </c>
      <c r="AF123" s="82">
        <v>8.7462949522279284E-3</v>
      </c>
      <c r="AG123" s="82">
        <v>8.806965692620258E-3</v>
      </c>
    </row>
    <row r="124" spans="1:33" ht="15.75">
      <c r="A124" s="78" t="s">
        <v>162</v>
      </c>
      <c r="B124" s="76" t="s">
        <v>173</v>
      </c>
      <c r="C124" s="82">
        <v>0.1172221722296678</v>
      </c>
      <c r="D124" s="82">
        <v>0.11670916544200399</v>
      </c>
      <c r="E124" s="82">
        <v>0.11619261710031827</v>
      </c>
      <c r="F124" s="82">
        <v>0.1156724415145344</v>
      </c>
      <c r="G124" s="82">
        <v>0.1151485494141315</v>
      </c>
      <c r="H124" s="82">
        <v>0.11462084777432932</v>
      </c>
      <c r="I124" s="82">
        <v>0.11438758648828035</v>
      </c>
      <c r="J124" s="82">
        <v>0.11415004035384638</v>
      </c>
      <c r="K124" s="82">
        <v>0.11390810219872111</v>
      </c>
      <c r="L124" s="82">
        <v>0.11366166123811815</v>
      </c>
      <c r="M124" s="82">
        <v>0.11341060292159456</v>
      </c>
      <c r="N124" s="82">
        <v>0.11329193949635244</v>
      </c>
      <c r="O124" s="82">
        <v>0.1131680761829839</v>
      </c>
      <c r="P124" s="82">
        <v>0.11303892734249787</v>
      </c>
      <c r="Q124" s="82">
        <v>0.1129044052879369</v>
      </c>
      <c r="R124" s="82">
        <v>0.11276442022655996</v>
      </c>
      <c r="S124" s="82">
        <v>0.11302525550546788</v>
      </c>
      <c r="T124" s="82">
        <v>0.11328423736971623</v>
      </c>
      <c r="U124" s="82">
        <v>0.11354138187902169</v>
      </c>
      <c r="V124" s="82">
        <v>0.11379670496308826</v>
      </c>
      <c r="W124" s="82">
        <v>0.11405022242140281</v>
      </c>
      <c r="X124" s="82">
        <v>0.11432606300813342</v>
      </c>
      <c r="Y124" s="82">
        <v>0.11460264549028433</v>
      </c>
      <c r="Z124" s="82">
        <v>0.11487998213314272</v>
      </c>
      <c r="AA124" s="82">
        <v>0.11515807489048964</v>
      </c>
      <c r="AB124" s="82">
        <v>0.11543692572759404</v>
      </c>
      <c r="AC124" s="82">
        <v>0.11537051798215114</v>
      </c>
      <c r="AD124" s="82">
        <v>0.11530399412932053</v>
      </c>
      <c r="AE124" s="82">
        <v>0.11523735387886173</v>
      </c>
      <c r="AF124" s="82">
        <v>0.11517059694069202</v>
      </c>
      <c r="AG124" s="82">
        <v>0.11510372302483096</v>
      </c>
    </row>
    <row r="125" spans="1:33" ht="15.75">
      <c r="A125" s="78" t="s">
        <v>163</v>
      </c>
      <c r="B125" s="76" t="s">
        <v>173</v>
      </c>
      <c r="C125" s="82">
        <v>0.14676587236243849</v>
      </c>
      <c r="D125" s="82">
        <v>0.1451896955071463</v>
      </c>
      <c r="E125" s="82">
        <v>0.14365318745567021</v>
      </c>
      <c r="F125" s="82">
        <v>0.14215763196406472</v>
      </c>
      <c r="G125" s="82">
        <v>0.14070436286848287</v>
      </c>
      <c r="H125" s="82">
        <v>0.13929476659975262</v>
      </c>
      <c r="I125" s="82">
        <v>0.13811061346554546</v>
      </c>
      <c r="J125" s="82">
        <v>0.13696942957777639</v>
      </c>
      <c r="K125" s="82">
        <v>0.13587236668280223</v>
      </c>
      <c r="L125" s="82">
        <v>0.13482061534869588</v>
      </c>
      <c r="M125" s="82">
        <v>0.13381540661305311</v>
      </c>
      <c r="N125" s="82">
        <v>0.13307050779159563</v>
      </c>
      <c r="O125" s="82">
        <v>0.13237304984160822</v>
      </c>
      <c r="P125" s="82">
        <v>0.131723908273299</v>
      </c>
      <c r="Q125" s="82">
        <v>0.13112397770696618</v>
      </c>
      <c r="R125" s="82">
        <v>0.13057417244713532</v>
      </c>
      <c r="S125" s="82">
        <v>0.1305209042955138</v>
      </c>
      <c r="T125" s="82">
        <v>0.13046809980157481</v>
      </c>
      <c r="U125" s="82">
        <v>0.13041575536194355</v>
      </c>
      <c r="V125" s="82">
        <v>0.13036386738678754</v>
      </c>
      <c r="W125" s="82">
        <v>0.13031243230045952</v>
      </c>
      <c r="X125" s="82">
        <v>0.13023145289848229</v>
      </c>
      <c r="Y125" s="82">
        <v>0.13015055848511334</v>
      </c>
      <c r="Z125" s="82">
        <v>0.13006964674102608</v>
      </c>
      <c r="AA125" s="82">
        <v>0.12998871852614866</v>
      </c>
      <c r="AB125" s="82">
        <v>0.12990777471047696</v>
      </c>
      <c r="AC125" s="82">
        <v>0.12985850785335587</v>
      </c>
      <c r="AD125" s="82">
        <v>0.1298092436524402</v>
      </c>
      <c r="AE125" s="82">
        <v>0.12975998234586247</v>
      </c>
      <c r="AF125" s="82">
        <v>0.12971072417470064</v>
      </c>
      <c r="AG125" s="82">
        <v>0.12966146938292097</v>
      </c>
    </row>
    <row r="126" spans="1:33" ht="15.75">
      <c r="A126" s="78" t="s">
        <v>164</v>
      </c>
      <c r="B126" s="76" t="s">
        <v>173</v>
      </c>
      <c r="C126" s="82">
        <v>0.27376795970867768</v>
      </c>
      <c r="D126" s="82">
        <v>0.27414391934154964</v>
      </c>
      <c r="E126" s="82">
        <v>0.27450720360419772</v>
      </c>
      <c r="F126" s="82">
        <v>0.27485742238084454</v>
      </c>
      <c r="G126" s="82">
        <v>0.27519417002462176</v>
      </c>
      <c r="H126" s="82">
        <v>0.27551702458584493</v>
      </c>
      <c r="I126" s="82">
        <v>0.275556904776673</v>
      </c>
      <c r="J126" s="82">
        <v>0.27558433791975057</v>
      </c>
      <c r="K126" s="82">
        <v>0.27559899478157107</v>
      </c>
      <c r="L126" s="82">
        <v>0.27560053504137749</v>
      </c>
      <c r="M126" s="82">
        <v>0.27558860682068326</v>
      </c>
      <c r="N126" s="82">
        <v>0.27572734367687168</v>
      </c>
      <c r="O126" s="82">
        <v>0.27585086715396151</v>
      </c>
      <c r="P126" s="82">
        <v>0.27595892351216428</v>
      </c>
      <c r="Q126" s="82">
        <v>0.2760512530914912</v>
      </c>
      <c r="R126" s="82">
        <v>0.27612759014093524</v>
      </c>
      <c r="S126" s="82">
        <v>0.27599596949335042</v>
      </c>
      <c r="T126" s="82">
        <v>0.27586439120382017</v>
      </c>
      <c r="U126" s="82">
        <v>0.27573286299682837</v>
      </c>
      <c r="V126" s="82">
        <v>0.27560139239546483</v>
      </c>
      <c r="W126" s="82">
        <v>0.27546998672633882</v>
      </c>
      <c r="X126" s="82">
        <v>0.27548157510773125</v>
      </c>
      <c r="Y126" s="82">
        <v>0.27549320990363158</v>
      </c>
      <c r="Z126" s="82">
        <v>0.27550478566730174</v>
      </c>
      <c r="AA126" s="82">
        <v>0.27551630208187583</v>
      </c>
      <c r="AB126" s="82">
        <v>0.27552775882575559</v>
      </c>
      <c r="AC126" s="82">
        <v>0.27555852017992283</v>
      </c>
      <c r="AD126" s="82">
        <v>0.27558930305729873</v>
      </c>
      <c r="AE126" s="82">
        <v>0.27562010742777548</v>
      </c>
      <c r="AF126" s="82">
        <v>0.27565093326002849</v>
      </c>
      <c r="AG126" s="82">
        <v>0.27568178052155834</v>
      </c>
    </row>
    <row r="127" spans="1:33" ht="15.75">
      <c r="A127" s="78" t="s">
        <v>165</v>
      </c>
      <c r="B127" s="76" t="s">
        <v>173</v>
      </c>
      <c r="C127" s="82">
        <v>0.46224399569921598</v>
      </c>
      <c r="D127" s="82">
        <v>0.46395721970930009</v>
      </c>
      <c r="E127" s="82">
        <v>0.46564699183981384</v>
      </c>
      <c r="F127" s="82">
        <v>0.46731250414055625</v>
      </c>
      <c r="G127" s="82">
        <v>0.46895291769276387</v>
      </c>
      <c r="H127" s="82">
        <v>0.47056736104007313</v>
      </c>
      <c r="I127" s="82">
        <v>0.47194489526950129</v>
      </c>
      <c r="J127" s="82">
        <v>0.47329619214862662</v>
      </c>
      <c r="K127" s="82">
        <v>0.47462053633690554</v>
      </c>
      <c r="L127" s="82">
        <v>0.47591718837180841</v>
      </c>
      <c r="M127" s="82">
        <v>0.47718538364466906</v>
      </c>
      <c r="N127" s="82">
        <v>0.47791020903518028</v>
      </c>
      <c r="O127" s="82">
        <v>0.47860800682144639</v>
      </c>
      <c r="P127" s="82">
        <v>0.47927824087203891</v>
      </c>
      <c r="Q127" s="82">
        <v>0.47992036391360571</v>
      </c>
      <c r="R127" s="82">
        <v>0.48053381718536947</v>
      </c>
      <c r="S127" s="82">
        <v>0.48045787070566787</v>
      </c>
      <c r="T127" s="82">
        <v>0.48038327162488881</v>
      </c>
      <c r="U127" s="82">
        <v>0.4803099997622064</v>
      </c>
      <c r="V127" s="82">
        <v>0.48023803525465941</v>
      </c>
      <c r="W127" s="82">
        <v>0.48016735855179882</v>
      </c>
      <c r="X127" s="82">
        <v>0.47996090898565308</v>
      </c>
      <c r="Y127" s="82">
        <v>0.4797535861209708</v>
      </c>
      <c r="Z127" s="82">
        <v>0.47954558545852932</v>
      </c>
      <c r="AA127" s="82">
        <v>0.47933690450148592</v>
      </c>
      <c r="AB127" s="82">
        <v>0.47912754073617347</v>
      </c>
      <c r="AC127" s="82">
        <v>0.47921245398457013</v>
      </c>
      <c r="AD127" s="82">
        <v>0.47929745916094069</v>
      </c>
      <c r="AE127" s="82">
        <v>0.47938255634750027</v>
      </c>
      <c r="AF127" s="82">
        <v>0.47946774562457878</v>
      </c>
      <c r="AG127" s="82">
        <v>0.47955302707068981</v>
      </c>
    </row>
    <row r="128" spans="1:33" ht="15.75">
      <c r="A128" s="78"/>
      <c r="B128" s="79"/>
      <c r="C128" s="81"/>
      <c r="D128" s="81"/>
      <c r="E128" s="81"/>
      <c r="F128" s="81"/>
      <c r="G128" s="81"/>
      <c r="H128" s="81"/>
      <c r="I128" s="81"/>
      <c r="J128" s="81"/>
      <c r="K128" s="81"/>
      <c r="L128" s="81"/>
      <c r="M128" s="81"/>
      <c r="N128" s="81"/>
      <c r="O128" s="81"/>
      <c r="P128" s="81"/>
      <c r="Q128" s="81"/>
      <c r="R128" s="81"/>
      <c r="S128" s="81"/>
      <c r="T128" s="81"/>
      <c r="U128" s="81"/>
      <c r="V128" s="81"/>
      <c r="W128" s="81"/>
      <c r="X128" s="81"/>
      <c r="Y128" s="81"/>
      <c r="Z128" s="81"/>
      <c r="AA128" s="81"/>
      <c r="AB128" s="81"/>
      <c r="AC128" s="81"/>
      <c r="AD128" s="81"/>
      <c r="AE128" s="81"/>
      <c r="AF128" s="81"/>
      <c r="AG128" s="81"/>
    </row>
    <row r="129" spans="1:33" ht="15.75">
      <c r="A129" s="65" t="s">
        <v>223</v>
      </c>
      <c r="B129" s="79" t="s">
        <v>220</v>
      </c>
      <c r="C129" s="79">
        <v>2020</v>
      </c>
      <c r="D129" s="79">
        <v>2021</v>
      </c>
      <c r="E129" s="79">
        <v>2022</v>
      </c>
      <c r="F129" s="79">
        <v>2023</v>
      </c>
      <c r="G129" s="79">
        <v>2024</v>
      </c>
      <c r="H129" s="79">
        <v>2025</v>
      </c>
      <c r="I129" s="79">
        <v>2026</v>
      </c>
      <c r="J129" s="79">
        <v>2027</v>
      </c>
      <c r="K129" s="79">
        <v>2028</v>
      </c>
      <c r="L129" s="79">
        <v>2029</v>
      </c>
      <c r="M129" s="79">
        <v>2030</v>
      </c>
      <c r="N129" s="79">
        <v>2031</v>
      </c>
      <c r="O129" s="79">
        <v>2032</v>
      </c>
      <c r="P129" s="79">
        <v>2033</v>
      </c>
      <c r="Q129" s="79">
        <v>2034</v>
      </c>
      <c r="R129" s="79">
        <v>2035</v>
      </c>
      <c r="S129" s="79">
        <v>2036</v>
      </c>
      <c r="T129" s="79">
        <v>2037</v>
      </c>
      <c r="U129" s="79">
        <v>2038</v>
      </c>
      <c r="V129" s="79">
        <v>2039</v>
      </c>
      <c r="W129" s="79">
        <v>2040</v>
      </c>
      <c r="X129" s="79">
        <v>2041</v>
      </c>
      <c r="Y129" s="79">
        <v>2042</v>
      </c>
      <c r="Z129" s="79">
        <v>2043</v>
      </c>
      <c r="AA129" s="79">
        <v>2044</v>
      </c>
      <c r="AB129" s="79">
        <v>2045</v>
      </c>
      <c r="AC129" s="79">
        <v>2046</v>
      </c>
      <c r="AD129" s="79">
        <v>2047</v>
      </c>
      <c r="AE129" s="79">
        <v>2048</v>
      </c>
      <c r="AF129" s="79">
        <v>2049</v>
      </c>
      <c r="AG129" s="79">
        <v>2050</v>
      </c>
    </row>
    <row r="130" spans="1:33" ht="15.75">
      <c r="A130" s="78" t="s">
        <v>155</v>
      </c>
      <c r="B130" s="76" t="s">
        <v>171</v>
      </c>
      <c r="C130">
        <v>69.651741796091258</v>
      </c>
      <c r="D130">
        <v>68.405343880097718</v>
      </c>
      <c r="E130">
        <v>67.153063461395078</v>
      </c>
      <c r="F130">
        <v>65.894961294575467</v>
      </c>
      <c r="G130">
        <v>64.631099417151148</v>
      </c>
      <c r="H130">
        <v>63.361541137073736</v>
      </c>
      <c r="I130">
        <v>61.65653785333879</v>
      </c>
      <c r="J130">
        <v>59.968005769883867</v>
      </c>
      <c r="K130">
        <v>58.295897152462935</v>
      </c>
      <c r="L130">
        <v>56.640156563174976</v>
      </c>
      <c r="M130">
        <v>55.00072090811355</v>
      </c>
      <c r="N130">
        <v>55.111791955109659</v>
      </c>
      <c r="O130">
        <v>55.221041303228596</v>
      </c>
      <c r="P130">
        <v>55.328513029986425</v>
      </c>
      <c r="Q130">
        <v>55.434249814191332</v>
      </c>
      <c r="R130">
        <v>55.53829299042345</v>
      </c>
      <c r="S130">
        <v>55.519054476441021</v>
      </c>
      <c r="T130">
        <v>55.50003654867146</v>
      </c>
      <c r="U130">
        <v>55.481235440652426</v>
      </c>
      <c r="V130">
        <v>55.462647471201414</v>
      </c>
      <c r="W130">
        <v>55.444269042002567</v>
      </c>
      <c r="X130">
        <v>55.566617424537355</v>
      </c>
      <c r="Y130">
        <v>55.688599727335038</v>
      </c>
      <c r="Z130">
        <v>55.810209419003954</v>
      </c>
      <c r="AA130">
        <v>55.931448114783805</v>
      </c>
      <c r="AB130">
        <v>56.052317421007245</v>
      </c>
      <c r="AC130">
        <v>56.052317517385902</v>
      </c>
      <c r="AD130">
        <v>56.052317740118177</v>
      </c>
      <c r="AE130">
        <v>56.052318082035598</v>
      </c>
      <c r="AF130">
        <v>56.052318536449839</v>
      </c>
      <c r="AG130">
        <v>56.052319097113269</v>
      </c>
    </row>
    <row r="131" spans="1:33" ht="15.75">
      <c r="A131" s="78" t="s">
        <v>156</v>
      </c>
      <c r="B131" s="76" t="s">
        <v>171</v>
      </c>
      <c r="C131">
        <v>107.65909698601077</v>
      </c>
      <c r="D131">
        <v>105.33843406961566</v>
      </c>
      <c r="E131">
        <v>103.02682955862228</v>
      </c>
      <c r="F131">
        <v>100.72418918800736</v>
      </c>
      <c r="G131">
        <v>98.430416714515843</v>
      </c>
      <c r="H131">
        <v>96.145413936075542</v>
      </c>
      <c r="I131">
        <v>94.520732932034747</v>
      </c>
      <c r="J131">
        <v>92.870651049763623</v>
      </c>
      <c r="K131">
        <v>91.195244397746009</v>
      </c>
      <c r="L131">
        <v>89.494600970225349</v>
      </c>
      <c r="M131">
        <v>87.768820572677726</v>
      </c>
      <c r="N131">
        <v>87.60073960775442</v>
      </c>
      <c r="O131">
        <v>87.435415372990363</v>
      </c>
      <c r="P131">
        <v>87.272781167011701</v>
      </c>
      <c r="Q131">
        <v>87.112772405073301</v>
      </c>
      <c r="R131">
        <v>86.955326536615829</v>
      </c>
      <c r="S131">
        <v>86.98443968609368</v>
      </c>
      <c r="T131">
        <v>87.013219028116652</v>
      </c>
      <c r="U131">
        <v>87.041670262375533</v>
      </c>
      <c r="V131">
        <v>87.06979895950937</v>
      </c>
      <c r="W131">
        <v>87.097610564757176</v>
      </c>
      <c r="X131">
        <v>86.912463897381542</v>
      </c>
      <c r="Y131">
        <v>86.72787120907708</v>
      </c>
      <c r="Z131">
        <v>86.543842383631173</v>
      </c>
      <c r="AA131">
        <v>86.360374976743088</v>
      </c>
      <c r="AB131">
        <v>86.17746655759079</v>
      </c>
      <c r="AC131">
        <v>86.177466411743467</v>
      </c>
      <c r="AD131">
        <v>86.177466074688397</v>
      </c>
      <c r="AE131">
        <v>86.177465557273578</v>
      </c>
      <c r="AF131">
        <v>86.177464869620167</v>
      </c>
      <c r="AG131">
        <v>86.177464021182587</v>
      </c>
    </row>
    <row r="132" spans="1:33" ht="15.75">
      <c r="A132" s="78" t="s">
        <v>157</v>
      </c>
      <c r="B132" s="76" t="s">
        <v>172</v>
      </c>
      <c r="C132">
        <v>55.633888302938409</v>
      </c>
      <c r="D132">
        <v>55.669202360246473</v>
      </c>
      <c r="E132">
        <v>55.620997456266807</v>
      </c>
      <c r="F132">
        <v>55.484335261845807</v>
      </c>
      <c r="G132">
        <v>55.254376094041554</v>
      </c>
      <c r="H132">
        <v>54.926430967111244</v>
      </c>
      <c r="I132">
        <v>54.33284293507856</v>
      </c>
      <c r="J132">
        <v>53.65022818064854</v>
      </c>
      <c r="K132">
        <v>52.876870138999905</v>
      </c>
      <c r="L132">
        <v>52.011203310904747</v>
      </c>
      <c r="M132">
        <v>51.051825741548299</v>
      </c>
      <c r="N132">
        <v>51.985107237942564</v>
      </c>
      <c r="O132">
        <v>52.903063174294616</v>
      </c>
      <c r="P132">
        <v>53.805731025450449</v>
      </c>
      <c r="Q132">
        <v>54.69315370179158</v>
      </c>
      <c r="R132">
        <v>55.565379417587131</v>
      </c>
      <c r="S132">
        <v>56.284072481521378</v>
      </c>
      <c r="T132">
        <v>56.989254802837443</v>
      </c>
      <c r="U132">
        <v>57.68118808798679</v>
      </c>
      <c r="V132">
        <v>58.360128839886066</v>
      </c>
      <c r="W132">
        <v>59.02632845318027</v>
      </c>
      <c r="X132">
        <v>59.615919986244933</v>
      </c>
      <c r="Y132">
        <v>60.17722546491602</v>
      </c>
      <c r="Z132">
        <v>60.726423671766206</v>
      </c>
      <c r="AA132">
        <v>61.263799593207757</v>
      </c>
      <c r="AB132">
        <v>61.789629352580214</v>
      </c>
      <c r="AC132">
        <v>62.29611376875544</v>
      </c>
      <c r="AD132">
        <v>62.792228658636922</v>
      </c>
      <c r="AE132">
        <v>63.278242149591421</v>
      </c>
      <c r="AF132">
        <v>63.75441376452337</v>
      </c>
      <c r="AG132">
        <v>64.220994753586197</v>
      </c>
    </row>
    <row r="133" spans="1:33" ht="15.75">
      <c r="A133" s="78" t="s">
        <v>158</v>
      </c>
      <c r="B133" s="76" t="s">
        <v>172</v>
      </c>
      <c r="C133">
        <v>94.47671513876567</v>
      </c>
      <c r="D133">
        <v>90.954230220927244</v>
      </c>
      <c r="E133">
        <v>87.529403836024201</v>
      </c>
      <c r="F133">
        <v>84.197091694189581</v>
      </c>
      <c r="G133">
        <v>80.9516946117663</v>
      </c>
      <c r="H133">
        <v>77.78717802795687</v>
      </c>
      <c r="I133">
        <v>74.543172280479624</v>
      </c>
      <c r="J133">
        <v>71.347351879790509</v>
      </c>
      <c r="K133">
        <v>68.197715804196278</v>
      </c>
      <c r="L133">
        <v>65.092129376217898</v>
      </c>
      <c r="M133">
        <v>62.028328296526638</v>
      </c>
      <c r="N133">
        <v>61.735869714283773</v>
      </c>
      <c r="O133">
        <v>61.450542748043603</v>
      </c>
      <c r="P133">
        <v>61.172294065047296</v>
      </c>
      <c r="Q133">
        <v>60.901068358613152</v>
      </c>
      <c r="R133">
        <v>60.636808423081277</v>
      </c>
      <c r="S133">
        <v>60.465726162349341</v>
      </c>
      <c r="T133">
        <v>60.29811180207362</v>
      </c>
      <c r="U133">
        <v>60.133891808100977</v>
      </c>
      <c r="V133">
        <v>59.972994281403807</v>
      </c>
      <c r="W133">
        <v>59.815348922101791</v>
      </c>
      <c r="X133">
        <v>59.618237569638055</v>
      </c>
      <c r="Y133">
        <v>59.428937819381467</v>
      </c>
      <c r="Z133">
        <v>59.243229240298341</v>
      </c>
      <c r="AA133">
        <v>59.061028426944262</v>
      </c>
      <c r="AB133">
        <v>58.882254566791332</v>
      </c>
      <c r="AC133">
        <v>58.712961179625943</v>
      </c>
      <c r="AD133">
        <v>58.546812822802522</v>
      </c>
      <c r="AE133">
        <v>58.383731530826175</v>
      </c>
      <c r="AF133">
        <v>58.223641779259381</v>
      </c>
      <c r="AG133">
        <v>58.066470392180477</v>
      </c>
    </row>
    <row r="134" spans="1:33" ht="15.75">
      <c r="A134" s="78" t="s">
        <v>159</v>
      </c>
      <c r="B134" s="76" t="s">
        <v>172</v>
      </c>
      <c r="C134">
        <v>659.59284421045106</v>
      </c>
      <c r="D134">
        <v>635.17128215792673</v>
      </c>
      <c r="E134">
        <v>610.77145755083734</v>
      </c>
      <c r="F134">
        <v>586.41665980216987</v>
      </c>
      <c r="G134">
        <v>562.13081485367525</v>
      </c>
      <c r="H134">
        <v>537.93830668895453</v>
      </c>
      <c r="I134">
        <v>514.54638033720175</v>
      </c>
      <c r="J134">
        <v>491.29521351057201</v>
      </c>
      <c r="K134">
        <v>468.19356000377155</v>
      </c>
      <c r="L134">
        <v>445.25004057107219</v>
      </c>
      <c r="M134">
        <v>422.47310089013445</v>
      </c>
      <c r="N134">
        <v>420.85786941866127</v>
      </c>
      <c r="O134">
        <v>419.26159648037464</v>
      </c>
      <c r="P134">
        <v>417.68436879348303</v>
      </c>
      <c r="Q134">
        <v>416.12626414931623</v>
      </c>
      <c r="R134">
        <v>414.58735149957158</v>
      </c>
      <c r="S134">
        <v>413.24931956659549</v>
      </c>
      <c r="T134">
        <v>411.93482237992498</v>
      </c>
      <c r="U134">
        <v>410.64342757059234</v>
      </c>
      <c r="V134">
        <v>409.3747108681664</v>
      </c>
      <c r="W134">
        <v>408.12825596664248</v>
      </c>
      <c r="X134">
        <v>407.1554809251183</v>
      </c>
      <c r="Y134">
        <v>406.23193255768859</v>
      </c>
      <c r="Z134">
        <v>405.3288541640751</v>
      </c>
      <c r="AA134">
        <v>404.44575973443358</v>
      </c>
      <c r="AB134">
        <v>403.58217838179917</v>
      </c>
      <c r="AC134">
        <v>402.75595818669683</v>
      </c>
      <c r="AD134">
        <v>401.94736215722946</v>
      </c>
      <c r="AE134">
        <v>401.15592734382062</v>
      </c>
      <c r="AF134">
        <v>400.38120578188415</v>
      </c>
      <c r="AG134">
        <v>399.62276391089085</v>
      </c>
    </row>
    <row r="135" spans="1:33" ht="15.75">
      <c r="A135" s="78" t="s">
        <v>160</v>
      </c>
      <c r="B135" s="76" t="s">
        <v>172</v>
      </c>
      <c r="C135">
        <v>1.8638843724121492</v>
      </c>
      <c r="D135">
        <v>1.8825069619827013</v>
      </c>
      <c r="E135">
        <v>1.900734319478333</v>
      </c>
      <c r="F135">
        <v>1.9183763659700317</v>
      </c>
      <c r="G135">
        <v>1.935222424126815</v>
      </c>
      <c r="H135">
        <v>1.9510407889931005</v>
      </c>
      <c r="I135">
        <v>1.9635953959192864</v>
      </c>
      <c r="J135">
        <v>1.9728146989027788</v>
      </c>
      <c r="K135">
        <v>1.9785117247699857</v>
      </c>
      <c r="L135">
        <v>1.980500794373649</v>
      </c>
      <c r="M135">
        <v>1.9785983042012205</v>
      </c>
      <c r="N135">
        <v>2.0421097239309183</v>
      </c>
      <c r="O135">
        <v>2.1059561889753446</v>
      </c>
      <c r="P135">
        <v>2.1701078863579237</v>
      </c>
      <c r="Q135">
        <v>2.2345354004701115</v>
      </c>
      <c r="R135">
        <v>2.2992097387102599</v>
      </c>
      <c r="S135">
        <v>2.3417243276595285</v>
      </c>
      <c r="T135">
        <v>2.3839657101685114</v>
      </c>
      <c r="U135">
        <v>2.4259340761416346</v>
      </c>
      <c r="V135">
        <v>2.4676296840734873</v>
      </c>
      <c r="W135">
        <v>2.5090528587961813</v>
      </c>
      <c r="X135">
        <v>2.5383350613507778</v>
      </c>
      <c r="Y135">
        <v>2.5665502881387141</v>
      </c>
      <c r="Z135">
        <v>2.5943594478463519</v>
      </c>
      <c r="AA135">
        <v>2.6217730107615789</v>
      </c>
      <c r="AB135">
        <v>2.6488011187194838</v>
      </c>
      <c r="AC135">
        <v>2.6694840570892522</v>
      </c>
      <c r="AD135">
        <v>2.6897108827046097</v>
      </c>
      <c r="AE135">
        <v>2.7094936504803879</v>
      </c>
      <c r="AF135">
        <v>2.7288440250951136</v>
      </c>
      <c r="AG135">
        <v>2.7477732960975203</v>
      </c>
    </row>
    <row r="136" spans="1:33" ht="15.75">
      <c r="A136" s="78" t="s">
        <v>162</v>
      </c>
      <c r="B136" s="76" t="s">
        <v>173</v>
      </c>
      <c r="C136">
        <v>14.213188382847221</v>
      </c>
      <c r="D136">
        <v>14.078043081441731</v>
      </c>
      <c r="E136">
        <v>13.943114052038192</v>
      </c>
      <c r="F136">
        <v>13.808397705797544</v>
      </c>
      <c r="G136">
        <v>13.673890242928115</v>
      </c>
      <c r="H136">
        <v>13.539587643342651</v>
      </c>
      <c r="I136">
        <v>13.440541412372941</v>
      </c>
      <c r="J136">
        <v>13.341285966355795</v>
      </c>
      <c r="K136">
        <v>13.241816880601329</v>
      </c>
      <c r="L136">
        <v>13.142129580657411</v>
      </c>
      <c r="M136">
        <v>13.042219335983376</v>
      </c>
      <c r="N136">
        <v>13.028573042080531</v>
      </c>
      <c r="O136">
        <v>13.014328761043148</v>
      </c>
      <c r="P136">
        <v>12.999476644387256</v>
      </c>
      <c r="Q136">
        <v>12.984006608112743</v>
      </c>
      <c r="R136">
        <v>12.967908326054395</v>
      </c>
      <c r="S136">
        <v>12.997904383128807</v>
      </c>
      <c r="T136">
        <v>13.027687297517366</v>
      </c>
      <c r="U136">
        <v>13.057258916087493</v>
      </c>
      <c r="V136">
        <v>13.08662107075515</v>
      </c>
      <c r="W136">
        <v>13.115775578461323</v>
      </c>
      <c r="X136">
        <v>13.147497245935343</v>
      </c>
      <c r="Y136">
        <v>13.179304231382698</v>
      </c>
      <c r="Z136">
        <v>13.211197945311413</v>
      </c>
      <c r="AA136">
        <v>13.243178612406309</v>
      </c>
      <c r="AB136">
        <v>13.275246458673314</v>
      </c>
      <c r="AC136">
        <v>13.267609567947382</v>
      </c>
      <c r="AD136">
        <v>13.259959324871861</v>
      </c>
      <c r="AE136">
        <v>13.252295696069099</v>
      </c>
      <c r="AF136">
        <v>13.244618648179582</v>
      </c>
      <c r="AG136">
        <v>13.236928147855561</v>
      </c>
    </row>
    <row r="137" spans="1:33" ht="15.75">
      <c r="A137" s="78" t="s">
        <v>163</v>
      </c>
      <c r="B137" s="76" t="s">
        <v>173</v>
      </c>
      <c r="C137">
        <v>66.77847192490951</v>
      </c>
      <c r="D137">
        <v>65.698337216983703</v>
      </c>
      <c r="E137">
        <v>64.643934355051599</v>
      </c>
      <c r="F137">
        <v>63.615540303918962</v>
      </c>
      <c r="G137">
        <v>62.613441476474875</v>
      </c>
      <c r="H137">
        <v>61.637934220390534</v>
      </c>
      <c r="I137">
        <v>60.768669924839998</v>
      </c>
      <c r="J137">
        <v>59.924125440277166</v>
      </c>
      <c r="K137">
        <v>59.104479507018965</v>
      </c>
      <c r="L137">
        <v>58.309916138310967</v>
      </c>
      <c r="M137">
        <v>57.540624843612832</v>
      </c>
      <c r="N137">
        <v>57.220318350386123</v>
      </c>
      <c r="O137">
        <v>56.920411431891537</v>
      </c>
      <c r="P137">
        <v>56.64128055751857</v>
      </c>
      <c r="Q137">
        <v>56.38331041399546</v>
      </c>
      <c r="R137">
        <v>56.146894152268189</v>
      </c>
      <c r="S137">
        <v>56.123988847070933</v>
      </c>
      <c r="T137">
        <v>56.101282914677171</v>
      </c>
      <c r="U137">
        <v>56.078774805635724</v>
      </c>
      <c r="V137">
        <v>56.056462976318642</v>
      </c>
      <c r="W137">
        <v>56.034345889197596</v>
      </c>
      <c r="X137">
        <v>55.999524746347383</v>
      </c>
      <c r="Y137">
        <v>55.964740148598736</v>
      </c>
      <c r="Z137">
        <v>55.929948098641219</v>
      </c>
      <c r="AA137">
        <v>55.895148966243923</v>
      </c>
      <c r="AB137">
        <v>55.860343125505089</v>
      </c>
      <c r="AC137">
        <v>55.839158376943026</v>
      </c>
      <c r="AD137">
        <v>55.817974770549284</v>
      </c>
      <c r="AE137">
        <v>55.796792408720862</v>
      </c>
      <c r="AF137">
        <v>55.775611395121274</v>
      </c>
      <c r="AG137">
        <v>55.754431834656017</v>
      </c>
    </row>
    <row r="138" spans="1:33" ht="15.75">
      <c r="A138" s="78" t="s">
        <v>164</v>
      </c>
      <c r="B138" s="76" t="s">
        <v>173</v>
      </c>
      <c r="C138">
        <v>49.8257686669794</v>
      </c>
      <c r="D138">
        <v>49.620049400820548</v>
      </c>
      <c r="E138">
        <v>49.411296648755588</v>
      </c>
      <c r="F138">
        <v>49.199478606171169</v>
      </c>
      <c r="G138">
        <v>48.984562264382674</v>
      </c>
      <c r="H138">
        <v>48.766513351694549</v>
      </c>
      <c r="I138">
        <v>48.49801524069445</v>
      </c>
      <c r="J138">
        <v>48.227259135956352</v>
      </c>
      <c r="K138">
        <v>47.954225091993365</v>
      </c>
      <c r="L138">
        <v>47.678892562158303</v>
      </c>
      <c r="M138">
        <v>47.40124037315752</v>
      </c>
      <c r="N138">
        <v>47.42510311242193</v>
      </c>
      <c r="O138">
        <v>47.446349150481382</v>
      </c>
      <c r="P138">
        <v>47.464934844092255</v>
      </c>
      <c r="Q138">
        <v>47.480815531736489</v>
      </c>
      <c r="R138">
        <v>47.493945504240862</v>
      </c>
      <c r="S138">
        <v>47.471306752856272</v>
      </c>
      <c r="T138">
        <v>47.448675287057071</v>
      </c>
      <c r="U138">
        <v>47.42605243545448</v>
      </c>
      <c r="V138">
        <v>47.403439492019949</v>
      </c>
      <c r="W138">
        <v>47.38083771693028</v>
      </c>
      <c r="X138">
        <v>47.382830918529777</v>
      </c>
      <c r="Y138">
        <v>47.384832103424628</v>
      </c>
      <c r="Z138">
        <v>47.386823134775902</v>
      </c>
      <c r="AA138">
        <v>47.38880395808264</v>
      </c>
      <c r="AB138">
        <v>47.390774518029964</v>
      </c>
      <c r="AC138">
        <v>47.396065470946724</v>
      </c>
      <c r="AD138">
        <v>47.401360125855383</v>
      </c>
      <c r="AE138">
        <v>47.40665847757738</v>
      </c>
      <c r="AF138">
        <v>47.411960520724897</v>
      </c>
      <c r="AG138">
        <v>47.417266249708035</v>
      </c>
    </row>
    <row r="139" spans="1:33" ht="15.75">
      <c r="A139" s="78" t="s">
        <v>165</v>
      </c>
      <c r="B139" s="76" t="s">
        <v>173</v>
      </c>
      <c r="C139">
        <v>315.94377106041452</v>
      </c>
      <c r="D139">
        <v>315.37492009739714</v>
      </c>
      <c r="E139">
        <v>314.77736648371416</v>
      </c>
      <c r="F139">
        <v>314.15083090848896</v>
      </c>
      <c r="G139">
        <v>313.49502547761267</v>
      </c>
      <c r="H139">
        <v>312.80965325138862</v>
      </c>
      <c r="I139">
        <v>311.95557577314037</v>
      </c>
      <c r="J139">
        <v>311.07392228968484</v>
      </c>
      <c r="K139">
        <v>310.16452049616777</v>
      </c>
      <c r="L139">
        <v>309.22719314458249</v>
      </c>
      <c r="M139">
        <v>308.2617578344562</v>
      </c>
      <c r="N139">
        <v>308.72999503672645</v>
      </c>
      <c r="O139">
        <v>309.18077240665434</v>
      </c>
      <c r="P139">
        <v>309.61374360333713</v>
      </c>
      <c r="Q139">
        <v>310.02855508818931</v>
      </c>
      <c r="R139">
        <v>310.42484590174865</v>
      </c>
      <c r="S139">
        <v>310.37578447586145</v>
      </c>
      <c r="T139">
        <v>310.32759346967816</v>
      </c>
      <c r="U139">
        <v>310.28025984638532</v>
      </c>
      <c r="V139">
        <v>310.23377077450999</v>
      </c>
      <c r="W139">
        <v>310.18811362446206</v>
      </c>
      <c r="X139">
        <v>310.05474720473188</v>
      </c>
      <c r="Y139">
        <v>309.92081663414712</v>
      </c>
      <c r="Z139">
        <v>309.78644820620997</v>
      </c>
      <c r="AA139">
        <v>309.65164030795989</v>
      </c>
      <c r="AB139">
        <v>309.51639131556806</v>
      </c>
      <c r="AC139">
        <v>309.57124527403232</v>
      </c>
      <c r="AD139">
        <v>309.62615861796769</v>
      </c>
      <c r="AE139">
        <v>309.68113140048519</v>
      </c>
      <c r="AF139">
        <v>309.7361636734779</v>
      </c>
      <c r="AG139">
        <v>309.79125548766564</v>
      </c>
    </row>
    <row r="140" spans="1:33">
      <c r="A140" s="65"/>
    </row>
    <row r="141" spans="1:33" ht="15.75">
      <c r="A141" s="65" t="s">
        <v>224</v>
      </c>
      <c r="C141" s="79">
        <v>2020</v>
      </c>
      <c r="D141" s="79">
        <v>2021</v>
      </c>
      <c r="E141" s="79">
        <v>2022</v>
      </c>
      <c r="F141" s="79">
        <v>2023</v>
      </c>
      <c r="G141" s="79">
        <v>2024</v>
      </c>
      <c r="H141" s="79">
        <v>2025</v>
      </c>
      <c r="I141" s="79">
        <v>2026</v>
      </c>
      <c r="J141" s="79">
        <v>2027</v>
      </c>
      <c r="K141" s="79">
        <v>2028</v>
      </c>
      <c r="L141" s="79">
        <v>2029</v>
      </c>
      <c r="M141" s="79">
        <v>2030</v>
      </c>
      <c r="N141" s="79">
        <v>2031</v>
      </c>
      <c r="O141" s="79">
        <v>2032</v>
      </c>
      <c r="P141" s="79">
        <v>2033</v>
      </c>
      <c r="Q141" s="79">
        <v>2034</v>
      </c>
      <c r="R141" s="79">
        <v>2035</v>
      </c>
      <c r="S141" s="79">
        <v>2036</v>
      </c>
      <c r="T141" s="79">
        <v>2037</v>
      </c>
      <c r="U141" s="79">
        <v>2038</v>
      </c>
      <c r="V141" s="79">
        <v>2039</v>
      </c>
      <c r="W141" s="79">
        <v>2040</v>
      </c>
      <c r="X141" s="79">
        <v>2041</v>
      </c>
      <c r="Y141" s="79">
        <v>2042</v>
      </c>
      <c r="Z141" s="79">
        <v>2043</v>
      </c>
      <c r="AA141" s="79">
        <v>2044</v>
      </c>
      <c r="AB141" s="79">
        <v>2045</v>
      </c>
      <c r="AC141" s="79">
        <v>2046</v>
      </c>
      <c r="AD141" s="79">
        <v>2047</v>
      </c>
      <c r="AE141" s="79">
        <v>2048</v>
      </c>
      <c r="AF141" s="79">
        <v>2049</v>
      </c>
      <c r="AG141" s="79">
        <v>2050</v>
      </c>
    </row>
    <row r="142" spans="1:33">
      <c r="A142" s="78" t="s">
        <v>171</v>
      </c>
      <c r="C142" s="5">
        <v>177.31083878210202</v>
      </c>
      <c r="D142" s="5">
        <v>173.74377794971338</v>
      </c>
      <c r="E142" s="5">
        <v>170.17989302001735</v>
      </c>
      <c r="F142" s="5">
        <v>166.61915048258282</v>
      </c>
      <c r="G142" s="5">
        <v>163.06151613166699</v>
      </c>
      <c r="H142" s="5">
        <v>159.50695507314927</v>
      </c>
      <c r="I142" s="5">
        <v>156.17727078537354</v>
      </c>
      <c r="J142" s="5">
        <v>152.8386568196475</v>
      </c>
      <c r="K142" s="5">
        <v>149.49114155020894</v>
      </c>
      <c r="L142" s="5">
        <v>146.13475753340032</v>
      </c>
      <c r="M142" s="5">
        <v>142.76954148079128</v>
      </c>
      <c r="N142" s="5">
        <v>142.71253156286409</v>
      </c>
      <c r="O142" s="5">
        <v>142.65645667621897</v>
      </c>
      <c r="P142" s="5">
        <v>142.60129419699814</v>
      </c>
      <c r="Q142" s="5">
        <v>142.54702221926465</v>
      </c>
      <c r="R142" s="5">
        <v>142.49361952703927</v>
      </c>
      <c r="S142" s="5">
        <v>142.50349416253471</v>
      </c>
      <c r="T142" s="5">
        <v>142.51325557678811</v>
      </c>
      <c r="U142" s="5">
        <v>142.52290570302796</v>
      </c>
      <c r="V142" s="5">
        <v>142.53244643071079</v>
      </c>
      <c r="W142" s="5">
        <v>142.54187960675975</v>
      </c>
      <c r="X142" s="5">
        <v>142.4790813219189</v>
      </c>
      <c r="Y142" s="5">
        <v>142.41647093641211</v>
      </c>
      <c r="Z142" s="5">
        <v>142.35405180263513</v>
      </c>
      <c r="AA142" s="5">
        <v>142.29182309152691</v>
      </c>
      <c r="AB142" s="5">
        <v>142.22978397859805</v>
      </c>
      <c r="AC142" s="5">
        <v>142.22978392912938</v>
      </c>
      <c r="AD142" s="5">
        <v>142.22978381480658</v>
      </c>
      <c r="AE142" s="5">
        <v>142.22978363930918</v>
      </c>
      <c r="AF142" s="5">
        <v>142.22978340607</v>
      </c>
      <c r="AG142" s="5">
        <v>142.22978311829587</v>
      </c>
    </row>
    <row r="143" spans="1:33">
      <c r="A143" s="78" t="s">
        <v>172</v>
      </c>
      <c r="C143" s="5">
        <v>811.56733202456724</v>
      </c>
      <c r="D143" s="5">
        <v>783.67722170108311</v>
      </c>
      <c r="E143" s="5">
        <v>755.82259316260672</v>
      </c>
      <c r="F143" s="5">
        <v>728.01646312417529</v>
      </c>
      <c r="G143" s="5">
        <v>700.27210798360989</v>
      </c>
      <c r="H143" s="5">
        <v>672.60295647301575</v>
      </c>
      <c r="I143" s="5">
        <v>645.38599094867925</v>
      </c>
      <c r="J143" s="5">
        <v>618.26560826991386</v>
      </c>
      <c r="K143" s="5">
        <v>591.24665767173769</v>
      </c>
      <c r="L143" s="5">
        <v>564.33387405256838</v>
      </c>
      <c r="M143" s="5">
        <v>537.53185323241064</v>
      </c>
      <c r="N143" s="5">
        <v>536.62095609481855</v>
      </c>
      <c r="O143" s="5">
        <v>535.72115859168821</v>
      </c>
      <c r="P143" s="5">
        <v>534.83250177033858</v>
      </c>
      <c r="Q143" s="5">
        <v>533.95502161019112</v>
      </c>
      <c r="R143" s="5">
        <v>533.08874907895029</v>
      </c>
      <c r="S143" s="5">
        <v>532.3408425381258</v>
      </c>
      <c r="T143" s="5">
        <v>531.60615469500453</v>
      </c>
      <c r="U143" s="5">
        <v>530.88444154282172</v>
      </c>
      <c r="V143" s="5">
        <v>530.17546367352975</v>
      </c>
      <c r="W143" s="5">
        <v>529.47898620072067</v>
      </c>
      <c r="X143" s="5">
        <v>528.92797354235199</v>
      </c>
      <c r="Y143" s="5">
        <v>528.40464613012477</v>
      </c>
      <c r="Z143" s="5">
        <v>527.89286652398607</v>
      </c>
      <c r="AA143" s="5">
        <v>527.39236076534712</v>
      </c>
      <c r="AB143" s="5">
        <v>526.9028634198902</v>
      </c>
      <c r="AC143" s="5">
        <v>526.43451719216739</v>
      </c>
      <c r="AD143" s="5">
        <v>525.97611452137346</v>
      </c>
      <c r="AE143" s="5">
        <v>525.52739467471849</v>
      </c>
      <c r="AF143" s="5">
        <v>525.08810535076202</v>
      </c>
      <c r="AG143" s="5">
        <v>524.65800235275503</v>
      </c>
    </row>
    <row r="144" spans="1:33">
      <c r="A144" s="78" t="s">
        <v>173</v>
      </c>
      <c r="C144" s="5">
        <v>446.76120003515064</v>
      </c>
      <c r="D144" s="5">
        <v>444.77134979664311</v>
      </c>
      <c r="E144" s="5">
        <v>442.77571153955955</v>
      </c>
      <c r="F144" s="5">
        <v>440.77424752437662</v>
      </c>
      <c r="G144" s="5">
        <v>438.76691946139834</v>
      </c>
      <c r="H144" s="5">
        <v>436.75368846681636</v>
      </c>
      <c r="I144" s="5">
        <v>434.66280235104773</v>
      </c>
      <c r="J144" s="5">
        <v>432.56659283227418</v>
      </c>
      <c r="K144" s="5">
        <v>430.46504197578145</v>
      </c>
      <c r="L144" s="5">
        <v>428.35813142570919</v>
      </c>
      <c r="M144" s="5">
        <v>426.2458423872099</v>
      </c>
      <c r="N144" s="5">
        <v>426.40398954161503</v>
      </c>
      <c r="O144" s="5">
        <v>426.56186175007042</v>
      </c>
      <c r="P144" s="5">
        <v>426.7194356493352</v>
      </c>
      <c r="Q144" s="5">
        <v>426.87668764203397</v>
      </c>
      <c r="R144" s="5">
        <v>427.0335938843121</v>
      </c>
      <c r="S144" s="5">
        <v>426.96898445891748</v>
      </c>
      <c r="T144" s="5">
        <v>426.90523896892978</v>
      </c>
      <c r="U144" s="5">
        <v>426.84234600356302</v>
      </c>
      <c r="V144" s="5">
        <v>426.78029431360369</v>
      </c>
      <c r="W144" s="5">
        <v>426.71907280905123</v>
      </c>
      <c r="X144" s="5">
        <v>426.58460011554439</v>
      </c>
      <c r="Y144" s="5">
        <v>426.44969311755318</v>
      </c>
      <c r="Z144" s="5">
        <v>426.31441738493851</v>
      </c>
      <c r="AA144" s="5">
        <v>426.17877184469273</v>
      </c>
      <c r="AB144" s="5">
        <v>426.04275541777645</v>
      </c>
      <c r="AC144" s="5">
        <v>426.07407868986945</v>
      </c>
      <c r="AD144" s="5">
        <v>426.10545283924421</v>
      </c>
      <c r="AE144" s="5">
        <v>426.13687798285252</v>
      </c>
      <c r="AF144" s="5">
        <v>426.16835423750365</v>
      </c>
      <c r="AG144" s="5">
        <v>426.19988171988524</v>
      </c>
    </row>
    <row r="146" spans="1:33" ht="15.75">
      <c r="A146" s="65" t="s">
        <v>225</v>
      </c>
      <c r="C146" s="79">
        <v>2020</v>
      </c>
      <c r="D146" s="79">
        <v>2021</v>
      </c>
      <c r="E146" s="79">
        <v>2022</v>
      </c>
      <c r="F146" s="79">
        <v>2023</v>
      </c>
      <c r="G146" s="79">
        <v>2024</v>
      </c>
      <c r="H146" s="79">
        <v>2025</v>
      </c>
      <c r="I146" s="79">
        <v>2026</v>
      </c>
      <c r="J146" s="79">
        <v>2027</v>
      </c>
      <c r="K146" s="79">
        <v>2028</v>
      </c>
      <c r="L146" s="79">
        <v>2029</v>
      </c>
      <c r="M146" s="79">
        <v>2030</v>
      </c>
      <c r="N146" s="79">
        <v>2031</v>
      </c>
      <c r="O146" s="79">
        <v>2032</v>
      </c>
      <c r="P146" s="79">
        <v>2033</v>
      </c>
      <c r="Q146" s="79">
        <v>2034</v>
      </c>
      <c r="R146" s="79">
        <v>2035</v>
      </c>
      <c r="S146" s="79">
        <v>2036</v>
      </c>
      <c r="T146" s="79">
        <v>2037</v>
      </c>
      <c r="U146" s="79">
        <v>2038</v>
      </c>
      <c r="V146" s="79">
        <v>2039</v>
      </c>
      <c r="W146" s="79">
        <v>2040</v>
      </c>
      <c r="X146" s="79">
        <v>2041</v>
      </c>
      <c r="Y146" s="79">
        <v>2042</v>
      </c>
      <c r="Z146" s="79">
        <v>2043</v>
      </c>
      <c r="AA146" s="79">
        <v>2044</v>
      </c>
      <c r="AB146" s="79">
        <v>2045</v>
      </c>
      <c r="AC146" s="79">
        <v>2046</v>
      </c>
      <c r="AD146" s="79">
        <v>2047</v>
      </c>
      <c r="AE146" s="79">
        <v>2048</v>
      </c>
      <c r="AF146" s="79">
        <v>2049</v>
      </c>
      <c r="AG146" s="79">
        <v>2050</v>
      </c>
    </row>
    <row r="147" spans="1:33">
      <c r="A147" s="78" t="s">
        <v>171</v>
      </c>
      <c r="C147" s="5">
        <v>0</v>
      </c>
      <c r="D147" s="7">
        <v>2.0117556585315222E-2</v>
      </c>
      <c r="E147" s="7">
        <v>2.0512302493661205E-2</v>
      </c>
      <c r="F147" s="7">
        <v>2.0923403313079403E-2</v>
      </c>
      <c r="G147" s="7">
        <v>2.1351893468498528E-2</v>
      </c>
      <c r="H147" s="7">
        <v>2.1798896164117121E-2</v>
      </c>
      <c r="I147" s="7">
        <v>2.0874853301843466E-2</v>
      </c>
      <c r="J147" s="7">
        <v>2.1377079705241608E-2</v>
      </c>
      <c r="K147" s="7">
        <v>2.1902281393304079E-2</v>
      </c>
      <c r="L147" s="7">
        <v>2.2452059580275074E-2</v>
      </c>
      <c r="M147" s="7">
        <v>2.3028170090472089E-2</v>
      </c>
      <c r="N147" s="7">
        <v>3.9931428885942033E-4</v>
      </c>
      <c r="O147" s="7">
        <v>3.9292195318119116E-4</v>
      </c>
      <c r="P147" s="7">
        <v>3.8668056466606426E-4</v>
      </c>
      <c r="Q147" s="7">
        <v>3.80585450076798E-4</v>
      </c>
      <c r="R147" s="7">
        <v>3.7463211362798177E-4</v>
      </c>
      <c r="S147" s="7">
        <v>-6.9298790557947854E-5</v>
      </c>
      <c r="T147" s="7">
        <v>-6.8499473018235335E-5</v>
      </c>
      <c r="U147" s="7">
        <v>-6.7713885285813902E-5</v>
      </c>
      <c r="V147" s="7">
        <v>-6.6941714637280825E-5</v>
      </c>
      <c r="W147" s="7">
        <v>-6.618265724878114E-5</v>
      </c>
      <c r="X147" s="7">
        <v>4.4056024106109426E-4</v>
      </c>
      <c r="Y147" s="7">
        <v>4.3943563452186751E-4</v>
      </c>
      <c r="Z147" s="7">
        <v>4.3828591852168586E-4</v>
      </c>
      <c r="AA147" s="7">
        <v>4.3714042782916351E-4</v>
      </c>
      <c r="AB147" s="7">
        <v>4.3599914303549259E-4</v>
      </c>
      <c r="AC147" s="7">
        <v>3.478081156416124E-10</v>
      </c>
      <c r="AD147" s="7">
        <v>8.0378947941994738E-10</v>
      </c>
      <c r="AE147" s="7">
        <v>1.2339005373007694E-9</v>
      </c>
      <c r="AF147" s="7">
        <v>1.6398757907154504E-9</v>
      </c>
      <c r="AG147" s="7">
        <v>2.0233043018791363E-9</v>
      </c>
    </row>
    <row r="148" spans="1:33">
      <c r="A148" s="78" t="s">
        <v>172</v>
      </c>
      <c r="C148" s="5">
        <v>0</v>
      </c>
      <c r="D148" s="7">
        <v>3.4365738026823189E-2</v>
      </c>
      <c r="E148" s="7">
        <v>3.5543496438513178E-2</v>
      </c>
      <c r="F148" s="7">
        <v>3.6789228437961286E-2</v>
      </c>
      <c r="G148" s="7">
        <v>3.8109516124820275E-2</v>
      </c>
      <c r="H148" s="7">
        <v>3.9511999971362233E-2</v>
      </c>
      <c r="I148" s="7">
        <v>4.0465129185658588E-2</v>
      </c>
      <c r="J148" s="7">
        <v>4.2021957493840301E-2</v>
      </c>
      <c r="K148" s="7">
        <v>4.3701202584732202E-2</v>
      </c>
      <c r="L148" s="7">
        <v>4.5518707412484649E-2</v>
      </c>
      <c r="M148" s="7">
        <v>4.7493198711763163E-2</v>
      </c>
      <c r="N148" s="7">
        <v>1.6945919243938068E-3</v>
      </c>
      <c r="O148" s="7">
        <v>1.6767841302331998E-3</v>
      </c>
      <c r="P148" s="7">
        <v>1.6588047850970566E-3</v>
      </c>
      <c r="Q148" s="7">
        <v>1.6406634922950802E-3</v>
      </c>
      <c r="R148" s="7">
        <v>1.6223698554768129E-3</v>
      </c>
      <c r="S148" s="7">
        <v>1.4029681588979548E-3</v>
      </c>
      <c r="T148" s="7">
        <v>1.3801079767210567E-3</v>
      </c>
      <c r="U148" s="7">
        <v>1.3576087218118982E-3</v>
      </c>
      <c r="V148" s="7">
        <v>1.3354655247224123E-3</v>
      </c>
      <c r="W148" s="7">
        <v>1.3136735298597824E-3</v>
      </c>
      <c r="X148" s="7">
        <v>1.0406695501222751E-3</v>
      </c>
      <c r="Y148" s="7">
        <v>9.8941148588227446E-4</v>
      </c>
      <c r="Z148" s="7">
        <v>9.6853729407342382E-4</v>
      </c>
      <c r="AA148" s="7">
        <v>9.4811995080479328E-4</v>
      </c>
      <c r="AB148" s="7">
        <v>9.2814644631289411E-4</v>
      </c>
      <c r="AC148" s="7">
        <v>8.8886635514362489E-4</v>
      </c>
      <c r="AD148" s="7">
        <v>8.7076864419699529E-4</v>
      </c>
      <c r="AE148" s="7">
        <v>8.531182961859507E-4</v>
      </c>
      <c r="AF148" s="7">
        <v>8.3590185479931467E-4</v>
      </c>
      <c r="AG148" s="7">
        <v>8.191063435338819E-4</v>
      </c>
    </row>
    <row r="149" spans="1:33">
      <c r="A149" s="78" t="s">
        <v>173</v>
      </c>
      <c r="C149" s="5">
        <v>0</v>
      </c>
      <c r="D149" s="7">
        <v>4.4539459522244806E-3</v>
      </c>
      <c r="E149" s="7">
        <v>4.4868858077211637E-3</v>
      </c>
      <c r="F149" s="7">
        <v>4.5202660467162925E-3</v>
      </c>
      <c r="G149" s="7">
        <v>4.5540956039344938E-3</v>
      </c>
      <c r="H149" s="7">
        <v>4.588383730143808E-3</v>
      </c>
      <c r="I149" s="7">
        <v>4.7873347632357843E-3</v>
      </c>
      <c r="J149" s="7">
        <v>4.8226107857294309E-3</v>
      </c>
      <c r="K149" s="7">
        <v>4.8583290788422051E-3</v>
      </c>
      <c r="L149" s="7">
        <v>4.8944986110877053E-3</v>
      </c>
      <c r="M149" s="7">
        <v>4.9311286130344634E-3</v>
      </c>
      <c r="N149" s="7">
        <v>-3.7102333601524151E-4</v>
      </c>
      <c r="O149" s="7">
        <v>-3.7024092721349433E-4</v>
      </c>
      <c r="P149" s="7">
        <v>-3.6940456565504043E-4</v>
      </c>
      <c r="Q149" s="7">
        <v>-3.6851378109714616E-4</v>
      </c>
      <c r="R149" s="7">
        <v>-3.6756807485738285E-4</v>
      </c>
      <c r="S149" s="7">
        <v>1.5129822646253732E-4</v>
      </c>
      <c r="T149" s="7">
        <v>1.4929770617522209E-4</v>
      </c>
      <c r="U149" s="7">
        <v>1.4732301135178538E-4</v>
      </c>
      <c r="V149" s="7">
        <v>1.4537379090973079E-4</v>
      </c>
      <c r="W149" s="7">
        <v>1.4344969851742828E-4</v>
      </c>
      <c r="X149" s="7">
        <v>3.1513166876184773E-4</v>
      </c>
      <c r="Y149" s="7">
        <v>3.1624910499505887E-4</v>
      </c>
      <c r="Z149" s="7">
        <v>3.1721381161220474E-4</v>
      </c>
      <c r="AA149" s="7">
        <v>3.1818192093491238E-4</v>
      </c>
      <c r="AB149" s="7">
        <v>3.1915345367283798E-4</v>
      </c>
      <c r="AC149" s="7">
        <v>-7.3521428764378172E-5</v>
      </c>
      <c r="AD149" s="7">
        <v>-7.3635433235574865E-5</v>
      </c>
      <c r="AE149" s="7">
        <v>-7.3749686606783271E-5</v>
      </c>
      <c r="AF149" s="7">
        <v>-7.3864188427252842E-5</v>
      </c>
      <c r="AG149" s="7">
        <v>-7.3978938295304886E-5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0CE501-35E7-4E77-B793-6ACB9138AFCB}">
  <dimension ref="A1:AE372"/>
  <sheetViews>
    <sheetView topLeftCell="A10" workbookViewId="0">
      <selection activeCell="A21" sqref="A21"/>
    </sheetView>
  </sheetViews>
  <sheetFormatPr defaultRowHeight="15"/>
  <cols>
    <col min="1" max="1" width="29.140625" customWidth="1"/>
    <col min="2" max="2" width="12" bestFit="1" customWidth="1"/>
    <col min="27" max="27" width="11.140625" bestFit="1" customWidth="1"/>
    <col min="28" max="28" width="9.5703125" bestFit="1" customWidth="1"/>
  </cols>
  <sheetData>
    <row r="1" spans="1:31">
      <c r="A1" t="s">
        <v>226</v>
      </c>
    </row>
    <row r="2" spans="1:31">
      <c r="B2">
        <v>2021</v>
      </c>
      <c r="C2">
        <v>2022</v>
      </c>
      <c r="D2">
        <v>2023</v>
      </c>
      <c r="E2">
        <v>2024</v>
      </c>
      <c r="F2">
        <v>2025</v>
      </c>
      <c r="G2">
        <v>2026</v>
      </c>
      <c r="H2">
        <v>2027</v>
      </c>
      <c r="I2">
        <v>2028</v>
      </c>
      <c r="J2">
        <v>2029</v>
      </c>
      <c r="K2">
        <v>2030</v>
      </c>
      <c r="L2">
        <v>2031</v>
      </c>
      <c r="M2">
        <v>2032</v>
      </c>
      <c r="N2">
        <v>2033</v>
      </c>
      <c r="O2">
        <v>2034</v>
      </c>
      <c r="P2">
        <v>2035</v>
      </c>
      <c r="Q2">
        <v>2036</v>
      </c>
      <c r="R2">
        <v>2037</v>
      </c>
      <c r="S2">
        <v>2038</v>
      </c>
      <c r="T2">
        <v>2039</v>
      </c>
      <c r="U2">
        <v>2040</v>
      </c>
      <c r="V2">
        <v>2041</v>
      </c>
      <c r="W2">
        <v>2042</v>
      </c>
      <c r="X2">
        <v>2043</v>
      </c>
      <c r="Y2">
        <v>2044</v>
      </c>
      <c r="Z2">
        <v>2045</v>
      </c>
      <c r="AA2">
        <v>2046</v>
      </c>
      <c r="AB2">
        <v>2047</v>
      </c>
      <c r="AC2">
        <v>2048</v>
      </c>
      <c r="AD2">
        <v>2049</v>
      </c>
      <c r="AE2">
        <v>2050</v>
      </c>
    </row>
    <row r="3" spans="1:31">
      <c r="A3" s="69" t="s">
        <v>227</v>
      </c>
      <c r="B3">
        <f t="shared" ref="B3:AE3" si="0">SUMIFS($E$22:$E$372,$B$22:$B$372,B$2)+SUMIFS($F$22:$F$372,$B$22:$B$372,B$2)</f>
        <v>89367047258</v>
      </c>
      <c r="C3">
        <f t="shared" si="0"/>
        <v>95977015103</v>
      </c>
      <c r="D3">
        <f t="shared" si="0"/>
        <v>98812825093</v>
      </c>
      <c r="E3">
        <f t="shared" si="0"/>
        <v>100094998262</v>
      </c>
      <c r="F3">
        <f t="shared" si="0"/>
        <v>100480428369</v>
      </c>
      <c r="G3">
        <f t="shared" si="0"/>
        <v>101424489851</v>
      </c>
      <c r="H3">
        <f t="shared" si="0"/>
        <v>102816579379</v>
      </c>
      <c r="I3">
        <f t="shared" si="0"/>
        <v>104230371474</v>
      </c>
      <c r="J3">
        <f t="shared" si="0"/>
        <v>105455483885</v>
      </c>
      <c r="K3">
        <f t="shared" si="0"/>
        <v>106552688626</v>
      </c>
      <c r="L3">
        <f t="shared" si="0"/>
        <v>107424452369</v>
      </c>
      <c r="M3">
        <f t="shared" si="0"/>
        <v>108253886031</v>
      </c>
      <c r="N3">
        <f t="shared" si="0"/>
        <v>109351818811</v>
      </c>
      <c r="O3">
        <f t="shared" si="0"/>
        <v>110401165432</v>
      </c>
      <c r="P3">
        <f t="shared" si="0"/>
        <v>111417835072</v>
      </c>
      <c r="Q3">
        <f t="shared" si="0"/>
        <v>112489457631</v>
      </c>
      <c r="R3">
        <f t="shared" si="0"/>
        <v>113510538094</v>
      </c>
      <c r="S3">
        <f t="shared" si="0"/>
        <v>114627982591</v>
      </c>
      <c r="T3">
        <f t="shared" si="0"/>
        <v>115850123693</v>
      </c>
      <c r="U3">
        <f t="shared" si="0"/>
        <v>116997355307</v>
      </c>
      <c r="V3">
        <f t="shared" si="0"/>
        <v>118310307563</v>
      </c>
      <c r="W3">
        <f t="shared" si="0"/>
        <v>119717735523</v>
      </c>
      <c r="X3">
        <f t="shared" si="0"/>
        <v>121104573397</v>
      </c>
      <c r="Y3">
        <f t="shared" si="0"/>
        <v>122464947899</v>
      </c>
      <c r="Z3">
        <f t="shared" si="0"/>
        <v>123740973616</v>
      </c>
      <c r="AA3">
        <f t="shared" si="0"/>
        <v>124960976971</v>
      </c>
      <c r="AB3">
        <f t="shared" si="0"/>
        <v>126310356730</v>
      </c>
      <c r="AC3">
        <f t="shared" si="0"/>
        <v>127802964994</v>
      </c>
      <c r="AD3">
        <f t="shared" si="0"/>
        <v>129218124555</v>
      </c>
      <c r="AE3">
        <f t="shared" si="0"/>
        <v>130641797616</v>
      </c>
    </row>
    <row r="4" spans="1:31">
      <c r="A4">
        <v>3</v>
      </c>
      <c r="B4">
        <f t="shared" ref="B4:AE4" si="1">SUMIFS($G$22:$G$372,$B$22:$B$372,B$2)+SUMIFS($H$22:$H$372,$B$22:$B$372,B$2)</f>
        <v>73491209528</v>
      </c>
      <c r="C4">
        <f t="shared" si="1"/>
        <v>75058850216</v>
      </c>
      <c r="D4">
        <f t="shared" si="1"/>
        <v>74732068170</v>
      </c>
      <c r="E4">
        <f t="shared" si="1"/>
        <v>75056362035</v>
      </c>
      <c r="F4">
        <f t="shared" si="1"/>
        <v>76161660589</v>
      </c>
      <c r="G4">
        <f t="shared" si="1"/>
        <v>77621935152</v>
      </c>
      <c r="H4">
        <f t="shared" si="1"/>
        <v>78824143867</v>
      </c>
      <c r="I4">
        <f t="shared" si="1"/>
        <v>79954302377</v>
      </c>
      <c r="J4">
        <f t="shared" si="1"/>
        <v>81126438449</v>
      </c>
      <c r="K4">
        <f t="shared" si="1"/>
        <v>82515567903</v>
      </c>
      <c r="L4">
        <f t="shared" si="1"/>
        <v>84225810466</v>
      </c>
      <c r="M4">
        <f t="shared" si="1"/>
        <v>86247875384</v>
      </c>
      <c r="N4">
        <f t="shared" si="1"/>
        <v>88082187836</v>
      </c>
      <c r="O4">
        <f t="shared" si="1"/>
        <v>89903375495</v>
      </c>
      <c r="P4">
        <f t="shared" si="1"/>
        <v>91787951690</v>
      </c>
      <c r="Q4">
        <f t="shared" si="1"/>
        <v>93531581020</v>
      </c>
      <c r="R4">
        <f t="shared" si="1"/>
        <v>95407949582</v>
      </c>
      <c r="S4">
        <f t="shared" si="1"/>
        <v>97274880077</v>
      </c>
      <c r="T4">
        <f t="shared" si="1"/>
        <v>99140713889</v>
      </c>
      <c r="U4">
        <f t="shared" si="1"/>
        <v>101139003489</v>
      </c>
      <c r="V4">
        <f t="shared" si="1"/>
        <v>103182906147</v>
      </c>
      <c r="W4">
        <f t="shared" si="1"/>
        <v>105260424586</v>
      </c>
      <c r="X4">
        <f t="shared" si="1"/>
        <v>107264271525</v>
      </c>
      <c r="Y4">
        <f t="shared" si="1"/>
        <v>109199497978</v>
      </c>
      <c r="Z4">
        <f t="shared" si="1"/>
        <v>111173512067</v>
      </c>
      <c r="AA4">
        <f t="shared" si="1"/>
        <v>113428118479</v>
      </c>
      <c r="AB4">
        <f t="shared" si="1"/>
        <v>115822941164</v>
      </c>
      <c r="AC4">
        <f t="shared" si="1"/>
        <v>118129175965</v>
      </c>
      <c r="AD4">
        <f t="shared" si="1"/>
        <v>120538638987</v>
      </c>
      <c r="AE4">
        <f t="shared" si="1"/>
        <v>123324758518</v>
      </c>
    </row>
    <row r="5" spans="1:31">
      <c r="A5">
        <v>4</v>
      </c>
      <c r="B5">
        <f t="shared" ref="B5:AE5" si="2">SUMIFS($I$22:$I$372,$B$22:$B$372,B$2)</f>
        <v>16520378018</v>
      </c>
      <c r="C5">
        <f t="shared" si="2"/>
        <v>16751666086</v>
      </c>
      <c r="D5">
        <f t="shared" si="2"/>
        <v>16583323470</v>
      </c>
      <c r="E5">
        <f t="shared" si="2"/>
        <v>16511942220</v>
      </c>
      <c r="F5">
        <f t="shared" si="2"/>
        <v>16557685158</v>
      </c>
      <c r="G5">
        <f t="shared" si="2"/>
        <v>16722257362</v>
      </c>
      <c r="H5">
        <f t="shared" si="2"/>
        <v>16890767928</v>
      </c>
      <c r="I5">
        <f t="shared" si="2"/>
        <v>17088339593</v>
      </c>
      <c r="J5">
        <f t="shared" si="2"/>
        <v>17262556084</v>
      </c>
      <c r="K5">
        <f t="shared" si="2"/>
        <v>17432091594</v>
      </c>
      <c r="L5">
        <f t="shared" si="2"/>
        <v>17617008402</v>
      </c>
      <c r="M5">
        <f t="shared" si="2"/>
        <v>17882334217</v>
      </c>
      <c r="N5">
        <f t="shared" si="2"/>
        <v>18106774449</v>
      </c>
      <c r="O5">
        <f t="shared" si="2"/>
        <v>18331013863</v>
      </c>
      <c r="P5">
        <f t="shared" si="2"/>
        <v>18560956767</v>
      </c>
      <c r="Q5">
        <f t="shared" si="2"/>
        <v>18749578162</v>
      </c>
      <c r="R5">
        <f t="shared" si="2"/>
        <v>18987088573</v>
      </c>
      <c r="S5">
        <f t="shared" si="2"/>
        <v>19201495496</v>
      </c>
      <c r="T5">
        <f t="shared" si="2"/>
        <v>19451992116</v>
      </c>
      <c r="U5">
        <f t="shared" si="2"/>
        <v>19687038560</v>
      </c>
      <c r="V5">
        <f t="shared" si="2"/>
        <v>19940664954</v>
      </c>
      <c r="W5">
        <f t="shared" si="2"/>
        <v>20197916946</v>
      </c>
      <c r="X5">
        <f t="shared" si="2"/>
        <v>20476181735</v>
      </c>
      <c r="Y5">
        <f t="shared" si="2"/>
        <v>20750239584</v>
      </c>
      <c r="Z5">
        <f t="shared" si="2"/>
        <v>21001444423</v>
      </c>
      <c r="AA5">
        <f t="shared" si="2"/>
        <v>21268081895</v>
      </c>
      <c r="AB5">
        <f t="shared" si="2"/>
        <v>21550455521</v>
      </c>
      <c r="AC5">
        <f t="shared" si="2"/>
        <v>21826740426</v>
      </c>
      <c r="AD5">
        <f t="shared" si="2"/>
        <v>22125466912</v>
      </c>
      <c r="AE5">
        <f t="shared" si="2"/>
        <v>22481978241</v>
      </c>
    </row>
    <row r="6" spans="1:31">
      <c r="A6">
        <v>5</v>
      </c>
      <c r="B6">
        <f t="shared" ref="B6:AE6" si="3">SUMIFS($J$22:$J$372,$B$22:$B$372,B$2)</f>
        <v>21162307201</v>
      </c>
      <c r="C6">
        <f t="shared" si="3"/>
        <v>21781207474</v>
      </c>
      <c r="D6">
        <f t="shared" si="3"/>
        <v>21876699449</v>
      </c>
      <c r="E6">
        <f t="shared" si="3"/>
        <v>22056979412</v>
      </c>
      <c r="F6">
        <f t="shared" si="3"/>
        <v>22392723421</v>
      </c>
      <c r="G6">
        <f t="shared" si="3"/>
        <v>22851304902</v>
      </c>
      <c r="H6">
        <f t="shared" si="3"/>
        <v>23305101083</v>
      </c>
      <c r="I6">
        <f t="shared" si="3"/>
        <v>23762269052</v>
      </c>
      <c r="J6">
        <f t="shared" si="3"/>
        <v>24185218020</v>
      </c>
      <c r="K6">
        <f t="shared" si="3"/>
        <v>24574021166</v>
      </c>
      <c r="L6">
        <f t="shared" si="3"/>
        <v>24995315890</v>
      </c>
      <c r="M6">
        <f t="shared" si="3"/>
        <v>25529946187</v>
      </c>
      <c r="N6">
        <f t="shared" si="3"/>
        <v>26015867346</v>
      </c>
      <c r="O6">
        <f t="shared" si="3"/>
        <v>26490974044</v>
      </c>
      <c r="P6">
        <f t="shared" si="3"/>
        <v>26992049079</v>
      </c>
      <c r="Q6">
        <f t="shared" si="3"/>
        <v>27460097467</v>
      </c>
      <c r="R6">
        <f t="shared" si="3"/>
        <v>27971500229</v>
      </c>
      <c r="S6">
        <f t="shared" si="3"/>
        <v>28471880452</v>
      </c>
      <c r="T6">
        <f t="shared" si="3"/>
        <v>28978023799</v>
      </c>
      <c r="U6">
        <f t="shared" si="3"/>
        <v>29522217276</v>
      </c>
      <c r="V6">
        <f t="shared" si="3"/>
        <v>30073875231</v>
      </c>
      <c r="W6">
        <f t="shared" si="3"/>
        <v>30625810228</v>
      </c>
      <c r="X6">
        <f t="shared" si="3"/>
        <v>31170182519</v>
      </c>
      <c r="Y6">
        <f t="shared" si="3"/>
        <v>31688762523</v>
      </c>
      <c r="Z6">
        <f t="shared" si="3"/>
        <v>32144738176</v>
      </c>
      <c r="AA6">
        <f t="shared" si="3"/>
        <v>32604537868</v>
      </c>
      <c r="AB6">
        <f t="shared" si="3"/>
        <v>33083331053</v>
      </c>
      <c r="AC6">
        <f t="shared" si="3"/>
        <v>33547439679</v>
      </c>
      <c r="AD6">
        <f t="shared" si="3"/>
        <v>34027519884</v>
      </c>
      <c r="AE6">
        <f t="shared" si="3"/>
        <v>34590984593</v>
      </c>
    </row>
    <row r="7" spans="1:31">
      <c r="A7">
        <v>6</v>
      </c>
      <c r="B7">
        <f t="shared" ref="B7:AE7" si="4">SUMIFS($K$22:$K$372,$B$22:$B$372,B$2)</f>
        <v>21091781567</v>
      </c>
      <c r="C7">
        <f t="shared" si="4"/>
        <v>21163519149</v>
      </c>
      <c r="D7">
        <f t="shared" si="4"/>
        <v>20772978430</v>
      </c>
      <c r="E7">
        <f t="shared" si="4"/>
        <v>20535995156</v>
      </c>
      <c r="F7">
        <f t="shared" si="4"/>
        <v>20494574836</v>
      </c>
      <c r="G7">
        <f t="shared" si="4"/>
        <v>20605713318</v>
      </c>
      <c r="H7">
        <f t="shared" si="4"/>
        <v>20747433204</v>
      </c>
      <c r="I7">
        <f t="shared" si="4"/>
        <v>20918246976</v>
      </c>
      <c r="J7">
        <f t="shared" si="4"/>
        <v>21075140453</v>
      </c>
      <c r="K7">
        <f t="shared" si="4"/>
        <v>21225094027</v>
      </c>
      <c r="L7">
        <f t="shared" si="4"/>
        <v>21427203499</v>
      </c>
      <c r="M7">
        <f t="shared" si="4"/>
        <v>21712001880</v>
      </c>
      <c r="N7">
        <f t="shared" si="4"/>
        <v>21953688763</v>
      </c>
      <c r="O7">
        <f t="shared" si="4"/>
        <v>22184783429</v>
      </c>
      <c r="P7">
        <f t="shared" si="4"/>
        <v>22444269251</v>
      </c>
      <c r="Q7">
        <f t="shared" si="4"/>
        <v>22685029916</v>
      </c>
      <c r="R7">
        <f t="shared" si="4"/>
        <v>22981952520</v>
      </c>
      <c r="S7">
        <f t="shared" si="4"/>
        <v>23270038111</v>
      </c>
      <c r="T7">
        <f t="shared" si="4"/>
        <v>23576479434</v>
      </c>
      <c r="U7">
        <f t="shared" si="4"/>
        <v>23913899486</v>
      </c>
      <c r="V7">
        <f t="shared" si="4"/>
        <v>24248677947</v>
      </c>
      <c r="W7">
        <f t="shared" si="4"/>
        <v>24609875997</v>
      </c>
      <c r="X7">
        <f t="shared" si="4"/>
        <v>24984865263</v>
      </c>
      <c r="Y7">
        <f t="shared" si="4"/>
        <v>25353501920</v>
      </c>
      <c r="Z7">
        <f t="shared" si="4"/>
        <v>25688496716</v>
      </c>
      <c r="AA7">
        <f t="shared" si="4"/>
        <v>26038608940</v>
      </c>
      <c r="AB7">
        <f t="shared" si="4"/>
        <v>26399908478</v>
      </c>
      <c r="AC7">
        <f t="shared" si="4"/>
        <v>26753625869</v>
      </c>
      <c r="AD7">
        <f t="shared" si="4"/>
        <v>27126461958</v>
      </c>
      <c r="AE7">
        <f t="shared" si="4"/>
        <v>27570635908</v>
      </c>
    </row>
    <row r="8" spans="1:31">
      <c r="A8" s="69" t="s">
        <v>228</v>
      </c>
      <c r="B8">
        <f>SUMIFS($M$22:$M$372,$B$22:$B$372,B$2)</f>
        <v>1569335340</v>
      </c>
      <c r="C8">
        <f t="shared" ref="C8:AE8" si="5">SUMIFS($M$22:$M$372,$B$22:$B$372,C$2)</f>
        <v>1569523818</v>
      </c>
      <c r="D8">
        <f t="shared" si="5"/>
        <v>1537467462</v>
      </c>
      <c r="E8">
        <f t="shared" si="5"/>
        <v>1516936979</v>
      </c>
      <c r="F8">
        <f t="shared" si="5"/>
        <v>1511397950</v>
      </c>
      <c r="G8">
        <f t="shared" si="5"/>
        <v>1515308124</v>
      </c>
      <c r="H8">
        <f t="shared" si="5"/>
        <v>1517673891</v>
      </c>
      <c r="I8">
        <f t="shared" si="5"/>
        <v>1518660649</v>
      </c>
      <c r="J8">
        <f t="shared" si="5"/>
        <v>1515703000</v>
      </c>
      <c r="K8">
        <f t="shared" si="5"/>
        <v>1510753801</v>
      </c>
      <c r="L8">
        <f t="shared" si="5"/>
        <v>1508326900</v>
      </c>
      <c r="M8">
        <f t="shared" si="5"/>
        <v>1510769659</v>
      </c>
      <c r="N8">
        <f t="shared" si="5"/>
        <v>1510356721</v>
      </c>
      <c r="O8">
        <f t="shared" si="5"/>
        <v>1509684874</v>
      </c>
      <c r="P8">
        <f t="shared" si="5"/>
        <v>1510676694</v>
      </c>
      <c r="Q8">
        <f t="shared" si="5"/>
        <v>1509942984</v>
      </c>
      <c r="R8">
        <f t="shared" si="5"/>
        <v>1511993268</v>
      </c>
      <c r="S8">
        <f t="shared" si="5"/>
        <v>1514531212</v>
      </c>
      <c r="T8">
        <f t="shared" si="5"/>
        <v>1515476068</v>
      </c>
      <c r="U8">
        <f t="shared" si="5"/>
        <v>1517269210</v>
      </c>
      <c r="V8">
        <f t="shared" si="5"/>
        <v>1518607982</v>
      </c>
      <c r="W8">
        <f t="shared" si="5"/>
        <v>1521613666</v>
      </c>
      <c r="X8">
        <f t="shared" si="5"/>
        <v>1524238815</v>
      </c>
      <c r="Y8">
        <f t="shared" si="5"/>
        <v>1525673908</v>
      </c>
      <c r="Z8">
        <f t="shared" si="5"/>
        <v>1524964363</v>
      </c>
      <c r="AA8">
        <f t="shared" si="5"/>
        <v>1524361429</v>
      </c>
      <c r="AB8">
        <f t="shared" si="5"/>
        <v>1523755082</v>
      </c>
      <c r="AC8">
        <f t="shared" si="5"/>
        <v>1522563216</v>
      </c>
      <c r="AD8">
        <f t="shared" si="5"/>
        <v>1522321945</v>
      </c>
      <c r="AE8">
        <f t="shared" si="5"/>
        <v>1526169152</v>
      </c>
    </row>
    <row r="9" spans="1:31">
      <c r="A9" s="69" t="s">
        <v>229</v>
      </c>
      <c r="B9">
        <f>SUMIFS($N$22:$N$372,$B$22:$B$372,B$2)+SUMIFS($O$22:$O$372,$B$22:$B$372,B$2)+SUMIFS($L$22:$L$372,$B$22:$B$372,B$2)</f>
        <v>19938335776</v>
      </c>
      <c r="C9">
        <f t="shared" ref="C9:AE9" si="6">SUMIFS($N$22:$N$372,$B$22:$B$372,C$2)+SUMIFS($O$22:$O$372,$B$22:$B$372,C$2)+SUMIFS($L$22:$L$372,$B$22:$B$372,C$2)</f>
        <v>19788451950</v>
      </c>
      <c r="D9">
        <f t="shared" si="6"/>
        <v>19245591105</v>
      </c>
      <c r="E9">
        <f t="shared" si="6"/>
        <v>18857702606</v>
      </c>
      <c r="F9">
        <f t="shared" si="6"/>
        <v>18670142101</v>
      </c>
      <c r="G9">
        <f t="shared" si="6"/>
        <v>18618312052</v>
      </c>
      <c r="H9">
        <f t="shared" si="6"/>
        <v>18569432995</v>
      </c>
      <c r="I9">
        <f t="shared" si="6"/>
        <v>18519975259</v>
      </c>
      <c r="J9">
        <f t="shared" si="6"/>
        <v>18433753457</v>
      </c>
      <c r="K9">
        <f t="shared" si="6"/>
        <v>18331558563</v>
      </c>
      <c r="L9">
        <f t="shared" si="6"/>
        <v>18256950982</v>
      </c>
      <c r="M9">
        <f t="shared" si="6"/>
        <v>18237323130</v>
      </c>
      <c r="N9">
        <f t="shared" si="6"/>
        <v>18185121125</v>
      </c>
      <c r="O9">
        <f t="shared" si="6"/>
        <v>18126340153</v>
      </c>
      <c r="P9">
        <f t="shared" si="6"/>
        <v>18087737221</v>
      </c>
      <c r="Q9">
        <f t="shared" si="6"/>
        <v>18031376484</v>
      </c>
      <c r="R9">
        <f t="shared" si="6"/>
        <v>18012886476</v>
      </c>
      <c r="S9">
        <f t="shared" si="6"/>
        <v>17998848361</v>
      </c>
      <c r="T9">
        <f t="shared" si="6"/>
        <v>17972860436</v>
      </c>
      <c r="U9">
        <f t="shared" si="6"/>
        <v>17963084230</v>
      </c>
      <c r="V9">
        <f t="shared" si="6"/>
        <v>17956249998</v>
      </c>
      <c r="W9">
        <f t="shared" si="6"/>
        <v>17966439305</v>
      </c>
      <c r="X9">
        <f t="shared" si="6"/>
        <v>17978170512</v>
      </c>
      <c r="Y9">
        <f t="shared" si="6"/>
        <v>17979567189</v>
      </c>
      <c r="Z9">
        <f t="shared" si="6"/>
        <v>17956628729</v>
      </c>
      <c r="AA9">
        <f t="shared" si="6"/>
        <v>17941620724</v>
      </c>
      <c r="AB9">
        <f t="shared" si="6"/>
        <v>17930394266</v>
      </c>
      <c r="AC9">
        <f t="shared" si="6"/>
        <v>17912160810</v>
      </c>
      <c r="AD9">
        <f t="shared" si="6"/>
        <v>17905794094</v>
      </c>
      <c r="AE9">
        <f t="shared" si="6"/>
        <v>17948633464</v>
      </c>
    </row>
    <row r="10" spans="1:31">
      <c r="A10" s="69" t="s">
        <v>230</v>
      </c>
      <c r="B10">
        <f>SUMIFS($P$22:$P$372,$B$22:$B$372,B$2)+SUMIFS($Q$22:$Q$372,$B$22:$B$372,B$2)+SUMIFS($R$22:$R$372,$B$22:$B$372,B$2)+SUMIFS($S$22:$S$372,$B$22:$B$372,B$2)+SUMIFS($T$22:$T$372,$B$22:$B$372,B$2)+SUMIFS($U$22:$U$372,$B$22:$B$372,B$2)+SUMIFS($V$22:$V$372,$B$22:$B$372,B$2)+SUMIFS($W$22:$W$372,$B$22:$B$372,B$2)</f>
        <v>161513165543</v>
      </c>
      <c r="C10">
        <f t="shared" ref="C10:AE10" si="7">SUMIFS($P$22:$P$372,$B$22:$B$372,C$2)+SUMIFS($Q$22:$Q$372,$B$22:$B$372,C$2)+SUMIFS($R$22:$R$372,$B$22:$B$372,C$2)+SUMIFS($S$22:$S$372,$B$22:$B$372,C$2)+SUMIFS($T$22:$T$372,$B$22:$B$372,C$2)+SUMIFS($U$22:$U$372,$B$22:$B$372,C$2)+SUMIFS($V$22:$V$372,$B$22:$B$372,C$2)+SUMIFS($W$22:$W$372,$B$22:$B$372,C$2)</f>
        <v>165833835900</v>
      </c>
      <c r="D10">
        <f t="shared" si="7"/>
        <v>165951663770</v>
      </c>
      <c r="E10">
        <f t="shared" si="7"/>
        <v>166563777972</v>
      </c>
      <c r="F10">
        <f t="shared" si="7"/>
        <v>168228600747</v>
      </c>
      <c r="G10">
        <f t="shared" si="7"/>
        <v>170541530605</v>
      </c>
      <c r="H10">
        <f t="shared" si="7"/>
        <v>172436733111</v>
      </c>
      <c r="I10">
        <f t="shared" si="7"/>
        <v>173990397454</v>
      </c>
      <c r="J10">
        <f t="shared" si="7"/>
        <v>174970123218</v>
      </c>
      <c r="K10">
        <f t="shared" si="7"/>
        <v>175504947152</v>
      </c>
      <c r="L10">
        <f t="shared" si="7"/>
        <v>176099617242</v>
      </c>
      <c r="M10">
        <f t="shared" si="7"/>
        <v>177122838114</v>
      </c>
      <c r="N10">
        <f t="shared" si="7"/>
        <v>177771998793</v>
      </c>
      <c r="O10">
        <f t="shared" si="7"/>
        <v>178326561102</v>
      </c>
      <c r="P10">
        <f t="shared" si="7"/>
        <v>178984032831</v>
      </c>
      <c r="Q10">
        <f t="shared" si="7"/>
        <v>179352976607</v>
      </c>
      <c r="R10">
        <f t="shared" si="7"/>
        <v>179997996228</v>
      </c>
      <c r="S10">
        <f t="shared" si="7"/>
        <v>180679173597</v>
      </c>
      <c r="T10">
        <f t="shared" si="7"/>
        <v>181251099851</v>
      </c>
      <c r="U10">
        <f t="shared" si="7"/>
        <v>181920428178</v>
      </c>
      <c r="V10">
        <f t="shared" si="7"/>
        <v>182564055297</v>
      </c>
      <c r="W10">
        <f t="shared" si="7"/>
        <v>183310418623</v>
      </c>
      <c r="X10">
        <f t="shared" si="7"/>
        <v>183965134659</v>
      </c>
      <c r="Y10">
        <f t="shared" si="7"/>
        <v>184426295534</v>
      </c>
      <c r="Z10">
        <f t="shared" si="7"/>
        <v>184571475281</v>
      </c>
      <c r="AA10">
        <f t="shared" si="7"/>
        <v>184729680953</v>
      </c>
      <c r="AB10">
        <f t="shared" si="7"/>
        <v>184895589065</v>
      </c>
      <c r="AC10">
        <f t="shared" si="7"/>
        <v>184945638188</v>
      </c>
      <c r="AD10">
        <f t="shared" si="7"/>
        <v>185089970625</v>
      </c>
      <c r="AE10">
        <f t="shared" si="7"/>
        <v>185700776885</v>
      </c>
    </row>
    <row r="12" spans="1:31">
      <c r="A12" t="s">
        <v>226</v>
      </c>
    </row>
    <row r="13" spans="1:31">
      <c r="B13">
        <v>2021</v>
      </c>
      <c r="C13">
        <v>2022</v>
      </c>
      <c r="D13">
        <v>2023</v>
      </c>
      <c r="E13">
        <v>2024</v>
      </c>
      <c r="F13">
        <v>2025</v>
      </c>
      <c r="G13">
        <v>2026</v>
      </c>
      <c r="H13">
        <v>2027</v>
      </c>
      <c r="I13">
        <v>2028</v>
      </c>
      <c r="J13">
        <v>2029</v>
      </c>
      <c r="K13">
        <v>2030</v>
      </c>
      <c r="L13">
        <v>2031</v>
      </c>
      <c r="M13">
        <v>2032</v>
      </c>
      <c r="N13">
        <v>2033</v>
      </c>
      <c r="O13">
        <v>2034</v>
      </c>
      <c r="P13">
        <v>2035</v>
      </c>
      <c r="Q13">
        <v>2036</v>
      </c>
      <c r="R13">
        <v>2037</v>
      </c>
      <c r="S13">
        <v>2038</v>
      </c>
      <c r="T13">
        <v>2039</v>
      </c>
      <c r="U13">
        <v>2040</v>
      </c>
      <c r="V13">
        <v>2041</v>
      </c>
      <c r="W13">
        <v>2042</v>
      </c>
      <c r="X13">
        <v>2043</v>
      </c>
      <c r="Y13">
        <v>2044</v>
      </c>
      <c r="Z13">
        <v>2045</v>
      </c>
      <c r="AA13">
        <v>2046</v>
      </c>
      <c r="AB13">
        <v>2047</v>
      </c>
      <c r="AC13">
        <v>2048</v>
      </c>
      <c r="AD13">
        <v>2049</v>
      </c>
      <c r="AE13">
        <v>2050</v>
      </c>
    </row>
    <row r="14" spans="1:31">
      <c r="A14" s="69" t="s">
        <v>231</v>
      </c>
      <c r="B14" s="10">
        <f>SUM(B8:B9)/SUM(B$8:B$10)</f>
        <v>0.11751487704141891</v>
      </c>
      <c r="C14" s="10">
        <f t="shared" ref="C14:AE14" si="8">SUM(C8:C9)/SUM(C$8:C$10)</f>
        <v>0.11409674161325026</v>
      </c>
      <c r="D14" s="10">
        <f t="shared" si="8"/>
        <v>0.11129723656585319</v>
      </c>
      <c r="E14" s="10">
        <f t="shared" si="8"/>
        <v>0.10899118464393497</v>
      </c>
      <c r="F14" s="10">
        <f t="shared" si="8"/>
        <v>0.10711493535073155</v>
      </c>
      <c r="G14" s="10">
        <f t="shared" si="8"/>
        <v>0.105591211510956</v>
      </c>
      <c r="H14" s="10">
        <f t="shared" si="8"/>
        <v>0.10433568583668915</v>
      </c>
      <c r="I14" s="10">
        <f t="shared" si="8"/>
        <v>0.10327648167279127</v>
      </c>
      <c r="J14" s="10">
        <f t="shared" si="8"/>
        <v>0.10234711407783052</v>
      </c>
      <c r="K14" s="10">
        <f t="shared" si="8"/>
        <v>0.10157456220866413</v>
      </c>
      <c r="L14" s="10">
        <f t="shared" si="8"/>
        <v>0.10091281477207445</v>
      </c>
      <c r="M14" s="10">
        <f t="shared" si="8"/>
        <v>0.10030984614346165</v>
      </c>
      <c r="N14" s="10">
        <f t="shared" si="8"/>
        <v>9.974036322956753E-2</v>
      </c>
      <c r="O14" s="10">
        <f t="shared" si="8"/>
        <v>9.9190586519234569E-2</v>
      </c>
      <c r="P14" s="10">
        <f t="shared" si="8"/>
        <v>9.8691572372797173E-2</v>
      </c>
      <c r="Q14" s="10">
        <f t="shared" si="8"/>
        <v>9.8249773138950489E-2</v>
      </c>
      <c r="R14" s="10">
        <f t="shared" si="8"/>
        <v>9.7857850378720579E-2</v>
      </c>
      <c r="S14" s="10">
        <f t="shared" si="8"/>
        <v>9.747305413718152E-2</v>
      </c>
      <c r="T14" s="10">
        <f t="shared" si="8"/>
        <v>9.7082749946231908E-2</v>
      </c>
      <c r="U14" s="10">
        <f t="shared" si="8"/>
        <v>9.6724318959936759E-2</v>
      </c>
      <c r="V14" s="10">
        <f t="shared" si="8"/>
        <v>9.6391619139722468E-2</v>
      </c>
      <c r="W14" s="10">
        <f t="shared" si="8"/>
        <v>9.6095659981179929E-2</v>
      </c>
      <c r="X14" s="10">
        <f t="shared" si="8"/>
        <v>9.5850222325099196E-2</v>
      </c>
      <c r="Y14" s="10">
        <f t="shared" si="8"/>
        <v>9.5646026206792051E-2</v>
      </c>
      <c r="Z14" s="10">
        <f t="shared" si="8"/>
        <v>9.5473169050261514E-2</v>
      </c>
      <c r="AA14" s="10">
        <f t="shared" si="8"/>
        <v>9.5330046960375531E-2</v>
      </c>
      <c r="AB14" s="10">
        <f t="shared" si="8"/>
        <v>9.5200265481535831E-2</v>
      </c>
      <c r="AC14" s="10">
        <f t="shared" si="8"/>
        <v>9.5090955977710501E-2</v>
      </c>
      <c r="AD14" s="10">
        <f t="shared" si="8"/>
        <v>9.499461077453844E-2</v>
      </c>
      <c r="AE14" s="10">
        <f t="shared" si="8"/>
        <v>9.4917741494206828E-2</v>
      </c>
    </row>
    <row r="15" spans="1:31">
      <c r="A15" s="69" t="s">
        <v>232</v>
      </c>
      <c r="B15" s="10">
        <f t="shared" ref="B15:AE15" si="9">B10/SUM(B$8:B$10)</f>
        <v>0.88248512295858106</v>
      </c>
      <c r="C15" s="10">
        <f t="shared" si="9"/>
        <v>0.88590325838674977</v>
      </c>
      <c r="D15" s="10">
        <f t="shared" si="9"/>
        <v>0.88870276343414678</v>
      </c>
      <c r="E15" s="10">
        <f t="shared" si="9"/>
        <v>0.89100881535606502</v>
      </c>
      <c r="F15" s="10">
        <f t="shared" si="9"/>
        <v>0.89288506464926842</v>
      </c>
      <c r="G15" s="10">
        <f t="shared" si="9"/>
        <v>0.89440878848904404</v>
      </c>
      <c r="H15" s="10">
        <f t="shared" si="9"/>
        <v>0.89566431416331083</v>
      </c>
      <c r="I15" s="10">
        <f t="shared" si="9"/>
        <v>0.89672351832720876</v>
      </c>
      <c r="J15" s="10">
        <f t="shared" si="9"/>
        <v>0.89765288592216952</v>
      </c>
      <c r="K15" s="10">
        <f t="shared" si="9"/>
        <v>0.89842543779133588</v>
      </c>
      <c r="L15" s="10">
        <f t="shared" si="9"/>
        <v>0.89908718522792552</v>
      </c>
      <c r="M15" s="10">
        <f t="shared" si="9"/>
        <v>0.89969015385653839</v>
      </c>
      <c r="N15" s="10">
        <f t="shared" si="9"/>
        <v>0.90025963677043253</v>
      </c>
      <c r="O15" s="10">
        <f t="shared" si="9"/>
        <v>0.90080941348076538</v>
      </c>
      <c r="P15" s="10">
        <f t="shared" si="9"/>
        <v>0.90130842762720287</v>
      </c>
      <c r="Q15" s="10">
        <f t="shared" si="9"/>
        <v>0.90175022686104955</v>
      </c>
      <c r="R15" s="10">
        <f t="shared" si="9"/>
        <v>0.90214214962127937</v>
      </c>
      <c r="S15" s="10">
        <f t="shared" si="9"/>
        <v>0.90252694586281845</v>
      </c>
      <c r="T15" s="10">
        <f t="shared" si="9"/>
        <v>0.90291725005376811</v>
      </c>
      <c r="U15" s="10">
        <f t="shared" si="9"/>
        <v>0.90327568104006328</v>
      </c>
      <c r="V15" s="10">
        <f t="shared" si="9"/>
        <v>0.9036083808602775</v>
      </c>
      <c r="W15" s="10">
        <f t="shared" si="9"/>
        <v>0.90390434001882003</v>
      </c>
      <c r="X15" s="10">
        <f t="shared" si="9"/>
        <v>0.90414977767490079</v>
      </c>
      <c r="Y15" s="10">
        <f t="shared" si="9"/>
        <v>0.90435397379320792</v>
      </c>
      <c r="Z15" s="10">
        <f t="shared" si="9"/>
        <v>0.90452683094973851</v>
      </c>
      <c r="AA15" s="10">
        <f t="shared" si="9"/>
        <v>0.9046699530396245</v>
      </c>
      <c r="AB15" s="10">
        <f t="shared" si="9"/>
        <v>0.90479973451846418</v>
      </c>
      <c r="AC15" s="10">
        <f t="shared" si="9"/>
        <v>0.90490904402228955</v>
      </c>
      <c r="AD15" s="10">
        <f t="shared" si="9"/>
        <v>0.90500538922546159</v>
      </c>
      <c r="AE15" s="10">
        <f t="shared" si="9"/>
        <v>0.90508225850579316</v>
      </c>
    </row>
    <row r="17" spans="1:30" s="84" customFormat="1" ht="15.75">
      <c r="A17" s="83" t="s">
        <v>233</v>
      </c>
    </row>
    <row r="18" spans="1:30">
      <c r="A18" t="s">
        <v>234</v>
      </c>
    </row>
    <row r="19" spans="1:30">
      <c r="H19" s="45"/>
      <c r="M19" s="45"/>
      <c r="P19" s="45"/>
      <c r="W19" s="45"/>
    </row>
    <row r="20" spans="1:30">
      <c r="H20" s="85" t="s">
        <v>235</v>
      </c>
      <c r="I20" s="86"/>
      <c r="J20" s="86"/>
      <c r="K20" s="86"/>
      <c r="L20" s="87"/>
      <c r="M20" s="85" t="s">
        <v>236</v>
      </c>
      <c r="N20" s="86"/>
      <c r="O20" s="87"/>
      <c r="P20" s="85" t="s">
        <v>237</v>
      </c>
      <c r="Q20" s="86"/>
      <c r="R20" s="86"/>
      <c r="S20" s="86"/>
      <c r="T20" s="86"/>
      <c r="U20" s="86"/>
      <c r="V20" s="87"/>
      <c r="W20" s="45"/>
    </row>
    <row r="21" spans="1:30">
      <c r="B21" t="s">
        <v>62</v>
      </c>
      <c r="D21" t="s">
        <v>238</v>
      </c>
      <c r="E21" t="s">
        <v>239</v>
      </c>
      <c r="F21" t="s">
        <v>240</v>
      </c>
      <c r="G21" t="s">
        <v>241</v>
      </c>
      <c r="H21" s="45">
        <v>3</v>
      </c>
      <c r="I21">
        <v>4</v>
      </c>
      <c r="J21">
        <v>5</v>
      </c>
      <c r="K21">
        <v>6</v>
      </c>
      <c r="L21" s="15">
        <v>7</v>
      </c>
      <c r="M21" s="45" t="s">
        <v>242</v>
      </c>
      <c r="N21" t="s">
        <v>243</v>
      </c>
      <c r="O21" s="15" t="s">
        <v>244</v>
      </c>
      <c r="P21" s="45" t="s">
        <v>245</v>
      </c>
      <c r="Q21" t="s">
        <v>246</v>
      </c>
      <c r="R21" t="s">
        <v>243</v>
      </c>
      <c r="S21" t="s">
        <v>244</v>
      </c>
      <c r="T21" t="s">
        <v>247</v>
      </c>
      <c r="U21" t="s">
        <v>248</v>
      </c>
      <c r="V21" s="15" t="s">
        <v>249</v>
      </c>
      <c r="W21" s="45" t="s">
        <v>250</v>
      </c>
      <c r="AA21" t="s">
        <v>251</v>
      </c>
      <c r="AB21" t="s">
        <v>252</v>
      </c>
      <c r="AC21" t="s">
        <v>253</v>
      </c>
    </row>
    <row r="22" spans="1:30">
      <c r="B22">
        <v>2012</v>
      </c>
      <c r="C22" t="s">
        <v>13</v>
      </c>
      <c r="D22">
        <v>1</v>
      </c>
      <c r="E22">
        <v>1440254464</v>
      </c>
      <c r="F22">
        <v>5322017</v>
      </c>
      <c r="G22">
        <v>35961749504</v>
      </c>
      <c r="H22">
        <v>3098777600</v>
      </c>
      <c r="I22">
        <v>10600532992</v>
      </c>
      <c r="J22">
        <v>10702599168</v>
      </c>
      <c r="K22">
        <v>16254921728</v>
      </c>
      <c r="L22">
        <v>16212148224</v>
      </c>
      <c r="M22">
        <v>1825904512</v>
      </c>
      <c r="N22">
        <v>1825904512</v>
      </c>
      <c r="O22">
        <v>5477713920</v>
      </c>
      <c r="P22">
        <v>22833444864</v>
      </c>
      <c r="Q22">
        <v>10201739264</v>
      </c>
      <c r="R22">
        <v>10201739264</v>
      </c>
      <c r="S22">
        <v>30717327360</v>
      </c>
      <c r="T22">
        <v>12219665408</v>
      </c>
      <c r="U22">
        <v>12219665408</v>
      </c>
      <c r="V22">
        <v>36546887680</v>
      </c>
      <c r="W22">
        <v>2016466</v>
      </c>
      <c r="Z22">
        <v>2012</v>
      </c>
      <c r="AA22" s="5" cm="1">
        <f t="array" ref="AA22">SUM(($G$22:$H$372)*($B$22:$B$372=$Z22))/1000000</f>
        <v>53357.496055000003</v>
      </c>
      <c r="AB22" s="5" cm="1">
        <f t="array" ref="AB22">SUM(($I$22:$K$372)*($B$22:$B$372=$Z22))/1000000</f>
        <v>54962.399487000002</v>
      </c>
      <c r="AC22" s="5" cm="1">
        <f t="array" ref="AC22">SUM(($L$22:$W$372)*($B$22:$B$372=$Z22))/1000000</f>
        <v>160885.03339299999</v>
      </c>
      <c r="AD22" s="5">
        <f>SUM(AA22:AC22)</f>
        <v>269204.92893499997</v>
      </c>
    </row>
    <row r="23" spans="1:30">
      <c r="B23">
        <v>2012</v>
      </c>
      <c r="C23" t="s">
        <v>14</v>
      </c>
      <c r="D23">
        <v>2</v>
      </c>
      <c r="E23">
        <v>2212064768</v>
      </c>
      <c r="F23">
        <v>595231552</v>
      </c>
      <c r="G23">
        <v>7394046976</v>
      </c>
      <c r="H23">
        <v>5169382400</v>
      </c>
      <c r="I23">
        <v>8645104640</v>
      </c>
      <c r="J23">
        <v>3212722688</v>
      </c>
      <c r="K23">
        <v>5412267008</v>
      </c>
      <c r="L23">
        <v>339667136</v>
      </c>
      <c r="M23">
        <v>0</v>
      </c>
      <c r="N23">
        <v>0</v>
      </c>
      <c r="O23">
        <v>0</v>
      </c>
      <c r="P23">
        <v>38699320</v>
      </c>
      <c r="Q23">
        <v>0</v>
      </c>
      <c r="R23">
        <v>0</v>
      </c>
      <c r="S23">
        <v>0</v>
      </c>
      <c r="T23">
        <v>0</v>
      </c>
      <c r="U23">
        <v>0</v>
      </c>
      <c r="V23">
        <v>0</v>
      </c>
      <c r="W23">
        <v>0</v>
      </c>
      <c r="Z23">
        <v>2013</v>
      </c>
      <c r="AA23" s="5">
        <f t="array" ref="AA23">SUM(($G$22:$H$372)*($B$22:$B$372=$Z23))/1000000</f>
        <v>54849.001233000003</v>
      </c>
      <c r="AB23" s="5">
        <f t="array" ref="AB23">SUM(($I$22:$K$372)*($B$22:$B$372=$Z23))/1000000</f>
        <v>55016.167917999999</v>
      </c>
      <c r="AC23" s="5">
        <f t="array" ref="AC23">SUM(($L$22:$W$372)*($B$22:$B$372=$Z23))/1000000</f>
        <v>165149.100447</v>
      </c>
      <c r="AD23" s="5">
        <f t="shared" ref="AD23:AD60" si="10">SUM(AA23:AC23)</f>
        <v>275014.26959799998</v>
      </c>
    </row>
    <row r="24" spans="1:30">
      <c r="B24">
        <v>2012</v>
      </c>
      <c r="C24" t="s">
        <v>254</v>
      </c>
      <c r="D24">
        <v>3</v>
      </c>
      <c r="E24">
        <v>0</v>
      </c>
      <c r="F24">
        <v>0</v>
      </c>
      <c r="G24">
        <v>2868664</v>
      </c>
      <c r="H24">
        <v>1669</v>
      </c>
      <c r="I24">
        <v>4813934</v>
      </c>
      <c r="J24">
        <v>3126864</v>
      </c>
      <c r="K24">
        <v>14819426</v>
      </c>
      <c r="L24">
        <v>17589540</v>
      </c>
      <c r="M24">
        <v>0</v>
      </c>
      <c r="N24">
        <v>0</v>
      </c>
      <c r="O24">
        <v>0</v>
      </c>
      <c r="P24">
        <v>166131</v>
      </c>
      <c r="Q24">
        <v>0</v>
      </c>
      <c r="R24">
        <v>0</v>
      </c>
      <c r="S24">
        <v>0</v>
      </c>
      <c r="T24">
        <v>0</v>
      </c>
      <c r="U24">
        <v>0</v>
      </c>
      <c r="V24">
        <v>0</v>
      </c>
      <c r="W24">
        <v>0</v>
      </c>
      <c r="Z24">
        <v>2014</v>
      </c>
      <c r="AA24" s="5">
        <f t="array" ref="AA24">SUM(($G$22:$H$372)*($B$22:$B$372=$Z24))/1000000</f>
        <v>56369.292610999997</v>
      </c>
      <c r="AB24" s="5">
        <f t="array" ref="AB24">SUM(($I$22:$K$372)*($B$22:$B$372=$Z24))/1000000</f>
        <v>54763.221610000001</v>
      </c>
      <c r="AC24" s="5">
        <f t="array" ref="AC24">SUM(($L$22:$W$372)*($B$22:$B$372=$Z24))/1000000</f>
        <v>167996.188452</v>
      </c>
      <c r="AD24" s="5">
        <f t="shared" si="10"/>
        <v>279128.70267299999</v>
      </c>
    </row>
    <row r="25" spans="1:30">
      <c r="B25">
        <v>2012</v>
      </c>
      <c r="C25" t="s">
        <v>255</v>
      </c>
      <c r="D25">
        <v>4</v>
      </c>
      <c r="E25">
        <v>1938696</v>
      </c>
      <c r="F25">
        <v>496</v>
      </c>
      <c r="G25">
        <v>0</v>
      </c>
      <c r="H25">
        <v>0</v>
      </c>
      <c r="I25">
        <v>16868926</v>
      </c>
      <c r="J25">
        <v>1779335</v>
      </c>
      <c r="K25">
        <v>20459338</v>
      </c>
      <c r="L25">
        <v>3961454</v>
      </c>
      <c r="M25">
        <v>646493</v>
      </c>
      <c r="N25">
        <v>646493</v>
      </c>
      <c r="O25">
        <v>1939480</v>
      </c>
      <c r="P25">
        <v>128548256</v>
      </c>
      <c r="Q25">
        <v>6280110</v>
      </c>
      <c r="R25">
        <v>6280110</v>
      </c>
      <c r="S25">
        <v>18909346</v>
      </c>
      <c r="T25">
        <v>7522331</v>
      </c>
      <c r="U25">
        <v>7522331</v>
      </c>
      <c r="V25">
        <v>22497980</v>
      </c>
      <c r="W25">
        <v>0</v>
      </c>
      <c r="Z25">
        <v>2015</v>
      </c>
      <c r="AA25" s="5">
        <f t="array" ref="AA25">SUM(($G$22:$H$372)*($B$22:$B$372=$Z25))/1000000</f>
        <v>58042.053438000003</v>
      </c>
      <c r="AB25" s="5">
        <f t="array" ref="AB25">SUM(($I$22:$K$372)*($B$22:$B$372=$Z25))/1000000</f>
        <v>54072.603288999999</v>
      </c>
      <c r="AC25" s="5">
        <f t="array" ref="AC25">SUM(($L$22:$W$372)*($B$22:$B$372=$Z25))/1000000</f>
        <v>167723.897471</v>
      </c>
      <c r="AD25" s="5">
        <f t="shared" si="10"/>
        <v>279838.554198</v>
      </c>
    </row>
    <row r="26" spans="1:30">
      <c r="B26">
        <v>2012</v>
      </c>
      <c r="C26" t="s">
        <v>256</v>
      </c>
      <c r="D26">
        <v>5</v>
      </c>
      <c r="E26">
        <v>1526867200</v>
      </c>
      <c r="F26">
        <v>15506088</v>
      </c>
      <c r="G26">
        <v>1261574912</v>
      </c>
      <c r="H26">
        <v>467267328</v>
      </c>
      <c r="I26">
        <v>72383440</v>
      </c>
      <c r="J26">
        <v>0</v>
      </c>
      <c r="K26">
        <v>0</v>
      </c>
      <c r="L26">
        <v>0</v>
      </c>
      <c r="M26">
        <v>0</v>
      </c>
      <c r="N26">
        <v>0</v>
      </c>
      <c r="O26">
        <v>0</v>
      </c>
      <c r="P26">
        <v>0</v>
      </c>
      <c r="Q26">
        <v>0</v>
      </c>
      <c r="R26">
        <v>0</v>
      </c>
      <c r="S26">
        <v>0</v>
      </c>
      <c r="T26">
        <v>0</v>
      </c>
      <c r="U26">
        <v>0</v>
      </c>
      <c r="V26">
        <v>0</v>
      </c>
      <c r="W26">
        <v>0</v>
      </c>
      <c r="Z26">
        <v>2016</v>
      </c>
      <c r="AA26" s="5">
        <f t="array" ref="AA26">SUM(($G$22:$H$372)*($B$22:$B$372=$Z26))/1000000</f>
        <v>59349.005367999998</v>
      </c>
      <c r="AB26" s="5">
        <f t="array" ref="AB26">SUM(($I$22:$K$372)*($B$22:$B$372=$Z26))/1000000</f>
        <v>54712.407867000002</v>
      </c>
      <c r="AC26" s="5">
        <f t="array" ref="AC26">SUM(($L$22:$W$372)*($B$22:$B$372=$Z26))/1000000</f>
        <v>173828.54704</v>
      </c>
      <c r="AD26" s="5">
        <f t="shared" si="10"/>
        <v>287889.96027500002</v>
      </c>
    </row>
    <row r="27" spans="1:30">
      <c r="B27">
        <v>2012</v>
      </c>
      <c r="C27" t="s">
        <v>257</v>
      </c>
      <c r="D27">
        <v>6</v>
      </c>
      <c r="E27">
        <v>0</v>
      </c>
      <c r="F27">
        <v>0</v>
      </c>
      <c r="G27">
        <v>0</v>
      </c>
      <c r="H27">
        <v>1827002</v>
      </c>
      <c r="I27">
        <v>0</v>
      </c>
      <c r="J27">
        <v>0</v>
      </c>
      <c r="K27">
        <v>0</v>
      </c>
      <c r="L27">
        <v>0</v>
      </c>
      <c r="M27">
        <v>0</v>
      </c>
      <c r="N27">
        <v>0</v>
      </c>
      <c r="O27">
        <v>0</v>
      </c>
      <c r="P27">
        <v>0</v>
      </c>
      <c r="Q27">
        <v>0</v>
      </c>
      <c r="R27">
        <v>0</v>
      </c>
      <c r="S27">
        <v>0</v>
      </c>
      <c r="T27">
        <v>0</v>
      </c>
      <c r="U27">
        <v>0</v>
      </c>
      <c r="V27">
        <v>0</v>
      </c>
      <c r="W27">
        <v>0</v>
      </c>
      <c r="Z27">
        <v>2017</v>
      </c>
      <c r="AA27" s="5">
        <f t="array" ref="AA27">SUM(($G$22:$H$372)*($B$22:$B$372=$Z27))/1000000</f>
        <v>63513.358348000002</v>
      </c>
      <c r="AB27" s="5">
        <f t="array" ref="AB27">SUM(($I$22:$K$372)*($B$22:$B$372=$Z27))/1000000</f>
        <v>57567.423967000002</v>
      </c>
      <c r="AC27" s="5">
        <f t="array" ref="AC27">SUM(($L$22:$W$372)*($B$22:$B$372=$Z27))/1000000</f>
        <v>176504.521511</v>
      </c>
      <c r="AD27" s="5">
        <f t="shared" si="10"/>
        <v>297585.30382600002</v>
      </c>
    </row>
    <row r="28" spans="1:30">
      <c r="B28">
        <v>2012</v>
      </c>
      <c r="C28" t="s">
        <v>258</v>
      </c>
      <c r="D28">
        <v>7</v>
      </c>
      <c r="E28">
        <v>0</v>
      </c>
      <c r="F28">
        <v>0</v>
      </c>
      <c r="G28">
        <v>0</v>
      </c>
      <c r="H28">
        <v>0</v>
      </c>
      <c r="I28">
        <v>0</v>
      </c>
      <c r="J28">
        <v>0</v>
      </c>
      <c r="K28">
        <v>0</v>
      </c>
      <c r="L28">
        <v>0</v>
      </c>
      <c r="M28">
        <v>0</v>
      </c>
      <c r="N28">
        <v>0</v>
      </c>
      <c r="O28">
        <v>0</v>
      </c>
      <c r="P28">
        <v>0</v>
      </c>
      <c r="Q28">
        <v>0</v>
      </c>
      <c r="R28">
        <v>0</v>
      </c>
      <c r="S28">
        <v>0</v>
      </c>
      <c r="T28">
        <v>0</v>
      </c>
      <c r="U28">
        <v>0</v>
      </c>
      <c r="V28">
        <v>0</v>
      </c>
      <c r="W28">
        <v>0</v>
      </c>
      <c r="Z28">
        <v>2018</v>
      </c>
      <c r="AA28" s="5">
        <f t="array" ref="AA28">SUM(($G$22:$H$372)*($B$22:$B$372=$Z28))/1000000</f>
        <v>65749.611323000005</v>
      </c>
      <c r="AB28" s="5">
        <f t="array" ref="AB28">SUM(($I$22:$K$372)*($B$22:$B$372=$Z28))/1000000</f>
        <v>58713.445049000002</v>
      </c>
      <c r="AC28" s="5">
        <f t="array" ref="AC28">SUM(($L$22:$W$372)*($B$22:$B$372=$Z28))/1000000</f>
        <v>180393.987968</v>
      </c>
      <c r="AD28" s="5">
        <f t="shared" si="10"/>
        <v>304857.04434000002</v>
      </c>
    </row>
    <row r="29" spans="1:30">
      <c r="B29">
        <v>2012</v>
      </c>
      <c r="C29" t="s">
        <v>259</v>
      </c>
      <c r="D29">
        <v>8</v>
      </c>
      <c r="E29">
        <v>0</v>
      </c>
      <c r="F29">
        <v>0</v>
      </c>
      <c r="G29">
        <v>0</v>
      </c>
      <c r="H29">
        <v>0</v>
      </c>
      <c r="I29">
        <v>0</v>
      </c>
      <c r="J29">
        <v>0</v>
      </c>
      <c r="K29">
        <v>0</v>
      </c>
      <c r="L29">
        <v>0</v>
      </c>
      <c r="M29">
        <v>0</v>
      </c>
      <c r="N29">
        <v>0</v>
      </c>
      <c r="O29">
        <v>0</v>
      </c>
      <c r="P29">
        <v>0</v>
      </c>
      <c r="Q29">
        <v>0</v>
      </c>
      <c r="R29">
        <v>0</v>
      </c>
      <c r="S29">
        <v>0</v>
      </c>
      <c r="T29">
        <v>0</v>
      </c>
      <c r="U29">
        <v>0</v>
      </c>
      <c r="V29">
        <v>0</v>
      </c>
      <c r="W29">
        <v>0</v>
      </c>
      <c r="Z29">
        <v>2019</v>
      </c>
      <c r="AA29" s="5">
        <f t="array" ref="AA29">SUM(($G$22:$H$372)*($B$22:$B$372=$Z29))/1000000</f>
        <v>64032.875804000003</v>
      </c>
      <c r="AB29" s="5">
        <f t="array" ref="AB29">SUM(($I$22:$K$372)*($B$22:$B$372=$Z29))/1000000</f>
        <v>57753.081602999999</v>
      </c>
      <c r="AC29" s="5">
        <f t="array" ref="AC29">SUM(($L$22:$W$372)*($B$22:$B$372=$Z29))/1000000</f>
        <v>178258.78945899999</v>
      </c>
      <c r="AD29" s="5">
        <f t="shared" si="10"/>
        <v>300044.746866</v>
      </c>
    </row>
    <row r="30" spans="1:30">
      <c r="B30">
        <v>2012</v>
      </c>
      <c r="C30" t="s">
        <v>260</v>
      </c>
      <c r="D30">
        <v>9</v>
      </c>
      <c r="E30">
        <v>0</v>
      </c>
      <c r="F30">
        <v>0</v>
      </c>
      <c r="G30">
        <v>0</v>
      </c>
      <c r="H30">
        <v>0</v>
      </c>
      <c r="I30">
        <v>0</v>
      </c>
      <c r="J30">
        <v>0</v>
      </c>
      <c r="K30">
        <v>0</v>
      </c>
      <c r="L30">
        <v>0</v>
      </c>
      <c r="M30">
        <v>0</v>
      </c>
      <c r="N30">
        <v>0</v>
      </c>
      <c r="O30">
        <v>0</v>
      </c>
      <c r="P30">
        <v>0</v>
      </c>
      <c r="Q30">
        <v>0</v>
      </c>
      <c r="R30">
        <v>0</v>
      </c>
      <c r="S30">
        <v>0</v>
      </c>
      <c r="T30">
        <v>0</v>
      </c>
      <c r="U30">
        <v>0</v>
      </c>
      <c r="V30">
        <v>0</v>
      </c>
      <c r="W30">
        <v>0</v>
      </c>
      <c r="Z30">
        <v>2020</v>
      </c>
      <c r="AA30" s="5">
        <f t="array" ref="AA30">SUM(($G$22:$H$372)*($B$22:$B$372=$Z30))/1000000</f>
        <v>66392.729428000006</v>
      </c>
      <c r="AB30" s="5">
        <f t="array" ref="AB30">SUM(($I$22:$K$372)*($B$22:$B$372=$Z30))/1000000</f>
        <v>56565.216330000003</v>
      </c>
      <c r="AC30" s="5">
        <f t="array" ref="AC30">SUM(($L$22:$W$372)*($B$22:$B$372=$Z30))/1000000</f>
        <v>179177.29365499999</v>
      </c>
      <c r="AD30" s="5">
        <f t="shared" si="10"/>
        <v>302135.239413</v>
      </c>
    </row>
    <row r="31" spans="1:30">
      <c r="B31">
        <v>2013</v>
      </c>
      <c r="C31" t="str">
        <f>C22</f>
        <v>Diesel</v>
      </c>
      <c r="D31">
        <v>1</v>
      </c>
      <c r="E31">
        <v>30803937280</v>
      </c>
      <c r="F31">
        <v>113826472</v>
      </c>
      <c r="G31">
        <v>37116588032</v>
      </c>
      <c r="H31">
        <v>2996025344</v>
      </c>
      <c r="I31">
        <v>10001015808</v>
      </c>
      <c r="J31">
        <v>11095851008</v>
      </c>
      <c r="K31">
        <v>16266354688</v>
      </c>
      <c r="L31">
        <v>15772302336</v>
      </c>
      <c r="M31">
        <v>1837885568</v>
      </c>
      <c r="N31">
        <v>1837885568</v>
      </c>
      <c r="O31">
        <v>5513656832</v>
      </c>
      <c r="P31">
        <v>22739668992</v>
      </c>
      <c r="Q31">
        <v>10591882240</v>
      </c>
      <c r="R31">
        <v>10591882240</v>
      </c>
      <c r="S31">
        <v>31892043776</v>
      </c>
      <c r="T31">
        <v>12686980096</v>
      </c>
      <c r="U31">
        <v>12686980096</v>
      </c>
      <c r="V31">
        <v>37944545280</v>
      </c>
      <c r="W31">
        <v>2940154</v>
      </c>
      <c r="Z31">
        <v>2021</v>
      </c>
      <c r="AA31" s="5">
        <f t="array" ref="AA31">SUM(($G$22:$H$372)*($B$22:$B$372=$Z31))/1000000</f>
        <v>73491.209528000007</v>
      </c>
      <c r="AB31" s="5">
        <f t="array" ref="AB31">SUM(($I$22:$K$372)*($B$22:$B$372=$Z31))/1000000</f>
        <v>58774.466785999997</v>
      </c>
      <c r="AC31" s="5">
        <f t="array" ref="AC31">SUM(($L$22:$W$372)*($B$22:$B$372=$Z31))/1000000</f>
        <v>183020.83665899999</v>
      </c>
      <c r="AD31" s="5">
        <f t="shared" si="10"/>
        <v>315286.512973</v>
      </c>
    </row>
    <row r="32" spans="1:30">
      <c r="B32">
        <v>2013</v>
      </c>
      <c r="C32" t="str">
        <f t="shared" ref="C32:C95" si="11">C23</f>
        <v>Gasoline</v>
      </c>
      <c r="D32">
        <v>2</v>
      </c>
      <c r="E32">
        <v>40669630464</v>
      </c>
      <c r="F32">
        <v>10943552512</v>
      </c>
      <c r="G32">
        <v>7747261440</v>
      </c>
      <c r="H32">
        <v>5148895232</v>
      </c>
      <c r="I32">
        <v>8775163904</v>
      </c>
      <c r="J32">
        <v>3338966272</v>
      </c>
      <c r="K32">
        <v>5325068288</v>
      </c>
      <c r="L32">
        <v>316361344</v>
      </c>
      <c r="M32">
        <v>0</v>
      </c>
      <c r="N32">
        <v>0</v>
      </c>
      <c r="O32">
        <v>0</v>
      </c>
      <c r="P32">
        <v>37404796</v>
      </c>
      <c r="Q32">
        <v>0</v>
      </c>
      <c r="R32">
        <v>0</v>
      </c>
      <c r="S32">
        <v>0</v>
      </c>
      <c r="T32">
        <v>0</v>
      </c>
      <c r="U32">
        <v>0</v>
      </c>
      <c r="V32">
        <v>0</v>
      </c>
      <c r="W32">
        <v>0</v>
      </c>
      <c r="Z32">
        <v>2022</v>
      </c>
      <c r="AA32" s="5">
        <f t="array" ref="AA32">SUM(($G$22:$H$372)*($B$22:$B$372=$Z32))/1000000</f>
        <v>75058.850216000006</v>
      </c>
      <c r="AB32" s="5">
        <f t="array" ref="AB32">SUM(($I$22:$K$372)*($B$22:$B$372=$Z32))/1000000</f>
        <v>59696.392709</v>
      </c>
      <c r="AC32" s="5">
        <f t="array" ref="AC32">SUM(($L$22:$W$372)*($B$22:$B$372=$Z32))/1000000</f>
        <v>187191.81166800001</v>
      </c>
      <c r="AD32" s="5">
        <f t="shared" si="10"/>
        <v>321947.05459299998</v>
      </c>
    </row>
    <row r="33" spans="2:30">
      <c r="B33">
        <v>2013</v>
      </c>
      <c r="C33" t="str">
        <f t="shared" si="11"/>
        <v>LPG</v>
      </c>
      <c r="D33">
        <v>3</v>
      </c>
      <c r="E33">
        <v>185391</v>
      </c>
      <c r="F33">
        <v>24</v>
      </c>
      <c r="G33">
        <v>2577511</v>
      </c>
      <c r="H33">
        <v>1674</v>
      </c>
      <c r="I33">
        <v>4126762</v>
      </c>
      <c r="J33">
        <v>2774236</v>
      </c>
      <c r="K33">
        <v>13745288</v>
      </c>
      <c r="L33">
        <v>14937902</v>
      </c>
      <c r="M33">
        <v>0</v>
      </c>
      <c r="N33">
        <v>0</v>
      </c>
      <c r="O33">
        <v>0</v>
      </c>
      <c r="P33">
        <v>205250</v>
      </c>
      <c r="Q33">
        <v>0</v>
      </c>
      <c r="R33">
        <v>0</v>
      </c>
      <c r="S33">
        <v>0</v>
      </c>
      <c r="T33">
        <v>0</v>
      </c>
      <c r="U33">
        <v>0</v>
      </c>
      <c r="V33">
        <v>0</v>
      </c>
      <c r="W33">
        <v>0</v>
      </c>
      <c r="Z33">
        <v>2023</v>
      </c>
      <c r="AA33" s="5">
        <f t="array" ref="AA33">SUM(($G$22:$H$372)*($B$22:$B$372=$Z33))/1000000</f>
        <v>74732.068169999999</v>
      </c>
      <c r="AB33" s="5">
        <f t="array" ref="AB33">SUM(($I$22:$K$372)*($B$22:$B$372=$Z33))/1000000</f>
        <v>59233.001348999998</v>
      </c>
      <c r="AC33" s="5">
        <f t="array" ref="AC33">SUM(($L$22:$W$372)*($B$22:$B$372=$Z33))/1000000</f>
        <v>186734.72233700001</v>
      </c>
      <c r="AD33" s="5">
        <f t="shared" si="10"/>
        <v>320699.79185600003</v>
      </c>
    </row>
    <row r="34" spans="2:30">
      <c r="B34">
        <v>2013</v>
      </c>
      <c r="C34" t="str">
        <f t="shared" si="11"/>
        <v>CNG</v>
      </c>
      <c r="D34">
        <v>4</v>
      </c>
      <c r="E34">
        <v>52313188</v>
      </c>
      <c r="F34">
        <v>7134</v>
      </c>
      <c r="G34">
        <v>0</v>
      </c>
      <c r="H34">
        <v>0</v>
      </c>
      <c r="I34">
        <v>20689670</v>
      </c>
      <c r="J34">
        <v>1538102</v>
      </c>
      <c r="K34">
        <v>19159026</v>
      </c>
      <c r="L34">
        <v>12698769</v>
      </c>
      <c r="M34">
        <v>2153647</v>
      </c>
      <c r="N34">
        <v>2153647</v>
      </c>
      <c r="O34">
        <v>6460942</v>
      </c>
      <c r="P34">
        <v>424092032</v>
      </c>
      <c r="Q34">
        <v>21292082</v>
      </c>
      <c r="R34">
        <v>21292082</v>
      </c>
      <c r="S34">
        <v>64110228</v>
      </c>
      <c r="T34">
        <v>25503706</v>
      </c>
      <c r="U34">
        <v>25503706</v>
      </c>
      <c r="V34">
        <v>76277136</v>
      </c>
      <c r="W34">
        <v>0</v>
      </c>
      <c r="Z34">
        <v>2024</v>
      </c>
      <c r="AA34" s="5">
        <f t="array" ref="AA34">SUM(($G$22:$H$372)*($B$22:$B$372=$Z34))/1000000</f>
        <v>75056.362034999998</v>
      </c>
      <c r="AB34" s="5">
        <f t="array" ref="AB34">SUM(($I$22:$K$372)*($B$22:$B$372=$Z34))/1000000</f>
        <v>59104.916788000002</v>
      </c>
      <c r="AC34" s="5">
        <f t="array" ref="AC34">SUM(($L$22:$W$372)*($B$22:$B$372=$Z34))/1000000</f>
        <v>186938.41755700001</v>
      </c>
      <c r="AD34" s="5">
        <f t="shared" si="10"/>
        <v>321099.69637999998</v>
      </c>
    </row>
    <row r="35" spans="2:30">
      <c r="B35">
        <v>2013</v>
      </c>
      <c r="C35" t="str">
        <f t="shared" si="11"/>
        <v>Flex</v>
      </c>
      <c r="D35">
        <v>5</v>
      </c>
      <c r="E35">
        <v>5602993664</v>
      </c>
      <c r="F35">
        <v>77389656</v>
      </c>
      <c r="G35">
        <v>1203051136</v>
      </c>
      <c r="H35">
        <v>632725120</v>
      </c>
      <c r="I35">
        <v>128952440</v>
      </c>
      <c r="J35">
        <v>0</v>
      </c>
      <c r="K35">
        <v>22762426</v>
      </c>
      <c r="L35">
        <v>0</v>
      </c>
      <c r="M35">
        <v>0</v>
      </c>
      <c r="N35">
        <v>0</v>
      </c>
      <c r="O35">
        <v>0</v>
      </c>
      <c r="P35">
        <v>0</v>
      </c>
      <c r="Q35">
        <v>0</v>
      </c>
      <c r="R35">
        <v>0</v>
      </c>
      <c r="S35">
        <v>0</v>
      </c>
      <c r="T35">
        <v>0</v>
      </c>
      <c r="U35">
        <v>0</v>
      </c>
      <c r="V35">
        <v>0</v>
      </c>
      <c r="W35">
        <v>0</v>
      </c>
      <c r="Z35">
        <v>2025</v>
      </c>
      <c r="AA35" s="5">
        <f t="array" ref="AA35">SUM(($G$22:$H$372)*($B$22:$B$372=$Z35))/1000000</f>
        <v>76161.660589000006</v>
      </c>
      <c r="AB35" s="5">
        <f t="array" ref="AB35">SUM(($I$22:$K$372)*($B$22:$B$372=$Z35))/1000000</f>
        <v>59444.983415000002</v>
      </c>
      <c r="AC35" s="5">
        <f t="array" ref="AC35">SUM(($L$22:$W$372)*($B$22:$B$372=$Z35))/1000000</f>
        <v>188410.14079800001</v>
      </c>
      <c r="AD35" s="5">
        <f t="shared" si="10"/>
        <v>324016.78480200004</v>
      </c>
    </row>
    <row r="36" spans="2:30">
      <c r="B36">
        <v>2013</v>
      </c>
      <c r="C36" t="str">
        <f t="shared" si="11"/>
        <v>BEV</v>
      </c>
      <c r="D36">
        <v>6</v>
      </c>
      <c r="E36">
        <v>0</v>
      </c>
      <c r="F36">
        <v>0</v>
      </c>
      <c r="G36">
        <v>0</v>
      </c>
      <c r="H36">
        <v>1875744</v>
      </c>
      <c r="I36">
        <v>0</v>
      </c>
      <c r="J36">
        <v>0</v>
      </c>
      <c r="K36">
        <v>0</v>
      </c>
      <c r="L36">
        <v>0</v>
      </c>
      <c r="M36">
        <v>0</v>
      </c>
      <c r="N36">
        <v>0</v>
      </c>
      <c r="O36">
        <v>0</v>
      </c>
      <c r="P36">
        <v>0</v>
      </c>
      <c r="Q36">
        <v>0</v>
      </c>
      <c r="R36">
        <v>0</v>
      </c>
      <c r="S36">
        <v>0</v>
      </c>
      <c r="T36">
        <v>0</v>
      </c>
      <c r="U36">
        <v>0</v>
      </c>
      <c r="V36">
        <v>0</v>
      </c>
      <c r="W36">
        <v>0</v>
      </c>
      <c r="Z36">
        <v>2026</v>
      </c>
      <c r="AA36" s="5">
        <f t="array" ref="AA36">SUM(($G$22:$H$372)*($B$22:$B$372=$Z36))/1000000</f>
        <v>77621.935152000005</v>
      </c>
      <c r="AB36" s="5">
        <f t="array" ref="AB36">SUM(($I$22:$K$372)*($B$22:$B$372=$Z36))/1000000</f>
        <v>60179.275582000002</v>
      </c>
      <c r="AC36" s="5">
        <f t="array" ref="AC36">SUM(($L$22:$W$372)*($B$22:$B$372=$Z36))/1000000</f>
        <v>190675.150781</v>
      </c>
      <c r="AD36" s="5">
        <f t="shared" si="10"/>
        <v>328476.361515</v>
      </c>
    </row>
    <row r="37" spans="2:30">
      <c r="B37">
        <v>2013</v>
      </c>
      <c r="C37" t="str">
        <f t="shared" si="11"/>
        <v>PHEV diesel</v>
      </c>
      <c r="D37">
        <v>7</v>
      </c>
      <c r="E37">
        <v>0</v>
      </c>
      <c r="F37">
        <v>0</v>
      </c>
      <c r="G37">
        <v>0</v>
      </c>
      <c r="H37">
        <v>0</v>
      </c>
      <c r="I37">
        <v>0</v>
      </c>
      <c r="J37">
        <v>0</v>
      </c>
      <c r="K37">
        <v>0</v>
      </c>
      <c r="L37">
        <v>0</v>
      </c>
      <c r="M37">
        <v>0</v>
      </c>
      <c r="N37">
        <v>0</v>
      </c>
      <c r="O37">
        <v>0</v>
      </c>
      <c r="P37">
        <v>0</v>
      </c>
      <c r="Q37">
        <v>0</v>
      </c>
      <c r="R37">
        <v>0</v>
      </c>
      <c r="S37">
        <v>0</v>
      </c>
      <c r="T37">
        <v>0</v>
      </c>
      <c r="U37">
        <v>0</v>
      </c>
      <c r="V37">
        <v>0</v>
      </c>
      <c r="W37">
        <v>0</v>
      </c>
      <c r="Z37">
        <v>2027</v>
      </c>
      <c r="AA37" s="5">
        <f t="array" ref="AA37">SUM(($G$22:$H$372)*($B$22:$B$372=$Z37))/1000000</f>
        <v>78824.143867000006</v>
      </c>
      <c r="AB37" s="5">
        <f t="array" ref="AB37">SUM(($I$22:$K$372)*($B$22:$B$372=$Z37))/1000000</f>
        <v>60943.302215000003</v>
      </c>
      <c r="AC37" s="5">
        <f t="array" ref="AC37">SUM(($L$22:$W$372)*($B$22:$B$372=$Z37))/1000000</f>
        <v>192523.839997</v>
      </c>
      <c r="AD37" s="5">
        <f t="shared" si="10"/>
        <v>332291.28607899998</v>
      </c>
    </row>
    <row r="38" spans="2:30">
      <c r="B38">
        <v>2013</v>
      </c>
      <c r="C38" t="str">
        <f t="shared" si="11"/>
        <v>PHEV gasoline</v>
      </c>
      <c r="D38">
        <v>8</v>
      </c>
      <c r="E38">
        <v>0</v>
      </c>
      <c r="F38">
        <v>0</v>
      </c>
      <c r="G38">
        <v>0</v>
      </c>
      <c r="H38">
        <v>0</v>
      </c>
      <c r="I38">
        <v>0</v>
      </c>
      <c r="J38">
        <v>0</v>
      </c>
      <c r="K38">
        <v>0</v>
      </c>
      <c r="L38">
        <v>0</v>
      </c>
      <c r="M38">
        <v>0</v>
      </c>
      <c r="N38">
        <v>0</v>
      </c>
      <c r="O38">
        <v>0</v>
      </c>
      <c r="P38">
        <v>0</v>
      </c>
      <c r="Q38">
        <v>0</v>
      </c>
      <c r="R38">
        <v>0</v>
      </c>
      <c r="S38">
        <v>0</v>
      </c>
      <c r="T38">
        <v>0</v>
      </c>
      <c r="U38">
        <v>0</v>
      </c>
      <c r="V38">
        <v>0</v>
      </c>
      <c r="W38">
        <v>0</v>
      </c>
      <c r="Z38">
        <v>2028</v>
      </c>
      <c r="AA38" s="5">
        <f t="array" ref="AA38">SUM(($G$22:$H$372)*($B$22:$B$372=$Z38))/1000000</f>
        <v>79954.302377</v>
      </c>
      <c r="AB38" s="5">
        <f t="array" ref="AB38">SUM(($I$22:$K$372)*($B$22:$B$372=$Z38))/1000000</f>
        <v>61768.855621000002</v>
      </c>
      <c r="AC38" s="5">
        <f t="array" ref="AC38">SUM(($L$22:$W$372)*($B$22:$B$372=$Z38))/1000000</f>
        <v>194029.03336199999</v>
      </c>
      <c r="AD38" s="5">
        <f t="shared" si="10"/>
        <v>335752.19136</v>
      </c>
    </row>
    <row r="39" spans="2:30">
      <c r="B39">
        <v>2013</v>
      </c>
      <c r="C39" t="str">
        <f t="shared" si="11"/>
        <v>Fuel cell</v>
      </c>
      <c r="D39">
        <v>9</v>
      </c>
      <c r="E39">
        <v>0</v>
      </c>
      <c r="F39">
        <v>0</v>
      </c>
      <c r="G39">
        <v>0</v>
      </c>
      <c r="H39">
        <v>0</v>
      </c>
      <c r="I39">
        <v>0</v>
      </c>
      <c r="J39">
        <v>0</v>
      </c>
      <c r="K39">
        <v>0</v>
      </c>
      <c r="L39">
        <v>0</v>
      </c>
      <c r="M39">
        <v>0</v>
      </c>
      <c r="N39">
        <v>0</v>
      </c>
      <c r="O39">
        <v>0</v>
      </c>
      <c r="P39">
        <v>0</v>
      </c>
      <c r="Q39">
        <v>0</v>
      </c>
      <c r="R39">
        <v>0</v>
      </c>
      <c r="S39">
        <v>0</v>
      </c>
      <c r="T39">
        <v>0</v>
      </c>
      <c r="U39">
        <v>0</v>
      </c>
      <c r="V39">
        <v>0</v>
      </c>
      <c r="W39">
        <v>0</v>
      </c>
      <c r="Z39">
        <v>2029</v>
      </c>
      <c r="AA39" s="5">
        <f t="array" ref="AA39">SUM(($G$22:$H$372)*($B$22:$B$372=$Z39))/1000000</f>
        <v>81126.438448999994</v>
      </c>
      <c r="AB39" s="5">
        <f t="array" ref="AB39">SUM(($I$22:$K$372)*($B$22:$B$372=$Z39))/1000000</f>
        <v>62522.914556999996</v>
      </c>
      <c r="AC39" s="5">
        <f t="array" ref="AC39">SUM(($L$22:$W$372)*($B$22:$B$372=$Z39))/1000000</f>
        <v>194919.57967499999</v>
      </c>
      <c r="AD39" s="5">
        <f t="shared" si="10"/>
        <v>338568.93268099998</v>
      </c>
    </row>
    <row r="40" spans="2:30">
      <c r="B40">
        <v>2014</v>
      </c>
      <c r="C40" t="str">
        <f t="shared" si="11"/>
        <v>Diesel</v>
      </c>
      <c r="D40">
        <v>1</v>
      </c>
      <c r="E40">
        <v>31470921728</v>
      </c>
      <c r="F40">
        <v>73441176</v>
      </c>
      <c r="G40">
        <v>37866586112</v>
      </c>
      <c r="H40">
        <v>2775675904</v>
      </c>
      <c r="I40">
        <v>9478882304</v>
      </c>
      <c r="J40">
        <v>11652484096</v>
      </c>
      <c r="K40">
        <v>15905961984</v>
      </c>
      <c r="L40">
        <v>15311998976</v>
      </c>
      <c r="M40">
        <v>1816530688</v>
      </c>
      <c r="N40">
        <v>1816530688</v>
      </c>
      <c r="O40">
        <v>5449592320</v>
      </c>
      <c r="P40">
        <v>22719107072</v>
      </c>
      <c r="Q40">
        <v>10872541184</v>
      </c>
      <c r="R40">
        <v>10872541184</v>
      </c>
      <c r="S40">
        <v>32737095680</v>
      </c>
      <c r="T40">
        <v>13023152128</v>
      </c>
      <c r="U40">
        <v>13023152128</v>
      </c>
      <c r="V40">
        <v>38949990400</v>
      </c>
      <c r="W40">
        <v>3021042</v>
      </c>
      <c r="Z40">
        <v>2030</v>
      </c>
      <c r="AA40" s="5">
        <f t="array" ref="AA40">SUM(($G$22:$H$372)*($B$22:$B$372=$Z40))/1000000</f>
        <v>82515.567903000003</v>
      </c>
      <c r="AB40" s="5">
        <f t="array" ref="AB40">SUM(($I$22:$K$372)*($B$22:$B$372=$Z40))/1000000</f>
        <v>63231.206787000003</v>
      </c>
      <c r="AC40" s="5">
        <f t="array" ref="AC40">SUM(($L$22:$W$372)*($B$22:$B$372=$Z40))/1000000</f>
        <v>195347.25951599999</v>
      </c>
      <c r="AD40" s="5">
        <f t="shared" si="10"/>
        <v>341094.03420599998</v>
      </c>
    </row>
    <row r="41" spans="2:30">
      <c r="B41">
        <v>2014</v>
      </c>
      <c r="C41" t="str">
        <f t="shared" si="11"/>
        <v>Gasoline</v>
      </c>
      <c r="D41">
        <v>2</v>
      </c>
      <c r="E41">
        <v>50104815616</v>
      </c>
      <c r="F41">
        <v>1981181184</v>
      </c>
      <c r="G41">
        <v>8467652608</v>
      </c>
      <c r="H41">
        <v>5142343680</v>
      </c>
      <c r="I41">
        <v>8770002944</v>
      </c>
      <c r="J41">
        <v>3432117504</v>
      </c>
      <c r="K41">
        <v>5204172800</v>
      </c>
      <c r="L41">
        <v>292320064</v>
      </c>
      <c r="M41">
        <v>0</v>
      </c>
      <c r="N41">
        <v>0</v>
      </c>
      <c r="O41">
        <v>0</v>
      </c>
      <c r="P41">
        <v>37042424</v>
      </c>
      <c r="Q41">
        <v>0</v>
      </c>
      <c r="R41">
        <v>0</v>
      </c>
      <c r="S41">
        <v>0</v>
      </c>
      <c r="T41">
        <v>0</v>
      </c>
      <c r="U41">
        <v>0</v>
      </c>
      <c r="V41">
        <v>0</v>
      </c>
      <c r="W41">
        <v>0</v>
      </c>
      <c r="Z41">
        <v>2031</v>
      </c>
      <c r="AA41" s="5">
        <f t="array" ref="AA41">SUM(($G$22:$H$372)*($B$22:$B$372=$Z41))/1000000</f>
        <v>84225.810465999995</v>
      </c>
      <c r="AB41" s="5">
        <f t="array" ref="AB41">SUM(($I$22:$K$372)*($B$22:$B$372=$Z41))/1000000</f>
        <v>64039.527791</v>
      </c>
      <c r="AC41" s="5">
        <f t="array" ref="AC41">SUM(($L$22:$W$372)*($B$22:$B$372=$Z41))/1000000</f>
        <v>195864.895124</v>
      </c>
      <c r="AD41" s="5">
        <f t="shared" si="10"/>
        <v>344130.233381</v>
      </c>
    </row>
    <row r="42" spans="2:30">
      <c r="B42">
        <v>2014</v>
      </c>
      <c r="C42" t="str">
        <f t="shared" si="11"/>
        <v>LPG</v>
      </c>
      <c r="D42">
        <v>3</v>
      </c>
      <c r="E42">
        <v>190928</v>
      </c>
      <c r="F42">
        <v>318</v>
      </c>
      <c r="G42">
        <v>2210096</v>
      </c>
      <c r="H42">
        <v>0</v>
      </c>
      <c r="I42">
        <v>3378688</v>
      </c>
      <c r="J42">
        <v>2267157</v>
      </c>
      <c r="K42">
        <v>11943307</v>
      </c>
      <c r="L42">
        <v>13006248</v>
      </c>
      <c r="M42">
        <v>0</v>
      </c>
      <c r="N42">
        <v>0</v>
      </c>
      <c r="O42">
        <v>0</v>
      </c>
      <c r="P42">
        <v>148184</v>
      </c>
      <c r="Q42">
        <v>0</v>
      </c>
      <c r="R42">
        <v>0</v>
      </c>
      <c r="S42">
        <v>0</v>
      </c>
      <c r="T42">
        <v>0</v>
      </c>
      <c r="U42">
        <v>0</v>
      </c>
      <c r="V42">
        <v>0</v>
      </c>
      <c r="W42">
        <v>0</v>
      </c>
      <c r="Z42">
        <v>2032</v>
      </c>
      <c r="AA42" s="5">
        <f t="array" ref="AA42">SUM(($G$22:$H$372)*($B$22:$B$372=$Z42))/1000000</f>
        <v>86247.875383999999</v>
      </c>
      <c r="AB42" s="5">
        <f t="array" ref="AB42">SUM(($I$22:$K$372)*($B$22:$B$372=$Z42))/1000000</f>
        <v>65124.282284000001</v>
      </c>
      <c r="AC42" s="5">
        <f t="array" ref="AC42">SUM(($L$22:$W$372)*($B$22:$B$372=$Z42))/1000000</f>
        <v>196870.930903</v>
      </c>
      <c r="AD42" s="5">
        <f t="shared" si="10"/>
        <v>348243.08857100003</v>
      </c>
    </row>
    <row r="43" spans="2:30">
      <c r="B43">
        <v>2014</v>
      </c>
      <c r="C43" t="str">
        <f t="shared" si="11"/>
        <v>CNG</v>
      </c>
      <c r="D43">
        <v>4</v>
      </c>
      <c r="E43">
        <v>84807800</v>
      </c>
      <c r="F43">
        <v>501157</v>
      </c>
      <c r="G43">
        <v>0</v>
      </c>
      <c r="H43">
        <v>0</v>
      </c>
      <c r="I43">
        <v>24469718</v>
      </c>
      <c r="J43">
        <v>1179214</v>
      </c>
      <c r="K43">
        <v>17250678</v>
      </c>
      <c r="L43">
        <v>20650460</v>
      </c>
      <c r="M43">
        <v>5190144</v>
      </c>
      <c r="N43">
        <v>5190144</v>
      </c>
      <c r="O43">
        <v>15570430</v>
      </c>
      <c r="P43">
        <v>583668160</v>
      </c>
      <c r="Q43">
        <v>38961532</v>
      </c>
      <c r="R43">
        <v>38961532</v>
      </c>
      <c r="S43">
        <v>117312744</v>
      </c>
      <c r="T43">
        <v>46668208</v>
      </c>
      <c r="U43">
        <v>46668208</v>
      </c>
      <c r="V43">
        <v>139576480</v>
      </c>
      <c r="W43">
        <v>0</v>
      </c>
      <c r="Z43">
        <v>2033</v>
      </c>
      <c r="AA43" s="5">
        <f t="array" ref="AA43">SUM(($G$22:$H$372)*($B$22:$B$372=$Z43))/1000000</f>
        <v>88082.187835999997</v>
      </c>
      <c r="AB43" s="5">
        <f t="array" ref="AB43">SUM(($I$22:$K$372)*($B$22:$B$372=$Z43))/1000000</f>
        <v>66076.330558000001</v>
      </c>
      <c r="AC43" s="5">
        <f t="array" ref="AC43">SUM(($L$22:$W$372)*($B$22:$B$372=$Z43))/1000000</f>
        <v>197467.476639</v>
      </c>
      <c r="AD43" s="5">
        <f t="shared" si="10"/>
        <v>351625.99503300001</v>
      </c>
    </row>
    <row r="44" spans="2:30">
      <c r="B44">
        <v>2014</v>
      </c>
      <c r="C44" t="str">
        <f t="shared" si="11"/>
        <v>Flex</v>
      </c>
      <c r="D44">
        <v>5</v>
      </c>
      <c r="E44">
        <v>5266461184</v>
      </c>
      <c r="F44">
        <v>444953760</v>
      </c>
      <c r="G44">
        <v>1268535424</v>
      </c>
      <c r="H44">
        <v>844508160</v>
      </c>
      <c r="I44">
        <v>216532576</v>
      </c>
      <c r="J44">
        <v>0</v>
      </c>
      <c r="K44">
        <v>42578640</v>
      </c>
      <c r="L44">
        <v>0</v>
      </c>
      <c r="M44">
        <v>0</v>
      </c>
      <c r="N44">
        <v>0</v>
      </c>
      <c r="O44">
        <v>0</v>
      </c>
      <c r="P44">
        <v>0</v>
      </c>
      <c r="Q44">
        <v>0</v>
      </c>
      <c r="R44">
        <v>0</v>
      </c>
      <c r="S44">
        <v>0</v>
      </c>
      <c r="T44">
        <v>0</v>
      </c>
      <c r="U44">
        <v>0</v>
      </c>
      <c r="V44">
        <v>0</v>
      </c>
      <c r="W44">
        <v>0</v>
      </c>
      <c r="Z44">
        <v>2034</v>
      </c>
      <c r="AA44" s="5">
        <f t="array" ref="AA44">SUM(($G$22:$H$372)*($B$22:$B$372=$Z44))/1000000</f>
        <v>89903.375495</v>
      </c>
      <c r="AB44" s="5">
        <f t="array" ref="AB44">SUM(($I$22:$K$372)*($B$22:$B$372=$Z44))/1000000</f>
        <v>67006.771336000005</v>
      </c>
      <c r="AC44" s="5">
        <f t="array" ref="AC44">SUM(($L$22:$W$372)*($B$22:$B$372=$Z44))/1000000</f>
        <v>197962.586129</v>
      </c>
      <c r="AD44" s="5">
        <f t="shared" si="10"/>
        <v>354872.73295999999</v>
      </c>
    </row>
    <row r="45" spans="2:30">
      <c r="B45">
        <v>2014</v>
      </c>
      <c r="C45" t="str">
        <f t="shared" si="11"/>
        <v>BEV</v>
      </c>
      <c r="D45">
        <v>6</v>
      </c>
      <c r="E45">
        <v>0</v>
      </c>
      <c r="F45">
        <v>0</v>
      </c>
      <c r="G45">
        <v>0</v>
      </c>
      <c r="H45">
        <v>1780627</v>
      </c>
      <c r="I45">
        <v>0</v>
      </c>
      <c r="J45">
        <v>0</v>
      </c>
      <c r="K45">
        <v>0</v>
      </c>
      <c r="L45">
        <v>0</v>
      </c>
      <c r="M45">
        <v>0</v>
      </c>
      <c r="N45">
        <v>0</v>
      </c>
      <c r="O45">
        <v>0</v>
      </c>
      <c r="P45">
        <v>0</v>
      </c>
      <c r="Q45">
        <v>0</v>
      </c>
      <c r="R45">
        <v>0</v>
      </c>
      <c r="S45">
        <v>0</v>
      </c>
      <c r="T45">
        <v>0</v>
      </c>
      <c r="U45">
        <v>0</v>
      </c>
      <c r="V45">
        <v>0</v>
      </c>
      <c r="W45">
        <v>0</v>
      </c>
      <c r="Z45">
        <v>2035</v>
      </c>
      <c r="AA45" s="5">
        <f t="array" ref="AA45">SUM(($G$22:$H$372)*($B$22:$B$372=$Z45))/1000000</f>
        <v>91787.951690000002</v>
      </c>
      <c r="AB45" s="5">
        <f t="array" ref="AB45">SUM(($I$22:$K$372)*($B$22:$B$372=$Z45))/1000000</f>
        <v>67997.275097000005</v>
      </c>
      <c r="AC45" s="5">
        <f t="array" ref="AC45">SUM(($L$22:$W$372)*($B$22:$B$372=$Z45))/1000000</f>
        <v>198582.446746</v>
      </c>
      <c r="AD45" s="5">
        <f t="shared" si="10"/>
        <v>358367.67353300005</v>
      </c>
    </row>
    <row r="46" spans="2:30">
      <c r="B46">
        <v>2014</v>
      </c>
      <c r="C46" t="str">
        <f t="shared" si="11"/>
        <v>PHEV diesel</v>
      </c>
      <c r="D46">
        <v>7</v>
      </c>
      <c r="E46">
        <v>0</v>
      </c>
      <c r="F46">
        <v>0</v>
      </c>
      <c r="G46">
        <v>0</v>
      </c>
      <c r="H46">
        <v>0</v>
      </c>
      <c r="I46">
        <v>0</v>
      </c>
      <c r="J46">
        <v>0</v>
      </c>
      <c r="K46">
        <v>0</v>
      </c>
      <c r="L46">
        <v>0</v>
      </c>
      <c r="M46">
        <v>0</v>
      </c>
      <c r="N46">
        <v>0</v>
      </c>
      <c r="O46">
        <v>0</v>
      </c>
      <c r="P46">
        <v>0</v>
      </c>
      <c r="Q46">
        <v>0</v>
      </c>
      <c r="R46">
        <v>0</v>
      </c>
      <c r="S46">
        <v>0</v>
      </c>
      <c r="T46">
        <v>0</v>
      </c>
      <c r="U46">
        <v>0</v>
      </c>
      <c r="V46">
        <v>0</v>
      </c>
      <c r="W46">
        <v>0</v>
      </c>
      <c r="Z46">
        <v>2036</v>
      </c>
      <c r="AA46" s="5">
        <f t="array" ref="AA46">SUM(($G$22:$H$372)*($B$22:$B$372=$Z46))/1000000</f>
        <v>93531.581019999998</v>
      </c>
      <c r="AB46" s="5">
        <f t="array" ref="AB46">SUM(($I$22:$K$372)*($B$22:$B$372=$Z46))/1000000</f>
        <v>68894.705545000004</v>
      </c>
      <c r="AC46" s="5">
        <f t="array" ref="AC46">SUM(($L$22:$W$372)*($B$22:$B$372=$Z46))/1000000</f>
        <v>198894.29607499999</v>
      </c>
      <c r="AD46" s="5">
        <f t="shared" si="10"/>
        <v>361320.58264000004</v>
      </c>
    </row>
    <row r="47" spans="2:30">
      <c r="B47">
        <v>2014</v>
      </c>
      <c r="C47" t="str">
        <f t="shared" si="11"/>
        <v>PHEV gasoline</v>
      </c>
      <c r="D47">
        <v>8</v>
      </c>
      <c r="E47">
        <v>0</v>
      </c>
      <c r="F47">
        <v>0</v>
      </c>
      <c r="G47">
        <v>0</v>
      </c>
      <c r="H47">
        <v>0</v>
      </c>
      <c r="I47">
        <v>0</v>
      </c>
      <c r="J47">
        <v>0</v>
      </c>
      <c r="K47">
        <v>0</v>
      </c>
      <c r="L47">
        <v>0</v>
      </c>
      <c r="M47">
        <v>0</v>
      </c>
      <c r="N47">
        <v>0</v>
      </c>
      <c r="O47">
        <v>0</v>
      </c>
      <c r="P47">
        <v>0</v>
      </c>
      <c r="Q47">
        <v>0</v>
      </c>
      <c r="R47">
        <v>0</v>
      </c>
      <c r="S47">
        <v>0</v>
      </c>
      <c r="T47">
        <v>0</v>
      </c>
      <c r="U47">
        <v>0</v>
      </c>
      <c r="V47">
        <v>0</v>
      </c>
      <c r="W47">
        <v>0</v>
      </c>
      <c r="Z47">
        <v>2037</v>
      </c>
      <c r="AA47" s="5">
        <f t="array" ref="AA47">SUM(($G$22:$H$372)*($B$22:$B$372=$Z47))/1000000</f>
        <v>95407.949582000001</v>
      </c>
      <c r="AB47" s="5">
        <f t="array" ref="AB47">SUM(($I$22:$K$372)*($B$22:$B$372=$Z47))/1000000</f>
        <v>69940.541322000005</v>
      </c>
      <c r="AC47" s="5">
        <f t="array" ref="AC47">SUM(($L$22:$W$372)*($B$22:$B$372=$Z47))/1000000</f>
        <v>199522.87597200001</v>
      </c>
      <c r="AD47" s="5">
        <f t="shared" si="10"/>
        <v>364871.36687600001</v>
      </c>
    </row>
    <row r="48" spans="2:30">
      <c r="B48">
        <v>2014</v>
      </c>
      <c r="C48" t="str">
        <f t="shared" si="11"/>
        <v>Fuel cell</v>
      </c>
      <c r="D48">
        <v>9</v>
      </c>
      <c r="E48">
        <v>0</v>
      </c>
      <c r="F48">
        <v>0</v>
      </c>
      <c r="G48">
        <v>0</v>
      </c>
      <c r="H48">
        <v>0</v>
      </c>
      <c r="I48">
        <v>0</v>
      </c>
      <c r="J48">
        <v>0</v>
      </c>
      <c r="K48">
        <v>0</v>
      </c>
      <c r="L48">
        <v>0</v>
      </c>
      <c r="M48">
        <v>0</v>
      </c>
      <c r="N48">
        <v>0</v>
      </c>
      <c r="O48">
        <v>0</v>
      </c>
      <c r="P48">
        <v>0</v>
      </c>
      <c r="Q48">
        <v>0</v>
      </c>
      <c r="R48">
        <v>0</v>
      </c>
      <c r="S48">
        <v>0</v>
      </c>
      <c r="T48">
        <v>0</v>
      </c>
      <c r="U48">
        <v>0</v>
      </c>
      <c r="V48">
        <v>0</v>
      </c>
      <c r="W48">
        <v>0</v>
      </c>
      <c r="Z48">
        <v>2038</v>
      </c>
      <c r="AA48" s="5">
        <f t="array" ref="AA48">SUM(($G$22:$H$372)*($B$22:$B$372=$Z48))/1000000</f>
        <v>97274.880076999994</v>
      </c>
      <c r="AB48" s="5">
        <f t="array" ref="AB48">SUM(($I$22:$K$372)*($B$22:$B$372=$Z48))/1000000</f>
        <v>70943.414059000002</v>
      </c>
      <c r="AC48" s="5">
        <f t="array" ref="AC48">SUM(($L$22:$W$372)*($B$22:$B$372=$Z48))/1000000</f>
        <v>200192.55317</v>
      </c>
      <c r="AD48" s="5">
        <f t="shared" si="10"/>
        <v>368410.84730599995</v>
      </c>
    </row>
    <row r="49" spans="2:30">
      <c r="B49">
        <v>2015</v>
      </c>
      <c r="C49" t="str">
        <f t="shared" si="11"/>
        <v>Diesel</v>
      </c>
      <c r="D49">
        <v>1</v>
      </c>
      <c r="E49">
        <v>32130646016</v>
      </c>
      <c r="F49">
        <v>74980728</v>
      </c>
      <c r="G49">
        <v>39796629504</v>
      </c>
      <c r="H49">
        <v>2504725248</v>
      </c>
      <c r="I49">
        <v>8811881472</v>
      </c>
      <c r="J49">
        <v>12129487872</v>
      </c>
      <c r="K49">
        <v>15556624384</v>
      </c>
      <c r="L49">
        <v>14727621632</v>
      </c>
      <c r="M49">
        <v>1739442048</v>
      </c>
      <c r="N49">
        <v>1739442048</v>
      </c>
      <c r="O49">
        <v>5218325504</v>
      </c>
      <c r="P49">
        <v>22578898944</v>
      </c>
      <c r="Q49">
        <v>10919579648</v>
      </c>
      <c r="R49">
        <v>10919579648</v>
      </c>
      <c r="S49">
        <v>32878733312</v>
      </c>
      <c r="T49">
        <v>13079496704</v>
      </c>
      <c r="U49">
        <v>13079496704</v>
      </c>
      <c r="V49">
        <v>39118499840</v>
      </c>
      <c r="W49">
        <v>4866592</v>
      </c>
      <c r="Z49">
        <v>2039</v>
      </c>
      <c r="AA49" s="5">
        <f t="array" ref="AA49">SUM(($G$22:$H$372)*($B$22:$B$372=$Z49))/1000000</f>
        <v>99140.713889000006</v>
      </c>
      <c r="AB49" s="5">
        <f t="array" ref="AB49">SUM(($I$22:$K$372)*($B$22:$B$372=$Z49))/1000000</f>
        <v>72006.495349000004</v>
      </c>
      <c r="AC49" s="5">
        <f t="array" ref="AC49">SUM(($L$22:$W$372)*($B$22:$B$372=$Z49))/1000000</f>
        <v>200739.43635500001</v>
      </c>
      <c r="AD49" s="5">
        <f t="shared" si="10"/>
        <v>371886.64559299999</v>
      </c>
    </row>
    <row r="50" spans="2:30">
      <c r="B50">
        <v>2015</v>
      </c>
      <c r="C50" t="str">
        <f t="shared" si="11"/>
        <v>Gasoline</v>
      </c>
      <c r="D50">
        <v>2</v>
      </c>
      <c r="E50">
        <v>50368405504</v>
      </c>
      <c r="F50">
        <v>1991603840</v>
      </c>
      <c r="G50">
        <v>8212621824</v>
      </c>
      <c r="H50">
        <v>4905730560</v>
      </c>
      <c r="I50">
        <v>8557104640</v>
      </c>
      <c r="J50">
        <v>3627284480</v>
      </c>
      <c r="K50">
        <v>4997589504</v>
      </c>
      <c r="L50">
        <v>268674656</v>
      </c>
      <c r="M50">
        <v>0</v>
      </c>
      <c r="N50">
        <v>0</v>
      </c>
      <c r="O50">
        <v>0</v>
      </c>
      <c r="P50">
        <v>32463916</v>
      </c>
      <c r="Q50">
        <v>0</v>
      </c>
      <c r="R50">
        <v>0</v>
      </c>
      <c r="S50">
        <v>0</v>
      </c>
      <c r="T50">
        <v>0</v>
      </c>
      <c r="U50">
        <v>0</v>
      </c>
      <c r="V50">
        <v>0</v>
      </c>
      <c r="W50">
        <v>0</v>
      </c>
      <c r="Z50">
        <v>2040</v>
      </c>
      <c r="AA50" s="5">
        <f t="array" ref="AA50">SUM(($G$22:$H$372)*($B$22:$B$372=$Z50))/1000000</f>
        <v>101139.003489</v>
      </c>
      <c r="AB50" s="5">
        <f t="array" ref="AB50">SUM(($I$22:$K$372)*($B$22:$B$372=$Z50))/1000000</f>
        <v>73123.155322000006</v>
      </c>
      <c r="AC50" s="5">
        <f t="array" ref="AC50">SUM(($L$22:$W$372)*($B$22:$B$372=$Z50))/1000000</f>
        <v>201400.78161800001</v>
      </c>
      <c r="AD50" s="5">
        <f t="shared" si="10"/>
        <v>375662.94042900001</v>
      </c>
    </row>
    <row r="51" spans="2:30">
      <c r="B51">
        <v>2015</v>
      </c>
      <c r="C51" t="str">
        <f t="shared" si="11"/>
        <v>LPG</v>
      </c>
      <c r="D51">
        <v>3</v>
      </c>
      <c r="E51">
        <v>152240</v>
      </c>
      <c r="F51">
        <v>332</v>
      </c>
      <c r="G51">
        <v>1832672</v>
      </c>
      <c r="H51">
        <v>0</v>
      </c>
      <c r="I51">
        <v>2692227</v>
      </c>
      <c r="J51">
        <v>23766592</v>
      </c>
      <c r="K51">
        <v>22077144</v>
      </c>
      <c r="L51">
        <v>16142764</v>
      </c>
      <c r="M51">
        <v>0</v>
      </c>
      <c r="N51">
        <v>0</v>
      </c>
      <c r="O51">
        <v>0</v>
      </c>
      <c r="P51">
        <v>205203</v>
      </c>
      <c r="Q51">
        <v>0</v>
      </c>
      <c r="R51">
        <v>0</v>
      </c>
      <c r="S51">
        <v>0</v>
      </c>
      <c r="T51">
        <v>0</v>
      </c>
      <c r="U51">
        <v>0</v>
      </c>
      <c r="V51">
        <v>0</v>
      </c>
      <c r="W51">
        <v>0</v>
      </c>
      <c r="Z51">
        <v>2041</v>
      </c>
      <c r="AA51" s="5">
        <f t="array" ref="AA51">SUM(($G$22:$H$372)*($B$22:$B$372=$Z51))/1000000</f>
        <v>103182.906147</v>
      </c>
      <c r="AB51" s="5">
        <f t="array" ref="AB51">SUM(($I$22:$K$372)*($B$22:$B$372=$Z51))/1000000</f>
        <v>74263.218131999995</v>
      </c>
      <c r="AC51" s="5">
        <f t="array" ref="AC51">SUM(($L$22:$W$372)*($B$22:$B$372=$Z51))/1000000</f>
        <v>202038.91327700001</v>
      </c>
      <c r="AD51" s="5">
        <f t="shared" si="10"/>
        <v>379485.037556</v>
      </c>
    </row>
    <row r="52" spans="2:30">
      <c r="B52">
        <v>2015</v>
      </c>
      <c r="C52" t="str">
        <f t="shared" si="11"/>
        <v>CNG</v>
      </c>
      <c r="D52">
        <v>4</v>
      </c>
      <c r="E52">
        <v>97903936</v>
      </c>
      <c r="F52">
        <v>511847</v>
      </c>
      <c r="G52">
        <v>0</v>
      </c>
      <c r="H52">
        <v>0</v>
      </c>
      <c r="I52">
        <v>23407512</v>
      </c>
      <c r="J52">
        <v>1117613</v>
      </c>
      <c r="K52">
        <v>16420317</v>
      </c>
      <c r="L52">
        <v>26466298</v>
      </c>
      <c r="M52">
        <v>6580146</v>
      </c>
      <c r="N52">
        <v>6580146</v>
      </c>
      <c r="O52">
        <v>19740438</v>
      </c>
      <c r="P52">
        <v>695506176</v>
      </c>
      <c r="Q52">
        <v>58927512</v>
      </c>
      <c r="R52">
        <v>58927512</v>
      </c>
      <c r="S52">
        <v>177430096</v>
      </c>
      <c r="T52">
        <v>70583512</v>
      </c>
      <c r="U52">
        <v>70583512</v>
      </c>
      <c r="V52">
        <v>211102960</v>
      </c>
      <c r="W52">
        <v>0</v>
      </c>
      <c r="Z52">
        <v>2042</v>
      </c>
      <c r="AA52" s="5">
        <f t="array" ref="AA52">SUM(($G$22:$H$372)*($B$22:$B$372=$Z52))/1000000</f>
        <v>105260.42458599999</v>
      </c>
      <c r="AB52" s="5">
        <f t="array" ref="AB52">SUM(($I$22:$K$372)*($B$22:$B$372=$Z52))/1000000</f>
        <v>75433.603170999995</v>
      </c>
      <c r="AC52" s="5">
        <f t="array" ref="AC52">SUM(($L$22:$W$372)*($B$22:$B$372=$Z52))/1000000</f>
        <v>202798.471594</v>
      </c>
      <c r="AD52" s="5">
        <f t="shared" si="10"/>
        <v>383492.49935100001</v>
      </c>
    </row>
    <row r="53" spans="2:30">
      <c r="B53">
        <v>2015</v>
      </c>
      <c r="C53" t="str">
        <f t="shared" si="11"/>
        <v>Flex</v>
      </c>
      <c r="D53">
        <v>5</v>
      </c>
      <c r="E53">
        <v>5571889152</v>
      </c>
      <c r="F53">
        <v>392946592</v>
      </c>
      <c r="G53">
        <v>1594247040</v>
      </c>
      <c r="H53">
        <v>1024589632</v>
      </c>
      <c r="I53">
        <v>264603056</v>
      </c>
      <c r="J53">
        <v>0</v>
      </c>
      <c r="K53">
        <v>38448236</v>
      </c>
      <c r="L53">
        <v>0</v>
      </c>
      <c r="M53">
        <v>0</v>
      </c>
      <c r="N53">
        <v>0</v>
      </c>
      <c r="O53">
        <v>0</v>
      </c>
      <c r="P53">
        <v>0</v>
      </c>
      <c r="Q53">
        <v>0</v>
      </c>
      <c r="R53">
        <v>0</v>
      </c>
      <c r="S53">
        <v>0</v>
      </c>
      <c r="T53">
        <v>0</v>
      </c>
      <c r="U53">
        <v>0</v>
      </c>
      <c r="V53">
        <v>0</v>
      </c>
      <c r="W53">
        <v>0</v>
      </c>
      <c r="Z53">
        <v>2043</v>
      </c>
      <c r="AA53" s="5">
        <f t="array" ref="AA53">SUM(($G$22:$H$372)*($B$22:$B$372=$Z53))/1000000</f>
        <v>107264.271525</v>
      </c>
      <c r="AB53" s="5">
        <f t="array" ref="AB53">SUM(($I$22:$K$372)*($B$22:$B$372=$Z53))/1000000</f>
        <v>76631.229517</v>
      </c>
      <c r="AC53" s="5">
        <f t="array" ref="AC53">SUM(($L$22:$W$372)*($B$22:$B$372=$Z53))/1000000</f>
        <v>203467.543986</v>
      </c>
      <c r="AD53" s="5">
        <f t="shared" si="10"/>
        <v>387363.04502800002</v>
      </c>
    </row>
    <row r="54" spans="2:30">
      <c r="B54">
        <v>2015</v>
      </c>
      <c r="C54" t="str">
        <f t="shared" si="11"/>
        <v>BEV</v>
      </c>
      <c r="D54">
        <v>6</v>
      </c>
      <c r="E54">
        <v>0</v>
      </c>
      <c r="F54">
        <v>0</v>
      </c>
      <c r="G54">
        <v>0</v>
      </c>
      <c r="H54">
        <v>1676958</v>
      </c>
      <c r="I54">
        <v>0</v>
      </c>
      <c r="J54">
        <v>98240</v>
      </c>
      <c r="K54">
        <v>0</v>
      </c>
      <c r="L54">
        <v>0</v>
      </c>
      <c r="M54">
        <v>0</v>
      </c>
      <c r="N54">
        <v>0</v>
      </c>
      <c r="O54">
        <v>0</v>
      </c>
      <c r="P54">
        <v>0</v>
      </c>
      <c r="Q54">
        <v>0</v>
      </c>
      <c r="R54">
        <v>0</v>
      </c>
      <c r="S54">
        <v>0</v>
      </c>
      <c r="T54">
        <v>0</v>
      </c>
      <c r="U54">
        <v>0</v>
      </c>
      <c r="V54">
        <v>0</v>
      </c>
      <c r="W54">
        <v>0</v>
      </c>
      <c r="Z54">
        <v>2044</v>
      </c>
      <c r="AA54" s="5">
        <f t="array" ref="AA54">SUM(($G$22:$H$372)*($B$22:$B$372=$Z54))/1000000</f>
        <v>109199.497978</v>
      </c>
      <c r="AB54" s="5">
        <f t="array" ref="AB54">SUM(($I$22:$K$372)*($B$22:$B$372=$Z54))/1000000</f>
        <v>77792.504027000003</v>
      </c>
      <c r="AC54" s="5">
        <f t="array" ref="AC54">SUM(($L$22:$W$372)*($B$22:$B$372=$Z54))/1000000</f>
        <v>203931.536631</v>
      </c>
      <c r="AD54" s="5">
        <f t="shared" si="10"/>
        <v>390923.53863600001</v>
      </c>
    </row>
    <row r="55" spans="2:30">
      <c r="B55">
        <v>2015</v>
      </c>
      <c r="C55" t="str">
        <f t="shared" si="11"/>
        <v>PHEV diesel</v>
      </c>
      <c r="D55">
        <v>7</v>
      </c>
      <c r="E55">
        <v>0</v>
      </c>
      <c r="F55">
        <v>0</v>
      </c>
      <c r="G55">
        <v>0</v>
      </c>
      <c r="H55">
        <v>0</v>
      </c>
      <c r="I55">
        <v>0</v>
      </c>
      <c r="J55">
        <v>0</v>
      </c>
      <c r="K55">
        <v>0</v>
      </c>
      <c r="L55">
        <v>0</v>
      </c>
      <c r="M55">
        <v>0</v>
      </c>
      <c r="N55">
        <v>0</v>
      </c>
      <c r="O55">
        <v>0</v>
      </c>
      <c r="P55">
        <v>0</v>
      </c>
      <c r="Q55">
        <v>0</v>
      </c>
      <c r="R55">
        <v>0</v>
      </c>
      <c r="S55">
        <v>0</v>
      </c>
      <c r="T55">
        <v>0</v>
      </c>
      <c r="U55">
        <v>0</v>
      </c>
      <c r="V55">
        <v>0</v>
      </c>
      <c r="W55">
        <v>0</v>
      </c>
      <c r="Z55">
        <v>2045</v>
      </c>
      <c r="AA55" s="5">
        <f t="array" ref="AA55">SUM(($G$22:$H$372)*($B$22:$B$372=$Z55))/1000000</f>
        <v>111173.512067</v>
      </c>
      <c r="AB55" s="5">
        <f t="array" ref="AB55">SUM(($I$22:$K$372)*($B$22:$B$372=$Z55))/1000000</f>
        <v>78834.679315000001</v>
      </c>
      <c r="AC55" s="5">
        <f t="array" ref="AC55">SUM(($L$22:$W$372)*($B$22:$B$372=$Z55))/1000000</f>
        <v>204053.06837299999</v>
      </c>
      <c r="AD55" s="5">
        <f t="shared" si="10"/>
        <v>394061.25975500001</v>
      </c>
    </row>
    <row r="56" spans="2:30">
      <c r="B56">
        <v>2015</v>
      </c>
      <c r="C56" t="str">
        <f t="shared" si="11"/>
        <v>PHEV gasoline</v>
      </c>
      <c r="D56">
        <v>8</v>
      </c>
      <c r="E56">
        <v>0</v>
      </c>
      <c r="F56">
        <v>0</v>
      </c>
      <c r="G56">
        <v>0</v>
      </c>
      <c r="H56">
        <v>0</v>
      </c>
      <c r="I56">
        <v>0</v>
      </c>
      <c r="J56">
        <v>0</v>
      </c>
      <c r="K56">
        <v>0</v>
      </c>
      <c r="L56">
        <v>0</v>
      </c>
      <c r="M56">
        <v>0</v>
      </c>
      <c r="N56">
        <v>0</v>
      </c>
      <c r="O56">
        <v>0</v>
      </c>
      <c r="P56">
        <v>0</v>
      </c>
      <c r="Q56">
        <v>0</v>
      </c>
      <c r="R56">
        <v>0</v>
      </c>
      <c r="S56">
        <v>0</v>
      </c>
      <c r="T56">
        <v>0</v>
      </c>
      <c r="U56">
        <v>0</v>
      </c>
      <c r="V56">
        <v>0</v>
      </c>
      <c r="W56">
        <v>0</v>
      </c>
      <c r="Z56">
        <v>2046</v>
      </c>
      <c r="AA56" s="5">
        <f t="array" ref="AA56">SUM(($G$22:$H$372)*($B$22:$B$372=$Z56))/1000000</f>
        <v>113428.118479</v>
      </c>
      <c r="AB56" s="5">
        <f t="array" ref="AB56">SUM(($I$22:$K$372)*($B$22:$B$372=$Z56))/1000000</f>
        <v>79911.228703000001</v>
      </c>
      <c r="AC56" s="5">
        <f t="array" ref="AC56">SUM(($L$22:$W$372)*($B$22:$B$372=$Z56))/1000000</f>
        <v>204195.66310599999</v>
      </c>
      <c r="AD56" s="5">
        <f t="shared" si="10"/>
        <v>397535.01028799999</v>
      </c>
    </row>
    <row r="57" spans="2:30">
      <c r="B57">
        <v>2015</v>
      </c>
      <c r="C57" t="str">
        <f t="shared" si="11"/>
        <v>Fuel cell</v>
      </c>
      <c r="D57">
        <v>9</v>
      </c>
      <c r="E57">
        <v>0</v>
      </c>
      <c r="F57">
        <v>0</v>
      </c>
      <c r="G57">
        <v>0</v>
      </c>
      <c r="H57">
        <v>0</v>
      </c>
      <c r="I57">
        <v>0</v>
      </c>
      <c r="J57">
        <v>0</v>
      </c>
      <c r="K57">
        <v>0</v>
      </c>
      <c r="L57">
        <v>0</v>
      </c>
      <c r="M57">
        <v>0</v>
      </c>
      <c r="N57">
        <v>0</v>
      </c>
      <c r="O57">
        <v>0</v>
      </c>
      <c r="P57">
        <v>0</v>
      </c>
      <c r="Q57">
        <v>0</v>
      </c>
      <c r="R57">
        <v>0</v>
      </c>
      <c r="S57">
        <v>0</v>
      </c>
      <c r="T57">
        <v>0</v>
      </c>
      <c r="U57">
        <v>0</v>
      </c>
      <c r="V57">
        <v>0</v>
      </c>
      <c r="W57">
        <v>0</v>
      </c>
      <c r="Z57">
        <v>2047</v>
      </c>
      <c r="AA57" s="5">
        <f t="array" ref="AA57">SUM(($G$22:$H$372)*($B$22:$B$372=$Z57))/1000000</f>
        <v>115822.941164</v>
      </c>
      <c r="AB57" s="5">
        <f t="array" ref="AB57">SUM(($I$22:$K$372)*($B$22:$B$372=$Z57))/1000000</f>
        <v>81033.695051999995</v>
      </c>
      <c r="AC57" s="5">
        <f t="array" ref="AC57">SUM(($L$22:$W$372)*($B$22:$B$372=$Z57))/1000000</f>
        <v>204349.73841300001</v>
      </c>
      <c r="AD57" s="5">
        <f t="shared" si="10"/>
        <v>401206.37462900003</v>
      </c>
    </row>
    <row r="58" spans="2:30">
      <c r="B58">
        <v>2016</v>
      </c>
      <c r="C58" t="str">
        <f t="shared" si="11"/>
        <v>Diesel</v>
      </c>
      <c r="D58">
        <v>1</v>
      </c>
      <c r="E58">
        <v>32382119936</v>
      </c>
      <c r="F58">
        <v>75567552</v>
      </c>
      <c r="G58">
        <v>41271996416</v>
      </c>
      <c r="H58">
        <v>2372618752</v>
      </c>
      <c r="I58">
        <v>8273442816</v>
      </c>
      <c r="J58">
        <v>12958074880</v>
      </c>
      <c r="K58">
        <v>15459318784</v>
      </c>
      <c r="L58">
        <v>14447562752</v>
      </c>
      <c r="M58">
        <v>1723276032</v>
      </c>
      <c r="N58">
        <v>1723276032</v>
      </c>
      <c r="O58">
        <v>5169828864</v>
      </c>
      <c r="P58">
        <v>23218941952</v>
      </c>
      <c r="Q58">
        <v>11425473536</v>
      </c>
      <c r="R58">
        <v>11425473536</v>
      </c>
      <c r="S58">
        <v>34401972224</v>
      </c>
      <c r="T58">
        <v>13685458944</v>
      </c>
      <c r="U58">
        <v>13685458944</v>
      </c>
      <c r="V58">
        <v>40930832384</v>
      </c>
      <c r="W58">
        <v>4916568</v>
      </c>
      <c r="Z58">
        <v>2048</v>
      </c>
      <c r="AA58" s="5">
        <f t="array" ref="AA58">SUM(($G$22:$H$372)*($B$22:$B$372=$Z58))/1000000</f>
        <v>118129.175965</v>
      </c>
      <c r="AB58" s="5">
        <f t="array" ref="AB58">SUM(($I$22:$K$372)*($B$22:$B$372=$Z58))/1000000</f>
        <v>82127.805974000003</v>
      </c>
      <c r="AC58" s="5">
        <f t="array" ref="AC58">SUM(($L$22:$W$372)*($B$22:$B$372=$Z58))/1000000</f>
        <v>204380.36221399999</v>
      </c>
      <c r="AD58" s="5">
        <f t="shared" si="10"/>
        <v>404637.34415300004</v>
      </c>
    </row>
    <row r="59" spans="2:30">
      <c r="B59">
        <v>2016</v>
      </c>
      <c r="C59" t="str">
        <f t="shared" si="11"/>
        <v>Gasoline</v>
      </c>
      <c r="D59">
        <v>2</v>
      </c>
      <c r="E59">
        <v>47269371904</v>
      </c>
      <c r="F59">
        <v>1869066112</v>
      </c>
      <c r="G59">
        <v>7937174016</v>
      </c>
      <c r="H59">
        <v>4910220288</v>
      </c>
      <c r="I59">
        <v>8716460032</v>
      </c>
      <c r="J59">
        <v>3838427392</v>
      </c>
      <c r="K59">
        <v>5033079296</v>
      </c>
      <c r="L59">
        <v>246122096</v>
      </c>
      <c r="M59">
        <v>0</v>
      </c>
      <c r="N59">
        <v>0</v>
      </c>
      <c r="O59">
        <v>0</v>
      </c>
      <c r="P59">
        <v>27976366</v>
      </c>
      <c r="Q59">
        <v>0</v>
      </c>
      <c r="R59">
        <v>0</v>
      </c>
      <c r="S59">
        <v>0</v>
      </c>
      <c r="T59">
        <v>0</v>
      </c>
      <c r="U59">
        <v>0</v>
      </c>
      <c r="V59">
        <v>0</v>
      </c>
      <c r="W59">
        <v>0</v>
      </c>
      <c r="Z59">
        <v>2049</v>
      </c>
      <c r="AA59" s="5">
        <f t="array" ref="AA59">SUM(($G$22:$H$372)*($B$22:$B$372=$Z59))/1000000</f>
        <v>120538.638987</v>
      </c>
      <c r="AB59" s="5">
        <f t="array" ref="AB59">SUM(($I$22:$K$372)*($B$22:$B$372=$Z59))/1000000</f>
        <v>83279.448753999997</v>
      </c>
      <c r="AC59" s="5">
        <f t="array" ref="AC59">SUM(($L$22:$W$372)*($B$22:$B$372=$Z59))/1000000</f>
        <v>204518.086664</v>
      </c>
      <c r="AD59" s="5">
        <f t="shared" si="10"/>
        <v>408336.174405</v>
      </c>
    </row>
    <row r="60" spans="2:30">
      <c r="B60">
        <v>2016</v>
      </c>
      <c r="C60" t="str">
        <f t="shared" si="11"/>
        <v>LPG</v>
      </c>
      <c r="D60">
        <v>3</v>
      </c>
      <c r="E60">
        <v>154088</v>
      </c>
      <c r="F60">
        <v>322</v>
      </c>
      <c r="G60">
        <v>1419799</v>
      </c>
      <c r="H60">
        <v>0</v>
      </c>
      <c r="I60">
        <v>6546392</v>
      </c>
      <c r="J60">
        <v>22589896</v>
      </c>
      <c r="K60">
        <v>22562494</v>
      </c>
      <c r="L60">
        <v>21641836</v>
      </c>
      <c r="M60">
        <v>0</v>
      </c>
      <c r="N60">
        <v>0</v>
      </c>
      <c r="O60">
        <v>0</v>
      </c>
      <c r="P60">
        <v>219438</v>
      </c>
      <c r="Q60">
        <v>0</v>
      </c>
      <c r="R60">
        <v>0</v>
      </c>
      <c r="S60">
        <v>0</v>
      </c>
      <c r="T60">
        <v>0</v>
      </c>
      <c r="U60">
        <v>0</v>
      </c>
      <c r="V60">
        <v>0</v>
      </c>
      <c r="W60">
        <v>0</v>
      </c>
      <c r="Z60">
        <v>2050</v>
      </c>
      <c r="AA60" s="5">
        <f t="array" ref="AA60">SUM(($G$22:$H$372)*($B$22:$B$372=$Z60))/1000000</f>
        <v>123324.758518</v>
      </c>
      <c r="AB60" s="5">
        <f t="array" ref="AB60">SUM(($I$22:$K$372)*($B$22:$B$372=$Z60))/1000000</f>
        <v>84643.598742000002</v>
      </c>
      <c r="AC60" s="5">
        <f t="array" ref="AC60">SUM(($L$22:$W$372)*($B$22:$B$372=$Z60))/1000000</f>
        <v>205175.579501</v>
      </c>
      <c r="AD60" s="5">
        <f t="shared" si="10"/>
        <v>413143.93676100002</v>
      </c>
    </row>
    <row r="61" spans="2:30">
      <c r="B61">
        <v>2016</v>
      </c>
      <c r="C61" t="str">
        <f t="shared" si="11"/>
        <v>CNG</v>
      </c>
      <c r="D61">
        <v>4</v>
      </c>
      <c r="E61">
        <v>110351456</v>
      </c>
      <c r="F61">
        <v>986910</v>
      </c>
      <c r="G61">
        <v>85947</v>
      </c>
      <c r="H61">
        <v>0</v>
      </c>
      <c r="I61">
        <v>19862614</v>
      </c>
      <c r="J61">
        <v>964208</v>
      </c>
      <c r="K61">
        <v>15353000</v>
      </c>
      <c r="L61">
        <v>33596404</v>
      </c>
      <c r="M61">
        <v>6550681</v>
      </c>
      <c r="N61">
        <v>6550681</v>
      </c>
      <c r="O61">
        <v>19652042</v>
      </c>
      <c r="P61">
        <v>823382016</v>
      </c>
      <c r="Q61">
        <v>72834912</v>
      </c>
      <c r="R61">
        <v>72834912</v>
      </c>
      <c r="S61">
        <v>219305152</v>
      </c>
      <c r="T61">
        <v>87241824</v>
      </c>
      <c r="U61">
        <v>87241824</v>
      </c>
      <c r="V61">
        <v>260925088</v>
      </c>
      <c r="W61">
        <v>0</v>
      </c>
    </row>
    <row r="62" spans="2:30">
      <c r="B62">
        <v>2016</v>
      </c>
      <c r="C62" t="str">
        <f t="shared" si="11"/>
        <v>Flex</v>
      </c>
      <c r="D62">
        <v>5</v>
      </c>
      <c r="E62">
        <v>8964489216</v>
      </c>
      <c r="F62">
        <v>498212064</v>
      </c>
      <c r="G62">
        <v>1649950592</v>
      </c>
      <c r="H62">
        <v>1203981952</v>
      </c>
      <c r="I62">
        <v>310605120</v>
      </c>
      <c r="J62">
        <v>0</v>
      </c>
      <c r="K62">
        <v>35030368</v>
      </c>
      <c r="L62">
        <v>0</v>
      </c>
      <c r="M62">
        <v>0</v>
      </c>
      <c r="N62">
        <v>0</v>
      </c>
      <c r="O62">
        <v>0</v>
      </c>
      <c r="P62">
        <v>0</v>
      </c>
      <c r="Q62">
        <v>0</v>
      </c>
      <c r="R62">
        <v>0</v>
      </c>
      <c r="S62">
        <v>0</v>
      </c>
      <c r="T62">
        <v>0</v>
      </c>
      <c r="U62">
        <v>0</v>
      </c>
      <c r="V62">
        <v>0</v>
      </c>
      <c r="W62">
        <v>0</v>
      </c>
    </row>
    <row r="63" spans="2:30">
      <c r="B63">
        <v>2016</v>
      </c>
      <c r="C63" t="str">
        <f t="shared" si="11"/>
        <v>BEV</v>
      </c>
      <c r="D63">
        <v>6</v>
      </c>
      <c r="E63">
        <v>0</v>
      </c>
      <c r="F63">
        <v>0</v>
      </c>
      <c r="G63">
        <v>0</v>
      </c>
      <c r="H63">
        <v>1557606</v>
      </c>
      <c r="I63">
        <v>0</v>
      </c>
      <c r="J63">
        <v>90575</v>
      </c>
      <c r="K63">
        <v>0</v>
      </c>
      <c r="L63">
        <v>0</v>
      </c>
      <c r="M63">
        <v>0</v>
      </c>
      <c r="N63">
        <v>0</v>
      </c>
      <c r="O63">
        <v>0</v>
      </c>
      <c r="P63">
        <v>0</v>
      </c>
      <c r="Q63">
        <v>0</v>
      </c>
      <c r="R63">
        <v>0</v>
      </c>
      <c r="S63">
        <v>0</v>
      </c>
      <c r="T63">
        <v>0</v>
      </c>
      <c r="U63">
        <v>0</v>
      </c>
      <c r="V63">
        <v>0</v>
      </c>
      <c r="W63">
        <v>0</v>
      </c>
    </row>
    <row r="64" spans="2:30">
      <c r="B64">
        <v>2016</v>
      </c>
      <c r="C64" t="str">
        <f t="shared" si="11"/>
        <v>PHEV diesel</v>
      </c>
      <c r="D64">
        <v>7</v>
      </c>
      <c r="E64">
        <v>0</v>
      </c>
      <c r="F64">
        <v>0</v>
      </c>
      <c r="G64">
        <v>0</v>
      </c>
      <c r="H64">
        <v>0</v>
      </c>
      <c r="I64">
        <v>0</v>
      </c>
      <c r="J64">
        <v>0</v>
      </c>
      <c r="K64">
        <v>0</v>
      </c>
      <c r="L64">
        <v>0</v>
      </c>
      <c r="M64">
        <v>0</v>
      </c>
      <c r="N64">
        <v>0</v>
      </c>
      <c r="O64">
        <v>0</v>
      </c>
      <c r="P64">
        <v>0</v>
      </c>
      <c r="Q64">
        <v>0</v>
      </c>
      <c r="R64">
        <v>0</v>
      </c>
      <c r="S64">
        <v>0</v>
      </c>
      <c r="T64">
        <v>0</v>
      </c>
      <c r="U64">
        <v>0</v>
      </c>
      <c r="V64">
        <v>0</v>
      </c>
      <c r="W64">
        <v>0</v>
      </c>
    </row>
    <row r="65" spans="2:23">
      <c r="B65">
        <v>2016</v>
      </c>
      <c r="C65" t="str">
        <f t="shared" si="11"/>
        <v>PHEV gasoline</v>
      </c>
      <c r="D65">
        <v>8</v>
      </c>
      <c r="E65">
        <v>0</v>
      </c>
      <c r="F65">
        <v>0</v>
      </c>
      <c r="G65">
        <v>0</v>
      </c>
      <c r="H65">
        <v>0</v>
      </c>
      <c r="I65">
        <v>0</v>
      </c>
      <c r="J65">
        <v>0</v>
      </c>
      <c r="K65">
        <v>0</v>
      </c>
      <c r="L65">
        <v>0</v>
      </c>
      <c r="M65">
        <v>0</v>
      </c>
      <c r="N65">
        <v>0</v>
      </c>
      <c r="O65">
        <v>0</v>
      </c>
      <c r="P65">
        <v>0</v>
      </c>
      <c r="Q65">
        <v>0</v>
      </c>
      <c r="R65">
        <v>0</v>
      </c>
      <c r="S65">
        <v>0</v>
      </c>
      <c r="T65">
        <v>0</v>
      </c>
      <c r="U65">
        <v>0</v>
      </c>
      <c r="V65">
        <v>0</v>
      </c>
      <c r="W65">
        <v>0</v>
      </c>
    </row>
    <row r="66" spans="2:23">
      <c r="B66">
        <v>2016</v>
      </c>
      <c r="C66" t="str">
        <f t="shared" si="11"/>
        <v>Fuel cell</v>
      </c>
      <c r="D66">
        <v>9</v>
      </c>
      <c r="E66">
        <v>0</v>
      </c>
      <c r="F66">
        <v>0</v>
      </c>
      <c r="G66">
        <v>0</v>
      </c>
      <c r="H66">
        <v>0</v>
      </c>
      <c r="I66">
        <v>0</v>
      </c>
      <c r="J66">
        <v>0</v>
      </c>
      <c r="K66">
        <v>0</v>
      </c>
      <c r="L66">
        <v>0</v>
      </c>
      <c r="M66">
        <v>0</v>
      </c>
      <c r="N66">
        <v>0</v>
      </c>
      <c r="O66">
        <v>0</v>
      </c>
      <c r="P66">
        <v>0</v>
      </c>
      <c r="Q66">
        <v>0</v>
      </c>
      <c r="R66">
        <v>0</v>
      </c>
      <c r="S66">
        <v>0</v>
      </c>
      <c r="T66">
        <v>0</v>
      </c>
      <c r="U66">
        <v>0</v>
      </c>
      <c r="V66">
        <v>0</v>
      </c>
      <c r="W66">
        <v>0</v>
      </c>
    </row>
    <row r="67" spans="2:23">
      <c r="B67">
        <v>2017</v>
      </c>
      <c r="C67" t="str">
        <f t="shared" si="11"/>
        <v>Diesel</v>
      </c>
      <c r="D67">
        <v>1</v>
      </c>
      <c r="E67">
        <v>32811651072</v>
      </c>
      <c r="F67">
        <v>76569928</v>
      </c>
      <c r="G67">
        <v>44304506880</v>
      </c>
      <c r="H67">
        <v>2348114688</v>
      </c>
      <c r="I67">
        <v>7977647616</v>
      </c>
      <c r="J67">
        <v>14176344064</v>
      </c>
      <c r="K67">
        <v>15916547072</v>
      </c>
      <c r="L67">
        <v>14482820096</v>
      </c>
      <c r="M67">
        <v>1729491584</v>
      </c>
      <c r="N67">
        <v>1729491584</v>
      </c>
      <c r="O67">
        <v>5188474880</v>
      </c>
      <c r="P67">
        <v>24610936832</v>
      </c>
      <c r="Q67">
        <v>11524892672</v>
      </c>
      <c r="R67">
        <v>11524892672</v>
      </c>
      <c r="S67">
        <v>34701320192</v>
      </c>
      <c r="T67">
        <v>13804542976</v>
      </c>
      <c r="U67">
        <v>13804542976</v>
      </c>
      <c r="V67">
        <v>41286979584</v>
      </c>
      <c r="W67">
        <v>6775192</v>
      </c>
    </row>
    <row r="68" spans="2:23">
      <c r="B68">
        <v>2017</v>
      </c>
      <c r="C68" t="str">
        <f t="shared" si="11"/>
        <v>Gasoline</v>
      </c>
      <c r="D68">
        <v>2</v>
      </c>
      <c r="E68">
        <v>44827734016</v>
      </c>
      <c r="F68">
        <v>1772521472</v>
      </c>
      <c r="G68">
        <v>8299080192</v>
      </c>
      <c r="H68">
        <v>5030804480</v>
      </c>
      <c r="I68">
        <v>9519837184</v>
      </c>
      <c r="J68">
        <v>4231507968</v>
      </c>
      <c r="K68">
        <v>5212124672</v>
      </c>
      <c r="L68">
        <v>236199856</v>
      </c>
      <c r="M68">
        <v>0</v>
      </c>
      <c r="N68">
        <v>0</v>
      </c>
      <c r="O68">
        <v>0</v>
      </c>
      <c r="P68">
        <v>23693550</v>
      </c>
      <c r="Q68">
        <v>0</v>
      </c>
      <c r="R68">
        <v>0</v>
      </c>
      <c r="S68">
        <v>0</v>
      </c>
      <c r="T68">
        <v>0</v>
      </c>
      <c r="U68">
        <v>0</v>
      </c>
      <c r="V68">
        <v>0</v>
      </c>
      <c r="W68">
        <v>0</v>
      </c>
    </row>
    <row r="69" spans="2:23">
      <c r="B69">
        <v>2017</v>
      </c>
      <c r="C69" t="str">
        <f t="shared" si="11"/>
        <v>LPG</v>
      </c>
      <c r="D69">
        <v>3</v>
      </c>
      <c r="E69">
        <v>119304</v>
      </c>
      <c r="F69">
        <v>0</v>
      </c>
      <c r="G69">
        <v>1312560</v>
      </c>
      <c r="H69">
        <v>0</v>
      </c>
      <c r="I69">
        <v>6280723</v>
      </c>
      <c r="J69">
        <v>21992162</v>
      </c>
      <c r="K69">
        <v>22127978</v>
      </c>
      <c r="L69">
        <v>24295132</v>
      </c>
      <c r="M69">
        <v>0</v>
      </c>
      <c r="N69">
        <v>0</v>
      </c>
      <c r="O69">
        <v>0</v>
      </c>
      <c r="P69">
        <v>202920</v>
      </c>
      <c r="Q69">
        <v>0</v>
      </c>
      <c r="R69">
        <v>0</v>
      </c>
      <c r="S69">
        <v>0</v>
      </c>
      <c r="T69">
        <v>0</v>
      </c>
      <c r="U69">
        <v>0</v>
      </c>
      <c r="V69">
        <v>0</v>
      </c>
      <c r="W69">
        <v>0</v>
      </c>
    </row>
    <row r="70" spans="2:23">
      <c r="B70">
        <v>2017</v>
      </c>
      <c r="C70" t="str">
        <f t="shared" si="11"/>
        <v>CNG</v>
      </c>
      <c r="D70">
        <v>4</v>
      </c>
      <c r="E70">
        <v>103158128</v>
      </c>
      <c r="F70">
        <v>933739</v>
      </c>
      <c r="G70">
        <v>173018</v>
      </c>
      <c r="H70">
        <v>0</v>
      </c>
      <c r="I70">
        <v>19791424</v>
      </c>
      <c r="J70">
        <v>914222</v>
      </c>
      <c r="K70">
        <v>15320760</v>
      </c>
      <c r="L70">
        <v>38967536</v>
      </c>
      <c r="M70">
        <v>6478567</v>
      </c>
      <c r="N70">
        <v>6478567</v>
      </c>
      <c r="O70">
        <v>19435702</v>
      </c>
      <c r="P70">
        <v>900560192</v>
      </c>
      <c r="Q70">
        <v>77612960</v>
      </c>
      <c r="R70">
        <v>77612960</v>
      </c>
      <c r="S70">
        <v>233691776</v>
      </c>
      <c r="T70">
        <v>92964984</v>
      </c>
      <c r="U70">
        <v>92964984</v>
      </c>
      <c r="V70">
        <v>278042048</v>
      </c>
      <c r="W70">
        <v>0</v>
      </c>
    </row>
    <row r="71" spans="2:23">
      <c r="B71">
        <v>2017</v>
      </c>
      <c r="C71" t="str">
        <f t="shared" si="11"/>
        <v>Flex</v>
      </c>
      <c r="D71">
        <v>5</v>
      </c>
      <c r="E71">
        <v>11672904704</v>
      </c>
      <c r="F71">
        <v>615768064</v>
      </c>
      <c r="G71">
        <v>2047377536</v>
      </c>
      <c r="H71">
        <v>1480517888</v>
      </c>
      <c r="I71">
        <v>429228384</v>
      </c>
      <c r="J71">
        <v>0</v>
      </c>
      <c r="K71">
        <v>16629244</v>
      </c>
      <c r="L71">
        <v>0</v>
      </c>
      <c r="M71">
        <v>0</v>
      </c>
      <c r="N71">
        <v>0</v>
      </c>
      <c r="O71">
        <v>0</v>
      </c>
      <c r="P71">
        <v>0</v>
      </c>
      <c r="Q71">
        <v>0</v>
      </c>
      <c r="R71">
        <v>0</v>
      </c>
      <c r="S71">
        <v>0</v>
      </c>
      <c r="T71">
        <v>0</v>
      </c>
      <c r="U71">
        <v>0</v>
      </c>
      <c r="V71">
        <v>0</v>
      </c>
      <c r="W71">
        <v>0</v>
      </c>
    </row>
    <row r="72" spans="2:23">
      <c r="B72">
        <v>2017</v>
      </c>
      <c r="C72" t="str">
        <f t="shared" si="11"/>
        <v>BEV</v>
      </c>
      <c r="D72">
        <v>6</v>
      </c>
      <c r="E72">
        <v>0</v>
      </c>
      <c r="F72">
        <v>0</v>
      </c>
      <c r="G72">
        <v>0</v>
      </c>
      <c r="H72">
        <v>1471106</v>
      </c>
      <c r="I72">
        <v>0</v>
      </c>
      <c r="J72">
        <v>864351</v>
      </c>
      <c r="K72">
        <v>266143</v>
      </c>
      <c r="L72">
        <v>0</v>
      </c>
      <c r="M72">
        <v>0</v>
      </c>
      <c r="N72">
        <v>0</v>
      </c>
      <c r="O72">
        <v>0</v>
      </c>
      <c r="P72">
        <v>22648</v>
      </c>
      <c r="Q72">
        <v>27178</v>
      </c>
      <c r="R72">
        <v>27178</v>
      </c>
      <c r="S72">
        <v>81533</v>
      </c>
      <c r="T72">
        <v>0</v>
      </c>
      <c r="U72">
        <v>0</v>
      </c>
      <c r="V72">
        <v>0</v>
      </c>
      <c r="W72">
        <v>0</v>
      </c>
    </row>
    <row r="73" spans="2:23">
      <c r="B73">
        <v>2017</v>
      </c>
      <c r="C73" t="str">
        <f t="shared" si="11"/>
        <v>PHEV diesel</v>
      </c>
      <c r="D73">
        <v>7</v>
      </c>
      <c r="E73">
        <v>0</v>
      </c>
      <c r="F73">
        <v>0</v>
      </c>
      <c r="G73">
        <v>0</v>
      </c>
      <c r="H73">
        <v>0</v>
      </c>
      <c r="I73">
        <v>0</v>
      </c>
      <c r="J73">
        <v>0</v>
      </c>
      <c r="K73">
        <v>0</v>
      </c>
      <c r="L73">
        <v>0</v>
      </c>
      <c r="M73">
        <v>0</v>
      </c>
      <c r="N73">
        <v>0</v>
      </c>
      <c r="O73">
        <v>0</v>
      </c>
      <c r="P73">
        <v>0</v>
      </c>
      <c r="Q73">
        <v>0</v>
      </c>
      <c r="R73">
        <v>0</v>
      </c>
      <c r="S73">
        <v>0</v>
      </c>
      <c r="T73">
        <v>0</v>
      </c>
      <c r="U73">
        <v>0</v>
      </c>
      <c r="V73">
        <v>0</v>
      </c>
      <c r="W73">
        <v>0</v>
      </c>
    </row>
    <row r="74" spans="2:23">
      <c r="B74">
        <v>2017</v>
      </c>
      <c r="C74" t="str">
        <f t="shared" si="11"/>
        <v>PHEV gasoline</v>
      </c>
      <c r="D74">
        <v>8</v>
      </c>
      <c r="E74">
        <v>0</v>
      </c>
      <c r="F74">
        <v>0</v>
      </c>
      <c r="G74">
        <v>0</v>
      </c>
      <c r="H74">
        <v>0</v>
      </c>
      <c r="I74">
        <v>0</v>
      </c>
      <c r="J74">
        <v>0</v>
      </c>
      <c r="K74">
        <v>0</v>
      </c>
      <c r="L74">
        <v>0</v>
      </c>
      <c r="M74">
        <v>0</v>
      </c>
      <c r="N74">
        <v>0</v>
      </c>
      <c r="O74">
        <v>0</v>
      </c>
      <c r="P74">
        <v>0</v>
      </c>
      <c r="Q74">
        <v>0</v>
      </c>
      <c r="R74">
        <v>0</v>
      </c>
      <c r="S74">
        <v>0</v>
      </c>
      <c r="T74">
        <v>0</v>
      </c>
      <c r="U74">
        <v>0</v>
      </c>
      <c r="V74">
        <v>0</v>
      </c>
      <c r="W74">
        <v>0</v>
      </c>
    </row>
    <row r="75" spans="2:23">
      <c r="B75">
        <v>2017</v>
      </c>
      <c r="C75" t="str">
        <f t="shared" si="11"/>
        <v>Fuel cell</v>
      </c>
      <c r="D75">
        <v>9</v>
      </c>
      <c r="E75">
        <v>0</v>
      </c>
      <c r="F75">
        <v>0</v>
      </c>
      <c r="G75">
        <v>0</v>
      </c>
      <c r="H75">
        <v>0</v>
      </c>
      <c r="I75">
        <v>0</v>
      </c>
      <c r="J75">
        <v>0</v>
      </c>
      <c r="K75">
        <v>0</v>
      </c>
      <c r="L75">
        <v>0</v>
      </c>
      <c r="M75">
        <v>0</v>
      </c>
      <c r="N75">
        <v>0</v>
      </c>
      <c r="O75">
        <v>0</v>
      </c>
      <c r="P75">
        <v>0</v>
      </c>
      <c r="Q75">
        <v>0</v>
      </c>
      <c r="R75">
        <v>0</v>
      </c>
      <c r="S75">
        <v>0</v>
      </c>
      <c r="T75">
        <v>0</v>
      </c>
      <c r="U75">
        <v>0</v>
      </c>
      <c r="V75">
        <v>0</v>
      </c>
      <c r="W75">
        <v>0</v>
      </c>
    </row>
    <row r="76" spans="2:23">
      <c r="B76">
        <v>2018</v>
      </c>
      <c r="C76" t="str">
        <f t="shared" si="11"/>
        <v>Diesel</v>
      </c>
      <c r="D76">
        <v>1</v>
      </c>
      <c r="E76">
        <v>33439078400</v>
      </c>
      <c r="F76">
        <v>78034088</v>
      </c>
      <c r="G76">
        <v>46035914752</v>
      </c>
      <c r="H76">
        <v>2312878336</v>
      </c>
      <c r="I76">
        <v>7693491712</v>
      </c>
      <c r="J76">
        <v>14628343808</v>
      </c>
      <c r="K76">
        <v>16421113856</v>
      </c>
      <c r="L76">
        <v>14638383104</v>
      </c>
      <c r="M76">
        <v>1717952896</v>
      </c>
      <c r="N76">
        <v>1717952896</v>
      </c>
      <c r="O76">
        <v>5153857536</v>
      </c>
      <c r="P76">
        <v>26108921856</v>
      </c>
      <c r="Q76">
        <v>11721219072</v>
      </c>
      <c r="R76">
        <v>11721219072</v>
      </c>
      <c r="S76">
        <v>35292454912</v>
      </c>
      <c r="T76">
        <v>14039700480</v>
      </c>
      <c r="U76">
        <v>14039700480</v>
      </c>
      <c r="V76">
        <v>41990307840</v>
      </c>
      <c r="W76">
        <v>6854305</v>
      </c>
    </row>
    <row r="77" spans="2:23">
      <c r="B77">
        <v>2018</v>
      </c>
      <c r="C77" t="str">
        <f t="shared" si="11"/>
        <v>Gasoline</v>
      </c>
      <c r="D77">
        <v>2</v>
      </c>
      <c r="E77">
        <v>42223857664</v>
      </c>
      <c r="F77">
        <v>1669562240</v>
      </c>
      <c r="G77">
        <v>8370083840</v>
      </c>
      <c r="H77">
        <v>5039817216</v>
      </c>
      <c r="I77">
        <v>9712958464</v>
      </c>
      <c r="J77">
        <v>4440967680</v>
      </c>
      <c r="K77">
        <v>5254778880</v>
      </c>
      <c r="L77">
        <v>222187568</v>
      </c>
      <c r="M77">
        <v>0</v>
      </c>
      <c r="N77">
        <v>0</v>
      </c>
      <c r="O77">
        <v>0</v>
      </c>
      <c r="P77">
        <v>19375528</v>
      </c>
      <c r="Q77">
        <v>0</v>
      </c>
      <c r="R77">
        <v>0</v>
      </c>
      <c r="S77">
        <v>0</v>
      </c>
      <c r="T77">
        <v>0</v>
      </c>
      <c r="U77">
        <v>0</v>
      </c>
      <c r="V77">
        <v>0</v>
      </c>
      <c r="W77">
        <v>0</v>
      </c>
    </row>
    <row r="78" spans="2:23">
      <c r="B78">
        <v>2018</v>
      </c>
      <c r="C78" t="str">
        <f t="shared" si="11"/>
        <v>LPG</v>
      </c>
      <c r="D78">
        <v>3</v>
      </c>
      <c r="E78">
        <v>113881</v>
      </c>
      <c r="G78">
        <v>1161003</v>
      </c>
      <c r="H78">
        <v>0</v>
      </c>
      <c r="I78">
        <v>5952121</v>
      </c>
      <c r="J78">
        <v>21607650</v>
      </c>
      <c r="K78">
        <v>21097912</v>
      </c>
      <c r="L78">
        <v>27790504</v>
      </c>
      <c r="M78">
        <v>0</v>
      </c>
      <c r="N78">
        <v>0</v>
      </c>
      <c r="O78">
        <v>0</v>
      </c>
      <c r="P78">
        <v>158901</v>
      </c>
      <c r="Q78">
        <v>0</v>
      </c>
      <c r="R78">
        <v>0</v>
      </c>
      <c r="S78">
        <v>0</v>
      </c>
      <c r="T78">
        <v>0</v>
      </c>
      <c r="U78">
        <v>0</v>
      </c>
      <c r="V78">
        <v>0</v>
      </c>
      <c r="W78">
        <v>0</v>
      </c>
    </row>
    <row r="79" spans="2:23">
      <c r="B79">
        <v>2018</v>
      </c>
      <c r="C79" t="str">
        <f t="shared" si="11"/>
        <v>CNG</v>
      </c>
      <c r="D79">
        <v>4</v>
      </c>
      <c r="E79">
        <v>93512280</v>
      </c>
      <c r="F79">
        <v>850391</v>
      </c>
      <c r="G79">
        <v>564296</v>
      </c>
      <c r="H79">
        <v>289035</v>
      </c>
      <c r="I79">
        <v>21994280</v>
      </c>
      <c r="J79">
        <v>816488</v>
      </c>
      <c r="K79">
        <v>14963066</v>
      </c>
      <c r="L79">
        <v>43009028</v>
      </c>
      <c r="M79">
        <v>6113100</v>
      </c>
      <c r="N79">
        <v>6113100</v>
      </c>
      <c r="O79">
        <v>18339300</v>
      </c>
      <c r="P79">
        <v>1011967360</v>
      </c>
      <c r="Q79">
        <v>81013112</v>
      </c>
      <c r="R79">
        <v>81013112</v>
      </c>
      <c r="S79">
        <v>243929616</v>
      </c>
      <c r="T79">
        <v>97037704</v>
      </c>
      <c r="U79">
        <v>97037704</v>
      </c>
      <c r="V79">
        <v>290222848</v>
      </c>
      <c r="W79">
        <v>0</v>
      </c>
    </row>
    <row r="80" spans="2:23">
      <c r="B80">
        <v>2018</v>
      </c>
      <c r="C80" t="str">
        <f t="shared" si="11"/>
        <v>Flex</v>
      </c>
      <c r="D80">
        <v>5</v>
      </c>
      <c r="E80">
        <v>13995052032</v>
      </c>
      <c r="F80">
        <v>634162880</v>
      </c>
      <c r="G80">
        <v>2365078528</v>
      </c>
      <c r="H80">
        <v>1622540032</v>
      </c>
      <c r="I80">
        <v>473028704</v>
      </c>
      <c r="J80">
        <v>0</v>
      </c>
      <c r="K80">
        <v>0</v>
      </c>
      <c r="L80">
        <v>0</v>
      </c>
      <c r="M80">
        <v>0</v>
      </c>
      <c r="N80">
        <v>0</v>
      </c>
      <c r="O80">
        <v>0</v>
      </c>
      <c r="P80">
        <v>0</v>
      </c>
      <c r="Q80">
        <v>0</v>
      </c>
      <c r="R80">
        <v>0</v>
      </c>
      <c r="S80">
        <v>0</v>
      </c>
      <c r="T80">
        <v>0</v>
      </c>
      <c r="U80">
        <v>0</v>
      </c>
      <c r="V80">
        <v>0</v>
      </c>
      <c r="W80">
        <v>0</v>
      </c>
    </row>
    <row r="81" spans="2:23">
      <c r="B81">
        <v>2018</v>
      </c>
      <c r="C81" t="str">
        <f t="shared" si="11"/>
        <v>BEV</v>
      </c>
      <c r="D81">
        <v>6</v>
      </c>
      <c r="E81">
        <v>0</v>
      </c>
      <c r="F81">
        <v>0</v>
      </c>
      <c r="G81">
        <v>0</v>
      </c>
      <c r="H81">
        <v>1284285</v>
      </c>
      <c r="I81">
        <v>1067053</v>
      </c>
      <c r="J81">
        <v>1012080</v>
      </c>
      <c r="K81">
        <v>251295</v>
      </c>
      <c r="L81">
        <v>0</v>
      </c>
      <c r="M81">
        <v>0</v>
      </c>
      <c r="N81">
        <v>0</v>
      </c>
      <c r="O81">
        <v>0</v>
      </c>
      <c r="P81">
        <v>22148</v>
      </c>
      <c r="Q81">
        <v>26577</v>
      </c>
      <c r="R81">
        <v>26577</v>
      </c>
      <c r="S81">
        <v>79732</v>
      </c>
      <c r="T81">
        <v>0</v>
      </c>
      <c r="U81">
        <v>0</v>
      </c>
      <c r="V81">
        <v>0</v>
      </c>
      <c r="W81">
        <v>0</v>
      </c>
    </row>
    <row r="82" spans="2:23">
      <c r="B82">
        <v>2018</v>
      </c>
      <c r="C82" t="str">
        <f t="shared" si="11"/>
        <v>PHEV diesel</v>
      </c>
      <c r="D82">
        <v>7</v>
      </c>
      <c r="E82">
        <v>0</v>
      </c>
      <c r="F82">
        <v>0</v>
      </c>
      <c r="G82">
        <v>0</v>
      </c>
      <c r="H82">
        <v>0</v>
      </c>
      <c r="I82">
        <v>0</v>
      </c>
      <c r="J82">
        <v>0</v>
      </c>
      <c r="K82">
        <v>0</v>
      </c>
      <c r="L82">
        <v>0</v>
      </c>
      <c r="M82">
        <v>0</v>
      </c>
      <c r="N82">
        <v>0</v>
      </c>
      <c r="O82">
        <v>0</v>
      </c>
      <c r="P82">
        <v>0</v>
      </c>
      <c r="Q82">
        <v>0</v>
      </c>
      <c r="R82">
        <v>0</v>
      </c>
      <c r="S82">
        <v>0</v>
      </c>
      <c r="T82">
        <v>0</v>
      </c>
      <c r="U82">
        <v>0</v>
      </c>
      <c r="V82">
        <v>0</v>
      </c>
      <c r="W82">
        <v>0</v>
      </c>
    </row>
    <row r="83" spans="2:23">
      <c r="B83">
        <v>2018</v>
      </c>
      <c r="C83" t="str">
        <f t="shared" si="11"/>
        <v>PHEV gasoline</v>
      </c>
      <c r="D83">
        <v>8</v>
      </c>
      <c r="E83">
        <v>0</v>
      </c>
      <c r="F83">
        <v>0</v>
      </c>
      <c r="G83">
        <v>0</v>
      </c>
      <c r="H83">
        <v>0</v>
      </c>
      <c r="I83">
        <v>0</v>
      </c>
      <c r="J83">
        <v>0</v>
      </c>
      <c r="K83">
        <v>0</v>
      </c>
      <c r="L83">
        <v>0</v>
      </c>
      <c r="M83">
        <v>0</v>
      </c>
      <c r="N83">
        <v>0</v>
      </c>
      <c r="O83">
        <v>0</v>
      </c>
      <c r="P83">
        <v>0</v>
      </c>
      <c r="Q83">
        <v>0</v>
      </c>
      <c r="R83">
        <v>0</v>
      </c>
      <c r="S83">
        <v>0</v>
      </c>
      <c r="T83">
        <v>0</v>
      </c>
      <c r="U83">
        <v>0</v>
      </c>
      <c r="V83">
        <v>0</v>
      </c>
      <c r="W83">
        <v>0</v>
      </c>
    </row>
    <row r="84" spans="2:23">
      <c r="B84">
        <v>2018</v>
      </c>
      <c r="C84" t="str">
        <f t="shared" si="11"/>
        <v>Fuel cell</v>
      </c>
      <c r="D84">
        <v>9</v>
      </c>
      <c r="E84">
        <v>0</v>
      </c>
      <c r="F84">
        <v>0</v>
      </c>
      <c r="G84">
        <v>0</v>
      </c>
      <c r="H84">
        <v>0</v>
      </c>
      <c r="I84">
        <v>0</v>
      </c>
      <c r="J84">
        <v>0</v>
      </c>
      <c r="K84">
        <v>0</v>
      </c>
      <c r="L84">
        <v>0</v>
      </c>
      <c r="M84">
        <v>0</v>
      </c>
      <c r="N84">
        <v>0</v>
      </c>
      <c r="O84">
        <v>0</v>
      </c>
      <c r="P84">
        <v>0</v>
      </c>
      <c r="Q84">
        <v>0</v>
      </c>
      <c r="R84">
        <v>0</v>
      </c>
      <c r="S84">
        <v>0</v>
      </c>
      <c r="T84">
        <v>0</v>
      </c>
      <c r="U84">
        <v>0</v>
      </c>
      <c r="V84">
        <v>0</v>
      </c>
      <c r="W84">
        <v>0</v>
      </c>
    </row>
    <row r="85" spans="2:23">
      <c r="B85">
        <v>2019</v>
      </c>
      <c r="C85" t="str">
        <f t="shared" si="11"/>
        <v>Diesel</v>
      </c>
      <c r="D85">
        <v>1</v>
      </c>
      <c r="E85">
        <v>34442088448</v>
      </c>
      <c r="F85">
        <v>80374744</v>
      </c>
      <c r="G85">
        <v>44970164224</v>
      </c>
      <c r="H85">
        <v>2173359104</v>
      </c>
      <c r="I85">
        <v>6967507968</v>
      </c>
      <c r="J85">
        <v>15091208192</v>
      </c>
      <c r="K85">
        <v>16094333952</v>
      </c>
      <c r="L85">
        <v>13942651904</v>
      </c>
      <c r="M85">
        <v>1648101248</v>
      </c>
      <c r="N85">
        <v>1648101248</v>
      </c>
      <c r="O85">
        <v>4944304640</v>
      </c>
      <c r="P85">
        <v>25693448192</v>
      </c>
      <c r="Q85">
        <v>11665829888</v>
      </c>
      <c r="R85">
        <v>11665829888</v>
      </c>
      <c r="S85">
        <v>35125694464</v>
      </c>
      <c r="T85">
        <v>13973356544</v>
      </c>
      <c r="U85">
        <v>13973356544</v>
      </c>
      <c r="V85">
        <v>41791873024</v>
      </c>
      <c r="W85">
        <v>6500376</v>
      </c>
    </row>
    <row r="86" spans="2:23">
      <c r="B86">
        <v>2019</v>
      </c>
      <c r="C86" t="str">
        <f t="shared" si="11"/>
        <v>Gasoline</v>
      </c>
      <c r="D86">
        <v>2</v>
      </c>
      <c r="E86">
        <v>40873254912</v>
      </c>
      <c r="F86">
        <v>1616158976</v>
      </c>
      <c r="G86">
        <v>8078728192</v>
      </c>
      <c r="H86">
        <v>4712576512</v>
      </c>
      <c r="I86">
        <v>9558893568</v>
      </c>
      <c r="J86">
        <v>4451668480</v>
      </c>
      <c r="K86">
        <v>5003247616</v>
      </c>
      <c r="L86">
        <v>195892096</v>
      </c>
      <c r="M86">
        <v>0</v>
      </c>
      <c r="N86">
        <v>0</v>
      </c>
      <c r="O86">
        <v>0</v>
      </c>
      <c r="P86">
        <v>14536650</v>
      </c>
      <c r="Q86">
        <v>0</v>
      </c>
      <c r="R86">
        <v>0</v>
      </c>
      <c r="S86">
        <v>0</v>
      </c>
      <c r="T86">
        <v>0</v>
      </c>
      <c r="U86">
        <v>0</v>
      </c>
      <c r="V86">
        <v>0</v>
      </c>
      <c r="W86">
        <v>0</v>
      </c>
    </row>
    <row r="87" spans="2:23">
      <c r="B87">
        <v>2019</v>
      </c>
      <c r="C87" t="str">
        <f t="shared" si="11"/>
        <v>LPG</v>
      </c>
      <c r="D87">
        <v>3</v>
      </c>
      <c r="E87">
        <v>97511</v>
      </c>
      <c r="F87">
        <v>0</v>
      </c>
      <c r="G87">
        <v>1012323</v>
      </c>
      <c r="H87">
        <v>0</v>
      </c>
      <c r="I87">
        <v>5407472</v>
      </c>
      <c r="J87">
        <v>18948460</v>
      </c>
      <c r="K87">
        <v>17721782</v>
      </c>
      <c r="L87">
        <v>25093482</v>
      </c>
      <c r="M87">
        <v>0</v>
      </c>
      <c r="N87">
        <v>0</v>
      </c>
      <c r="O87">
        <v>0</v>
      </c>
      <c r="P87">
        <v>139982</v>
      </c>
      <c r="Q87">
        <v>0</v>
      </c>
      <c r="R87">
        <v>0</v>
      </c>
      <c r="S87">
        <v>0</v>
      </c>
      <c r="T87">
        <v>0</v>
      </c>
      <c r="U87">
        <v>0</v>
      </c>
      <c r="V87">
        <v>0</v>
      </c>
      <c r="W87">
        <v>0</v>
      </c>
    </row>
    <row r="88" spans="2:23">
      <c r="B88">
        <v>2019</v>
      </c>
      <c r="C88" t="str">
        <f t="shared" si="11"/>
        <v>CNG</v>
      </c>
      <c r="D88">
        <v>4</v>
      </c>
      <c r="E88">
        <v>94042832</v>
      </c>
      <c r="F88">
        <v>978979</v>
      </c>
      <c r="G88">
        <v>1322314</v>
      </c>
      <c r="H88">
        <v>16894024</v>
      </c>
      <c r="I88">
        <v>21718650</v>
      </c>
      <c r="J88">
        <v>705719</v>
      </c>
      <c r="K88">
        <v>13523449</v>
      </c>
      <c r="L88">
        <v>39026000</v>
      </c>
      <c r="M88">
        <v>5323211</v>
      </c>
      <c r="N88">
        <v>5323211</v>
      </c>
      <c r="O88">
        <v>15969634</v>
      </c>
      <c r="P88">
        <v>1024812032</v>
      </c>
      <c r="Q88">
        <v>77649360</v>
      </c>
      <c r="R88">
        <v>77649360</v>
      </c>
      <c r="S88">
        <v>233801376</v>
      </c>
      <c r="T88">
        <v>93008592</v>
      </c>
      <c r="U88">
        <v>93008592</v>
      </c>
      <c r="V88">
        <v>278172480</v>
      </c>
      <c r="W88">
        <v>0</v>
      </c>
    </row>
    <row r="89" spans="2:23">
      <c r="B89">
        <v>2019</v>
      </c>
      <c r="C89" t="str">
        <f t="shared" si="11"/>
        <v>Flex</v>
      </c>
      <c r="D89">
        <v>5</v>
      </c>
      <c r="E89">
        <v>15781909504</v>
      </c>
      <c r="F89">
        <v>683440704</v>
      </c>
      <c r="G89">
        <v>2395916544</v>
      </c>
      <c r="H89">
        <v>1681821440</v>
      </c>
      <c r="I89">
        <v>506052704</v>
      </c>
      <c r="J89">
        <v>0</v>
      </c>
      <c r="K89">
        <v>0</v>
      </c>
      <c r="L89">
        <v>0</v>
      </c>
      <c r="M89">
        <v>0</v>
      </c>
      <c r="N89">
        <v>0</v>
      </c>
      <c r="O89">
        <v>0</v>
      </c>
      <c r="P89">
        <v>0</v>
      </c>
      <c r="Q89">
        <v>0</v>
      </c>
      <c r="R89">
        <v>0</v>
      </c>
      <c r="S89">
        <v>0</v>
      </c>
      <c r="T89">
        <v>0</v>
      </c>
      <c r="U89">
        <v>0</v>
      </c>
      <c r="V89">
        <v>0</v>
      </c>
      <c r="W89">
        <v>0</v>
      </c>
    </row>
    <row r="90" spans="2:23">
      <c r="B90">
        <v>2019</v>
      </c>
      <c r="C90" t="str">
        <f t="shared" si="11"/>
        <v>BEV</v>
      </c>
      <c r="D90">
        <v>6</v>
      </c>
      <c r="E90">
        <v>0</v>
      </c>
      <c r="F90">
        <v>0</v>
      </c>
      <c r="G90">
        <v>0</v>
      </c>
      <c r="H90">
        <v>1081127</v>
      </c>
      <c r="I90">
        <v>984846</v>
      </c>
      <c r="J90">
        <v>936411</v>
      </c>
      <c r="K90">
        <v>222334</v>
      </c>
      <c r="L90">
        <v>0</v>
      </c>
      <c r="M90">
        <v>0</v>
      </c>
      <c r="N90">
        <v>0</v>
      </c>
      <c r="O90">
        <v>0</v>
      </c>
      <c r="P90">
        <v>20567</v>
      </c>
      <c r="Q90">
        <v>62975</v>
      </c>
      <c r="R90">
        <v>62975</v>
      </c>
      <c r="S90">
        <v>188924</v>
      </c>
      <c r="T90">
        <v>0</v>
      </c>
      <c r="U90">
        <v>0</v>
      </c>
      <c r="V90">
        <v>0</v>
      </c>
      <c r="W90">
        <v>0</v>
      </c>
    </row>
    <row r="91" spans="2:23">
      <c r="B91">
        <v>2019</v>
      </c>
      <c r="C91" t="str">
        <f t="shared" si="11"/>
        <v>PHEV diesel</v>
      </c>
      <c r="D91">
        <v>7</v>
      </c>
      <c r="E91">
        <v>0</v>
      </c>
      <c r="F91">
        <v>0</v>
      </c>
      <c r="G91">
        <v>0</v>
      </c>
      <c r="H91">
        <v>0</v>
      </c>
      <c r="I91">
        <v>0</v>
      </c>
      <c r="J91">
        <v>0</v>
      </c>
      <c r="K91">
        <v>0</v>
      </c>
      <c r="L91">
        <v>0</v>
      </c>
      <c r="M91">
        <v>0</v>
      </c>
      <c r="N91">
        <v>0</v>
      </c>
      <c r="O91">
        <v>0</v>
      </c>
      <c r="P91">
        <v>0</v>
      </c>
      <c r="Q91">
        <v>0</v>
      </c>
      <c r="R91">
        <v>0</v>
      </c>
      <c r="S91">
        <v>0</v>
      </c>
      <c r="T91">
        <v>0</v>
      </c>
      <c r="U91">
        <v>0</v>
      </c>
      <c r="V91">
        <v>0</v>
      </c>
      <c r="W91">
        <v>0</v>
      </c>
    </row>
    <row r="92" spans="2:23">
      <c r="B92">
        <v>2019</v>
      </c>
      <c r="C92" t="str">
        <f t="shared" si="11"/>
        <v>PHEV gasoline</v>
      </c>
      <c r="D92">
        <v>8</v>
      </c>
      <c r="E92">
        <v>0</v>
      </c>
      <c r="F92">
        <v>0</v>
      </c>
      <c r="G92">
        <v>0</v>
      </c>
      <c r="H92">
        <v>0</v>
      </c>
      <c r="I92">
        <v>0</v>
      </c>
      <c r="J92">
        <v>0</v>
      </c>
      <c r="K92">
        <v>0</v>
      </c>
      <c r="L92">
        <v>0</v>
      </c>
      <c r="M92">
        <v>0</v>
      </c>
      <c r="N92">
        <v>0</v>
      </c>
      <c r="O92">
        <v>0</v>
      </c>
      <c r="P92">
        <v>0</v>
      </c>
      <c r="Q92">
        <v>0</v>
      </c>
      <c r="R92">
        <v>0</v>
      </c>
      <c r="S92">
        <v>0</v>
      </c>
      <c r="T92">
        <v>0</v>
      </c>
      <c r="U92">
        <v>0</v>
      </c>
      <c r="V92">
        <v>0</v>
      </c>
      <c r="W92">
        <v>0</v>
      </c>
    </row>
    <row r="93" spans="2:23">
      <c r="B93">
        <v>2019</v>
      </c>
      <c r="C93" t="str">
        <f t="shared" si="11"/>
        <v>Fuel cell</v>
      </c>
      <c r="D93">
        <v>9</v>
      </c>
      <c r="E93">
        <v>0</v>
      </c>
      <c r="F93">
        <v>0</v>
      </c>
      <c r="G93">
        <v>0</v>
      </c>
      <c r="H93">
        <v>0</v>
      </c>
      <c r="I93">
        <v>0</v>
      </c>
      <c r="J93">
        <v>0</v>
      </c>
      <c r="K93">
        <v>0</v>
      </c>
      <c r="L93">
        <v>0</v>
      </c>
      <c r="M93">
        <v>0</v>
      </c>
      <c r="N93">
        <v>0</v>
      </c>
      <c r="O93">
        <v>0</v>
      </c>
      <c r="P93">
        <v>0</v>
      </c>
      <c r="Q93">
        <v>0</v>
      </c>
      <c r="R93">
        <v>0</v>
      </c>
      <c r="S93">
        <v>0</v>
      </c>
      <c r="T93">
        <v>0</v>
      </c>
      <c r="U93">
        <v>0</v>
      </c>
      <c r="V93">
        <v>0</v>
      </c>
      <c r="W93">
        <v>0</v>
      </c>
    </row>
    <row r="94" spans="2:23">
      <c r="B94">
        <v>2020</v>
      </c>
      <c r="C94" t="str">
        <f t="shared" si="11"/>
        <v>Diesel</v>
      </c>
      <c r="D94">
        <v>1</v>
      </c>
      <c r="E94">
        <v>34851266560</v>
      </c>
      <c r="F94">
        <v>81329632</v>
      </c>
      <c r="G94">
        <v>47058284544</v>
      </c>
      <c r="H94">
        <v>2043767168</v>
      </c>
      <c r="I94">
        <v>6492731392</v>
      </c>
      <c r="J94">
        <v>15338158080</v>
      </c>
      <c r="K94">
        <v>15944170496</v>
      </c>
      <c r="L94">
        <v>13410359296</v>
      </c>
      <c r="M94">
        <v>1570881152</v>
      </c>
      <c r="N94">
        <v>1570881152</v>
      </c>
      <c r="O94">
        <v>4712643072</v>
      </c>
      <c r="P94">
        <v>25961977856</v>
      </c>
      <c r="Q94">
        <v>11814890496</v>
      </c>
      <c r="R94">
        <v>11814890496</v>
      </c>
      <c r="S94">
        <v>35574513664</v>
      </c>
      <c r="T94">
        <v>14151905280</v>
      </c>
      <c r="U94">
        <v>14151905280</v>
      </c>
      <c r="V94">
        <v>42325876736</v>
      </c>
      <c r="W94">
        <v>5911418</v>
      </c>
    </row>
    <row r="95" spans="2:23">
      <c r="B95">
        <v>2020</v>
      </c>
      <c r="C95" t="str">
        <f t="shared" si="11"/>
        <v>Gasoline</v>
      </c>
      <c r="D95">
        <v>2</v>
      </c>
      <c r="E95">
        <v>39289163776</v>
      </c>
      <c r="F95">
        <v>1553522560</v>
      </c>
      <c r="G95">
        <v>9295748096</v>
      </c>
      <c r="H95">
        <v>4260358400</v>
      </c>
      <c r="I95">
        <v>9061608448</v>
      </c>
      <c r="J95">
        <v>4607111168</v>
      </c>
      <c r="K95">
        <v>4515621376</v>
      </c>
      <c r="L95">
        <v>170293712</v>
      </c>
      <c r="M95">
        <v>0</v>
      </c>
      <c r="N95">
        <v>0</v>
      </c>
      <c r="O95">
        <v>0</v>
      </c>
      <c r="P95">
        <v>9843962</v>
      </c>
      <c r="Q95">
        <v>0</v>
      </c>
      <c r="R95">
        <v>0</v>
      </c>
      <c r="S95">
        <v>0</v>
      </c>
      <c r="T95">
        <v>0</v>
      </c>
      <c r="U95">
        <v>0</v>
      </c>
      <c r="V95">
        <v>0</v>
      </c>
      <c r="W95">
        <v>0</v>
      </c>
    </row>
    <row r="96" spans="2:23">
      <c r="B96">
        <v>2020</v>
      </c>
      <c r="C96" t="str">
        <f t="shared" ref="C96:C159" si="12">C87</f>
        <v>LPG</v>
      </c>
      <c r="D96">
        <v>3</v>
      </c>
      <c r="E96">
        <v>92890</v>
      </c>
      <c r="F96">
        <v>0</v>
      </c>
      <c r="G96">
        <v>853245</v>
      </c>
      <c r="H96">
        <v>0</v>
      </c>
      <c r="I96">
        <v>5028304</v>
      </c>
      <c r="J96">
        <v>16930702</v>
      </c>
      <c r="K96">
        <v>12954500</v>
      </c>
      <c r="L96">
        <v>24194224</v>
      </c>
      <c r="M96">
        <v>0</v>
      </c>
      <c r="N96">
        <v>0</v>
      </c>
      <c r="O96">
        <v>0</v>
      </c>
      <c r="P96">
        <v>96788</v>
      </c>
      <c r="Q96">
        <v>0</v>
      </c>
      <c r="R96">
        <v>0</v>
      </c>
      <c r="S96">
        <v>0</v>
      </c>
      <c r="T96">
        <v>0</v>
      </c>
      <c r="U96">
        <v>0</v>
      </c>
      <c r="V96">
        <v>0</v>
      </c>
      <c r="W96">
        <v>0</v>
      </c>
    </row>
    <row r="97" spans="2:23">
      <c r="B97">
        <v>2020</v>
      </c>
      <c r="C97" t="str">
        <f t="shared" si="12"/>
        <v>CNG</v>
      </c>
      <c r="D97">
        <v>4</v>
      </c>
      <c r="E97">
        <v>98911888</v>
      </c>
      <c r="F97">
        <v>1575577</v>
      </c>
      <c r="G97">
        <v>1229138</v>
      </c>
      <c r="H97">
        <v>16162799</v>
      </c>
      <c r="I97">
        <v>22656504</v>
      </c>
      <c r="J97">
        <v>609147</v>
      </c>
      <c r="K97">
        <v>15287918</v>
      </c>
      <c r="L97">
        <v>39100440</v>
      </c>
      <c r="M97">
        <v>4482212</v>
      </c>
      <c r="N97">
        <v>4482212</v>
      </c>
      <c r="O97">
        <v>13446637</v>
      </c>
      <c r="P97">
        <v>1038425600</v>
      </c>
      <c r="Q97">
        <v>73148648</v>
      </c>
      <c r="R97">
        <v>73148648</v>
      </c>
      <c r="S97">
        <v>220249776</v>
      </c>
      <c r="T97">
        <v>87617616</v>
      </c>
      <c r="U97">
        <v>87617616</v>
      </c>
      <c r="V97">
        <v>262049040</v>
      </c>
      <c r="W97">
        <v>0</v>
      </c>
    </row>
    <row r="98" spans="2:23">
      <c r="B98">
        <v>2020</v>
      </c>
      <c r="C98" t="str">
        <f t="shared" si="12"/>
        <v>Flex</v>
      </c>
      <c r="D98">
        <v>5</v>
      </c>
      <c r="E98">
        <v>17393020928</v>
      </c>
      <c r="F98">
        <v>1144318464</v>
      </c>
      <c r="G98">
        <v>2029934720</v>
      </c>
      <c r="H98">
        <v>1685456384</v>
      </c>
      <c r="I98">
        <v>530120736</v>
      </c>
      <c r="J98">
        <v>0</v>
      </c>
      <c r="K98">
        <v>0</v>
      </c>
      <c r="L98">
        <v>0</v>
      </c>
      <c r="M98">
        <v>0</v>
      </c>
      <c r="N98">
        <v>0</v>
      </c>
      <c r="O98">
        <v>0</v>
      </c>
      <c r="P98">
        <v>0</v>
      </c>
      <c r="Q98">
        <v>0</v>
      </c>
      <c r="R98">
        <v>0</v>
      </c>
      <c r="S98">
        <v>0</v>
      </c>
      <c r="T98">
        <v>0</v>
      </c>
      <c r="U98">
        <v>0</v>
      </c>
      <c r="V98">
        <v>0</v>
      </c>
      <c r="W98">
        <v>0</v>
      </c>
    </row>
    <row r="99" spans="2:23">
      <c r="B99">
        <v>2020</v>
      </c>
      <c r="C99" t="str">
        <f t="shared" si="12"/>
        <v>BEV</v>
      </c>
      <c r="D99">
        <v>6</v>
      </c>
      <c r="E99">
        <v>0</v>
      </c>
      <c r="F99">
        <v>0</v>
      </c>
      <c r="G99">
        <v>0</v>
      </c>
      <c r="H99">
        <v>934934</v>
      </c>
      <c r="I99">
        <v>888665</v>
      </c>
      <c r="J99">
        <v>814544</v>
      </c>
      <c r="K99">
        <v>524350</v>
      </c>
      <c r="L99">
        <v>0</v>
      </c>
      <c r="M99">
        <v>0</v>
      </c>
      <c r="N99">
        <v>0</v>
      </c>
      <c r="O99">
        <v>0</v>
      </c>
      <c r="P99">
        <v>19650</v>
      </c>
      <c r="Q99">
        <v>488195</v>
      </c>
      <c r="R99">
        <v>488195</v>
      </c>
      <c r="S99">
        <v>1464586</v>
      </c>
      <c r="T99">
        <v>0</v>
      </c>
      <c r="U99">
        <v>0</v>
      </c>
      <c r="V99">
        <v>0</v>
      </c>
      <c r="W99">
        <v>0</v>
      </c>
    </row>
    <row r="100" spans="2:23">
      <c r="B100">
        <v>2020</v>
      </c>
      <c r="C100" t="str">
        <f t="shared" si="12"/>
        <v>PHEV diesel</v>
      </c>
      <c r="D100">
        <v>7</v>
      </c>
      <c r="E100">
        <v>0</v>
      </c>
      <c r="F100">
        <v>0</v>
      </c>
      <c r="G100">
        <v>0</v>
      </c>
      <c r="H100">
        <v>0</v>
      </c>
      <c r="I100">
        <v>0</v>
      </c>
      <c r="J100">
        <v>0</v>
      </c>
      <c r="K100">
        <v>0</v>
      </c>
      <c r="L100">
        <v>0</v>
      </c>
      <c r="M100">
        <v>0</v>
      </c>
      <c r="N100">
        <v>0</v>
      </c>
      <c r="O100">
        <v>0</v>
      </c>
      <c r="P100">
        <v>0</v>
      </c>
      <c r="Q100">
        <v>0</v>
      </c>
      <c r="R100">
        <v>0</v>
      </c>
      <c r="S100">
        <v>0</v>
      </c>
      <c r="T100">
        <v>0</v>
      </c>
      <c r="U100">
        <v>0</v>
      </c>
      <c r="V100">
        <v>0</v>
      </c>
      <c r="W100">
        <v>0</v>
      </c>
    </row>
    <row r="101" spans="2:23">
      <c r="B101">
        <v>2020</v>
      </c>
      <c r="C101" t="str">
        <f t="shared" si="12"/>
        <v>PHEV gasoline</v>
      </c>
      <c r="D101">
        <v>8</v>
      </c>
      <c r="E101">
        <v>0</v>
      </c>
      <c r="F101">
        <v>0</v>
      </c>
      <c r="G101">
        <v>0</v>
      </c>
      <c r="H101">
        <v>0</v>
      </c>
      <c r="I101">
        <v>0</v>
      </c>
      <c r="J101">
        <v>0</v>
      </c>
      <c r="K101">
        <v>0</v>
      </c>
      <c r="L101">
        <v>0</v>
      </c>
      <c r="M101">
        <v>0</v>
      </c>
      <c r="N101">
        <v>0</v>
      </c>
      <c r="O101">
        <v>0</v>
      </c>
      <c r="P101">
        <v>0</v>
      </c>
      <c r="Q101">
        <v>0</v>
      </c>
      <c r="R101">
        <v>0</v>
      </c>
      <c r="S101">
        <v>0</v>
      </c>
      <c r="T101">
        <v>0</v>
      </c>
      <c r="U101">
        <v>0</v>
      </c>
      <c r="V101">
        <v>0</v>
      </c>
      <c r="W101">
        <v>0</v>
      </c>
    </row>
    <row r="102" spans="2:23">
      <c r="B102">
        <v>2020</v>
      </c>
      <c r="C102" t="str">
        <f t="shared" si="12"/>
        <v>Fuel cell</v>
      </c>
      <c r="D102">
        <v>9</v>
      </c>
      <c r="E102">
        <v>0</v>
      </c>
      <c r="F102">
        <v>0</v>
      </c>
      <c r="G102">
        <v>0</v>
      </c>
      <c r="H102">
        <v>0</v>
      </c>
      <c r="I102">
        <v>0</v>
      </c>
      <c r="J102">
        <v>0</v>
      </c>
      <c r="K102">
        <v>0</v>
      </c>
      <c r="L102">
        <v>0</v>
      </c>
      <c r="M102">
        <v>0</v>
      </c>
      <c r="N102">
        <v>0</v>
      </c>
      <c r="O102">
        <v>0</v>
      </c>
      <c r="P102">
        <v>0</v>
      </c>
      <c r="Q102">
        <v>0</v>
      </c>
      <c r="R102">
        <v>0</v>
      </c>
      <c r="S102">
        <v>0</v>
      </c>
      <c r="T102">
        <v>0</v>
      </c>
      <c r="U102">
        <v>0</v>
      </c>
      <c r="V102">
        <v>0</v>
      </c>
      <c r="W102">
        <v>0</v>
      </c>
    </row>
    <row r="103" spans="2:23">
      <c r="B103">
        <v>2021</v>
      </c>
      <c r="C103" t="str">
        <f t="shared" si="12"/>
        <v>Diesel</v>
      </c>
      <c r="D103">
        <v>1</v>
      </c>
      <c r="E103">
        <v>32238739456</v>
      </c>
      <c r="F103">
        <v>75232960</v>
      </c>
      <c r="G103">
        <v>52150374400</v>
      </c>
      <c r="H103">
        <v>2080253824</v>
      </c>
      <c r="I103">
        <v>6390637056</v>
      </c>
      <c r="J103">
        <v>16102382592</v>
      </c>
      <c r="K103">
        <v>16363424768</v>
      </c>
      <c r="L103">
        <v>13426401280</v>
      </c>
      <c r="M103">
        <v>1565301632</v>
      </c>
      <c r="N103">
        <v>1565301632</v>
      </c>
      <c r="O103">
        <v>4695905792</v>
      </c>
      <c r="P103">
        <v>26896879616</v>
      </c>
      <c r="Q103">
        <v>12070248448</v>
      </c>
      <c r="R103">
        <v>12070248448</v>
      </c>
      <c r="S103">
        <v>36343386112</v>
      </c>
      <c r="T103">
        <v>14457768960</v>
      </c>
      <c r="U103">
        <v>14457768960</v>
      </c>
      <c r="V103">
        <v>43240660992</v>
      </c>
      <c r="W103">
        <v>7145296</v>
      </c>
    </row>
    <row r="104" spans="2:23">
      <c r="B104">
        <v>2021</v>
      </c>
      <c r="C104" t="str">
        <f t="shared" si="12"/>
        <v>Gasoline</v>
      </c>
      <c r="D104">
        <v>2</v>
      </c>
      <c r="E104">
        <v>43038691328</v>
      </c>
      <c r="F104">
        <v>1701781376</v>
      </c>
      <c r="G104">
        <v>11048523776</v>
      </c>
      <c r="H104">
        <v>4460374528</v>
      </c>
      <c r="I104">
        <v>9569554432</v>
      </c>
      <c r="J104">
        <v>5042509824</v>
      </c>
      <c r="K104">
        <v>4697854976</v>
      </c>
      <c r="L104">
        <v>167784128</v>
      </c>
      <c r="M104">
        <v>0</v>
      </c>
      <c r="N104">
        <v>0</v>
      </c>
      <c r="O104">
        <v>0</v>
      </c>
      <c r="P104">
        <v>9417769</v>
      </c>
      <c r="Q104">
        <v>0</v>
      </c>
      <c r="R104">
        <v>0</v>
      </c>
      <c r="S104">
        <v>0</v>
      </c>
      <c r="T104">
        <v>0</v>
      </c>
      <c r="U104">
        <v>0</v>
      </c>
      <c r="V104">
        <v>0</v>
      </c>
      <c r="W104">
        <v>0</v>
      </c>
    </row>
    <row r="105" spans="2:23">
      <c r="B105">
        <v>2021</v>
      </c>
      <c r="C105" t="str">
        <f t="shared" si="12"/>
        <v>LPG</v>
      </c>
      <c r="D105">
        <v>3</v>
      </c>
      <c r="E105">
        <v>79782</v>
      </c>
      <c r="F105">
        <v>0</v>
      </c>
      <c r="G105">
        <v>742892</v>
      </c>
      <c r="H105">
        <v>0</v>
      </c>
      <c r="I105">
        <v>4995683</v>
      </c>
      <c r="J105">
        <v>16194531</v>
      </c>
      <c r="K105">
        <v>12143141</v>
      </c>
      <c r="L105">
        <v>24276760</v>
      </c>
      <c r="M105">
        <v>0</v>
      </c>
      <c r="N105">
        <v>0</v>
      </c>
      <c r="O105">
        <v>0</v>
      </c>
      <c r="P105">
        <v>82051</v>
      </c>
      <c r="Q105">
        <v>0</v>
      </c>
      <c r="R105">
        <v>0</v>
      </c>
      <c r="S105">
        <v>0</v>
      </c>
      <c r="T105">
        <v>0</v>
      </c>
      <c r="U105">
        <v>0</v>
      </c>
      <c r="V105">
        <v>0</v>
      </c>
      <c r="W105">
        <v>0</v>
      </c>
    </row>
    <row r="106" spans="2:23">
      <c r="B106">
        <v>2021</v>
      </c>
      <c r="C106" t="str">
        <f t="shared" si="12"/>
        <v>CNG</v>
      </c>
      <c r="D106">
        <v>4</v>
      </c>
      <c r="E106">
        <v>78615176</v>
      </c>
      <c r="F106">
        <v>1414700</v>
      </c>
      <c r="G106">
        <v>1134208</v>
      </c>
      <c r="H106">
        <v>15425993</v>
      </c>
      <c r="I106">
        <v>24158724</v>
      </c>
      <c r="J106">
        <v>458950</v>
      </c>
      <c r="K106">
        <v>16805420</v>
      </c>
      <c r="L106">
        <v>42531352</v>
      </c>
      <c r="M106">
        <v>4021149</v>
      </c>
      <c r="N106">
        <v>4021149</v>
      </c>
      <c r="O106">
        <v>12063446</v>
      </c>
      <c r="P106">
        <v>1065610944</v>
      </c>
      <c r="Q106">
        <v>81050032</v>
      </c>
      <c r="R106">
        <v>81050032</v>
      </c>
      <c r="S106">
        <v>244040752</v>
      </c>
      <c r="T106">
        <v>97081912</v>
      </c>
      <c r="U106">
        <v>97081912</v>
      </c>
      <c r="V106">
        <v>290355136</v>
      </c>
      <c r="W106">
        <v>0</v>
      </c>
    </row>
    <row r="107" spans="2:23">
      <c r="B107">
        <v>2021</v>
      </c>
      <c r="C107" t="str">
        <f t="shared" si="12"/>
        <v>Flex</v>
      </c>
      <c r="D107">
        <v>5</v>
      </c>
      <c r="E107">
        <v>11495132160</v>
      </c>
      <c r="F107">
        <v>737360320</v>
      </c>
      <c r="G107">
        <v>2014102400</v>
      </c>
      <c r="H107">
        <v>1719409024</v>
      </c>
      <c r="I107">
        <v>529787104</v>
      </c>
      <c r="J107">
        <v>0</v>
      </c>
      <c r="K107">
        <v>18802</v>
      </c>
      <c r="L107">
        <v>0</v>
      </c>
      <c r="M107">
        <v>0</v>
      </c>
      <c r="N107">
        <v>0</v>
      </c>
      <c r="O107">
        <v>0</v>
      </c>
      <c r="P107">
        <v>0</v>
      </c>
      <c r="Q107">
        <v>0</v>
      </c>
      <c r="R107">
        <v>0</v>
      </c>
      <c r="S107">
        <v>0</v>
      </c>
      <c r="T107">
        <v>0</v>
      </c>
      <c r="U107">
        <v>0</v>
      </c>
      <c r="V107">
        <v>0</v>
      </c>
      <c r="W107">
        <v>0</v>
      </c>
    </row>
    <row r="108" spans="2:23">
      <c r="B108">
        <v>2021</v>
      </c>
      <c r="C108" t="str">
        <f t="shared" si="12"/>
        <v>BEV</v>
      </c>
      <c r="D108">
        <v>6</v>
      </c>
      <c r="E108">
        <v>0</v>
      </c>
      <c r="F108">
        <v>0</v>
      </c>
      <c r="G108">
        <v>0</v>
      </c>
      <c r="H108">
        <v>868483</v>
      </c>
      <c r="I108">
        <v>1245019</v>
      </c>
      <c r="J108">
        <v>761304</v>
      </c>
      <c r="K108">
        <v>1534460</v>
      </c>
      <c r="L108">
        <v>0</v>
      </c>
      <c r="M108">
        <v>12559</v>
      </c>
      <c r="N108">
        <v>12559</v>
      </c>
      <c r="O108">
        <v>37678</v>
      </c>
      <c r="P108">
        <v>51672</v>
      </c>
      <c r="Q108">
        <v>647300</v>
      </c>
      <c r="R108">
        <v>647300</v>
      </c>
      <c r="S108">
        <v>1941899</v>
      </c>
      <c r="T108">
        <v>0</v>
      </c>
      <c r="U108">
        <v>0</v>
      </c>
      <c r="V108">
        <v>0</v>
      </c>
      <c r="W108">
        <v>0</v>
      </c>
    </row>
    <row r="109" spans="2:23">
      <c r="B109">
        <v>2021</v>
      </c>
      <c r="C109" t="str">
        <f t="shared" si="12"/>
        <v>PHEV diesel</v>
      </c>
      <c r="D109">
        <v>7</v>
      </c>
      <c r="E109">
        <v>0</v>
      </c>
      <c r="F109">
        <v>0</v>
      </c>
      <c r="G109">
        <v>0</v>
      </c>
      <c r="H109">
        <v>0</v>
      </c>
      <c r="I109">
        <v>0</v>
      </c>
      <c r="J109">
        <v>0</v>
      </c>
      <c r="K109">
        <v>0</v>
      </c>
      <c r="L109">
        <v>0</v>
      </c>
      <c r="M109">
        <v>0</v>
      </c>
      <c r="N109">
        <v>0</v>
      </c>
      <c r="O109">
        <v>0</v>
      </c>
      <c r="P109">
        <v>0</v>
      </c>
      <c r="Q109">
        <v>0</v>
      </c>
      <c r="R109">
        <v>0</v>
      </c>
      <c r="S109">
        <v>0</v>
      </c>
      <c r="T109">
        <v>0</v>
      </c>
      <c r="U109">
        <v>0</v>
      </c>
      <c r="V109">
        <v>0</v>
      </c>
      <c r="W109">
        <v>0</v>
      </c>
    </row>
    <row r="110" spans="2:23">
      <c r="B110">
        <v>2021</v>
      </c>
      <c r="C110" t="str">
        <f t="shared" si="12"/>
        <v>PHEV gasoline</v>
      </c>
      <c r="D110">
        <v>8</v>
      </c>
      <c r="E110">
        <v>0</v>
      </c>
      <c r="F110">
        <v>0</v>
      </c>
      <c r="G110">
        <v>0</v>
      </c>
      <c r="H110">
        <v>0</v>
      </c>
      <c r="I110">
        <v>0</v>
      </c>
      <c r="J110">
        <v>0</v>
      </c>
      <c r="K110">
        <v>0</v>
      </c>
      <c r="L110">
        <v>0</v>
      </c>
      <c r="M110">
        <v>0</v>
      </c>
      <c r="N110">
        <v>0</v>
      </c>
      <c r="O110">
        <v>0</v>
      </c>
      <c r="P110">
        <v>0</v>
      </c>
      <c r="Q110">
        <v>0</v>
      </c>
      <c r="R110">
        <v>0</v>
      </c>
      <c r="S110">
        <v>0</v>
      </c>
      <c r="T110">
        <v>0</v>
      </c>
      <c r="U110">
        <v>0</v>
      </c>
      <c r="V110">
        <v>0</v>
      </c>
      <c r="W110">
        <v>0</v>
      </c>
    </row>
    <row r="111" spans="2:23">
      <c r="B111">
        <v>2021</v>
      </c>
      <c r="C111" t="str">
        <f t="shared" si="12"/>
        <v>Fuel cell</v>
      </c>
      <c r="D111">
        <v>9</v>
      </c>
      <c r="E111">
        <v>0</v>
      </c>
      <c r="F111">
        <v>0</v>
      </c>
      <c r="G111">
        <v>0</v>
      </c>
      <c r="H111">
        <v>0</v>
      </c>
      <c r="I111">
        <v>0</v>
      </c>
      <c r="J111">
        <v>0</v>
      </c>
      <c r="K111">
        <v>0</v>
      </c>
      <c r="L111">
        <v>0</v>
      </c>
      <c r="M111">
        <v>0</v>
      </c>
      <c r="N111">
        <v>0</v>
      </c>
      <c r="O111">
        <v>0</v>
      </c>
      <c r="P111">
        <v>0</v>
      </c>
      <c r="Q111">
        <v>0</v>
      </c>
      <c r="R111">
        <v>0</v>
      </c>
      <c r="S111">
        <v>0</v>
      </c>
      <c r="T111">
        <v>0</v>
      </c>
      <c r="U111">
        <v>0</v>
      </c>
      <c r="V111">
        <v>0</v>
      </c>
      <c r="W111">
        <v>0</v>
      </c>
    </row>
    <row r="112" spans="2:23">
      <c r="B112">
        <v>2022</v>
      </c>
      <c r="C112" t="str">
        <f t="shared" si="12"/>
        <v>Diesel</v>
      </c>
      <c r="D112">
        <v>1</v>
      </c>
      <c r="E112">
        <v>34042103808</v>
      </c>
      <c r="F112">
        <v>79441312</v>
      </c>
      <c r="G112">
        <v>52191854592</v>
      </c>
      <c r="H112">
        <v>2232552960</v>
      </c>
      <c r="I112">
        <v>6911680000</v>
      </c>
      <c r="J112">
        <v>16392506368</v>
      </c>
      <c r="K112">
        <v>16265917440</v>
      </c>
      <c r="L112">
        <v>13295147008</v>
      </c>
      <c r="M112">
        <v>1565748480</v>
      </c>
      <c r="N112">
        <v>1565748480</v>
      </c>
      <c r="O112">
        <v>4697244160</v>
      </c>
      <c r="P112">
        <v>27670280192</v>
      </c>
      <c r="Q112">
        <v>12379282432</v>
      </c>
      <c r="R112">
        <v>12379173888</v>
      </c>
      <c r="S112">
        <v>37273423872</v>
      </c>
      <c r="T112">
        <v>14827807744</v>
      </c>
      <c r="U112">
        <v>14827746304</v>
      </c>
      <c r="V112">
        <v>44347289600</v>
      </c>
      <c r="W112">
        <v>7899190</v>
      </c>
    </row>
    <row r="113" spans="2:23">
      <c r="B113">
        <v>2022</v>
      </c>
      <c r="C113" t="str">
        <f t="shared" si="12"/>
        <v>Gasoline</v>
      </c>
      <c r="D113">
        <v>2</v>
      </c>
      <c r="E113">
        <v>47314227200</v>
      </c>
      <c r="F113">
        <v>1870839552</v>
      </c>
      <c r="G113">
        <v>12486810624</v>
      </c>
      <c r="H113">
        <v>4373744640</v>
      </c>
      <c r="I113">
        <v>9297166336</v>
      </c>
      <c r="J113">
        <v>5348228608</v>
      </c>
      <c r="K113">
        <v>4845896704</v>
      </c>
      <c r="L113">
        <v>146678688</v>
      </c>
      <c r="M113">
        <v>190582</v>
      </c>
      <c r="N113">
        <v>190582</v>
      </c>
      <c r="O113">
        <v>571743</v>
      </c>
      <c r="P113">
        <v>11255354</v>
      </c>
      <c r="Q113">
        <v>1721165</v>
      </c>
      <c r="R113">
        <v>1721040</v>
      </c>
      <c r="S113">
        <v>5181877</v>
      </c>
      <c r="T113">
        <v>2061469</v>
      </c>
      <c r="U113">
        <v>2061397</v>
      </c>
      <c r="V113">
        <v>6165384</v>
      </c>
      <c r="W113">
        <v>0</v>
      </c>
    </row>
    <row r="114" spans="2:23">
      <c r="B114">
        <v>2022</v>
      </c>
      <c r="C114" t="str">
        <f t="shared" si="12"/>
        <v>LPG</v>
      </c>
      <c r="D114">
        <v>3</v>
      </c>
      <c r="E114">
        <v>91556</v>
      </c>
      <c r="F114">
        <v>0</v>
      </c>
      <c r="G114">
        <v>584603</v>
      </c>
      <c r="H114">
        <v>0</v>
      </c>
      <c r="I114">
        <v>6058435</v>
      </c>
      <c r="J114">
        <v>17046176</v>
      </c>
      <c r="K114">
        <v>12430649</v>
      </c>
      <c r="L114">
        <v>22077064</v>
      </c>
      <c r="M114">
        <v>41027</v>
      </c>
      <c r="N114">
        <v>41059</v>
      </c>
      <c r="O114">
        <v>124026</v>
      </c>
      <c r="P114">
        <v>1052362</v>
      </c>
      <c r="Q114">
        <v>383469</v>
      </c>
      <c r="R114">
        <v>393719</v>
      </c>
      <c r="S114">
        <v>1192055</v>
      </c>
      <c r="T114">
        <v>457950</v>
      </c>
      <c r="U114">
        <v>466152</v>
      </c>
      <c r="V114">
        <v>1410802</v>
      </c>
      <c r="W114">
        <v>0</v>
      </c>
    </row>
    <row r="115" spans="2:23">
      <c r="B115">
        <v>2022</v>
      </c>
      <c r="C115" t="str">
        <f t="shared" si="12"/>
        <v>CNG</v>
      </c>
      <c r="D115">
        <v>4</v>
      </c>
      <c r="E115">
        <v>75849104</v>
      </c>
      <c r="F115">
        <v>1441771</v>
      </c>
      <c r="G115">
        <v>1057739</v>
      </c>
      <c r="H115">
        <v>14358800</v>
      </c>
      <c r="I115">
        <v>22519602</v>
      </c>
      <c r="J115">
        <v>399290</v>
      </c>
      <c r="K115">
        <v>17797850</v>
      </c>
      <c r="L115">
        <v>46454224</v>
      </c>
      <c r="M115">
        <v>3516163</v>
      </c>
      <c r="N115">
        <v>3516163</v>
      </c>
      <c r="O115">
        <v>10548489</v>
      </c>
      <c r="P115">
        <v>1068381952</v>
      </c>
      <c r="Q115">
        <v>92122616</v>
      </c>
      <c r="R115">
        <v>92206472</v>
      </c>
      <c r="S115">
        <v>277759328</v>
      </c>
      <c r="T115">
        <v>110356600</v>
      </c>
      <c r="U115">
        <v>110399184</v>
      </c>
      <c r="V115">
        <v>330056224</v>
      </c>
      <c r="W115">
        <v>0</v>
      </c>
    </row>
    <row r="116" spans="2:23">
      <c r="B116">
        <v>2022</v>
      </c>
      <c r="C116" t="str">
        <f t="shared" si="12"/>
        <v>Flex</v>
      </c>
      <c r="D116">
        <v>5</v>
      </c>
      <c r="E116">
        <v>11854125056</v>
      </c>
      <c r="F116">
        <v>738895744</v>
      </c>
      <c r="G116">
        <v>2094144000</v>
      </c>
      <c r="H116">
        <v>1662939136</v>
      </c>
      <c r="I116">
        <v>512664672</v>
      </c>
      <c r="J116">
        <v>22310000</v>
      </c>
      <c r="K116">
        <v>18968502</v>
      </c>
      <c r="L116">
        <v>0</v>
      </c>
      <c r="M116">
        <v>0</v>
      </c>
      <c r="N116">
        <v>0</v>
      </c>
      <c r="O116">
        <v>0</v>
      </c>
      <c r="P116">
        <v>0</v>
      </c>
      <c r="Q116">
        <v>0</v>
      </c>
      <c r="R116">
        <v>0</v>
      </c>
      <c r="S116">
        <v>0</v>
      </c>
      <c r="T116">
        <v>0</v>
      </c>
      <c r="U116">
        <v>0</v>
      </c>
      <c r="V116">
        <v>0</v>
      </c>
      <c r="W116">
        <v>0</v>
      </c>
    </row>
    <row r="117" spans="2:23">
      <c r="B117">
        <v>2022</v>
      </c>
      <c r="C117" t="str">
        <f t="shared" si="12"/>
        <v>BEV</v>
      </c>
      <c r="D117">
        <v>6</v>
      </c>
      <c r="E117">
        <v>0</v>
      </c>
      <c r="F117">
        <v>0</v>
      </c>
      <c r="G117">
        <v>0</v>
      </c>
      <c r="H117">
        <v>803122</v>
      </c>
      <c r="I117">
        <v>1577041</v>
      </c>
      <c r="J117">
        <v>717032</v>
      </c>
      <c r="K117">
        <v>2508004</v>
      </c>
      <c r="L117">
        <v>0</v>
      </c>
      <c r="M117">
        <v>27566</v>
      </c>
      <c r="N117">
        <v>27566</v>
      </c>
      <c r="O117">
        <v>82698</v>
      </c>
      <c r="P117">
        <v>88314</v>
      </c>
      <c r="Q117">
        <v>807588</v>
      </c>
      <c r="R117">
        <v>807552</v>
      </c>
      <c r="S117">
        <v>2422653</v>
      </c>
      <c r="T117">
        <v>0</v>
      </c>
      <c r="U117">
        <v>0</v>
      </c>
      <c r="V117">
        <v>0</v>
      </c>
      <c r="W117">
        <v>0</v>
      </c>
    </row>
    <row r="118" spans="2:23">
      <c r="B118">
        <v>2022</v>
      </c>
      <c r="C118" t="str">
        <f t="shared" si="12"/>
        <v>PHEV diesel</v>
      </c>
      <c r="D118">
        <v>7</v>
      </c>
      <c r="E118">
        <v>0</v>
      </c>
      <c r="F118">
        <v>0</v>
      </c>
      <c r="G118">
        <v>0</v>
      </c>
      <c r="H118">
        <v>0</v>
      </c>
      <c r="I118">
        <v>0</v>
      </c>
      <c r="J118">
        <v>0</v>
      </c>
      <c r="K118">
        <v>0</v>
      </c>
      <c r="L118">
        <v>0</v>
      </c>
      <c r="M118">
        <v>0</v>
      </c>
      <c r="N118">
        <v>0</v>
      </c>
      <c r="O118">
        <v>0</v>
      </c>
      <c r="P118">
        <v>0</v>
      </c>
      <c r="Q118">
        <v>0</v>
      </c>
      <c r="R118">
        <v>0</v>
      </c>
      <c r="S118">
        <v>0</v>
      </c>
      <c r="T118">
        <v>0</v>
      </c>
      <c r="U118">
        <v>0</v>
      </c>
      <c r="V118">
        <v>0</v>
      </c>
      <c r="W118">
        <v>0</v>
      </c>
    </row>
    <row r="119" spans="2:23">
      <c r="B119">
        <v>2022</v>
      </c>
      <c r="C119" t="str">
        <f t="shared" si="12"/>
        <v>PHEV gasoline</v>
      </c>
      <c r="D119">
        <v>8</v>
      </c>
      <c r="E119">
        <v>0</v>
      </c>
      <c r="F119">
        <v>0</v>
      </c>
      <c r="G119">
        <v>0</v>
      </c>
      <c r="H119">
        <v>0</v>
      </c>
      <c r="I119">
        <v>0</v>
      </c>
      <c r="J119">
        <v>0</v>
      </c>
      <c r="K119">
        <v>0</v>
      </c>
      <c r="L119">
        <v>0</v>
      </c>
      <c r="M119">
        <v>0</v>
      </c>
      <c r="N119">
        <v>0</v>
      </c>
      <c r="O119">
        <v>0</v>
      </c>
      <c r="P119">
        <v>0</v>
      </c>
      <c r="Q119">
        <v>0</v>
      </c>
      <c r="R119">
        <v>0</v>
      </c>
      <c r="S119">
        <v>0</v>
      </c>
      <c r="T119">
        <v>0</v>
      </c>
      <c r="U119">
        <v>0</v>
      </c>
      <c r="V119">
        <v>0</v>
      </c>
      <c r="W119">
        <v>0</v>
      </c>
    </row>
    <row r="120" spans="2:23">
      <c r="B120">
        <v>2022</v>
      </c>
      <c r="C120" t="str">
        <f t="shared" si="12"/>
        <v>Fuel cell</v>
      </c>
      <c r="D120">
        <v>9</v>
      </c>
      <c r="E120">
        <v>0</v>
      </c>
      <c r="F120">
        <v>0</v>
      </c>
      <c r="G120">
        <v>0</v>
      </c>
      <c r="H120">
        <v>0</v>
      </c>
      <c r="I120">
        <v>0</v>
      </c>
      <c r="J120">
        <v>0</v>
      </c>
      <c r="K120">
        <v>0</v>
      </c>
      <c r="L120">
        <v>0</v>
      </c>
      <c r="M120">
        <v>0</v>
      </c>
      <c r="N120">
        <v>0</v>
      </c>
      <c r="O120">
        <v>0</v>
      </c>
      <c r="P120">
        <v>0</v>
      </c>
      <c r="Q120">
        <v>0</v>
      </c>
      <c r="R120">
        <v>0</v>
      </c>
      <c r="S120">
        <v>0</v>
      </c>
      <c r="T120">
        <v>0</v>
      </c>
      <c r="U120">
        <v>0</v>
      </c>
      <c r="V120">
        <v>0</v>
      </c>
      <c r="W120">
        <v>0</v>
      </c>
    </row>
    <row r="121" spans="2:23">
      <c r="B121">
        <v>2023</v>
      </c>
      <c r="C121" t="str">
        <f t="shared" si="12"/>
        <v>Diesel</v>
      </c>
      <c r="D121">
        <v>1</v>
      </c>
      <c r="E121">
        <v>34870390784</v>
      </c>
      <c r="F121">
        <v>81374240</v>
      </c>
      <c r="G121">
        <v>50900713472</v>
      </c>
      <c r="H121">
        <v>2339806720</v>
      </c>
      <c r="I121">
        <v>7244031488</v>
      </c>
      <c r="J121">
        <v>16291770368</v>
      </c>
      <c r="K121">
        <v>15820533760</v>
      </c>
      <c r="L121">
        <v>12901873664</v>
      </c>
      <c r="M121">
        <v>1533966592</v>
      </c>
      <c r="N121">
        <v>1533966336</v>
      </c>
      <c r="O121">
        <v>4601896448</v>
      </c>
      <c r="P121">
        <v>27769692160</v>
      </c>
      <c r="Q121">
        <v>12374547456</v>
      </c>
      <c r="R121">
        <v>12373823488</v>
      </c>
      <c r="S121">
        <v>37257150464</v>
      </c>
      <c r="T121">
        <v>14821901312</v>
      </c>
      <c r="U121">
        <v>14821467136</v>
      </c>
      <c r="V121">
        <v>44328534016</v>
      </c>
      <c r="W121">
        <v>8510344</v>
      </c>
    </row>
    <row r="122" spans="2:23">
      <c r="B122">
        <v>2023</v>
      </c>
      <c r="C122" t="str">
        <f t="shared" si="12"/>
        <v>Gasoline</v>
      </c>
      <c r="D122">
        <v>2</v>
      </c>
      <c r="E122">
        <v>49957257216</v>
      </c>
      <c r="F122">
        <v>1975346944</v>
      </c>
      <c r="G122">
        <v>13608041472</v>
      </c>
      <c r="H122">
        <v>4177700608</v>
      </c>
      <c r="I122">
        <v>8823887872</v>
      </c>
      <c r="J122">
        <v>5519550464</v>
      </c>
      <c r="K122">
        <v>4878810112</v>
      </c>
      <c r="L122">
        <v>126127712</v>
      </c>
      <c r="M122">
        <v>368086</v>
      </c>
      <c r="N122">
        <v>368086</v>
      </c>
      <c r="O122">
        <v>1104254</v>
      </c>
      <c r="P122">
        <v>13254805</v>
      </c>
      <c r="Q122">
        <v>3325486</v>
      </c>
      <c r="R122">
        <v>3324654</v>
      </c>
      <c r="S122">
        <v>10010186</v>
      </c>
      <c r="T122">
        <v>3982870</v>
      </c>
      <c r="U122">
        <v>3982372</v>
      </c>
      <c r="V122">
        <v>11910706</v>
      </c>
      <c r="W122">
        <v>0</v>
      </c>
    </row>
    <row r="123" spans="2:23">
      <c r="B123">
        <v>2023</v>
      </c>
      <c r="C123" t="str">
        <f t="shared" si="12"/>
        <v>LPG</v>
      </c>
      <c r="D123">
        <v>3</v>
      </c>
      <c r="E123">
        <v>67735</v>
      </c>
      <c r="F123">
        <v>0</v>
      </c>
      <c r="G123">
        <v>7253172</v>
      </c>
      <c r="H123">
        <v>426060</v>
      </c>
      <c r="I123">
        <v>6914858</v>
      </c>
      <c r="J123">
        <v>17373998</v>
      </c>
      <c r="K123">
        <v>12586420</v>
      </c>
      <c r="L123">
        <v>19355148</v>
      </c>
      <c r="M123">
        <v>80205</v>
      </c>
      <c r="N123">
        <v>80309</v>
      </c>
      <c r="O123">
        <v>242349</v>
      </c>
      <c r="P123">
        <v>1998151</v>
      </c>
      <c r="Q123">
        <v>751585</v>
      </c>
      <c r="R123">
        <v>772199</v>
      </c>
      <c r="S123">
        <v>2335913</v>
      </c>
      <c r="T123">
        <v>896823</v>
      </c>
      <c r="U123">
        <v>913706</v>
      </c>
      <c r="V123">
        <v>2765955</v>
      </c>
      <c r="W123">
        <v>0</v>
      </c>
    </row>
    <row r="124" spans="2:23">
      <c r="B124">
        <v>2023</v>
      </c>
      <c r="C124" t="str">
        <f t="shared" si="12"/>
        <v>CNG</v>
      </c>
      <c r="D124">
        <v>4</v>
      </c>
      <c r="E124">
        <v>68013520</v>
      </c>
      <c r="F124">
        <v>1285886</v>
      </c>
      <c r="G124">
        <v>961210</v>
      </c>
      <c r="H124">
        <v>13022846</v>
      </c>
      <c r="I124">
        <v>20320752</v>
      </c>
      <c r="J124">
        <v>335434</v>
      </c>
      <c r="K124">
        <v>18103788</v>
      </c>
      <c r="L124">
        <v>48366484</v>
      </c>
      <c r="M124">
        <v>3012560</v>
      </c>
      <c r="N124">
        <v>3012560</v>
      </c>
      <c r="O124">
        <v>9037680</v>
      </c>
      <c r="P124">
        <v>1032142144</v>
      </c>
      <c r="Q124">
        <v>99589584</v>
      </c>
      <c r="R124">
        <v>100268352</v>
      </c>
      <c r="S124">
        <v>302172384</v>
      </c>
      <c r="T124">
        <v>119316520</v>
      </c>
      <c r="U124">
        <v>119712424</v>
      </c>
      <c r="V124">
        <v>357849088</v>
      </c>
      <c r="W124">
        <v>0</v>
      </c>
    </row>
    <row r="125" spans="2:23">
      <c r="B125">
        <v>2023</v>
      </c>
      <c r="C125" t="str">
        <f t="shared" si="12"/>
        <v>Flex</v>
      </c>
      <c r="D125">
        <v>5</v>
      </c>
      <c r="E125">
        <v>11176316928</v>
      </c>
      <c r="F125">
        <v>682771840</v>
      </c>
      <c r="G125">
        <v>2118289408</v>
      </c>
      <c r="H125">
        <v>1553643264</v>
      </c>
      <c r="I125">
        <v>486360096</v>
      </c>
      <c r="J125">
        <v>47012592</v>
      </c>
      <c r="K125">
        <v>39693772</v>
      </c>
      <c r="L125">
        <v>0</v>
      </c>
      <c r="M125">
        <v>0</v>
      </c>
      <c r="N125">
        <v>0</v>
      </c>
      <c r="O125">
        <v>0</v>
      </c>
      <c r="P125">
        <v>0</v>
      </c>
      <c r="Q125">
        <v>0</v>
      </c>
      <c r="R125">
        <v>0</v>
      </c>
      <c r="S125">
        <v>0</v>
      </c>
      <c r="T125">
        <v>0</v>
      </c>
      <c r="U125">
        <v>0</v>
      </c>
      <c r="V125">
        <v>0</v>
      </c>
      <c r="W125">
        <v>0</v>
      </c>
    </row>
    <row r="126" spans="2:23">
      <c r="B126">
        <v>2023</v>
      </c>
      <c r="C126" t="str">
        <f t="shared" si="12"/>
        <v>BEV</v>
      </c>
      <c r="D126">
        <v>6</v>
      </c>
      <c r="E126">
        <v>0</v>
      </c>
      <c r="F126">
        <v>0</v>
      </c>
      <c r="G126">
        <v>0</v>
      </c>
      <c r="H126">
        <v>726350</v>
      </c>
      <c r="I126">
        <v>1808404</v>
      </c>
      <c r="J126">
        <v>656593</v>
      </c>
      <c r="K126">
        <v>3250578</v>
      </c>
      <c r="L126">
        <v>0</v>
      </c>
      <c r="M126">
        <v>40019</v>
      </c>
      <c r="N126">
        <v>40019</v>
      </c>
      <c r="O126">
        <v>120056</v>
      </c>
      <c r="P126">
        <v>117327</v>
      </c>
      <c r="Q126">
        <v>928942</v>
      </c>
      <c r="R126">
        <v>928807</v>
      </c>
      <c r="S126">
        <v>2786411</v>
      </c>
      <c r="T126">
        <v>0</v>
      </c>
      <c r="U126">
        <v>0</v>
      </c>
      <c r="V126">
        <v>0</v>
      </c>
      <c r="W126">
        <v>0</v>
      </c>
    </row>
    <row r="127" spans="2:23">
      <c r="B127">
        <v>2023</v>
      </c>
      <c r="C127" t="str">
        <f t="shared" si="12"/>
        <v>PHEV diesel</v>
      </c>
      <c r="D127">
        <v>7</v>
      </c>
      <c r="E127">
        <v>0</v>
      </c>
      <c r="F127">
        <v>0</v>
      </c>
      <c r="G127">
        <v>5393441</v>
      </c>
      <c r="H127">
        <v>434305</v>
      </c>
      <c r="I127">
        <v>0</v>
      </c>
      <c r="J127">
        <v>0</v>
      </c>
      <c r="K127">
        <v>0</v>
      </c>
      <c r="L127">
        <v>0</v>
      </c>
      <c r="M127">
        <v>0</v>
      </c>
      <c r="N127">
        <v>0</v>
      </c>
      <c r="O127">
        <v>0</v>
      </c>
      <c r="P127">
        <v>0</v>
      </c>
      <c r="Q127">
        <v>0</v>
      </c>
      <c r="R127">
        <v>0</v>
      </c>
      <c r="S127">
        <v>0</v>
      </c>
      <c r="T127">
        <v>0</v>
      </c>
      <c r="U127">
        <v>0</v>
      </c>
      <c r="V127">
        <v>0</v>
      </c>
      <c r="W127">
        <v>0</v>
      </c>
    </row>
    <row r="128" spans="2:23">
      <c r="B128">
        <v>2023</v>
      </c>
      <c r="C128" t="str">
        <f t="shared" si="12"/>
        <v>PHEV gasoline</v>
      </c>
      <c r="D128">
        <v>8</v>
      </c>
      <c r="E128">
        <v>0</v>
      </c>
      <c r="F128">
        <v>0</v>
      </c>
      <c r="G128">
        <v>5322586</v>
      </c>
      <c r="H128">
        <v>333256</v>
      </c>
      <c r="I128">
        <v>0</v>
      </c>
      <c r="J128">
        <v>0</v>
      </c>
      <c r="K128">
        <v>0</v>
      </c>
      <c r="L128">
        <v>0</v>
      </c>
      <c r="M128">
        <v>0</v>
      </c>
      <c r="N128">
        <v>0</v>
      </c>
      <c r="O128">
        <v>0</v>
      </c>
      <c r="P128">
        <v>0</v>
      </c>
      <c r="Q128">
        <v>0</v>
      </c>
      <c r="R128">
        <v>0</v>
      </c>
      <c r="S128">
        <v>0</v>
      </c>
      <c r="T128">
        <v>0</v>
      </c>
      <c r="U128">
        <v>0</v>
      </c>
      <c r="V128">
        <v>0</v>
      </c>
      <c r="W128">
        <v>0</v>
      </c>
    </row>
    <row r="129" spans="2:23">
      <c r="B129">
        <v>2023</v>
      </c>
      <c r="C129" t="str">
        <f t="shared" si="12"/>
        <v>Fuel cell</v>
      </c>
      <c r="D129">
        <v>9</v>
      </c>
      <c r="E129">
        <v>0</v>
      </c>
      <c r="F129">
        <v>0</v>
      </c>
      <c r="G129">
        <v>0</v>
      </c>
      <c r="H129">
        <v>0</v>
      </c>
      <c r="I129">
        <v>0</v>
      </c>
      <c r="J129">
        <v>0</v>
      </c>
      <c r="K129">
        <v>0</v>
      </c>
      <c r="L129">
        <v>0</v>
      </c>
      <c r="M129">
        <v>0</v>
      </c>
      <c r="N129">
        <v>0</v>
      </c>
      <c r="O129">
        <v>0</v>
      </c>
      <c r="P129">
        <v>0</v>
      </c>
      <c r="Q129">
        <v>0</v>
      </c>
      <c r="R129">
        <v>0</v>
      </c>
      <c r="S129">
        <v>0</v>
      </c>
      <c r="T129">
        <v>0</v>
      </c>
      <c r="U129">
        <v>0</v>
      </c>
      <c r="V129">
        <v>0</v>
      </c>
      <c r="W129">
        <v>0</v>
      </c>
    </row>
    <row r="130" spans="2:23">
      <c r="B130">
        <v>2024</v>
      </c>
      <c r="C130" t="str">
        <f t="shared" si="12"/>
        <v>Diesel</v>
      </c>
      <c r="D130">
        <v>1</v>
      </c>
      <c r="E130">
        <v>35155111936</v>
      </c>
      <c r="F130">
        <v>82038664</v>
      </c>
      <c r="G130">
        <v>50131718144</v>
      </c>
      <c r="H130">
        <v>2459500800</v>
      </c>
      <c r="I130">
        <v>7569738752</v>
      </c>
      <c r="J130">
        <v>16260666368</v>
      </c>
      <c r="K130">
        <v>15489122304</v>
      </c>
      <c r="L130">
        <v>12612416512</v>
      </c>
      <c r="M130">
        <v>1513570816</v>
      </c>
      <c r="N130">
        <v>1513570304</v>
      </c>
      <c r="O130">
        <v>4540707328</v>
      </c>
      <c r="P130">
        <v>27947755520</v>
      </c>
      <c r="Q130">
        <v>12407426048</v>
      </c>
      <c r="R130">
        <v>12406077440</v>
      </c>
      <c r="S130">
        <v>37354135552</v>
      </c>
      <c r="T130">
        <v>14861331456</v>
      </c>
      <c r="U130">
        <v>14860145664</v>
      </c>
      <c r="V130">
        <v>44444266496</v>
      </c>
      <c r="W130">
        <v>9126118</v>
      </c>
    </row>
    <row r="131" spans="2:23">
      <c r="B131">
        <v>2024</v>
      </c>
      <c r="C131" t="str">
        <f t="shared" si="12"/>
        <v>Gasoline</v>
      </c>
      <c r="D131">
        <v>2</v>
      </c>
      <c r="E131">
        <v>51624554496</v>
      </c>
      <c r="F131">
        <v>2041273088</v>
      </c>
      <c r="G131">
        <v>14783803392</v>
      </c>
      <c r="H131">
        <v>4008741888</v>
      </c>
      <c r="I131">
        <v>8442100736</v>
      </c>
      <c r="J131">
        <v>5694916608</v>
      </c>
      <c r="K131">
        <v>4942977024</v>
      </c>
      <c r="L131">
        <v>109601040</v>
      </c>
      <c r="M131">
        <v>535357</v>
      </c>
      <c r="N131">
        <v>535356</v>
      </c>
      <c r="O131">
        <v>1606064</v>
      </c>
      <c r="P131">
        <v>15487936</v>
      </c>
      <c r="Q131">
        <v>4837350</v>
      </c>
      <c r="R131">
        <v>4835829</v>
      </c>
      <c r="S131">
        <v>14560167</v>
      </c>
      <c r="T131">
        <v>5793829</v>
      </c>
      <c r="U131">
        <v>5792512</v>
      </c>
      <c r="V131">
        <v>17324564</v>
      </c>
      <c r="W131">
        <v>0</v>
      </c>
    </row>
    <row r="132" spans="2:23">
      <c r="B132">
        <v>2024</v>
      </c>
      <c r="C132" t="str">
        <f t="shared" si="12"/>
        <v>LPG</v>
      </c>
      <c r="D132">
        <v>3</v>
      </c>
      <c r="E132">
        <v>6070335</v>
      </c>
      <c r="F132">
        <v>0</v>
      </c>
      <c r="G132">
        <v>13898037</v>
      </c>
      <c r="H132">
        <v>855117</v>
      </c>
      <c r="I132">
        <v>7722826</v>
      </c>
      <c r="J132">
        <v>17681920</v>
      </c>
      <c r="K132">
        <v>12924882</v>
      </c>
      <c r="L132">
        <v>16998494</v>
      </c>
      <c r="M132">
        <v>115742</v>
      </c>
      <c r="N132">
        <v>115987</v>
      </c>
      <c r="O132">
        <v>349324</v>
      </c>
      <c r="P132">
        <v>2856702</v>
      </c>
      <c r="Q132">
        <v>1086790</v>
      </c>
      <c r="R132">
        <v>1117140</v>
      </c>
      <c r="S132">
        <v>3373419</v>
      </c>
      <c r="T132">
        <v>1295629</v>
      </c>
      <c r="U132">
        <v>1321169</v>
      </c>
      <c r="V132">
        <v>3994776</v>
      </c>
      <c r="W132">
        <v>0</v>
      </c>
    </row>
    <row r="133" spans="2:23">
      <c r="B133">
        <v>2024</v>
      </c>
      <c r="C133" t="str">
        <f t="shared" si="12"/>
        <v>CNG</v>
      </c>
      <c r="D133">
        <v>4</v>
      </c>
      <c r="E133">
        <v>63461916</v>
      </c>
      <c r="F133">
        <v>1227342</v>
      </c>
      <c r="G133">
        <v>877651</v>
      </c>
      <c r="H133">
        <v>11866512</v>
      </c>
      <c r="I133">
        <v>18272286</v>
      </c>
      <c r="J133">
        <v>281885</v>
      </c>
      <c r="K133">
        <v>18274472</v>
      </c>
      <c r="L133">
        <v>49586632</v>
      </c>
      <c r="M133">
        <v>2613384</v>
      </c>
      <c r="N133">
        <v>2613384</v>
      </c>
      <c r="O133">
        <v>7840153</v>
      </c>
      <c r="P133">
        <v>997322944</v>
      </c>
      <c r="Q133">
        <v>106459208</v>
      </c>
      <c r="R133">
        <v>107745320</v>
      </c>
      <c r="S133">
        <v>324824672</v>
      </c>
      <c r="T133">
        <v>127200832</v>
      </c>
      <c r="U133">
        <v>128331952</v>
      </c>
      <c r="V133">
        <v>383567008</v>
      </c>
      <c r="W133">
        <v>0</v>
      </c>
    </row>
    <row r="134" spans="2:23">
      <c r="B134">
        <v>2024</v>
      </c>
      <c r="C134" t="str">
        <f t="shared" si="12"/>
        <v>Flex</v>
      </c>
      <c r="D134">
        <v>5</v>
      </c>
      <c r="E134">
        <v>10486717440</v>
      </c>
      <c r="F134">
        <v>615906432</v>
      </c>
      <c r="G134">
        <v>2170567680</v>
      </c>
      <c r="H134">
        <v>1450657280</v>
      </c>
      <c r="I134">
        <v>467500544</v>
      </c>
      <c r="J134">
        <v>75720984</v>
      </c>
      <c r="K134">
        <v>63218504</v>
      </c>
      <c r="L134">
        <v>0</v>
      </c>
      <c r="M134">
        <v>0</v>
      </c>
      <c r="N134">
        <v>0</v>
      </c>
      <c r="O134">
        <v>0</v>
      </c>
      <c r="P134">
        <v>0</v>
      </c>
      <c r="Q134">
        <v>0</v>
      </c>
      <c r="R134">
        <v>0</v>
      </c>
      <c r="S134">
        <v>0</v>
      </c>
      <c r="T134">
        <v>0</v>
      </c>
      <c r="U134">
        <v>0</v>
      </c>
      <c r="V134">
        <v>0</v>
      </c>
      <c r="W134">
        <v>0</v>
      </c>
    </row>
    <row r="135" spans="2:23">
      <c r="B135">
        <v>2024</v>
      </c>
      <c r="C135" t="str">
        <f t="shared" si="12"/>
        <v>BEV</v>
      </c>
      <c r="D135">
        <v>6</v>
      </c>
      <c r="E135">
        <v>0</v>
      </c>
      <c r="F135">
        <v>0</v>
      </c>
      <c r="G135">
        <v>0</v>
      </c>
      <c r="H135">
        <v>664383</v>
      </c>
      <c r="I135">
        <v>1983254</v>
      </c>
      <c r="J135">
        <v>602391</v>
      </c>
      <c r="K135">
        <v>3828450</v>
      </c>
      <c r="L135">
        <v>0</v>
      </c>
      <c r="M135">
        <v>50698</v>
      </c>
      <c r="N135">
        <v>50698</v>
      </c>
      <c r="O135">
        <v>152094</v>
      </c>
      <c r="P135">
        <v>141277</v>
      </c>
      <c r="Q135">
        <v>1032735</v>
      </c>
      <c r="R135">
        <v>1032457</v>
      </c>
      <c r="S135">
        <v>3097353</v>
      </c>
      <c r="T135">
        <v>0</v>
      </c>
      <c r="U135">
        <v>0</v>
      </c>
      <c r="V135">
        <v>0</v>
      </c>
      <c r="W135">
        <v>0</v>
      </c>
    </row>
    <row r="136" spans="2:23">
      <c r="B136">
        <v>2024</v>
      </c>
      <c r="C136" t="str">
        <f t="shared" si="12"/>
        <v>PHEV diesel</v>
      </c>
      <c r="D136">
        <v>7</v>
      </c>
      <c r="E136">
        <v>8997526</v>
      </c>
      <c r="F136">
        <v>211968</v>
      </c>
      <c r="G136">
        <v>10822023</v>
      </c>
      <c r="H136">
        <v>873650</v>
      </c>
      <c r="I136">
        <v>1289997</v>
      </c>
      <c r="J136">
        <v>1985274</v>
      </c>
      <c r="K136">
        <v>1561474</v>
      </c>
      <c r="L136">
        <v>331841</v>
      </c>
      <c r="M136">
        <v>0</v>
      </c>
      <c r="N136">
        <v>0</v>
      </c>
      <c r="O136">
        <v>0</v>
      </c>
      <c r="P136">
        <v>912977</v>
      </c>
      <c r="Q136">
        <v>0</v>
      </c>
      <c r="R136">
        <v>0</v>
      </c>
      <c r="S136">
        <v>0</v>
      </c>
      <c r="T136">
        <v>0</v>
      </c>
      <c r="U136">
        <v>0</v>
      </c>
      <c r="V136">
        <v>0</v>
      </c>
      <c r="W136">
        <v>0</v>
      </c>
    </row>
    <row r="137" spans="2:23">
      <c r="B137">
        <v>2024</v>
      </c>
      <c r="C137" t="str">
        <f t="shared" si="12"/>
        <v>PHEV gasoline</v>
      </c>
      <c r="D137">
        <v>8</v>
      </c>
      <c r="E137">
        <v>9209535</v>
      </c>
      <c r="F137">
        <v>217584</v>
      </c>
      <c r="G137">
        <v>10824366</v>
      </c>
      <c r="H137">
        <v>689241</v>
      </c>
      <c r="I137">
        <v>1183702</v>
      </c>
      <c r="J137">
        <v>1814154</v>
      </c>
      <c r="K137">
        <v>1459313</v>
      </c>
      <c r="L137">
        <v>630020</v>
      </c>
      <c r="M137">
        <v>0</v>
      </c>
      <c r="N137">
        <v>0</v>
      </c>
      <c r="O137">
        <v>0</v>
      </c>
      <c r="P137">
        <v>2040923</v>
      </c>
      <c r="Q137">
        <v>0</v>
      </c>
      <c r="R137">
        <v>0</v>
      </c>
      <c r="S137">
        <v>0</v>
      </c>
      <c r="T137">
        <v>0</v>
      </c>
      <c r="U137">
        <v>0</v>
      </c>
      <c r="V137">
        <v>0</v>
      </c>
      <c r="W137">
        <v>0</v>
      </c>
    </row>
    <row r="138" spans="2:23">
      <c r="B138">
        <v>2024</v>
      </c>
      <c r="C138" t="str">
        <f t="shared" si="12"/>
        <v>Fuel cell</v>
      </c>
      <c r="D138">
        <v>9</v>
      </c>
      <c r="E138">
        <v>0</v>
      </c>
      <c r="F138">
        <v>0</v>
      </c>
      <c r="G138">
        <v>0</v>
      </c>
      <c r="H138">
        <v>1871</v>
      </c>
      <c r="I138">
        <v>2150123</v>
      </c>
      <c r="J138">
        <v>3309828</v>
      </c>
      <c r="K138">
        <v>2628733</v>
      </c>
      <c r="L138">
        <v>393447</v>
      </c>
      <c r="M138">
        <v>50982</v>
      </c>
      <c r="N138">
        <v>50982</v>
      </c>
      <c r="O138">
        <v>152946</v>
      </c>
      <c r="P138">
        <v>1064430</v>
      </c>
      <c r="Q138">
        <v>460780</v>
      </c>
      <c r="R138">
        <v>460578</v>
      </c>
      <c r="S138">
        <v>1386748</v>
      </c>
      <c r="T138">
        <v>551937</v>
      </c>
      <c r="U138">
        <v>551696</v>
      </c>
      <c r="V138">
        <v>1650039</v>
      </c>
      <c r="W138">
        <v>0</v>
      </c>
    </row>
    <row r="139" spans="2:23">
      <c r="B139">
        <v>2025</v>
      </c>
      <c r="C139" t="str">
        <f t="shared" si="12"/>
        <v>Diesel</v>
      </c>
      <c r="D139">
        <v>1</v>
      </c>
      <c r="E139">
        <v>35026407424</v>
      </c>
      <c r="F139">
        <v>81738352</v>
      </c>
      <c r="G139">
        <v>49949278208</v>
      </c>
      <c r="H139">
        <v>2600199168</v>
      </c>
      <c r="I139">
        <v>7928690688</v>
      </c>
      <c r="J139">
        <v>16358387712</v>
      </c>
      <c r="K139">
        <v>15319369728</v>
      </c>
      <c r="L139">
        <v>12460756992</v>
      </c>
      <c r="M139">
        <v>1508092672</v>
      </c>
      <c r="N139">
        <v>1508091776</v>
      </c>
      <c r="O139">
        <v>4524272640</v>
      </c>
      <c r="P139">
        <v>28308629504</v>
      </c>
      <c r="Q139">
        <v>12519644160</v>
      </c>
      <c r="R139">
        <v>12517463040</v>
      </c>
      <c r="S139">
        <v>37689389056</v>
      </c>
      <c r="T139">
        <v>14996016128</v>
      </c>
      <c r="U139">
        <v>14993822720</v>
      </c>
      <c r="V139">
        <v>44844888064</v>
      </c>
      <c r="W139">
        <v>9739533</v>
      </c>
    </row>
    <row r="140" spans="2:23">
      <c r="B140">
        <v>2025</v>
      </c>
      <c r="C140" t="str">
        <f t="shared" si="12"/>
        <v>Gasoline</v>
      </c>
      <c r="D140">
        <v>2</v>
      </c>
      <c r="E140">
        <v>52948307968</v>
      </c>
      <c r="F140">
        <v>2093615104</v>
      </c>
      <c r="G140">
        <v>16058723328</v>
      </c>
      <c r="H140">
        <v>3874605568</v>
      </c>
      <c r="I140">
        <v>8136782848</v>
      </c>
      <c r="J140">
        <v>5893942784</v>
      </c>
      <c r="K140">
        <v>5038897152</v>
      </c>
      <c r="L140">
        <v>95867432</v>
      </c>
      <c r="M140">
        <v>699628</v>
      </c>
      <c r="N140">
        <v>699627</v>
      </c>
      <c r="O140">
        <v>2098878</v>
      </c>
      <c r="P140">
        <v>17985558</v>
      </c>
      <c r="Q140">
        <v>6322394</v>
      </c>
      <c r="R140">
        <v>6319940</v>
      </c>
      <c r="S140">
        <v>19028662</v>
      </c>
      <c r="T140">
        <v>7572884</v>
      </c>
      <c r="U140">
        <v>7570474</v>
      </c>
      <c r="V140">
        <v>22643052</v>
      </c>
      <c r="W140">
        <v>0</v>
      </c>
    </row>
    <row r="141" spans="2:23">
      <c r="B141">
        <v>2025</v>
      </c>
      <c r="C141" t="str">
        <f t="shared" si="12"/>
        <v>LPG</v>
      </c>
      <c r="D141">
        <v>3</v>
      </c>
      <c r="E141">
        <v>12008848</v>
      </c>
      <c r="F141">
        <v>0</v>
      </c>
      <c r="G141">
        <v>20048798</v>
      </c>
      <c r="H141">
        <v>1251720</v>
      </c>
      <c r="I141">
        <v>8504854</v>
      </c>
      <c r="J141">
        <v>18025300</v>
      </c>
      <c r="K141">
        <v>13435088</v>
      </c>
      <c r="L141">
        <v>15076584</v>
      </c>
      <c r="M141">
        <v>147136</v>
      </c>
      <c r="N141">
        <v>147522</v>
      </c>
      <c r="O141">
        <v>442992</v>
      </c>
      <c r="P141">
        <v>3614275</v>
      </c>
      <c r="Q141">
        <v>1384021</v>
      </c>
      <c r="R141">
        <v>1423456</v>
      </c>
      <c r="S141">
        <v>4287410</v>
      </c>
      <c r="T141">
        <v>1648716</v>
      </c>
      <c r="U141">
        <v>1681429</v>
      </c>
      <c r="V141">
        <v>5076064</v>
      </c>
      <c r="W141">
        <v>0</v>
      </c>
    </row>
    <row r="142" spans="2:23">
      <c r="B142">
        <v>2025</v>
      </c>
      <c r="C142" t="str">
        <f t="shared" si="12"/>
        <v>CNG</v>
      </c>
      <c r="D142">
        <v>4</v>
      </c>
      <c r="E142">
        <v>58830876</v>
      </c>
      <c r="F142">
        <v>1148554</v>
      </c>
      <c r="G142">
        <v>807646</v>
      </c>
      <c r="H142">
        <v>10896905</v>
      </c>
      <c r="I142">
        <v>16438770</v>
      </c>
      <c r="J142">
        <v>239561</v>
      </c>
      <c r="K142">
        <v>18416464</v>
      </c>
      <c r="L142">
        <v>50202084</v>
      </c>
      <c r="M142">
        <v>2298530</v>
      </c>
      <c r="N142">
        <v>2298530</v>
      </c>
      <c r="O142">
        <v>6895590</v>
      </c>
      <c r="P142">
        <v>968034432</v>
      </c>
      <c r="Q142">
        <v>112766056</v>
      </c>
      <c r="R142">
        <v>114868424</v>
      </c>
      <c r="S142">
        <v>346414816</v>
      </c>
      <c r="T142">
        <v>134134304</v>
      </c>
      <c r="U142">
        <v>136262432</v>
      </c>
      <c r="V142">
        <v>406430336</v>
      </c>
      <c r="W142">
        <v>0</v>
      </c>
    </row>
    <row r="143" spans="2:23">
      <c r="B143">
        <v>2025</v>
      </c>
      <c r="C143" t="str">
        <f t="shared" si="12"/>
        <v>Flex</v>
      </c>
      <c r="D143">
        <v>5</v>
      </c>
      <c r="E143">
        <v>9660018688</v>
      </c>
      <c r="F143">
        <v>561444672</v>
      </c>
      <c r="G143">
        <v>2249365760</v>
      </c>
      <c r="H143">
        <v>1360366464</v>
      </c>
      <c r="I143">
        <v>456191488</v>
      </c>
      <c r="J143">
        <v>107802696</v>
      </c>
      <c r="K143">
        <v>89219112</v>
      </c>
      <c r="L143">
        <v>0</v>
      </c>
      <c r="M143">
        <v>0</v>
      </c>
      <c r="N143">
        <v>0</v>
      </c>
      <c r="O143">
        <v>0</v>
      </c>
      <c r="P143">
        <v>0</v>
      </c>
      <c r="Q143">
        <v>0</v>
      </c>
      <c r="R143">
        <v>0</v>
      </c>
      <c r="S143">
        <v>0</v>
      </c>
      <c r="T143">
        <v>0</v>
      </c>
      <c r="U143">
        <v>0</v>
      </c>
      <c r="V143">
        <v>0</v>
      </c>
      <c r="W143">
        <v>0</v>
      </c>
    </row>
    <row r="144" spans="2:23">
      <c r="B144">
        <v>2025</v>
      </c>
      <c r="C144" t="str">
        <f t="shared" si="12"/>
        <v>BEV</v>
      </c>
      <c r="D144">
        <v>6</v>
      </c>
      <c r="E144">
        <v>0</v>
      </c>
      <c r="F144">
        <v>0</v>
      </c>
      <c r="G144">
        <v>0</v>
      </c>
      <c r="H144">
        <v>618075</v>
      </c>
      <c r="I144">
        <v>2120230</v>
      </c>
      <c r="J144">
        <v>555217</v>
      </c>
      <c r="K144">
        <v>4289883</v>
      </c>
      <c r="L144">
        <v>0</v>
      </c>
      <c r="M144">
        <v>60265</v>
      </c>
      <c r="N144">
        <v>60265</v>
      </c>
      <c r="O144">
        <v>180794</v>
      </c>
      <c r="P144">
        <v>161964</v>
      </c>
      <c r="Q144">
        <v>1125105</v>
      </c>
      <c r="R144">
        <v>1124632</v>
      </c>
      <c r="S144">
        <v>3373868</v>
      </c>
      <c r="T144">
        <v>0</v>
      </c>
      <c r="U144">
        <v>0</v>
      </c>
      <c r="V144">
        <v>0</v>
      </c>
      <c r="W144">
        <v>0</v>
      </c>
    </row>
    <row r="145" spans="2:23">
      <c r="B145">
        <v>2025</v>
      </c>
      <c r="C145" t="str">
        <f t="shared" si="12"/>
        <v>PHEV diesel</v>
      </c>
      <c r="D145">
        <v>7</v>
      </c>
      <c r="E145">
        <v>17664440</v>
      </c>
      <c r="F145">
        <v>418260</v>
      </c>
      <c r="G145">
        <v>16470194</v>
      </c>
      <c r="H145">
        <v>1338081</v>
      </c>
      <c r="I145">
        <v>2490264</v>
      </c>
      <c r="J145">
        <v>3832485</v>
      </c>
      <c r="K145">
        <v>3017579</v>
      </c>
      <c r="L145">
        <v>648304</v>
      </c>
      <c r="M145">
        <v>0</v>
      </c>
      <c r="N145">
        <v>0</v>
      </c>
      <c r="O145">
        <v>0</v>
      </c>
      <c r="P145">
        <v>1780843</v>
      </c>
      <c r="Q145">
        <v>0</v>
      </c>
      <c r="R145">
        <v>0</v>
      </c>
      <c r="S145">
        <v>0</v>
      </c>
      <c r="T145">
        <v>0</v>
      </c>
      <c r="U145">
        <v>0</v>
      </c>
      <c r="V145">
        <v>0</v>
      </c>
      <c r="W145">
        <v>0</v>
      </c>
    </row>
    <row r="146" spans="2:23">
      <c r="B146">
        <v>2025</v>
      </c>
      <c r="C146" t="str">
        <f t="shared" si="12"/>
        <v>PHEV gasoline</v>
      </c>
      <c r="D146">
        <v>8</v>
      </c>
      <c r="E146">
        <v>18387268</v>
      </c>
      <c r="F146">
        <v>437915</v>
      </c>
      <c r="G146">
        <v>16615832</v>
      </c>
      <c r="H146">
        <v>1071076</v>
      </c>
      <c r="I146">
        <v>2303570</v>
      </c>
      <c r="J146">
        <v>3530154</v>
      </c>
      <c r="K146">
        <v>2839906</v>
      </c>
      <c r="L146">
        <v>1233464</v>
      </c>
      <c r="M146">
        <v>0</v>
      </c>
      <c r="N146">
        <v>0</v>
      </c>
      <c r="O146">
        <v>0</v>
      </c>
      <c r="P146">
        <v>3988413</v>
      </c>
      <c r="Q146">
        <v>0</v>
      </c>
      <c r="R146">
        <v>0</v>
      </c>
      <c r="S146">
        <v>0</v>
      </c>
      <c r="T146">
        <v>0</v>
      </c>
      <c r="U146">
        <v>0</v>
      </c>
      <c r="V146">
        <v>0</v>
      </c>
      <c r="W146">
        <v>0</v>
      </c>
    </row>
    <row r="147" spans="2:23">
      <c r="B147">
        <v>2025</v>
      </c>
      <c r="C147" t="str">
        <f t="shared" si="12"/>
        <v>Fuel cell</v>
      </c>
      <c r="D147">
        <v>9</v>
      </c>
      <c r="E147">
        <v>0</v>
      </c>
      <c r="F147">
        <v>0</v>
      </c>
      <c r="G147">
        <v>0</v>
      </c>
      <c r="H147">
        <v>3766</v>
      </c>
      <c r="I147">
        <v>4162446</v>
      </c>
      <c r="J147">
        <v>6407512</v>
      </c>
      <c r="K147">
        <v>5089924</v>
      </c>
      <c r="L147">
        <v>769750</v>
      </c>
      <c r="M147">
        <v>99719</v>
      </c>
      <c r="N147">
        <v>99719</v>
      </c>
      <c r="O147">
        <v>299158</v>
      </c>
      <c r="P147">
        <v>2083042</v>
      </c>
      <c r="Q147">
        <v>901359</v>
      </c>
      <c r="R147">
        <v>900884</v>
      </c>
      <c r="S147">
        <v>2712460</v>
      </c>
      <c r="T147">
        <v>1079741</v>
      </c>
      <c r="U147">
        <v>1079178</v>
      </c>
      <c r="V147">
        <v>3227918</v>
      </c>
      <c r="W147">
        <v>0</v>
      </c>
    </row>
    <row r="148" spans="2:23">
      <c r="B148">
        <v>2026</v>
      </c>
      <c r="C148" t="str">
        <f t="shared" si="12"/>
        <v>Diesel</v>
      </c>
      <c r="D148">
        <v>1</v>
      </c>
      <c r="E148">
        <v>34998374400</v>
      </c>
      <c r="F148">
        <v>81672920</v>
      </c>
      <c r="G148">
        <v>50045718528</v>
      </c>
      <c r="H148">
        <v>2747178752</v>
      </c>
      <c r="I148">
        <v>8319133184</v>
      </c>
      <c r="J148">
        <v>16552278016</v>
      </c>
      <c r="K148">
        <v>15267982336</v>
      </c>
      <c r="L148">
        <v>12404198400</v>
      </c>
      <c r="M148">
        <v>1512018432</v>
      </c>
      <c r="N148">
        <v>1512017280</v>
      </c>
      <c r="O148">
        <v>4536058368</v>
      </c>
      <c r="P148">
        <v>28785498112</v>
      </c>
      <c r="Q148">
        <v>12680684544</v>
      </c>
      <c r="R148">
        <v>12677768192</v>
      </c>
      <c r="S148">
        <v>38171959296</v>
      </c>
      <c r="T148">
        <v>15189254144</v>
      </c>
      <c r="U148">
        <v>15185991680</v>
      </c>
      <c r="V148">
        <v>45420736512</v>
      </c>
      <c r="W148">
        <v>10316053</v>
      </c>
    </row>
    <row r="149" spans="2:23">
      <c r="B149">
        <v>2026</v>
      </c>
      <c r="C149" t="str">
        <f t="shared" si="12"/>
        <v>Gasoline</v>
      </c>
      <c r="D149">
        <v>2</v>
      </c>
      <c r="E149">
        <v>54455427072</v>
      </c>
      <c r="F149">
        <v>2153207808</v>
      </c>
      <c r="G149">
        <v>17359507456</v>
      </c>
      <c r="H149">
        <v>3761434624</v>
      </c>
      <c r="I149">
        <v>7912836096</v>
      </c>
      <c r="J149">
        <v>6115730944</v>
      </c>
      <c r="K149">
        <v>5165776896</v>
      </c>
      <c r="L149">
        <v>85159808</v>
      </c>
      <c r="M149">
        <v>865430</v>
      </c>
      <c r="N149">
        <v>865428</v>
      </c>
      <c r="O149">
        <v>2596288</v>
      </c>
      <c r="P149">
        <v>20758962</v>
      </c>
      <c r="Q149">
        <v>7821734</v>
      </c>
      <c r="R149">
        <v>7818408</v>
      </c>
      <c r="S149">
        <v>23540398</v>
      </c>
      <c r="T149">
        <v>9369124</v>
      </c>
      <c r="U149">
        <v>9365517</v>
      </c>
      <c r="V149">
        <v>28012878</v>
      </c>
      <c r="W149">
        <v>0</v>
      </c>
    </row>
    <row r="150" spans="2:23">
      <c r="B150">
        <v>2026</v>
      </c>
      <c r="C150" t="str">
        <f t="shared" si="12"/>
        <v>LPG</v>
      </c>
      <c r="D150">
        <v>3</v>
      </c>
      <c r="E150">
        <v>17727060</v>
      </c>
      <c r="F150">
        <v>0</v>
      </c>
      <c r="G150">
        <v>25964348</v>
      </c>
      <c r="H150">
        <v>1632571</v>
      </c>
      <c r="I150">
        <v>9317003</v>
      </c>
      <c r="J150">
        <v>18475438</v>
      </c>
      <c r="K150">
        <v>14148673</v>
      </c>
      <c r="L150">
        <v>13571259</v>
      </c>
      <c r="M150">
        <v>175563</v>
      </c>
      <c r="N150">
        <v>175998</v>
      </c>
      <c r="O150">
        <v>526453</v>
      </c>
      <c r="P150">
        <v>4292275</v>
      </c>
      <c r="Q150">
        <v>1652825</v>
      </c>
      <c r="R150">
        <v>1700405</v>
      </c>
      <c r="S150">
        <v>5104614</v>
      </c>
      <c r="T150">
        <v>1968138</v>
      </c>
      <c r="U150">
        <v>2006373</v>
      </c>
      <c r="V150">
        <v>6036316</v>
      </c>
      <c r="W150">
        <v>0</v>
      </c>
    </row>
    <row r="151" spans="2:23">
      <c r="B151">
        <v>2026</v>
      </c>
      <c r="C151" t="str">
        <f t="shared" si="12"/>
        <v>CNG</v>
      </c>
      <c r="D151">
        <v>4</v>
      </c>
      <c r="E151">
        <v>52000028</v>
      </c>
      <c r="F151">
        <v>1012752</v>
      </c>
      <c r="G151">
        <v>746365</v>
      </c>
      <c r="H151">
        <v>10048127</v>
      </c>
      <c r="I151">
        <v>14755153</v>
      </c>
      <c r="J151">
        <v>207564</v>
      </c>
      <c r="K151">
        <v>18536166</v>
      </c>
      <c r="L151">
        <v>50210716</v>
      </c>
      <c r="M151">
        <v>2031120</v>
      </c>
      <c r="N151">
        <v>2031120</v>
      </c>
      <c r="O151">
        <v>6093360</v>
      </c>
      <c r="P151">
        <v>943427520</v>
      </c>
      <c r="Q151">
        <v>118267648</v>
      </c>
      <c r="R151">
        <v>121093824</v>
      </c>
      <c r="S151">
        <v>365301664</v>
      </c>
      <c r="T151">
        <v>139974528</v>
      </c>
      <c r="U151">
        <v>143167872</v>
      </c>
      <c r="V151">
        <v>426017184</v>
      </c>
      <c r="W151">
        <v>0</v>
      </c>
    </row>
    <row r="152" spans="2:23">
      <c r="B152">
        <v>2026</v>
      </c>
      <c r="C152" t="str">
        <f t="shared" si="12"/>
        <v>Flex</v>
      </c>
      <c r="D152">
        <v>5</v>
      </c>
      <c r="E152">
        <v>9101523968</v>
      </c>
      <c r="F152">
        <v>509177344</v>
      </c>
      <c r="G152">
        <v>2341675008</v>
      </c>
      <c r="H152">
        <v>1279287424</v>
      </c>
      <c r="I152">
        <v>450859808</v>
      </c>
      <c r="J152">
        <v>143913072</v>
      </c>
      <c r="K152">
        <v>118561080</v>
      </c>
      <c r="L152">
        <v>0</v>
      </c>
      <c r="M152">
        <v>0</v>
      </c>
      <c r="N152">
        <v>0</v>
      </c>
      <c r="O152">
        <v>0</v>
      </c>
      <c r="P152">
        <v>0</v>
      </c>
      <c r="Q152">
        <v>0</v>
      </c>
      <c r="R152">
        <v>0</v>
      </c>
      <c r="S152">
        <v>0</v>
      </c>
      <c r="T152">
        <v>0</v>
      </c>
      <c r="U152">
        <v>0</v>
      </c>
      <c r="V152">
        <v>0</v>
      </c>
      <c r="W152">
        <v>0</v>
      </c>
    </row>
    <row r="153" spans="2:23">
      <c r="B153">
        <v>2026</v>
      </c>
      <c r="C153" t="str">
        <f t="shared" si="12"/>
        <v>BEV</v>
      </c>
      <c r="D153">
        <v>6</v>
      </c>
      <c r="E153">
        <v>0</v>
      </c>
      <c r="F153">
        <v>0</v>
      </c>
      <c r="G153">
        <v>0</v>
      </c>
      <c r="H153">
        <v>583796</v>
      </c>
      <c r="I153">
        <v>2225722</v>
      </c>
      <c r="J153">
        <v>512240</v>
      </c>
      <c r="K153">
        <v>4658985</v>
      </c>
      <c r="L153">
        <v>0</v>
      </c>
      <c r="M153">
        <v>68999</v>
      </c>
      <c r="N153">
        <v>68999</v>
      </c>
      <c r="O153">
        <v>206996</v>
      </c>
      <c r="P153">
        <v>180097</v>
      </c>
      <c r="Q153">
        <v>1205735</v>
      </c>
      <c r="R153">
        <v>1205025</v>
      </c>
      <c r="S153">
        <v>3615038</v>
      </c>
      <c r="T153">
        <v>0</v>
      </c>
      <c r="U153">
        <v>0</v>
      </c>
      <c r="V153">
        <v>0</v>
      </c>
      <c r="W153">
        <v>0</v>
      </c>
    </row>
    <row r="154" spans="2:23">
      <c r="B154">
        <v>2026</v>
      </c>
      <c r="C154" t="str">
        <f t="shared" si="12"/>
        <v>PHEV diesel</v>
      </c>
      <c r="D154">
        <v>7</v>
      </c>
      <c r="E154">
        <v>25911128</v>
      </c>
      <c r="F154">
        <v>613188</v>
      </c>
      <c r="G154">
        <v>22286924</v>
      </c>
      <c r="H154">
        <v>1811192</v>
      </c>
      <c r="I154">
        <v>3636179</v>
      </c>
      <c r="J154">
        <v>5596070</v>
      </c>
      <c r="K154">
        <v>4404855</v>
      </c>
      <c r="L154">
        <v>961119</v>
      </c>
      <c r="M154">
        <v>0</v>
      </c>
      <c r="N154">
        <v>0</v>
      </c>
      <c r="O154">
        <v>0</v>
      </c>
      <c r="P154">
        <v>2638743</v>
      </c>
      <c r="Q154">
        <v>0</v>
      </c>
      <c r="R154">
        <v>0</v>
      </c>
      <c r="S154">
        <v>0</v>
      </c>
      <c r="T154">
        <v>0</v>
      </c>
      <c r="U154">
        <v>0</v>
      </c>
      <c r="V154">
        <v>0</v>
      </c>
      <c r="W154">
        <v>0</v>
      </c>
    </row>
    <row r="155" spans="2:23">
      <c r="B155">
        <v>2026</v>
      </c>
      <c r="C155" t="str">
        <f t="shared" si="12"/>
        <v>PHEV gasoline</v>
      </c>
      <c r="D155">
        <v>8</v>
      </c>
      <c r="E155">
        <v>27193148</v>
      </c>
      <c r="F155">
        <v>649035</v>
      </c>
      <c r="G155">
        <v>22594120</v>
      </c>
      <c r="H155">
        <v>1460190</v>
      </c>
      <c r="I155">
        <v>3378645</v>
      </c>
      <c r="J155">
        <v>5177532</v>
      </c>
      <c r="K155">
        <v>4165418</v>
      </c>
      <c r="L155">
        <v>1828947</v>
      </c>
      <c r="M155">
        <v>0</v>
      </c>
      <c r="N155">
        <v>0</v>
      </c>
      <c r="O155">
        <v>0</v>
      </c>
      <c r="P155">
        <v>5919025</v>
      </c>
      <c r="Q155">
        <v>0</v>
      </c>
      <c r="R155">
        <v>0</v>
      </c>
      <c r="S155">
        <v>0</v>
      </c>
      <c r="T155">
        <v>0</v>
      </c>
      <c r="U155">
        <v>0</v>
      </c>
      <c r="V155">
        <v>0</v>
      </c>
      <c r="W155">
        <v>0</v>
      </c>
    </row>
    <row r="156" spans="2:23">
      <c r="B156">
        <v>2026</v>
      </c>
      <c r="C156" t="str">
        <f t="shared" si="12"/>
        <v>Fuel cell</v>
      </c>
      <c r="D156">
        <v>9</v>
      </c>
      <c r="E156">
        <v>0</v>
      </c>
      <c r="F156">
        <v>0</v>
      </c>
      <c r="G156">
        <v>0</v>
      </c>
      <c r="H156">
        <v>5727</v>
      </c>
      <c r="I156">
        <v>6115572</v>
      </c>
      <c r="J156">
        <v>9414026</v>
      </c>
      <c r="K156">
        <v>7478909</v>
      </c>
      <c r="L156">
        <v>1147191</v>
      </c>
      <c r="M156">
        <v>148580</v>
      </c>
      <c r="N156">
        <v>148580</v>
      </c>
      <c r="O156">
        <v>445742</v>
      </c>
      <c r="P156">
        <v>3104946</v>
      </c>
      <c r="Q156">
        <v>1343198</v>
      </c>
      <c r="R156">
        <v>1342467</v>
      </c>
      <c r="S156">
        <v>4042018</v>
      </c>
      <c r="T156">
        <v>1609074</v>
      </c>
      <c r="U156">
        <v>1608155</v>
      </c>
      <c r="V156">
        <v>4810344</v>
      </c>
      <c r="W156">
        <v>0</v>
      </c>
    </row>
    <row r="157" spans="2:23">
      <c r="B157">
        <v>2027</v>
      </c>
      <c r="C157" t="str">
        <f t="shared" si="12"/>
        <v>Diesel</v>
      </c>
      <c r="D157">
        <v>1</v>
      </c>
      <c r="E157">
        <v>35218358272</v>
      </c>
      <c r="F157">
        <v>82186280</v>
      </c>
      <c r="G157">
        <v>50031370240</v>
      </c>
      <c r="H157">
        <v>2875069696</v>
      </c>
      <c r="I157">
        <v>8699660288</v>
      </c>
      <c r="J157">
        <v>16750204928</v>
      </c>
      <c r="K157">
        <v>15242436608</v>
      </c>
      <c r="L157">
        <v>12355558400</v>
      </c>
      <c r="M157">
        <v>1514392064</v>
      </c>
      <c r="N157">
        <v>1514391296</v>
      </c>
      <c r="O157">
        <v>4543184896</v>
      </c>
      <c r="P157">
        <v>29201518592</v>
      </c>
      <c r="Q157">
        <v>12810916864</v>
      </c>
      <c r="R157">
        <v>12807219200</v>
      </c>
      <c r="S157">
        <v>38562131968</v>
      </c>
      <c r="T157">
        <v>15346241536</v>
      </c>
      <c r="U157">
        <v>15341235200</v>
      </c>
      <c r="V157">
        <v>45888708608</v>
      </c>
      <c r="W157">
        <v>10792452</v>
      </c>
    </row>
    <row r="158" spans="2:23">
      <c r="B158">
        <v>2027</v>
      </c>
      <c r="C158" t="str">
        <f t="shared" si="12"/>
        <v>Gasoline</v>
      </c>
      <c r="D158">
        <v>2</v>
      </c>
      <c r="E158">
        <v>56105639936</v>
      </c>
      <c r="F158">
        <v>2218458624</v>
      </c>
      <c r="G158">
        <v>18543992832</v>
      </c>
      <c r="H158">
        <v>3638861568</v>
      </c>
      <c r="I158">
        <v>7700297728</v>
      </c>
      <c r="J158">
        <v>6326215680</v>
      </c>
      <c r="K158">
        <v>5295268864</v>
      </c>
      <c r="L158">
        <v>76249504</v>
      </c>
      <c r="M158">
        <v>1029916</v>
      </c>
      <c r="N158">
        <v>1029915</v>
      </c>
      <c r="O158">
        <v>3089754</v>
      </c>
      <c r="P158">
        <v>23670502</v>
      </c>
      <c r="Q158">
        <v>9309720</v>
      </c>
      <c r="R158">
        <v>9305401</v>
      </c>
      <c r="S158">
        <v>28018090</v>
      </c>
      <c r="T158">
        <v>11152500</v>
      </c>
      <c r="U158">
        <v>11146863</v>
      </c>
      <c r="V158">
        <v>33344652</v>
      </c>
      <c r="W158">
        <v>0</v>
      </c>
    </row>
    <row r="159" spans="2:23">
      <c r="B159">
        <v>2027</v>
      </c>
      <c r="C159" t="str">
        <f t="shared" si="12"/>
        <v>LPG</v>
      </c>
      <c r="D159">
        <v>3</v>
      </c>
      <c r="E159">
        <v>23666626</v>
      </c>
      <c r="F159">
        <v>0</v>
      </c>
      <c r="G159">
        <v>31499756</v>
      </c>
      <c r="H159">
        <v>1989102</v>
      </c>
      <c r="I159">
        <v>10128911</v>
      </c>
      <c r="J159">
        <v>18971838</v>
      </c>
      <c r="K159">
        <v>14940040</v>
      </c>
      <c r="L159">
        <v>12271923</v>
      </c>
      <c r="M159">
        <v>200459</v>
      </c>
      <c r="N159">
        <v>200780</v>
      </c>
      <c r="O159">
        <v>598326</v>
      </c>
      <c r="P159">
        <v>4880235</v>
      </c>
      <c r="Q159">
        <v>1887409</v>
      </c>
      <c r="R159">
        <v>1942211</v>
      </c>
      <c r="S159">
        <v>5811758</v>
      </c>
      <c r="T159">
        <v>2247732</v>
      </c>
      <c r="U159">
        <v>2288848</v>
      </c>
      <c r="V159">
        <v>6863636</v>
      </c>
      <c r="W159">
        <v>0</v>
      </c>
    </row>
    <row r="160" spans="2:23">
      <c r="B160">
        <v>2027</v>
      </c>
      <c r="C160" t="str">
        <f t="shared" ref="C160:C223" si="13">C151</f>
        <v>CNG</v>
      </c>
      <c r="D160">
        <v>4</v>
      </c>
      <c r="E160">
        <v>45032108</v>
      </c>
      <c r="F160">
        <v>746570</v>
      </c>
      <c r="G160">
        <v>687895</v>
      </c>
      <c r="H160">
        <v>9240176</v>
      </c>
      <c r="I160">
        <v>13082103</v>
      </c>
      <c r="J160">
        <v>184851</v>
      </c>
      <c r="K160">
        <v>18523608</v>
      </c>
      <c r="L160">
        <v>49429860</v>
      </c>
      <c r="M160">
        <v>1776710</v>
      </c>
      <c r="N160">
        <v>1776710</v>
      </c>
      <c r="O160">
        <v>5330130</v>
      </c>
      <c r="P160">
        <v>916528832</v>
      </c>
      <c r="Q160">
        <v>122376600</v>
      </c>
      <c r="R160">
        <v>125976072</v>
      </c>
      <c r="S160">
        <v>379665216</v>
      </c>
      <c r="T160">
        <v>143457072</v>
      </c>
      <c r="U160">
        <v>148400512</v>
      </c>
      <c r="V160">
        <v>438002464</v>
      </c>
      <c r="W160">
        <v>0</v>
      </c>
    </row>
    <row r="161" spans="2:23">
      <c r="B161">
        <v>2027</v>
      </c>
      <c r="C161" t="str">
        <f t="shared" si="13"/>
        <v>Flex</v>
      </c>
      <c r="D161">
        <v>5</v>
      </c>
      <c r="E161">
        <v>8608877568</v>
      </c>
      <c r="F161">
        <v>441890752</v>
      </c>
      <c r="G161">
        <v>2429999872</v>
      </c>
      <c r="H161">
        <v>1200259712</v>
      </c>
      <c r="I161">
        <v>448134112</v>
      </c>
      <c r="J161">
        <v>182653008</v>
      </c>
      <c r="K161">
        <v>150347776</v>
      </c>
      <c r="L161">
        <v>0</v>
      </c>
      <c r="M161">
        <v>0</v>
      </c>
      <c r="N161">
        <v>0</v>
      </c>
      <c r="O161">
        <v>0</v>
      </c>
      <c r="P161">
        <v>0</v>
      </c>
      <c r="Q161">
        <v>0</v>
      </c>
      <c r="R161">
        <v>0</v>
      </c>
      <c r="S161">
        <v>0</v>
      </c>
      <c r="T161">
        <v>0</v>
      </c>
      <c r="U161">
        <v>0</v>
      </c>
      <c r="V161">
        <v>0</v>
      </c>
      <c r="W161">
        <v>0</v>
      </c>
    </row>
    <row r="162" spans="2:23">
      <c r="B162">
        <v>2027</v>
      </c>
      <c r="C162" t="str">
        <f t="shared" si="13"/>
        <v>BEV</v>
      </c>
      <c r="D162">
        <v>6</v>
      </c>
      <c r="E162">
        <v>0</v>
      </c>
      <c r="F162">
        <v>0</v>
      </c>
      <c r="G162">
        <v>0</v>
      </c>
      <c r="H162">
        <v>556476</v>
      </c>
      <c r="I162">
        <v>2293338</v>
      </c>
      <c r="J162">
        <v>469996</v>
      </c>
      <c r="K162">
        <v>4927678</v>
      </c>
      <c r="L162">
        <v>0</v>
      </c>
      <c r="M162">
        <v>76618</v>
      </c>
      <c r="N162">
        <v>76617</v>
      </c>
      <c r="O162">
        <v>229852</v>
      </c>
      <c r="P162">
        <v>194981</v>
      </c>
      <c r="Q162">
        <v>1267404</v>
      </c>
      <c r="R162">
        <v>1266426</v>
      </c>
      <c r="S162">
        <v>3799236</v>
      </c>
      <c r="T162">
        <v>0</v>
      </c>
      <c r="U162">
        <v>0</v>
      </c>
      <c r="V162">
        <v>0</v>
      </c>
      <c r="W162">
        <v>0</v>
      </c>
    </row>
    <row r="163" spans="2:23">
      <c r="B163">
        <v>2027</v>
      </c>
      <c r="C163" t="str">
        <f t="shared" si="13"/>
        <v>PHEV diesel</v>
      </c>
      <c r="D163">
        <v>7</v>
      </c>
      <c r="E163">
        <v>34101424</v>
      </c>
      <c r="F163">
        <v>804643</v>
      </c>
      <c r="G163">
        <v>28065144</v>
      </c>
      <c r="H163">
        <v>2276590</v>
      </c>
      <c r="I163">
        <v>4745556</v>
      </c>
      <c r="J163">
        <v>7303424</v>
      </c>
      <c r="K163">
        <v>5745288</v>
      </c>
      <c r="L163">
        <v>1276376</v>
      </c>
      <c r="M163">
        <v>0</v>
      </c>
      <c r="N163">
        <v>0</v>
      </c>
      <c r="O163">
        <v>0</v>
      </c>
      <c r="P163">
        <v>3502284</v>
      </c>
      <c r="Q163">
        <v>0</v>
      </c>
      <c r="R163">
        <v>0</v>
      </c>
      <c r="S163">
        <v>0</v>
      </c>
      <c r="T163">
        <v>0</v>
      </c>
      <c r="U163">
        <v>0</v>
      </c>
      <c r="V163">
        <v>0</v>
      </c>
      <c r="W163">
        <v>0</v>
      </c>
    </row>
    <row r="164" spans="2:23">
      <c r="B164">
        <v>2027</v>
      </c>
      <c r="C164" t="str">
        <f t="shared" si="13"/>
        <v>PHEV gasoline</v>
      </c>
      <c r="D164">
        <v>8</v>
      </c>
      <c r="E164">
        <v>35958364</v>
      </c>
      <c r="F164">
        <v>858212</v>
      </c>
      <c r="G164">
        <v>28433462</v>
      </c>
      <c r="H164">
        <v>1833676</v>
      </c>
      <c r="I164">
        <v>4399770</v>
      </c>
      <c r="J164">
        <v>6742428</v>
      </c>
      <c r="K164">
        <v>5427875</v>
      </c>
      <c r="L164">
        <v>2416074</v>
      </c>
      <c r="M164">
        <v>0</v>
      </c>
      <c r="N164">
        <v>0</v>
      </c>
      <c r="O164">
        <v>0</v>
      </c>
      <c r="P164">
        <v>7840118</v>
      </c>
      <c r="Q164">
        <v>0</v>
      </c>
      <c r="R164">
        <v>0</v>
      </c>
      <c r="S164">
        <v>0</v>
      </c>
      <c r="T164">
        <v>0</v>
      </c>
      <c r="U164">
        <v>0</v>
      </c>
      <c r="V164">
        <v>0</v>
      </c>
      <c r="W164">
        <v>0</v>
      </c>
    </row>
    <row r="165" spans="2:23">
      <c r="B165">
        <v>2027</v>
      </c>
      <c r="C165" t="str">
        <f t="shared" si="13"/>
        <v>Fuel cell</v>
      </c>
      <c r="D165">
        <v>9</v>
      </c>
      <c r="E165">
        <v>0</v>
      </c>
      <c r="F165">
        <v>0</v>
      </c>
      <c r="G165">
        <v>0</v>
      </c>
      <c r="H165">
        <v>7670</v>
      </c>
      <c r="I165">
        <v>8026122</v>
      </c>
      <c r="J165">
        <v>12354930</v>
      </c>
      <c r="K165">
        <v>9815467</v>
      </c>
      <c r="L165">
        <v>1530082</v>
      </c>
      <c r="M165">
        <v>198124</v>
      </c>
      <c r="N165">
        <v>198124</v>
      </c>
      <c r="O165">
        <v>594376</v>
      </c>
      <c r="P165">
        <v>4142398</v>
      </c>
      <c r="Q165">
        <v>1791371</v>
      </c>
      <c r="R165">
        <v>1790343</v>
      </c>
      <c r="S165">
        <v>5390680</v>
      </c>
      <c r="T165">
        <v>2146210</v>
      </c>
      <c r="U165">
        <v>2144688</v>
      </c>
      <c r="V165">
        <v>6416227</v>
      </c>
      <c r="W165">
        <v>0</v>
      </c>
    </row>
    <row r="166" spans="2:23">
      <c r="B166">
        <v>2028</v>
      </c>
      <c r="C166" t="str">
        <f t="shared" si="13"/>
        <v>Diesel</v>
      </c>
      <c r="D166">
        <v>1</v>
      </c>
      <c r="E166">
        <v>35697823744</v>
      </c>
      <c r="F166">
        <v>83305168</v>
      </c>
      <c r="G166">
        <v>50032353280</v>
      </c>
      <c r="H166">
        <v>2995851008</v>
      </c>
      <c r="I166">
        <v>9071389696</v>
      </c>
      <c r="J166">
        <v>16962542592</v>
      </c>
      <c r="K166">
        <v>15236146176</v>
      </c>
      <c r="L166">
        <v>12311238656</v>
      </c>
      <c r="M166">
        <v>1515388032</v>
      </c>
      <c r="N166">
        <v>1515387520</v>
      </c>
      <c r="O166">
        <v>4546179072</v>
      </c>
      <c r="P166">
        <v>29557157888</v>
      </c>
      <c r="Q166">
        <v>12917560320</v>
      </c>
      <c r="R166">
        <v>12912428032</v>
      </c>
      <c r="S166">
        <v>38881587200</v>
      </c>
      <c r="T166">
        <v>15474165760</v>
      </c>
      <c r="U166">
        <v>15468205056</v>
      </c>
      <c r="V166">
        <v>46270271488</v>
      </c>
      <c r="W166">
        <v>11176272</v>
      </c>
    </row>
    <row r="167" spans="2:23">
      <c r="B167">
        <v>2028</v>
      </c>
      <c r="C167" t="str">
        <f t="shared" si="13"/>
        <v>Gasoline</v>
      </c>
      <c r="D167">
        <v>2</v>
      </c>
      <c r="E167">
        <v>57230499840</v>
      </c>
      <c r="F167">
        <v>2262936832</v>
      </c>
      <c r="G167">
        <v>19642368000</v>
      </c>
      <c r="H167">
        <v>3520377088</v>
      </c>
      <c r="I167">
        <v>7522848256</v>
      </c>
      <c r="J167">
        <v>6524575744</v>
      </c>
      <c r="K167">
        <v>5433614848</v>
      </c>
      <c r="L167">
        <v>68436848</v>
      </c>
      <c r="M167">
        <v>1190646</v>
      </c>
      <c r="N167">
        <v>1190646</v>
      </c>
      <c r="O167">
        <v>3571953</v>
      </c>
      <c r="P167">
        <v>26625116</v>
      </c>
      <c r="Q167">
        <v>10764910</v>
      </c>
      <c r="R167">
        <v>10758792</v>
      </c>
      <c r="S167">
        <v>32397128</v>
      </c>
      <c r="T167">
        <v>12895687</v>
      </c>
      <c r="U167">
        <v>12888828</v>
      </c>
      <c r="V167">
        <v>38556496</v>
      </c>
      <c r="W167">
        <v>0</v>
      </c>
    </row>
    <row r="168" spans="2:23">
      <c r="B168">
        <v>2028</v>
      </c>
      <c r="C168" t="str">
        <f t="shared" si="13"/>
        <v>LPG</v>
      </c>
      <c r="D168">
        <v>3</v>
      </c>
      <c r="E168">
        <v>29348560</v>
      </c>
      <c r="F168">
        <v>0</v>
      </c>
      <c r="G168">
        <v>36746100</v>
      </c>
      <c r="H168">
        <v>2327904</v>
      </c>
      <c r="I168">
        <v>10951470</v>
      </c>
      <c r="J168">
        <v>19566922</v>
      </c>
      <c r="K168">
        <v>15786121</v>
      </c>
      <c r="L168">
        <v>11112353</v>
      </c>
      <c r="M168">
        <v>221704</v>
      </c>
      <c r="N168">
        <v>221860</v>
      </c>
      <c r="O168">
        <v>658874</v>
      </c>
      <c r="P168">
        <v>5381654</v>
      </c>
      <c r="Q168">
        <v>2087734</v>
      </c>
      <c r="R168">
        <v>2148308</v>
      </c>
      <c r="S168">
        <v>6410414</v>
      </c>
      <c r="T168">
        <v>2485907</v>
      </c>
      <c r="U168">
        <v>2529646</v>
      </c>
      <c r="V168">
        <v>7562440</v>
      </c>
      <c r="W168">
        <v>0</v>
      </c>
    </row>
    <row r="169" spans="2:23">
      <c r="B169">
        <v>2028</v>
      </c>
      <c r="C169" t="str">
        <f t="shared" si="13"/>
        <v>CNG</v>
      </c>
      <c r="D169">
        <v>4</v>
      </c>
      <c r="E169">
        <v>40981356</v>
      </c>
      <c r="F169">
        <v>691940</v>
      </c>
      <c r="G169">
        <v>633703</v>
      </c>
      <c r="H169">
        <v>8492670</v>
      </c>
      <c r="I169">
        <v>11519440</v>
      </c>
      <c r="J169">
        <v>172211</v>
      </c>
      <c r="K169">
        <v>18440364</v>
      </c>
      <c r="L169">
        <v>48034064</v>
      </c>
      <c r="M169">
        <v>1529238</v>
      </c>
      <c r="N169">
        <v>1529238</v>
      </c>
      <c r="O169">
        <v>4587716</v>
      </c>
      <c r="P169">
        <v>889101568</v>
      </c>
      <c r="Q169">
        <v>124622688</v>
      </c>
      <c r="R169">
        <v>129660976</v>
      </c>
      <c r="S169">
        <v>388106336</v>
      </c>
      <c r="T169">
        <v>145509408</v>
      </c>
      <c r="U169">
        <v>151412512</v>
      </c>
      <c r="V169">
        <v>445248576</v>
      </c>
      <c r="W169">
        <v>0</v>
      </c>
    </row>
    <row r="170" spans="2:23">
      <c r="B170">
        <v>2028</v>
      </c>
      <c r="C170" t="str">
        <f t="shared" si="13"/>
        <v>Flex</v>
      </c>
      <c r="D170">
        <v>5</v>
      </c>
      <c r="E170">
        <v>8373843968</v>
      </c>
      <c r="F170">
        <v>423548800</v>
      </c>
      <c r="G170">
        <v>2513751808</v>
      </c>
      <c r="H170">
        <v>1127987712</v>
      </c>
      <c r="I170">
        <v>448234944</v>
      </c>
      <c r="J170">
        <v>222591200</v>
      </c>
      <c r="K170">
        <v>183410752</v>
      </c>
      <c r="L170">
        <v>0</v>
      </c>
      <c r="M170">
        <v>0</v>
      </c>
      <c r="N170">
        <v>0</v>
      </c>
      <c r="O170">
        <v>0</v>
      </c>
      <c r="P170">
        <v>0</v>
      </c>
      <c r="Q170">
        <v>0</v>
      </c>
      <c r="R170">
        <v>0</v>
      </c>
      <c r="S170">
        <v>0</v>
      </c>
      <c r="T170">
        <v>0</v>
      </c>
      <c r="U170">
        <v>0</v>
      </c>
      <c r="V170">
        <v>0</v>
      </c>
      <c r="W170">
        <v>0</v>
      </c>
    </row>
    <row r="171" spans="2:23">
      <c r="B171">
        <v>2028</v>
      </c>
      <c r="C171" t="str">
        <f t="shared" si="13"/>
        <v>BEV</v>
      </c>
      <c r="D171">
        <v>6</v>
      </c>
      <c r="E171">
        <v>0</v>
      </c>
      <c r="F171">
        <v>0</v>
      </c>
      <c r="G171">
        <v>0</v>
      </c>
      <c r="H171">
        <v>536220</v>
      </c>
      <c r="I171">
        <v>2328809</v>
      </c>
      <c r="J171">
        <v>430217</v>
      </c>
      <c r="K171">
        <v>5107670</v>
      </c>
      <c r="L171">
        <v>0</v>
      </c>
      <c r="M171">
        <v>83075</v>
      </c>
      <c r="N171">
        <v>83074</v>
      </c>
      <c r="O171">
        <v>249224</v>
      </c>
      <c r="P171">
        <v>206704</v>
      </c>
      <c r="Q171">
        <v>1310505</v>
      </c>
      <c r="R171">
        <v>1309195</v>
      </c>
      <c r="S171">
        <v>3927692</v>
      </c>
      <c r="T171">
        <v>0</v>
      </c>
      <c r="U171">
        <v>0</v>
      </c>
      <c r="V171">
        <v>0</v>
      </c>
      <c r="W171">
        <v>0</v>
      </c>
    </row>
    <row r="172" spans="2:23">
      <c r="B172">
        <v>2028</v>
      </c>
      <c r="C172" t="str">
        <f t="shared" si="13"/>
        <v>PHEV diesel</v>
      </c>
      <c r="D172">
        <v>7</v>
      </c>
      <c r="E172">
        <v>41560020</v>
      </c>
      <c r="F172">
        <v>977578</v>
      </c>
      <c r="G172">
        <v>33818896</v>
      </c>
      <c r="H172">
        <v>2736338</v>
      </c>
      <c r="I172">
        <v>5821898</v>
      </c>
      <c r="J172">
        <v>8959844</v>
      </c>
      <c r="K172">
        <v>7039689</v>
      </c>
      <c r="L172">
        <v>1594589</v>
      </c>
      <c r="M172">
        <v>0</v>
      </c>
      <c r="N172">
        <v>0</v>
      </c>
      <c r="O172">
        <v>0</v>
      </c>
      <c r="P172">
        <v>4373214</v>
      </c>
      <c r="Q172">
        <v>0</v>
      </c>
      <c r="R172">
        <v>0</v>
      </c>
      <c r="S172">
        <v>0</v>
      </c>
      <c r="T172">
        <v>0</v>
      </c>
      <c r="U172">
        <v>0</v>
      </c>
      <c r="V172">
        <v>0</v>
      </c>
      <c r="W172">
        <v>0</v>
      </c>
    </row>
    <row r="173" spans="2:23">
      <c r="B173">
        <v>2028</v>
      </c>
      <c r="C173" t="str">
        <f t="shared" si="13"/>
        <v>PHEV gasoline</v>
      </c>
      <c r="D173">
        <v>8</v>
      </c>
      <c r="E173">
        <v>43808308</v>
      </c>
      <c r="F173">
        <v>1045360</v>
      </c>
      <c r="G173">
        <v>34119856</v>
      </c>
      <c r="H173">
        <v>2192232</v>
      </c>
      <c r="I173">
        <v>5367509</v>
      </c>
      <c r="J173">
        <v>8225500</v>
      </c>
      <c r="K173">
        <v>6621911</v>
      </c>
      <c r="L173">
        <v>2992422</v>
      </c>
      <c r="M173">
        <v>0</v>
      </c>
      <c r="N173">
        <v>0</v>
      </c>
      <c r="O173">
        <v>0</v>
      </c>
      <c r="P173">
        <v>9741533</v>
      </c>
      <c r="Q173">
        <v>0</v>
      </c>
      <c r="R173">
        <v>0</v>
      </c>
      <c r="S173">
        <v>0</v>
      </c>
      <c r="T173">
        <v>0</v>
      </c>
      <c r="U173">
        <v>0</v>
      </c>
      <c r="V173">
        <v>0</v>
      </c>
      <c r="W173">
        <v>0</v>
      </c>
    </row>
    <row r="174" spans="2:23">
      <c r="B174">
        <v>2028</v>
      </c>
      <c r="C174" t="str">
        <f t="shared" si="13"/>
        <v>Fuel cell</v>
      </c>
      <c r="D174">
        <v>9</v>
      </c>
      <c r="E174">
        <v>0</v>
      </c>
      <c r="F174">
        <v>0</v>
      </c>
      <c r="G174">
        <v>0</v>
      </c>
      <c r="H174">
        <v>9562</v>
      </c>
      <c r="I174">
        <v>9877571</v>
      </c>
      <c r="J174">
        <v>15204822</v>
      </c>
      <c r="K174">
        <v>12079445</v>
      </c>
      <c r="L174">
        <v>1915328</v>
      </c>
      <c r="M174">
        <v>247954</v>
      </c>
      <c r="N174">
        <v>247954</v>
      </c>
      <c r="O174">
        <v>743868</v>
      </c>
      <c r="P174">
        <v>5186714</v>
      </c>
      <c r="Q174">
        <v>2242478</v>
      </c>
      <c r="R174">
        <v>2240906</v>
      </c>
      <c r="S174">
        <v>6748186</v>
      </c>
      <c r="T174">
        <v>2686594</v>
      </c>
      <c r="U174">
        <v>2684699</v>
      </c>
      <c r="V174">
        <v>8031894</v>
      </c>
      <c r="W174">
        <v>0</v>
      </c>
    </row>
    <row r="175" spans="2:23">
      <c r="B175">
        <v>2029</v>
      </c>
      <c r="C175" t="str">
        <f t="shared" si="13"/>
        <v>Diesel</v>
      </c>
      <c r="D175">
        <v>1</v>
      </c>
      <c r="E175">
        <v>36015734784</v>
      </c>
      <c r="F175">
        <v>84047048</v>
      </c>
      <c r="G175">
        <v>50105659392</v>
      </c>
      <c r="H175">
        <v>3115232000</v>
      </c>
      <c r="I175">
        <v>9400853504</v>
      </c>
      <c r="J175">
        <v>17157475328</v>
      </c>
      <c r="K175">
        <v>15219946496</v>
      </c>
      <c r="L175">
        <v>12245694464</v>
      </c>
      <c r="M175">
        <v>1512444544</v>
      </c>
      <c r="N175">
        <v>1512444800</v>
      </c>
      <c r="O175">
        <v>4537357824</v>
      </c>
      <c r="P175">
        <v>29808314368</v>
      </c>
      <c r="Q175">
        <v>12982994944</v>
      </c>
      <c r="R175">
        <v>12977354752</v>
      </c>
      <c r="S175">
        <v>39078068224</v>
      </c>
      <c r="T175">
        <v>15552738304</v>
      </c>
      <c r="U175">
        <v>15545783296</v>
      </c>
      <c r="V175">
        <v>46505160704</v>
      </c>
      <c r="W175">
        <v>11474709</v>
      </c>
    </row>
    <row r="176" spans="2:23">
      <c r="B176">
        <v>2029</v>
      </c>
      <c r="C176" t="str">
        <f t="shared" si="13"/>
        <v>Gasoline</v>
      </c>
      <c r="D176">
        <v>2</v>
      </c>
      <c r="E176">
        <v>58271313920</v>
      </c>
      <c r="F176">
        <v>2304091136</v>
      </c>
      <c r="G176">
        <v>20690219008</v>
      </c>
      <c r="H176">
        <v>3414508800</v>
      </c>
      <c r="I176">
        <v>7362054144</v>
      </c>
      <c r="J176">
        <v>6705456128</v>
      </c>
      <c r="K176">
        <v>5567541248</v>
      </c>
      <c r="L176">
        <v>61370624</v>
      </c>
      <c r="M176">
        <v>1343794</v>
      </c>
      <c r="N176">
        <v>1343794</v>
      </c>
      <c r="O176">
        <v>4031404</v>
      </c>
      <c r="P176">
        <v>29511504</v>
      </c>
      <c r="Q176">
        <v>12151643</v>
      </c>
      <c r="R176">
        <v>12144708</v>
      </c>
      <c r="S176">
        <v>36571020</v>
      </c>
      <c r="T176">
        <v>14556997</v>
      </c>
      <c r="U176">
        <v>14548694</v>
      </c>
      <c r="V176">
        <v>43524272</v>
      </c>
      <c r="W176">
        <v>0</v>
      </c>
    </row>
    <row r="177" spans="2:23">
      <c r="B177">
        <v>2029</v>
      </c>
      <c r="C177" t="str">
        <f t="shared" si="13"/>
        <v>LPG</v>
      </c>
      <c r="D177">
        <v>3</v>
      </c>
      <c r="E177">
        <v>34954948</v>
      </c>
      <c r="F177">
        <v>0</v>
      </c>
      <c r="G177">
        <v>41829868</v>
      </c>
      <c r="H177">
        <v>2653688</v>
      </c>
      <c r="I177">
        <v>11766269</v>
      </c>
      <c r="J177">
        <v>20253240</v>
      </c>
      <c r="K177">
        <v>16575570</v>
      </c>
      <c r="L177">
        <v>9957414</v>
      </c>
      <c r="M177">
        <v>239298</v>
      </c>
      <c r="N177">
        <v>239112</v>
      </c>
      <c r="O177">
        <v>708275</v>
      </c>
      <c r="P177">
        <v>5792224</v>
      </c>
      <c r="Q177">
        <v>2252411</v>
      </c>
      <c r="R177">
        <v>2317905</v>
      </c>
      <c r="S177">
        <v>6901347</v>
      </c>
      <c r="T177">
        <v>2682382</v>
      </c>
      <c r="U177">
        <v>2728148</v>
      </c>
      <c r="V177">
        <v>8137738</v>
      </c>
      <c r="W177">
        <v>0</v>
      </c>
    </row>
    <row r="178" spans="2:23">
      <c r="B178">
        <v>2029</v>
      </c>
      <c r="C178" t="str">
        <f t="shared" si="13"/>
        <v>CNG</v>
      </c>
      <c r="D178">
        <v>4</v>
      </c>
      <c r="E178">
        <v>36867884</v>
      </c>
      <c r="F178">
        <v>634946</v>
      </c>
      <c r="G178">
        <v>584000</v>
      </c>
      <c r="H178">
        <v>7808176</v>
      </c>
      <c r="I178">
        <v>10090241</v>
      </c>
      <c r="J178">
        <v>168624</v>
      </c>
      <c r="K178">
        <v>18145278</v>
      </c>
      <c r="L178">
        <v>46147812</v>
      </c>
      <c r="M178">
        <v>1289900</v>
      </c>
      <c r="N178">
        <v>1289900</v>
      </c>
      <c r="O178">
        <v>3869700</v>
      </c>
      <c r="P178">
        <v>857732160</v>
      </c>
      <c r="Q178">
        <v>125861576</v>
      </c>
      <c r="R178">
        <v>131409112</v>
      </c>
      <c r="S178">
        <v>392424352</v>
      </c>
      <c r="T178">
        <v>146348848</v>
      </c>
      <c r="U178">
        <v>153256112</v>
      </c>
      <c r="V178">
        <v>447917280</v>
      </c>
      <c r="W178">
        <v>0</v>
      </c>
    </row>
    <row r="179" spans="2:23">
      <c r="B179">
        <v>2029</v>
      </c>
      <c r="C179" t="str">
        <f t="shared" si="13"/>
        <v>Flex</v>
      </c>
      <c r="D179">
        <v>5</v>
      </c>
      <c r="E179">
        <v>8205707264</v>
      </c>
      <c r="F179">
        <v>400247808</v>
      </c>
      <c r="G179">
        <v>2599989248</v>
      </c>
      <c r="H179">
        <v>1062348608</v>
      </c>
      <c r="I179">
        <v>450698528</v>
      </c>
      <c r="J179">
        <v>263406192</v>
      </c>
      <c r="K179">
        <v>217487520</v>
      </c>
      <c r="L179">
        <v>0</v>
      </c>
      <c r="M179">
        <v>0</v>
      </c>
      <c r="N179">
        <v>0</v>
      </c>
      <c r="O179">
        <v>0</v>
      </c>
      <c r="P179">
        <v>0</v>
      </c>
      <c r="Q179">
        <v>0</v>
      </c>
      <c r="R179">
        <v>0</v>
      </c>
      <c r="S179">
        <v>0</v>
      </c>
      <c r="T179">
        <v>0</v>
      </c>
      <c r="U179">
        <v>0</v>
      </c>
      <c r="V179">
        <v>0</v>
      </c>
      <c r="W179">
        <v>0</v>
      </c>
    </row>
    <row r="180" spans="2:23">
      <c r="B180">
        <v>2029</v>
      </c>
      <c r="C180" t="str">
        <f t="shared" si="13"/>
        <v>BEV</v>
      </c>
      <c r="D180">
        <v>6</v>
      </c>
      <c r="E180">
        <v>0</v>
      </c>
      <c r="F180">
        <v>0</v>
      </c>
      <c r="G180">
        <v>0</v>
      </c>
      <c r="H180">
        <v>504088</v>
      </c>
      <c r="I180">
        <v>2335526</v>
      </c>
      <c r="J180">
        <v>393846</v>
      </c>
      <c r="K180">
        <v>5206236</v>
      </c>
      <c r="L180">
        <v>0</v>
      </c>
      <c r="M180">
        <v>88264</v>
      </c>
      <c r="N180">
        <v>88264</v>
      </c>
      <c r="O180">
        <v>264792</v>
      </c>
      <c r="P180">
        <v>215189</v>
      </c>
      <c r="Q180">
        <v>1334598</v>
      </c>
      <c r="R180">
        <v>1332962</v>
      </c>
      <c r="S180">
        <v>3999151</v>
      </c>
      <c r="T180">
        <v>0</v>
      </c>
      <c r="U180">
        <v>0</v>
      </c>
      <c r="V180">
        <v>0</v>
      </c>
      <c r="W180">
        <v>0</v>
      </c>
    </row>
    <row r="181" spans="2:23">
      <c r="B181">
        <v>2029</v>
      </c>
      <c r="C181" t="str">
        <f t="shared" si="13"/>
        <v>PHEV diesel</v>
      </c>
      <c r="D181">
        <v>7</v>
      </c>
      <c r="E181">
        <v>48548716</v>
      </c>
      <c r="F181">
        <v>1135937</v>
      </c>
      <c r="G181">
        <v>39624512</v>
      </c>
      <c r="H181">
        <v>3191136</v>
      </c>
      <c r="I181">
        <v>6841099</v>
      </c>
      <c r="J181">
        <v>10528238</v>
      </c>
      <c r="K181">
        <v>8265404</v>
      </c>
      <c r="L181">
        <v>1910038</v>
      </c>
      <c r="M181">
        <v>0</v>
      </c>
      <c r="N181">
        <v>0</v>
      </c>
      <c r="O181">
        <v>0</v>
      </c>
      <c r="P181">
        <v>5234466</v>
      </c>
      <c r="Q181">
        <v>0</v>
      </c>
      <c r="R181">
        <v>0</v>
      </c>
      <c r="S181">
        <v>0</v>
      </c>
      <c r="T181">
        <v>0</v>
      </c>
      <c r="U181">
        <v>0</v>
      </c>
      <c r="V181">
        <v>0</v>
      </c>
      <c r="W181">
        <v>0</v>
      </c>
    </row>
    <row r="182" spans="2:23">
      <c r="B182">
        <v>2029</v>
      </c>
      <c r="C182" t="str">
        <f t="shared" si="13"/>
        <v>PHEV gasoline</v>
      </c>
      <c r="D182">
        <v>8</v>
      </c>
      <c r="E182">
        <v>50983824</v>
      </c>
      <c r="F182">
        <v>1215670</v>
      </c>
      <c r="G182">
        <v>39734108</v>
      </c>
      <c r="H182">
        <v>2540426</v>
      </c>
      <c r="I182">
        <v>6275594</v>
      </c>
      <c r="J182">
        <v>9616910</v>
      </c>
      <c r="K182">
        <v>7737115</v>
      </c>
      <c r="L182">
        <v>3550256</v>
      </c>
      <c r="M182">
        <v>0</v>
      </c>
      <c r="N182">
        <v>0</v>
      </c>
      <c r="O182">
        <v>0</v>
      </c>
      <c r="P182">
        <v>11593341</v>
      </c>
      <c r="Q182">
        <v>0</v>
      </c>
      <c r="R182">
        <v>0</v>
      </c>
      <c r="S182">
        <v>0</v>
      </c>
      <c r="T182">
        <v>0</v>
      </c>
      <c r="U182">
        <v>0</v>
      </c>
      <c r="V182">
        <v>0</v>
      </c>
      <c r="W182">
        <v>0</v>
      </c>
    </row>
    <row r="183" spans="2:23">
      <c r="B183">
        <v>2029</v>
      </c>
      <c r="C183" t="str">
        <f t="shared" si="13"/>
        <v>Fuel cell</v>
      </c>
      <c r="D183">
        <v>9</v>
      </c>
      <c r="E183">
        <v>0</v>
      </c>
      <c r="F183">
        <v>0</v>
      </c>
      <c r="G183">
        <v>0</v>
      </c>
      <c r="H183">
        <v>11391</v>
      </c>
      <c r="I183">
        <v>11641179</v>
      </c>
      <c r="J183">
        <v>17919514</v>
      </c>
      <c r="K183">
        <v>14235586</v>
      </c>
      <c r="L183">
        <v>2296177</v>
      </c>
      <c r="M183">
        <v>297200</v>
      </c>
      <c r="N183">
        <v>297200</v>
      </c>
      <c r="O183">
        <v>891607</v>
      </c>
      <c r="P183">
        <v>6220548</v>
      </c>
      <c r="Q183">
        <v>2688336</v>
      </c>
      <c r="R183">
        <v>2686510</v>
      </c>
      <c r="S183">
        <v>8090168</v>
      </c>
      <c r="T183">
        <v>3220727</v>
      </c>
      <c r="U183">
        <v>3218386</v>
      </c>
      <c r="V183">
        <v>9629102</v>
      </c>
      <c r="W183">
        <v>0</v>
      </c>
    </row>
    <row r="184" spans="2:23">
      <c r="B184">
        <v>2030</v>
      </c>
      <c r="C184" t="str">
        <f t="shared" si="13"/>
        <v>Diesel</v>
      </c>
      <c r="D184">
        <v>1</v>
      </c>
      <c r="E184">
        <v>36245159936</v>
      </c>
      <c r="F184">
        <v>84582408</v>
      </c>
      <c r="G184">
        <v>50371108864</v>
      </c>
      <c r="H184">
        <v>3237403136</v>
      </c>
      <c r="I184">
        <v>9699309568</v>
      </c>
      <c r="J184">
        <v>17338466304</v>
      </c>
      <c r="K184">
        <v>15206537216</v>
      </c>
      <c r="L184">
        <v>12170705920</v>
      </c>
      <c r="M184">
        <v>1507500544</v>
      </c>
      <c r="N184">
        <v>1507502208</v>
      </c>
      <c r="O184">
        <v>4522531840</v>
      </c>
      <c r="P184">
        <v>29974423552</v>
      </c>
      <c r="Q184">
        <v>13016894464</v>
      </c>
      <c r="R184">
        <v>13010767872</v>
      </c>
      <c r="S184">
        <v>39179931648</v>
      </c>
      <c r="T184">
        <v>15593614336</v>
      </c>
      <c r="U184">
        <v>15585474560</v>
      </c>
      <c r="V184">
        <v>46627672064</v>
      </c>
      <c r="W184">
        <v>11718101</v>
      </c>
    </row>
    <row r="185" spans="2:23">
      <c r="B185">
        <v>2030</v>
      </c>
      <c r="C185" t="str">
        <f t="shared" si="13"/>
        <v>Gasoline</v>
      </c>
      <c r="D185">
        <v>2</v>
      </c>
      <c r="E185">
        <v>59087847424</v>
      </c>
      <c r="F185">
        <v>2336377856</v>
      </c>
      <c r="G185">
        <v>21724815360</v>
      </c>
      <c r="H185">
        <v>3333831424</v>
      </c>
      <c r="I185">
        <v>7223919616</v>
      </c>
      <c r="J185">
        <v>6865217024</v>
      </c>
      <c r="K185">
        <v>5691067392</v>
      </c>
      <c r="L185">
        <v>55955364</v>
      </c>
      <c r="M185">
        <v>1488021</v>
      </c>
      <c r="N185">
        <v>1488022</v>
      </c>
      <c r="O185">
        <v>4464095</v>
      </c>
      <c r="P185">
        <v>32295738</v>
      </c>
      <c r="Q185">
        <v>13457827</v>
      </c>
      <c r="R185">
        <v>13449952</v>
      </c>
      <c r="S185">
        <v>40502528</v>
      </c>
      <c r="T185">
        <v>16121972</v>
      </c>
      <c r="U185">
        <v>16111883</v>
      </c>
      <c r="V185">
        <v>48204152</v>
      </c>
      <c r="W185">
        <v>0</v>
      </c>
    </row>
    <row r="186" spans="2:23">
      <c r="B186">
        <v>2030</v>
      </c>
      <c r="C186" t="str">
        <f t="shared" si="13"/>
        <v>LPG</v>
      </c>
      <c r="D186">
        <v>3</v>
      </c>
      <c r="E186">
        <v>41094256</v>
      </c>
      <c r="F186">
        <v>0</v>
      </c>
      <c r="G186">
        <v>46895428</v>
      </c>
      <c r="H186">
        <v>2975332</v>
      </c>
      <c r="I186">
        <v>12586226</v>
      </c>
      <c r="J186">
        <v>21068118</v>
      </c>
      <c r="K186">
        <v>17410374</v>
      </c>
      <c r="L186">
        <v>8903127</v>
      </c>
      <c r="M186">
        <v>253564</v>
      </c>
      <c r="N186">
        <v>252877</v>
      </c>
      <c r="O186">
        <v>747922</v>
      </c>
      <c r="P186">
        <v>6127313</v>
      </c>
      <c r="Q186">
        <v>2384774</v>
      </c>
      <c r="R186">
        <v>2454482</v>
      </c>
      <c r="S186">
        <v>7296202</v>
      </c>
      <c r="T186">
        <v>2841407</v>
      </c>
      <c r="U186">
        <v>2888614</v>
      </c>
      <c r="V186">
        <v>8608828</v>
      </c>
      <c r="W186">
        <v>0</v>
      </c>
    </row>
    <row r="187" spans="2:23">
      <c r="B187">
        <v>2030</v>
      </c>
      <c r="C187" t="str">
        <f t="shared" si="13"/>
        <v>CNG</v>
      </c>
      <c r="D187">
        <v>4</v>
      </c>
      <c r="E187">
        <v>33253092</v>
      </c>
      <c r="F187">
        <v>584410</v>
      </c>
      <c r="G187">
        <v>539208</v>
      </c>
      <c r="H187">
        <v>7192048</v>
      </c>
      <c r="I187">
        <v>8848681</v>
      </c>
      <c r="J187">
        <v>159702</v>
      </c>
      <c r="K187">
        <v>17624778</v>
      </c>
      <c r="L187">
        <v>43974596</v>
      </c>
      <c r="M187">
        <v>1073894</v>
      </c>
      <c r="N187">
        <v>1073894</v>
      </c>
      <c r="O187">
        <v>3221681</v>
      </c>
      <c r="P187">
        <v>822803584</v>
      </c>
      <c r="Q187">
        <v>126364872</v>
      </c>
      <c r="R187">
        <v>132406616</v>
      </c>
      <c r="S187">
        <v>394184416</v>
      </c>
      <c r="T187">
        <v>146239376</v>
      </c>
      <c r="U187">
        <v>154352352</v>
      </c>
      <c r="V187">
        <v>447368992</v>
      </c>
      <c r="W187">
        <v>0</v>
      </c>
    </row>
    <row r="188" spans="2:23">
      <c r="B188">
        <v>2030</v>
      </c>
      <c r="C188" t="str">
        <f t="shared" si="13"/>
        <v>Flex</v>
      </c>
      <c r="D188">
        <v>5</v>
      </c>
      <c r="E188">
        <v>8223274496</v>
      </c>
      <c r="F188">
        <v>383586592</v>
      </c>
      <c r="G188">
        <v>2687891200</v>
      </c>
      <c r="H188">
        <v>1004907904</v>
      </c>
      <c r="I188">
        <v>456848896</v>
      </c>
      <c r="J188">
        <v>305301952</v>
      </c>
      <c r="K188">
        <v>252701872</v>
      </c>
      <c r="L188">
        <v>0</v>
      </c>
      <c r="M188">
        <v>0</v>
      </c>
      <c r="N188">
        <v>0</v>
      </c>
      <c r="O188">
        <v>0</v>
      </c>
      <c r="P188">
        <v>0</v>
      </c>
      <c r="Q188">
        <v>0</v>
      </c>
      <c r="R188">
        <v>0</v>
      </c>
      <c r="S188">
        <v>0</v>
      </c>
      <c r="T188">
        <v>0</v>
      </c>
      <c r="U188">
        <v>0</v>
      </c>
      <c r="V188">
        <v>0</v>
      </c>
      <c r="W188">
        <v>0</v>
      </c>
    </row>
    <row r="189" spans="2:23">
      <c r="B189">
        <v>2030</v>
      </c>
      <c r="C189" t="str">
        <f t="shared" si="13"/>
        <v>BEV</v>
      </c>
      <c r="D189">
        <v>6</v>
      </c>
      <c r="E189">
        <v>0</v>
      </c>
      <c r="F189">
        <v>0</v>
      </c>
      <c r="G189">
        <v>0</v>
      </c>
      <c r="H189">
        <v>463161</v>
      </c>
      <c r="I189">
        <v>2320366</v>
      </c>
      <c r="J189">
        <v>362010</v>
      </c>
      <c r="K189">
        <v>5239298</v>
      </c>
      <c r="L189">
        <v>0</v>
      </c>
      <c r="M189">
        <v>92236</v>
      </c>
      <c r="N189">
        <v>92235</v>
      </c>
      <c r="O189">
        <v>276709</v>
      </c>
      <c r="P189">
        <v>220749</v>
      </c>
      <c r="Q189">
        <v>1341533</v>
      </c>
      <c r="R189">
        <v>1339575</v>
      </c>
      <c r="S189">
        <v>4019187</v>
      </c>
      <c r="T189">
        <v>0</v>
      </c>
      <c r="U189">
        <v>0</v>
      </c>
      <c r="V189">
        <v>0</v>
      </c>
      <c r="W189">
        <v>0</v>
      </c>
    </row>
    <row r="190" spans="2:23">
      <c r="B190">
        <v>2030</v>
      </c>
      <c r="C190" t="str">
        <f t="shared" si="13"/>
        <v>PHEV diesel</v>
      </c>
      <c r="D190">
        <v>7</v>
      </c>
      <c r="E190">
        <v>55881112</v>
      </c>
      <c r="F190">
        <v>1298347</v>
      </c>
      <c r="G190">
        <v>45583076</v>
      </c>
      <c r="H190">
        <v>3646662</v>
      </c>
      <c r="I190">
        <v>7802790</v>
      </c>
      <c r="J190">
        <v>12008066</v>
      </c>
      <c r="K190">
        <v>9430496</v>
      </c>
      <c r="L190">
        <v>2222556</v>
      </c>
      <c r="M190">
        <v>0</v>
      </c>
      <c r="N190">
        <v>0</v>
      </c>
      <c r="O190">
        <v>0</v>
      </c>
      <c r="P190">
        <v>6085243</v>
      </c>
      <c r="Q190">
        <v>0</v>
      </c>
      <c r="R190">
        <v>0</v>
      </c>
      <c r="S190">
        <v>0</v>
      </c>
      <c r="T190">
        <v>0</v>
      </c>
      <c r="U190">
        <v>0</v>
      </c>
      <c r="V190">
        <v>0</v>
      </c>
      <c r="W190">
        <v>0</v>
      </c>
    </row>
    <row r="191" spans="2:23">
      <c r="B191">
        <v>2030</v>
      </c>
      <c r="C191" t="str">
        <f t="shared" si="13"/>
        <v>PHEV gasoline</v>
      </c>
      <c r="D191">
        <v>8</v>
      </c>
      <c r="E191">
        <v>58358252</v>
      </c>
      <c r="F191">
        <v>1390445</v>
      </c>
      <c r="G191">
        <v>45411808</v>
      </c>
      <c r="H191">
        <v>2890134</v>
      </c>
      <c r="I191">
        <v>7137877</v>
      </c>
      <c r="J191">
        <v>10938016</v>
      </c>
      <c r="K191">
        <v>8797987</v>
      </c>
      <c r="L191">
        <v>4093199</v>
      </c>
      <c r="M191">
        <v>0</v>
      </c>
      <c r="N191">
        <v>0</v>
      </c>
      <c r="O191">
        <v>0</v>
      </c>
      <c r="P191">
        <v>13398534</v>
      </c>
      <c r="Q191">
        <v>0</v>
      </c>
      <c r="R191">
        <v>0</v>
      </c>
      <c r="S191">
        <v>0</v>
      </c>
      <c r="T191">
        <v>0</v>
      </c>
      <c r="U191">
        <v>0</v>
      </c>
      <c r="V191">
        <v>0</v>
      </c>
      <c r="W191">
        <v>0</v>
      </c>
    </row>
    <row r="192" spans="2:23">
      <c r="B192">
        <v>2030</v>
      </c>
      <c r="C192" t="str">
        <f t="shared" si="13"/>
        <v>Fuel cell</v>
      </c>
      <c r="D192">
        <v>9</v>
      </c>
      <c r="E192">
        <v>0</v>
      </c>
      <c r="F192">
        <v>0</v>
      </c>
      <c r="G192">
        <v>0</v>
      </c>
      <c r="H192">
        <v>13158</v>
      </c>
      <c r="I192">
        <v>13317574</v>
      </c>
      <c r="J192">
        <v>20499974</v>
      </c>
      <c r="K192">
        <v>16284614</v>
      </c>
      <c r="L192">
        <v>2670137</v>
      </c>
      <c r="M192">
        <v>345542</v>
      </c>
      <c r="N192">
        <v>345543</v>
      </c>
      <c r="O192">
        <v>1036638</v>
      </c>
      <c r="P192">
        <v>7237321</v>
      </c>
      <c r="Q192">
        <v>3126064</v>
      </c>
      <c r="R192">
        <v>3123939</v>
      </c>
      <c r="S192">
        <v>9407705</v>
      </c>
      <c r="T192">
        <v>3745169</v>
      </c>
      <c r="U192">
        <v>3742266</v>
      </c>
      <c r="V192">
        <v>11197390</v>
      </c>
      <c r="W192">
        <v>0</v>
      </c>
    </row>
    <row r="193" spans="2:23">
      <c r="B193">
        <v>2031</v>
      </c>
      <c r="C193" t="str">
        <f t="shared" si="13"/>
        <v>Diesel</v>
      </c>
      <c r="D193">
        <v>1</v>
      </c>
      <c r="E193">
        <v>36382109696</v>
      </c>
      <c r="F193">
        <v>84902048</v>
      </c>
      <c r="G193">
        <v>50890461184</v>
      </c>
      <c r="H193">
        <v>3368632064</v>
      </c>
      <c r="I193">
        <v>9983842304</v>
      </c>
      <c r="J193">
        <v>17554186240</v>
      </c>
      <c r="K193">
        <v>15231374336</v>
      </c>
      <c r="L193">
        <v>12112591872</v>
      </c>
      <c r="M193">
        <v>1505047680</v>
      </c>
      <c r="N193">
        <v>1505050752</v>
      </c>
      <c r="O193">
        <v>4515180544</v>
      </c>
      <c r="P193">
        <v>30130798592</v>
      </c>
      <c r="Q193">
        <v>13056851968</v>
      </c>
      <c r="R193">
        <v>13050157056</v>
      </c>
      <c r="S193">
        <v>39299670016</v>
      </c>
      <c r="T193">
        <v>15641456640</v>
      </c>
      <c r="U193">
        <v>15632242688</v>
      </c>
      <c r="V193">
        <v>46772101120</v>
      </c>
      <c r="W193">
        <v>11950609</v>
      </c>
    </row>
    <row r="194" spans="2:23">
      <c r="B194">
        <v>2031</v>
      </c>
      <c r="C194" t="str">
        <f t="shared" si="13"/>
        <v>Gasoline</v>
      </c>
      <c r="D194">
        <v>2</v>
      </c>
      <c r="E194">
        <v>59768840192</v>
      </c>
      <c r="F194">
        <v>2363304192</v>
      </c>
      <c r="G194">
        <v>22777753600</v>
      </c>
      <c r="H194">
        <v>3274665216</v>
      </c>
      <c r="I194">
        <v>7110323712</v>
      </c>
      <c r="J194">
        <v>7019175424</v>
      </c>
      <c r="K194">
        <v>5825670656</v>
      </c>
      <c r="L194">
        <v>51139192</v>
      </c>
      <c r="M194">
        <v>1626151</v>
      </c>
      <c r="N194">
        <v>1626154</v>
      </c>
      <c r="O194">
        <v>4878493</v>
      </c>
      <c r="P194">
        <v>35005456</v>
      </c>
      <c r="Q194">
        <v>14708733</v>
      </c>
      <c r="R194">
        <v>14699742</v>
      </c>
      <c r="S194">
        <v>44267068</v>
      </c>
      <c r="T194">
        <v>17620456</v>
      </c>
      <c r="U194">
        <v>17608604</v>
      </c>
      <c r="V194">
        <v>52686268</v>
      </c>
      <c r="W194">
        <v>0</v>
      </c>
    </row>
    <row r="195" spans="2:23">
      <c r="B195">
        <v>2031</v>
      </c>
      <c r="C195" t="str">
        <f t="shared" si="13"/>
        <v>LPG</v>
      </c>
      <c r="D195">
        <v>3</v>
      </c>
      <c r="E195">
        <v>45982380</v>
      </c>
      <c r="F195">
        <v>0</v>
      </c>
      <c r="G195">
        <v>52132528</v>
      </c>
      <c r="H195">
        <v>3307850</v>
      </c>
      <c r="I195">
        <v>13470548</v>
      </c>
      <c r="J195">
        <v>22114542</v>
      </c>
      <c r="K195">
        <v>18309120</v>
      </c>
      <c r="L195">
        <v>7913184</v>
      </c>
      <c r="M195">
        <v>265929</v>
      </c>
      <c r="N195">
        <v>264584</v>
      </c>
      <c r="O195">
        <v>782163</v>
      </c>
      <c r="P195">
        <v>6419449</v>
      </c>
      <c r="Q195">
        <v>2497732</v>
      </c>
      <c r="R195">
        <v>2571250</v>
      </c>
      <c r="S195">
        <v>7636178</v>
      </c>
      <c r="T195">
        <v>2978796</v>
      </c>
      <c r="U195">
        <v>3027042</v>
      </c>
      <c r="V195">
        <v>9027112</v>
      </c>
      <c r="W195">
        <v>0</v>
      </c>
    </row>
    <row r="196" spans="2:23">
      <c r="B196">
        <v>2031</v>
      </c>
      <c r="C196" t="str">
        <f t="shared" si="13"/>
        <v>CNG</v>
      </c>
      <c r="D196">
        <v>4</v>
      </c>
      <c r="E196">
        <v>29672958</v>
      </c>
      <c r="F196">
        <v>533280</v>
      </c>
      <c r="G196">
        <v>499492</v>
      </c>
      <c r="H196">
        <v>6646112</v>
      </c>
      <c r="I196">
        <v>7825429</v>
      </c>
      <c r="J196">
        <v>151639</v>
      </c>
      <c r="K196">
        <v>16999678</v>
      </c>
      <c r="L196">
        <v>41752248</v>
      </c>
      <c r="M196">
        <v>898068</v>
      </c>
      <c r="N196">
        <v>898068</v>
      </c>
      <c r="O196">
        <v>2694204</v>
      </c>
      <c r="P196">
        <v>790994304</v>
      </c>
      <c r="Q196">
        <v>126939680</v>
      </c>
      <c r="R196">
        <v>133563584</v>
      </c>
      <c r="S196">
        <v>396560480</v>
      </c>
      <c r="T196">
        <v>146519648</v>
      </c>
      <c r="U196">
        <v>155733472</v>
      </c>
      <c r="V196">
        <v>446881536</v>
      </c>
      <c r="W196">
        <v>0</v>
      </c>
    </row>
    <row r="197" spans="2:23">
      <c r="B197">
        <v>2031</v>
      </c>
      <c r="C197" t="str">
        <f t="shared" si="13"/>
        <v>Flex</v>
      </c>
      <c r="D197">
        <v>5</v>
      </c>
      <c r="E197">
        <v>8254796800</v>
      </c>
      <c r="F197">
        <v>367453344</v>
      </c>
      <c r="G197">
        <v>2784538624</v>
      </c>
      <c r="H197">
        <v>956133952</v>
      </c>
      <c r="I197">
        <v>467533280</v>
      </c>
      <c r="J197">
        <v>350583776</v>
      </c>
      <c r="K197">
        <v>290867520</v>
      </c>
      <c r="L197">
        <v>0</v>
      </c>
      <c r="M197">
        <v>0</v>
      </c>
      <c r="N197">
        <v>0</v>
      </c>
      <c r="O197">
        <v>0</v>
      </c>
      <c r="P197">
        <v>0</v>
      </c>
      <c r="Q197">
        <v>0</v>
      </c>
      <c r="R197">
        <v>0</v>
      </c>
      <c r="S197">
        <v>0</v>
      </c>
      <c r="T197">
        <v>0</v>
      </c>
      <c r="U197">
        <v>0</v>
      </c>
      <c r="V197">
        <v>0</v>
      </c>
      <c r="W197">
        <v>0</v>
      </c>
    </row>
    <row r="198" spans="2:23">
      <c r="B198">
        <v>2031</v>
      </c>
      <c r="C198" t="str">
        <f t="shared" si="13"/>
        <v>BEV</v>
      </c>
      <c r="D198">
        <v>6</v>
      </c>
      <c r="E198">
        <v>0</v>
      </c>
      <c r="F198">
        <v>0</v>
      </c>
      <c r="G198">
        <v>0</v>
      </c>
      <c r="H198">
        <v>425400</v>
      </c>
      <c r="I198">
        <v>2292748</v>
      </c>
      <c r="J198">
        <v>335676</v>
      </c>
      <c r="K198">
        <v>5229661</v>
      </c>
      <c r="L198">
        <v>0</v>
      </c>
      <c r="M198">
        <v>95189</v>
      </c>
      <c r="N198">
        <v>95189</v>
      </c>
      <c r="O198">
        <v>285571</v>
      </c>
      <c r="P198">
        <v>223942</v>
      </c>
      <c r="Q198">
        <v>1334835</v>
      </c>
      <c r="R198">
        <v>1332555</v>
      </c>
      <c r="S198">
        <v>3998356</v>
      </c>
      <c r="T198">
        <v>0</v>
      </c>
      <c r="U198">
        <v>0</v>
      </c>
      <c r="V198">
        <v>0</v>
      </c>
      <c r="W198">
        <v>0</v>
      </c>
    </row>
    <row r="199" spans="2:23">
      <c r="B199">
        <v>2031</v>
      </c>
      <c r="C199" t="str">
        <f t="shared" si="13"/>
        <v>PHEV diesel</v>
      </c>
      <c r="D199">
        <v>7</v>
      </c>
      <c r="E199">
        <v>60795548</v>
      </c>
      <c r="F199">
        <v>1400681</v>
      </c>
      <c r="G199">
        <v>51848560</v>
      </c>
      <c r="H199">
        <v>4116013</v>
      </c>
      <c r="I199">
        <v>8745539</v>
      </c>
      <c r="J199">
        <v>13458722</v>
      </c>
      <c r="K199">
        <v>10581566</v>
      </c>
      <c r="L199">
        <v>2539410</v>
      </c>
      <c r="M199">
        <v>0</v>
      </c>
      <c r="N199">
        <v>0</v>
      </c>
      <c r="O199">
        <v>0</v>
      </c>
      <c r="P199">
        <v>6943050</v>
      </c>
      <c r="Q199">
        <v>0</v>
      </c>
      <c r="R199">
        <v>0</v>
      </c>
      <c r="S199">
        <v>0</v>
      </c>
      <c r="T199">
        <v>0</v>
      </c>
      <c r="U199">
        <v>0</v>
      </c>
      <c r="V199">
        <v>0</v>
      </c>
      <c r="W199">
        <v>0</v>
      </c>
    </row>
    <row r="200" spans="2:23">
      <c r="B200">
        <v>2031</v>
      </c>
      <c r="C200" t="str">
        <f t="shared" si="13"/>
        <v>PHEV gasoline</v>
      </c>
      <c r="D200">
        <v>8</v>
      </c>
      <c r="E200">
        <v>63157304</v>
      </c>
      <c r="F200">
        <v>1503946</v>
      </c>
      <c r="G200">
        <v>51374708</v>
      </c>
      <c r="H200">
        <v>3260283</v>
      </c>
      <c r="I200">
        <v>8008412</v>
      </c>
      <c r="J200">
        <v>12271787</v>
      </c>
      <c r="K200">
        <v>9871388</v>
      </c>
      <c r="L200">
        <v>4639660</v>
      </c>
      <c r="M200">
        <v>0</v>
      </c>
      <c r="N200">
        <v>0</v>
      </c>
      <c r="O200">
        <v>0</v>
      </c>
      <c r="P200">
        <v>15203944</v>
      </c>
      <c r="Q200">
        <v>0</v>
      </c>
      <c r="R200">
        <v>0</v>
      </c>
      <c r="S200">
        <v>0</v>
      </c>
      <c r="T200">
        <v>0</v>
      </c>
      <c r="U200">
        <v>0</v>
      </c>
      <c r="V200">
        <v>0</v>
      </c>
      <c r="W200">
        <v>0</v>
      </c>
    </row>
    <row r="201" spans="2:23">
      <c r="B201">
        <v>2031</v>
      </c>
      <c r="C201" t="str">
        <f t="shared" si="13"/>
        <v>Fuel cell</v>
      </c>
      <c r="D201">
        <v>9</v>
      </c>
      <c r="E201">
        <v>0</v>
      </c>
      <c r="F201">
        <v>0</v>
      </c>
      <c r="G201">
        <v>0</v>
      </c>
      <c r="H201">
        <v>14880</v>
      </c>
      <c r="I201">
        <v>14966430</v>
      </c>
      <c r="J201">
        <v>23038084</v>
      </c>
      <c r="K201">
        <v>18299574</v>
      </c>
      <c r="L201">
        <v>3044147</v>
      </c>
      <c r="M201">
        <v>393883</v>
      </c>
      <c r="N201">
        <v>393884</v>
      </c>
      <c r="O201">
        <v>1181663</v>
      </c>
      <c r="P201">
        <v>8254414</v>
      </c>
      <c r="Q201">
        <v>3563735</v>
      </c>
      <c r="R201">
        <v>3561248</v>
      </c>
      <c r="S201">
        <v>10724887</v>
      </c>
      <c r="T201">
        <v>4269454</v>
      </c>
      <c r="U201">
        <v>4265986</v>
      </c>
      <c r="V201">
        <v>12765557</v>
      </c>
      <c r="W201">
        <v>0</v>
      </c>
    </row>
    <row r="202" spans="2:23">
      <c r="B202">
        <v>2032</v>
      </c>
      <c r="C202" t="str">
        <f t="shared" si="13"/>
        <v>Diesel</v>
      </c>
      <c r="D202">
        <v>1</v>
      </c>
      <c r="E202">
        <v>36492169216</v>
      </c>
      <c r="F202">
        <v>85158872</v>
      </c>
      <c r="G202">
        <v>51618922496</v>
      </c>
      <c r="H202">
        <v>3507386368</v>
      </c>
      <c r="I202">
        <v>10297058304</v>
      </c>
      <c r="J202">
        <v>17842575360</v>
      </c>
      <c r="K202">
        <v>15317183488</v>
      </c>
      <c r="L202">
        <v>12089344000</v>
      </c>
      <c r="M202">
        <v>1507418240</v>
      </c>
      <c r="N202">
        <v>1507423232</v>
      </c>
      <c r="O202">
        <v>4522297856</v>
      </c>
      <c r="P202">
        <v>30344929280</v>
      </c>
      <c r="Q202">
        <v>13129108480</v>
      </c>
      <c r="R202">
        <v>13121833984</v>
      </c>
      <c r="S202">
        <v>39516454912</v>
      </c>
      <c r="T202">
        <v>15727839232</v>
      </c>
      <c r="U202">
        <v>15717551104</v>
      </c>
      <c r="V202">
        <v>47031799808</v>
      </c>
      <c r="W202">
        <v>12202189</v>
      </c>
    </row>
    <row r="203" spans="2:23">
      <c r="B203">
        <v>2032</v>
      </c>
      <c r="C203" t="str">
        <f t="shared" si="13"/>
        <v>Gasoline</v>
      </c>
      <c r="D203">
        <v>2</v>
      </c>
      <c r="E203">
        <v>60399099904</v>
      </c>
      <c r="F203">
        <v>2388225280</v>
      </c>
      <c r="G203">
        <v>23887364096</v>
      </c>
      <c r="H203">
        <v>3238382592</v>
      </c>
      <c r="I203">
        <v>7041754112</v>
      </c>
      <c r="J203">
        <v>7208061952</v>
      </c>
      <c r="K203">
        <v>5977367040</v>
      </c>
      <c r="L203">
        <v>46753488</v>
      </c>
      <c r="M203">
        <v>1760550</v>
      </c>
      <c r="N203">
        <v>1760556</v>
      </c>
      <c r="O203">
        <v>5281702</v>
      </c>
      <c r="P203">
        <v>37676084</v>
      </c>
      <c r="Q203">
        <v>15925554</v>
      </c>
      <c r="R203">
        <v>15915394</v>
      </c>
      <c r="S203">
        <v>47928832</v>
      </c>
      <c r="T203">
        <v>19077998</v>
      </c>
      <c r="U203">
        <v>19064284</v>
      </c>
      <c r="V203">
        <v>57045944</v>
      </c>
      <c r="W203">
        <v>0</v>
      </c>
    </row>
    <row r="204" spans="2:23">
      <c r="B204">
        <v>2032</v>
      </c>
      <c r="C204" t="str">
        <f t="shared" si="13"/>
        <v>LPG</v>
      </c>
      <c r="D204">
        <v>3</v>
      </c>
      <c r="E204">
        <v>51499232</v>
      </c>
      <c r="F204">
        <v>0</v>
      </c>
      <c r="G204">
        <v>57622188</v>
      </c>
      <c r="H204">
        <v>3660477</v>
      </c>
      <c r="I204">
        <v>14478113</v>
      </c>
      <c r="J204">
        <v>23489422</v>
      </c>
      <c r="K204">
        <v>19385570</v>
      </c>
      <c r="L204">
        <v>6971766</v>
      </c>
      <c r="M204">
        <v>277608</v>
      </c>
      <c r="N204">
        <v>275370</v>
      </c>
      <c r="O204">
        <v>814449</v>
      </c>
      <c r="P204">
        <v>6699308</v>
      </c>
      <c r="Q204">
        <v>2602139</v>
      </c>
      <c r="R204">
        <v>2679383</v>
      </c>
      <c r="S204">
        <v>7953375</v>
      </c>
      <c r="T204">
        <v>3108216</v>
      </c>
      <c r="U204">
        <v>3155988</v>
      </c>
      <c r="V204">
        <v>9436927</v>
      </c>
      <c r="W204">
        <v>0</v>
      </c>
    </row>
    <row r="205" spans="2:23">
      <c r="B205">
        <v>2032</v>
      </c>
      <c r="C205" t="str">
        <f t="shared" si="13"/>
        <v>CNG</v>
      </c>
      <c r="D205">
        <v>4</v>
      </c>
      <c r="E205">
        <v>26267172</v>
      </c>
      <c r="F205">
        <v>483138</v>
      </c>
      <c r="G205">
        <v>464095</v>
      </c>
      <c r="H205">
        <v>6159912</v>
      </c>
      <c r="I205">
        <v>7025198</v>
      </c>
      <c r="J205">
        <v>144366</v>
      </c>
      <c r="K205">
        <v>16310226</v>
      </c>
      <c r="L205">
        <v>39647528</v>
      </c>
      <c r="M205">
        <v>772884</v>
      </c>
      <c r="N205">
        <v>772884</v>
      </c>
      <c r="O205">
        <v>2318651</v>
      </c>
      <c r="P205">
        <v>766102592</v>
      </c>
      <c r="Q205">
        <v>128368600</v>
      </c>
      <c r="R205">
        <v>135590496</v>
      </c>
      <c r="S205">
        <v>401688160</v>
      </c>
      <c r="T205">
        <v>147961296</v>
      </c>
      <c r="U205">
        <v>158286192</v>
      </c>
      <c r="V205">
        <v>449830432</v>
      </c>
      <c r="W205">
        <v>0</v>
      </c>
    </row>
    <row r="206" spans="2:23">
      <c r="B206">
        <v>2032</v>
      </c>
      <c r="C206" t="str">
        <f t="shared" si="13"/>
        <v>Flex</v>
      </c>
      <c r="D206">
        <v>5</v>
      </c>
      <c r="E206">
        <v>8320614400</v>
      </c>
      <c r="F206">
        <v>353100992</v>
      </c>
      <c r="G206">
        <v>2886847488</v>
      </c>
      <c r="H206">
        <v>916062080</v>
      </c>
      <c r="I206">
        <v>484437728</v>
      </c>
      <c r="J206">
        <v>401053664</v>
      </c>
      <c r="K206">
        <v>333390080</v>
      </c>
      <c r="L206">
        <v>0</v>
      </c>
      <c r="M206">
        <v>0</v>
      </c>
      <c r="N206">
        <v>0</v>
      </c>
      <c r="O206">
        <v>0</v>
      </c>
      <c r="P206">
        <v>0</v>
      </c>
      <c r="Q206">
        <v>0</v>
      </c>
      <c r="R206">
        <v>0</v>
      </c>
      <c r="S206">
        <v>0</v>
      </c>
      <c r="T206">
        <v>0</v>
      </c>
      <c r="U206">
        <v>0</v>
      </c>
      <c r="V206">
        <v>0</v>
      </c>
      <c r="W206">
        <v>0</v>
      </c>
    </row>
    <row r="207" spans="2:23">
      <c r="B207">
        <v>2032</v>
      </c>
      <c r="C207" t="str">
        <f t="shared" si="13"/>
        <v>BEV</v>
      </c>
      <c r="D207">
        <v>6</v>
      </c>
      <c r="E207">
        <v>0</v>
      </c>
      <c r="F207">
        <v>0</v>
      </c>
      <c r="G207">
        <v>0</v>
      </c>
      <c r="H207">
        <v>391862</v>
      </c>
      <c r="I207">
        <v>2258353</v>
      </c>
      <c r="J207">
        <v>315219</v>
      </c>
      <c r="K207">
        <v>5191567</v>
      </c>
      <c r="L207">
        <v>0</v>
      </c>
      <c r="M207">
        <v>97213</v>
      </c>
      <c r="N207">
        <v>97213</v>
      </c>
      <c r="O207">
        <v>291644</v>
      </c>
      <c r="P207">
        <v>225033</v>
      </c>
      <c r="Q207">
        <v>1316491</v>
      </c>
      <c r="R207">
        <v>1313889</v>
      </c>
      <c r="S207">
        <v>3942610</v>
      </c>
      <c r="T207">
        <v>0</v>
      </c>
      <c r="U207">
        <v>0</v>
      </c>
      <c r="V207">
        <v>0</v>
      </c>
      <c r="W207">
        <v>0</v>
      </c>
    </row>
    <row r="208" spans="2:23">
      <c r="B208">
        <v>2032</v>
      </c>
      <c r="C208" t="str">
        <f t="shared" si="13"/>
        <v>PHEV diesel</v>
      </c>
      <c r="D208">
        <v>7</v>
      </c>
      <c r="E208">
        <v>65980804</v>
      </c>
      <c r="F208">
        <v>1508458</v>
      </c>
      <c r="G208">
        <v>58546996</v>
      </c>
      <c r="H208">
        <v>4613226</v>
      </c>
      <c r="I208">
        <v>9720642</v>
      </c>
      <c r="J208">
        <v>14959153</v>
      </c>
      <c r="K208">
        <v>11780622</v>
      </c>
      <c r="L208">
        <v>2869815</v>
      </c>
      <c r="M208">
        <v>0</v>
      </c>
      <c r="N208">
        <v>0</v>
      </c>
      <c r="O208">
        <v>0</v>
      </c>
      <c r="P208">
        <v>7830860</v>
      </c>
      <c r="Q208">
        <v>0</v>
      </c>
      <c r="R208">
        <v>0</v>
      </c>
      <c r="S208">
        <v>0</v>
      </c>
      <c r="T208">
        <v>0</v>
      </c>
      <c r="U208">
        <v>0</v>
      </c>
      <c r="V208">
        <v>0</v>
      </c>
      <c r="W208">
        <v>0</v>
      </c>
    </row>
    <row r="209" spans="2:23">
      <c r="B209">
        <v>2032</v>
      </c>
      <c r="C209" t="str">
        <f t="shared" si="13"/>
        <v>PHEV gasoline</v>
      </c>
      <c r="D209">
        <v>8</v>
      </c>
      <c r="E209">
        <v>68155672</v>
      </c>
      <c r="F209">
        <v>1622891</v>
      </c>
      <c r="G209">
        <v>57768380</v>
      </c>
      <c r="H209">
        <v>3666564</v>
      </c>
      <c r="I209">
        <v>8941158</v>
      </c>
      <c r="J209">
        <v>13701051</v>
      </c>
      <c r="K209">
        <v>11023589</v>
      </c>
      <c r="L209">
        <v>5204833</v>
      </c>
      <c r="M209">
        <v>0</v>
      </c>
      <c r="N209">
        <v>0</v>
      </c>
      <c r="O209">
        <v>0</v>
      </c>
      <c r="P209">
        <v>17051084</v>
      </c>
      <c r="Q209">
        <v>0</v>
      </c>
      <c r="R209">
        <v>0</v>
      </c>
      <c r="S209">
        <v>0</v>
      </c>
      <c r="T209">
        <v>0</v>
      </c>
      <c r="U209">
        <v>0</v>
      </c>
      <c r="V209">
        <v>0</v>
      </c>
      <c r="W209">
        <v>0</v>
      </c>
    </row>
    <row r="210" spans="2:23">
      <c r="B210">
        <v>2032</v>
      </c>
      <c r="C210" t="str">
        <f t="shared" si="13"/>
        <v>Fuel cell</v>
      </c>
      <c r="D210">
        <v>9</v>
      </c>
      <c r="E210">
        <v>0</v>
      </c>
      <c r="F210">
        <v>0</v>
      </c>
      <c r="G210">
        <v>0</v>
      </c>
      <c r="H210">
        <v>16564</v>
      </c>
      <c r="I210">
        <v>16660609</v>
      </c>
      <c r="J210">
        <v>25646000</v>
      </c>
      <c r="K210">
        <v>20369698</v>
      </c>
      <c r="L210">
        <v>3425469</v>
      </c>
      <c r="M210">
        <v>443164</v>
      </c>
      <c r="N210">
        <v>443166</v>
      </c>
      <c r="O210">
        <v>1329508</v>
      </c>
      <c r="P210">
        <v>9290936</v>
      </c>
      <c r="Q210">
        <v>4009793</v>
      </c>
      <c r="R210">
        <v>4006915</v>
      </c>
      <c r="S210">
        <v>12067248</v>
      </c>
      <c r="T210">
        <v>4803748</v>
      </c>
      <c r="U210">
        <v>4799670</v>
      </c>
      <c r="V210">
        <v>14363654</v>
      </c>
      <c r="W210">
        <v>0</v>
      </c>
    </row>
    <row r="211" spans="2:23">
      <c r="B211">
        <v>2033</v>
      </c>
      <c r="C211" t="str">
        <f t="shared" si="13"/>
        <v>Diesel</v>
      </c>
      <c r="D211">
        <v>1</v>
      </c>
      <c r="E211">
        <v>36710547456</v>
      </c>
      <c r="F211">
        <v>85668456</v>
      </c>
      <c r="G211">
        <v>52243566592</v>
      </c>
      <c r="H211">
        <v>3635132160</v>
      </c>
      <c r="I211">
        <v>10569455616</v>
      </c>
      <c r="J211">
        <v>18093004800</v>
      </c>
      <c r="K211">
        <v>15383557120</v>
      </c>
      <c r="L211">
        <v>12044192768</v>
      </c>
      <c r="M211">
        <v>1506898944</v>
      </c>
      <c r="N211">
        <v>1506906752</v>
      </c>
      <c r="O211">
        <v>4520744448</v>
      </c>
      <c r="P211">
        <v>30480257024</v>
      </c>
      <c r="Q211">
        <v>13173400576</v>
      </c>
      <c r="R211">
        <v>13165549568</v>
      </c>
      <c r="S211">
        <v>39648829440</v>
      </c>
      <c r="T211">
        <v>15780668416</v>
      </c>
      <c r="U211">
        <v>15769324544</v>
      </c>
      <c r="V211">
        <v>47191142400</v>
      </c>
      <c r="W211">
        <v>12426002</v>
      </c>
    </row>
    <row r="212" spans="2:23">
      <c r="B212">
        <v>2033</v>
      </c>
      <c r="C212" t="str">
        <f t="shared" si="13"/>
        <v>Gasoline</v>
      </c>
      <c r="D212">
        <v>2</v>
      </c>
      <c r="E212">
        <v>61129768960</v>
      </c>
      <c r="F212">
        <v>2417116160</v>
      </c>
      <c r="G212">
        <v>24923742208</v>
      </c>
      <c r="H212">
        <v>3209771776</v>
      </c>
      <c r="I212">
        <v>6970289152</v>
      </c>
      <c r="J212">
        <v>7381611008</v>
      </c>
      <c r="K212">
        <v>6101923328</v>
      </c>
      <c r="L212">
        <v>42927676</v>
      </c>
      <c r="M212">
        <v>1881152</v>
      </c>
      <c r="N212">
        <v>1881160</v>
      </c>
      <c r="O212">
        <v>5643515</v>
      </c>
      <c r="P212">
        <v>40076288</v>
      </c>
      <c r="Q212">
        <v>17016800</v>
      </c>
      <c r="R212">
        <v>17005462</v>
      </c>
      <c r="S212">
        <v>51212376</v>
      </c>
      <c r="T212">
        <v>20385076</v>
      </c>
      <c r="U212">
        <v>20369466</v>
      </c>
      <c r="V212">
        <v>60955804</v>
      </c>
      <c r="W212">
        <v>0</v>
      </c>
    </row>
    <row r="213" spans="2:23">
      <c r="B213">
        <v>2033</v>
      </c>
      <c r="C213" t="str">
        <f t="shared" si="13"/>
        <v>LPG</v>
      </c>
      <c r="D213">
        <v>3</v>
      </c>
      <c r="E213">
        <v>57961424</v>
      </c>
      <c r="F213">
        <v>0</v>
      </c>
      <c r="G213">
        <v>63062828</v>
      </c>
      <c r="H213">
        <v>4020824</v>
      </c>
      <c r="I213">
        <v>15573501</v>
      </c>
      <c r="J213">
        <v>25136666</v>
      </c>
      <c r="K213">
        <v>20619028</v>
      </c>
      <c r="L213">
        <v>6196108</v>
      </c>
      <c r="M213">
        <v>287750</v>
      </c>
      <c r="N213">
        <v>284466</v>
      </c>
      <c r="O213">
        <v>842613</v>
      </c>
      <c r="P213">
        <v>6945614</v>
      </c>
      <c r="Q213">
        <v>2690436</v>
      </c>
      <c r="R213">
        <v>2770756</v>
      </c>
      <c r="S213">
        <v>8226875</v>
      </c>
      <c r="T213">
        <v>3220288</v>
      </c>
      <c r="U213">
        <v>3265620</v>
      </c>
      <c r="V213">
        <v>9805688</v>
      </c>
      <c r="W213">
        <v>0</v>
      </c>
    </row>
    <row r="214" spans="2:23">
      <c r="B214">
        <v>2033</v>
      </c>
      <c r="C214" t="str">
        <f t="shared" si="13"/>
        <v>CNG</v>
      </c>
      <c r="D214">
        <v>4</v>
      </c>
      <c r="E214">
        <v>23270334</v>
      </c>
      <c r="F214">
        <v>435682</v>
      </c>
      <c r="G214">
        <v>430053</v>
      </c>
      <c r="H214">
        <v>5662166</v>
      </c>
      <c r="I214">
        <v>6337909</v>
      </c>
      <c r="J214">
        <v>137084</v>
      </c>
      <c r="K214">
        <v>15493066</v>
      </c>
      <c r="L214">
        <v>37584200</v>
      </c>
      <c r="M214">
        <v>700169</v>
      </c>
      <c r="N214">
        <v>700169</v>
      </c>
      <c r="O214">
        <v>2100506</v>
      </c>
      <c r="P214">
        <v>746037248</v>
      </c>
      <c r="Q214">
        <v>130648400</v>
      </c>
      <c r="R214">
        <v>138471744</v>
      </c>
      <c r="S214">
        <v>409592032</v>
      </c>
      <c r="T214">
        <v>150489696</v>
      </c>
      <c r="U214">
        <v>161915136</v>
      </c>
      <c r="V214">
        <v>456022656</v>
      </c>
      <c r="W214">
        <v>0</v>
      </c>
    </row>
    <row r="215" spans="2:23">
      <c r="B215">
        <v>2033</v>
      </c>
      <c r="C215" t="str">
        <f t="shared" si="13"/>
        <v>Flex</v>
      </c>
      <c r="D215">
        <v>5</v>
      </c>
      <c r="E215">
        <v>8436980736</v>
      </c>
      <c r="F215">
        <v>341268928</v>
      </c>
      <c r="G215">
        <v>2984487168</v>
      </c>
      <c r="H215">
        <v>872952768</v>
      </c>
      <c r="I215">
        <v>503940480</v>
      </c>
      <c r="J215">
        <v>455765216</v>
      </c>
      <c r="K215">
        <v>379328992</v>
      </c>
      <c r="L215">
        <v>0</v>
      </c>
      <c r="M215">
        <v>0</v>
      </c>
      <c r="N215">
        <v>0</v>
      </c>
      <c r="O215">
        <v>0</v>
      </c>
      <c r="P215">
        <v>0</v>
      </c>
      <c r="Q215">
        <v>0</v>
      </c>
      <c r="R215">
        <v>0</v>
      </c>
      <c r="S215">
        <v>0</v>
      </c>
      <c r="T215">
        <v>0</v>
      </c>
      <c r="U215">
        <v>0</v>
      </c>
      <c r="V215">
        <v>0</v>
      </c>
      <c r="W215">
        <v>0</v>
      </c>
    </row>
    <row r="216" spans="2:23">
      <c r="B216">
        <v>2033</v>
      </c>
      <c r="C216" t="str">
        <f t="shared" si="13"/>
        <v>BEV</v>
      </c>
      <c r="D216">
        <v>6</v>
      </c>
      <c r="E216">
        <v>0</v>
      </c>
      <c r="F216">
        <v>0</v>
      </c>
      <c r="G216">
        <v>0</v>
      </c>
      <c r="H216">
        <v>329806</v>
      </c>
      <c r="I216">
        <v>2208409</v>
      </c>
      <c r="J216">
        <v>299493</v>
      </c>
      <c r="K216">
        <v>5104848</v>
      </c>
      <c r="L216">
        <v>0</v>
      </c>
      <c r="M216">
        <v>97792</v>
      </c>
      <c r="N216">
        <v>97793</v>
      </c>
      <c r="O216">
        <v>293383</v>
      </c>
      <c r="P216">
        <v>222954</v>
      </c>
      <c r="Q216">
        <v>1281222</v>
      </c>
      <c r="R216">
        <v>1278315</v>
      </c>
      <c r="S216">
        <v>3836146</v>
      </c>
      <c r="T216">
        <v>0</v>
      </c>
      <c r="U216">
        <v>0</v>
      </c>
      <c r="V216">
        <v>0</v>
      </c>
      <c r="W216">
        <v>0</v>
      </c>
    </row>
    <row r="217" spans="2:23">
      <c r="B217">
        <v>2033</v>
      </c>
      <c r="C217" t="str">
        <f t="shared" si="13"/>
        <v>PHEV diesel</v>
      </c>
      <c r="D217">
        <v>7</v>
      </c>
      <c r="E217">
        <v>71693840</v>
      </c>
      <c r="F217">
        <v>1629861</v>
      </c>
      <c r="G217">
        <v>65396544</v>
      </c>
      <c r="H217">
        <v>5124509</v>
      </c>
      <c r="I217">
        <v>10702845</v>
      </c>
      <c r="J217">
        <v>16470508</v>
      </c>
      <c r="K217">
        <v>12996259</v>
      </c>
      <c r="L217">
        <v>3200956</v>
      </c>
      <c r="M217">
        <v>0</v>
      </c>
      <c r="N217">
        <v>0</v>
      </c>
      <c r="O217">
        <v>0</v>
      </c>
      <c r="P217">
        <v>8711397</v>
      </c>
      <c r="Q217">
        <v>0</v>
      </c>
      <c r="R217">
        <v>0</v>
      </c>
      <c r="S217">
        <v>0</v>
      </c>
      <c r="T217">
        <v>0</v>
      </c>
      <c r="U217">
        <v>0</v>
      </c>
      <c r="V217">
        <v>0</v>
      </c>
      <c r="W217">
        <v>0</v>
      </c>
    </row>
    <row r="218" spans="2:23">
      <c r="B218">
        <v>2033</v>
      </c>
      <c r="C218" t="str">
        <f t="shared" si="13"/>
        <v>PHEV gasoline</v>
      </c>
      <c r="D218">
        <v>8</v>
      </c>
      <c r="E218">
        <v>73718432</v>
      </c>
      <c r="F218">
        <v>1758542</v>
      </c>
      <c r="G218">
        <v>64390128</v>
      </c>
      <c r="H218">
        <v>4100192</v>
      </c>
      <c r="I218">
        <v>9924321</v>
      </c>
      <c r="J218">
        <v>15207959</v>
      </c>
      <c r="K218">
        <v>12241652</v>
      </c>
      <c r="L218">
        <v>5765959</v>
      </c>
      <c r="M218">
        <v>0</v>
      </c>
      <c r="N218">
        <v>0</v>
      </c>
      <c r="O218">
        <v>0</v>
      </c>
      <c r="P218">
        <v>18856650</v>
      </c>
      <c r="Q218">
        <v>0</v>
      </c>
      <c r="R218">
        <v>0</v>
      </c>
      <c r="S218">
        <v>0</v>
      </c>
      <c r="T218">
        <v>0</v>
      </c>
      <c r="U218">
        <v>0</v>
      </c>
      <c r="V218">
        <v>0</v>
      </c>
      <c r="W218">
        <v>0</v>
      </c>
    </row>
    <row r="219" spans="2:23">
      <c r="B219">
        <v>2033</v>
      </c>
      <c r="C219" t="str">
        <f t="shared" si="13"/>
        <v>Fuel cell</v>
      </c>
      <c r="D219">
        <v>9</v>
      </c>
      <c r="E219">
        <v>0</v>
      </c>
      <c r="F219">
        <v>0</v>
      </c>
      <c r="G219">
        <v>0</v>
      </c>
      <c r="H219">
        <v>18114</v>
      </c>
      <c r="I219">
        <v>18342216</v>
      </c>
      <c r="J219">
        <v>28234612</v>
      </c>
      <c r="K219">
        <v>22424470</v>
      </c>
      <c r="L219">
        <v>3794974</v>
      </c>
      <c r="M219">
        <v>490914</v>
      </c>
      <c r="N219">
        <v>490917</v>
      </c>
      <c r="O219">
        <v>1472762</v>
      </c>
      <c r="P219">
        <v>10294698</v>
      </c>
      <c r="Q219">
        <v>4441740</v>
      </c>
      <c r="R219">
        <v>4438456</v>
      </c>
      <c r="S219">
        <v>13367053</v>
      </c>
      <c r="T219">
        <v>5321124</v>
      </c>
      <c r="U219">
        <v>5316404</v>
      </c>
      <c r="V219">
        <v>15911203</v>
      </c>
      <c r="W219">
        <v>0</v>
      </c>
    </row>
    <row r="220" spans="2:23">
      <c r="B220">
        <v>2034</v>
      </c>
      <c r="C220" t="str">
        <f t="shared" si="13"/>
        <v>Diesel</v>
      </c>
      <c r="D220">
        <v>1</v>
      </c>
      <c r="E220">
        <v>36906868736</v>
      </c>
      <c r="F220">
        <v>86126592</v>
      </c>
      <c r="G220">
        <v>52906369024</v>
      </c>
      <c r="H220">
        <v>3759336192</v>
      </c>
      <c r="I220">
        <v>10821494784</v>
      </c>
      <c r="J220">
        <v>18335559680</v>
      </c>
      <c r="K220">
        <v>15445805056</v>
      </c>
      <c r="L220">
        <v>11992471552</v>
      </c>
      <c r="M220">
        <v>1506113664</v>
      </c>
      <c r="N220">
        <v>1506124032</v>
      </c>
      <c r="O220">
        <v>4518391296</v>
      </c>
      <c r="P220">
        <v>30585112576</v>
      </c>
      <c r="Q220">
        <v>13210275840</v>
      </c>
      <c r="R220">
        <v>13201845248</v>
      </c>
      <c r="S220">
        <v>39758729216</v>
      </c>
      <c r="T220">
        <v>15824656384</v>
      </c>
      <c r="U220">
        <v>15812249600</v>
      </c>
      <c r="V220">
        <v>47323951104</v>
      </c>
      <c r="W220">
        <v>12642420</v>
      </c>
    </row>
    <row r="221" spans="2:23">
      <c r="B221">
        <v>2034</v>
      </c>
      <c r="C221" t="str">
        <f t="shared" si="13"/>
        <v>Gasoline</v>
      </c>
      <c r="D221">
        <v>2</v>
      </c>
      <c r="E221">
        <v>61788573696</v>
      </c>
      <c r="F221">
        <v>2443165952</v>
      </c>
      <c r="G221">
        <v>25922281472</v>
      </c>
      <c r="H221">
        <v>3188352512</v>
      </c>
      <c r="I221">
        <v>6913271296</v>
      </c>
      <c r="J221">
        <v>7548213248</v>
      </c>
      <c r="K221">
        <v>6217139200</v>
      </c>
      <c r="L221">
        <v>39705316</v>
      </c>
      <c r="M221">
        <v>1988515</v>
      </c>
      <c r="N221">
        <v>1988526</v>
      </c>
      <c r="O221">
        <v>5965613</v>
      </c>
      <c r="P221">
        <v>42211712</v>
      </c>
      <c r="Q221">
        <v>17987328</v>
      </c>
      <c r="R221">
        <v>17974828</v>
      </c>
      <c r="S221">
        <v>54132440</v>
      </c>
      <c r="T221">
        <v>21547580</v>
      </c>
      <c r="U221">
        <v>21530028</v>
      </c>
      <c r="V221">
        <v>64433476</v>
      </c>
      <c r="W221">
        <v>0</v>
      </c>
    </row>
    <row r="222" spans="2:23">
      <c r="B222">
        <v>2034</v>
      </c>
      <c r="C222" t="str">
        <f t="shared" si="13"/>
        <v>LPG</v>
      </c>
      <c r="D222">
        <v>3</v>
      </c>
      <c r="E222">
        <v>65369784</v>
      </c>
      <c r="F222">
        <v>0</v>
      </c>
      <c r="G222">
        <v>68559240</v>
      </c>
      <c r="H222">
        <v>4390952</v>
      </c>
      <c r="I222">
        <v>16685643</v>
      </c>
      <c r="J222">
        <v>27015968</v>
      </c>
      <c r="K222">
        <v>22018630</v>
      </c>
      <c r="L222">
        <v>5658188</v>
      </c>
      <c r="M222">
        <v>296648</v>
      </c>
      <c r="N222">
        <v>292181</v>
      </c>
      <c r="O222">
        <v>867599</v>
      </c>
      <c r="P222">
        <v>7164871</v>
      </c>
      <c r="Q222">
        <v>2765765</v>
      </c>
      <c r="R222">
        <v>2848974</v>
      </c>
      <c r="S222">
        <v>8466346</v>
      </c>
      <c r="T222">
        <v>3318540</v>
      </c>
      <c r="U222">
        <v>3359562</v>
      </c>
      <c r="V222">
        <v>10130266</v>
      </c>
      <c r="W222">
        <v>0</v>
      </c>
    </row>
    <row r="223" spans="2:23">
      <c r="B223">
        <v>2034</v>
      </c>
      <c r="C223" t="str">
        <f t="shared" si="13"/>
        <v>CNG</v>
      </c>
      <c r="D223">
        <v>4</v>
      </c>
      <c r="E223">
        <v>20690898</v>
      </c>
      <c r="F223">
        <v>395172</v>
      </c>
      <c r="G223">
        <v>398070</v>
      </c>
      <c r="H223">
        <v>5143502</v>
      </c>
      <c r="I223">
        <v>5727934</v>
      </c>
      <c r="J223">
        <v>130098</v>
      </c>
      <c r="K223">
        <v>14602316</v>
      </c>
      <c r="L223">
        <v>35729036</v>
      </c>
      <c r="M223">
        <v>651927</v>
      </c>
      <c r="N223">
        <v>651927</v>
      </c>
      <c r="O223">
        <v>1955782</v>
      </c>
      <c r="P223">
        <v>732659904</v>
      </c>
      <c r="Q223">
        <v>134084296</v>
      </c>
      <c r="R223">
        <v>142513712</v>
      </c>
      <c r="S223">
        <v>421119744</v>
      </c>
      <c r="T223">
        <v>154373632</v>
      </c>
      <c r="U223">
        <v>166918688</v>
      </c>
      <c r="V223">
        <v>466348640</v>
      </c>
      <c r="W223">
        <v>0</v>
      </c>
    </row>
    <row r="224" spans="2:23">
      <c r="B224">
        <v>2034</v>
      </c>
      <c r="C224" t="str">
        <f t="shared" ref="C224:C287" si="14">C215</f>
        <v>Flex</v>
      </c>
      <c r="D224">
        <v>5</v>
      </c>
      <c r="E224">
        <v>8595805184</v>
      </c>
      <c r="F224">
        <v>332787680</v>
      </c>
      <c r="G224">
        <v>3065193728</v>
      </c>
      <c r="H224">
        <v>828794368</v>
      </c>
      <c r="I224">
        <v>528971776</v>
      </c>
      <c r="J224">
        <v>514111776</v>
      </c>
      <c r="K224">
        <v>427952960</v>
      </c>
      <c r="L224">
        <v>0</v>
      </c>
      <c r="M224">
        <v>0</v>
      </c>
      <c r="N224">
        <v>0</v>
      </c>
      <c r="O224">
        <v>0</v>
      </c>
      <c r="P224">
        <v>0</v>
      </c>
      <c r="Q224">
        <v>0</v>
      </c>
      <c r="R224">
        <v>0</v>
      </c>
      <c r="S224">
        <v>0</v>
      </c>
      <c r="T224">
        <v>0</v>
      </c>
      <c r="U224">
        <v>0</v>
      </c>
      <c r="V224">
        <v>0</v>
      </c>
      <c r="W224">
        <v>0</v>
      </c>
    </row>
    <row r="225" spans="2:23">
      <c r="B225">
        <v>2034</v>
      </c>
      <c r="C225" t="str">
        <f t="shared" si="14"/>
        <v>BEV</v>
      </c>
      <c r="D225">
        <v>6</v>
      </c>
      <c r="E225">
        <v>0</v>
      </c>
      <c r="F225">
        <v>0</v>
      </c>
      <c r="G225">
        <v>0</v>
      </c>
      <c r="H225">
        <v>259797</v>
      </c>
      <c r="I225">
        <v>2149899</v>
      </c>
      <c r="J225">
        <v>275278</v>
      </c>
      <c r="K225">
        <v>4985042</v>
      </c>
      <c r="L225">
        <v>0</v>
      </c>
      <c r="M225">
        <v>97113</v>
      </c>
      <c r="N225">
        <v>97113</v>
      </c>
      <c r="O225">
        <v>291346</v>
      </c>
      <c r="P225">
        <v>218317</v>
      </c>
      <c r="Q225">
        <v>1233986</v>
      </c>
      <c r="R225">
        <v>1230796</v>
      </c>
      <c r="S225">
        <v>3693846</v>
      </c>
      <c r="T225">
        <v>0</v>
      </c>
      <c r="U225">
        <v>0</v>
      </c>
      <c r="V225">
        <v>0</v>
      </c>
      <c r="W225">
        <v>0</v>
      </c>
    </row>
    <row r="226" spans="2:23">
      <c r="B226">
        <v>2034</v>
      </c>
      <c r="C226" t="str">
        <f t="shared" si="14"/>
        <v>PHEV diesel</v>
      </c>
      <c r="D226">
        <v>7</v>
      </c>
      <c r="E226">
        <v>77868072</v>
      </c>
      <c r="F226">
        <v>1763800</v>
      </c>
      <c r="G226">
        <v>72581200</v>
      </c>
      <c r="H226">
        <v>5665830</v>
      </c>
      <c r="I226">
        <v>11702709</v>
      </c>
      <c r="J226">
        <v>18009034</v>
      </c>
      <c r="K226">
        <v>14238862</v>
      </c>
      <c r="L226">
        <v>3531373</v>
      </c>
      <c r="M226">
        <v>0</v>
      </c>
      <c r="N226">
        <v>0</v>
      </c>
      <c r="O226">
        <v>0</v>
      </c>
      <c r="P226">
        <v>9582852</v>
      </c>
      <c r="Q226">
        <v>0</v>
      </c>
      <c r="R226">
        <v>0</v>
      </c>
      <c r="S226">
        <v>0</v>
      </c>
      <c r="T226">
        <v>0</v>
      </c>
      <c r="U226">
        <v>0</v>
      </c>
      <c r="V226">
        <v>0</v>
      </c>
      <c r="W226">
        <v>0</v>
      </c>
    </row>
    <row r="227" spans="2:23">
      <c r="B227">
        <v>2034</v>
      </c>
      <c r="C227" t="str">
        <f t="shared" si="14"/>
        <v>PHEV gasoline</v>
      </c>
      <c r="D227">
        <v>8</v>
      </c>
      <c r="E227">
        <v>79839456</v>
      </c>
      <c r="F227">
        <v>1910410</v>
      </c>
      <c r="G227">
        <v>71455552</v>
      </c>
      <c r="H227">
        <v>4574500</v>
      </c>
      <c r="I227">
        <v>10969490</v>
      </c>
      <c r="J227">
        <v>16810308</v>
      </c>
      <c r="K227">
        <v>13541377</v>
      </c>
      <c r="L227">
        <v>6319572</v>
      </c>
      <c r="M227">
        <v>0</v>
      </c>
      <c r="N227">
        <v>0</v>
      </c>
      <c r="O227">
        <v>0</v>
      </c>
      <c r="P227">
        <v>20613424</v>
      </c>
      <c r="Q227">
        <v>0</v>
      </c>
      <c r="R227">
        <v>0</v>
      </c>
      <c r="S227">
        <v>0</v>
      </c>
      <c r="T227">
        <v>0</v>
      </c>
      <c r="U227">
        <v>0</v>
      </c>
      <c r="V227">
        <v>0</v>
      </c>
      <c r="W227">
        <v>0</v>
      </c>
    </row>
    <row r="228" spans="2:23">
      <c r="B228">
        <v>2034</v>
      </c>
      <c r="C228" t="str">
        <f t="shared" si="14"/>
        <v>Fuel cell</v>
      </c>
      <c r="D228">
        <v>9</v>
      </c>
      <c r="E228">
        <v>0</v>
      </c>
      <c r="F228">
        <v>0</v>
      </c>
      <c r="G228">
        <v>0</v>
      </c>
      <c r="H228">
        <v>19556</v>
      </c>
      <c r="I228">
        <v>20040332</v>
      </c>
      <c r="J228">
        <v>30848654</v>
      </c>
      <c r="K228">
        <v>24499986</v>
      </c>
      <c r="L228">
        <v>4151647</v>
      </c>
      <c r="M228">
        <v>537007</v>
      </c>
      <c r="N228">
        <v>537011</v>
      </c>
      <c r="O228">
        <v>1611043</v>
      </c>
      <c r="P228">
        <v>11262696</v>
      </c>
      <c r="Q228">
        <v>4858355</v>
      </c>
      <c r="R228">
        <v>4854653</v>
      </c>
      <c r="S228">
        <v>14620658</v>
      </c>
      <c r="T228">
        <v>5820141</v>
      </c>
      <c r="U228">
        <v>5814744</v>
      </c>
      <c r="V228">
        <v>17403914</v>
      </c>
      <c r="W228">
        <v>0</v>
      </c>
    </row>
    <row r="229" spans="2:23">
      <c r="B229">
        <v>2035</v>
      </c>
      <c r="C229" t="str">
        <f t="shared" si="14"/>
        <v>Diesel</v>
      </c>
      <c r="D229">
        <v>1</v>
      </c>
      <c r="E229">
        <v>37102444544</v>
      </c>
      <c r="F229">
        <v>86583016</v>
      </c>
      <c r="G229">
        <v>53647134720</v>
      </c>
      <c r="H229">
        <v>3883896576</v>
      </c>
      <c r="I229">
        <v>11069174784</v>
      </c>
      <c r="J229">
        <v>18591832064</v>
      </c>
      <c r="K229">
        <v>15533385728</v>
      </c>
      <c r="L229">
        <v>11953166336</v>
      </c>
      <c r="M229">
        <v>1506997760</v>
      </c>
      <c r="N229">
        <v>1507011328</v>
      </c>
      <c r="O229">
        <v>4521046528</v>
      </c>
      <c r="P229">
        <v>30697730048</v>
      </c>
      <c r="Q229">
        <v>13254319104</v>
      </c>
      <c r="R229">
        <v>13245305856</v>
      </c>
      <c r="S229">
        <v>39890038784</v>
      </c>
      <c r="T229">
        <v>15877301248</v>
      </c>
      <c r="U229">
        <v>15863661568</v>
      </c>
      <c r="V229">
        <v>47482535936</v>
      </c>
      <c r="W229">
        <v>12841677</v>
      </c>
    </row>
    <row r="230" spans="2:23">
      <c r="B230">
        <v>2035</v>
      </c>
      <c r="C230" t="str">
        <f t="shared" si="14"/>
        <v>Gasoline</v>
      </c>
      <c r="D230">
        <v>2</v>
      </c>
      <c r="E230">
        <v>62380089344</v>
      </c>
      <c r="F230">
        <v>2466555136</v>
      </c>
      <c r="G230">
        <v>26911021056</v>
      </c>
      <c r="H230">
        <v>3171275264</v>
      </c>
      <c r="I230">
        <v>6861964288</v>
      </c>
      <c r="J230">
        <v>7722867200</v>
      </c>
      <c r="K230">
        <v>6332526080</v>
      </c>
      <c r="L230">
        <v>37183896</v>
      </c>
      <c r="M230">
        <v>2083248</v>
      </c>
      <c r="N230">
        <v>2083263</v>
      </c>
      <c r="O230">
        <v>6249818</v>
      </c>
      <c r="P230">
        <v>44092008</v>
      </c>
      <c r="Q230">
        <v>18842586</v>
      </c>
      <c r="R230">
        <v>18828938</v>
      </c>
      <c r="S230">
        <v>56705400</v>
      </c>
      <c r="T230">
        <v>22572052</v>
      </c>
      <c r="U230">
        <v>22552366</v>
      </c>
      <c r="V230">
        <v>67498504</v>
      </c>
      <c r="W230">
        <v>0</v>
      </c>
    </row>
    <row r="231" spans="2:23">
      <c r="B231">
        <v>2035</v>
      </c>
      <c r="C231" t="str">
        <f t="shared" si="14"/>
        <v>LPG</v>
      </c>
      <c r="D231">
        <v>3</v>
      </c>
      <c r="E231">
        <v>73911824</v>
      </c>
      <c r="F231">
        <v>0</v>
      </c>
      <c r="G231">
        <v>74274360</v>
      </c>
      <c r="H231">
        <v>4775968</v>
      </c>
      <c r="I231">
        <v>17839506</v>
      </c>
      <c r="J231">
        <v>28856944</v>
      </c>
      <c r="K231">
        <v>23469840</v>
      </c>
      <c r="L231">
        <v>5309205</v>
      </c>
      <c r="M231">
        <v>304604</v>
      </c>
      <c r="N231">
        <v>298840</v>
      </c>
      <c r="O231">
        <v>890320</v>
      </c>
      <c r="P231">
        <v>7359854</v>
      </c>
      <c r="Q231">
        <v>2831101</v>
      </c>
      <c r="R231">
        <v>2916384</v>
      </c>
      <c r="S231">
        <v>8680813</v>
      </c>
      <c r="T231">
        <v>3406126</v>
      </c>
      <c r="U231">
        <v>3440326</v>
      </c>
      <c r="V231">
        <v>10421090</v>
      </c>
      <c r="W231">
        <v>0</v>
      </c>
    </row>
    <row r="232" spans="2:23">
      <c r="B232">
        <v>2035</v>
      </c>
      <c r="C232" t="str">
        <f t="shared" si="14"/>
        <v>CNG</v>
      </c>
      <c r="D232">
        <v>4</v>
      </c>
      <c r="E232">
        <v>18450686</v>
      </c>
      <c r="F232">
        <v>355162</v>
      </c>
      <c r="G232">
        <v>368216</v>
      </c>
      <c r="H232">
        <v>4594197</v>
      </c>
      <c r="I232">
        <v>5205725</v>
      </c>
      <c r="J232">
        <v>116954</v>
      </c>
      <c r="K232">
        <v>13675417</v>
      </c>
      <c r="L232">
        <v>34120620</v>
      </c>
      <c r="M232">
        <v>614350</v>
      </c>
      <c r="N232">
        <v>614350</v>
      </c>
      <c r="O232">
        <v>1843048</v>
      </c>
      <c r="P232">
        <v>726170432</v>
      </c>
      <c r="Q232">
        <v>138564544</v>
      </c>
      <c r="R232">
        <v>147609040</v>
      </c>
      <c r="S232">
        <v>435934528</v>
      </c>
      <c r="T232">
        <v>159437312</v>
      </c>
      <c r="U232">
        <v>173281536</v>
      </c>
      <c r="V232">
        <v>480330784</v>
      </c>
      <c r="W232">
        <v>0</v>
      </c>
    </row>
    <row r="233" spans="2:23">
      <c r="B233">
        <v>2035</v>
      </c>
      <c r="C233" t="str">
        <f t="shared" si="14"/>
        <v>Flex</v>
      </c>
      <c r="D233">
        <v>5</v>
      </c>
      <c r="E233">
        <v>8788544512</v>
      </c>
      <c r="F233">
        <v>325686752</v>
      </c>
      <c r="G233">
        <v>3137530112</v>
      </c>
      <c r="H233">
        <v>781986560</v>
      </c>
      <c r="I233">
        <v>558083392</v>
      </c>
      <c r="J233">
        <v>576464000</v>
      </c>
      <c r="K233">
        <v>479290976</v>
      </c>
      <c r="L233">
        <v>0</v>
      </c>
      <c r="M233">
        <v>0</v>
      </c>
      <c r="N233">
        <v>0</v>
      </c>
      <c r="O233">
        <v>0</v>
      </c>
      <c r="P233">
        <v>0</v>
      </c>
      <c r="Q233">
        <v>0</v>
      </c>
      <c r="R233">
        <v>0</v>
      </c>
      <c r="S233">
        <v>0</v>
      </c>
      <c r="T233">
        <v>0</v>
      </c>
      <c r="U233">
        <v>0</v>
      </c>
      <c r="V233">
        <v>0</v>
      </c>
      <c r="W233">
        <v>0</v>
      </c>
    </row>
    <row r="234" spans="2:23">
      <c r="B234">
        <v>2035</v>
      </c>
      <c r="C234" t="str">
        <f t="shared" si="14"/>
        <v>BEV</v>
      </c>
      <c r="D234">
        <v>6</v>
      </c>
      <c r="E234">
        <v>0</v>
      </c>
      <c r="F234">
        <v>0</v>
      </c>
      <c r="G234">
        <v>0</v>
      </c>
      <c r="H234">
        <v>204505</v>
      </c>
      <c r="I234">
        <v>2087702</v>
      </c>
      <c r="J234">
        <v>264999</v>
      </c>
      <c r="K234">
        <v>4843272</v>
      </c>
      <c r="L234">
        <v>0</v>
      </c>
      <c r="M234">
        <v>95341</v>
      </c>
      <c r="N234">
        <v>95342</v>
      </c>
      <c r="O234">
        <v>286033</v>
      </c>
      <c r="P234">
        <v>211668</v>
      </c>
      <c r="Q234">
        <v>1179326</v>
      </c>
      <c r="R234">
        <v>1175877</v>
      </c>
      <c r="S234">
        <v>3529337</v>
      </c>
      <c r="T234">
        <v>0</v>
      </c>
      <c r="U234">
        <v>0</v>
      </c>
      <c r="V234">
        <v>0</v>
      </c>
      <c r="W234">
        <v>0</v>
      </c>
    </row>
    <row r="235" spans="2:23">
      <c r="B235">
        <v>2035</v>
      </c>
      <c r="C235" t="str">
        <f t="shared" si="14"/>
        <v>PHEV diesel</v>
      </c>
      <c r="D235">
        <v>7</v>
      </c>
      <c r="E235">
        <v>84555624</v>
      </c>
      <c r="F235">
        <v>1910439</v>
      </c>
      <c r="G235">
        <v>80303320</v>
      </c>
      <c r="H235">
        <v>6249250</v>
      </c>
      <c r="I235">
        <v>12727633</v>
      </c>
      <c r="J235">
        <v>19586112</v>
      </c>
      <c r="K235">
        <v>15510637</v>
      </c>
      <c r="L235">
        <v>3858202</v>
      </c>
      <c r="M235">
        <v>0</v>
      </c>
      <c r="N235">
        <v>0</v>
      </c>
      <c r="O235">
        <v>0</v>
      </c>
      <c r="P235">
        <v>10440871</v>
      </c>
      <c r="Q235">
        <v>0</v>
      </c>
      <c r="R235">
        <v>0</v>
      </c>
      <c r="S235">
        <v>0</v>
      </c>
      <c r="T235">
        <v>0</v>
      </c>
      <c r="U235">
        <v>0</v>
      </c>
      <c r="V235">
        <v>0</v>
      </c>
      <c r="W235">
        <v>0</v>
      </c>
    </row>
    <row r="236" spans="2:23">
      <c r="B236">
        <v>2035</v>
      </c>
      <c r="C236" t="str">
        <f t="shared" si="14"/>
        <v>PHEV gasoline</v>
      </c>
      <c r="D236">
        <v>8</v>
      </c>
      <c r="E236">
        <v>86668432</v>
      </c>
      <c r="F236">
        <v>2079601</v>
      </c>
      <c r="G236">
        <v>79217392</v>
      </c>
      <c r="H236">
        <v>5099287</v>
      </c>
      <c r="I236">
        <v>12084469</v>
      </c>
      <c r="J236">
        <v>18519850</v>
      </c>
      <c r="K236">
        <v>14928397</v>
      </c>
      <c r="L236">
        <v>6859418</v>
      </c>
      <c r="M236">
        <v>0</v>
      </c>
      <c r="N236">
        <v>0</v>
      </c>
      <c r="O236">
        <v>0</v>
      </c>
      <c r="P236">
        <v>22317114</v>
      </c>
      <c r="Q236">
        <v>0</v>
      </c>
      <c r="R236">
        <v>0</v>
      </c>
      <c r="S236">
        <v>0</v>
      </c>
      <c r="T236">
        <v>0</v>
      </c>
      <c r="U236">
        <v>0</v>
      </c>
      <c r="V236">
        <v>0</v>
      </c>
      <c r="W236">
        <v>0</v>
      </c>
    </row>
    <row r="237" spans="2:23">
      <c r="B237">
        <v>2035</v>
      </c>
      <c r="C237" t="str">
        <f t="shared" si="14"/>
        <v>Fuel cell</v>
      </c>
      <c r="D237">
        <v>9</v>
      </c>
      <c r="E237">
        <v>0</v>
      </c>
      <c r="F237">
        <v>0</v>
      </c>
      <c r="G237">
        <v>0</v>
      </c>
      <c r="H237">
        <v>20907</v>
      </c>
      <c r="I237">
        <v>21789268</v>
      </c>
      <c r="J237">
        <v>33540956</v>
      </c>
      <c r="K237">
        <v>26638904</v>
      </c>
      <c r="L237">
        <v>4495080</v>
      </c>
      <c r="M237">
        <v>581391</v>
      </c>
      <c r="N237">
        <v>581396</v>
      </c>
      <c r="O237">
        <v>1744198</v>
      </c>
      <c r="P237">
        <v>12193678</v>
      </c>
      <c r="Q237">
        <v>5259146</v>
      </c>
      <c r="R237">
        <v>5255013</v>
      </c>
      <c r="S237">
        <v>15826560</v>
      </c>
      <c r="T237">
        <v>6300216</v>
      </c>
      <c r="U237">
        <v>6294052</v>
      </c>
      <c r="V237">
        <v>18840028</v>
      </c>
      <c r="W237">
        <v>0</v>
      </c>
    </row>
    <row r="238" spans="2:23">
      <c r="B238">
        <v>2036</v>
      </c>
      <c r="C238" t="str">
        <f t="shared" si="14"/>
        <v>Diesel</v>
      </c>
      <c r="D238">
        <v>1</v>
      </c>
      <c r="E238">
        <v>37320110080</v>
      </c>
      <c r="F238">
        <v>87090992</v>
      </c>
      <c r="G238">
        <v>54321111040</v>
      </c>
      <c r="H238">
        <v>4001583104</v>
      </c>
      <c r="I238">
        <v>11291480064</v>
      </c>
      <c r="J238">
        <v>18827782144</v>
      </c>
      <c r="K238">
        <v>15616135168</v>
      </c>
      <c r="L238">
        <v>11902756864</v>
      </c>
      <c r="M238">
        <v>1506172160</v>
      </c>
      <c r="N238">
        <v>1506188416</v>
      </c>
      <c r="O238">
        <v>4518571520</v>
      </c>
      <c r="P238">
        <v>30754607104</v>
      </c>
      <c r="Q238">
        <v>13276499968</v>
      </c>
      <c r="R238">
        <v>13266793472</v>
      </c>
      <c r="S238">
        <v>39955083264</v>
      </c>
      <c r="T238">
        <v>15903833088</v>
      </c>
      <c r="U238">
        <v>15888745472</v>
      </c>
      <c r="V238">
        <v>47562891264</v>
      </c>
      <c r="W238">
        <v>12991660</v>
      </c>
    </row>
    <row r="239" spans="2:23">
      <c r="B239">
        <v>2036</v>
      </c>
      <c r="C239" t="str">
        <f t="shared" si="14"/>
        <v>Gasoline</v>
      </c>
      <c r="D239">
        <v>2</v>
      </c>
      <c r="E239">
        <v>62942822400</v>
      </c>
      <c r="F239">
        <v>2488806144</v>
      </c>
      <c r="G239">
        <v>27852750848</v>
      </c>
      <c r="H239">
        <v>3151029248</v>
      </c>
      <c r="I239">
        <v>6795924480</v>
      </c>
      <c r="J239">
        <v>7883902976</v>
      </c>
      <c r="K239">
        <v>6433223168</v>
      </c>
      <c r="L239">
        <v>34806844</v>
      </c>
      <c r="M239">
        <v>2160761</v>
      </c>
      <c r="N239">
        <v>2160780</v>
      </c>
      <c r="O239">
        <v>6482364</v>
      </c>
      <c r="P239">
        <v>45623172</v>
      </c>
      <c r="Q239">
        <v>19541036</v>
      </c>
      <c r="R239">
        <v>19526158</v>
      </c>
      <c r="S239">
        <v>58805848</v>
      </c>
      <c r="T239">
        <v>23408708</v>
      </c>
      <c r="U239">
        <v>23386674</v>
      </c>
      <c r="V239">
        <v>70002024</v>
      </c>
      <c r="W239">
        <v>0</v>
      </c>
    </row>
    <row r="240" spans="2:23">
      <c r="B240">
        <v>2036</v>
      </c>
      <c r="C240" t="str">
        <f t="shared" si="14"/>
        <v>LPG</v>
      </c>
      <c r="D240">
        <v>3</v>
      </c>
      <c r="E240">
        <v>83845968</v>
      </c>
      <c r="F240">
        <v>0</v>
      </c>
      <c r="G240">
        <v>80180152</v>
      </c>
      <c r="H240">
        <v>5171292</v>
      </c>
      <c r="I240">
        <v>19072486</v>
      </c>
      <c r="J240">
        <v>30804248</v>
      </c>
      <c r="K240">
        <v>25003216</v>
      </c>
      <c r="L240">
        <v>5024766</v>
      </c>
      <c r="M240">
        <v>310898</v>
      </c>
      <c r="N240">
        <v>303778</v>
      </c>
      <c r="O240">
        <v>908639</v>
      </c>
      <c r="P240">
        <v>7512206</v>
      </c>
      <c r="Q240">
        <v>2880080</v>
      </c>
      <c r="R240">
        <v>2966801</v>
      </c>
      <c r="S240">
        <v>8850352</v>
      </c>
      <c r="T240">
        <v>3475040</v>
      </c>
      <c r="U240">
        <v>3500962</v>
      </c>
      <c r="V240">
        <v>10650698</v>
      </c>
      <c r="W240">
        <v>0</v>
      </c>
    </row>
    <row r="241" spans="2:23">
      <c r="B241">
        <v>2036</v>
      </c>
      <c r="C241" t="str">
        <f t="shared" si="14"/>
        <v>CNG</v>
      </c>
      <c r="D241">
        <v>4</v>
      </c>
      <c r="E241">
        <v>16606911</v>
      </c>
      <c r="F241">
        <v>321737</v>
      </c>
      <c r="G241">
        <v>339591</v>
      </c>
      <c r="H241">
        <v>4028292</v>
      </c>
      <c r="I241">
        <v>4729960</v>
      </c>
      <c r="J241">
        <v>105401</v>
      </c>
      <c r="K241">
        <v>12734174</v>
      </c>
      <c r="L241">
        <v>32617588</v>
      </c>
      <c r="M241">
        <v>584257</v>
      </c>
      <c r="N241">
        <v>584257</v>
      </c>
      <c r="O241">
        <v>1752772</v>
      </c>
      <c r="P241">
        <v>724389120</v>
      </c>
      <c r="Q241">
        <v>143550304</v>
      </c>
      <c r="R241">
        <v>153320080</v>
      </c>
      <c r="S241">
        <v>452710528</v>
      </c>
      <c r="T241">
        <v>165059408</v>
      </c>
      <c r="U241">
        <v>180425120</v>
      </c>
      <c r="V241">
        <v>496092160</v>
      </c>
      <c r="W241">
        <v>0</v>
      </c>
    </row>
    <row r="242" spans="2:23">
      <c r="B242">
        <v>2036</v>
      </c>
      <c r="C242" t="str">
        <f t="shared" si="14"/>
        <v>Flex</v>
      </c>
      <c r="D242">
        <v>5</v>
      </c>
      <c r="E242">
        <v>9037549568</v>
      </c>
      <c r="F242">
        <v>321681888</v>
      </c>
      <c r="G242">
        <v>3194650112</v>
      </c>
      <c r="H242">
        <v>731778816</v>
      </c>
      <c r="I242">
        <v>585753728</v>
      </c>
      <c r="J242">
        <v>639484928</v>
      </c>
      <c r="K242">
        <v>531255616</v>
      </c>
      <c r="L242">
        <v>0</v>
      </c>
      <c r="M242">
        <v>0</v>
      </c>
      <c r="N242">
        <v>0</v>
      </c>
      <c r="O242">
        <v>0</v>
      </c>
      <c r="P242">
        <v>0</v>
      </c>
      <c r="Q242">
        <v>0</v>
      </c>
      <c r="R242">
        <v>0</v>
      </c>
      <c r="S242">
        <v>0</v>
      </c>
      <c r="T242">
        <v>0</v>
      </c>
      <c r="U242">
        <v>0</v>
      </c>
      <c r="V242">
        <v>0</v>
      </c>
      <c r="W242">
        <v>0</v>
      </c>
    </row>
    <row r="243" spans="2:23">
      <c r="B243">
        <v>2036</v>
      </c>
      <c r="C243" t="str">
        <f t="shared" si="14"/>
        <v>BEV</v>
      </c>
      <c r="D243">
        <v>6</v>
      </c>
      <c r="E243">
        <v>0</v>
      </c>
      <c r="F243">
        <v>0</v>
      </c>
      <c r="G243">
        <v>0</v>
      </c>
      <c r="H243">
        <v>160503</v>
      </c>
      <c r="I243">
        <v>2020962</v>
      </c>
      <c r="J243">
        <v>228348</v>
      </c>
      <c r="K243">
        <v>4664240</v>
      </c>
      <c r="L243">
        <v>0</v>
      </c>
      <c r="M243">
        <v>92450</v>
      </c>
      <c r="N243">
        <v>92451</v>
      </c>
      <c r="O243">
        <v>277360</v>
      </c>
      <c r="P243">
        <v>202065</v>
      </c>
      <c r="Q243">
        <v>1118172</v>
      </c>
      <c r="R243">
        <v>1114502</v>
      </c>
      <c r="S243">
        <v>3345439</v>
      </c>
      <c r="T243">
        <v>0</v>
      </c>
      <c r="U243">
        <v>0</v>
      </c>
      <c r="V243">
        <v>0</v>
      </c>
      <c r="W243">
        <v>0</v>
      </c>
    </row>
    <row r="244" spans="2:23">
      <c r="B244">
        <v>2036</v>
      </c>
      <c r="C244" t="str">
        <f t="shared" si="14"/>
        <v>PHEV diesel</v>
      </c>
      <c r="D244">
        <v>7</v>
      </c>
      <c r="E244">
        <v>91858432</v>
      </c>
      <c r="F244">
        <v>2073934</v>
      </c>
      <c r="G244">
        <v>88546392</v>
      </c>
      <c r="H244">
        <v>6878482</v>
      </c>
      <c r="I244">
        <v>13765960</v>
      </c>
      <c r="J244">
        <v>21183790</v>
      </c>
      <c r="K244">
        <v>16802684</v>
      </c>
      <c r="L244">
        <v>4174444</v>
      </c>
      <c r="M244">
        <v>0</v>
      </c>
      <c r="N244">
        <v>0</v>
      </c>
      <c r="O244">
        <v>0</v>
      </c>
      <c r="P244">
        <v>11265121</v>
      </c>
      <c r="Q244">
        <v>0</v>
      </c>
      <c r="R244">
        <v>0</v>
      </c>
      <c r="S244">
        <v>0</v>
      </c>
      <c r="T244">
        <v>0</v>
      </c>
      <c r="U244">
        <v>0</v>
      </c>
      <c r="V244">
        <v>0</v>
      </c>
      <c r="W244">
        <v>0</v>
      </c>
    </row>
    <row r="245" spans="2:23">
      <c r="B245">
        <v>2036</v>
      </c>
      <c r="C245" t="str">
        <f t="shared" si="14"/>
        <v>PHEV gasoline</v>
      </c>
      <c r="D245">
        <v>8</v>
      </c>
      <c r="E245">
        <v>94416392</v>
      </c>
      <c r="F245">
        <v>2273185</v>
      </c>
      <c r="G245">
        <v>87671136</v>
      </c>
      <c r="H245">
        <v>5679887</v>
      </c>
      <c r="I245">
        <v>13265912</v>
      </c>
      <c r="J245">
        <v>20331744</v>
      </c>
      <c r="K245">
        <v>16401896</v>
      </c>
      <c r="L245">
        <v>7370980</v>
      </c>
      <c r="M245">
        <v>0</v>
      </c>
      <c r="N245">
        <v>0</v>
      </c>
      <c r="O245">
        <v>0</v>
      </c>
      <c r="P245">
        <v>23912688</v>
      </c>
      <c r="Q245">
        <v>0</v>
      </c>
      <c r="R245">
        <v>0</v>
      </c>
      <c r="S245">
        <v>0</v>
      </c>
      <c r="T245">
        <v>0</v>
      </c>
      <c r="U245">
        <v>0</v>
      </c>
      <c r="V245">
        <v>0</v>
      </c>
      <c r="W245">
        <v>0</v>
      </c>
    </row>
    <row r="246" spans="2:23">
      <c r="B246">
        <v>2036</v>
      </c>
      <c r="C246" t="str">
        <f t="shared" si="14"/>
        <v>Fuel cell</v>
      </c>
      <c r="D246">
        <v>9</v>
      </c>
      <c r="E246">
        <v>0</v>
      </c>
      <c r="F246">
        <v>0</v>
      </c>
      <c r="G246">
        <v>0</v>
      </c>
      <c r="H246">
        <v>22125</v>
      </c>
      <c r="I246">
        <v>23564610</v>
      </c>
      <c r="J246">
        <v>36273888</v>
      </c>
      <c r="K246">
        <v>28809754</v>
      </c>
      <c r="L246">
        <v>4812797</v>
      </c>
      <c r="M246">
        <v>622458</v>
      </c>
      <c r="N246">
        <v>622464</v>
      </c>
      <c r="O246">
        <v>1867400</v>
      </c>
      <c r="P246">
        <v>13053685</v>
      </c>
      <c r="Q246">
        <v>5629526</v>
      </c>
      <c r="R246">
        <v>5624914</v>
      </c>
      <c r="S246">
        <v>16940726</v>
      </c>
      <c r="T246">
        <v>6743874</v>
      </c>
      <c r="U246">
        <v>6736834</v>
      </c>
      <c r="V246">
        <v>20167290</v>
      </c>
      <c r="W246">
        <v>0</v>
      </c>
    </row>
    <row r="247" spans="2:23">
      <c r="B247">
        <v>2037</v>
      </c>
      <c r="C247" t="str">
        <f t="shared" si="14"/>
        <v>Diesel</v>
      </c>
      <c r="D247">
        <v>1</v>
      </c>
      <c r="E247">
        <v>37527642112</v>
      </c>
      <c r="F247">
        <v>87575248</v>
      </c>
      <c r="G247">
        <v>55082610688</v>
      </c>
      <c r="H247">
        <v>4121764352</v>
      </c>
      <c r="I247">
        <v>11520657408</v>
      </c>
      <c r="J247">
        <v>19092621312</v>
      </c>
      <c r="K247">
        <v>15740999680</v>
      </c>
      <c r="L247">
        <v>11878183936</v>
      </c>
      <c r="M247">
        <v>1508136320</v>
      </c>
      <c r="N247">
        <v>1508156288</v>
      </c>
      <c r="O247">
        <v>4524464640</v>
      </c>
      <c r="P247">
        <v>30850177024</v>
      </c>
      <c r="Q247">
        <v>13319036928</v>
      </c>
      <c r="R247">
        <v>13308310528</v>
      </c>
      <c r="S247">
        <v>40080474112</v>
      </c>
      <c r="T247">
        <v>15954638848</v>
      </c>
      <c r="U247">
        <v>15937851392</v>
      </c>
      <c r="V247">
        <v>47715835904</v>
      </c>
      <c r="W247">
        <v>13129167</v>
      </c>
    </row>
    <row r="248" spans="2:23">
      <c r="B248">
        <v>2037</v>
      </c>
      <c r="C248" t="str">
        <f t="shared" si="14"/>
        <v>Gasoline</v>
      </c>
      <c r="D248">
        <v>2</v>
      </c>
      <c r="E248">
        <v>63434850304</v>
      </c>
      <c r="F248">
        <v>2508261632</v>
      </c>
      <c r="G248">
        <v>28829497344</v>
      </c>
      <c r="H248">
        <v>3135130112</v>
      </c>
      <c r="I248">
        <v>6766918656</v>
      </c>
      <c r="J248">
        <v>8056512000</v>
      </c>
      <c r="K248">
        <v>6545469952</v>
      </c>
      <c r="L248">
        <v>33038212</v>
      </c>
      <c r="M248">
        <v>2228538</v>
      </c>
      <c r="N248">
        <v>2228562</v>
      </c>
      <c r="O248">
        <v>6685700</v>
      </c>
      <c r="P248">
        <v>46967220</v>
      </c>
      <c r="Q248">
        <v>20150390</v>
      </c>
      <c r="R248">
        <v>20133964</v>
      </c>
      <c r="S248">
        <v>60637088</v>
      </c>
      <c r="T248">
        <v>24138478</v>
      </c>
      <c r="U248">
        <v>24113832</v>
      </c>
      <c r="V248">
        <v>72186096</v>
      </c>
      <c r="W248">
        <v>0</v>
      </c>
    </row>
    <row r="249" spans="2:23">
      <c r="B249">
        <v>2037</v>
      </c>
      <c r="C249" t="str">
        <f t="shared" si="14"/>
        <v>LPG</v>
      </c>
      <c r="D249">
        <v>3</v>
      </c>
      <c r="E249">
        <v>95399224</v>
      </c>
      <c r="F249">
        <v>0</v>
      </c>
      <c r="G249">
        <v>86603888</v>
      </c>
      <c r="H249">
        <v>5597913</v>
      </c>
      <c r="I249">
        <v>20480726</v>
      </c>
      <c r="J249">
        <v>32985036</v>
      </c>
      <c r="K249">
        <v>26727700</v>
      </c>
      <c r="L249">
        <v>4860388</v>
      </c>
      <c r="M249">
        <v>316467</v>
      </c>
      <c r="N249">
        <v>307964</v>
      </c>
      <c r="O249">
        <v>925222</v>
      </c>
      <c r="P249">
        <v>7643859</v>
      </c>
      <c r="Q249">
        <v>2921781</v>
      </c>
      <c r="R249">
        <v>3009630</v>
      </c>
      <c r="S249">
        <v>9001978</v>
      </c>
      <c r="T249">
        <v>3535708</v>
      </c>
      <c r="U249">
        <v>3552472</v>
      </c>
      <c r="V249">
        <v>10851704</v>
      </c>
      <c r="W249">
        <v>0</v>
      </c>
    </row>
    <row r="250" spans="2:23">
      <c r="B250">
        <v>2037</v>
      </c>
      <c r="C250" t="str">
        <f t="shared" si="14"/>
        <v>CNG</v>
      </c>
      <c r="D250">
        <v>4</v>
      </c>
      <c r="E250">
        <v>14898547</v>
      </c>
      <c r="F250">
        <v>288551</v>
      </c>
      <c r="G250">
        <v>307898</v>
      </c>
      <c r="H250">
        <v>3436141</v>
      </c>
      <c r="I250">
        <v>4368696</v>
      </c>
      <c r="J250">
        <v>96067</v>
      </c>
      <c r="K250">
        <v>11842700</v>
      </c>
      <c r="L250">
        <v>31301740</v>
      </c>
      <c r="M250">
        <v>561019</v>
      </c>
      <c r="N250">
        <v>561019</v>
      </c>
      <c r="O250">
        <v>1683058</v>
      </c>
      <c r="P250">
        <v>729974848</v>
      </c>
      <c r="Q250">
        <v>149244368</v>
      </c>
      <c r="R250">
        <v>160067984</v>
      </c>
      <c r="S250">
        <v>472550496</v>
      </c>
      <c r="T250">
        <v>171644640</v>
      </c>
      <c r="U250">
        <v>188795024</v>
      </c>
      <c r="V250">
        <v>514754944</v>
      </c>
      <c r="W250">
        <v>0</v>
      </c>
    </row>
    <row r="251" spans="2:23">
      <c r="B251">
        <v>2037</v>
      </c>
      <c r="C251" t="str">
        <f t="shared" si="14"/>
        <v>Flex</v>
      </c>
      <c r="D251">
        <v>5</v>
      </c>
      <c r="E251">
        <v>9313930240</v>
      </c>
      <c r="F251">
        <v>320030848</v>
      </c>
      <c r="G251">
        <v>3255244800</v>
      </c>
      <c r="H251">
        <v>678723072</v>
      </c>
      <c r="I251">
        <v>617863424</v>
      </c>
      <c r="J251">
        <v>704671744</v>
      </c>
      <c r="K251">
        <v>585086464</v>
      </c>
      <c r="L251">
        <v>0</v>
      </c>
      <c r="M251">
        <v>0</v>
      </c>
      <c r="N251">
        <v>0</v>
      </c>
      <c r="O251">
        <v>0</v>
      </c>
      <c r="P251">
        <v>0</v>
      </c>
      <c r="Q251">
        <v>0</v>
      </c>
      <c r="R251">
        <v>0</v>
      </c>
      <c r="S251">
        <v>0</v>
      </c>
      <c r="T251">
        <v>0</v>
      </c>
      <c r="U251">
        <v>0</v>
      </c>
      <c r="V251">
        <v>0</v>
      </c>
      <c r="W251">
        <v>0</v>
      </c>
    </row>
    <row r="252" spans="2:23">
      <c r="B252">
        <v>2037</v>
      </c>
      <c r="C252" t="str">
        <f t="shared" si="14"/>
        <v>BEV</v>
      </c>
      <c r="D252">
        <v>6</v>
      </c>
      <c r="E252">
        <v>0</v>
      </c>
      <c r="F252">
        <v>0</v>
      </c>
      <c r="G252">
        <v>0</v>
      </c>
      <c r="H252">
        <v>125968</v>
      </c>
      <c r="I252">
        <v>1904299</v>
      </c>
      <c r="J252">
        <v>215000</v>
      </c>
      <c r="K252">
        <v>4490830</v>
      </c>
      <c r="L252">
        <v>0</v>
      </c>
      <c r="M252">
        <v>88975</v>
      </c>
      <c r="N252">
        <v>88977</v>
      </c>
      <c r="O252">
        <v>266938</v>
      </c>
      <c r="P252">
        <v>191106</v>
      </c>
      <c r="Q252">
        <v>1059903</v>
      </c>
      <c r="R252">
        <v>1056037</v>
      </c>
      <c r="S252">
        <v>3170250</v>
      </c>
      <c r="T252">
        <v>0</v>
      </c>
      <c r="U252">
        <v>0</v>
      </c>
      <c r="V252">
        <v>0</v>
      </c>
      <c r="W252">
        <v>0</v>
      </c>
    </row>
    <row r="253" spans="2:23">
      <c r="B253">
        <v>2037</v>
      </c>
      <c r="C253" t="str">
        <f t="shared" si="14"/>
        <v>PHEV diesel</v>
      </c>
      <c r="D253">
        <v>7</v>
      </c>
      <c r="E253">
        <v>99811888</v>
      </c>
      <c r="F253">
        <v>2254766</v>
      </c>
      <c r="G253">
        <v>97708264</v>
      </c>
      <c r="H253">
        <v>7582567</v>
      </c>
      <c r="I253">
        <v>14865772</v>
      </c>
      <c r="J253">
        <v>22876068</v>
      </c>
      <c r="K253">
        <v>18174562</v>
      </c>
      <c r="L253">
        <v>4492084</v>
      </c>
      <c r="M253">
        <v>0</v>
      </c>
      <c r="N253">
        <v>0</v>
      </c>
      <c r="O253">
        <v>0</v>
      </c>
      <c r="P253">
        <v>12088623</v>
      </c>
      <c r="Q253">
        <v>0</v>
      </c>
      <c r="R253">
        <v>0</v>
      </c>
      <c r="S253">
        <v>0</v>
      </c>
      <c r="T253">
        <v>0</v>
      </c>
      <c r="U253">
        <v>0</v>
      </c>
      <c r="V253">
        <v>0</v>
      </c>
      <c r="W253">
        <v>0</v>
      </c>
    </row>
    <row r="254" spans="2:23">
      <c r="B254">
        <v>2037</v>
      </c>
      <c r="C254" t="str">
        <f t="shared" si="14"/>
        <v>PHEV gasoline</v>
      </c>
      <c r="D254">
        <v>8</v>
      </c>
      <c r="E254">
        <v>103103776</v>
      </c>
      <c r="F254">
        <v>2490958</v>
      </c>
      <c r="G254">
        <v>97252488</v>
      </c>
      <c r="H254">
        <v>6340818</v>
      </c>
      <c r="I254">
        <v>14567560</v>
      </c>
      <c r="J254">
        <v>22328266</v>
      </c>
      <c r="K254">
        <v>18031178</v>
      </c>
      <c r="L254">
        <v>7875680</v>
      </c>
      <c r="M254">
        <v>0</v>
      </c>
      <c r="N254">
        <v>0</v>
      </c>
      <c r="O254">
        <v>0</v>
      </c>
      <c r="P254">
        <v>25471520</v>
      </c>
      <c r="Q254">
        <v>0</v>
      </c>
      <c r="R254">
        <v>0</v>
      </c>
      <c r="S254">
        <v>0</v>
      </c>
      <c r="T254">
        <v>0</v>
      </c>
      <c r="U254">
        <v>0</v>
      </c>
      <c r="V254">
        <v>0</v>
      </c>
      <c r="W254">
        <v>0</v>
      </c>
    </row>
    <row r="255" spans="2:23">
      <c r="B255">
        <v>2037</v>
      </c>
      <c r="C255" t="str">
        <f t="shared" si="14"/>
        <v>Fuel cell</v>
      </c>
      <c r="D255">
        <v>9</v>
      </c>
      <c r="E255">
        <v>0</v>
      </c>
      <c r="F255">
        <v>0</v>
      </c>
      <c r="G255">
        <v>0</v>
      </c>
      <c r="H255">
        <v>23269</v>
      </c>
      <c r="I255">
        <v>25462032</v>
      </c>
      <c r="J255">
        <v>39194736</v>
      </c>
      <c r="K255">
        <v>31129454</v>
      </c>
      <c r="L255">
        <v>5118237</v>
      </c>
      <c r="M255">
        <v>661949</v>
      </c>
      <c r="N255">
        <v>661957</v>
      </c>
      <c r="O255">
        <v>1985874</v>
      </c>
      <c r="P255">
        <v>13878963</v>
      </c>
      <c r="Q255">
        <v>5985256</v>
      </c>
      <c r="R255">
        <v>5980023</v>
      </c>
      <c r="S255">
        <v>18010378</v>
      </c>
      <c r="T255">
        <v>7169922</v>
      </c>
      <c r="U255">
        <v>7161872</v>
      </c>
      <c r="V255">
        <v>21441968</v>
      </c>
      <c r="W255">
        <v>0</v>
      </c>
    </row>
    <row r="256" spans="2:23">
      <c r="B256">
        <v>2038</v>
      </c>
      <c r="C256" t="str">
        <f t="shared" si="14"/>
        <v>Diesel</v>
      </c>
      <c r="D256">
        <v>1</v>
      </c>
      <c r="E256">
        <v>37781696512</v>
      </c>
      <c r="F256">
        <v>88168112</v>
      </c>
      <c r="G256">
        <v>55866261504</v>
      </c>
      <c r="H256">
        <v>4240283392</v>
      </c>
      <c r="I256">
        <v>11740822528</v>
      </c>
      <c r="J256">
        <v>19353059328</v>
      </c>
      <c r="K256">
        <v>15873900544</v>
      </c>
      <c r="L256">
        <v>11855799296</v>
      </c>
      <c r="M256">
        <v>1510600960</v>
      </c>
      <c r="N256">
        <v>1510623616</v>
      </c>
      <c r="O256">
        <v>4531857920</v>
      </c>
      <c r="P256">
        <v>30937526272</v>
      </c>
      <c r="Q256">
        <v>13364829184</v>
      </c>
      <c r="R256">
        <v>13352753152</v>
      </c>
      <c r="S256">
        <v>40214601728</v>
      </c>
      <c r="T256">
        <v>16009290752</v>
      </c>
      <c r="U256">
        <v>15990497280</v>
      </c>
      <c r="V256">
        <v>47880269824</v>
      </c>
      <c r="W256">
        <v>13234496</v>
      </c>
    </row>
    <row r="257" spans="2:23">
      <c r="B257">
        <v>2038</v>
      </c>
      <c r="C257" t="str">
        <f t="shared" si="14"/>
        <v>Gasoline</v>
      </c>
      <c r="D257">
        <v>2</v>
      </c>
      <c r="E257">
        <v>63929454592</v>
      </c>
      <c r="F257">
        <v>2527817472</v>
      </c>
      <c r="G257">
        <v>29792157696</v>
      </c>
      <c r="H257">
        <v>3115598336</v>
      </c>
      <c r="I257">
        <v>6722814464</v>
      </c>
      <c r="J257">
        <v>8221107200</v>
      </c>
      <c r="K257">
        <v>6639592960</v>
      </c>
      <c r="L257">
        <v>31483816</v>
      </c>
      <c r="M257">
        <v>2285665</v>
      </c>
      <c r="N257">
        <v>2285694</v>
      </c>
      <c r="O257">
        <v>6857084</v>
      </c>
      <c r="P257">
        <v>48097384</v>
      </c>
      <c r="Q257">
        <v>20662298</v>
      </c>
      <c r="R257">
        <v>20644000</v>
      </c>
      <c r="S257">
        <v>62173776</v>
      </c>
      <c r="T257">
        <v>24751416</v>
      </c>
      <c r="U257">
        <v>24723836</v>
      </c>
      <c r="V257">
        <v>74020920</v>
      </c>
      <c r="W257">
        <v>0</v>
      </c>
    </row>
    <row r="258" spans="2:23">
      <c r="B258">
        <v>2038</v>
      </c>
      <c r="C258" t="str">
        <f t="shared" si="14"/>
        <v>LPG</v>
      </c>
      <c r="D258">
        <v>3</v>
      </c>
      <c r="E258">
        <v>108978304</v>
      </c>
      <c r="F258">
        <v>0</v>
      </c>
      <c r="G258">
        <v>93529936</v>
      </c>
      <c r="H258">
        <v>6054560</v>
      </c>
      <c r="I258">
        <v>22043230</v>
      </c>
      <c r="J258">
        <v>35372732</v>
      </c>
      <c r="K258">
        <v>28627598</v>
      </c>
      <c r="L258">
        <v>4700987</v>
      </c>
      <c r="M258">
        <v>320804</v>
      </c>
      <c r="N258">
        <v>310942</v>
      </c>
      <c r="O258">
        <v>938508</v>
      </c>
      <c r="P258">
        <v>7743230</v>
      </c>
      <c r="Q258">
        <v>2951888</v>
      </c>
      <c r="R258">
        <v>3040465</v>
      </c>
      <c r="S258">
        <v>9121833</v>
      </c>
      <c r="T258">
        <v>3582590</v>
      </c>
      <c r="U258">
        <v>3588906</v>
      </c>
      <c r="V258">
        <v>11007676</v>
      </c>
      <c r="W258">
        <v>0</v>
      </c>
    </row>
    <row r="259" spans="2:23">
      <c r="B259">
        <v>2038</v>
      </c>
      <c r="C259" t="str">
        <f t="shared" si="14"/>
        <v>CNG</v>
      </c>
      <c r="D259">
        <v>4</v>
      </c>
      <c r="E259">
        <v>13447620</v>
      </c>
      <c r="F259">
        <v>256821</v>
      </c>
      <c r="G259">
        <v>279384</v>
      </c>
      <c r="H259">
        <v>2886346</v>
      </c>
      <c r="I259">
        <v>4062296</v>
      </c>
      <c r="J259">
        <v>88284</v>
      </c>
      <c r="K259">
        <v>11007640</v>
      </c>
      <c r="L259">
        <v>30119600</v>
      </c>
      <c r="M259">
        <v>539484</v>
      </c>
      <c r="N259">
        <v>539484</v>
      </c>
      <c r="O259">
        <v>1618453</v>
      </c>
      <c r="P259">
        <v>741051200</v>
      </c>
      <c r="Q259">
        <v>155373616</v>
      </c>
      <c r="R259">
        <v>167587024</v>
      </c>
      <c r="S259">
        <v>494770432</v>
      </c>
      <c r="T259">
        <v>178832416</v>
      </c>
      <c r="U259">
        <v>198078592</v>
      </c>
      <c r="V259">
        <v>535239648</v>
      </c>
      <c r="W259">
        <v>0</v>
      </c>
    </row>
    <row r="260" spans="2:23">
      <c r="B260">
        <v>2038</v>
      </c>
      <c r="C260" t="str">
        <f t="shared" si="14"/>
        <v>Flex</v>
      </c>
      <c r="D260">
        <v>5</v>
      </c>
      <c r="E260">
        <v>9631010816</v>
      </c>
      <c r="F260">
        <v>320315328</v>
      </c>
      <c r="G260">
        <v>3303339776</v>
      </c>
      <c r="H260">
        <v>622995712</v>
      </c>
      <c r="I260">
        <v>650437184</v>
      </c>
      <c r="J260">
        <v>770592576</v>
      </c>
      <c r="K260">
        <v>639577472</v>
      </c>
      <c r="L260">
        <v>0</v>
      </c>
      <c r="M260">
        <v>0</v>
      </c>
      <c r="N260">
        <v>0</v>
      </c>
      <c r="O260">
        <v>0</v>
      </c>
      <c r="P260">
        <v>0</v>
      </c>
      <c r="Q260">
        <v>0</v>
      </c>
      <c r="R260">
        <v>0</v>
      </c>
      <c r="S260">
        <v>0</v>
      </c>
      <c r="T260">
        <v>0</v>
      </c>
      <c r="U260">
        <v>0</v>
      </c>
      <c r="V260">
        <v>0</v>
      </c>
      <c r="W260">
        <v>0</v>
      </c>
    </row>
    <row r="261" spans="2:23">
      <c r="B261">
        <v>2038</v>
      </c>
      <c r="C261" t="str">
        <f t="shared" si="14"/>
        <v>BEV</v>
      </c>
      <c r="D261">
        <v>6</v>
      </c>
      <c r="E261">
        <v>0</v>
      </c>
      <c r="F261">
        <v>0</v>
      </c>
      <c r="G261">
        <v>0</v>
      </c>
      <c r="H261">
        <v>98722</v>
      </c>
      <c r="I261">
        <v>1830780</v>
      </c>
      <c r="J261">
        <v>204474</v>
      </c>
      <c r="K261">
        <v>4318291</v>
      </c>
      <c r="L261">
        <v>0</v>
      </c>
      <c r="M261">
        <v>85103</v>
      </c>
      <c r="N261">
        <v>85105</v>
      </c>
      <c r="O261">
        <v>255321</v>
      </c>
      <c r="P261">
        <v>179973</v>
      </c>
      <c r="Q261">
        <v>1002743</v>
      </c>
      <c r="R261">
        <v>998712</v>
      </c>
      <c r="S261">
        <v>2998454</v>
      </c>
      <c r="T261">
        <v>0</v>
      </c>
      <c r="U261">
        <v>0</v>
      </c>
      <c r="V261">
        <v>0</v>
      </c>
      <c r="W261">
        <v>0</v>
      </c>
    </row>
    <row r="262" spans="2:23">
      <c r="B262">
        <v>2038</v>
      </c>
      <c r="C262" t="str">
        <f t="shared" si="14"/>
        <v>PHEV diesel</v>
      </c>
      <c r="D262">
        <v>7</v>
      </c>
      <c r="E262">
        <v>108645176</v>
      </c>
      <c r="F262">
        <v>2456526</v>
      </c>
      <c r="G262">
        <v>107861016</v>
      </c>
      <c r="H262">
        <v>8364909</v>
      </c>
      <c r="I262">
        <v>16018647</v>
      </c>
      <c r="J262">
        <v>24650010</v>
      </c>
      <c r="K262">
        <v>19611538</v>
      </c>
      <c r="L262">
        <v>4806112</v>
      </c>
      <c r="M262">
        <v>0</v>
      </c>
      <c r="N262">
        <v>0</v>
      </c>
      <c r="O262">
        <v>0</v>
      </c>
      <c r="P262">
        <v>12898495</v>
      </c>
      <c r="Q262">
        <v>0</v>
      </c>
      <c r="R262">
        <v>0</v>
      </c>
      <c r="S262">
        <v>0</v>
      </c>
      <c r="T262">
        <v>0</v>
      </c>
      <c r="U262">
        <v>0</v>
      </c>
      <c r="V262">
        <v>0</v>
      </c>
      <c r="W262">
        <v>0</v>
      </c>
    </row>
    <row r="263" spans="2:23">
      <c r="B263">
        <v>2038</v>
      </c>
      <c r="C263" t="str">
        <f t="shared" si="14"/>
        <v>PHEV gasoline</v>
      </c>
      <c r="D263">
        <v>8</v>
      </c>
      <c r="E263">
        <v>112997384</v>
      </c>
      <c r="F263">
        <v>2737928</v>
      </c>
      <c r="G263">
        <v>108060224</v>
      </c>
      <c r="H263">
        <v>7084250</v>
      </c>
      <c r="I263">
        <v>15985751</v>
      </c>
      <c r="J263">
        <v>24503768</v>
      </c>
      <c r="K263">
        <v>19805116</v>
      </c>
      <c r="L263">
        <v>8363383</v>
      </c>
      <c r="M263">
        <v>0</v>
      </c>
      <c r="N263">
        <v>0</v>
      </c>
      <c r="O263">
        <v>0</v>
      </c>
      <c r="P263">
        <v>26967376</v>
      </c>
      <c r="Q263">
        <v>0</v>
      </c>
      <c r="R263">
        <v>0</v>
      </c>
      <c r="S263">
        <v>0</v>
      </c>
      <c r="T263">
        <v>0</v>
      </c>
      <c r="U263">
        <v>0</v>
      </c>
      <c r="V263">
        <v>0</v>
      </c>
      <c r="W263">
        <v>0</v>
      </c>
    </row>
    <row r="264" spans="2:23">
      <c r="B264">
        <v>2038</v>
      </c>
      <c r="C264" t="str">
        <f t="shared" si="14"/>
        <v>Fuel cell</v>
      </c>
      <c r="D264">
        <v>9</v>
      </c>
      <c r="E264">
        <v>0</v>
      </c>
      <c r="F264">
        <v>0</v>
      </c>
      <c r="G264">
        <v>0</v>
      </c>
      <c r="H264">
        <v>24314</v>
      </c>
      <c r="I264">
        <v>27480616</v>
      </c>
      <c r="J264">
        <v>42302080</v>
      </c>
      <c r="K264">
        <v>33596952</v>
      </c>
      <c r="L264">
        <v>5406216</v>
      </c>
      <c r="M264">
        <v>699196</v>
      </c>
      <c r="N264">
        <v>699206</v>
      </c>
      <c r="O264">
        <v>2097618</v>
      </c>
      <c r="P264">
        <v>14655255</v>
      </c>
      <c r="Q264">
        <v>6320238</v>
      </c>
      <c r="R264">
        <v>6314232</v>
      </c>
      <c r="S264">
        <v>19017066</v>
      </c>
      <c r="T264">
        <v>7571083</v>
      </c>
      <c r="U264">
        <v>7561852</v>
      </c>
      <c r="V264">
        <v>22642284</v>
      </c>
      <c r="W264">
        <v>0</v>
      </c>
    </row>
    <row r="265" spans="2:23">
      <c r="B265">
        <v>2039</v>
      </c>
      <c r="C265" t="str">
        <f t="shared" si="14"/>
        <v>Diesel</v>
      </c>
      <c r="D265">
        <v>1</v>
      </c>
      <c r="E265">
        <v>38081662976</v>
      </c>
      <c r="F265">
        <v>88868136</v>
      </c>
      <c r="G265">
        <v>56685731840</v>
      </c>
      <c r="H265">
        <v>4357380608</v>
      </c>
      <c r="I265">
        <v>11950119936</v>
      </c>
      <c r="J265">
        <v>19620311040</v>
      </c>
      <c r="K265">
        <v>16010595328</v>
      </c>
      <c r="L265">
        <v>11827319808</v>
      </c>
      <c r="M265">
        <v>1511483008</v>
      </c>
      <c r="N265">
        <v>1511508736</v>
      </c>
      <c r="O265">
        <v>4534502400</v>
      </c>
      <c r="P265">
        <v>31000020992</v>
      </c>
      <c r="Q265">
        <v>13402054656</v>
      </c>
      <c r="R265">
        <v>13388451840</v>
      </c>
      <c r="S265">
        <v>40322338816</v>
      </c>
      <c r="T265">
        <v>16053851136</v>
      </c>
      <c r="U265">
        <v>16032698368</v>
      </c>
      <c r="V265">
        <v>48014475264</v>
      </c>
      <c r="W265">
        <v>13310591</v>
      </c>
    </row>
    <row r="266" spans="2:23">
      <c r="B266">
        <v>2039</v>
      </c>
      <c r="C266" t="str">
        <f t="shared" si="14"/>
        <v>Gasoline</v>
      </c>
      <c r="D266">
        <v>2</v>
      </c>
      <c r="E266">
        <v>64448774144</v>
      </c>
      <c r="F266">
        <v>2548352000</v>
      </c>
      <c r="G266">
        <v>30716844032</v>
      </c>
      <c r="H266">
        <v>3095930624</v>
      </c>
      <c r="I266">
        <v>6724854784</v>
      </c>
      <c r="J266">
        <v>8383196160</v>
      </c>
      <c r="K266">
        <v>6746996736</v>
      </c>
      <c r="L266">
        <v>30210304</v>
      </c>
      <c r="M266">
        <v>2335248</v>
      </c>
      <c r="N266">
        <v>2335282</v>
      </c>
      <c r="O266">
        <v>7005835</v>
      </c>
      <c r="P266">
        <v>49077844</v>
      </c>
      <c r="Q266">
        <v>21104612</v>
      </c>
      <c r="R266">
        <v>21084252</v>
      </c>
      <c r="S266">
        <v>63500188</v>
      </c>
      <c r="T266">
        <v>25281146</v>
      </c>
      <c r="U266">
        <v>25250224</v>
      </c>
      <c r="V266">
        <v>75606952</v>
      </c>
      <c r="W266">
        <v>0</v>
      </c>
    </row>
    <row r="267" spans="2:23">
      <c r="B267">
        <v>2039</v>
      </c>
      <c r="C267" t="str">
        <f t="shared" si="14"/>
        <v>LPG</v>
      </c>
      <c r="D267">
        <v>3</v>
      </c>
      <c r="E267">
        <v>124914920</v>
      </c>
      <c r="F267">
        <v>0</v>
      </c>
      <c r="G267">
        <v>101065880</v>
      </c>
      <c r="H267">
        <v>6549268</v>
      </c>
      <c r="I267">
        <v>23775944</v>
      </c>
      <c r="J267">
        <v>38003704</v>
      </c>
      <c r="K267">
        <v>30731708</v>
      </c>
      <c r="L267">
        <v>4620794</v>
      </c>
      <c r="M267">
        <v>324057</v>
      </c>
      <c r="N267">
        <v>312968</v>
      </c>
      <c r="O267">
        <v>949045</v>
      </c>
      <c r="P267">
        <v>7814063</v>
      </c>
      <c r="Q267">
        <v>2972680</v>
      </c>
      <c r="R267">
        <v>3061653</v>
      </c>
      <c r="S267">
        <v>9215973</v>
      </c>
      <c r="T267">
        <v>3617830</v>
      </c>
      <c r="U267">
        <v>3613869</v>
      </c>
      <c r="V267">
        <v>11125138</v>
      </c>
      <c r="W267">
        <v>0</v>
      </c>
    </row>
    <row r="268" spans="2:23">
      <c r="B268">
        <v>2039</v>
      </c>
      <c r="C268" t="str">
        <f t="shared" si="14"/>
        <v>CNG</v>
      </c>
      <c r="D268">
        <v>4</v>
      </c>
      <c r="E268">
        <v>12094986</v>
      </c>
      <c r="F268">
        <v>229485</v>
      </c>
      <c r="G268">
        <v>253650</v>
      </c>
      <c r="H268">
        <v>2384768</v>
      </c>
      <c r="I268">
        <v>3821125</v>
      </c>
      <c r="J268">
        <v>81707</v>
      </c>
      <c r="K268">
        <v>10253842</v>
      </c>
      <c r="L268">
        <v>29116508</v>
      </c>
      <c r="M268">
        <v>517902</v>
      </c>
      <c r="N268">
        <v>517902</v>
      </c>
      <c r="O268">
        <v>1553705</v>
      </c>
      <c r="P268">
        <v>756278336</v>
      </c>
      <c r="Q268">
        <v>162127696</v>
      </c>
      <c r="R268">
        <v>175909712</v>
      </c>
      <c r="S268">
        <v>519475712</v>
      </c>
      <c r="T268">
        <v>186623280</v>
      </c>
      <c r="U268">
        <v>208319296</v>
      </c>
      <c r="V268">
        <v>557555328</v>
      </c>
      <c r="W268">
        <v>0</v>
      </c>
    </row>
    <row r="269" spans="2:23">
      <c r="B269">
        <v>2039</v>
      </c>
      <c r="C269" t="str">
        <f t="shared" si="14"/>
        <v>Flex</v>
      </c>
      <c r="D269">
        <v>5</v>
      </c>
      <c r="E269">
        <v>9974356992</v>
      </c>
      <c r="F269">
        <v>322382176</v>
      </c>
      <c r="G269">
        <v>3353029632</v>
      </c>
      <c r="H269">
        <v>564867712</v>
      </c>
      <c r="I269">
        <v>683224064</v>
      </c>
      <c r="J269">
        <v>837167040</v>
      </c>
      <c r="K269">
        <v>694627008</v>
      </c>
      <c r="L269">
        <v>0</v>
      </c>
      <c r="M269">
        <v>0</v>
      </c>
      <c r="N269">
        <v>0</v>
      </c>
      <c r="O269">
        <v>0</v>
      </c>
      <c r="P269">
        <v>0</v>
      </c>
      <c r="Q269">
        <v>0</v>
      </c>
      <c r="R269">
        <v>0</v>
      </c>
      <c r="S269">
        <v>0</v>
      </c>
      <c r="T269">
        <v>0</v>
      </c>
      <c r="U269">
        <v>0</v>
      </c>
      <c r="V269">
        <v>0</v>
      </c>
      <c r="W269">
        <v>0</v>
      </c>
    </row>
    <row r="270" spans="2:23">
      <c r="B270">
        <v>2039</v>
      </c>
      <c r="C270" t="str">
        <f t="shared" si="14"/>
        <v>BEV</v>
      </c>
      <c r="D270">
        <v>6</v>
      </c>
      <c r="E270">
        <v>0</v>
      </c>
      <c r="F270">
        <v>0</v>
      </c>
      <c r="G270">
        <v>0</v>
      </c>
      <c r="H270">
        <v>77261</v>
      </c>
      <c r="I270">
        <v>1758985</v>
      </c>
      <c r="J270">
        <v>193974</v>
      </c>
      <c r="K270">
        <v>4136576</v>
      </c>
      <c r="L270">
        <v>0</v>
      </c>
      <c r="M270">
        <v>81215</v>
      </c>
      <c r="N270">
        <v>81218</v>
      </c>
      <c r="O270">
        <v>243661</v>
      </c>
      <c r="P270">
        <v>169985</v>
      </c>
      <c r="Q270">
        <v>936781</v>
      </c>
      <c r="R270">
        <v>932617</v>
      </c>
      <c r="S270">
        <v>2800313</v>
      </c>
      <c r="T270">
        <v>0</v>
      </c>
      <c r="U270">
        <v>0</v>
      </c>
      <c r="V270">
        <v>0</v>
      </c>
      <c r="W270">
        <v>0</v>
      </c>
    </row>
    <row r="271" spans="2:23">
      <c r="B271">
        <v>2039</v>
      </c>
      <c r="C271" t="str">
        <f t="shared" si="14"/>
        <v>PHEV diesel</v>
      </c>
      <c r="D271">
        <v>7</v>
      </c>
      <c r="E271">
        <v>118524296</v>
      </c>
      <c r="F271">
        <v>2682096</v>
      </c>
      <c r="G271">
        <v>119141872</v>
      </c>
      <c r="H271">
        <v>9235951</v>
      </c>
      <c r="I271">
        <v>17239578</v>
      </c>
      <c r="J271">
        <v>26528720</v>
      </c>
      <c r="K271">
        <v>21131224</v>
      </c>
      <c r="L271">
        <v>5120708</v>
      </c>
      <c r="M271">
        <v>0</v>
      </c>
      <c r="N271">
        <v>0</v>
      </c>
      <c r="O271">
        <v>0</v>
      </c>
      <c r="P271">
        <v>13706517</v>
      </c>
      <c r="Q271">
        <v>0</v>
      </c>
      <c r="R271">
        <v>0</v>
      </c>
      <c r="S271">
        <v>0</v>
      </c>
      <c r="T271">
        <v>0</v>
      </c>
      <c r="U271">
        <v>0</v>
      </c>
      <c r="V271">
        <v>0</v>
      </c>
      <c r="W271">
        <v>0</v>
      </c>
    </row>
    <row r="272" spans="2:23">
      <c r="B272">
        <v>2039</v>
      </c>
      <c r="C272" t="str">
        <f t="shared" si="14"/>
        <v>PHEV gasoline</v>
      </c>
      <c r="D272">
        <v>8</v>
      </c>
      <c r="E272">
        <v>124264072</v>
      </c>
      <c r="F272">
        <v>3017414</v>
      </c>
      <c r="G272">
        <v>120273504</v>
      </c>
      <c r="H272">
        <v>7922031</v>
      </c>
      <c r="I272">
        <v>17547180</v>
      </c>
      <c r="J272">
        <v>26899098</v>
      </c>
      <c r="K272">
        <v>21757832</v>
      </c>
      <c r="L272">
        <v>8842894</v>
      </c>
      <c r="M272">
        <v>0</v>
      </c>
      <c r="N272">
        <v>0</v>
      </c>
      <c r="O272">
        <v>0</v>
      </c>
      <c r="P272">
        <v>28426838</v>
      </c>
      <c r="Q272">
        <v>0</v>
      </c>
      <c r="R272">
        <v>0</v>
      </c>
      <c r="S272">
        <v>0</v>
      </c>
      <c r="T272">
        <v>0</v>
      </c>
      <c r="U272">
        <v>0</v>
      </c>
      <c r="V272">
        <v>0</v>
      </c>
      <c r="W272">
        <v>0</v>
      </c>
    </row>
    <row r="273" spans="2:23">
      <c r="B273">
        <v>2039</v>
      </c>
      <c r="C273" t="str">
        <f t="shared" si="14"/>
        <v>Fuel cell</v>
      </c>
      <c r="D273">
        <v>9</v>
      </c>
      <c r="E273">
        <v>0</v>
      </c>
      <c r="F273">
        <v>0</v>
      </c>
      <c r="G273">
        <v>0</v>
      </c>
      <c r="H273">
        <v>25256</v>
      </c>
      <c r="I273">
        <v>29650520</v>
      </c>
      <c r="J273">
        <v>45642356</v>
      </c>
      <c r="K273">
        <v>36249180</v>
      </c>
      <c r="L273">
        <v>5680075</v>
      </c>
      <c r="M273">
        <v>734638</v>
      </c>
      <c r="N273">
        <v>734650</v>
      </c>
      <c r="O273">
        <v>2203943</v>
      </c>
      <c r="P273">
        <v>15391436</v>
      </c>
      <c r="Q273">
        <v>6638312</v>
      </c>
      <c r="R273">
        <v>6631422</v>
      </c>
      <c r="S273">
        <v>19972470</v>
      </c>
      <c r="T273">
        <v>7952049</v>
      </c>
      <c r="U273">
        <v>7941422</v>
      </c>
      <c r="V273">
        <v>23782242</v>
      </c>
      <c r="W273">
        <v>0</v>
      </c>
    </row>
    <row r="274" spans="2:23">
      <c r="B274">
        <v>2040</v>
      </c>
      <c r="C274" t="str">
        <f t="shared" si="14"/>
        <v>Diesel</v>
      </c>
      <c r="D274">
        <v>1</v>
      </c>
      <c r="E274">
        <v>38371160064</v>
      </c>
      <c r="F274">
        <v>89543720</v>
      </c>
      <c r="G274">
        <v>57602576384</v>
      </c>
      <c r="H274">
        <v>4476658688</v>
      </c>
      <c r="I274">
        <v>12160556032</v>
      </c>
      <c r="J274">
        <v>19907028992</v>
      </c>
      <c r="K274">
        <v>16172221440</v>
      </c>
      <c r="L274">
        <v>11811274752</v>
      </c>
      <c r="M274">
        <v>1513213056</v>
      </c>
      <c r="N274">
        <v>1513241472</v>
      </c>
      <c r="O274">
        <v>4539689984</v>
      </c>
      <c r="P274">
        <v>31074867200</v>
      </c>
      <c r="Q274">
        <v>13445633024</v>
      </c>
      <c r="R274">
        <v>13430475776</v>
      </c>
      <c r="S274">
        <v>40448925696</v>
      </c>
      <c r="T274">
        <v>16106090496</v>
      </c>
      <c r="U274">
        <v>16082383872</v>
      </c>
      <c r="V274">
        <v>48171642880</v>
      </c>
      <c r="W274">
        <v>13386520</v>
      </c>
    </row>
    <row r="275" spans="2:23">
      <c r="B275">
        <v>2040</v>
      </c>
      <c r="C275" t="str">
        <f t="shared" si="14"/>
        <v>Gasoline</v>
      </c>
      <c r="D275">
        <v>2</v>
      </c>
      <c r="E275">
        <v>64890748928</v>
      </c>
      <c r="F275">
        <v>2565828352</v>
      </c>
      <c r="G275">
        <v>31655063552</v>
      </c>
      <c r="H275">
        <v>3079402496</v>
      </c>
      <c r="I275">
        <v>6704829952</v>
      </c>
      <c r="J275">
        <v>8561364992</v>
      </c>
      <c r="K275">
        <v>6858353664</v>
      </c>
      <c r="L275">
        <v>29038706</v>
      </c>
      <c r="M275">
        <v>2384688</v>
      </c>
      <c r="N275">
        <v>2384726</v>
      </c>
      <c r="O275">
        <v>7154154</v>
      </c>
      <c r="P275">
        <v>50058616</v>
      </c>
      <c r="Q275">
        <v>21544090</v>
      </c>
      <c r="R275">
        <v>21521592</v>
      </c>
      <c r="S275">
        <v>64817592</v>
      </c>
      <c r="T275">
        <v>25807530</v>
      </c>
      <c r="U275">
        <v>25772986</v>
      </c>
      <c r="V275">
        <v>77182976</v>
      </c>
      <c r="W275">
        <v>0</v>
      </c>
    </row>
    <row r="276" spans="2:23">
      <c r="B276">
        <v>2040</v>
      </c>
      <c r="C276" t="str">
        <f t="shared" si="14"/>
        <v>LPG</v>
      </c>
      <c r="D276">
        <v>3</v>
      </c>
      <c r="E276">
        <v>143274656</v>
      </c>
      <c r="F276">
        <v>0</v>
      </c>
      <c r="G276">
        <v>109423408</v>
      </c>
      <c r="H276">
        <v>7094528</v>
      </c>
      <c r="I276">
        <v>25709260</v>
      </c>
      <c r="J276">
        <v>40933540</v>
      </c>
      <c r="K276">
        <v>33085582</v>
      </c>
      <c r="L276">
        <v>4559714</v>
      </c>
      <c r="M276">
        <v>327079</v>
      </c>
      <c r="N276">
        <v>314877</v>
      </c>
      <c r="O276">
        <v>958824</v>
      </c>
      <c r="P276">
        <v>7879864</v>
      </c>
      <c r="Q276">
        <v>2992070</v>
      </c>
      <c r="R276">
        <v>3081434</v>
      </c>
      <c r="S276">
        <v>9308377</v>
      </c>
      <c r="T276">
        <v>3650404</v>
      </c>
      <c r="U276">
        <v>3636698</v>
      </c>
      <c r="V276">
        <v>11234227</v>
      </c>
      <c r="W276">
        <v>0</v>
      </c>
    </row>
    <row r="277" spans="2:23">
      <c r="B277">
        <v>2040</v>
      </c>
      <c r="C277" t="str">
        <f t="shared" si="14"/>
        <v>CNG</v>
      </c>
      <c r="D277">
        <v>4</v>
      </c>
      <c r="E277">
        <v>11004233</v>
      </c>
      <c r="F277">
        <v>213121</v>
      </c>
      <c r="G277">
        <v>200226</v>
      </c>
      <c r="H277">
        <v>1905190</v>
      </c>
      <c r="I277">
        <v>3580274</v>
      </c>
      <c r="J277">
        <v>76193</v>
      </c>
      <c r="K277">
        <v>9560670</v>
      </c>
      <c r="L277">
        <v>28348240</v>
      </c>
      <c r="M277">
        <v>497104</v>
      </c>
      <c r="N277">
        <v>497104</v>
      </c>
      <c r="O277">
        <v>1491313</v>
      </c>
      <c r="P277">
        <v>775561920</v>
      </c>
      <c r="Q277">
        <v>169897696</v>
      </c>
      <c r="R277">
        <v>185275872</v>
      </c>
      <c r="S277">
        <v>547471616</v>
      </c>
      <c r="T277">
        <v>195570992</v>
      </c>
      <c r="U277">
        <v>219917824</v>
      </c>
      <c r="V277">
        <v>583344448</v>
      </c>
      <c r="W277">
        <v>0</v>
      </c>
    </row>
    <row r="278" spans="2:23">
      <c r="B278">
        <v>2040</v>
      </c>
      <c r="C278" t="str">
        <f t="shared" si="14"/>
        <v>Flex</v>
      </c>
      <c r="D278">
        <v>5</v>
      </c>
      <c r="E278">
        <v>10326636544</v>
      </c>
      <c r="F278">
        <v>326631776</v>
      </c>
      <c r="G278">
        <v>3412713728</v>
      </c>
      <c r="H278">
        <v>508675520</v>
      </c>
      <c r="I278">
        <v>720766848</v>
      </c>
      <c r="J278">
        <v>905126016</v>
      </c>
      <c r="K278">
        <v>750825728</v>
      </c>
      <c r="L278">
        <v>0</v>
      </c>
      <c r="M278">
        <v>0</v>
      </c>
      <c r="N278">
        <v>0</v>
      </c>
      <c r="O278">
        <v>0</v>
      </c>
      <c r="P278">
        <v>0</v>
      </c>
      <c r="Q278">
        <v>0</v>
      </c>
      <c r="R278">
        <v>0</v>
      </c>
      <c r="S278">
        <v>0</v>
      </c>
      <c r="T278">
        <v>0</v>
      </c>
      <c r="U278">
        <v>0</v>
      </c>
      <c r="V278">
        <v>0</v>
      </c>
      <c r="W278">
        <v>0</v>
      </c>
    </row>
    <row r="279" spans="2:23">
      <c r="B279">
        <v>2040</v>
      </c>
      <c r="C279" t="str">
        <f t="shared" si="14"/>
        <v>BEV</v>
      </c>
      <c r="D279">
        <v>6</v>
      </c>
      <c r="E279">
        <v>0</v>
      </c>
      <c r="F279">
        <v>0</v>
      </c>
      <c r="G279">
        <v>0</v>
      </c>
      <c r="H279">
        <v>68823</v>
      </c>
      <c r="I279">
        <v>1673816</v>
      </c>
      <c r="J279">
        <v>183859</v>
      </c>
      <c r="K279">
        <v>3933088</v>
      </c>
      <c r="L279">
        <v>0</v>
      </c>
      <c r="M279">
        <v>77200</v>
      </c>
      <c r="N279">
        <v>77203</v>
      </c>
      <c r="O279">
        <v>231614</v>
      </c>
      <c r="P279">
        <v>159454</v>
      </c>
      <c r="Q279">
        <v>869318</v>
      </c>
      <c r="R279">
        <v>865046</v>
      </c>
      <c r="S279">
        <v>2597713</v>
      </c>
      <c r="T279">
        <v>0</v>
      </c>
      <c r="U279">
        <v>0</v>
      </c>
      <c r="V279">
        <v>0</v>
      </c>
      <c r="W279">
        <v>0</v>
      </c>
    </row>
    <row r="280" spans="2:23">
      <c r="B280">
        <v>2040</v>
      </c>
      <c r="C280" t="str">
        <f t="shared" si="14"/>
        <v>PHEV diesel</v>
      </c>
      <c r="D280">
        <v>7</v>
      </c>
      <c r="E280">
        <v>129285472</v>
      </c>
      <c r="F280">
        <v>2927334</v>
      </c>
      <c r="G280">
        <v>131873192</v>
      </c>
      <c r="H280">
        <v>10220495</v>
      </c>
      <c r="I280">
        <v>18571178</v>
      </c>
      <c r="J280">
        <v>28577756</v>
      </c>
      <c r="K280">
        <v>22785888</v>
      </c>
      <c r="L280">
        <v>5449789</v>
      </c>
      <c r="M280">
        <v>0</v>
      </c>
      <c r="N280">
        <v>0</v>
      </c>
      <c r="O280">
        <v>0</v>
      </c>
      <c r="P280">
        <v>14550067</v>
      </c>
      <c r="Q280">
        <v>0</v>
      </c>
      <c r="R280">
        <v>0</v>
      </c>
      <c r="S280">
        <v>0</v>
      </c>
      <c r="T280">
        <v>0</v>
      </c>
      <c r="U280">
        <v>0</v>
      </c>
      <c r="V280">
        <v>0</v>
      </c>
      <c r="W280">
        <v>0</v>
      </c>
    </row>
    <row r="281" spans="2:23">
      <c r="B281">
        <v>2040</v>
      </c>
      <c r="C281" t="str">
        <f t="shared" si="14"/>
        <v>PHEV gasoline</v>
      </c>
      <c r="D281">
        <v>8</v>
      </c>
      <c r="E281">
        <v>136775248</v>
      </c>
      <c r="F281">
        <v>3325859</v>
      </c>
      <c r="G281">
        <v>134225232</v>
      </c>
      <c r="H281">
        <v>8875897</v>
      </c>
      <c r="I281">
        <v>19301674</v>
      </c>
      <c r="J281">
        <v>29590620</v>
      </c>
      <c r="K281">
        <v>23952130</v>
      </c>
      <c r="L281">
        <v>9337614</v>
      </c>
      <c r="M281">
        <v>0</v>
      </c>
      <c r="N281">
        <v>0</v>
      </c>
      <c r="O281">
        <v>0</v>
      </c>
      <c r="P281">
        <v>29925614</v>
      </c>
      <c r="Q281">
        <v>0</v>
      </c>
      <c r="R281">
        <v>0</v>
      </c>
      <c r="S281">
        <v>0</v>
      </c>
      <c r="T281">
        <v>0</v>
      </c>
      <c r="U281">
        <v>0</v>
      </c>
      <c r="V281">
        <v>0</v>
      </c>
      <c r="W281">
        <v>0</v>
      </c>
    </row>
    <row r="282" spans="2:23">
      <c r="B282">
        <v>2040</v>
      </c>
      <c r="C282" t="str">
        <f t="shared" si="14"/>
        <v>Fuel cell</v>
      </c>
      <c r="D282">
        <v>9</v>
      </c>
      <c r="E282">
        <v>0</v>
      </c>
      <c r="F282">
        <v>0</v>
      </c>
      <c r="G282">
        <v>0</v>
      </c>
      <c r="H282">
        <v>26130</v>
      </c>
      <c r="I282">
        <v>32049526</v>
      </c>
      <c r="J282">
        <v>49335308</v>
      </c>
      <c r="K282">
        <v>39181296</v>
      </c>
      <c r="L282">
        <v>5953770</v>
      </c>
      <c r="M282">
        <v>770083</v>
      </c>
      <c r="N282">
        <v>770096</v>
      </c>
      <c r="O282">
        <v>2310278</v>
      </c>
      <c r="P282">
        <v>16125094</v>
      </c>
      <c r="Q282">
        <v>6955738</v>
      </c>
      <c r="R282">
        <v>6947892</v>
      </c>
      <c r="S282">
        <v>20925638</v>
      </c>
      <c r="T282">
        <v>8332268</v>
      </c>
      <c r="U282">
        <v>8320060</v>
      </c>
      <c r="V282">
        <v>24919988</v>
      </c>
      <c r="W282">
        <v>0</v>
      </c>
    </row>
    <row r="283" spans="2:23">
      <c r="B283">
        <v>2041</v>
      </c>
      <c r="C283" t="str">
        <f t="shared" si="14"/>
        <v>Diesel</v>
      </c>
      <c r="D283">
        <v>1</v>
      </c>
      <c r="E283">
        <v>38704193536</v>
      </c>
      <c r="F283">
        <v>90320896</v>
      </c>
      <c r="G283">
        <v>58532261888</v>
      </c>
      <c r="H283">
        <v>4596962816</v>
      </c>
      <c r="I283">
        <v>12366635008</v>
      </c>
      <c r="J283">
        <v>20200087552</v>
      </c>
      <c r="K283">
        <v>16332931072</v>
      </c>
      <c r="L283">
        <v>11799315456</v>
      </c>
      <c r="M283">
        <v>1514493440</v>
      </c>
      <c r="N283">
        <v>1514524032</v>
      </c>
      <c r="O283">
        <v>4543530496</v>
      </c>
      <c r="P283">
        <v>31146676224</v>
      </c>
      <c r="Q283">
        <v>13485825024</v>
      </c>
      <c r="R283">
        <v>13469266944</v>
      </c>
      <c r="S283">
        <v>40565743616</v>
      </c>
      <c r="T283">
        <v>16154478592</v>
      </c>
      <c r="U283">
        <v>16128192512</v>
      </c>
      <c r="V283">
        <v>48317231104</v>
      </c>
      <c r="W283">
        <v>13460125</v>
      </c>
    </row>
    <row r="284" spans="2:23">
      <c r="B284">
        <v>2041</v>
      </c>
      <c r="C284" t="str">
        <f t="shared" si="14"/>
        <v>Gasoline</v>
      </c>
      <c r="D284">
        <v>2</v>
      </c>
      <c r="E284">
        <v>65427070976</v>
      </c>
      <c r="F284">
        <v>2587035136</v>
      </c>
      <c r="G284">
        <v>32596217856</v>
      </c>
      <c r="H284">
        <v>3072687104</v>
      </c>
      <c r="I284">
        <v>6707060736</v>
      </c>
      <c r="J284">
        <v>8739922944</v>
      </c>
      <c r="K284">
        <v>6967411712</v>
      </c>
      <c r="L284">
        <v>28292588</v>
      </c>
      <c r="M284">
        <v>2427937</v>
      </c>
      <c r="N284">
        <v>2427979</v>
      </c>
      <c r="O284">
        <v>7283900</v>
      </c>
      <c r="P284">
        <v>50912264</v>
      </c>
      <c r="Q284">
        <v>21926018</v>
      </c>
      <c r="R284">
        <v>21901452</v>
      </c>
      <c r="S284">
        <v>65961740</v>
      </c>
      <c r="T284">
        <v>26265174</v>
      </c>
      <c r="U284">
        <v>26226868</v>
      </c>
      <c r="V284">
        <v>78553360</v>
      </c>
      <c r="W284">
        <v>0</v>
      </c>
    </row>
    <row r="285" spans="2:23">
      <c r="B285">
        <v>2041</v>
      </c>
      <c r="C285" t="str">
        <f t="shared" si="14"/>
        <v>LPG</v>
      </c>
      <c r="D285">
        <v>3</v>
      </c>
      <c r="E285">
        <v>164674000</v>
      </c>
      <c r="F285">
        <v>0</v>
      </c>
      <c r="G285">
        <v>118602784</v>
      </c>
      <c r="H285">
        <v>7690936</v>
      </c>
      <c r="I285">
        <v>27839564</v>
      </c>
      <c r="J285">
        <v>44160728</v>
      </c>
      <c r="K285">
        <v>35689384</v>
      </c>
      <c r="L285">
        <v>4490240</v>
      </c>
      <c r="M285">
        <v>330643</v>
      </c>
      <c r="N285">
        <v>317441</v>
      </c>
      <c r="O285">
        <v>970271</v>
      </c>
      <c r="P285">
        <v>7959424</v>
      </c>
      <c r="Q285">
        <v>3017210</v>
      </c>
      <c r="R285">
        <v>3107174</v>
      </c>
      <c r="S285">
        <v>9419479</v>
      </c>
      <c r="T285">
        <v>3688910</v>
      </c>
      <c r="U285">
        <v>3666445</v>
      </c>
      <c r="V285">
        <v>11361782</v>
      </c>
      <c r="W285">
        <v>0</v>
      </c>
    </row>
    <row r="286" spans="2:23">
      <c r="B286">
        <v>2041</v>
      </c>
      <c r="C286" t="str">
        <f t="shared" si="14"/>
        <v>CNG</v>
      </c>
      <c r="D286">
        <v>4</v>
      </c>
      <c r="E286">
        <v>10020806</v>
      </c>
      <c r="F286">
        <v>197330</v>
      </c>
      <c r="G286">
        <v>157948</v>
      </c>
      <c r="H286">
        <v>1525491</v>
      </c>
      <c r="I286">
        <v>3303523</v>
      </c>
      <c r="J286">
        <v>71516</v>
      </c>
      <c r="K286">
        <v>8895149</v>
      </c>
      <c r="L286">
        <v>27783654</v>
      </c>
      <c r="M286">
        <v>476909</v>
      </c>
      <c r="N286">
        <v>476909</v>
      </c>
      <c r="O286">
        <v>1430726</v>
      </c>
      <c r="P286">
        <v>798376256</v>
      </c>
      <c r="Q286">
        <v>178694960</v>
      </c>
      <c r="R286">
        <v>195514336</v>
      </c>
      <c r="S286">
        <v>578185664</v>
      </c>
      <c r="T286">
        <v>205574704</v>
      </c>
      <c r="U286">
        <v>232596832</v>
      </c>
      <c r="V286">
        <v>612314240</v>
      </c>
      <c r="W286">
        <v>0</v>
      </c>
    </row>
    <row r="287" spans="2:23">
      <c r="B287">
        <v>2041</v>
      </c>
      <c r="C287" t="str">
        <f t="shared" si="14"/>
        <v>Flex</v>
      </c>
      <c r="D287">
        <v>5</v>
      </c>
      <c r="E287">
        <v>10696328192</v>
      </c>
      <c r="F287">
        <v>331235360</v>
      </c>
      <c r="G287">
        <v>3481128960</v>
      </c>
      <c r="H287">
        <v>458363424</v>
      </c>
      <c r="I287">
        <v>758249408</v>
      </c>
      <c r="J287">
        <v>972630400</v>
      </c>
      <c r="K287">
        <v>806603968</v>
      </c>
      <c r="L287">
        <v>0</v>
      </c>
      <c r="M287">
        <v>0</v>
      </c>
      <c r="N287">
        <v>0</v>
      </c>
      <c r="O287">
        <v>0</v>
      </c>
      <c r="P287">
        <v>0</v>
      </c>
      <c r="Q287">
        <v>0</v>
      </c>
      <c r="R287">
        <v>0</v>
      </c>
      <c r="S287">
        <v>0</v>
      </c>
      <c r="T287">
        <v>0</v>
      </c>
      <c r="U287">
        <v>0</v>
      </c>
      <c r="V287">
        <v>0</v>
      </c>
      <c r="W287">
        <v>0</v>
      </c>
    </row>
    <row r="288" spans="2:23">
      <c r="B288">
        <v>2041</v>
      </c>
      <c r="C288" t="str">
        <f t="shared" ref="C288:C351" si="15">C279</f>
        <v>BEV</v>
      </c>
      <c r="D288">
        <v>6</v>
      </c>
      <c r="E288">
        <v>0</v>
      </c>
      <c r="F288">
        <v>0</v>
      </c>
      <c r="G288">
        <v>0</v>
      </c>
      <c r="H288">
        <v>67283</v>
      </c>
      <c r="I288">
        <v>1589793</v>
      </c>
      <c r="J288">
        <v>174097</v>
      </c>
      <c r="K288">
        <v>3732670</v>
      </c>
      <c r="L288">
        <v>0</v>
      </c>
      <c r="M288">
        <v>72811</v>
      </c>
      <c r="N288">
        <v>72814</v>
      </c>
      <c r="O288">
        <v>218449</v>
      </c>
      <c r="P288">
        <v>148220</v>
      </c>
      <c r="Q288">
        <v>812532</v>
      </c>
      <c r="R288">
        <v>808181</v>
      </c>
      <c r="S288">
        <v>2427190</v>
      </c>
      <c r="T288">
        <v>0</v>
      </c>
      <c r="U288">
        <v>0</v>
      </c>
      <c r="V288">
        <v>0</v>
      </c>
      <c r="W288">
        <v>0</v>
      </c>
    </row>
    <row r="289" spans="2:23">
      <c r="B289">
        <v>2041</v>
      </c>
      <c r="C289" t="str">
        <f t="shared" si="15"/>
        <v>PHEV diesel</v>
      </c>
      <c r="D289">
        <v>7</v>
      </c>
      <c r="E289">
        <v>141365696</v>
      </c>
      <c r="F289">
        <v>3202061</v>
      </c>
      <c r="G289">
        <v>146039520</v>
      </c>
      <c r="H289">
        <v>11316951</v>
      </c>
      <c r="I289">
        <v>20022916</v>
      </c>
      <c r="J289">
        <v>30811662</v>
      </c>
      <c r="K289">
        <v>24587070</v>
      </c>
      <c r="L289">
        <v>5799539</v>
      </c>
      <c r="M289">
        <v>0</v>
      </c>
      <c r="N289">
        <v>0</v>
      </c>
      <c r="O289">
        <v>0</v>
      </c>
      <c r="P289">
        <v>15445866</v>
      </c>
      <c r="Q289">
        <v>0</v>
      </c>
      <c r="R289">
        <v>0</v>
      </c>
      <c r="S289">
        <v>0</v>
      </c>
      <c r="T289">
        <v>0</v>
      </c>
      <c r="U289">
        <v>0</v>
      </c>
      <c r="V289">
        <v>0</v>
      </c>
      <c r="W289">
        <v>0</v>
      </c>
    </row>
    <row r="290" spans="2:23">
      <c r="B290">
        <v>2041</v>
      </c>
      <c r="C290" t="str">
        <f t="shared" si="15"/>
        <v>PHEV gasoline</v>
      </c>
      <c r="D290">
        <v>8</v>
      </c>
      <c r="E290">
        <v>150988960</v>
      </c>
      <c r="F290">
        <v>3674614</v>
      </c>
      <c r="G290">
        <v>149910864</v>
      </c>
      <c r="H290">
        <v>9945409</v>
      </c>
      <c r="I290">
        <v>21266870</v>
      </c>
      <c r="J290">
        <v>32605372</v>
      </c>
      <c r="K290">
        <v>26409726</v>
      </c>
      <c r="L290">
        <v>9857740</v>
      </c>
      <c r="M290">
        <v>0</v>
      </c>
      <c r="N290">
        <v>0</v>
      </c>
      <c r="O290">
        <v>0</v>
      </c>
      <c r="P290">
        <v>31496466</v>
      </c>
      <c r="Q290">
        <v>0</v>
      </c>
      <c r="R290">
        <v>0</v>
      </c>
      <c r="S290">
        <v>0</v>
      </c>
      <c r="T290">
        <v>0</v>
      </c>
      <c r="U290">
        <v>0</v>
      </c>
      <c r="V290">
        <v>0</v>
      </c>
      <c r="W290">
        <v>0</v>
      </c>
    </row>
    <row r="291" spans="2:23">
      <c r="B291">
        <v>2041</v>
      </c>
      <c r="C291" t="str">
        <f t="shared" si="15"/>
        <v>Fuel cell</v>
      </c>
      <c r="D291">
        <v>9</v>
      </c>
      <c r="E291">
        <v>0</v>
      </c>
      <c r="F291">
        <v>0</v>
      </c>
      <c r="G291">
        <v>0</v>
      </c>
      <c r="H291">
        <v>26913</v>
      </c>
      <c r="I291">
        <v>34697136</v>
      </c>
      <c r="J291">
        <v>53410960</v>
      </c>
      <c r="K291">
        <v>42417196</v>
      </c>
      <c r="L291">
        <v>6232748</v>
      </c>
      <c r="M291">
        <v>806242</v>
      </c>
      <c r="N291">
        <v>806258</v>
      </c>
      <c r="O291">
        <v>2418758</v>
      </c>
      <c r="P291">
        <v>16870688</v>
      </c>
      <c r="Q291">
        <v>7278831</v>
      </c>
      <c r="R291">
        <v>7270014</v>
      </c>
      <c r="S291">
        <v>21895774</v>
      </c>
      <c r="T291">
        <v>8719364</v>
      </c>
      <c r="U291">
        <v>8705428</v>
      </c>
      <c r="V291">
        <v>26078310</v>
      </c>
      <c r="W291">
        <v>0</v>
      </c>
    </row>
    <row r="292" spans="2:23">
      <c r="B292">
        <v>2042</v>
      </c>
      <c r="C292" t="str">
        <f t="shared" si="15"/>
        <v>Diesel</v>
      </c>
      <c r="D292">
        <v>1</v>
      </c>
      <c r="E292">
        <v>39081381888</v>
      </c>
      <c r="F292">
        <v>91201112</v>
      </c>
      <c r="G292">
        <v>59498127360</v>
      </c>
      <c r="H292">
        <v>4717921280</v>
      </c>
      <c r="I292">
        <v>12568782848</v>
      </c>
      <c r="J292">
        <v>20491675648</v>
      </c>
      <c r="K292">
        <v>16512993280</v>
      </c>
      <c r="L292">
        <v>11797785600</v>
      </c>
      <c r="M292">
        <v>1517447168</v>
      </c>
      <c r="N292">
        <v>1517479808</v>
      </c>
      <c r="O292">
        <v>4552387072</v>
      </c>
      <c r="P292">
        <v>31231162368</v>
      </c>
      <c r="Q292">
        <v>13533084672</v>
      </c>
      <c r="R292">
        <v>13515279360</v>
      </c>
      <c r="S292">
        <v>40703909888</v>
      </c>
      <c r="T292">
        <v>16211497984</v>
      </c>
      <c r="U292">
        <v>16182626304</v>
      </c>
      <c r="V292">
        <v>48488570880</v>
      </c>
      <c r="W292">
        <v>13537213</v>
      </c>
    </row>
    <row r="293" spans="2:23">
      <c r="B293">
        <v>2042</v>
      </c>
      <c r="C293" t="str">
        <f t="shared" si="15"/>
        <v>Gasoline</v>
      </c>
      <c r="D293">
        <v>2</v>
      </c>
      <c r="E293">
        <v>66002268160</v>
      </c>
      <c r="F293">
        <v>2609777920</v>
      </c>
      <c r="G293">
        <v>33516095488</v>
      </c>
      <c r="H293">
        <v>3067204352</v>
      </c>
      <c r="I293">
        <v>6715879936</v>
      </c>
      <c r="J293">
        <v>8919220224</v>
      </c>
      <c r="K293">
        <v>7082674176</v>
      </c>
      <c r="L293">
        <v>27201046</v>
      </c>
      <c r="M293">
        <v>2462496</v>
      </c>
      <c r="N293">
        <v>2462542</v>
      </c>
      <c r="O293">
        <v>7387576</v>
      </c>
      <c r="P293">
        <v>51581584</v>
      </c>
      <c r="Q293">
        <v>22227796</v>
      </c>
      <c r="R293">
        <v>22201224</v>
      </c>
      <c r="S293">
        <v>66864296</v>
      </c>
      <c r="T293">
        <v>26627014</v>
      </c>
      <c r="U293">
        <v>26584790</v>
      </c>
      <c r="V293">
        <v>79637120</v>
      </c>
      <c r="W293">
        <v>0</v>
      </c>
    </row>
    <row r="294" spans="2:23">
      <c r="B294">
        <v>2042</v>
      </c>
      <c r="C294" t="str">
        <f t="shared" si="15"/>
        <v>LPG</v>
      </c>
      <c r="D294">
        <v>3</v>
      </c>
      <c r="E294">
        <v>189258816</v>
      </c>
      <c r="F294">
        <v>0</v>
      </c>
      <c r="G294">
        <v>128634416</v>
      </c>
      <c r="H294">
        <v>8339257</v>
      </c>
      <c r="I294">
        <v>30119954</v>
      </c>
      <c r="J294">
        <v>47616396</v>
      </c>
      <c r="K294">
        <v>38487136</v>
      </c>
      <c r="L294">
        <v>4425369</v>
      </c>
      <c r="M294">
        <v>334035</v>
      </c>
      <c r="N294">
        <v>319937</v>
      </c>
      <c r="O294">
        <v>981203</v>
      </c>
      <c r="P294">
        <v>8036543</v>
      </c>
      <c r="Q294">
        <v>3042031</v>
      </c>
      <c r="R294">
        <v>3131990</v>
      </c>
      <c r="S294">
        <v>9529518</v>
      </c>
      <c r="T294">
        <v>3725412</v>
      </c>
      <c r="U294">
        <v>3695076</v>
      </c>
      <c r="V294">
        <v>11483022</v>
      </c>
      <c r="W294">
        <v>0</v>
      </c>
    </row>
    <row r="295" spans="2:23">
      <c r="B295">
        <v>2042</v>
      </c>
      <c r="C295" t="str">
        <f t="shared" si="15"/>
        <v>CNG</v>
      </c>
      <c r="D295">
        <v>4</v>
      </c>
      <c r="E295">
        <v>9129453</v>
      </c>
      <c r="F295">
        <v>182170</v>
      </c>
      <c r="G295">
        <v>124491</v>
      </c>
      <c r="H295">
        <v>1248872</v>
      </c>
      <c r="I295">
        <v>3067072</v>
      </c>
      <c r="J295">
        <v>67536</v>
      </c>
      <c r="K295">
        <v>8293663</v>
      </c>
      <c r="L295">
        <v>27405294</v>
      </c>
      <c r="M295">
        <v>457331</v>
      </c>
      <c r="N295">
        <v>457331</v>
      </c>
      <c r="O295">
        <v>1371994</v>
      </c>
      <c r="P295">
        <v>823775616</v>
      </c>
      <c r="Q295">
        <v>188432096</v>
      </c>
      <c r="R295">
        <v>206544032</v>
      </c>
      <c r="S295">
        <v>611649216</v>
      </c>
      <c r="T295">
        <v>216553408</v>
      </c>
      <c r="U295">
        <v>246258640</v>
      </c>
      <c r="V295">
        <v>644276160</v>
      </c>
      <c r="W295">
        <v>0</v>
      </c>
    </row>
    <row r="296" spans="2:23">
      <c r="B296">
        <v>2042</v>
      </c>
      <c r="C296" t="str">
        <f t="shared" si="15"/>
        <v>Flex</v>
      </c>
      <c r="D296">
        <v>5</v>
      </c>
      <c r="E296">
        <v>11069336576</v>
      </c>
      <c r="F296">
        <v>336156096</v>
      </c>
      <c r="G296">
        <v>3557417984</v>
      </c>
      <c r="H296">
        <v>412750016</v>
      </c>
      <c r="I296">
        <v>795879168</v>
      </c>
      <c r="J296">
        <v>1039948928</v>
      </c>
      <c r="K296">
        <v>862205824</v>
      </c>
      <c r="L296">
        <v>0</v>
      </c>
      <c r="M296">
        <v>0</v>
      </c>
      <c r="N296">
        <v>0</v>
      </c>
      <c r="O296">
        <v>0</v>
      </c>
      <c r="P296">
        <v>0</v>
      </c>
      <c r="Q296">
        <v>0</v>
      </c>
      <c r="R296">
        <v>0</v>
      </c>
      <c r="S296">
        <v>0</v>
      </c>
      <c r="T296">
        <v>0</v>
      </c>
      <c r="U296">
        <v>0</v>
      </c>
      <c r="V296">
        <v>0</v>
      </c>
      <c r="W296">
        <v>0</v>
      </c>
    </row>
    <row r="297" spans="2:23">
      <c r="B297">
        <v>2042</v>
      </c>
      <c r="C297" t="str">
        <f t="shared" si="15"/>
        <v>BEV</v>
      </c>
      <c r="D297">
        <v>6</v>
      </c>
      <c r="E297">
        <v>0</v>
      </c>
      <c r="F297">
        <v>0</v>
      </c>
      <c r="G297">
        <v>0</v>
      </c>
      <c r="H297">
        <v>65729</v>
      </c>
      <c r="I297">
        <v>1509028</v>
      </c>
      <c r="J297">
        <v>164730</v>
      </c>
      <c r="K297">
        <v>3540740</v>
      </c>
      <c r="L297">
        <v>0</v>
      </c>
      <c r="M297">
        <v>68327</v>
      </c>
      <c r="N297">
        <v>68331</v>
      </c>
      <c r="O297">
        <v>204998</v>
      </c>
      <c r="P297">
        <v>136980</v>
      </c>
      <c r="Q297">
        <v>767322</v>
      </c>
      <c r="R297">
        <v>762919</v>
      </c>
      <c r="S297">
        <v>2291441</v>
      </c>
      <c r="T297">
        <v>0</v>
      </c>
      <c r="U297">
        <v>0</v>
      </c>
      <c r="V297">
        <v>0</v>
      </c>
      <c r="W297">
        <v>0</v>
      </c>
    </row>
    <row r="298" spans="2:23">
      <c r="B298">
        <v>2042</v>
      </c>
      <c r="C298" t="str">
        <f t="shared" si="15"/>
        <v>PHEV diesel</v>
      </c>
      <c r="D298">
        <v>7</v>
      </c>
      <c r="E298">
        <v>154673344</v>
      </c>
      <c r="F298">
        <v>3504458</v>
      </c>
      <c r="G298">
        <v>161554912</v>
      </c>
      <c r="H298">
        <v>12517912</v>
      </c>
      <c r="I298">
        <v>21605152</v>
      </c>
      <c r="J298">
        <v>33246366</v>
      </c>
      <c r="K298">
        <v>26547436</v>
      </c>
      <c r="L298">
        <v>6179100</v>
      </c>
      <c r="M298">
        <v>0</v>
      </c>
      <c r="N298">
        <v>0</v>
      </c>
      <c r="O298">
        <v>0</v>
      </c>
      <c r="P298">
        <v>16418896</v>
      </c>
      <c r="Q298">
        <v>0</v>
      </c>
      <c r="R298">
        <v>0</v>
      </c>
      <c r="S298">
        <v>0</v>
      </c>
      <c r="T298">
        <v>0</v>
      </c>
      <c r="U298">
        <v>0</v>
      </c>
      <c r="V298">
        <v>0</v>
      </c>
      <c r="W298">
        <v>0</v>
      </c>
    </row>
    <row r="299" spans="2:23">
      <c r="B299">
        <v>2042</v>
      </c>
      <c r="C299" t="str">
        <f t="shared" si="15"/>
        <v>PHEV gasoline</v>
      </c>
      <c r="D299">
        <v>8</v>
      </c>
      <c r="E299">
        <v>166803648</v>
      </c>
      <c r="F299">
        <v>4061882</v>
      </c>
      <c r="G299">
        <v>167267968</v>
      </c>
      <c r="H299">
        <v>11126952</v>
      </c>
      <c r="I299">
        <v>23460400</v>
      </c>
      <c r="J299">
        <v>35970244</v>
      </c>
      <c r="K299">
        <v>29152330</v>
      </c>
      <c r="L299">
        <v>10418653</v>
      </c>
      <c r="M299">
        <v>0</v>
      </c>
      <c r="N299">
        <v>0</v>
      </c>
      <c r="O299">
        <v>0</v>
      </c>
      <c r="P299">
        <v>33189230</v>
      </c>
      <c r="Q299">
        <v>0</v>
      </c>
      <c r="R299">
        <v>0</v>
      </c>
      <c r="S299">
        <v>0</v>
      </c>
      <c r="T299">
        <v>0</v>
      </c>
      <c r="U299">
        <v>0</v>
      </c>
      <c r="V299">
        <v>0</v>
      </c>
      <c r="W299">
        <v>0</v>
      </c>
    </row>
    <row r="300" spans="2:23">
      <c r="B300">
        <v>2042</v>
      </c>
      <c r="C300" t="str">
        <f t="shared" si="15"/>
        <v>Fuel cell</v>
      </c>
      <c r="D300">
        <v>9</v>
      </c>
      <c r="E300">
        <v>0</v>
      </c>
      <c r="F300">
        <v>0</v>
      </c>
      <c r="G300">
        <v>0</v>
      </c>
      <c r="H300">
        <v>27597</v>
      </c>
      <c r="I300">
        <v>37613388</v>
      </c>
      <c r="J300">
        <v>57900156</v>
      </c>
      <c r="K300">
        <v>45981412</v>
      </c>
      <c r="L300">
        <v>6526166</v>
      </c>
      <c r="M300">
        <v>844309</v>
      </c>
      <c r="N300">
        <v>844327</v>
      </c>
      <c r="O300">
        <v>2532958</v>
      </c>
      <c r="P300">
        <v>17652898</v>
      </c>
      <c r="Q300">
        <v>7618295</v>
      </c>
      <c r="R300">
        <v>7608466</v>
      </c>
      <c r="S300">
        <v>22914920</v>
      </c>
      <c r="T300">
        <v>9126158</v>
      </c>
      <c r="U300">
        <v>9110323</v>
      </c>
      <c r="V300">
        <v>27295522</v>
      </c>
      <c r="W300">
        <v>0</v>
      </c>
    </row>
    <row r="301" spans="2:23">
      <c r="B301">
        <v>2043</v>
      </c>
      <c r="C301" t="str">
        <f t="shared" si="15"/>
        <v>Diesel</v>
      </c>
      <c r="D301">
        <v>1</v>
      </c>
      <c r="E301">
        <v>39464554496</v>
      </c>
      <c r="F301">
        <v>92095264</v>
      </c>
      <c r="G301">
        <v>60474298368</v>
      </c>
      <c r="H301">
        <v>4829250560</v>
      </c>
      <c r="I301">
        <v>12780187648</v>
      </c>
      <c r="J301">
        <v>20782628864</v>
      </c>
      <c r="K301">
        <v>16702840832</v>
      </c>
      <c r="L301">
        <v>11799034880</v>
      </c>
      <c r="M301">
        <v>1520026240</v>
      </c>
      <c r="N301">
        <v>1520060800</v>
      </c>
      <c r="O301">
        <v>4560123392</v>
      </c>
      <c r="P301">
        <v>31300526080</v>
      </c>
      <c r="Q301">
        <v>13572484096</v>
      </c>
      <c r="R301">
        <v>13553478656</v>
      </c>
      <c r="S301">
        <v>40818429952</v>
      </c>
      <c r="T301">
        <v>16259288064</v>
      </c>
      <c r="U301">
        <v>16227910656</v>
      </c>
      <c r="V301">
        <v>48631844864</v>
      </c>
      <c r="W301">
        <v>13610875</v>
      </c>
    </row>
    <row r="302" spans="2:23">
      <c r="B302">
        <v>2043</v>
      </c>
      <c r="C302" t="str">
        <f t="shared" si="15"/>
        <v>Gasoline</v>
      </c>
      <c r="D302">
        <v>2</v>
      </c>
      <c r="E302">
        <v>66561007616</v>
      </c>
      <c r="F302">
        <v>2631872256</v>
      </c>
      <c r="G302">
        <v>34331242496</v>
      </c>
      <c r="H302">
        <v>3075124480</v>
      </c>
      <c r="I302">
        <v>6736301056</v>
      </c>
      <c r="J302">
        <v>9091620864</v>
      </c>
      <c r="K302">
        <v>7202115584</v>
      </c>
      <c r="L302">
        <v>26183098</v>
      </c>
      <c r="M302">
        <v>2490695</v>
      </c>
      <c r="N302">
        <v>2490745</v>
      </c>
      <c r="O302">
        <v>7472172</v>
      </c>
      <c r="P302">
        <v>52114348</v>
      </c>
      <c r="Q302">
        <v>22470444</v>
      </c>
      <c r="R302">
        <v>22441832</v>
      </c>
      <c r="S302">
        <v>67588512</v>
      </c>
      <c r="T302">
        <v>26918250</v>
      </c>
      <c r="U302">
        <v>26872052</v>
      </c>
      <c r="V302">
        <v>80509240</v>
      </c>
      <c r="W302">
        <v>0</v>
      </c>
    </row>
    <row r="303" spans="2:23">
      <c r="B303">
        <v>2043</v>
      </c>
      <c r="C303" t="str">
        <f t="shared" si="15"/>
        <v>LPG</v>
      </c>
      <c r="D303">
        <v>3</v>
      </c>
      <c r="E303">
        <v>216943088</v>
      </c>
      <c r="F303">
        <v>0</v>
      </c>
      <c r="G303">
        <v>139461712</v>
      </c>
      <c r="H303">
        <v>9038589</v>
      </c>
      <c r="I303">
        <v>32534072</v>
      </c>
      <c r="J303">
        <v>51276184</v>
      </c>
      <c r="K303">
        <v>41458544</v>
      </c>
      <c r="L303">
        <v>4360932</v>
      </c>
      <c r="M303">
        <v>337141</v>
      </c>
      <c r="N303">
        <v>322259</v>
      </c>
      <c r="O303">
        <v>991320</v>
      </c>
      <c r="P303">
        <v>8107258</v>
      </c>
      <c r="Q303">
        <v>3064674</v>
      </c>
      <c r="R303">
        <v>3154636</v>
      </c>
      <c r="S303">
        <v>9631616</v>
      </c>
      <c r="T303">
        <v>3758513</v>
      </c>
      <c r="U303">
        <v>3721156</v>
      </c>
      <c r="V303">
        <v>11594155</v>
      </c>
      <c r="W303">
        <v>0</v>
      </c>
    </row>
    <row r="304" spans="2:23">
      <c r="B304">
        <v>2043</v>
      </c>
      <c r="C304" t="str">
        <f t="shared" si="15"/>
        <v>CNG</v>
      </c>
      <c r="D304">
        <v>4</v>
      </c>
      <c r="E304">
        <v>8312646</v>
      </c>
      <c r="F304">
        <v>167562</v>
      </c>
      <c r="G304">
        <v>97908</v>
      </c>
      <c r="H304">
        <v>1050210</v>
      </c>
      <c r="I304">
        <v>2835288</v>
      </c>
      <c r="J304">
        <v>62984</v>
      </c>
      <c r="K304">
        <v>7573241</v>
      </c>
      <c r="L304">
        <v>27193588</v>
      </c>
      <c r="M304">
        <v>437897</v>
      </c>
      <c r="N304">
        <v>437897</v>
      </c>
      <c r="O304">
        <v>1313692</v>
      </c>
      <c r="P304">
        <v>850982336</v>
      </c>
      <c r="Q304">
        <v>198951920</v>
      </c>
      <c r="R304">
        <v>218311488</v>
      </c>
      <c r="S304">
        <v>647472192</v>
      </c>
      <c r="T304">
        <v>228309104</v>
      </c>
      <c r="U304">
        <v>260625984</v>
      </c>
      <c r="V304">
        <v>679034752</v>
      </c>
      <c r="W304">
        <v>0</v>
      </c>
    </row>
    <row r="305" spans="2:23">
      <c r="B305">
        <v>2043</v>
      </c>
      <c r="C305" t="str">
        <f t="shared" si="15"/>
        <v>Flex</v>
      </c>
      <c r="D305">
        <v>5</v>
      </c>
      <c r="E305">
        <v>11427390464</v>
      </c>
      <c r="F305">
        <v>340909888</v>
      </c>
      <c r="G305">
        <v>3641914880</v>
      </c>
      <c r="H305">
        <v>372333504</v>
      </c>
      <c r="I305">
        <v>833141120</v>
      </c>
      <c r="J305">
        <v>1106446336</v>
      </c>
      <c r="K305">
        <v>917102784</v>
      </c>
      <c r="L305">
        <v>0</v>
      </c>
      <c r="M305">
        <v>0</v>
      </c>
      <c r="N305">
        <v>0</v>
      </c>
      <c r="O305">
        <v>0</v>
      </c>
      <c r="P305">
        <v>0</v>
      </c>
      <c r="Q305">
        <v>0</v>
      </c>
      <c r="R305">
        <v>0</v>
      </c>
      <c r="S305">
        <v>0</v>
      </c>
      <c r="T305">
        <v>0</v>
      </c>
      <c r="U305">
        <v>0</v>
      </c>
      <c r="V305">
        <v>0</v>
      </c>
      <c r="W305">
        <v>0</v>
      </c>
    </row>
    <row r="306" spans="2:23">
      <c r="B306">
        <v>2043</v>
      </c>
      <c r="C306" t="str">
        <f t="shared" si="15"/>
        <v>BEV</v>
      </c>
      <c r="D306">
        <v>6</v>
      </c>
      <c r="E306">
        <v>0</v>
      </c>
      <c r="F306">
        <v>0</v>
      </c>
      <c r="G306">
        <v>0</v>
      </c>
      <c r="H306">
        <v>64082</v>
      </c>
      <c r="I306">
        <v>1430105</v>
      </c>
      <c r="J306">
        <v>155619</v>
      </c>
      <c r="K306">
        <v>3353838</v>
      </c>
      <c r="L306">
        <v>0</v>
      </c>
      <c r="M306">
        <v>64310</v>
      </c>
      <c r="N306">
        <v>64315</v>
      </c>
      <c r="O306">
        <v>192948</v>
      </c>
      <c r="P306">
        <v>127144</v>
      </c>
      <c r="Q306">
        <v>719865</v>
      </c>
      <c r="R306">
        <v>715441</v>
      </c>
      <c r="S306">
        <v>2149006</v>
      </c>
      <c r="T306">
        <v>0</v>
      </c>
      <c r="U306">
        <v>0</v>
      </c>
      <c r="V306">
        <v>0</v>
      </c>
      <c r="W306">
        <v>0</v>
      </c>
    </row>
    <row r="307" spans="2:23">
      <c r="B307">
        <v>2043</v>
      </c>
      <c r="C307" t="str">
        <f t="shared" si="15"/>
        <v>PHEV diesel</v>
      </c>
      <c r="D307">
        <v>7</v>
      </c>
      <c r="E307">
        <v>169010880</v>
      </c>
      <c r="F307">
        <v>3829658</v>
      </c>
      <c r="G307">
        <v>178136336</v>
      </c>
      <c r="H307">
        <v>13801033</v>
      </c>
      <c r="I307">
        <v>23245646</v>
      </c>
      <c r="J307">
        <v>35770672</v>
      </c>
      <c r="K307">
        <v>28579766</v>
      </c>
      <c r="L307">
        <v>6578452</v>
      </c>
      <c r="M307">
        <v>0</v>
      </c>
      <c r="N307">
        <v>0</v>
      </c>
      <c r="O307">
        <v>0</v>
      </c>
      <c r="P307">
        <v>17441314</v>
      </c>
      <c r="Q307">
        <v>0</v>
      </c>
      <c r="R307">
        <v>0</v>
      </c>
      <c r="S307">
        <v>0</v>
      </c>
      <c r="T307">
        <v>0</v>
      </c>
      <c r="U307">
        <v>0</v>
      </c>
      <c r="V307">
        <v>0</v>
      </c>
      <c r="W307">
        <v>0</v>
      </c>
    </row>
    <row r="308" spans="2:23">
      <c r="B308">
        <v>2043</v>
      </c>
      <c r="C308" t="str">
        <f t="shared" si="15"/>
        <v>PHEV gasoline</v>
      </c>
      <c r="D308">
        <v>8</v>
      </c>
      <c r="E308">
        <v>183997568</v>
      </c>
      <c r="F308">
        <v>4482011</v>
      </c>
      <c r="G308">
        <v>186025984</v>
      </c>
      <c r="H308">
        <v>12403289</v>
      </c>
      <c r="I308">
        <v>25827036</v>
      </c>
      <c r="J308">
        <v>39600528</v>
      </c>
      <c r="K308">
        <v>32111614</v>
      </c>
      <c r="L308">
        <v>10999392</v>
      </c>
      <c r="M308">
        <v>0</v>
      </c>
      <c r="N308">
        <v>0</v>
      </c>
      <c r="O308">
        <v>0</v>
      </c>
      <c r="P308">
        <v>34934956</v>
      </c>
      <c r="Q308">
        <v>0</v>
      </c>
      <c r="R308">
        <v>0</v>
      </c>
      <c r="S308">
        <v>0</v>
      </c>
      <c r="T308">
        <v>0</v>
      </c>
      <c r="U308">
        <v>0</v>
      </c>
      <c r="V308">
        <v>0</v>
      </c>
      <c r="W308">
        <v>0</v>
      </c>
    </row>
    <row r="309" spans="2:23">
      <c r="B309">
        <v>2043</v>
      </c>
      <c r="C309" t="str">
        <f t="shared" si="15"/>
        <v>Fuel cell</v>
      </c>
      <c r="D309">
        <v>9</v>
      </c>
      <c r="E309">
        <v>0</v>
      </c>
      <c r="F309">
        <v>0</v>
      </c>
      <c r="G309">
        <v>0</v>
      </c>
      <c r="H309">
        <v>28094</v>
      </c>
      <c r="I309">
        <v>40679764</v>
      </c>
      <c r="J309">
        <v>62620468</v>
      </c>
      <c r="K309">
        <v>49729060</v>
      </c>
      <c r="L309">
        <v>6820452</v>
      </c>
      <c r="M309">
        <v>882532</v>
      </c>
      <c r="N309">
        <v>882552</v>
      </c>
      <c r="O309">
        <v>2647626</v>
      </c>
      <c r="P309">
        <v>18434780</v>
      </c>
      <c r="Q309">
        <v>7958215</v>
      </c>
      <c r="R309">
        <v>7947288</v>
      </c>
      <c r="S309">
        <v>23935104</v>
      </c>
      <c r="T309">
        <v>9533609</v>
      </c>
      <c r="U309">
        <v>9515726</v>
      </c>
      <c r="V309">
        <v>28514506</v>
      </c>
      <c r="W309">
        <v>0</v>
      </c>
    </row>
    <row r="310" spans="2:23">
      <c r="B310">
        <v>2044</v>
      </c>
      <c r="C310" t="str">
        <f t="shared" si="15"/>
        <v>Diesel</v>
      </c>
      <c r="D310">
        <v>1</v>
      </c>
      <c r="E310">
        <v>39867744256</v>
      </c>
      <c r="F310">
        <v>93036152</v>
      </c>
      <c r="G310">
        <v>61443018752</v>
      </c>
      <c r="H310">
        <v>4932390912</v>
      </c>
      <c r="I310">
        <v>12986513408</v>
      </c>
      <c r="J310">
        <v>21059983360</v>
      </c>
      <c r="K310">
        <v>16888810496</v>
      </c>
      <c r="L310">
        <v>11794240512</v>
      </c>
      <c r="M310">
        <v>1521414784</v>
      </c>
      <c r="N310">
        <v>1521450752</v>
      </c>
      <c r="O310">
        <v>4564287488</v>
      </c>
      <c r="P310">
        <v>31338987520</v>
      </c>
      <c r="Q310">
        <v>13596387328</v>
      </c>
      <c r="R310">
        <v>13576233984</v>
      </c>
      <c r="S310">
        <v>40886345728</v>
      </c>
      <c r="T310">
        <v>16288562176</v>
      </c>
      <c r="U310">
        <v>16254738432</v>
      </c>
      <c r="V310">
        <v>48719601664</v>
      </c>
      <c r="W310">
        <v>13671004</v>
      </c>
    </row>
    <row r="311" spans="2:23">
      <c r="B311">
        <v>2044</v>
      </c>
      <c r="C311" t="str">
        <f t="shared" si="15"/>
        <v>Gasoline</v>
      </c>
      <c r="D311">
        <v>2</v>
      </c>
      <c r="E311">
        <v>67085185024</v>
      </c>
      <c r="F311">
        <v>2652597248</v>
      </c>
      <c r="G311">
        <v>35077898240</v>
      </c>
      <c r="H311">
        <v>3083395328</v>
      </c>
      <c r="I311">
        <v>6759108096</v>
      </c>
      <c r="J311">
        <v>9253878784</v>
      </c>
      <c r="K311">
        <v>7320802816</v>
      </c>
      <c r="L311">
        <v>25436744</v>
      </c>
      <c r="M311">
        <v>2519751</v>
      </c>
      <c r="N311">
        <v>2519805</v>
      </c>
      <c r="O311">
        <v>7559336</v>
      </c>
      <c r="P311">
        <v>52663652</v>
      </c>
      <c r="Q311">
        <v>22719324</v>
      </c>
      <c r="R311">
        <v>22688652</v>
      </c>
      <c r="S311">
        <v>68331272</v>
      </c>
      <c r="T311">
        <v>27217016</v>
      </c>
      <c r="U311">
        <v>27166794</v>
      </c>
      <c r="V311">
        <v>81403784</v>
      </c>
      <c r="W311">
        <v>0</v>
      </c>
    </row>
    <row r="312" spans="2:23">
      <c r="B312">
        <v>2044</v>
      </c>
      <c r="C312" t="str">
        <f t="shared" si="15"/>
        <v>LPG</v>
      </c>
      <c r="D312">
        <v>3</v>
      </c>
      <c r="E312">
        <v>247895424</v>
      </c>
      <c r="F312">
        <v>0</v>
      </c>
      <c r="G312">
        <v>150905760</v>
      </c>
      <c r="H312">
        <v>9778638</v>
      </c>
      <c r="I312">
        <v>35023972</v>
      </c>
      <c r="J312">
        <v>55052776</v>
      </c>
      <c r="K312">
        <v>44532260</v>
      </c>
      <c r="L312">
        <v>4295602</v>
      </c>
      <c r="M312">
        <v>339768</v>
      </c>
      <c r="N312">
        <v>324218</v>
      </c>
      <c r="O312">
        <v>1000059</v>
      </c>
      <c r="P312">
        <v>8166511</v>
      </c>
      <c r="Q312">
        <v>3083254</v>
      </c>
      <c r="R312">
        <v>3173257</v>
      </c>
      <c r="S312">
        <v>9718780</v>
      </c>
      <c r="T312">
        <v>3786025</v>
      </c>
      <c r="U312">
        <v>3742445</v>
      </c>
      <c r="V312">
        <v>11687721</v>
      </c>
      <c r="W312">
        <v>0</v>
      </c>
    </row>
    <row r="313" spans="2:23">
      <c r="B313">
        <v>2044</v>
      </c>
      <c r="C313" t="str">
        <f t="shared" si="15"/>
        <v>CNG</v>
      </c>
      <c r="D313">
        <v>4</v>
      </c>
      <c r="E313">
        <v>7564956</v>
      </c>
      <c r="F313">
        <v>154519</v>
      </c>
      <c r="G313">
        <v>78335</v>
      </c>
      <c r="H313">
        <v>922910</v>
      </c>
      <c r="I313">
        <v>2633960</v>
      </c>
      <c r="J313">
        <v>44204</v>
      </c>
      <c r="K313">
        <v>6817236</v>
      </c>
      <c r="L313">
        <v>27168752</v>
      </c>
      <c r="M313">
        <v>418853</v>
      </c>
      <c r="N313">
        <v>418853</v>
      </c>
      <c r="O313">
        <v>1256559</v>
      </c>
      <c r="P313">
        <v>879328320</v>
      </c>
      <c r="Q313">
        <v>210050560</v>
      </c>
      <c r="R313">
        <v>230613232</v>
      </c>
      <c r="S313">
        <v>685000256</v>
      </c>
      <c r="T313">
        <v>240745568</v>
      </c>
      <c r="U313">
        <v>275609248</v>
      </c>
      <c r="V313">
        <v>715940288</v>
      </c>
      <c r="W313">
        <v>0</v>
      </c>
    </row>
    <row r="314" spans="2:23">
      <c r="B314">
        <v>2044</v>
      </c>
      <c r="C314" t="str">
        <f t="shared" si="15"/>
        <v>Flex</v>
      </c>
      <c r="D314">
        <v>5</v>
      </c>
      <c r="E314">
        <v>11769112576</v>
      </c>
      <c r="F314">
        <v>345774496</v>
      </c>
      <c r="G314">
        <v>3728726528</v>
      </c>
      <c r="H314">
        <v>341757664</v>
      </c>
      <c r="I314">
        <v>868300416</v>
      </c>
      <c r="J314">
        <v>1170051584</v>
      </c>
      <c r="K314">
        <v>969614912</v>
      </c>
      <c r="L314">
        <v>0</v>
      </c>
      <c r="M314">
        <v>0</v>
      </c>
      <c r="N314">
        <v>0</v>
      </c>
      <c r="O314">
        <v>0</v>
      </c>
      <c r="P314">
        <v>0</v>
      </c>
      <c r="Q314">
        <v>0</v>
      </c>
      <c r="R314">
        <v>0</v>
      </c>
      <c r="S314">
        <v>0</v>
      </c>
      <c r="T314">
        <v>0</v>
      </c>
      <c r="U314">
        <v>0</v>
      </c>
      <c r="V314">
        <v>0</v>
      </c>
      <c r="W314">
        <v>0</v>
      </c>
    </row>
    <row r="315" spans="2:23">
      <c r="B315">
        <v>2044</v>
      </c>
      <c r="C315" t="str">
        <f t="shared" si="15"/>
        <v>BEV</v>
      </c>
      <c r="D315">
        <v>6</v>
      </c>
      <c r="E315">
        <v>0</v>
      </c>
      <c r="F315">
        <v>0</v>
      </c>
      <c r="G315">
        <v>0</v>
      </c>
      <c r="H315">
        <v>51828</v>
      </c>
      <c r="I315">
        <v>1353374</v>
      </c>
      <c r="J315">
        <v>146883</v>
      </c>
      <c r="K315">
        <v>3172538</v>
      </c>
      <c r="L315">
        <v>0</v>
      </c>
      <c r="M315">
        <v>60630</v>
      </c>
      <c r="N315">
        <v>60635</v>
      </c>
      <c r="O315">
        <v>181909</v>
      </c>
      <c r="P315">
        <v>118341</v>
      </c>
      <c r="Q315">
        <v>676404</v>
      </c>
      <c r="R315">
        <v>671988</v>
      </c>
      <c r="S315">
        <v>2018609</v>
      </c>
      <c r="T315">
        <v>0</v>
      </c>
      <c r="U315">
        <v>0</v>
      </c>
      <c r="V315">
        <v>0</v>
      </c>
      <c r="W315">
        <v>0</v>
      </c>
    </row>
    <row r="316" spans="2:23">
      <c r="B316">
        <v>2044</v>
      </c>
      <c r="C316" t="str">
        <f t="shared" si="15"/>
        <v>PHEV diesel</v>
      </c>
      <c r="D316">
        <v>7</v>
      </c>
      <c r="E316">
        <v>184290368</v>
      </c>
      <c r="F316">
        <v>4175902</v>
      </c>
      <c r="G316">
        <v>195677664</v>
      </c>
      <c r="H316">
        <v>15157966</v>
      </c>
      <c r="I316">
        <v>24978926</v>
      </c>
      <c r="J316">
        <v>38437636</v>
      </c>
      <c r="K316">
        <v>30725326</v>
      </c>
      <c r="L316">
        <v>6992026</v>
      </c>
      <c r="M316">
        <v>0</v>
      </c>
      <c r="N316">
        <v>0</v>
      </c>
      <c r="O316">
        <v>0</v>
      </c>
      <c r="P316">
        <v>18498174</v>
      </c>
      <c r="Q316">
        <v>0</v>
      </c>
      <c r="R316">
        <v>0</v>
      </c>
      <c r="S316">
        <v>0</v>
      </c>
      <c r="T316">
        <v>0</v>
      </c>
      <c r="U316">
        <v>0</v>
      </c>
      <c r="V316">
        <v>0</v>
      </c>
      <c r="W316">
        <v>0</v>
      </c>
    </row>
    <row r="317" spans="2:23">
      <c r="B317">
        <v>2044</v>
      </c>
      <c r="C317" t="str">
        <f t="shared" si="15"/>
        <v>PHEV gasoline</v>
      </c>
      <c r="D317">
        <v>8</v>
      </c>
      <c r="E317">
        <v>202483968</v>
      </c>
      <c r="F317">
        <v>4933010</v>
      </c>
      <c r="G317">
        <v>206004480</v>
      </c>
      <c r="H317">
        <v>13704581</v>
      </c>
      <c r="I317">
        <v>28377392</v>
      </c>
      <c r="J317">
        <v>43512688</v>
      </c>
      <c r="K317">
        <v>35300552</v>
      </c>
      <c r="L317">
        <v>11583931</v>
      </c>
      <c r="M317">
        <v>0</v>
      </c>
      <c r="N317">
        <v>0</v>
      </c>
      <c r="O317">
        <v>0</v>
      </c>
      <c r="P317">
        <v>36687236</v>
      </c>
      <c r="Q317">
        <v>0</v>
      </c>
      <c r="R317">
        <v>0</v>
      </c>
      <c r="S317">
        <v>0</v>
      </c>
      <c r="T317">
        <v>0</v>
      </c>
      <c r="U317">
        <v>0</v>
      </c>
      <c r="V317">
        <v>0</v>
      </c>
      <c r="W317">
        <v>0</v>
      </c>
    </row>
    <row r="318" spans="2:23">
      <c r="B318">
        <v>2044</v>
      </c>
      <c r="C318" t="str">
        <f t="shared" si="15"/>
        <v>Fuel cell</v>
      </c>
      <c r="D318">
        <v>9</v>
      </c>
      <c r="E318">
        <v>0</v>
      </c>
      <c r="F318">
        <v>0</v>
      </c>
      <c r="G318">
        <v>0</v>
      </c>
      <c r="H318">
        <v>28392</v>
      </c>
      <c r="I318">
        <v>43950040</v>
      </c>
      <c r="J318">
        <v>67654608</v>
      </c>
      <c r="K318">
        <v>53725784</v>
      </c>
      <c r="L318">
        <v>7109466</v>
      </c>
      <c r="M318">
        <v>920122</v>
      </c>
      <c r="N318">
        <v>920144</v>
      </c>
      <c r="O318">
        <v>2760398</v>
      </c>
      <c r="P318">
        <v>19199762</v>
      </c>
      <c r="Q318">
        <v>8291424</v>
      </c>
      <c r="R318">
        <v>8279320</v>
      </c>
      <c r="S318">
        <v>24934806</v>
      </c>
      <c r="T318">
        <v>9933076</v>
      </c>
      <c r="U318">
        <v>9912983</v>
      </c>
      <c r="V318">
        <v>29709616</v>
      </c>
      <c r="W318">
        <v>0</v>
      </c>
    </row>
    <row r="319" spans="2:23">
      <c r="B319">
        <v>2045</v>
      </c>
      <c r="C319" t="str">
        <f t="shared" si="15"/>
        <v>Diesel</v>
      </c>
      <c r="D319">
        <v>1</v>
      </c>
      <c r="E319">
        <v>40261918720</v>
      </c>
      <c r="F319">
        <v>93956024</v>
      </c>
      <c r="G319">
        <v>62464266240</v>
      </c>
      <c r="H319">
        <v>5033920000</v>
      </c>
      <c r="I319">
        <v>13177268224</v>
      </c>
      <c r="J319">
        <v>21298642944</v>
      </c>
      <c r="K319">
        <v>17055164416</v>
      </c>
      <c r="L319">
        <v>11773282304</v>
      </c>
      <c r="M319">
        <v>1520661120</v>
      </c>
      <c r="N319">
        <v>1520697984</v>
      </c>
      <c r="O319">
        <v>4562022912</v>
      </c>
      <c r="P319">
        <v>31325489152</v>
      </c>
      <c r="Q319">
        <v>13595995136</v>
      </c>
      <c r="R319">
        <v>13574761472</v>
      </c>
      <c r="S319">
        <v>40881291264</v>
      </c>
      <c r="T319">
        <v>16288742400</v>
      </c>
      <c r="U319">
        <v>16252623872</v>
      </c>
      <c r="V319">
        <v>48720285696</v>
      </c>
      <c r="W319">
        <v>13698105</v>
      </c>
    </row>
    <row r="320" spans="2:23">
      <c r="B320">
        <v>2045</v>
      </c>
      <c r="C320" t="str">
        <f t="shared" si="15"/>
        <v>Gasoline</v>
      </c>
      <c r="D320">
        <v>2</v>
      </c>
      <c r="E320">
        <v>67565350912</v>
      </c>
      <c r="F320">
        <v>2671583744</v>
      </c>
      <c r="G320">
        <v>35793985536</v>
      </c>
      <c r="H320">
        <v>3101700864</v>
      </c>
      <c r="I320">
        <v>6777144832</v>
      </c>
      <c r="J320">
        <v>9396129792</v>
      </c>
      <c r="K320">
        <v>7428531200</v>
      </c>
      <c r="L320">
        <v>24901852</v>
      </c>
      <c r="M320">
        <v>2545378</v>
      </c>
      <c r="N320">
        <v>2545436</v>
      </c>
      <c r="O320">
        <v>7636214</v>
      </c>
      <c r="P320">
        <v>53140044</v>
      </c>
      <c r="Q320">
        <v>22935998</v>
      </c>
      <c r="R320">
        <v>22903272</v>
      </c>
      <c r="S320">
        <v>68976984</v>
      </c>
      <c r="T320">
        <v>27477272</v>
      </c>
      <c r="U320">
        <v>27423050</v>
      </c>
      <c r="V320">
        <v>82183016</v>
      </c>
      <c r="W320">
        <v>0</v>
      </c>
    </row>
    <row r="321" spans="2:23">
      <c r="B321">
        <v>2045</v>
      </c>
      <c r="C321" t="str">
        <f t="shared" si="15"/>
        <v>LPG</v>
      </c>
      <c r="D321">
        <v>3</v>
      </c>
      <c r="E321">
        <v>281946816</v>
      </c>
      <c r="F321">
        <v>0</v>
      </c>
      <c r="G321">
        <v>163259600</v>
      </c>
      <c r="H321">
        <v>10578808</v>
      </c>
      <c r="I321">
        <v>37528488</v>
      </c>
      <c r="J321">
        <v>58853816</v>
      </c>
      <c r="K321">
        <v>47631888</v>
      </c>
      <c r="L321">
        <v>4229836</v>
      </c>
      <c r="M321">
        <v>341818</v>
      </c>
      <c r="N321">
        <v>325719</v>
      </c>
      <c r="O321">
        <v>1007160</v>
      </c>
      <c r="P321">
        <v>8210580</v>
      </c>
      <c r="Q321">
        <v>3096771</v>
      </c>
      <c r="R321">
        <v>3186881</v>
      </c>
      <c r="S321">
        <v>9786398</v>
      </c>
      <c r="T321">
        <v>3806834</v>
      </c>
      <c r="U321">
        <v>3757817</v>
      </c>
      <c r="V321">
        <v>11759607</v>
      </c>
      <c r="W321">
        <v>0</v>
      </c>
    </row>
    <row r="322" spans="2:23">
      <c r="B322">
        <v>2045</v>
      </c>
      <c r="C322" t="str">
        <f t="shared" si="15"/>
        <v>CNG</v>
      </c>
      <c r="D322">
        <v>4</v>
      </c>
      <c r="E322">
        <v>6880312</v>
      </c>
      <c r="F322">
        <v>140704</v>
      </c>
      <c r="G322">
        <v>62860</v>
      </c>
      <c r="H322">
        <v>836117</v>
      </c>
      <c r="I322">
        <v>2458934</v>
      </c>
      <c r="J322">
        <v>31018</v>
      </c>
      <c r="K322">
        <v>6185470</v>
      </c>
      <c r="L322">
        <v>27307650</v>
      </c>
      <c r="M322">
        <v>400627</v>
      </c>
      <c r="N322">
        <v>400627</v>
      </c>
      <c r="O322">
        <v>1201881</v>
      </c>
      <c r="P322">
        <v>907495552</v>
      </c>
      <c r="Q322">
        <v>221449680</v>
      </c>
      <c r="R322">
        <v>243151696</v>
      </c>
      <c r="S322">
        <v>723302336</v>
      </c>
      <c r="T322">
        <v>253558704</v>
      </c>
      <c r="U322">
        <v>290839200</v>
      </c>
      <c r="V322">
        <v>754062080</v>
      </c>
      <c r="W322">
        <v>0</v>
      </c>
    </row>
    <row r="323" spans="2:23">
      <c r="B323">
        <v>2045</v>
      </c>
      <c r="C323" t="str">
        <f t="shared" si="15"/>
        <v>Flex</v>
      </c>
      <c r="D323">
        <v>5</v>
      </c>
      <c r="E323">
        <v>12077605888</v>
      </c>
      <c r="F323">
        <v>349536128</v>
      </c>
      <c r="G323">
        <v>3812899584</v>
      </c>
      <c r="H323">
        <v>318592960</v>
      </c>
      <c r="I323">
        <v>900565696</v>
      </c>
      <c r="J323">
        <v>1229203712</v>
      </c>
      <c r="K323">
        <v>1018485568</v>
      </c>
      <c r="L323">
        <v>0</v>
      </c>
      <c r="M323">
        <v>0</v>
      </c>
      <c r="N323">
        <v>0</v>
      </c>
      <c r="O323">
        <v>0</v>
      </c>
      <c r="P323">
        <v>0</v>
      </c>
      <c r="Q323">
        <v>0</v>
      </c>
      <c r="R323">
        <v>0</v>
      </c>
      <c r="S323">
        <v>0</v>
      </c>
      <c r="T323">
        <v>0</v>
      </c>
      <c r="U323">
        <v>0</v>
      </c>
      <c r="V323">
        <v>0</v>
      </c>
      <c r="W323">
        <v>0</v>
      </c>
    </row>
    <row r="324" spans="2:23">
      <c r="B324">
        <v>2045</v>
      </c>
      <c r="C324" t="str">
        <f t="shared" si="15"/>
        <v>BEV</v>
      </c>
      <c r="D324">
        <v>6</v>
      </c>
      <c r="E324">
        <v>0</v>
      </c>
      <c r="F324">
        <v>0</v>
      </c>
      <c r="G324">
        <v>0</v>
      </c>
      <c r="H324">
        <v>36368</v>
      </c>
      <c r="I324">
        <v>1279625</v>
      </c>
      <c r="J324">
        <v>138694</v>
      </c>
      <c r="K324">
        <v>2998416</v>
      </c>
      <c r="L324">
        <v>0</v>
      </c>
      <c r="M324">
        <v>57206</v>
      </c>
      <c r="N324">
        <v>57212</v>
      </c>
      <c r="O324">
        <v>171637</v>
      </c>
      <c r="P324">
        <v>110333</v>
      </c>
      <c r="Q324">
        <v>636078</v>
      </c>
      <c r="R324">
        <v>631694</v>
      </c>
      <c r="S324">
        <v>1897660</v>
      </c>
      <c r="T324">
        <v>0</v>
      </c>
      <c r="U324">
        <v>0</v>
      </c>
      <c r="V324">
        <v>0</v>
      </c>
      <c r="W324">
        <v>0</v>
      </c>
    </row>
    <row r="325" spans="2:23">
      <c r="B325">
        <v>2045</v>
      </c>
      <c r="C325" t="str">
        <f t="shared" si="15"/>
        <v>PHEV diesel</v>
      </c>
      <c r="D325">
        <v>7</v>
      </c>
      <c r="E325">
        <v>200241024</v>
      </c>
      <c r="F325">
        <v>4537464</v>
      </c>
      <c r="G325">
        <v>214330336</v>
      </c>
      <c r="H325">
        <v>16600121</v>
      </c>
      <c r="I325">
        <v>26774980</v>
      </c>
      <c r="J325">
        <v>41201264</v>
      </c>
      <c r="K325">
        <v>32947346</v>
      </c>
      <c r="L325">
        <v>7426150</v>
      </c>
      <c r="M325">
        <v>0</v>
      </c>
      <c r="N325">
        <v>0</v>
      </c>
      <c r="O325">
        <v>0</v>
      </c>
      <c r="P325">
        <v>19607442</v>
      </c>
      <c r="Q325">
        <v>0</v>
      </c>
      <c r="R325">
        <v>0</v>
      </c>
      <c r="S325">
        <v>0</v>
      </c>
      <c r="T325">
        <v>0</v>
      </c>
      <c r="U325">
        <v>0</v>
      </c>
      <c r="V325">
        <v>0</v>
      </c>
      <c r="W325">
        <v>0</v>
      </c>
    </row>
    <row r="326" spans="2:23">
      <c r="B326">
        <v>2045</v>
      </c>
      <c r="C326" t="str">
        <f t="shared" si="15"/>
        <v>PHEV gasoline</v>
      </c>
      <c r="D326">
        <v>8</v>
      </c>
      <c r="E326">
        <v>221870016</v>
      </c>
      <c r="F326">
        <v>5405864</v>
      </c>
      <c r="G326">
        <v>227320288</v>
      </c>
      <c r="H326">
        <v>15093868</v>
      </c>
      <c r="I326">
        <v>31059140</v>
      </c>
      <c r="J326">
        <v>47626160</v>
      </c>
      <c r="K326">
        <v>38653776</v>
      </c>
      <c r="L326">
        <v>12179327</v>
      </c>
      <c r="M326">
        <v>0</v>
      </c>
      <c r="N326">
        <v>0</v>
      </c>
      <c r="O326">
        <v>0</v>
      </c>
      <c r="P326">
        <v>38473180</v>
      </c>
      <c r="Q326">
        <v>0</v>
      </c>
      <c r="R326">
        <v>0</v>
      </c>
      <c r="S326">
        <v>0</v>
      </c>
      <c r="T326">
        <v>0</v>
      </c>
      <c r="U326">
        <v>0</v>
      </c>
      <c r="V326">
        <v>0</v>
      </c>
      <c r="W326">
        <v>0</v>
      </c>
    </row>
    <row r="327" spans="2:23">
      <c r="B327">
        <v>2045</v>
      </c>
      <c r="C327" t="str">
        <f t="shared" si="15"/>
        <v>Fuel cell</v>
      </c>
      <c r="D327">
        <v>9</v>
      </c>
      <c r="E327">
        <v>0</v>
      </c>
      <c r="F327">
        <v>0</v>
      </c>
      <c r="G327">
        <v>0</v>
      </c>
      <c r="H327">
        <v>28517</v>
      </c>
      <c r="I327">
        <v>47364504</v>
      </c>
      <c r="J327">
        <v>72910776</v>
      </c>
      <c r="K327">
        <v>57898636</v>
      </c>
      <c r="L327">
        <v>7401920</v>
      </c>
      <c r="M327">
        <v>958214</v>
      </c>
      <c r="N327">
        <v>958237</v>
      </c>
      <c r="O327">
        <v>2874671</v>
      </c>
      <c r="P327">
        <v>19971630</v>
      </c>
      <c r="Q327">
        <v>8628149</v>
      </c>
      <c r="R327">
        <v>8614796</v>
      </c>
      <c r="S327">
        <v>25944830</v>
      </c>
      <c r="T327">
        <v>10336803</v>
      </c>
      <c r="U327">
        <v>10314363</v>
      </c>
      <c r="V327">
        <v>30917454</v>
      </c>
      <c r="W327">
        <v>0</v>
      </c>
    </row>
    <row r="328" spans="2:23">
      <c r="B328">
        <v>2046</v>
      </c>
      <c r="C328" t="str">
        <f t="shared" si="15"/>
        <v>Diesel</v>
      </c>
      <c r="D328">
        <v>1</v>
      </c>
      <c r="E328">
        <v>40640131072</v>
      </c>
      <c r="F328">
        <v>94838624</v>
      </c>
      <c r="G328">
        <v>63669190656</v>
      </c>
      <c r="H328">
        <v>5146326016</v>
      </c>
      <c r="I328">
        <v>13377891328</v>
      </c>
      <c r="J328">
        <v>21541398528</v>
      </c>
      <c r="K328">
        <v>17232035840</v>
      </c>
      <c r="L328">
        <v>11759467520</v>
      </c>
      <c r="M328">
        <v>1520020992</v>
      </c>
      <c r="N328">
        <v>1520059136</v>
      </c>
      <c r="O328">
        <v>4560100352</v>
      </c>
      <c r="P328">
        <v>31320256512</v>
      </c>
      <c r="Q328">
        <v>13595127808</v>
      </c>
      <c r="R328">
        <v>13572822016</v>
      </c>
      <c r="S328">
        <v>40874831872</v>
      </c>
      <c r="T328">
        <v>16288361472</v>
      </c>
      <c r="U328">
        <v>16249979904</v>
      </c>
      <c r="V328">
        <v>48719261696</v>
      </c>
      <c r="W328">
        <v>13712468</v>
      </c>
    </row>
    <row r="329" spans="2:23">
      <c r="B329">
        <v>2046</v>
      </c>
      <c r="C329" t="str">
        <f t="shared" si="15"/>
        <v>Gasoline</v>
      </c>
      <c r="D329">
        <v>2</v>
      </c>
      <c r="E329">
        <v>68027883520</v>
      </c>
      <c r="F329">
        <v>2689872896</v>
      </c>
      <c r="G329">
        <v>36565872640</v>
      </c>
      <c r="H329">
        <v>3135252992</v>
      </c>
      <c r="I329">
        <v>6801847808</v>
      </c>
      <c r="J329">
        <v>9539361792</v>
      </c>
      <c r="K329">
        <v>7541739520</v>
      </c>
      <c r="L329">
        <v>24540642</v>
      </c>
      <c r="M329">
        <v>2572761</v>
      </c>
      <c r="N329">
        <v>2572822</v>
      </c>
      <c r="O329">
        <v>7718360</v>
      </c>
      <c r="P329">
        <v>53650372</v>
      </c>
      <c r="Q329">
        <v>23167212</v>
      </c>
      <c r="R329">
        <v>23132370</v>
      </c>
      <c r="S329">
        <v>69666256</v>
      </c>
      <c r="T329">
        <v>27755008</v>
      </c>
      <c r="U329">
        <v>27696696</v>
      </c>
      <c r="V329">
        <v>83014392</v>
      </c>
      <c r="W329">
        <v>0</v>
      </c>
    </row>
    <row r="330" spans="2:23">
      <c r="B330">
        <v>2046</v>
      </c>
      <c r="C330" t="str">
        <f t="shared" si="15"/>
        <v>LPG</v>
      </c>
      <c r="D330">
        <v>3</v>
      </c>
      <c r="E330">
        <v>319278560</v>
      </c>
      <c r="F330">
        <v>0</v>
      </c>
      <c r="G330">
        <v>176972544</v>
      </c>
      <c r="H330">
        <v>11469175</v>
      </c>
      <c r="I330">
        <v>40104572</v>
      </c>
      <c r="J330">
        <v>62770228</v>
      </c>
      <c r="K330">
        <v>50829184</v>
      </c>
      <c r="L330">
        <v>4172833</v>
      </c>
      <c r="M330">
        <v>344070</v>
      </c>
      <c r="N330">
        <v>327496</v>
      </c>
      <c r="O330">
        <v>1014979</v>
      </c>
      <c r="P330">
        <v>8257909</v>
      </c>
      <c r="Q330">
        <v>3112159</v>
      </c>
      <c r="R330">
        <v>3202696</v>
      </c>
      <c r="S330">
        <v>9856404</v>
      </c>
      <c r="T330">
        <v>3829602</v>
      </c>
      <c r="U330">
        <v>3775390</v>
      </c>
      <c r="V330">
        <v>11836400</v>
      </c>
      <c r="W330">
        <v>0</v>
      </c>
    </row>
    <row r="331" spans="2:23">
      <c r="B331">
        <v>2046</v>
      </c>
      <c r="C331" t="str">
        <f t="shared" si="15"/>
        <v>CNG</v>
      </c>
      <c r="D331">
        <v>4</v>
      </c>
      <c r="E331">
        <v>6230944</v>
      </c>
      <c r="F331">
        <v>128241</v>
      </c>
      <c r="G331">
        <v>50739</v>
      </c>
      <c r="H331">
        <v>769684</v>
      </c>
      <c r="I331">
        <v>2303987</v>
      </c>
      <c r="J331">
        <v>21808</v>
      </c>
      <c r="K331">
        <v>5661007</v>
      </c>
      <c r="L331">
        <v>27470590</v>
      </c>
      <c r="M331">
        <v>368177</v>
      </c>
      <c r="N331">
        <v>368177</v>
      </c>
      <c r="O331">
        <v>1104532</v>
      </c>
      <c r="P331">
        <v>936825152</v>
      </c>
      <c r="Q331">
        <v>233542112</v>
      </c>
      <c r="R331">
        <v>256381344</v>
      </c>
      <c r="S331">
        <v>763684736</v>
      </c>
      <c r="T331">
        <v>267199488</v>
      </c>
      <c r="U331">
        <v>306870944</v>
      </c>
      <c r="V331">
        <v>794694208</v>
      </c>
      <c r="W331">
        <v>0</v>
      </c>
    </row>
    <row r="332" spans="2:23">
      <c r="B332">
        <v>2046</v>
      </c>
      <c r="C332" t="str">
        <f t="shared" si="15"/>
        <v>Flex</v>
      </c>
      <c r="D332">
        <v>5</v>
      </c>
      <c r="E332">
        <v>12359656448</v>
      </c>
      <c r="F332">
        <v>353259456</v>
      </c>
      <c r="G332">
        <v>3901440768</v>
      </c>
      <c r="H332">
        <v>301606112</v>
      </c>
      <c r="I332">
        <v>931120128</v>
      </c>
      <c r="J332">
        <v>1286195968</v>
      </c>
      <c r="K332">
        <v>1065628032</v>
      </c>
      <c r="L332">
        <v>0</v>
      </c>
      <c r="M332">
        <v>0</v>
      </c>
      <c r="N332">
        <v>0</v>
      </c>
      <c r="O332">
        <v>0</v>
      </c>
      <c r="P332">
        <v>0</v>
      </c>
      <c r="Q332">
        <v>0</v>
      </c>
      <c r="R332">
        <v>0</v>
      </c>
      <c r="S332">
        <v>0</v>
      </c>
      <c r="T332">
        <v>0</v>
      </c>
      <c r="U332">
        <v>0</v>
      </c>
      <c r="V332">
        <v>0</v>
      </c>
      <c r="W332">
        <v>0</v>
      </c>
    </row>
    <row r="333" spans="2:23">
      <c r="B333">
        <v>2046</v>
      </c>
      <c r="C333" t="str">
        <f t="shared" si="15"/>
        <v>BEV</v>
      </c>
      <c r="D333">
        <v>6</v>
      </c>
      <c r="E333">
        <v>0</v>
      </c>
      <c r="F333">
        <v>0</v>
      </c>
      <c r="G333">
        <v>0</v>
      </c>
      <c r="H333">
        <v>25570</v>
      </c>
      <c r="I333">
        <v>1211398</v>
      </c>
      <c r="J333">
        <v>131376</v>
      </c>
      <c r="K333">
        <v>2837209</v>
      </c>
      <c r="L333">
        <v>0</v>
      </c>
      <c r="M333">
        <v>54114</v>
      </c>
      <c r="N333">
        <v>54119</v>
      </c>
      <c r="O333">
        <v>162359</v>
      </c>
      <c r="P333">
        <v>103209</v>
      </c>
      <c r="Q333">
        <v>599708</v>
      </c>
      <c r="R333">
        <v>595368</v>
      </c>
      <c r="S333">
        <v>1788599</v>
      </c>
      <c r="T333">
        <v>0</v>
      </c>
      <c r="U333">
        <v>0</v>
      </c>
      <c r="V333">
        <v>0</v>
      </c>
      <c r="W333">
        <v>0</v>
      </c>
    </row>
    <row r="334" spans="2:23">
      <c r="B334">
        <v>2046</v>
      </c>
      <c r="C334" t="str">
        <f t="shared" si="15"/>
        <v>PHEV diesel</v>
      </c>
      <c r="D334">
        <v>7</v>
      </c>
      <c r="E334">
        <v>216830624</v>
      </c>
      <c r="F334">
        <v>4913146</v>
      </c>
      <c r="G334">
        <v>234267200</v>
      </c>
      <c r="H334">
        <v>18140316</v>
      </c>
      <c r="I334">
        <v>28681910</v>
      </c>
      <c r="J334">
        <v>44135604</v>
      </c>
      <c r="K334">
        <v>35305128</v>
      </c>
      <c r="L334">
        <v>7913172</v>
      </c>
      <c r="M334">
        <v>0</v>
      </c>
      <c r="N334">
        <v>0</v>
      </c>
      <c r="O334">
        <v>0</v>
      </c>
      <c r="P334">
        <v>20855474</v>
      </c>
      <c r="Q334">
        <v>0</v>
      </c>
      <c r="R334">
        <v>0</v>
      </c>
      <c r="S334">
        <v>0</v>
      </c>
      <c r="T334">
        <v>0</v>
      </c>
      <c r="U334">
        <v>0</v>
      </c>
      <c r="V334">
        <v>0</v>
      </c>
      <c r="W334">
        <v>0</v>
      </c>
    </row>
    <row r="335" spans="2:23">
      <c r="B335">
        <v>2046</v>
      </c>
      <c r="C335" t="str">
        <f t="shared" si="15"/>
        <v>PHEV gasoline</v>
      </c>
      <c r="D335">
        <v>8</v>
      </c>
      <c r="E335">
        <v>242055744</v>
      </c>
      <c r="F335">
        <v>5897696</v>
      </c>
      <c r="G335">
        <v>250124000</v>
      </c>
      <c r="H335">
        <v>16581534</v>
      </c>
      <c r="I335">
        <v>33915412</v>
      </c>
      <c r="J335">
        <v>52007100</v>
      </c>
      <c r="K335">
        <v>42224996</v>
      </c>
      <c r="L335">
        <v>12835629</v>
      </c>
      <c r="M335">
        <v>0</v>
      </c>
      <c r="N335">
        <v>0</v>
      </c>
      <c r="O335">
        <v>0</v>
      </c>
      <c r="P335">
        <v>40453976</v>
      </c>
      <c r="Q335">
        <v>0</v>
      </c>
      <c r="R335">
        <v>0</v>
      </c>
      <c r="S335">
        <v>0</v>
      </c>
      <c r="T335">
        <v>0</v>
      </c>
      <c r="U335">
        <v>0</v>
      </c>
      <c r="V335">
        <v>0</v>
      </c>
      <c r="W335">
        <v>0</v>
      </c>
    </row>
    <row r="336" spans="2:23">
      <c r="B336">
        <v>2046</v>
      </c>
      <c r="C336" t="str">
        <f t="shared" si="15"/>
        <v>Fuel cell</v>
      </c>
      <c r="D336">
        <v>9</v>
      </c>
      <c r="E336">
        <v>0</v>
      </c>
      <c r="F336">
        <v>0</v>
      </c>
      <c r="G336">
        <v>0</v>
      </c>
      <c r="H336">
        <v>28533</v>
      </c>
      <c r="I336">
        <v>51005352</v>
      </c>
      <c r="J336">
        <v>78515464</v>
      </c>
      <c r="K336">
        <v>62348024</v>
      </c>
      <c r="L336">
        <v>7732689</v>
      </c>
      <c r="M336">
        <v>1001315</v>
      </c>
      <c r="N336">
        <v>1001341</v>
      </c>
      <c r="O336">
        <v>3003976</v>
      </c>
      <c r="P336">
        <v>20844226</v>
      </c>
      <c r="Q336">
        <v>9008979</v>
      </c>
      <c r="R336">
        <v>8994260</v>
      </c>
      <c r="S336">
        <v>27087278</v>
      </c>
      <c r="T336">
        <v>10793421</v>
      </c>
      <c r="U336">
        <v>10768419</v>
      </c>
      <c r="V336">
        <v>32283438</v>
      </c>
      <c r="W336">
        <v>0</v>
      </c>
    </row>
    <row r="337" spans="2:23">
      <c r="B337">
        <v>2047</v>
      </c>
      <c r="C337" t="str">
        <f t="shared" si="15"/>
        <v>Diesel</v>
      </c>
      <c r="D337">
        <v>1</v>
      </c>
      <c r="E337">
        <v>41063763968</v>
      </c>
      <c r="F337">
        <v>95827216</v>
      </c>
      <c r="G337">
        <v>64975142912</v>
      </c>
      <c r="H337">
        <v>5263271424</v>
      </c>
      <c r="I337">
        <v>13589626880</v>
      </c>
      <c r="J337">
        <v>21801113600</v>
      </c>
      <c r="K337">
        <v>17418733568</v>
      </c>
      <c r="L337">
        <v>11749122048</v>
      </c>
      <c r="M337">
        <v>1519372288</v>
      </c>
      <c r="N337">
        <v>1519411328</v>
      </c>
      <c r="O337">
        <v>4558151680</v>
      </c>
      <c r="P337">
        <v>31317288960</v>
      </c>
      <c r="Q337">
        <v>13593837568</v>
      </c>
      <c r="R337">
        <v>13570449408</v>
      </c>
      <c r="S337">
        <v>40867115008</v>
      </c>
      <c r="T337">
        <v>16287468544</v>
      </c>
      <c r="U337">
        <v>16246841344</v>
      </c>
      <c r="V337">
        <v>48716664832</v>
      </c>
      <c r="W337">
        <v>13729347</v>
      </c>
    </row>
    <row r="338" spans="2:23">
      <c r="B338">
        <v>2047</v>
      </c>
      <c r="C338" t="str">
        <f t="shared" si="15"/>
        <v>Gasoline</v>
      </c>
      <c r="D338">
        <v>2</v>
      </c>
      <c r="E338">
        <v>68592615424</v>
      </c>
      <c r="F338">
        <v>2712203520</v>
      </c>
      <c r="G338">
        <v>37355909120</v>
      </c>
      <c r="H338">
        <v>3176895232</v>
      </c>
      <c r="I338">
        <v>6832007168</v>
      </c>
      <c r="J338">
        <v>9685299200</v>
      </c>
      <c r="K338">
        <v>7656768512</v>
      </c>
      <c r="L338">
        <v>24283128</v>
      </c>
      <c r="M338">
        <v>2600368</v>
      </c>
      <c r="N338">
        <v>2600431</v>
      </c>
      <c r="O338">
        <v>7801177</v>
      </c>
      <c r="P338">
        <v>54158616</v>
      </c>
      <c r="Q338">
        <v>23399026</v>
      </c>
      <c r="R338">
        <v>23362086</v>
      </c>
      <c r="S338">
        <v>70357184</v>
      </c>
      <c r="T338">
        <v>28033540</v>
      </c>
      <c r="U338">
        <v>27971072</v>
      </c>
      <c r="V338">
        <v>83848008</v>
      </c>
      <c r="W338">
        <v>0</v>
      </c>
    </row>
    <row r="339" spans="2:23">
      <c r="B339">
        <v>2047</v>
      </c>
      <c r="C339" t="str">
        <f t="shared" si="15"/>
        <v>LPG</v>
      </c>
      <c r="D339">
        <v>3</v>
      </c>
      <c r="E339">
        <v>360234944</v>
      </c>
      <c r="F339">
        <v>0</v>
      </c>
      <c r="G339">
        <v>191827600</v>
      </c>
      <c r="H339">
        <v>12435976</v>
      </c>
      <c r="I339">
        <v>42738120</v>
      </c>
      <c r="J339">
        <v>66779876</v>
      </c>
      <c r="K339">
        <v>54104392</v>
      </c>
      <c r="L339">
        <v>4121991</v>
      </c>
      <c r="M339">
        <v>346485</v>
      </c>
      <c r="N339">
        <v>329501</v>
      </c>
      <c r="O339">
        <v>1023491</v>
      </c>
      <c r="P339">
        <v>8307380</v>
      </c>
      <c r="Q339">
        <v>3128915</v>
      </c>
      <c r="R339">
        <v>3220213</v>
      </c>
      <c r="S339">
        <v>9927465</v>
      </c>
      <c r="T339">
        <v>3853830</v>
      </c>
      <c r="U339">
        <v>3794972</v>
      </c>
      <c r="V339">
        <v>11916393</v>
      </c>
      <c r="W339">
        <v>0</v>
      </c>
    </row>
    <row r="340" spans="2:23">
      <c r="B340">
        <v>2047</v>
      </c>
      <c r="C340" t="str">
        <f t="shared" si="15"/>
        <v>CNG</v>
      </c>
      <c r="D340">
        <v>4</v>
      </c>
      <c r="E340">
        <v>5457170</v>
      </c>
      <c r="F340">
        <v>106099</v>
      </c>
      <c r="G340">
        <v>49748</v>
      </c>
      <c r="H340">
        <v>719373</v>
      </c>
      <c r="I340">
        <v>2072869</v>
      </c>
      <c r="J340">
        <v>15345</v>
      </c>
      <c r="K340">
        <v>5206674</v>
      </c>
      <c r="L340">
        <v>27730386</v>
      </c>
      <c r="M340">
        <v>336356</v>
      </c>
      <c r="N340">
        <v>336356</v>
      </c>
      <c r="O340">
        <v>1009069</v>
      </c>
      <c r="P340">
        <v>967295296</v>
      </c>
      <c r="Q340">
        <v>246376208</v>
      </c>
      <c r="R340">
        <v>270361024</v>
      </c>
      <c r="S340">
        <v>806312960</v>
      </c>
      <c r="T340">
        <v>281740768</v>
      </c>
      <c r="U340">
        <v>323786176</v>
      </c>
      <c r="V340">
        <v>838053440</v>
      </c>
      <c r="W340">
        <v>0</v>
      </c>
    </row>
    <row r="341" spans="2:23">
      <c r="B341">
        <v>2047</v>
      </c>
      <c r="C341" t="str">
        <f t="shared" si="15"/>
        <v>Flex</v>
      </c>
      <c r="D341">
        <v>5</v>
      </c>
      <c r="E341">
        <v>12615723008</v>
      </c>
      <c r="F341">
        <v>355458336</v>
      </c>
      <c r="G341">
        <v>3989176320</v>
      </c>
      <c r="H341">
        <v>290381216</v>
      </c>
      <c r="I341">
        <v>960349696</v>
      </c>
      <c r="J341">
        <v>1341641088</v>
      </c>
      <c r="K341">
        <v>1111528704</v>
      </c>
      <c r="L341">
        <v>0</v>
      </c>
      <c r="M341">
        <v>0</v>
      </c>
      <c r="N341">
        <v>0</v>
      </c>
      <c r="O341">
        <v>0</v>
      </c>
      <c r="P341">
        <v>0</v>
      </c>
      <c r="Q341">
        <v>0</v>
      </c>
      <c r="R341">
        <v>0</v>
      </c>
      <c r="S341">
        <v>0</v>
      </c>
      <c r="T341">
        <v>0</v>
      </c>
      <c r="U341">
        <v>0</v>
      </c>
      <c r="V341">
        <v>0</v>
      </c>
      <c r="W341">
        <v>0</v>
      </c>
    </row>
    <row r="342" spans="2:23">
      <c r="B342">
        <v>2047</v>
      </c>
      <c r="C342" t="str">
        <f t="shared" si="15"/>
        <v>BEV</v>
      </c>
      <c r="D342">
        <v>6</v>
      </c>
      <c r="E342">
        <v>0</v>
      </c>
      <c r="F342">
        <v>0</v>
      </c>
      <c r="G342">
        <v>0</v>
      </c>
      <c r="H342">
        <v>17992</v>
      </c>
      <c r="I342">
        <v>1147264</v>
      </c>
      <c r="J342">
        <v>124772</v>
      </c>
      <c r="K342">
        <v>2685480</v>
      </c>
      <c r="L342">
        <v>0</v>
      </c>
      <c r="M342">
        <v>51255</v>
      </c>
      <c r="N342">
        <v>51261</v>
      </c>
      <c r="O342">
        <v>153783</v>
      </c>
      <c r="P342">
        <v>96734</v>
      </c>
      <c r="Q342">
        <v>566172</v>
      </c>
      <c r="R342">
        <v>561889</v>
      </c>
      <c r="S342">
        <v>1688058</v>
      </c>
      <c r="T342">
        <v>0</v>
      </c>
      <c r="U342">
        <v>0</v>
      </c>
      <c r="V342">
        <v>0</v>
      </c>
      <c r="W342">
        <v>0</v>
      </c>
    </row>
    <row r="343" spans="2:23">
      <c r="B343">
        <v>2047</v>
      </c>
      <c r="C343" t="str">
        <f t="shared" si="15"/>
        <v>PHEV diesel</v>
      </c>
      <c r="D343">
        <v>7</v>
      </c>
      <c r="E343">
        <v>234171456</v>
      </c>
      <c r="F343">
        <v>5305960</v>
      </c>
      <c r="G343">
        <v>255136880</v>
      </c>
      <c r="H343">
        <v>19751410</v>
      </c>
      <c r="I343">
        <v>30696724</v>
      </c>
      <c r="J343">
        <v>47236084</v>
      </c>
      <c r="K343">
        <v>37795484</v>
      </c>
      <c r="L343">
        <v>8447040</v>
      </c>
      <c r="M343">
        <v>0</v>
      </c>
      <c r="N343">
        <v>0</v>
      </c>
      <c r="O343">
        <v>0</v>
      </c>
      <c r="P343">
        <v>22224638</v>
      </c>
      <c r="Q343">
        <v>0</v>
      </c>
      <c r="R343">
        <v>0</v>
      </c>
      <c r="S343">
        <v>0</v>
      </c>
      <c r="T343">
        <v>0</v>
      </c>
      <c r="U343">
        <v>0</v>
      </c>
      <c r="V343">
        <v>0</v>
      </c>
      <c r="W343">
        <v>0</v>
      </c>
    </row>
    <row r="344" spans="2:23">
      <c r="B344">
        <v>2047</v>
      </c>
      <c r="C344" t="str">
        <f t="shared" si="15"/>
        <v>PHEV gasoline</v>
      </c>
      <c r="D344">
        <v>8</v>
      </c>
      <c r="E344">
        <v>263079600</v>
      </c>
      <c r="F344">
        <v>6410029</v>
      </c>
      <c r="G344">
        <v>274049984</v>
      </c>
      <c r="H344">
        <v>18147648</v>
      </c>
      <c r="I344">
        <v>36949572</v>
      </c>
      <c r="J344">
        <v>56660568</v>
      </c>
      <c r="K344">
        <v>46018156</v>
      </c>
      <c r="L344">
        <v>13535021</v>
      </c>
      <c r="M344">
        <v>0</v>
      </c>
      <c r="N344">
        <v>0</v>
      </c>
      <c r="O344">
        <v>0</v>
      </c>
      <c r="P344">
        <v>42569612</v>
      </c>
      <c r="Q344">
        <v>0</v>
      </c>
      <c r="R344">
        <v>0</v>
      </c>
      <c r="S344">
        <v>0</v>
      </c>
      <c r="T344">
        <v>0</v>
      </c>
      <c r="U344">
        <v>0</v>
      </c>
      <c r="V344">
        <v>0</v>
      </c>
      <c r="W344">
        <v>0</v>
      </c>
    </row>
    <row r="345" spans="2:23">
      <c r="B345">
        <v>2047</v>
      </c>
      <c r="C345" t="str">
        <f t="shared" si="15"/>
        <v>Fuel cell</v>
      </c>
      <c r="D345">
        <v>9</v>
      </c>
      <c r="E345">
        <v>0</v>
      </c>
      <c r="F345">
        <v>0</v>
      </c>
      <c r="G345">
        <v>0</v>
      </c>
      <c r="H345">
        <v>28329</v>
      </c>
      <c r="I345">
        <v>54867228</v>
      </c>
      <c r="J345">
        <v>84460520</v>
      </c>
      <c r="K345">
        <v>67067508</v>
      </c>
      <c r="L345">
        <v>8093198</v>
      </c>
      <c r="M345">
        <v>1048330</v>
      </c>
      <c r="N345">
        <v>1048358</v>
      </c>
      <c r="O345">
        <v>3145019</v>
      </c>
      <c r="P345">
        <v>21794174</v>
      </c>
      <c r="Q345">
        <v>9423795</v>
      </c>
      <c r="R345">
        <v>9407594</v>
      </c>
      <c r="S345">
        <v>28331644</v>
      </c>
      <c r="T345">
        <v>11290812</v>
      </c>
      <c r="U345">
        <v>11263008</v>
      </c>
      <c r="V345">
        <v>33771352</v>
      </c>
      <c r="W345">
        <v>0</v>
      </c>
    </row>
    <row r="346" spans="2:23">
      <c r="B346">
        <v>2048</v>
      </c>
      <c r="C346" t="str">
        <f t="shared" si="15"/>
        <v>Diesel</v>
      </c>
      <c r="D346">
        <v>1</v>
      </c>
      <c r="E346">
        <v>41540239360</v>
      </c>
      <c r="F346">
        <v>96939136</v>
      </c>
      <c r="G346">
        <v>66250563584</v>
      </c>
      <c r="H346">
        <v>5374380032</v>
      </c>
      <c r="I346">
        <v>13798319104</v>
      </c>
      <c r="J346">
        <v>22054053888</v>
      </c>
      <c r="K346">
        <v>17604773888</v>
      </c>
      <c r="L346">
        <v>11733846016</v>
      </c>
      <c r="M346">
        <v>1518167168</v>
      </c>
      <c r="N346">
        <v>1518206592</v>
      </c>
      <c r="O346">
        <v>4554532352</v>
      </c>
      <c r="P346">
        <v>31293302784</v>
      </c>
      <c r="Q346">
        <v>13583413248</v>
      </c>
      <c r="R346">
        <v>13558964224</v>
      </c>
      <c r="S346">
        <v>40831926272</v>
      </c>
      <c r="T346">
        <v>16275625984</v>
      </c>
      <c r="U346">
        <v>16232793088</v>
      </c>
      <c r="V346">
        <v>48681328640</v>
      </c>
      <c r="W346">
        <v>13744756</v>
      </c>
    </row>
    <row r="347" spans="2:23">
      <c r="B347">
        <v>2048</v>
      </c>
      <c r="C347" t="str">
        <f t="shared" si="15"/>
        <v>Gasoline</v>
      </c>
      <c r="D347">
        <v>2</v>
      </c>
      <c r="E347">
        <v>69245345792</v>
      </c>
      <c r="F347">
        <v>2738012160</v>
      </c>
      <c r="G347">
        <v>38095745024</v>
      </c>
      <c r="H347">
        <v>3218137856</v>
      </c>
      <c r="I347">
        <v>6861704192</v>
      </c>
      <c r="J347">
        <v>9825216512</v>
      </c>
      <c r="K347">
        <v>7766374912</v>
      </c>
      <c r="L347">
        <v>24101932</v>
      </c>
      <c r="M347">
        <v>2625356</v>
      </c>
      <c r="N347">
        <v>2625421</v>
      </c>
      <c r="O347">
        <v>7876135</v>
      </c>
      <c r="P347">
        <v>54610160</v>
      </c>
      <c r="Q347">
        <v>23605802</v>
      </c>
      <c r="R347">
        <v>23566782</v>
      </c>
      <c r="S347">
        <v>70972688</v>
      </c>
      <c r="T347">
        <v>28282170</v>
      </c>
      <c r="U347">
        <v>28215522</v>
      </c>
      <c r="V347">
        <v>84592096</v>
      </c>
      <c r="W347">
        <v>0</v>
      </c>
    </row>
    <row r="348" spans="2:23">
      <c r="B348">
        <v>2048</v>
      </c>
      <c r="C348" t="str">
        <f t="shared" si="15"/>
        <v>LPG</v>
      </c>
      <c r="D348">
        <v>3</v>
      </c>
      <c r="E348">
        <v>404465184</v>
      </c>
      <c r="F348">
        <v>0</v>
      </c>
      <c r="G348">
        <v>207418512</v>
      </c>
      <c r="H348">
        <v>13449435</v>
      </c>
      <c r="I348">
        <v>45378324</v>
      </c>
      <c r="J348">
        <v>70803864</v>
      </c>
      <c r="K348">
        <v>57391852</v>
      </c>
      <c r="L348">
        <v>4066260</v>
      </c>
      <c r="M348">
        <v>348782</v>
      </c>
      <c r="N348">
        <v>331451</v>
      </c>
      <c r="O348">
        <v>1031687</v>
      </c>
      <c r="P348">
        <v>8352313</v>
      </c>
      <c r="Q348">
        <v>3144373</v>
      </c>
      <c r="R348">
        <v>3236748</v>
      </c>
      <c r="S348">
        <v>9991982</v>
      </c>
      <c r="T348">
        <v>3876393</v>
      </c>
      <c r="U348">
        <v>3813494</v>
      </c>
      <c r="V348">
        <v>11989827</v>
      </c>
      <c r="W348">
        <v>0</v>
      </c>
    </row>
    <row r="349" spans="2:23">
      <c r="B349">
        <v>2048</v>
      </c>
      <c r="C349" t="str">
        <f t="shared" si="15"/>
        <v>CNG</v>
      </c>
      <c r="D349">
        <v>4</v>
      </c>
      <c r="E349">
        <v>4507372</v>
      </c>
      <c r="F349">
        <v>93391</v>
      </c>
      <c r="G349">
        <v>48691</v>
      </c>
      <c r="H349">
        <v>654190</v>
      </c>
      <c r="I349">
        <v>1779181</v>
      </c>
      <c r="J349">
        <v>10789</v>
      </c>
      <c r="K349">
        <v>4807707</v>
      </c>
      <c r="L349">
        <v>28093072</v>
      </c>
      <c r="M349">
        <v>274716</v>
      </c>
      <c r="N349">
        <v>274716</v>
      </c>
      <c r="O349">
        <v>824148</v>
      </c>
      <c r="P349">
        <v>997525952</v>
      </c>
      <c r="Q349">
        <v>259706800</v>
      </c>
      <c r="R349">
        <v>284825472</v>
      </c>
      <c r="S349">
        <v>850411392</v>
      </c>
      <c r="T349">
        <v>296893984</v>
      </c>
      <c r="U349">
        <v>341286720</v>
      </c>
      <c r="V349">
        <v>883260928</v>
      </c>
      <c r="W349">
        <v>0</v>
      </c>
    </row>
    <row r="350" spans="2:23">
      <c r="B350">
        <v>2048</v>
      </c>
      <c r="C350" t="str">
        <f t="shared" si="15"/>
        <v>Flex</v>
      </c>
      <c r="D350">
        <v>5</v>
      </c>
      <c r="E350">
        <v>12866760704</v>
      </c>
      <c r="F350">
        <v>357246432</v>
      </c>
      <c r="G350">
        <v>4071622144</v>
      </c>
      <c r="H350">
        <v>281194304</v>
      </c>
      <c r="I350">
        <v>986673536</v>
      </c>
      <c r="J350">
        <v>1394601472</v>
      </c>
      <c r="K350">
        <v>1155390336</v>
      </c>
      <c r="L350">
        <v>0</v>
      </c>
      <c r="M350">
        <v>0</v>
      </c>
      <c r="N350">
        <v>0</v>
      </c>
      <c r="O350">
        <v>0</v>
      </c>
      <c r="P350">
        <v>0</v>
      </c>
      <c r="Q350">
        <v>0</v>
      </c>
      <c r="R350">
        <v>0</v>
      </c>
      <c r="S350">
        <v>0</v>
      </c>
      <c r="T350">
        <v>0</v>
      </c>
      <c r="U350">
        <v>0</v>
      </c>
      <c r="V350">
        <v>0</v>
      </c>
      <c r="W350">
        <v>0</v>
      </c>
    </row>
    <row r="351" spans="2:23">
      <c r="B351">
        <v>2048</v>
      </c>
      <c r="C351" t="str">
        <f t="shared" si="15"/>
        <v>BEV</v>
      </c>
      <c r="D351">
        <v>6</v>
      </c>
      <c r="E351">
        <v>0</v>
      </c>
      <c r="F351">
        <v>0</v>
      </c>
      <c r="G351">
        <v>0</v>
      </c>
      <c r="H351">
        <v>12650</v>
      </c>
      <c r="I351">
        <v>1085599</v>
      </c>
      <c r="J351">
        <v>118706</v>
      </c>
      <c r="K351">
        <v>2539366</v>
      </c>
      <c r="L351">
        <v>0</v>
      </c>
      <c r="M351">
        <v>48543</v>
      </c>
      <c r="N351">
        <v>48549</v>
      </c>
      <c r="O351">
        <v>145647</v>
      </c>
      <c r="P351">
        <v>90712</v>
      </c>
      <c r="Q351">
        <v>534463</v>
      </c>
      <c r="R351">
        <v>530254</v>
      </c>
      <c r="S351">
        <v>1593032</v>
      </c>
      <c r="T351">
        <v>0</v>
      </c>
      <c r="U351">
        <v>0</v>
      </c>
      <c r="V351">
        <v>0</v>
      </c>
      <c r="W351">
        <v>0</v>
      </c>
    </row>
    <row r="352" spans="2:23">
      <c r="B352">
        <v>2048</v>
      </c>
      <c r="C352" t="str">
        <f t="shared" ref="C352:C372" si="16">C343</f>
        <v>PHEV diesel</v>
      </c>
      <c r="D352">
        <v>7</v>
      </c>
      <c r="E352">
        <v>252026800</v>
      </c>
      <c r="F352">
        <v>5710552</v>
      </c>
      <c r="G352">
        <v>276342016</v>
      </c>
      <c r="H352">
        <v>21385134</v>
      </c>
      <c r="I352">
        <v>32788310</v>
      </c>
      <c r="J352">
        <v>50454668</v>
      </c>
      <c r="K352">
        <v>40380036</v>
      </c>
      <c r="L352">
        <v>9022395</v>
      </c>
      <c r="M352">
        <v>0</v>
      </c>
      <c r="N352">
        <v>0</v>
      </c>
      <c r="O352">
        <v>0</v>
      </c>
      <c r="P352">
        <v>23700330</v>
      </c>
      <c r="Q352">
        <v>0</v>
      </c>
      <c r="R352">
        <v>0</v>
      </c>
      <c r="S352">
        <v>0</v>
      </c>
      <c r="T352">
        <v>0</v>
      </c>
      <c r="U352">
        <v>0</v>
      </c>
      <c r="V352">
        <v>0</v>
      </c>
      <c r="W352">
        <v>0</v>
      </c>
    </row>
    <row r="353" spans="2:23">
      <c r="B353">
        <v>2048</v>
      </c>
      <c r="C353" t="str">
        <f t="shared" si="16"/>
        <v>PHEV gasoline</v>
      </c>
      <c r="D353">
        <v>8</v>
      </c>
      <c r="E353">
        <v>284681536</v>
      </c>
      <c r="F353">
        <v>6936575</v>
      </c>
      <c r="G353">
        <v>298444896</v>
      </c>
      <c r="H353">
        <v>19749616</v>
      </c>
      <c r="I353">
        <v>40120008</v>
      </c>
      <c r="J353">
        <v>61523196</v>
      </c>
      <c r="K353">
        <v>49981556</v>
      </c>
      <c r="L353">
        <v>14261142</v>
      </c>
      <c r="M353">
        <v>0</v>
      </c>
      <c r="N353">
        <v>0</v>
      </c>
      <c r="O353">
        <v>0</v>
      </c>
      <c r="P353">
        <v>44768900</v>
      </c>
      <c r="Q353">
        <v>0</v>
      </c>
      <c r="R353">
        <v>0</v>
      </c>
      <c r="S353">
        <v>0</v>
      </c>
      <c r="T353">
        <v>0</v>
      </c>
      <c r="U353">
        <v>0</v>
      </c>
      <c r="V353">
        <v>0</v>
      </c>
      <c r="W353">
        <v>0</v>
      </c>
    </row>
    <row r="354" spans="2:23">
      <c r="B354">
        <v>2048</v>
      </c>
      <c r="C354" t="str">
        <f t="shared" si="16"/>
        <v>Fuel cell</v>
      </c>
      <c r="D354">
        <v>9</v>
      </c>
      <c r="E354">
        <v>0</v>
      </c>
      <c r="F354">
        <v>0</v>
      </c>
      <c r="G354">
        <v>0</v>
      </c>
      <c r="H354">
        <v>27881</v>
      </c>
      <c r="I354">
        <v>58892172</v>
      </c>
      <c r="J354">
        <v>90656584</v>
      </c>
      <c r="K354">
        <v>71986216</v>
      </c>
      <c r="L354">
        <v>8478637</v>
      </c>
      <c r="M354">
        <v>1098651</v>
      </c>
      <c r="N354">
        <v>1098680</v>
      </c>
      <c r="O354">
        <v>3295978</v>
      </c>
      <c r="P354">
        <v>22808372</v>
      </c>
      <c r="Q354">
        <v>9866934</v>
      </c>
      <c r="R354">
        <v>9849144</v>
      </c>
      <c r="S354">
        <v>29660916</v>
      </c>
      <c r="T354">
        <v>11822211</v>
      </c>
      <c r="U354">
        <v>11791362</v>
      </c>
      <c r="V354">
        <v>35360964</v>
      </c>
      <c r="W354">
        <v>0</v>
      </c>
    </row>
    <row r="355" spans="2:23">
      <c r="B355">
        <v>2049</v>
      </c>
      <c r="C355" t="str">
        <f t="shared" si="16"/>
        <v>Diesel</v>
      </c>
      <c r="D355">
        <v>1</v>
      </c>
      <c r="E355">
        <v>41994448896</v>
      </c>
      <c r="F355">
        <v>97999088</v>
      </c>
      <c r="G355">
        <v>67597561856</v>
      </c>
      <c r="H355">
        <v>5489756160</v>
      </c>
      <c r="I355">
        <v>14018990080</v>
      </c>
      <c r="J355">
        <v>22320558080</v>
      </c>
      <c r="K355">
        <v>17803921408</v>
      </c>
      <c r="L355">
        <v>11726381056</v>
      </c>
      <c r="M355">
        <v>1517908480</v>
      </c>
      <c r="N355">
        <v>1517948672</v>
      </c>
      <c r="O355">
        <v>4553752576</v>
      </c>
      <c r="P355">
        <v>31285778432</v>
      </c>
      <c r="Q355">
        <v>13579081728</v>
      </c>
      <c r="R355">
        <v>13553555456</v>
      </c>
      <c r="S355">
        <v>40815079424</v>
      </c>
      <c r="T355">
        <v>16271080448</v>
      </c>
      <c r="U355">
        <v>16226024448</v>
      </c>
      <c r="V355">
        <v>48667824128</v>
      </c>
      <c r="W355">
        <v>13758281</v>
      </c>
    </row>
    <row r="356" spans="2:23">
      <c r="B356">
        <v>2049</v>
      </c>
      <c r="C356" t="str">
        <f t="shared" si="16"/>
        <v>Gasoline</v>
      </c>
      <c r="D356">
        <v>2</v>
      </c>
      <c r="E356">
        <v>69863473152</v>
      </c>
      <c r="F356">
        <v>2762453248</v>
      </c>
      <c r="G356">
        <v>38854520832</v>
      </c>
      <c r="H356">
        <v>3266153216</v>
      </c>
      <c r="I356">
        <v>6901674496</v>
      </c>
      <c r="J356">
        <v>9967935488</v>
      </c>
      <c r="K356">
        <v>7882119680</v>
      </c>
      <c r="L356">
        <v>23937190</v>
      </c>
      <c r="M356">
        <v>2651317</v>
      </c>
      <c r="N356">
        <v>2651384</v>
      </c>
      <c r="O356">
        <v>7954014</v>
      </c>
      <c r="P356">
        <v>55079532</v>
      </c>
      <c r="Q356">
        <v>23819936</v>
      </c>
      <c r="R356">
        <v>23778810</v>
      </c>
      <c r="S356">
        <v>71610240</v>
      </c>
      <c r="T356">
        <v>28539694</v>
      </c>
      <c r="U356">
        <v>28468802</v>
      </c>
      <c r="V356">
        <v>85362696</v>
      </c>
      <c r="W356">
        <v>0</v>
      </c>
    </row>
    <row r="357" spans="2:23">
      <c r="B357">
        <v>2049</v>
      </c>
      <c r="C357" t="str">
        <f t="shared" si="16"/>
        <v>LPG</v>
      </c>
      <c r="D357">
        <v>3</v>
      </c>
      <c r="E357">
        <v>450743584</v>
      </c>
      <c r="F357">
        <v>0</v>
      </c>
      <c r="G357">
        <v>223953728</v>
      </c>
      <c r="H357">
        <v>14525096</v>
      </c>
      <c r="I357">
        <v>48044892</v>
      </c>
      <c r="J357">
        <v>74517904</v>
      </c>
      <c r="K357">
        <v>60569812</v>
      </c>
      <c r="L357">
        <v>3958214</v>
      </c>
      <c r="M357">
        <v>351345</v>
      </c>
      <c r="N357">
        <v>333699</v>
      </c>
      <c r="O357">
        <v>1040543</v>
      </c>
      <c r="P357">
        <v>8402555</v>
      </c>
      <c r="Q357">
        <v>3162048</v>
      </c>
      <c r="R357">
        <v>3255881</v>
      </c>
      <c r="S357">
        <v>10061668</v>
      </c>
      <c r="T357">
        <v>3901626</v>
      </c>
      <c r="U357">
        <v>3835266</v>
      </c>
      <c r="V357">
        <v>12070719</v>
      </c>
      <c r="W357">
        <v>0</v>
      </c>
    </row>
    <row r="358" spans="2:23">
      <c r="B358">
        <v>2049</v>
      </c>
      <c r="C358" t="str">
        <f t="shared" si="16"/>
        <v>CNG</v>
      </c>
      <c r="D358">
        <v>4</v>
      </c>
      <c r="E358">
        <v>3667994</v>
      </c>
      <c r="F358">
        <v>70418</v>
      </c>
      <c r="G358">
        <v>47640</v>
      </c>
      <c r="H358">
        <v>578021</v>
      </c>
      <c r="I358">
        <v>1512303</v>
      </c>
      <c r="J358">
        <v>7590</v>
      </c>
      <c r="K358">
        <v>4447159</v>
      </c>
      <c r="L358">
        <v>28614454</v>
      </c>
      <c r="M358">
        <v>210764</v>
      </c>
      <c r="N358">
        <v>210764</v>
      </c>
      <c r="O358">
        <v>632292</v>
      </c>
      <c r="P358">
        <v>1029052160</v>
      </c>
      <c r="Q358">
        <v>273813568</v>
      </c>
      <c r="R358">
        <v>300084416</v>
      </c>
      <c r="S358">
        <v>896893696</v>
      </c>
      <c r="T358">
        <v>312979680</v>
      </c>
      <c r="U358">
        <v>359745344</v>
      </c>
      <c r="V358">
        <v>931254272</v>
      </c>
      <c r="W358">
        <v>0</v>
      </c>
    </row>
    <row r="359" spans="2:23">
      <c r="B359">
        <v>2049</v>
      </c>
      <c r="C359" t="str">
        <f t="shared" si="16"/>
        <v>Flex</v>
      </c>
      <c r="D359">
        <v>5</v>
      </c>
      <c r="E359">
        <v>13096079360</v>
      </c>
      <c r="F359">
        <v>359851392</v>
      </c>
      <c r="G359">
        <v>4150428160</v>
      </c>
      <c r="H359">
        <v>274739232</v>
      </c>
      <c r="I359">
        <v>1012681152</v>
      </c>
      <c r="J359">
        <v>1446793984</v>
      </c>
      <c r="K359">
        <v>1198635264</v>
      </c>
      <c r="L359">
        <v>0</v>
      </c>
      <c r="M359">
        <v>0</v>
      </c>
      <c r="N359">
        <v>0</v>
      </c>
      <c r="O359">
        <v>0</v>
      </c>
      <c r="P359">
        <v>0</v>
      </c>
      <c r="Q359">
        <v>0</v>
      </c>
      <c r="R359">
        <v>0</v>
      </c>
      <c r="S359">
        <v>0</v>
      </c>
      <c r="T359">
        <v>0</v>
      </c>
      <c r="U359">
        <v>0</v>
      </c>
      <c r="V359">
        <v>0</v>
      </c>
      <c r="W359">
        <v>0</v>
      </c>
    </row>
    <row r="360" spans="2:23">
      <c r="B360">
        <v>2049</v>
      </c>
      <c r="C360" t="str">
        <f t="shared" si="16"/>
        <v>BEV</v>
      </c>
      <c r="D360">
        <v>6</v>
      </c>
      <c r="E360">
        <v>0</v>
      </c>
      <c r="F360">
        <v>0</v>
      </c>
      <c r="G360">
        <v>0</v>
      </c>
      <c r="H360">
        <v>8899</v>
      </c>
      <c r="I360">
        <v>1028069</v>
      </c>
      <c r="J360">
        <v>105602</v>
      </c>
      <c r="K360">
        <v>2402695</v>
      </c>
      <c r="L360">
        <v>0</v>
      </c>
      <c r="M360">
        <v>46042</v>
      </c>
      <c r="N360">
        <v>46048</v>
      </c>
      <c r="O360">
        <v>138142</v>
      </c>
      <c r="P360">
        <v>85247</v>
      </c>
      <c r="Q360">
        <v>505287</v>
      </c>
      <c r="R360">
        <v>501161</v>
      </c>
      <c r="S360">
        <v>1505623</v>
      </c>
      <c r="T360">
        <v>0</v>
      </c>
      <c r="U360">
        <v>0</v>
      </c>
      <c r="V360">
        <v>0</v>
      </c>
      <c r="W360">
        <v>0</v>
      </c>
    </row>
    <row r="361" spans="2:23">
      <c r="B361">
        <v>2049</v>
      </c>
      <c r="C361" t="str">
        <f t="shared" si="16"/>
        <v>PHEV diesel</v>
      </c>
      <c r="D361">
        <v>7</v>
      </c>
      <c r="E361">
        <v>269716512</v>
      </c>
      <c r="F361">
        <v>6111182</v>
      </c>
      <c r="G361">
        <v>298212416</v>
      </c>
      <c r="H361">
        <v>23069868</v>
      </c>
      <c r="I361">
        <v>34978756</v>
      </c>
      <c r="J361">
        <v>53825372</v>
      </c>
      <c r="K361">
        <v>43085628</v>
      </c>
      <c r="L361">
        <v>9651013</v>
      </c>
      <c r="M361">
        <v>0</v>
      </c>
      <c r="N361">
        <v>0</v>
      </c>
      <c r="O361">
        <v>0</v>
      </c>
      <c r="P361">
        <v>25313012</v>
      </c>
      <c r="Q361">
        <v>0</v>
      </c>
      <c r="R361">
        <v>0</v>
      </c>
      <c r="S361">
        <v>0</v>
      </c>
      <c r="T361">
        <v>0</v>
      </c>
      <c r="U361">
        <v>0</v>
      </c>
      <c r="V361">
        <v>0</v>
      </c>
      <c r="W361">
        <v>0</v>
      </c>
    </row>
    <row r="362" spans="2:23">
      <c r="B362">
        <v>2049</v>
      </c>
      <c r="C362" t="str">
        <f t="shared" si="16"/>
        <v>PHEV gasoline</v>
      </c>
      <c r="D362">
        <v>8</v>
      </c>
      <c r="E362">
        <v>306056320</v>
      </c>
      <c r="F362">
        <v>7453409</v>
      </c>
      <c r="G362">
        <v>323640640</v>
      </c>
      <c r="H362">
        <v>21415958</v>
      </c>
      <c r="I362">
        <v>43442736</v>
      </c>
      <c r="J362">
        <v>66619528</v>
      </c>
      <c r="K362">
        <v>54134376</v>
      </c>
      <c r="L362">
        <v>15025736</v>
      </c>
      <c r="M362">
        <v>0</v>
      </c>
      <c r="N362">
        <v>0</v>
      </c>
      <c r="O362">
        <v>0</v>
      </c>
      <c r="P362">
        <v>47089224</v>
      </c>
      <c r="Q362">
        <v>0</v>
      </c>
      <c r="R362">
        <v>0</v>
      </c>
      <c r="S362">
        <v>0</v>
      </c>
      <c r="T362">
        <v>0</v>
      </c>
      <c r="U362">
        <v>0</v>
      </c>
      <c r="V362">
        <v>0</v>
      </c>
      <c r="W362">
        <v>0</v>
      </c>
    </row>
    <row r="363" spans="2:23">
      <c r="B363">
        <v>2049</v>
      </c>
      <c r="C363" t="str">
        <f t="shared" si="16"/>
        <v>Fuel cell</v>
      </c>
      <c r="D363">
        <v>9</v>
      </c>
      <c r="E363">
        <v>0</v>
      </c>
      <c r="F363">
        <v>0</v>
      </c>
      <c r="G363">
        <v>0</v>
      </c>
      <c r="H363">
        <v>27265</v>
      </c>
      <c r="I363">
        <v>63114428</v>
      </c>
      <c r="J363">
        <v>97156336</v>
      </c>
      <c r="K363">
        <v>77145936</v>
      </c>
      <c r="L363">
        <v>8902254</v>
      </c>
      <c r="M363">
        <v>1153997</v>
      </c>
      <c r="N363">
        <v>1154028</v>
      </c>
      <c r="O363">
        <v>3462015</v>
      </c>
      <c r="P363">
        <v>23922240</v>
      </c>
      <c r="Q363">
        <v>10353715</v>
      </c>
      <c r="R363">
        <v>10334178</v>
      </c>
      <c r="S363">
        <v>31121096</v>
      </c>
      <c r="T363">
        <v>12405965</v>
      </c>
      <c r="U363">
        <v>12371779</v>
      </c>
      <c r="V363">
        <v>37107144</v>
      </c>
      <c r="W363">
        <v>0</v>
      </c>
    </row>
    <row r="364" spans="2:23">
      <c r="B364">
        <v>2050</v>
      </c>
      <c r="C364" t="str">
        <f t="shared" si="16"/>
        <v>Diesel</v>
      </c>
      <c r="D364">
        <v>1</v>
      </c>
      <c r="E364">
        <v>42441756672</v>
      </c>
      <c r="F364">
        <v>99042928</v>
      </c>
      <c r="G364">
        <v>69161254912</v>
      </c>
      <c r="H364">
        <v>5622621184</v>
      </c>
      <c r="I364">
        <v>14281223168</v>
      </c>
      <c r="J364">
        <v>22642663424</v>
      </c>
      <c r="K364">
        <v>18053793792</v>
      </c>
      <c r="L364">
        <v>11751362560</v>
      </c>
      <c r="M364">
        <v>1521709568</v>
      </c>
      <c r="N364">
        <v>1521750528</v>
      </c>
      <c r="O364">
        <v>4565153792</v>
      </c>
      <c r="P364">
        <v>31358248960</v>
      </c>
      <c r="Q364">
        <v>13607924736</v>
      </c>
      <c r="R364">
        <v>13581250560</v>
      </c>
      <c r="S364">
        <v>40897933312</v>
      </c>
      <c r="T364">
        <v>16306273280</v>
      </c>
      <c r="U364">
        <v>16258876416</v>
      </c>
      <c r="V364">
        <v>48773185536</v>
      </c>
      <c r="W364">
        <v>13817684</v>
      </c>
    </row>
    <row r="365" spans="2:23">
      <c r="B365">
        <v>2050</v>
      </c>
      <c r="C365" t="str">
        <f t="shared" si="16"/>
        <v>Gasoline</v>
      </c>
      <c r="D365">
        <v>2</v>
      </c>
      <c r="E365">
        <v>70507552768</v>
      </c>
      <c r="F365">
        <v>2787920640</v>
      </c>
      <c r="G365">
        <v>39735164928</v>
      </c>
      <c r="H365">
        <v>3321719040</v>
      </c>
      <c r="I365">
        <v>6955802624</v>
      </c>
      <c r="J365">
        <v>10135337984</v>
      </c>
      <c r="K365">
        <v>8015852544</v>
      </c>
      <c r="L365">
        <v>23840520</v>
      </c>
      <c r="M365">
        <v>2683666</v>
      </c>
      <c r="N365">
        <v>2683735</v>
      </c>
      <c r="O365">
        <v>8051059</v>
      </c>
      <c r="P365">
        <v>55678896</v>
      </c>
      <c r="Q365">
        <v>24090066</v>
      </c>
      <c r="R365">
        <v>24046714</v>
      </c>
      <c r="S365">
        <v>72416088</v>
      </c>
      <c r="T365">
        <v>28864326</v>
      </c>
      <c r="U365">
        <v>28789040</v>
      </c>
      <c r="V365">
        <v>86333952</v>
      </c>
      <c r="W365">
        <v>0</v>
      </c>
    </row>
    <row r="366" spans="2:23">
      <c r="B366">
        <v>2050</v>
      </c>
      <c r="C366" t="str">
        <f t="shared" si="16"/>
        <v>LPG</v>
      </c>
      <c r="D366">
        <v>3</v>
      </c>
      <c r="E366">
        <v>499103456</v>
      </c>
      <c r="F366">
        <v>0</v>
      </c>
      <c r="G366">
        <v>241908208</v>
      </c>
      <c r="H366">
        <v>15694498</v>
      </c>
      <c r="I366">
        <v>50755596</v>
      </c>
      <c r="J366">
        <v>78536640</v>
      </c>
      <c r="K366">
        <v>63947752</v>
      </c>
      <c r="L366">
        <v>3792952</v>
      </c>
      <c r="M366">
        <v>354905</v>
      </c>
      <c r="N366">
        <v>336929</v>
      </c>
      <c r="O366">
        <v>1052204</v>
      </c>
      <c r="P366">
        <v>8475706</v>
      </c>
      <c r="Q366">
        <v>3188518</v>
      </c>
      <c r="R366">
        <v>3284310</v>
      </c>
      <c r="S366">
        <v>10157478</v>
      </c>
      <c r="T366">
        <v>3937614</v>
      </c>
      <c r="U366">
        <v>3868243</v>
      </c>
      <c r="V366">
        <v>12185483</v>
      </c>
      <c r="W366">
        <v>0</v>
      </c>
    </row>
    <row r="367" spans="2:23">
      <c r="B367">
        <v>2050</v>
      </c>
      <c r="C367" t="str">
        <f t="shared" si="16"/>
        <v>CNG</v>
      </c>
      <c r="D367">
        <v>4</v>
      </c>
      <c r="E367">
        <v>2862786</v>
      </c>
      <c r="F367">
        <v>62385</v>
      </c>
      <c r="G367">
        <v>44886</v>
      </c>
      <c r="H367">
        <v>483878</v>
      </c>
      <c r="I367">
        <v>1301386</v>
      </c>
      <c r="J367">
        <v>5354</v>
      </c>
      <c r="K367">
        <v>4134096</v>
      </c>
      <c r="L367">
        <v>29328064</v>
      </c>
      <c r="M367">
        <v>159926</v>
      </c>
      <c r="N367">
        <v>159926</v>
      </c>
      <c r="O367">
        <v>479777</v>
      </c>
      <c r="P367">
        <v>1063825216</v>
      </c>
      <c r="Q367">
        <v>289426464</v>
      </c>
      <c r="R367">
        <v>316920800</v>
      </c>
      <c r="S367">
        <v>948105920</v>
      </c>
      <c r="T367">
        <v>330841984</v>
      </c>
      <c r="U367">
        <v>380102080</v>
      </c>
      <c r="V367">
        <v>984540160</v>
      </c>
      <c r="W367">
        <v>0</v>
      </c>
    </row>
    <row r="368" spans="2:23">
      <c r="B368">
        <v>2050</v>
      </c>
      <c r="C368" t="str">
        <f t="shared" si="16"/>
        <v>Flex</v>
      </c>
      <c r="D368">
        <v>5</v>
      </c>
      <c r="E368">
        <v>13312119808</v>
      </c>
      <c r="F368">
        <v>362179584</v>
      </c>
      <c r="G368">
        <v>4236061184</v>
      </c>
      <c r="H368">
        <v>270150144</v>
      </c>
      <c r="I368">
        <v>1039980608</v>
      </c>
      <c r="J368">
        <v>1500753024</v>
      </c>
      <c r="K368">
        <v>1243395968</v>
      </c>
      <c r="L368">
        <v>0</v>
      </c>
      <c r="M368">
        <v>0</v>
      </c>
      <c r="N368">
        <v>0</v>
      </c>
      <c r="O368">
        <v>0</v>
      </c>
      <c r="P368">
        <v>0</v>
      </c>
      <c r="Q368">
        <v>0</v>
      </c>
      <c r="R368">
        <v>0</v>
      </c>
      <c r="S368">
        <v>0</v>
      </c>
      <c r="T368">
        <v>0</v>
      </c>
      <c r="U368">
        <v>0</v>
      </c>
      <c r="V368">
        <v>0</v>
      </c>
      <c r="W368">
        <v>0</v>
      </c>
    </row>
    <row r="369" spans="2:23">
      <c r="B369">
        <v>2050</v>
      </c>
      <c r="C369" t="str">
        <f t="shared" si="16"/>
        <v>BEV</v>
      </c>
      <c r="D369">
        <v>6</v>
      </c>
      <c r="E369">
        <v>0</v>
      </c>
      <c r="F369">
        <v>0</v>
      </c>
      <c r="G369">
        <v>0</v>
      </c>
      <c r="H369">
        <v>6277</v>
      </c>
      <c r="I369">
        <v>976387</v>
      </c>
      <c r="J369">
        <v>94583</v>
      </c>
      <c r="K369">
        <v>2279372</v>
      </c>
      <c r="L369">
        <v>0</v>
      </c>
      <c r="M369">
        <v>43816</v>
      </c>
      <c r="N369">
        <v>43822</v>
      </c>
      <c r="O369">
        <v>131465</v>
      </c>
      <c r="P369">
        <v>80434</v>
      </c>
      <c r="Q369">
        <v>479350</v>
      </c>
      <c r="R369">
        <v>475304</v>
      </c>
      <c r="S369">
        <v>1427926</v>
      </c>
      <c r="T369">
        <v>0</v>
      </c>
      <c r="U369">
        <v>0</v>
      </c>
      <c r="V369">
        <v>0</v>
      </c>
      <c r="W369">
        <v>0</v>
      </c>
    </row>
    <row r="370" spans="2:23">
      <c r="B370">
        <v>2050</v>
      </c>
      <c r="C370" t="str">
        <f t="shared" si="16"/>
        <v>PHEV diesel</v>
      </c>
      <c r="D370">
        <v>7</v>
      </c>
      <c r="E370">
        <v>287385152</v>
      </c>
      <c r="F370">
        <v>6511497</v>
      </c>
      <c r="G370">
        <v>321347648</v>
      </c>
      <c r="H370">
        <v>24852676</v>
      </c>
      <c r="I370">
        <v>37332744</v>
      </c>
      <c r="J370">
        <v>57447832</v>
      </c>
      <c r="K370">
        <v>45991992</v>
      </c>
      <c r="L370">
        <v>10355170</v>
      </c>
      <c r="M370">
        <v>0</v>
      </c>
      <c r="N370">
        <v>0</v>
      </c>
      <c r="O370">
        <v>0</v>
      </c>
      <c r="P370">
        <v>27120476</v>
      </c>
      <c r="Q370">
        <v>0</v>
      </c>
      <c r="R370">
        <v>0</v>
      </c>
      <c r="S370">
        <v>0</v>
      </c>
      <c r="T370">
        <v>0</v>
      </c>
      <c r="U370">
        <v>0</v>
      </c>
      <c r="V370">
        <v>0</v>
      </c>
      <c r="W370">
        <v>0</v>
      </c>
    </row>
    <row r="371" spans="2:23">
      <c r="B371">
        <v>2050</v>
      </c>
      <c r="C371" t="str">
        <f t="shared" si="16"/>
        <v>PHEV gasoline</v>
      </c>
      <c r="D371">
        <v>8</v>
      </c>
      <c r="E371">
        <v>327330208</v>
      </c>
      <c r="F371">
        <v>7969732</v>
      </c>
      <c r="G371">
        <v>350234304</v>
      </c>
      <c r="H371">
        <v>23188194</v>
      </c>
      <c r="I371">
        <v>46958280</v>
      </c>
      <c r="J371">
        <v>72011312</v>
      </c>
      <c r="K371">
        <v>58555096</v>
      </c>
      <c r="L371">
        <v>15855444</v>
      </c>
      <c r="M371">
        <v>0</v>
      </c>
      <c r="N371">
        <v>0</v>
      </c>
      <c r="O371">
        <v>0</v>
      </c>
      <c r="P371">
        <v>49609628</v>
      </c>
      <c r="Q371">
        <v>0</v>
      </c>
      <c r="R371">
        <v>0</v>
      </c>
      <c r="S371">
        <v>0</v>
      </c>
      <c r="T371">
        <v>0</v>
      </c>
      <c r="U371">
        <v>0</v>
      </c>
      <c r="V371">
        <v>0</v>
      </c>
      <c r="W371">
        <v>0</v>
      </c>
    </row>
    <row r="372" spans="2:23">
      <c r="B372">
        <v>2050</v>
      </c>
      <c r="C372" t="str">
        <f t="shared" si="16"/>
        <v>Fuel cell</v>
      </c>
      <c r="D372">
        <v>9</v>
      </c>
      <c r="E372">
        <v>0</v>
      </c>
      <c r="F372">
        <v>0</v>
      </c>
      <c r="G372">
        <v>0</v>
      </c>
      <c r="H372">
        <v>26557</v>
      </c>
      <c r="I372">
        <v>67647448</v>
      </c>
      <c r="J372">
        <v>104134440</v>
      </c>
      <c r="K372">
        <v>82685296</v>
      </c>
      <c r="L372">
        <v>9386373</v>
      </c>
      <c r="M372">
        <v>1217271</v>
      </c>
      <c r="N372">
        <v>1217305</v>
      </c>
      <c r="O372">
        <v>3651839</v>
      </c>
      <c r="P372">
        <v>25195466</v>
      </c>
      <c r="Q372">
        <v>10909962</v>
      </c>
      <c r="R372">
        <v>10888471</v>
      </c>
      <c r="S372">
        <v>32789802</v>
      </c>
      <c r="T372">
        <v>13073003</v>
      </c>
      <c r="U372">
        <v>13035101</v>
      </c>
      <c r="V372">
        <v>39102420</v>
      </c>
      <c r="W372">
        <v>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EA0C02-F7DF-464D-B091-7A0ABE917F11}">
  <sheetPr>
    <pageSetUpPr fitToPage="1"/>
  </sheetPr>
  <dimension ref="A1:BI149"/>
  <sheetViews>
    <sheetView workbookViewId="0">
      <selection activeCell="K7" sqref="K7"/>
    </sheetView>
  </sheetViews>
  <sheetFormatPr defaultColWidth="9.42578125" defaultRowHeight="15" outlineLevelCol="1"/>
  <cols>
    <col min="1" max="2" width="28.28515625" customWidth="1"/>
    <col min="3" max="3" width="32.42578125" bestFit="1" customWidth="1"/>
    <col min="4" max="10" width="14.7109375" customWidth="1"/>
    <col min="11" max="11" width="12.28515625" style="145" customWidth="1"/>
    <col min="12" max="12" width="23.140625" style="97" bestFit="1" customWidth="1"/>
    <col min="13" max="13" width="17.5703125" style="97" customWidth="1" outlineLevel="1"/>
    <col min="14" max="14" width="16.28515625" style="145" customWidth="1"/>
    <col min="15" max="16" width="10.42578125" style="145" customWidth="1"/>
    <col min="17" max="17" width="16.5703125" style="97" customWidth="1"/>
    <col min="18" max="18" width="6.42578125" style="119" customWidth="1"/>
    <col min="19" max="19" width="27.5703125" style="167" hidden="1" customWidth="1"/>
    <col min="20" max="20" width="15.42578125" style="97" customWidth="1"/>
    <col min="21" max="21" width="8" style="97" customWidth="1"/>
    <col min="22" max="22" width="8" style="97" hidden="1" customWidth="1" outlineLevel="1"/>
    <col min="23" max="23" width="11.5703125" style="150" customWidth="1" collapsed="1"/>
    <col min="24" max="27" width="11.5703125" style="150" customWidth="1"/>
    <col min="28" max="28" width="11.5703125" style="152" customWidth="1"/>
    <col min="29" max="29" width="9" style="153" hidden="1" customWidth="1" outlineLevel="1"/>
    <col min="30" max="30" width="8.5703125" style="97" customWidth="1" collapsed="1"/>
    <col min="31" max="31" width="11" style="97" customWidth="1"/>
    <col min="32" max="32" width="11.140625" style="145" customWidth="1"/>
    <col min="33" max="34" width="12.42578125" style="145" customWidth="1"/>
    <col min="35" max="35" width="8.5703125" style="145" customWidth="1"/>
    <col min="36" max="36" width="13.5703125" style="119" customWidth="1"/>
    <col min="37" max="37" width="12.42578125" style="119" customWidth="1"/>
    <col min="38" max="38" width="9.42578125" style="119" customWidth="1"/>
    <col min="39" max="39" width="15.5703125" style="119" customWidth="1"/>
    <col min="40" max="40" width="12.42578125" style="119" customWidth="1"/>
    <col min="41" max="41" width="11" style="119" customWidth="1"/>
    <col min="42" max="42" width="9.5703125" style="119" customWidth="1"/>
    <col min="43" max="43" width="9.42578125" style="119" customWidth="1"/>
    <col min="44" max="44" width="15.5703125" style="145" customWidth="1"/>
    <col min="45" max="45" width="15.5703125" style="119" customWidth="1"/>
    <col min="46" max="46" width="15.5703125" style="145" customWidth="1"/>
    <col min="47" max="47" width="10.5703125" style="188" hidden="1" customWidth="1"/>
    <col min="48" max="49" width="11.42578125" style="188" hidden="1" customWidth="1"/>
    <col min="50" max="50" width="10.5703125" style="188" hidden="1" customWidth="1"/>
    <col min="51" max="51" width="11.42578125" style="188" hidden="1" customWidth="1"/>
    <col min="52" max="52" width="11.5703125" style="188" hidden="1" customWidth="1"/>
    <col min="53" max="53" width="14.42578125" style="189" hidden="1" customWidth="1"/>
    <col min="54" max="54" width="11.5703125" style="188" hidden="1" customWidth="1"/>
    <col min="55" max="55" width="13.42578125" style="189" hidden="1" customWidth="1"/>
    <col min="56" max="56" width="12.42578125" style="145" customWidth="1"/>
    <col min="57" max="57" width="11.5703125" style="145" customWidth="1"/>
    <col min="58" max="115" width="9.42578125" style="97"/>
    <col min="116" max="117" width="9.42578125" style="97" customWidth="1"/>
    <col min="118" max="16384" width="9.42578125" style="97"/>
  </cols>
  <sheetData>
    <row r="1" spans="1:61" ht="15.75" thickBot="1">
      <c r="A1" s="1" t="s">
        <v>261</v>
      </c>
      <c r="K1" s="88">
        <v>2027</v>
      </c>
      <c r="L1" s="89" t="s">
        <v>262</v>
      </c>
      <c r="M1" s="90"/>
      <c r="N1" s="91"/>
      <c r="O1" s="91"/>
      <c r="P1" s="91"/>
      <c r="Q1" s="90"/>
      <c r="R1" s="92"/>
      <c r="S1" s="93"/>
      <c r="T1" s="90"/>
      <c r="U1" s="90"/>
      <c r="V1" s="90"/>
      <c r="W1" s="94"/>
      <c r="X1" s="94"/>
      <c r="Y1" s="94"/>
      <c r="Z1" s="94"/>
      <c r="AA1" s="94"/>
      <c r="AB1" s="95"/>
      <c r="AC1" s="96"/>
      <c r="AF1" s="97"/>
      <c r="AG1" s="97"/>
      <c r="AH1" s="91"/>
      <c r="AI1" s="98"/>
      <c r="AJ1" s="97"/>
      <c r="AK1" s="99"/>
      <c r="AL1" s="100"/>
      <c r="AM1" s="100"/>
      <c r="AN1" s="100"/>
      <c r="AO1" s="100"/>
      <c r="AP1" s="100"/>
      <c r="AQ1" s="100"/>
      <c r="AR1" s="100"/>
      <c r="AS1" s="100"/>
      <c r="AT1" s="100"/>
      <c r="AU1" s="101"/>
      <c r="AV1" s="101"/>
      <c r="AW1" s="101"/>
      <c r="AX1" s="101"/>
      <c r="AY1" s="101"/>
      <c r="AZ1" s="102"/>
      <c r="BA1" s="103"/>
      <c r="BB1" s="103"/>
      <c r="BC1" s="103"/>
      <c r="BD1" s="104"/>
      <c r="BE1" s="104"/>
    </row>
    <row r="2" spans="1:61" ht="12.75" hidden="1" customHeight="1" thickBot="1">
      <c r="K2" s="91"/>
      <c r="L2" s="90"/>
      <c r="M2" s="90" t="s">
        <v>263</v>
      </c>
      <c r="N2" s="91"/>
      <c r="O2" s="91"/>
      <c r="P2" s="91"/>
      <c r="Q2" s="90"/>
      <c r="R2" s="92"/>
      <c r="S2" s="93"/>
      <c r="T2" s="90"/>
      <c r="U2" s="90"/>
      <c r="V2" s="90"/>
      <c r="W2" s="94"/>
      <c r="X2" s="94"/>
      <c r="Y2" s="94"/>
      <c r="Z2" s="94"/>
      <c r="AA2" s="94"/>
      <c r="AB2" s="95"/>
      <c r="AC2" s="96"/>
      <c r="AD2" s="90"/>
      <c r="AE2" s="90"/>
      <c r="AF2" s="91"/>
      <c r="AG2" s="91"/>
      <c r="AH2" s="91"/>
      <c r="AI2" s="98"/>
      <c r="AJ2" s="105"/>
      <c r="AK2" s="106"/>
      <c r="AL2" s="100" t="s">
        <v>263</v>
      </c>
      <c r="AM2" s="100" t="s">
        <v>263</v>
      </c>
      <c r="AN2" s="100" t="s">
        <v>263</v>
      </c>
      <c r="AO2" s="100" t="s">
        <v>263</v>
      </c>
      <c r="AP2" s="100"/>
      <c r="AQ2" s="100"/>
      <c r="AR2" s="100"/>
      <c r="AS2" s="100"/>
      <c r="AT2" s="100"/>
      <c r="AU2" s="101"/>
      <c r="AV2" s="101"/>
      <c r="AW2" s="101"/>
      <c r="AX2" s="101"/>
      <c r="AY2" s="101"/>
      <c r="AZ2" s="101"/>
      <c r="BA2" s="101"/>
      <c r="BB2" s="101"/>
      <c r="BC2" s="101"/>
      <c r="BD2" s="104"/>
      <c r="BE2" s="104"/>
    </row>
    <row r="3" spans="1:61" s="109" customFormat="1" ht="60">
      <c r="A3" s="107" t="s">
        <v>264</v>
      </c>
      <c r="B3" s="108" t="s">
        <v>265</v>
      </c>
      <c r="C3" s="108" t="s">
        <v>266</v>
      </c>
      <c r="D3" s="108" t="s">
        <v>267</v>
      </c>
      <c r="E3" s="108" t="s">
        <v>268</v>
      </c>
      <c r="F3" s="108" t="s">
        <v>269</v>
      </c>
      <c r="G3" s="108" t="s">
        <v>270</v>
      </c>
      <c r="H3" s="108" t="s">
        <v>271</v>
      </c>
      <c r="I3" s="108" t="s">
        <v>272</v>
      </c>
      <c r="J3" s="108" t="s">
        <v>273</v>
      </c>
      <c r="K3" s="108" t="s">
        <v>274</v>
      </c>
      <c r="L3" s="108" t="s">
        <v>275</v>
      </c>
      <c r="M3" s="108" t="s">
        <v>276</v>
      </c>
      <c r="N3" s="108" t="s">
        <v>277</v>
      </c>
      <c r="P3" s="110" t="s">
        <v>278</v>
      </c>
      <c r="Q3" s="111" t="s">
        <v>279</v>
      </c>
      <c r="R3" s="111" t="s">
        <v>280</v>
      </c>
      <c r="S3" s="111" t="s">
        <v>281</v>
      </c>
      <c r="T3" s="111" t="s">
        <v>282</v>
      </c>
      <c r="U3" s="111" t="s">
        <v>283</v>
      </c>
      <c r="V3" s="111" t="s">
        <v>284</v>
      </c>
      <c r="W3" s="111" t="s">
        <v>285</v>
      </c>
      <c r="X3" s="111" t="s">
        <v>286</v>
      </c>
      <c r="Y3" s="111" t="s">
        <v>287</v>
      </c>
      <c r="Z3" s="111" t="s">
        <v>288</v>
      </c>
      <c r="AA3" s="111" t="s">
        <v>289</v>
      </c>
      <c r="AB3" s="111" t="s">
        <v>290</v>
      </c>
      <c r="AC3" s="111" t="s">
        <v>291</v>
      </c>
      <c r="AD3" s="111" t="s">
        <v>292</v>
      </c>
      <c r="AE3" s="111" t="s">
        <v>293</v>
      </c>
      <c r="AF3" s="111" t="s">
        <v>294</v>
      </c>
      <c r="AG3" s="112" t="s">
        <v>295</v>
      </c>
      <c r="AH3" s="111" t="s">
        <v>296</v>
      </c>
      <c r="AI3" s="111" t="s">
        <v>297</v>
      </c>
      <c r="AJ3" s="111" t="s">
        <v>298</v>
      </c>
      <c r="AK3" s="111" t="s">
        <v>299</v>
      </c>
      <c r="AL3" s="111" t="s">
        <v>300</v>
      </c>
      <c r="AM3" s="113" t="s">
        <v>301</v>
      </c>
      <c r="AN3" s="110" t="s">
        <v>302</v>
      </c>
      <c r="AO3" s="111" t="s">
        <v>303</v>
      </c>
      <c r="AP3" s="114" t="s">
        <v>304</v>
      </c>
      <c r="AQ3" s="110" t="s">
        <v>305</v>
      </c>
      <c r="AR3" s="114" t="s">
        <v>306</v>
      </c>
      <c r="AS3" s="111" t="s">
        <v>307</v>
      </c>
      <c r="AT3" s="111" t="s">
        <v>308</v>
      </c>
      <c r="AU3" s="114" t="s">
        <v>309</v>
      </c>
      <c r="AV3" s="110" t="s">
        <v>310</v>
      </c>
      <c r="AW3" s="111" t="s">
        <v>311</v>
      </c>
      <c r="AX3" s="114" t="s">
        <v>312</v>
      </c>
      <c r="BE3" s="115"/>
      <c r="BF3" s="115"/>
      <c r="BG3" s="115"/>
      <c r="BH3" s="115"/>
      <c r="BI3" s="115"/>
    </row>
    <row r="4" spans="1:61">
      <c r="K4"/>
      <c r="L4"/>
      <c r="M4"/>
      <c r="N4"/>
      <c r="O4" s="91"/>
      <c r="P4" s="116"/>
      <c r="Q4" s="90"/>
      <c r="R4" s="91"/>
      <c r="S4" s="91"/>
      <c r="T4" s="91"/>
      <c r="U4" s="90"/>
      <c r="V4" s="92"/>
      <c r="W4" s="93"/>
      <c r="X4" s="90"/>
      <c r="Y4" s="90"/>
      <c r="Z4" s="90"/>
      <c r="AA4" s="94"/>
      <c r="AB4" s="94"/>
      <c r="AC4" s="94"/>
      <c r="AD4" s="94"/>
      <c r="AE4" s="94"/>
      <c r="AF4" s="95"/>
      <c r="AG4" s="96"/>
      <c r="AH4" s="90"/>
      <c r="AI4" s="90"/>
      <c r="AJ4" s="91"/>
      <c r="AK4" s="91"/>
      <c r="AL4" s="91"/>
      <c r="AM4" s="117"/>
      <c r="AN4" s="118"/>
      <c r="AP4" s="120"/>
      <c r="AQ4" s="121"/>
      <c r="AR4" s="120"/>
      <c r="AS4" s="100"/>
      <c r="AT4" s="100"/>
      <c r="AU4" s="120"/>
      <c r="AV4" s="121"/>
      <c r="AW4" s="100"/>
      <c r="AX4" s="120"/>
      <c r="AY4" s="101"/>
      <c r="AZ4" s="101"/>
      <c r="BA4" s="101"/>
      <c r="BB4" s="101"/>
      <c r="BC4" s="101"/>
      <c r="BD4" s="102"/>
      <c r="BE4" s="103"/>
      <c r="BF4" s="103"/>
      <c r="BG4" s="103"/>
      <c r="BH4" s="104"/>
      <c r="BI4" s="104"/>
    </row>
    <row r="5" spans="1:61" s="122" customFormat="1" ht="15.75" thickBot="1">
      <c r="A5"/>
      <c r="B5"/>
      <c r="C5"/>
      <c r="D5"/>
      <c r="E5"/>
      <c r="F5"/>
      <c r="G5"/>
      <c r="H5"/>
      <c r="I5"/>
      <c r="J5"/>
      <c r="K5"/>
      <c r="L5"/>
      <c r="M5"/>
      <c r="N5"/>
      <c r="O5" s="122" t="s">
        <v>313</v>
      </c>
      <c r="P5" s="123"/>
      <c r="Q5" s="124"/>
      <c r="R5" s="124"/>
      <c r="S5" s="124"/>
      <c r="T5" s="124"/>
      <c r="U5" s="124"/>
      <c r="V5" s="124"/>
      <c r="W5" s="124"/>
      <c r="X5" s="124"/>
      <c r="Y5" s="124" t="s">
        <v>314</v>
      </c>
      <c r="Z5" s="124"/>
      <c r="AA5" s="125" t="s">
        <v>314</v>
      </c>
      <c r="AB5" s="125" t="s">
        <v>315</v>
      </c>
      <c r="AC5" s="125" t="s">
        <v>316</v>
      </c>
      <c r="AD5" s="125" t="s">
        <v>317</v>
      </c>
      <c r="AE5" s="125" t="s">
        <v>317</v>
      </c>
      <c r="AF5" s="125" t="s">
        <v>318</v>
      </c>
      <c r="AG5" s="126" t="s">
        <v>319</v>
      </c>
      <c r="AH5" s="124" t="s">
        <v>320</v>
      </c>
      <c r="AI5" s="124" t="s">
        <v>321</v>
      </c>
      <c r="AJ5" s="124" t="s">
        <v>322</v>
      </c>
      <c r="AK5" s="124" t="s">
        <v>323</v>
      </c>
      <c r="AL5" s="124" t="s">
        <v>323</v>
      </c>
      <c r="AM5" s="127" t="s">
        <v>323</v>
      </c>
      <c r="AN5" s="123" t="s">
        <v>324</v>
      </c>
      <c r="AO5" s="124" t="s">
        <v>324</v>
      </c>
      <c r="AP5" s="128" t="s">
        <v>324</v>
      </c>
      <c r="AQ5" s="123" t="s">
        <v>324</v>
      </c>
      <c r="AR5" s="128" t="s">
        <v>324</v>
      </c>
      <c r="AS5" s="124" t="s">
        <v>324</v>
      </c>
      <c r="AT5" s="124" t="s">
        <v>324</v>
      </c>
      <c r="AU5" s="128" t="s">
        <v>324</v>
      </c>
      <c r="AV5" s="123" t="s">
        <v>325</v>
      </c>
      <c r="AW5" s="124" t="s">
        <v>325</v>
      </c>
      <c r="AX5" s="128" t="s">
        <v>325</v>
      </c>
      <c r="BE5" s="129"/>
      <c r="BF5" s="129"/>
      <c r="BG5" s="129"/>
      <c r="BH5" s="129"/>
      <c r="BI5" s="129"/>
    </row>
    <row r="6" spans="1:61" s="132" customFormat="1" ht="60" hidden="1" customHeight="1">
      <c r="A6" s="8"/>
      <c r="B6" s="8"/>
      <c r="C6" s="8"/>
      <c r="D6" s="8"/>
      <c r="E6" s="8"/>
      <c r="F6" s="8"/>
      <c r="G6" s="8"/>
      <c r="H6" s="8"/>
      <c r="I6" s="8"/>
      <c r="J6" s="8"/>
      <c r="K6" s="8"/>
      <c r="L6" s="8"/>
      <c r="M6" s="8"/>
      <c r="N6" s="8"/>
      <c r="O6" s="130" t="s">
        <v>326</v>
      </c>
      <c r="P6" s="131" t="s">
        <v>278</v>
      </c>
      <c r="Q6" s="132" t="s">
        <v>279</v>
      </c>
      <c r="R6" s="133" t="s">
        <v>280</v>
      </c>
      <c r="S6" s="133" t="s">
        <v>281</v>
      </c>
      <c r="T6" s="133" t="s">
        <v>282</v>
      </c>
      <c r="U6" s="132" t="s">
        <v>327</v>
      </c>
      <c r="V6" s="130" t="s">
        <v>284</v>
      </c>
      <c r="W6" s="130" t="s">
        <v>285</v>
      </c>
      <c r="X6" s="130" t="s">
        <v>328</v>
      </c>
      <c r="Y6" s="133" t="s">
        <v>287</v>
      </c>
      <c r="Z6" s="133" t="s">
        <v>288</v>
      </c>
      <c r="AA6" s="133" t="s">
        <v>329</v>
      </c>
      <c r="AB6" s="133" t="s">
        <v>330</v>
      </c>
      <c r="AC6" s="133" t="s">
        <v>331</v>
      </c>
      <c r="AD6" s="133" t="s">
        <v>332</v>
      </c>
      <c r="AE6" s="133" t="s">
        <v>333</v>
      </c>
      <c r="AF6" s="133" t="s">
        <v>334</v>
      </c>
      <c r="AG6" s="134" t="s">
        <v>335</v>
      </c>
      <c r="AH6" s="133" t="s">
        <v>336</v>
      </c>
      <c r="AI6" s="133" t="s">
        <v>337</v>
      </c>
      <c r="AJ6" s="133" t="s">
        <v>338</v>
      </c>
      <c r="AK6" s="133" t="s">
        <v>339</v>
      </c>
      <c r="AL6" s="133" t="s">
        <v>340</v>
      </c>
      <c r="AM6" s="135" t="s">
        <v>341</v>
      </c>
      <c r="AN6" s="136" t="s">
        <v>342</v>
      </c>
      <c r="AO6" s="133" t="s">
        <v>343</v>
      </c>
      <c r="AP6" s="135" t="s">
        <v>344</v>
      </c>
      <c r="AQ6" s="136" t="s">
        <v>345</v>
      </c>
      <c r="AR6" s="135" t="s">
        <v>346</v>
      </c>
      <c r="AS6" s="137" t="s">
        <v>347</v>
      </c>
      <c r="AT6" s="137" t="s">
        <v>348</v>
      </c>
      <c r="AU6" s="138" t="s">
        <v>349</v>
      </c>
      <c r="AV6" s="136" t="s">
        <v>350</v>
      </c>
      <c r="AW6" s="133" t="s">
        <v>351</v>
      </c>
      <c r="AX6" s="135" t="s">
        <v>352</v>
      </c>
      <c r="AY6" s="139"/>
      <c r="AZ6" s="139"/>
      <c r="BA6" s="139"/>
      <c r="BB6" s="140"/>
      <c r="BC6" s="140"/>
      <c r="BD6" s="140"/>
      <c r="BE6" s="139"/>
      <c r="BF6" s="139"/>
      <c r="BG6" s="139"/>
      <c r="BH6" s="137"/>
      <c r="BI6" s="137"/>
    </row>
    <row r="7" spans="1:61">
      <c r="A7" t="str">
        <f t="shared" ref="A7:A70" si="0">INDEX($C$125:$C$130,MATCH(E7,$D$125:$D$130,0))</f>
        <v>freight LDV</v>
      </c>
      <c r="B7" s="141">
        <v>1.6899999999999998E-2</v>
      </c>
      <c r="C7" s="142">
        <f t="shared" ref="C7:C70" si="1">B7*SUM($AH$7:$AH$107)*AK7*365</f>
        <v>177273912.92464921</v>
      </c>
      <c r="D7">
        <f t="shared" ref="D7:D70" si="2">B7*AK7</f>
        <v>0.57327614563694851</v>
      </c>
      <c r="E7" t="s">
        <v>353</v>
      </c>
      <c r="F7">
        <v>0.14000000000000001</v>
      </c>
      <c r="G7">
        <v>0.37</v>
      </c>
      <c r="H7">
        <v>0.7</v>
      </c>
      <c r="I7">
        <f t="shared" ref="I7:K38" si="3">F7*$B7/SUMIF($E$7:$E$107,$E7,$B$7:$B$107)</f>
        <v>7.3002159827213814E-3</v>
      </c>
      <c r="J7">
        <f t="shared" si="3"/>
        <v>1.9293427954335075E-2</v>
      </c>
      <c r="K7">
        <f t="shared" si="3"/>
        <v>3.6501079913606897E-2</v>
      </c>
      <c r="L7">
        <f t="shared" ref="L7:N38" si="4">F7*$D7/SUMIF($E$7:$E$107,$E7,$D$7:$D$107)</f>
        <v>3.3222195356111075E-3</v>
      </c>
      <c r="M7">
        <f t="shared" si="4"/>
        <v>8.7801516298293553E-3</v>
      </c>
      <c r="N7">
        <f t="shared" si="4"/>
        <v>1.6611097678055534E-2</v>
      </c>
      <c r="O7" s="143">
        <v>1</v>
      </c>
      <c r="P7" s="144" t="s">
        <v>354</v>
      </c>
      <c r="Q7" s="97" t="s">
        <v>355</v>
      </c>
      <c r="R7" s="145">
        <v>52</v>
      </c>
      <c r="S7" s="145">
        <v>42</v>
      </c>
      <c r="T7" s="146" t="s">
        <v>356</v>
      </c>
      <c r="U7" s="97" t="s">
        <v>357</v>
      </c>
      <c r="V7" s="147" t="s">
        <v>358</v>
      </c>
      <c r="W7" s="148" t="s">
        <v>359</v>
      </c>
      <c r="X7" s="97" t="s">
        <v>360</v>
      </c>
      <c r="Y7" s="149">
        <v>7257</v>
      </c>
      <c r="Z7" s="149">
        <v>15998.946366756565</v>
      </c>
      <c r="AA7" s="150">
        <v>340</v>
      </c>
      <c r="AB7" s="150">
        <v>3.4</v>
      </c>
      <c r="AC7" s="150">
        <v>7.7</v>
      </c>
      <c r="AD7" s="151">
        <v>8</v>
      </c>
      <c r="AE7" s="151">
        <v>25</v>
      </c>
      <c r="AF7" s="152">
        <v>55</v>
      </c>
      <c r="AG7" s="153">
        <v>5700</v>
      </c>
      <c r="AH7" s="154">
        <v>7653.9028111378811</v>
      </c>
      <c r="AI7" s="155">
        <v>9.0343070677725793E-3</v>
      </c>
      <c r="AJ7" s="145">
        <v>8</v>
      </c>
      <c r="AK7" s="146">
        <v>33.921665422304649</v>
      </c>
      <c r="AL7" s="146">
        <v>29.970130617260388</v>
      </c>
      <c r="AM7" s="156">
        <v>50.358106782035229</v>
      </c>
      <c r="AN7" s="157">
        <v>0.8601323948290085</v>
      </c>
      <c r="AO7" s="158">
        <v>-8.4538972558163936E-2</v>
      </c>
      <c r="AP7" s="159">
        <v>0</v>
      </c>
      <c r="AQ7" s="157">
        <v>1.6052642056158157E-2</v>
      </c>
      <c r="AR7" s="159">
        <v>3.612866038343765E-2</v>
      </c>
      <c r="AS7" s="158">
        <v>0.7755934222708446</v>
      </c>
      <c r="AT7" s="158">
        <v>0.47028735247688758</v>
      </c>
      <c r="AU7" s="159">
        <v>0.30905046837607686</v>
      </c>
      <c r="AV7" s="160">
        <v>63.548577755228884</v>
      </c>
      <c r="AW7" s="146">
        <v>39.057416378159331</v>
      </c>
      <c r="AX7" s="156">
        <v>54.62061286567981</v>
      </c>
      <c r="AY7" s="161"/>
      <c r="AZ7" s="161"/>
      <c r="BA7" s="161"/>
      <c r="BB7" s="161"/>
      <c r="BC7" s="161"/>
      <c r="BD7" s="161"/>
      <c r="BE7" s="162"/>
      <c r="BF7" s="162"/>
      <c r="BG7" s="162"/>
      <c r="BH7" s="163"/>
      <c r="BI7" s="163"/>
    </row>
    <row r="8" spans="1:61">
      <c r="A8" t="str">
        <f t="shared" si="0"/>
        <v>freight LDV</v>
      </c>
      <c r="B8" s="141">
        <v>1.6899999999999998E-2</v>
      </c>
      <c r="C8" s="142">
        <f t="shared" si="1"/>
        <v>258216923.12886494</v>
      </c>
      <c r="D8">
        <f t="shared" si="2"/>
        <v>0.83503319798930786</v>
      </c>
      <c r="E8" t="s">
        <v>353</v>
      </c>
      <c r="F8">
        <v>0.2</v>
      </c>
      <c r="G8">
        <v>0.37</v>
      </c>
      <c r="H8">
        <v>0.7</v>
      </c>
      <c r="I8">
        <f t="shared" si="3"/>
        <v>1.0428879975316259E-2</v>
      </c>
      <c r="J8">
        <f t="shared" si="3"/>
        <v>1.9293427954335075E-2</v>
      </c>
      <c r="K8">
        <f t="shared" si="3"/>
        <v>3.6501079913606897E-2</v>
      </c>
      <c r="L8">
        <f t="shared" si="4"/>
        <v>6.9130573318618256E-3</v>
      </c>
      <c r="M8">
        <f t="shared" si="4"/>
        <v>1.2789156063944377E-2</v>
      </c>
      <c r="N8">
        <f t="shared" si="4"/>
        <v>2.4195700661516384E-2</v>
      </c>
      <c r="O8" s="143">
        <v>2</v>
      </c>
      <c r="P8" s="144" t="s">
        <v>361</v>
      </c>
      <c r="Q8" s="97" t="s">
        <v>362</v>
      </c>
      <c r="R8" s="145">
        <v>52</v>
      </c>
      <c r="S8" s="145">
        <v>41</v>
      </c>
      <c r="T8" s="146" t="s">
        <v>356</v>
      </c>
      <c r="U8" s="97" t="s">
        <v>357</v>
      </c>
      <c r="V8" s="164" t="s">
        <v>363</v>
      </c>
      <c r="W8" s="165"/>
      <c r="X8" s="97" t="s">
        <v>360</v>
      </c>
      <c r="Y8" s="149">
        <v>7257</v>
      </c>
      <c r="Z8" s="149">
        <v>15998.946366756565</v>
      </c>
      <c r="AA8" s="150">
        <v>340</v>
      </c>
      <c r="AB8" s="150">
        <v>3.4</v>
      </c>
      <c r="AC8" s="150">
        <v>7.7</v>
      </c>
      <c r="AD8" s="151">
        <v>7</v>
      </c>
      <c r="AE8" s="151">
        <v>25</v>
      </c>
      <c r="AF8" s="152">
        <v>65</v>
      </c>
      <c r="AG8" s="153">
        <v>5700</v>
      </c>
      <c r="AH8" s="154">
        <v>5234.414032993951</v>
      </c>
      <c r="AI8" s="155">
        <v>6.1784562543844056E-3</v>
      </c>
      <c r="AJ8" s="145">
        <v>8</v>
      </c>
      <c r="AK8" s="146">
        <v>49.410248401734201</v>
      </c>
      <c r="AL8" s="146">
        <v>43.654448565416189</v>
      </c>
      <c r="AM8" s="156">
        <v>63.973773553985097</v>
      </c>
      <c r="AN8" s="157">
        <v>0.8601323948290085</v>
      </c>
      <c r="AO8" s="158">
        <v>-8.4538972558163936E-2</v>
      </c>
      <c r="AP8" s="159">
        <v>0</v>
      </c>
      <c r="AQ8" s="157">
        <v>1.6052642056158157E-2</v>
      </c>
      <c r="AR8" s="159">
        <v>3.612866038343765E-2</v>
      </c>
      <c r="AS8" s="158">
        <v>0.7755934222708446</v>
      </c>
      <c r="AT8" s="158">
        <v>0.22458611296951131</v>
      </c>
      <c r="AU8" s="159">
        <v>0.14758730601287234</v>
      </c>
      <c r="AV8" s="160">
        <v>65.012207188640431</v>
      </c>
      <c r="AW8" s="146">
        <v>49.617637966315357</v>
      </c>
      <c r="AX8" s="156">
        <v>59.059354860625554</v>
      </c>
      <c r="AY8" s="161"/>
      <c r="AZ8" s="161"/>
      <c r="BA8" s="161"/>
      <c r="BB8" s="161"/>
      <c r="BC8" s="161"/>
      <c r="BD8" s="161"/>
      <c r="BE8" s="162"/>
      <c r="BF8" s="162"/>
      <c r="BG8" s="162"/>
      <c r="BH8" s="163"/>
      <c r="BI8" s="163"/>
    </row>
    <row r="9" spans="1:61">
      <c r="A9" t="str">
        <f t="shared" si="0"/>
        <v>freight LDV</v>
      </c>
      <c r="B9" s="141">
        <v>1.6899999999999998E-2</v>
      </c>
      <c r="C9" s="142">
        <f t="shared" si="1"/>
        <v>204218616.93247223</v>
      </c>
      <c r="D9">
        <f t="shared" si="2"/>
        <v>0.6604111098518971</v>
      </c>
      <c r="E9" t="s">
        <v>353</v>
      </c>
      <c r="F9">
        <v>0.2</v>
      </c>
      <c r="G9">
        <v>0.37</v>
      </c>
      <c r="H9">
        <v>0.7</v>
      </c>
      <c r="I9">
        <f t="shared" si="3"/>
        <v>1.0428879975316259E-2</v>
      </c>
      <c r="J9">
        <f t="shared" si="3"/>
        <v>1.9293427954335075E-2</v>
      </c>
      <c r="K9">
        <f t="shared" si="3"/>
        <v>3.6501079913606897E-2</v>
      </c>
      <c r="L9">
        <f t="shared" si="4"/>
        <v>5.4673992315490199E-3</v>
      </c>
      <c r="M9">
        <f t="shared" si="4"/>
        <v>1.0114688578365687E-2</v>
      </c>
      <c r="N9">
        <f t="shared" si="4"/>
        <v>1.9135897310421569E-2</v>
      </c>
      <c r="O9" s="143">
        <v>3</v>
      </c>
      <c r="P9" s="144" t="s">
        <v>364</v>
      </c>
      <c r="Q9" s="97" t="s">
        <v>355</v>
      </c>
      <c r="R9" s="145">
        <v>52</v>
      </c>
      <c r="S9" s="145">
        <v>42</v>
      </c>
      <c r="T9" s="146" t="s">
        <v>365</v>
      </c>
      <c r="U9" s="97" t="s">
        <v>357</v>
      </c>
      <c r="V9" s="147" t="s">
        <v>358</v>
      </c>
      <c r="W9" s="148" t="s">
        <v>359</v>
      </c>
      <c r="X9" s="97" t="s">
        <v>366</v>
      </c>
      <c r="Y9" s="149">
        <v>7257</v>
      </c>
      <c r="Z9" s="149">
        <v>15998.946366756565</v>
      </c>
      <c r="AA9" s="150">
        <v>340</v>
      </c>
      <c r="AB9" s="150">
        <v>3.4</v>
      </c>
      <c r="AC9" s="150">
        <v>7.7</v>
      </c>
      <c r="AD9" s="151">
        <v>8</v>
      </c>
      <c r="AE9" s="151">
        <v>25</v>
      </c>
      <c r="AF9" s="152">
        <v>55</v>
      </c>
      <c r="AG9" s="153">
        <v>5700</v>
      </c>
      <c r="AH9" s="154">
        <v>7653.9028111378811</v>
      </c>
      <c r="AI9" s="155">
        <v>9.0343070677725793E-3</v>
      </c>
      <c r="AJ9" s="145">
        <v>8</v>
      </c>
      <c r="AK9" s="146">
        <v>39.077580464609298</v>
      </c>
      <c r="AL9" s="146">
        <v>34.525433116286955</v>
      </c>
      <c r="AM9" s="156">
        <v>58.047342319070452</v>
      </c>
      <c r="AN9" s="157">
        <v>0.81793022012432626</v>
      </c>
      <c r="AO9" s="158">
        <v>-0.13468693348743255</v>
      </c>
      <c r="AP9" s="159">
        <v>0</v>
      </c>
      <c r="AQ9" s="157">
        <v>1.5265023302814502E-2</v>
      </c>
      <c r="AR9" s="159">
        <v>3.4356016954920958E-2</v>
      </c>
      <c r="AS9" s="158">
        <v>0.68324328663689371</v>
      </c>
      <c r="AT9" s="158">
        <v>0.40799078421358104</v>
      </c>
      <c r="AU9" s="159">
        <v>0.26811212823446462</v>
      </c>
      <c r="AV9" s="160">
        <v>64.22933169405735</v>
      </c>
      <c r="AW9" s="146">
        <v>39.660456946618545</v>
      </c>
      <c r="AX9" s="156">
        <v>55.223653434139024</v>
      </c>
      <c r="AY9" s="161"/>
      <c r="AZ9" s="161"/>
      <c r="BA9" s="161"/>
      <c r="BB9" s="161"/>
      <c r="BC9" s="161"/>
      <c r="BD9" s="161"/>
      <c r="BE9" s="162"/>
      <c r="BF9" s="162"/>
      <c r="BG9" s="162"/>
      <c r="BH9" s="163"/>
      <c r="BI9" s="163"/>
    </row>
    <row r="10" spans="1:61">
      <c r="A10" t="str">
        <f t="shared" si="0"/>
        <v>freight LDV</v>
      </c>
      <c r="B10" s="141">
        <v>1.6899999999999998E-2</v>
      </c>
      <c r="C10" s="142">
        <f t="shared" si="1"/>
        <v>207804807.66033459</v>
      </c>
      <c r="D10">
        <f t="shared" si="2"/>
        <v>0.67200829053161593</v>
      </c>
      <c r="E10" t="s">
        <v>353</v>
      </c>
      <c r="F10">
        <v>0.2</v>
      </c>
      <c r="G10">
        <v>0.37</v>
      </c>
      <c r="H10">
        <v>0.7</v>
      </c>
      <c r="I10">
        <f t="shared" si="3"/>
        <v>1.0428879975316259E-2</v>
      </c>
      <c r="J10">
        <f t="shared" si="3"/>
        <v>1.9293427954335075E-2</v>
      </c>
      <c r="K10">
        <f t="shared" si="3"/>
        <v>3.6501079913606897E-2</v>
      </c>
      <c r="L10">
        <f t="shared" si="4"/>
        <v>5.5634097555855543E-3</v>
      </c>
      <c r="M10">
        <f t="shared" si="4"/>
        <v>1.0292308047833276E-2</v>
      </c>
      <c r="N10">
        <f t="shared" si="4"/>
        <v>1.9471934144549438E-2</v>
      </c>
      <c r="O10" s="143">
        <v>4</v>
      </c>
      <c r="P10" s="144" t="s">
        <v>367</v>
      </c>
      <c r="Q10" s="97" t="s">
        <v>362</v>
      </c>
      <c r="R10" s="145">
        <v>52</v>
      </c>
      <c r="S10" s="145">
        <v>41</v>
      </c>
      <c r="T10" s="146" t="s">
        <v>365</v>
      </c>
      <c r="U10" s="97" t="s">
        <v>357</v>
      </c>
      <c r="V10" s="164" t="s">
        <v>363</v>
      </c>
      <c r="W10" s="165"/>
      <c r="X10" s="97" t="s">
        <v>366</v>
      </c>
      <c r="Y10" s="149">
        <v>7257</v>
      </c>
      <c r="Z10" s="149">
        <v>15998.946366756565</v>
      </c>
      <c r="AA10" s="150">
        <v>340</v>
      </c>
      <c r="AB10" s="150">
        <v>3.4</v>
      </c>
      <c r="AC10" s="150">
        <v>7.7</v>
      </c>
      <c r="AD10" s="151">
        <v>7</v>
      </c>
      <c r="AE10" s="151">
        <v>25</v>
      </c>
      <c r="AF10" s="152">
        <v>65</v>
      </c>
      <c r="AG10" s="153">
        <v>5700</v>
      </c>
      <c r="AH10" s="154">
        <v>5234.414032993951</v>
      </c>
      <c r="AI10" s="155">
        <v>6.1784562543844056E-3</v>
      </c>
      <c r="AJ10" s="145">
        <v>8</v>
      </c>
      <c r="AK10" s="146">
        <v>39.763804173468401</v>
      </c>
      <c r="AL10" s="146">
        <v>35.131718625301076</v>
      </c>
      <c r="AM10" s="156">
        <v>51.713118827970199</v>
      </c>
      <c r="AN10" s="157">
        <v>0.81793022012432626</v>
      </c>
      <c r="AO10" s="158">
        <v>-0.13468693348743255</v>
      </c>
      <c r="AP10" s="159">
        <v>0</v>
      </c>
      <c r="AQ10" s="157">
        <v>1.5265023302814502E-2</v>
      </c>
      <c r="AR10" s="159">
        <v>3.4356016954920958E-2</v>
      </c>
      <c r="AS10" s="158">
        <v>0.68324328663689371</v>
      </c>
      <c r="AT10" s="158">
        <v>0.27783319707087906</v>
      </c>
      <c r="AU10" s="159">
        <v>0.18257875580312968</v>
      </c>
      <c r="AV10" s="160">
        <v>50.489664368718003</v>
      </c>
      <c r="AW10" s="146">
        <v>35.332641270266585</v>
      </c>
      <c r="AX10" s="156">
        <v>44.774358164576782</v>
      </c>
      <c r="AY10" s="161"/>
      <c r="AZ10" s="161"/>
      <c r="BA10" s="161"/>
      <c r="BB10" s="161"/>
      <c r="BC10" s="161"/>
      <c r="BD10" s="161"/>
      <c r="BE10" s="162"/>
      <c r="BF10" s="162"/>
      <c r="BG10" s="162"/>
      <c r="BH10" s="163"/>
      <c r="BI10" s="163"/>
    </row>
    <row r="11" spans="1:61">
      <c r="A11" t="str">
        <f t="shared" si="0"/>
        <v>freight HDV</v>
      </c>
      <c r="B11" s="141">
        <v>3.3999999999999998E-3</v>
      </c>
      <c r="C11" s="142">
        <f t="shared" si="1"/>
        <v>69391106.472941965</v>
      </c>
      <c r="D11">
        <f t="shared" si="2"/>
        <v>0.22439999999999999</v>
      </c>
      <c r="E11" t="s">
        <v>368</v>
      </c>
      <c r="F11">
        <v>0.2</v>
      </c>
      <c r="G11">
        <v>0.37</v>
      </c>
      <c r="H11">
        <v>0.7</v>
      </c>
      <c r="I11">
        <f t="shared" si="3"/>
        <v>9.1767881241565461E-3</v>
      </c>
      <c r="J11">
        <f t="shared" si="3"/>
        <v>1.6977058029689608E-2</v>
      </c>
      <c r="K11">
        <f t="shared" si="3"/>
        <v>3.2118758434547902E-2</v>
      </c>
      <c r="L11">
        <f t="shared" si="4"/>
        <v>7.4139570292773476E-3</v>
      </c>
      <c r="M11">
        <f t="shared" si="4"/>
        <v>1.3715820504163092E-2</v>
      </c>
      <c r="N11">
        <f t="shared" si="4"/>
        <v>2.5948849602470712E-2</v>
      </c>
      <c r="O11" s="143">
        <v>5</v>
      </c>
      <c r="P11" s="144" t="s">
        <v>369</v>
      </c>
      <c r="Q11" s="97" t="s">
        <v>370</v>
      </c>
      <c r="R11" s="145">
        <v>52</v>
      </c>
      <c r="S11" s="145">
        <v>47</v>
      </c>
      <c r="T11" s="146" t="s">
        <v>371</v>
      </c>
      <c r="U11" s="97" t="s">
        <v>372</v>
      </c>
      <c r="V11" s="166" t="s">
        <v>373</v>
      </c>
      <c r="W11" s="167" t="s">
        <v>374</v>
      </c>
      <c r="X11" s="97" t="s">
        <v>360</v>
      </c>
      <c r="Y11" s="149">
        <v>19051</v>
      </c>
      <c r="Z11" s="149">
        <v>42000.265568841023</v>
      </c>
      <c r="AA11" s="150">
        <v>794</v>
      </c>
      <c r="AB11" s="150">
        <v>6.86</v>
      </c>
      <c r="AC11" s="150">
        <v>7.7</v>
      </c>
      <c r="AD11" s="151">
        <v>20</v>
      </c>
      <c r="AE11" s="151">
        <v>100</v>
      </c>
      <c r="AF11" s="152">
        <v>25</v>
      </c>
      <c r="AG11" s="153">
        <v>15000</v>
      </c>
      <c r="AH11" s="154">
        <v>2702.6185365557862</v>
      </c>
      <c r="AI11" s="155">
        <v>3.1900438702682238E-3</v>
      </c>
      <c r="AJ11" s="145">
        <v>8</v>
      </c>
      <c r="AK11" s="146">
        <v>66</v>
      </c>
      <c r="AL11" s="146">
        <v>58.311659999999996</v>
      </c>
      <c r="AM11" s="156">
        <v>89.879007193840252</v>
      </c>
      <c r="AN11" s="157">
        <v>2.0695124788824248</v>
      </c>
      <c r="AO11" s="158">
        <v>-0.22899776432577695</v>
      </c>
      <c r="AP11" s="159">
        <v>0</v>
      </c>
      <c r="AQ11" s="157">
        <v>3.8623290151577637E-2</v>
      </c>
      <c r="AR11" s="159">
        <v>8.6926982355655935E-2</v>
      </c>
      <c r="AS11" s="158">
        <v>1.8405147145566478</v>
      </c>
      <c r="AT11" s="158">
        <v>9.3434135105160118E-2</v>
      </c>
      <c r="AU11" s="159">
        <v>6.1400467319568185E-2</v>
      </c>
      <c r="AV11" s="160">
        <v>177.29282554465615</v>
      </c>
      <c r="AW11" s="146">
        <v>165.42363527000578</v>
      </c>
      <c r="AX11" s="156">
        <v>170.94224831392643</v>
      </c>
      <c r="AY11" s="161"/>
      <c r="AZ11" s="161"/>
      <c r="BA11" s="161"/>
      <c r="BB11" s="161"/>
      <c r="BC11" s="161"/>
      <c r="BD11" s="161"/>
      <c r="BE11" s="162"/>
      <c r="BF11" s="162"/>
      <c r="BG11" s="162"/>
      <c r="BH11" s="163"/>
      <c r="BI11" s="163"/>
    </row>
    <row r="12" spans="1:61">
      <c r="A12" t="str">
        <f t="shared" si="0"/>
        <v>freight HDV</v>
      </c>
      <c r="B12" s="141">
        <v>2.8999999999999998E-3</v>
      </c>
      <c r="C12" s="142">
        <f t="shared" si="1"/>
        <v>59186531.99162697</v>
      </c>
      <c r="D12">
        <f t="shared" si="2"/>
        <v>0.19139999999999999</v>
      </c>
      <c r="E12" t="s">
        <v>368</v>
      </c>
      <c r="F12">
        <v>0.14000000000000001</v>
      </c>
      <c r="G12">
        <v>0.26</v>
      </c>
      <c r="H12">
        <v>0.39</v>
      </c>
      <c r="I12">
        <f t="shared" si="3"/>
        <v>5.479082321187584E-3</v>
      </c>
      <c r="J12">
        <f t="shared" si="3"/>
        <v>1.0175438596491228E-2</v>
      </c>
      <c r="K12">
        <f t="shared" si="3"/>
        <v>1.5263157894736843E-2</v>
      </c>
      <c r="L12">
        <f t="shared" si="4"/>
        <v>4.4265684615979453E-3</v>
      </c>
      <c r="M12">
        <f t="shared" si="4"/>
        <v>8.2207700001104694E-3</v>
      </c>
      <c r="N12">
        <f t="shared" si="4"/>
        <v>1.2331155000165706E-2</v>
      </c>
      <c r="O12" s="143">
        <v>6</v>
      </c>
      <c r="P12" s="144" t="s">
        <v>375</v>
      </c>
      <c r="Q12" s="97" t="s">
        <v>370</v>
      </c>
      <c r="R12" s="145">
        <v>53</v>
      </c>
      <c r="S12" s="145">
        <v>47</v>
      </c>
      <c r="T12" s="146" t="s">
        <v>376</v>
      </c>
      <c r="U12" s="97" t="s">
        <v>372</v>
      </c>
      <c r="V12" s="166" t="s">
        <v>373</v>
      </c>
      <c r="W12" s="167" t="s">
        <v>374</v>
      </c>
      <c r="X12" s="97" t="s">
        <v>377</v>
      </c>
      <c r="Y12" s="149">
        <v>19051</v>
      </c>
      <c r="Z12" s="149">
        <v>42000.265568841023</v>
      </c>
      <c r="AA12" s="150">
        <v>794</v>
      </c>
      <c r="AB12" s="150">
        <v>6.86</v>
      </c>
      <c r="AC12" s="150">
        <v>7.7</v>
      </c>
      <c r="AD12" s="151">
        <v>20</v>
      </c>
      <c r="AE12" s="151">
        <v>100</v>
      </c>
      <c r="AF12" s="152">
        <v>25</v>
      </c>
      <c r="AG12" s="153">
        <v>15000</v>
      </c>
      <c r="AH12" s="154">
        <v>1826.1917262475856</v>
      </c>
      <c r="AI12" s="155">
        <v>2.1555508642647123E-3</v>
      </c>
      <c r="AJ12" s="145">
        <v>8</v>
      </c>
      <c r="AK12" s="146">
        <v>66</v>
      </c>
      <c r="AL12" s="146">
        <v>58.311659999999996</v>
      </c>
      <c r="AM12" s="156">
        <v>89.879007193840252</v>
      </c>
      <c r="AN12" s="157">
        <v>2.0655904795706843</v>
      </c>
      <c r="AO12" s="158">
        <v>-9.343078857194119E-2</v>
      </c>
      <c r="AP12" s="159">
        <v>0</v>
      </c>
      <c r="AQ12" s="157">
        <v>3.8550093918678648E-2</v>
      </c>
      <c r="AR12" s="159">
        <v>8.6762244250208675E-2</v>
      </c>
      <c r="AS12" s="158">
        <v>1.9721596909987431</v>
      </c>
      <c r="AT12" s="158">
        <v>9.3434135105160118E-2</v>
      </c>
      <c r="AU12" s="159">
        <v>6.1400467319568185E-2</v>
      </c>
      <c r="AV12" s="160">
        <v>189.11836652458484</v>
      </c>
      <c r="AW12" s="146">
        <v>177.25575505467779</v>
      </c>
      <c r="AX12" s="156">
        <v>182.77436809859844</v>
      </c>
      <c r="AY12" s="161"/>
      <c r="AZ12" s="161"/>
      <c r="BA12" s="161"/>
      <c r="BB12" s="161"/>
      <c r="BC12" s="161"/>
      <c r="BD12" s="161"/>
      <c r="BE12" s="162"/>
      <c r="BF12" s="162"/>
      <c r="BG12" s="162"/>
      <c r="BH12" s="163"/>
      <c r="BI12" s="163"/>
    </row>
    <row r="13" spans="1:61">
      <c r="A13" t="str">
        <f t="shared" si="0"/>
        <v>freight LDV</v>
      </c>
      <c r="B13" s="141">
        <v>7.7000000000000002E-3</v>
      </c>
      <c r="C13" s="142">
        <f t="shared" si="1"/>
        <v>94868953.710622787</v>
      </c>
      <c r="D13">
        <f t="shared" si="2"/>
        <v>0.30679137853155464</v>
      </c>
      <c r="E13" t="s">
        <v>378</v>
      </c>
      <c r="F13">
        <v>0.14000000000000001</v>
      </c>
      <c r="G13">
        <v>0.26</v>
      </c>
      <c r="H13">
        <v>0.39</v>
      </c>
      <c r="I13">
        <f t="shared" si="3"/>
        <v>6.8793873643905549E-3</v>
      </c>
      <c r="J13">
        <f t="shared" si="3"/>
        <v>1.2776005105296745E-2</v>
      </c>
      <c r="K13">
        <f t="shared" si="3"/>
        <v>1.9164007657945115E-2</v>
      </c>
      <c r="L13">
        <f t="shared" si="4"/>
        <v>3.7079351505452242E-3</v>
      </c>
      <c r="M13">
        <f t="shared" si="4"/>
        <v>6.8861652795839876E-3</v>
      </c>
      <c r="N13">
        <f t="shared" si="4"/>
        <v>1.032924791937598E-2</v>
      </c>
      <c r="O13" s="143">
        <v>7</v>
      </c>
      <c r="P13" s="144" t="s">
        <v>379</v>
      </c>
      <c r="Q13" s="97" t="s">
        <v>380</v>
      </c>
      <c r="R13" s="145">
        <v>52</v>
      </c>
      <c r="S13" s="145">
        <v>46</v>
      </c>
      <c r="T13" s="146" t="s">
        <v>381</v>
      </c>
      <c r="U13" s="97" t="s">
        <v>372</v>
      </c>
      <c r="V13" s="147" t="s">
        <v>382</v>
      </c>
      <c r="W13" s="148" t="s">
        <v>383</v>
      </c>
      <c r="X13" s="97" t="s">
        <v>360</v>
      </c>
      <c r="Y13" s="149">
        <v>11408</v>
      </c>
      <c r="Z13" s="149">
        <v>25150.334870050832</v>
      </c>
      <c r="AA13" s="150">
        <v>340</v>
      </c>
      <c r="AB13" s="150">
        <v>5.4</v>
      </c>
      <c r="AC13" s="150">
        <v>7.7</v>
      </c>
      <c r="AD13" s="151">
        <v>16</v>
      </c>
      <c r="AE13" s="151">
        <v>50</v>
      </c>
      <c r="AF13" s="152">
        <v>45</v>
      </c>
      <c r="AG13" s="153">
        <v>11200</v>
      </c>
      <c r="AH13" s="154">
        <v>5530.040900974368</v>
      </c>
      <c r="AI13" s="155">
        <v>6.5274003119092094E-3</v>
      </c>
      <c r="AJ13" s="145">
        <v>8</v>
      </c>
      <c r="AK13" s="146">
        <v>39.843036172929175</v>
      </c>
      <c r="AL13" s="146">
        <v>35.201720889144653</v>
      </c>
      <c r="AM13" s="156">
        <v>89.879007193840252</v>
      </c>
      <c r="AN13" s="157">
        <v>1.3643385909304979</v>
      </c>
      <c r="AO13" s="158">
        <v>-0.13719516002678903</v>
      </c>
      <c r="AP13" s="159">
        <v>0</v>
      </c>
      <c r="AQ13" s="157">
        <v>2.5462637118747709E-2</v>
      </c>
      <c r="AR13" s="159">
        <v>5.7307137710520553E-2</v>
      </c>
      <c r="AS13" s="158">
        <v>1.2271434309037088</v>
      </c>
      <c r="AT13" s="158">
        <v>9.3434135105160118E-2</v>
      </c>
      <c r="AU13" s="159">
        <v>6.1400467319568185E-2</v>
      </c>
      <c r="AV13" s="160">
        <v>120.98075710010525</v>
      </c>
      <c r="AW13" s="146">
        <v>110.29443325406825</v>
      </c>
      <c r="AX13" s="156">
        <v>115.81304629798888</v>
      </c>
      <c r="AY13" s="161"/>
      <c r="AZ13" s="161"/>
      <c r="BA13" s="161"/>
      <c r="BB13" s="161"/>
      <c r="BC13" s="161"/>
      <c r="BD13" s="161"/>
      <c r="BE13" s="162"/>
      <c r="BF13" s="162"/>
      <c r="BG13" s="162"/>
      <c r="BH13" s="163"/>
      <c r="BI13" s="163"/>
    </row>
    <row r="14" spans="1:61">
      <c r="A14" t="str">
        <f t="shared" si="0"/>
        <v>freight LDV</v>
      </c>
      <c r="B14" s="141">
        <v>5.7999999999999996E-3</v>
      </c>
      <c r="C14" s="142">
        <f t="shared" si="1"/>
        <v>71459731.366443127</v>
      </c>
      <c r="D14">
        <f t="shared" si="2"/>
        <v>0.2310896098029892</v>
      </c>
      <c r="E14" t="s">
        <v>378</v>
      </c>
      <c r="F14">
        <v>0.14000000000000001</v>
      </c>
      <c r="G14">
        <v>0.26</v>
      </c>
      <c r="H14">
        <v>0.39</v>
      </c>
      <c r="I14">
        <f t="shared" si="3"/>
        <v>5.1818761965539235E-3</v>
      </c>
      <c r="J14">
        <f t="shared" si="3"/>
        <v>9.6234843650287154E-3</v>
      </c>
      <c r="K14">
        <f t="shared" si="3"/>
        <v>1.4435226547543074E-2</v>
      </c>
      <c r="L14">
        <f t="shared" si="4"/>
        <v>2.7929901133977009E-3</v>
      </c>
      <c r="M14">
        <f t="shared" si="4"/>
        <v>5.1869816391671595E-3</v>
      </c>
      <c r="N14">
        <f t="shared" si="4"/>
        <v>7.7804724587507389E-3</v>
      </c>
      <c r="O14" s="143">
        <v>8</v>
      </c>
      <c r="P14" s="144" t="s">
        <v>384</v>
      </c>
      <c r="Q14" s="97" t="s">
        <v>380</v>
      </c>
      <c r="R14" s="145">
        <v>53</v>
      </c>
      <c r="S14" s="145">
        <v>46</v>
      </c>
      <c r="T14" s="146" t="s">
        <v>385</v>
      </c>
      <c r="U14" s="97" t="s">
        <v>372</v>
      </c>
      <c r="V14" s="147" t="s">
        <v>382</v>
      </c>
      <c r="W14" s="148" t="s">
        <v>383</v>
      </c>
      <c r="X14" s="97" t="s">
        <v>377</v>
      </c>
      <c r="Y14" s="149">
        <v>11408</v>
      </c>
      <c r="Z14" s="149">
        <v>25150.334870050832</v>
      </c>
      <c r="AA14" s="150">
        <v>340</v>
      </c>
      <c r="AB14" s="150">
        <v>5.4</v>
      </c>
      <c r="AC14" s="150">
        <v>7.7</v>
      </c>
      <c r="AD14" s="151">
        <v>16</v>
      </c>
      <c r="AE14" s="151">
        <v>50</v>
      </c>
      <c r="AF14" s="152">
        <v>45</v>
      </c>
      <c r="AG14" s="153">
        <v>11200</v>
      </c>
      <c r="AH14" s="154">
        <v>3464.2683777094858</v>
      </c>
      <c r="AI14" s="155">
        <v>4.0890595375549319E-3</v>
      </c>
      <c r="AJ14" s="145">
        <v>8</v>
      </c>
      <c r="AK14" s="146">
        <v>39.843036172929175</v>
      </c>
      <c r="AL14" s="146">
        <v>35.201720889144653</v>
      </c>
      <c r="AM14" s="156">
        <v>89.879007193840252</v>
      </c>
      <c r="AN14" s="157">
        <v>1.4451053055964747</v>
      </c>
      <c r="AO14" s="158">
        <v>-5.6081646699588004E-2</v>
      </c>
      <c r="AP14" s="159">
        <v>0</v>
      </c>
      <c r="AQ14" s="157">
        <v>2.6969985485556434E-2</v>
      </c>
      <c r="AR14" s="159">
        <v>6.0699630798788873E-2</v>
      </c>
      <c r="AS14" s="158">
        <v>1.3890236588968867</v>
      </c>
      <c r="AT14" s="158">
        <v>9.3434135105160118E-2</v>
      </c>
      <c r="AU14" s="159">
        <v>6.1400467319568185E-2</v>
      </c>
      <c r="AV14" s="160">
        <v>135.66587025114862</v>
      </c>
      <c r="AW14" s="146">
        <v>124.84406743040759</v>
      </c>
      <c r="AX14" s="156">
        <v>151.72585860314214</v>
      </c>
      <c r="AY14" s="161"/>
      <c r="AZ14" s="161"/>
      <c r="BA14" s="161"/>
      <c r="BB14" s="161"/>
      <c r="BC14" s="161"/>
      <c r="BD14" s="161"/>
      <c r="BE14" s="162"/>
      <c r="BF14" s="162"/>
      <c r="BG14" s="162"/>
      <c r="BH14" s="163"/>
      <c r="BI14" s="163"/>
    </row>
    <row r="15" spans="1:61">
      <c r="A15" t="str">
        <f t="shared" si="0"/>
        <v>freight HDV</v>
      </c>
      <c r="B15" s="141">
        <v>3.3999999999999998E-3</v>
      </c>
      <c r="C15" s="142">
        <f t="shared" si="1"/>
        <v>69391106.472941965</v>
      </c>
      <c r="D15">
        <f t="shared" si="2"/>
        <v>0.22439999999999999</v>
      </c>
      <c r="E15" t="s">
        <v>368</v>
      </c>
      <c r="F15">
        <v>0.14000000000000001</v>
      </c>
      <c r="G15">
        <v>0.26</v>
      </c>
      <c r="H15">
        <v>0.39</v>
      </c>
      <c r="I15">
        <f t="shared" si="3"/>
        <v>6.4237516869095823E-3</v>
      </c>
      <c r="J15">
        <f t="shared" si="3"/>
        <v>1.1929824561403509E-2</v>
      </c>
      <c r="K15">
        <f t="shared" si="3"/>
        <v>1.7894736842105262E-2</v>
      </c>
      <c r="L15">
        <f t="shared" si="4"/>
        <v>5.189769920494143E-3</v>
      </c>
      <c r="M15">
        <f t="shared" si="4"/>
        <v>9.6381441380605521E-3</v>
      </c>
      <c r="N15">
        <f t="shared" si="4"/>
        <v>1.4457216207090827E-2</v>
      </c>
      <c r="O15" s="143">
        <v>9</v>
      </c>
      <c r="P15" s="144" t="s">
        <v>386</v>
      </c>
      <c r="Q15" s="97" t="s">
        <v>370</v>
      </c>
      <c r="R15" s="145">
        <v>52</v>
      </c>
      <c r="S15" s="145">
        <v>47</v>
      </c>
      <c r="T15" s="146" t="s">
        <v>387</v>
      </c>
      <c r="U15" s="97" t="s">
        <v>372</v>
      </c>
      <c r="V15" s="166" t="s">
        <v>373</v>
      </c>
      <c r="W15" s="167" t="s">
        <v>374</v>
      </c>
      <c r="X15" s="97" t="s">
        <v>366</v>
      </c>
      <c r="Y15" s="149">
        <v>19051</v>
      </c>
      <c r="Z15" s="149">
        <v>42000.265568841023</v>
      </c>
      <c r="AA15" s="150">
        <v>794</v>
      </c>
      <c r="AB15" s="150">
        <v>6.86</v>
      </c>
      <c r="AC15" s="150">
        <v>7.7</v>
      </c>
      <c r="AD15" s="151">
        <v>20</v>
      </c>
      <c r="AE15" s="151">
        <v>100</v>
      </c>
      <c r="AF15" s="152">
        <v>25</v>
      </c>
      <c r="AG15" s="153">
        <v>15000</v>
      </c>
      <c r="AH15" s="154">
        <v>2702.6185365557862</v>
      </c>
      <c r="AI15" s="155">
        <v>3.1900438702682238E-3</v>
      </c>
      <c r="AJ15" s="145">
        <v>8</v>
      </c>
      <c r="AK15" s="146">
        <v>66</v>
      </c>
      <c r="AL15" s="146">
        <v>58.311659999999996</v>
      </c>
      <c r="AM15" s="156">
        <v>89.879007193840252</v>
      </c>
      <c r="AN15" s="157">
        <v>2.0655118598730002</v>
      </c>
      <c r="AO15" s="158">
        <v>-0.37007775993344549</v>
      </c>
      <c r="AP15" s="159">
        <v>0</v>
      </c>
      <c r="AQ15" s="157">
        <v>3.8548626640067737E-2</v>
      </c>
      <c r="AR15" s="159">
        <v>8.6758941939571205E-2</v>
      </c>
      <c r="AS15" s="158">
        <v>1.6954340999395547</v>
      </c>
      <c r="AT15" s="158">
        <v>9.3434135105160118E-2</v>
      </c>
      <c r="AU15" s="159">
        <v>6.1400467319568185E-2</v>
      </c>
      <c r="AV15" s="160">
        <v>164.24641325751156</v>
      </c>
      <c r="AW15" s="146">
        <v>152.3839336651493</v>
      </c>
      <c r="AX15" s="156">
        <v>514.11486232695495</v>
      </c>
      <c r="AY15" s="161"/>
      <c r="AZ15" s="161"/>
      <c r="BA15" s="161"/>
      <c r="BB15" s="161"/>
      <c r="BC15" s="161"/>
      <c r="BD15" s="161"/>
      <c r="BE15" s="162"/>
      <c r="BF15" s="162"/>
      <c r="BG15" s="162"/>
      <c r="BH15" s="163"/>
      <c r="BI15" s="163"/>
    </row>
    <row r="16" spans="1:61">
      <c r="A16" t="str">
        <f t="shared" si="0"/>
        <v>freight LDV</v>
      </c>
      <c r="B16" s="141">
        <v>7.7000000000000002E-3</v>
      </c>
      <c r="C16" s="142">
        <f t="shared" si="1"/>
        <v>92553910.479761928</v>
      </c>
      <c r="D16">
        <f t="shared" si="2"/>
        <v>0.29930489031410928</v>
      </c>
      <c r="E16" t="s">
        <v>378</v>
      </c>
      <c r="F16">
        <v>0.2</v>
      </c>
      <c r="G16">
        <v>0.37</v>
      </c>
      <c r="H16">
        <v>0.7</v>
      </c>
      <c r="I16">
        <f t="shared" si="3"/>
        <v>9.8276962348436483E-3</v>
      </c>
      <c r="J16">
        <f t="shared" si="3"/>
        <v>1.8181238034460749E-2</v>
      </c>
      <c r="K16">
        <f t="shared" si="3"/>
        <v>3.4396936821952766E-2</v>
      </c>
      <c r="L16">
        <f t="shared" si="4"/>
        <v>5.1677887468574123E-3</v>
      </c>
      <c r="M16">
        <f t="shared" si="4"/>
        <v>9.5604091816862118E-3</v>
      </c>
      <c r="N16">
        <f t="shared" si="4"/>
        <v>1.8087260614000941E-2</v>
      </c>
      <c r="O16" s="143">
        <v>10</v>
      </c>
      <c r="P16" s="144" t="s">
        <v>388</v>
      </c>
      <c r="Q16" s="97" t="s">
        <v>380</v>
      </c>
      <c r="R16" s="145">
        <v>52</v>
      </c>
      <c r="S16" s="145">
        <v>46</v>
      </c>
      <c r="T16" s="146" t="s">
        <v>389</v>
      </c>
      <c r="U16" s="97" t="s">
        <v>372</v>
      </c>
      <c r="V16" s="147" t="s">
        <v>382</v>
      </c>
      <c r="W16" s="148" t="s">
        <v>383</v>
      </c>
      <c r="X16" s="97" t="s">
        <v>366</v>
      </c>
      <c r="Y16" s="149">
        <v>11408</v>
      </c>
      <c r="Z16" s="149">
        <v>25150.334870050832</v>
      </c>
      <c r="AA16" s="150">
        <v>340</v>
      </c>
      <c r="AB16" s="150">
        <v>5.4</v>
      </c>
      <c r="AC16" s="150">
        <v>7.7</v>
      </c>
      <c r="AD16" s="151">
        <v>16</v>
      </c>
      <c r="AE16" s="151">
        <v>50</v>
      </c>
      <c r="AF16" s="152">
        <v>45</v>
      </c>
      <c r="AG16" s="153">
        <v>11200</v>
      </c>
      <c r="AH16" s="154">
        <v>5530.040900974368</v>
      </c>
      <c r="AI16" s="155">
        <v>6.5274003119092094E-3</v>
      </c>
      <c r="AJ16" s="145">
        <v>8</v>
      </c>
      <c r="AK16" s="146">
        <v>38.87076497585835</v>
      </c>
      <c r="AL16" s="146">
        <v>34.342709563820605</v>
      </c>
      <c r="AM16" s="156">
        <v>104.6079252686805</v>
      </c>
      <c r="AN16" s="157">
        <v>1.3059420071902388</v>
      </c>
      <c r="AO16" s="158">
        <v>-0.2199937667632389</v>
      </c>
      <c r="AP16" s="159">
        <v>0</v>
      </c>
      <c r="AQ16" s="157">
        <v>2.437278227579507E-2</v>
      </c>
      <c r="AR16" s="159">
        <v>5.4854270740053501E-2</v>
      </c>
      <c r="AS16" s="158">
        <v>1.0859482404269998</v>
      </c>
      <c r="AT16" s="158">
        <v>8.0278499737927694E-2</v>
      </c>
      <c r="AU16" s="159">
        <v>5.2755209796450181E-2</v>
      </c>
      <c r="AV16" s="160">
        <v>124.54614586840582</v>
      </c>
      <c r="AW16" s="146">
        <v>113.59879238024268</v>
      </c>
      <c r="AX16" s="156">
        <v>333.22680373724154</v>
      </c>
      <c r="AY16" s="161"/>
      <c r="AZ16" s="161"/>
      <c r="BA16" s="161"/>
      <c r="BB16" s="161"/>
      <c r="BC16" s="161"/>
      <c r="BD16" s="161"/>
      <c r="BE16" s="162"/>
      <c r="BF16" s="162"/>
      <c r="BG16" s="162"/>
      <c r="BH16" s="163"/>
      <c r="BI16" s="163"/>
    </row>
    <row r="17" spans="1:61">
      <c r="A17" t="str">
        <f t="shared" si="0"/>
        <v>freight LDV</v>
      </c>
      <c r="B17" s="141">
        <v>1.6899999999999998E-2</v>
      </c>
      <c r="C17" s="142">
        <f t="shared" si="1"/>
        <v>379076127.38073301</v>
      </c>
      <c r="D17">
        <f t="shared" si="2"/>
        <v>1.2258729873028642</v>
      </c>
      <c r="E17" t="s">
        <v>353</v>
      </c>
      <c r="F17">
        <v>0.2</v>
      </c>
      <c r="G17">
        <v>0.37</v>
      </c>
      <c r="H17">
        <v>0.7</v>
      </c>
      <c r="I17">
        <f t="shared" si="3"/>
        <v>1.0428879975316259E-2</v>
      </c>
      <c r="J17">
        <f t="shared" si="3"/>
        <v>1.9293427954335075E-2</v>
      </c>
      <c r="K17">
        <f t="shared" si="3"/>
        <v>3.6501079913606897E-2</v>
      </c>
      <c r="L17">
        <f t="shared" si="4"/>
        <v>1.0148734521227904E-2</v>
      </c>
      <c r="M17">
        <f t="shared" si="4"/>
        <v>1.877515886427162E-2</v>
      </c>
      <c r="N17">
        <f t="shared" si="4"/>
        <v>3.5520570824297659E-2</v>
      </c>
      <c r="O17" s="143">
        <v>11</v>
      </c>
      <c r="P17" s="144" t="s">
        <v>390</v>
      </c>
      <c r="Q17" s="97" t="s">
        <v>391</v>
      </c>
      <c r="R17" s="145">
        <v>52</v>
      </c>
      <c r="S17" s="145">
        <v>41</v>
      </c>
      <c r="T17" s="146" t="s">
        <v>365</v>
      </c>
      <c r="U17" s="97" t="s">
        <v>372</v>
      </c>
      <c r="V17" s="164" t="s">
        <v>363</v>
      </c>
      <c r="W17" s="148"/>
      <c r="X17" s="97" t="s">
        <v>366</v>
      </c>
      <c r="Y17" s="149">
        <v>7257</v>
      </c>
      <c r="Z17" s="149">
        <v>15998.946366756565</v>
      </c>
      <c r="AA17" s="150">
        <v>340</v>
      </c>
      <c r="AB17" s="150">
        <v>3.4</v>
      </c>
      <c r="AC17" s="150">
        <v>7.7</v>
      </c>
      <c r="AD17" s="151">
        <v>7</v>
      </c>
      <c r="AE17" s="151">
        <v>25</v>
      </c>
      <c r="AF17" s="152">
        <v>65</v>
      </c>
      <c r="AG17" s="153">
        <v>5700</v>
      </c>
      <c r="AH17" s="154">
        <v>47862.832007229503</v>
      </c>
      <c r="AI17" s="155">
        <v>5.6495036866327876E-2</v>
      </c>
      <c r="AJ17" s="145">
        <v>8</v>
      </c>
      <c r="AK17" s="146">
        <v>72.536863154015634</v>
      </c>
      <c r="AL17" s="146">
        <v>64.087043965204344</v>
      </c>
      <c r="AM17" s="156">
        <v>86.32932293636641</v>
      </c>
      <c r="AN17" s="157">
        <v>0.81793022012432626</v>
      </c>
      <c r="AO17" s="158">
        <v>-0.13468693348743255</v>
      </c>
      <c r="AP17" s="159">
        <v>0</v>
      </c>
      <c r="AQ17" s="157">
        <v>1.5265023302814502E-2</v>
      </c>
      <c r="AR17" s="159">
        <v>3.4356016954920958E-2</v>
      </c>
      <c r="AS17" s="158">
        <v>0.68324328663689371</v>
      </c>
      <c r="AT17" s="158">
        <v>9.7275954630814676E-2</v>
      </c>
      <c r="AU17" s="159">
        <v>6.3925128290284489E-2</v>
      </c>
      <c r="AV17" s="160">
        <v>68.699516763787514</v>
      </c>
      <c r="AW17" s="146">
        <v>58.983930336180755</v>
      </c>
      <c r="AX17" s="156">
        <v>72.953009758216851</v>
      </c>
      <c r="AY17" s="161"/>
      <c r="AZ17" s="161"/>
      <c r="BA17" s="161"/>
      <c r="BB17" s="161"/>
      <c r="BC17" s="161"/>
      <c r="BD17" s="161"/>
      <c r="BE17" s="162"/>
      <c r="BF17" s="162"/>
      <c r="BG17" s="162"/>
      <c r="BH17" s="163"/>
      <c r="BI17" s="163"/>
    </row>
    <row r="18" spans="1:61">
      <c r="A18" t="str">
        <f t="shared" si="0"/>
        <v>freight LDV</v>
      </c>
      <c r="B18" s="141">
        <v>1.6899999999999998E-2</v>
      </c>
      <c r="C18" s="142">
        <f t="shared" si="1"/>
        <v>379076127.38073301</v>
      </c>
      <c r="D18">
        <f t="shared" si="2"/>
        <v>1.2258729873028642</v>
      </c>
      <c r="E18" t="s">
        <v>353</v>
      </c>
      <c r="F18">
        <v>0.2</v>
      </c>
      <c r="G18">
        <v>0.37</v>
      </c>
      <c r="H18">
        <v>0.7</v>
      </c>
      <c r="I18">
        <f t="shared" si="3"/>
        <v>1.0428879975316259E-2</v>
      </c>
      <c r="J18">
        <f t="shared" si="3"/>
        <v>1.9293427954335075E-2</v>
      </c>
      <c r="K18">
        <f t="shared" si="3"/>
        <v>3.6501079913606897E-2</v>
      </c>
      <c r="L18">
        <f t="shared" si="4"/>
        <v>1.0148734521227904E-2</v>
      </c>
      <c r="M18">
        <f t="shared" si="4"/>
        <v>1.877515886427162E-2</v>
      </c>
      <c r="N18">
        <f t="shared" si="4"/>
        <v>3.5520570824297659E-2</v>
      </c>
      <c r="O18" s="143">
        <v>12</v>
      </c>
      <c r="P18" s="144" t="s">
        <v>392</v>
      </c>
      <c r="Q18" s="97" t="s">
        <v>391</v>
      </c>
      <c r="R18" s="145">
        <v>52</v>
      </c>
      <c r="S18" s="145">
        <v>41</v>
      </c>
      <c r="T18" s="146" t="s">
        <v>393</v>
      </c>
      <c r="U18" s="97" t="s">
        <v>372</v>
      </c>
      <c r="V18" s="164" t="s">
        <v>363</v>
      </c>
      <c r="W18" s="148"/>
      <c r="X18" s="97" t="s">
        <v>377</v>
      </c>
      <c r="Y18" s="149">
        <v>7257</v>
      </c>
      <c r="Z18" s="149">
        <v>15998.946366756565</v>
      </c>
      <c r="AA18" s="150">
        <v>340</v>
      </c>
      <c r="AB18" s="150">
        <v>3.4</v>
      </c>
      <c r="AC18" s="150">
        <v>7.7</v>
      </c>
      <c r="AD18" s="151">
        <v>7</v>
      </c>
      <c r="AE18" s="151">
        <v>25</v>
      </c>
      <c r="AF18" s="152">
        <v>65</v>
      </c>
      <c r="AG18" s="153">
        <v>5700</v>
      </c>
      <c r="AH18" s="154">
        <v>47862.832007229503</v>
      </c>
      <c r="AI18" s="155">
        <v>5.6495036866327876E-2</v>
      </c>
      <c r="AJ18" s="145">
        <v>8</v>
      </c>
      <c r="AK18" s="146">
        <v>72.536863154015634</v>
      </c>
      <c r="AL18" s="146">
        <v>64.087043965204344</v>
      </c>
      <c r="AM18" s="156">
        <v>86.32932293636641</v>
      </c>
      <c r="AN18" s="157">
        <v>0.91338935347653116</v>
      </c>
      <c r="AO18" s="158">
        <v>-3.4653992070899593E-2</v>
      </c>
      <c r="AP18" s="159">
        <v>0</v>
      </c>
      <c r="AQ18" s="157">
        <v>1.7046576128758983E-2</v>
      </c>
      <c r="AR18" s="159">
        <v>3.8365644577497256E-2</v>
      </c>
      <c r="AS18" s="158">
        <v>0.87873536140563158</v>
      </c>
      <c r="AT18" s="158">
        <v>9.7275954630814676E-2</v>
      </c>
      <c r="AU18" s="159">
        <v>6.3925128290284489E-2</v>
      </c>
      <c r="AV18" s="160">
        <v>85.730015467237322</v>
      </c>
      <c r="AW18" s="146">
        <v>75.860628790391416</v>
      </c>
      <c r="AX18" s="156">
        <v>104.74005441065735</v>
      </c>
      <c r="AY18" s="161"/>
      <c r="AZ18" s="161"/>
      <c r="BA18" s="161"/>
      <c r="BB18" s="161"/>
      <c r="BC18" s="161"/>
      <c r="BD18" s="161"/>
      <c r="BE18" s="162"/>
      <c r="BF18" s="162"/>
      <c r="BG18" s="162"/>
      <c r="BH18" s="163"/>
      <c r="BI18" s="163"/>
    </row>
    <row r="19" spans="1:61">
      <c r="A19" t="str">
        <f t="shared" si="0"/>
        <v>freight LDV</v>
      </c>
      <c r="B19" s="141">
        <v>1.6899999999999998E-2</v>
      </c>
      <c r="C19" s="142">
        <f t="shared" si="1"/>
        <v>379076127.38073301</v>
      </c>
      <c r="D19">
        <f t="shared" si="2"/>
        <v>1.2258729873028642</v>
      </c>
      <c r="E19" t="s">
        <v>353</v>
      </c>
      <c r="F19">
        <v>0.2</v>
      </c>
      <c r="G19">
        <v>0.37</v>
      </c>
      <c r="H19">
        <v>0.7</v>
      </c>
      <c r="I19">
        <f t="shared" si="3"/>
        <v>1.0428879975316259E-2</v>
      </c>
      <c r="J19">
        <f t="shared" si="3"/>
        <v>1.9293427954335075E-2</v>
      </c>
      <c r="K19">
        <f t="shared" si="3"/>
        <v>3.6501079913606897E-2</v>
      </c>
      <c r="L19">
        <f t="shared" si="4"/>
        <v>1.0148734521227904E-2</v>
      </c>
      <c r="M19">
        <f t="shared" si="4"/>
        <v>1.877515886427162E-2</v>
      </c>
      <c r="N19">
        <f t="shared" si="4"/>
        <v>3.5520570824297659E-2</v>
      </c>
      <c r="O19" s="143">
        <v>13</v>
      </c>
      <c r="P19" s="144" t="s">
        <v>394</v>
      </c>
      <c r="Q19" s="97" t="s">
        <v>391</v>
      </c>
      <c r="R19" s="145">
        <v>52</v>
      </c>
      <c r="S19" s="145">
        <v>41</v>
      </c>
      <c r="T19" s="146" t="s">
        <v>356</v>
      </c>
      <c r="U19" s="97" t="s">
        <v>372</v>
      </c>
      <c r="V19" s="164" t="s">
        <v>363</v>
      </c>
      <c r="W19" s="148"/>
      <c r="X19" s="97" t="s">
        <v>360</v>
      </c>
      <c r="Y19" s="149">
        <v>7257</v>
      </c>
      <c r="Z19" s="149">
        <v>15998.946366756565</v>
      </c>
      <c r="AA19" s="150">
        <v>340</v>
      </c>
      <c r="AB19" s="150">
        <v>3.4</v>
      </c>
      <c r="AC19" s="150">
        <v>7.7</v>
      </c>
      <c r="AD19" s="151">
        <v>7</v>
      </c>
      <c r="AE19" s="151">
        <v>25</v>
      </c>
      <c r="AF19" s="152">
        <v>65</v>
      </c>
      <c r="AG19" s="153">
        <v>5700</v>
      </c>
      <c r="AH19" s="154">
        <v>47862.832007229503</v>
      </c>
      <c r="AI19" s="155">
        <v>5.6495036866327876E-2</v>
      </c>
      <c r="AJ19" s="145">
        <v>8</v>
      </c>
      <c r="AK19" s="146">
        <v>72.536863154015634</v>
      </c>
      <c r="AL19" s="146">
        <v>64.087043965204344</v>
      </c>
      <c r="AM19" s="156">
        <v>86.32932293636641</v>
      </c>
      <c r="AN19" s="157">
        <v>0.8601323948290085</v>
      </c>
      <c r="AO19" s="158">
        <v>-8.4538972558163936E-2</v>
      </c>
      <c r="AP19" s="159">
        <v>0</v>
      </c>
      <c r="AQ19" s="157">
        <v>1.6052642056158157E-2</v>
      </c>
      <c r="AR19" s="159">
        <v>3.612866038343765E-2</v>
      </c>
      <c r="AS19" s="158">
        <v>0.7755934222708446</v>
      </c>
      <c r="AT19" s="158">
        <v>9.7275954630814676E-2</v>
      </c>
      <c r="AU19" s="159">
        <v>6.3925128290284489E-2</v>
      </c>
      <c r="AV19" s="160">
        <v>76.74003603985625</v>
      </c>
      <c r="AW19" s="146">
        <v>66.956455018541348</v>
      </c>
      <c r="AX19" s="156">
        <v>93.27983895123657</v>
      </c>
      <c r="AY19" s="161"/>
      <c r="AZ19" s="161"/>
      <c r="BA19" s="161"/>
      <c r="BB19" s="161"/>
      <c r="BC19" s="161"/>
      <c r="BD19" s="161"/>
      <c r="BE19" s="162"/>
      <c r="BF19" s="162"/>
      <c r="BG19" s="162"/>
      <c r="BH19" s="163"/>
      <c r="BI19" s="163"/>
    </row>
    <row r="20" spans="1:61">
      <c r="A20" t="str">
        <f t="shared" si="0"/>
        <v>freight LDV</v>
      </c>
      <c r="B20" s="141">
        <v>1.6899999999999998E-2</v>
      </c>
      <c r="C20" s="142">
        <f t="shared" si="1"/>
        <v>245735551.62211198</v>
      </c>
      <c r="D20">
        <f t="shared" si="2"/>
        <v>0.79467039202644996</v>
      </c>
      <c r="E20" t="s">
        <v>353</v>
      </c>
      <c r="F20">
        <v>0.2</v>
      </c>
      <c r="G20">
        <v>0.37</v>
      </c>
      <c r="H20">
        <v>0.7</v>
      </c>
      <c r="I20">
        <f t="shared" si="3"/>
        <v>1.0428879975316259E-2</v>
      </c>
      <c r="J20">
        <f t="shared" si="3"/>
        <v>1.9293427954335075E-2</v>
      </c>
      <c r="K20">
        <f t="shared" si="3"/>
        <v>3.6501079913606897E-2</v>
      </c>
      <c r="L20">
        <f t="shared" si="4"/>
        <v>6.5789024834462971E-3</v>
      </c>
      <c r="M20">
        <f t="shared" si="4"/>
        <v>1.217096959437565E-2</v>
      </c>
      <c r="N20">
        <f t="shared" si="4"/>
        <v>2.3026158692062038E-2</v>
      </c>
      <c r="O20" s="143">
        <v>14</v>
      </c>
      <c r="P20" s="144" t="s">
        <v>395</v>
      </c>
      <c r="Q20" s="97" t="s">
        <v>396</v>
      </c>
      <c r="R20" s="145">
        <v>52</v>
      </c>
      <c r="S20" s="145">
        <v>42</v>
      </c>
      <c r="T20" s="146" t="s">
        <v>365</v>
      </c>
      <c r="U20" s="97" t="s">
        <v>372</v>
      </c>
      <c r="V20" s="147" t="s">
        <v>358</v>
      </c>
      <c r="W20" s="148"/>
      <c r="X20" s="97" t="s">
        <v>366</v>
      </c>
      <c r="Y20" s="149">
        <v>7257</v>
      </c>
      <c r="Z20" s="149">
        <v>15998.946366756565</v>
      </c>
      <c r="AA20" s="150">
        <v>340</v>
      </c>
      <c r="AB20" s="150">
        <v>3.4</v>
      </c>
      <c r="AC20" s="150">
        <v>7.7</v>
      </c>
      <c r="AD20" s="151">
        <v>8</v>
      </c>
      <c r="AE20" s="151">
        <v>25</v>
      </c>
      <c r="AF20" s="152">
        <v>55</v>
      </c>
      <c r="AG20" s="153">
        <v>5700</v>
      </c>
      <c r="AH20" s="154">
        <v>7653.9028111378811</v>
      </c>
      <c r="AI20" s="155">
        <v>9.0343070677725793E-3</v>
      </c>
      <c r="AJ20" s="145">
        <v>8</v>
      </c>
      <c r="AK20" s="146">
        <v>47.021916687955624</v>
      </c>
      <c r="AL20" s="146">
        <v>41.544333612975677</v>
      </c>
      <c r="AM20" s="156">
        <v>81.11401952405464</v>
      </c>
      <c r="AN20" s="157">
        <v>0.81793022012432626</v>
      </c>
      <c r="AO20" s="158">
        <v>-0.13468693348743255</v>
      </c>
      <c r="AP20" s="159">
        <v>0</v>
      </c>
      <c r="AQ20" s="157">
        <v>1.5265023302814502E-2</v>
      </c>
      <c r="AR20" s="159">
        <v>3.4356016954920958E-2</v>
      </c>
      <c r="AS20" s="158">
        <v>0.68324328663689371</v>
      </c>
      <c r="AT20" s="158">
        <v>0.10353040510804105</v>
      </c>
      <c r="AU20" s="159">
        <v>6.8035255511953246E-2</v>
      </c>
      <c r="AV20" s="160">
        <v>65.056583991430827</v>
      </c>
      <c r="AW20" s="146">
        <v>55.42060929194426</v>
      </c>
      <c r="AX20" s="156">
        <v>117.027842145617</v>
      </c>
      <c r="AY20" s="161"/>
      <c r="AZ20" s="161"/>
      <c r="BA20" s="161"/>
      <c r="BB20" s="161"/>
      <c r="BC20" s="161"/>
      <c r="BD20" s="161"/>
      <c r="BE20" s="162"/>
      <c r="BF20" s="162"/>
      <c r="BG20" s="162"/>
      <c r="BH20" s="163"/>
      <c r="BI20" s="163"/>
    </row>
    <row r="21" spans="1:61">
      <c r="A21" t="str">
        <f t="shared" si="0"/>
        <v>freight LDV</v>
      </c>
      <c r="B21" s="141">
        <v>1.6899999999999998E-2</v>
      </c>
      <c r="C21" s="142">
        <f t="shared" si="1"/>
        <v>245735551.62211198</v>
      </c>
      <c r="D21">
        <f t="shared" si="2"/>
        <v>0.79467039202644996</v>
      </c>
      <c r="E21" t="s">
        <v>353</v>
      </c>
      <c r="F21">
        <v>0.14000000000000001</v>
      </c>
      <c r="G21">
        <v>0.37</v>
      </c>
      <c r="H21">
        <v>0.39</v>
      </c>
      <c r="I21">
        <f t="shared" si="3"/>
        <v>7.3002159827213814E-3</v>
      </c>
      <c r="J21">
        <f t="shared" si="3"/>
        <v>1.9293427954335075E-2</v>
      </c>
      <c r="K21">
        <f t="shared" si="3"/>
        <v>2.0336315951866704E-2</v>
      </c>
      <c r="L21">
        <f t="shared" si="4"/>
        <v>4.605231738412408E-3</v>
      </c>
      <c r="M21">
        <f t="shared" si="4"/>
        <v>1.217096959437565E-2</v>
      </c>
      <c r="N21">
        <f t="shared" si="4"/>
        <v>1.2828859842720279E-2</v>
      </c>
      <c r="O21" s="143">
        <v>15</v>
      </c>
      <c r="P21" s="144" t="s">
        <v>397</v>
      </c>
      <c r="Q21" s="97" t="s">
        <v>396</v>
      </c>
      <c r="R21" s="145">
        <v>52</v>
      </c>
      <c r="S21" s="145">
        <v>42</v>
      </c>
      <c r="T21" s="146" t="s">
        <v>393</v>
      </c>
      <c r="U21" s="97" t="s">
        <v>372</v>
      </c>
      <c r="V21" s="147" t="s">
        <v>358</v>
      </c>
      <c r="W21" s="148"/>
      <c r="X21" s="97" t="s">
        <v>377</v>
      </c>
      <c r="Y21" s="149">
        <v>7257</v>
      </c>
      <c r="Z21" s="149">
        <v>15998.946366756565</v>
      </c>
      <c r="AA21" s="150">
        <v>340</v>
      </c>
      <c r="AB21" s="150">
        <v>3.4</v>
      </c>
      <c r="AC21" s="150">
        <v>7.7</v>
      </c>
      <c r="AD21" s="151">
        <v>8</v>
      </c>
      <c r="AE21" s="151">
        <v>25</v>
      </c>
      <c r="AF21" s="152">
        <v>55</v>
      </c>
      <c r="AG21" s="153">
        <v>5700</v>
      </c>
      <c r="AH21" s="154">
        <v>7653.9028111378811</v>
      </c>
      <c r="AI21" s="155">
        <v>9.0343070677725793E-3</v>
      </c>
      <c r="AJ21" s="145">
        <v>8</v>
      </c>
      <c r="AK21" s="146">
        <v>47.021916687955624</v>
      </c>
      <c r="AL21" s="146">
        <v>41.544333612975677</v>
      </c>
      <c r="AM21" s="156">
        <v>81.11401952405464</v>
      </c>
      <c r="AN21" s="157">
        <v>0.91338935347653116</v>
      </c>
      <c r="AO21" s="158">
        <v>-3.4653992070899593E-2</v>
      </c>
      <c r="AP21" s="159">
        <v>0</v>
      </c>
      <c r="AQ21" s="157">
        <v>1.7046576128758983E-2</v>
      </c>
      <c r="AR21" s="159">
        <v>3.8365644577497256E-2</v>
      </c>
      <c r="AS21" s="158">
        <v>0.87873536140563158</v>
      </c>
      <c r="AT21" s="158">
        <v>0.10353040510804105</v>
      </c>
      <c r="AU21" s="159">
        <v>6.8035255511953246E-2</v>
      </c>
      <c r="AV21" s="160">
        <v>81.058240871726966</v>
      </c>
      <c r="AW21" s="146">
        <v>71.277757261533608</v>
      </c>
      <c r="AX21" s="156">
        <v>105.19673521306498</v>
      </c>
      <c r="AY21" s="161"/>
      <c r="AZ21" s="161"/>
      <c r="BA21" s="161"/>
      <c r="BB21" s="161"/>
      <c r="BC21" s="161"/>
      <c r="BD21" s="161"/>
      <c r="BE21" s="162"/>
      <c r="BF21" s="162"/>
      <c r="BG21" s="162"/>
      <c r="BH21" s="163"/>
      <c r="BI21" s="163"/>
    </row>
    <row r="22" spans="1:61">
      <c r="A22" t="str">
        <f t="shared" si="0"/>
        <v>freight LDV</v>
      </c>
      <c r="B22" s="141">
        <v>1.6899999999999998E-2</v>
      </c>
      <c r="C22" s="142">
        <f t="shared" si="1"/>
        <v>245735551.62211198</v>
      </c>
      <c r="D22">
        <f t="shared" si="2"/>
        <v>0.79467039202644996</v>
      </c>
      <c r="E22" t="s">
        <v>353</v>
      </c>
      <c r="F22">
        <v>0.2</v>
      </c>
      <c r="G22">
        <v>0.37</v>
      </c>
      <c r="H22">
        <v>0.7</v>
      </c>
      <c r="I22">
        <f t="shared" si="3"/>
        <v>1.0428879975316259E-2</v>
      </c>
      <c r="J22">
        <f t="shared" si="3"/>
        <v>1.9293427954335075E-2</v>
      </c>
      <c r="K22">
        <f t="shared" si="3"/>
        <v>3.6501079913606897E-2</v>
      </c>
      <c r="L22">
        <f t="shared" si="4"/>
        <v>6.5789024834462971E-3</v>
      </c>
      <c r="M22">
        <f t="shared" si="4"/>
        <v>1.217096959437565E-2</v>
      </c>
      <c r="N22">
        <f t="shared" si="4"/>
        <v>2.3026158692062038E-2</v>
      </c>
      <c r="O22" s="143">
        <v>16</v>
      </c>
      <c r="P22" s="144" t="s">
        <v>398</v>
      </c>
      <c r="Q22" s="97" t="s">
        <v>396</v>
      </c>
      <c r="R22" s="145">
        <v>52</v>
      </c>
      <c r="S22" s="145">
        <v>42</v>
      </c>
      <c r="T22" s="146" t="s">
        <v>356</v>
      </c>
      <c r="U22" s="97" t="s">
        <v>372</v>
      </c>
      <c r="V22" s="147" t="s">
        <v>358</v>
      </c>
      <c r="W22" s="148"/>
      <c r="X22" s="97" t="s">
        <v>360</v>
      </c>
      <c r="Y22" s="149">
        <v>7257</v>
      </c>
      <c r="Z22" s="149">
        <v>15998.946366756565</v>
      </c>
      <c r="AA22" s="150">
        <v>340</v>
      </c>
      <c r="AB22" s="150">
        <v>3.4</v>
      </c>
      <c r="AC22" s="150">
        <v>7.7</v>
      </c>
      <c r="AD22" s="151">
        <v>8</v>
      </c>
      <c r="AE22" s="151">
        <v>25</v>
      </c>
      <c r="AF22" s="152">
        <v>55</v>
      </c>
      <c r="AG22" s="153">
        <v>5700</v>
      </c>
      <c r="AH22" s="154">
        <v>7653.9028111378811</v>
      </c>
      <c r="AI22" s="155">
        <v>9.0343070677725793E-3</v>
      </c>
      <c r="AJ22" s="145">
        <v>8</v>
      </c>
      <c r="AK22" s="146">
        <v>47.021916687955624</v>
      </c>
      <c r="AL22" s="146">
        <v>41.544333612975677</v>
      </c>
      <c r="AM22" s="156">
        <v>81.11401952405464</v>
      </c>
      <c r="AN22" s="157">
        <v>0.8601323948290085</v>
      </c>
      <c r="AO22" s="158">
        <v>-8.4538972558163936E-2</v>
      </c>
      <c r="AP22" s="159">
        <v>0</v>
      </c>
      <c r="AQ22" s="157">
        <v>1.6052642056158157E-2</v>
      </c>
      <c r="AR22" s="159">
        <v>3.612866038343765E-2</v>
      </c>
      <c r="AS22" s="158">
        <v>0.7755934222708446</v>
      </c>
      <c r="AT22" s="158">
        <v>0.10353040510804105</v>
      </c>
      <c r="AU22" s="159">
        <v>6.8035255511953246E-2</v>
      </c>
      <c r="AV22" s="160">
        <v>72.611361619228447</v>
      </c>
      <c r="AW22" s="146">
        <v>62.911499996805645</v>
      </c>
      <c r="AX22" s="156">
        <v>131.41336827043355</v>
      </c>
      <c r="AY22" s="161"/>
      <c r="AZ22" s="161"/>
      <c r="BA22" s="161"/>
      <c r="BB22" s="161"/>
      <c r="BC22" s="161"/>
      <c r="BD22" s="161"/>
      <c r="BE22" s="162"/>
      <c r="BF22" s="162"/>
      <c r="BG22" s="162"/>
      <c r="BH22" s="163"/>
      <c r="BI22" s="163"/>
    </row>
    <row r="23" spans="1:61">
      <c r="A23" t="str">
        <f t="shared" si="0"/>
        <v>passenger HDV</v>
      </c>
      <c r="B23" s="141">
        <v>2.0999999999999999E-3</v>
      </c>
      <c r="C23" s="142">
        <f t="shared" si="1"/>
        <v>102617943.13497497</v>
      </c>
      <c r="D23">
        <f t="shared" si="2"/>
        <v>0.33185039999999999</v>
      </c>
      <c r="E23" t="s">
        <v>399</v>
      </c>
      <c r="F23">
        <v>0</v>
      </c>
      <c r="G23">
        <v>0.14000000000000001</v>
      </c>
      <c r="H23">
        <v>0.14000000000000001</v>
      </c>
      <c r="I23">
        <f t="shared" si="3"/>
        <v>0</v>
      </c>
      <c r="J23">
        <f t="shared" si="3"/>
        <v>3.6521739130434779E-3</v>
      </c>
      <c r="K23">
        <f t="shared" si="3"/>
        <v>3.6521739130434779E-3</v>
      </c>
      <c r="L23">
        <f t="shared" si="4"/>
        <v>0</v>
      </c>
      <c r="M23">
        <f t="shared" si="4"/>
        <v>6.499307847553054E-3</v>
      </c>
      <c r="N23">
        <f t="shared" si="4"/>
        <v>6.499307847553054E-3</v>
      </c>
      <c r="O23" s="143">
        <v>17</v>
      </c>
      <c r="P23" s="144" t="s">
        <v>400</v>
      </c>
      <c r="Q23" s="97" t="s">
        <v>401</v>
      </c>
      <c r="R23" s="145">
        <v>41</v>
      </c>
      <c r="S23" s="145">
        <v>47</v>
      </c>
      <c r="T23" s="146" t="s">
        <v>402</v>
      </c>
      <c r="U23" s="97" t="s">
        <v>402</v>
      </c>
      <c r="V23" s="166" t="s">
        <v>373</v>
      </c>
      <c r="W23" s="167" t="s">
        <v>403</v>
      </c>
      <c r="X23" s="97" t="s">
        <v>377</v>
      </c>
      <c r="Y23" s="149">
        <v>19051</v>
      </c>
      <c r="Z23" s="149">
        <v>42000.265568841023</v>
      </c>
      <c r="AA23" s="150">
        <v>794</v>
      </c>
      <c r="AB23" s="150">
        <v>6.86</v>
      </c>
      <c r="AC23" s="150">
        <v>7.7</v>
      </c>
      <c r="AD23" s="151">
        <v>20</v>
      </c>
      <c r="AE23" s="151">
        <v>100</v>
      </c>
      <c r="AF23" s="152">
        <v>25</v>
      </c>
      <c r="AG23" s="153">
        <v>15000</v>
      </c>
      <c r="AH23" s="154">
        <v>8995.0621474439595</v>
      </c>
      <c r="AI23" s="155">
        <v>1.0617348500356158E-2</v>
      </c>
      <c r="AJ23" s="145">
        <v>8</v>
      </c>
      <c r="AK23" s="151">
        <v>158.024</v>
      </c>
      <c r="AL23" s="146">
        <v>139.61578424000001</v>
      </c>
      <c r="AM23" s="156">
        <v>292.63703703703703</v>
      </c>
      <c r="AN23" s="157">
        <v>1.91102496294945</v>
      </c>
      <c r="AO23" s="158">
        <v>-8.6439481124129525E-2</v>
      </c>
      <c r="AP23" s="159">
        <v>0</v>
      </c>
      <c r="AQ23" s="157">
        <v>3.5665439268461586E-2</v>
      </c>
      <c r="AR23" s="159">
        <v>8.0269935518935631E-2</v>
      </c>
      <c r="AS23" s="158">
        <v>1.8245854818253204</v>
      </c>
      <c r="AT23" s="158">
        <v>0.13822607133893028</v>
      </c>
      <c r="AU23" s="159">
        <v>9.083559628829449E-2</v>
      </c>
      <c r="AV23" s="160">
        <v>584.82838565219799</v>
      </c>
      <c r="AW23" s="146">
        <v>533.94128922215634</v>
      </c>
      <c r="AX23" s="156">
        <v>560.52314897745532</v>
      </c>
      <c r="AY23" s="161"/>
      <c r="AZ23" s="161"/>
      <c r="BA23" s="161"/>
      <c r="BB23" s="161"/>
      <c r="BC23" s="161"/>
      <c r="BD23" s="161"/>
      <c r="BE23" s="162"/>
      <c r="BF23" s="162"/>
      <c r="BG23" s="162"/>
      <c r="BH23" s="163"/>
      <c r="BI23" s="163"/>
    </row>
    <row r="24" spans="1:61">
      <c r="A24" t="str">
        <f t="shared" si="0"/>
        <v>passenger HDV</v>
      </c>
      <c r="B24" s="141">
        <v>2.0999999999999999E-3</v>
      </c>
      <c r="C24" s="142">
        <f t="shared" si="1"/>
        <v>102617943.13497497</v>
      </c>
      <c r="D24">
        <f t="shared" si="2"/>
        <v>0.33185039999999999</v>
      </c>
      <c r="E24" t="s">
        <v>399</v>
      </c>
      <c r="F24">
        <v>0</v>
      </c>
      <c r="G24">
        <v>0.05</v>
      </c>
      <c r="H24">
        <v>0.14000000000000001</v>
      </c>
      <c r="I24">
        <f t="shared" si="3"/>
        <v>0</v>
      </c>
      <c r="J24">
        <f t="shared" si="3"/>
        <v>1.3043478260869566E-3</v>
      </c>
      <c r="K24">
        <f t="shared" si="3"/>
        <v>3.6521739130434779E-3</v>
      </c>
      <c r="L24">
        <f t="shared" si="4"/>
        <v>0</v>
      </c>
      <c r="M24">
        <f t="shared" si="4"/>
        <v>2.3211813741260902E-3</v>
      </c>
      <c r="N24">
        <f t="shared" si="4"/>
        <v>6.499307847553054E-3</v>
      </c>
      <c r="O24" s="143">
        <v>18</v>
      </c>
      <c r="P24" s="144" t="s">
        <v>404</v>
      </c>
      <c r="Q24" s="97" t="s">
        <v>401</v>
      </c>
      <c r="R24" s="145">
        <v>41</v>
      </c>
      <c r="S24" s="145">
        <v>47</v>
      </c>
      <c r="T24" s="146" t="s">
        <v>402</v>
      </c>
      <c r="U24" s="97" t="s">
        <v>402</v>
      </c>
      <c r="V24" s="166" t="s">
        <v>373</v>
      </c>
      <c r="W24" s="167" t="s">
        <v>403</v>
      </c>
      <c r="X24" s="97" t="s">
        <v>360</v>
      </c>
      <c r="Y24" s="149">
        <v>19051</v>
      </c>
      <c r="Z24" s="149">
        <v>42000.265568841023</v>
      </c>
      <c r="AA24" s="150">
        <v>794</v>
      </c>
      <c r="AB24" s="150">
        <v>6.86</v>
      </c>
      <c r="AC24" s="150">
        <v>7.7</v>
      </c>
      <c r="AD24" s="151">
        <v>20</v>
      </c>
      <c r="AE24" s="151">
        <v>100</v>
      </c>
      <c r="AF24" s="152">
        <v>25</v>
      </c>
      <c r="AG24" s="153">
        <v>15000</v>
      </c>
      <c r="AH24" s="154">
        <v>8995.0621474439595</v>
      </c>
      <c r="AI24" s="155">
        <v>1.0617348500356158E-2</v>
      </c>
      <c r="AJ24" s="145">
        <v>8</v>
      </c>
      <c r="AK24" s="151">
        <v>158.024</v>
      </c>
      <c r="AL24" s="146">
        <v>139.61578424000001</v>
      </c>
      <c r="AM24" s="156">
        <v>292.63703703703703</v>
      </c>
      <c r="AN24" s="157">
        <v>1.91102496294945</v>
      </c>
      <c r="AO24" s="158">
        <v>-8.6439481124129525E-2</v>
      </c>
      <c r="AP24" s="159">
        <v>0</v>
      </c>
      <c r="AQ24" s="157">
        <v>3.5665439268461586E-2</v>
      </c>
      <c r="AR24" s="159">
        <v>8.0269935518935631E-2</v>
      </c>
      <c r="AS24" s="158">
        <v>1.8245854818253204</v>
      </c>
      <c r="AT24" s="158">
        <v>0.13822607133893028</v>
      </c>
      <c r="AU24" s="159">
        <v>9.083559628829449E-2</v>
      </c>
      <c r="AV24" s="160">
        <v>584.82838565219799</v>
      </c>
      <c r="AW24" s="146">
        <v>533.94128922215634</v>
      </c>
      <c r="AX24" s="156">
        <v>560.52314897745532</v>
      </c>
      <c r="AY24" s="161"/>
      <c r="AZ24" s="161"/>
      <c r="BA24" s="161"/>
      <c r="BB24" s="161"/>
      <c r="BC24" s="161"/>
      <c r="BD24" s="161"/>
      <c r="BE24" s="162"/>
      <c r="BF24" s="162"/>
      <c r="BG24" s="162"/>
      <c r="BH24" s="163"/>
      <c r="BI24" s="163"/>
    </row>
    <row r="25" spans="1:61">
      <c r="A25" t="str">
        <f t="shared" si="0"/>
        <v>freight HDV</v>
      </c>
      <c r="B25" s="141">
        <v>3.3999999999999998E-3</v>
      </c>
      <c r="C25" s="142">
        <f t="shared" si="1"/>
        <v>93945503.708449617</v>
      </c>
      <c r="D25">
        <f t="shared" si="2"/>
        <v>0.30380508545999996</v>
      </c>
      <c r="E25" t="s">
        <v>368</v>
      </c>
      <c r="F25">
        <v>0.2</v>
      </c>
      <c r="G25">
        <v>0.26</v>
      </c>
      <c r="H25">
        <v>0.39</v>
      </c>
      <c r="I25">
        <f t="shared" si="3"/>
        <v>9.1767881241565461E-3</v>
      </c>
      <c r="J25">
        <f t="shared" si="3"/>
        <v>1.1929824561403509E-2</v>
      </c>
      <c r="K25">
        <f t="shared" si="3"/>
        <v>1.7894736842105262E-2</v>
      </c>
      <c r="L25">
        <f t="shared" si="4"/>
        <v>1.003742356896779E-2</v>
      </c>
      <c r="M25">
        <f t="shared" si="4"/>
        <v>1.3048650639658127E-2</v>
      </c>
      <c r="N25">
        <f t="shared" si="4"/>
        <v>1.9572975959487187E-2</v>
      </c>
      <c r="O25" s="143">
        <v>19</v>
      </c>
      <c r="P25" s="144" t="s">
        <v>405</v>
      </c>
      <c r="Q25" s="97" t="s">
        <v>406</v>
      </c>
      <c r="R25" s="145">
        <v>52</v>
      </c>
      <c r="S25" s="145">
        <v>47</v>
      </c>
      <c r="T25" s="146" t="s">
        <v>407</v>
      </c>
      <c r="U25" s="97" t="s">
        <v>408</v>
      </c>
      <c r="V25" s="166" t="s">
        <v>373</v>
      </c>
      <c r="W25" s="167"/>
      <c r="X25" s="97" t="s">
        <v>360</v>
      </c>
      <c r="Y25" s="149">
        <v>19051</v>
      </c>
      <c r="Z25" s="149">
        <v>42000.265568841023</v>
      </c>
      <c r="AA25" s="150">
        <v>794</v>
      </c>
      <c r="AB25" s="150">
        <v>6.86</v>
      </c>
      <c r="AC25" s="150">
        <v>7.7</v>
      </c>
      <c r="AD25" s="151">
        <v>20</v>
      </c>
      <c r="AE25" s="151">
        <v>100</v>
      </c>
      <c r="AF25" s="152">
        <v>25</v>
      </c>
      <c r="AG25" s="153">
        <v>15000</v>
      </c>
      <c r="AH25" s="154">
        <v>449.47687387742792</v>
      </c>
      <c r="AI25" s="155">
        <v>5.3054137198633674E-4</v>
      </c>
      <c r="AJ25" s="145">
        <v>8</v>
      </c>
      <c r="AK25" s="168">
        <v>89.354436899999996</v>
      </c>
      <c r="AL25" s="146">
        <v>78.945538545519</v>
      </c>
      <c r="AM25" s="156">
        <v>97.639311700999997</v>
      </c>
      <c r="AN25" s="157">
        <v>2.022714306716983</v>
      </c>
      <c r="AO25" s="158">
        <v>-0.36240972233448188</v>
      </c>
      <c r="AP25" s="159">
        <v>0.463497498781346</v>
      </c>
      <c r="AQ25" s="157">
        <v>3.7749896344797876E-2</v>
      </c>
      <c r="AR25" s="159">
        <v>8.4961290470435172E-2</v>
      </c>
      <c r="AS25" s="158">
        <v>2.1238020831638469</v>
      </c>
      <c r="AT25" s="158">
        <v>8.6008055105748146E-2</v>
      </c>
      <c r="AU25" s="159">
        <v>5.6520400930520916E-2</v>
      </c>
      <c r="AV25" s="160">
        <v>219.45021478642502</v>
      </c>
      <c r="AW25" s="146">
        <v>207.36657358926797</v>
      </c>
      <c r="AX25" s="156">
        <v>212.8851866331886</v>
      </c>
      <c r="AY25" s="161"/>
      <c r="AZ25" s="161"/>
      <c r="BA25" s="161"/>
      <c r="BB25" s="161"/>
      <c r="BC25" s="161"/>
      <c r="BD25" s="161"/>
      <c r="BE25" s="162"/>
      <c r="BF25" s="162"/>
      <c r="BG25" s="162"/>
      <c r="BH25" s="163"/>
      <c r="BI25" s="163"/>
    </row>
    <row r="26" spans="1:61">
      <c r="A26" t="str">
        <f t="shared" si="0"/>
        <v>freight HDV</v>
      </c>
      <c r="B26" s="141">
        <v>5.4000000000000003E-3</v>
      </c>
      <c r="C26" s="142">
        <f t="shared" si="1"/>
        <v>66793578.4231527</v>
      </c>
      <c r="D26">
        <f t="shared" si="2"/>
        <v>0.21600000000000003</v>
      </c>
      <c r="E26" t="s">
        <v>368</v>
      </c>
      <c r="F26">
        <v>0.14000000000000001</v>
      </c>
      <c r="G26">
        <v>0.26</v>
      </c>
      <c r="H26">
        <v>0.39</v>
      </c>
      <c r="I26">
        <f t="shared" si="3"/>
        <v>1.0202429149797573E-2</v>
      </c>
      <c r="J26">
        <f t="shared" si="3"/>
        <v>1.8947368421052633E-2</v>
      </c>
      <c r="K26">
        <f t="shared" si="3"/>
        <v>2.8421052631578951E-2</v>
      </c>
      <c r="L26">
        <f t="shared" si="4"/>
        <v>4.9955004582296573E-3</v>
      </c>
      <c r="M26">
        <f t="shared" si="4"/>
        <v>9.2773579938550781E-3</v>
      </c>
      <c r="N26">
        <f t="shared" si="4"/>
        <v>1.3916036990782615E-2</v>
      </c>
      <c r="O26" s="143">
        <v>20</v>
      </c>
      <c r="P26" s="144" t="s">
        <v>409</v>
      </c>
      <c r="Q26" s="97" t="s">
        <v>410</v>
      </c>
      <c r="R26" s="145">
        <v>52</v>
      </c>
      <c r="S26" s="145">
        <v>47</v>
      </c>
      <c r="T26" s="146" t="s">
        <v>387</v>
      </c>
      <c r="U26" s="97" t="s">
        <v>411</v>
      </c>
      <c r="V26" s="166" t="s">
        <v>373</v>
      </c>
      <c r="W26" s="167" t="s">
        <v>412</v>
      </c>
      <c r="X26" s="97" t="s">
        <v>366</v>
      </c>
      <c r="Y26" s="149">
        <v>19051</v>
      </c>
      <c r="Z26" s="149">
        <v>42000.265568841023</v>
      </c>
      <c r="AA26" s="150">
        <v>794</v>
      </c>
      <c r="AB26" s="150">
        <v>6.86</v>
      </c>
      <c r="AC26" s="150">
        <v>7.7</v>
      </c>
      <c r="AD26" s="151">
        <v>20</v>
      </c>
      <c r="AE26" s="151">
        <v>100</v>
      </c>
      <c r="AF26" s="152">
        <v>25</v>
      </c>
      <c r="AG26" s="153">
        <v>15000</v>
      </c>
      <c r="AH26" s="154">
        <v>2702.6185365557862</v>
      </c>
      <c r="AI26" s="155">
        <v>3.1900438702682238E-3</v>
      </c>
      <c r="AJ26" s="145">
        <v>8</v>
      </c>
      <c r="AK26" s="146">
        <v>40</v>
      </c>
      <c r="AL26" s="146">
        <v>35.340400000000002</v>
      </c>
      <c r="AM26" s="156">
        <v>111.11111111111111</v>
      </c>
      <c r="AN26" s="157">
        <v>2.0655118598730002</v>
      </c>
      <c r="AO26" s="158">
        <v>-0.37007775993344549</v>
      </c>
      <c r="AP26" s="159">
        <v>0.10660781843366376</v>
      </c>
      <c r="AQ26" s="157">
        <v>3.8548626640067737E-2</v>
      </c>
      <c r="AR26" s="159">
        <v>8.6758941939571205E-2</v>
      </c>
      <c r="AS26" s="158">
        <v>1.8020419183732186</v>
      </c>
      <c r="AT26" s="158">
        <v>7.5579905711402343E-2</v>
      </c>
      <c r="AU26" s="159">
        <v>4.9667517395285597E-2</v>
      </c>
      <c r="AV26" s="160">
        <v>212.90782785829873</v>
      </c>
      <c r="AW26" s="146">
        <v>200.22687981924651</v>
      </c>
      <c r="AX26" s="156">
        <v>205.74549286316713</v>
      </c>
      <c r="AY26" s="161"/>
      <c r="AZ26" s="161"/>
      <c r="BA26" s="161"/>
      <c r="BB26" s="161"/>
      <c r="BC26" s="161"/>
      <c r="BD26" s="161"/>
      <c r="BE26" s="162"/>
      <c r="BF26" s="162"/>
      <c r="BG26" s="162"/>
      <c r="BH26" s="163"/>
      <c r="BI26" s="163"/>
    </row>
    <row r="27" spans="1:61">
      <c r="A27" t="str">
        <f t="shared" si="0"/>
        <v>freight HDV</v>
      </c>
      <c r="B27" s="141">
        <v>5.4000000000000003E-3</v>
      </c>
      <c r="C27" s="142">
        <f t="shared" si="1"/>
        <v>66793578.4231527</v>
      </c>
      <c r="D27">
        <f t="shared" si="2"/>
        <v>0.21600000000000003</v>
      </c>
      <c r="E27" t="s">
        <v>368</v>
      </c>
      <c r="F27">
        <v>0.2</v>
      </c>
      <c r="G27">
        <v>0.37</v>
      </c>
      <c r="H27">
        <v>0.7</v>
      </c>
      <c r="I27">
        <f t="shared" si="3"/>
        <v>1.4574898785425101E-2</v>
      </c>
      <c r="J27">
        <f t="shared" si="3"/>
        <v>2.6963562753036439E-2</v>
      </c>
      <c r="K27">
        <f t="shared" si="3"/>
        <v>5.1012145748987853E-2</v>
      </c>
      <c r="L27">
        <f t="shared" si="4"/>
        <v>7.1364292260423677E-3</v>
      </c>
      <c r="M27">
        <f t="shared" si="4"/>
        <v>1.3202394068178379E-2</v>
      </c>
      <c r="N27">
        <f t="shared" si="4"/>
        <v>2.4977502291148281E-2</v>
      </c>
      <c r="O27" s="143">
        <v>21</v>
      </c>
      <c r="P27" s="144" t="s">
        <v>413</v>
      </c>
      <c r="Q27" s="97" t="s">
        <v>410</v>
      </c>
      <c r="R27" s="145">
        <v>52</v>
      </c>
      <c r="S27" s="145">
        <v>47</v>
      </c>
      <c r="T27" s="146" t="s">
        <v>371</v>
      </c>
      <c r="U27" s="97" t="s">
        <v>411</v>
      </c>
      <c r="V27" s="166" t="s">
        <v>373</v>
      </c>
      <c r="W27" s="167" t="s">
        <v>412</v>
      </c>
      <c r="X27" s="97" t="s">
        <v>360</v>
      </c>
      <c r="Y27" s="149">
        <v>19051</v>
      </c>
      <c r="Z27" s="149">
        <v>42000.265568841023</v>
      </c>
      <c r="AA27" s="150">
        <v>794</v>
      </c>
      <c r="AB27" s="150">
        <v>6.86</v>
      </c>
      <c r="AC27" s="150">
        <v>7.7</v>
      </c>
      <c r="AD27" s="151">
        <v>20</v>
      </c>
      <c r="AE27" s="151">
        <v>100</v>
      </c>
      <c r="AF27" s="152">
        <v>25</v>
      </c>
      <c r="AG27" s="153">
        <v>15000</v>
      </c>
      <c r="AH27" s="154">
        <v>2702.6185365557862</v>
      </c>
      <c r="AI27" s="155">
        <v>3.1900438702682238E-3</v>
      </c>
      <c r="AJ27" s="145">
        <v>8</v>
      </c>
      <c r="AK27" s="146">
        <v>40</v>
      </c>
      <c r="AL27" s="146">
        <v>35.340400000000002</v>
      </c>
      <c r="AM27" s="156">
        <v>111.11111111111111</v>
      </c>
      <c r="AN27" s="157">
        <v>2.0695124788824248</v>
      </c>
      <c r="AO27" s="158">
        <v>-0.22899776432577695</v>
      </c>
      <c r="AP27" s="159">
        <v>8.5897033409696247E-2</v>
      </c>
      <c r="AQ27" s="157">
        <v>3.8623290151577637E-2</v>
      </c>
      <c r="AR27" s="159">
        <v>8.6926982355655935E-2</v>
      </c>
      <c r="AS27" s="158">
        <v>1.9264117479663443</v>
      </c>
      <c r="AT27" s="158">
        <v>7.5579905711402343E-2</v>
      </c>
      <c r="AU27" s="159">
        <v>4.9667517395285597E-2</v>
      </c>
      <c r="AV27" s="160">
        <v>226.7349937588138</v>
      </c>
      <c r="AW27" s="146">
        <v>214.04574977403826</v>
      </c>
      <c r="AX27" s="156">
        <v>219.56436281795888</v>
      </c>
      <c r="AY27" s="161"/>
      <c r="AZ27" s="161"/>
      <c r="BA27" s="161"/>
      <c r="BB27" s="161"/>
      <c r="BC27" s="161"/>
      <c r="BD27" s="161"/>
      <c r="BE27" s="162"/>
      <c r="BF27" s="162"/>
      <c r="BG27" s="162"/>
      <c r="BH27" s="163"/>
      <c r="BI27" s="163"/>
    </row>
    <row r="28" spans="1:61">
      <c r="A28" t="str">
        <f t="shared" si="0"/>
        <v>freight LDV</v>
      </c>
      <c r="B28" s="141">
        <v>1.4500000000000001E-2</v>
      </c>
      <c r="C28" s="142">
        <f t="shared" si="1"/>
        <v>251882434.222132</v>
      </c>
      <c r="D28">
        <f t="shared" si="2"/>
        <v>0.81454845026122313</v>
      </c>
      <c r="E28" t="s">
        <v>378</v>
      </c>
      <c r="F28">
        <v>0.14000000000000001</v>
      </c>
      <c r="G28">
        <v>0.14000000000000001</v>
      </c>
      <c r="H28">
        <v>0.14000000000000001</v>
      </c>
      <c r="I28">
        <f t="shared" si="3"/>
        <v>1.2954690491384809E-2</v>
      </c>
      <c r="J28">
        <f t="shared" si="3"/>
        <v>1.2954690491384809E-2</v>
      </c>
      <c r="K28">
        <f t="shared" si="3"/>
        <v>1.2954690491384809E-2</v>
      </c>
      <c r="L28">
        <f t="shared" si="4"/>
        <v>9.8447774021624898E-3</v>
      </c>
      <c r="M28">
        <f t="shared" si="4"/>
        <v>9.8447774021624898E-3</v>
      </c>
      <c r="N28">
        <f t="shared" si="4"/>
        <v>9.8447774021624898E-3</v>
      </c>
      <c r="O28" s="143">
        <v>22</v>
      </c>
      <c r="P28" s="144" t="s">
        <v>414</v>
      </c>
      <c r="Q28" s="97" t="s">
        <v>415</v>
      </c>
      <c r="R28" s="145">
        <v>52</v>
      </c>
      <c r="S28" s="145">
        <v>46</v>
      </c>
      <c r="T28" s="146" t="s">
        <v>381</v>
      </c>
      <c r="U28" s="97" t="s">
        <v>411</v>
      </c>
      <c r="V28" s="147" t="s">
        <v>382</v>
      </c>
      <c r="W28" s="148" t="s">
        <v>416</v>
      </c>
      <c r="X28" s="97" t="s">
        <v>360</v>
      </c>
      <c r="Y28" s="149">
        <v>11408</v>
      </c>
      <c r="Z28" s="149">
        <v>25150.334870050832</v>
      </c>
      <c r="AA28" s="150">
        <v>340</v>
      </c>
      <c r="AB28" s="150">
        <v>5.4</v>
      </c>
      <c r="AC28" s="150">
        <v>7.7</v>
      </c>
      <c r="AD28" s="151">
        <v>16</v>
      </c>
      <c r="AE28" s="151">
        <v>50</v>
      </c>
      <c r="AF28" s="152">
        <v>45</v>
      </c>
      <c r="AG28" s="153">
        <v>11200</v>
      </c>
      <c r="AH28" s="154">
        <v>5171.8446591507036</v>
      </c>
      <c r="AI28" s="155">
        <v>6.1046023068903792E-3</v>
      </c>
      <c r="AJ28" s="145">
        <v>8</v>
      </c>
      <c r="AK28" s="146">
        <v>56.175755190429179</v>
      </c>
      <c r="AL28" s="146">
        <v>49.631841468296081</v>
      </c>
      <c r="AM28" s="156">
        <v>155.77157549434025</v>
      </c>
      <c r="AN28" s="157">
        <v>1.3643385909304979</v>
      </c>
      <c r="AO28" s="158">
        <v>-0.13719516002678903</v>
      </c>
      <c r="AP28" s="159">
        <v>6.8663358017375289E-2</v>
      </c>
      <c r="AQ28" s="157">
        <v>2.5462637118747709E-2</v>
      </c>
      <c r="AR28" s="159">
        <v>5.7307137710520553E-2</v>
      </c>
      <c r="AS28" s="158">
        <v>1.295806788921084</v>
      </c>
      <c r="AT28" s="158">
        <v>5.3910781056278452E-2</v>
      </c>
      <c r="AU28" s="159">
        <v>3.5427599845525945E-2</v>
      </c>
      <c r="AV28" s="160">
        <v>214.21398744799419</v>
      </c>
      <c r="AW28" s="146">
        <v>201.84986504649927</v>
      </c>
      <c r="AX28" s="156">
        <v>207.3684780904199</v>
      </c>
      <c r="AY28" s="161"/>
      <c r="AZ28" s="161"/>
      <c r="BA28" s="161"/>
      <c r="BB28" s="161"/>
      <c r="BC28" s="161"/>
      <c r="BD28" s="161"/>
      <c r="BE28" s="162"/>
      <c r="BF28" s="162"/>
      <c r="BG28" s="162"/>
      <c r="BH28" s="163"/>
      <c r="BI28" s="163"/>
    </row>
    <row r="29" spans="1:61">
      <c r="A29" t="str">
        <f t="shared" si="0"/>
        <v>freight LDV</v>
      </c>
      <c r="B29" s="141">
        <v>5.4000000000000003E-3</v>
      </c>
      <c r="C29" s="142">
        <f t="shared" si="1"/>
        <v>66793578.4231527</v>
      </c>
      <c r="D29">
        <f t="shared" si="2"/>
        <v>0.21600000000000003</v>
      </c>
      <c r="E29" t="s">
        <v>378</v>
      </c>
      <c r="F29">
        <v>0.05</v>
      </c>
      <c r="G29">
        <v>0.14000000000000001</v>
      </c>
      <c r="H29">
        <v>0.14000000000000001</v>
      </c>
      <c r="I29">
        <f t="shared" si="3"/>
        <v>1.7230376515634967E-3</v>
      </c>
      <c r="J29">
        <f t="shared" si="3"/>
        <v>4.8245054243777922E-3</v>
      </c>
      <c r="K29">
        <f t="shared" si="3"/>
        <v>4.8245054243777922E-3</v>
      </c>
      <c r="L29">
        <f t="shared" si="4"/>
        <v>9.3236228795806392E-4</v>
      </c>
      <c r="M29">
        <f t="shared" si="4"/>
        <v>2.610614406282579E-3</v>
      </c>
      <c r="N29">
        <f t="shared" si="4"/>
        <v>2.610614406282579E-3</v>
      </c>
      <c r="O29" s="143">
        <v>23</v>
      </c>
      <c r="P29" s="144" t="s">
        <v>417</v>
      </c>
      <c r="Q29" s="97" t="s">
        <v>410</v>
      </c>
      <c r="R29" s="145">
        <v>52</v>
      </c>
      <c r="S29" s="145">
        <v>47</v>
      </c>
      <c r="T29" s="146" t="s">
        <v>387</v>
      </c>
      <c r="U29" s="97" t="s">
        <v>411</v>
      </c>
      <c r="V29" s="166" t="s">
        <v>373</v>
      </c>
      <c r="W29" s="167" t="s">
        <v>412</v>
      </c>
      <c r="X29" s="97" t="s">
        <v>366</v>
      </c>
      <c r="Y29" s="149">
        <v>19051</v>
      </c>
      <c r="Z29" s="149">
        <v>42000.265568841023</v>
      </c>
      <c r="AA29" s="150">
        <v>794</v>
      </c>
      <c r="AB29" s="150">
        <v>6.86</v>
      </c>
      <c r="AC29" s="150">
        <v>7.7</v>
      </c>
      <c r="AD29" s="151">
        <v>20</v>
      </c>
      <c r="AE29" s="151">
        <v>100</v>
      </c>
      <c r="AF29" s="152">
        <v>25</v>
      </c>
      <c r="AG29" s="153">
        <v>15000</v>
      </c>
      <c r="AH29" s="154">
        <v>2702.6185365557862</v>
      </c>
      <c r="AI29" s="155">
        <v>3.1900438702682238E-3</v>
      </c>
      <c r="AJ29" s="145">
        <v>8</v>
      </c>
      <c r="AK29" s="146">
        <v>40</v>
      </c>
      <c r="AL29" s="146">
        <v>35.340400000000002</v>
      </c>
      <c r="AM29" s="156">
        <v>111.11111111111111</v>
      </c>
      <c r="AN29" s="157">
        <v>2.0655118598730002</v>
      </c>
      <c r="AO29" s="158">
        <v>-0.37007775993344549</v>
      </c>
      <c r="AP29" s="159">
        <v>0.10660781843366376</v>
      </c>
      <c r="AQ29" s="157">
        <v>3.8548626640067737E-2</v>
      </c>
      <c r="AR29" s="159">
        <v>8.6758941939571205E-2</v>
      </c>
      <c r="AS29" s="158">
        <v>1.8020419183732186</v>
      </c>
      <c r="AT29" s="158">
        <v>7.5579905711402343E-2</v>
      </c>
      <c r="AU29" s="159">
        <v>4.9667517395285597E-2</v>
      </c>
      <c r="AV29" s="160">
        <v>212.90782785829873</v>
      </c>
      <c r="AW29" s="146">
        <v>200.22687981924651</v>
      </c>
      <c r="AX29" s="156">
        <v>205.74549286316713</v>
      </c>
      <c r="AY29" s="161"/>
      <c r="AZ29" s="161"/>
      <c r="BA29" s="161"/>
      <c r="BB29" s="161"/>
      <c r="BC29" s="161"/>
      <c r="BD29" s="161"/>
      <c r="BE29" s="162"/>
      <c r="BF29" s="162"/>
      <c r="BG29" s="162"/>
      <c r="BH29" s="163"/>
      <c r="BI29" s="163"/>
    </row>
    <row r="30" spans="1:61">
      <c r="A30" t="str">
        <f t="shared" si="0"/>
        <v>freight LDV</v>
      </c>
      <c r="B30" s="141">
        <v>1.4500000000000001E-2</v>
      </c>
      <c r="C30" s="142">
        <f t="shared" si="1"/>
        <v>251882434.222132</v>
      </c>
      <c r="D30">
        <f t="shared" si="2"/>
        <v>0.81454845026122313</v>
      </c>
      <c r="E30" t="s">
        <v>378</v>
      </c>
      <c r="F30">
        <v>0.05</v>
      </c>
      <c r="G30">
        <v>0.05</v>
      </c>
      <c r="H30">
        <v>0.05</v>
      </c>
      <c r="I30">
        <f t="shared" si="3"/>
        <v>4.6266751754945748E-3</v>
      </c>
      <c r="J30">
        <f t="shared" si="3"/>
        <v>4.6266751754945748E-3</v>
      </c>
      <c r="K30">
        <f t="shared" si="3"/>
        <v>4.6266751754945748E-3</v>
      </c>
      <c r="L30">
        <f t="shared" si="4"/>
        <v>3.5159919293437461E-3</v>
      </c>
      <c r="M30">
        <f t="shared" si="4"/>
        <v>3.5159919293437461E-3</v>
      </c>
      <c r="N30">
        <f t="shared" si="4"/>
        <v>3.5159919293437461E-3</v>
      </c>
      <c r="O30" s="143">
        <v>24</v>
      </c>
      <c r="P30" s="144" t="s">
        <v>418</v>
      </c>
      <c r="Q30" s="97" t="s">
        <v>415</v>
      </c>
      <c r="R30" s="145">
        <v>52</v>
      </c>
      <c r="S30" s="145">
        <v>46</v>
      </c>
      <c r="T30" s="146" t="s">
        <v>389</v>
      </c>
      <c r="U30" s="97" t="s">
        <v>411</v>
      </c>
      <c r="V30" s="147" t="s">
        <v>382</v>
      </c>
      <c r="W30" s="148" t="s">
        <v>416</v>
      </c>
      <c r="X30" s="97" t="s">
        <v>366</v>
      </c>
      <c r="Y30" s="149">
        <v>11408</v>
      </c>
      <c r="Z30" s="149">
        <v>25150.334870050832</v>
      </c>
      <c r="AA30" s="150">
        <v>340</v>
      </c>
      <c r="AB30" s="150">
        <v>5.4</v>
      </c>
      <c r="AC30" s="150">
        <v>7.7</v>
      </c>
      <c r="AD30" s="151">
        <v>16</v>
      </c>
      <c r="AE30" s="151">
        <v>50</v>
      </c>
      <c r="AF30" s="152">
        <v>45</v>
      </c>
      <c r="AG30" s="153">
        <v>11200</v>
      </c>
      <c r="AH30" s="154">
        <v>5171.8446591507036</v>
      </c>
      <c r="AI30" s="155">
        <v>6.1046023068903792E-3</v>
      </c>
      <c r="AJ30" s="145">
        <v>8</v>
      </c>
      <c r="AK30" s="146">
        <v>56.175755190429179</v>
      </c>
      <c r="AL30" s="146">
        <v>49.631841468296081</v>
      </c>
      <c r="AM30" s="156">
        <v>155.77157549434025</v>
      </c>
      <c r="AN30" s="157">
        <v>1.3059420071902388</v>
      </c>
      <c r="AO30" s="158">
        <v>-0.2199937667632389</v>
      </c>
      <c r="AP30" s="159">
        <v>7.5637643808369334E-2</v>
      </c>
      <c r="AQ30" s="157">
        <v>2.437278227579507E-2</v>
      </c>
      <c r="AR30" s="159">
        <v>5.4854270740053501E-2</v>
      </c>
      <c r="AS30" s="158">
        <v>1.161585884235369</v>
      </c>
      <c r="AT30" s="158">
        <v>5.3910781056278452E-2</v>
      </c>
      <c r="AU30" s="159">
        <v>3.5427599845525945E-2</v>
      </c>
      <c r="AV30" s="160">
        <v>193.13641725487781</v>
      </c>
      <c r="AW30" s="146">
        <v>180.94206325932976</v>
      </c>
      <c r="AX30" s="156">
        <v>186.46067630325041</v>
      </c>
      <c r="AY30" s="161"/>
      <c r="AZ30" s="161"/>
      <c r="BA30" s="161"/>
      <c r="BB30" s="161"/>
      <c r="BC30" s="161"/>
      <c r="BD30" s="161"/>
      <c r="BE30" s="162"/>
      <c r="BF30" s="162"/>
      <c r="BG30" s="162"/>
      <c r="BH30" s="163"/>
      <c r="BI30" s="163"/>
    </row>
    <row r="31" spans="1:61">
      <c r="A31" t="str">
        <f t="shared" si="0"/>
        <v>freight HDV</v>
      </c>
      <c r="B31" s="141">
        <v>3.3999999999999998E-3</v>
      </c>
      <c r="C31" s="142">
        <f t="shared" si="1"/>
        <v>42055216.044207253</v>
      </c>
      <c r="D31">
        <f t="shared" si="2"/>
        <v>0.13599999999999998</v>
      </c>
      <c r="E31" t="s">
        <v>368</v>
      </c>
      <c r="F31">
        <v>0.05</v>
      </c>
      <c r="G31">
        <v>0.14000000000000001</v>
      </c>
      <c r="H31">
        <v>0.14000000000000001</v>
      </c>
      <c r="I31">
        <f t="shared" si="3"/>
        <v>2.2941970310391365E-3</v>
      </c>
      <c r="J31">
        <f t="shared" si="3"/>
        <v>6.4237516869095823E-3</v>
      </c>
      <c r="K31">
        <f t="shared" si="3"/>
        <v>6.4237516869095823E-3</v>
      </c>
      <c r="L31">
        <f t="shared" si="4"/>
        <v>1.1233268226177799E-3</v>
      </c>
      <c r="M31">
        <f t="shared" si="4"/>
        <v>3.1453151033297832E-3</v>
      </c>
      <c r="N31">
        <f t="shared" si="4"/>
        <v>3.1453151033297832E-3</v>
      </c>
      <c r="O31" s="143">
        <v>25</v>
      </c>
      <c r="P31" s="144" t="s">
        <v>419</v>
      </c>
      <c r="Q31" s="97" t="s">
        <v>420</v>
      </c>
      <c r="R31" s="145">
        <v>52</v>
      </c>
      <c r="S31" s="145">
        <v>47</v>
      </c>
      <c r="T31" s="146" t="s">
        <v>371</v>
      </c>
      <c r="U31" s="97" t="s">
        <v>421</v>
      </c>
      <c r="V31" s="166" t="s">
        <v>373</v>
      </c>
      <c r="W31" s="167"/>
      <c r="X31" s="97" t="s">
        <v>360</v>
      </c>
      <c r="Y31" s="149">
        <v>19051</v>
      </c>
      <c r="Z31" s="149">
        <v>42000.265568841023</v>
      </c>
      <c r="AA31" s="150">
        <v>794</v>
      </c>
      <c r="AB31" s="150">
        <v>6.86</v>
      </c>
      <c r="AC31" s="150">
        <v>7.7</v>
      </c>
      <c r="AD31" s="151">
        <v>20</v>
      </c>
      <c r="AE31" s="151">
        <v>100</v>
      </c>
      <c r="AF31" s="152">
        <v>25</v>
      </c>
      <c r="AG31" s="153">
        <v>15000</v>
      </c>
      <c r="AH31" s="154">
        <v>208.75854807922897</v>
      </c>
      <c r="AI31" s="155">
        <v>2.4640877639910044E-4</v>
      </c>
      <c r="AJ31" s="145">
        <v>8</v>
      </c>
      <c r="AK31" s="146">
        <v>40</v>
      </c>
      <c r="AL31" s="146">
        <v>35.340400000000002</v>
      </c>
      <c r="AM31" s="156">
        <v>111.11111111111111</v>
      </c>
      <c r="AN31" s="157">
        <v>2.0695124788824248</v>
      </c>
      <c r="AO31" s="158">
        <v>-0.22899776432577695</v>
      </c>
      <c r="AP31" s="159">
        <v>0.14316172234949373</v>
      </c>
      <c r="AQ31" s="157">
        <v>3.8623290151577637E-2</v>
      </c>
      <c r="AR31" s="159">
        <v>8.6926982355655935E-2</v>
      </c>
      <c r="AS31" s="158">
        <v>1.9836764369061415</v>
      </c>
      <c r="AT31" s="158">
        <v>7.5579905711402343E-2</v>
      </c>
      <c r="AU31" s="159">
        <v>4.9667517395285597E-2</v>
      </c>
      <c r="AV31" s="160">
        <v>233.09773697434682</v>
      </c>
      <c r="AW31" s="146">
        <v>220.40849298957127</v>
      </c>
      <c r="AX31" s="156">
        <v>225.9271060334919</v>
      </c>
      <c r="AY31" s="161"/>
      <c r="AZ31" s="161"/>
      <c r="BA31" s="161"/>
      <c r="BB31" s="161"/>
      <c r="BC31" s="161"/>
      <c r="BD31" s="161"/>
      <c r="BE31" s="162"/>
      <c r="BF31" s="162"/>
      <c r="BG31" s="162"/>
      <c r="BH31" s="163"/>
      <c r="BI31" s="163"/>
    </row>
    <row r="32" spans="1:61">
      <c r="A32" t="str">
        <f t="shared" si="0"/>
        <v>freight HDV</v>
      </c>
      <c r="B32" s="141">
        <v>3.3999999999999998E-3</v>
      </c>
      <c r="C32" s="142">
        <f t="shared" si="1"/>
        <v>42055216.044207253</v>
      </c>
      <c r="D32">
        <f t="shared" si="2"/>
        <v>0.13599999999999998</v>
      </c>
      <c r="E32" t="s">
        <v>368</v>
      </c>
      <c r="F32">
        <v>0.05</v>
      </c>
      <c r="G32">
        <v>0.14000000000000001</v>
      </c>
      <c r="H32">
        <v>0.14000000000000001</v>
      </c>
      <c r="I32">
        <f t="shared" si="3"/>
        <v>2.2941970310391365E-3</v>
      </c>
      <c r="J32">
        <f t="shared" si="3"/>
        <v>6.4237516869095823E-3</v>
      </c>
      <c r="K32">
        <f t="shared" si="3"/>
        <v>6.4237516869095823E-3</v>
      </c>
      <c r="L32">
        <f t="shared" si="4"/>
        <v>1.1233268226177799E-3</v>
      </c>
      <c r="M32">
        <f t="shared" si="4"/>
        <v>3.1453151033297832E-3</v>
      </c>
      <c r="N32">
        <f t="shared" si="4"/>
        <v>3.1453151033297832E-3</v>
      </c>
      <c r="O32" s="143">
        <v>26</v>
      </c>
      <c r="P32" s="144" t="s">
        <v>422</v>
      </c>
      <c r="Q32" s="97" t="s">
        <v>420</v>
      </c>
      <c r="R32" s="145">
        <v>52</v>
      </c>
      <c r="S32" s="145">
        <v>47</v>
      </c>
      <c r="T32" s="146" t="s">
        <v>387</v>
      </c>
      <c r="U32" s="97" t="s">
        <v>421</v>
      </c>
      <c r="V32" s="166" t="s">
        <v>373</v>
      </c>
      <c r="W32" s="167"/>
      <c r="X32" s="97" t="s">
        <v>366</v>
      </c>
      <c r="Y32" s="149">
        <v>19051</v>
      </c>
      <c r="Z32" s="149">
        <v>42000.265568841023</v>
      </c>
      <c r="AA32" s="150">
        <v>794</v>
      </c>
      <c r="AB32" s="150">
        <v>6.86</v>
      </c>
      <c r="AC32" s="150">
        <v>7.7</v>
      </c>
      <c r="AD32" s="151">
        <v>20</v>
      </c>
      <c r="AE32" s="151">
        <v>100</v>
      </c>
      <c r="AF32" s="152">
        <v>25</v>
      </c>
      <c r="AG32" s="153">
        <v>15000</v>
      </c>
      <c r="AH32" s="154">
        <v>208.75854807922897</v>
      </c>
      <c r="AI32" s="155">
        <v>2.4640877639910044E-4</v>
      </c>
      <c r="AJ32" s="145">
        <v>8</v>
      </c>
      <c r="AK32" s="146">
        <v>40</v>
      </c>
      <c r="AL32" s="146">
        <v>35.340400000000002</v>
      </c>
      <c r="AM32" s="156">
        <v>111.11111111111111</v>
      </c>
      <c r="AN32" s="157">
        <v>2.0655118598730002</v>
      </c>
      <c r="AO32" s="158">
        <v>-0.37007775993344549</v>
      </c>
      <c r="AP32" s="159">
        <v>0.17767969738943962</v>
      </c>
      <c r="AQ32" s="157">
        <v>3.8548626640067737E-2</v>
      </c>
      <c r="AR32" s="159">
        <v>8.6758941939571205E-2</v>
      </c>
      <c r="AS32" s="158">
        <v>1.8731137973289942</v>
      </c>
      <c r="AT32" s="158">
        <v>7.5579905711402343E-2</v>
      </c>
      <c r="AU32" s="159">
        <v>4.9667517395285597E-2</v>
      </c>
      <c r="AV32" s="160">
        <v>220.80470329782938</v>
      </c>
      <c r="AW32" s="146">
        <v>208.12375525877715</v>
      </c>
      <c r="AX32" s="156">
        <v>213.64236830269778</v>
      </c>
      <c r="AY32" s="161"/>
      <c r="AZ32" s="161"/>
      <c r="BA32" s="161"/>
      <c r="BB32" s="161"/>
      <c r="BC32" s="161"/>
      <c r="BD32" s="161"/>
      <c r="BE32" s="162"/>
      <c r="BF32" s="162"/>
      <c r="BG32" s="162"/>
      <c r="BH32" s="163"/>
      <c r="BI32" s="163"/>
    </row>
    <row r="33" spans="1:61">
      <c r="A33" t="str">
        <f t="shared" si="0"/>
        <v>freight LDV</v>
      </c>
      <c r="B33" s="141">
        <v>7.7000000000000002E-3</v>
      </c>
      <c r="C33" s="142">
        <f t="shared" si="1"/>
        <v>94868953.710622787</v>
      </c>
      <c r="D33">
        <f t="shared" si="2"/>
        <v>0.30679137853155464</v>
      </c>
      <c r="E33" t="s">
        <v>378</v>
      </c>
      <c r="F33">
        <v>0.14000000000000001</v>
      </c>
      <c r="G33">
        <v>0.37</v>
      </c>
      <c r="H33">
        <v>0.39</v>
      </c>
      <c r="I33">
        <f t="shared" si="3"/>
        <v>6.8793873643905549E-3</v>
      </c>
      <c r="J33">
        <f t="shared" si="3"/>
        <v>1.8181238034460749E-2</v>
      </c>
      <c r="K33">
        <f t="shared" si="3"/>
        <v>1.9164007657945115E-2</v>
      </c>
      <c r="L33">
        <f t="shared" si="4"/>
        <v>3.7079351505452242E-3</v>
      </c>
      <c r="M33">
        <f t="shared" si="4"/>
        <v>9.7995428978695197E-3</v>
      </c>
      <c r="N33">
        <f t="shared" si="4"/>
        <v>1.032924791937598E-2</v>
      </c>
      <c r="O33" s="143">
        <v>27</v>
      </c>
      <c r="P33" s="144" t="s">
        <v>423</v>
      </c>
      <c r="Q33" s="97" t="s">
        <v>424</v>
      </c>
      <c r="R33" s="145">
        <v>52</v>
      </c>
      <c r="S33" s="145">
        <v>46</v>
      </c>
      <c r="T33" s="146" t="s">
        <v>381</v>
      </c>
      <c r="U33" s="97" t="s">
        <v>425</v>
      </c>
      <c r="V33" s="147" t="s">
        <v>382</v>
      </c>
      <c r="W33" s="148" t="s">
        <v>383</v>
      </c>
      <c r="X33" s="97" t="s">
        <v>360</v>
      </c>
      <c r="Y33" s="149">
        <v>11408</v>
      </c>
      <c r="Z33" s="149">
        <v>25150.334870050832</v>
      </c>
      <c r="AA33" s="150">
        <v>340</v>
      </c>
      <c r="AB33" s="150">
        <v>5.4</v>
      </c>
      <c r="AC33" s="150">
        <v>7.7</v>
      </c>
      <c r="AD33" s="151">
        <v>16</v>
      </c>
      <c r="AE33" s="151">
        <v>50</v>
      </c>
      <c r="AF33" s="152">
        <v>45</v>
      </c>
      <c r="AG33" s="153">
        <v>11200</v>
      </c>
      <c r="AH33" s="154">
        <v>5171.8446591507036</v>
      </c>
      <c r="AI33" s="155">
        <v>6.1046023068903792E-3</v>
      </c>
      <c r="AJ33" s="145">
        <v>8</v>
      </c>
      <c r="AK33" s="146">
        <v>39.843036172929175</v>
      </c>
      <c r="AL33" s="146">
        <v>35.201720889144653</v>
      </c>
      <c r="AM33" s="156">
        <v>89.879007193840252</v>
      </c>
      <c r="AN33" s="157">
        <v>1.3643385909304979</v>
      </c>
      <c r="AO33" s="158">
        <v>-0.13719516002678903</v>
      </c>
      <c r="AP33" s="159">
        <v>0</v>
      </c>
      <c r="AQ33" s="157">
        <v>2.5462637118747709E-2</v>
      </c>
      <c r="AR33" s="159">
        <v>5.7307137710520553E-2</v>
      </c>
      <c r="AS33" s="158">
        <v>1.2271434309037088</v>
      </c>
      <c r="AT33" s="158">
        <v>9.3434135105160118E-2</v>
      </c>
      <c r="AU33" s="159">
        <v>6.1400467319568185E-2</v>
      </c>
      <c r="AV33" s="160">
        <v>120.98075710010525</v>
      </c>
      <c r="AW33" s="146">
        <v>110.29443325406825</v>
      </c>
      <c r="AX33" s="156">
        <v>115.81304629798888</v>
      </c>
      <c r="AY33" s="161"/>
      <c r="AZ33" s="161"/>
      <c r="BA33" s="161"/>
      <c r="BB33" s="161"/>
      <c r="BC33" s="161"/>
      <c r="BD33" s="161"/>
      <c r="BE33" s="162"/>
      <c r="BF33" s="162"/>
      <c r="BG33" s="162"/>
      <c r="BH33" s="163"/>
      <c r="BI33" s="163"/>
    </row>
    <row r="34" spans="1:61">
      <c r="A34" t="str">
        <f t="shared" si="0"/>
        <v>freight LDV</v>
      </c>
      <c r="B34" s="141">
        <v>7.7000000000000002E-3</v>
      </c>
      <c r="C34" s="142">
        <f t="shared" si="1"/>
        <v>94868953.710622787</v>
      </c>
      <c r="D34">
        <f t="shared" si="2"/>
        <v>0.30679137853155464</v>
      </c>
      <c r="E34" t="s">
        <v>378</v>
      </c>
      <c r="F34">
        <v>0.05</v>
      </c>
      <c r="G34">
        <v>0.14000000000000001</v>
      </c>
      <c r="H34">
        <v>0.14000000000000001</v>
      </c>
      <c r="I34">
        <f t="shared" si="3"/>
        <v>2.4569240587109121E-3</v>
      </c>
      <c r="J34">
        <f t="shared" si="3"/>
        <v>6.8793873643905549E-3</v>
      </c>
      <c r="K34">
        <f t="shared" si="3"/>
        <v>6.8793873643905549E-3</v>
      </c>
      <c r="L34">
        <f t="shared" si="4"/>
        <v>1.3242625537661513E-3</v>
      </c>
      <c r="M34">
        <f t="shared" si="4"/>
        <v>3.7079351505452242E-3</v>
      </c>
      <c r="N34">
        <f t="shared" si="4"/>
        <v>3.7079351505452242E-3</v>
      </c>
      <c r="O34" s="143">
        <v>28</v>
      </c>
      <c r="P34" s="144" t="s">
        <v>426</v>
      </c>
      <c r="Q34" s="97" t="s">
        <v>424</v>
      </c>
      <c r="R34" s="145">
        <v>52</v>
      </c>
      <c r="S34" s="145">
        <v>46</v>
      </c>
      <c r="T34" s="146" t="s">
        <v>385</v>
      </c>
      <c r="U34" s="97" t="s">
        <v>425</v>
      </c>
      <c r="V34" s="147" t="s">
        <v>382</v>
      </c>
      <c r="W34" s="148" t="s">
        <v>383</v>
      </c>
      <c r="X34" s="97" t="s">
        <v>377</v>
      </c>
      <c r="Y34" s="149">
        <v>11408</v>
      </c>
      <c r="Z34" s="149">
        <v>25150.334870050832</v>
      </c>
      <c r="AA34" s="150">
        <v>340</v>
      </c>
      <c r="AB34" s="150">
        <v>5.4</v>
      </c>
      <c r="AC34" s="150">
        <v>7.7</v>
      </c>
      <c r="AD34" s="151">
        <v>16</v>
      </c>
      <c r="AE34" s="151">
        <v>50</v>
      </c>
      <c r="AF34" s="152">
        <v>45</v>
      </c>
      <c r="AG34" s="153">
        <v>11200</v>
      </c>
      <c r="AH34" s="154">
        <v>5171.8446591507036</v>
      </c>
      <c r="AI34" s="155">
        <v>6.1046023068903792E-3</v>
      </c>
      <c r="AJ34" s="145">
        <v>8</v>
      </c>
      <c r="AK34" s="146">
        <v>39.843036172929175</v>
      </c>
      <c r="AL34" s="146">
        <v>35.201720889144653</v>
      </c>
      <c r="AM34" s="156">
        <v>89.879007193840252</v>
      </c>
      <c r="AN34" s="157">
        <v>1.4451053055964747</v>
      </c>
      <c r="AO34" s="158">
        <v>-5.6081646699588004E-2</v>
      </c>
      <c r="AP34" s="159">
        <v>0</v>
      </c>
      <c r="AQ34" s="157">
        <v>2.6969985485556434E-2</v>
      </c>
      <c r="AR34" s="159">
        <v>6.0699630798788873E-2</v>
      </c>
      <c r="AS34" s="158">
        <v>1.3890236588968867</v>
      </c>
      <c r="AT34" s="158">
        <v>9.3434135105160118E-2</v>
      </c>
      <c r="AU34" s="159">
        <v>6.1400467319568185E-2</v>
      </c>
      <c r="AV34" s="160">
        <v>135.66587025114862</v>
      </c>
      <c r="AW34" s="146">
        <v>124.84406743040759</v>
      </c>
      <c r="AX34" s="156">
        <v>130.36268047432822</v>
      </c>
      <c r="AY34" s="161"/>
      <c r="AZ34" s="161"/>
      <c r="BA34" s="161"/>
      <c r="BB34" s="161"/>
      <c r="BC34" s="161"/>
      <c r="BD34" s="161"/>
      <c r="BE34" s="162"/>
      <c r="BF34" s="162"/>
      <c r="BG34" s="162"/>
      <c r="BH34" s="163"/>
      <c r="BI34" s="163"/>
    </row>
    <row r="35" spans="1:61">
      <c r="A35" t="str">
        <f t="shared" si="0"/>
        <v>freight LDV</v>
      </c>
      <c r="B35" s="141">
        <v>7.7000000000000002E-3</v>
      </c>
      <c r="C35" s="142">
        <f t="shared" si="1"/>
        <v>94868953.710622787</v>
      </c>
      <c r="D35">
        <f t="shared" si="2"/>
        <v>0.30679137853155464</v>
      </c>
      <c r="E35" t="s">
        <v>378</v>
      </c>
      <c r="F35">
        <v>0.2</v>
      </c>
      <c r="G35">
        <v>0.37</v>
      </c>
      <c r="H35">
        <v>0.7</v>
      </c>
      <c r="I35">
        <f t="shared" si="3"/>
        <v>9.8276962348436483E-3</v>
      </c>
      <c r="J35">
        <f t="shared" si="3"/>
        <v>1.8181238034460749E-2</v>
      </c>
      <c r="K35">
        <f t="shared" si="3"/>
        <v>3.4396936821952766E-2</v>
      </c>
      <c r="L35">
        <f t="shared" si="4"/>
        <v>5.2970502150646052E-3</v>
      </c>
      <c r="M35">
        <f t="shared" si="4"/>
        <v>9.7995428978695197E-3</v>
      </c>
      <c r="N35">
        <f t="shared" si="4"/>
        <v>1.8539675752726116E-2</v>
      </c>
      <c r="O35" s="143">
        <v>29</v>
      </c>
      <c r="P35" s="144" t="s">
        <v>427</v>
      </c>
      <c r="Q35" s="97" t="s">
        <v>424</v>
      </c>
      <c r="R35" s="145">
        <v>52</v>
      </c>
      <c r="S35" s="145">
        <v>46</v>
      </c>
      <c r="T35" s="146" t="s">
        <v>389</v>
      </c>
      <c r="U35" s="97" t="s">
        <v>425</v>
      </c>
      <c r="V35" s="147" t="s">
        <v>382</v>
      </c>
      <c r="W35" s="148" t="s">
        <v>383</v>
      </c>
      <c r="X35" s="97" t="s">
        <v>366</v>
      </c>
      <c r="Y35" s="149">
        <v>11408</v>
      </c>
      <c r="Z35" s="149">
        <v>25150.334870050832</v>
      </c>
      <c r="AA35" s="150">
        <v>340</v>
      </c>
      <c r="AB35" s="150">
        <v>5.4</v>
      </c>
      <c r="AC35" s="150">
        <v>7.7</v>
      </c>
      <c r="AD35" s="151">
        <v>16</v>
      </c>
      <c r="AE35" s="151">
        <v>50</v>
      </c>
      <c r="AF35" s="152">
        <v>45</v>
      </c>
      <c r="AG35" s="153">
        <v>11200</v>
      </c>
      <c r="AH35" s="154">
        <v>5171.8446591507036</v>
      </c>
      <c r="AI35" s="155">
        <v>6.1046023068903792E-3</v>
      </c>
      <c r="AJ35" s="145">
        <v>8</v>
      </c>
      <c r="AK35" s="146">
        <v>39.843036172929175</v>
      </c>
      <c r="AL35" s="146">
        <v>35.201720889144653</v>
      </c>
      <c r="AM35" s="156">
        <v>89.879007193840252</v>
      </c>
      <c r="AN35" s="157">
        <v>1.3059420071902388</v>
      </c>
      <c r="AO35" s="158">
        <v>-0.2199937667632389</v>
      </c>
      <c r="AP35" s="159">
        <v>0</v>
      </c>
      <c r="AQ35" s="157">
        <v>2.437278227579507E-2</v>
      </c>
      <c r="AR35" s="159">
        <v>5.4854270740053501E-2</v>
      </c>
      <c r="AS35" s="158">
        <v>1.0859482404269998</v>
      </c>
      <c r="AT35" s="158">
        <v>9.3434135105160118E-2</v>
      </c>
      <c r="AU35" s="159">
        <v>6.1400467319568185E-2</v>
      </c>
      <c r="AV35" s="160">
        <v>108.1923184882435</v>
      </c>
      <c r="AW35" s="146">
        <v>97.603949713476482</v>
      </c>
      <c r="AX35" s="156">
        <v>103.12256275739711</v>
      </c>
      <c r="AY35" s="161"/>
      <c r="AZ35" s="161"/>
      <c r="BA35" s="161"/>
      <c r="BB35" s="161"/>
      <c r="BC35" s="161"/>
      <c r="BD35" s="161"/>
      <c r="BE35" s="162"/>
      <c r="BF35" s="162"/>
      <c r="BG35" s="162"/>
      <c r="BH35" s="163"/>
      <c r="BI35" s="163"/>
    </row>
    <row r="36" spans="1:61">
      <c r="A36" t="str">
        <f t="shared" si="0"/>
        <v>freight HDV</v>
      </c>
      <c r="B36" s="141">
        <v>3.3300000000000003E-2</v>
      </c>
      <c r="C36" s="142">
        <f t="shared" si="1"/>
        <v>846243335.92216587</v>
      </c>
      <c r="D36">
        <f t="shared" si="2"/>
        <v>2.7366187719600861</v>
      </c>
      <c r="E36" t="s">
        <v>12</v>
      </c>
      <c r="F36">
        <v>0.05</v>
      </c>
      <c r="G36">
        <v>0.26</v>
      </c>
      <c r="H36">
        <v>0.14000000000000001</v>
      </c>
      <c r="I36">
        <f t="shared" si="3"/>
        <v>9.5634692705341747E-3</v>
      </c>
      <c r="J36">
        <f t="shared" si="3"/>
        <v>4.9730040206777709E-2</v>
      </c>
      <c r="K36">
        <f t="shared" si="3"/>
        <v>2.6777713957495695E-2</v>
      </c>
      <c r="L36">
        <f t="shared" si="4"/>
        <v>4.6941301690377399E-3</v>
      </c>
      <c r="M36">
        <f t="shared" si="4"/>
        <v>2.4409476878996247E-2</v>
      </c>
      <c r="N36">
        <f t="shared" si="4"/>
        <v>1.3143564473305674E-2</v>
      </c>
      <c r="O36" s="143">
        <v>30</v>
      </c>
      <c r="P36" s="144" t="s">
        <v>428</v>
      </c>
      <c r="Q36" s="97" t="s">
        <v>429</v>
      </c>
      <c r="R36" s="145">
        <v>61</v>
      </c>
      <c r="S36" s="145">
        <v>47</v>
      </c>
      <c r="T36" s="146" t="s">
        <v>430</v>
      </c>
      <c r="U36" s="97" t="s">
        <v>431</v>
      </c>
      <c r="V36" s="166" t="s">
        <v>373</v>
      </c>
      <c r="W36" s="148" t="s">
        <v>432</v>
      </c>
      <c r="X36" s="97" t="s">
        <v>360</v>
      </c>
      <c r="Y36" s="149">
        <v>29529</v>
      </c>
      <c r="Z36" s="149">
        <v>65100.301400572498</v>
      </c>
      <c r="AA36" s="150">
        <v>794</v>
      </c>
      <c r="AB36" s="150">
        <v>6.21</v>
      </c>
      <c r="AC36" s="150">
        <v>6.2</v>
      </c>
      <c r="AD36" s="151">
        <v>20</v>
      </c>
      <c r="AE36" s="151">
        <v>100</v>
      </c>
      <c r="AF36" s="152">
        <v>25</v>
      </c>
      <c r="AG36" s="153">
        <v>38000</v>
      </c>
      <c r="AH36" s="154">
        <v>11366.707250429992</v>
      </c>
      <c r="AI36" s="155">
        <v>1.3416726888722391E-2</v>
      </c>
      <c r="AJ36" s="145">
        <v>8</v>
      </c>
      <c r="AK36" s="146">
        <v>82.180743902705274</v>
      </c>
      <c r="AL36" s="146">
        <v>72.607509045479134</v>
      </c>
      <c r="AM36" s="156">
        <v>136.29425652980055</v>
      </c>
      <c r="AN36" s="157">
        <v>2.2041965719165422</v>
      </c>
      <c r="AO36" s="158">
        <v>-0.13687840291944536</v>
      </c>
      <c r="AP36" s="159">
        <v>0</v>
      </c>
      <c r="AQ36" s="157">
        <v>4.113689799745443E-2</v>
      </c>
      <c r="AR36" s="159">
        <v>9.2584199646313009E-2</v>
      </c>
      <c r="AS36" s="158">
        <v>2.067318168997097</v>
      </c>
      <c r="AT36" s="158">
        <v>6.1614975678969772E-2</v>
      </c>
      <c r="AU36" s="159">
        <v>4.0490429930288258E-2</v>
      </c>
      <c r="AV36" s="160">
        <v>295.76808308378008</v>
      </c>
      <c r="AW36" s="146">
        <v>281.76359285400792</v>
      </c>
      <c r="AX36" s="156">
        <v>287.28220589792852</v>
      </c>
      <c r="AY36" s="161"/>
      <c r="AZ36" s="161"/>
      <c r="BA36" s="161"/>
      <c r="BB36" s="161"/>
      <c r="BC36" s="161"/>
      <c r="BD36" s="161"/>
      <c r="BE36" s="162"/>
      <c r="BF36" s="162"/>
      <c r="BG36" s="162"/>
      <c r="BH36" s="163"/>
      <c r="BI36" s="163"/>
    </row>
    <row r="37" spans="1:61">
      <c r="A37" t="str">
        <f t="shared" si="0"/>
        <v>freight HDV</v>
      </c>
      <c r="B37" s="141">
        <v>1.7000000000000001E-2</v>
      </c>
      <c r="C37" s="142">
        <f t="shared" si="1"/>
        <v>510035927.42701268</v>
      </c>
      <c r="D37">
        <f t="shared" si="2"/>
        <v>1.6493765257836104</v>
      </c>
      <c r="E37" t="s">
        <v>12</v>
      </c>
      <c r="F37">
        <v>0.14000000000000001</v>
      </c>
      <c r="G37">
        <v>0.26</v>
      </c>
      <c r="H37">
        <v>0.14000000000000001</v>
      </c>
      <c r="I37">
        <f t="shared" si="3"/>
        <v>1.367030442274555E-2</v>
      </c>
      <c r="J37">
        <f t="shared" si="3"/>
        <v>2.5387708213670302E-2</v>
      </c>
      <c r="K37">
        <f t="shared" si="3"/>
        <v>1.367030442274555E-2</v>
      </c>
      <c r="L37">
        <f t="shared" si="4"/>
        <v>7.9217050359800673E-3</v>
      </c>
      <c r="M37">
        <f t="shared" si="4"/>
        <v>1.4711737923962982E-2</v>
      </c>
      <c r="N37">
        <f t="shared" si="4"/>
        <v>7.9217050359800673E-3</v>
      </c>
      <c r="O37" s="143">
        <v>31</v>
      </c>
      <c r="P37" s="144" t="s">
        <v>433</v>
      </c>
      <c r="Q37" s="97" t="s">
        <v>434</v>
      </c>
      <c r="R37" s="145">
        <v>61</v>
      </c>
      <c r="S37" s="145">
        <v>46</v>
      </c>
      <c r="T37" s="146" t="s">
        <v>435</v>
      </c>
      <c r="U37" s="97" t="s">
        <v>431</v>
      </c>
      <c r="V37" s="147" t="s">
        <v>382</v>
      </c>
      <c r="W37" s="148"/>
      <c r="X37" s="97" t="s">
        <v>360</v>
      </c>
      <c r="Y37" s="149">
        <v>20910</v>
      </c>
      <c r="Z37" s="149">
        <v>46098.659022857901</v>
      </c>
      <c r="AA37" s="150">
        <v>340</v>
      </c>
      <c r="AB37" s="150">
        <v>6.21</v>
      </c>
      <c r="AC37" s="150">
        <v>6.2</v>
      </c>
      <c r="AD37" s="151">
        <v>16</v>
      </c>
      <c r="AE37" s="151">
        <v>50</v>
      </c>
      <c r="AF37" s="152">
        <v>45</v>
      </c>
      <c r="AG37" s="153">
        <v>25000</v>
      </c>
      <c r="AH37" s="154">
        <v>5425.0019340501249</v>
      </c>
      <c r="AI37" s="155">
        <v>6.4034172532408508E-3</v>
      </c>
      <c r="AJ37" s="145">
        <v>8</v>
      </c>
      <c r="AK37" s="146">
        <v>97.022148575506492</v>
      </c>
      <c r="AL37" s="146">
        <v>85.720038487945743</v>
      </c>
      <c r="AM37" s="156">
        <v>147.32877672868858</v>
      </c>
      <c r="AN37" s="157">
        <v>1.7859147645994744</v>
      </c>
      <c r="AO37" s="158">
        <v>-9.3876609601171376E-2</v>
      </c>
      <c r="AP37" s="159">
        <v>0</v>
      </c>
      <c r="AQ37" s="157">
        <v>3.3330508920806953E-2</v>
      </c>
      <c r="AR37" s="159">
        <v>7.5014856308031869E-2</v>
      </c>
      <c r="AS37" s="158">
        <v>1.692038154998303</v>
      </c>
      <c r="AT37" s="158">
        <v>5.7000183451816261E-2</v>
      </c>
      <c r="AU37" s="159">
        <v>3.7457808083775468E-2</v>
      </c>
      <c r="AV37" s="160">
        <v>262.59422196248119</v>
      </c>
      <c r="AW37" s="146">
        <v>249.28591155416714</v>
      </c>
      <c r="AX37" s="156">
        <v>254.80452459808777</v>
      </c>
      <c r="AY37" s="161"/>
      <c r="AZ37" s="161"/>
      <c r="BA37" s="161"/>
      <c r="BB37" s="161"/>
      <c r="BC37" s="161"/>
      <c r="BD37" s="161"/>
      <c r="BE37" s="162"/>
      <c r="BF37" s="162"/>
      <c r="BG37" s="162"/>
      <c r="BH37" s="163"/>
      <c r="BI37" s="163"/>
    </row>
    <row r="38" spans="1:61">
      <c r="A38" t="str">
        <f t="shared" si="0"/>
        <v>freight HDV</v>
      </c>
      <c r="B38" s="141">
        <v>2.7E-2</v>
      </c>
      <c r="C38" s="142">
        <f t="shared" si="1"/>
        <v>686143245.3422966</v>
      </c>
      <c r="D38">
        <f t="shared" si="2"/>
        <v>2.2188800853730424</v>
      </c>
      <c r="E38" t="s">
        <v>36</v>
      </c>
      <c r="F38">
        <v>0</v>
      </c>
      <c r="G38">
        <v>0.37</v>
      </c>
      <c r="H38">
        <v>0.39</v>
      </c>
      <c r="I38">
        <f t="shared" si="3"/>
        <v>0</v>
      </c>
      <c r="J38">
        <f t="shared" si="3"/>
        <v>5.2857142857142859E-2</v>
      </c>
      <c r="K38">
        <f t="shared" si="3"/>
        <v>5.5714285714285709E-2</v>
      </c>
      <c r="L38">
        <f t="shared" si="4"/>
        <v>0</v>
      </c>
      <c r="M38">
        <f t="shared" si="4"/>
        <v>1.4010261465610383E-2</v>
      </c>
      <c r="N38">
        <f t="shared" si="4"/>
        <v>1.476757289618392E-2</v>
      </c>
      <c r="O38" s="143">
        <v>32</v>
      </c>
      <c r="P38" s="144" t="s">
        <v>436</v>
      </c>
      <c r="Q38" s="97" t="s">
        <v>429</v>
      </c>
      <c r="R38" s="145">
        <v>61</v>
      </c>
      <c r="S38" s="145">
        <v>47</v>
      </c>
      <c r="T38" s="146" t="s">
        <v>430</v>
      </c>
      <c r="U38" s="97" t="s">
        <v>431</v>
      </c>
      <c r="V38" s="166" t="s">
        <v>373</v>
      </c>
      <c r="W38" s="148" t="s">
        <v>432</v>
      </c>
      <c r="X38" s="97" t="s">
        <v>366</v>
      </c>
      <c r="Y38" s="149">
        <v>29529</v>
      </c>
      <c r="Z38" s="149">
        <v>65100.301400572498</v>
      </c>
      <c r="AA38" s="150">
        <v>794</v>
      </c>
      <c r="AB38" s="150">
        <v>6.21</v>
      </c>
      <c r="AC38" s="150">
        <v>6.2</v>
      </c>
      <c r="AD38" s="151">
        <v>20</v>
      </c>
      <c r="AE38" s="151">
        <v>100</v>
      </c>
      <c r="AF38" s="152">
        <v>25</v>
      </c>
      <c r="AG38" s="153">
        <v>38000</v>
      </c>
      <c r="AH38" s="154">
        <v>17308.41256680986</v>
      </c>
      <c r="AI38" s="155">
        <v>2.0430036524203932E-2</v>
      </c>
      <c r="AJ38" s="145">
        <v>8</v>
      </c>
      <c r="AK38" s="146">
        <v>82.180743902705274</v>
      </c>
      <c r="AL38" s="146">
        <v>72.607509045479134</v>
      </c>
      <c r="AM38" s="156">
        <v>136.29425652980055</v>
      </c>
      <c r="AN38" s="157">
        <v>2.2041965719165422</v>
      </c>
      <c r="AO38" s="158">
        <v>-0.13687840291944536</v>
      </c>
      <c r="AP38" s="159">
        <v>0</v>
      </c>
      <c r="AQ38" s="157">
        <v>4.113689799745443E-2</v>
      </c>
      <c r="AR38" s="159">
        <v>9.2584199646313009E-2</v>
      </c>
      <c r="AS38" s="158">
        <v>2.067318168997097</v>
      </c>
      <c r="AT38" s="158">
        <v>6.1614975678969772E-2</v>
      </c>
      <c r="AU38" s="159">
        <v>4.0490429930288258E-2</v>
      </c>
      <c r="AV38" s="160">
        <v>295.76808308378008</v>
      </c>
      <c r="AW38" s="146">
        <v>281.76359285400792</v>
      </c>
      <c r="AX38" s="156">
        <v>287.28220589792852</v>
      </c>
      <c r="AY38" s="161"/>
      <c r="AZ38" s="161"/>
      <c r="BA38" s="161"/>
      <c r="BB38" s="161"/>
      <c r="BC38" s="161"/>
      <c r="BD38" s="161"/>
      <c r="BE38" s="162"/>
      <c r="BF38" s="162"/>
      <c r="BG38" s="162"/>
      <c r="BH38" s="163"/>
      <c r="BI38" s="163"/>
    </row>
    <row r="39" spans="1:61">
      <c r="A39" t="str">
        <f t="shared" si="0"/>
        <v>freight HDV</v>
      </c>
      <c r="B39" s="141">
        <v>1.5100000000000001E-2</v>
      </c>
      <c r="C39" s="142">
        <f t="shared" si="1"/>
        <v>453031912.00869954</v>
      </c>
      <c r="D39">
        <f t="shared" si="2"/>
        <v>1.4650344434901481</v>
      </c>
      <c r="E39" t="s">
        <v>12</v>
      </c>
      <c r="F39">
        <v>0</v>
      </c>
      <c r="G39">
        <v>0.37</v>
      </c>
      <c r="H39">
        <v>0.7</v>
      </c>
      <c r="I39">
        <f t="shared" ref="I39:K70" si="5">F39*$B39/SUMIF($E$7:$E$107,$E39,$B$7:$B$107)</f>
        <v>0</v>
      </c>
      <c r="J39">
        <f t="shared" si="5"/>
        <v>3.2090752441125782E-2</v>
      </c>
      <c r="K39">
        <f t="shared" si="5"/>
        <v>6.0712234348075801E-2</v>
      </c>
      <c r="L39">
        <f t="shared" ref="L39:N70" si="6">F39*$D39/SUMIF($E$7:$E$107,$E39,$D$7:$D$107)</f>
        <v>0</v>
      </c>
      <c r="M39">
        <f t="shared" si="6"/>
        <v>1.8596036149588501E-2</v>
      </c>
      <c r="N39">
        <f t="shared" si="6"/>
        <v>3.5181690012735002E-2</v>
      </c>
      <c r="O39" s="143">
        <v>33</v>
      </c>
      <c r="P39" s="144" t="s">
        <v>437</v>
      </c>
      <c r="Q39" s="97" t="s">
        <v>434</v>
      </c>
      <c r="R39" s="145">
        <v>61</v>
      </c>
      <c r="S39" s="145">
        <v>46</v>
      </c>
      <c r="T39" s="146" t="s">
        <v>435</v>
      </c>
      <c r="U39" s="97" t="s">
        <v>431</v>
      </c>
      <c r="V39" s="147" t="s">
        <v>382</v>
      </c>
      <c r="W39" s="148"/>
      <c r="X39" s="97" t="s">
        <v>366</v>
      </c>
      <c r="Y39" s="149">
        <v>20910</v>
      </c>
      <c r="Z39" s="149">
        <v>46098.659022857901</v>
      </c>
      <c r="AA39" s="150">
        <v>340</v>
      </c>
      <c r="AB39" s="150">
        <v>6.21</v>
      </c>
      <c r="AC39" s="150">
        <v>6.2</v>
      </c>
      <c r="AD39" s="151">
        <v>16</v>
      </c>
      <c r="AE39" s="151">
        <v>50</v>
      </c>
      <c r="AF39" s="152">
        <v>45</v>
      </c>
      <c r="AG39" s="153">
        <v>25000</v>
      </c>
      <c r="AH39" s="154">
        <v>5425.0019340501249</v>
      </c>
      <c r="AI39" s="155">
        <v>6.4034172532408508E-3</v>
      </c>
      <c r="AJ39" s="145">
        <v>8</v>
      </c>
      <c r="AK39" s="146">
        <v>97.022148575506492</v>
      </c>
      <c r="AL39" s="146">
        <v>85.720038487945743</v>
      </c>
      <c r="AM39" s="156">
        <v>147.32877672868858</v>
      </c>
      <c r="AN39" s="157">
        <v>1.7859147645994744</v>
      </c>
      <c r="AO39" s="158">
        <v>-9.3876609601171376E-2</v>
      </c>
      <c r="AP39" s="159">
        <v>0</v>
      </c>
      <c r="AQ39" s="157">
        <v>3.3330508920806953E-2</v>
      </c>
      <c r="AR39" s="159">
        <v>7.5014856308031869E-2</v>
      </c>
      <c r="AS39" s="158">
        <v>1.692038154998303</v>
      </c>
      <c r="AT39" s="158">
        <v>5.7000183451816261E-2</v>
      </c>
      <c r="AU39" s="159">
        <v>3.7457808083775468E-2</v>
      </c>
      <c r="AV39" s="160">
        <v>262.59422196248119</v>
      </c>
      <c r="AW39" s="146">
        <v>249.28591155416714</v>
      </c>
      <c r="AX39" s="156">
        <v>254.80452459808777</v>
      </c>
      <c r="AY39" s="161"/>
      <c r="AZ39" s="161"/>
      <c r="BA39" s="161"/>
      <c r="BB39" s="161"/>
      <c r="BC39" s="161"/>
      <c r="BD39" s="161"/>
      <c r="BE39" s="162"/>
      <c r="BF39" s="162"/>
      <c r="BG39" s="162"/>
      <c r="BH39" s="163"/>
      <c r="BI39" s="163"/>
    </row>
    <row r="40" spans="1:61">
      <c r="A40" t="str">
        <f t="shared" si="0"/>
        <v>freight HDV</v>
      </c>
      <c r="B40" s="141">
        <v>2.0999999999999999E-3</v>
      </c>
      <c r="C40" s="142">
        <f t="shared" si="1"/>
        <v>33755647.433413699</v>
      </c>
      <c r="D40">
        <f t="shared" si="2"/>
        <v>0.10916049143865</v>
      </c>
      <c r="E40" t="s">
        <v>368</v>
      </c>
      <c r="F40">
        <v>0.14000000000000001</v>
      </c>
      <c r="G40">
        <v>0.26</v>
      </c>
      <c r="H40">
        <v>0.14000000000000001</v>
      </c>
      <c r="I40">
        <f t="shared" si="5"/>
        <v>3.9676113360323888E-3</v>
      </c>
      <c r="J40">
        <f t="shared" si="5"/>
        <v>7.3684210526315779E-3</v>
      </c>
      <c r="K40">
        <f t="shared" si="5"/>
        <v>3.9676113360323888E-3</v>
      </c>
      <c r="L40">
        <f t="shared" si="6"/>
        <v>2.52458928241829E-3</v>
      </c>
      <c r="M40">
        <f t="shared" si="6"/>
        <v>4.6885229530625383E-3</v>
      </c>
      <c r="N40">
        <f t="shared" si="6"/>
        <v>2.52458928241829E-3</v>
      </c>
      <c r="O40" s="143">
        <v>34</v>
      </c>
      <c r="P40" s="144" t="s">
        <v>438</v>
      </c>
      <c r="Q40" s="97" t="s">
        <v>439</v>
      </c>
      <c r="R40" s="145">
        <v>51</v>
      </c>
      <c r="S40" s="145">
        <v>47</v>
      </c>
      <c r="T40" s="146" t="s">
        <v>440</v>
      </c>
      <c r="U40" s="97" t="s">
        <v>441</v>
      </c>
      <c r="V40" s="166" t="s">
        <v>373</v>
      </c>
      <c r="W40" s="167" t="s">
        <v>442</v>
      </c>
      <c r="X40" s="97" t="s">
        <v>360</v>
      </c>
      <c r="Y40" s="149">
        <v>19051</v>
      </c>
      <c r="Z40" s="149">
        <v>42000.265568841023</v>
      </c>
      <c r="AA40" s="150">
        <v>794</v>
      </c>
      <c r="AB40" s="150">
        <v>6.86</v>
      </c>
      <c r="AC40" s="150">
        <v>7.7</v>
      </c>
      <c r="AD40" s="151">
        <v>20</v>
      </c>
      <c r="AE40" s="151">
        <v>100</v>
      </c>
      <c r="AF40" s="152">
        <v>25</v>
      </c>
      <c r="AG40" s="153">
        <v>15000</v>
      </c>
      <c r="AH40" s="154">
        <v>1663.2909349884185</v>
      </c>
      <c r="AI40" s="155">
        <v>1.9632704282397289E-3</v>
      </c>
      <c r="AJ40" s="145">
        <v>8</v>
      </c>
      <c r="AK40" s="146">
        <v>51.981186399357149</v>
      </c>
      <c r="AL40" s="146">
        <v>45.92589799569604</v>
      </c>
      <c r="AM40" s="156">
        <v>118.3109196298916</v>
      </c>
      <c r="AN40" s="157">
        <v>2.005375271850943</v>
      </c>
      <c r="AO40" s="158">
        <v>-0.35930308745753353</v>
      </c>
      <c r="AP40" s="159">
        <v>0.30955800572197512</v>
      </c>
      <c r="AQ40" s="157">
        <v>3.742629811506358E-2</v>
      </c>
      <c r="AR40" s="159">
        <v>8.4232988518528937E-2</v>
      </c>
      <c r="AS40" s="158">
        <v>1.9556301901153847</v>
      </c>
      <c r="AT40" s="158">
        <v>7.098049214339136E-2</v>
      </c>
      <c r="AU40" s="159">
        <v>4.6645001671733508E-2</v>
      </c>
      <c r="AV40" s="160">
        <v>244.19811329813348</v>
      </c>
      <c r="AW40" s="146">
        <v>231.37240624853092</v>
      </c>
      <c r="AX40" s="156">
        <v>236.89101929245155</v>
      </c>
      <c r="AY40" s="161"/>
      <c r="AZ40" s="161"/>
      <c r="BA40" s="161"/>
      <c r="BB40" s="161"/>
      <c r="BC40" s="161"/>
      <c r="BD40" s="161"/>
      <c r="BE40" s="162"/>
      <c r="BF40" s="162"/>
      <c r="BG40" s="162"/>
      <c r="BH40" s="163"/>
      <c r="BI40" s="163"/>
    </row>
    <row r="41" spans="1:61">
      <c r="A41" t="str">
        <f t="shared" si="0"/>
        <v>freight LDV</v>
      </c>
      <c r="B41" s="141">
        <v>4.0000000000000002E-4</v>
      </c>
      <c r="C41" s="142">
        <f t="shared" si="1"/>
        <v>11577553.593346469</v>
      </c>
      <c r="D41">
        <f t="shared" si="2"/>
        <v>3.7440000000000001E-2</v>
      </c>
      <c r="E41" t="s">
        <v>378</v>
      </c>
      <c r="F41">
        <v>0.14000000000000001</v>
      </c>
      <c r="G41">
        <v>0.14000000000000001</v>
      </c>
      <c r="H41">
        <v>0.14000000000000001</v>
      </c>
      <c r="I41">
        <f t="shared" si="5"/>
        <v>3.5737077217613269E-4</v>
      </c>
      <c r="J41">
        <f t="shared" si="5"/>
        <v>3.5737077217613269E-4</v>
      </c>
      <c r="K41">
        <f t="shared" si="5"/>
        <v>3.5737077217613269E-4</v>
      </c>
      <c r="L41">
        <f t="shared" si="6"/>
        <v>4.5250649708898031E-4</v>
      </c>
      <c r="M41">
        <f t="shared" si="6"/>
        <v>4.5250649708898031E-4</v>
      </c>
      <c r="N41">
        <f t="shared" si="6"/>
        <v>4.5250649708898031E-4</v>
      </c>
      <c r="O41" s="143">
        <v>35</v>
      </c>
      <c r="P41" s="144" t="s">
        <v>443</v>
      </c>
      <c r="Q41" s="97" t="s">
        <v>444</v>
      </c>
      <c r="R41" s="145">
        <v>51</v>
      </c>
      <c r="S41" s="145">
        <v>46</v>
      </c>
      <c r="T41" s="146" t="s">
        <v>440</v>
      </c>
      <c r="U41" s="97" t="s">
        <v>441</v>
      </c>
      <c r="V41" s="147" t="s">
        <v>382</v>
      </c>
      <c r="W41" s="148"/>
      <c r="X41" s="97" t="s">
        <v>360</v>
      </c>
      <c r="Y41" s="149">
        <v>11408</v>
      </c>
      <c r="Z41" s="149">
        <v>25150.334870050832</v>
      </c>
      <c r="AA41" s="150">
        <v>340</v>
      </c>
      <c r="AB41" s="150">
        <v>5.4</v>
      </c>
      <c r="AC41" s="150">
        <v>7.7</v>
      </c>
      <c r="AD41" s="151">
        <v>16</v>
      </c>
      <c r="AE41" s="151">
        <v>50</v>
      </c>
      <c r="AF41" s="152">
        <v>45</v>
      </c>
      <c r="AG41" s="153">
        <v>11200</v>
      </c>
      <c r="AH41" s="154">
        <v>285.47262855829524</v>
      </c>
      <c r="AI41" s="155">
        <v>3.3695847066242071E-4</v>
      </c>
      <c r="AJ41" s="145">
        <v>8</v>
      </c>
      <c r="AK41" s="146">
        <v>93.6</v>
      </c>
      <c r="AL41" s="146">
        <v>82.696536000000009</v>
      </c>
      <c r="AM41" s="156">
        <v>118.3109196298916</v>
      </c>
      <c r="AN41" s="157">
        <v>2.005375271850943</v>
      </c>
      <c r="AO41" s="158">
        <v>-0.35930308745753353</v>
      </c>
      <c r="AP41" s="159">
        <v>0.55740607982612722</v>
      </c>
      <c r="AQ41" s="157">
        <v>3.742629811506358E-2</v>
      </c>
      <c r="AR41" s="159">
        <v>8.4232988518528937E-2</v>
      </c>
      <c r="AS41" s="158">
        <v>2.203478264219537</v>
      </c>
      <c r="AT41" s="158">
        <v>7.098049214339136E-2</v>
      </c>
      <c r="AU41" s="159">
        <v>4.6645001671733508E-2</v>
      </c>
      <c r="AV41" s="160">
        <v>273.52124687389329</v>
      </c>
      <c r="AW41" s="146">
        <v>260.69553982429068</v>
      </c>
      <c r="AX41" s="156">
        <v>266.21415286821133</v>
      </c>
      <c r="AY41" s="161"/>
      <c r="AZ41" s="161"/>
      <c r="BA41" s="161"/>
      <c r="BB41" s="161"/>
      <c r="BC41" s="161"/>
      <c r="BD41" s="161"/>
      <c r="BE41" s="162"/>
      <c r="BF41" s="162"/>
      <c r="BG41" s="162"/>
      <c r="BH41" s="163"/>
      <c r="BI41" s="163"/>
    </row>
    <row r="42" spans="1:61">
      <c r="A42" t="str">
        <f t="shared" si="0"/>
        <v>freight HDV</v>
      </c>
      <c r="B42" s="141">
        <v>2.0999999999999999E-3</v>
      </c>
      <c r="C42" s="142">
        <f t="shared" si="1"/>
        <v>33755647.433413699</v>
      </c>
      <c r="D42">
        <f t="shared" si="2"/>
        <v>0.10916049143865</v>
      </c>
      <c r="E42" t="s">
        <v>368</v>
      </c>
      <c r="F42">
        <v>0.14000000000000001</v>
      </c>
      <c r="G42">
        <v>0.26</v>
      </c>
      <c r="H42">
        <v>0.14000000000000001</v>
      </c>
      <c r="I42">
        <f t="shared" si="5"/>
        <v>3.9676113360323888E-3</v>
      </c>
      <c r="J42">
        <f t="shared" si="5"/>
        <v>7.3684210526315779E-3</v>
      </c>
      <c r="K42">
        <f t="shared" si="5"/>
        <v>3.9676113360323888E-3</v>
      </c>
      <c r="L42">
        <f t="shared" si="6"/>
        <v>2.52458928241829E-3</v>
      </c>
      <c r="M42">
        <f t="shared" si="6"/>
        <v>4.6885229530625383E-3</v>
      </c>
      <c r="N42">
        <f t="shared" si="6"/>
        <v>2.52458928241829E-3</v>
      </c>
      <c r="O42" s="143">
        <v>36</v>
      </c>
      <c r="P42" s="144" t="s">
        <v>445</v>
      </c>
      <c r="Q42" s="97" t="s">
        <v>439</v>
      </c>
      <c r="R42" s="145">
        <v>51</v>
      </c>
      <c r="S42" s="145">
        <v>47</v>
      </c>
      <c r="T42" s="146" t="s">
        <v>440</v>
      </c>
      <c r="U42" s="97" t="s">
        <v>441</v>
      </c>
      <c r="V42" s="166" t="s">
        <v>373</v>
      </c>
      <c r="W42" s="167" t="s">
        <v>442</v>
      </c>
      <c r="X42" s="97" t="s">
        <v>366</v>
      </c>
      <c r="Y42" s="149">
        <v>19051</v>
      </c>
      <c r="Z42" s="149">
        <v>42000.265568841023</v>
      </c>
      <c r="AA42" s="150">
        <v>794</v>
      </c>
      <c r="AB42" s="150">
        <v>6.86</v>
      </c>
      <c r="AC42" s="150">
        <v>7.7</v>
      </c>
      <c r="AD42" s="151">
        <v>20</v>
      </c>
      <c r="AE42" s="151">
        <v>100</v>
      </c>
      <c r="AF42" s="152">
        <v>25</v>
      </c>
      <c r="AG42" s="153">
        <v>15000</v>
      </c>
      <c r="AH42" s="154">
        <v>1663.2909349884185</v>
      </c>
      <c r="AI42" s="155">
        <v>1.9632704282397289E-3</v>
      </c>
      <c r="AJ42" s="145">
        <v>8</v>
      </c>
      <c r="AK42" s="146">
        <v>51.981186399357149</v>
      </c>
      <c r="AL42" s="146">
        <v>45.92589799569604</v>
      </c>
      <c r="AM42" s="156">
        <v>118.3109196298916</v>
      </c>
      <c r="AN42" s="157">
        <v>2.005375271850943</v>
      </c>
      <c r="AO42" s="158">
        <v>-0.35930308745753353</v>
      </c>
      <c r="AP42" s="159">
        <v>0.30955800572197512</v>
      </c>
      <c r="AQ42" s="157">
        <v>3.742629811506358E-2</v>
      </c>
      <c r="AR42" s="159">
        <v>8.4232988518528937E-2</v>
      </c>
      <c r="AS42" s="158">
        <v>1.9556301901153847</v>
      </c>
      <c r="AT42" s="158">
        <v>7.098049214339136E-2</v>
      </c>
      <c r="AU42" s="159">
        <v>4.6645001671733508E-2</v>
      </c>
      <c r="AV42" s="160">
        <v>244.19811329813348</v>
      </c>
      <c r="AW42" s="146">
        <v>231.37240624853092</v>
      </c>
      <c r="AX42" s="156">
        <v>236.89101929245155</v>
      </c>
      <c r="AY42" s="161"/>
      <c r="AZ42" s="161"/>
      <c r="BA42" s="161"/>
      <c r="BB42" s="161"/>
      <c r="BC42" s="161"/>
      <c r="BD42" s="161"/>
      <c r="BE42" s="162"/>
      <c r="BF42" s="162"/>
      <c r="BG42" s="162"/>
      <c r="BH42" s="163"/>
      <c r="BI42" s="163"/>
    </row>
    <row r="43" spans="1:61">
      <c r="A43" t="str">
        <f t="shared" si="0"/>
        <v>freight LDV</v>
      </c>
      <c r="B43" s="141">
        <v>4.0000000000000002E-4</v>
      </c>
      <c r="C43" s="142">
        <f t="shared" si="1"/>
        <v>11577553.593346469</v>
      </c>
      <c r="D43">
        <f t="shared" si="2"/>
        <v>3.7440000000000001E-2</v>
      </c>
      <c r="E43" t="s">
        <v>378</v>
      </c>
      <c r="F43">
        <v>0.14000000000000001</v>
      </c>
      <c r="G43">
        <v>0.26</v>
      </c>
      <c r="H43">
        <v>0.39</v>
      </c>
      <c r="I43">
        <f t="shared" si="5"/>
        <v>3.5737077217613269E-4</v>
      </c>
      <c r="J43">
        <f t="shared" si="5"/>
        <v>6.6368857689853215E-4</v>
      </c>
      <c r="K43">
        <f t="shared" si="5"/>
        <v>9.9553286534779834E-4</v>
      </c>
      <c r="L43">
        <f t="shared" si="6"/>
        <v>4.5250649708898031E-4</v>
      </c>
      <c r="M43">
        <f t="shared" si="6"/>
        <v>8.4036920887953486E-4</v>
      </c>
      <c r="N43">
        <f t="shared" si="6"/>
        <v>1.2605538133193023E-3</v>
      </c>
      <c r="O43" s="143">
        <v>37</v>
      </c>
      <c r="P43" s="144" t="s">
        <v>446</v>
      </c>
      <c r="Q43" s="97" t="s">
        <v>444</v>
      </c>
      <c r="R43" s="145">
        <v>51</v>
      </c>
      <c r="S43" s="145">
        <v>46</v>
      </c>
      <c r="T43" s="146" t="s">
        <v>440</v>
      </c>
      <c r="U43" s="97" t="s">
        <v>441</v>
      </c>
      <c r="V43" s="147" t="s">
        <v>382</v>
      </c>
      <c r="W43" s="148"/>
      <c r="X43" s="97" t="s">
        <v>366</v>
      </c>
      <c r="Y43" s="149">
        <v>11408</v>
      </c>
      <c r="Z43" s="149">
        <v>25150.334870050832</v>
      </c>
      <c r="AA43" s="150">
        <v>340</v>
      </c>
      <c r="AB43" s="150">
        <v>5.4</v>
      </c>
      <c r="AC43" s="150">
        <v>7.7</v>
      </c>
      <c r="AD43" s="151">
        <v>16</v>
      </c>
      <c r="AE43" s="151">
        <v>50</v>
      </c>
      <c r="AF43" s="152">
        <v>45</v>
      </c>
      <c r="AG43" s="153">
        <v>11200</v>
      </c>
      <c r="AH43" s="154">
        <v>285.47262855829524</v>
      </c>
      <c r="AI43" s="155">
        <v>3.3695847066242071E-4</v>
      </c>
      <c r="AJ43" s="145">
        <v>8</v>
      </c>
      <c r="AK43" s="146">
        <v>93.6</v>
      </c>
      <c r="AL43" s="146">
        <v>82.696536000000009</v>
      </c>
      <c r="AM43" s="156">
        <v>118.3109196298916</v>
      </c>
      <c r="AN43" s="157">
        <v>2.005375271850943</v>
      </c>
      <c r="AO43" s="158">
        <v>-0.35930308745753353</v>
      </c>
      <c r="AP43" s="159">
        <v>0.55740607982612722</v>
      </c>
      <c r="AQ43" s="157">
        <v>3.742629811506358E-2</v>
      </c>
      <c r="AR43" s="159">
        <v>8.4232988518528937E-2</v>
      </c>
      <c r="AS43" s="158">
        <v>2.203478264219537</v>
      </c>
      <c r="AT43" s="158">
        <v>7.098049214339136E-2</v>
      </c>
      <c r="AU43" s="159">
        <v>4.6645001671733508E-2</v>
      </c>
      <c r="AV43" s="160">
        <v>273.52124687389329</v>
      </c>
      <c r="AW43" s="146">
        <v>260.69553982429068</v>
      </c>
      <c r="AX43" s="156">
        <v>266.21415286821133</v>
      </c>
      <c r="AY43" s="161"/>
      <c r="AZ43" s="161"/>
      <c r="BA43" s="161"/>
      <c r="BB43" s="161"/>
      <c r="BC43" s="161"/>
      <c r="BD43" s="161"/>
      <c r="BE43" s="162"/>
      <c r="BF43" s="162"/>
      <c r="BG43" s="162"/>
      <c r="BH43" s="163"/>
      <c r="BI43" s="163"/>
    </row>
    <row r="44" spans="1:61">
      <c r="A44" t="str">
        <f t="shared" si="0"/>
        <v>freight HDV</v>
      </c>
      <c r="B44" s="141">
        <v>3.8E-3</v>
      </c>
      <c r="C44" s="142">
        <f t="shared" si="1"/>
        <v>393649191.35496944</v>
      </c>
      <c r="D44">
        <f t="shared" si="2"/>
        <v>1.2729999999999999</v>
      </c>
      <c r="E44" t="s">
        <v>368</v>
      </c>
      <c r="F44">
        <v>0</v>
      </c>
      <c r="G44">
        <v>0</v>
      </c>
      <c r="H44">
        <v>0</v>
      </c>
      <c r="I44">
        <f t="shared" si="5"/>
        <v>0</v>
      </c>
      <c r="J44">
        <f t="shared" si="5"/>
        <v>0</v>
      </c>
      <c r="K44">
        <f t="shared" si="5"/>
        <v>0</v>
      </c>
      <c r="L44">
        <f t="shared" si="6"/>
        <v>0</v>
      </c>
      <c r="M44">
        <f t="shared" si="6"/>
        <v>0</v>
      </c>
      <c r="N44">
        <f t="shared" si="6"/>
        <v>0</v>
      </c>
      <c r="O44" s="143">
        <v>38</v>
      </c>
      <c r="P44" s="144" t="s">
        <v>447</v>
      </c>
      <c r="Q44" s="97" t="s">
        <v>448</v>
      </c>
      <c r="R44" s="145">
        <v>54</v>
      </c>
      <c r="S44" s="145">
        <v>47</v>
      </c>
      <c r="T44" s="146" t="s">
        <v>449</v>
      </c>
      <c r="U44" s="97" t="s">
        <v>449</v>
      </c>
      <c r="V44" s="166" t="s">
        <v>373</v>
      </c>
      <c r="W44" s="167"/>
      <c r="X44" s="97" t="s">
        <v>377</v>
      </c>
      <c r="Y44" s="149">
        <v>19051</v>
      </c>
      <c r="Z44" s="149">
        <v>42000.265568841023</v>
      </c>
      <c r="AA44" s="150">
        <v>794</v>
      </c>
      <c r="AB44" s="150">
        <v>6.86</v>
      </c>
      <c r="AC44" s="150">
        <v>7.7</v>
      </c>
      <c r="AD44" s="151">
        <v>20</v>
      </c>
      <c r="AE44" s="151">
        <v>100</v>
      </c>
      <c r="AF44" s="152">
        <v>25</v>
      </c>
      <c r="AG44" s="153">
        <v>15000</v>
      </c>
      <c r="AH44" s="154">
        <v>2968.5379012059052</v>
      </c>
      <c r="AI44" s="155">
        <v>3.5039225874137071E-3</v>
      </c>
      <c r="AJ44" s="145">
        <v>8</v>
      </c>
      <c r="AK44" s="151">
        <v>335</v>
      </c>
      <c r="AL44" s="146">
        <v>9.4712272000000013</v>
      </c>
      <c r="AM44" s="156">
        <v>335</v>
      </c>
      <c r="AN44" s="157">
        <v>1.3583593706303592</v>
      </c>
      <c r="AO44" s="158">
        <v>-5.2715210455422989E-2</v>
      </c>
      <c r="AP44" s="159">
        <v>0</v>
      </c>
      <c r="AQ44" s="157">
        <v>2.5351046991657886E-2</v>
      </c>
      <c r="AR44" s="159">
        <v>5.7055988909614837E-2</v>
      </c>
      <c r="AS44" s="158">
        <v>1.3056441601749362</v>
      </c>
      <c r="AT44" s="158">
        <v>2.5067962093334114E-2</v>
      </c>
      <c r="AU44" s="159">
        <v>1.6473471772897378E-2</v>
      </c>
      <c r="AV44" s="160">
        <v>454.28116170207591</v>
      </c>
      <c r="AW44" s="146">
        <v>437.39079365860363</v>
      </c>
      <c r="AX44" s="156">
        <v>442.90940670252428</v>
      </c>
      <c r="AY44" s="161"/>
      <c r="AZ44" s="161"/>
      <c r="BA44" s="161"/>
      <c r="BB44" s="161"/>
      <c r="BC44" s="161"/>
      <c r="BD44" s="161"/>
      <c r="BE44" s="162"/>
      <c r="BF44" s="162"/>
      <c r="BG44" s="162"/>
      <c r="BH44" s="163"/>
      <c r="BI44" s="163"/>
    </row>
    <row r="45" spans="1:61">
      <c r="A45" t="str">
        <f t="shared" si="0"/>
        <v>freight LDV</v>
      </c>
      <c r="B45" s="141">
        <v>6.6E-3</v>
      </c>
      <c r="C45" s="142">
        <f t="shared" si="1"/>
        <v>683706490.24810469</v>
      </c>
      <c r="D45">
        <f t="shared" si="2"/>
        <v>2.2109999999999999</v>
      </c>
      <c r="E45" t="s">
        <v>378</v>
      </c>
      <c r="F45">
        <v>0</v>
      </c>
      <c r="G45">
        <v>0</v>
      </c>
      <c r="H45">
        <v>0</v>
      </c>
      <c r="I45">
        <f t="shared" si="5"/>
        <v>0</v>
      </c>
      <c r="J45">
        <f t="shared" si="5"/>
        <v>0</v>
      </c>
      <c r="K45">
        <f t="shared" si="5"/>
        <v>0</v>
      </c>
      <c r="L45">
        <f t="shared" si="6"/>
        <v>0</v>
      </c>
      <c r="M45">
        <f t="shared" si="6"/>
        <v>0</v>
      </c>
      <c r="N45">
        <f t="shared" si="6"/>
        <v>0</v>
      </c>
      <c r="O45" s="143">
        <v>39</v>
      </c>
      <c r="P45" s="144" t="s">
        <v>450</v>
      </c>
      <c r="Q45" s="97" t="s">
        <v>451</v>
      </c>
      <c r="R45" s="145">
        <v>54</v>
      </c>
      <c r="S45" s="145">
        <v>46</v>
      </c>
      <c r="T45" s="146" t="s">
        <v>385</v>
      </c>
      <c r="U45" s="97" t="s">
        <v>449</v>
      </c>
      <c r="V45" s="147" t="s">
        <v>382</v>
      </c>
      <c r="W45" s="148"/>
      <c r="X45" s="97" t="s">
        <v>377</v>
      </c>
      <c r="Y45" s="149">
        <v>11408</v>
      </c>
      <c r="Z45" s="149">
        <v>25150.334870050832</v>
      </c>
      <c r="AA45" s="150">
        <v>340</v>
      </c>
      <c r="AB45" s="150">
        <v>5.4</v>
      </c>
      <c r="AC45" s="150">
        <v>7.7</v>
      </c>
      <c r="AD45" s="151">
        <v>16</v>
      </c>
      <c r="AE45" s="151">
        <v>50</v>
      </c>
      <c r="AF45" s="152">
        <v>45</v>
      </c>
      <c r="AG45" s="153">
        <v>11200</v>
      </c>
      <c r="AH45" s="154">
        <v>4917.5835800368095</v>
      </c>
      <c r="AI45" s="155">
        <v>5.8044844819350565E-3</v>
      </c>
      <c r="AJ45" s="145">
        <v>8</v>
      </c>
      <c r="AK45" s="151">
        <v>335</v>
      </c>
      <c r="AL45" s="146">
        <v>9.4712272000000013</v>
      </c>
      <c r="AM45" s="156">
        <v>335</v>
      </c>
      <c r="AN45" s="157">
        <v>1.4451053055964747</v>
      </c>
      <c r="AO45" s="158">
        <v>-5.6081646699588004E-2</v>
      </c>
      <c r="AP45" s="159">
        <v>0</v>
      </c>
      <c r="AQ45" s="157">
        <v>2.6969985485556434E-2</v>
      </c>
      <c r="AR45" s="159">
        <v>6.0699630798788873E-2</v>
      </c>
      <c r="AS45" s="158">
        <v>1.3890236588968867</v>
      </c>
      <c r="AT45" s="158">
        <v>2.5067962093334114E-2</v>
      </c>
      <c r="AU45" s="159">
        <v>1.6473471772897378E-2</v>
      </c>
      <c r="AV45" s="160">
        <v>482.75563816938541</v>
      </c>
      <c r="AW45" s="146">
        <v>465.32292573045703</v>
      </c>
      <c r="AX45" s="156">
        <v>470.84153877437768</v>
      </c>
      <c r="AY45" s="161"/>
      <c r="AZ45" s="161"/>
      <c r="BA45" s="161"/>
      <c r="BB45" s="161"/>
      <c r="BC45" s="161"/>
      <c r="BD45" s="161"/>
      <c r="BE45" s="162"/>
      <c r="BF45" s="162"/>
      <c r="BG45" s="162"/>
      <c r="BH45" s="163"/>
      <c r="BI45" s="163"/>
    </row>
    <row r="46" spans="1:61">
      <c r="A46" t="str">
        <f t="shared" si="0"/>
        <v>freight LDV</v>
      </c>
      <c r="B46" s="141">
        <v>1.4E-2</v>
      </c>
      <c r="C46" s="142">
        <f t="shared" si="1"/>
        <v>1450286494.4656768</v>
      </c>
      <c r="D46">
        <f t="shared" si="2"/>
        <v>4.6900000000000004</v>
      </c>
      <c r="E46" t="s">
        <v>353</v>
      </c>
      <c r="F46">
        <v>0</v>
      </c>
      <c r="G46">
        <v>0</v>
      </c>
      <c r="H46">
        <v>0</v>
      </c>
      <c r="I46">
        <f t="shared" si="5"/>
        <v>0</v>
      </c>
      <c r="J46">
        <f t="shared" si="5"/>
        <v>0</v>
      </c>
      <c r="K46">
        <f t="shared" si="5"/>
        <v>0</v>
      </c>
      <c r="L46">
        <f t="shared" si="6"/>
        <v>0</v>
      </c>
      <c r="M46">
        <f t="shared" si="6"/>
        <v>0</v>
      </c>
      <c r="N46">
        <f t="shared" si="6"/>
        <v>0</v>
      </c>
      <c r="O46" s="143">
        <v>40</v>
      </c>
      <c r="P46" s="144" t="s">
        <v>452</v>
      </c>
      <c r="Q46" s="97" t="s">
        <v>453</v>
      </c>
      <c r="R46" s="145">
        <v>54</v>
      </c>
      <c r="S46" s="145">
        <v>42</v>
      </c>
      <c r="T46" s="146" t="s">
        <v>393</v>
      </c>
      <c r="U46" s="97" t="s">
        <v>449</v>
      </c>
      <c r="V46" s="147" t="s">
        <v>358</v>
      </c>
      <c r="W46" s="148"/>
      <c r="X46" s="97" t="s">
        <v>377</v>
      </c>
      <c r="Y46" s="149">
        <v>7257</v>
      </c>
      <c r="Z46" s="149">
        <v>15998.946366756565</v>
      </c>
      <c r="AA46" s="150">
        <v>340</v>
      </c>
      <c r="AB46" s="150">
        <v>3.4</v>
      </c>
      <c r="AC46" s="150">
        <v>7.7</v>
      </c>
      <c r="AD46" s="151">
        <v>8</v>
      </c>
      <c r="AE46" s="151">
        <v>25</v>
      </c>
      <c r="AF46" s="152">
        <v>55</v>
      </c>
      <c r="AG46" s="153">
        <v>5700</v>
      </c>
      <c r="AH46" s="154">
        <v>9475.4120963971691</v>
      </c>
      <c r="AI46" s="155">
        <v>1.1184330998816577E-2</v>
      </c>
      <c r="AJ46" s="145">
        <v>8</v>
      </c>
      <c r="AK46" s="151">
        <v>335</v>
      </c>
      <c r="AL46" s="146">
        <v>9.4712272000000013</v>
      </c>
      <c r="AM46" s="156">
        <v>335</v>
      </c>
      <c r="AN46" s="157">
        <v>0.91338935347653116</v>
      </c>
      <c r="AO46" s="158">
        <v>-3.4653992070899593E-2</v>
      </c>
      <c r="AP46" s="159">
        <v>0</v>
      </c>
      <c r="AQ46" s="157">
        <v>1.7046576128758983E-2</v>
      </c>
      <c r="AR46" s="159">
        <v>3.8365644577497256E-2</v>
      </c>
      <c r="AS46" s="158">
        <v>0.87873536140563158</v>
      </c>
      <c r="AT46" s="158">
        <v>2.5067962093334114E-2</v>
      </c>
      <c r="AU46" s="159">
        <v>1.6473471772897378E-2</v>
      </c>
      <c r="AV46" s="160">
        <v>308.48471637528775</v>
      </c>
      <c r="AW46" s="146">
        <v>294.3763460708866</v>
      </c>
      <c r="AX46" s="156">
        <v>299.89495911480719</v>
      </c>
      <c r="AY46" s="161"/>
      <c r="AZ46" s="161"/>
      <c r="BA46" s="161"/>
      <c r="BB46" s="161"/>
      <c r="BC46" s="161"/>
      <c r="BD46" s="161"/>
      <c r="BE46" s="162"/>
      <c r="BF46" s="162"/>
      <c r="BG46" s="162"/>
      <c r="BH46" s="163"/>
      <c r="BI46" s="163"/>
    </row>
    <row r="47" spans="1:61">
      <c r="A47" t="str">
        <f t="shared" si="0"/>
        <v>freight HDV</v>
      </c>
      <c r="B47" s="141">
        <v>1.04E-2</v>
      </c>
      <c r="C47" s="142">
        <f t="shared" si="1"/>
        <v>1077355681.6030741</v>
      </c>
      <c r="D47">
        <f t="shared" si="2"/>
        <v>3.484</v>
      </c>
      <c r="E47" t="s">
        <v>12</v>
      </c>
      <c r="F47">
        <v>0</v>
      </c>
      <c r="G47">
        <v>0.05</v>
      </c>
      <c r="H47">
        <v>0.39</v>
      </c>
      <c r="I47">
        <f t="shared" si="5"/>
        <v>0</v>
      </c>
      <c r="J47">
        <f t="shared" si="5"/>
        <v>2.9867892016082701E-3</v>
      </c>
      <c r="K47">
        <f t="shared" si="5"/>
        <v>2.3296955772544509E-2</v>
      </c>
      <c r="L47">
        <f t="shared" si="6"/>
        <v>0</v>
      </c>
      <c r="M47">
        <f t="shared" si="6"/>
        <v>5.976115371456649E-3</v>
      </c>
      <c r="N47">
        <f t="shared" si="6"/>
        <v>4.6613699897361853E-2</v>
      </c>
      <c r="O47" s="143">
        <v>41</v>
      </c>
      <c r="P47" s="144" t="s">
        <v>454</v>
      </c>
      <c r="Q47" s="97" t="s">
        <v>455</v>
      </c>
      <c r="R47" s="145">
        <v>54</v>
      </c>
      <c r="S47" s="145">
        <v>41</v>
      </c>
      <c r="T47" s="146" t="s">
        <v>393</v>
      </c>
      <c r="U47" s="97" t="s">
        <v>449</v>
      </c>
      <c r="V47" s="164" t="s">
        <v>363</v>
      </c>
      <c r="W47" s="165"/>
      <c r="X47" s="97" t="s">
        <v>377</v>
      </c>
      <c r="Y47" s="149">
        <v>7257</v>
      </c>
      <c r="Z47" s="149">
        <v>15998.946366756565</v>
      </c>
      <c r="AA47" s="150">
        <v>340</v>
      </c>
      <c r="AB47" s="150">
        <v>3.4</v>
      </c>
      <c r="AC47" s="150">
        <v>7.7</v>
      </c>
      <c r="AD47" s="151">
        <v>7</v>
      </c>
      <c r="AE47" s="151">
        <v>25</v>
      </c>
      <c r="AF47" s="152">
        <v>65</v>
      </c>
      <c r="AG47" s="153">
        <v>5700</v>
      </c>
      <c r="AH47" s="154">
        <v>9288.8310540556995</v>
      </c>
      <c r="AI47" s="155">
        <v>1.0964099507624265E-2</v>
      </c>
      <c r="AJ47" s="145">
        <v>8</v>
      </c>
      <c r="AK47" s="151">
        <v>335</v>
      </c>
      <c r="AL47" s="146">
        <v>9.4712272000000013</v>
      </c>
      <c r="AM47" s="156">
        <v>335</v>
      </c>
      <c r="AN47" s="157">
        <v>0.91338935347653116</v>
      </c>
      <c r="AO47" s="158">
        <v>-3.4653992070899593E-2</v>
      </c>
      <c r="AP47" s="159">
        <v>0</v>
      </c>
      <c r="AQ47" s="157">
        <v>1.7046576128758983E-2</v>
      </c>
      <c r="AR47" s="159">
        <v>3.8365644577497256E-2</v>
      </c>
      <c r="AS47" s="158">
        <v>0.87873536140563158</v>
      </c>
      <c r="AT47" s="158">
        <v>2.5067962093334114E-2</v>
      </c>
      <c r="AU47" s="159">
        <v>1.6473471772897378E-2</v>
      </c>
      <c r="AV47" s="160">
        <v>308.48471637528775</v>
      </c>
      <c r="AW47" s="146">
        <v>294.3763460708866</v>
      </c>
      <c r="AX47" s="156">
        <v>299.89495911480719</v>
      </c>
      <c r="AY47" s="161"/>
      <c r="AZ47" s="161"/>
      <c r="BA47" s="161"/>
      <c r="BB47" s="161"/>
      <c r="BC47" s="161"/>
      <c r="BD47" s="161"/>
      <c r="BE47" s="162"/>
      <c r="BF47" s="162"/>
      <c r="BG47" s="162"/>
      <c r="BH47" s="163"/>
      <c r="BI47" s="163"/>
    </row>
    <row r="48" spans="1:61">
      <c r="A48" t="str">
        <f t="shared" si="0"/>
        <v>freight HDV</v>
      </c>
      <c r="B48" s="141">
        <v>3.8E-3</v>
      </c>
      <c r="C48" s="142">
        <f t="shared" si="1"/>
        <v>393649191.35496944</v>
      </c>
      <c r="D48">
        <f t="shared" si="2"/>
        <v>1.2729999999999999</v>
      </c>
      <c r="E48" t="s">
        <v>368</v>
      </c>
      <c r="F48">
        <v>0</v>
      </c>
      <c r="G48">
        <v>0</v>
      </c>
      <c r="H48">
        <v>0</v>
      </c>
      <c r="I48">
        <f t="shared" si="5"/>
        <v>0</v>
      </c>
      <c r="J48">
        <f t="shared" si="5"/>
        <v>0</v>
      </c>
      <c r="K48">
        <f t="shared" si="5"/>
        <v>0</v>
      </c>
      <c r="L48">
        <f t="shared" si="6"/>
        <v>0</v>
      </c>
      <c r="M48">
        <f t="shared" si="6"/>
        <v>0</v>
      </c>
      <c r="N48">
        <f t="shared" si="6"/>
        <v>0</v>
      </c>
      <c r="O48" s="143">
        <v>42</v>
      </c>
      <c r="P48" s="144" t="s">
        <v>456</v>
      </c>
      <c r="Q48" s="97" t="s">
        <v>448</v>
      </c>
      <c r="R48" s="145">
        <v>54</v>
      </c>
      <c r="S48" s="145">
        <v>47</v>
      </c>
      <c r="T48" s="146" t="s">
        <v>449</v>
      </c>
      <c r="U48" s="97" t="s">
        <v>449</v>
      </c>
      <c r="V48" s="166" t="s">
        <v>373</v>
      </c>
      <c r="W48" s="167"/>
      <c r="X48" s="97" t="s">
        <v>360</v>
      </c>
      <c r="Y48" s="149">
        <v>19051</v>
      </c>
      <c r="Z48" s="149">
        <v>42000.265568841023</v>
      </c>
      <c r="AA48" s="150">
        <v>794</v>
      </c>
      <c r="AB48" s="150">
        <v>6.86</v>
      </c>
      <c r="AC48" s="150">
        <v>7.7</v>
      </c>
      <c r="AD48" s="151">
        <v>20</v>
      </c>
      <c r="AE48" s="151">
        <v>100</v>
      </c>
      <c r="AF48" s="152">
        <v>25</v>
      </c>
      <c r="AG48" s="153">
        <v>15000</v>
      </c>
      <c r="AH48" s="154">
        <v>2968.5379012059052</v>
      </c>
      <c r="AI48" s="155">
        <v>3.5039225874137071E-3</v>
      </c>
      <c r="AJ48" s="145">
        <v>8</v>
      </c>
      <c r="AK48" s="146">
        <v>335</v>
      </c>
      <c r="AL48" s="146">
        <v>9.4712272000000013</v>
      </c>
      <c r="AM48" s="156">
        <v>335</v>
      </c>
      <c r="AN48" s="157">
        <v>1.3583593706303592</v>
      </c>
      <c r="AO48" s="158">
        <v>-5.2715210455422989E-2</v>
      </c>
      <c r="AP48" s="159">
        <v>0</v>
      </c>
      <c r="AQ48" s="157">
        <v>2.5351046991657886E-2</v>
      </c>
      <c r="AR48" s="159">
        <v>5.7055988909614837E-2</v>
      </c>
      <c r="AS48" s="158">
        <v>1.3056441601749362</v>
      </c>
      <c r="AT48" s="158">
        <v>2.5067962093334114E-2</v>
      </c>
      <c r="AU48" s="159">
        <v>1.6473471772897378E-2</v>
      </c>
      <c r="AV48" s="160">
        <v>454.28116170207591</v>
      </c>
      <c r="AW48" s="146">
        <v>437.39079365860363</v>
      </c>
      <c r="AX48" s="156">
        <v>442.90940670252428</v>
      </c>
      <c r="AY48" s="161"/>
      <c r="AZ48" s="161"/>
      <c r="BA48" s="161"/>
      <c r="BB48" s="161"/>
      <c r="BC48" s="161"/>
      <c r="BD48" s="161"/>
      <c r="BE48" s="162"/>
      <c r="BF48" s="162"/>
      <c r="BG48" s="162"/>
      <c r="BH48" s="163"/>
      <c r="BI48" s="163"/>
    </row>
    <row r="49" spans="1:61">
      <c r="A49" t="str">
        <f t="shared" si="0"/>
        <v>freight LDV</v>
      </c>
      <c r="B49" s="141">
        <v>6.6E-3</v>
      </c>
      <c r="C49" s="142">
        <f t="shared" si="1"/>
        <v>683706490.24810469</v>
      </c>
      <c r="D49">
        <f t="shared" si="2"/>
        <v>2.2109999999999999</v>
      </c>
      <c r="E49" t="s">
        <v>378</v>
      </c>
      <c r="F49">
        <v>0</v>
      </c>
      <c r="G49">
        <v>0</v>
      </c>
      <c r="H49">
        <v>0</v>
      </c>
      <c r="I49">
        <f t="shared" si="5"/>
        <v>0</v>
      </c>
      <c r="J49">
        <f t="shared" si="5"/>
        <v>0</v>
      </c>
      <c r="K49">
        <f t="shared" si="5"/>
        <v>0</v>
      </c>
      <c r="L49">
        <f t="shared" si="6"/>
        <v>0</v>
      </c>
      <c r="M49">
        <f t="shared" si="6"/>
        <v>0</v>
      </c>
      <c r="N49">
        <f t="shared" si="6"/>
        <v>0</v>
      </c>
      <c r="O49" s="143">
        <v>43</v>
      </c>
      <c r="P49" s="144" t="s">
        <v>457</v>
      </c>
      <c r="Q49" s="97" t="s">
        <v>451</v>
      </c>
      <c r="R49" s="145">
        <v>54</v>
      </c>
      <c r="S49" s="145">
        <v>46</v>
      </c>
      <c r="T49" s="146" t="s">
        <v>381</v>
      </c>
      <c r="U49" s="97" t="s">
        <v>449</v>
      </c>
      <c r="V49" s="147" t="s">
        <v>382</v>
      </c>
      <c r="W49" s="148"/>
      <c r="X49" s="97" t="s">
        <v>360</v>
      </c>
      <c r="Y49" s="149">
        <v>11408</v>
      </c>
      <c r="Z49" s="149">
        <v>25150.334870050832</v>
      </c>
      <c r="AA49" s="150">
        <v>340</v>
      </c>
      <c r="AB49" s="150">
        <v>5.4</v>
      </c>
      <c r="AC49" s="150">
        <v>7.7</v>
      </c>
      <c r="AD49" s="151">
        <v>16</v>
      </c>
      <c r="AE49" s="151">
        <v>50</v>
      </c>
      <c r="AF49" s="152">
        <v>45</v>
      </c>
      <c r="AG49" s="153">
        <v>11200</v>
      </c>
      <c r="AH49" s="154">
        <v>4917.5835800368095</v>
      </c>
      <c r="AI49" s="155">
        <v>5.8044844819350565E-3</v>
      </c>
      <c r="AJ49" s="145">
        <v>8</v>
      </c>
      <c r="AK49" s="146">
        <v>335</v>
      </c>
      <c r="AL49" s="146">
        <v>9.4712272000000013</v>
      </c>
      <c r="AM49" s="156">
        <v>335</v>
      </c>
      <c r="AN49" s="157">
        <v>1.3643385909304979</v>
      </c>
      <c r="AO49" s="158">
        <v>-0.13719516002678903</v>
      </c>
      <c r="AP49" s="159">
        <v>0</v>
      </c>
      <c r="AQ49" s="157">
        <v>2.5462637118747709E-2</v>
      </c>
      <c r="AR49" s="159">
        <v>5.7307137710520553E-2</v>
      </c>
      <c r="AS49" s="158">
        <v>1.2271434309037088</v>
      </c>
      <c r="AT49" s="158">
        <v>2.5067962093334114E-2</v>
      </c>
      <c r="AU49" s="159">
        <v>1.6473471772897378E-2</v>
      </c>
      <c r="AV49" s="160">
        <v>428.02080008878983</v>
      </c>
      <c r="AW49" s="146">
        <v>411.09304935274247</v>
      </c>
      <c r="AX49" s="156">
        <v>416.61166239666306</v>
      </c>
      <c r="AY49" s="161"/>
      <c r="AZ49" s="161"/>
      <c r="BA49" s="161"/>
      <c r="BB49" s="161"/>
      <c r="BC49" s="161"/>
      <c r="BD49" s="161"/>
      <c r="BE49" s="162"/>
      <c r="BF49" s="162"/>
      <c r="BG49" s="162"/>
      <c r="BH49" s="163"/>
      <c r="BI49" s="163"/>
    </row>
    <row r="50" spans="1:61">
      <c r="A50" t="str">
        <f t="shared" si="0"/>
        <v>freight LDV</v>
      </c>
      <c r="B50" s="141">
        <v>1.4E-2</v>
      </c>
      <c r="C50" s="142">
        <f t="shared" si="1"/>
        <v>1450286494.4656768</v>
      </c>
      <c r="D50">
        <f t="shared" si="2"/>
        <v>4.6900000000000004</v>
      </c>
      <c r="E50" t="s">
        <v>353</v>
      </c>
      <c r="F50">
        <v>0</v>
      </c>
      <c r="G50">
        <v>0</v>
      </c>
      <c r="H50">
        <v>0</v>
      </c>
      <c r="I50">
        <f t="shared" si="5"/>
        <v>0</v>
      </c>
      <c r="J50">
        <f t="shared" si="5"/>
        <v>0</v>
      </c>
      <c r="K50">
        <f t="shared" si="5"/>
        <v>0</v>
      </c>
      <c r="L50">
        <f t="shared" si="6"/>
        <v>0</v>
      </c>
      <c r="M50">
        <f t="shared" si="6"/>
        <v>0</v>
      </c>
      <c r="N50">
        <f t="shared" si="6"/>
        <v>0</v>
      </c>
      <c r="O50" s="143">
        <v>44</v>
      </c>
      <c r="P50" s="144" t="s">
        <v>458</v>
      </c>
      <c r="Q50" s="97" t="s">
        <v>453</v>
      </c>
      <c r="R50" s="145">
        <v>54</v>
      </c>
      <c r="S50" s="145">
        <v>42</v>
      </c>
      <c r="T50" s="146" t="s">
        <v>356</v>
      </c>
      <c r="U50" s="97" t="s">
        <v>449</v>
      </c>
      <c r="V50" s="147" t="s">
        <v>358</v>
      </c>
      <c r="W50" s="148"/>
      <c r="X50" s="97" t="s">
        <v>360</v>
      </c>
      <c r="Y50" s="149">
        <v>7257</v>
      </c>
      <c r="Z50" s="149">
        <v>15998.946366756565</v>
      </c>
      <c r="AA50" s="150">
        <v>340</v>
      </c>
      <c r="AB50" s="150">
        <v>3.4</v>
      </c>
      <c r="AC50" s="150">
        <v>7.7</v>
      </c>
      <c r="AD50" s="151">
        <v>8</v>
      </c>
      <c r="AE50" s="151">
        <v>25</v>
      </c>
      <c r="AF50" s="152">
        <v>55</v>
      </c>
      <c r="AG50" s="153">
        <v>5700</v>
      </c>
      <c r="AH50" s="154">
        <v>9475.4120963971691</v>
      </c>
      <c r="AI50" s="155">
        <v>1.1184330998816577E-2</v>
      </c>
      <c r="AJ50" s="145">
        <v>8</v>
      </c>
      <c r="AK50" s="146">
        <v>335</v>
      </c>
      <c r="AL50" s="146">
        <v>9.4712272000000013</v>
      </c>
      <c r="AM50" s="156">
        <v>335</v>
      </c>
      <c r="AN50" s="157">
        <v>0.8601323948290085</v>
      </c>
      <c r="AO50" s="158">
        <v>-8.4538972558163936E-2</v>
      </c>
      <c r="AP50" s="159">
        <v>0</v>
      </c>
      <c r="AQ50" s="157">
        <v>1.6052642056158157E-2</v>
      </c>
      <c r="AR50" s="159">
        <v>3.612866038343765E-2</v>
      </c>
      <c r="AS50" s="158">
        <v>0.7755934222708446</v>
      </c>
      <c r="AT50" s="158">
        <v>2.5067962093334114E-2</v>
      </c>
      <c r="AU50" s="159">
        <v>1.6473471772897378E-2</v>
      </c>
      <c r="AV50" s="160">
        <v>273.59919885081285</v>
      </c>
      <c r="AW50" s="146">
        <v>259.82379646073292</v>
      </c>
      <c r="AX50" s="156">
        <v>265.34240950465357</v>
      </c>
      <c r="AY50" s="161"/>
      <c r="AZ50" s="161"/>
      <c r="BA50" s="161"/>
      <c r="BB50" s="161"/>
      <c r="BC50" s="161"/>
      <c r="BD50" s="161"/>
      <c r="BE50" s="162"/>
      <c r="BF50" s="162"/>
      <c r="BG50" s="162"/>
      <c r="BH50" s="163"/>
      <c r="BI50" s="163"/>
    </row>
    <row r="51" spans="1:61">
      <c r="A51" t="str">
        <f t="shared" si="0"/>
        <v>freight HDV</v>
      </c>
      <c r="B51" s="141">
        <v>1.5100000000000001E-2</v>
      </c>
      <c r="C51" s="142">
        <f t="shared" si="1"/>
        <v>1564237576.1736941</v>
      </c>
      <c r="D51">
        <f t="shared" si="2"/>
        <v>5.0585000000000004</v>
      </c>
      <c r="E51" t="s">
        <v>12</v>
      </c>
      <c r="F51">
        <v>0</v>
      </c>
      <c r="G51">
        <v>0</v>
      </c>
      <c r="H51">
        <v>0.14000000000000001</v>
      </c>
      <c r="I51">
        <f t="shared" si="5"/>
        <v>0</v>
      </c>
      <c r="J51">
        <f t="shared" si="5"/>
        <v>0</v>
      </c>
      <c r="K51">
        <f t="shared" si="5"/>
        <v>1.2142446869615164E-2</v>
      </c>
      <c r="L51">
        <f t="shared" si="6"/>
        <v>0</v>
      </c>
      <c r="M51">
        <f t="shared" si="6"/>
        <v>0</v>
      </c>
      <c r="N51">
        <f t="shared" si="6"/>
        <v>2.4295207490883378E-2</v>
      </c>
      <c r="O51" s="143">
        <v>45</v>
      </c>
      <c r="P51" s="144" t="s">
        <v>459</v>
      </c>
      <c r="Q51" s="97" t="s">
        <v>455</v>
      </c>
      <c r="R51" s="145">
        <v>54</v>
      </c>
      <c r="S51" s="145">
        <v>41</v>
      </c>
      <c r="T51" s="146" t="s">
        <v>356</v>
      </c>
      <c r="U51" s="97" t="s">
        <v>449</v>
      </c>
      <c r="V51" s="164" t="s">
        <v>363</v>
      </c>
      <c r="W51" s="165"/>
      <c r="X51" s="97" t="s">
        <v>360</v>
      </c>
      <c r="Y51" s="149">
        <v>7257</v>
      </c>
      <c r="Z51" s="149">
        <v>15998.946366756565</v>
      </c>
      <c r="AA51" s="150">
        <v>340</v>
      </c>
      <c r="AB51" s="150">
        <v>3.4</v>
      </c>
      <c r="AC51" s="150">
        <v>7.7</v>
      </c>
      <c r="AD51" s="151">
        <v>7</v>
      </c>
      <c r="AE51" s="151">
        <v>25</v>
      </c>
      <c r="AF51" s="152">
        <v>65</v>
      </c>
      <c r="AG51" s="153">
        <v>5700</v>
      </c>
      <c r="AH51" s="154">
        <v>9288.8310540556995</v>
      </c>
      <c r="AI51" s="155">
        <v>1.0964099507624265E-2</v>
      </c>
      <c r="AJ51" s="145">
        <v>8</v>
      </c>
      <c r="AK51" s="146">
        <v>335</v>
      </c>
      <c r="AL51" s="146">
        <v>9.4712272000000013</v>
      </c>
      <c r="AM51" s="156">
        <v>335</v>
      </c>
      <c r="AN51" s="157">
        <v>0.8601323948290085</v>
      </c>
      <c r="AO51" s="158">
        <v>-8.4538972558163936E-2</v>
      </c>
      <c r="AP51" s="159">
        <v>0</v>
      </c>
      <c r="AQ51" s="157">
        <v>1.6052642056158157E-2</v>
      </c>
      <c r="AR51" s="159">
        <v>3.612866038343765E-2</v>
      </c>
      <c r="AS51" s="158">
        <v>0.7755934222708446</v>
      </c>
      <c r="AT51" s="158">
        <v>2.5067962093334114E-2</v>
      </c>
      <c r="AU51" s="159">
        <v>1.6473471772897378E-2</v>
      </c>
      <c r="AV51" s="160">
        <v>273.59919885081285</v>
      </c>
      <c r="AW51" s="146">
        <v>259.82379646073292</v>
      </c>
      <c r="AX51" s="156">
        <v>265.34240950465357</v>
      </c>
      <c r="AY51" s="161"/>
      <c r="AZ51" s="161"/>
      <c r="BA51" s="161"/>
      <c r="BB51" s="161"/>
      <c r="BC51" s="161"/>
      <c r="BD51" s="161"/>
      <c r="BE51" s="162"/>
      <c r="BF51" s="162"/>
      <c r="BG51" s="162"/>
      <c r="BH51" s="163"/>
      <c r="BI51" s="163"/>
    </row>
    <row r="52" spans="1:61">
      <c r="A52" t="str">
        <f t="shared" si="0"/>
        <v>passenger HDV</v>
      </c>
      <c r="B52" s="141">
        <v>1.5E-3</v>
      </c>
      <c r="C52" s="142">
        <f t="shared" si="1"/>
        <v>22264526.141050901</v>
      </c>
      <c r="D52">
        <f t="shared" si="2"/>
        <v>7.2000000000000008E-2</v>
      </c>
      <c r="E52" t="s">
        <v>399</v>
      </c>
      <c r="F52">
        <v>0.05</v>
      </c>
      <c r="G52">
        <v>0.14000000000000001</v>
      </c>
      <c r="H52">
        <v>0.14000000000000001</v>
      </c>
      <c r="I52">
        <f t="shared" si="5"/>
        <v>9.3167701863354046E-4</v>
      </c>
      <c r="J52">
        <f t="shared" si="5"/>
        <v>2.6086956521739132E-3</v>
      </c>
      <c r="K52">
        <f t="shared" si="5"/>
        <v>2.6086956521739132E-3</v>
      </c>
      <c r="L52">
        <f t="shared" si="6"/>
        <v>5.0361566216909355E-4</v>
      </c>
      <c r="M52">
        <f t="shared" si="6"/>
        <v>1.4101238540734618E-3</v>
      </c>
      <c r="N52">
        <f t="shared" si="6"/>
        <v>1.4101238540734618E-3</v>
      </c>
      <c r="O52" s="143">
        <v>46</v>
      </c>
      <c r="P52" s="144" t="s">
        <v>460</v>
      </c>
      <c r="Q52" s="97" t="s">
        <v>461</v>
      </c>
      <c r="R52" s="145">
        <v>43</v>
      </c>
      <c r="S52" s="145">
        <v>47</v>
      </c>
      <c r="T52" s="146" t="s">
        <v>462</v>
      </c>
      <c r="U52" s="97" t="s">
        <v>462</v>
      </c>
      <c r="V52" s="166" t="s">
        <v>373</v>
      </c>
      <c r="W52" s="167" t="s">
        <v>463</v>
      </c>
      <c r="X52" s="97" t="s">
        <v>360</v>
      </c>
      <c r="Y52" s="149">
        <v>19051</v>
      </c>
      <c r="Z52" s="149">
        <v>42000.265568841023</v>
      </c>
      <c r="AA52" s="150">
        <v>794</v>
      </c>
      <c r="AB52" s="150">
        <v>6.86</v>
      </c>
      <c r="AC52" s="150">
        <v>7.7</v>
      </c>
      <c r="AD52" s="151">
        <v>20</v>
      </c>
      <c r="AE52" s="151">
        <v>100</v>
      </c>
      <c r="AF52" s="152">
        <v>25</v>
      </c>
      <c r="AG52" s="153">
        <v>15000</v>
      </c>
      <c r="AH52" s="154">
        <v>978.58128437662367</v>
      </c>
      <c r="AI52" s="155">
        <v>1.1550713449050662E-3</v>
      </c>
      <c r="AJ52" s="145">
        <v>8</v>
      </c>
      <c r="AK52" s="146">
        <v>48</v>
      </c>
      <c r="AL52" s="146">
        <v>42.408480000000004</v>
      </c>
      <c r="AM52" s="156">
        <v>75</v>
      </c>
      <c r="AN52" s="157">
        <v>1.2209657686394846</v>
      </c>
      <c r="AO52" s="158">
        <v>-0.20567900952193305</v>
      </c>
      <c r="AP52" s="159">
        <v>0</v>
      </c>
      <c r="AQ52" s="157">
        <v>2.2786871607931965E-2</v>
      </c>
      <c r="AR52" s="159">
        <v>5.128496247807076E-2</v>
      </c>
      <c r="AS52" s="158">
        <v>1.0152867591175516</v>
      </c>
      <c r="AT52" s="158">
        <v>0.53933423943859549</v>
      </c>
      <c r="AU52" s="159">
        <v>0.35442479673731969</v>
      </c>
      <c r="AV52" s="160">
        <v>118.30559026230593</v>
      </c>
      <c r="AW52" s="146">
        <v>76.146506933816369</v>
      </c>
      <c r="AX52" s="156">
        <v>102.72836668911535</v>
      </c>
      <c r="AY52" s="161"/>
      <c r="AZ52" s="161"/>
      <c r="BA52" s="161"/>
      <c r="BB52" s="161"/>
      <c r="BC52" s="161"/>
      <c r="BD52" s="161"/>
      <c r="BE52" s="162"/>
      <c r="BF52" s="162"/>
      <c r="BG52" s="162"/>
      <c r="BH52" s="163"/>
      <c r="BI52" s="163"/>
    </row>
    <row r="53" spans="1:61">
      <c r="A53" t="str">
        <f t="shared" si="0"/>
        <v>passenger HDV</v>
      </c>
      <c r="B53" s="141">
        <v>1.9800000000000002E-2</v>
      </c>
      <c r="C53" s="142">
        <f t="shared" si="1"/>
        <v>312914287.14804953</v>
      </c>
      <c r="D53">
        <f t="shared" si="2"/>
        <v>1.0119159299384102</v>
      </c>
      <c r="E53" t="s">
        <v>399</v>
      </c>
      <c r="F53">
        <v>0.2</v>
      </c>
      <c r="G53">
        <v>0.37</v>
      </c>
      <c r="H53">
        <v>0.7</v>
      </c>
      <c r="I53">
        <f t="shared" si="5"/>
        <v>4.9192546583850943E-2</v>
      </c>
      <c r="J53">
        <f t="shared" si="5"/>
        <v>9.1006211180124238E-2</v>
      </c>
      <c r="K53">
        <f t="shared" si="5"/>
        <v>0.17217391304347826</v>
      </c>
      <c r="L53">
        <f t="shared" si="6"/>
        <v>2.8312039506410355E-2</v>
      </c>
      <c r="M53">
        <f t="shared" si="6"/>
        <v>5.2377273086859154E-2</v>
      </c>
      <c r="N53">
        <f t="shared" si="6"/>
        <v>9.9092138272436237E-2</v>
      </c>
      <c r="O53" s="143">
        <v>47</v>
      </c>
      <c r="P53" s="144" t="s">
        <v>464</v>
      </c>
      <c r="Q53" s="97" t="s">
        <v>465</v>
      </c>
      <c r="R53" s="145">
        <v>43</v>
      </c>
      <c r="S53" s="145">
        <v>46</v>
      </c>
      <c r="T53" s="146" t="s">
        <v>462</v>
      </c>
      <c r="U53" s="97" t="s">
        <v>462</v>
      </c>
      <c r="V53" s="147" t="s">
        <v>382</v>
      </c>
      <c r="W53" s="148" t="s">
        <v>466</v>
      </c>
      <c r="X53" s="97" t="s">
        <v>360</v>
      </c>
      <c r="Y53" s="149">
        <v>11408</v>
      </c>
      <c r="Z53" s="149">
        <v>25150.334870050832</v>
      </c>
      <c r="AA53" s="150">
        <v>340</v>
      </c>
      <c r="AB53" s="150">
        <v>5.4</v>
      </c>
      <c r="AC53" s="150">
        <v>7.7</v>
      </c>
      <c r="AD53" s="151">
        <v>16</v>
      </c>
      <c r="AE53" s="151">
        <v>50</v>
      </c>
      <c r="AF53" s="152">
        <v>45</v>
      </c>
      <c r="AG53" s="153">
        <v>11200</v>
      </c>
      <c r="AH53" s="154">
        <v>12540.37382543232</v>
      </c>
      <c r="AI53" s="155">
        <v>1.4802067739709185E-2</v>
      </c>
      <c r="AJ53" s="145">
        <v>8</v>
      </c>
      <c r="AK53" s="146">
        <v>51.106865148404552</v>
      </c>
      <c r="AL53" s="146">
        <v>45.153426427266908</v>
      </c>
      <c r="AM53" s="156">
        <v>79.466206457674303</v>
      </c>
      <c r="AN53" s="157">
        <v>1.2209657686394846</v>
      </c>
      <c r="AO53" s="158">
        <v>-0.20567900952193305</v>
      </c>
      <c r="AP53" s="159">
        <v>0</v>
      </c>
      <c r="AQ53" s="157">
        <v>2.2786871607931965E-2</v>
      </c>
      <c r="AR53" s="159">
        <v>5.128496247807076E-2</v>
      </c>
      <c r="AS53" s="158">
        <v>1.0152867591175516</v>
      </c>
      <c r="AT53" s="158">
        <v>0.35663411867108302</v>
      </c>
      <c r="AU53" s="159">
        <v>0.23436297156131639</v>
      </c>
      <c r="AV53" s="160">
        <v>110.83213396166585</v>
      </c>
      <c r="AW53" s="146">
        <v>80.680987213778394</v>
      </c>
      <c r="AX53" s="156">
        <v>99.304923497904028</v>
      </c>
      <c r="AY53" s="161"/>
      <c r="AZ53" s="161"/>
      <c r="BA53" s="161"/>
      <c r="BB53" s="161"/>
      <c r="BC53" s="161"/>
      <c r="BD53" s="161"/>
      <c r="BE53" s="162"/>
      <c r="BF53" s="162"/>
      <c r="BG53" s="162"/>
      <c r="BH53" s="163"/>
      <c r="BI53" s="163"/>
    </row>
    <row r="54" spans="1:61">
      <c r="A54" t="str">
        <f t="shared" si="0"/>
        <v>passenger HDV</v>
      </c>
      <c r="B54" s="141">
        <v>6.9999999999999999E-4</v>
      </c>
      <c r="C54" s="142">
        <f t="shared" si="1"/>
        <v>10390112.199157087</v>
      </c>
      <c r="D54">
        <f t="shared" si="2"/>
        <v>3.3599999999999998E-2</v>
      </c>
      <c r="E54" t="s">
        <v>399</v>
      </c>
      <c r="F54">
        <v>0.2</v>
      </c>
      <c r="G54">
        <v>0.37</v>
      </c>
      <c r="H54">
        <v>0.7</v>
      </c>
      <c r="I54">
        <f t="shared" si="5"/>
        <v>1.7391304347826088E-3</v>
      </c>
      <c r="J54">
        <f t="shared" si="5"/>
        <v>3.217391304347826E-3</v>
      </c>
      <c r="K54">
        <f t="shared" si="5"/>
        <v>6.0869565217391303E-3</v>
      </c>
      <c r="L54">
        <f t="shared" si="6"/>
        <v>9.4008256938230776E-4</v>
      </c>
      <c r="M54">
        <f t="shared" si="6"/>
        <v>1.739152753357269E-3</v>
      </c>
      <c r="N54">
        <f t="shared" si="6"/>
        <v>3.2902889928380762E-3</v>
      </c>
      <c r="O54" s="143">
        <v>48</v>
      </c>
      <c r="P54" s="144" t="s">
        <v>467</v>
      </c>
      <c r="Q54" s="97" t="s">
        <v>468</v>
      </c>
      <c r="R54" s="145">
        <v>43</v>
      </c>
      <c r="S54" s="145">
        <v>42</v>
      </c>
      <c r="T54" s="146" t="s">
        <v>356</v>
      </c>
      <c r="U54" s="97" t="s">
        <v>462</v>
      </c>
      <c r="V54" s="147" t="s">
        <v>358</v>
      </c>
      <c r="W54" s="148" t="s">
        <v>469</v>
      </c>
      <c r="X54" s="97" t="s">
        <v>360</v>
      </c>
      <c r="Y54" s="149">
        <v>7257</v>
      </c>
      <c r="Z54" s="149">
        <v>15998.946366756565</v>
      </c>
      <c r="AA54" s="150">
        <v>340</v>
      </c>
      <c r="AB54" s="150">
        <v>3.4</v>
      </c>
      <c r="AC54" s="150">
        <v>7.7</v>
      </c>
      <c r="AD54" s="151">
        <v>8</v>
      </c>
      <c r="AE54" s="151">
        <v>25</v>
      </c>
      <c r="AF54" s="152">
        <v>55</v>
      </c>
      <c r="AG54" s="153">
        <v>5700</v>
      </c>
      <c r="AH54" s="154">
        <v>831.79409172012959</v>
      </c>
      <c r="AI54" s="155">
        <v>9.8181064316930564E-4</v>
      </c>
      <c r="AJ54" s="145">
        <v>8</v>
      </c>
      <c r="AK54" s="146">
        <v>48</v>
      </c>
      <c r="AL54" s="146">
        <v>42.408480000000004</v>
      </c>
      <c r="AM54" s="156">
        <v>75</v>
      </c>
      <c r="AN54" s="157">
        <v>0.8601323948290085</v>
      </c>
      <c r="AO54" s="158">
        <v>-8.4538972558163936E-2</v>
      </c>
      <c r="AP54" s="159">
        <v>0</v>
      </c>
      <c r="AQ54" s="157">
        <v>1.6052642056158157E-2</v>
      </c>
      <c r="AR54" s="159">
        <v>3.612866038343765E-2</v>
      </c>
      <c r="AS54" s="158">
        <v>0.7755934222708446</v>
      </c>
      <c r="AT54" s="158">
        <v>0.31577040952362323</v>
      </c>
      <c r="AU54" s="159">
        <v>0.20750928650027306</v>
      </c>
      <c r="AV54" s="160">
        <v>83.056235538796955</v>
      </c>
      <c r="AW54" s="146">
        <v>58.169506670313346</v>
      </c>
      <c r="AX54" s="156">
        <v>73.732703157833825</v>
      </c>
      <c r="AY54" s="161"/>
      <c r="AZ54" s="161"/>
      <c r="BA54" s="161"/>
      <c r="BB54" s="161"/>
      <c r="BC54" s="161"/>
      <c r="BD54" s="161"/>
      <c r="BE54" s="162"/>
      <c r="BF54" s="162"/>
      <c r="BG54" s="162"/>
      <c r="BH54" s="163"/>
      <c r="BI54" s="163"/>
    </row>
    <row r="55" spans="1:61">
      <c r="A55" t="str">
        <f t="shared" si="0"/>
        <v>passenger HDV</v>
      </c>
      <c r="B55" s="141">
        <v>6.9999999999999999E-4</v>
      </c>
      <c r="C55" s="142">
        <f t="shared" si="1"/>
        <v>10390112.199157087</v>
      </c>
      <c r="D55">
        <f t="shared" si="2"/>
        <v>3.3599999999999998E-2</v>
      </c>
      <c r="E55" t="s">
        <v>399</v>
      </c>
      <c r="F55">
        <v>0.2</v>
      </c>
      <c r="G55">
        <v>0.37</v>
      </c>
      <c r="H55">
        <v>0.7</v>
      </c>
      <c r="I55">
        <f t="shared" si="5"/>
        <v>1.7391304347826088E-3</v>
      </c>
      <c r="J55">
        <f t="shared" si="5"/>
        <v>3.217391304347826E-3</v>
      </c>
      <c r="K55">
        <f t="shared" si="5"/>
        <v>6.0869565217391303E-3</v>
      </c>
      <c r="L55">
        <f t="shared" si="6"/>
        <v>9.4008256938230776E-4</v>
      </c>
      <c r="M55">
        <f t="shared" si="6"/>
        <v>1.739152753357269E-3</v>
      </c>
      <c r="N55">
        <f t="shared" si="6"/>
        <v>3.2902889928380762E-3</v>
      </c>
      <c r="O55" s="143">
        <v>49</v>
      </c>
      <c r="P55" s="144" t="s">
        <v>470</v>
      </c>
      <c r="Q55" s="97" t="s">
        <v>471</v>
      </c>
      <c r="R55" s="145">
        <v>43</v>
      </c>
      <c r="S55" s="145">
        <v>41</v>
      </c>
      <c r="T55" s="146" t="s">
        <v>356</v>
      </c>
      <c r="U55" s="97" t="s">
        <v>462</v>
      </c>
      <c r="V55" s="164" t="s">
        <v>363</v>
      </c>
      <c r="W55" s="165"/>
      <c r="X55" s="97" t="s">
        <v>360</v>
      </c>
      <c r="Y55" s="149">
        <v>7257</v>
      </c>
      <c r="Z55" s="149">
        <v>15998.946366756565</v>
      </c>
      <c r="AA55" s="150">
        <v>340</v>
      </c>
      <c r="AB55" s="150">
        <v>3.4</v>
      </c>
      <c r="AC55" s="150">
        <v>7.7</v>
      </c>
      <c r="AD55" s="151">
        <v>7</v>
      </c>
      <c r="AE55" s="151">
        <v>25</v>
      </c>
      <c r="AF55" s="152">
        <v>65</v>
      </c>
      <c r="AG55" s="153">
        <v>5700</v>
      </c>
      <c r="AH55" s="154">
        <v>1</v>
      </c>
      <c r="AI55" s="155">
        <v>1.1803529899316134E-6</v>
      </c>
      <c r="AJ55" s="145">
        <v>8</v>
      </c>
      <c r="AK55" s="146">
        <v>48</v>
      </c>
      <c r="AL55" s="146">
        <v>42.408480000000004</v>
      </c>
      <c r="AM55" s="156">
        <v>75</v>
      </c>
      <c r="AN55" s="157">
        <v>0.8601323948290085</v>
      </c>
      <c r="AO55" s="158">
        <v>-8.4538972558163936E-2</v>
      </c>
      <c r="AP55" s="159">
        <v>0</v>
      </c>
      <c r="AQ55" s="157">
        <v>1.6052642056158157E-2</v>
      </c>
      <c r="AR55" s="159">
        <v>3.612866038343765E-2</v>
      </c>
      <c r="AS55" s="158">
        <v>0.7755934222708446</v>
      </c>
      <c r="AT55" s="158">
        <v>0.19156828179308308</v>
      </c>
      <c r="AU55" s="159">
        <v>0.12588955859080264</v>
      </c>
      <c r="AV55" s="160">
        <v>73.741075959006437</v>
      </c>
      <c r="AW55" s="146">
        <v>58.169506670313346</v>
      </c>
      <c r="AX55" s="156">
        <v>67.611223564623543</v>
      </c>
      <c r="AY55" s="161"/>
      <c r="AZ55" s="161"/>
      <c r="BA55" s="161"/>
      <c r="BB55" s="161"/>
      <c r="BC55" s="161"/>
      <c r="BD55" s="161"/>
      <c r="BE55" s="162"/>
      <c r="BF55" s="162"/>
      <c r="BG55" s="162"/>
      <c r="BH55" s="163"/>
      <c r="BI55" s="163"/>
    </row>
    <row r="56" spans="1:61">
      <c r="A56" t="str">
        <f t="shared" si="0"/>
        <v>passenger HDV</v>
      </c>
      <c r="B56" s="141">
        <v>1.5E-3</v>
      </c>
      <c r="C56" s="142">
        <f t="shared" si="1"/>
        <v>22264526.141050901</v>
      </c>
      <c r="D56">
        <f t="shared" si="2"/>
        <v>7.2000000000000008E-2</v>
      </c>
      <c r="E56" t="s">
        <v>399</v>
      </c>
      <c r="F56">
        <v>0.2</v>
      </c>
      <c r="G56">
        <v>0.26</v>
      </c>
      <c r="H56">
        <v>0.39</v>
      </c>
      <c r="I56">
        <f t="shared" si="5"/>
        <v>3.7267080745341618E-3</v>
      </c>
      <c r="J56">
        <f t="shared" si="5"/>
        <v>4.8447204968944104E-3</v>
      </c>
      <c r="K56">
        <f t="shared" si="5"/>
        <v>7.2670807453416152E-3</v>
      </c>
      <c r="L56">
        <f t="shared" si="6"/>
        <v>2.0144626486763742E-3</v>
      </c>
      <c r="M56">
        <f t="shared" si="6"/>
        <v>2.6188014432792861E-3</v>
      </c>
      <c r="N56">
        <f t="shared" si="6"/>
        <v>3.9282021649189288E-3</v>
      </c>
      <c r="O56" s="143">
        <v>50</v>
      </c>
      <c r="P56" s="144" t="s">
        <v>472</v>
      </c>
      <c r="Q56" s="97" t="s">
        <v>461</v>
      </c>
      <c r="R56" s="145">
        <v>43</v>
      </c>
      <c r="S56" s="145">
        <v>47</v>
      </c>
      <c r="T56" s="146" t="s">
        <v>462</v>
      </c>
      <c r="U56" s="97" t="s">
        <v>462</v>
      </c>
      <c r="V56" s="166" t="s">
        <v>373</v>
      </c>
      <c r="W56" s="167" t="s">
        <v>463</v>
      </c>
      <c r="X56" s="97" t="s">
        <v>366</v>
      </c>
      <c r="Y56" s="149">
        <v>19051</v>
      </c>
      <c r="Z56" s="149">
        <v>42000.265568841023</v>
      </c>
      <c r="AA56" s="150">
        <v>794</v>
      </c>
      <c r="AB56" s="150">
        <v>6.86</v>
      </c>
      <c r="AC56" s="150">
        <v>7.7</v>
      </c>
      <c r="AD56" s="151">
        <v>20</v>
      </c>
      <c r="AE56" s="151">
        <v>100</v>
      </c>
      <c r="AF56" s="152">
        <v>25</v>
      </c>
      <c r="AG56" s="153">
        <v>15000</v>
      </c>
      <c r="AH56" s="154">
        <v>978.58128437662367</v>
      </c>
      <c r="AI56" s="155">
        <v>1.1550713449050662E-3</v>
      </c>
      <c r="AJ56" s="145">
        <v>8</v>
      </c>
      <c r="AK56" s="146">
        <v>48</v>
      </c>
      <c r="AL56" s="146">
        <v>42.408480000000004</v>
      </c>
      <c r="AM56" s="156">
        <v>75</v>
      </c>
      <c r="AN56" s="157">
        <v>1.2209657686394846</v>
      </c>
      <c r="AO56" s="158">
        <v>-0.20567900952193305</v>
      </c>
      <c r="AP56" s="159">
        <v>0</v>
      </c>
      <c r="AQ56" s="157">
        <v>2.2786871607931965E-2</v>
      </c>
      <c r="AR56" s="159">
        <v>5.128496247807076E-2</v>
      </c>
      <c r="AS56" s="158">
        <v>1.0152867591175516</v>
      </c>
      <c r="AT56" s="158">
        <v>0.40271189893500131</v>
      </c>
      <c r="AU56" s="159">
        <v>0.26464309603690228</v>
      </c>
      <c r="AV56" s="160">
        <v>108.05891472453638</v>
      </c>
      <c r="AW56" s="146">
        <v>76.146506933816369</v>
      </c>
      <c r="AX56" s="156">
        <v>95.994739136584045</v>
      </c>
      <c r="AY56" s="161"/>
      <c r="AZ56" s="161"/>
      <c r="BA56" s="161"/>
      <c r="BB56" s="161"/>
      <c r="BC56" s="161"/>
      <c r="BD56" s="161"/>
      <c r="BE56" s="162"/>
      <c r="BF56" s="162"/>
      <c r="BG56" s="162"/>
      <c r="BH56" s="163"/>
      <c r="BI56" s="163"/>
    </row>
    <row r="57" spans="1:61">
      <c r="A57" t="str">
        <f t="shared" si="0"/>
        <v>passenger HDV</v>
      </c>
      <c r="B57" s="141">
        <v>1.9800000000000002E-2</v>
      </c>
      <c r="C57" s="142">
        <f t="shared" si="1"/>
        <v>312914287.14804953</v>
      </c>
      <c r="D57">
        <f t="shared" si="2"/>
        <v>1.0119159299384102</v>
      </c>
      <c r="E57" t="s">
        <v>399</v>
      </c>
      <c r="F57">
        <v>0.2</v>
      </c>
      <c r="G57">
        <v>0.37</v>
      </c>
      <c r="H57">
        <v>0.7</v>
      </c>
      <c r="I57">
        <f t="shared" si="5"/>
        <v>4.9192546583850943E-2</v>
      </c>
      <c r="J57">
        <f t="shared" si="5"/>
        <v>9.1006211180124238E-2</v>
      </c>
      <c r="K57">
        <f t="shared" si="5"/>
        <v>0.17217391304347826</v>
      </c>
      <c r="L57">
        <f t="shared" si="6"/>
        <v>2.8312039506410355E-2</v>
      </c>
      <c r="M57">
        <f t="shared" si="6"/>
        <v>5.2377273086859154E-2</v>
      </c>
      <c r="N57">
        <f t="shared" si="6"/>
        <v>9.9092138272436237E-2</v>
      </c>
      <c r="O57" s="143">
        <v>51</v>
      </c>
      <c r="P57" s="144" t="s">
        <v>473</v>
      </c>
      <c r="Q57" s="97" t="s">
        <v>465</v>
      </c>
      <c r="R57" s="145">
        <v>43</v>
      </c>
      <c r="S57" s="145">
        <v>46</v>
      </c>
      <c r="T57" s="146" t="s">
        <v>462</v>
      </c>
      <c r="U57" s="97" t="s">
        <v>462</v>
      </c>
      <c r="V57" s="147" t="s">
        <v>382</v>
      </c>
      <c r="W57" s="148" t="s">
        <v>466</v>
      </c>
      <c r="X57" s="97" t="s">
        <v>366</v>
      </c>
      <c r="Y57" s="149">
        <v>11408</v>
      </c>
      <c r="Z57" s="149">
        <v>25150.334870050832</v>
      </c>
      <c r="AA57" s="150">
        <v>340</v>
      </c>
      <c r="AB57" s="150">
        <v>5.4</v>
      </c>
      <c r="AC57" s="150">
        <v>7.7</v>
      </c>
      <c r="AD57" s="151">
        <v>16</v>
      </c>
      <c r="AE57" s="151">
        <v>50</v>
      </c>
      <c r="AF57" s="152">
        <v>45</v>
      </c>
      <c r="AG57" s="153">
        <v>11200</v>
      </c>
      <c r="AH57" s="154">
        <v>12540.37382543232</v>
      </c>
      <c r="AI57" s="155">
        <v>1.4802067739709185E-2</v>
      </c>
      <c r="AJ57" s="145">
        <v>8</v>
      </c>
      <c r="AK57" s="146">
        <v>51.106865148404552</v>
      </c>
      <c r="AL57" s="146">
        <v>45.153426427266908</v>
      </c>
      <c r="AM57" s="156">
        <v>79.466206457674303</v>
      </c>
      <c r="AN57" s="157">
        <v>1.2209657686394846</v>
      </c>
      <c r="AO57" s="158">
        <v>-0.20567900952193305</v>
      </c>
      <c r="AP57" s="159">
        <v>0</v>
      </c>
      <c r="AQ57" s="157">
        <v>2.2786871607931965E-2</v>
      </c>
      <c r="AR57" s="159">
        <v>5.128496247807076E-2</v>
      </c>
      <c r="AS57" s="158">
        <v>1.0152867591175516</v>
      </c>
      <c r="AT57" s="158">
        <v>0.35663411867108302</v>
      </c>
      <c r="AU57" s="159">
        <v>0.23436297156131639</v>
      </c>
      <c r="AV57" s="160">
        <v>110.83213396166585</v>
      </c>
      <c r="AW57" s="146">
        <v>80.680987213778394</v>
      </c>
      <c r="AX57" s="156">
        <v>99.304923497904028</v>
      </c>
      <c r="AY57" s="161"/>
      <c r="AZ57" s="161"/>
      <c r="BA57" s="161"/>
      <c r="BB57" s="161"/>
      <c r="BC57" s="161"/>
      <c r="BD57" s="161"/>
      <c r="BE57" s="162"/>
      <c r="BF57" s="162"/>
      <c r="BG57" s="162"/>
      <c r="BH57" s="163"/>
      <c r="BI57" s="163"/>
    </row>
    <row r="58" spans="1:61">
      <c r="A58" t="str">
        <f t="shared" si="0"/>
        <v>passenger HDV</v>
      </c>
      <c r="B58" s="141">
        <v>6.9999999999999999E-4</v>
      </c>
      <c r="C58" s="142">
        <f t="shared" si="1"/>
        <v>10390112.199157087</v>
      </c>
      <c r="D58">
        <f t="shared" si="2"/>
        <v>3.3599999999999998E-2</v>
      </c>
      <c r="E58" t="s">
        <v>399</v>
      </c>
      <c r="F58">
        <v>0.2</v>
      </c>
      <c r="G58">
        <v>0.37</v>
      </c>
      <c r="H58">
        <v>0.7</v>
      </c>
      <c r="I58">
        <f t="shared" si="5"/>
        <v>1.7391304347826088E-3</v>
      </c>
      <c r="J58">
        <f t="shared" si="5"/>
        <v>3.217391304347826E-3</v>
      </c>
      <c r="K58">
        <f t="shared" si="5"/>
        <v>6.0869565217391303E-3</v>
      </c>
      <c r="L58">
        <f t="shared" si="6"/>
        <v>9.4008256938230776E-4</v>
      </c>
      <c r="M58">
        <f t="shared" si="6"/>
        <v>1.739152753357269E-3</v>
      </c>
      <c r="N58">
        <f t="shared" si="6"/>
        <v>3.2902889928380762E-3</v>
      </c>
      <c r="O58" s="143">
        <v>52</v>
      </c>
      <c r="P58" s="144" t="s">
        <v>474</v>
      </c>
      <c r="Q58" s="97" t="s">
        <v>468</v>
      </c>
      <c r="R58" s="145">
        <v>43</v>
      </c>
      <c r="S58" s="145">
        <v>42</v>
      </c>
      <c r="T58" s="146" t="s">
        <v>365</v>
      </c>
      <c r="U58" s="97" t="s">
        <v>462</v>
      </c>
      <c r="V58" s="147" t="s">
        <v>358</v>
      </c>
      <c r="W58" s="148" t="s">
        <v>469</v>
      </c>
      <c r="X58" s="97" t="s">
        <v>366</v>
      </c>
      <c r="Y58" s="149">
        <v>7257</v>
      </c>
      <c r="Z58" s="149">
        <v>15998.946366756565</v>
      </c>
      <c r="AA58" s="150">
        <v>340</v>
      </c>
      <c r="AB58" s="150">
        <v>3.4</v>
      </c>
      <c r="AC58" s="150">
        <v>7.7</v>
      </c>
      <c r="AD58" s="151">
        <v>8</v>
      </c>
      <c r="AE58" s="151">
        <v>25</v>
      </c>
      <c r="AF58" s="152">
        <v>55</v>
      </c>
      <c r="AG58" s="153">
        <v>5700</v>
      </c>
      <c r="AH58" s="154">
        <v>831.79409172012959</v>
      </c>
      <c r="AI58" s="155">
        <v>9.8181064316930564E-4</v>
      </c>
      <c r="AJ58" s="145">
        <v>8</v>
      </c>
      <c r="AK58" s="146">
        <v>48</v>
      </c>
      <c r="AL58" s="146">
        <v>42.408480000000004</v>
      </c>
      <c r="AM58" s="156">
        <v>75</v>
      </c>
      <c r="AN58" s="157">
        <v>0.81793022012432626</v>
      </c>
      <c r="AO58" s="158">
        <v>-0.13468693348743255</v>
      </c>
      <c r="AP58" s="159">
        <v>0</v>
      </c>
      <c r="AQ58" s="157">
        <v>1.5265023302814502E-2</v>
      </c>
      <c r="AR58" s="159">
        <v>3.4356016954920958E-2</v>
      </c>
      <c r="AS58" s="158">
        <v>0.68324328663689371</v>
      </c>
      <c r="AT58" s="158">
        <v>0.31577040952362323</v>
      </c>
      <c r="AU58" s="159">
        <v>0.20750928650027306</v>
      </c>
      <c r="AV58" s="160">
        <v>76.07090395974987</v>
      </c>
      <c r="AW58" s="146">
        <v>51.243246497767025</v>
      </c>
      <c r="AX58" s="156">
        <v>66.806442985287518</v>
      </c>
      <c r="AY58" s="161"/>
      <c r="AZ58" s="161"/>
      <c r="BA58" s="161"/>
      <c r="BB58" s="161"/>
      <c r="BC58" s="161"/>
      <c r="BD58" s="161"/>
      <c r="BE58" s="162"/>
      <c r="BF58" s="162"/>
      <c r="BG58" s="162"/>
      <c r="BH58" s="163"/>
      <c r="BI58" s="163"/>
    </row>
    <row r="59" spans="1:61">
      <c r="A59" t="str">
        <f t="shared" si="0"/>
        <v>passenger HDV</v>
      </c>
      <c r="B59" s="141">
        <v>6.9999999999999999E-4</v>
      </c>
      <c r="C59" s="142">
        <f t="shared" si="1"/>
        <v>10390112.199157087</v>
      </c>
      <c r="D59">
        <f t="shared" si="2"/>
        <v>3.3599999999999998E-2</v>
      </c>
      <c r="E59" t="s">
        <v>399</v>
      </c>
      <c r="F59">
        <v>0.2</v>
      </c>
      <c r="G59">
        <v>0.37</v>
      </c>
      <c r="H59">
        <v>0.7</v>
      </c>
      <c r="I59">
        <f t="shared" si="5"/>
        <v>1.7391304347826088E-3</v>
      </c>
      <c r="J59">
        <f t="shared" si="5"/>
        <v>3.217391304347826E-3</v>
      </c>
      <c r="K59">
        <f t="shared" si="5"/>
        <v>6.0869565217391303E-3</v>
      </c>
      <c r="L59">
        <f t="shared" si="6"/>
        <v>9.4008256938230776E-4</v>
      </c>
      <c r="M59">
        <f t="shared" si="6"/>
        <v>1.739152753357269E-3</v>
      </c>
      <c r="N59">
        <f t="shared" si="6"/>
        <v>3.2902889928380762E-3</v>
      </c>
      <c r="O59" s="143">
        <v>53</v>
      </c>
      <c r="P59" s="144" t="s">
        <v>475</v>
      </c>
      <c r="Q59" s="97" t="s">
        <v>471</v>
      </c>
      <c r="R59" s="145">
        <v>43</v>
      </c>
      <c r="S59" s="145">
        <v>41</v>
      </c>
      <c r="T59" s="146" t="s">
        <v>365</v>
      </c>
      <c r="U59" s="97" t="s">
        <v>462</v>
      </c>
      <c r="V59" s="164" t="s">
        <v>363</v>
      </c>
      <c r="W59" s="165"/>
      <c r="X59" s="97" t="s">
        <v>366</v>
      </c>
      <c r="Y59" s="149">
        <v>7257</v>
      </c>
      <c r="Z59" s="149">
        <v>15998.946366756565</v>
      </c>
      <c r="AA59" s="150">
        <v>340</v>
      </c>
      <c r="AB59" s="150">
        <v>3.4</v>
      </c>
      <c r="AC59" s="150">
        <v>7.7</v>
      </c>
      <c r="AD59" s="151">
        <v>7</v>
      </c>
      <c r="AE59" s="151">
        <v>25</v>
      </c>
      <c r="AF59" s="152">
        <v>65</v>
      </c>
      <c r="AG59" s="153">
        <v>5700</v>
      </c>
      <c r="AH59" s="154">
        <v>1</v>
      </c>
      <c r="AI59" s="155">
        <v>1.1803529899316134E-6</v>
      </c>
      <c r="AJ59" s="145">
        <v>8</v>
      </c>
      <c r="AK59" s="146">
        <v>48</v>
      </c>
      <c r="AL59" s="146">
        <v>42.408480000000004</v>
      </c>
      <c r="AM59" s="156">
        <v>75</v>
      </c>
      <c r="AN59" s="157">
        <v>0.81793022012432626</v>
      </c>
      <c r="AO59" s="158">
        <v>-0.13468693348743255</v>
      </c>
      <c r="AP59" s="159">
        <v>0</v>
      </c>
      <c r="AQ59" s="157">
        <v>1.5265023302814502E-2</v>
      </c>
      <c r="AR59" s="159">
        <v>3.4356016954920958E-2</v>
      </c>
      <c r="AS59" s="158">
        <v>0.68324328663689371</v>
      </c>
      <c r="AT59" s="158">
        <v>0.19156828179308308</v>
      </c>
      <c r="AU59" s="159">
        <v>0.12588955859080264</v>
      </c>
      <c r="AV59" s="160">
        <v>66.755744379959353</v>
      </c>
      <c r="AW59" s="146">
        <v>51.243246497767025</v>
      </c>
      <c r="AX59" s="156">
        <v>60.684963392077229</v>
      </c>
      <c r="AY59" s="161"/>
      <c r="AZ59" s="161"/>
      <c r="BA59" s="161"/>
      <c r="BB59" s="161"/>
      <c r="BC59" s="161"/>
      <c r="BD59" s="161"/>
      <c r="BE59" s="162"/>
      <c r="BF59" s="162"/>
      <c r="BG59" s="162"/>
      <c r="BH59" s="163"/>
      <c r="BI59" s="163"/>
    </row>
    <row r="60" spans="1:61">
      <c r="A60" t="str">
        <f t="shared" si="0"/>
        <v>freight HDV</v>
      </c>
      <c r="B60" s="141">
        <v>0</v>
      </c>
      <c r="C60" s="142">
        <f t="shared" si="1"/>
        <v>0</v>
      </c>
      <c r="D60">
        <f t="shared" si="2"/>
        <v>0</v>
      </c>
      <c r="E60" t="s">
        <v>36</v>
      </c>
      <c r="F60">
        <v>0</v>
      </c>
      <c r="G60">
        <v>0</v>
      </c>
      <c r="H60">
        <v>0</v>
      </c>
      <c r="I60">
        <f t="shared" si="5"/>
        <v>0</v>
      </c>
      <c r="J60">
        <f t="shared" si="5"/>
        <v>0</v>
      </c>
      <c r="K60">
        <f t="shared" si="5"/>
        <v>0</v>
      </c>
      <c r="L60">
        <f t="shared" si="6"/>
        <v>0</v>
      </c>
      <c r="M60">
        <f t="shared" si="6"/>
        <v>0</v>
      </c>
      <c r="N60">
        <f t="shared" si="6"/>
        <v>0</v>
      </c>
      <c r="O60" s="143">
        <v>54</v>
      </c>
      <c r="P60" s="144" t="s">
        <v>476</v>
      </c>
      <c r="Q60" s="97" t="s">
        <v>477</v>
      </c>
      <c r="R60" s="145">
        <v>42</v>
      </c>
      <c r="S60" s="145">
        <v>42</v>
      </c>
      <c r="T60" s="146" t="s">
        <v>356</v>
      </c>
      <c r="U60" s="97" t="s">
        <v>478</v>
      </c>
      <c r="V60" s="147" t="s">
        <v>358</v>
      </c>
      <c r="W60" s="148" t="s">
        <v>479</v>
      </c>
      <c r="X60" s="97" t="s">
        <v>360</v>
      </c>
      <c r="Y60" s="149">
        <v>7257</v>
      </c>
      <c r="Z60" s="149">
        <v>15998.946366756565</v>
      </c>
      <c r="AA60" s="150">
        <v>340</v>
      </c>
      <c r="AB60" s="150">
        <v>3.4</v>
      </c>
      <c r="AC60" s="150">
        <v>7.7</v>
      </c>
      <c r="AD60" s="151">
        <v>8</v>
      </c>
      <c r="AE60" s="151">
        <v>25</v>
      </c>
      <c r="AF60" s="152">
        <v>55</v>
      </c>
      <c r="AG60" s="153">
        <v>5700</v>
      </c>
      <c r="AH60" s="154">
        <v>1255.4710357221984</v>
      </c>
      <c r="AI60" s="155">
        <v>1.4818989907872365E-3</v>
      </c>
      <c r="AJ60" s="145">
        <v>8</v>
      </c>
      <c r="AK60" s="146">
        <v>117.71599999999999</v>
      </c>
      <c r="AL60" s="146">
        <v>104.00326316</v>
      </c>
      <c r="AM60" s="156">
        <v>150</v>
      </c>
      <c r="AN60" s="157">
        <v>0.8601323948290085</v>
      </c>
      <c r="AO60" s="158">
        <v>-8.4538972558163936E-2</v>
      </c>
      <c r="AP60" s="159">
        <v>0</v>
      </c>
      <c r="AQ60" s="157">
        <v>1.6052642056158157E-2</v>
      </c>
      <c r="AR60" s="159">
        <v>3.612866038343765E-2</v>
      </c>
      <c r="AS60" s="158">
        <v>0.7755934222708446</v>
      </c>
      <c r="AT60" s="158">
        <v>0.15788520476181162</v>
      </c>
      <c r="AU60" s="159">
        <v>0.10375464325013653</v>
      </c>
      <c r="AV60" s="160">
        <v>142.42969036332218</v>
      </c>
      <c r="AW60" s="146">
        <v>116.33901334062669</v>
      </c>
      <c r="AX60" s="156">
        <v>131.90220982814716</v>
      </c>
      <c r="AY60" s="161"/>
      <c r="AZ60" s="161"/>
      <c r="BA60" s="161"/>
      <c r="BB60" s="161"/>
      <c r="BC60" s="161"/>
      <c r="BD60" s="161"/>
      <c r="BE60" s="162"/>
      <c r="BF60" s="162"/>
      <c r="BG60" s="162"/>
      <c r="BH60" s="163"/>
      <c r="BI60" s="163"/>
    </row>
    <row r="61" spans="1:61">
      <c r="A61" t="str">
        <f t="shared" si="0"/>
        <v>freight LDV</v>
      </c>
      <c r="B61" s="141">
        <v>3.0999999999999999E-3</v>
      </c>
      <c r="C61" s="142">
        <f t="shared" si="1"/>
        <v>112843916.29974775</v>
      </c>
      <c r="D61">
        <f t="shared" si="2"/>
        <v>0.36491959999999996</v>
      </c>
      <c r="E61" t="s">
        <v>353</v>
      </c>
      <c r="F61">
        <v>0.2</v>
      </c>
      <c r="G61">
        <v>0.37</v>
      </c>
      <c r="H61">
        <v>0.7</v>
      </c>
      <c r="I61">
        <f t="shared" si="5"/>
        <v>1.9129898179574203E-3</v>
      </c>
      <c r="J61">
        <f t="shared" si="5"/>
        <v>3.5390311632212275E-3</v>
      </c>
      <c r="K61">
        <f t="shared" si="5"/>
        <v>6.6954643628509697E-3</v>
      </c>
      <c r="L61">
        <f t="shared" si="6"/>
        <v>3.0210896074486207E-3</v>
      </c>
      <c r="M61">
        <f t="shared" si="6"/>
        <v>5.5890157737799474E-3</v>
      </c>
      <c r="N61">
        <f t="shared" si="6"/>
        <v>1.0573813626070169E-2</v>
      </c>
      <c r="O61" s="143">
        <v>55</v>
      </c>
      <c r="P61" s="144" t="s">
        <v>480</v>
      </c>
      <c r="Q61" s="97" t="s">
        <v>481</v>
      </c>
      <c r="R61" s="145">
        <v>42</v>
      </c>
      <c r="S61" s="145">
        <v>41</v>
      </c>
      <c r="T61" s="146" t="s">
        <v>356</v>
      </c>
      <c r="U61" s="97" t="s">
        <v>478</v>
      </c>
      <c r="V61" s="164" t="s">
        <v>363</v>
      </c>
      <c r="W61" s="165"/>
      <c r="X61" s="97" t="s">
        <v>360</v>
      </c>
      <c r="Y61" s="149">
        <v>7257</v>
      </c>
      <c r="Z61" s="149">
        <v>15998.946366756565</v>
      </c>
      <c r="AA61" s="150">
        <v>340</v>
      </c>
      <c r="AB61" s="150">
        <v>3.4</v>
      </c>
      <c r="AC61" s="150">
        <v>7.7</v>
      </c>
      <c r="AD61" s="151">
        <v>7</v>
      </c>
      <c r="AE61" s="151">
        <v>25</v>
      </c>
      <c r="AF61" s="152">
        <v>65</v>
      </c>
      <c r="AG61" s="153">
        <v>5700</v>
      </c>
      <c r="AH61" s="154">
        <v>1</v>
      </c>
      <c r="AI61" s="155">
        <v>1.1803529899316134E-6</v>
      </c>
      <c r="AJ61" s="145">
        <v>8</v>
      </c>
      <c r="AK61" s="146">
        <v>117.71599999999999</v>
      </c>
      <c r="AL61" s="146">
        <v>104.00326316</v>
      </c>
      <c r="AM61" s="156">
        <v>150</v>
      </c>
      <c r="AN61" s="157">
        <v>0.8601323948290085</v>
      </c>
      <c r="AO61" s="158">
        <v>-8.4538972558163936E-2</v>
      </c>
      <c r="AP61" s="159">
        <v>0</v>
      </c>
      <c r="AQ61" s="157">
        <v>1.6052642056158157E-2</v>
      </c>
      <c r="AR61" s="159">
        <v>3.612866038343765E-2</v>
      </c>
      <c r="AS61" s="158">
        <v>0.7755934222708446</v>
      </c>
      <c r="AT61" s="158">
        <v>9.5784140896541539E-2</v>
      </c>
      <c r="AU61" s="159">
        <v>6.2944779295401321E-2</v>
      </c>
      <c r="AV61" s="160">
        <v>133.11453078353165</v>
      </c>
      <c r="AW61" s="146">
        <v>116.33901334062669</v>
      </c>
      <c r="AX61" s="156">
        <v>125.78073023493688</v>
      </c>
      <c r="AY61" s="161"/>
      <c r="AZ61" s="161"/>
      <c r="BA61" s="161"/>
      <c r="BB61" s="161"/>
      <c r="BC61" s="161"/>
      <c r="BD61" s="161"/>
      <c r="BE61" s="162"/>
      <c r="BF61" s="162"/>
      <c r="BG61" s="162"/>
      <c r="BH61" s="163"/>
      <c r="BI61" s="163"/>
    </row>
    <row r="62" spans="1:61">
      <c r="A62" t="str">
        <f t="shared" si="0"/>
        <v>freight LDV</v>
      </c>
      <c r="B62" s="141">
        <v>5.3E-3</v>
      </c>
      <c r="C62" s="142">
        <f t="shared" si="1"/>
        <v>192926695.60924613</v>
      </c>
      <c r="D62">
        <f t="shared" si="2"/>
        <v>0.62389479999999997</v>
      </c>
      <c r="E62" t="s">
        <v>353</v>
      </c>
      <c r="F62">
        <v>0.2</v>
      </c>
      <c r="G62">
        <v>0.37</v>
      </c>
      <c r="H62">
        <v>0.7</v>
      </c>
      <c r="I62">
        <f t="shared" si="5"/>
        <v>3.2705954952175248E-3</v>
      </c>
      <c r="J62">
        <f t="shared" si="5"/>
        <v>6.0506016661524215E-3</v>
      </c>
      <c r="K62">
        <f t="shared" si="5"/>
        <v>1.1447084233261337E-2</v>
      </c>
      <c r="L62">
        <f t="shared" si="6"/>
        <v>5.1650886837024809E-3</v>
      </c>
      <c r="M62">
        <f t="shared" si="6"/>
        <v>9.5554140648495892E-3</v>
      </c>
      <c r="N62">
        <f t="shared" si="6"/>
        <v>1.8077810392958683E-2</v>
      </c>
      <c r="O62" s="143">
        <v>56</v>
      </c>
      <c r="P62" s="144" t="s">
        <v>482</v>
      </c>
      <c r="Q62" s="97" t="s">
        <v>477</v>
      </c>
      <c r="R62" s="145">
        <v>41</v>
      </c>
      <c r="S62" s="145">
        <v>42</v>
      </c>
      <c r="T62" s="146" t="s">
        <v>365</v>
      </c>
      <c r="U62" s="97" t="s">
        <v>478</v>
      </c>
      <c r="V62" s="147" t="s">
        <v>358</v>
      </c>
      <c r="W62" s="148" t="s">
        <v>479</v>
      </c>
      <c r="X62" s="97" t="s">
        <v>366</v>
      </c>
      <c r="Y62" s="149">
        <v>7257</v>
      </c>
      <c r="Z62" s="149">
        <v>15998.946366756565</v>
      </c>
      <c r="AA62" s="150">
        <v>340</v>
      </c>
      <c r="AB62" s="150">
        <v>3.4</v>
      </c>
      <c r="AC62" s="150">
        <v>7.7</v>
      </c>
      <c r="AD62" s="151">
        <v>8</v>
      </c>
      <c r="AE62" s="151">
        <v>25</v>
      </c>
      <c r="AF62" s="152">
        <v>55</v>
      </c>
      <c r="AG62" s="153">
        <v>5700</v>
      </c>
      <c r="AH62" s="154">
        <v>6034.8577199666997</v>
      </c>
      <c r="AI62" s="155">
        <v>7.1232623535745741E-3</v>
      </c>
      <c r="AJ62" s="145">
        <v>8</v>
      </c>
      <c r="AK62" s="146">
        <v>117.71599999999999</v>
      </c>
      <c r="AL62" s="146">
        <v>104.00326316</v>
      </c>
      <c r="AM62" s="156">
        <v>150</v>
      </c>
      <c r="AN62" s="157">
        <v>0.81793022012432626</v>
      </c>
      <c r="AO62" s="158">
        <v>-0.13468693348743255</v>
      </c>
      <c r="AP62" s="159">
        <v>0</v>
      </c>
      <c r="AQ62" s="157">
        <v>1.5265023302814502E-2</v>
      </c>
      <c r="AR62" s="159">
        <v>3.4356016954920958E-2</v>
      </c>
      <c r="AS62" s="158">
        <v>0.68324328663689371</v>
      </c>
      <c r="AT62" s="158">
        <v>0.15788520476181162</v>
      </c>
      <c r="AU62" s="159">
        <v>0.10375464325013653</v>
      </c>
      <c r="AV62" s="160">
        <v>128.45902720522798</v>
      </c>
      <c r="AW62" s="146">
        <v>102.48649299553405</v>
      </c>
      <c r="AX62" s="156">
        <v>118.04968948305454</v>
      </c>
      <c r="AY62" s="161"/>
      <c r="AZ62" s="161"/>
      <c r="BA62" s="161"/>
      <c r="BB62" s="161"/>
      <c r="BC62" s="161"/>
      <c r="BD62" s="161"/>
      <c r="BE62" s="162"/>
      <c r="BF62" s="162"/>
      <c r="BG62" s="162"/>
      <c r="BH62" s="163"/>
      <c r="BI62" s="163"/>
    </row>
    <row r="63" spans="1:61">
      <c r="A63" t="str">
        <f t="shared" si="0"/>
        <v>freight LDV</v>
      </c>
      <c r="B63" s="141">
        <v>5.3E-3</v>
      </c>
      <c r="C63" s="142">
        <f t="shared" si="1"/>
        <v>192926695.60924613</v>
      </c>
      <c r="D63">
        <f t="shared" si="2"/>
        <v>0.62389479999999997</v>
      </c>
      <c r="E63" t="s">
        <v>353</v>
      </c>
      <c r="F63">
        <v>0.2</v>
      </c>
      <c r="G63">
        <v>0.37</v>
      </c>
      <c r="H63">
        <v>0.7</v>
      </c>
      <c r="I63">
        <f t="shared" si="5"/>
        <v>3.2705954952175248E-3</v>
      </c>
      <c r="J63">
        <f t="shared" si="5"/>
        <v>6.0506016661524215E-3</v>
      </c>
      <c r="K63">
        <f t="shared" si="5"/>
        <v>1.1447084233261337E-2</v>
      </c>
      <c r="L63">
        <f t="shared" si="6"/>
        <v>5.1650886837024809E-3</v>
      </c>
      <c r="M63">
        <f t="shared" si="6"/>
        <v>9.5554140648495892E-3</v>
      </c>
      <c r="N63">
        <f t="shared" si="6"/>
        <v>1.8077810392958683E-2</v>
      </c>
      <c r="O63" s="143">
        <v>57</v>
      </c>
      <c r="P63" s="144" t="s">
        <v>483</v>
      </c>
      <c r="Q63" s="97" t="s">
        <v>481</v>
      </c>
      <c r="R63" s="145">
        <v>41</v>
      </c>
      <c r="S63" s="145">
        <v>41</v>
      </c>
      <c r="T63" s="146" t="s">
        <v>365</v>
      </c>
      <c r="U63" s="97" t="s">
        <v>478</v>
      </c>
      <c r="V63" s="164" t="s">
        <v>363</v>
      </c>
      <c r="W63" s="165"/>
      <c r="X63" s="97" t="s">
        <v>366</v>
      </c>
      <c r="Y63" s="149">
        <v>7257</v>
      </c>
      <c r="Z63" s="149">
        <v>15998.946366756565</v>
      </c>
      <c r="AA63" s="150">
        <v>340</v>
      </c>
      <c r="AB63" s="150">
        <v>3.4</v>
      </c>
      <c r="AC63" s="150">
        <v>7.7</v>
      </c>
      <c r="AD63" s="151">
        <v>7</v>
      </c>
      <c r="AE63" s="151">
        <v>25</v>
      </c>
      <c r="AF63" s="152">
        <v>65</v>
      </c>
      <c r="AG63" s="153">
        <v>5700</v>
      </c>
      <c r="AH63" s="154">
        <v>1</v>
      </c>
      <c r="AI63" s="155">
        <v>1.1803529899316134E-6</v>
      </c>
      <c r="AJ63" s="145">
        <v>8</v>
      </c>
      <c r="AK63" s="146">
        <v>117.71599999999999</v>
      </c>
      <c r="AL63" s="146">
        <v>104.00326316</v>
      </c>
      <c r="AM63" s="156">
        <v>150</v>
      </c>
      <c r="AN63" s="157">
        <v>0.81793022012432626</v>
      </c>
      <c r="AO63" s="158">
        <v>-0.13468693348743255</v>
      </c>
      <c r="AP63" s="159">
        <v>0</v>
      </c>
      <c r="AQ63" s="157">
        <v>1.5265023302814502E-2</v>
      </c>
      <c r="AR63" s="159">
        <v>3.4356016954920958E-2</v>
      </c>
      <c r="AS63" s="158">
        <v>0.68324328663689371</v>
      </c>
      <c r="AT63" s="158">
        <v>9.5784140896541539E-2</v>
      </c>
      <c r="AU63" s="159">
        <v>6.2944779295401321E-2</v>
      </c>
      <c r="AV63" s="160">
        <v>119.14386762543747</v>
      </c>
      <c r="AW63" s="146">
        <v>102.48649299553405</v>
      </c>
      <c r="AX63" s="156">
        <v>111.92820988984425</v>
      </c>
      <c r="AY63" s="161"/>
      <c r="AZ63" s="161"/>
      <c r="BA63" s="161"/>
      <c r="BB63" s="161"/>
      <c r="BC63" s="161"/>
      <c r="BD63" s="161"/>
      <c r="BE63" s="162"/>
      <c r="BF63" s="162"/>
      <c r="BG63" s="162"/>
      <c r="BH63" s="163"/>
      <c r="BI63" s="163"/>
    </row>
    <row r="64" spans="1:61">
      <c r="A64" t="str">
        <f t="shared" si="0"/>
        <v>freight LDV</v>
      </c>
      <c r="B64" s="141">
        <v>1E-4</v>
      </c>
      <c r="C64" s="142">
        <f t="shared" si="1"/>
        <v>3640126.3322499273</v>
      </c>
      <c r="D64">
        <f t="shared" si="2"/>
        <v>1.17716E-2</v>
      </c>
      <c r="E64" t="s">
        <v>378</v>
      </c>
      <c r="F64">
        <v>0.2</v>
      </c>
      <c r="G64">
        <v>0.26</v>
      </c>
      <c r="H64">
        <v>0.39</v>
      </c>
      <c r="I64">
        <f t="shared" si="5"/>
        <v>1.2763241863433309E-4</v>
      </c>
      <c r="J64">
        <f t="shared" si="5"/>
        <v>1.6592214422463304E-4</v>
      </c>
      <c r="K64">
        <f t="shared" si="5"/>
        <v>2.4888321633694958E-4</v>
      </c>
      <c r="L64">
        <f t="shared" si="6"/>
        <v>2.0324807238753968E-4</v>
      </c>
      <c r="M64">
        <f t="shared" si="6"/>
        <v>2.6422249410380159E-4</v>
      </c>
      <c r="N64">
        <f t="shared" si="6"/>
        <v>3.9633374115570242E-4</v>
      </c>
      <c r="O64" s="143">
        <v>58</v>
      </c>
      <c r="P64" s="144" t="s">
        <v>484</v>
      </c>
      <c r="Q64" s="97" t="s">
        <v>485</v>
      </c>
      <c r="R64" s="145">
        <v>42</v>
      </c>
      <c r="S64" s="145">
        <v>46</v>
      </c>
      <c r="T64" s="146" t="s">
        <v>381</v>
      </c>
      <c r="U64" s="97" t="s">
        <v>478</v>
      </c>
      <c r="V64" s="147" t="s">
        <v>382</v>
      </c>
      <c r="W64" s="165"/>
      <c r="X64" s="97" t="s">
        <v>360</v>
      </c>
      <c r="Y64" s="149">
        <v>11408</v>
      </c>
      <c r="Z64" s="149">
        <v>25150.334870050832</v>
      </c>
      <c r="AA64" s="150">
        <v>340</v>
      </c>
      <c r="AB64" s="150">
        <v>5.4</v>
      </c>
      <c r="AC64" s="150">
        <v>7.7</v>
      </c>
      <c r="AD64" s="151">
        <v>16</v>
      </c>
      <c r="AE64" s="151">
        <v>50</v>
      </c>
      <c r="AF64" s="152">
        <v>45</v>
      </c>
      <c r="AG64" s="153">
        <v>11200</v>
      </c>
      <c r="AH64" s="154">
        <v>28.030916615099397</v>
      </c>
      <c r="AI64" s="155">
        <v>3.3086376237156313E-5</v>
      </c>
      <c r="AJ64" s="145">
        <v>8</v>
      </c>
      <c r="AK64" s="146">
        <v>117.71599999999999</v>
      </c>
      <c r="AL64" s="146">
        <v>104.00326316</v>
      </c>
      <c r="AM64" s="156">
        <v>150</v>
      </c>
      <c r="AN64" s="157">
        <v>1.3643385909304979</v>
      </c>
      <c r="AO64" s="158">
        <v>-0.13719516002678903</v>
      </c>
      <c r="AP64" s="159">
        <v>0</v>
      </c>
      <c r="AQ64" s="157">
        <v>2.5462637118747709E-2</v>
      </c>
      <c r="AR64" s="159">
        <v>5.7307137710520553E-2</v>
      </c>
      <c r="AS64" s="158">
        <v>1.2271434309037088</v>
      </c>
      <c r="AT64" s="158">
        <v>0.18893573669444669</v>
      </c>
      <c r="AU64" s="159">
        <v>0.12415957522750413</v>
      </c>
      <c r="AV64" s="160">
        <v>216.23127070753546</v>
      </c>
      <c r="AW64" s="146">
        <v>184.07151463555633</v>
      </c>
      <c r="AX64" s="156">
        <v>202.69545091968195</v>
      </c>
      <c r="AY64" s="161"/>
      <c r="AZ64" s="161"/>
      <c r="BA64" s="161"/>
      <c r="BB64" s="161"/>
      <c r="BC64" s="161"/>
      <c r="BD64" s="161"/>
      <c r="BE64" s="162"/>
      <c r="BF64" s="162"/>
      <c r="BG64" s="162"/>
      <c r="BH64" s="163"/>
      <c r="BI64" s="163"/>
    </row>
    <row r="65" spans="1:61">
      <c r="A65" t="str">
        <f t="shared" si="0"/>
        <v>freight LDV</v>
      </c>
      <c r="B65" s="141">
        <v>6.9999999999999999E-4</v>
      </c>
      <c r="C65" s="142">
        <f t="shared" si="1"/>
        <v>25480884.32574949</v>
      </c>
      <c r="D65">
        <f t="shared" si="2"/>
        <v>8.2401199999999994E-2</v>
      </c>
      <c r="E65" t="s">
        <v>378</v>
      </c>
      <c r="F65">
        <v>0.14000000000000001</v>
      </c>
      <c r="G65">
        <v>0.14000000000000001</v>
      </c>
      <c r="H65">
        <v>0.14000000000000001</v>
      </c>
      <c r="I65">
        <f t="shared" si="5"/>
        <v>6.2539885130823223E-4</v>
      </c>
      <c r="J65">
        <f t="shared" si="5"/>
        <v>6.2539885130823223E-4</v>
      </c>
      <c r="K65">
        <f t="shared" si="5"/>
        <v>6.2539885130823223E-4</v>
      </c>
      <c r="L65">
        <f t="shared" si="6"/>
        <v>9.9591555469894432E-4</v>
      </c>
      <c r="M65">
        <f t="shared" si="6"/>
        <v>9.9591555469894432E-4</v>
      </c>
      <c r="N65">
        <f t="shared" si="6"/>
        <v>9.9591555469894432E-4</v>
      </c>
      <c r="O65" s="143">
        <v>59</v>
      </c>
      <c r="P65" s="144" t="s">
        <v>486</v>
      </c>
      <c r="Q65" s="97" t="s">
        <v>485</v>
      </c>
      <c r="R65" s="145">
        <v>41</v>
      </c>
      <c r="S65" s="145">
        <v>46</v>
      </c>
      <c r="T65" s="146" t="s">
        <v>389</v>
      </c>
      <c r="U65" s="97" t="s">
        <v>478</v>
      </c>
      <c r="V65" s="147" t="s">
        <v>382</v>
      </c>
      <c r="W65" s="165"/>
      <c r="X65" s="97" t="s">
        <v>366</v>
      </c>
      <c r="Y65" s="149">
        <v>11408</v>
      </c>
      <c r="Z65" s="149">
        <v>25150.334870050832</v>
      </c>
      <c r="AA65" s="150">
        <v>340</v>
      </c>
      <c r="AB65" s="150">
        <v>5.4</v>
      </c>
      <c r="AC65" s="150">
        <v>7.7</v>
      </c>
      <c r="AD65" s="151">
        <v>16</v>
      </c>
      <c r="AE65" s="151">
        <v>50</v>
      </c>
      <c r="AF65" s="152">
        <v>45</v>
      </c>
      <c r="AG65" s="153">
        <v>11200</v>
      </c>
      <c r="AH65" s="154">
        <v>408.30405896238011</v>
      </c>
      <c r="AI65" s="155">
        <v>4.819429167974592E-4</v>
      </c>
      <c r="AJ65" s="145">
        <v>8</v>
      </c>
      <c r="AK65" s="146">
        <v>117.71599999999999</v>
      </c>
      <c r="AL65" s="146">
        <v>104.00326316</v>
      </c>
      <c r="AM65" s="156">
        <v>150</v>
      </c>
      <c r="AN65" s="157">
        <v>1.3059420071902388</v>
      </c>
      <c r="AO65" s="158">
        <v>-0.2199937667632389</v>
      </c>
      <c r="AP65" s="159">
        <v>0</v>
      </c>
      <c r="AQ65" s="157">
        <v>2.437278227579507E-2</v>
      </c>
      <c r="AR65" s="159">
        <v>5.4854270740053501E-2</v>
      </c>
      <c r="AS65" s="158">
        <v>1.0859482404269998</v>
      </c>
      <c r="AT65" s="158">
        <v>0.18893573669444669</v>
      </c>
      <c r="AU65" s="159">
        <v>0.12415957522750413</v>
      </c>
      <c r="AV65" s="160">
        <v>194.88851390958624</v>
      </c>
      <c r="AW65" s="146">
        <v>162.89223606404997</v>
      </c>
      <c r="AX65" s="156">
        <v>181.51617234817559</v>
      </c>
      <c r="AY65" s="161"/>
      <c r="AZ65" s="161"/>
      <c r="BA65" s="161"/>
      <c r="BB65" s="161"/>
      <c r="BC65" s="161"/>
      <c r="BD65" s="161"/>
      <c r="BE65" s="162"/>
      <c r="BF65" s="162"/>
      <c r="BG65" s="162"/>
      <c r="BH65" s="163"/>
      <c r="BI65" s="163"/>
    </row>
    <row r="66" spans="1:61">
      <c r="A66" t="str">
        <f t="shared" si="0"/>
        <v>freight LDV</v>
      </c>
      <c r="B66" s="141">
        <v>8.0000000000000004E-4</v>
      </c>
      <c r="C66" s="142">
        <f t="shared" si="1"/>
        <v>9858720.5717284661</v>
      </c>
      <c r="D66">
        <f t="shared" si="2"/>
        <v>3.1881562475999999E-2</v>
      </c>
      <c r="E66" t="s">
        <v>378</v>
      </c>
      <c r="F66">
        <v>0.2</v>
      </c>
      <c r="G66">
        <v>0.26</v>
      </c>
      <c r="H66">
        <v>0.39</v>
      </c>
      <c r="I66">
        <f t="shared" si="5"/>
        <v>1.0210593490746647E-3</v>
      </c>
      <c r="J66">
        <f t="shared" si="5"/>
        <v>1.3273771537970643E-3</v>
      </c>
      <c r="K66">
        <f t="shared" si="5"/>
        <v>1.9910657306955967E-3</v>
      </c>
      <c r="L66">
        <f t="shared" si="6"/>
        <v>5.5046604692224658E-4</v>
      </c>
      <c r="M66">
        <f t="shared" si="6"/>
        <v>7.1560586099892051E-4</v>
      </c>
      <c r="N66">
        <f t="shared" si="6"/>
        <v>1.0734087914983806E-3</v>
      </c>
      <c r="O66" s="143">
        <v>60</v>
      </c>
      <c r="P66" s="144" t="s">
        <v>487</v>
      </c>
      <c r="Q66" s="97" t="s">
        <v>488</v>
      </c>
      <c r="R66" s="145">
        <v>52</v>
      </c>
      <c r="S66" s="145">
        <v>46</v>
      </c>
      <c r="T66" s="146" t="s">
        <v>381</v>
      </c>
      <c r="U66" s="97" t="s">
        <v>489</v>
      </c>
      <c r="V66" s="147" t="s">
        <v>382</v>
      </c>
      <c r="W66" s="165"/>
      <c r="X66" s="97" t="s">
        <v>360</v>
      </c>
      <c r="Y66" s="149">
        <v>11408</v>
      </c>
      <c r="Z66" s="149">
        <v>25150.334870050832</v>
      </c>
      <c r="AA66" s="150">
        <v>340</v>
      </c>
      <c r="AB66" s="150">
        <v>5.4</v>
      </c>
      <c r="AC66" s="150">
        <v>7.7</v>
      </c>
      <c r="AD66" s="151">
        <v>16</v>
      </c>
      <c r="AE66" s="151">
        <v>50</v>
      </c>
      <c r="AF66" s="152">
        <v>45</v>
      </c>
      <c r="AG66" s="153">
        <v>11200</v>
      </c>
      <c r="AH66" s="154">
        <v>5171.8446591507036</v>
      </c>
      <c r="AI66" s="155">
        <v>6.1046023068903792E-3</v>
      </c>
      <c r="AJ66" s="145">
        <v>8</v>
      </c>
      <c r="AK66" s="168">
        <v>39.851953094999999</v>
      </c>
      <c r="AL66" s="146">
        <v>35.209599078963443</v>
      </c>
      <c r="AM66" s="156">
        <v>48.563320026</v>
      </c>
      <c r="AN66" s="157">
        <v>1.3643385909304979</v>
      </c>
      <c r="AO66" s="158">
        <v>-0.13719516002678903</v>
      </c>
      <c r="AP66" s="159">
        <v>0.15624480014344708</v>
      </c>
      <c r="AQ66" s="157">
        <v>2.5462637118747709E-2</v>
      </c>
      <c r="AR66" s="159">
        <v>5.7307137710520553E-2</v>
      </c>
      <c r="AS66" s="158">
        <v>1.3833882310471559</v>
      </c>
      <c r="AT66" s="158">
        <v>0.17292407720005348</v>
      </c>
      <c r="AU66" s="159">
        <v>0.11363747455828901</v>
      </c>
      <c r="AV66" s="160">
        <v>76.816242880915638</v>
      </c>
      <c r="AW66" s="146">
        <v>67.181925384545067</v>
      </c>
      <c r="AX66" s="156">
        <v>72.700538428465691</v>
      </c>
      <c r="AY66" s="161"/>
      <c r="AZ66" s="161"/>
      <c r="BA66" s="161"/>
      <c r="BB66" s="161"/>
      <c r="BC66" s="161"/>
      <c r="BD66" s="161"/>
      <c r="BE66" s="162"/>
      <c r="BF66" s="162"/>
      <c r="BG66" s="162"/>
      <c r="BH66" s="163"/>
      <c r="BI66" s="163"/>
    </row>
    <row r="67" spans="1:61">
      <c r="A67" t="str">
        <f t="shared" si="0"/>
        <v>freight HDV</v>
      </c>
      <c r="B67" s="141">
        <v>5.0000000000000001E-4</v>
      </c>
      <c r="C67" s="142">
        <f t="shared" si="1"/>
        <v>6840356.3694262234</v>
      </c>
      <c r="D67">
        <f t="shared" si="2"/>
        <v>2.2120644089999999E-2</v>
      </c>
      <c r="E67" t="s">
        <v>368</v>
      </c>
      <c r="F67">
        <v>0</v>
      </c>
      <c r="G67">
        <v>0.14000000000000001</v>
      </c>
      <c r="H67">
        <v>0.05</v>
      </c>
      <c r="I67">
        <f t="shared" si="5"/>
        <v>0</v>
      </c>
      <c r="J67">
        <f t="shared" si="5"/>
        <v>9.4466936572199737E-4</v>
      </c>
      <c r="K67">
        <f t="shared" si="5"/>
        <v>3.3738191632928479E-4</v>
      </c>
      <c r="L67">
        <f t="shared" si="6"/>
        <v>0</v>
      </c>
      <c r="M67">
        <f t="shared" si="6"/>
        <v>5.1159114670338028E-4</v>
      </c>
      <c r="N67">
        <f t="shared" si="6"/>
        <v>1.827111238226358E-4</v>
      </c>
      <c r="O67" s="143">
        <v>61</v>
      </c>
      <c r="P67" s="144" t="s">
        <v>490</v>
      </c>
      <c r="Q67" s="97" t="s">
        <v>491</v>
      </c>
      <c r="R67" s="145">
        <v>52</v>
      </c>
      <c r="S67" s="145">
        <v>47</v>
      </c>
      <c r="T67" s="146" t="s">
        <v>371</v>
      </c>
      <c r="U67" s="97" t="s">
        <v>489</v>
      </c>
      <c r="V67" s="166" t="s">
        <v>373</v>
      </c>
      <c r="W67" s="165"/>
      <c r="X67" s="97" t="s">
        <v>360</v>
      </c>
      <c r="Y67" s="149">
        <v>19051</v>
      </c>
      <c r="Z67" s="149">
        <v>42000.265568841023</v>
      </c>
      <c r="AA67" s="150">
        <v>794</v>
      </c>
      <c r="AB67" s="150">
        <v>6.86</v>
      </c>
      <c r="AC67" s="150">
        <v>7.7</v>
      </c>
      <c r="AD67" s="151">
        <v>20</v>
      </c>
      <c r="AE67" s="151">
        <v>100</v>
      </c>
      <c r="AF67" s="152">
        <v>25</v>
      </c>
      <c r="AG67" s="153">
        <v>15000</v>
      </c>
      <c r="AH67" s="154">
        <v>2702.6185365557862</v>
      </c>
      <c r="AI67" s="155">
        <v>3.1900438702682238E-3</v>
      </c>
      <c r="AJ67" s="145">
        <v>8</v>
      </c>
      <c r="AK67" s="168">
        <v>44.241288179999998</v>
      </c>
      <c r="AL67" s="146">
        <v>39.087620519911795</v>
      </c>
      <c r="AM67" s="156">
        <v>96.247888490000008</v>
      </c>
      <c r="AN67" s="157">
        <v>2.0695124788824248</v>
      </c>
      <c r="AO67" s="158">
        <v>-0.22899776432577695</v>
      </c>
      <c r="AP67" s="159">
        <v>0.10967615522403824</v>
      </c>
      <c r="AQ67" s="157">
        <v>3.8623290151577637E-2</v>
      </c>
      <c r="AR67" s="159">
        <v>8.6926982355655935E-2</v>
      </c>
      <c r="AS67" s="158">
        <v>1.9501908697806862</v>
      </c>
      <c r="AT67" s="158">
        <v>8.7251444504566372E-2</v>
      </c>
      <c r="AU67" s="159">
        <v>5.7337497273968731E-2</v>
      </c>
      <c r="AV67" s="160">
        <v>199.81693079376049</v>
      </c>
      <c r="AW67" s="146">
        <v>187.70175336886763</v>
      </c>
      <c r="AX67" s="156">
        <v>193.22036641278822</v>
      </c>
      <c r="AY67" s="161"/>
      <c r="AZ67" s="161"/>
      <c r="BA67" s="161"/>
      <c r="BB67" s="161"/>
      <c r="BC67" s="161"/>
      <c r="BD67" s="161"/>
      <c r="BE67" s="162"/>
      <c r="BF67" s="162"/>
      <c r="BG67" s="162"/>
      <c r="BH67" s="163"/>
      <c r="BI67" s="163"/>
    </row>
    <row r="68" spans="1:61">
      <c r="A68" t="str">
        <f t="shared" si="0"/>
        <v>freight LDV</v>
      </c>
      <c r="B68" s="141">
        <v>8.0000000000000004E-4</v>
      </c>
      <c r="C68" s="142">
        <f t="shared" si="1"/>
        <v>9858720.5717284661</v>
      </c>
      <c r="D68">
        <f t="shared" si="2"/>
        <v>3.1881562475999999E-2</v>
      </c>
      <c r="E68" t="s">
        <v>378</v>
      </c>
      <c r="F68">
        <v>0.14000000000000001</v>
      </c>
      <c r="G68">
        <v>0.14000000000000001</v>
      </c>
      <c r="H68">
        <v>0.14000000000000001</v>
      </c>
      <c r="I68">
        <f t="shared" si="5"/>
        <v>7.1474154435226538E-4</v>
      </c>
      <c r="J68">
        <f t="shared" si="5"/>
        <v>7.1474154435226538E-4</v>
      </c>
      <c r="K68">
        <f t="shared" si="5"/>
        <v>7.1474154435226538E-4</v>
      </c>
      <c r="L68">
        <f t="shared" si="6"/>
        <v>3.8532623284557254E-4</v>
      </c>
      <c r="M68">
        <f t="shared" si="6"/>
        <v>3.8532623284557254E-4</v>
      </c>
      <c r="N68">
        <f t="shared" si="6"/>
        <v>3.8532623284557254E-4</v>
      </c>
      <c r="O68" s="143">
        <v>62</v>
      </c>
      <c r="P68" s="144" t="s">
        <v>492</v>
      </c>
      <c r="Q68" s="97" t="s">
        <v>488</v>
      </c>
      <c r="R68" s="145">
        <v>52</v>
      </c>
      <c r="S68" s="145">
        <v>46</v>
      </c>
      <c r="T68" s="146" t="s">
        <v>389</v>
      </c>
      <c r="U68" s="97" t="s">
        <v>489</v>
      </c>
      <c r="V68" s="147" t="s">
        <v>382</v>
      </c>
      <c r="W68" s="165"/>
      <c r="X68" s="97" t="s">
        <v>366</v>
      </c>
      <c r="Y68" s="149">
        <v>11408</v>
      </c>
      <c r="Z68" s="149">
        <v>25150.334870050832</v>
      </c>
      <c r="AA68" s="150">
        <v>340</v>
      </c>
      <c r="AB68" s="150">
        <v>5.4</v>
      </c>
      <c r="AC68" s="150">
        <v>7.7</v>
      </c>
      <c r="AD68" s="151">
        <v>16</v>
      </c>
      <c r="AE68" s="151">
        <v>50</v>
      </c>
      <c r="AF68" s="152">
        <v>45</v>
      </c>
      <c r="AG68" s="153">
        <v>11200</v>
      </c>
      <c r="AH68" s="154">
        <v>5171.8446591507036</v>
      </c>
      <c r="AI68" s="155">
        <v>6.1046023068903792E-3</v>
      </c>
      <c r="AJ68" s="145">
        <v>8</v>
      </c>
      <c r="AK68" s="168">
        <v>39.851953094999999</v>
      </c>
      <c r="AL68" s="146">
        <v>35.209599078963443</v>
      </c>
      <c r="AM68" s="156">
        <v>48.563320026</v>
      </c>
      <c r="AN68" s="157">
        <v>1.3059420071902388</v>
      </c>
      <c r="AO68" s="158">
        <v>-0.2199937667632389</v>
      </c>
      <c r="AP68" s="159">
        <v>0.17211492244771018</v>
      </c>
      <c r="AQ68" s="157">
        <v>2.437278227579507E-2</v>
      </c>
      <c r="AR68" s="159">
        <v>5.4854270740053501E-2</v>
      </c>
      <c r="AS68" s="158">
        <v>1.2580631628747101</v>
      </c>
      <c r="AT68" s="158">
        <v>0.17292407720005348</v>
      </c>
      <c r="AU68" s="159">
        <v>0.11363747455828901</v>
      </c>
      <c r="AV68" s="160">
        <v>70.67711451845669</v>
      </c>
      <c r="AW68" s="146">
        <v>61.095723991606306</v>
      </c>
      <c r="AX68" s="156">
        <v>66.61433703552693</v>
      </c>
      <c r="AY68" s="161"/>
      <c r="AZ68" s="161"/>
      <c r="BA68" s="161"/>
      <c r="BB68" s="161"/>
      <c r="BC68" s="161"/>
      <c r="BD68" s="161"/>
      <c r="BE68" s="162"/>
      <c r="BF68" s="162"/>
      <c r="BG68" s="162"/>
      <c r="BH68" s="163"/>
      <c r="BI68" s="163"/>
    </row>
    <row r="69" spans="1:61">
      <c r="A69" t="str">
        <f t="shared" si="0"/>
        <v>freight HDV</v>
      </c>
      <c r="B69" s="141">
        <v>5.0000000000000001E-4</v>
      </c>
      <c r="C69" s="142">
        <f t="shared" si="1"/>
        <v>6840356.3694262234</v>
      </c>
      <c r="D69">
        <f t="shared" si="2"/>
        <v>2.2120644089999999E-2</v>
      </c>
      <c r="E69" t="s">
        <v>368</v>
      </c>
      <c r="F69">
        <v>0.05</v>
      </c>
      <c r="G69">
        <v>0.14000000000000001</v>
      </c>
      <c r="H69">
        <v>0.05</v>
      </c>
      <c r="I69">
        <f t="shared" si="5"/>
        <v>3.3738191632928479E-4</v>
      </c>
      <c r="J69">
        <f t="shared" si="5"/>
        <v>9.4466936572199737E-4</v>
      </c>
      <c r="K69">
        <f t="shared" si="5"/>
        <v>3.3738191632928479E-4</v>
      </c>
      <c r="L69">
        <f t="shared" si="6"/>
        <v>1.827111238226358E-4</v>
      </c>
      <c r="M69">
        <f t="shared" si="6"/>
        <v>5.1159114670338028E-4</v>
      </c>
      <c r="N69">
        <f t="shared" si="6"/>
        <v>1.827111238226358E-4</v>
      </c>
      <c r="O69" s="143">
        <v>63</v>
      </c>
      <c r="P69" s="144" t="s">
        <v>493</v>
      </c>
      <c r="Q69" s="97" t="s">
        <v>491</v>
      </c>
      <c r="R69" s="145">
        <v>52</v>
      </c>
      <c r="S69" s="145">
        <v>47</v>
      </c>
      <c r="T69" s="146" t="s">
        <v>387</v>
      </c>
      <c r="U69" s="97" t="s">
        <v>489</v>
      </c>
      <c r="V69" s="166" t="s">
        <v>373</v>
      </c>
      <c r="W69" s="165"/>
      <c r="X69" s="97" t="s">
        <v>366</v>
      </c>
      <c r="Y69" s="149">
        <v>19051</v>
      </c>
      <c r="Z69" s="149">
        <v>42000.265568841023</v>
      </c>
      <c r="AA69" s="150">
        <v>794</v>
      </c>
      <c r="AB69" s="150">
        <v>6.86</v>
      </c>
      <c r="AC69" s="150">
        <v>7.7</v>
      </c>
      <c r="AD69" s="151">
        <v>20</v>
      </c>
      <c r="AE69" s="151">
        <v>100</v>
      </c>
      <c r="AF69" s="152">
        <v>25</v>
      </c>
      <c r="AG69" s="153">
        <v>15000</v>
      </c>
      <c r="AH69" s="154">
        <v>2702.6185365557862</v>
      </c>
      <c r="AI69" s="155">
        <v>3.1900438702682238E-3</v>
      </c>
      <c r="AJ69" s="145">
        <v>8</v>
      </c>
      <c r="AK69" s="168">
        <v>44.241288179999998</v>
      </c>
      <c r="AL69" s="146">
        <v>39.087620519911795</v>
      </c>
      <c r="AM69" s="156">
        <v>96.247888490000008</v>
      </c>
      <c r="AN69" s="157">
        <v>2.0655118598730002</v>
      </c>
      <c r="AO69" s="158">
        <v>-0.37007775993344549</v>
      </c>
      <c r="AP69" s="159">
        <v>0.13612036619307433</v>
      </c>
      <c r="AQ69" s="157">
        <v>3.8548626640067737E-2</v>
      </c>
      <c r="AR69" s="159">
        <v>8.6758941939571205E-2</v>
      </c>
      <c r="AS69" s="158">
        <v>1.8315544661326288</v>
      </c>
      <c r="AT69" s="158">
        <v>8.7251444504566372E-2</v>
      </c>
      <c r="AU69" s="159">
        <v>5.7337497273968731E-2</v>
      </c>
      <c r="AV69" s="160">
        <v>188.39124123925757</v>
      </c>
      <c r="AW69" s="146">
        <v>176.28325001969475</v>
      </c>
      <c r="AX69" s="156">
        <v>181.80186306361537</v>
      </c>
      <c r="AY69" s="161"/>
      <c r="AZ69" s="161"/>
      <c r="BA69" s="161"/>
      <c r="BB69" s="161"/>
      <c r="BC69" s="161"/>
      <c r="BD69" s="161"/>
      <c r="BE69" s="162"/>
      <c r="BF69" s="162"/>
      <c r="BG69" s="162"/>
      <c r="BH69" s="163"/>
      <c r="BI69" s="163"/>
    </row>
    <row r="70" spans="1:61">
      <c r="A70" t="str">
        <f t="shared" si="0"/>
        <v>freight LDV</v>
      </c>
      <c r="B70" s="141">
        <v>7.7000000000000002E-3</v>
      </c>
      <c r="C70" s="142">
        <f t="shared" si="1"/>
        <v>144994658.68169552</v>
      </c>
      <c r="D70">
        <f t="shared" si="2"/>
        <v>0.46889007917548797</v>
      </c>
      <c r="E70" t="s">
        <v>378</v>
      </c>
      <c r="F70">
        <v>0.2</v>
      </c>
      <c r="G70">
        <v>0.37</v>
      </c>
      <c r="H70">
        <v>0.7</v>
      </c>
      <c r="I70">
        <f t="shared" si="5"/>
        <v>9.8276962348436483E-3</v>
      </c>
      <c r="J70">
        <f t="shared" si="5"/>
        <v>1.8181238034460749E-2</v>
      </c>
      <c r="K70">
        <f t="shared" si="5"/>
        <v>3.4396936821952766E-2</v>
      </c>
      <c r="L70">
        <f t="shared" si="6"/>
        <v>8.0958412411276971E-3</v>
      </c>
      <c r="M70">
        <f t="shared" si="6"/>
        <v>1.4977306296086238E-2</v>
      </c>
      <c r="N70">
        <f t="shared" si="6"/>
        <v>2.8335444343946938E-2</v>
      </c>
      <c r="O70" s="143">
        <v>64</v>
      </c>
      <c r="P70" s="144" t="s">
        <v>494</v>
      </c>
      <c r="Q70" s="97" t="s">
        <v>495</v>
      </c>
      <c r="R70" s="145">
        <v>52</v>
      </c>
      <c r="S70" s="145">
        <v>46</v>
      </c>
      <c r="T70" s="146" t="s">
        <v>381</v>
      </c>
      <c r="U70" s="97" t="s">
        <v>496</v>
      </c>
      <c r="V70" s="147" t="s">
        <v>382</v>
      </c>
      <c r="W70" s="148" t="s">
        <v>497</v>
      </c>
      <c r="X70" s="97" t="s">
        <v>360</v>
      </c>
      <c r="Y70" s="149">
        <v>11408</v>
      </c>
      <c r="Z70" s="149">
        <v>25150.334870050832</v>
      </c>
      <c r="AA70" s="150">
        <v>340</v>
      </c>
      <c r="AB70" s="150">
        <v>5.4</v>
      </c>
      <c r="AC70" s="150">
        <v>7.7</v>
      </c>
      <c r="AD70" s="151">
        <v>16</v>
      </c>
      <c r="AE70" s="151">
        <v>50</v>
      </c>
      <c r="AF70" s="152">
        <v>45</v>
      </c>
      <c r="AG70" s="153">
        <v>11200</v>
      </c>
      <c r="AH70" s="154">
        <v>126.62139176686534</v>
      </c>
      <c r="AI70" s="155">
        <v>1.494579383613217E-4</v>
      </c>
      <c r="AJ70" s="145">
        <v>8</v>
      </c>
      <c r="AK70" s="146">
        <v>60.894815477336095</v>
      </c>
      <c r="AL70" s="146">
        <v>53.801178422381213</v>
      </c>
      <c r="AM70" s="156">
        <v>100.75589413958751</v>
      </c>
      <c r="AN70" s="157">
        <v>1.3643385909304979</v>
      </c>
      <c r="AO70" s="158">
        <v>-0.13719516002678903</v>
      </c>
      <c r="AP70" s="159">
        <v>0</v>
      </c>
      <c r="AQ70" s="157">
        <v>2.5462637118747709E-2</v>
      </c>
      <c r="AR70" s="159">
        <v>5.7307137710520553E-2</v>
      </c>
      <c r="AS70" s="158">
        <v>1.2271434309037088</v>
      </c>
      <c r="AT70" s="158">
        <v>8.3347652988247381E-2</v>
      </c>
      <c r="AU70" s="159">
        <v>5.4772111260063053E-2</v>
      </c>
      <c r="AV70" s="160">
        <v>134.6052116895425</v>
      </c>
      <c r="AW70" s="146">
        <v>123.6419336182243</v>
      </c>
      <c r="AX70" s="156">
        <v>129.16054666214492</v>
      </c>
      <c r="AY70" s="161"/>
      <c r="AZ70" s="161"/>
      <c r="BA70" s="161"/>
      <c r="BB70" s="161"/>
      <c r="BC70" s="161"/>
      <c r="BD70" s="161"/>
      <c r="BE70" s="162"/>
      <c r="BF70" s="162"/>
      <c r="BG70" s="162"/>
      <c r="BH70" s="163"/>
      <c r="BI70" s="163"/>
    </row>
    <row r="71" spans="1:61">
      <c r="A71" t="str">
        <f t="shared" ref="A71:A107" si="7">INDEX($C$125:$C$130,MATCH(E71,$D$125:$D$130,0))</f>
        <v>freight LDV</v>
      </c>
      <c r="B71" s="141">
        <v>1.6899999999999998E-2</v>
      </c>
      <c r="C71" s="142">
        <f t="shared" ref="C71" si="8">B71*SUM($AH$7:$AH$107)*AK71*365</f>
        <v>199124671.50040361</v>
      </c>
      <c r="D71">
        <f t="shared" ref="D71:D107" si="9">B71*AK71</f>
        <v>0.64393808595794999</v>
      </c>
      <c r="E71" t="s">
        <v>353</v>
      </c>
      <c r="F71">
        <v>0.2</v>
      </c>
      <c r="G71">
        <v>0.37</v>
      </c>
      <c r="H71">
        <v>0.7</v>
      </c>
      <c r="I71">
        <f t="shared" ref="I71:K107" si="10">F71*$B71/SUMIF($E$7:$E$107,$E71,$B$7:$B$107)</f>
        <v>1.0428879975316259E-2</v>
      </c>
      <c r="J71">
        <f t="shared" si="10"/>
        <v>1.9293427954335075E-2</v>
      </c>
      <c r="K71">
        <f t="shared" si="10"/>
        <v>3.6501079913606897E-2</v>
      </c>
      <c r="L71">
        <f t="shared" ref="L71:N107" si="11">F71*$D71/SUMIF($E$7:$E$107,$E71,$D$7:$D$107)</f>
        <v>5.3310226672612804E-3</v>
      </c>
      <c r="M71">
        <f t="shared" si="11"/>
        <v>9.8623919344333674E-3</v>
      </c>
      <c r="N71">
        <f t="shared" si="11"/>
        <v>1.8658579335414479E-2</v>
      </c>
      <c r="O71" s="143">
        <v>65</v>
      </c>
      <c r="P71" s="144" t="s">
        <v>498</v>
      </c>
      <c r="Q71" s="97" t="s">
        <v>499</v>
      </c>
      <c r="R71" s="145">
        <v>52</v>
      </c>
      <c r="S71" s="145">
        <v>42</v>
      </c>
      <c r="T71" s="146" t="s">
        <v>356</v>
      </c>
      <c r="U71" s="97" t="s">
        <v>496</v>
      </c>
      <c r="V71" s="147" t="s">
        <v>358</v>
      </c>
      <c r="W71" s="148" t="s">
        <v>500</v>
      </c>
      <c r="X71" s="97" t="s">
        <v>360</v>
      </c>
      <c r="Y71" s="149">
        <v>7257</v>
      </c>
      <c r="Z71" s="149">
        <v>15998.946366756565</v>
      </c>
      <c r="AA71" s="150">
        <v>340</v>
      </c>
      <c r="AB71" s="150">
        <v>3.4</v>
      </c>
      <c r="AC71" s="150">
        <v>7.7</v>
      </c>
      <c r="AD71" s="151">
        <v>8</v>
      </c>
      <c r="AE71" s="151">
        <v>25</v>
      </c>
      <c r="AF71" s="152">
        <v>55</v>
      </c>
      <c r="AG71" s="153">
        <v>5700</v>
      </c>
      <c r="AH71" s="154">
        <v>49805.065645092356</v>
      </c>
      <c r="AI71" s="155">
        <v>5.8787558147925051E-2</v>
      </c>
      <c r="AJ71" s="145">
        <v>8</v>
      </c>
      <c r="AK71" s="146">
        <v>38.102845322955623</v>
      </c>
      <c r="AL71" s="146">
        <v>33.664244871284524</v>
      </c>
      <c r="AM71" s="156">
        <v>61.891445384527323</v>
      </c>
      <c r="AN71" s="157">
        <v>0.8601323948290085</v>
      </c>
      <c r="AO71" s="158">
        <v>-8.4538972558163936E-2</v>
      </c>
      <c r="AP71" s="159">
        <v>0</v>
      </c>
      <c r="AQ71" s="157">
        <v>1.6052642056158157E-2</v>
      </c>
      <c r="AR71" s="159">
        <v>3.612866038343765E-2</v>
      </c>
      <c r="AS71" s="158">
        <v>0.7755934222708446</v>
      </c>
      <c r="AT71" s="158">
        <v>0.13568542872269621</v>
      </c>
      <c r="AU71" s="159">
        <v>8.9166006863046363E-2</v>
      </c>
      <c r="AV71" s="160">
        <v>57.393886455437624</v>
      </c>
      <c r="AW71" s="146">
        <v>48.002597935074618</v>
      </c>
      <c r="AX71" s="156">
        <v>53.521210978995235</v>
      </c>
      <c r="AY71" s="161"/>
      <c r="AZ71" s="161"/>
      <c r="BA71" s="161"/>
      <c r="BB71" s="161"/>
      <c r="BC71" s="161"/>
      <c r="BD71" s="161"/>
      <c r="BE71" s="162"/>
      <c r="BF71" s="162"/>
      <c r="BG71" s="162"/>
      <c r="BH71" s="163"/>
      <c r="BI71" s="163"/>
    </row>
    <row r="72" spans="1:61">
      <c r="A72" t="str">
        <f t="shared" si="7"/>
        <v>freight LDV</v>
      </c>
      <c r="B72" s="141">
        <v>3.0000000000000001E-3</v>
      </c>
      <c r="C72" s="142">
        <f t="shared" ref="C72:C107" si="12">B72*SUM($AH$7:$AH$107)*AK72*365</f>
        <v>55051031.577309653</v>
      </c>
      <c r="D72">
        <f t="shared" si="9"/>
        <v>0.17802643759204689</v>
      </c>
      <c r="E72" t="s">
        <v>353</v>
      </c>
      <c r="F72">
        <v>0.2</v>
      </c>
      <c r="G72">
        <v>0.37</v>
      </c>
      <c r="H72">
        <v>0.7</v>
      </c>
      <c r="I72">
        <f t="shared" si="10"/>
        <v>1.851280468991052E-3</v>
      </c>
      <c r="J72">
        <f t="shared" si="10"/>
        <v>3.4248688676334462E-3</v>
      </c>
      <c r="K72">
        <f t="shared" si="10"/>
        <v>6.4794816414686807E-3</v>
      </c>
      <c r="L72">
        <f t="shared" si="11"/>
        <v>1.4738419653546515E-3</v>
      </c>
      <c r="M72">
        <f t="shared" si="11"/>
        <v>2.7266076359061054E-3</v>
      </c>
      <c r="N72">
        <f t="shared" si="11"/>
        <v>5.1584468787412808E-3</v>
      </c>
      <c r="O72" s="143">
        <v>66</v>
      </c>
      <c r="P72" s="144" t="s">
        <v>501</v>
      </c>
      <c r="Q72" s="97" t="s">
        <v>502</v>
      </c>
      <c r="R72" s="145">
        <v>53</v>
      </c>
      <c r="S72" s="145">
        <v>41</v>
      </c>
      <c r="T72" s="146" t="s">
        <v>356</v>
      </c>
      <c r="U72" s="97" t="s">
        <v>496</v>
      </c>
      <c r="V72" s="164" t="s">
        <v>363</v>
      </c>
      <c r="W72" s="165" t="s">
        <v>503</v>
      </c>
      <c r="X72" s="97" t="s">
        <v>360</v>
      </c>
      <c r="Y72" s="149">
        <v>7257</v>
      </c>
      <c r="Z72" s="149">
        <v>15998.946366756565</v>
      </c>
      <c r="AA72" s="150">
        <v>340</v>
      </c>
      <c r="AB72" s="150">
        <v>3.4</v>
      </c>
      <c r="AC72" s="150">
        <v>7.7</v>
      </c>
      <c r="AD72" s="151">
        <v>7</v>
      </c>
      <c r="AE72" s="151">
        <v>25</v>
      </c>
      <c r="AF72" s="152">
        <v>65</v>
      </c>
      <c r="AG72" s="153">
        <v>5700</v>
      </c>
      <c r="AH72" s="154">
        <v>3672.1620823299136</v>
      </c>
      <c r="AI72" s="155">
        <v>4.3344474933916131E-3</v>
      </c>
      <c r="AJ72" s="145">
        <v>8</v>
      </c>
      <c r="AK72" s="146">
        <v>59.342145864015627</v>
      </c>
      <c r="AL72" s="146">
        <v>52.429379292316462</v>
      </c>
      <c r="AM72" s="156">
        <v>81.281875608183213</v>
      </c>
      <c r="AN72" s="157">
        <v>0.8601323948290085</v>
      </c>
      <c r="AO72" s="158">
        <v>-8.4538972558163936E-2</v>
      </c>
      <c r="AP72" s="159">
        <v>0</v>
      </c>
      <c r="AQ72" s="157">
        <v>1.6052642056158157E-2</v>
      </c>
      <c r="AR72" s="159">
        <v>3.612866038343765E-2</v>
      </c>
      <c r="AS72" s="158">
        <v>0.7755934222708446</v>
      </c>
      <c r="AT72" s="158">
        <v>0.10331660334399895</v>
      </c>
      <c r="AU72" s="159">
        <v>6.7894755166858195E-2</v>
      </c>
      <c r="AV72" s="160">
        <v>72.744244227602181</v>
      </c>
      <c r="AW72" s="146">
        <v>63.041688071543909</v>
      </c>
      <c r="AX72" s="156">
        <v>68.560301115464526</v>
      </c>
      <c r="AY72" s="161"/>
      <c r="AZ72" s="161"/>
      <c r="BA72" s="161"/>
      <c r="BB72" s="161"/>
      <c r="BC72" s="161"/>
      <c r="BD72" s="161"/>
      <c r="BE72" s="162"/>
      <c r="BF72" s="162"/>
      <c r="BG72" s="162"/>
      <c r="BH72" s="163"/>
      <c r="BI72" s="163"/>
    </row>
    <row r="73" spans="1:61">
      <c r="A73" t="str">
        <f t="shared" si="7"/>
        <v>freight LDV</v>
      </c>
      <c r="B73" s="141">
        <v>7.7000000000000002E-3</v>
      </c>
      <c r="C73" s="142">
        <f t="shared" si="12"/>
        <v>144994658.68169552</v>
      </c>
      <c r="D73">
        <f t="shared" si="9"/>
        <v>0.46889007917548797</v>
      </c>
      <c r="E73" t="s">
        <v>378</v>
      </c>
      <c r="F73">
        <v>0.2</v>
      </c>
      <c r="G73">
        <v>0.37</v>
      </c>
      <c r="H73">
        <v>0.7</v>
      </c>
      <c r="I73">
        <f t="shared" si="10"/>
        <v>9.8276962348436483E-3</v>
      </c>
      <c r="J73">
        <f t="shared" si="10"/>
        <v>1.8181238034460749E-2</v>
      </c>
      <c r="K73">
        <f t="shared" si="10"/>
        <v>3.4396936821952766E-2</v>
      </c>
      <c r="L73">
        <f t="shared" si="11"/>
        <v>8.0958412411276971E-3</v>
      </c>
      <c r="M73">
        <f t="shared" si="11"/>
        <v>1.4977306296086238E-2</v>
      </c>
      <c r="N73">
        <f t="shared" si="11"/>
        <v>2.8335444343946938E-2</v>
      </c>
      <c r="O73" s="143">
        <v>67</v>
      </c>
      <c r="P73" s="144" t="s">
        <v>504</v>
      </c>
      <c r="Q73" s="97" t="s">
        <v>495</v>
      </c>
      <c r="R73" s="145">
        <v>52</v>
      </c>
      <c r="S73" s="145">
        <v>46</v>
      </c>
      <c r="T73" s="146" t="s">
        <v>389</v>
      </c>
      <c r="U73" s="97" t="s">
        <v>496</v>
      </c>
      <c r="V73" s="147" t="s">
        <v>382</v>
      </c>
      <c r="W73" s="148" t="s">
        <v>497</v>
      </c>
      <c r="X73" s="97" t="s">
        <v>366</v>
      </c>
      <c r="Y73" s="149">
        <v>11408</v>
      </c>
      <c r="Z73" s="149">
        <v>25150.334870050832</v>
      </c>
      <c r="AA73" s="150">
        <v>340</v>
      </c>
      <c r="AB73" s="150">
        <v>5.4</v>
      </c>
      <c r="AC73" s="150">
        <v>7.7</v>
      </c>
      <c r="AD73" s="151">
        <v>16</v>
      </c>
      <c r="AE73" s="151">
        <v>50</v>
      </c>
      <c r="AF73" s="152">
        <v>45</v>
      </c>
      <c r="AG73" s="153">
        <v>11200</v>
      </c>
      <c r="AH73" s="154">
        <v>126.62139176686534</v>
      </c>
      <c r="AI73" s="155">
        <v>1.494579383613217E-4</v>
      </c>
      <c r="AJ73" s="145">
        <v>8</v>
      </c>
      <c r="AK73" s="146">
        <v>60.894815477336095</v>
      </c>
      <c r="AL73" s="146">
        <v>53.801178422381213</v>
      </c>
      <c r="AM73" s="156">
        <v>100.75589413958751</v>
      </c>
      <c r="AN73" s="157">
        <v>1.3059420071902388</v>
      </c>
      <c r="AO73" s="158">
        <v>-0.2199937667632389</v>
      </c>
      <c r="AP73" s="159">
        <v>0</v>
      </c>
      <c r="AQ73" s="157">
        <v>2.437278227579507E-2</v>
      </c>
      <c r="AR73" s="159">
        <v>5.4854270740053501E-2</v>
      </c>
      <c r="AS73" s="158">
        <v>1.0859482404269998</v>
      </c>
      <c r="AT73" s="158">
        <v>8.3347652988247381E-2</v>
      </c>
      <c r="AU73" s="159">
        <v>5.4772111260063053E-2</v>
      </c>
      <c r="AV73" s="160">
        <v>120.26915472566826</v>
      </c>
      <c r="AW73" s="146">
        <v>109.41568595353412</v>
      </c>
      <c r="AX73" s="156">
        <v>114.93429899745473</v>
      </c>
      <c r="AY73" s="161"/>
      <c r="AZ73" s="161"/>
      <c r="BA73" s="161"/>
      <c r="BB73" s="161"/>
      <c r="BC73" s="161"/>
      <c r="BD73" s="161"/>
      <c r="BE73" s="162"/>
      <c r="BF73" s="162"/>
      <c r="BG73" s="162"/>
      <c r="BH73" s="163"/>
      <c r="BI73" s="163"/>
    </row>
    <row r="74" spans="1:61">
      <c r="A74" t="str">
        <f t="shared" si="7"/>
        <v>freight LDV</v>
      </c>
      <c r="B74" s="141">
        <v>1.6899999999999998E-2</v>
      </c>
      <c r="C74" s="142">
        <f t="shared" si="12"/>
        <v>199124671.50040361</v>
      </c>
      <c r="D74">
        <f t="shared" si="9"/>
        <v>0.64393808595794999</v>
      </c>
      <c r="E74" t="s">
        <v>353</v>
      </c>
      <c r="F74">
        <v>0.2</v>
      </c>
      <c r="G74">
        <v>0.37</v>
      </c>
      <c r="H74">
        <v>0.7</v>
      </c>
      <c r="I74">
        <f t="shared" si="10"/>
        <v>1.0428879975316259E-2</v>
      </c>
      <c r="J74">
        <f t="shared" si="10"/>
        <v>1.9293427954335075E-2</v>
      </c>
      <c r="K74">
        <f t="shared" si="10"/>
        <v>3.6501079913606897E-2</v>
      </c>
      <c r="L74">
        <f t="shared" si="11"/>
        <v>5.3310226672612804E-3</v>
      </c>
      <c r="M74">
        <f t="shared" si="11"/>
        <v>9.8623919344333674E-3</v>
      </c>
      <c r="N74">
        <f t="shared" si="11"/>
        <v>1.8658579335414479E-2</v>
      </c>
      <c r="O74" s="143">
        <v>68</v>
      </c>
      <c r="P74" s="144" t="s">
        <v>505</v>
      </c>
      <c r="Q74" s="97" t="s">
        <v>499</v>
      </c>
      <c r="R74" s="145">
        <v>52</v>
      </c>
      <c r="S74" s="145">
        <v>42</v>
      </c>
      <c r="T74" s="146" t="s">
        <v>365</v>
      </c>
      <c r="U74" s="97" t="s">
        <v>496</v>
      </c>
      <c r="V74" s="147" t="s">
        <v>358</v>
      </c>
      <c r="W74" s="148" t="s">
        <v>500</v>
      </c>
      <c r="X74" s="97" t="s">
        <v>366</v>
      </c>
      <c r="Y74" s="149">
        <v>7257</v>
      </c>
      <c r="Z74" s="149">
        <v>15998.946366756565</v>
      </c>
      <c r="AA74" s="150">
        <v>340</v>
      </c>
      <c r="AB74" s="150">
        <v>3.4</v>
      </c>
      <c r="AC74" s="150">
        <v>7.7</v>
      </c>
      <c r="AD74" s="151">
        <v>8</v>
      </c>
      <c r="AE74" s="151">
        <v>25</v>
      </c>
      <c r="AF74" s="152">
        <v>55</v>
      </c>
      <c r="AG74" s="153">
        <v>5700</v>
      </c>
      <c r="AH74" s="154">
        <v>49805.065645092356</v>
      </c>
      <c r="AI74" s="155">
        <v>5.8787558147925051E-2</v>
      </c>
      <c r="AJ74" s="145">
        <v>8</v>
      </c>
      <c r="AK74" s="146">
        <v>38.102845322955623</v>
      </c>
      <c r="AL74" s="146">
        <v>33.664244871284524</v>
      </c>
      <c r="AM74" s="156">
        <v>61.891445384527323</v>
      </c>
      <c r="AN74" s="157">
        <v>0.81793022012432626</v>
      </c>
      <c r="AO74" s="158">
        <v>-0.13468693348743255</v>
      </c>
      <c r="AP74" s="159">
        <v>0</v>
      </c>
      <c r="AQ74" s="157">
        <v>1.5265023302814502E-2</v>
      </c>
      <c r="AR74" s="159">
        <v>3.4356016954920958E-2</v>
      </c>
      <c r="AS74" s="158">
        <v>0.68324328663689371</v>
      </c>
      <c r="AT74" s="158">
        <v>0.13568542872269621</v>
      </c>
      <c r="AU74" s="159">
        <v>8.9166006863046363E-2</v>
      </c>
      <c r="AV74" s="160">
        <v>51.629456216538863</v>
      </c>
      <c r="AW74" s="146">
        <v>42.286914559232251</v>
      </c>
      <c r="AX74" s="156">
        <v>47.805527603152875</v>
      </c>
      <c r="AY74" s="161"/>
      <c r="AZ74" s="161"/>
      <c r="BA74" s="161"/>
      <c r="BB74" s="161"/>
      <c r="BC74" s="161"/>
      <c r="BD74" s="161"/>
      <c r="BE74" s="162"/>
      <c r="BF74" s="162"/>
      <c r="BG74" s="162"/>
      <c r="BH74" s="163"/>
      <c r="BI74" s="163"/>
    </row>
    <row r="75" spans="1:61">
      <c r="A75" t="str">
        <f t="shared" si="7"/>
        <v>freight LDV</v>
      </c>
      <c r="B75" s="141">
        <v>3.0000000000000001E-3</v>
      </c>
      <c r="C75" s="142">
        <f t="shared" si="12"/>
        <v>55051031.577309653</v>
      </c>
      <c r="D75">
        <f t="shared" si="9"/>
        <v>0.17802643759204689</v>
      </c>
      <c r="E75" t="s">
        <v>353</v>
      </c>
      <c r="F75">
        <v>0.2</v>
      </c>
      <c r="G75">
        <v>0.37</v>
      </c>
      <c r="H75">
        <v>0.7</v>
      </c>
      <c r="I75">
        <f t="shared" si="10"/>
        <v>1.851280468991052E-3</v>
      </c>
      <c r="J75">
        <f t="shared" si="10"/>
        <v>3.4248688676334462E-3</v>
      </c>
      <c r="K75">
        <f t="shared" si="10"/>
        <v>6.4794816414686807E-3</v>
      </c>
      <c r="L75">
        <f t="shared" si="11"/>
        <v>1.4738419653546515E-3</v>
      </c>
      <c r="M75">
        <f t="shared" si="11"/>
        <v>2.7266076359061054E-3</v>
      </c>
      <c r="N75">
        <f t="shared" si="11"/>
        <v>5.1584468787412808E-3</v>
      </c>
      <c r="O75" s="143">
        <v>69</v>
      </c>
      <c r="P75" s="144" t="s">
        <v>506</v>
      </c>
      <c r="Q75" s="97" t="s">
        <v>502</v>
      </c>
      <c r="R75" s="145">
        <v>53</v>
      </c>
      <c r="S75" s="145">
        <v>41</v>
      </c>
      <c r="T75" s="146" t="s">
        <v>365</v>
      </c>
      <c r="U75" s="97" t="s">
        <v>496</v>
      </c>
      <c r="V75" s="164" t="s">
        <v>363</v>
      </c>
      <c r="W75" s="165" t="s">
        <v>503</v>
      </c>
      <c r="X75" s="97" t="s">
        <v>366</v>
      </c>
      <c r="Y75" s="149">
        <v>7257</v>
      </c>
      <c r="Z75" s="149">
        <v>15998.946366756565</v>
      </c>
      <c r="AA75" s="150">
        <v>340</v>
      </c>
      <c r="AB75" s="150">
        <v>3.4</v>
      </c>
      <c r="AC75" s="150">
        <v>7.7</v>
      </c>
      <c r="AD75" s="151">
        <v>7</v>
      </c>
      <c r="AE75" s="151">
        <v>25</v>
      </c>
      <c r="AF75" s="152">
        <v>65</v>
      </c>
      <c r="AG75" s="153">
        <v>5700</v>
      </c>
      <c r="AH75" s="154">
        <v>3672.1620823299136</v>
      </c>
      <c r="AI75" s="155">
        <v>4.3344474933916131E-3</v>
      </c>
      <c r="AJ75" s="145">
        <v>8</v>
      </c>
      <c r="AK75" s="146">
        <v>59.342145864015627</v>
      </c>
      <c r="AL75" s="146">
        <v>52.429379292316462</v>
      </c>
      <c r="AM75" s="156">
        <v>81.281875608183213</v>
      </c>
      <c r="AN75" s="157">
        <v>0.81793022012432626</v>
      </c>
      <c r="AO75" s="158">
        <v>-0.13468693348743255</v>
      </c>
      <c r="AP75" s="159">
        <v>0</v>
      </c>
      <c r="AQ75" s="157">
        <v>1.5265023302814502E-2</v>
      </c>
      <c r="AR75" s="159">
        <v>3.4356016954920958E-2</v>
      </c>
      <c r="AS75" s="158">
        <v>0.68324328663689371</v>
      </c>
      <c r="AT75" s="158">
        <v>0.10331660334399895</v>
      </c>
      <c r="AU75" s="159">
        <v>6.7894755166858195E-2</v>
      </c>
      <c r="AV75" s="160">
        <v>65.173832861068576</v>
      </c>
      <c r="AW75" s="146">
        <v>55.535295834546261</v>
      </c>
      <c r="AX75" s="156">
        <v>61.053908878466885</v>
      </c>
      <c r="AY75" s="161"/>
      <c r="AZ75" s="161"/>
      <c r="BA75" s="161"/>
      <c r="BB75" s="161"/>
      <c r="BC75" s="161"/>
      <c r="BD75" s="161"/>
      <c r="BE75" s="162"/>
      <c r="BF75" s="162"/>
      <c r="BG75" s="162"/>
      <c r="BH75" s="163"/>
      <c r="BI75" s="163"/>
    </row>
    <row r="76" spans="1:61">
      <c r="A76" t="str">
        <f t="shared" si="7"/>
        <v>freight LDV</v>
      </c>
      <c r="B76" s="141">
        <v>7.7000000000000002E-3</v>
      </c>
      <c r="C76" s="142">
        <f t="shared" si="12"/>
        <v>120005795.90026435</v>
      </c>
      <c r="D76">
        <f t="shared" si="9"/>
        <v>0.38807999999999998</v>
      </c>
      <c r="E76" t="s">
        <v>378</v>
      </c>
      <c r="F76">
        <v>0.2</v>
      </c>
      <c r="G76">
        <v>0.37</v>
      </c>
      <c r="H76">
        <v>0.7</v>
      </c>
      <c r="I76">
        <f t="shared" si="10"/>
        <v>9.8276962348436483E-3</v>
      </c>
      <c r="J76">
        <f t="shared" si="10"/>
        <v>1.8181238034460749E-2</v>
      </c>
      <c r="K76">
        <f t="shared" si="10"/>
        <v>3.4396936821952766E-2</v>
      </c>
      <c r="L76">
        <f t="shared" si="11"/>
        <v>6.7005769761252854E-3</v>
      </c>
      <c r="M76">
        <f t="shared" si="11"/>
        <v>1.2396067405831775E-2</v>
      </c>
      <c r="N76">
        <f t="shared" si="11"/>
        <v>2.3452019416438492E-2</v>
      </c>
      <c r="O76" s="143">
        <v>70</v>
      </c>
      <c r="P76" s="144" t="s">
        <v>507</v>
      </c>
      <c r="Q76" s="97" t="s">
        <v>508</v>
      </c>
      <c r="R76" s="145">
        <v>52</v>
      </c>
      <c r="S76" s="145">
        <v>46</v>
      </c>
      <c r="T76" s="146" t="s">
        <v>389</v>
      </c>
      <c r="U76" s="97" t="s">
        <v>509</v>
      </c>
      <c r="V76" s="147" t="s">
        <v>382</v>
      </c>
      <c r="W76" s="165"/>
      <c r="X76" s="97" t="s">
        <v>366</v>
      </c>
      <c r="Y76" s="149">
        <v>11408</v>
      </c>
      <c r="Z76" s="149">
        <v>25150.334870050832</v>
      </c>
      <c r="AA76" s="150">
        <v>340</v>
      </c>
      <c r="AB76" s="150">
        <v>5.4</v>
      </c>
      <c r="AC76" s="150">
        <v>7.7</v>
      </c>
      <c r="AD76" s="151">
        <v>16</v>
      </c>
      <c r="AE76" s="151">
        <v>50</v>
      </c>
      <c r="AF76" s="152">
        <v>45</v>
      </c>
      <c r="AG76" s="153">
        <v>11200</v>
      </c>
      <c r="AH76" s="154">
        <v>5171.8446591507036</v>
      </c>
      <c r="AI76" s="155">
        <v>6.1046023068903792E-3</v>
      </c>
      <c r="AJ76" s="145">
        <v>8</v>
      </c>
      <c r="AK76" s="168">
        <v>50.4</v>
      </c>
      <c r="AL76" s="146">
        <v>44.528903999999997</v>
      </c>
      <c r="AM76" s="156">
        <v>93.333333333333329</v>
      </c>
      <c r="AN76" s="157">
        <v>1.3059420071902388</v>
      </c>
      <c r="AO76" s="158">
        <v>-0.2199937667632389</v>
      </c>
      <c r="AP76" s="159">
        <v>0.15101141640185883</v>
      </c>
      <c r="AQ76" s="157">
        <v>2.437278227579507E-2</v>
      </c>
      <c r="AR76" s="159">
        <v>5.4854270740053501E-2</v>
      </c>
      <c r="AS76" s="158">
        <v>1.2369596568288586</v>
      </c>
      <c r="AT76" s="158">
        <v>8.997607822785994E-2</v>
      </c>
      <c r="AU76" s="159">
        <v>5.9127996899149528E-2</v>
      </c>
      <c r="AV76" s="160">
        <v>126.12212828436793</v>
      </c>
      <c r="AW76" s="146">
        <v>115.44956797069347</v>
      </c>
      <c r="AX76" s="156">
        <v>120.96818101461409</v>
      </c>
      <c r="AY76" s="161"/>
      <c r="AZ76" s="161"/>
      <c r="BA76" s="161"/>
      <c r="BB76" s="161"/>
      <c r="BC76" s="161"/>
      <c r="BD76" s="161"/>
      <c r="BE76" s="162"/>
      <c r="BF76" s="162"/>
      <c r="BG76" s="162"/>
      <c r="BH76" s="163"/>
      <c r="BI76" s="163"/>
    </row>
    <row r="77" spans="1:61">
      <c r="A77" t="str">
        <f t="shared" si="7"/>
        <v>freight HDV</v>
      </c>
      <c r="B77" s="141">
        <v>3.3999999999999998E-3</v>
      </c>
      <c r="C77" s="142">
        <f t="shared" si="12"/>
        <v>54251228.697027355</v>
      </c>
      <c r="D77">
        <f t="shared" si="9"/>
        <v>0.17543999999999998</v>
      </c>
      <c r="E77" t="s">
        <v>368</v>
      </c>
      <c r="F77">
        <v>0.05</v>
      </c>
      <c r="G77">
        <v>0.26</v>
      </c>
      <c r="H77">
        <v>0.14000000000000001</v>
      </c>
      <c r="I77">
        <f t="shared" si="10"/>
        <v>2.2941970310391365E-3</v>
      </c>
      <c r="J77">
        <f t="shared" si="10"/>
        <v>1.1929824561403509E-2</v>
      </c>
      <c r="K77">
        <f t="shared" si="10"/>
        <v>6.4237516869095823E-3</v>
      </c>
      <c r="L77">
        <f t="shared" si="11"/>
        <v>1.4490916011769361E-3</v>
      </c>
      <c r="M77">
        <f t="shared" si="11"/>
        <v>7.5352763261200672E-3</v>
      </c>
      <c r="N77">
        <f t="shared" si="11"/>
        <v>4.0574564832954211E-3</v>
      </c>
      <c r="O77" s="143">
        <v>71</v>
      </c>
      <c r="P77" s="144" t="s">
        <v>510</v>
      </c>
      <c r="Q77" s="97" t="s">
        <v>511</v>
      </c>
      <c r="R77" s="145">
        <v>52</v>
      </c>
      <c r="S77" s="145">
        <v>47</v>
      </c>
      <c r="T77" s="146" t="s">
        <v>376</v>
      </c>
      <c r="U77" s="97" t="s">
        <v>512</v>
      </c>
      <c r="V77" s="166" t="s">
        <v>373</v>
      </c>
      <c r="W77" s="167" t="s">
        <v>374</v>
      </c>
      <c r="X77" s="97" t="s">
        <v>377</v>
      </c>
      <c r="Y77" s="149">
        <v>19051</v>
      </c>
      <c r="Z77" s="149">
        <v>42000.265568841023</v>
      </c>
      <c r="AA77" s="150">
        <v>794</v>
      </c>
      <c r="AB77" s="150">
        <v>6.86</v>
      </c>
      <c r="AC77" s="150">
        <v>7.7</v>
      </c>
      <c r="AD77" s="151">
        <v>20</v>
      </c>
      <c r="AE77" s="151">
        <v>100</v>
      </c>
      <c r="AF77" s="152">
        <v>25</v>
      </c>
      <c r="AG77" s="153">
        <v>15000</v>
      </c>
      <c r="AH77" s="154">
        <v>2702.6185365557862</v>
      </c>
      <c r="AI77" s="155">
        <v>3.1900438702682238E-3</v>
      </c>
      <c r="AJ77" s="145">
        <v>8</v>
      </c>
      <c r="AK77" s="146">
        <v>51.6</v>
      </c>
      <c r="AL77" s="146">
        <v>45.589116000000011</v>
      </c>
      <c r="AM77" s="156">
        <v>95.555555555555557</v>
      </c>
      <c r="AN77" s="157">
        <v>2.0655904795706843</v>
      </c>
      <c r="AO77" s="158">
        <v>-9.343078857194119E-2</v>
      </c>
      <c r="AP77" s="159">
        <v>0.113663077156248</v>
      </c>
      <c r="AQ77" s="157">
        <v>3.8550093918678648E-2</v>
      </c>
      <c r="AR77" s="159">
        <v>8.6762244250208675E-2</v>
      </c>
      <c r="AS77" s="158">
        <v>2.085822768154991</v>
      </c>
      <c r="AT77" s="158">
        <v>8.7883611292328315E-2</v>
      </c>
      <c r="AU77" s="159">
        <v>5.7752927203820463E-2</v>
      </c>
      <c r="AV77" s="160">
        <v>211.39339634386204</v>
      </c>
      <c r="AW77" s="146">
        <v>199.31195340147693</v>
      </c>
      <c r="AX77" s="156">
        <v>204.83056644539755</v>
      </c>
      <c r="AY77" s="161"/>
      <c r="AZ77" s="161"/>
      <c r="BA77" s="161"/>
      <c r="BB77" s="161"/>
      <c r="BC77" s="161"/>
      <c r="BD77" s="161"/>
      <c r="BE77" s="162"/>
      <c r="BF77" s="162"/>
      <c r="BG77" s="162"/>
      <c r="BH77" s="163"/>
      <c r="BI77" s="163"/>
    </row>
    <row r="78" spans="1:61">
      <c r="A78" t="str">
        <f t="shared" si="7"/>
        <v>freight HDV</v>
      </c>
      <c r="B78" s="141">
        <v>3.3999999999999998E-3</v>
      </c>
      <c r="C78" s="142">
        <f t="shared" si="12"/>
        <v>54251228.697027355</v>
      </c>
      <c r="D78">
        <f t="shared" si="9"/>
        <v>0.17543999999999998</v>
      </c>
      <c r="E78" t="s">
        <v>368</v>
      </c>
      <c r="F78">
        <v>0.2</v>
      </c>
      <c r="G78">
        <v>0.37</v>
      </c>
      <c r="H78">
        <v>0.7</v>
      </c>
      <c r="I78">
        <f t="shared" si="10"/>
        <v>9.1767881241565461E-3</v>
      </c>
      <c r="J78">
        <f t="shared" si="10"/>
        <v>1.6977058029689608E-2</v>
      </c>
      <c r="K78">
        <f t="shared" si="10"/>
        <v>3.2118758434547902E-2</v>
      </c>
      <c r="L78">
        <f t="shared" si="11"/>
        <v>5.7963664047077446E-3</v>
      </c>
      <c r="M78">
        <f t="shared" si="11"/>
        <v>1.0723277848709325E-2</v>
      </c>
      <c r="N78">
        <f t="shared" si="11"/>
        <v>2.0287282416477103E-2</v>
      </c>
      <c r="O78" s="143">
        <v>72</v>
      </c>
      <c r="P78" s="144" t="s">
        <v>513</v>
      </c>
      <c r="Q78" s="97" t="s">
        <v>511</v>
      </c>
      <c r="R78" s="145">
        <v>52</v>
      </c>
      <c r="S78" s="145">
        <v>47</v>
      </c>
      <c r="T78" s="146" t="s">
        <v>371</v>
      </c>
      <c r="U78" s="97" t="s">
        <v>512</v>
      </c>
      <c r="V78" s="166" t="s">
        <v>373</v>
      </c>
      <c r="W78" s="167" t="s">
        <v>374</v>
      </c>
      <c r="X78" s="97" t="s">
        <v>360</v>
      </c>
      <c r="Y78" s="149">
        <v>19051</v>
      </c>
      <c r="Z78" s="149">
        <v>42000.265568841023</v>
      </c>
      <c r="AA78" s="150">
        <v>794</v>
      </c>
      <c r="AB78" s="150">
        <v>6.86</v>
      </c>
      <c r="AC78" s="150">
        <v>7.7</v>
      </c>
      <c r="AD78" s="151">
        <v>20</v>
      </c>
      <c r="AE78" s="151">
        <v>100</v>
      </c>
      <c r="AF78" s="152">
        <v>25</v>
      </c>
      <c r="AG78" s="153">
        <v>15000</v>
      </c>
      <c r="AH78" s="154">
        <v>2702.6185365557862</v>
      </c>
      <c r="AI78" s="155">
        <v>3.1900438702682238E-3</v>
      </c>
      <c r="AJ78" s="145">
        <v>8</v>
      </c>
      <c r="AK78" s="146">
        <v>51.6</v>
      </c>
      <c r="AL78" s="146">
        <v>45.589116000000011</v>
      </c>
      <c r="AM78" s="156">
        <v>95.555555555555557</v>
      </c>
      <c r="AN78" s="157">
        <v>2.0695124788824248</v>
      </c>
      <c r="AO78" s="158">
        <v>-0.22899776432577695</v>
      </c>
      <c r="AP78" s="159">
        <v>0.1288455501145444</v>
      </c>
      <c r="AQ78" s="157">
        <v>3.8623290151577637E-2</v>
      </c>
      <c r="AR78" s="159">
        <v>8.6926982355655935E-2</v>
      </c>
      <c r="AS78" s="158">
        <v>1.9693602646711921</v>
      </c>
      <c r="AT78" s="158">
        <v>8.7883611292328315E-2</v>
      </c>
      <c r="AU78" s="159">
        <v>5.7752927203820463E-2</v>
      </c>
      <c r="AV78" s="160">
        <v>200.27175142877607</v>
      </c>
      <c r="AW78" s="146">
        <v>188.18331417969168</v>
      </c>
      <c r="AX78" s="156">
        <v>193.70192722361233</v>
      </c>
      <c r="AY78" s="161"/>
      <c r="AZ78" s="161"/>
      <c r="BA78" s="161"/>
      <c r="BB78" s="161"/>
      <c r="BC78" s="161"/>
      <c r="BD78" s="161"/>
      <c r="BE78" s="162"/>
      <c r="BF78" s="162"/>
      <c r="BG78" s="162"/>
      <c r="BH78" s="163"/>
      <c r="BI78" s="163"/>
    </row>
    <row r="79" spans="1:61">
      <c r="A79" t="str">
        <f t="shared" si="7"/>
        <v>freight HDV</v>
      </c>
      <c r="B79" s="141">
        <v>3.3999999999999998E-3</v>
      </c>
      <c r="C79" s="142">
        <f t="shared" si="12"/>
        <v>54251228.697027355</v>
      </c>
      <c r="D79">
        <f t="shared" si="9"/>
        <v>0.17543999999999998</v>
      </c>
      <c r="E79" t="s">
        <v>368</v>
      </c>
      <c r="F79">
        <v>0.14000000000000001</v>
      </c>
      <c r="G79">
        <v>0.26</v>
      </c>
      <c r="H79">
        <v>0.39</v>
      </c>
      <c r="I79">
        <f t="shared" si="10"/>
        <v>6.4237516869095823E-3</v>
      </c>
      <c r="J79">
        <f t="shared" si="10"/>
        <v>1.1929824561403509E-2</v>
      </c>
      <c r="K79">
        <f t="shared" si="10"/>
        <v>1.7894736842105262E-2</v>
      </c>
      <c r="L79">
        <f t="shared" si="11"/>
        <v>4.0574564832954211E-3</v>
      </c>
      <c r="M79">
        <f t="shared" si="11"/>
        <v>7.5352763261200672E-3</v>
      </c>
      <c r="N79">
        <f t="shared" si="11"/>
        <v>1.1302914489180102E-2</v>
      </c>
      <c r="O79" s="143">
        <v>73</v>
      </c>
      <c r="P79" s="144" t="s">
        <v>514</v>
      </c>
      <c r="Q79" s="97" t="s">
        <v>511</v>
      </c>
      <c r="R79" s="145">
        <v>52</v>
      </c>
      <c r="S79" s="145">
        <v>47</v>
      </c>
      <c r="T79" s="146" t="s">
        <v>387</v>
      </c>
      <c r="U79" s="97" t="s">
        <v>512</v>
      </c>
      <c r="V79" s="166" t="s">
        <v>373</v>
      </c>
      <c r="W79" s="167" t="s">
        <v>374</v>
      </c>
      <c r="X79" s="97" t="s">
        <v>366</v>
      </c>
      <c r="Y79" s="149">
        <v>19051</v>
      </c>
      <c r="Z79" s="149">
        <v>42000.265568841023</v>
      </c>
      <c r="AA79" s="150">
        <v>794</v>
      </c>
      <c r="AB79" s="150">
        <v>6.86</v>
      </c>
      <c r="AC79" s="150">
        <v>7.7</v>
      </c>
      <c r="AD79" s="151">
        <v>20</v>
      </c>
      <c r="AE79" s="151">
        <v>100</v>
      </c>
      <c r="AF79" s="152">
        <v>25</v>
      </c>
      <c r="AG79" s="153">
        <v>15000</v>
      </c>
      <c r="AH79" s="154">
        <v>2702.6185365557862</v>
      </c>
      <c r="AI79" s="155">
        <v>3.1900438702682238E-3</v>
      </c>
      <c r="AJ79" s="145">
        <v>8</v>
      </c>
      <c r="AK79" s="146">
        <v>51.6</v>
      </c>
      <c r="AL79" s="146">
        <v>45.589116000000011</v>
      </c>
      <c r="AM79" s="156">
        <v>95.555555555555557</v>
      </c>
      <c r="AN79" s="157">
        <v>2.0655118598730002</v>
      </c>
      <c r="AO79" s="158">
        <v>-0.37007775993344549</v>
      </c>
      <c r="AP79" s="159">
        <v>0.15991172765049569</v>
      </c>
      <c r="AQ79" s="157">
        <v>3.8548626640067737E-2</v>
      </c>
      <c r="AR79" s="159">
        <v>8.6758941939571205E-2</v>
      </c>
      <c r="AS79" s="158">
        <v>1.8553458275900503</v>
      </c>
      <c r="AT79" s="158">
        <v>8.7883611292328315E-2</v>
      </c>
      <c r="AU79" s="159">
        <v>5.7752927203820463E-2</v>
      </c>
      <c r="AV79" s="160">
        <v>189.36990403881154</v>
      </c>
      <c r="AW79" s="146">
        <v>177.28860130304926</v>
      </c>
      <c r="AX79" s="156">
        <v>182.80721434696986</v>
      </c>
      <c r="AY79" s="161"/>
      <c r="AZ79" s="161"/>
      <c r="BA79" s="161"/>
      <c r="BB79" s="161"/>
      <c r="BC79" s="161"/>
      <c r="BD79" s="161"/>
      <c r="BE79" s="162"/>
      <c r="BF79" s="162"/>
      <c r="BG79" s="162"/>
      <c r="BH79" s="163"/>
      <c r="BI79" s="163"/>
    </row>
    <row r="80" spans="1:61">
      <c r="A80" t="str">
        <f t="shared" si="7"/>
        <v>freight HDV</v>
      </c>
      <c r="B80" s="141">
        <v>3.3999999999999998E-3</v>
      </c>
      <c r="C80" s="142">
        <f t="shared" si="12"/>
        <v>67708897.831173688</v>
      </c>
      <c r="D80">
        <f t="shared" si="9"/>
        <v>0.21896000000000002</v>
      </c>
      <c r="E80" t="s">
        <v>368</v>
      </c>
      <c r="F80">
        <v>0.05</v>
      </c>
      <c r="G80">
        <v>0.14000000000000001</v>
      </c>
      <c r="H80">
        <v>0.14000000000000001</v>
      </c>
      <c r="I80">
        <f t="shared" si="10"/>
        <v>2.2941970310391365E-3</v>
      </c>
      <c r="J80">
        <f t="shared" si="10"/>
        <v>6.4237516869095823E-3</v>
      </c>
      <c r="K80">
        <f t="shared" si="10"/>
        <v>6.4237516869095823E-3</v>
      </c>
      <c r="L80">
        <f t="shared" si="11"/>
        <v>1.8085561844146257E-3</v>
      </c>
      <c r="M80">
        <f t="shared" si="11"/>
        <v>5.0639573163609522E-3</v>
      </c>
      <c r="N80">
        <f t="shared" si="11"/>
        <v>5.0639573163609522E-3</v>
      </c>
      <c r="O80" s="143">
        <v>74</v>
      </c>
      <c r="P80" s="144" t="s">
        <v>515</v>
      </c>
      <c r="Q80" s="97" t="s">
        <v>516</v>
      </c>
      <c r="R80" s="145">
        <v>52</v>
      </c>
      <c r="S80" s="145">
        <v>47</v>
      </c>
      <c r="T80" s="146" t="s">
        <v>376</v>
      </c>
      <c r="U80" s="97" t="s">
        <v>517</v>
      </c>
      <c r="V80" s="166" t="s">
        <v>373</v>
      </c>
      <c r="W80" s="167"/>
      <c r="X80" s="97" t="s">
        <v>377</v>
      </c>
      <c r="Y80" s="149">
        <v>19051</v>
      </c>
      <c r="Z80" s="149">
        <v>42000.265568841023</v>
      </c>
      <c r="AA80" s="150">
        <v>794</v>
      </c>
      <c r="AB80" s="150">
        <v>6.86</v>
      </c>
      <c r="AC80" s="150">
        <v>7.7</v>
      </c>
      <c r="AD80" s="151">
        <v>20</v>
      </c>
      <c r="AE80" s="151">
        <v>100</v>
      </c>
      <c r="AF80" s="152">
        <v>25</v>
      </c>
      <c r="AG80" s="153">
        <v>15000</v>
      </c>
      <c r="AH80" s="154">
        <v>2702.6185365557862</v>
      </c>
      <c r="AI80" s="155">
        <v>3.1900438702682238E-3</v>
      </c>
      <c r="AJ80" s="145">
        <v>8</v>
      </c>
      <c r="AK80" s="146">
        <v>64.400000000000006</v>
      </c>
      <c r="AL80" s="146">
        <v>56.898044000000006</v>
      </c>
      <c r="AM80" s="156">
        <v>156.55480149434027</v>
      </c>
      <c r="AN80" s="157">
        <v>2.0655904795706843</v>
      </c>
      <c r="AO80" s="158">
        <v>-9.343078857194119E-2</v>
      </c>
      <c r="AP80" s="159">
        <v>8.658549119793188E-2</v>
      </c>
      <c r="AQ80" s="157">
        <v>3.8550093918678648E-2</v>
      </c>
      <c r="AR80" s="159">
        <v>8.6762244250208675E-2</v>
      </c>
      <c r="AS80" s="158">
        <v>2.0587451821966751</v>
      </c>
      <c r="AT80" s="158">
        <v>5.3641071504092593E-2</v>
      </c>
      <c r="AU80" s="159">
        <v>3.5250359562559501E-2</v>
      </c>
      <c r="AV80" s="160">
        <v>336.73941292852368</v>
      </c>
      <c r="AW80" s="146">
        <v>322.30644332622984</v>
      </c>
      <c r="AX80" s="156">
        <v>327.82505637015043</v>
      </c>
      <c r="AY80" s="161"/>
      <c r="AZ80" s="161"/>
      <c r="BA80" s="161"/>
      <c r="BB80" s="161"/>
      <c r="BC80" s="161"/>
      <c r="BD80" s="161"/>
      <c r="BE80" s="162"/>
      <c r="BF80" s="162"/>
      <c r="BG80" s="162"/>
      <c r="BH80" s="163"/>
      <c r="BI80" s="163"/>
    </row>
    <row r="81" spans="1:61">
      <c r="A81" t="str">
        <f t="shared" si="7"/>
        <v>freight LDV</v>
      </c>
      <c r="B81" s="141">
        <v>7.7000000000000002E-3</v>
      </c>
      <c r="C81" s="142">
        <f t="shared" si="12"/>
        <v>133529499.88078277</v>
      </c>
      <c r="D81">
        <f t="shared" si="9"/>
        <v>0.43181354637905472</v>
      </c>
      <c r="E81" t="s">
        <v>378</v>
      </c>
      <c r="F81">
        <v>0</v>
      </c>
      <c r="G81">
        <v>0</v>
      </c>
      <c r="H81">
        <v>0</v>
      </c>
      <c r="I81">
        <f t="shared" si="10"/>
        <v>0</v>
      </c>
      <c r="J81">
        <f t="shared" si="10"/>
        <v>0</v>
      </c>
      <c r="K81">
        <f t="shared" si="10"/>
        <v>0</v>
      </c>
      <c r="L81">
        <f t="shared" si="11"/>
        <v>0</v>
      </c>
      <c r="M81">
        <f t="shared" si="11"/>
        <v>0</v>
      </c>
      <c r="N81">
        <f t="shared" si="11"/>
        <v>0</v>
      </c>
      <c r="O81" s="143">
        <v>75</v>
      </c>
      <c r="P81" s="144" t="s">
        <v>518</v>
      </c>
      <c r="Q81" s="97" t="s">
        <v>519</v>
      </c>
      <c r="R81" s="145">
        <v>52</v>
      </c>
      <c r="S81" s="145">
        <v>46</v>
      </c>
      <c r="T81" s="146" t="s">
        <v>385</v>
      </c>
      <c r="U81" s="97" t="s">
        <v>517</v>
      </c>
      <c r="V81" s="147" t="s">
        <v>382</v>
      </c>
      <c r="W81" s="148"/>
      <c r="X81" s="97" t="s">
        <v>377</v>
      </c>
      <c r="Y81" s="149">
        <v>11408</v>
      </c>
      <c r="Z81" s="149">
        <v>25150.334870050832</v>
      </c>
      <c r="AA81" s="150">
        <v>340</v>
      </c>
      <c r="AB81" s="150">
        <v>5.4</v>
      </c>
      <c r="AC81" s="150">
        <v>7.7</v>
      </c>
      <c r="AD81" s="151">
        <v>16</v>
      </c>
      <c r="AE81" s="151">
        <v>50</v>
      </c>
      <c r="AF81" s="152">
        <v>45</v>
      </c>
      <c r="AG81" s="153">
        <v>11200</v>
      </c>
      <c r="AH81" s="154">
        <v>5171.8446591507036</v>
      </c>
      <c r="AI81" s="155">
        <v>6.1046023068903792E-3</v>
      </c>
      <c r="AJ81" s="145">
        <v>8</v>
      </c>
      <c r="AK81" s="146">
        <v>56.079681347929181</v>
      </c>
      <c r="AL81" s="146">
        <v>49.546959267708914</v>
      </c>
      <c r="AM81" s="156">
        <v>156.55480149434027</v>
      </c>
      <c r="AN81" s="157">
        <v>1.4451053055964747</v>
      </c>
      <c r="AO81" s="158">
        <v>-5.6081646699588004E-2</v>
      </c>
      <c r="AP81" s="159">
        <v>6.6335625519714725E-2</v>
      </c>
      <c r="AQ81" s="157">
        <v>2.6969985485556434E-2</v>
      </c>
      <c r="AR81" s="159">
        <v>6.0699630798788873E-2</v>
      </c>
      <c r="AS81" s="158">
        <v>1.4553592844166015</v>
      </c>
      <c r="AT81" s="158">
        <v>5.3641071504092593E-2</v>
      </c>
      <c r="AU81" s="159">
        <v>3.5250359562559501E-2</v>
      </c>
      <c r="AV81" s="160">
        <v>240.46353190004962</v>
      </c>
      <c r="AW81" s="146">
        <v>227.84348387478613</v>
      </c>
      <c r="AX81" s="156">
        <v>233.36209691870675</v>
      </c>
      <c r="AY81" s="161"/>
      <c r="AZ81" s="161"/>
      <c r="BA81" s="161"/>
      <c r="BB81" s="161"/>
      <c r="BC81" s="161"/>
      <c r="BD81" s="161"/>
      <c r="BE81" s="162"/>
      <c r="BF81" s="162"/>
      <c r="BG81" s="162"/>
      <c r="BH81" s="163"/>
      <c r="BI81" s="163"/>
    </row>
    <row r="82" spans="1:61">
      <c r="A82" t="str">
        <f t="shared" si="7"/>
        <v>freight HDV</v>
      </c>
      <c r="B82" s="141">
        <v>3.3999999999999998E-3</v>
      </c>
      <c r="C82" s="142">
        <f t="shared" si="12"/>
        <v>67708897.831173688</v>
      </c>
      <c r="D82">
        <f t="shared" si="9"/>
        <v>0.21896000000000002</v>
      </c>
      <c r="E82" t="s">
        <v>368</v>
      </c>
      <c r="F82">
        <v>0.14000000000000001</v>
      </c>
      <c r="G82">
        <v>0.14000000000000001</v>
      </c>
      <c r="H82">
        <v>0.14000000000000001</v>
      </c>
      <c r="I82">
        <f t="shared" si="10"/>
        <v>6.4237516869095823E-3</v>
      </c>
      <c r="J82">
        <f t="shared" si="10"/>
        <v>6.4237516869095823E-3</v>
      </c>
      <c r="K82">
        <f t="shared" si="10"/>
        <v>6.4237516869095823E-3</v>
      </c>
      <c r="L82">
        <f t="shared" si="11"/>
        <v>5.0639573163609522E-3</v>
      </c>
      <c r="M82">
        <f t="shared" si="11"/>
        <v>5.0639573163609522E-3</v>
      </c>
      <c r="N82">
        <f t="shared" si="11"/>
        <v>5.0639573163609522E-3</v>
      </c>
      <c r="O82" s="143">
        <v>76</v>
      </c>
      <c r="P82" s="144" t="s">
        <v>520</v>
      </c>
      <c r="Q82" s="97" t="s">
        <v>516</v>
      </c>
      <c r="R82" s="145">
        <v>52</v>
      </c>
      <c r="S82" s="145">
        <v>47</v>
      </c>
      <c r="T82" s="146" t="s">
        <v>387</v>
      </c>
      <c r="U82" s="97" t="s">
        <v>517</v>
      </c>
      <c r="V82" s="166" t="s">
        <v>373</v>
      </c>
      <c r="W82" s="167"/>
      <c r="X82" s="97" t="s">
        <v>366</v>
      </c>
      <c r="Y82" s="149">
        <v>19051</v>
      </c>
      <c r="Z82" s="149">
        <v>42000.265568841023</v>
      </c>
      <c r="AA82" s="150">
        <v>794</v>
      </c>
      <c r="AB82" s="150">
        <v>6.86</v>
      </c>
      <c r="AC82" s="150">
        <v>7.7</v>
      </c>
      <c r="AD82" s="151">
        <v>20</v>
      </c>
      <c r="AE82" s="151">
        <v>100</v>
      </c>
      <c r="AF82" s="152">
        <v>25</v>
      </c>
      <c r="AG82" s="153">
        <v>15000</v>
      </c>
      <c r="AH82" s="154">
        <v>2702.6185365557862</v>
      </c>
      <c r="AI82" s="155">
        <v>3.1900438702682238E-3</v>
      </c>
      <c r="AJ82" s="145">
        <v>8</v>
      </c>
      <c r="AK82" s="146">
        <v>64.400000000000006</v>
      </c>
      <c r="AL82" s="146">
        <v>56.898044000000006</v>
      </c>
      <c r="AM82" s="156">
        <v>156.55480149434027</v>
      </c>
      <c r="AN82" s="157">
        <v>2.0655118598730002</v>
      </c>
      <c r="AO82" s="158">
        <v>-0.37007775993344549</v>
      </c>
      <c r="AP82" s="159">
        <v>0.1218164757927017</v>
      </c>
      <c r="AQ82" s="157">
        <v>3.8548626640067737E-2</v>
      </c>
      <c r="AR82" s="159">
        <v>8.6758941939571205E-2</v>
      </c>
      <c r="AS82" s="158">
        <v>1.8172505757322563</v>
      </c>
      <c r="AT82" s="158">
        <v>5.3641071504092593E-2</v>
      </c>
      <c r="AU82" s="159">
        <v>3.5250359562559501E-2</v>
      </c>
      <c r="AV82" s="160">
        <v>298.93204304202112</v>
      </c>
      <c r="AW82" s="146">
        <v>284.49930314923898</v>
      </c>
      <c r="AX82" s="156">
        <v>290.01791619315958</v>
      </c>
      <c r="AY82" s="161"/>
      <c r="AZ82" s="161"/>
      <c r="BA82" s="161"/>
      <c r="BB82" s="161"/>
      <c r="BC82" s="161"/>
      <c r="BD82" s="161"/>
      <c r="BE82" s="162"/>
      <c r="BF82" s="162"/>
      <c r="BG82" s="162"/>
      <c r="BH82" s="163"/>
      <c r="BI82" s="163"/>
    </row>
    <row r="83" spans="1:61">
      <c r="A83" t="str">
        <f t="shared" si="7"/>
        <v>freight LDV</v>
      </c>
      <c r="B83" s="141">
        <v>7.7000000000000002E-3</v>
      </c>
      <c r="C83" s="142">
        <f t="shared" si="12"/>
        <v>133529499.88078277</v>
      </c>
      <c r="D83">
        <f t="shared" si="9"/>
        <v>0.43181354637905472</v>
      </c>
      <c r="E83" t="s">
        <v>378</v>
      </c>
      <c r="F83">
        <v>0.05</v>
      </c>
      <c r="G83">
        <v>0.05</v>
      </c>
      <c r="H83">
        <v>0.05</v>
      </c>
      <c r="I83">
        <f t="shared" si="10"/>
        <v>2.4569240587109121E-3</v>
      </c>
      <c r="J83">
        <f t="shared" si="10"/>
        <v>2.4569240587109121E-3</v>
      </c>
      <c r="K83">
        <f t="shared" si="10"/>
        <v>2.4569240587109121E-3</v>
      </c>
      <c r="L83">
        <f t="shared" si="11"/>
        <v>1.8639197503391711E-3</v>
      </c>
      <c r="M83">
        <f t="shared" si="11"/>
        <v>1.8639197503391711E-3</v>
      </c>
      <c r="N83">
        <f t="shared" si="11"/>
        <v>1.8639197503391711E-3</v>
      </c>
      <c r="O83" s="143">
        <v>77</v>
      </c>
      <c r="P83" s="144" t="s">
        <v>521</v>
      </c>
      <c r="Q83" s="97" t="s">
        <v>519</v>
      </c>
      <c r="R83" s="145">
        <v>52</v>
      </c>
      <c r="S83" s="145">
        <v>46</v>
      </c>
      <c r="T83" s="146" t="s">
        <v>389</v>
      </c>
      <c r="U83" s="97" t="s">
        <v>517</v>
      </c>
      <c r="V83" s="147" t="s">
        <v>382</v>
      </c>
      <c r="W83" s="148"/>
      <c r="X83" s="97" t="s">
        <v>366</v>
      </c>
      <c r="Y83" s="149">
        <v>11408</v>
      </c>
      <c r="Z83" s="149">
        <v>25150.334870050832</v>
      </c>
      <c r="AA83" s="150">
        <v>340</v>
      </c>
      <c r="AB83" s="150">
        <v>5.4</v>
      </c>
      <c r="AC83" s="150">
        <v>7.7</v>
      </c>
      <c r="AD83" s="151">
        <v>16</v>
      </c>
      <c r="AE83" s="151">
        <v>50</v>
      </c>
      <c r="AF83" s="152">
        <v>45</v>
      </c>
      <c r="AG83" s="153">
        <v>11200</v>
      </c>
      <c r="AH83" s="154">
        <v>5171.8446591507036</v>
      </c>
      <c r="AI83" s="155">
        <v>6.1046023068903792E-3</v>
      </c>
      <c r="AJ83" s="145">
        <v>8</v>
      </c>
      <c r="AK83" s="146">
        <v>56.079681347929181</v>
      </c>
      <c r="AL83" s="146">
        <v>49.546959267708914</v>
      </c>
      <c r="AM83" s="156">
        <v>156.55480149434027</v>
      </c>
      <c r="AN83" s="157">
        <v>1.3059420071902388</v>
      </c>
      <c r="AO83" s="158">
        <v>-0.2199937667632389</v>
      </c>
      <c r="AP83" s="159">
        <v>7.5130526099069173E-2</v>
      </c>
      <c r="AQ83" s="157">
        <v>2.437278227579507E-2</v>
      </c>
      <c r="AR83" s="159">
        <v>5.4854270740053501E-2</v>
      </c>
      <c r="AS83" s="158">
        <v>1.1610787665260691</v>
      </c>
      <c r="AT83" s="158">
        <v>5.3641071504092593E-2</v>
      </c>
      <c r="AU83" s="159">
        <v>3.5250359562559501E-2</v>
      </c>
      <c r="AV83" s="160">
        <v>193.98589920510102</v>
      </c>
      <c r="AW83" s="146">
        <v>181.7724558127822</v>
      </c>
      <c r="AX83" s="156">
        <v>187.29106885670282</v>
      </c>
      <c r="AY83" s="161"/>
      <c r="AZ83" s="161"/>
      <c r="BA83" s="161"/>
      <c r="BB83" s="161"/>
      <c r="BC83" s="161"/>
      <c r="BD83" s="161"/>
      <c r="BE83" s="162"/>
      <c r="BF83" s="162"/>
      <c r="BG83" s="162"/>
      <c r="BH83" s="163"/>
      <c r="BI83" s="163"/>
    </row>
    <row r="84" spans="1:61">
      <c r="A84" t="str">
        <f t="shared" si="7"/>
        <v>freight HDV</v>
      </c>
      <c r="B84" s="141">
        <v>5.2999999999999999E-2</v>
      </c>
      <c r="C84" s="142">
        <f t="shared" si="12"/>
        <v>3277833015.2102718</v>
      </c>
      <c r="D84">
        <f t="shared" si="9"/>
        <v>10.6</v>
      </c>
      <c r="E84" t="s">
        <v>36</v>
      </c>
      <c r="F84">
        <v>0</v>
      </c>
      <c r="G84">
        <v>0.26</v>
      </c>
      <c r="H84">
        <v>0.39</v>
      </c>
      <c r="I84">
        <f t="shared" si="10"/>
        <v>0</v>
      </c>
      <c r="J84">
        <f t="shared" si="10"/>
        <v>7.2910052910052911E-2</v>
      </c>
      <c r="K84">
        <f t="shared" si="10"/>
        <v>0.10936507936507937</v>
      </c>
      <c r="L84">
        <f t="shared" si="11"/>
        <v>0</v>
      </c>
      <c r="M84">
        <f t="shared" si="11"/>
        <v>4.7031615552801824E-2</v>
      </c>
      <c r="N84">
        <f t="shared" si="11"/>
        <v>7.0547423329202746E-2</v>
      </c>
      <c r="O84" s="143">
        <v>78</v>
      </c>
      <c r="P84" s="144" t="s">
        <v>522</v>
      </c>
      <c r="Q84" s="97" t="s">
        <v>523</v>
      </c>
      <c r="R84" s="145">
        <v>62</v>
      </c>
      <c r="S84" s="145">
        <v>47</v>
      </c>
      <c r="T84" s="146" t="s">
        <v>524</v>
      </c>
      <c r="U84" s="169" t="s">
        <v>525</v>
      </c>
      <c r="V84" s="166" t="s">
        <v>373</v>
      </c>
      <c r="W84" s="167"/>
      <c r="X84" s="97" t="s">
        <v>360</v>
      </c>
      <c r="Y84" s="149">
        <v>30277</v>
      </c>
      <c r="Z84" s="149">
        <v>66749.359121715388</v>
      </c>
      <c r="AA84" s="150">
        <v>794</v>
      </c>
      <c r="AB84" s="150">
        <v>6.21</v>
      </c>
      <c r="AC84" s="150">
        <v>6.2</v>
      </c>
      <c r="AD84" s="151">
        <v>20</v>
      </c>
      <c r="AE84" s="151">
        <v>100</v>
      </c>
      <c r="AF84" s="152">
        <v>25</v>
      </c>
      <c r="AG84" s="153">
        <v>38000</v>
      </c>
      <c r="AH84" s="154">
        <v>30415.67298216073</v>
      </c>
      <c r="AI84" s="155">
        <v>3.5901230545275616E-2</v>
      </c>
      <c r="AJ84" s="145">
        <v>8</v>
      </c>
      <c r="AK84" s="152">
        <v>200</v>
      </c>
      <c r="AL84" s="146">
        <v>186.542</v>
      </c>
      <c r="AM84" s="156">
        <v>400</v>
      </c>
      <c r="AN84" s="157">
        <v>2.1704791319746892</v>
      </c>
      <c r="AO84" s="158">
        <v>-7.1341478588876059E-2</v>
      </c>
      <c r="AP84" s="159">
        <v>0</v>
      </c>
      <c r="AQ84" s="157">
        <v>4.0507629761900796E-2</v>
      </c>
      <c r="AR84" s="159">
        <v>9.1167945655669713E-2</v>
      </c>
      <c r="AS84" s="158">
        <v>2.0991376533858133</v>
      </c>
      <c r="AT84" s="158">
        <v>3.0337550968420994E-2</v>
      </c>
      <c r="AU84" s="159">
        <v>1.9936394816474232E-2</v>
      </c>
      <c r="AV84" s="160">
        <v>867.993133646454</v>
      </c>
      <c r="AW84" s="146">
        <v>839.65506135432531</v>
      </c>
      <c r="AX84" s="156">
        <v>847.62961928091499</v>
      </c>
      <c r="AY84" s="161"/>
      <c r="AZ84" s="161"/>
      <c r="BA84" s="161"/>
      <c r="BB84" s="161"/>
      <c r="BC84" s="161"/>
      <c r="BD84" s="161"/>
      <c r="BE84" s="162"/>
      <c r="BF84" s="162"/>
      <c r="BG84" s="162"/>
      <c r="BH84" s="163"/>
      <c r="BI84" s="163"/>
    </row>
    <row r="85" spans="1:61">
      <c r="A85" t="str">
        <f t="shared" si="7"/>
        <v>freight HDV</v>
      </c>
      <c r="B85" s="141">
        <v>0.109</v>
      </c>
      <c r="C85" s="142">
        <f t="shared" si="12"/>
        <v>14156527871.351532</v>
      </c>
      <c r="D85">
        <f t="shared" si="9"/>
        <v>45.78</v>
      </c>
      <c r="E85" t="s">
        <v>36</v>
      </c>
      <c r="F85">
        <v>0</v>
      </c>
      <c r="G85">
        <v>0</v>
      </c>
      <c r="H85">
        <v>0.14000000000000001</v>
      </c>
      <c r="I85">
        <f t="shared" si="10"/>
        <v>0</v>
      </c>
      <c r="J85">
        <f t="shared" si="10"/>
        <v>0</v>
      </c>
      <c r="K85">
        <f t="shared" si="10"/>
        <v>8.0740740740740752E-2</v>
      </c>
      <c r="L85">
        <f t="shared" si="11"/>
        <v>0</v>
      </c>
      <c r="M85">
        <f t="shared" si="11"/>
        <v>0</v>
      </c>
      <c r="N85">
        <f t="shared" si="11"/>
        <v>0.109374103919092</v>
      </c>
      <c r="O85" s="143">
        <v>79</v>
      </c>
      <c r="P85" s="144" t="s">
        <v>526</v>
      </c>
      <c r="Q85" s="97" t="s">
        <v>523</v>
      </c>
      <c r="R85" s="145">
        <v>62</v>
      </c>
      <c r="S85" s="145">
        <v>47</v>
      </c>
      <c r="T85" s="146" t="s">
        <v>524</v>
      </c>
      <c r="U85" s="169" t="s">
        <v>525</v>
      </c>
      <c r="V85" s="166" t="s">
        <v>373</v>
      </c>
      <c r="W85" s="167"/>
      <c r="X85" s="97" t="s">
        <v>377</v>
      </c>
      <c r="Y85" s="149">
        <v>30277</v>
      </c>
      <c r="Z85" s="149">
        <v>66749.359121715388</v>
      </c>
      <c r="AA85" s="150">
        <v>794</v>
      </c>
      <c r="AB85" s="150">
        <v>6.21</v>
      </c>
      <c r="AC85" s="150">
        <v>6.2</v>
      </c>
      <c r="AD85" s="151">
        <v>20</v>
      </c>
      <c r="AE85" s="151">
        <v>100</v>
      </c>
      <c r="AF85" s="152">
        <v>25</v>
      </c>
      <c r="AG85" s="153">
        <v>38000</v>
      </c>
      <c r="AH85" s="154">
        <v>78211.730525556137</v>
      </c>
      <c r="AI85" s="155">
        <v>9.2317449973565835E-2</v>
      </c>
      <c r="AJ85" s="145">
        <v>8</v>
      </c>
      <c r="AK85" s="152">
        <v>420</v>
      </c>
      <c r="AL85" s="146">
        <v>391.73820000000001</v>
      </c>
      <c r="AM85" s="156">
        <v>550</v>
      </c>
      <c r="AN85" s="157">
        <v>2.1704791319746892</v>
      </c>
      <c r="AO85" s="158">
        <v>-7.1341478588876059E-2</v>
      </c>
      <c r="AP85" s="159">
        <v>0</v>
      </c>
      <c r="AQ85" s="157">
        <v>4.0507629761900796E-2</v>
      </c>
      <c r="AR85" s="159">
        <v>9.1167945655669713E-2</v>
      </c>
      <c r="AS85" s="158">
        <v>2.0991376533858133</v>
      </c>
      <c r="AT85" s="158">
        <v>2.2063673431578903E-2</v>
      </c>
      <c r="AU85" s="159">
        <v>1.4499196230163078E-2</v>
      </c>
      <c r="AV85" s="160">
        <v>1188.9399261186111</v>
      </c>
      <c r="AW85" s="146">
        <v>1154.5257093621974</v>
      </c>
      <c r="AX85" s="156">
        <v>1162.500267288787</v>
      </c>
      <c r="AY85" s="161"/>
      <c r="AZ85" s="161"/>
      <c r="BA85" s="161"/>
      <c r="BB85" s="161"/>
      <c r="BC85" s="161"/>
      <c r="BD85" s="161"/>
      <c r="BE85" s="162"/>
      <c r="BF85" s="162"/>
      <c r="BG85" s="162"/>
      <c r="BH85" s="163"/>
      <c r="BI85" s="163"/>
    </row>
    <row r="86" spans="1:61">
      <c r="A86" t="str">
        <f t="shared" si="7"/>
        <v>freight HDV</v>
      </c>
      <c r="B86" s="141">
        <v>3.3999999999999998E-3</v>
      </c>
      <c r="C86" s="142">
        <f t="shared" si="12"/>
        <v>111446322.51714922</v>
      </c>
      <c r="D86">
        <f t="shared" si="9"/>
        <v>0.3604</v>
      </c>
      <c r="E86" t="s">
        <v>368</v>
      </c>
      <c r="F86">
        <v>0.05</v>
      </c>
      <c r="G86">
        <v>0.14000000000000001</v>
      </c>
      <c r="H86">
        <v>0.14000000000000001</v>
      </c>
      <c r="I86">
        <f t="shared" si="10"/>
        <v>2.2941970310391365E-3</v>
      </c>
      <c r="J86">
        <f t="shared" si="10"/>
        <v>6.4237516869095823E-3</v>
      </c>
      <c r="K86">
        <f t="shared" si="10"/>
        <v>6.4237516869095823E-3</v>
      </c>
      <c r="L86">
        <f t="shared" si="11"/>
        <v>2.976816079937117E-3</v>
      </c>
      <c r="M86">
        <f t="shared" si="11"/>
        <v>8.335085023823928E-3</v>
      </c>
      <c r="N86">
        <f t="shared" si="11"/>
        <v>8.335085023823928E-3</v>
      </c>
      <c r="O86" s="143">
        <v>80</v>
      </c>
      <c r="P86" s="144" t="s">
        <v>527</v>
      </c>
      <c r="Q86" s="97" t="s">
        <v>429</v>
      </c>
      <c r="R86" s="145">
        <v>52</v>
      </c>
      <c r="S86" s="145">
        <v>47</v>
      </c>
      <c r="T86" s="146" t="s">
        <v>528</v>
      </c>
      <c r="U86" s="169" t="s">
        <v>529</v>
      </c>
      <c r="V86" s="166" t="s">
        <v>373</v>
      </c>
      <c r="W86" s="167"/>
      <c r="X86" s="97" t="s">
        <v>530</v>
      </c>
      <c r="Y86" s="149">
        <v>53750</v>
      </c>
      <c r="Z86" s="149">
        <v>118498.46592437169</v>
      </c>
      <c r="AA86" s="150">
        <v>794</v>
      </c>
      <c r="AB86" s="150">
        <v>6.21</v>
      </c>
      <c r="AC86" s="150">
        <v>6.2</v>
      </c>
      <c r="AD86" s="151">
        <v>20</v>
      </c>
      <c r="AE86" s="151">
        <v>100</v>
      </c>
      <c r="AF86" s="152">
        <v>25</v>
      </c>
      <c r="AG86" s="153">
        <v>38000</v>
      </c>
      <c r="AH86" s="154">
        <v>11366.707250429992</v>
      </c>
      <c r="AI86" s="155">
        <v>1.3416726888722391E-2</v>
      </c>
      <c r="AJ86" s="145">
        <v>8</v>
      </c>
      <c r="AK86" s="146">
        <v>106</v>
      </c>
      <c r="AL86" s="146">
        <v>98.867260000000002</v>
      </c>
      <c r="AM86" s="156">
        <v>179.66101694915255</v>
      </c>
      <c r="AN86" s="157">
        <v>3.268140541776523</v>
      </c>
      <c r="AO86" s="158">
        <v>-0.23120133448743835</v>
      </c>
      <c r="AP86" s="159">
        <v>0</v>
      </c>
      <c r="AQ86" s="157">
        <v>6.0993273386461218E-2</v>
      </c>
      <c r="AR86" s="159">
        <v>0.13727368069035531</v>
      </c>
      <c r="AS86" s="158">
        <v>3.0369392072890848</v>
      </c>
      <c r="AT86" s="158">
        <v>4.6742289695731014E-2</v>
      </c>
      <c r="AU86" s="159">
        <v>3.0716808452011007E-2</v>
      </c>
      <c r="AV86" s="160">
        <v>564.97546721924641</v>
      </c>
      <c r="AW86" s="146">
        <v>545.6195863943102</v>
      </c>
      <c r="AX86" s="156">
        <v>551.1381994382308</v>
      </c>
      <c r="AY86" s="161"/>
      <c r="AZ86" s="161"/>
      <c r="BA86" s="161"/>
      <c r="BB86" s="161"/>
      <c r="BC86" s="161"/>
      <c r="BD86" s="161"/>
      <c r="BE86" s="162"/>
      <c r="BF86" s="162"/>
      <c r="BG86" s="162"/>
      <c r="BH86" s="163"/>
      <c r="BI86" s="163"/>
    </row>
    <row r="87" spans="1:61">
      <c r="A87" t="str">
        <f t="shared" si="7"/>
        <v>freight HDV</v>
      </c>
      <c r="B87" s="141">
        <v>1.04E-2</v>
      </c>
      <c r="C87" s="142">
        <f t="shared" si="12"/>
        <v>386945343.28549224</v>
      </c>
      <c r="D87">
        <f t="shared" si="9"/>
        <v>1.2513208024305351</v>
      </c>
      <c r="E87" t="s">
        <v>12</v>
      </c>
      <c r="F87">
        <v>0</v>
      </c>
      <c r="G87">
        <v>0.37</v>
      </c>
      <c r="H87">
        <v>0.7</v>
      </c>
      <c r="I87">
        <f t="shared" si="10"/>
        <v>0</v>
      </c>
      <c r="J87">
        <f t="shared" si="10"/>
        <v>2.2102240091901201E-2</v>
      </c>
      <c r="K87">
        <f t="shared" si="10"/>
        <v>4.1815048822515785E-2</v>
      </c>
      <c r="L87">
        <f t="shared" si="11"/>
        <v>0</v>
      </c>
      <c r="M87">
        <f t="shared" si="11"/>
        <v>1.5883317269521111E-2</v>
      </c>
      <c r="N87">
        <f t="shared" si="11"/>
        <v>3.0049519158553455E-2</v>
      </c>
      <c r="O87" s="143">
        <v>81</v>
      </c>
      <c r="P87" s="144" t="s">
        <v>531</v>
      </c>
      <c r="Q87" s="97" t="s">
        <v>532</v>
      </c>
      <c r="R87" s="145">
        <v>61</v>
      </c>
      <c r="S87" s="145">
        <v>46</v>
      </c>
      <c r="T87" s="146" t="s">
        <v>435</v>
      </c>
      <c r="U87" s="169" t="s">
        <v>529</v>
      </c>
      <c r="V87" s="166" t="s">
        <v>533</v>
      </c>
      <c r="W87" s="167"/>
      <c r="X87" s="97" t="s">
        <v>377</v>
      </c>
      <c r="Y87" s="149">
        <v>20910</v>
      </c>
      <c r="Z87" s="149">
        <v>46098.659022857901</v>
      </c>
      <c r="AA87" s="150">
        <v>340</v>
      </c>
      <c r="AB87" s="150">
        <v>6.21</v>
      </c>
      <c r="AC87" s="150">
        <v>6.2</v>
      </c>
      <c r="AD87" s="151">
        <v>18</v>
      </c>
      <c r="AE87" s="151">
        <v>60</v>
      </c>
      <c r="AF87" s="152">
        <v>35</v>
      </c>
      <c r="AG87" s="153">
        <v>25000</v>
      </c>
      <c r="AH87" s="154">
        <v>5425.0019340501249</v>
      </c>
      <c r="AI87" s="155">
        <v>6.4034172532408508E-3</v>
      </c>
      <c r="AJ87" s="145">
        <v>8</v>
      </c>
      <c r="AK87" s="146">
        <v>120.319307926013</v>
      </c>
      <c r="AL87" s="146">
        <v>106.30331174571175</v>
      </c>
      <c r="AM87" s="156">
        <v>214.38506631637713</v>
      </c>
      <c r="AN87" s="157">
        <v>1.7859147645994744</v>
      </c>
      <c r="AO87" s="158">
        <v>-9.3876609601171376E-2</v>
      </c>
      <c r="AP87" s="159">
        <v>0</v>
      </c>
      <c r="AQ87" s="157">
        <v>3.3330508920806953E-2</v>
      </c>
      <c r="AR87" s="159">
        <v>7.5014856308031869E-2</v>
      </c>
      <c r="AS87" s="158">
        <v>1.692038154998303</v>
      </c>
      <c r="AT87" s="158">
        <v>3.917141919238902E-2</v>
      </c>
      <c r="AU87" s="159">
        <v>2.5741592633959729E-2</v>
      </c>
      <c r="AV87" s="160">
        <v>378.29104273576434</v>
      </c>
      <c r="AW87" s="146">
        <v>362.74771206915159</v>
      </c>
      <c r="AX87" s="156">
        <v>368.26632511307224</v>
      </c>
      <c r="AY87" s="161"/>
      <c r="AZ87" s="161"/>
      <c r="BA87" s="161"/>
      <c r="BB87" s="161"/>
      <c r="BC87" s="161"/>
      <c r="BD87" s="161"/>
      <c r="BE87" s="162"/>
      <c r="BF87" s="162"/>
      <c r="BG87" s="162"/>
      <c r="BH87" s="163"/>
      <c r="BI87" s="163"/>
    </row>
    <row r="88" spans="1:61">
      <c r="A88" t="str">
        <f t="shared" si="7"/>
        <v>freight HDV</v>
      </c>
      <c r="B88" s="141">
        <v>1.5100000000000001E-2</v>
      </c>
      <c r="C88" s="142">
        <f t="shared" si="12"/>
        <v>1006976941.1305501</v>
      </c>
      <c r="D88">
        <f t="shared" si="9"/>
        <v>3.2564061459058498</v>
      </c>
      <c r="E88" t="s">
        <v>12</v>
      </c>
      <c r="F88">
        <v>0</v>
      </c>
      <c r="G88">
        <v>0.37</v>
      </c>
      <c r="H88">
        <v>0.7</v>
      </c>
      <c r="I88">
        <f t="shared" si="10"/>
        <v>0</v>
      </c>
      <c r="J88">
        <f t="shared" si="10"/>
        <v>3.2090752441125782E-2</v>
      </c>
      <c r="K88">
        <f t="shared" si="10"/>
        <v>6.0712234348075801E-2</v>
      </c>
      <c r="L88">
        <f t="shared" si="11"/>
        <v>0</v>
      </c>
      <c r="M88">
        <f t="shared" si="11"/>
        <v>4.1334349971147669E-2</v>
      </c>
      <c r="N88">
        <f t="shared" si="11"/>
        <v>7.8200121567036124E-2</v>
      </c>
      <c r="O88" s="143">
        <v>82</v>
      </c>
      <c r="P88" s="144" t="s">
        <v>534</v>
      </c>
      <c r="Q88" s="97" t="s">
        <v>429</v>
      </c>
      <c r="R88" s="145">
        <v>61</v>
      </c>
      <c r="S88" s="145">
        <v>47</v>
      </c>
      <c r="T88" s="146" t="s">
        <v>430</v>
      </c>
      <c r="U88" s="169" t="s">
        <v>529</v>
      </c>
      <c r="V88" s="166" t="s">
        <v>373</v>
      </c>
      <c r="W88" s="167" t="s">
        <v>535</v>
      </c>
      <c r="X88" s="97" t="s">
        <v>377</v>
      </c>
      <c r="Y88" s="149">
        <v>29529</v>
      </c>
      <c r="Z88" s="149">
        <v>65100.301400572498</v>
      </c>
      <c r="AA88" s="150">
        <v>794</v>
      </c>
      <c r="AB88" s="150">
        <v>6.21</v>
      </c>
      <c r="AC88" s="150">
        <v>6.2</v>
      </c>
      <c r="AD88" s="151">
        <v>20</v>
      </c>
      <c r="AE88" s="151">
        <v>100</v>
      </c>
      <c r="AF88" s="152">
        <v>25</v>
      </c>
      <c r="AG88" s="153">
        <v>38000</v>
      </c>
      <c r="AH88" s="154">
        <v>11366.707250429992</v>
      </c>
      <c r="AI88" s="155">
        <v>1.3416726888722391E-2</v>
      </c>
      <c r="AJ88" s="145">
        <v>8</v>
      </c>
      <c r="AK88" s="146">
        <v>215.65603615270527</v>
      </c>
      <c r="AL88" s="146">
        <v>190.53426450127665</v>
      </c>
      <c r="AM88" s="156">
        <v>349.24503553480065</v>
      </c>
      <c r="AN88" s="157">
        <v>2.2041965719165422</v>
      </c>
      <c r="AO88" s="158">
        <v>-0.13687840291944536</v>
      </c>
      <c r="AP88" s="159">
        <v>0</v>
      </c>
      <c r="AQ88" s="157">
        <v>4.113689799745443E-2</v>
      </c>
      <c r="AR88" s="159">
        <v>9.2584199646313009E-2</v>
      </c>
      <c r="AS88" s="158">
        <v>2.067318168997097</v>
      </c>
      <c r="AT88" s="158">
        <v>2.404548797209783E-2</v>
      </c>
      <c r="AU88" s="159">
        <v>1.5801550437130604E-2</v>
      </c>
      <c r="AV88" s="160">
        <v>744.76523209730954</v>
      </c>
      <c r="AW88" s="146">
        <v>722.00060739313017</v>
      </c>
      <c r="AX88" s="156">
        <v>727.51922043705076</v>
      </c>
      <c r="AY88" s="161"/>
      <c r="AZ88" s="161"/>
      <c r="BA88" s="161"/>
      <c r="BB88" s="161"/>
      <c r="BC88" s="161"/>
      <c r="BD88" s="161"/>
      <c r="BE88" s="162"/>
      <c r="BF88" s="162"/>
      <c r="BG88" s="162"/>
      <c r="BH88" s="163"/>
      <c r="BI88" s="163"/>
    </row>
    <row r="89" spans="1:61">
      <c r="A89" t="str">
        <f t="shared" si="7"/>
        <v>freight HDV</v>
      </c>
      <c r="B89" s="141">
        <v>1.7000000000000001E-2</v>
      </c>
      <c r="C89" s="142">
        <f t="shared" si="12"/>
        <v>632506811.13974702</v>
      </c>
      <c r="D89">
        <f t="shared" si="9"/>
        <v>2.045428234742221</v>
      </c>
      <c r="E89" t="s">
        <v>12</v>
      </c>
      <c r="F89">
        <v>0.05</v>
      </c>
      <c r="G89">
        <v>0.14000000000000001</v>
      </c>
      <c r="H89">
        <v>0.14000000000000001</v>
      </c>
      <c r="I89">
        <f t="shared" si="10"/>
        <v>4.8822515795519808E-3</v>
      </c>
      <c r="J89">
        <f t="shared" si="10"/>
        <v>1.367030442274555E-2</v>
      </c>
      <c r="K89">
        <f t="shared" si="10"/>
        <v>1.367030442274555E-2</v>
      </c>
      <c r="L89">
        <f t="shared" si="11"/>
        <v>3.5085290226333022E-3</v>
      </c>
      <c r="M89">
        <f t="shared" si="11"/>
        <v>9.8238812633732464E-3</v>
      </c>
      <c r="N89">
        <f t="shared" si="11"/>
        <v>9.8238812633732464E-3</v>
      </c>
      <c r="O89" s="143">
        <v>83</v>
      </c>
      <c r="P89" s="144" t="s">
        <v>536</v>
      </c>
      <c r="Q89" s="97" t="s">
        <v>532</v>
      </c>
      <c r="R89" s="145">
        <v>61</v>
      </c>
      <c r="S89" s="145">
        <v>46</v>
      </c>
      <c r="T89" s="146" t="s">
        <v>435</v>
      </c>
      <c r="U89" s="169" t="s">
        <v>529</v>
      </c>
      <c r="V89" s="166" t="s">
        <v>533</v>
      </c>
      <c r="W89" s="167"/>
      <c r="X89" s="97" t="s">
        <v>366</v>
      </c>
      <c r="Y89" s="149">
        <v>20910</v>
      </c>
      <c r="Z89" s="149">
        <v>46098.659022857901</v>
      </c>
      <c r="AA89" s="150">
        <v>340</v>
      </c>
      <c r="AB89" s="150">
        <v>6.21</v>
      </c>
      <c r="AC89" s="150">
        <v>6.2</v>
      </c>
      <c r="AD89" s="151">
        <v>18</v>
      </c>
      <c r="AE89" s="151">
        <v>60</v>
      </c>
      <c r="AF89" s="152">
        <v>35</v>
      </c>
      <c r="AG89" s="153">
        <v>25000</v>
      </c>
      <c r="AH89" s="154">
        <v>5425.0019340501249</v>
      </c>
      <c r="AI89" s="155">
        <v>6.4034172532408508E-3</v>
      </c>
      <c r="AJ89" s="145">
        <v>8</v>
      </c>
      <c r="AK89" s="146">
        <v>120.319307926013</v>
      </c>
      <c r="AL89" s="146">
        <v>106.30331174571175</v>
      </c>
      <c r="AM89" s="156">
        <v>214.38506631637713</v>
      </c>
      <c r="AN89" s="157">
        <v>1.7859147645994744</v>
      </c>
      <c r="AO89" s="158">
        <v>-9.3876609601171376E-2</v>
      </c>
      <c r="AP89" s="159">
        <v>0</v>
      </c>
      <c r="AQ89" s="157">
        <v>3.3330508920806953E-2</v>
      </c>
      <c r="AR89" s="159">
        <v>7.5014856308031869E-2</v>
      </c>
      <c r="AS89" s="158">
        <v>1.692038154998303</v>
      </c>
      <c r="AT89" s="158">
        <v>3.917141919238902E-2</v>
      </c>
      <c r="AU89" s="159">
        <v>2.5741592633959729E-2</v>
      </c>
      <c r="AV89" s="160">
        <v>378.29104273576434</v>
      </c>
      <c r="AW89" s="146">
        <v>362.74771206915159</v>
      </c>
      <c r="AX89" s="156">
        <v>368.26632511307224</v>
      </c>
      <c r="AY89" s="161"/>
      <c r="AZ89" s="161"/>
      <c r="BA89" s="161"/>
      <c r="BB89" s="161"/>
      <c r="BC89" s="161"/>
      <c r="BD89" s="161"/>
      <c r="BE89" s="162"/>
      <c r="BF89" s="162"/>
      <c r="BG89" s="162"/>
      <c r="BH89" s="163"/>
      <c r="BI89" s="163"/>
    </row>
    <row r="90" spans="1:61">
      <c r="A90" t="str">
        <f t="shared" si="7"/>
        <v>freight HDV</v>
      </c>
      <c r="B90" s="141">
        <v>3.6999999999999998E-2</v>
      </c>
      <c r="C90" s="142">
        <f t="shared" si="12"/>
        <v>2467426941.8430691</v>
      </c>
      <c r="D90">
        <f t="shared" si="9"/>
        <v>7.9792733376500946</v>
      </c>
      <c r="E90" t="s">
        <v>12</v>
      </c>
      <c r="F90">
        <v>0</v>
      </c>
      <c r="G90">
        <v>0.37</v>
      </c>
      <c r="H90">
        <v>0.7</v>
      </c>
      <c r="I90">
        <f t="shared" si="10"/>
        <v>0</v>
      </c>
      <c r="J90">
        <f t="shared" si="10"/>
        <v>7.8632969557725418E-2</v>
      </c>
      <c r="K90">
        <f t="shared" si="10"/>
        <v>0.14876507754164267</v>
      </c>
      <c r="L90">
        <f t="shared" si="11"/>
        <v>0</v>
      </c>
      <c r="M90">
        <f t="shared" si="11"/>
        <v>0.10128284430016316</v>
      </c>
      <c r="N90">
        <f t="shared" si="11"/>
        <v>0.19161619191922757</v>
      </c>
      <c r="O90" s="143">
        <v>84</v>
      </c>
      <c r="P90" s="144" t="s">
        <v>537</v>
      </c>
      <c r="Q90" s="97" t="s">
        <v>429</v>
      </c>
      <c r="R90" s="145">
        <v>61</v>
      </c>
      <c r="S90" s="145">
        <v>47</v>
      </c>
      <c r="T90" s="146" t="s">
        <v>430</v>
      </c>
      <c r="U90" s="169" t="s">
        <v>529</v>
      </c>
      <c r="V90" s="166" t="s">
        <v>373</v>
      </c>
      <c r="W90" s="167" t="s">
        <v>535</v>
      </c>
      <c r="X90" s="97" t="s">
        <v>366</v>
      </c>
      <c r="Y90" s="149">
        <v>29529</v>
      </c>
      <c r="Z90" s="149">
        <v>65100.301400572498</v>
      </c>
      <c r="AA90" s="150">
        <v>794</v>
      </c>
      <c r="AB90" s="150">
        <v>6.21</v>
      </c>
      <c r="AC90" s="150">
        <v>6.2</v>
      </c>
      <c r="AD90" s="151">
        <v>20</v>
      </c>
      <c r="AE90" s="151">
        <v>100</v>
      </c>
      <c r="AF90" s="152">
        <v>25</v>
      </c>
      <c r="AG90" s="153">
        <v>38000</v>
      </c>
      <c r="AH90" s="154">
        <v>4000</v>
      </c>
      <c r="AI90" s="155">
        <v>4.7214119597264537E-3</v>
      </c>
      <c r="AJ90" s="145">
        <v>8</v>
      </c>
      <c r="AK90" s="146">
        <v>215.65603615270527</v>
      </c>
      <c r="AL90" s="146">
        <v>190.53426450127665</v>
      </c>
      <c r="AM90" s="156">
        <v>349.24503553480065</v>
      </c>
      <c r="AN90" s="157">
        <v>2.2041965719165422</v>
      </c>
      <c r="AO90" s="158">
        <v>-0.13687840291944536</v>
      </c>
      <c r="AP90" s="159">
        <v>0</v>
      </c>
      <c r="AQ90" s="157">
        <v>4.113689799745443E-2</v>
      </c>
      <c r="AR90" s="159">
        <v>9.2584199646313009E-2</v>
      </c>
      <c r="AS90" s="158">
        <v>2.067318168997097</v>
      </c>
      <c r="AT90" s="158">
        <v>2.404548797209783E-2</v>
      </c>
      <c r="AU90" s="159">
        <v>1.5801550437130604E-2</v>
      </c>
      <c r="AV90" s="160">
        <v>744.76523209730954</v>
      </c>
      <c r="AW90" s="146">
        <v>722.00060739313017</v>
      </c>
      <c r="AX90" s="156">
        <v>727.51922043705076</v>
      </c>
      <c r="AY90" s="161"/>
      <c r="AZ90" s="161"/>
      <c r="BA90" s="161"/>
      <c r="BB90" s="161"/>
      <c r="BC90" s="161"/>
      <c r="BD90" s="161"/>
      <c r="BE90" s="162"/>
      <c r="BF90" s="162"/>
      <c r="BG90" s="162"/>
      <c r="BH90" s="163"/>
      <c r="BI90" s="163"/>
    </row>
    <row r="91" spans="1:61">
      <c r="A91" t="str">
        <f t="shared" si="7"/>
        <v>passenger HDV</v>
      </c>
      <c r="B91" s="141">
        <v>2.2700000000000001E-2</v>
      </c>
      <c r="C91" s="142">
        <f t="shared" si="12"/>
        <v>952631633.48897421</v>
      </c>
      <c r="D91">
        <f t="shared" si="9"/>
        <v>3.0806619092935557</v>
      </c>
      <c r="E91" t="s">
        <v>399</v>
      </c>
      <c r="F91">
        <v>0.14000000000000001</v>
      </c>
      <c r="G91">
        <v>0.26</v>
      </c>
      <c r="H91">
        <v>0.39</v>
      </c>
      <c r="I91">
        <f t="shared" si="10"/>
        <v>3.9478260869565227E-2</v>
      </c>
      <c r="J91">
        <f t="shared" si="10"/>
        <v>7.3316770186335409E-2</v>
      </c>
      <c r="K91">
        <f t="shared" si="10"/>
        <v>0.10997515527950312</v>
      </c>
      <c r="L91">
        <f t="shared" si="11"/>
        <v>6.0334928397643581E-2</v>
      </c>
      <c r="M91">
        <f t="shared" si="11"/>
        <v>0.1120505813099095</v>
      </c>
      <c r="N91">
        <f t="shared" si="11"/>
        <v>0.16807587196486423</v>
      </c>
      <c r="O91" s="143">
        <v>85</v>
      </c>
      <c r="P91" s="144" t="s">
        <v>538</v>
      </c>
      <c r="Q91" s="97" t="s">
        <v>539</v>
      </c>
      <c r="R91" s="145">
        <v>42</v>
      </c>
      <c r="S91" s="145">
        <v>47</v>
      </c>
      <c r="T91" s="146" t="s">
        <v>540</v>
      </c>
      <c r="U91" s="97" t="s">
        <v>540</v>
      </c>
      <c r="V91" s="166" t="s">
        <v>373</v>
      </c>
      <c r="W91" s="167" t="s">
        <v>541</v>
      </c>
      <c r="X91" s="97" t="s">
        <v>360</v>
      </c>
      <c r="Y91" s="149">
        <v>19051</v>
      </c>
      <c r="Z91" s="149">
        <v>42000.265568841023</v>
      </c>
      <c r="AA91" s="150">
        <v>794</v>
      </c>
      <c r="AB91" s="150">
        <v>6.86</v>
      </c>
      <c r="AC91" s="150">
        <v>7.7</v>
      </c>
      <c r="AD91" s="151">
        <v>20</v>
      </c>
      <c r="AE91" s="151">
        <v>100</v>
      </c>
      <c r="AF91" s="152">
        <v>25</v>
      </c>
      <c r="AG91" s="153">
        <v>15000</v>
      </c>
      <c r="AH91" s="154">
        <v>3743</v>
      </c>
      <c r="AI91" s="155">
        <v>4.4180612413140296E-3</v>
      </c>
      <c r="AJ91" s="145">
        <v>8</v>
      </c>
      <c r="AK91" s="146">
        <v>135.71197838297601</v>
      </c>
      <c r="AL91" s="146">
        <v>119.90289002114318</v>
      </c>
      <c r="AM91" s="156">
        <v>203.16467431772006</v>
      </c>
      <c r="AN91" s="157">
        <v>1.9878943133191989</v>
      </c>
      <c r="AO91" s="158">
        <v>-0.35617102411740093</v>
      </c>
      <c r="AP91" s="159">
        <v>0</v>
      </c>
      <c r="AQ91" s="157">
        <v>3.7100051165412977E-2</v>
      </c>
      <c r="AR91" s="159">
        <v>8.3498725261189483E-2</v>
      </c>
      <c r="AS91" s="158">
        <v>1.6317232892017979</v>
      </c>
      <c r="AT91" s="158">
        <v>0.14866458709692501</v>
      </c>
      <c r="AU91" s="159">
        <v>9.7695292104413384E-2</v>
      </c>
      <c r="AV91" s="160">
        <v>369.24934285963917</v>
      </c>
      <c r="AW91" s="146">
        <v>331.50853062732222</v>
      </c>
      <c r="AX91" s="156">
        <v>351.35676283008991</v>
      </c>
      <c r="AY91" s="161"/>
      <c r="AZ91" s="161"/>
      <c r="BA91" s="161"/>
      <c r="BB91" s="161"/>
      <c r="BC91" s="161"/>
      <c r="BD91" s="161"/>
      <c r="BE91" s="162"/>
      <c r="BF91" s="162"/>
      <c r="BG91" s="162"/>
      <c r="BH91" s="163"/>
      <c r="BI91" s="163"/>
    </row>
    <row r="92" spans="1:61">
      <c r="A92" t="str">
        <f t="shared" si="7"/>
        <v>passenger HDV</v>
      </c>
      <c r="B92" s="141">
        <v>1E-4</v>
      </c>
      <c r="C92" s="142">
        <f t="shared" si="12"/>
        <v>2476598.9310164265</v>
      </c>
      <c r="D92">
        <f t="shared" si="9"/>
        <v>8.0089341180456901E-3</v>
      </c>
      <c r="E92" t="s">
        <v>399</v>
      </c>
      <c r="F92">
        <v>0.05</v>
      </c>
      <c r="G92">
        <v>0.05</v>
      </c>
      <c r="H92">
        <v>0.05</v>
      </c>
      <c r="I92">
        <f t="shared" si="10"/>
        <v>6.2111801242236027E-5</v>
      </c>
      <c r="J92">
        <f t="shared" si="10"/>
        <v>6.2111801242236027E-5</v>
      </c>
      <c r="K92">
        <f t="shared" si="10"/>
        <v>6.2111801242236027E-5</v>
      </c>
      <c r="L92">
        <f t="shared" si="11"/>
        <v>5.6019786932336453E-5</v>
      </c>
      <c r="M92">
        <f t="shared" si="11"/>
        <v>5.6019786932336453E-5</v>
      </c>
      <c r="N92">
        <f t="shared" si="11"/>
        <v>5.6019786932336453E-5</v>
      </c>
      <c r="O92" s="143">
        <v>86</v>
      </c>
      <c r="P92" s="144" t="s">
        <v>542</v>
      </c>
      <c r="Q92" s="97" t="s">
        <v>543</v>
      </c>
      <c r="R92" s="145">
        <v>42</v>
      </c>
      <c r="S92" s="145">
        <v>46</v>
      </c>
      <c r="T92" s="146" t="s">
        <v>540</v>
      </c>
      <c r="U92" s="97" t="s">
        <v>540</v>
      </c>
      <c r="V92" s="147" t="s">
        <v>382</v>
      </c>
      <c r="W92" s="148" t="s">
        <v>544</v>
      </c>
      <c r="X92" s="97" t="s">
        <v>360</v>
      </c>
      <c r="Y92" s="149">
        <v>11408</v>
      </c>
      <c r="Z92" s="149">
        <v>25150.334870050832</v>
      </c>
      <c r="AA92" s="150">
        <v>340</v>
      </c>
      <c r="AB92" s="150">
        <v>5.4</v>
      </c>
      <c r="AC92" s="150">
        <v>7.7</v>
      </c>
      <c r="AD92" s="151">
        <v>16</v>
      </c>
      <c r="AE92" s="151">
        <v>50</v>
      </c>
      <c r="AF92" s="152">
        <v>45</v>
      </c>
      <c r="AG92" s="153">
        <v>11200</v>
      </c>
      <c r="AH92" s="154">
        <v>28.030916615099397</v>
      </c>
      <c r="AI92" s="155">
        <v>3.3086376237156313E-5</v>
      </c>
      <c r="AJ92" s="145">
        <v>8</v>
      </c>
      <c r="AK92" s="146">
        <v>80.089341180456898</v>
      </c>
      <c r="AL92" s="146">
        <v>70.759733826345467</v>
      </c>
      <c r="AM92" s="156">
        <v>219.4614756240808</v>
      </c>
      <c r="AN92" s="157">
        <v>1.9878943133191989</v>
      </c>
      <c r="AO92" s="158">
        <v>-0.35617102411740093</v>
      </c>
      <c r="AP92" s="159">
        <v>0</v>
      </c>
      <c r="AQ92" s="157">
        <v>3.7100051165412977E-2</v>
      </c>
      <c r="AR92" s="159">
        <v>8.3498725261189483E-2</v>
      </c>
      <c r="AS92" s="158">
        <v>1.6317232892017979</v>
      </c>
      <c r="AT92" s="158">
        <v>0.1291359243055108</v>
      </c>
      <c r="AU92" s="159">
        <v>8.486198423283578E-2</v>
      </c>
      <c r="AV92" s="160">
        <v>394.58279333706275</v>
      </c>
      <c r="AW92" s="146">
        <v>358.10040085840529</v>
      </c>
      <c r="AX92" s="156">
        <v>376.72433714253094</v>
      </c>
      <c r="AY92" s="161"/>
      <c r="AZ92" s="161"/>
      <c r="BA92" s="161"/>
      <c r="BB92" s="161"/>
      <c r="BC92" s="161"/>
      <c r="BD92" s="161"/>
      <c r="BE92" s="162"/>
      <c r="BF92" s="162"/>
      <c r="BG92" s="162"/>
      <c r="BH92" s="163"/>
      <c r="BI92" s="163"/>
    </row>
    <row r="93" spans="1:61">
      <c r="A93" t="str">
        <f t="shared" si="7"/>
        <v>passenger HDV</v>
      </c>
      <c r="B93" s="141">
        <v>8.0000000000000002E-3</v>
      </c>
      <c r="C93" s="142">
        <f t="shared" si="12"/>
        <v>335729210.04016715</v>
      </c>
      <c r="D93">
        <f t="shared" si="9"/>
        <v>1.0856958270638082</v>
      </c>
      <c r="E93" t="s">
        <v>399</v>
      </c>
      <c r="F93">
        <v>0.14000000000000001</v>
      </c>
      <c r="G93">
        <v>0.26</v>
      </c>
      <c r="H93">
        <v>0.39</v>
      </c>
      <c r="I93">
        <f t="shared" si="10"/>
        <v>1.391304347826087E-2</v>
      </c>
      <c r="J93">
        <f t="shared" si="10"/>
        <v>2.5838509316770189E-2</v>
      </c>
      <c r="K93">
        <f t="shared" si="10"/>
        <v>3.8757763975155284E-2</v>
      </c>
      <c r="L93">
        <f t="shared" si="11"/>
        <v>2.1263410889037385E-2</v>
      </c>
      <c r="M93">
        <f t="shared" si="11"/>
        <v>3.9489191651069427E-2</v>
      </c>
      <c r="N93">
        <f t="shared" si="11"/>
        <v>5.9233787476604141E-2</v>
      </c>
      <c r="O93" s="143">
        <v>87</v>
      </c>
      <c r="P93" s="144" t="s">
        <v>545</v>
      </c>
      <c r="Q93" s="97" t="s">
        <v>539</v>
      </c>
      <c r="R93" s="145">
        <v>42</v>
      </c>
      <c r="S93" s="145">
        <v>48</v>
      </c>
      <c r="T93" s="146" t="s">
        <v>540</v>
      </c>
      <c r="U93" s="97" t="s">
        <v>540</v>
      </c>
      <c r="V93" s="166" t="s">
        <v>373</v>
      </c>
      <c r="W93" s="167" t="s">
        <v>541</v>
      </c>
      <c r="X93" s="97" t="s">
        <v>366</v>
      </c>
      <c r="Y93" s="149">
        <v>19051</v>
      </c>
      <c r="Z93" s="149">
        <v>42000.265568841023</v>
      </c>
      <c r="AA93" s="150">
        <v>794</v>
      </c>
      <c r="AB93" s="150">
        <v>6.86</v>
      </c>
      <c r="AC93" s="150">
        <v>7.7</v>
      </c>
      <c r="AD93" s="151">
        <v>20</v>
      </c>
      <c r="AE93" s="151">
        <v>100</v>
      </c>
      <c r="AF93" s="152">
        <v>25</v>
      </c>
      <c r="AG93" s="153">
        <v>15000</v>
      </c>
      <c r="AH93" s="154">
        <v>1</v>
      </c>
      <c r="AI93" s="155">
        <v>1.1803529899316134E-6</v>
      </c>
      <c r="AJ93" s="145">
        <v>8</v>
      </c>
      <c r="AK93" s="146">
        <v>135.71197838297601</v>
      </c>
      <c r="AL93" s="146">
        <v>119.90289002114318</v>
      </c>
      <c r="AM93" s="156">
        <v>203.16467431772006</v>
      </c>
      <c r="AN93" s="157">
        <v>1.9878943133191989</v>
      </c>
      <c r="AO93" s="158">
        <v>-0.35617102411740093</v>
      </c>
      <c r="AP93" s="159">
        <v>0</v>
      </c>
      <c r="AQ93" s="157">
        <v>3.7100051165412977E-2</v>
      </c>
      <c r="AR93" s="159">
        <v>8.3498725261189483E-2</v>
      </c>
      <c r="AS93" s="158">
        <v>1.6317232892017979</v>
      </c>
      <c r="AT93" s="158">
        <v>0.14866458709692501</v>
      </c>
      <c r="AU93" s="159">
        <v>9.7695292104413384E-2</v>
      </c>
      <c r="AV93" s="160">
        <v>369.24934285963917</v>
      </c>
      <c r="AW93" s="146">
        <v>331.50853062732222</v>
      </c>
      <c r="AX93" s="156">
        <v>351.35676283008991</v>
      </c>
      <c r="AY93" s="161"/>
      <c r="AZ93" s="161"/>
      <c r="BA93" s="161"/>
      <c r="BB93" s="161"/>
      <c r="BC93" s="161"/>
      <c r="BD93" s="161"/>
      <c r="BE93" s="162"/>
      <c r="BF93" s="162"/>
      <c r="BG93" s="162"/>
      <c r="BH93" s="163"/>
      <c r="BI93" s="163"/>
    </row>
    <row r="94" spans="1:61">
      <c r="A94" t="str">
        <f t="shared" si="7"/>
        <v>passenger HDV</v>
      </c>
      <c r="B94" s="141">
        <v>1E-4</v>
      </c>
      <c r="C94" s="142">
        <f t="shared" si="12"/>
        <v>2476598.9310164265</v>
      </c>
      <c r="D94">
        <f t="shared" si="9"/>
        <v>8.0089341180456901E-3</v>
      </c>
      <c r="E94" t="s">
        <v>399</v>
      </c>
      <c r="F94">
        <v>0.05</v>
      </c>
      <c r="G94">
        <v>0.05</v>
      </c>
      <c r="H94">
        <v>0.05</v>
      </c>
      <c r="I94">
        <f t="shared" si="10"/>
        <v>6.2111801242236027E-5</v>
      </c>
      <c r="J94">
        <f t="shared" si="10"/>
        <v>6.2111801242236027E-5</v>
      </c>
      <c r="K94">
        <f t="shared" si="10"/>
        <v>6.2111801242236027E-5</v>
      </c>
      <c r="L94">
        <f t="shared" si="11"/>
        <v>5.6019786932336453E-5</v>
      </c>
      <c r="M94">
        <f t="shared" si="11"/>
        <v>5.6019786932336453E-5</v>
      </c>
      <c r="N94">
        <f t="shared" si="11"/>
        <v>5.6019786932336453E-5</v>
      </c>
      <c r="O94" s="143">
        <v>88</v>
      </c>
      <c r="P94" s="144" t="s">
        <v>546</v>
      </c>
      <c r="Q94" s="97" t="s">
        <v>543</v>
      </c>
      <c r="R94" s="145">
        <v>42</v>
      </c>
      <c r="S94" s="145">
        <v>46</v>
      </c>
      <c r="T94" s="146" t="s">
        <v>540</v>
      </c>
      <c r="U94" s="97" t="s">
        <v>540</v>
      </c>
      <c r="V94" s="147" t="s">
        <v>382</v>
      </c>
      <c r="W94" s="148" t="s">
        <v>544</v>
      </c>
      <c r="X94" s="97" t="s">
        <v>366</v>
      </c>
      <c r="Y94" s="149">
        <v>11408</v>
      </c>
      <c r="Z94" s="149">
        <v>25150.334870050832</v>
      </c>
      <c r="AA94" s="150">
        <v>340</v>
      </c>
      <c r="AB94" s="150">
        <v>5.4</v>
      </c>
      <c r="AC94" s="150">
        <v>7.7</v>
      </c>
      <c r="AD94" s="151">
        <v>16</v>
      </c>
      <c r="AE94" s="151">
        <v>50</v>
      </c>
      <c r="AF94" s="152">
        <v>45</v>
      </c>
      <c r="AG94" s="153">
        <v>11200</v>
      </c>
      <c r="AH94" s="154">
        <v>28.030916615099397</v>
      </c>
      <c r="AI94" s="155">
        <v>3.3086376237156313E-5</v>
      </c>
      <c r="AJ94" s="145">
        <v>8</v>
      </c>
      <c r="AK94" s="146">
        <v>80.089341180456898</v>
      </c>
      <c r="AL94" s="146">
        <v>70.759733826345467</v>
      </c>
      <c r="AM94" s="156">
        <v>219.4614756240808</v>
      </c>
      <c r="AN94" s="157">
        <v>1.9878943133191989</v>
      </c>
      <c r="AO94" s="158">
        <v>-0.35617102411740093</v>
      </c>
      <c r="AP94" s="159">
        <v>0</v>
      </c>
      <c r="AQ94" s="157">
        <v>3.7100051165412977E-2</v>
      </c>
      <c r="AR94" s="159">
        <v>8.3498725261189483E-2</v>
      </c>
      <c r="AS94" s="158">
        <v>1.6317232892017979</v>
      </c>
      <c r="AT94" s="158">
        <v>0.1291359243055108</v>
      </c>
      <c r="AU94" s="159">
        <v>8.486198423283578E-2</v>
      </c>
      <c r="AV94" s="160">
        <v>394.58279333706275</v>
      </c>
      <c r="AW94" s="146">
        <v>358.10040085840529</v>
      </c>
      <c r="AX94" s="156">
        <v>376.72433714253094</v>
      </c>
      <c r="AY94" s="161"/>
      <c r="AZ94" s="161"/>
      <c r="BA94" s="161"/>
      <c r="BB94" s="161"/>
      <c r="BC94" s="161"/>
      <c r="BD94" s="161"/>
      <c r="BE94" s="162"/>
      <c r="BF94" s="162"/>
      <c r="BG94" s="162"/>
      <c r="BH94" s="163"/>
      <c r="BI94" s="163"/>
    </row>
    <row r="95" spans="1:61">
      <c r="A95" t="str">
        <f t="shared" si="7"/>
        <v>freight HDV</v>
      </c>
      <c r="B95" s="141">
        <v>3.3999999999999998E-3</v>
      </c>
      <c r="C95" s="142">
        <f t="shared" si="12"/>
        <v>28061568.797882956</v>
      </c>
      <c r="D95">
        <f t="shared" si="9"/>
        <v>9.0746730500692666E-2</v>
      </c>
      <c r="E95" t="s">
        <v>368</v>
      </c>
      <c r="F95">
        <v>0.2</v>
      </c>
      <c r="G95">
        <v>0.37</v>
      </c>
      <c r="H95">
        <v>0.7</v>
      </c>
      <c r="I95">
        <f t="shared" si="10"/>
        <v>9.1767881241565461E-3</v>
      </c>
      <c r="J95">
        <f t="shared" si="10"/>
        <v>1.6977058029689608E-2</v>
      </c>
      <c r="K95">
        <f t="shared" si="10"/>
        <v>3.2118758434547902E-2</v>
      </c>
      <c r="L95">
        <f t="shared" si="11"/>
        <v>2.9981834245969138E-3</v>
      </c>
      <c r="M95">
        <f t="shared" si="11"/>
        <v>5.5466393355042901E-3</v>
      </c>
      <c r="N95">
        <f t="shared" si="11"/>
        <v>1.0493641986089196E-2</v>
      </c>
      <c r="O95" s="143">
        <v>89</v>
      </c>
      <c r="P95" s="144" t="s">
        <v>547</v>
      </c>
      <c r="Q95" s="97" t="s">
        <v>548</v>
      </c>
      <c r="R95" s="145">
        <v>52</v>
      </c>
      <c r="S95" s="145">
        <v>47</v>
      </c>
      <c r="T95" s="146" t="s">
        <v>371</v>
      </c>
      <c r="U95" s="97" t="s">
        <v>549</v>
      </c>
      <c r="V95" s="166" t="s">
        <v>373</v>
      </c>
      <c r="W95" s="167" t="s">
        <v>550</v>
      </c>
      <c r="X95" s="97" t="s">
        <v>360</v>
      </c>
      <c r="Y95" s="149">
        <v>19051</v>
      </c>
      <c r="Z95" s="149">
        <v>42000.265568841023</v>
      </c>
      <c r="AA95" s="150">
        <v>794</v>
      </c>
      <c r="AB95" s="150">
        <v>6.86</v>
      </c>
      <c r="AC95" s="150">
        <v>7.7</v>
      </c>
      <c r="AD95" s="151">
        <v>20</v>
      </c>
      <c r="AE95" s="151">
        <v>100</v>
      </c>
      <c r="AF95" s="152">
        <v>25</v>
      </c>
      <c r="AG95" s="153">
        <v>15000</v>
      </c>
      <c r="AH95" s="154">
        <v>2702.6185365557862</v>
      </c>
      <c r="AI95" s="155">
        <v>3.1900438702682238E-3</v>
      </c>
      <c r="AJ95" s="145">
        <v>8</v>
      </c>
      <c r="AK95" s="146">
        <v>26.690214853144901</v>
      </c>
      <c r="AL95" s="146">
        <v>23.581071724902053</v>
      </c>
      <c r="AM95" s="156">
        <v>44.335477128743321</v>
      </c>
      <c r="AN95" s="157">
        <v>2.0695124788824248</v>
      </c>
      <c r="AO95" s="158">
        <v>-0.22899776432577695</v>
      </c>
      <c r="AP95" s="159">
        <v>0.14364031454834789</v>
      </c>
      <c r="AQ95" s="157">
        <v>3.8623290151577637E-2</v>
      </c>
      <c r="AR95" s="159">
        <v>8.6926982355655935E-2</v>
      </c>
      <c r="AS95" s="158">
        <v>1.9841550291049956</v>
      </c>
      <c r="AT95" s="158">
        <v>0.18941416321924584</v>
      </c>
      <c r="AU95" s="159">
        <v>0.12447397437260975</v>
      </c>
      <c r="AV95" s="160">
        <v>98.078609211184599</v>
      </c>
      <c r="AW95" s="146">
        <v>87.968459912765567</v>
      </c>
      <c r="AX95" s="156">
        <v>93.487072956686191</v>
      </c>
      <c r="AY95" s="161"/>
      <c r="AZ95" s="161"/>
      <c r="BA95" s="161"/>
      <c r="BB95" s="161"/>
      <c r="BC95" s="161"/>
      <c r="BD95" s="161"/>
      <c r="BE95" s="162"/>
      <c r="BF95" s="162"/>
      <c r="BG95" s="162"/>
      <c r="BH95" s="163"/>
      <c r="BI95" s="163"/>
    </row>
    <row r="96" spans="1:61">
      <c r="A96" t="str">
        <f t="shared" si="7"/>
        <v>freight HDV</v>
      </c>
      <c r="B96" s="141">
        <v>3.3999999999999998E-3</v>
      </c>
      <c r="C96" s="142">
        <f t="shared" si="12"/>
        <v>28061568.797882956</v>
      </c>
      <c r="D96">
        <f t="shared" si="9"/>
        <v>9.0746730500692666E-2</v>
      </c>
      <c r="E96" t="s">
        <v>368</v>
      </c>
      <c r="F96">
        <v>0</v>
      </c>
      <c r="G96">
        <v>0.14000000000000001</v>
      </c>
      <c r="H96">
        <v>0.05</v>
      </c>
      <c r="I96">
        <f t="shared" si="10"/>
        <v>0</v>
      </c>
      <c r="J96">
        <f t="shared" si="10"/>
        <v>6.4237516869095823E-3</v>
      </c>
      <c r="K96">
        <f t="shared" si="10"/>
        <v>2.2941970310391365E-3</v>
      </c>
      <c r="L96">
        <f t="shared" si="11"/>
        <v>0</v>
      </c>
      <c r="M96">
        <f t="shared" si="11"/>
        <v>2.0987283972178396E-3</v>
      </c>
      <c r="N96">
        <f t="shared" si="11"/>
        <v>7.4954585614922845E-4</v>
      </c>
      <c r="O96" s="143">
        <v>90</v>
      </c>
      <c r="P96" s="144" t="s">
        <v>551</v>
      </c>
      <c r="Q96" s="97" t="s">
        <v>548</v>
      </c>
      <c r="R96" s="145">
        <v>52</v>
      </c>
      <c r="S96" s="145">
        <v>47</v>
      </c>
      <c r="T96" s="146" t="s">
        <v>376</v>
      </c>
      <c r="U96" s="97" t="s">
        <v>549</v>
      </c>
      <c r="V96" s="166" t="s">
        <v>373</v>
      </c>
      <c r="W96" s="167" t="s">
        <v>550</v>
      </c>
      <c r="X96" s="97" t="s">
        <v>377</v>
      </c>
      <c r="Y96" s="149">
        <v>19051</v>
      </c>
      <c r="Z96" s="149">
        <v>42000.265568841023</v>
      </c>
      <c r="AA96" s="150">
        <v>794</v>
      </c>
      <c r="AB96" s="150">
        <v>6.86</v>
      </c>
      <c r="AC96" s="150">
        <v>7.7</v>
      </c>
      <c r="AD96" s="151">
        <v>20</v>
      </c>
      <c r="AE96" s="151">
        <v>100</v>
      </c>
      <c r="AF96" s="152">
        <v>25</v>
      </c>
      <c r="AG96" s="153">
        <v>15000</v>
      </c>
      <c r="AH96" s="154">
        <v>2702.6185365557862</v>
      </c>
      <c r="AI96" s="155">
        <v>3.1900438702682238E-3</v>
      </c>
      <c r="AJ96" s="145">
        <v>8</v>
      </c>
      <c r="AK96" s="146">
        <v>26.690214853144901</v>
      </c>
      <c r="AL96" s="146">
        <v>23.581071724902053</v>
      </c>
      <c r="AM96" s="156">
        <v>44.335477128743321</v>
      </c>
      <c r="AN96" s="157">
        <v>2.0655904795706843</v>
      </c>
      <c r="AO96" s="158">
        <v>-9.343078857194119E-2</v>
      </c>
      <c r="AP96" s="159">
        <v>0.12671450539612866</v>
      </c>
      <c r="AQ96" s="157">
        <v>3.8550093918678648E-2</v>
      </c>
      <c r="AR96" s="159">
        <v>8.6762244250208675E-2</v>
      </c>
      <c r="AS96" s="158">
        <v>2.0988741963948718</v>
      </c>
      <c r="AT96" s="158">
        <v>0.18941416321924584</v>
      </c>
      <c r="AU96" s="159">
        <v>0.12447397437260975</v>
      </c>
      <c r="AV96" s="160">
        <v>103.16149303888376</v>
      </c>
      <c r="AW96" s="146">
        <v>93.054588930374351</v>
      </c>
      <c r="AX96" s="156">
        <v>98.573201974294975</v>
      </c>
      <c r="AY96" s="161"/>
      <c r="AZ96" s="161"/>
      <c r="BA96" s="161"/>
      <c r="BB96" s="161"/>
      <c r="BC96" s="161"/>
      <c r="BD96" s="161"/>
      <c r="BE96" s="162"/>
      <c r="BF96" s="162"/>
      <c r="BG96" s="162"/>
      <c r="BH96" s="163"/>
      <c r="BI96" s="163"/>
    </row>
    <row r="97" spans="1:61">
      <c r="A97" t="str">
        <f t="shared" si="7"/>
        <v>freight LDV</v>
      </c>
      <c r="B97" s="141">
        <v>7.7000000000000002E-3</v>
      </c>
      <c r="C97" s="142">
        <f t="shared" si="12"/>
        <v>117148515.04549618</v>
      </c>
      <c r="D97">
        <f t="shared" si="9"/>
        <v>0.37884000000000001</v>
      </c>
      <c r="E97" t="s">
        <v>378</v>
      </c>
      <c r="F97">
        <v>0.2</v>
      </c>
      <c r="G97">
        <v>0.37</v>
      </c>
      <c r="H97">
        <v>0.39</v>
      </c>
      <c r="I97">
        <f t="shared" si="10"/>
        <v>9.8276962348436483E-3</v>
      </c>
      <c r="J97">
        <f t="shared" si="10"/>
        <v>1.8181238034460749E-2</v>
      </c>
      <c r="K97">
        <f t="shared" si="10"/>
        <v>1.9164007657945115E-2</v>
      </c>
      <c r="L97">
        <f t="shared" si="11"/>
        <v>6.5410394290746831E-3</v>
      </c>
      <c r="M97">
        <f t="shared" si="11"/>
        <v>1.2100922943788164E-2</v>
      </c>
      <c r="N97">
        <f t="shared" si="11"/>
        <v>1.2755026886695631E-2</v>
      </c>
      <c r="O97" s="143">
        <v>91</v>
      </c>
      <c r="P97" s="144" t="s">
        <v>552</v>
      </c>
      <c r="Q97" s="97" t="s">
        <v>553</v>
      </c>
      <c r="R97" s="145">
        <v>52</v>
      </c>
      <c r="S97" s="145">
        <v>46</v>
      </c>
      <c r="T97" s="146" t="s">
        <v>381</v>
      </c>
      <c r="U97" s="97" t="s">
        <v>549</v>
      </c>
      <c r="V97" s="147" t="s">
        <v>382</v>
      </c>
      <c r="W97" s="148" t="s">
        <v>554</v>
      </c>
      <c r="X97" s="97" t="s">
        <v>360</v>
      </c>
      <c r="Y97" s="149">
        <v>11408</v>
      </c>
      <c r="Z97" s="149">
        <v>25150.334870050832</v>
      </c>
      <c r="AA97" s="150">
        <v>340</v>
      </c>
      <c r="AB97" s="150">
        <v>5.4</v>
      </c>
      <c r="AC97" s="150">
        <v>7.7</v>
      </c>
      <c r="AD97" s="151">
        <v>16</v>
      </c>
      <c r="AE97" s="151">
        <v>50</v>
      </c>
      <c r="AF97" s="152">
        <v>45</v>
      </c>
      <c r="AG97" s="153">
        <v>11200</v>
      </c>
      <c r="AH97" s="154">
        <v>5171.8446591507036</v>
      </c>
      <c r="AI97" s="155">
        <v>6.1046023068903792E-3</v>
      </c>
      <c r="AJ97" s="145">
        <v>8</v>
      </c>
      <c r="AK97" s="146">
        <v>49.2</v>
      </c>
      <c r="AL97" s="146">
        <v>43.468692000000004</v>
      </c>
      <c r="AM97" s="156">
        <v>89.454545454545453</v>
      </c>
      <c r="AN97" s="157">
        <v>1.3643385909304979</v>
      </c>
      <c r="AO97" s="158">
        <v>-0.13719516002678903</v>
      </c>
      <c r="AP97" s="159">
        <v>0.10471937015288081</v>
      </c>
      <c r="AQ97" s="157">
        <v>2.5462637118747709E-2</v>
      </c>
      <c r="AR97" s="159">
        <v>5.7307137710520553E-2</v>
      </c>
      <c r="AS97" s="158">
        <v>1.3318628010565896</v>
      </c>
      <c r="AT97" s="158">
        <v>9.3877479993837609E-2</v>
      </c>
      <c r="AU97" s="159">
        <v>6.1691812482852486E-2</v>
      </c>
      <c r="AV97" s="160">
        <v>129.81669740713346</v>
      </c>
      <c r="AW97" s="146">
        <v>119.14118147633492</v>
      </c>
      <c r="AX97" s="156">
        <v>124.65979452025555</v>
      </c>
      <c r="AY97" s="161"/>
      <c r="AZ97" s="161"/>
      <c r="BA97" s="161"/>
      <c r="BB97" s="161"/>
      <c r="BC97" s="161"/>
      <c r="BD97" s="161"/>
      <c r="BE97" s="162"/>
      <c r="BF97" s="162"/>
      <c r="BG97" s="162"/>
      <c r="BH97" s="163"/>
      <c r="BI97" s="163"/>
    </row>
    <row r="98" spans="1:61">
      <c r="A98" t="str">
        <f t="shared" si="7"/>
        <v>freight LDV</v>
      </c>
      <c r="B98" s="141">
        <v>7.7000000000000002E-3</v>
      </c>
      <c r="C98" s="142">
        <f t="shared" si="12"/>
        <v>117148515.04549618</v>
      </c>
      <c r="D98">
        <f t="shared" si="9"/>
        <v>0.37884000000000001</v>
      </c>
      <c r="E98" t="s">
        <v>378</v>
      </c>
      <c r="F98">
        <v>0</v>
      </c>
      <c r="G98">
        <v>0.14000000000000001</v>
      </c>
      <c r="H98">
        <v>0.14000000000000001</v>
      </c>
      <c r="I98">
        <f t="shared" si="10"/>
        <v>0</v>
      </c>
      <c r="J98">
        <f t="shared" si="10"/>
        <v>6.8793873643905549E-3</v>
      </c>
      <c r="K98">
        <f t="shared" si="10"/>
        <v>6.8793873643905549E-3</v>
      </c>
      <c r="L98">
        <f t="shared" si="11"/>
        <v>0</v>
      </c>
      <c r="M98">
        <f t="shared" si="11"/>
        <v>4.5787276003522786E-3</v>
      </c>
      <c r="N98">
        <f t="shared" si="11"/>
        <v>4.5787276003522786E-3</v>
      </c>
      <c r="O98" s="143">
        <v>92</v>
      </c>
      <c r="P98" s="144" t="s">
        <v>555</v>
      </c>
      <c r="Q98" s="97" t="s">
        <v>553</v>
      </c>
      <c r="R98" s="145">
        <v>52</v>
      </c>
      <c r="S98" s="145">
        <v>46</v>
      </c>
      <c r="T98" s="146" t="s">
        <v>385</v>
      </c>
      <c r="U98" s="97" t="s">
        <v>549</v>
      </c>
      <c r="V98" s="147" t="s">
        <v>382</v>
      </c>
      <c r="W98" s="148" t="s">
        <v>554</v>
      </c>
      <c r="X98" s="97" t="s">
        <v>377</v>
      </c>
      <c r="Y98" s="149">
        <v>11408</v>
      </c>
      <c r="Z98" s="149">
        <v>25150.334870050832</v>
      </c>
      <c r="AA98" s="150">
        <v>340</v>
      </c>
      <c r="AB98" s="150">
        <v>5.4</v>
      </c>
      <c r="AC98" s="150">
        <v>7.7</v>
      </c>
      <c r="AD98" s="151">
        <v>16</v>
      </c>
      <c r="AE98" s="151">
        <v>50</v>
      </c>
      <c r="AF98" s="152">
        <v>45</v>
      </c>
      <c r="AG98" s="153">
        <v>11200</v>
      </c>
      <c r="AH98" s="154">
        <v>5171.8446591507036</v>
      </c>
      <c r="AI98" s="155">
        <v>6.1046023068903792E-3</v>
      </c>
      <c r="AJ98" s="145">
        <v>8</v>
      </c>
      <c r="AK98" s="146">
        <v>49.2</v>
      </c>
      <c r="AL98" s="146">
        <v>43.468692000000004</v>
      </c>
      <c r="AM98" s="156">
        <v>89.454545454545453</v>
      </c>
      <c r="AN98" s="157">
        <v>1.4451053055964747</v>
      </c>
      <c r="AO98" s="158">
        <v>-5.6081646699588004E-2</v>
      </c>
      <c r="AP98" s="159">
        <v>0.10185219030482104</v>
      </c>
      <c r="AQ98" s="157">
        <v>2.6969985485556434E-2</v>
      </c>
      <c r="AR98" s="159">
        <v>6.0699630798788873E-2</v>
      </c>
      <c r="AS98" s="158">
        <v>1.4908758492017078</v>
      </c>
      <c r="AT98" s="158">
        <v>9.3877479993837609E-2</v>
      </c>
      <c r="AU98" s="159">
        <v>6.1691812482852486E-2</v>
      </c>
      <c r="AV98" s="160">
        <v>144.17597651329129</v>
      </c>
      <c r="AW98" s="146">
        <v>133.36562141949821</v>
      </c>
      <c r="AX98" s="156">
        <v>138.88423446341884</v>
      </c>
      <c r="AY98" s="161"/>
      <c r="AZ98" s="161"/>
      <c r="BA98" s="161"/>
      <c r="BB98" s="161"/>
      <c r="BC98" s="161"/>
      <c r="BD98" s="161"/>
      <c r="BE98" s="162"/>
      <c r="BF98" s="162"/>
      <c r="BG98" s="162"/>
      <c r="BH98" s="163"/>
      <c r="BI98" s="163"/>
    </row>
    <row r="99" spans="1:61">
      <c r="A99" t="str">
        <f t="shared" si="7"/>
        <v>freight LDV</v>
      </c>
      <c r="B99" s="141">
        <v>1.6899999999999998E-2</v>
      </c>
      <c r="C99" s="142">
        <f t="shared" si="12"/>
        <v>257118169.38556945</v>
      </c>
      <c r="D99">
        <f t="shared" si="9"/>
        <v>0.83148</v>
      </c>
      <c r="E99" t="s">
        <v>353</v>
      </c>
      <c r="F99">
        <v>0.2</v>
      </c>
      <c r="G99">
        <v>0.37</v>
      </c>
      <c r="H99">
        <v>0.7</v>
      </c>
      <c r="I99">
        <f t="shared" si="10"/>
        <v>1.0428879975316259E-2</v>
      </c>
      <c r="J99">
        <f t="shared" si="10"/>
        <v>1.9293427954335075E-2</v>
      </c>
      <c r="K99">
        <f t="shared" si="10"/>
        <v>3.6501079913606897E-2</v>
      </c>
      <c r="L99">
        <f t="shared" si="11"/>
        <v>6.8836411823354491E-3</v>
      </c>
      <c r="M99">
        <f t="shared" si="11"/>
        <v>1.2734736187320583E-2</v>
      </c>
      <c r="N99">
        <f t="shared" si="11"/>
        <v>2.4092744138174072E-2</v>
      </c>
      <c r="O99" s="143">
        <v>93</v>
      </c>
      <c r="P99" s="144" t="s">
        <v>556</v>
      </c>
      <c r="Q99" s="97" t="s">
        <v>557</v>
      </c>
      <c r="R99" s="145">
        <v>52</v>
      </c>
      <c r="S99" s="145">
        <v>42</v>
      </c>
      <c r="T99" s="146" t="s">
        <v>356</v>
      </c>
      <c r="U99" s="97" t="s">
        <v>549</v>
      </c>
      <c r="V99" s="147" t="s">
        <v>358</v>
      </c>
      <c r="W99" s="148" t="s">
        <v>558</v>
      </c>
      <c r="X99" s="97" t="s">
        <v>360</v>
      </c>
      <c r="Y99" s="149">
        <v>7257</v>
      </c>
      <c r="Z99" s="149">
        <v>15998.946366756565</v>
      </c>
      <c r="AA99" s="150">
        <v>340</v>
      </c>
      <c r="AB99" s="150">
        <v>3.4</v>
      </c>
      <c r="AC99" s="150">
        <v>7.7</v>
      </c>
      <c r="AD99" s="151">
        <v>8</v>
      </c>
      <c r="AE99" s="151">
        <v>25</v>
      </c>
      <c r="AF99" s="152">
        <v>55</v>
      </c>
      <c r="AG99" s="153">
        <v>5700</v>
      </c>
      <c r="AH99" s="154">
        <v>7653.9028111378811</v>
      </c>
      <c r="AI99" s="155">
        <v>9.0343070677725793E-3</v>
      </c>
      <c r="AJ99" s="145">
        <v>8</v>
      </c>
      <c r="AK99" s="146">
        <v>49.2</v>
      </c>
      <c r="AL99" s="146">
        <v>43.468692000000004</v>
      </c>
      <c r="AM99" s="156">
        <v>89.454545454545453</v>
      </c>
      <c r="AN99" s="157">
        <v>0.8601323948290085</v>
      </c>
      <c r="AO99" s="158">
        <v>-8.4538972558163936E-2</v>
      </c>
      <c r="AP99" s="159">
        <v>7.3789579020409349E-2</v>
      </c>
      <c r="AQ99" s="157">
        <v>1.6052642056158157E-2</v>
      </c>
      <c r="AR99" s="159">
        <v>3.612866038343765E-2</v>
      </c>
      <c r="AS99" s="158">
        <v>0.84938300129125399</v>
      </c>
      <c r="AT99" s="158">
        <v>9.3877479993837609E-2</v>
      </c>
      <c r="AU99" s="159">
        <v>6.1691812482852486E-2</v>
      </c>
      <c r="AV99" s="160">
        <v>85.81491939707179</v>
      </c>
      <c r="AW99" s="146">
        <v>75.981170297326713</v>
      </c>
      <c r="AX99" s="156">
        <v>81.499783341247337</v>
      </c>
      <c r="AY99" s="161"/>
      <c r="AZ99" s="161"/>
      <c r="BA99" s="161"/>
      <c r="BB99" s="161"/>
      <c r="BC99" s="161"/>
      <c r="BD99" s="161"/>
      <c r="BE99" s="162"/>
      <c r="BF99" s="162"/>
      <c r="BG99" s="162"/>
      <c r="BH99" s="163"/>
      <c r="BI99" s="163"/>
    </row>
    <row r="100" spans="1:61">
      <c r="A100" t="str">
        <f t="shared" si="7"/>
        <v>freight LDV</v>
      </c>
      <c r="B100" s="141">
        <v>1.6899999999999998E-2</v>
      </c>
      <c r="C100" s="142">
        <f t="shared" si="12"/>
        <v>117659920.05384818</v>
      </c>
      <c r="D100">
        <f t="shared" si="9"/>
        <v>0.38049380391965565</v>
      </c>
      <c r="E100" t="s">
        <v>353</v>
      </c>
      <c r="F100">
        <v>0.14000000000000001</v>
      </c>
      <c r="G100">
        <v>0.37</v>
      </c>
      <c r="H100">
        <v>0.7</v>
      </c>
      <c r="I100">
        <f t="shared" si="10"/>
        <v>7.3002159827213814E-3</v>
      </c>
      <c r="J100">
        <f t="shared" si="10"/>
        <v>1.9293427954335075E-2</v>
      </c>
      <c r="K100">
        <f t="shared" si="10"/>
        <v>3.6501079913606897E-2</v>
      </c>
      <c r="L100">
        <f t="shared" si="11"/>
        <v>2.2050175263378167E-3</v>
      </c>
      <c r="M100">
        <f t="shared" si="11"/>
        <v>5.8275463196070859E-3</v>
      </c>
      <c r="N100">
        <f t="shared" si="11"/>
        <v>1.1025087631689082E-2</v>
      </c>
      <c r="O100" s="143">
        <v>94</v>
      </c>
      <c r="P100" s="144" t="s">
        <v>559</v>
      </c>
      <c r="Q100" s="97" t="s">
        <v>560</v>
      </c>
      <c r="R100" s="145">
        <v>52</v>
      </c>
      <c r="S100" s="145">
        <v>41</v>
      </c>
      <c r="T100" s="146" t="s">
        <v>356</v>
      </c>
      <c r="U100" s="97" t="s">
        <v>549</v>
      </c>
      <c r="V100" s="164" t="s">
        <v>363</v>
      </c>
      <c r="W100" s="165"/>
      <c r="X100" s="97" t="s">
        <v>360</v>
      </c>
      <c r="Y100" s="149">
        <v>7257</v>
      </c>
      <c r="Z100" s="149">
        <v>15998.946366756565</v>
      </c>
      <c r="AA100" s="150">
        <v>340</v>
      </c>
      <c r="AB100" s="150">
        <v>3.4</v>
      </c>
      <c r="AC100" s="150">
        <v>7.7</v>
      </c>
      <c r="AD100" s="151">
        <v>7</v>
      </c>
      <c r="AE100" s="151">
        <v>25</v>
      </c>
      <c r="AF100" s="152">
        <v>65</v>
      </c>
      <c r="AG100" s="153">
        <v>5700</v>
      </c>
      <c r="AH100" s="154">
        <v>47862.832007229503</v>
      </c>
      <c r="AI100" s="155">
        <v>5.6495036866327876E-2</v>
      </c>
      <c r="AJ100" s="145">
        <v>8</v>
      </c>
      <c r="AK100" s="146">
        <v>22.514426267435248</v>
      </c>
      <c r="AL100" s="146">
        <v>19.891720751541719</v>
      </c>
      <c r="AM100" s="156">
        <v>47.747569093524199</v>
      </c>
      <c r="AN100" s="157">
        <v>0.8601323948290085</v>
      </c>
      <c r="AO100" s="158">
        <v>-8.4538972558163936E-2</v>
      </c>
      <c r="AP100" s="159">
        <v>6.326186072068106E-2</v>
      </c>
      <c r="AQ100" s="157">
        <v>1.6052642056158157E-2</v>
      </c>
      <c r="AR100" s="159">
        <v>3.612866038343765E-2</v>
      </c>
      <c r="AS100" s="158">
        <v>0.83885528299152567</v>
      </c>
      <c r="AT100" s="158">
        <v>0.17587842607899135</v>
      </c>
      <c r="AU100" s="159">
        <v>0.1155789320522516</v>
      </c>
      <c r="AV100" s="160">
        <v>49.217542521082621</v>
      </c>
      <c r="AW100" s="146">
        <v>40.053300584105664</v>
      </c>
      <c r="AX100" s="156">
        <v>45.571913628026287</v>
      </c>
      <c r="AY100" s="161"/>
      <c r="AZ100" s="161"/>
      <c r="BA100" s="161"/>
      <c r="BB100" s="161"/>
      <c r="BC100" s="161"/>
      <c r="BD100" s="161"/>
      <c r="BE100" s="162"/>
      <c r="BF100" s="162"/>
      <c r="BG100" s="162"/>
      <c r="BH100" s="163"/>
      <c r="BI100" s="163"/>
    </row>
    <row r="101" spans="1:61">
      <c r="A101" t="str">
        <f t="shared" si="7"/>
        <v>freight LDV</v>
      </c>
      <c r="B101" s="141">
        <v>3.0000000000000001E-3</v>
      </c>
      <c r="C101" s="142">
        <f t="shared" si="12"/>
        <v>45642278.589154355</v>
      </c>
      <c r="D101">
        <f t="shared" si="9"/>
        <v>0.14760000000000001</v>
      </c>
      <c r="E101" t="s">
        <v>353</v>
      </c>
      <c r="F101">
        <v>0</v>
      </c>
      <c r="G101">
        <v>0.14000000000000001</v>
      </c>
      <c r="H101">
        <v>0.14000000000000001</v>
      </c>
      <c r="I101">
        <f t="shared" si="10"/>
        <v>0</v>
      </c>
      <c r="J101">
        <f t="shared" si="10"/>
        <v>1.2958963282937365E-3</v>
      </c>
      <c r="K101">
        <f t="shared" si="10"/>
        <v>1.2958963282937365E-3</v>
      </c>
      <c r="L101">
        <f t="shared" si="11"/>
        <v>0</v>
      </c>
      <c r="M101">
        <f t="shared" si="11"/>
        <v>8.5536369721328075E-4</v>
      </c>
      <c r="N101">
        <f t="shared" si="11"/>
        <v>8.5536369721328075E-4</v>
      </c>
      <c r="O101" s="143">
        <v>95</v>
      </c>
      <c r="P101" s="144" t="s">
        <v>561</v>
      </c>
      <c r="Q101" s="97" t="s">
        <v>557</v>
      </c>
      <c r="R101" s="145">
        <v>53</v>
      </c>
      <c r="S101" s="145">
        <v>42</v>
      </c>
      <c r="T101" s="146" t="s">
        <v>393</v>
      </c>
      <c r="U101" s="97" t="s">
        <v>549</v>
      </c>
      <c r="V101" s="147" t="s">
        <v>358</v>
      </c>
      <c r="W101" s="148" t="s">
        <v>558</v>
      </c>
      <c r="X101" s="97" t="s">
        <v>377</v>
      </c>
      <c r="Y101" s="149">
        <v>7257</v>
      </c>
      <c r="Z101" s="149">
        <v>15998.946366756565</v>
      </c>
      <c r="AA101" s="150">
        <v>340</v>
      </c>
      <c r="AB101" s="150">
        <v>3.4</v>
      </c>
      <c r="AC101" s="150">
        <v>7.7</v>
      </c>
      <c r="AD101" s="151">
        <v>8</v>
      </c>
      <c r="AE101" s="151">
        <v>25</v>
      </c>
      <c r="AF101" s="152">
        <v>55</v>
      </c>
      <c r="AG101" s="153">
        <v>5700</v>
      </c>
      <c r="AH101" s="154">
        <v>6756.2145029348021</v>
      </c>
      <c r="AI101" s="155">
        <v>7.9747179891584228E-3</v>
      </c>
      <c r="AJ101" s="145">
        <v>8</v>
      </c>
      <c r="AK101" s="146">
        <v>49.2</v>
      </c>
      <c r="AL101" s="146">
        <v>43.468692000000004</v>
      </c>
      <c r="AM101" s="156">
        <v>89.454545454545453</v>
      </c>
      <c r="AN101" s="157">
        <v>0.91338935347653116</v>
      </c>
      <c r="AO101" s="158">
        <v>-3.4653992070899593E-2</v>
      </c>
      <c r="AP101" s="159">
        <v>6.900790166195947E-2</v>
      </c>
      <c r="AQ101" s="157">
        <v>1.7046576128758983E-2</v>
      </c>
      <c r="AR101" s="159">
        <v>3.8365644577497256E-2</v>
      </c>
      <c r="AS101" s="158">
        <v>0.94774326306759105</v>
      </c>
      <c r="AT101" s="158">
        <v>9.3877479993837609E-2</v>
      </c>
      <c r="AU101" s="159">
        <v>6.1691812482852486E-2</v>
      </c>
      <c r="AV101" s="160">
        <v>94.702603825740425</v>
      </c>
      <c r="AW101" s="146">
        <v>84.779942805319052</v>
      </c>
      <c r="AX101" s="156">
        <v>90.298555849239676</v>
      </c>
      <c r="AY101" s="161"/>
      <c r="AZ101" s="161"/>
      <c r="BA101" s="161"/>
      <c r="BB101" s="161"/>
      <c r="BC101" s="161"/>
      <c r="BD101" s="161"/>
      <c r="BE101" s="162"/>
      <c r="BF101" s="162"/>
      <c r="BG101" s="162"/>
      <c r="BH101" s="163"/>
      <c r="BI101" s="163"/>
    </row>
    <row r="102" spans="1:61">
      <c r="A102" t="str">
        <f t="shared" si="7"/>
        <v>freight LDV</v>
      </c>
      <c r="B102" s="141">
        <v>3.0000000000000001E-3</v>
      </c>
      <c r="C102" s="142">
        <f t="shared" si="12"/>
        <v>45642278.589154355</v>
      </c>
      <c r="D102">
        <f t="shared" si="9"/>
        <v>0.14760000000000001</v>
      </c>
      <c r="E102" t="s">
        <v>353</v>
      </c>
      <c r="F102">
        <v>0</v>
      </c>
      <c r="G102">
        <v>0.14000000000000001</v>
      </c>
      <c r="H102">
        <v>0.14000000000000001</v>
      </c>
      <c r="I102">
        <f t="shared" si="10"/>
        <v>0</v>
      </c>
      <c r="J102">
        <f t="shared" si="10"/>
        <v>1.2958963282937365E-3</v>
      </c>
      <c r="K102">
        <f t="shared" si="10"/>
        <v>1.2958963282937365E-3</v>
      </c>
      <c r="L102">
        <f t="shared" si="11"/>
        <v>0</v>
      </c>
      <c r="M102">
        <f t="shared" si="11"/>
        <v>8.5536369721328075E-4</v>
      </c>
      <c r="N102">
        <f t="shared" si="11"/>
        <v>8.5536369721328075E-4</v>
      </c>
      <c r="O102" s="143">
        <v>96</v>
      </c>
      <c r="P102" s="144" t="s">
        <v>562</v>
      </c>
      <c r="Q102" s="97" t="s">
        <v>560</v>
      </c>
      <c r="R102" s="145">
        <v>53</v>
      </c>
      <c r="S102" s="145">
        <v>41</v>
      </c>
      <c r="T102" s="146" t="s">
        <v>393</v>
      </c>
      <c r="U102" s="97" t="s">
        <v>549</v>
      </c>
      <c r="V102" s="164" t="s">
        <v>363</v>
      </c>
      <c r="W102" s="165"/>
      <c r="X102" s="97" t="s">
        <v>377</v>
      </c>
      <c r="Y102" s="149">
        <v>7257</v>
      </c>
      <c r="Z102" s="149">
        <v>15998.946366756565</v>
      </c>
      <c r="AA102" s="150">
        <v>340</v>
      </c>
      <c r="AB102" s="150">
        <v>3.4</v>
      </c>
      <c r="AC102" s="150">
        <v>7.7</v>
      </c>
      <c r="AD102" s="151">
        <v>7</v>
      </c>
      <c r="AE102" s="151">
        <v>25</v>
      </c>
      <c r="AF102" s="152">
        <v>65</v>
      </c>
      <c r="AG102" s="153">
        <v>5700</v>
      </c>
      <c r="AH102" s="154">
        <v>3672.1620823299136</v>
      </c>
      <c r="AI102" s="155">
        <v>4.3344474933916131E-3</v>
      </c>
      <c r="AJ102" s="145">
        <v>8</v>
      </c>
      <c r="AK102" s="146">
        <v>49.2</v>
      </c>
      <c r="AL102" s="146">
        <v>43.468692000000004</v>
      </c>
      <c r="AM102" s="156">
        <v>89.454545454545453</v>
      </c>
      <c r="AN102" s="157">
        <v>0.91338935347653116</v>
      </c>
      <c r="AO102" s="158">
        <v>-3.4653992070899593E-2</v>
      </c>
      <c r="AP102" s="159">
        <v>6.900790166195947E-2</v>
      </c>
      <c r="AQ102" s="157">
        <v>1.7046576128758983E-2</v>
      </c>
      <c r="AR102" s="159">
        <v>3.8365644577497256E-2</v>
      </c>
      <c r="AS102" s="158">
        <v>0.94774326306759105</v>
      </c>
      <c r="AT102" s="158">
        <v>9.3877479993837609E-2</v>
      </c>
      <c r="AU102" s="159">
        <v>6.1691812482852486E-2</v>
      </c>
      <c r="AV102" s="160">
        <v>94.702603825740425</v>
      </c>
      <c r="AW102" s="146">
        <v>84.779942805319052</v>
      </c>
      <c r="AX102" s="156">
        <v>90.298555849239676</v>
      </c>
      <c r="AY102" s="161"/>
      <c r="AZ102" s="161"/>
      <c r="BA102" s="161"/>
      <c r="BB102" s="161"/>
      <c r="BC102" s="161"/>
      <c r="BD102" s="161"/>
      <c r="BE102" s="162"/>
      <c r="BF102" s="162"/>
      <c r="BG102" s="162"/>
      <c r="BH102" s="163"/>
      <c r="BI102" s="163"/>
    </row>
    <row r="103" spans="1:61">
      <c r="A103" t="str">
        <f t="shared" si="7"/>
        <v>freight HDV</v>
      </c>
      <c r="B103" s="141">
        <v>3.3999999999999998E-3</v>
      </c>
      <c r="C103" s="142">
        <f t="shared" si="12"/>
        <v>28061568.797882956</v>
      </c>
      <c r="D103">
        <f t="shared" si="9"/>
        <v>9.0746730500692666E-2</v>
      </c>
      <c r="E103" t="s">
        <v>368</v>
      </c>
      <c r="F103">
        <v>0</v>
      </c>
      <c r="G103">
        <v>0.14000000000000001</v>
      </c>
      <c r="H103">
        <v>0.14000000000000001</v>
      </c>
      <c r="I103">
        <f t="shared" si="10"/>
        <v>0</v>
      </c>
      <c r="J103">
        <f t="shared" si="10"/>
        <v>6.4237516869095823E-3</v>
      </c>
      <c r="K103">
        <f t="shared" si="10"/>
        <v>6.4237516869095823E-3</v>
      </c>
      <c r="L103">
        <f t="shared" si="11"/>
        <v>0</v>
      </c>
      <c r="M103">
        <f t="shared" si="11"/>
        <v>2.0987283972178396E-3</v>
      </c>
      <c r="N103">
        <f t="shared" si="11"/>
        <v>2.0987283972178396E-3</v>
      </c>
      <c r="O103" s="143">
        <v>97</v>
      </c>
      <c r="P103" s="144" t="s">
        <v>563</v>
      </c>
      <c r="Q103" s="97" t="s">
        <v>548</v>
      </c>
      <c r="R103" s="145">
        <v>52</v>
      </c>
      <c r="S103" s="145">
        <v>47</v>
      </c>
      <c r="T103" s="146" t="s">
        <v>387</v>
      </c>
      <c r="U103" s="97" t="s">
        <v>549</v>
      </c>
      <c r="V103" s="166" t="s">
        <v>373</v>
      </c>
      <c r="W103" s="167" t="s">
        <v>550</v>
      </c>
      <c r="X103" s="97" t="s">
        <v>366</v>
      </c>
      <c r="Y103" s="149">
        <v>19051</v>
      </c>
      <c r="Z103" s="149">
        <v>42000.265568841023</v>
      </c>
      <c r="AA103" s="150">
        <v>794</v>
      </c>
      <c r="AB103" s="150">
        <v>6.86</v>
      </c>
      <c r="AC103" s="150">
        <v>7.7</v>
      </c>
      <c r="AD103" s="151">
        <v>20</v>
      </c>
      <c r="AE103" s="151">
        <v>100</v>
      </c>
      <c r="AF103" s="152">
        <v>25</v>
      </c>
      <c r="AG103" s="153">
        <v>15000</v>
      </c>
      <c r="AH103" s="154">
        <v>2702.6185365557862</v>
      </c>
      <c r="AI103" s="155">
        <v>3.1900438702682238E-3</v>
      </c>
      <c r="AJ103" s="145">
        <v>8</v>
      </c>
      <c r="AK103" s="146">
        <v>26.690214853144901</v>
      </c>
      <c r="AL103" s="146">
        <v>23.581071724902053</v>
      </c>
      <c r="AM103" s="156">
        <v>44.335477128743321</v>
      </c>
      <c r="AN103" s="157">
        <v>2.0655118598730002</v>
      </c>
      <c r="AO103" s="158">
        <v>-0.37007775993344549</v>
      </c>
      <c r="AP103" s="159">
        <v>0.17827368379634911</v>
      </c>
      <c r="AQ103" s="157">
        <v>3.8548626640067737E-2</v>
      </c>
      <c r="AR103" s="159">
        <v>8.6758941939571205E-2</v>
      </c>
      <c r="AS103" s="158">
        <v>1.873707783735904</v>
      </c>
      <c r="AT103" s="158">
        <v>0.18941416321924584</v>
      </c>
      <c r="AU103" s="159">
        <v>0.12447397437260975</v>
      </c>
      <c r="AV103" s="160">
        <v>93.178567647783623</v>
      </c>
      <c r="AW103" s="146">
        <v>83.071728591771503</v>
      </c>
      <c r="AX103" s="156">
        <v>88.590341635692127</v>
      </c>
      <c r="AY103" s="161"/>
      <c r="AZ103" s="161"/>
      <c r="BA103" s="161"/>
      <c r="BB103" s="161"/>
      <c r="BC103" s="161"/>
      <c r="BD103" s="161"/>
      <c r="BE103" s="162"/>
      <c r="BF103" s="162"/>
      <c r="BG103" s="162"/>
      <c r="BH103" s="163"/>
      <c r="BI103" s="163"/>
    </row>
    <row r="104" spans="1:61">
      <c r="A104" t="str">
        <f t="shared" si="7"/>
        <v>freight LDV</v>
      </c>
      <c r="B104" s="141">
        <v>7.7000000000000002E-3</v>
      </c>
      <c r="C104" s="142">
        <f t="shared" si="12"/>
        <v>117148515.04549618</v>
      </c>
      <c r="D104">
        <f t="shared" si="9"/>
        <v>0.37884000000000001</v>
      </c>
      <c r="E104" t="s">
        <v>378</v>
      </c>
      <c r="F104">
        <v>0.2</v>
      </c>
      <c r="G104">
        <v>0.37</v>
      </c>
      <c r="H104">
        <v>0.7</v>
      </c>
      <c r="I104">
        <f t="shared" si="10"/>
        <v>9.8276962348436483E-3</v>
      </c>
      <c r="J104">
        <f t="shared" si="10"/>
        <v>1.8181238034460749E-2</v>
      </c>
      <c r="K104">
        <f t="shared" si="10"/>
        <v>3.4396936821952766E-2</v>
      </c>
      <c r="L104">
        <f t="shared" si="11"/>
        <v>6.5410394290746831E-3</v>
      </c>
      <c r="M104">
        <f t="shared" si="11"/>
        <v>1.2100922943788164E-2</v>
      </c>
      <c r="N104">
        <f t="shared" si="11"/>
        <v>2.2893638001761387E-2</v>
      </c>
      <c r="O104" s="143">
        <v>98</v>
      </c>
      <c r="P104" s="144" t="s">
        <v>564</v>
      </c>
      <c r="Q104" s="97" t="s">
        <v>553</v>
      </c>
      <c r="R104" s="145">
        <v>52</v>
      </c>
      <c r="S104" s="145">
        <v>46</v>
      </c>
      <c r="T104" s="146" t="s">
        <v>389</v>
      </c>
      <c r="U104" s="97" t="s">
        <v>549</v>
      </c>
      <c r="V104" s="147" t="s">
        <v>382</v>
      </c>
      <c r="W104" s="148" t="s">
        <v>554</v>
      </c>
      <c r="X104" s="97" t="s">
        <v>366</v>
      </c>
      <c r="Y104" s="149">
        <v>11408</v>
      </c>
      <c r="Z104" s="149">
        <v>25150.334870050832</v>
      </c>
      <c r="AA104" s="150">
        <v>340</v>
      </c>
      <c r="AB104" s="150">
        <v>5.4</v>
      </c>
      <c r="AC104" s="150">
        <v>7.7</v>
      </c>
      <c r="AD104" s="151">
        <v>16</v>
      </c>
      <c r="AE104" s="151">
        <v>50</v>
      </c>
      <c r="AF104" s="152">
        <v>45</v>
      </c>
      <c r="AG104" s="153">
        <v>11200</v>
      </c>
      <c r="AH104" s="154">
        <v>5171.8446591507036</v>
      </c>
      <c r="AI104" s="155">
        <v>6.1046023068903792E-3</v>
      </c>
      <c r="AJ104" s="145">
        <v>8</v>
      </c>
      <c r="AK104" s="146">
        <v>49.2</v>
      </c>
      <c r="AL104" s="146">
        <v>43.468692000000004</v>
      </c>
      <c r="AM104" s="156">
        <v>89.454545454545453</v>
      </c>
      <c r="AN104" s="157">
        <v>1.3059420071902388</v>
      </c>
      <c r="AO104" s="158">
        <v>-0.2199937667632389</v>
      </c>
      <c r="AP104" s="159">
        <v>0.11535594308475326</v>
      </c>
      <c r="AQ104" s="157">
        <v>2.437278227579507E-2</v>
      </c>
      <c r="AR104" s="159">
        <v>5.4854270740053501E-2</v>
      </c>
      <c r="AS104" s="158">
        <v>1.2013041835117533</v>
      </c>
      <c r="AT104" s="158">
        <v>9.3877479993837609E-2</v>
      </c>
      <c r="AU104" s="159">
        <v>6.1691812482852486E-2</v>
      </c>
      <c r="AV104" s="160">
        <v>118.04014314989853</v>
      </c>
      <c r="AW104" s="146">
        <v>107.46211968868775</v>
      </c>
      <c r="AX104" s="156">
        <v>112.98073273260837</v>
      </c>
      <c r="AY104" s="161"/>
      <c r="AZ104" s="161"/>
      <c r="BA104" s="161"/>
      <c r="BB104" s="161"/>
      <c r="BC104" s="161"/>
      <c r="BD104" s="161"/>
      <c r="BE104" s="162"/>
      <c r="BF104" s="162"/>
      <c r="BG104" s="162"/>
      <c r="BH104" s="163"/>
      <c r="BI104" s="163"/>
    </row>
    <row r="105" spans="1:61">
      <c r="A105" t="str">
        <f t="shared" si="7"/>
        <v>freight LDV</v>
      </c>
      <c r="B105" s="141">
        <v>1.6899999999999998E-2</v>
      </c>
      <c r="C105" s="142">
        <f t="shared" si="12"/>
        <v>257118169.38556945</v>
      </c>
      <c r="D105">
        <f t="shared" si="9"/>
        <v>0.83148</v>
      </c>
      <c r="E105" t="s">
        <v>353</v>
      </c>
      <c r="F105">
        <v>0.2</v>
      </c>
      <c r="G105">
        <v>0.37</v>
      </c>
      <c r="H105">
        <v>0.7</v>
      </c>
      <c r="I105">
        <f t="shared" si="10"/>
        <v>1.0428879975316259E-2</v>
      </c>
      <c r="J105">
        <f t="shared" si="10"/>
        <v>1.9293427954335075E-2</v>
      </c>
      <c r="K105">
        <f t="shared" si="10"/>
        <v>3.6501079913606897E-2</v>
      </c>
      <c r="L105">
        <f t="shared" si="11"/>
        <v>6.8836411823354491E-3</v>
      </c>
      <c r="M105">
        <f t="shared" si="11"/>
        <v>1.2734736187320583E-2</v>
      </c>
      <c r="N105">
        <f t="shared" si="11"/>
        <v>2.4092744138174072E-2</v>
      </c>
      <c r="O105" s="143">
        <v>99</v>
      </c>
      <c r="P105" s="144" t="s">
        <v>565</v>
      </c>
      <c r="Q105" s="97" t="s">
        <v>557</v>
      </c>
      <c r="R105" s="145">
        <v>52</v>
      </c>
      <c r="S105" s="145">
        <v>42</v>
      </c>
      <c r="T105" s="146" t="s">
        <v>365</v>
      </c>
      <c r="U105" s="97" t="s">
        <v>549</v>
      </c>
      <c r="V105" s="147" t="s">
        <v>358</v>
      </c>
      <c r="W105" s="148" t="s">
        <v>558</v>
      </c>
      <c r="X105" s="97" t="s">
        <v>366</v>
      </c>
      <c r="Y105" s="149">
        <v>7257</v>
      </c>
      <c r="Z105" s="149">
        <v>15998.946366756565</v>
      </c>
      <c r="AA105" s="150">
        <v>340</v>
      </c>
      <c r="AB105" s="150">
        <v>3.4</v>
      </c>
      <c r="AC105" s="150">
        <v>7.7</v>
      </c>
      <c r="AD105" s="151">
        <v>8</v>
      </c>
      <c r="AE105" s="151">
        <v>25</v>
      </c>
      <c r="AF105" s="152">
        <v>55</v>
      </c>
      <c r="AG105" s="153">
        <v>5700</v>
      </c>
      <c r="AH105" s="154">
        <v>7653.9028111378811</v>
      </c>
      <c r="AI105" s="155">
        <v>9.0343070677725793E-3</v>
      </c>
      <c r="AJ105" s="145">
        <v>8</v>
      </c>
      <c r="AK105" s="146">
        <v>49.2</v>
      </c>
      <c r="AL105" s="146">
        <v>43.468692000000004</v>
      </c>
      <c r="AM105" s="156">
        <v>89.454545454545453</v>
      </c>
      <c r="AN105" s="157">
        <v>0.81793022012432626</v>
      </c>
      <c r="AO105" s="158">
        <v>-0.13468693348743255</v>
      </c>
      <c r="AP105" s="159">
        <v>8.1855641898752773E-2</v>
      </c>
      <c r="AQ105" s="157">
        <v>1.5265023302814502E-2</v>
      </c>
      <c r="AR105" s="159">
        <v>3.4356016954920958E-2</v>
      </c>
      <c r="AS105" s="158">
        <v>0.76509892853564643</v>
      </c>
      <c r="AT105" s="158">
        <v>9.3877479993837609E-2</v>
      </c>
      <c r="AU105" s="159">
        <v>6.1691812482852486E-2</v>
      </c>
      <c r="AV105" s="160">
        <v>78.204869902089257</v>
      </c>
      <c r="AW105" s="146">
        <v>68.441576879916013</v>
      </c>
      <c r="AX105" s="156">
        <v>73.960189923836623</v>
      </c>
      <c r="AY105" s="161"/>
      <c r="AZ105" s="161"/>
      <c r="BA105" s="161"/>
      <c r="BB105" s="161"/>
      <c r="BC105" s="161"/>
      <c r="BD105" s="161"/>
      <c r="BE105" s="162"/>
      <c r="BF105" s="162"/>
      <c r="BG105" s="162"/>
      <c r="BH105" s="163"/>
      <c r="BI105" s="163"/>
    </row>
    <row r="106" spans="1:61">
      <c r="A106" t="str">
        <f t="shared" si="7"/>
        <v>freight LDV</v>
      </c>
      <c r="B106" s="141">
        <v>1.6899999999999998E-2</v>
      </c>
      <c r="C106" s="142">
        <f t="shared" si="12"/>
        <v>117659920.05384818</v>
      </c>
      <c r="D106">
        <f t="shared" si="9"/>
        <v>0.38049380391965565</v>
      </c>
      <c r="E106" t="s">
        <v>353</v>
      </c>
      <c r="F106">
        <v>0.14000000000000001</v>
      </c>
      <c r="G106">
        <v>0.37</v>
      </c>
      <c r="H106">
        <v>0.7</v>
      </c>
      <c r="I106">
        <f t="shared" si="10"/>
        <v>7.3002159827213814E-3</v>
      </c>
      <c r="J106">
        <f t="shared" si="10"/>
        <v>1.9293427954335075E-2</v>
      </c>
      <c r="K106">
        <f t="shared" si="10"/>
        <v>3.6501079913606897E-2</v>
      </c>
      <c r="L106">
        <f t="shared" si="11"/>
        <v>2.2050175263378167E-3</v>
      </c>
      <c r="M106">
        <f t="shared" si="11"/>
        <v>5.8275463196070859E-3</v>
      </c>
      <c r="N106">
        <f t="shared" si="11"/>
        <v>1.1025087631689082E-2</v>
      </c>
      <c r="O106" s="143">
        <v>100</v>
      </c>
      <c r="P106" s="144" t="s">
        <v>566</v>
      </c>
      <c r="Q106" s="97" t="s">
        <v>560</v>
      </c>
      <c r="R106" s="145">
        <v>52</v>
      </c>
      <c r="S106" s="145">
        <v>41</v>
      </c>
      <c r="T106" s="146" t="s">
        <v>365</v>
      </c>
      <c r="U106" s="97" t="s">
        <v>549</v>
      </c>
      <c r="V106" s="164" t="s">
        <v>363</v>
      </c>
      <c r="W106" s="165"/>
      <c r="X106" s="97" t="s">
        <v>366</v>
      </c>
      <c r="Y106" s="149">
        <v>7257</v>
      </c>
      <c r="Z106" s="149">
        <v>15998.946366756565</v>
      </c>
      <c r="AA106" s="150">
        <v>340</v>
      </c>
      <c r="AB106" s="150">
        <v>3.4</v>
      </c>
      <c r="AC106" s="150">
        <v>7.7</v>
      </c>
      <c r="AD106" s="151">
        <v>7</v>
      </c>
      <c r="AE106" s="151">
        <v>25</v>
      </c>
      <c r="AF106" s="152">
        <v>65</v>
      </c>
      <c r="AG106" s="153">
        <v>5700</v>
      </c>
      <c r="AH106" s="154">
        <v>47862.832007229503</v>
      </c>
      <c r="AI106" s="155">
        <v>5.6495036866327876E-2</v>
      </c>
      <c r="AJ106" s="145">
        <v>8</v>
      </c>
      <c r="AK106" s="146">
        <v>22.514426267435248</v>
      </c>
      <c r="AL106" s="146">
        <v>19.891720751541719</v>
      </c>
      <c r="AM106" s="156">
        <v>47.747569093524199</v>
      </c>
      <c r="AN106" s="157">
        <v>0.81793022012432626</v>
      </c>
      <c r="AO106" s="158">
        <v>-0.13468693348743255</v>
      </c>
      <c r="AP106" s="159">
        <v>7.0177121020958466E-2</v>
      </c>
      <c r="AQ106" s="157">
        <v>1.5265023302814502E-2</v>
      </c>
      <c r="AR106" s="159">
        <v>3.4356016954920958E-2</v>
      </c>
      <c r="AS106" s="158">
        <v>0.75342040765785212</v>
      </c>
      <c r="AT106" s="158">
        <v>0.17587842607899135</v>
      </c>
      <c r="AU106" s="159">
        <v>0.1155789320522516</v>
      </c>
      <c r="AV106" s="160">
        <v>45.100628027246785</v>
      </c>
      <c r="AW106" s="146">
        <v>35.973992971114463</v>
      </c>
      <c r="AX106" s="156">
        <v>41.492606015035079</v>
      </c>
      <c r="AY106" s="161"/>
      <c r="AZ106" s="161"/>
      <c r="BA106" s="161"/>
      <c r="BB106" s="161"/>
      <c r="BC106" s="161"/>
      <c r="BD106" s="161"/>
      <c r="BE106" s="162"/>
      <c r="BF106" s="162"/>
      <c r="BG106" s="162"/>
      <c r="BH106" s="163"/>
      <c r="BI106" s="163"/>
    </row>
    <row r="107" spans="1:61" ht="15.75" thickBot="1">
      <c r="A107" t="str">
        <f t="shared" si="7"/>
        <v>freight HDV</v>
      </c>
      <c r="B107" s="141">
        <v>3.7000000000000002E-3</v>
      </c>
      <c r="C107" s="142">
        <f t="shared" si="12"/>
        <v>69085603.697103754</v>
      </c>
      <c r="D107">
        <f t="shared" si="9"/>
        <v>0.22341205174001905</v>
      </c>
      <c r="E107" t="s">
        <v>12</v>
      </c>
      <c r="F107">
        <v>0.14000000000000001</v>
      </c>
      <c r="G107">
        <v>0.37</v>
      </c>
      <c r="H107">
        <v>0.39</v>
      </c>
      <c r="I107">
        <f t="shared" si="10"/>
        <v>2.9753015508328547E-3</v>
      </c>
      <c r="J107">
        <f t="shared" si="10"/>
        <v>7.8632969557725432E-3</v>
      </c>
      <c r="K107">
        <f t="shared" si="10"/>
        <v>8.2883400344629515E-3</v>
      </c>
      <c r="L107">
        <f t="shared" si="11"/>
        <v>1.0730141648685847E-3</v>
      </c>
      <c r="M107">
        <f t="shared" si="11"/>
        <v>2.8358231500098304E-3</v>
      </c>
      <c r="N107">
        <f t="shared" si="11"/>
        <v>2.9891108878481996E-3</v>
      </c>
      <c r="O107" s="143">
        <v>101</v>
      </c>
      <c r="P107" s="170" t="s">
        <v>567</v>
      </c>
      <c r="Q107" s="171" t="s">
        <v>429</v>
      </c>
      <c r="R107" s="172">
        <v>61</v>
      </c>
      <c r="S107" s="172">
        <v>47</v>
      </c>
      <c r="T107" s="173" t="s">
        <v>430</v>
      </c>
      <c r="U107" s="171" t="s">
        <v>568</v>
      </c>
      <c r="V107" s="174" t="s">
        <v>373</v>
      </c>
      <c r="W107" s="175" t="s">
        <v>569</v>
      </c>
      <c r="X107" s="171" t="s">
        <v>366</v>
      </c>
      <c r="Y107" s="176">
        <v>29529</v>
      </c>
      <c r="Z107" s="176">
        <v>65100.301400572498</v>
      </c>
      <c r="AA107" s="177">
        <v>794</v>
      </c>
      <c r="AB107" s="177">
        <v>6.21</v>
      </c>
      <c r="AC107" s="177">
        <v>6.2</v>
      </c>
      <c r="AD107" s="178">
        <v>20</v>
      </c>
      <c r="AE107" s="178">
        <v>100</v>
      </c>
      <c r="AF107" s="179">
        <v>25</v>
      </c>
      <c r="AG107" s="180">
        <v>38000</v>
      </c>
      <c r="AH107" s="181">
        <v>60.463747850041258</v>
      </c>
      <c r="AI107" s="182">
        <v>7.1368565557267371E-5</v>
      </c>
      <c r="AJ107" s="172">
        <v>8</v>
      </c>
      <c r="AK107" s="173">
        <v>60.381635605410551</v>
      </c>
      <c r="AL107" s="173">
        <v>56.318555345522469</v>
      </c>
      <c r="AM107" s="183">
        <v>127.3991099896011</v>
      </c>
      <c r="AN107" s="184">
        <v>2.2041965719165422</v>
      </c>
      <c r="AO107" s="185">
        <v>-0.13687840291944536</v>
      </c>
      <c r="AP107" s="159">
        <v>0</v>
      </c>
      <c r="AQ107" s="184">
        <v>4.113689799745443E-2</v>
      </c>
      <c r="AR107" s="186">
        <v>9.2584199646313009E-2</v>
      </c>
      <c r="AS107" s="185">
        <v>2.067318168997097</v>
      </c>
      <c r="AT107" s="185">
        <v>6.5917001319337254E-2</v>
      </c>
      <c r="AU107" s="186">
        <v>4.3317516459660324E-2</v>
      </c>
      <c r="AV107" s="187">
        <v>277.01306628943757</v>
      </c>
      <c r="AW107" s="173">
        <v>263.37449479556193</v>
      </c>
      <c r="AX107" s="183">
        <v>268.89310783948252</v>
      </c>
      <c r="AY107" s="161"/>
      <c r="AZ107" s="161"/>
      <c r="BA107" s="161"/>
      <c r="BB107" s="161"/>
      <c r="BC107" s="161"/>
      <c r="BD107" s="161"/>
      <c r="BE107" s="162"/>
      <c r="BF107" s="162"/>
      <c r="BG107" s="162"/>
      <c r="BH107" s="163"/>
      <c r="BI107" s="163"/>
    </row>
    <row r="109" spans="1:61">
      <c r="A109" t="s">
        <v>570</v>
      </c>
      <c r="B109">
        <f>SUMIFS(B7:B107,$A$7:$A$107,$A109)</f>
        <v>0.48080000000000001</v>
      </c>
      <c r="C109">
        <f>SUMIFS(D7:D107,$A$7:$A$107,$A109)</f>
        <v>35.741624827763836</v>
      </c>
    </row>
    <row r="110" spans="1:61">
      <c r="A110" t="s">
        <v>571</v>
      </c>
      <c r="B110">
        <f>SUMIFS(B8:B108,$A$7:$A$107,$A110)</f>
        <v>0.40579999999999999</v>
      </c>
      <c r="C110">
        <f>SUMIFS(C8:C108,$A$7:$A$107,$A110)</f>
        <v>24946239808.580986</v>
      </c>
    </row>
    <row r="111" spans="1:61">
      <c r="A111" t="s">
        <v>572</v>
      </c>
      <c r="B111">
        <f>SUMIFS(B9:B109,$A$7:$A$107,$A111)</f>
        <v>5.0900000000000001E-2</v>
      </c>
      <c r="C111">
        <f>SUMIFS(C9:C109,$A$7:$A$107,$A111)</f>
        <v>1044651207.0840282</v>
      </c>
    </row>
    <row r="113" spans="1:13">
      <c r="A113" t="s">
        <v>353</v>
      </c>
      <c r="B113">
        <f t="shared" ref="B113:B118" si="13">SUMIFS(B$7:B$107,$E$7:$E$107,$A113)</f>
        <v>0.32410000000000005</v>
      </c>
      <c r="C113">
        <f>SUMIFS(D7:D107,$E$7:$E$107,$A113)</f>
        <v>24.158144736937011</v>
      </c>
    </row>
    <row r="114" spans="1:13">
      <c r="A114" t="s">
        <v>378</v>
      </c>
      <c r="B114">
        <f t="shared" si="13"/>
        <v>0.15670000000000003</v>
      </c>
      <c r="C114">
        <f>SUMIFS(C8:C108,$E$7:$E$107,$A114)</f>
        <v>9723064921.1650009</v>
      </c>
    </row>
    <row r="115" spans="1:13">
      <c r="A115" t="s">
        <v>368</v>
      </c>
      <c r="B115">
        <f t="shared" si="13"/>
        <v>7.4099999999999999E-2</v>
      </c>
      <c r="C115">
        <f>SUMIFS(C9:C109,$E$7:$E$107,$A115)</f>
        <v>9753978846.5945892</v>
      </c>
    </row>
    <row r="116" spans="1:13">
      <c r="A116" t="s">
        <v>12</v>
      </c>
      <c r="B116">
        <f t="shared" si="13"/>
        <v>0.17410000000000003</v>
      </c>
      <c r="C116">
        <f>SUMIFS(C10:C110,$E$7:$E$107,$A116)</f>
        <v>30685724006.424572</v>
      </c>
    </row>
    <row r="117" spans="1:13">
      <c r="A117" t="s">
        <v>36</v>
      </c>
      <c r="B117">
        <f t="shared" si="13"/>
        <v>0.189</v>
      </c>
      <c r="C117">
        <f>SUMIFS(C11:C111,$E$7:$E$107,$A117)</f>
        <v>1676879526.0359607</v>
      </c>
    </row>
    <row r="118" spans="1:13">
      <c r="A118" t="s">
        <v>399</v>
      </c>
      <c r="B118">
        <f t="shared" si="13"/>
        <v>8.0500000000000002E-2</v>
      </c>
      <c r="C118">
        <f>SUMIFS(C12:C112,$E$7:$E$107,$A118)</f>
        <v>1674184726.3165832</v>
      </c>
    </row>
    <row r="123" spans="1:13">
      <c r="B123" s="190"/>
      <c r="E123" s="212" t="s">
        <v>573</v>
      </c>
      <c r="F123" s="212"/>
      <c r="G123" s="212"/>
      <c r="H123" s="212" t="s">
        <v>574</v>
      </c>
      <c r="I123" s="212"/>
      <c r="J123" s="212"/>
      <c r="K123" s="212" t="s">
        <v>575</v>
      </c>
      <c r="L123" s="212"/>
      <c r="M123" s="212"/>
    </row>
    <row r="124" spans="1:13">
      <c r="E124">
        <v>2027</v>
      </c>
      <c r="F124">
        <v>2030</v>
      </c>
      <c r="G124">
        <v>2032</v>
      </c>
      <c r="H124">
        <v>2027</v>
      </c>
      <c r="I124">
        <v>2030</v>
      </c>
      <c r="J124">
        <v>2032</v>
      </c>
      <c r="K124">
        <v>2027</v>
      </c>
      <c r="L124">
        <v>2030</v>
      </c>
      <c r="M124">
        <v>2032</v>
      </c>
    </row>
    <row r="125" spans="1:13">
      <c r="C125" t="s">
        <v>570</v>
      </c>
      <c r="D125" t="s">
        <v>353</v>
      </c>
      <c r="E125" s="10">
        <f t="shared" ref="E125:G130" si="14">SUMIFS(L$7:L$107,$E$7:$E$107,$D125)</f>
        <v>0.11461363978102816</v>
      </c>
      <c r="F125" s="10">
        <f t="shared" si="14"/>
        <v>0.2235278251483544</v>
      </c>
      <c r="G125" s="10">
        <f t="shared" si="14"/>
        <v>0.41116739726873225</v>
      </c>
      <c r="H125" s="10">
        <f t="shared" ref="H125:J130" si="15">SUMIFS(I$7:I$107,$E$7:$E$107,$D125)</f>
        <v>0.16650416538105514</v>
      </c>
      <c r="I125" s="10">
        <f t="shared" si="15"/>
        <v>0.3337766121567417</v>
      </c>
      <c r="J125" s="10">
        <f t="shared" si="15"/>
        <v>0.61299290342486845</v>
      </c>
      <c r="K125" s="10">
        <f>H125/E125</f>
        <v>1.4527430216784403</v>
      </c>
      <c r="L125" s="10">
        <f t="shared" ref="L125:M130" si="16">I125/F125</f>
        <v>1.4932217585672642</v>
      </c>
      <c r="M125" s="10">
        <f t="shared" si="16"/>
        <v>1.4908597021476058</v>
      </c>
    </row>
    <row r="126" spans="1:13">
      <c r="C126" t="s">
        <v>570</v>
      </c>
      <c r="D126" t="s">
        <v>378</v>
      </c>
      <c r="E126" s="10">
        <f t="shared" si="14"/>
        <v>7.7169320517542064E-2</v>
      </c>
      <c r="F126" s="10">
        <f t="shared" si="14"/>
        <v>0.13756107986939822</v>
      </c>
      <c r="G126" s="10">
        <f t="shared" si="14"/>
        <v>0.21152348852665148</v>
      </c>
      <c r="H126" s="10">
        <f t="shared" si="15"/>
        <v>0.11515634971282701</v>
      </c>
      <c r="I126" s="10">
        <f t="shared" si="15"/>
        <v>0.21032546266751759</v>
      </c>
      <c r="J126" s="10">
        <f t="shared" si="15"/>
        <v>0.32186343331206119</v>
      </c>
      <c r="K126" s="10">
        <f t="shared" ref="K126:K130" si="17">H126/E126</f>
        <v>1.4922555873308456</v>
      </c>
      <c r="L126" s="10">
        <f t="shared" si="16"/>
        <v>1.5289605378730855</v>
      </c>
      <c r="M126" s="10">
        <f t="shared" si="16"/>
        <v>1.5216439344584047</v>
      </c>
    </row>
    <row r="127" spans="1:13">
      <c r="C127" t="s">
        <v>571</v>
      </c>
      <c r="D127" t="s">
        <v>368</v>
      </c>
      <c r="E127" s="10">
        <f t="shared" si="14"/>
        <v>7.0828619492993738E-2</v>
      </c>
      <c r="F127" s="10">
        <f t="shared" si="14"/>
        <v>0.13779492203765234</v>
      </c>
      <c r="G127" s="10">
        <f t="shared" si="14"/>
        <v>0.19036153635524147</v>
      </c>
      <c r="H127" s="10">
        <f t="shared" si="15"/>
        <v>0.10597840755735495</v>
      </c>
      <c r="I127" s="10">
        <f t="shared" si="15"/>
        <v>0.21632928475033739</v>
      </c>
      <c r="J127" s="10">
        <f t="shared" si="15"/>
        <v>0.30060728744939269</v>
      </c>
      <c r="K127" s="10">
        <f t="shared" si="17"/>
        <v>1.4962653277159832</v>
      </c>
      <c r="L127" s="10">
        <f t="shared" si="16"/>
        <v>1.569936551734654</v>
      </c>
      <c r="M127" s="10">
        <f t="shared" si="16"/>
        <v>1.5791387966548931</v>
      </c>
    </row>
    <row r="128" spans="1:13">
      <c r="C128" t="s">
        <v>571</v>
      </c>
      <c r="D128" t="s">
        <v>12</v>
      </c>
      <c r="E128" s="10">
        <f t="shared" si="14"/>
        <v>1.7197378392519693E-2</v>
      </c>
      <c r="F128" s="10">
        <f t="shared" si="14"/>
        <v>0.23485358227821937</v>
      </c>
      <c r="G128" s="10">
        <f t="shared" si="14"/>
        <v>0.43983469170630457</v>
      </c>
      <c r="H128" s="10">
        <f t="shared" si="15"/>
        <v>3.1091326823664559E-2</v>
      </c>
      <c r="I128" s="10">
        <f t="shared" si="15"/>
        <v>0.26455485353245256</v>
      </c>
      <c r="J128" s="10">
        <f t="shared" si="15"/>
        <v>0.40985066053991942</v>
      </c>
      <c r="K128" s="10">
        <f t="shared" si="17"/>
        <v>1.8079108404795168</v>
      </c>
      <c r="L128" s="10">
        <f t="shared" si="16"/>
        <v>1.1264671842179848</v>
      </c>
      <c r="M128" s="10">
        <f t="shared" si="16"/>
        <v>0.93182886268005727</v>
      </c>
    </row>
    <row r="129" spans="1:58">
      <c r="C129" t="s">
        <v>571</v>
      </c>
      <c r="D129" t="s">
        <v>36</v>
      </c>
      <c r="E129" s="10">
        <f t="shared" si="14"/>
        <v>0</v>
      </c>
      <c r="F129" s="10">
        <f t="shared" si="14"/>
        <v>6.1041877018412211E-2</v>
      </c>
      <c r="G129" s="10">
        <f t="shared" si="14"/>
        <v>0.19468910014447866</v>
      </c>
      <c r="H129" s="10">
        <f t="shared" si="15"/>
        <v>0</v>
      </c>
      <c r="I129" s="10">
        <f t="shared" si="15"/>
        <v>0.12576719576719578</v>
      </c>
      <c r="J129" s="10">
        <f t="shared" si="15"/>
        <v>0.24582010582010583</v>
      </c>
      <c r="K129" s="10"/>
      <c r="L129" s="10">
        <f t="shared" si="16"/>
        <v>2.0603428647723319</v>
      </c>
      <c r="M129" s="10">
        <f t="shared" si="16"/>
        <v>1.2626290102408553</v>
      </c>
    </row>
    <row r="130" spans="1:58">
      <c r="C130" t="s">
        <v>572</v>
      </c>
      <c r="D130" t="s">
        <v>399</v>
      </c>
      <c r="E130" s="10">
        <f t="shared" si="14"/>
        <v>0.14461286646174107</v>
      </c>
      <c r="F130" s="10">
        <f t="shared" si="14"/>
        <v>0.27621238424102285</v>
      </c>
      <c r="G130" s="10">
        <f t="shared" si="14"/>
        <v>0.45710407324565627</v>
      </c>
      <c r="H130" s="10">
        <f t="shared" si="15"/>
        <v>0.16351552795031057</v>
      </c>
      <c r="I130" s="10">
        <f t="shared" si="15"/>
        <v>0.30657142857142861</v>
      </c>
      <c r="J130" s="10">
        <f t="shared" si="15"/>
        <v>0.53473291925465838</v>
      </c>
      <c r="K130" s="10">
        <f t="shared" si="17"/>
        <v>1.1307121693322524</v>
      </c>
      <c r="L130" s="10">
        <f t="shared" si="16"/>
        <v>1.1099119592838911</v>
      </c>
      <c r="M130" s="10">
        <f t="shared" si="16"/>
        <v>1.1698275087723466</v>
      </c>
    </row>
    <row r="132" spans="1:58">
      <c r="E132" s="212" t="s">
        <v>573</v>
      </c>
      <c r="F132" s="212"/>
      <c r="G132" s="212"/>
      <c r="H132" s="212" t="s">
        <v>574</v>
      </c>
      <c r="I132" s="212"/>
      <c r="J132" s="212"/>
      <c r="K132" s="212" t="s">
        <v>576</v>
      </c>
      <c r="L132" s="212"/>
      <c r="M132" s="212"/>
    </row>
    <row r="133" spans="1:58">
      <c r="E133">
        <v>2027</v>
      </c>
      <c r="F133">
        <v>2030</v>
      </c>
      <c r="G133">
        <v>2032</v>
      </c>
      <c r="H133">
        <v>2027</v>
      </c>
      <c r="I133">
        <v>2030</v>
      </c>
      <c r="J133">
        <v>2032</v>
      </c>
      <c r="K133">
        <v>2027</v>
      </c>
      <c r="L133">
        <v>2030</v>
      </c>
      <c r="M133">
        <v>2032</v>
      </c>
    </row>
    <row r="134" spans="1:58">
      <c r="D134" t="s">
        <v>570</v>
      </c>
      <c r="E134" s="10">
        <f t="shared" ref="E134:G136" si="18">SUMIFS(L$7:L$107,$A$7:$A$107,$D134)</f>
        <v>0.19178296029857031</v>
      </c>
      <c r="F134" s="10">
        <f t="shared" si="18"/>
        <v>0.36108890501775259</v>
      </c>
      <c r="G134" s="10">
        <f t="shared" si="18"/>
        <v>0.62269088579538379</v>
      </c>
      <c r="H134" s="10">
        <f t="shared" ref="H134:J136" si="19">SUMIFS(I$7:I$107,$A$7:$A$107,$D134)</f>
        <v>0.28166051509388229</v>
      </c>
      <c r="I134" s="10">
        <f t="shared" si="19"/>
        <v>0.54410207482425921</v>
      </c>
      <c r="J134" s="10">
        <f t="shared" si="19"/>
        <v>0.93485633673692969</v>
      </c>
      <c r="K134" s="10">
        <f>E134/H134</f>
        <v>0.6809011203954014</v>
      </c>
      <c r="L134" s="10">
        <f t="shared" ref="L134:M136" si="20">F134/I134</f>
        <v>0.66364184539156834</v>
      </c>
      <c r="M134" s="10">
        <f t="shared" si="20"/>
        <v>0.66608190084998076</v>
      </c>
    </row>
    <row r="135" spans="1:58">
      <c r="D135" t="s">
        <v>571</v>
      </c>
      <c r="E135" s="10">
        <f t="shared" si="18"/>
        <v>8.8025997885513435E-2</v>
      </c>
      <c r="F135" s="10">
        <f t="shared" si="18"/>
        <v>0.43369038133428406</v>
      </c>
      <c r="G135" s="10">
        <f t="shared" si="18"/>
        <v>0.82488532820602456</v>
      </c>
      <c r="H135" s="10">
        <f t="shared" si="19"/>
        <v>0.13706973438101952</v>
      </c>
      <c r="I135" s="10">
        <f t="shared" si="19"/>
        <v>0.60665133404998584</v>
      </c>
      <c r="J135" s="10">
        <f t="shared" si="19"/>
        <v>0.9562780538094181</v>
      </c>
      <c r="K135" s="10">
        <f t="shared" ref="K135:K136" si="21">E135/H135</f>
        <v>0.64219864642637459</v>
      </c>
      <c r="L135" s="10">
        <f t="shared" si="20"/>
        <v>0.71489232280918313</v>
      </c>
      <c r="M135" s="10">
        <f t="shared" si="20"/>
        <v>0.86259987345732858</v>
      </c>
    </row>
    <row r="136" spans="1:58">
      <c r="D136" t="s">
        <v>572</v>
      </c>
      <c r="E136" s="10">
        <f t="shared" si="18"/>
        <v>0.14461286646174107</v>
      </c>
      <c r="F136" s="10">
        <f t="shared" si="18"/>
        <v>0.27621238424102285</v>
      </c>
      <c r="G136" s="10">
        <f t="shared" si="18"/>
        <v>0.45710407324565627</v>
      </c>
      <c r="H136" s="10">
        <f t="shared" si="19"/>
        <v>0.16351552795031057</v>
      </c>
      <c r="I136" s="10">
        <f t="shared" si="19"/>
        <v>0.30657142857142861</v>
      </c>
      <c r="J136" s="10">
        <f t="shared" si="19"/>
        <v>0.53473291925465838</v>
      </c>
      <c r="K136" s="10">
        <f t="shared" si="21"/>
        <v>0.88439837044519909</v>
      </c>
      <c r="L136" s="10">
        <f t="shared" si="20"/>
        <v>0.90097236238917044</v>
      </c>
      <c r="M136" s="10">
        <f t="shared" si="20"/>
        <v>0.85482688045986455</v>
      </c>
    </row>
    <row r="137" spans="1:58">
      <c r="E137" s="10"/>
      <c r="F137" s="10"/>
      <c r="G137" s="10"/>
      <c r="H137" s="10"/>
      <c r="I137" s="10"/>
      <c r="J137" s="10"/>
      <c r="K137" s="10"/>
      <c r="L137" s="10"/>
      <c r="M137" s="10"/>
    </row>
    <row r="138" spans="1:58">
      <c r="E138" s="10"/>
      <c r="F138" s="10"/>
      <c r="G138" s="10"/>
      <c r="H138" s="10"/>
      <c r="I138" s="10"/>
      <c r="J138" s="10"/>
      <c r="K138" s="10"/>
      <c r="L138" s="10"/>
      <c r="M138" s="10"/>
    </row>
    <row r="139" spans="1:58">
      <c r="E139" s="10"/>
      <c r="F139" s="10"/>
      <c r="G139" s="10"/>
      <c r="H139" s="10"/>
      <c r="I139" s="10"/>
      <c r="J139" s="10"/>
      <c r="K139" s="10"/>
      <c r="L139" s="10"/>
      <c r="M139" s="10"/>
    </row>
    <row r="140" spans="1:58">
      <c r="E140" s="10"/>
      <c r="F140" s="10"/>
      <c r="G140" s="10"/>
      <c r="H140" s="10"/>
      <c r="I140" s="10"/>
      <c r="J140" s="10"/>
      <c r="K140" s="10"/>
      <c r="L140" s="10"/>
      <c r="M140" s="10"/>
    </row>
    <row r="141" spans="1:58" ht="30">
      <c r="B141" t="s">
        <v>577</v>
      </c>
      <c r="C141" t="s">
        <v>578</v>
      </c>
      <c r="D141" s="8" t="s">
        <v>579</v>
      </c>
      <c r="E141" s="8"/>
      <c r="F141" s="8"/>
      <c r="G141" s="8"/>
      <c r="H141" s="8"/>
      <c r="I141" s="8"/>
      <c r="J141" s="8"/>
      <c r="K141" s="8"/>
      <c r="L141" s="152" t="s">
        <v>580</v>
      </c>
      <c r="N141" s="97"/>
      <c r="Q141" s="145"/>
      <c r="R141" s="97"/>
      <c r="S141" s="119"/>
      <c r="T141" s="167"/>
      <c r="W141" s="97"/>
      <c r="AB141" s="150"/>
      <c r="AC141" s="152"/>
      <c r="AD141" s="153"/>
      <c r="AF141" s="191"/>
      <c r="AJ141" s="145"/>
      <c r="AR141" s="119"/>
      <c r="AS141" s="145"/>
      <c r="AT141" s="119"/>
      <c r="AU141" s="145"/>
      <c r="BA141" s="188"/>
      <c r="BB141" s="189"/>
      <c r="BC141" s="188"/>
      <c r="BD141" s="189"/>
      <c r="BF141" s="145"/>
    </row>
    <row r="142" spans="1:58">
      <c r="A142" t="s">
        <v>581</v>
      </c>
      <c r="B142" s="5" t="e">
        <f>#REF!*1000</f>
        <v>#REF!</v>
      </c>
      <c r="C142" t="e">
        <f>B142/SUM($B$142:$B$144)</f>
        <v>#REF!</v>
      </c>
      <c r="D142" t="e">
        <f>#REF!*(#REF!*10^9/(#REF!*1000))+#REF!*1000*(#REF!*10^9/(#REF!*10^6))</f>
        <v>#REF!</v>
      </c>
      <c r="K142"/>
      <c r="L142" s="192" t="e">
        <f>D142/SUM($D$142:$D$144)</f>
        <v>#REF!</v>
      </c>
      <c r="N142" s="97"/>
      <c r="Q142" s="145"/>
      <c r="R142" s="97"/>
      <c r="S142" s="119"/>
      <c r="T142" s="167"/>
      <c r="W142" s="97"/>
      <c r="AB142" s="150"/>
      <c r="AC142" s="152"/>
      <c r="AD142" s="153"/>
      <c r="AF142" s="97"/>
      <c r="AJ142" s="145"/>
      <c r="AR142" s="119"/>
      <c r="AS142" s="145"/>
      <c r="AT142" s="119"/>
      <c r="AU142" s="145"/>
      <c r="BA142" s="188"/>
      <c r="BB142" s="189"/>
      <c r="BC142" s="188"/>
      <c r="BD142" s="189"/>
      <c r="BF142" s="145"/>
    </row>
    <row r="143" spans="1:58">
      <c r="A143" t="s">
        <v>353</v>
      </c>
      <c r="B143" s="5">
        <f>SUM($AH$7:$AH$107)*SUMIFS($B$7:$B$107,$E$7:$E$107,A143)</f>
        <v>274578.87832247332</v>
      </c>
      <c r="C143" t="e">
        <f t="shared" ref="C143:C144" si="22">B143/SUM($B$142:$B$144)</f>
        <v>#REF!</v>
      </c>
      <c r="D143">
        <f>SUMIFS($D$4:$D$107,$A$4:$A$107,A143)</f>
        <v>0</v>
      </c>
      <c r="K143"/>
      <c r="L143" s="192" t="e">
        <f t="shared" ref="L143:L144" si="23">D143/SUM($D$142:$D$144)</f>
        <v>#REF!</v>
      </c>
      <c r="N143" s="97"/>
      <c r="Q143" s="145"/>
      <c r="R143" s="97"/>
      <c r="S143" s="119"/>
      <c r="T143" s="167"/>
      <c r="W143" s="97"/>
      <c r="AB143" s="150"/>
      <c r="AC143" s="152"/>
      <c r="AD143" s="153"/>
      <c r="AF143" s="191"/>
      <c r="AJ143" s="145"/>
      <c r="AR143" s="119"/>
      <c r="AS143" s="145"/>
      <c r="AT143" s="119"/>
      <c r="AU143" s="145"/>
      <c r="BA143" s="188"/>
      <c r="BB143" s="189"/>
      <c r="BC143" s="188"/>
      <c r="BD143" s="189"/>
      <c r="BF143" s="145"/>
    </row>
    <row r="144" spans="1:58">
      <c r="A144" t="s">
        <v>378</v>
      </c>
      <c r="B144" s="5">
        <f>SUM($AH$7:$AH$107)*SUMIFS($B$7:$B$107,$E$7:$E$107,A144)</f>
        <v>132756.89673906684</v>
      </c>
      <c r="C144" t="e">
        <f t="shared" si="22"/>
        <v>#REF!</v>
      </c>
      <c r="D144">
        <f>SUMIFS($D$4:$D$107,$A$4:$A$107,A144)</f>
        <v>0</v>
      </c>
      <c r="K144"/>
      <c r="L144" s="192" t="e">
        <f t="shared" si="23"/>
        <v>#REF!</v>
      </c>
      <c r="N144" s="97"/>
      <c r="Q144" s="145"/>
      <c r="R144" s="97"/>
      <c r="S144" s="119"/>
      <c r="T144" s="167"/>
      <c r="W144" s="97"/>
      <c r="AB144" s="150"/>
      <c r="AC144" s="152"/>
      <c r="AD144" s="153"/>
      <c r="AF144" s="97"/>
      <c r="AJ144" s="145"/>
      <c r="AR144" s="119"/>
      <c r="AS144" s="145"/>
      <c r="AT144" s="119"/>
      <c r="AU144" s="145"/>
      <c r="BA144" s="188"/>
      <c r="BB144" s="189"/>
      <c r="BC144" s="188"/>
      <c r="BD144" s="189"/>
      <c r="BF144" s="145"/>
    </row>
    <row r="145" spans="1:58">
      <c r="A145" t="s">
        <v>571</v>
      </c>
      <c r="D145">
        <f>SUMIFS($D$4:$D$107,$A$4:$A$107,A145)</f>
        <v>93.801697947094993</v>
      </c>
      <c r="K145"/>
      <c r="L145" s="145"/>
      <c r="N145" s="97"/>
      <c r="Q145" s="145"/>
      <c r="R145" s="97"/>
      <c r="S145" s="119"/>
      <c r="T145" s="167"/>
      <c r="W145" s="97"/>
      <c r="AB145" s="150"/>
      <c r="AC145" s="152"/>
      <c r="AD145" s="153"/>
      <c r="AF145" s="97"/>
      <c r="AJ145" s="145"/>
      <c r="AR145" s="119"/>
      <c r="AS145" s="145"/>
      <c r="AT145" s="119"/>
      <c r="AU145" s="145"/>
      <c r="BA145" s="188"/>
      <c r="BB145" s="189"/>
      <c r="BC145" s="188"/>
      <c r="BD145" s="189"/>
      <c r="BF145" s="145"/>
    </row>
    <row r="146" spans="1:58">
      <c r="K146"/>
      <c r="L146" s="145"/>
      <c r="N146" s="97"/>
      <c r="Q146" s="145"/>
      <c r="R146" s="97"/>
      <c r="S146" s="119"/>
      <c r="T146" s="167"/>
      <c r="W146" s="97"/>
      <c r="AB146" s="150"/>
      <c r="AC146" s="152"/>
      <c r="AD146" s="153"/>
      <c r="AF146" s="97"/>
      <c r="AJ146" s="145"/>
      <c r="AR146" s="119"/>
      <c r="AS146" s="145"/>
      <c r="AT146" s="119"/>
      <c r="AU146" s="145"/>
      <c r="BA146" s="188"/>
      <c r="BB146" s="189"/>
      <c r="BC146" s="188"/>
      <c r="BD146" s="189"/>
      <c r="BF146" s="145"/>
    </row>
    <row r="147" spans="1:58">
      <c r="A147" t="s">
        <v>582</v>
      </c>
      <c r="D147" t="e">
        <f>#REF!*1000*(#REF!*10^9/(#REF!*10^6))</f>
        <v>#REF!</v>
      </c>
      <c r="K147"/>
      <c r="L147" s="145"/>
      <c r="N147" s="97"/>
      <c r="Q147" s="145"/>
      <c r="R147" s="97"/>
      <c r="S147" s="119"/>
      <c r="T147" s="167"/>
      <c r="W147" s="97"/>
      <c r="AB147" s="150"/>
      <c r="AC147" s="152"/>
      <c r="AD147" s="153"/>
      <c r="AF147" s="97"/>
      <c r="AJ147" s="145"/>
      <c r="AR147" s="119"/>
      <c r="AS147" s="145"/>
      <c r="AT147" s="119"/>
      <c r="AU147" s="145"/>
      <c r="BA147" s="188"/>
      <c r="BB147" s="189"/>
      <c r="BC147" s="188"/>
      <c r="BD147" s="189"/>
      <c r="BF147" s="145"/>
    </row>
    <row r="149" spans="1:58">
      <c r="A149" t="s">
        <v>572</v>
      </c>
    </row>
  </sheetData>
  <autoFilter ref="O6:BI107" xr:uid="{CF37613D-3066-4FC2-8A52-AB66200075B6}"/>
  <mergeCells count="6">
    <mergeCell ref="E123:G123"/>
    <mergeCell ref="H123:J123"/>
    <mergeCell ref="K123:M123"/>
    <mergeCell ref="E132:G132"/>
    <mergeCell ref="H132:J132"/>
    <mergeCell ref="K132:M132"/>
  </mergeCells>
  <conditionalFormatting sqref="BH7:BI107">
    <cfRule type="colorScale" priority="1">
      <colorScale>
        <cfvo type="min"/>
        <cfvo type="max"/>
        <color theme="0"/>
        <color rgb="FF63BE7B"/>
      </colorScale>
    </cfRule>
  </conditionalFormatting>
  <hyperlinks>
    <hyperlink ref="L1" location="'Table of Contents'!A1" display="Return to Table of Contents" xr:uid="{776CF084-3D88-4160-A416-927514D62EAB}"/>
  </hyperlinks>
  <printOptions horizontalCentered="1"/>
  <pageMargins left="0.7" right="0.7" top="0.75" bottom="0.75" header="0.3" footer="0.3"/>
  <pageSetup scale="32" fitToHeight="0" orientation="landscape" r:id="rId1"/>
  <headerFooter>
    <oddFooter>&amp;L&amp;F
&amp;A&amp;RPage &amp;P of &amp;N</oddFooter>
  </headerFooter>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C1C8F2-B23A-4FF8-A1A7-3393C598898C}">
  <dimension ref="A1:AE133"/>
  <sheetViews>
    <sheetView topLeftCell="A25" zoomScale="85" zoomScaleNormal="85" workbookViewId="0">
      <selection activeCell="B48" sqref="B48"/>
    </sheetView>
  </sheetViews>
  <sheetFormatPr defaultRowHeight="15"/>
  <cols>
    <col min="1" max="1" width="70.140625" customWidth="1"/>
    <col min="2" max="2" width="27.5703125" customWidth="1"/>
    <col min="3" max="3" width="20.42578125" bestFit="1" customWidth="1"/>
    <col min="10" max="12" width="22.5703125" bestFit="1" customWidth="1"/>
    <col min="13" max="15" width="23.5703125" bestFit="1" customWidth="1"/>
  </cols>
  <sheetData>
    <row r="1" spans="1:15" s="53" customFormat="1">
      <c r="A1" s="52" t="s">
        <v>583</v>
      </c>
    </row>
    <row r="2" spans="1:15">
      <c r="B2" s="1" t="s">
        <v>584</v>
      </c>
      <c r="C2" s="1"/>
      <c r="D2" s="1"/>
      <c r="E2" s="1"/>
      <c r="F2" s="1"/>
      <c r="G2" s="1"/>
      <c r="H2" s="1"/>
    </row>
    <row r="3" spans="1:15">
      <c r="B3" t="s">
        <v>353</v>
      </c>
      <c r="C3">
        <f>SUMIFS('hd trucs'!$C$7:$C$107,'hd trucs'!$E$7:$E$107,'EPA HDV Rules'!$B3)</f>
        <v>7470411736.3170185</v>
      </c>
      <c r="D3" s="10">
        <f>C3/SUM($C$3:$C$4)</f>
        <v>0.80410442131403348</v>
      </c>
      <c r="J3" s="68" t="s">
        <v>585</v>
      </c>
      <c r="K3" s="68"/>
      <c r="L3" s="68"/>
      <c r="M3" s="68"/>
      <c r="N3" s="68"/>
      <c r="O3" s="68"/>
    </row>
    <row r="4" spans="1:15">
      <c r="B4" t="s">
        <v>378</v>
      </c>
      <c r="C4">
        <f>SUMIFS('hd trucs'!$C$7:$C$107,'hd trucs'!$E$7:$E$107,'EPA HDV Rules'!$B4)*'AEO by Class'!H7/SUM('AEO by Class'!H7:H9)</f>
        <v>1819938544.4452562</v>
      </c>
      <c r="D4" s="10">
        <f>C4/SUM($C$3:$C$4)</f>
        <v>0.19589557868596638</v>
      </c>
      <c r="E4" t="s">
        <v>586</v>
      </c>
      <c r="J4" s="68"/>
      <c r="K4" s="68"/>
      <c r="L4" s="68"/>
      <c r="M4" s="68"/>
      <c r="N4" s="68"/>
      <c r="O4" s="68"/>
    </row>
    <row r="5" spans="1:15">
      <c r="J5" s="68"/>
      <c r="K5" s="68"/>
      <c r="L5" s="68"/>
      <c r="M5" s="68"/>
      <c r="N5" s="68"/>
      <c r="O5" s="68"/>
    </row>
    <row r="6" spans="1:15">
      <c r="B6" s="1" t="s">
        <v>587</v>
      </c>
      <c r="C6" s="1"/>
      <c r="E6" s="1"/>
      <c r="F6" s="1"/>
      <c r="G6" s="1"/>
      <c r="H6" s="1"/>
      <c r="J6" s="68"/>
      <c r="K6" s="68"/>
      <c r="L6" s="68"/>
      <c r="M6" s="68"/>
      <c r="N6" s="68"/>
      <c r="O6" s="68"/>
    </row>
    <row r="7" spans="1:15">
      <c r="B7" t="s">
        <v>378</v>
      </c>
      <c r="C7">
        <f>SUMIFS('hd trucs'!$C$7:$C$107,'hd trucs'!$E$7:$E$107,'EPA HDV Rules'!$B7)*SUM('AEO by Class'!H8:H9)/SUM('AEO by Class'!H7:H9)</f>
        <v>1762015556.7569227</v>
      </c>
      <c r="D7" s="10">
        <f>C7/SUM($C$7:$C$10)</f>
        <v>5.7267292832522444E-2</v>
      </c>
      <c r="E7" t="s">
        <v>588</v>
      </c>
      <c r="J7" s="68"/>
      <c r="K7" s="68"/>
      <c r="L7" s="68"/>
      <c r="M7" s="68"/>
      <c r="N7" s="68"/>
      <c r="O7" s="68"/>
    </row>
    <row r="8" spans="1:15">
      <c r="B8" t="s">
        <v>368</v>
      </c>
      <c r="C8">
        <f>SUMIFS('hd trucs'!$C$7:$C$107,'hd trucs'!$E$7:$E$107,'EPA HDV Rules'!$B8)</f>
        <v>1871904738.5605273</v>
      </c>
      <c r="D8" s="10">
        <f t="shared" ref="D8:D10" si="0">C8/SUM($C$7:$C$10)</f>
        <v>6.0838802703329711E-2</v>
      </c>
      <c r="J8" s="68"/>
      <c r="K8" s="68"/>
      <c r="L8" s="68"/>
      <c r="M8" s="68"/>
      <c r="N8" s="68"/>
      <c r="O8" s="68"/>
    </row>
    <row r="9" spans="1:15">
      <c r="B9" s="2" t="s">
        <v>12</v>
      </c>
      <c r="C9">
        <f>SUMIFS('hd trucs'!$C$7:$C$107,'hd trucs'!$E$7:$E$107,'EPA HDV Rules'!$B9)</f>
        <v>9013846074.230608</v>
      </c>
      <c r="D9" s="10">
        <f t="shared" si="0"/>
        <v>0.29295914028723796</v>
      </c>
      <c r="J9" s="68"/>
      <c r="K9" s="68"/>
      <c r="L9" s="68"/>
      <c r="M9" s="68"/>
      <c r="N9" s="68"/>
      <c r="O9" s="68"/>
    </row>
    <row r="10" spans="1:15">
      <c r="B10" t="s">
        <v>36</v>
      </c>
      <c r="C10">
        <f>SUMIFS('hd trucs'!$C$7:$C$107,'hd trucs'!$E$7:$E$107,'EPA HDV Rules'!$B10)</f>
        <v>18120504131.904099</v>
      </c>
      <c r="D10" s="10">
        <f t="shared" si="0"/>
        <v>0.58893476417690993</v>
      </c>
      <c r="J10" s="68"/>
      <c r="K10" s="68"/>
      <c r="L10" s="68"/>
      <c r="M10" s="68"/>
      <c r="N10" s="68"/>
      <c r="O10" s="68"/>
    </row>
    <row r="11" spans="1:15">
      <c r="J11" s="68"/>
      <c r="K11" s="68"/>
      <c r="L11" s="68"/>
      <c r="M11" s="68"/>
      <c r="N11" s="68"/>
      <c r="O11" s="68"/>
    </row>
    <row r="12" spans="1:15">
      <c r="B12" s="1" t="s">
        <v>589</v>
      </c>
      <c r="C12" s="1">
        <v>2027</v>
      </c>
      <c r="D12" s="1">
        <v>2028</v>
      </c>
      <c r="E12" s="1">
        <v>2029</v>
      </c>
      <c r="F12" s="1">
        <v>2030</v>
      </c>
      <c r="G12" s="1">
        <v>2031</v>
      </c>
      <c r="H12" s="1">
        <v>2032</v>
      </c>
      <c r="J12" s="68"/>
      <c r="K12" s="68"/>
      <c r="L12" s="68"/>
      <c r="M12" s="68"/>
      <c r="N12" s="68"/>
      <c r="O12" s="68"/>
    </row>
    <row r="13" spans="1:15">
      <c r="A13" t="s">
        <v>570</v>
      </c>
      <c r="B13" t="s">
        <v>590</v>
      </c>
      <c r="C13" s="10">
        <v>0.17</v>
      </c>
      <c r="D13" s="10">
        <v>0.22</v>
      </c>
      <c r="E13" s="10">
        <v>0.27</v>
      </c>
      <c r="F13" s="10">
        <v>0.32</v>
      </c>
      <c r="G13" s="10">
        <v>0.46</v>
      </c>
      <c r="H13" s="10">
        <v>0.6</v>
      </c>
      <c r="J13" s="193">
        <v>6.4000000000000001E-2</v>
      </c>
      <c r="K13" s="193">
        <v>9.7000000000000003E-2</v>
      </c>
      <c r="L13" s="193">
        <v>0.129</v>
      </c>
      <c r="M13" s="193">
        <v>0.16</v>
      </c>
      <c r="N13" s="193">
        <v>0.17599999999999999</v>
      </c>
      <c r="O13" s="193">
        <v>0.191</v>
      </c>
    </row>
    <row r="14" spans="1:15">
      <c r="A14" t="s">
        <v>171</v>
      </c>
      <c r="B14" t="s">
        <v>591</v>
      </c>
      <c r="C14" s="10">
        <v>0.13</v>
      </c>
      <c r="D14" s="10">
        <v>0.16</v>
      </c>
      <c r="E14" s="10">
        <v>0.19</v>
      </c>
      <c r="F14" s="10">
        <v>0.22</v>
      </c>
      <c r="G14" s="10">
        <v>0.31</v>
      </c>
      <c r="H14" s="10">
        <v>0.4</v>
      </c>
      <c r="J14" s="193">
        <v>0.04</v>
      </c>
      <c r="K14" s="193">
        <v>0.06</v>
      </c>
      <c r="L14" s="193">
        <v>0.08</v>
      </c>
      <c r="M14" s="193">
        <v>9.9000000000000005E-2</v>
      </c>
      <c r="N14" s="193">
        <v>0.109</v>
      </c>
      <c r="O14" s="193">
        <v>0.11899999999999999</v>
      </c>
    </row>
    <row r="15" spans="1:15">
      <c r="A15" t="s">
        <v>172</v>
      </c>
      <c r="B15" t="s">
        <v>592</v>
      </c>
      <c r="C15" s="10">
        <v>0</v>
      </c>
      <c r="D15" s="10">
        <v>0</v>
      </c>
      <c r="E15" s="10">
        <v>0.13</v>
      </c>
      <c r="F15" s="10">
        <v>0.15</v>
      </c>
      <c r="G15" s="10">
        <v>0.23</v>
      </c>
      <c r="H15" s="10">
        <v>0.3</v>
      </c>
      <c r="J15" s="193">
        <v>3.6999999999999998E-2</v>
      </c>
      <c r="K15" s="193">
        <v>5.6000000000000001E-2</v>
      </c>
      <c r="L15" s="193">
        <v>7.3999999999999996E-2</v>
      </c>
      <c r="M15" s="193">
        <v>9.1999999999999998E-2</v>
      </c>
      <c r="N15" s="193">
        <v>0.10100000000000001</v>
      </c>
      <c r="O15" s="193">
        <v>0.11</v>
      </c>
    </row>
    <row r="16" spans="1:15">
      <c r="A16" t="s">
        <v>172</v>
      </c>
      <c r="B16" s="2" t="s">
        <v>593</v>
      </c>
      <c r="C16" s="10">
        <v>0</v>
      </c>
      <c r="D16" s="10">
        <v>0.08</v>
      </c>
      <c r="E16" s="10">
        <v>0.12</v>
      </c>
      <c r="F16" s="10">
        <v>0.16</v>
      </c>
      <c r="G16" s="10">
        <v>0.28000000000000003</v>
      </c>
      <c r="H16" s="10">
        <v>0.4</v>
      </c>
      <c r="J16" s="193">
        <v>2.9000000000000001E-2</v>
      </c>
      <c r="K16" s="193">
        <v>3.7999999999999999E-2</v>
      </c>
      <c r="L16" s="193">
        <v>4.5999999999999999E-2</v>
      </c>
      <c r="M16" s="193">
        <v>5.3999999999999999E-2</v>
      </c>
      <c r="N16" s="193">
        <v>5.8000000000000003E-2</v>
      </c>
      <c r="O16" s="193">
        <v>6.5000000000000002E-2</v>
      </c>
    </row>
    <row r="17" spans="1:25">
      <c r="A17" t="s">
        <v>172</v>
      </c>
      <c r="B17" t="s">
        <v>594</v>
      </c>
      <c r="C17" s="10">
        <v>0</v>
      </c>
      <c r="D17" s="10">
        <v>0</v>
      </c>
      <c r="E17" s="10">
        <v>0</v>
      </c>
      <c r="F17" s="10">
        <v>0.06</v>
      </c>
      <c r="G17" s="10">
        <v>0.12</v>
      </c>
      <c r="H17" s="10">
        <v>0.25</v>
      </c>
      <c r="J17" s="193">
        <v>2E-3</v>
      </c>
      <c r="K17" s="193">
        <v>4.0000000000000001E-3</v>
      </c>
      <c r="L17" s="193">
        <v>7.0000000000000001E-3</v>
      </c>
      <c r="M17" s="193">
        <v>0.01</v>
      </c>
      <c r="N17" s="193">
        <v>0.02</v>
      </c>
      <c r="O17" s="193">
        <v>2.5000000000000001E-2</v>
      </c>
    </row>
    <row r="18" spans="1:25">
      <c r="J18" s="68"/>
      <c r="K18" s="68"/>
      <c r="L18" s="68"/>
      <c r="M18" s="68"/>
      <c r="N18" s="68"/>
      <c r="O18" s="68"/>
    </row>
    <row r="19" spans="1:25">
      <c r="J19" s="68"/>
      <c r="K19" s="68"/>
      <c r="L19" s="68"/>
      <c r="M19" s="68"/>
      <c r="N19" s="68"/>
      <c r="O19" s="68"/>
    </row>
    <row r="20" spans="1:25">
      <c r="A20" t="s">
        <v>595</v>
      </c>
      <c r="C20" s="194">
        <f t="shared" ref="C20:H20" si="1">SUMPRODUCT(C13:C14,$D$3:$D$4)</f>
        <v>0.16216417685256135</v>
      </c>
      <c r="D20" s="194">
        <f t="shared" si="1"/>
        <v>0.20824626527884199</v>
      </c>
      <c r="E20" s="194">
        <f t="shared" si="1"/>
        <v>0.25432835370512263</v>
      </c>
      <c r="F20" s="194">
        <f t="shared" si="1"/>
        <v>0.30041044213140328</v>
      </c>
      <c r="G20" s="194">
        <f t="shared" si="1"/>
        <v>0.43061566319710498</v>
      </c>
      <c r="H20" s="194">
        <f t="shared" si="1"/>
        <v>0.56082088426280663</v>
      </c>
      <c r="I20" s="194"/>
      <c r="J20" s="194">
        <f t="shared" ref="J20:O20" si="2">SUMPRODUCT(J13:J14,$D$3:$D$4)</f>
        <v>5.9298506111536801E-2</v>
      </c>
      <c r="K20" s="194">
        <f t="shared" si="2"/>
        <v>8.9751863588619238E-2</v>
      </c>
      <c r="L20" s="194">
        <f t="shared" si="2"/>
        <v>0.11940111664438764</v>
      </c>
      <c r="M20" s="194">
        <f t="shared" si="2"/>
        <v>0.14805036970015603</v>
      </c>
      <c r="N20" s="194">
        <f t="shared" si="2"/>
        <v>0.16287499622804022</v>
      </c>
      <c r="O20" s="194">
        <f t="shared" si="2"/>
        <v>0.1768955183346104</v>
      </c>
    </row>
    <row r="21" spans="1:25">
      <c r="A21" t="s">
        <v>596</v>
      </c>
      <c r="C21" s="10">
        <f t="shared" ref="C21:H21" si="3">SUMPRODUCT(C14:C17,$D$7:$D$10)</f>
        <v>7.4447480682279183E-3</v>
      </c>
      <c r="D21" s="10">
        <f t="shared" si="3"/>
        <v>3.2599498076182627E-2</v>
      </c>
      <c r="E21" s="10">
        <f t="shared" si="3"/>
        <v>5.3944926824080683E-2</v>
      </c>
      <c r="F21" s="10">
        <f t="shared" si="3"/>
        <v>0.10393417312522707</v>
      </c>
      <c r="G21" s="10">
        <f t="shared" si="3"/>
        <v>0.18444651638150361</v>
      </c>
      <c r="H21" s="10">
        <f t="shared" si="3"/>
        <v>0.3055759051031306</v>
      </c>
      <c r="I21" s="10"/>
      <c r="J21" s="10">
        <f t="shared" ref="J21:O21" si="4">SUMPRODUCT(J14:J17,$D$7:$D$10)</f>
        <v>1.4215412010007819E-2</v>
      </c>
      <c r="K21" s="10">
        <f t="shared" si="4"/>
        <v>2.0331196908960493E-2</v>
      </c>
      <c r="L21" s="10">
        <f t="shared" si="4"/>
        <v>2.668211862909951E-2</v>
      </c>
      <c r="M21" s="10">
        <f t="shared" si="4"/>
        <v>3.2975773056406005E-2</v>
      </c>
      <c r="N21" s="10">
        <f t="shared" si="4"/>
        <v>4.1157179411979244E-2</v>
      </c>
      <c r="O21" s="10">
        <f t="shared" si="4"/>
        <v>4.7272789367529655E-2</v>
      </c>
    </row>
    <row r="23" spans="1:25">
      <c r="A23" t="s">
        <v>597</v>
      </c>
    </row>
    <row r="25" spans="1:25">
      <c r="B25">
        <v>2027</v>
      </c>
      <c r="C25">
        <v>2030</v>
      </c>
      <c r="D25">
        <v>2032</v>
      </c>
    </row>
    <row r="26" spans="1:25">
      <c r="A26" s="1" t="s">
        <v>598</v>
      </c>
      <c r="B26" s="10">
        <f>SUMIF('hd trucs'!$A$7:$A$107,'hd trucs'!$A149,'hd trucs'!L7:L107)</f>
        <v>0.14461286646174107</v>
      </c>
      <c r="C26" s="10">
        <f>SUMIF('hd trucs'!$A$7:$A$107,'hd trucs'!$A149,'hd trucs'!M7:M107)</f>
        <v>0.27621238424102285</v>
      </c>
      <c r="D26" s="10">
        <f>SUMIF('hd trucs'!$A$7:$A$107,'hd trucs'!$A149,'hd trucs'!N7:N107)</f>
        <v>0.45710407324565627</v>
      </c>
    </row>
    <row r="28" spans="1:25" s="53" customFormat="1">
      <c r="A28" s="52" t="s">
        <v>599</v>
      </c>
    </row>
    <row r="29" spans="1:25">
      <c r="A29" s="9" t="s">
        <v>600</v>
      </c>
      <c r="B29">
        <v>2027</v>
      </c>
      <c r="C29">
        <v>2028</v>
      </c>
      <c r="D29">
        <v>2029</v>
      </c>
      <c r="E29">
        <v>2030</v>
      </c>
      <c r="F29">
        <v>2031</v>
      </c>
      <c r="G29">
        <v>2032</v>
      </c>
      <c r="H29">
        <v>2033</v>
      </c>
      <c r="I29">
        <v>2034</v>
      </c>
      <c r="J29">
        <v>2035</v>
      </c>
      <c r="K29">
        <v>2036</v>
      </c>
      <c r="L29">
        <v>2037</v>
      </c>
      <c r="M29">
        <v>2038</v>
      </c>
      <c r="N29">
        <v>2039</v>
      </c>
      <c r="O29">
        <v>2040</v>
      </c>
      <c r="P29">
        <v>2041</v>
      </c>
      <c r="Q29">
        <v>2042</v>
      </c>
      <c r="R29">
        <v>2043</v>
      </c>
      <c r="S29">
        <v>2044</v>
      </c>
      <c r="T29">
        <v>2045</v>
      </c>
      <c r="U29">
        <v>2046</v>
      </c>
      <c r="V29">
        <v>2047</v>
      </c>
      <c r="W29">
        <v>2048</v>
      </c>
      <c r="X29">
        <v>2049</v>
      </c>
      <c r="Y29">
        <v>2050</v>
      </c>
    </row>
    <row r="30" spans="1:25">
      <c r="A30" t="s">
        <v>572</v>
      </c>
      <c r="B30" s="195" cm="1">
        <f t="array" ref="B30">TREND('EPA HDV Rules'!$B$26:$C$26,'EPA HDV Rules'!$B$25:$C$25,'EPA HDV Rules'!B29)</f>
        <v>0.14461286646172766</v>
      </c>
      <c r="C30" s="195" cm="1">
        <f t="array" ref="C30">TREND('EPA HDV Rules'!$B$26:$C$26,'EPA HDV Rules'!$B$25:$C$25,'EPA HDV Rules'!C29)</f>
        <v>0.18847937238815859</v>
      </c>
      <c r="D30" s="195" cm="1">
        <f t="array" ref="D30">TREND('EPA HDV Rules'!$B$26:$C$26,'EPA HDV Rules'!$B$25:$C$25,'EPA HDV Rules'!D29)</f>
        <v>0.23234587831458953</v>
      </c>
      <c r="E30" s="195" cm="1">
        <f t="array" ref="E30">TREND('EPA HDV Rules'!$B$26:$C$26,'EPA HDV Rules'!$B$25:$C$25,'EPA HDV Rules'!E29)</f>
        <v>0.27621238424102046</v>
      </c>
      <c r="F30" s="195" cm="1">
        <f t="array" ref="F30">TREND('EPA HDV Rules'!$C$26:$D$26,'EPA HDV Rules'!$C$25:$D$25,'EPA HDV Rules'!F29)</f>
        <v>0.36665822874334708</v>
      </c>
      <c r="G30" s="195" cm="1">
        <f t="array" ref="G30">TREND('EPA HDV Rules'!$C$26:$D$26,'EPA HDV Rules'!$C$25:$D$25,'EPA HDV Rules'!G29)</f>
        <v>0.45710407324568791</v>
      </c>
      <c r="H30" s="195">
        <f>$G$30</f>
        <v>0.45710407324568791</v>
      </c>
      <c r="I30" s="195">
        <f t="shared" ref="I30:Y30" si="5">$G$30</f>
        <v>0.45710407324568791</v>
      </c>
      <c r="J30" s="195">
        <f t="shared" si="5"/>
        <v>0.45710407324568791</v>
      </c>
      <c r="K30" s="195">
        <f t="shared" si="5"/>
        <v>0.45710407324568791</v>
      </c>
      <c r="L30" s="195">
        <f t="shared" si="5"/>
        <v>0.45710407324568791</v>
      </c>
      <c r="M30" s="195">
        <f t="shared" si="5"/>
        <v>0.45710407324568791</v>
      </c>
      <c r="N30" s="195">
        <f t="shared" si="5"/>
        <v>0.45710407324568791</v>
      </c>
      <c r="O30" s="195">
        <f t="shared" si="5"/>
        <v>0.45710407324568791</v>
      </c>
      <c r="P30" s="195">
        <f t="shared" si="5"/>
        <v>0.45710407324568791</v>
      </c>
      <c r="Q30" s="195">
        <f t="shared" si="5"/>
        <v>0.45710407324568791</v>
      </c>
      <c r="R30" s="195">
        <f t="shared" si="5"/>
        <v>0.45710407324568791</v>
      </c>
      <c r="S30" s="195">
        <f t="shared" si="5"/>
        <v>0.45710407324568791</v>
      </c>
      <c r="T30" s="195">
        <f t="shared" si="5"/>
        <v>0.45710407324568791</v>
      </c>
      <c r="U30" s="195">
        <f t="shared" si="5"/>
        <v>0.45710407324568791</v>
      </c>
      <c r="V30" s="195">
        <f t="shared" si="5"/>
        <v>0.45710407324568791</v>
      </c>
      <c r="W30" s="195">
        <f t="shared" si="5"/>
        <v>0.45710407324568791</v>
      </c>
      <c r="X30" s="195">
        <f t="shared" si="5"/>
        <v>0.45710407324568791</v>
      </c>
      <c r="Y30" s="195">
        <f t="shared" si="5"/>
        <v>0.45710407324568791</v>
      </c>
    </row>
    <row r="31" spans="1:25">
      <c r="A31" t="s">
        <v>570</v>
      </c>
      <c r="B31" s="194">
        <f t="shared" ref="B31:G32" si="6">C20</f>
        <v>0.16216417685256135</v>
      </c>
      <c r="C31" s="194">
        <f t="shared" si="6"/>
        <v>0.20824626527884199</v>
      </c>
      <c r="D31" s="194">
        <f t="shared" si="6"/>
        <v>0.25432835370512263</v>
      </c>
      <c r="E31" s="194">
        <f t="shared" si="6"/>
        <v>0.30041044213140328</v>
      </c>
      <c r="F31" s="194">
        <f t="shared" si="6"/>
        <v>0.43061566319710498</v>
      </c>
      <c r="G31" s="194">
        <f t="shared" si="6"/>
        <v>0.56082088426280663</v>
      </c>
      <c r="H31" s="194">
        <f>$G31</f>
        <v>0.56082088426280663</v>
      </c>
      <c r="I31" s="194">
        <f t="shared" ref="I31:Y32" si="7">$G31</f>
        <v>0.56082088426280663</v>
      </c>
      <c r="J31" s="194">
        <f t="shared" si="7"/>
        <v>0.56082088426280663</v>
      </c>
      <c r="K31" s="194">
        <f t="shared" si="7"/>
        <v>0.56082088426280663</v>
      </c>
      <c r="L31" s="194">
        <f t="shared" si="7"/>
        <v>0.56082088426280663</v>
      </c>
      <c r="M31" s="194">
        <f t="shared" si="7"/>
        <v>0.56082088426280663</v>
      </c>
      <c r="N31" s="194">
        <f t="shared" si="7"/>
        <v>0.56082088426280663</v>
      </c>
      <c r="O31" s="194">
        <f t="shared" si="7"/>
        <v>0.56082088426280663</v>
      </c>
      <c r="P31" s="194">
        <f t="shared" si="7"/>
        <v>0.56082088426280663</v>
      </c>
      <c r="Q31" s="194">
        <f t="shared" si="7"/>
        <v>0.56082088426280663</v>
      </c>
      <c r="R31" s="194">
        <f t="shared" si="7"/>
        <v>0.56082088426280663</v>
      </c>
      <c r="S31" s="194">
        <f t="shared" si="7"/>
        <v>0.56082088426280663</v>
      </c>
      <c r="T31" s="194">
        <f t="shared" si="7"/>
        <v>0.56082088426280663</v>
      </c>
      <c r="U31" s="194">
        <f t="shared" si="7"/>
        <v>0.56082088426280663</v>
      </c>
      <c r="V31" s="194">
        <f t="shared" si="7"/>
        <v>0.56082088426280663</v>
      </c>
      <c r="W31" s="194">
        <f t="shared" si="7"/>
        <v>0.56082088426280663</v>
      </c>
      <c r="X31" s="194">
        <f t="shared" si="7"/>
        <v>0.56082088426280663</v>
      </c>
      <c r="Y31" s="194">
        <f t="shared" si="7"/>
        <v>0.56082088426280663</v>
      </c>
    </row>
    <row r="32" spans="1:25">
      <c r="A32" s="8" t="s">
        <v>571</v>
      </c>
      <c r="B32" s="194">
        <f t="shared" si="6"/>
        <v>7.4447480682279183E-3</v>
      </c>
      <c r="C32" s="194">
        <f t="shared" si="6"/>
        <v>3.2599498076182627E-2</v>
      </c>
      <c r="D32" s="194">
        <f t="shared" si="6"/>
        <v>5.3944926824080683E-2</v>
      </c>
      <c r="E32" s="194">
        <f t="shared" si="6"/>
        <v>0.10393417312522707</v>
      </c>
      <c r="F32" s="194">
        <f t="shared" si="6"/>
        <v>0.18444651638150361</v>
      </c>
      <c r="G32" s="194">
        <f t="shared" si="6"/>
        <v>0.3055759051031306</v>
      </c>
      <c r="H32" s="194">
        <f>$G32</f>
        <v>0.3055759051031306</v>
      </c>
      <c r="I32" s="194">
        <f t="shared" si="7"/>
        <v>0.3055759051031306</v>
      </c>
      <c r="J32" s="194">
        <f t="shared" si="7"/>
        <v>0.3055759051031306</v>
      </c>
      <c r="K32" s="194">
        <f t="shared" si="7"/>
        <v>0.3055759051031306</v>
      </c>
      <c r="L32" s="194">
        <f t="shared" si="7"/>
        <v>0.3055759051031306</v>
      </c>
      <c r="M32" s="194">
        <f t="shared" si="7"/>
        <v>0.3055759051031306</v>
      </c>
      <c r="N32" s="194">
        <f t="shared" si="7"/>
        <v>0.3055759051031306</v>
      </c>
      <c r="O32" s="194">
        <f t="shared" si="7"/>
        <v>0.3055759051031306</v>
      </c>
      <c r="P32" s="194">
        <f t="shared" si="7"/>
        <v>0.3055759051031306</v>
      </c>
      <c r="Q32" s="194">
        <f t="shared" si="7"/>
        <v>0.3055759051031306</v>
      </c>
      <c r="R32" s="194">
        <f t="shared" si="7"/>
        <v>0.3055759051031306</v>
      </c>
      <c r="S32" s="194">
        <f t="shared" si="7"/>
        <v>0.3055759051031306</v>
      </c>
      <c r="T32" s="194">
        <f t="shared" si="7"/>
        <v>0.3055759051031306</v>
      </c>
      <c r="U32" s="194">
        <f t="shared" si="7"/>
        <v>0.3055759051031306</v>
      </c>
      <c r="V32" s="194">
        <f t="shared" si="7"/>
        <v>0.3055759051031306</v>
      </c>
      <c r="W32" s="194">
        <f t="shared" si="7"/>
        <v>0.3055759051031306</v>
      </c>
      <c r="X32" s="194">
        <f t="shared" si="7"/>
        <v>0.3055759051031306</v>
      </c>
      <c r="Y32" s="194">
        <f t="shared" si="7"/>
        <v>0.3055759051031306</v>
      </c>
    </row>
    <row r="34" spans="1:31">
      <c r="A34" s="9" t="s">
        <v>601</v>
      </c>
      <c r="B34">
        <v>2027</v>
      </c>
      <c r="C34">
        <v>2028</v>
      </c>
      <c r="D34">
        <v>2029</v>
      </c>
      <c r="E34">
        <v>2030</v>
      </c>
      <c r="F34">
        <v>2031</v>
      </c>
      <c r="G34">
        <v>2032</v>
      </c>
      <c r="H34">
        <v>2033</v>
      </c>
      <c r="I34">
        <v>2034</v>
      </c>
      <c r="J34">
        <v>2035</v>
      </c>
      <c r="K34">
        <v>2036</v>
      </c>
      <c r="L34">
        <v>2037</v>
      </c>
      <c r="M34">
        <v>2038</v>
      </c>
      <c r="N34">
        <v>2039</v>
      </c>
      <c r="O34">
        <v>2040</v>
      </c>
      <c r="P34">
        <v>2041</v>
      </c>
      <c r="Q34">
        <v>2042</v>
      </c>
      <c r="R34">
        <v>2043</v>
      </c>
      <c r="S34">
        <v>2044</v>
      </c>
      <c r="T34">
        <v>2045</v>
      </c>
      <c r="U34">
        <v>2046</v>
      </c>
      <c r="V34">
        <v>2047</v>
      </c>
      <c r="W34">
        <v>2048</v>
      </c>
      <c r="X34">
        <v>2049</v>
      </c>
      <c r="Y34">
        <v>2050</v>
      </c>
    </row>
    <row r="35" spans="1:31">
      <c r="A35" t="s">
        <v>572</v>
      </c>
      <c r="B35" s="196">
        <f>'CA Standards and Followers'!I5</f>
        <v>8.6930079249293704E-2</v>
      </c>
      <c r="C35" s="196">
        <f>'CA Standards and Followers'!J5</f>
        <v>0.13039511887394054</v>
      </c>
      <c r="D35" s="196">
        <f>'CA Standards and Followers'!K5</f>
        <v>0.17386015849858741</v>
      </c>
      <c r="E35" s="196">
        <f>'CA Standards and Followers'!L5</f>
        <v>0.21732519812323425</v>
      </c>
      <c r="F35" s="196">
        <f>'CA Standards and Followers'!M5</f>
        <v>0.23905771793555769</v>
      </c>
      <c r="G35" s="196">
        <f>'CA Standards and Followers'!N5</f>
        <v>0.26079023774788107</v>
      </c>
      <c r="H35" s="196">
        <f>'CA Standards and Followers'!O5</f>
        <v>0.28252275756020451</v>
      </c>
      <c r="I35" s="196">
        <f>'CA Standards and Followers'!P5</f>
        <v>0.30425527737252789</v>
      </c>
      <c r="J35" s="196">
        <f>'CA Standards and Followers'!Q5</f>
        <v>0.32598779718485138</v>
      </c>
      <c r="K35" s="196">
        <f>'CA Standards and Followers'!R5</f>
        <v>0.32598779718485138</v>
      </c>
      <c r="L35" s="196">
        <f>'CA Standards and Followers'!S5</f>
        <v>0.32598779718485138</v>
      </c>
      <c r="M35" s="196">
        <f>'CA Standards and Followers'!T5</f>
        <v>0.32598779718485138</v>
      </c>
      <c r="N35" s="196">
        <f>'CA Standards and Followers'!U5</f>
        <v>0.32598779718485138</v>
      </c>
      <c r="O35" s="196">
        <f>'CA Standards and Followers'!V5</f>
        <v>0.32598779718485138</v>
      </c>
      <c r="P35" s="196">
        <f>'CA Standards and Followers'!W5</f>
        <v>0.32598779718485138</v>
      </c>
      <c r="Q35" s="196">
        <f>'CA Standards and Followers'!X5</f>
        <v>0.32598779718485138</v>
      </c>
      <c r="R35" s="196">
        <f>'CA Standards and Followers'!Y5</f>
        <v>0.32598779718485138</v>
      </c>
      <c r="S35" s="196">
        <f>'CA Standards and Followers'!Z5</f>
        <v>0.32598779718485138</v>
      </c>
      <c r="T35" s="196">
        <f>'CA Standards and Followers'!AA5</f>
        <v>0.32598779718485138</v>
      </c>
      <c r="U35" s="196">
        <f>'CA Standards and Followers'!AB5</f>
        <v>0.32598779718485138</v>
      </c>
      <c r="V35" s="196">
        <f>'CA Standards and Followers'!AC5</f>
        <v>0.32598779718485138</v>
      </c>
      <c r="W35" s="196">
        <f>'CA Standards and Followers'!AD5</f>
        <v>0.32598779718485138</v>
      </c>
      <c r="X35" s="196">
        <f>'CA Standards and Followers'!AE5</f>
        <v>0.32598779718485138</v>
      </c>
      <c r="Y35" s="196">
        <f>'CA Standards and Followers'!AF5</f>
        <v>0.32598779718485138</v>
      </c>
    </row>
    <row r="36" spans="1:31">
      <c r="A36" t="s">
        <v>570</v>
      </c>
      <c r="B36" s="6">
        <f>'CA Standards and Followers'!L7</f>
        <v>0.35012393285022902</v>
      </c>
      <c r="C36" s="6">
        <f>'CA Standards and Followers'!M7</f>
        <v>0.40009157982742549</v>
      </c>
      <c r="D36" s="6">
        <f>'CA Standards and Followers'!N7</f>
        <v>0.4501677577150176</v>
      </c>
      <c r="E36" s="6">
        <f>'CA Standards and Followers'!O7</f>
        <v>0.5001508451310549</v>
      </c>
      <c r="F36" s="6">
        <f>'CA Standards and Followers'!P7</f>
        <v>0.5501338837991816</v>
      </c>
      <c r="G36" s="6">
        <f>'CA Standards and Followers'!Q7</f>
        <v>0.60014491697173544</v>
      </c>
      <c r="H36" s="6">
        <f>'CA Standards and Followers'!R7</f>
        <v>0.60012059658240735</v>
      </c>
      <c r="I36" s="6">
        <f>'CA Standards and Followers'!S7</f>
        <v>0.600161934202605</v>
      </c>
      <c r="J36" s="6">
        <f>'CA Standards and Followers'!T7</f>
        <v>0.60016393701902881</v>
      </c>
      <c r="K36" s="6">
        <f>'CA Standards and Followers'!U7</f>
        <v>0.60017920871502439</v>
      </c>
      <c r="L36" s="6">
        <f>'CA Standards and Followers'!V7</f>
        <v>0.60021168530300795</v>
      </c>
      <c r="M36" s="6">
        <f>'CA Standards and Followers'!W7</f>
        <v>0.60021917370958355</v>
      </c>
      <c r="N36" s="6">
        <f>'CA Standards and Followers'!X7</f>
        <v>0.60022013941623975</v>
      </c>
      <c r="O36" s="6">
        <f>'CA Standards and Followers'!Y7</f>
        <v>0.60024997430440052</v>
      </c>
      <c r="P36" s="6">
        <f>'CA Standards and Followers'!Z7</f>
        <v>0.6002767858670699</v>
      </c>
      <c r="Q36" s="6">
        <f>'CA Standards and Followers'!AA7</f>
        <v>0.60025331577567864</v>
      </c>
      <c r="R36" s="6">
        <f>'CA Standards and Followers'!AB7</f>
        <v>0.60021121415169432</v>
      </c>
      <c r="S36" s="6">
        <f>'CA Standards and Followers'!AC7</f>
        <v>0.60014973485583689</v>
      </c>
      <c r="T36" s="6">
        <f>'CA Standards and Followers'!AD7</f>
        <v>0.60006877964945415</v>
      </c>
      <c r="U36" s="6">
        <f>'CA Standards and Followers'!AE7</f>
        <v>0.60001224832570577</v>
      </c>
      <c r="V36" s="6">
        <f>'CA Standards and Followers'!AF7</f>
        <v>0.5999947196049078</v>
      </c>
      <c r="W36" s="6">
        <f>'CA Standards and Followers'!AG7</f>
        <v>0</v>
      </c>
      <c r="X36" s="6">
        <f>'CA Standards and Followers'!AH7</f>
        <v>0</v>
      </c>
      <c r="Y36" s="6">
        <f>'CA Standards and Followers'!AI7</f>
        <v>0</v>
      </c>
    </row>
    <row r="37" spans="1:31">
      <c r="A37" s="8" t="s">
        <v>571</v>
      </c>
      <c r="B37" s="6">
        <f>'CA Standards and Followers'!I8</f>
        <v>0.15039415219720934</v>
      </c>
      <c r="C37" s="6">
        <f>'CA Standards and Followers'!J8</f>
        <v>0.20078269763173362</v>
      </c>
      <c r="D37" s="6">
        <f>'CA Standards and Followers'!K8</f>
        <v>0.25116640642453203</v>
      </c>
      <c r="E37" s="6">
        <f>'CA Standards and Followers'!L8</f>
        <v>0.30154673662148429</v>
      </c>
      <c r="F37" s="6">
        <f>'CA Standards and Followers'!M8</f>
        <v>0.35154017073763533</v>
      </c>
      <c r="G37" s="6">
        <f>'CA Standards and Followers'!N8</f>
        <v>0.40153478185130786</v>
      </c>
      <c r="H37" s="6">
        <f>'CA Standards and Followers'!O8</f>
        <v>0.40191215883585885</v>
      </c>
      <c r="I37" s="6">
        <f>'CA Standards and Followers'!P8</f>
        <v>0.40228783363087045</v>
      </c>
      <c r="J37" s="6">
        <f>'CA Standards and Followers'!Q8</f>
        <v>0.40266255578760335</v>
      </c>
      <c r="K37" s="6">
        <f>'CA Standards and Followers'!R8</f>
        <v>0.40265708999618932</v>
      </c>
      <c r="L37" s="6">
        <f>'CA Standards and Followers'!S8</f>
        <v>0.40265231563660031</v>
      </c>
      <c r="M37" s="6">
        <f>'CA Standards and Followers'!T8</f>
        <v>0.40264788033224125</v>
      </c>
      <c r="N37" s="6">
        <f>'CA Standards and Followers'!U8</f>
        <v>0.40264231400382128</v>
      </c>
      <c r="O37" s="6">
        <f>'CA Standards and Followers'!V8</f>
        <v>0.40263675353806344</v>
      </c>
      <c r="P37" s="6">
        <f>'CA Standards and Followers'!W8</f>
        <v>0.40263074466734672</v>
      </c>
      <c r="Q37" s="6">
        <f>'CA Standards and Followers'!X8</f>
        <v>0.40262607887975699</v>
      </c>
      <c r="R37" s="6">
        <f>'CA Standards and Followers'!Y8</f>
        <v>0.40262195913313187</v>
      </c>
      <c r="S37" s="6">
        <f>'CA Standards and Followers'!Z8</f>
        <v>0.40261845654978912</v>
      </c>
      <c r="T37" s="6">
        <f>'CA Standards and Followers'!AA8</f>
        <v>0.40261567998612185</v>
      </c>
      <c r="U37" s="6">
        <f>'CA Standards and Followers'!AB8</f>
        <v>0.40261281993963333</v>
      </c>
      <c r="V37" s="6">
        <f>'CA Standards and Followers'!AC8</f>
        <v>0.40260981140882179</v>
      </c>
      <c r="W37" s="6">
        <f>'CA Standards and Followers'!AD8</f>
        <v>0.4026073792992011</v>
      </c>
      <c r="X37" s="6">
        <f>'CA Standards and Followers'!AE8</f>
        <v>0.40260521056812626</v>
      </c>
      <c r="Y37" s="6">
        <f>'CA Standards and Followers'!AF8</f>
        <v>0.40260342485445444</v>
      </c>
    </row>
    <row r="38" spans="1:31">
      <c r="A38" s="8"/>
      <c r="B38" s="194"/>
      <c r="C38" s="194"/>
      <c r="D38" s="194"/>
      <c r="E38" s="194"/>
      <c r="F38" s="194"/>
      <c r="G38" s="194"/>
      <c r="H38" s="194"/>
      <c r="I38" s="194"/>
      <c r="J38" s="194"/>
      <c r="K38" s="194"/>
      <c r="L38" s="194"/>
      <c r="M38" s="194"/>
      <c r="N38" s="194"/>
      <c r="O38" s="194"/>
      <c r="P38" s="194"/>
      <c r="Q38" s="194"/>
      <c r="R38" s="194"/>
      <c r="S38" s="194"/>
      <c r="T38" s="194"/>
      <c r="U38" s="194"/>
      <c r="V38" s="194"/>
      <c r="W38" s="194"/>
      <c r="X38" s="194"/>
      <c r="Y38" s="194"/>
    </row>
    <row r="39" spans="1:31">
      <c r="A39" s="9" t="s">
        <v>602</v>
      </c>
      <c r="B39">
        <v>2027</v>
      </c>
      <c r="C39">
        <v>2028</v>
      </c>
      <c r="D39">
        <v>2029</v>
      </c>
      <c r="E39">
        <v>2030</v>
      </c>
      <c r="F39">
        <v>2031</v>
      </c>
      <c r="G39">
        <v>2032</v>
      </c>
      <c r="H39">
        <v>2033</v>
      </c>
      <c r="I39">
        <v>2034</v>
      </c>
      <c r="J39">
        <v>2035</v>
      </c>
      <c r="K39">
        <v>2036</v>
      </c>
      <c r="L39">
        <v>2037</v>
      </c>
      <c r="M39">
        <v>2038</v>
      </c>
      <c r="N39">
        <v>2039</v>
      </c>
      <c r="O39">
        <v>2040</v>
      </c>
      <c r="P39">
        <v>2041</v>
      </c>
      <c r="Q39">
        <v>2042</v>
      </c>
      <c r="R39">
        <v>2043</v>
      </c>
      <c r="S39">
        <v>2044</v>
      </c>
      <c r="T39">
        <v>2045</v>
      </c>
      <c r="U39">
        <v>2046</v>
      </c>
      <c r="V39">
        <v>2047</v>
      </c>
      <c r="W39">
        <v>2048</v>
      </c>
      <c r="X39">
        <v>2049</v>
      </c>
      <c r="Y39">
        <v>2050</v>
      </c>
    </row>
    <row r="40" spans="1:31">
      <c r="A40" t="s">
        <v>572</v>
      </c>
      <c r="B40" s="195">
        <f>SUM(H64,H68,H70)/B30</f>
        <v>2.1484423876088914</v>
      </c>
      <c r="C40" s="195">
        <f>SUM(I64,I68,I70)/C30</f>
        <v>2.095263964412537</v>
      </c>
      <c r="D40" s="195">
        <f t="shared" ref="D40:Y40" si="8">SUM(J64,J68,J70)/D30</f>
        <v>2.0933292018266858</v>
      </c>
      <c r="E40" s="195">
        <f t="shared" si="8"/>
        <v>2.040064436460252</v>
      </c>
      <c r="F40" s="195">
        <f t="shared" si="8"/>
        <v>1.5321632952992696</v>
      </c>
      <c r="G40" s="195">
        <f t="shared" si="8"/>
        <v>1.2303057726150006</v>
      </c>
      <c r="H40" s="195">
        <f>SUM(N64,N68,N70)/H30</f>
        <v>0.91555521924885397</v>
      </c>
      <c r="I40" s="195">
        <f>SUM(O64,O68,O70)/I30</f>
        <v>0.94260192638540352</v>
      </c>
      <c r="J40" s="195">
        <f t="shared" si="8"/>
        <v>0.9716764430608581</v>
      </c>
      <c r="K40" s="195">
        <f t="shared" si="8"/>
        <v>0.98500476445764729</v>
      </c>
      <c r="L40" s="195">
        <f t="shared" si="8"/>
        <v>0.9989236515829002</v>
      </c>
      <c r="M40" s="195">
        <f t="shared" si="8"/>
        <v>1.0159565122719696</v>
      </c>
      <c r="N40" s="195">
        <f t="shared" si="8"/>
        <v>1.0287717557643448</v>
      </c>
      <c r="O40" s="195">
        <f t="shared" si="8"/>
        <v>1.0401684820350379</v>
      </c>
      <c r="P40" s="195">
        <f t="shared" si="8"/>
        <v>1.0510096674237677</v>
      </c>
      <c r="Q40" s="195">
        <f t="shared" si="8"/>
        <v>1.055311532393024</v>
      </c>
      <c r="R40" s="195">
        <f t="shared" si="8"/>
        <v>1.0596562760000943</v>
      </c>
      <c r="S40" s="195">
        <f t="shared" si="8"/>
        <v>1.0637533735969329</v>
      </c>
      <c r="T40" s="195">
        <f t="shared" si="8"/>
        <v>1.0694936418500003</v>
      </c>
      <c r="U40" s="195">
        <f t="shared" si="8"/>
        <v>1.0816878013997535</v>
      </c>
      <c r="V40" s="195">
        <f t="shared" si="8"/>
        <v>1.0866280330278935</v>
      </c>
      <c r="W40" s="195">
        <f t="shared" si="8"/>
        <v>1.0917332161504811</v>
      </c>
      <c r="X40" s="195">
        <f t="shared" si="8"/>
        <v>1.0949589585717427</v>
      </c>
      <c r="Y40" s="195">
        <f t="shared" si="8"/>
        <v>1.0998928459116346</v>
      </c>
    </row>
    <row r="41" spans="1:31">
      <c r="A41" t="s">
        <v>570</v>
      </c>
      <c r="B41" s="194">
        <f>SUM(H57,H61,H63)/B31</f>
        <v>0.99989247407843218</v>
      </c>
      <c r="C41" s="194">
        <f>SUM(I57,I61,I63)/C31</f>
        <v>1.0028088605592747</v>
      </c>
      <c r="D41" s="194">
        <f>SUM(J57,J61,J63)/D31</f>
        <v>1.0017443839368054</v>
      </c>
      <c r="E41" s="194">
        <f t="shared" ref="E41:X41" si="9">SUM(K57,K61,K63)/E31</f>
        <v>1.0009588810114354</v>
      </c>
      <c r="F41" s="194">
        <f t="shared" si="9"/>
        <v>1.0008906708131502</v>
      </c>
      <c r="G41" s="194">
        <f>SUM(M57,M61,M63)/G31</f>
        <v>1.0003220306915475</v>
      </c>
      <c r="H41" s="194">
        <f t="shared" si="9"/>
        <v>1.0003196828652858</v>
      </c>
      <c r="I41" s="194">
        <f t="shared" si="9"/>
        <v>1.0003226901534368</v>
      </c>
      <c r="J41" s="194">
        <f t="shared" si="9"/>
        <v>1.0010004975972513</v>
      </c>
      <c r="K41" s="194">
        <f t="shared" si="9"/>
        <v>1.0009902870645115</v>
      </c>
      <c r="L41" s="194">
        <f t="shared" si="9"/>
        <v>1.0010071730975849</v>
      </c>
      <c r="M41" s="194">
        <f t="shared" si="9"/>
        <v>1.0010114001334651</v>
      </c>
      <c r="N41" s="194">
        <f t="shared" si="9"/>
        <v>1.0010161445002934</v>
      </c>
      <c r="O41" s="194">
        <f>SUM(U57,U61,U63)/O31</f>
        <v>1.0010331944716273</v>
      </c>
      <c r="P41" s="194">
        <f t="shared" si="9"/>
        <v>1.0010373341534136</v>
      </c>
      <c r="Q41" s="194">
        <f t="shared" si="9"/>
        <v>1.0010361586444076</v>
      </c>
      <c r="R41" s="194">
        <f t="shared" si="9"/>
        <v>1.0010479778190962</v>
      </c>
      <c r="S41" s="194">
        <f t="shared" si="9"/>
        <v>1.0010642612533551</v>
      </c>
      <c r="T41" s="194">
        <f t="shared" si="9"/>
        <v>1.0010528632291744</v>
      </c>
      <c r="U41" s="194">
        <f t="shared" si="9"/>
        <v>1.0010331027845991</v>
      </c>
      <c r="V41" s="194">
        <f t="shared" si="9"/>
        <v>1.0010045363020565</v>
      </c>
      <c r="W41" s="194">
        <f t="shared" si="9"/>
        <v>1.000965487292623</v>
      </c>
      <c r="X41" s="194">
        <f t="shared" si="9"/>
        <v>1.0009375083060335</v>
      </c>
      <c r="Y41" s="194">
        <f>SUM(AE57,AE61,AE63)/Y31</f>
        <v>1.0009297150869816</v>
      </c>
    </row>
    <row r="42" spans="1:31">
      <c r="A42" s="8" t="s">
        <v>571</v>
      </c>
      <c r="B42" s="194">
        <f>SUM(H71,H75,H77)/B32</f>
        <v>5.4833727247558812</v>
      </c>
      <c r="C42" s="194">
        <f>SUM(I71,I75,I77)/C32</f>
        <v>1.6959090250653919</v>
      </c>
      <c r="D42" s="194">
        <f>SUM(J71,J75,J77)/D32</f>
        <v>1.3157909034054869</v>
      </c>
      <c r="E42" s="194">
        <f t="shared" ref="E42:Y42" si="10">SUM(K71,K75,K77)/E32</f>
        <v>1.0021735572428208</v>
      </c>
      <c r="F42" s="194">
        <f t="shared" si="10"/>
        <v>1.0015176953405689</v>
      </c>
      <c r="G42" s="194">
        <f t="shared" si="10"/>
        <v>1.0018619756576599</v>
      </c>
      <c r="H42" s="194">
        <f t="shared" si="10"/>
        <v>1.00219256455002</v>
      </c>
      <c r="I42" s="194">
        <f t="shared" si="10"/>
        <v>1.0025390905628095</v>
      </c>
      <c r="J42" s="194">
        <f t="shared" si="10"/>
        <v>1.0028612691061958</v>
      </c>
      <c r="K42" s="194">
        <f t="shared" si="10"/>
        <v>1.0028445138584341</v>
      </c>
      <c r="L42" s="194">
        <f t="shared" si="10"/>
        <v>1.0028652615675766</v>
      </c>
      <c r="M42" s="194">
        <f t="shared" si="10"/>
        <v>1.002841863125878</v>
      </c>
      <c r="N42" s="194">
        <f t="shared" si="10"/>
        <v>1.0028642143645914</v>
      </c>
      <c r="O42" s="194">
        <f t="shared" si="10"/>
        <v>1.0028352199319412</v>
      </c>
      <c r="P42" s="194">
        <f t="shared" si="10"/>
        <v>1.0028368889116988</v>
      </c>
      <c r="Q42" s="194">
        <f t="shared" si="10"/>
        <v>1.0028218680938814</v>
      </c>
      <c r="R42" s="194">
        <f t="shared" si="10"/>
        <v>1.0028059964236382</v>
      </c>
      <c r="S42" s="194">
        <f t="shared" si="10"/>
        <v>1.0028316528967733</v>
      </c>
      <c r="T42" s="194">
        <f t="shared" si="10"/>
        <v>1.0028135231950936</v>
      </c>
      <c r="U42" s="194">
        <f t="shared" si="10"/>
        <v>1.0028107415621645</v>
      </c>
      <c r="V42" s="194">
        <f t="shared" si="10"/>
        <v>1.0028178756325006</v>
      </c>
      <c r="W42" s="194">
        <f t="shared" si="10"/>
        <v>1.0028090071322204</v>
      </c>
      <c r="X42" s="194">
        <f t="shared" si="10"/>
        <v>1.0027944771908022</v>
      </c>
      <c r="Y42" s="194">
        <f t="shared" si="10"/>
        <v>1.0028098252595528</v>
      </c>
    </row>
    <row r="44" spans="1:31">
      <c r="A44" t="s">
        <v>572</v>
      </c>
      <c r="B44" s="197">
        <v>0</v>
      </c>
      <c r="C44" s="197">
        <v>0</v>
      </c>
      <c r="D44" s="197">
        <v>0</v>
      </c>
      <c r="E44" s="197">
        <v>0</v>
      </c>
      <c r="F44" s="197">
        <v>0</v>
      </c>
      <c r="G44" s="197">
        <v>0</v>
      </c>
      <c r="H44" s="10">
        <f>H30</f>
        <v>0.45710407324568791</v>
      </c>
      <c r="I44" s="10">
        <f t="shared" ref="I44:Y44" si="11">I30</f>
        <v>0.45710407324568791</v>
      </c>
      <c r="J44" s="10">
        <f t="shared" si="11"/>
        <v>0.45710407324568791</v>
      </c>
      <c r="K44" s="10">
        <f t="shared" si="11"/>
        <v>0.45710407324568791</v>
      </c>
      <c r="L44" s="10">
        <f t="shared" si="11"/>
        <v>0.45710407324568791</v>
      </c>
      <c r="M44" s="10">
        <f t="shared" si="11"/>
        <v>0.45710407324568791</v>
      </c>
      <c r="N44" s="10">
        <f t="shared" si="11"/>
        <v>0.45710407324568791</v>
      </c>
      <c r="O44" s="10">
        <f t="shared" si="11"/>
        <v>0.45710407324568791</v>
      </c>
      <c r="P44" s="10">
        <f t="shared" si="11"/>
        <v>0.45710407324568791</v>
      </c>
      <c r="Q44" s="10">
        <f t="shared" si="11"/>
        <v>0.45710407324568791</v>
      </c>
      <c r="R44" s="10">
        <f t="shared" si="11"/>
        <v>0.45710407324568791</v>
      </c>
      <c r="S44" s="10">
        <f t="shared" si="11"/>
        <v>0.45710407324568791</v>
      </c>
      <c r="T44" s="10">
        <f t="shared" si="11"/>
        <v>0.45710407324568791</v>
      </c>
      <c r="U44" s="10">
        <f t="shared" si="11"/>
        <v>0.45710407324568791</v>
      </c>
      <c r="V44" s="10">
        <f t="shared" si="11"/>
        <v>0.45710407324568791</v>
      </c>
      <c r="W44" s="10">
        <f t="shared" si="11"/>
        <v>0.45710407324568791</v>
      </c>
      <c r="X44" s="10">
        <f t="shared" si="11"/>
        <v>0.45710407324568791</v>
      </c>
      <c r="Y44" s="10">
        <f t="shared" si="11"/>
        <v>0.45710407324568791</v>
      </c>
      <c r="Z44" s="54"/>
      <c r="AA44" s="54"/>
      <c r="AB44" s="54"/>
      <c r="AC44" s="54"/>
      <c r="AD44" s="54"/>
      <c r="AE44" s="54"/>
    </row>
    <row r="45" spans="1:31">
      <c r="A45" t="s">
        <v>570</v>
      </c>
      <c r="B45" s="194">
        <v>0.16200000000000001</v>
      </c>
      <c r="C45" s="194">
        <v>0.20300000000000001</v>
      </c>
      <c r="D45" s="194">
        <v>0.24299999999999999</v>
      </c>
      <c r="E45" s="194">
        <v>0.28299999999999997</v>
      </c>
      <c r="F45" s="194">
        <v>0.43099999999999999</v>
      </c>
      <c r="G45" s="194">
        <v>0.56100000000000005</v>
      </c>
      <c r="H45" s="194">
        <v>0.56100000000000005</v>
      </c>
      <c r="I45" s="194">
        <v>0.56100000000000005</v>
      </c>
      <c r="J45" s="194">
        <v>0.54749999999999999</v>
      </c>
      <c r="K45" s="194">
        <v>0.54749999999999999</v>
      </c>
      <c r="L45" s="194">
        <v>0.54749999999999999</v>
      </c>
      <c r="M45" s="194">
        <v>0.54749999999999999</v>
      </c>
      <c r="N45" s="194">
        <v>0.54749999999999999</v>
      </c>
      <c r="O45" s="194">
        <v>0.54749999999999999</v>
      </c>
      <c r="P45" s="194">
        <v>0.54749999999999999</v>
      </c>
      <c r="Q45" s="194">
        <v>0.54749999999999999</v>
      </c>
      <c r="R45" s="194">
        <v>0.54749999999999999</v>
      </c>
      <c r="S45" s="194">
        <v>0.54749999999999999</v>
      </c>
      <c r="T45" s="194">
        <v>0.54749999999999999</v>
      </c>
      <c r="U45" s="194">
        <v>0.54749999999999999</v>
      </c>
      <c r="V45" s="194">
        <v>0.54749999999999999</v>
      </c>
      <c r="W45" s="194">
        <v>0.54749999999999999</v>
      </c>
      <c r="X45" s="194">
        <v>0.54749999999999999</v>
      </c>
      <c r="Y45" s="194">
        <v>0.54749999999999999</v>
      </c>
      <c r="Z45" s="54"/>
      <c r="AA45" s="54"/>
      <c r="AB45" s="54"/>
      <c r="AC45" s="54"/>
      <c r="AD45" s="54"/>
      <c r="AE45" s="54"/>
    </row>
    <row r="46" spans="1:31">
      <c r="A46" t="s">
        <v>571</v>
      </c>
      <c r="B46" s="198">
        <v>0</v>
      </c>
      <c r="C46" s="198">
        <v>0</v>
      </c>
      <c r="D46" s="198">
        <v>0</v>
      </c>
      <c r="E46" s="194">
        <v>3.3500000000000002E-2</v>
      </c>
      <c r="F46" s="194">
        <v>0.125</v>
      </c>
      <c r="G46" s="194">
        <v>0.27200000000000002</v>
      </c>
      <c r="H46" s="194">
        <v>0.27200000000000002</v>
      </c>
      <c r="I46" s="194">
        <v>0.27200000000000002</v>
      </c>
      <c r="J46" s="194">
        <v>0.27200000000000002</v>
      </c>
      <c r="K46" s="194">
        <v>0.27200000000000002</v>
      </c>
      <c r="L46" s="194">
        <v>0.27200000000000002</v>
      </c>
      <c r="M46" s="194">
        <v>0.27200000000000002</v>
      </c>
      <c r="N46" s="194">
        <v>0.27200000000000002</v>
      </c>
      <c r="O46" s="194">
        <v>0.27200000000000002</v>
      </c>
      <c r="P46" s="194">
        <v>0.27200000000000002</v>
      </c>
      <c r="Q46" s="194">
        <v>0.27200000000000002</v>
      </c>
      <c r="R46" s="194">
        <v>0.27200000000000002</v>
      </c>
      <c r="S46" s="194">
        <v>0.27200000000000002</v>
      </c>
      <c r="T46" s="194">
        <v>0.27200000000000002</v>
      </c>
      <c r="U46" s="194">
        <v>0.27200000000000002</v>
      </c>
      <c r="V46" s="194">
        <v>0.27200000000000002</v>
      </c>
      <c r="W46" s="194">
        <v>0.27200000000000002</v>
      </c>
      <c r="X46" s="194">
        <v>0.27200000000000002</v>
      </c>
      <c r="Y46" s="194">
        <v>0.27200000000000002</v>
      </c>
      <c r="Z46" s="54"/>
      <c r="AA46" s="54"/>
      <c r="AB46" s="54"/>
      <c r="AC46" s="54"/>
      <c r="AD46" s="54"/>
      <c r="AE46" s="54"/>
    </row>
    <row r="48" spans="1:31" s="53" customFormat="1">
      <c r="A48" s="52" t="s">
        <v>141</v>
      </c>
    </row>
    <row r="49" spans="1:31">
      <c r="A49" t="s">
        <v>142</v>
      </c>
      <c r="B49">
        <v>2021</v>
      </c>
      <c r="C49">
        <v>2022</v>
      </c>
      <c r="D49">
        <v>2023</v>
      </c>
      <c r="E49">
        <v>2024</v>
      </c>
      <c r="F49">
        <v>2025</v>
      </c>
      <c r="G49">
        <v>2026</v>
      </c>
      <c r="H49">
        <v>2027</v>
      </c>
      <c r="I49">
        <v>2028</v>
      </c>
      <c r="J49">
        <v>2029</v>
      </c>
      <c r="K49">
        <v>2030</v>
      </c>
      <c r="L49">
        <v>2031</v>
      </c>
      <c r="M49">
        <v>2032</v>
      </c>
      <c r="N49">
        <v>2033</v>
      </c>
      <c r="O49">
        <v>2034</v>
      </c>
      <c r="P49">
        <v>2035</v>
      </c>
      <c r="Q49">
        <v>2036</v>
      </c>
      <c r="R49">
        <v>2037</v>
      </c>
      <c r="S49">
        <v>2038</v>
      </c>
      <c r="T49">
        <v>2039</v>
      </c>
      <c r="U49">
        <v>2040</v>
      </c>
      <c r="V49">
        <v>2041</v>
      </c>
      <c r="W49">
        <v>2042</v>
      </c>
      <c r="X49">
        <v>2043</v>
      </c>
      <c r="Y49">
        <v>2044</v>
      </c>
      <c r="Z49">
        <v>2045</v>
      </c>
      <c r="AA49">
        <v>2046</v>
      </c>
      <c r="AB49">
        <v>2047</v>
      </c>
      <c r="AC49">
        <v>2048</v>
      </c>
      <c r="AD49">
        <v>2049</v>
      </c>
      <c r="AE49">
        <v>2050</v>
      </c>
    </row>
    <row r="50" spans="1:31">
      <c r="A50" t="s">
        <v>143</v>
      </c>
      <c r="B50" s="55">
        <v>2.9634799999999999E-2</v>
      </c>
      <c r="C50" s="55">
        <v>5.1381000000000003E-2</v>
      </c>
      <c r="D50" s="55">
        <v>8.2836499999999993E-2</v>
      </c>
      <c r="E50" s="55">
        <v>0.11637699999999999</v>
      </c>
      <c r="F50" s="55">
        <v>0.150787</v>
      </c>
      <c r="G50" s="55">
        <v>0.21054700000000001</v>
      </c>
      <c r="H50" s="55">
        <v>0.26399600000000001</v>
      </c>
      <c r="I50" s="55">
        <v>0.31770599999999999</v>
      </c>
      <c r="J50" s="55">
        <v>0.39385100000000001</v>
      </c>
      <c r="K50" s="55">
        <v>0.45604099999999997</v>
      </c>
      <c r="L50" s="55">
        <v>0.51290000000000002</v>
      </c>
      <c r="M50" s="55">
        <v>0.56991599999999998</v>
      </c>
      <c r="N50" s="55">
        <v>0.56329700000000005</v>
      </c>
      <c r="O50" s="55">
        <v>0.56685700000000006</v>
      </c>
      <c r="P50" s="55">
        <v>0.58367000000000002</v>
      </c>
      <c r="Q50" s="55">
        <v>0.60051900000000002</v>
      </c>
      <c r="R50" s="55">
        <v>0.61715799999999998</v>
      </c>
      <c r="S50" s="55">
        <v>0.63231499999999996</v>
      </c>
      <c r="T50" s="55">
        <v>0.64518600000000004</v>
      </c>
      <c r="U50" s="55">
        <v>0.65590999999999999</v>
      </c>
      <c r="V50" s="55">
        <v>0.66487300000000005</v>
      </c>
      <c r="W50" s="55">
        <v>0.67235199999999995</v>
      </c>
      <c r="X50" s="55">
        <v>0.678705</v>
      </c>
      <c r="Y50" s="55">
        <v>0.684778</v>
      </c>
      <c r="Z50" s="55">
        <v>0.69030400000000003</v>
      </c>
      <c r="AA50" s="55">
        <v>0.69593700000000003</v>
      </c>
      <c r="AB50" s="55">
        <v>0.70068699999999995</v>
      </c>
      <c r="AC50" s="55">
        <v>0.70532099999999998</v>
      </c>
      <c r="AD50" s="55">
        <v>0.70991300000000002</v>
      </c>
      <c r="AE50" s="55">
        <v>0.71409299999999998</v>
      </c>
    </row>
    <row r="51" spans="1:31">
      <c r="A51" t="s">
        <v>144</v>
      </c>
      <c r="B51" s="55">
        <v>2.3132599999999999E-4</v>
      </c>
      <c r="C51" s="55">
        <v>2.9113799999999998E-4</v>
      </c>
      <c r="D51" s="55">
        <v>2.61692E-4</v>
      </c>
      <c r="E51" s="55">
        <v>2.6992699999999999E-4</v>
      </c>
      <c r="F51" s="55">
        <v>2.4723900000000001E-4</v>
      </c>
      <c r="G51" s="55">
        <v>2.2397699999999999E-4</v>
      </c>
      <c r="H51" s="55">
        <v>2.0520799999999999E-4</v>
      </c>
      <c r="I51" s="55">
        <v>1.92647E-4</v>
      </c>
      <c r="J51" s="55">
        <v>1.69739E-4</v>
      </c>
      <c r="K51" s="55">
        <v>1.5445300000000001E-4</v>
      </c>
      <c r="L51" s="55">
        <v>1.3707899999999999E-4</v>
      </c>
      <c r="M51" s="55">
        <v>1.1849999999999999E-4</v>
      </c>
      <c r="N51" s="55">
        <v>1.27131E-4</v>
      </c>
      <c r="O51" s="55">
        <v>1.37059E-4</v>
      </c>
      <c r="P51" s="55">
        <v>1.4111399999999999E-4</v>
      </c>
      <c r="Q51" s="55">
        <v>1.4430199999999999E-4</v>
      </c>
      <c r="R51" s="55">
        <v>1.46842E-4</v>
      </c>
      <c r="S51" s="55">
        <v>1.48508E-4</v>
      </c>
      <c r="T51" s="55">
        <v>1.5045E-4</v>
      </c>
      <c r="U51" s="55">
        <v>1.51521E-4</v>
      </c>
      <c r="V51" s="55">
        <v>1.52363E-4</v>
      </c>
      <c r="W51" s="55">
        <v>1.5297100000000001E-4</v>
      </c>
      <c r="X51" s="55">
        <v>1.5319199999999999E-4</v>
      </c>
      <c r="Y51" s="55">
        <v>1.5286299999999999E-4</v>
      </c>
      <c r="Z51" s="55">
        <v>1.5161499999999999E-4</v>
      </c>
      <c r="AA51" s="55">
        <v>1.4964199999999999E-4</v>
      </c>
      <c r="AB51" s="55">
        <v>1.4806899999999999E-4</v>
      </c>
      <c r="AC51" s="55">
        <v>1.4651399999999999E-4</v>
      </c>
      <c r="AD51" s="55">
        <v>1.4425399999999999E-4</v>
      </c>
      <c r="AE51" s="55">
        <v>1.4249600000000001E-4</v>
      </c>
    </row>
    <row r="52" spans="1:31">
      <c r="A52" t="s">
        <v>145</v>
      </c>
      <c r="B52" s="55">
        <v>0.95440100000000005</v>
      </c>
      <c r="C52" s="55">
        <v>0.93052400000000002</v>
      </c>
      <c r="D52" s="55">
        <v>0.89166000000000001</v>
      </c>
      <c r="E52" s="55">
        <v>0.85858599999999996</v>
      </c>
      <c r="F52" s="55">
        <v>0.81895499999999999</v>
      </c>
      <c r="G52" s="55">
        <v>0.74871299999999996</v>
      </c>
      <c r="H52" s="55">
        <v>0.67703800000000003</v>
      </c>
      <c r="I52" s="55">
        <v>0.62343099999999996</v>
      </c>
      <c r="J52" s="55">
        <v>0.53060099999999999</v>
      </c>
      <c r="K52" s="55">
        <v>0.460754</v>
      </c>
      <c r="L52" s="55">
        <v>0.387826</v>
      </c>
      <c r="M52" s="55">
        <v>0.31515199999999999</v>
      </c>
      <c r="N52" s="55">
        <v>0.31596200000000002</v>
      </c>
      <c r="O52" s="55">
        <v>0.31676599999999999</v>
      </c>
      <c r="P52" s="55">
        <v>0.30263899999999999</v>
      </c>
      <c r="Q52" s="55">
        <v>0.28764299999999998</v>
      </c>
      <c r="R52" s="55">
        <v>0.273559</v>
      </c>
      <c r="S52" s="55">
        <v>0.26108999999999999</v>
      </c>
      <c r="T52" s="55">
        <v>0.250861</v>
      </c>
      <c r="U52" s="55">
        <v>0.24267900000000001</v>
      </c>
      <c r="V52" s="55">
        <v>0.23604</v>
      </c>
      <c r="W52" s="55">
        <v>0.23072400000000001</v>
      </c>
      <c r="X52" s="55">
        <v>0.226328</v>
      </c>
      <c r="Y52" s="55">
        <v>0.22206200000000001</v>
      </c>
      <c r="Z52" s="55">
        <v>0.21818799999999999</v>
      </c>
      <c r="AA52" s="55">
        <v>0.21421000000000001</v>
      </c>
      <c r="AB52" s="55">
        <v>0.21093999999999999</v>
      </c>
      <c r="AC52" s="55">
        <v>0.2077</v>
      </c>
      <c r="AD52" s="55">
        <v>0.20436799999999999</v>
      </c>
      <c r="AE52" s="55">
        <v>0.20147699999999999</v>
      </c>
    </row>
    <row r="53" spans="1:31" ht="30">
      <c r="A53" s="8" t="s">
        <v>146</v>
      </c>
      <c r="B53" s="55">
        <v>3.47088E-3</v>
      </c>
      <c r="C53" s="55">
        <v>3.2885700000000002E-3</v>
      </c>
      <c r="D53" s="55">
        <v>3.89266E-3</v>
      </c>
      <c r="E53" s="55">
        <v>4.3702200000000002E-3</v>
      </c>
      <c r="F53" s="55">
        <v>4.7921099999999996E-3</v>
      </c>
      <c r="G53" s="55">
        <v>4.9401599999999999E-3</v>
      </c>
      <c r="H53" s="55">
        <v>4.9691700000000002E-3</v>
      </c>
      <c r="I53" s="55">
        <v>5.0692300000000001E-3</v>
      </c>
      <c r="J53" s="55">
        <v>4.7171799999999996E-3</v>
      </c>
      <c r="K53" s="55">
        <v>4.4535900000000003E-3</v>
      </c>
      <c r="L53" s="55">
        <v>4.0432599999999999E-3</v>
      </c>
      <c r="M53" s="55">
        <v>3.5312500000000001E-3</v>
      </c>
      <c r="N53" s="55">
        <v>3.7905999999999999E-3</v>
      </c>
      <c r="O53" s="55">
        <v>4.0537500000000001E-3</v>
      </c>
      <c r="P53" s="55">
        <v>4.1161000000000001E-3</v>
      </c>
      <c r="Q53" s="55">
        <v>4.1570899999999996E-3</v>
      </c>
      <c r="R53" s="55">
        <v>4.1756700000000002E-3</v>
      </c>
      <c r="S53" s="55">
        <v>4.2014799999999996E-3</v>
      </c>
      <c r="T53" s="55">
        <v>4.25473E-3</v>
      </c>
      <c r="U53" s="55">
        <v>4.3146800000000004E-3</v>
      </c>
      <c r="V53" s="55">
        <v>4.39055E-3</v>
      </c>
      <c r="W53" s="55">
        <v>4.4888999999999997E-3</v>
      </c>
      <c r="X53" s="55">
        <v>4.5834700000000001E-3</v>
      </c>
      <c r="Y53" s="55">
        <v>4.6979099999999996E-3</v>
      </c>
      <c r="Z53" s="55">
        <v>4.7989299999999999E-3</v>
      </c>
      <c r="AA53" s="55">
        <v>4.90406E-3</v>
      </c>
      <c r="AB53" s="55">
        <v>5.0053700000000003E-3</v>
      </c>
      <c r="AC53" s="55">
        <v>5.1211399999999997E-3</v>
      </c>
      <c r="AD53" s="55">
        <v>5.2230200000000001E-3</v>
      </c>
      <c r="AE53" s="55">
        <v>5.3414200000000004E-3</v>
      </c>
    </row>
    <row r="54" spans="1:31" ht="30">
      <c r="A54" s="8" t="s">
        <v>147</v>
      </c>
      <c r="B54" s="56">
        <v>1.20576E-2</v>
      </c>
      <c r="C54" s="56">
        <v>1.42322E-2</v>
      </c>
      <c r="D54" s="56">
        <v>2.1064800000000002E-2</v>
      </c>
      <c r="E54" s="56">
        <v>2.0102200000000001E-2</v>
      </c>
      <c r="F54" s="56">
        <v>2.4911099999999999E-2</v>
      </c>
      <c r="G54" s="56">
        <v>3.5274E-2</v>
      </c>
      <c r="H54" s="56">
        <v>5.35034E-2</v>
      </c>
      <c r="I54" s="56">
        <v>5.3322799999999997E-2</v>
      </c>
      <c r="J54" s="56">
        <v>7.0411600000000005E-2</v>
      </c>
      <c r="K54" s="56">
        <v>7.8368099999999996E-2</v>
      </c>
      <c r="L54" s="56">
        <v>9.4889799999999996E-2</v>
      </c>
      <c r="M54" s="56">
        <v>0.111106</v>
      </c>
      <c r="N54" s="56">
        <v>0.11664099999999999</v>
      </c>
      <c r="O54" s="56">
        <v>0.111997</v>
      </c>
      <c r="P54" s="56">
        <v>0.10924499999999999</v>
      </c>
      <c r="Q54" s="56">
        <v>0.107348</v>
      </c>
      <c r="R54" s="56">
        <v>0.10477300000000001</v>
      </c>
      <c r="S54" s="56">
        <v>0.102058</v>
      </c>
      <c r="T54" s="56">
        <v>9.9359900000000001E-2</v>
      </c>
      <c r="U54" s="56">
        <v>9.6757300000000004E-2</v>
      </c>
      <c r="V54" s="56">
        <v>9.4353999999999993E-2</v>
      </c>
      <c r="W54" s="56">
        <v>9.2090400000000003E-2</v>
      </c>
      <c r="X54" s="56">
        <v>9.0035900000000002E-2</v>
      </c>
      <c r="Y54" s="56">
        <v>8.8111800000000004E-2</v>
      </c>
      <c r="Z54" s="55">
        <v>8.6357500000000004E-2</v>
      </c>
      <c r="AA54" s="55">
        <v>8.4597500000000006E-2</v>
      </c>
      <c r="AB54" s="55">
        <v>8.3015400000000003E-2</v>
      </c>
      <c r="AC54" s="55">
        <v>8.1505599999999997E-2</v>
      </c>
      <c r="AD54" s="55">
        <v>8.0144999999999994E-2</v>
      </c>
      <c r="AE54" s="55">
        <v>7.8736600000000004E-2</v>
      </c>
    </row>
    <row r="55" spans="1:31">
      <c r="A55" t="s">
        <v>148</v>
      </c>
      <c r="B55" s="55">
        <v>1.9859000000000001E-4</v>
      </c>
      <c r="C55" s="55">
        <v>2.7825899999999999E-4</v>
      </c>
      <c r="D55" s="55">
        <v>2.78631E-4</v>
      </c>
      <c r="E55" s="55">
        <v>2.899E-4</v>
      </c>
      <c r="F55" s="55">
        <v>3.0089400000000001E-4</v>
      </c>
      <c r="G55" s="55">
        <v>2.9428100000000002E-4</v>
      </c>
      <c r="H55" s="55">
        <v>2.7998600000000003E-4</v>
      </c>
      <c r="I55" s="55">
        <v>2.68867E-4</v>
      </c>
      <c r="J55" s="55">
        <v>2.3941899999999999E-4</v>
      </c>
      <c r="K55" s="55">
        <v>2.1653699999999999E-4</v>
      </c>
      <c r="L55" s="55">
        <v>1.8938000000000001E-4</v>
      </c>
      <c r="M55" s="55">
        <v>1.59569E-4</v>
      </c>
      <c r="N55" s="55">
        <v>1.6568299999999999E-4</v>
      </c>
      <c r="O55" s="55">
        <v>1.7160499999999999E-4</v>
      </c>
      <c r="P55" s="55">
        <v>1.6959899999999999E-4</v>
      </c>
      <c r="Q55" s="55">
        <v>1.6654500000000001E-4</v>
      </c>
      <c r="R55" s="55">
        <v>1.6323999999999999E-4</v>
      </c>
      <c r="S55" s="55">
        <v>1.60018E-4</v>
      </c>
      <c r="T55" s="55">
        <v>1.58212E-4</v>
      </c>
      <c r="U55" s="55">
        <v>1.57038E-4</v>
      </c>
      <c r="V55" s="55">
        <v>1.5657E-4</v>
      </c>
      <c r="W55" s="55">
        <v>1.5697199999999999E-4</v>
      </c>
      <c r="X55" s="55">
        <v>1.5789499999999999E-4</v>
      </c>
      <c r="Y55" s="55">
        <v>1.5915699999999999E-4</v>
      </c>
      <c r="Z55" s="55">
        <v>1.60018E-4</v>
      </c>
      <c r="AA55" s="55">
        <v>1.6101599999999999E-4</v>
      </c>
      <c r="AB55" s="55">
        <v>1.6202799999999999E-4</v>
      </c>
      <c r="AC55" s="55">
        <v>1.6302800000000001E-4</v>
      </c>
      <c r="AD55" s="55">
        <v>1.6364E-4</v>
      </c>
      <c r="AE55" s="55">
        <v>1.6523199999999999E-4</v>
      </c>
    </row>
    <row r="56" spans="1:31">
      <c r="A56" t="s">
        <v>149</v>
      </c>
      <c r="B56" s="57">
        <v>6.1134900000000001E-6</v>
      </c>
      <c r="C56" s="57">
        <v>4.6831799999999998E-6</v>
      </c>
      <c r="D56" s="57">
        <v>5.4519100000000001E-6</v>
      </c>
      <c r="E56" s="57">
        <v>5.0417499999999996E-6</v>
      </c>
      <c r="F56" s="57">
        <v>5.7901300000000002E-6</v>
      </c>
      <c r="G56" s="57">
        <v>6.9152299999999999E-6</v>
      </c>
      <c r="H56" s="57">
        <v>8.0323700000000008E-6</v>
      </c>
      <c r="I56" s="57">
        <v>9.1464499999999995E-6</v>
      </c>
      <c r="J56" s="57">
        <v>1.08223E-5</v>
      </c>
      <c r="K56" s="57">
        <v>1.2681799999999999E-5</v>
      </c>
      <c r="L56" s="57">
        <v>1.45387E-5</v>
      </c>
      <c r="M56" s="57">
        <v>1.6767000000000001E-5</v>
      </c>
      <c r="N56" s="57">
        <v>1.67376E-5</v>
      </c>
      <c r="O56" s="57">
        <v>1.7836400000000001E-5</v>
      </c>
      <c r="P56" s="57">
        <v>1.98646E-5</v>
      </c>
      <c r="Q56" s="57">
        <v>2.2056500000000001E-5</v>
      </c>
      <c r="R56" s="57">
        <v>2.4411500000000002E-5</v>
      </c>
      <c r="S56" s="57">
        <v>2.67315E-5</v>
      </c>
      <c r="T56" s="57">
        <v>2.9017899999999999E-5</v>
      </c>
      <c r="U56" s="57">
        <v>3.1260500000000003E-5</v>
      </c>
      <c r="V56" s="57">
        <v>3.32894E-5</v>
      </c>
      <c r="W56" s="57">
        <v>3.5105099999999997E-5</v>
      </c>
      <c r="X56" s="57">
        <v>3.6896400000000001E-5</v>
      </c>
      <c r="Y56" s="57">
        <v>3.8485400000000003E-5</v>
      </c>
      <c r="Z56" s="57">
        <v>3.9691599999999998E-5</v>
      </c>
      <c r="AA56" s="57">
        <v>4.08761E-5</v>
      </c>
      <c r="AB56" s="57">
        <v>4.1876299999999997E-5</v>
      </c>
      <c r="AC56" s="57">
        <v>4.2689299999999998E-5</v>
      </c>
      <c r="AD56" s="57">
        <v>4.3485900000000003E-5</v>
      </c>
      <c r="AE56" s="57">
        <v>4.4085100000000002E-5</v>
      </c>
    </row>
    <row r="57" spans="1:31">
      <c r="A57" t="s">
        <v>603</v>
      </c>
      <c r="B57">
        <v>4.9816799999999996E-3</v>
      </c>
      <c r="C57">
        <v>8.9696700000000008E-3</v>
      </c>
      <c r="D57">
        <v>1.5303799999999999E-2</v>
      </c>
      <c r="E57">
        <v>2.5353500000000001E-2</v>
      </c>
      <c r="F57">
        <v>3.9619099999999997E-2</v>
      </c>
      <c r="G57">
        <v>5.4516000000000002E-2</v>
      </c>
      <c r="H57">
        <v>0.15432699999999999</v>
      </c>
      <c r="I57">
        <v>0.19862199999999999</v>
      </c>
      <c r="J57">
        <v>0.24195800000000001</v>
      </c>
      <c r="K57">
        <v>0.284613</v>
      </c>
      <c r="L57">
        <v>0.40676899999999999</v>
      </c>
      <c r="M57">
        <v>0.52699700000000005</v>
      </c>
      <c r="N57">
        <v>0.52368099999999995</v>
      </c>
      <c r="O57">
        <v>0.519814</v>
      </c>
      <c r="P57">
        <v>0.51569299999999996</v>
      </c>
      <c r="Q57">
        <v>0.51080700000000001</v>
      </c>
      <c r="R57">
        <v>0.50584499999999999</v>
      </c>
      <c r="S57">
        <v>0.50115900000000002</v>
      </c>
      <c r="T57">
        <v>0.49685499999999999</v>
      </c>
      <c r="U57">
        <v>0.49307800000000002</v>
      </c>
      <c r="V57">
        <v>0.489815</v>
      </c>
      <c r="W57">
        <v>0.48712899999999998</v>
      </c>
      <c r="X57">
        <v>0.484954</v>
      </c>
      <c r="Y57">
        <v>0.483292</v>
      </c>
      <c r="Z57">
        <v>0.48195300000000002</v>
      </c>
      <c r="AA57">
        <v>0.48102</v>
      </c>
      <c r="AB57">
        <v>0.48031699999999999</v>
      </c>
      <c r="AC57">
        <v>0.47973700000000002</v>
      </c>
      <c r="AD57">
        <v>0.47933900000000002</v>
      </c>
      <c r="AE57">
        <v>0.47908099999999998</v>
      </c>
    </row>
    <row r="58" spans="1:31">
      <c r="A58" t="s">
        <v>604</v>
      </c>
      <c r="B58" s="58">
        <v>2.31895E-4</v>
      </c>
      <c r="C58" s="58">
        <v>2.5334000000000001E-4</v>
      </c>
      <c r="D58" s="58">
        <v>2.3295600000000001E-4</v>
      </c>
      <c r="E58" s="58">
        <v>2.3800500000000001E-4</v>
      </c>
      <c r="F58" s="58">
        <v>2.1912200000000001E-4</v>
      </c>
      <c r="G58" s="58">
        <v>2.0750400000000001E-4</v>
      </c>
      <c r="H58" s="58">
        <v>1.8031500000000001E-4</v>
      </c>
      <c r="I58" s="58">
        <v>1.6506600000000001E-4</v>
      </c>
      <c r="J58" s="58">
        <v>1.54628E-4</v>
      </c>
      <c r="K58" s="58">
        <v>1.4215300000000001E-4</v>
      </c>
      <c r="L58" s="58">
        <v>1.14605E-4</v>
      </c>
      <c r="M58" s="57">
        <v>8.5246299999999997E-5</v>
      </c>
      <c r="N58" s="57">
        <v>8.4594500000000005E-5</v>
      </c>
      <c r="O58" s="57">
        <v>8.407E-5</v>
      </c>
      <c r="P58" s="57">
        <v>8.3542199999999994E-5</v>
      </c>
      <c r="Q58" s="57">
        <v>8.0900600000000003E-5</v>
      </c>
      <c r="R58" s="57">
        <v>8.0331499999999995E-5</v>
      </c>
      <c r="S58" s="57">
        <v>7.9782000000000003E-5</v>
      </c>
      <c r="T58" s="57">
        <v>7.9284799999999997E-5</v>
      </c>
      <c r="U58" s="57">
        <v>7.6729400000000004E-5</v>
      </c>
      <c r="V58" s="57">
        <v>7.6247000000000004E-5</v>
      </c>
      <c r="W58" s="57">
        <v>7.5698999999999995E-5</v>
      </c>
      <c r="X58" s="57">
        <v>7.5036999999999993E-5</v>
      </c>
      <c r="Y58" s="57">
        <v>7.4326999999999995E-5</v>
      </c>
      <c r="Z58" s="54">
        <v>7.3644400000000003E-5</v>
      </c>
      <c r="AA58" s="54">
        <v>7.3037100000000006E-5</v>
      </c>
      <c r="AB58" s="54">
        <v>7.2453099999999999E-5</v>
      </c>
      <c r="AC58" s="54">
        <v>7.1839600000000002E-5</v>
      </c>
      <c r="AD58" s="54">
        <v>7.1277499999999996E-5</v>
      </c>
      <c r="AE58" s="54">
        <v>7.0842300000000004E-5</v>
      </c>
    </row>
    <row r="59" spans="1:31">
      <c r="A59" t="s">
        <v>605</v>
      </c>
      <c r="B59" s="10">
        <v>0.58463699999999996</v>
      </c>
      <c r="C59" s="10">
        <v>0.587507</v>
      </c>
      <c r="D59" s="10">
        <v>0.57999800000000001</v>
      </c>
      <c r="E59" s="10">
        <v>0.57560800000000001</v>
      </c>
      <c r="F59" s="10">
        <v>0.56721299999999997</v>
      </c>
      <c r="G59" s="10">
        <v>0.56057299999999999</v>
      </c>
      <c r="H59" s="10">
        <v>0.49875399999999998</v>
      </c>
      <c r="I59" s="10">
        <v>0.47138000000000002</v>
      </c>
      <c r="J59" s="10">
        <v>0.44503599999999999</v>
      </c>
      <c r="K59" s="10">
        <v>0.41744199999999998</v>
      </c>
      <c r="L59" s="10">
        <v>0.34055600000000003</v>
      </c>
      <c r="M59" s="10">
        <v>0.26269799999999999</v>
      </c>
      <c r="N59" s="10">
        <v>0.26362000000000002</v>
      </c>
      <c r="O59" s="10">
        <v>0.26355699999999999</v>
      </c>
      <c r="P59" s="10">
        <v>0.26384600000000002</v>
      </c>
      <c r="Q59" s="10">
        <v>0.26366400000000001</v>
      </c>
      <c r="R59" s="10">
        <v>0.26371600000000001</v>
      </c>
      <c r="S59" s="10">
        <v>0.26372400000000001</v>
      </c>
      <c r="T59" s="10">
        <v>0.26365699999999997</v>
      </c>
      <c r="U59" s="10">
        <v>0.26366699999999998</v>
      </c>
      <c r="V59" s="10">
        <v>0.26376699999999997</v>
      </c>
      <c r="W59" s="10">
        <v>0.26372299999999999</v>
      </c>
      <c r="X59" s="10">
        <v>0.26387300000000002</v>
      </c>
      <c r="Y59" s="10">
        <v>0.26369599999999999</v>
      </c>
      <c r="Z59">
        <v>0.26372499999999999</v>
      </c>
      <c r="AA59">
        <v>0.26358900000000002</v>
      </c>
      <c r="AB59">
        <v>0.263461</v>
      </c>
      <c r="AC59">
        <v>0.26334299999999999</v>
      </c>
      <c r="AD59">
        <v>0.263492</v>
      </c>
      <c r="AE59">
        <v>0.26331700000000002</v>
      </c>
    </row>
    <row r="60" spans="1:31">
      <c r="A60" t="s">
        <v>606</v>
      </c>
      <c r="B60" s="10">
        <v>0.41003600000000001</v>
      </c>
      <c r="C60" s="10">
        <v>0.40272000000000002</v>
      </c>
      <c r="D60" s="10">
        <v>0.40359099999999998</v>
      </c>
      <c r="E60" s="10">
        <v>0.397424</v>
      </c>
      <c r="F60" s="10">
        <v>0.39084799999999997</v>
      </c>
      <c r="G60" s="10">
        <v>0.38185200000000002</v>
      </c>
      <c r="H60" s="10">
        <v>0.33882800000000002</v>
      </c>
      <c r="I60" s="10">
        <v>0.31953799999999999</v>
      </c>
      <c r="J60" s="10">
        <v>0.29995500000000003</v>
      </c>
      <c r="K60" s="10">
        <v>0.28163899999999997</v>
      </c>
      <c r="L60" s="10">
        <v>0.228267</v>
      </c>
      <c r="M60" s="10">
        <v>0.17616499999999999</v>
      </c>
      <c r="N60" s="10">
        <v>0.17524300000000001</v>
      </c>
      <c r="O60" s="10">
        <v>0.17530499999999999</v>
      </c>
      <c r="P60" s="10">
        <v>0.17463500000000001</v>
      </c>
      <c r="Q60" s="10">
        <v>0.17482600000000001</v>
      </c>
      <c r="R60" s="10">
        <v>0.174763</v>
      </c>
      <c r="S60" s="10">
        <v>0.17475399999999999</v>
      </c>
      <c r="T60" s="10">
        <v>0.174817</v>
      </c>
      <c r="U60" s="10">
        <v>0.17480000000000001</v>
      </c>
      <c r="V60" s="10">
        <v>0.17469599999999999</v>
      </c>
      <c r="W60" s="10">
        <v>0.17474200000000001</v>
      </c>
      <c r="X60" s="10">
        <v>0.17458499999999999</v>
      </c>
      <c r="Y60" s="10">
        <v>0.17475299999999999</v>
      </c>
      <c r="Z60">
        <v>0.17473</v>
      </c>
      <c r="AA60">
        <v>0.174876</v>
      </c>
      <c r="AB60">
        <v>0.17502100000000001</v>
      </c>
      <c r="AC60">
        <v>0.17516100000000001</v>
      </c>
      <c r="AD60">
        <v>0.17502699999999999</v>
      </c>
      <c r="AE60">
        <v>0.175206</v>
      </c>
    </row>
    <row r="61" spans="1:31">
      <c r="A61" t="s">
        <v>607</v>
      </c>
      <c r="B61" s="199">
        <v>2.8478400000000002E-5</v>
      </c>
      <c r="C61" s="10">
        <v>4.4693000000000001E-4</v>
      </c>
      <c r="D61" s="10">
        <v>7.7493400000000002E-4</v>
      </c>
      <c r="E61" s="10">
        <v>1.2748600000000001E-3</v>
      </c>
      <c r="F61" s="10">
        <v>2.0000700000000001E-3</v>
      </c>
      <c r="G61" s="10">
        <v>2.7505799999999999E-3</v>
      </c>
      <c r="H61" s="10">
        <v>7.8197400000000004E-3</v>
      </c>
      <c r="I61" s="10">
        <v>1.02092E-2</v>
      </c>
      <c r="J61" s="10">
        <v>1.2814000000000001E-2</v>
      </c>
      <c r="K61" s="10">
        <v>1.6085499999999999E-2</v>
      </c>
      <c r="L61" s="10">
        <v>2.42302E-2</v>
      </c>
      <c r="M61" s="10">
        <v>3.4002299999999999E-2</v>
      </c>
      <c r="N61" s="10">
        <v>3.7317000000000003E-2</v>
      </c>
      <c r="O61" s="10">
        <v>4.1185699999999999E-2</v>
      </c>
      <c r="P61" s="10">
        <v>4.5684700000000002E-2</v>
      </c>
      <c r="Q61" s="10">
        <v>5.0564999999999999E-2</v>
      </c>
      <c r="R61" s="10">
        <v>5.5536500000000003E-2</v>
      </c>
      <c r="S61" s="10">
        <v>6.02228E-2</v>
      </c>
      <c r="T61" s="10">
        <v>6.4529500000000004E-2</v>
      </c>
      <c r="U61" s="10">
        <v>6.8316100000000005E-2</v>
      </c>
      <c r="V61" s="10">
        <v>7.1579400000000001E-2</v>
      </c>
      <c r="W61" s="10">
        <v>7.4264800000000006E-2</v>
      </c>
      <c r="X61" s="10">
        <v>7.6446500000000001E-2</v>
      </c>
      <c r="Y61" s="10">
        <v>7.8115699999999996E-2</v>
      </c>
      <c r="Z61">
        <v>7.9448400000000002E-2</v>
      </c>
      <c r="AA61">
        <v>8.0370399999999995E-2</v>
      </c>
      <c r="AB61">
        <v>8.1055500000000003E-2</v>
      </c>
      <c r="AC61">
        <v>8.1613699999999997E-2</v>
      </c>
      <c r="AD61">
        <v>8.1996100000000002E-2</v>
      </c>
      <c r="AE61">
        <v>8.2249799999999998E-2</v>
      </c>
    </row>
    <row r="62" spans="1:31">
      <c r="A62" t="s">
        <v>608</v>
      </c>
      <c r="B62" s="54">
        <v>8.5435100000000005E-5</v>
      </c>
      <c r="C62" s="54">
        <v>1.0276999999999999E-4</v>
      </c>
      <c r="D62" s="54">
        <v>9.9838099999999995E-5</v>
      </c>
      <c r="E62" s="54">
        <v>1.0132900000000001E-4</v>
      </c>
      <c r="F62" s="54">
        <v>1.00237E-4</v>
      </c>
      <c r="G62" s="54">
        <v>1.0144700000000001E-4</v>
      </c>
      <c r="H62" s="54">
        <v>9.1298799999999994E-5</v>
      </c>
      <c r="I62" s="54">
        <v>8.5924600000000001E-5</v>
      </c>
      <c r="J62" s="54">
        <v>8.2916699999999998E-5</v>
      </c>
      <c r="K62" s="54">
        <v>7.7740100000000005E-5</v>
      </c>
      <c r="L62" s="54">
        <v>6.3914399999999999E-5</v>
      </c>
      <c r="M62" s="54">
        <v>5.0273399999999999E-5</v>
      </c>
      <c r="N62" s="54">
        <v>5.2058100000000002E-5</v>
      </c>
      <c r="O62" s="54">
        <v>5.1735399999999999E-5</v>
      </c>
      <c r="P62" s="54">
        <v>5.35527E-5</v>
      </c>
      <c r="Q62" s="54">
        <v>5.3224099999999997E-5</v>
      </c>
      <c r="R62" s="54">
        <v>5.4963599999999997E-5</v>
      </c>
      <c r="S62" s="54">
        <v>5.4587699999999999E-5</v>
      </c>
      <c r="T62" s="54">
        <v>5.6333899999999999E-5</v>
      </c>
      <c r="U62" s="54">
        <v>5.5991700000000001E-5</v>
      </c>
      <c r="V62" s="54">
        <v>5.7700400000000001E-5</v>
      </c>
      <c r="W62" s="54">
        <v>5.7285699999999999E-5</v>
      </c>
      <c r="X62" s="54">
        <v>5.88128E-5</v>
      </c>
      <c r="Y62" s="54">
        <v>5.82563E-5</v>
      </c>
      <c r="Z62" s="54">
        <v>5.97117E-5</v>
      </c>
      <c r="AA62" s="54">
        <v>6.1193199999999995E-5</v>
      </c>
      <c r="AB62" s="54">
        <v>6.0704E-5</v>
      </c>
      <c r="AC62" s="54">
        <v>6.2131600000000007E-5</v>
      </c>
      <c r="AD62" s="54">
        <v>6.3571799999999993E-5</v>
      </c>
      <c r="AE62" s="54">
        <v>6.3183700000000003E-5</v>
      </c>
    </row>
    <row r="63" spans="1:31">
      <c r="A63" t="s">
        <v>609</v>
      </c>
      <c r="B63">
        <v>0</v>
      </c>
      <c r="C63">
        <v>0</v>
      </c>
      <c r="D63">
        <v>0</v>
      </c>
      <c r="E63">
        <v>0</v>
      </c>
      <c r="F63">
        <v>0</v>
      </c>
      <c r="G63">
        <v>0</v>
      </c>
      <c r="H63">
        <v>0</v>
      </c>
      <c r="I63">
        <v>0</v>
      </c>
      <c r="J63">
        <v>0</v>
      </c>
      <c r="K63">
        <v>0</v>
      </c>
      <c r="L63" s="54">
        <v>0</v>
      </c>
      <c r="M63" s="54">
        <v>2.1857999999999999E-6</v>
      </c>
      <c r="N63" s="54">
        <v>2.1690899999999998E-6</v>
      </c>
      <c r="O63" s="54">
        <v>2.15564E-6</v>
      </c>
      <c r="P63" s="54">
        <v>4.2842100000000003E-6</v>
      </c>
      <c r="Q63" s="54">
        <v>4.2579299999999999E-6</v>
      </c>
      <c r="R63" s="54">
        <v>4.2279699999999996E-6</v>
      </c>
      <c r="S63" s="54">
        <v>6.2985799999999996E-6</v>
      </c>
      <c r="T63" s="54">
        <v>6.2593200000000001E-6</v>
      </c>
      <c r="U63" s="54">
        <v>6.2213E-6</v>
      </c>
      <c r="V63" s="54">
        <v>8.24292E-6</v>
      </c>
      <c r="W63" s="54">
        <v>8.1836700000000005E-6</v>
      </c>
      <c r="X63" s="54">
        <v>8.1121100000000005E-6</v>
      </c>
      <c r="Y63" s="54">
        <v>1.0044199999999999E-5</v>
      </c>
      <c r="Z63" s="54">
        <v>9.9519500000000005E-6</v>
      </c>
      <c r="AA63" s="54">
        <v>9.8698800000000004E-6</v>
      </c>
      <c r="AB63" s="54">
        <v>1.1749199999999999E-5</v>
      </c>
      <c r="AC63" s="54">
        <v>1.16497E-5</v>
      </c>
      <c r="AD63" s="54">
        <v>1.15585E-5</v>
      </c>
      <c r="AE63" s="54">
        <v>1.1487900000000001E-5</v>
      </c>
    </row>
    <row r="64" spans="1:31">
      <c r="A64" t="s">
        <v>610</v>
      </c>
      <c r="B64">
        <v>9.9619900000000004E-3</v>
      </c>
      <c r="C64">
        <v>1.6204400000000001E-2</v>
      </c>
      <c r="D64">
        <v>5.0139000000000003E-2</v>
      </c>
      <c r="E64">
        <v>9.5700099999999996E-2</v>
      </c>
      <c r="F64">
        <v>0.14905199999999999</v>
      </c>
      <c r="G64">
        <v>0.21976000000000001</v>
      </c>
      <c r="H64">
        <v>0.31064399999999998</v>
      </c>
      <c r="I64">
        <v>0.39478600000000003</v>
      </c>
      <c r="J64">
        <v>0.48610599999999998</v>
      </c>
      <c r="K64">
        <v>0.562921</v>
      </c>
      <c r="L64">
        <v>0.56047000000000002</v>
      </c>
      <c r="M64">
        <v>0.56061399999999995</v>
      </c>
      <c r="N64">
        <v>0.41680699999999998</v>
      </c>
      <c r="O64">
        <v>0.428672</v>
      </c>
      <c r="P64">
        <v>0.44137100000000001</v>
      </c>
      <c r="Q64">
        <v>0.446436</v>
      </c>
      <c r="R64">
        <v>0.45157000000000003</v>
      </c>
      <c r="S64">
        <v>0.45793899999999998</v>
      </c>
      <c r="T64">
        <v>0.46219199999999999</v>
      </c>
      <c r="U64">
        <v>0.46563900000000003</v>
      </c>
      <c r="V64">
        <v>0.468642</v>
      </c>
      <c r="W64">
        <v>0.468528</v>
      </c>
      <c r="X64">
        <v>0.46831699999999998</v>
      </c>
      <c r="Y64">
        <v>0.46795900000000001</v>
      </c>
      <c r="Z64">
        <v>0.468252</v>
      </c>
      <c r="AA64">
        <v>0.47132600000000002</v>
      </c>
      <c r="AB64">
        <v>0.47113300000000002</v>
      </c>
      <c r="AC64">
        <v>0.47094999999999998</v>
      </c>
      <c r="AD64">
        <v>0.46986699999999998</v>
      </c>
      <c r="AE64">
        <v>0.46940599999999999</v>
      </c>
    </row>
    <row r="65" spans="1:31">
      <c r="A65" t="s">
        <v>611</v>
      </c>
      <c r="B65">
        <v>5.61766E-4</v>
      </c>
      <c r="C65">
        <v>1.1175499999999999E-3</v>
      </c>
      <c r="D65">
        <v>7.1702099999999998E-4</v>
      </c>
      <c r="E65">
        <v>6.9298899999999997E-4</v>
      </c>
      <c r="F65">
        <v>5.1328799999999998E-4</v>
      </c>
      <c r="G65">
        <v>4.0787000000000001E-4</v>
      </c>
      <c r="H65">
        <v>3.5502199999999998E-4</v>
      </c>
      <c r="I65">
        <v>2.4006900000000001E-4</v>
      </c>
      <c r="J65">
        <v>1.90879E-4</v>
      </c>
      <c r="K65">
        <v>1.42516E-4</v>
      </c>
      <c r="L65">
        <v>1.2629300000000001E-4</v>
      </c>
      <c r="M65" s="54">
        <v>1.1023600000000001E-4</v>
      </c>
      <c r="N65">
        <v>1.2570499999999999E-4</v>
      </c>
      <c r="O65">
        <v>1.09759E-4</v>
      </c>
      <c r="P65" s="54">
        <v>9.3918800000000006E-5</v>
      </c>
      <c r="Q65" s="54">
        <v>7.8149400000000001E-5</v>
      </c>
      <c r="R65" s="54">
        <v>7.8050600000000001E-5</v>
      </c>
      <c r="S65" s="54">
        <v>6.2404399999999995E-5</v>
      </c>
      <c r="T65" s="54">
        <v>6.2388899999999995E-5</v>
      </c>
      <c r="U65" s="54">
        <v>4.6791700000000001E-5</v>
      </c>
      <c r="V65" s="54">
        <v>4.68033E-5</v>
      </c>
      <c r="W65" s="54">
        <v>4.6821599999999999E-5</v>
      </c>
      <c r="X65" s="54">
        <v>3.1237800000000001E-5</v>
      </c>
      <c r="Y65" s="54">
        <v>3.1259800000000002E-5</v>
      </c>
      <c r="Z65" s="54">
        <v>3.12867E-5</v>
      </c>
      <c r="AA65" s="54">
        <v>3.1303799999999997E-5</v>
      </c>
      <c r="AB65" s="54">
        <v>3.1334699999999997E-5</v>
      </c>
      <c r="AC65" s="54">
        <v>3.1363199999999998E-5</v>
      </c>
      <c r="AD65" s="54">
        <v>3.1396699999999997E-5</v>
      </c>
      <c r="AE65" s="54">
        <v>3.1426800000000002E-5</v>
      </c>
    </row>
    <row r="66" spans="1:31">
      <c r="A66" t="s">
        <v>612</v>
      </c>
      <c r="B66">
        <v>0.111099</v>
      </c>
      <c r="C66">
        <v>0.117864</v>
      </c>
      <c r="D66">
        <v>0.109774</v>
      </c>
      <c r="E66">
        <v>0.105503</v>
      </c>
      <c r="F66">
        <v>0.10029</v>
      </c>
      <c r="G66">
        <v>9.3026999999999999E-2</v>
      </c>
      <c r="H66">
        <v>8.3042900000000003E-2</v>
      </c>
      <c r="I66">
        <v>7.3125099999999998E-2</v>
      </c>
      <c r="J66">
        <v>6.2544699999999995E-2</v>
      </c>
      <c r="K66">
        <v>5.29366E-2</v>
      </c>
      <c r="L66">
        <v>5.3437499999999999E-2</v>
      </c>
      <c r="M66">
        <v>5.3370099999999997E-2</v>
      </c>
      <c r="N66">
        <v>7.0756299999999994E-2</v>
      </c>
      <c r="O66">
        <v>6.91639E-2</v>
      </c>
      <c r="P66">
        <v>6.7699800000000004E-2</v>
      </c>
      <c r="Q66">
        <v>6.6567699999999994E-2</v>
      </c>
      <c r="R66">
        <v>6.5921499999999994E-2</v>
      </c>
      <c r="S66">
        <v>6.4978599999999997E-2</v>
      </c>
      <c r="T66">
        <v>6.4151399999999997E-2</v>
      </c>
      <c r="U66">
        <v>6.3558699999999996E-2</v>
      </c>
      <c r="V66">
        <v>6.3356099999999999E-2</v>
      </c>
      <c r="W66">
        <v>6.3037499999999996E-2</v>
      </c>
      <c r="X66">
        <v>6.3084699999999994E-2</v>
      </c>
      <c r="Y66">
        <v>6.2535199999999999E-2</v>
      </c>
      <c r="Z66">
        <v>6.2260500000000003E-2</v>
      </c>
      <c r="AA66">
        <v>6.1277199999999997E-2</v>
      </c>
      <c r="AB66">
        <v>6.1039999999999997E-2</v>
      </c>
      <c r="AC66">
        <v>6.0515300000000001E-2</v>
      </c>
      <c r="AD66">
        <v>6.01089E-2</v>
      </c>
      <c r="AE66">
        <v>5.95223E-2</v>
      </c>
    </row>
    <row r="67" spans="1:31">
      <c r="A67" t="s">
        <v>613</v>
      </c>
      <c r="B67">
        <v>0.87837799999999999</v>
      </c>
      <c r="C67">
        <v>0.86473999999999995</v>
      </c>
      <c r="D67">
        <v>0.83924699999999997</v>
      </c>
      <c r="E67">
        <v>0.79793499999999995</v>
      </c>
      <c r="F67">
        <v>0.749946</v>
      </c>
      <c r="G67">
        <v>0.68655999999999995</v>
      </c>
      <c r="H67">
        <v>0.60565100000000005</v>
      </c>
      <c r="I67">
        <v>0.53151300000000001</v>
      </c>
      <c r="J67">
        <v>0.45068200000000003</v>
      </c>
      <c r="K67">
        <v>0.38324000000000003</v>
      </c>
      <c r="L67">
        <v>0.38445000000000001</v>
      </c>
      <c r="M67">
        <v>0.38392100000000001</v>
      </c>
      <c r="N67">
        <v>0.51029999999999998</v>
      </c>
      <c r="O67">
        <v>0.49954500000000002</v>
      </c>
      <c r="P67">
        <v>0.48771999999999999</v>
      </c>
      <c r="Q67">
        <v>0.48276000000000002</v>
      </c>
      <c r="R67">
        <v>0.477045</v>
      </c>
      <c r="S67">
        <v>0.47020200000000001</v>
      </c>
      <c r="T67">
        <v>0.465171</v>
      </c>
      <c r="U67">
        <v>0.46056999999999998</v>
      </c>
      <c r="V67">
        <v>0.45580199999999998</v>
      </c>
      <c r="W67">
        <v>0.454154</v>
      </c>
      <c r="X67">
        <v>0.45213599999999998</v>
      </c>
      <c r="Y67">
        <v>0.450797</v>
      </c>
      <c r="Z67">
        <v>0.44844699999999998</v>
      </c>
      <c r="AA67">
        <v>0.44384099999999999</v>
      </c>
      <c r="AB67">
        <v>0.44181900000000002</v>
      </c>
      <c r="AC67">
        <v>0.439994</v>
      </c>
      <c r="AD67">
        <v>0.43894100000000003</v>
      </c>
      <c r="AE67">
        <v>0.43725599999999998</v>
      </c>
    </row>
    <row r="68" spans="1:31">
      <c r="A68" t="s">
        <v>614</v>
      </c>
      <c r="B68">
        <v>0</v>
      </c>
      <c r="C68">
        <v>0</v>
      </c>
      <c r="D68">
        <v>0</v>
      </c>
      <c r="E68">
        <v>0</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row>
    <row r="69" spans="1:31">
      <c r="A69" t="s">
        <v>615</v>
      </c>
      <c r="B69" s="54">
        <v>0</v>
      </c>
      <c r="C69" s="54">
        <v>7.4503200000000002E-5</v>
      </c>
      <c r="D69">
        <v>1.2241800000000001E-4</v>
      </c>
      <c r="E69">
        <v>1.6902200000000001E-4</v>
      </c>
      <c r="F69">
        <v>1.9869199999999999E-4</v>
      </c>
      <c r="G69">
        <v>2.28407E-4</v>
      </c>
      <c r="H69">
        <v>2.5819800000000001E-4</v>
      </c>
      <c r="I69">
        <v>2.0806000000000001E-4</v>
      </c>
      <c r="J69">
        <v>2.0678600000000001E-4</v>
      </c>
      <c r="K69">
        <v>1.9002099999999999E-4</v>
      </c>
      <c r="L69">
        <v>2.0522499999999999E-4</v>
      </c>
      <c r="M69">
        <v>2.2047200000000001E-4</v>
      </c>
      <c r="N69">
        <v>3.1426300000000001E-4</v>
      </c>
      <c r="O69">
        <v>3.13598E-4</v>
      </c>
      <c r="P69">
        <v>3.28716E-4</v>
      </c>
      <c r="Q69">
        <v>3.4385699999999998E-4</v>
      </c>
      <c r="R69">
        <v>3.4342299999999998E-4</v>
      </c>
      <c r="S69">
        <v>3.5882600000000002E-4</v>
      </c>
      <c r="T69">
        <v>3.5873600000000002E-4</v>
      </c>
      <c r="U69">
        <v>3.5873600000000002E-4</v>
      </c>
      <c r="V69">
        <v>3.7442699999999998E-4</v>
      </c>
      <c r="W69">
        <v>3.7457300000000001E-4</v>
      </c>
      <c r="X69">
        <v>3.7485399999999999E-4</v>
      </c>
      <c r="Y69">
        <v>3.9074699999999999E-4</v>
      </c>
      <c r="Z69">
        <v>3.9108300000000002E-4</v>
      </c>
      <c r="AA69">
        <v>4.0694899999999998E-4</v>
      </c>
      <c r="AB69">
        <v>4.0735100000000002E-4</v>
      </c>
      <c r="AC69">
        <v>4.2340299999999998E-4</v>
      </c>
      <c r="AD69">
        <v>4.0815699999999998E-4</v>
      </c>
      <c r="AE69">
        <v>4.24261E-4</v>
      </c>
    </row>
    <row r="70" spans="1:31">
      <c r="A70" t="s">
        <v>616</v>
      </c>
      <c r="B70">
        <v>0</v>
      </c>
      <c r="C70">
        <v>0</v>
      </c>
      <c r="D70">
        <v>0</v>
      </c>
      <c r="E70">
        <v>0</v>
      </c>
      <c r="F70" s="54">
        <v>0</v>
      </c>
      <c r="G70" s="54">
        <v>1.6314799999999998E-5</v>
      </c>
      <c r="H70" s="54">
        <v>4.8412099999999997E-5</v>
      </c>
      <c r="I70">
        <v>1.2803700000000001E-4</v>
      </c>
      <c r="J70">
        <v>2.7041199999999999E-4</v>
      </c>
      <c r="K70">
        <v>5.7006199999999998E-4</v>
      </c>
      <c r="L70">
        <v>1.31028E-3</v>
      </c>
      <c r="M70">
        <v>1.7637799999999999E-3</v>
      </c>
      <c r="N70">
        <v>1.69702E-3</v>
      </c>
      <c r="O70">
        <v>2.1951800000000001E-3</v>
      </c>
      <c r="P70">
        <v>2.78626E-3</v>
      </c>
      <c r="Q70">
        <v>3.8136899999999998E-3</v>
      </c>
      <c r="R70">
        <v>5.0420700000000001E-3</v>
      </c>
      <c r="S70">
        <v>6.4588600000000003E-3</v>
      </c>
      <c r="T70">
        <v>8.0637599999999997E-3</v>
      </c>
      <c r="U70">
        <v>9.8262499999999999E-3</v>
      </c>
      <c r="V70">
        <v>1.1778800000000001E-2</v>
      </c>
      <c r="W70">
        <v>1.38592E-2</v>
      </c>
      <c r="X70">
        <v>1.60562E-2</v>
      </c>
      <c r="Y70">
        <v>1.8287000000000001E-2</v>
      </c>
      <c r="Z70">
        <v>2.0617900000000002E-2</v>
      </c>
      <c r="AA70">
        <v>2.31179E-2</v>
      </c>
      <c r="AB70">
        <v>2.5569100000000001E-2</v>
      </c>
      <c r="AC70">
        <v>2.8085700000000002E-2</v>
      </c>
      <c r="AD70">
        <v>3.0643199999999999E-2</v>
      </c>
      <c r="AE70">
        <v>3.33595E-2</v>
      </c>
    </row>
    <row r="71" spans="1:31">
      <c r="A71" t="s">
        <v>617</v>
      </c>
      <c r="B71" s="54">
        <v>0</v>
      </c>
      <c r="C71" s="54">
        <v>0</v>
      </c>
      <c r="D71" s="54">
        <v>2.1486000000000001E-5</v>
      </c>
      <c r="E71">
        <v>5.6326800000000002E-3</v>
      </c>
      <c r="F71">
        <v>1.5543400000000001E-2</v>
      </c>
      <c r="G71">
        <v>2.2415899999999999E-2</v>
      </c>
      <c r="H71">
        <v>4.0634400000000001E-2</v>
      </c>
      <c r="I71">
        <v>5.4934499999999997E-2</v>
      </c>
      <c r="J71">
        <v>7.03762E-2</v>
      </c>
      <c r="K71">
        <v>0.10286099999999999</v>
      </c>
      <c r="L71">
        <v>0.18227699999999999</v>
      </c>
      <c r="M71">
        <v>0.30179400000000001</v>
      </c>
      <c r="N71">
        <v>0.30280000000000001</v>
      </c>
      <c r="O71">
        <v>0.30310399999999998</v>
      </c>
      <c r="P71">
        <v>0.30351099999999998</v>
      </c>
      <c r="Q71">
        <v>0.303616</v>
      </c>
      <c r="R71">
        <v>0.30373800000000001</v>
      </c>
      <c r="S71">
        <v>0.30389699999999997</v>
      </c>
      <c r="T71">
        <v>0.30393500000000001</v>
      </c>
      <c r="U71">
        <v>0.30390600000000001</v>
      </c>
      <c r="V71">
        <v>0.30378899999999998</v>
      </c>
      <c r="W71">
        <v>0.30356300000000003</v>
      </c>
      <c r="X71">
        <v>0.30327999999999999</v>
      </c>
      <c r="Y71">
        <v>0.30302400000000002</v>
      </c>
      <c r="Z71">
        <v>0.30275600000000003</v>
      </c>
      <c r="AA71">
        <v>0.30250500000000002</v>
      </c>
      <c r="AB71">
        <v>0.30225000000000002</v>
      </c>
      <c r="AC71">
        <v>0.30198999999999998</v>
      </c>
      <c r="AD71">
        <v>0.30173800000000001</v>
      </c>
      <c r="AE71">
        <v>0.30149900000000002</v>
      </c>
    </row>
    <row r="72" spans="1:31">
      <c r="A72" t="s">
        <v>618</v>
      </c>
      <c r="B72">
        <v>6.63643E-4</v>
      </c>
      <c r="C72">
        <v>1.5129500000000001E-3</v>
      </c>
      <c r="D72">
        <v>8.8092499999999996E-4</v>
      </c>
      <c r="E72">
        <v>1.1909100000000001E-3</v>
      </c>
      <c r="F72">
        <v>9.0616399999999999E-4</v>
      </c>
      <c r="G72">
        <v>8.4429199999999996E-4</v>
      </c>
      <c r="H72">
        <v>8.3523899999999999E-4</v>
      </c>
      <c r="I72">
        <v>8.3688100000000004E-4</v>
      </c>
      <c r="J72">
        <v>9.0094700000000003E-4</v>
      </c>
      <c r="K72">
        <v>9.5401399999999999E-4</v>
      </c>
      <c r="L72">
        <v>9.67683E-4</v>
      </c>
      <c r="M72">
        <v>9.32331E-4</v>
      </c>
      <c r="N72">
        <v>1.0587400000000001E-3</v>
      </c>
      <c r="O72">
        <v>1.19918E-3</v>
      </c>
      <c r="P72">
        <v>1.34965E-3</v>
      </c>
      <c r="Q72">
        <v>1.4895399999999999E-3</v>
      </c>
      <c r="R72">
        <v>1.6360599999999999E-3</v>
      </c>
      <c r="S72">
        <v>1.7612299999999999E-3</v>
      </c>
      <c r="T72">
        <v>1.8697E-3</v>
      </c>
      <c r="U72">
        <v>1.9693499999999999E-3</v>
      </c>
      <c r="V72">
        <v>2.0551900000000001E-3</v>
      </c>
      <c r="W72">
        <v>2.1264500000000002E-3</v>
      </c>
      <c r="X72">
        <v>2.1853900000000002E-3</v>
      </c>
      <c r="Y72">
        <v>2.21171E-3</v>
      </c>
      <c r="Z72">
        <v>2.23763E-3</v>
      </c>
      <c r="AA72">
        <v>2.24844E-3</v>
      </c>
      <c r="AB72">
        <v>2.2629600000000001E-3</v>
      </c>
      <c r="AC72">
        <v>2.2670799999999999E-3</v>
      </c>
      <c r="AD72">
        <v>2.2608799999999998E-3</v>
      </c>
      <c r="AE72">
        <v>2.27174E-3</v>
      </c>
    </row>
    <row r="73" spans="1:31">
      <c r="A73" t="s">
        <v>619</v>
      </c>
      <c r="B73">
        <v>0</v>
      </c>
      <c r="C73">
        <v>0</v>
      </c>
      <c r="D73">
        <v>0</v>
      </c>
      <c r="E73">
        <v>0</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c r="AE73">
        <v>0</v>
      </c>
    </row>
    <row r="74" spans="1:31">
      <c r="A74" t="s">
        <v>620</v>
      </c>
      <c r="B74">
        <v>0.99925299999999995</v>
      </c>
      <c r="C74">
        <v>0.99825399999999997</v>
      </c>
      <c r="D74">
        <v>0.99890400000000001</v>
      </c>
      <c r="E74">
        <v>0.992919</v>
      </c>
      <c r="F74">
        <v>0.98323099999999997</v>
      </c>
      <c r="G74">
        <v>0.97634900000000002</v>
      </c>
      <c r="H74">
        <v>0.95800799999999997</v>
      </c>
      <c r="I74">
        <v>0.94352599999999998</v>
      </c>
      <c r="J74">
        <v>0.92774000000000001</v>
      </c>
      <c r="K74">
        <v>0.89449000000000001</v>
      </c>
      <c r="L74">
        <v>0.81392299999999995</v>
      </c>
      <c r="M74">
        <v>0.69257100000000005</v>
      </c>
      <c r="N74">
        <v>0.69231600000000004</v>
      </c>
      <c r="O74">
        <v>0.69204900000000003</v>
      </c>
      <c r="P74">
        <v>0.69177999999999995</v>
      </c>
      <c r="Q74">
        <v>0.69162599999999996</v>
      </c>
      <c r="R74">
        <v>0.69145400000000001</v>
      </c>
      <c r="S74">
        <v>0.69131699999999996</v>
      </c>
      <c r="T74">
        <v>0.69118199999999996</v>
      </c>
      <c r="U74">
        <v>0.69107099999999999</v>
      </c>
      <c r="V74">
        <v>0.69097299999999995</v>
      </c>
      <c r="W74">
        <v>0.690886</v>
      </c>
      <c r="X74">
        <v>0.69081199999999998</v>
      </c>
      <c r="Y74">
        <v>0.69076000000000004</v>
      </c>
      <c r="Z74">
        <v>0.69072</v>
      </c>
      <c r="AA74">
        <v>0.69067999999999996</v>
      </c>
      <c r="AB74">
        <v>0.69064199999999998</v>
      </c>
      <c r="AC74">
        <v>0.69062900000000005</v>
      </c>
      <c r="AD74">
        <v>0.69061899999999998</v>
      </c>
      <c r="AE74">
        <v>0.69057999999999997</v>
      </c>
    </row>
    <row r="75" spans="1:31">
      <c r="A75" t="s">
        <v>621</v>
      </c>
      <c r="B75">
        <v>0</v>
      </c>
      <c r="C75">
        <v>0</v>
      </c>
      <c r="D75">
        <v>0</v>
      </c>
      <c r="E75" s="54">
        <v>1.07289E-5</v>
      </c>
      <c r="F75" s="54">
        <v>1.06608E-5</v>
      </c>
      <c r="G75" s="54">
        <v>1.05536E-5</v>
      </c>
      <c r="H75" s="54">
        <v>1.0440499999999999E-5</v>
      </c>
      <c r="I75" s="54">
        <v>0</v>
      </c>
      <c r="J75" s="54">
        <v>0</v>
      </c>
      <c r="K75" s="54">
        <v>0</v>
      </c>
      <c r="L75" s="54">
        <v>0</v>
      </c>
      <c r="M75" s="54">
        <v>0</v>
      </c>
      <c r="N75" s="54">
        <v>0</v>
      </c>
      <c r="O75" s="54">
        <v>0</v>
      </c>
      <c r="P75" s="54">
        <v>0</v>
      </c>
      <c r="Q75" s="54">
        <v>0</v>
      </c>
      <c r="R75" s="54">
        <v>0</v>
      </c>
      <c r="S75" s="54">
        <v>0</v>
      </c>
      <c r="T75" s="54">
        <v>0</v>
      </c>
      <c r="U75">
        <v>0</v>
      </c>
      <c r="V75">
        <v>0</v>
      </c>
      <c r="W75">
        <v>0</v>
      </c>
      <c r="X75">
        <v>0</v>
      </c>
      <c r="Y75">
        <v>0</v>
      </c>
      <c r="Z75">
        <v>0</v>
      </c>
      <c r="AA75">
        <v>0</v>
      </c>
      <c r="AB75">
        <v>0</v>
      </c>
      <c r="AC75">
        <v>0</v>
      </c>
      <c r="AD75">
        <v>0</v>
      </c>
      <c r="AE75">
        <v>0</v>
      </c>
    </row>
    <row r="76" spans="1:31">
      <c r="A76" t="s">
        <v>622</v>
      </c>
      <c r="B76" s="54">
        <v>8.2955399999999995E-5</v>
      </c>
      <c r="C76">
        <v>2.3354300000000001E-4</v>
      </c>
      <c r="D76">
        <v>1.9337400000000001E-4</v>
      </c>
      <c r="E76">
        <v>2.3603599999999999E-4</v>
      </c>
      <c r="F76">
        <v>2.7718000000000003E-4</v>
      </c>
      <c r="G76">
        <v>3.1660899999999998E-4</v>
      </c>
      <c r="H76">
        <v>3.3409599999999998E-4</v>
      </c>
      <c r="I76">
        <v>3.5128299999999998E-4</v>
      </c>
      <c r="J76">
        <v>3.7880699999999999E-4</v>
      </c>
      <c r="K76">
        <v>3.9581499999999999E-4</v>
      </c>
      <c r="L76">
        <v>3.8304099999999998E-4</v>
      </c>
      <c r="M76">
        <v>3.5087699999999998E-4</v>
      </c>
      <c r="N76">
        <v>3.7954800000000001E-4</v>
      </c>
      <c r="O76">
        <v>3.9972800000000002E-4</v>
      </c>
      <c r="P76">
        <v>4.1989099999999998E-4</v>
      </c>
      <c r="Q76">
        <v>4.3986399999999999E-4</v>
      </c>
      <c r="R76">
        <v>4.58894E-4</v>
      </c>
      <c r="S76">
        <v>4.7762100000000001E-4</v>
      </c>
      <c r="T76">
        <v>4.9726000000000002E-4</v>
      </c>
      <c r="U76">
        <v>5.1720200000000003E-4</v>
      </c>
      <c r="V76">
        <v>5.2876300000000002E-4</v>
      </c>
      <c r="W76">
        <v>5.4908300000000001E-4</v>
      </c>
      <c r="X76">
        <v>5.6879999999999995E-4</v>
      </c>
      <c r="Y76">
        <v>5.8779600000000002E-4</v>
      </c>
      <c r="Z76">
        <v>6.0664499999999995E-4</v>
      </c>
      <c r="AA76">
        <v>6.3672700000000002E-4</v>
      </c>
      <c r="AB76">
        <v>6.5795399999999998E-4</v>
      </c>
      <c r="AC76">
        <v>6.6913699999999999E-4</v>
      </c>
      <c r="AD76">
        <v>6.9026899999999997E-4</v>
      </c>
      <c r="AE76">
        <v>7.1369000000000001E-4</v>
      </c>
    </row>
    <row r="77" spans="1:31">
      <c r="A77" t="s">
        <v>623</v>
      </c>
      <c r="B77">
        <v>0</v>
      </c>
      <c r="C77" s="54">
        <v>0</v>
      </c>
      <c r="D77" s="54">
        <v>0</v>
      </c>
      <c r="E77" s="54">
        <v>1.07289E-5</v>
      </c>
      <c r="F77" s="54">
        <v>3.19823E-5</v>
      </c>
      <c r="G77" s="54">
        <v>6.3321899999999994E-5</v>
      </c>
      <c r="H77">
        <v>1.7748800000000001E-4</v>
      </c>
      <c r="I77">
        <v>3.5128299999999998E-4</v>
      </c>
      <c r="J77">
        <v>6.0404399999999998E-4</v>
      </c>
      <c r="K77">
        <v>1.29908E-3</v>
      </c>
      <c r="L77">
        <v>2.4494500000000002E-3</v>
      </c>
      <c r="M77">
        <v>4.3508799999999997E-3</v>
      </c>
      <c r="N77">
        <v>3.4459E-3</v>
      </c>
      <c r="O77">
        <v>3.24779E-3</v>
      </c>
      <c r="P77">
        <v>2.9392400000000001E-3</v>
      </c>
      <c r="Q77">
        <v>2.8291200000000001E-3</v>
      </c>
      <c r="R77">
        <v>2.71346E-3</v>
      </c>
      <c r="S77">
        <v>2.5473100000000001E-3</v>
      </c>
      <c r="T77">
        <v>2.51614E-3</v>
      </c>
      <c r="U77">
        <v>2.5362800000000001E-3</v>
      </c>
      <c r="V77">
        <v>2.6537900000000001E-3</v>
      </c>
      <c r="W77">
        <v>2.8752000000000001E-3</v>
      </c>
      <c r="X77">
        <v>3.1533500000000001E-3</v>
      </c>
      <c r="Y77">
        <v>3.4171900000000001E-3</v>
      </c>
      <c r="Z77">
        <v>3.67965E-3</v>
      </c>
      <c r="AA77">
        <v>3.9297999999999998E-3</v>
      </c>
      <c r="AB77">
        <v>4.1869799999999999E-3</v>
      </c>
      <c r="AC77">
        <v>4.4442700000000002E-3</v>
      </c>
      <c r="AD77">
        <v>4.6918300000000001E-3</v>
      </c>
      <c r="AE77">
        <v>4.9355199999999997E-3</v>
      </c>
    </row>
    <row r="78" spans="1:31">
      <c r="A78" t="s">
        <v>624</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row>
    <row r="79" spans="1:31">
      <c r="A79" t="s">
        <v>625</v>
      </c>
      <c r="B79">
        <v>0</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c r="AD79">
        <v>0</v>
      </c>
      <c r="AE79">
        <v>0</v>
      </c>
    </row>
    <row r="80" spans="1:31">
      <c r="A80" t="s">
        <v>626</v>
      </c>
      <c r="B80">
        <v>0</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row>
    <row r="81" spans="1:31">
      <c r="A81" t="s">
        <v>627</v>
      </c>
      <c r="B81">
        <v>1</v>
      </c>
      <c r="C81">
        <v>1</v>
      </c>
      <c r="D81">
        <v>1</v>
      </c>
      <c r="E81">
        <v>1</v>
      </c>
      <c r="F81">
        <v>1</v>
      </c>
      <c r="G81">
        <v>1</v>
      </c>
      <c r="H81">
        <v>1</v>
      </c>
      <c r="I81">
        <v>1</v>
      </c>
      <c r="J81">
        <v>1</v>
      </c>
      <c r="K81">
        <v>1</v>
      </c>
      <c r="L81">
        <v>1</v>
      </c>
      <c r="M81">
        <v>1</v>
      </c>
      <c r="N81">
        <v>1</v>
      </c>
      <c r="O81">
        <v>1</v>
      </c>
      <c r="P81">
        <v>1</v>
      </c>
      <c r="Q81">
        <v>1</v>
      </c>
      <c r="R81">
        <v>1</v>
      </c>
      <c r="S81">
        <v>1</v>
      </c>
      <c r="T81">
        <v>1</v>
      </c>
      <c r="U81">
        <v>1</v>
      </c>
      <c r="V81">
        <v>1</v>
      </c>
      <c r="W81">
        <v>1</v>
      </c>
      <c r="X81">
        <v>1</v>
      </c>
      <c r="Y81">
        <v>1</v>
      </c>
      <c r="Z81">
        <v>1</v>
      </c>
      <c r="AA81">
        <v>1</v>
      </c>
      <c r="AB81">
        <v>1</v>
      </c>
      <c r="AC81">
        <v>1</v>
      </c>
      <c r="AD81">
        <v>1</v>
      </c>
      <c r="AE81">
        <v>1</v>
      </c>
    </row>
    <row r="82" spans="1:31">
      <c r="A82" t="s">
        <v>628</v>
      </c>
      <c r="B82">
        <v>0</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row>
    <row r="83" spans="1:31">
      <c r="A83" t="s">
        <v>629</v>
      </c>
      <c r="B83">
        <v>0</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c r="AD83">
        <v>0</v>
      </c>
      <c r="AE83">
        <v>0</v>
      </c>
    </row>
    <row r="84" spans="1:31">
      <c r="A84" t="s">
        <v>630</v>
      </c>
      <c r="B84">
        <v>0</v>
      </c>
      <c r="C84">
        <v>0</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row>
    <row r="85" spans="1:31">
      <c r="A85" t="s">
        <v>631</v>
      </c>
      <c r="B85">
        <v>0</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row>
    <row r="86" spans="1:31">
      <c r="A86" t="s">
        <v>632</v>
      </c>
      <c r="B86">
        <v>0</v>
      </c>
      <c r="C86">
        <v>0</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v>0</v>
      </c>
    </row>
    <row r="87" spans="1:31">
      <c r="A87" t="s">
        <v>633</v>
      </c>
      <c r="B87">
        <v>0</v>
      </c>
      <c r="C87">
        <v>0</v>
      </c>
      <c r="D87">
        <v>0</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row>
    <row r="88" spans="1:31">
      <c r="A88" t="s">
        <v>634</v>
      </c>
      <c r="B88">
        <v>1</v>
      </c>
      <c r="C88">
        <v>1</v>
      </c>
      <c r="D88">
        <v>1</v>
      </c>
      <c r="E88">
        <v>1</v>
      </c>
      <c r="F88">
        <v>1</v>
      </c>
      <c r="G88">
        <v>1</v>
      </c>
      <c r="H88">
        <v>1</v>
      </c>
      <c r="I88">
        <v>1</v>
      </c>
      <c r="J88">
        <v>1</v>
      </c>
      <c r="K88">
        <v>1</v>
      </c>
      <c r="L88">
        <v>1</v>
      </c>
      <c r="M88">
        <v>1</v>
      </c>
      <c r="N88">
        <v>1</v>
      </c>
      <c r="O88">
        <v>1</v>
      </c>
      <c r="P88">
        <v>1</v>
      </c>
      <c r="Q88">
        <v>1</v>
      </c>
      <c r="R88">
        <v>1</v>
      </c>
      <c r="S88">
        <v>1</v>
      </c>
      <c r="T88">
        <v>1</v>
      </c>
      <c r="U88">
        <v>1</v>
      </c>
      <c r="V88">
        <v>1</v>
      </c>
      <c r="W88">
        <v>1</v>
      </c>
      <c r="X88">
        <v>1</v>
      </c>
      <c r="Y88">
        <v>1</v>
      </c>
      <c r="Z88">
        <v>1</v>
      </c>
      <c r="AA88">
        <v>1</v>
      </c>
      <c r="AB88">
        <v>1</v>
      </c>
      <c r="AC88">
        <v>1</v>
      </c>
      <c r="AD88">
        <v>1</v>
      </c>
      <c r="AE88">
        <v>1</v>
      </c>
    </row>
    <row r="89" spans="1:31">
      <c r="A89" t="s">
        <v>635</v>
      </c>
      <c r="B89">
        <v>0</v>
      </c>
      <c r="C89">
        <v>0</v>
      </c>
      <c r="D89">
        <v>0</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row>
    <row r="90" spans="1:31">
      <c r="A90" t="s">
        <v>636</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row>
    <row r="91" spans="1:31">
      <c r="A91" t="s">
        <v>637</v>
      </c>
      <c r="B91">
        <v>0</v>
      </c>
      <c r="C91">
        <v>0</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row>
    <row r="92" spans="1:31">
      <c r="A92" t="s">
        <v>638</v>
      </c>
      <c r="B92">
        <v>0.98924699999999999</v>
      </c>
      <c r="C92">
        <v>1</v>
      </c>
      <c r="D92">
        <v>0.99009899999999995</v>
      </c>
      <c r="E92">
        <v>0.99029100000000003</v>
      </c>
      <c r="F92">
        <v>0.981132</v>
      </c>
      <c r="G92">
        <v>0.98148100000000005</v>
      </c>
      <c r="H92">
        <v>0.97297299999999998</v>
      </c>
      <c r="I92">
        <v>0.96491199999999999</v>
      </c>
      <c r="J92">
        <v>0.96521699999999999</v>
      </c>
      <c r="K92">
        <v>0.95726500000000003</v>
      </c>
      <c r="L92">
        <v>0.95726500000000003</v>
      </c>
      <c r="M92">
        <v>0.94957999999999998</v>
      </c>
      <c r="N92">
        <v>0.95</v>
      </c>
      <c r="O92">
        <v>0.94262299999999999</v>
      </c>
      <c r="P92">
        <v>0.94308899999999996</v>
      </c>
      <c r="Q92">
        <v>0.94308899999999996</v>
      </c>
      <c r="R92">
        <v>0.93600000000000005</v>
      </c>
      <c r="S92">
        <v>0.93650800000000001</v>
      </c>
      <c r="T92">
        <v>0.92968799999999996</v>
      </c>
      <c r="U92">
        <v>0.93023299999999998</v>
      </c>
      <c r="V92">
        <v>0.92366400000000004</v>
      </c>
      <c r="W92">
        <v>0.92424200000000001</v>
      </c>
      <c r="X92">
        <v>0.91791</v>
      </c>
      <c r="Y92">
        <v>0.91791</v>
      </c>
      <c r="Z92">
        <v>0.91176500000000005</v>
      </c>
      <c r="AA92">
        <v>0.91304300000000005</v>
      </c>
      <c r="AB92">
        <v>0.90714300000000003</v>
      </c>
      <c r="AC92">
        <v>0.90780099999999997</v>
      </c>
      <c r="AD92">
        <v>0.90209799999999996</v>
      </c>
      <c r="AE92">
        <v>0.89655200000000002</v>
      </c>
    </row>
    <row r="93" spans="1:31">
      <c r="A93" t="s">
        <v>639</v>
      </c>
      <c r="B93">
        <v>0</v>
      </c>
      <c r="C93">
        <v>0</v>
      </c>
      <c r="D93">
        <v>0</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row>
    <row r="94" spans="1:31">
      <c r="A94" t="s">
        <v>640</v>
      </c>
      <c r="B94">
        <v>0</v>
      </c>
      <c r="C94">
        <v>0</v>
      </c>
      <c r="D94">
        <v>0</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c r="AE94">
        <v>0</v>
      </c>
    </row>
    <row r="95" spans="1:31">
      <c r="A95" t="s">
        <v>641</v>
      </c>
      <c r="B95">
        <v>1.07527E-2</v>
      </c>
      <c r="C95">
        <v>0</v>
      </c>
      <c r="D95">
        <v>9.9009900000000001E-3</v>
      </c>
      <c r="E95">
        <v>9.7087400000000004E-3</v>
      </c>
      <c r="F95">
        <v>1.88679E-2</v>
      </c>
      <c r="G95">
        <v>1.85185E-2</v>
      </c>
      <c r="H95">
        <v>2.7026999999999999E-2</v>
      </c>
      <c r="I95">
        <v>3.5087699999999999E-2</v>
      </c>
      <c r="J95">
        <v>3.4782599999999997E-2</v>
      </c>
      <c r="K95">
        <v>4.2735000000000002E-2</v>
      </c>
      <c r="L95">
        <v>4.2735000000000002E-2</v>
      </c>
      <c r="M95">
        <v>5.0420199999999998E-2</v>
      </c>
      <c r="N95">
        <v>0.05</v>
      </c>
      <c r="O95">
        <v>5.7376999999999997E-2</v>
      </c>
      <c r="P95">
        <v>5.6910599999999999E-2</v>
      </c>
      <c r="Q95">
        <v>5.6910599999999999E-2</v>
      </c>
      <c r="R95">
        <v>6.4000000000000001E-2</v>
      </c>
      <c r="S95">
        <v>6.3492099999999996E-2</v>
      </c>
      <c r="T95">
        <v>7.03125E-2</v>
      </c>
      <c r="U95">
        <v>6.9767399999999993E-2</v>
      </c>
      <c r="V95">
        <v>7.6335899999999998E-2</v>
      </c>
      <c r="W95">
        <v>7.5757599999999994E-2</v>
      </c>
      <c r="X95">
        <v>8.2089599999999999E-2</v>
      </c>
      <c r="Y95">
        <v>8.2089599999999999E-2</v>
      </c>
      <c r="Z95">
        <v>8.8235300000000003E-2</v>
      </c>
      <c r="AA95">
        <v>8.6956500000000006E-2</v>
      </c>
      <c r="AB95">
        <v>9.2857099999999998E-2</v>
      </c>
      <c r="AC95">
        <v>9.2198600000000006E-2</v>
      </c>
      <c r="AD95">
        <v>9.7902100000000006E-2</v>
      </c>
      <c r="AE95">
        <v>0.103448</v>
      </c>
    </row>
    <row r="96" spans="1:31">
      <c r="A96" t="s">
        <v>642</v>
      </c>
      <c r="B96">
        <v>0</v>
      </c>
      <c r="C96">
        <v>0</v>
      </c>
      <c r="D96">
        <v>0</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row>
    <row r="97" spans="1:31">
      <c r="A97" t="s">
        <v>643</v>
      </c>
      <c r="B97">
        <v>0</v>
      </c>
      <c r="C97">
        <v>0</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row>
    <row r="98" spans="1:31">
      <c r="A98" t="s">
        <v>644</v>
      </c>
      <c r="B98">
        <v>0</v>
      </c>
      <c r="C98">
        <v>0</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row>
    <row r="99" spans="1:31">
      <c r="A99" t="s">
        <v>645</v>
      </c>
      <c r="B99">
        <v>0</v>
      </c>
      <c r="C99">
        <v>0</v>
      </c>
      <c r="D99">
        <v>0</v>
      </c>
      <c r="E99">
        <v>0</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row>
    <row r="100" spans="1:31">
      <c r="A100" t="s">
        <v>646</v>
      </c>
      <c r="B100">
        <v>0</v>
      </c>
      <c r="C100">
        <v>0</v>
      </c>
      <c r="D100">
        <v>0</v>
      </c>
      <c r="E100">
        <v>0</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row>
    <row r="101" spans="1:31">
      <c r="A101" t="s">
        <v>647</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row>
    <row r="102" spans="1:31">
      <c r="A102" t="s">
        <v>648</v>
      </c>
      <c r="B102">
        <v>1</v>
      </c>
      <c r="C102">
        <v>1</v>
      </c>
      <c r="D102">
        <v>1</v>
      </c>
      <c r="E102">
        <v>1</v>
      </c>
      <c r="F102">
        <v>1</v>
      </c>
      <c r="G102">
        <v>1</v>
      </c>
      <c r="H102">
        <v>1</v>
      </c>
      <c r="I102">
        <v>1</v>
      </c>
      <c r="J102">
        <v>1</v>
      </c>
      <c r="K102">
        <v>1</v>
      </c>
      <c r="L102">
        <v>1</v>
      </c>
      <c r="M102">
        <v>1</v>
      </c>
      <c r="N102">
        <v>1</v>
      </c>
      <c r="O102">
        <v>1</v>
      </c>
      <c r="P102">
        <v>1</v>
      </c>
      <c r="Q102">
        <v>1</v>
      </c>
      <c r="R102">
        <v>1</v>
      </c>
      <c r="S102">
        <v>1</v>
      </c>
      <c r="T102">
        <v>1</v>
      </c>
      <c r="U102">
        <v>1</v>
      </c>
      <c r="V102">
        <v>1</v>
      </c>
      <c r="W102">
        <v>1</v>
      </c>
      <c r="X102">
        <v>1</v>
      </c>
      <c r="Y102">
        <v>1</v>
      </c>
      <c r="Z102">
        <v>1</v>
      </c>
      <c r="AA102">
        <v>1</v>
      </c>
      <c r="AB102">
        <v>1</v>
      </c>
      <c r="AC102">
        <v>1</v>
      </c>
      <c r="AD102">
        <v>1</v>
      </c>
      <c r="AE102">
        <v>1</v>
      </c>
    </row>
    <row r="103" spans="1:31">
      <c r="A103" t="s">
        <v>649</v>
      </c>
      <c r="B103">
        <v>0</v>
      </c>
      <c r="C103">
        <v>0</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row>
    <row r="104" spans="1:31">
      <c r="A104" t="s">
        <v>650</v>
      </c>
      <c r="B104">
        <v>0</v>
      </c>
      <c r="C104">
        <v>0</v>
      </c>
      <c r="D104">
        <v>0</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row>
    <row r="105" spans="1:31">
      <c r="A105" t="s">
        <v>651</v>
      </c>
      <c r="B105">
        <v>0</v>
      </c>
      <c r="C105">
        <v>0</v>
      </c>
      <c r="D105">
        <v>0</v>
      </c>
      <c r="E105">
        <v>0</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c r="AD105">
        <v>0</v>
      </c>
      <c r="AE105">
        <v>0</v>
      </c>
    </row>
    <row r="106" spans="1:31">
      <c r="A106" t="s">
        <v>652</v>
      </c>
      <c r="B106">
        <v>0</v>
      </c>
      <c r="C106">
        <v>0</v>
      </c>
      <c r="D106">
        <v>0</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row>
    <row r="107" spans="1:31">
      <c r="A107" t="s">
        <v>653</v>
      </c>
      <c r="B107">
        <v>0</v>
      </c>
      <c r="C107">
        <v>0</v>
      </c>
      <c r="D107">
        <v>0</v>
      </c>
      <c r="E107">
        <v>0</v>
      </c>
      <c r="F107">
        <v>0</v>
      </c>
      <c r="G107">
        <v>0</v>
      </c>
      <c r="H107">
        <v>0</v>
      </c>
      <c r="I107">
        <v>0</v>
      </c>
      <c r="J107">
        <v>0</v>
      </c>
      <c r="K107">
        <v>0</v>
      </c>
      <c r="L107">
        <v>0</v>
      </c>
      <c r="M107">
        <v>0</v>
      </c>
      <c r="N107">
        <v>0</v>
      </c>
      <c r="O107">
        <v>0</v>
      </c>
      <c r="P107">
        <v>0</v>
      </c>
      <c r="Q107">
        <v>0</v>
      </c>
      <c r="R107">
        <v>0</v>
      </c>
      <c r="S107">
        <v>0</v>
      </c>
      <c r="T107">
        <v>0</v>
      </c>
      <c r="U107">
        <v>0</v>
      </c>
      <c r="V107">
        <v>0</v>
      </c>
      <c r="W107">
        <v>0</v>
      </c>
      <c r="X107">
        <v>0</v>
      </c>
      <c r="Y107">
        <v>0</v>
      </c>
      <c r="Z107">
        <v>0</v>
      </c>
      <c r="AA107">
        <v>0</v>
      </c>
      <c r="AB107">
        <v>0</v>
      </c>
      <c r="AC107">
        <v>0</v>
      </c>
      <c r="AD107">
        <v>0</v>
      </c>
      <c r="AE107">
        <v>0</v>
      </c>
    </row>
    <row r="108" spans="1:31">
      <c r="A108" t="s">
        <v>654</v>
      </c>
      <c r="B108">
        <v>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row>
    <row r="109" spans="1:31">
      <c r="A109" t="s">
        <v>655</v>
      </c>
      <c r="B109">
        <v>1</v>
      </c>
      <c r="C109">
        <v>1</v>
      </c>
      <c r="D109">
        <v>1</v>
      </c>
      <c r="E109">
        <v>1</v>
      </c>
      <c r="F109">
        <v>1</v>
      </c>
      <c r="G109">
        <v>1</v>
      </c>
      <c r="H109">
        <v>1</v>
      </c>
      <c r="I109">
        <v>1</v>
      </c>
      <c r="J109">
        <v>1</v>
      </c>
      <c r="K109">
        <v>1</v>
      </c>
      <c r="L109">
        <v>1</v>
      </c>
      <c r="M109">
        <v>1</v>
      </c>
      <c r="N109">
        <v>1</v>
      </c>
      <c r="O109">
        <v>1</v>
      </c>
      <c r="P109">
        <v>1</v>
      </c>
      <c r="Q109">
        <v>1</v>
      </c>
      <c r="R109">
        <v>1</v>
      </c>
      <c r="S109">
        <v>1</v>
      </c>
      <c r="T109">
        <v>1</v>
      </c>
      <c r="U109">
        <v>1</v>
      </c>
      <c r="V109">
        <v>1</v>
      </c>
      <c r="W109">
        <v>1</v>
      </c>
      <c r="X109">
        <v>1</v>
      </c>
      <c r="Y109">
        <v>1</v>
      </c>
      <c r="Z109">
        <v>1</v>
      </c>
      <c r="AA109">
        <v>1</v>
      </c>
      <c r="AB109">
        <v>1</v>
      </c>
      <c r="AC109">
        <v>1</v>
      </c>
      <c r="AD109">
        <v>1</v>
      </c>
      <c r="AE109">
        <v>1</v>
      </c>
    </row>
    <row r="110" spans="1:31">
      <c r="A110" t="s">
        <v>656</v>
      </c>
      <c r="B110">
        <v>0</v>
      </c>
      <c r="C110">
        <v>0</v>
      </c>
      <c r="D110">
        <v>0</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c r="AE110">
        <v>0</v>
      </c>
    </row>
    <row r="111" spans="1:31">
      <c r="A111" t="s">
        <v>657</v>
      </c>
      <c r="B111">
        <v>0</v>
      </c>
      <c r="C111">
        <v>0</v>
      </c>
      <c r="D111">
        <v>0</v>
      </c>
      <c r="E111">
        <v>0</v>
      </c>
      <c r="F111">
        <v>0</v>
      </c>
      <c r="G111">
        <v>0</v>
      </c>
      <c r="H111">
        <v>0</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c r="AC111">
        <v>0</v>
      </c>
      <c r="AD111">
        <v>0</v>
      </c>
      <c r="AE111">
        <v>0</v>
      </c>
    </row>
    <row r="112" spans="1:31">
      <c r="A112" t="s">
        <v>658</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row>
    <row r="113" spans="1:31">
      <c r="A113" t="s">
        <v>659</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row>
    <row r="114" spans="1:31">
      <c r="A114" t="s">
        <v>660</v>
      </c>
      <c r="B114">
        <v>0</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row>
    <row r="115" spans="1:31">
      <c r="A115" t="s">
        <v>661</v>
      </c>
      <c r="B115">
        <v>0</v>
      </c>
      <c r="C115">
        <v>0</v>
      </c>
      <c r="D115">
        <v>0</v>
      </c>
      <c r="E115">
        <v>0</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row>
    <row r="116" spans="1:31">
      <c r="A116" t="s">
        <v>662</v>
      </c>
      <c r="B116">
        <v>1</v>
      </c>
      <c r="C116">
        <v>1</v>
      </c>
      <c r="D116">
        <v>1</v>
      </c>
      <c r="E116">
        <v>1</v>
      </c>
      <c r="F116">
        <v>1</v>
      </c>
      <c r="G116">
        <v>1</v>
      </c>
      <c r="H116">
        <v>1</v>
      </c>
      <c r="I116">
        <v>1</v>
      </c>
      <c r="J116">
        <v>1</v>
      </c>
      <c r="K116">
        <v>1</v>
      </c>
      <c r="L116">
        <v>1</v>
      </c>
      <c r="M116">
        <v>1</v>
      </c>
      <c r="N116">
        <v>1</v>
      </c>
      <c r="O116">
        <v>1</v>
      </c>
      <c r="P116">
        <v>1</v>
      </c>
      <c r="Q116">
        <v>1</v>
      </c>
      <c r="R116">
        <v>1</v>
      </c>
      <c r="S116">
        <v>1</v>
      </c>
      <c r="T116">
        <v>1</v>
      </c>
      <c r="U116">
        <v>1</v>
      </c>
      <c r="V116">
        <v>1</v>
      </c>
      <c r="W116">
        <v>1</v>
      </c>
      <c r="X116">
        <v>1</v>
      </c>
      <c r="Y116">
        <v>1</v>
      </c>
      <c r="Z116">
        <v>1</v>
      </c>
      <c r="AA116">
        <v>1</v>
      </c>
      <c r="AB116">
        <v>1</v>
      </c>
      <c r="AC116">
        <v>1</v>
      </c>
      <c r="AD116">
        <v>1</v>
      </c>
      <c r="AE116">
        <v>1</v>
      </c>
    </row>
    <row r="117" spans="1:31">
      <c r="A117" t="s">
        <v>663</v>
      </c>
      <c r="B117">
        <v>0</v>
      </c>
      <c r="C117">
        <v>0</v>
      </c>
      <c r="D117">
        <v>0</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row>
    <row r="118" spans="1:31">
      <c r="A118" t="s">
        <v>664</v>
      </c>
      <c r="B118">
        <v>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row>
    <row r="119" spans="1:31">
      <c r="A119" t="s">
        <v>665</v>
      </c>
      <c r="B119">
        <v>0</v>
      </c>
      <c r="C119">
        <v>0</v>
      </c>
      <c r="D119">
        <v>0</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row>
    <row r="120" spans="1:31">
      <c r="A120" t="s">
        <v>666</v>
      </c>
      <c r="B120">
        <v>0</v>
      </c>
      <c r="C120">
        <v>6.8980100000000004E-3</v>
      </c>
      <c r="D120">
        <v>1.4031099999999999E-2</v>
      </c>
      <c r="E120">
        <v>2.7876100000000001E-2</v>
      </c>
      <c r="F120">
        <v>5.2025399999999999E-2</v>
      </c>
      <c r="G120">
        <v>8.8055999999999995E-2</v>
      </c>
      <c r="H120">
        <v>0.13070799999999999</v>
      </c>
      <c r="I120">
        <v>0.16950000000000001</v>
      </c>
      <c r="J120">
        <v>0.19728699999999999</v>
      </c>
      <c r="K120">
        <v>0.213889</v>
      </c>
      <c r="L120">
        <v>0.22275600000000001</v>
      </c>
      <c r="M120">
        <v>0.227244</v>
      </c>
      <c r="N120">
        <v>0.229431</v>
      </c>
      <c r="O120">
        <v>0.23049500000000001</v>
      </c>
      <c r="P120">
        <v>0.231043</v>
      </c>
      <c r="Q120">
        <v>0.23135800000000001</v>
      </c>
      <c r="R120">
        <v>0.231517</v>
      </c>
      <c r="S120">
        <v>0.23168900000000001</v>
      </c>
      <c r="T120">
        <v>0.231797</v>
      </c>
      <c r="U120">
        <v>0.23186000000000001</v>
      </c>
      <c r="V120">
        <v>0.23185</v>
      </c>
      <c r="W120">
        <v>0.23180400000000001</v>
      </c>
      <c r="X120">
        <v>0.23172000000000001</v>
      </c>
      <c r="Y120">
        <v>0.231713</v>
      </c>
      <c r="Z120">
        <v>0.23169100000000001</v>
      </c>
      <c r="AA120">
        <v>0.23180899999999999</v>
      </c>
      <c r="AB120">
        <v>0.231797</v>
      </c>
      <c r="AC120">
        <v>0.23180999999999999</v>
      </c>
      <c r="AD120">
        <v>0.23180300000000001</v>
      </c>
      <c r="AE120">
        <v>0.231824</v>
      </c>
    </row>
    <row r="121" spans="1:31">
      <c r="A121" t="s">
        <v>667</v>
      </c>
      <c r="B121">
        <v>0</v>
      </c>
      <c r="C121">
        <v>0</v>
      </c>
      <c r="D121">
        <v>0</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row>
    <row r="122" spans="1:31">
      <c r="A122" t="s">
        <v>668</v>
      </c>
      <c r="B122">
        <v>1</v>
      </c>
      <c r="C122">
        <v>0.99310200000000004</v>
      </c>
      <c r="D122">
        <v>0.98596899999999998</v>
      </c>
      <c r="E122">
        <v>0.97212399999999999</v>
      </c>
      <c r="F122">
        <v>0.94797500000000001</v>
      </c>
      <c r="G122">
        <v>0.91194399999999998</v>
      </c>
      <c r="H122">
        <v>0.86929199999999995</v>
      </c>
      <c r="I122">
        <v>0.83050000000000002</v>
      </c>
      <c r="J122">
        <v>0.80271300000000001</v>
      </c>
      <c r="K122">
        <v>0.786111</v>
      </c>
      <c r="L122">
        <v>0.77724400000000005</v>
      </c>
      <c r="M122">
        <v>0.772756</v>
      </c>
      <c r="N122">
        <v>0.77056899999999995</v>
      </c>
      <c r="O122">
        <v>0.76950399999999997</v>
      </c>
      <c r="P122">
        <v>0.768957</v>
      </c>
      <c r="Q122">
        <v>0.76864200000000005</v>
      </c>
      <c r="R122">
        <v>0.76848300000000003</v>
      </c>
      <c r="S122">
        <v>0.76831099999999997</v>
      </c>
      <c r="T122">
        <v>0.76820299999999997</v>
      </c>
      <c r="U122">
        <v>0.76814000000000004</v>
      </c>
      <c r="V122">
        <v>0.76815</v>
      </c>
      <c r="W122">
        <v>0.76819599999999999</v>
      </c>
      <c r="X122">
        <v>0.76827999999999996</v>
      </c>
      <c r="Y122">
        <v>0.76828700000000005</v>
      </c>
      <c r="Z122">
        <v>0.76830900000000002</v>
      </c>
      <c r="AA122">
        <v>0.76819099999999996</v>
      </c>
      <c r="AB122">
        <v>0.76820299999999997</v>
      </c>
      <c r="AC122">
        <v>0.76819000000000004</v>
      </c>
      <c r="AD122">
        <v>0.76819700000000002</v>
      </c>
      <c r="AE122">
        <v>0.76817599999999997</v>
      </c>
    </row>
    <row r="123" spans="1:31">
      <c r="A123" t="s">
        <v>669</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row>
    <row r="124" spans="1:31">
      <c r="A124" t="s">
        <v>670</v>
      </c>
      <c r="B124">
        <v>0</v>
      </c>
      <c r="C124">
        <v>0</v>
      </c>
      <c r="D124">
        <v>0</v>
      </c>
      <c r="E124">
        <v>0</v>
      </c>
      <c r="F124">
        <v>0</v>
      </c>
      <c r="G124">
        <v>0</v>
      </c>
      <c r="H124">
        <v>0</v>
      </c>
      <c r="I124">
        <v>0</v>
      </c>
      <c r="J124">
        <v>0</v>
      </c>
      <c r="K124">
        <v>0</v>
      </c>
      <c r="L124">
        <v>0</v>
      </c>
      <c r="M124">
        <v>0</v>
      </c>
      <c r="N124">
        <v>0</v>
      </c>
      <c r="O124">
        <v>0</v>
      </c>
      <c r="P124">
        <v>0</v>
      </c>
      <c r="Q124">
        <v>0</v>
      </c>
      <c r="R124">
        <v>0</v>
      </c>
      <c r="S124">
        <v>0</v>
      </c>
      <c r="T124">
        <v>0</v>
      </c>
      <c r="U124">
        <v>0</v>
      </c>
      <c r="V124">
        <v>0</v>
      </c>
      <c r="W124">
        <v>0</v>
      </c>
      <c r="X124">
        <v>0</v>
      </c>
      <c r="Y124">
        <v>0</v>
      </c>
      <c r="Z124">
        <v>0</v>
      </c>
      <c r="AA124">
        <v>0</v>
      </c>
      <c r="AB124">
        <v>0</v>
      </c>
      <c r="AC124">
        <v>0</v>
      </c>
      <c r="AD124">
        <v>0</v>
      </c>
      <c r="AE124">
        <v>0</v>
      </c>
    </row>
    <row r="125" spans="1:31">
      <c r="A125" t="s">
        <v>671</v>
      </c>
      <c r="B125">
        <v>0</v>
      </c>
      <c r="C125">
        <v>0</v>
      </c>
      <c r="D125">
        <v>0</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row>
    <row r="126" spans="1:31">
      <c r="A126" t="s">
        <v>672</v>
      </c>
      <c r="B126">
        <v>0</v>
      </c>
      <c r="C126">
        <v>0</v>
      </c>
      <c r="D126">
        <v>0</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row>
    <row r="127" spans="1:31">
      <c r="A127" t="s">
        <v>673</v>
      </c>
      <c r="B127">
        <v>0</v>
      </c>
      <c r="C127">
        <v>0</v>
      </c>
      <c r="D127">
        <v>0</v>
      </c>
      <c r="E127">
        <v>0</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c r="AD127">
        <v>0</v>
      </c>
      <c r="AE127">
        <v>0</v>
      </c>
    </row>
    <row r="128" spans="1:31">
      <c r="A128" t="s">
        <v>674</v>
      </c>
      <c r="B128">
        <v>0</v>
      </c>
      <c r="C128">
        <v>0</v>
      </c>
      <c r="D128">
        <v>0</v>
      </c>
      <c r="E128">
        <v>0</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c r="AC128">
        <v>0</v>
      </c>
      <c r="AD128">
        <v>0</v>
      </c>
      <c r="AE128">
        <v>0</v>
      </c>
    </row>
    <row r="129" spans="1:31">
      <c r="A129" t="s">
        <v>675</v>
      </c>
      <c r="B129">
        <v>0</v>
      </c>
      <c r="C129">
        <v>0</v>
      </c>
      <c r="D129">
        <v>0</v>
      </c>
      <c r="E129">
        <v>0</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c r="AC129">
        <v>0</v>
      </c>
      <c r="AD129">
        <v>0</v>
      </c>
      <c r="AE129">
        <v>0</v>
      </c>
    </row>
    <row r="130" spans="1:31">
      <c r="A130" t="s">
        <v>676</v>
      </c>
      <c r="B130">
        <v>0</v>
      </c>
      <c r="C130">
        <v>0</v>
      </c>
      <c r="D130">
        <v>0</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c r="AD130">
        <v>0</v>
      </c>
      <c r="AE130">
        <v>0</v>
      </c>
    </row>
    <row r="131" spans="1:31">
      <c r="A131" t="s">
        <v>677</v>
      </c>
      <c r="B131">
        <v>0</v>
      </c>
      <c r="C131">
        <v>0</v>
      </c>
      <c r="D131">
        <v>0</v>
      </c>
      <c r="E131">
        <v>0</v>
      </c>
      <c r="F131">
        <v>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c r="AC131">
        <v>0</v>
      </c>
      <c r="AD131">
        <v>0</v>
      </c>
      <c r="AE131">
        <v>0</v>
      </c>
    </row>
    <row r="132" spans="1:31">
      <c r="A132" t="s">
        <v>678</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row>
    <row r="133" spans="1:31">
      <c r="A133" t="s">
        <v>679</v>
      </c>
      <c r="B133">
        <v>0</v>
      </c>
      <c r="C133">
        <v>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A6C762-134A-444D-BF60-BC99F3DFC165}">
  <sheetPr>
    <tabColor theme="3"/>
  </sheetPr>
  <dimension ref="A1:AE7"/>
  <sheetViews>
    <sheetView workbookViewId="0">
      <selection activeCell="E3" sqref="E3"/>
    </sheetView>
  </sheetViews>
  <sheetFormatPr defaultRowHeight="15"/>
  <cols>
    <col min="1" max="1" width="13.140625" customWidth="1"/>
    <col min="2" max="2" width="8.7109375" customWidth="1"/>
  </cols>
  <sheetData>
    <row r="1" spans="1:31" ht="45">
      <c r="A1" s="9" t="s">
        <v>9</v>
      </c>
      <c r="B1" s="202">
        <v>2021</v>
      </c>
      <c r="C1" s="202">
        <v>2022</v>
      </c>
      <c r="D1" s="202">
        <v>2023</v>
      </c>
      <c r="E1" s="202">
        <v>2024</v>
      </c>
      <c r="F1" s="202">
        <v>2025</v>
      </c>
      <c r="G1" s="202">
        <v>2026</v>
      </c>
      <c r="H1" s="202">
        <v>2027</v>
      </c>
      <c r="I1" s="202">
        <v>2028</v>
      </c>
      <c r="J1" s="202">
        <v>2029</v>
      </c>
      <c r="K1" s="202">
        <v>2030</v>
      </c>
      <c r="L1" s="202">
        <v>2031</v>
      </c>
      <c r="M1" s="202">
        <v>2032</v>
      </c>
      <c r="N1" s="202">
        <v>2033</v>
      </c>
      <c r="O1" s="202">
        <v>2034</v>
      </c>
      <c r="P1" s="202">
        <v>2035</v>
      </c>
      <c r="Q1" s="202">
        <v>2036</v>
      </c>
      <c r="R1" s="202">
        <v>2037</v>
      </c>
      <c r="S1" s="202">
        <v>2038</v>
      </c>
      <c r="T1" s="202">
        <v>2039</v>
      </c>
      <c r="U1" s="202">
        <v>2040</v>
      </c>
      <c r="V1" s="202">
        <v>2041</v>
      </c>
      <c r="W1" s="202">
        <v>2042</v>
      </c>
      <c r="X1" s="202">
        <v>2043</v>
      </c>
      <c r="Y1" s="202">
        <v>2044</v>
      </c>
      <c r="Z1" s="202">
        <v>2045</v>
      </c>
      <c r="AA1" s="202">
        <v>2046</v>
      </c>
      <c r="AB1" s="202">
        <v>2047</v>
      </c>
      <c r="AC1" s="202">
        <v>2048</v>
      </c>
      <c r="AD1" s="202">
        <v>2049</v>
      </c>
      <c r="AE1" s="202">
        <v>2050</v>
      </c>
    </row>
    <row r="2" spans="1:31">
      <c r="A2" s="1" t="s">
        <v>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s="1" t="s">
        <v>4</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s="1" t="s">
        <v>5</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s="1" t="s">
        <v>6</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s="1" t="s">
        <v>7</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s="1" t="s">
        <v>8</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475B98-F0F0-452D-A62B-4E672A3FB155}">
  <sheetPr>
    <tabColor theme="3"/>
  </sheetPr>
  <dimension ref="A1:AE7"/>
  <sheetViews>
    <sheetView tabSelected="1" workbookViewId="0">
      <selection activeCell="A2" sqref="A2"/>
    </sheetView>
  </sheetViews>
  <sheetFormatPr defaultRowHeight="15"/>
  <cols>
    <col min="1" max="1" width="11.85546875" customWidth="1"/>
  </cols>
  <sheetData>
    <row r="1" spans="1:31" s="1" customFormat="1" ht="45">
      <c r="A1" s="9" t="s">
        <v>10</v>
      </c>
      <c r="B1" s="1">
        <v>2021</v>
      </c>
      <c r="C1" s="1">
        <v>2022</v>
      </c>
      <c r="D1" s="1">
        <v>2023</v>
      </c>
      <c r="E1" s="1">
        <v>2024</v>
      </c>
      <c r="F1" s="1">
        <v>2025</v>
      </c>
      <c r="G1" s="1">
        <v>2026</v>
      </c>
      <c r="H1" s="1">
        <v>2027</v>
      </c>
      <c r="I1" s="1">
        <v>2028</v>
      </c>
      <c r="J1" s="1">
        <v>2029</v>
      </c>
      <c r="K1" s="1">
        <v>2030</v>
      </c>
      <c r="L1" s="1">
        <v>2031</v>
      </c>
      <c r="M1" s="1">
        <v>2032</v>
      </c>
      <c r="N1" s="1">
        <v>2033</v>
      </c>
      <c r="O1" s="1">
        <v>2034</v>
      </c>
      <c r="P1" s="1">
        <v>2035</v>
      </c>
      <c r="Q1" s="1">
        <v>2036</v>
      </c>
      <c r="R1" s="1">
        <v>2037</v>
      </c>
      <c r="S1" s="1">
        <v>2038</v>
      </c>
      <c r="T1" s="1">
        <v>2039</v>
      </c>
      <c r="U1" s="1">
        <v>2040</v>
      </c>
      <c r="V1" s="1">
        <v>2041</v>
      </c>
      <c r="W1" s="1">
        <v>2042</v>
      </c>
      <c r="X1" s="1">
        <v>2043</v>
      </c>
      <c r="Y1" s="1">
        <v>2044</v>
      </c>
      <c r="Z1" s="1">
        <v>2045</v>
      </c>
      <c r="AA1" s="1">
        <v>2046</v>
      </c>
      <c r="AB1" s="1">
        <v>2047</v>
      </c>
      <c r="AC1" s="1">
        <v>2048</v>
      </c>
      <c r="AD1" s="1">
        <v>2049</v>
      </c>
      <c r="AE1" s="1">
        <v>2050</v>
      </c>
    </row>
    <row r="2" spans="1:31">
      <c r="A2" s="1" t="s">
        <v>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s="1" t="s">
        <v>4</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s="1" t="s">
        <v>5</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s="1" t="s">
        <v>6</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s="1" t="s">
        <v>7</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s="1" t="s">
        <v>8</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About</vt:lpstr>
      <vt:lpstr>EPS Vehicle Class Mapping</vt:lpstr>
      <vt:lpstr>CA Standards and Followers</vt:lpstr>
      <vt:lpstr>EPA LDV Rules</vt:lpstr>
      <vt:lpstr>ICCT MDV HDV Data</vt:lpstr>
      <vt:lpstr>AEO by Class</vt:lpstr>
      <vt:lpstr>hd trucs</vt:lpstr>
      <vt:lpstr>EPA HDV Rules</vt:lpstr>
      <vt:lpstr>BRZSPbMR-passenger</vt:lpstr>
      <vt:lpstr>BRZSPbMR-freight</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2015-06-16T22:55:39Z</dcterms:created>
  <dcterms:modified xsi:type="dcterms:W3CDTF">2025-12-09T19:21:11Z</dcterms:modified>
</cp:coreProperties>
</file>