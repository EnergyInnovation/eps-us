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trans\AIiBCbVT\"/>
    </mc:Choice>
  </mc:AlternateContent>
  <xr:revisionPtr revIDLastSave="0" documentId="13_ncr:1_{773E16B6-FA20-4BAA-B71E-7A353528F51D}" xr6:coauthVersionLast="47" xr6:coauthVersionMax="47" xr10:uidLastSave="{00000000-0000-0000-0000-000000000000}"/>
  <bookViews>
    <workbookView xWindow="-90" yWindow="-90" windowWidth="19380" windowHeight="10260" xr2:uid="{4877861A-3A72-4869-A5B0-FF341A6CB1FD}"/>
  </bookViews>
  <sheets>
    <sheet name="About" sheetId="1" r:id="rId1"/>
    <sheet name="Pass LDVs" sheetId="4" r:id="rId2"/>
    <sheet name="AEO by Class" sheetId="8" r:id="rId3"/>
    <sheet name="Freight LDVs + HDVs" sheetId="5" r:id="rId4"/>
    <sheet name="AIiBCbVT-passenger-bev" sheetId="2" r:id="rId5"/>
    <sheet name="AIiBCbVT-passenger-phev" sheetId="6" r:id="rId6"/>
    <sheet name="AIiBCbVT-freight-bev" sheetId="3" r:id="rId7"/>
    <sheet name="AIiBCbVT-freight-phev" sheetId="7" r:id="rId8"/>
  </sheets>
  <externalReferences>
    <externalReference r:id="rId9"/>
    <externalReference r:id="rId10"/>
    <externalReference r:id="rId11"/>
  </externalReferences>
  <definedNames>
    <definedName name="_xlnm._FilterDatabase" localSheetId="2" hidden="1">'AEO by Class'!$A$21:$AD$372</definedName>
    <definedName name="asdf">[1]About!$A$113</definedName>
    <definedName name="cpi_2010to2012">[2]About!#REF!</definedName>
    <definedName name="cpi_2014to2012">[2]About!#REF!</definedName>
    <definedName name="cpi_2017to2012">[2]About!$A$120</definedName>
    <definedName name="cpi_2018to2012">[2]About!$A$121</definedName>
    <definedName name="cpi_2019to2012">[2]About!$A$122</definedName>
    <definedName name="cpi_2020to2012">[2]About!$A$123</definedName>
    <definedName name="cpi_2021to2012">[2]About!$A$124</definedName>
    <definedName name="cpi_2022to2012">[2]About!$A$125</definedName>
    <definedName name="H2_kg_to_MMBtu">[3]Constants!$D$7</definedName>
    <definedName name="kWh_to_Btu">[3]Constants!$D$4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60" i="8" l="1" a="1"/>
  <c r="AD60" i="8" s="1"/>
  <c r="AC60" i="8" a="1"/>
  <c r="AC60" i="8" s="1"/>
  <c r="AB60" i="8" a="1"/>
  <c r="AB60" i="8" s="1"/>
  <c r="AD59" i="8" a="1"/>
  <c r="AD59" i="8" s="1"/>
  <c r="AC59" i="8" a="1"/>
  <c r="AC59" i="8" s="1"/>
  <c r="AB59" i="8" a="1"/>
  <c r="AB59" i="8" s="1"/>
  <c r="AD58" i="8" a="1"/>
  <c r="AD58" i="8" s="1"/>
  <c r="AC58" i="8" a="1"/>
  <c r="AC58" i="8" s="1"/>
  <c r="AB58" i="8" a="1"/>
  <c r="AB58" i="8" s="1"/>
  <c r="AE58" i="8" s="1"/>
  <c r="AD57" i="8" a="1"/>
  <c r="AD57" i="8" s="1"/>
  <c r="AC57" i="8" a="1"/>
  <c r="AC57" i="8" s="1"/>
  <c r="AB57" i="8" a="1"/>
  <c r="AB57" i="8" s="1"/>
  <c r="AD56" i="8" a="1"/>
  <c r="AD56" i="8" s="1"/>
  <c r="AC56" i="8" a="1"/>
  <c r="AC56" i="8" s="1"/>
  <c r="AB56" i="8" a="1"/>
  <c r="AB56" i="8" s="1"/>
  <c r="AE56" i="8" s="1"/>
  <c r="AD55" i="8" a="1"/>
  <c r="AD55" i="8" s="1"/>
  <c r="AC55" i="8" a="1"/>
  <c r="AC55" i="8" s="1"/>
  <c r="AB55" i="8" a="1"/>
  <c r="AB55" i="8" s="1"/>
  <c r="AE55" i="8" s="1"/>
  <c r="AD54" i="8" a="1"/>
  <c r="AD54" i="8" s="1"/>
  <c r="AC54" i="8" a="1"/>
  <c r="AC54" i="8" s="1"/>
  <c r="AB54" i="8" a="1"/>
  <c r="AB54" i="8" s="1"/>
  <c r="AD53" i="8" a="1"/>
  <c r="AD53" i="8" s="1"/>
  <c r="AC53" i="8" a="1"/>
  <c r="AC53" i="8" s="1"/>
  <c r="AB53" i="8" a="1"/>
  <c r="AB53" i="8" s="1"/>
  <c r="AD52" i="8" a="1"/>
  <c r="AD52" i="8" s="1"/>
  <c r="AC52" i="8" a="1"/>
  <c r="AC52" i="8" s="1"/>
  <c r="AB52" i="8" a="1"/>
  <c r="AB52" i="8" s="1"/>
  <c r="AD51" i="8" a="1"/>
  <c r="AD51" i="8" s="1"/>
  <c r="AC51" i="8" a="1"/>
  <c r="AC51" i="8" s="1"/>
  <c r="AB51" i="8" a="1"/>
  <c r="AB51" i="8" s="1"/>
  <c r="AD50" i="8" a="1"/>
  <c r="AD50" i="8" s="1"/>
  <c r="AC50" i="8" a="1"/>
  <c r="AC50" i="8" s="1"/>
  <c r="AB50" i="8" a="1"/>
  <c r="AB50" i="8" s="1"/>
  <c r="AE50" i="8" s="1"/>
  <c r="AD49" i="8" a="1"/>
  <c r="AD49" i="8" s="1"/>
  <c r="AC49" i="8" a="1"/>
  <c r="AC49" i="8" s="1"/>
  <c r="AB49" i="8" a="1"/>
  <c r="AB49" i="8" s="1"/>
  <c r="AD48" i="8" a="1"/>
  <c r="AD48" i="8" s="1"/>
  <c r="AC48" i="8" a="1"/>
  <c r="AC48" i="8" s="1"/>
  <c r="AB48" i="8" a="1"/>
  <c r="AB48" i="8" s="1"/>
  <c r="AE48" i="8" s="1"/>
  <c r="AD47" i="8" a="1"/>
  <c r="AD47" i="8" s="1"/>
  <c r="AC47" i="8" a="1"/>
  <c r="AC47" i="8" s="1"/>
  <c r="AB47" i="8" a="1"/>
  <c r="AB47" i="8" s="1"/>
  <c r="AE47" i="8" s="1"/>
  <c r="AD46" i="8" a="1"/>
  <c r="AD46" i="8" s="1"/>
  <c r="AC46" i="8" a="1"/>
  <c r="AC46" i="8" s="1"/>
  <c r="AB46" i="8" a="1"/>
  <c r="AB46" i="8" s="1"/>
  <c r="AD45" i="8" a="1"/>
  <c r="AD45" i="8" s="1"/>
  <c r="AC45" i="8" a="1"/>
  <c r="AC45" i="8" s="1"/>
  <c r="AB45" i="8" a="1"/>
  <c r="AB45" i="8" s="1"/>
  <c r="C45" i="8"/>
  <c r="C57" i="8" s="1"/>
  <c r="C69" i="8" s="1"/>
  <c r="C81" i="8" s="1"/>
  <c r="C93" i="8" s="1"/>
  <c r="C105" i="8" s="1"/>
  <c r="C117" i="8" s="1"/>
  <c r="C129" i="8" s="1"/>
  <c r="C141" i="8" s="1"/>
  <c r="C153" i="8" s="1"/>
  <c r="C165" i="8" s="1"/>
  <c r="C177" i="8" s="1"/>
  <c r="C189" i="8" s="1"/>
  <c r="C201" i="8" s="1"/>
  <c r="C213" i="8" s="1"/>
  <c r="C225" i="8" s="1"/>
  <c r="C237" i="8" s="1"/>
  <c r="C249" i="8" s="1"/>
  <c r="C261" i="8" s="1"/>
  <c r="C273" i="8" s="1"/>
  <c r="C285" i="8" s="1"/>
  <c r="C297" i="8" s="1"/>
  <c r="C309" i="8" s="1"/>
  <c r="C321" i="8" s="1"/>
  <c r="C333" i="8" s="1"/>
  <c r="C345" i="8" s="1"/>
  <c r="C357" i="8" s="1"/>
  <c r="C369" i="8" s="1"/>
  <c r="C381" i="8" s="1"/>
  <c r="C393" i="8" s="1"/>
  <c r="C405" i="8" s="1"/>
  <c r="C417" i="8" s="1"/>
  <c r="C429" i="8" s="1"/>
  <c r="C441" i="8" s="1"/>
  <c r="C453" i="8" s="1"/>
  <c r="C465" i="8" s="1"/>
  <c r="C477" i="8" s="1"/>
  <c r="C489" i="8" s="1"/>
  <c r="AD44" i="8" a="1"/>
  <c r="AD44" i="8" s="1"/>
  <c r="AC44" i="8" a="1"/>
  <c r="AC44" i="8" s="1"/>
  <c r="AB44" i="8" a="1"/>
  <c r="AB44" i="8" s="1"/>
  <c r="C44" i="8"/>
  <c r="C56" i="8" s="1"/>
  <c r="C68" i="8" s="1"/>
  <c r="C80" i="8" s="1"/>
  <c r="C92" i="8" s="1"/>
  <c r="C104" i="8" s="1"/>
  <c r="C116" i="8" s="1"/>
  <c r="C128" i="8" s="1"/>
  <c r="C140" i="8" s="1"/>
  <c r="C152" i="8" s="1"/>
  <c r="C164" i="8" s="1"/>
  <c r="C176" i="8" s="1"/>
  <c r="C188" i="8" s="1"/>
  <c r="C200" i="8" s="1"/>
  <c r="C212" i="8" s="1"/>
  <c r="C224" i="8" s="1"/>
  <c r="C236" i="8" s="1"/>
  <c r="C248" i="8" s="1"/>
  <c r="C260" i="8" s="1"/>
  <c r="C272" i="8" s="1"/>
  <c r="C284" i="8" s="1"/>
  <c r="C296" i="8" s="1"/>
  <c r="C308" i="8" s="1"/>
  <c r="C320" i="8" s="1"/>
  <c r="C332" i="8" s="1"/>
  <c r="C344" i="8" s="1"/>
  <c r="C356" i="8" s="1"/>
  <c r="C368" i="8" s="1"/>
  <c r="C380" i="8" s="1"/>
  <c r="C392" i="8" s="1"/>
  <c r="C404" i="8" s="1"/>
  <c r="C416" i="8" s="1"/>
  <c r="C428" i="8" s="1"/>
  <c r="C440" i="8" s="1"/>
  <c r="C452" i="8" s="1"/>
  <c r="C464" i="8" s="1"/>
  <c r="C476" i="8" s="1"/>
  <c r="C488" i="8" s="1"/>
  <c r="AD43" i="8" a="1"/>
  <c r="AD43" i="8" s="1"/>
  <c r="AC43" i="8" a="1"/>
  <c r="AC43" i="8" s="1"/>
  <c r="AB43" i="8" a="1"/>
  <c r="AB43" i="8" s="1"/>
  <c r="C43" i="8"/>
  <c r="C55" i="8" s="1"/>
  <c r="C67" i="8" s="1"/>
  <c r="C79" i="8" s="1"/>
  <c r="C91" i="8" s="1"/>
  <c r="C103" i="8" s="1"/>
  <c r="C115" i="8" s="1"/>
  <c r="C127" i="8" s="1"/>
  <c r="C139" i="8" s="1"/>
  <c r="C151" i="8" s="1"/>
  <c r="C163" i="8" s="1"/>
  <c r="C175" i="8" s="1"/>
  <c r="C187" i="8" s="1"/>
  <c r="C199" i="8" s="1"/>
  <c r="C211" i="8" s="1"/>
  <c r="C223" i="8" s="1"/>
  <c r="C235" i="8" s="1"/>
  <c r="C247" i="8" s="1"/>
  <c r="C259" i="8" s="1"/>
  <c r="C271" i="8" s="1"/>
  <c r="C283" i="8" s="1"/>
  <c r="C295" i="8" s="1"/>
  <c r="C307" i="8" s="1"/>
  <c r="C319" i="8" s="1"/>
  <c r="C331" i="8" s="1"/>
  <c r="C343" i="8" s="1"/>
  <c r="C355" i="8" s="1"/>
  <c r="C367" i="8" s="1"/>
  <c r="C379" i="8" s="1"/>
  <c r="C391" i="8" s="1"/>
  <c r="C403" i="8" s="1"/>
  <c r="C415" i="8" s="1"/>
  <c r="C427" i="8" s="1"/>
  <c r="C439" i="8" s="1"/>
  <c r="C451" i="8" s="1"/>
  <c r="C463" i="8" s="1"/>
  <c r="C475" i="8" s="1"/>
  <c r="C487" i="8" s="1"/>
  <c r="AD42" i="8" a="1"/>
  <c r="AD42" i="8" s="1"/>
  <c r="AC42" i="8" a="1"/>
  <c r="AC42" i="8" s="1"/>
  <c r="AB42" i="8" a="1"/>
  <c r="AB42" i="8" s="1"/>
  <c r="C42" i="8"/>
  <c r="C54" i="8" s="1"/>
  <c r="C66" i="8" s="1"/>
  <c r="C78" i="8" s="1"/>
  <c r="C90" i="8" s="1"/>
  <c r="C102" i="8" s="1"/>
  <c r="C114" i="8" s="1"/>
  <c r="C126" i="8" s="1"/>
  <c r="C138" i="8" s="1"/>
  <c r="C150" i="8" s="1"/>
  <c r="C162" i="8" s="1"/>
  <c r="C174" i="8" s="1"/>
  <c r="C186" i="8" s="1"/>
  <c r="C198" i="8" s="1"/>
  <c r="C210" i="8" s="1"/>
  <c r="C222" i="8" s="1"/>
  <c r="C234" i="8" s="1"/>
  <c r="C246" i="8" s="1"/>
  <c r="C258" i="8" s="1"/>
  <c r="C270" i="8" s="1"/>
  <c r="C282" i="8" s="1"/>
  <c r="C294" i="8" s="1"/>
  <c r="C306" i="8" s="1"/>
  <c r="C318" i="8" s="1"/>
  <c r="C330" i="8" s="1"/>
  <c r="C342" i="8" s="1"/>
  <c r="C354" i="8" s="1"/>
  <c r="C366" i="8" s="1"/>
  <c r="C378" i="8" s="1"/>
  <c r="C390" i="8" s="1"/>
  <c r="C402" i="8" s="1"/>
  <c r="C414" i="8" s="1"/>
  <c r="C426" i="8" s="1"/>
  <c r="C438" i="8" s="1"/>
  <c r="C450" i="8" s="1"/>
  <c r="C462" i="8" s="1"/>
  <c r="C474" i="8" s="1"/>
  <c r="C486" i="8" s="1"/>
  <c r="AD41" i="8" a="1"/>
  <c r="AD41" i="8" s="1"/>
  <c r="AC41" i="8" a="1"/>
  <c r="AC41" i="8" s="1"/>
  <c r="AB41" i="8" a="1"/>
  <c r="AB41" i="8" s="1"/>
  <c r="C41" i="8"/>
  <c r="C53" i="8" s="1"/>
  <c r="C65" i="8" s="1"/>
  <c r="C77" i="8" s="1"/>
  <c r="C89" i="8" s="1"/>
  <c r="C101" i="8" s="1"/>
  <c r="C113" i="8" s="1"/>
  <c r="C125" i="8" s="1"/>
  <c r="C137" i="8" s="1"/>
  <c r="C149" i="8" s="1"/>
  <c r="C161" i="8" s="1"/>
  <c r="C173" i="8" s="1"/>
  <c r="C185" i="8" s="1"/>
  <c r="C197" i="8" s="1"/>
  <c r="C209" i="8" s="1"/>
  <c r="C221" i="8" s="1"/>
  <c r="C233" i="8" s="1"/>
  <c r="C245" i="8" s="1"/>
  <c r="C257" i="8" s="1"/>
  <c r="C269" i="8" s="1"/>
  <c r="C281" i="8" s="1"/>
  <c r="C293" i="8" s="1"/>
  <c r="C305" i="8" s="1"/>
  <c r="C317" i="8" s="1"/>
  <c r="C329" i="8" s="1"/>
  <c r="C341" i="8" s="1"/>
  <c r="C353" i="8" s="1"/>
  <c r="C365" i="8" s="1"/>
  <c r="C377" i="8" s="1"/>
  <c r="C389" i="8" s="1"/>
  <c r="C401" i="8" s="1"/>
  <c r="C413" i="8" s="1"/>
  <c r="C425" i="8" s="1"/>
  <c r="C437" i="8" s="1"/>
  <c r="C449" i="8" s="1"/>
  <c r="C461" i="8" s="1"/>
  <c r="C473" i="8" s="1"/>
  <c r="C485" i="8" s="1"/>
  <c r="AD40" i="8" a="1"/>
  <c r="AD40" i="8" s="1"/>
  <c r="AC40" i="8" a="1"/>
  <c r="AC40" i="8" s="1"/>
  <c r="AB40" i="8" a="1"/>
  <c r="AB40" i="8" s="1"/>
  <c r="C40" i="8"/>
  <c r="C52" i="8" s="1"/>
  <c r="C64" i="8" s="1"/>
  <c r="C76" i="8" s="1"/>
  <c r="C88" i="8" s="1"/>
  <c r="C100" i="8" s="1"/>
  <c r="C112" i="8" s="1"/>
  <c r="C124" i="8" s="1"/>
  <c r="C136" i="8" s="1"/>
  <c r="C148" i="8" s="1"/>
  <c r="C160" i="8" s="1"/>
  <c r="C172" i="8" s="1"/>
  <c r="C184" i="8" s="1"/>
  <c r="C196" i="8" s="1"/>
  <c r="C208" i="8" s="1"/>
  <c r="C220" i="8" s="1"/>
  <c r="C232" i="8" s="1"/>
  <c r="C244" i="8" s="1"/>
  <c r="C256" i="8" s="1"/>
  <c r="C268" i="8" s="1"/>
  <c r="C280" i="8" s="1"/>
  <c r="C292" i="8" s="1"/>
  <c r="C304" i="8" s="1"/>
  <c r="C316" i="8" s="1"/>
  <c r="C328" i="8" s="1"/>
  <c r="C340" i="8" s="1"/>
  <c r="C352" i="8" s="1"/>
  <c r="C364" i="8" s="1"/>
  <c r="C376" i="8" s="1"/>
  <c r="C388" i="8" s="1"/>
  <c r="C400" i="8" s="1"/>
  <c r="C412" i="8" s="1"/>
  <c r="C424" i="8" s="1"/>
  <c r="C436" i="8" s="1"/>
  <c r="C448" i="8" s="1"/>
  <c r="C460" i="8" s="1"/>
  <c r="C472" i="8" s="1"/>
  <c r="C484" i="8" s="1"/>
  <c r="AD39" i="8" a="1"/>
  <c r="AD39" i="8" s="1"/>
  <c r="AC39" i="8" a="1"/>
  <c r="AC39" i="8" s="1"/>
  <c r="AB39" i="8" a="1"/>
  <c r="AB39" i="8" s="1"/>
  <c r="C39" i="8"/>
  <c r="C51" i="8" s="1"/>
  <c r="C63" i="8" s="1"/>
  <c r="C75" i="8" s="1"/>
  <c r="C87" i="8" s="1"/>
  <c r="C99" i="8" s="1"/>
  <c r="C111" i="8" s="1"/>
  <c r="C123" i="8" s="1"/>
  <c r="C135" i="8" s="1"/>
  <c r="C147" i="8" s="1"/>
  <c r="C159" i="8" s="1"/>
  <c r="C171" i="8" s="1"/>
  <c r="C183" i="8" s="1"/>
  <c r="C195" i="8" s="1"/>
  <c r="C207" i="8" s="1"/>
  <c r="C219" i="8" s="1"/>
  <c r="C231" i="8" s="1"/>
  <c r="C243" i="8" s="1"/>
  <c r="C255" i="8" s="1"/>
  <c r="C267" i="8" s="1"/>
  <c r="C279" i="8" s="1"/>
  <c r="C291" i="8" s="1"/>
  <c r="C303" i="8" s="1"/>
  <c r="C315" i="8" s="1"/>
  <c r="C327" i="8" s="1"/>
  <c r="C339" i="8" s="1"/>
  <c r="C351" i="8" s="1"/>
  <c r="C363" i="8" s="1"/>
  <c r="C375" i="8" s="1"/>
  <c r="C387" i="8" s="1"/>
  <c r="C399" i="8" s="1"/>
  <c r="C411" i="8" s="1"/>
  <c r="C423" i="8" s="1"/>
  <c r="C435" i="8" s="1"/>
  <c r="C447" i="8" s="1"/>
  <c r="C459" i="8" s="1"/>
  <c r="C471" i="8" s="1"/>
  <c r="C483" i="8" s="1"/>
  <c r="AD38" i="8" a="1"/>
  <c r="AD38" i="8" s="1"/>
  <c r="AC38" i="8" a="1"/>
  <c r="AC38" i="8" s="1"/>
  <c r="AB38" i="8" a="1"/>
  <c r="AB38" i="8" s="1"/>
  <c r="C38" i="8"/>
  <c r="C50" i="8" s="1"/>
  <c r="C62" i="8" s="1"/>
  <c r="C74" i="8" s="1"/>
  <c r="C86" i="8" s="1"/>
  <c r="C98" i="8" s="1"/>
  <c r="C110" i="8" s="1"/>
  <c r="C122" i="8" s="1"/>
  <c r="C134" i="8" s="1"/>
  <c r="C146" i="8" s="1"/>
  <c r="C158" i="8" s="1"/>
  <c r="C170" i="8" s="1"/>
  <c r="C182" i="8" s="1"/>
  <c r="C194" i="8" s="1"/>
  <c r="C206" i="8" s="1"/>
  <c r="C218" i="8" s="1"/>
  <c r="C230" i="8" s="1"/>
  <c r="C242" i="8" s="1"/>
  <c r="C254" i="8" s="1"/>
  <c r="C266" i="8" s="1"/>
  <c r="C278" i="8" s="1"/>
  <c r="C290" i="8" s="1"/>
  <c r="C302" i="8" s="1"/>
  <c r="C314" i="8" s="1"/>
  <c r="C326" i="8" s="1"/>
  <c r="C338" i="8" s="1"/>
  <c r="C350" i="8" s="1"/>
  <c r="C362" i="8" s="1"/>
  <c r="C374" i="8" s="1"/>
  <c r="C386" i="8" s="1"/>
  <c r="C398" i="8" s="1"/>
  <c r="C410" i="8" s="1"/>
  <c r="C422" i="8" s="1"/>
  <c r="C434" i="8" s="1"/>
  <c r="C446" i="8" s="1"/>
  <c r="C458" i="8" s="1"/>
  <c r="C470" i="8" s="1"/>
  <c r="C482" i="8" s="1"/>
  <c r="AD37" i="8" a="1"/>
  <c r="AD37" i="8" s="1"/>
  <c r="AC37" i="8" a="1"/>
  <c r="AC37" i="8" s="1"/>
  <c r="AB37" i="8" a="1"/>
  <c r="AB37" i="8" s="1"/>
  <c r="C37" i="8"/>
  <c r="C49" i="8" s="1"/>
  <c r="C61" i="8" s="1"/>
  <c r="C73" i="8" s="1"/>
  <c r="C85" i="8" s="1"/>
  <c r="C97" i="8" s="1"/>
  <c r="C109" i="8" s="1"/>
  <c r="C121" i="8" s="1"/>
  <c r="C133" i="8" s="1"/>
  <c r="C145" i="8" s="1"/>
  <c r="C157" i="8" s="1"/>
  <c r="C169" i="8" s="1"/>
  <c r="C181" i="8" s="1"/>
  <c r="C193" i="8" s="1"/>
  <c r="C205" i="8" s="1"/>
  <c r="C217" i="8" s="1"/>
  <c r="C229" i="8" s="1"/>
  <c r="C241" i="8" s="1"/>
  <c r="C253" i="8" s="1"/>
  <c r="C265" i="8" s="1"/>
  <c r="C277" i="8" s="1"/>
  <c r="C289" i="8" s="1"/>
  <c r="C301" i="8" s="1"/>
  <c r="C313" i="8" s="1"/>
  <c r="C325" i="8" s="1"/>
  <c r="C337" i="8" s="1"/>
  <c r="C349" i="8" s="1"/>
  <c r="C361" i="8" s="1"/>
  <c r="C373" i="8" s="1"/>
  <c r="C385" i="8" s="1"/>
  <c r="C397" i="8" s="1"/>
  <c r="C409" i="8" s="1"/>
  <c r="C421" i="8" s="1"/>
  <c r="C433" i="8" s="1"/>
  <c r="C445" i="8" s="1"/>
  <c r="C457" i="8" s="1"/>
  <c r="C469" i="8" s="1"/>
  <c r="C481" i="8" s="1"/>
  <c r="AD36" i="8" a="1"/>
  <c r="AD36" i="8" s="1"/>
  <c r="AC36" i="8" a="1"/>
  <c r="AC36" i="8" s="1"/>
  <c r="AB36" i="8" a="1"/>
  <c r="AB36" i="8" s="1"/>
  <c r="C36" i="8"/>
  <c r="C48" i="8" s="1"/>
  <c r="C60" i="8" s="1"/>
  <c r="C72" i="8" s="1"/>
  <c r="C84" i="8" s="1"/>
  <c r="C96" i="8" s="1"/>
  <c r="C108" i="8" s="1"/>
  <c r="C120" i="8" s="1"/>
  <c r="C132" i="8" s="1"/>
  <c r="C144" i="8" s="1"/>
  <c r="C156" i="8" s="1"/>
  <c r="C168" i="8" s="1"/>
  <c r="C180" i="8" s="1"/>
  <c r="C192" i="8" s="1"/>
  <c r="C204" i="8" s="1"/>
  <c r="C216" i="8" s="1"/>
  <c r="C228" i="8" s="1"/>
  <c r="C240" i="8" s="1"/>
  <c r="C252" i="8" s="1"/>
  <c r="C264" i="8" s="1"/>
  <c r="C276" i="8" s="1"/>
  <c r="C288" i="8" s="1"/>
  <c r="C300" i="8" s="1"/>
  <c r="C312" i="8" s="1"/>
  <c r="C324" i="8" s="1"/>
  <c r="C336" i="8" s="1"/>
  <c r="C348" i="8" s="1"/>
  <c r="C360" i="8" s="1"/>
  <c r="C372" i="8" s="1"/>
  <c r="C384" i="8" s="1"/>
  <c r="C396" i="8" s="1"/>
  <c r="C408" i="8" s="1"/>
  <c r="C420" i="8" s="1"/>
  <c r="C432" i="8" s="1"/>
  <c r="C444" i="8" s="1"/>
  <c r="C456" i="8" s="1"/>
  <c r="C468" i="8" s="1"/>
  <c r="C480" i="8" s="1"/>
  <c r="AD35" i="8" a="1"/>
  <c r="AD35" i="8" s="1"/>
  <c r="AC35" i="8" a="1"/>
  <c r="AC35" i="8" s="1"/>
  <c r="AB35" i="8" a="1"/>
  <c r="AB35" i="8" s="1"/>
  <c r="C35" i="8"/>
  <c r="C47" i="8" s="1"/>
  <c r="C59" i="8" s="1"/>
  <c r="C71" i="8" s="1"/>
  <c r="C83" i="8" s="1"/>
  <c r="C95" i="8" s="1"/>
  <c r="C107" i="8" s="1"/>
  <c r="C119" i="8" s="1"/>
  <c r="C131" i="8" s="1"/>
  <c r="C143" i="8" s="1"/>
  <c r="C155" i="8" s="1"/>
  <c r="C167" i="8" s="1"/>
  <c r="C179" i="8" s="1"/>
  <c r="C191" i="8" s="1"/>
  <c r="C203" i="8" s="1"/>
  <c r="C215" i="8" s="1"/>
  <c r="C227" i="8" s="1"/>
  <c r="C239" i="8" s="1"/>
  <c r="C251" i="8" s="1"/>
  <c r="C263" i="8" s="1"/>
  <c r="C275" i="8" s="1"/>
  <c r="C287" i="8" s="1"/>
  <c r="C299" i="8" s="1"/>
  <c r="C311" i="8" s="1"/>
  <c r="C323" i="8" s="1"/>
  <c r="C335" i="8" s="1"/>
  <c r="C347" i="8" s="1"/>
  <c r="C359" i="8" s="1"/>
  <c r="C371" i="8" s="1"/>
  <c r="C383" i="8" s="1"/>
  <c r="C395" i="8" s="1"/>
  <c r="C407" i="8" s="1"/>
  <c r="C419" i="8" s="1"/>
  <c r="C431" i="8" s="1"/>
  <c r="C443" i="8" s="1"/>
  <c r="C455" i="8" s="1"/>
  <c r="C467" i="8" s="1"/>
  <c r="C479" i="8" s="1"/>
  <c r="AD34" i="8" a="1"/>
  <c r="AD34" i="8" s="1"/>
  <c r="AC34" i="8" a="1"/>
  <c r="AC34" i="8" s="1"/>
  <c r="AB34" i="8" a="1"/>
  <c r="AB34" i="8" s="1"/>
  <c r="C34" i="8"/>
  <c r="C46" i="8" s="1"/>
  <c r="C58" i="8" s="1"/>
  <c r="C70" i="8" s="1"/>
  <c r="C82" i="8" s="1"/>
  <c r="C94" i="8" s="1"/>
  <c r="C106" i="8" s="1"/>
  <c r="C118" i="8" s="1"/>
  <c r="C130" i="8" s="1"/>
  <c r="C142" i="8" s="1"/>
  <c r="C154" i="8" s="1"/>
  <c r="C166" i="8" s="1"/>
  <c r="C178" i="8" s="1"/>
  <c r="C190" i="8" s="1"/>
  <c r="C202" i="8" s="1"/>
  <c r="C214" i="8" s="1"/>
  <c r="C226" i="8" s="1"/>
  <c r="C238" i="8" s="1"/>
  <c r="C250" i="8" s="1"/>
  <c r="C262" i="8" s="1"/>
  <c r="C274" i="8" s="1"/>
  <c r="C286" i="8" s="1"/>
  <c r="C298" i="8" s="1"/>
  <c r="C310" i="8" s="1"/>
  <c r="C322" i="8" s="1"/>
  <c r="C334" i="8" s="1"/>
  <c r="C346" i="8" s="1"/>
  <c r="C358" i="8" s="1"/>
  <c r="C370" i="8" s="1"/>
  <c r="C382" i="8" s="1"/>
  <c r="C394" i="8" s="1"/>
  <c r="C406" i="8" s="1"/>
  <c r="C418" i="8" s="1"/>
  <c r="C430" i="8" s="1"/>
  <c r="C442" i="8" s="1"/>
  <c r="C454" i="8" s="1"/>
  <c r="C466" i="8" s="1"/>
  <c r="C478" i="8" s="1"/>
  <c r="AD33" i="8" a="1"/>
  <c r="AD33" i="8" s="1"/>
  <c r="AC33" i="8" a="1"/>
  <c r="AC33" i="8" s="1"/>
  <c r="AB33" i="8" a="1"/>
  <c r="AB33" i="8" s="1"/>
  <c r="AD32" i="8" a="1"/>
  <c r="AD32" i="8" s="1"/>
  <c r="AC32" i="8"/>
  <c r="AC32" i="8" a="1"/>
  <c r="AB32" i="8"/>
  <c r="AB32" i="8" a="1"/>
  <c r="AD31" i="8" a="1"/>
  <c r="AD31" i="8" s="1"/>
  <c r="AC31" i="8" a="1"/>
  <c r="AC31" i="8" s="1"/>
  <c r="AB31" i="8" a="1"/>
  <c r="AB31" i="8" s="1"/>
  <c r="AE31" i="8" s="1"/>
  <c r="AD30" i="8"/>
  <c r="AD30" i="8" a="1"/>
  <c r="AC30" i="8" a="1"/>
  <c r="AC30" i="8" s="1"/>
  <c r="AB30" i="8"/>
  <c r="AB30" i="8" a="1"/>
  <c r="AD29" i="8" a="1"/>
  <c r="AD29" i="8" s="1"/>
  <c r="AC29" i="8"/>
  <c r="AC29" i="8" a="1"/>
  <c r="AB29" i="8" a="1"/>
  <c r="AB29" i="8" s="1"/>
  <c r="AE29" i="8" s="1"/>
  <c r="AD28" i="8"/>
  <c r="AD28" i="8" a="1"/>
  <c r="AC28" i="8" a="1"/>
  <c r="AC28" i="8" s="1"/>
  <c r="AB28" i="8"/>
  <c r="AB28" i="8" a="1"/>
  <c r="AD27" i="8" a="1"/>
  <c r="AD27" i="8" s="1"/>
  <c r="AC27" i="8"/>
  <c r="AC27" i="8" a="1"/>
  <c r="AB27" i="8" a="1"/>
  <c r="AB27" i="8" s="1"/>
  <c r="AE27" i="8" s="1"/>
  <c r="AD26" i="8"/>
  <c r="AD26" i="8" a="1"/>
  <c r="AC26" i="8"/>
  <c r="AC26" i="8" a="1"/>
  <c r="AB26" i="8" a="1"/>
  <c r="AB26" i="8" s="1"/>
  <c r="AE26" i="8" s="1"/>
  <c r="AD25" i="8"/>
  <c r="AD25" i="8" a="1"/>
  <c r="AC25" i="8" a="1"/>
  <c r="AC25" i="8" s="1"/>
  <c r="AE25" i="8" s="1"/>
  <c r="AB25" i="8"/>
  <c r="AB25" i="8" a="1"/>
  <c r="AD24" i="8"/>
  <c r="AD24" i="8" a="1"/>
  <c r="AC24" i="8"/>
  <c r="AC24" i="8" a="1"/>
  <c r="AB24" i="8"/>
  <c r="AE24" i="8" s="1"/>
  <c r="AB24" i="8" a="1"/>
  <c r="AD23" i="8" a="1"/>
  <c r="AD23" i="8" s="1"/>
  <c r="AC23" i="8"/>
  <c r="AC23" i="8" a="1"/>
  <c r="AB23" i="8" a="1"/>
  <c r="AB23" i="8" s="1"/>
  <c r="AE23" i="8" s="1"/>
  <c r="AD22" i="8" a="1"/>
  <c r="AD22" i="8" s="1"/>
  <c r="AC22" i="8"/>
  <c r="AE22" i="8" s="1"/>
  <c r="AC22" i="8" a="1"/>
  <c r="AB22" i="8"/>
  <c r="AB22" i="8" a="1"/>
  <c r="Y14" i="8"/>
  <c r="Q14" i="8"/>
  <c r="I14" i="8"/>
  <c r="AE13" i="8"/>
  <c r="AG112" i="5" s="1"/>
  <c r="AG113" i="5" s="1"/>
  <c r="W13" i="8"/>
  <c r="Y112" i="5" s="1"/>
  <c r="Y113" i="5" s="1"/>
  <c r="O13" i="8"/>
  <c r="Q112" i="5" s="1"/>
  <c r="Q113" i="5" s="1"/>
  <c r="G13" i="8"/>
  <c r="I112" i="5" s="1"/>
  <c r="I113" i="5" s="1"/>
  <c r="AE9" i="8"/>
  <c r="AD9" i="8"/>
  <c r="AD15" i="8" s="1"/>
  <c r="AC9" i="8"/>
  <c r="AC14" i="8" s="1"/>
  <c r="AB9" i="8"/>
  <c r="AA9" i="8"/>
  <c r="Z9" i="8"/>
  <c r="Y9" i="8"/>
  <c r="Y15" i="8" s="1"/>
  <c r="X9" i="8"/>
  <c r="X15" i="8" s="1"/>
  <c r="W9" i="8"/>
  <c r="V9" i="8"/>
  <c r="V15" i="8" s="1"/>
  <c r="U9" i="8"/>
  <c r="U14" i="8" s="1"/>
  <c r="T9" i="8"/>
  <c r="T15" i="8" s="1"/>
  <c r="S9" i="8"/>
  <c r="R9" i="8"/>
  <c r="Q9" i="8"/>
  <c r="Q15" i="8" s="1"/>
  <c r="P9" i="8"/>
  <c r="P15" i="8" s="1"/>
  <c r="O9" i="8"/>
  <c r="N9" i="8"/>
  <c r="N15" i="8" s="1"/>
  <c r="M9" i="8"/>
  <c r="M14" i="8" s="1"/>
  <c r="L9" i="8"/>
  <c r="L15" i="8" s="1"/>
  <c r="K9" i="8"/>
  <c r="J9" i="8"/>
  <c r="I9" i="8"/>
  <c r="I15" i="8" s="1"/>
  <c r="H9" i="8"/>
  <c r="H15" i="8" s="1"/>
  <c r="G9" i="8"/>
  <c r="F9" i="8"/>
  <c r="F15" i="8" s="1"/>
  <c r="E9" i="8"/>
  <c r="E14" i="8" s="1"/>
  <c r="D9" i="8"/>
  <c r="D15" i="8" s="1"/>
  <c r="C9" i="8"/>
  <c r="B9" i="8"/>
  <c r="AE8" i="8"/>
  <c r="AE14" i="8" s="1"/>
  <c r="AD8" i="8"/>
  <c r="AD14" i="8" s="1"/>
  <c r="AC8" i="8"/>
  <c r="AB8" i="8"/>
  <c r="AB14" i="8" s="1"/>
  <c r="AA8" i="8"/>
  <c r="AA13" i="8" s="1"/>
  <c r="AC112" i="5" s="1"/>
  <c r="AC113" i="5" s="1"/>
  <c r="Z8" i="8"/>
  <c r="Z14" i="8" s="1"/>
  <c r="Y8" i="8"/>
  <c r="X8" i="8"/>
  <c r="X14" i="8" s="1"/>
  <c r="W8" i="8"/>
  <c r="W14" i="8" s="1"/>
  <c r="V8" i="8"/>
  <c r="V14" i="8" s="1"/>
  <c r="U8" i="8"/>
  <c r="T8" i="8"/>
  <c r="T14" i="8" s="1"/>
  <c r="S8" i="8"/>
  <c r="S13" i="8" s="1"/>
  <c r="U112" i="5" s="1"/>
  <c r="U113" i="5" s="1"/>
  <c r="R8" i="8"/>
  <c r="R14" i="8" s="1"/>
  <c r="Q8" i="8"/>
  <c r="P8" i="8"/>
  <c r="P14" i="8" s="1"/>
  <c r="O8" i="8"/>
  <c r="O14" i="8" s="1"/>
  <c r="N8" i="8"/>
  <c r="N14" i="8" s="1"/>
  <c r="M8" i="8"/>
  <c r="L8" i="8"/>
  <c r="L14" i="8" s="1"/>
  <c r="K8" i="8"/>
  <c r="K13" i="8" s="1"/>
  <c r="M112" i="5" s="1"/>
  <c r="M113" i="5" s="1"/>
  <c r="J8" i="8"/>
  <c r="J14" i="8" s="1"/>
  <c r="I8" i="8"/>
  <c r="H8" i="8"/>
  <c r="H14" i="8" s="1"/>
  <c r="G8" i="8"/>
  <c r="G14" i="8" s="1"/>
  <c r="F8" i="8"/>
  <c r="F14" i="8" s="1"/>
  <c r="E8" i="8"/>
  <c r="D8" i="8"/>
  <c r="D14" i="8" s="1"/>
  <c r="C8" i="8"/>
  <c r="C13" i="8" s="1"/>
  <c r="E112" i="5" s="1"/>
  <c r="E113" i="5" s="1"/>
  <c r="B8" i="8"/>
  <c r="B14" i="8" s="1"/>
  <c r="AE7" i="8"/>
  <c r="AD7" i="8"/>
  <c r="AD13" i="8" s="1"/>
  <c r="AF112" i="5" s="1"/>
  <c r="AF113" i="5" s="1"/>
  <c r="AC7" i="8"/>
  <c r="AC13" i="8" s="1"/>
  <c r="AE112" i="5" s="1"/>
  <c r="AE113" i="5" s="1"/>
  <c r="AB7" i="8"/>
  <c r="AB13" i="8" s="1"/>
  <c r="AD112" i="5" s="1"/>
  <c r="AD113" i="5" s="1"/>
  <c r="AA7" i="8"/>
  <c r="Z7" i="8"/>
  <c r="Z13" i="8" s="1"/>
  <c r="AB112" i="5" s="1"/>
  <c r="AB113" i="5" s="1"/>
  <c r="Y7" i="8"/>
  <c r="Y13" i="8" s="1"/>
  <c r="AA112" i="5" s="1"/>
  <c r="AA113" i="5" s="1"/>
  <c r="X7" i="8"/>
  <c r="X13" i="8" s="1"/>
  <c r="Z112" i="5" s="1"/>
  <c r="Z113" i="5" s="1"/>
  <c r="W7" i="8"/>
  <c r="V7" i="8"/>
  <c r="V13" i="8" s="1"/>
  <c r="X112" i="5" s="1"/>
  <c r="X113" i="5" s="1"/>
  <c r="U7" i="8"/>
  <c r="U13" i="8" s="1"/>
  <c r="W112" i="5" s="1"/>
  <c r="W113" i="5" s="1"/>
  <c r="T7" i="8"/>
  <c r="T13" i="8" s="1"/>
  <c r="V112" i="5" s="1"/>
  <c r="V113" i="5" s="1"/>
  <c r="S7" i="8"/>
  <c r="R7" i="8"/>
  <c r="R13" i="8" s="1"/>
  <c r="T112" i="5" s="1"/>
  <c r="T113" i="5" s="1"/>
  <c r="Q7" i="8"/>
  <c r="Q13" i="8" s="1"/>
  <c r="S112" i="5" s="1"/>
  <c r="S113" i="5" s="1"/>
  <c r="P7" i="8"/>
  <c r="P13" i="8" s="1"/>
  <c r="R112" i="5" s="1"/>
  <c r="R113" i="5" s="1"/>
  <c r="O7" i="8"/>
  <c r="N7" i="8"/>
  <c r="N13" i="8" s="1"/>
  <c r="P112" i="5" s="1"/>
  <c r="P113" i="5" s="1"/>
  <c r="M7" i="8"/>
  <c r="M13" i="8" s="1"/>
  <c r="O112" i="5" s="1"/>
  <c r="O113" i="5" s="1"/>
  <c r="L7" i="8"/>
  <c r="L13" i="8" s="1"/>
  <c r="N112" i="5" s="1"/>
  <c r="N113" i="5" s="1"/>
  <c r="K7" i="8"/>
  <c r="J7" i="8"/>
  <c r="J13" i="8" s="1"/>
  <c r="L112" i="5" s="1"/>
  <c r="L113" i="5" s="1"/>
  <c r="I7" i="8"/>
  <c r="I13" i="8" s="1"/>
  <c r="K112" i="5" s="1"/>
  <c r="K113" i="5" s="1"/>
  <c r="H7" i="8"/>
  <c r="H13" i="8" s="1"/>
  <c r="J112" i="5" s="1"/>
  <c r="J113" i="5" s="1"/>
  <c r="G7" i="8"/>
  <c r="F7" i="8"/>
  <c r="F13" i="8" s="1"/>
  <c r="H112" i="5" s="1"/>
  <c r="H113" i="5" s="1"/>
  <c r="E7" i="8"/>
  <c r="E13" i="8" s="1"/>
  <c r="G112" i="5" s="1"/>
  <c r="G113" i="5" s="1"/>
  <c r="D7" i="8"/>
  <c r="D13" i="8" s="1"/>
  <c r="F112" i="5" s="1"/>
  <c r="F113" i="5" s="1"/>
  <c r="C7" i="8"/>
  <c r="B7" i="8"/>
  <c r="B13" i="8" s="1"/>
  <c r="D112" i="5" s="1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B3" i="3"/>
  <c r="B2" i="3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C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B3" i="2"/>
  <c r="B2" i="2"/>
  <c r="S186" i="4" a="1"/>
  <c r="S186" i="4" s="1"/>
  <c r="T186" i="4" a="1"/>
  <c r="T186" i="4" s="1"/>
  <c r="U186" i="4" a="1"/>
  <c r="U186" i="4"/>
  <c r="V186" i="4" a="1"/>
  <c r="V186" i="4"/>
  <c r="W186" i="4" a="1"/>
  <c r="W186" i="4" s="1"/>
  <c r="X186" i="4" a="1"/>
  <c r="X186" i="4" s="1"/>
  <c r="Y186" i="4" a="1"/>
  <c r="Y186" i="4"/>
  <c r="Z186" i="4" a="1"/>
  <c r="Z186" i="4"/>
  <c r="AA186" i="4" a="1"/>
  <c r="AA186" i="4" s="1"/>
  <c r="AB186" i="4" a="1"/>
  <c r="AB186" i="4" s="1"/>
  <c r="AC186" i="4" a="1"/>
  <c r="AC186" i="4"/>
  <c r="AD186" i="4" a="1"/>
  <c r="AD186" i="4"/>
  <c r="AE186" i="4" a="1"/>
  <c r="AE186" i="4" s="1"/>
  <c r="AF186" i="4" a="1"/>
  <c r="AF186" i="4" s="1"/>
  <c r="S187" i="4" a="1"/>
  <c r="S187" i="4"/>
  <c r="T187" i="4" a="1"/>
  <c r="T187" i="4"/>
  <c r="U187" i="4" a="1"/>
  <c r="U187" i="4" s="1"/>
  <c r="V187" i="4" a="1"/>
  <c r="V187" i="4" s="1"/>
  <c r="W187" i="4" a="1"/>
  <c r="W187" i="4"/>
  <c r="X187" i="4" a="1"/>
  <c r="X187" i="4"/>
  <c r="Y187" i="4" a="1"/>
  <c r="Y187" i="4" s="1"/>
  <c r="Z187" i="4" a="1"/>
  <c r="Z187" i="4" s="1"/>
  <c r="AA187" i="4" a="1"/>
  <c r="AA187" i="4"/>
  <c r="AB187" i="4" a="1"/>
  <c r="AB187" i="4"/>
  <c r="AC187" i="4" a="1"/>
  <c r="AC187" i="4" s="1"/>
  <c r="AD187" i="4" a="1"/>
  <c r="AD187" i="4" s="1"/>
  <c r="AE187" i="4" a="1"/>
  <c r="AE187" i="4"/>
  <c r="AF187" i="4" a="1"/>
  <c r="AF187" i="4"/>
  <c r="R187" i="4" a="1"/>
  <c r="R187" i="4" s="1"/>
  <c r="R186" i="4" a="1"/>
  <c r="R186" i="4" s="1"/>
  <c r="C187" i="4"/>
  <c r="D187" i="4"/>
  <c r="C186" i="4"/>
  <c r="D186" i="4"/>
  <c r="B181" i="4" a="1"/>
  <c r="B181" i="4" s="1"/>
  <c r="B182" i="4" a="1"/>
  <c r="B182" i="4" s="1"/>
  <c r="C182" i="4" a="1"/>
  <c r="C182" i="4" s="1"/>
  <c r="C181" i="4" a="1"/>
  <c r="C181" i="4" s="1"/>
  <c r="E107" i="4"/>
  <c r="F107" i="4" s="1"/>
  <c r="G107" i="4" s="1"/>
  <c r="H107" i="4" s="1"/>
  <c r="I107" i="4" s="1"/>
  <c r="J107" i="4" s="1"/>
  <c r="K107" i="4" s="1"/>
  <c r="L107" i="4" s="1"/>
  <c r="E110" i="4"/>
  <c r="F110" i="4" s="1"/>
  <c r="G110" i="4" s="1"/>
  <c r="H110" i="4" s="1"/>
  <c r="I110" i="4" s="1"/>
  <c r="J110" i="4" s="1"/>
  <c r="K110" i="4" s="1"/>
  <c r="L110" i="4" s="1"/>
  <c r="E111" i="4"/>
  <c r="F111" i="4" s="1"/>
  <c r="G111" i="4" s="1"/>
  <c r="H111" i="4" s="1"/>
  <c r="I111" i="4" s="1"/>
  <c r="J111" i="4" s="1"/>
  <c r="K111" i="4" s="1"/>
  <c r="L111" i="4" s="1"/>
  <c r="E112" i="4"/>
  <c r="F112" i="4" s="1"/>
  <c r="G112" i="4" s="1"/>
  <c r="H112" i="4" s="1"/>
  <c r="I112" i="4" s="1"/>
  <c r="J112" i="4" s="1"/>
  <c r="K112" i="4" s="1"/>
  <c r="L112" i="4" s="1"/>
  <c r="E114" i="4"/>
  <c r="F114" i="4" s="1"/>
  <c r="G114" i="4" s="1"/>
  <c r="H114" i="4" s="1"/>
  <c r="I114" i="4" s="1"/>
  <c r="J114" i="4" s="1"/>
  <c r="K114" i="4" s="1"/>
  <c r="L114" i="4" s="1"/>
  <c r="E115" i="4"/>
  <c r="F115" i="4" s="1"/>
  <c r="G115" i="4" s="1"/>
  <c r="H115" i="4" s="1"/>
  <c r="I115" i="4" s="1"/>
  <c r="J115" i="4" s="1"/>
  <c r="K115" i="4" s="1"/>
  <c r="L115" i="4" s="1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3" i="4"/>
  <c r="E113" i="4" s="1"/>
  <c r="F113" i="4" s="1"/>
  <c r="G113" i="4" s="1"/>
  <c r="H113" i="4" s="1"/>
  <c r="I113" i="4" s="1"/>
  <c r="J113" i="4" s="1"/>
  <c r="K113" i="4" s="1"/>
  <c r="L113" i="4" s="1"/>
  <c r="C113" i="4"/>
  <c r="C105" i="4"/>
  <c r="C106" i="4"/>
  <c r="C107" i="4"/>
  <c r="C108" i="4"/>
  <c r="C109" i="4"/>
  <c r="C104" i="4"/>
  <c r="C99" i="4"/>
  <c r="C100" i="4"/>
  <c r="C101" i="4"/>
  <c r="C102" i="4"/>
  <c r="C103" i="4"/>
  <c r="C98" i="4"/>
  <c r="C93" i="4"/>
  <c r="C94" i="4"/>
  <c r="C95" i="4"/>
  <c r="C96" i="4"/>
  <c r="C97" i="4"/>
  <c r="C92" i="4"/>
  <c r="D92" i="4"/>
  <c r="E65" i="4"/>
  <c r="F65" i="4" s="1"/>
  <c r="G65" i="4" s="1"/>
  <c r="H65" i="4" s="1"/>
  <c r="I65" i="4" s="1"/>
  <c r="J65" i="4" s="1"/>
  <c r="K65" i="4" s="1"/>
  <c r="L65" i="4" s="1"/>
  <c r="C83" i="4"/>
  <c r="C84" i="4"/>
  <c r="D83" i="4"/>
  <c r="D84" i="4"/>
  <c r="D85" i="4"/>
  <c r="C85" i="4" s="1"/>
  <c r="D86" i="4"/>
  <c r="C86" i="4" s="1"/>
  <c r="D87" i="4"/>
  <c r="C87" i="4" s="1"/>
  <c r="D82" i="4"/>
  <c r="C82" i="4" s="1"/>
  <c r="C77" i="4"/>
  <c r="D77" i="4"/>
  <c r="C78" i="4"/>
  <c r="D78" i="4"/>
  <c r="C79" i="4"/>
  <c r="D79" i="4"/>
  <c r="C80" i="4"/>
  <c r="D80" i="4"/>
  <c r="C81" i="4"/>
  <c r="D81" i="4"/>
  <c r="D76" i="4"/>
  <c r="C76" i="4"/>
  <c r="C71" i="4"/>
  <c r="D71" i="4"/>
  <c r="C72" i="4"/>
  <c r="D72" i="4"/>
  <c r="C73" i="4"/>
  <c r="D73" i="4"/>
  <c r="C74" i="4"/>
  <c r="D74" i="4"/>
  <c r="C75" i="4"/>
  <c r="D75" i="4"/>
  <c r="D70" i="4"/>
  <c r="C70" i="4"/>
  <c r="C65" i="4"/>
  <c r="D65" i="4"/>
  <c r="C66" i="4"/>
  <c r="D66" i="4"/>
  <c r="C67" i="4"/>
  <c r="D67" i="4"/>
  <c r="C68" i="4"/>
  <c r="D68" i="4"/>
  <c r="C69" i="4"/>
  <c r="D69" i="4"/>
  <c r="C64" i="4"/>
  <c r="D64" i="4"/>
  <c r="B2" i="5" a="1"/>
  <c r="B2" i="5" s="1"/>
  <c r="B3" i="5" a="1"/>
  <c r="B3" i="5" s="1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11" i="5" a="1"/>
  <c r="B11" i="5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11" i="5" a="1"/>
  <c r="C11" i="5" s="1"/>
  <c r="C2" i="5" a="1"/>
  <c r="C2" i="5" s="1"/>
  <c r="B127" i="5"/>
  <c r="B126" i="5"/>
  <c r="B125" i="5"/>
  <c r="B124" i="5"/>
  <c r="B123" i="5"/>
  <c r="B122" i="5"/>
  <c r="B121" i="5"/>
  <c r="B120" i="5"/>
  <c r="B117" i="5"/>
  <c r="B110" i="5"/>
  <c r="B109" i="5"/>
  <c r="B108" i="5"/>
  <c r="B107" i="5"/>
  <c r="B106" i="5"/>
  <c r="B105" i="5"/>
  <c r="B104" i="5"/>
  <c r="B103" i="5"/>
  <c r="B102" i="5"/>
  <c r="B101" i="5"/>
  <c r="C27" i="5"/>
  <c r="D27" i="5" s="1"/>
  <c r="E27" i="5" s="1"/>
  <c r="F27" i="5" s="1"/>
  <c r="C26" i="5"/>
  <c r="D26" i="5" s="1"/>
  <c r="E26" i="5" s="1"/>
  <c r="F26" i="5" s="1"/>
  <c r="C25" i="5"/>
  <c r="D25" i="5" s="1"/>
  <c r="E25" i="5" s="1"/>
  <c r="F25" i="5" s="1"/>
  <c r="C24" i="5"/>
  <c r="D24" i="5" s="1"/>
  <c r="E24" i="5" s="1"/>
  <c r="F24" i="5" s="1"/>
  <c r="C22" i="5"/>
  <c r="D22" i="5" s="1"/>
  <c r="E22" i="5" s="1"/>
  <c r="F22" i="5" s="1"/>
  <c r="C21" i="5"/>
  <c r="D21" i="5" s="1"/>
  <c r="E21" i="5" s="1"/>
  <c r="F21" i="5" s="1"/>
  <c r="C20" i="5"/>
  <c r="D20" i="5" s="1"/>
  <c r="E20" i="5" s="1"/>
  <c r="F20" i="5" s="1"/>
  <c r="C19" i="5"/>
  <c r="D19" i="5" s="1"/>
  <c r="E19" i="5" s="1"/>
  <c r="F19" i="5" s="1"/>
  <c r="C18" i="5"/>
  <c r="D18" i="5" s="1"/>
  <c r="E18" i="5" s="1"/>
  <c r="F18" i="5" s="1"/>
  <c r="H27" i="5"/>
  <c r="I27" i="5" s="1"/>
  <c r="J27" i="5" s="1"/>
  <c r="K27" i="5" s="1"/>
  <c r="H26" i="5"/>
  <c r="I26" i="5" s="1"/>
  <c r="J26" i="5" s="1"/>
  <c r="K26" i="5" s="1"/>
  <c r="H25" i="5"/>
  <c r="I25" i="5" s="1"/>
  <c r="J25" i="5" s="1"/>
  <c r="K25" i="5" s="1"/>
  <c r="H24" i="5"/>
  <c r="I24" i="5" s="1"/>
  <c r="J24" i="5" s="1"/>
  <c r="K24" i="5" s="1"/>
  <c r="H22" i="5"/>
  <c r="I22" i="5" s="1"/>
  <c r="J22" i="5" s="1"/>
  <c r="K22" i="5" s="1"/>
  <c r="H21" i="5"/>
  <c r="I21" i="5" s="1"/>
  <c r="J21" i="5" s="1"/>
  <c r="K21" i="5" s="1"/>
  <c r="H20" i="5"/>
  <c r="I20" i="5" s="1"/>
  <c r="J20" i="5" s="1"/>
  <c r="K20" i="5" s="1"/>
  <c r="H19" i="5"/>
  <c r="I19" i="5" s="1"/>
  <c r="J19" i="5" s="1"/>
  <c r="K19" i="5" s="1"/>
  <c r="H18" i="5"/>
  <c r="I18" i="5" s="1"/>
  <c r="J18" i="5" s="1"/>
  <c r="K18" i="5" s="1"/>
  <c r="M27" i="5"/>
  <c r="N27" i="5" s="1"/>
  <c r="O27" i="5" s="1"/>
  <c r="P27" i="5" s="1"/>
  <c r="M26" i="5"/>
  <c r="N26" i="5" s="1"/>
  <c r="O26" i="5" s="1"/>
  <c r="P26" i="5" s="1"/>
  <c r="M25" i="5"/>
  <c r="N25" i="5" s="1"/>
  <c r="O25" i="5" s="1"/>
  <c r="P25" i="5" s="1"/>
  <c r="M24" i="5"/>
  <c r="N24" i="5" s="1"/>
  <c r="O24" i="5" s="1"/>
  <c r="P24" i="5" s="1"/>
  <c r="M22" i="5"/>
  <c r="N22" i="5" s="1"/>
  <c r="O22" i="5" s="1"/>
  <c r="P22" i="5" s="1"/>
  <c r="M21" i="5"/>
  <c r="N21" i="5" s="1"/>
  <c r="O21" i="5" s="1"/>
  <c r="P21" i="5" s="1"/>
  <c r="M20" i="5"/>
  <c r="N20" i="5" s="1"/>
  <c r="O20" i="5" s="1"/>
  <c r="P20" i="5" s="1"/>
  <c r="M19" i="5"/>
  <c r="N19" i="5" s="1"/>
  <c r="O19" i="5" s="1"/>
  <c r="P19" i="5" s="1"/>
  <c r="M18" i="5"/>
  <c r="N18" i="5" s="1"/>
  <c r="O18" i="5" s="1"/>
  <c r="P18" i="5" s="1"/>
  <c r="R27" i="5"/>
  <c r="S27" i="5" s="1"/>
  <c r="T27" i="5" s="1"/>
  <c r="U27" i="5" s="1"/>
  <c r="R26" i="5"/>
  <c r="S26" i="5" s="1"/>
  <c r="T26" i="5" s="1"/>
  <c r="U26" i="5" s="1"/>
  <c r="R25" i="5"/>
  <c r="S25" i="5" s="1"/>
  <c r="T25" i="5" s="1"/>
  <c r="U25" i="5" s="1"/>
  <c r="R24" i="5"/>
  <c r="S24" i="5" s="1"/>
  <c r="T24" i="5" s="1"/>
  <c r="U24" i="5" s="1"/>
  <c r="R22" i="5"/>
  <c r="S22" i="5" s="1"/>
  <c r="T22" i="5" s="1"/>
  <c r="U22" i="5" s="1"/>
  <c r="R21" i="5"/>
  <c r="S21" i="5" s="1"/>
  <c r="T21" i="5" s="1"/>
  <c r="U21" i="5" s="1"/>
  <c r="R20" i="5"/>
  <c r="S20" i="5" s="1"/>
  <c r="T20" i="5" s="1"/>
  <c r="U20" i="5" s="1"/>
  <c r="R19" i="5"/>
  <c r="S19" i="5" s="1"/>
  <c r="T19" i="5" s="1"/>
  <c r="U19" i="5" s="1"/>
  <c r="R18" i="5"/>
  <c r="S18" i="5" s="1"/>
  <c r="T18" i="5" s="1"/>
  <c r="U18" i="5" s="1"/>
  <c r="R17" i="5"/>
  <c r="S17" i="5" s="1"/>
  <c r="T17" i="5" s="1"/>
  <c r="U17" i="5" s="1"/>
  <c r="M17" i="5"/>
  <c r="N17" i="5" s="1"/>
  <c r="O17" i="5" s="1"/>
  <c r="P17" i="5" s="1"/>
  <c r="H17" i="5"/>
  <c r="I17" i="5" s="1"/>
  <c r="J17" i="5" s="1"/>
  <c r="K17" i="5" s="1"/>
  <c r="C17" i="5"/>
  <c r="D17" i="5" s="1"/>
  <c r="E17" i="5" s="1"/>
  <c r="F17" i="5" s="1"/>
  <c r="B98" i="5"/>
  <c r="B97" i="5"/>
  <c r="B96" i="5"/>
  <c r="B95" i="5"/>
  <c r="B94" i="5"/>
  <c r="B93" i="5"/>
  <c r="B92" i="5"/>
  <c r="B91" i="5"/>
  <c r="B90" i="5"/>
  <c r="B89" i="5"/>
  <c r="B78" i="5"/>
  <c r="B79" i="5"/>
  <c r="B80" i="5"/>
  <c r="B81" i="5"/>
  <c r="B82" i="5"/>
  <c r="B83" i="5"/>
  <c r="B84" i="5"/>
  <c r="B85" i="5"/>
  <c r="B86" i="5"/>
  <c r="B77" i="5"/>
  <c r="S77" i="5" a="1"/>
  <c r="S77" i="5" s="1"/>
  <c r="T77" i="5" a="1"/>
  <c r="T77" i="5" s="1"/>
  <c r="U77" i="5" a="1"/>
  <c r="U77" i="5" s="1"/>
  <c r="V77" i="5" a="1"/>
  <c r="V77" i="5" s="1"/>
  <c r="W77" i="5" a="1"/>
  <c r="W77" i="5" s="1"/>
  <c r="W89" i="5" s="1"/>
  <c r="X77" i="5" a="1"/>
  <c r="X77" i="5" s="1"/>
  <c r="Y77" i="5" a="1"/>
  <c r="Y77" i="5" s="1"/>
  <c r="Z77" i="5" a="1"/>
  <c r="Z77" i="5" s="1"/>
  <c r="AA77" i="5" a="1"/>
  <c r="AA77" i="5" s="1"/>
  <c r="AB77" i="5" a="1"/>
  <c r="AB77" i="5" s="1"/>
  <c r="AC77" i="5" a="1"/>
  <c r="AC77" i="5" s="1"/>
  <c r="AD77" i="5" a="1"/>
  <c r="AD77" i="5" s="1"/>
  <c r="AE77" i="5" a="1"/>
  <c r="AE77" i="5" s="1"/>
  <c r="AF77" i="5" a="1"/>
  <c r="AF77" i="5" s="1"/>
  <c r="AG77" i="5" a="1"/>
  <c r="AG77" i="5" s="1"/>
  <c r="S78" i="5" a="1"/>
  <c r="S78" i="5" s="1"/>
  <c r="S90" i="5" s="1"/>
  <c r="T78" i="5" a="1"/>
  <c r="T78" i="5" s="1"/>
  <c r="U78" i="5" a="1"/>
  <c r="U78" i="5" s="1"/>
  <c r="V78" i="5" a="1"/>
  <c r="V78" i="5" s="1"/>
  <c r="W78" i="5" a="1"/>
  <c r="W78" i="5" s="1"/>
  <c r="W90" i="5" s="1"/>
  <c r="X78" i="5" a="1"/>
  <c r="X78" i="5" s="1"/>
  <c r="Y78" i="5" a="1"/>
  <c r="Y78" i="5" s="1"/>
  <c r="Z78" i="5" a="1"/>
  <c r="Z78" i="5" s="1"/>
  <c r="AA78" i="5" a="1"/>
  <c r="AA78" i="5" s="1"/>
  <c r="AB78" i="5" a="1"/>
  <c r="AB78" i="5" s="1"/>
  <c r="AC78" i="5" a="1"/>
  <c r="AC78" i="5" s="1"/>
  <c r="AD78" i="5" a="1"/>
  <c r="AD78" i="5" s="1"/>
  <c r="AE78" i="5" a="1"/>
  <c r="AE78" i="5" s="1"/>
  <c r="AF78" i="5" a="1"/>
  <c r="AF78" i="5" s="1"/>
  <c r="AG78" i="5" a="1"/>
  <c r="AG78" i="5" s="1"/>
  <c r="S79" i="5" a="1"/>
  <c r="S79" i="5" s="1"/>
  <c r="T79" i="5" a="1"/>
  <c r="T79" i="5" s="1"/>
  <c r="U79" i="5" a="1"/>
  <c r="U79" i="5" s="1"/>
  <c r="V79" i="5" a="1"/>
  <c r="V79" i="5" s="1"/>
  <c r="W79" i="5" a="1"/>
  <c r="W79" i="5" s="1"/>
  <c r="W91" i="5" s="1"/>
  <c r="X79" i="5" a="1"/>
  <c r="X79" i="5" s="1"/>
  <c r="Y79" i="5" a="1"/>
  <c r="Y79" i="5" s="1"/>
  <c r="Z79" i="5" a="1"/>
  <c r="Z79" i="5" s="1"/>
  <c r="AA79" i="5" a="1"/>
  <c r="AA79" i="5" s="1"/>
  <c r="AB79" i="5" a="1"/>
  <c r="AB79" i="5" s="1"/>
  <c r="AC79" i="5" a="1"/>
  <c r="AC79" i="5" s="1"/>
  <c r="AD79" i="5" a="1"/>
  <c r="AD79" i="5" s="1"/>
  <c r="AE79" i="5" a="1"/>
  <c r="AE79" i="5" s="1"/>
  <c r="AF79" i="5" a="1"/>
  <c r="AF79" i="5" s="1"/>
  <c r="AG79" i="5" a="1"/>
  <c r="AG79" i="5" s="1"/>
  <c r="S80" i="5" a="1"/>
  <c r="S80" i="5" s="1"/>
  <c r="T80" i="5" a="1"/>
  <c r="T80" i="5" s="1"/>
  <c r="U80" i="5" a="1"/>
  <c r="U80" i="5" s="1"/>
  <c r="V80" i="5" a="1"/>
  <c r="V80" i="5" s="1"/>
  <c r="W80" i="5" a="1"/>
  <c r="W80" i="5" s="1"/>
  <c r="W92" i="5" s="1"/>
  <c r="X80" i="5" a="1"/>
  <c r="X80" i="5" s="1"/>
  <c r="Y80" i="5" a="1"/>
  <c r="Y80" i="5" s="1"/>
  <c r="Z80" i="5" a="1"/>
  <c r="Z80" i="5" s="1"/>
  <c r="AA80" i="5" a="1"/>
  <c r="AA80" i="5" s="1"/>
  <c r="AB80" i="5" a="1"/>
  <c r="AB80" i="5" s="1"/>
  <c r="AC80" i="5" a="1"/>
  <c r="AC80" i="5" s="1"/>
  <c r="AD80" i="5" a="1"/>
  <c r="AD80" i="5" s="1"/>
  <c r="AE80" i="5" a="1"/>
  <c r="AE80" i="5" s="1"/>
  <c r="AF80" i="5" a="1"/>
  <c r="AF80" i="5" s="1"/>
  <c r="AG80" i="5" a="1"/>
  <c r="AG80" i="5" s="1"/>
  <c r="S81" i="5" a="1"/>
  <c r="S81" i="5" s="1"/>
  <c r="T81" i="5" a="1"/>
  <c r="T81" i="5" s="1"/>
  <c r="U81" i="5" a="1"/>
  <c r="U81" i="5" s="1"/>
  <c r="V81" i="5" a="1"/>
  <c r="V81" i="5" s="1"/>
  <c r="W81" i="5" a="1"/>
  <c r="W81" i="5" s="1"/>
  <c r="W93" i="5" s="1"/>
  <c r="X81" i="5" a="1"/>
  <c r="X81" i="5" s="1"/>
  <c r="Y81" i="5" a="1"/>
  <c r="Y81" i="5" s="1"/>
  <c r="Z81" i="5" a="1"/>
  <c r="Z81" i="5" s="1"/>
  <c r="AA81" i="5" a="1"/>
  <c r="AA81" i="5" s="1"/>
  <c r="AB81" i="5" a="1"/>
  <c r="AB81" i="5" s="1"/>
  <c r="AC81" i="5" a="1"/>
  <c r="AC81" i="5" s="1"/>
  <c r="AD81" i="5" a="1"/>
  <c r="AD81" i="5" s="1"/>
  <c r="AE81" i="5" a="1"/>
  <c r="AE81" i="5" s="1"/>
  <c r="AF81" i="5" a="1"/>
  <c r="AF81" i="5" s="1"/>
  <c r="AG81" i="5" a="1"/>
  <c r="AG81" i="5" s="1"/>
  <c r="S82" i="5" a="1"/>
  <c r="S82" i="5" s="1"/>
  <c r="T82" i="5" a="1"/>
  <c r="T82" i="5" s="1"/>
  <c r="U82" i="5" a="1"/>
  <c r="U82" i="5" s="1"/>
  <c r="V82" i="5" a="1"/>
  <c r="V82" i="5" s="1"/>
  <c r="W82" i="5" a="1"/>
  <c r="W82" i="5" s="1"/>
  <c r="W94" i="5" s="1"/>
  <c r="X82" i="5" a="1"/>
  <c r="X82" i="5" s="1"/>
  <c r="Y82" i="5" a="1"/>
  <c r="Y82" i="5" s="1"/>
  <c r="Z82" i="5" a="1"/>
  <c r="Z82" i="5" s="1"/>
  <c r="AA82" i="5" a="1"/>
  <c r="AA82" i="5" s="1"/>
  <c r="AB82" i="5" a="1"/>
  <c r="AB82" i="5" s="1"/>
  <c r="AC82" i="5" a="1"/>
  <c r="AC82" i="5" s="1"/>
  <c r="AD82" i="5" a="1"/>
  <c r="AD82" i="5" s="1"/>
  <c r="AE82" i="5" a="1"/>
  <c r="AE82" i="5" s="1"/>
  <c r="AF82" i="5" a="1"/>
  <c r="AF82" i="5" s="1"/>
  <c r="AG82" i="5" a="1"/>
  <c r="AG82" i="5" s="1"/>
  <c r="S83" i="5" a="1"/>
  <c r="S83" i="5" s="1"/>
  <c r="S95" i="5" s="1"/>
  <c r="T83" i="5" a="1"/>
  <c r="T83" i="5" s="1"/>
  <c r="T95" i="5" s="1"/>
  <c r="U83" i="5" a="1"/>
  <c r="U83" i="5" s="1"/>
  <c r="U95" i="5" s="1"/>
  <c r="V83" i="5" a="1"/>
  <c r="V83" i="5" s="1"/>
  <c r="V95" i="5" s="1"/>
  <c r="W83" i="5" a="1"/>
  <c r="W83" i="5" s="1"/>
  <c r="W95" i="5" s="1"/>
  <c r="X83" i="5" a="1"/>
  <c r="X83" i="5" s="1"/>
  <c r="Y83" i="5" a="1"/>
  <c r="Y83" i="5" s="1"/>
  <c r="Z83" i="5" a="1"/>
  <c r="Z83" i="5" s="1"/>
  <c r="AA83" i="5" a="1"/>
  <c r="AA83" i="5" s="1"/>
  <c r="AB83" i="5" a="1"/>
  <c r="AB83" i="5" s="1"/>
  <c r="AC83" i="5" a="1"/>
  <c r="AC83" i="5" s="1"/>
  <c r="AD83" i="5" a="1"/>
  <c r="AD83" i="5" s="1"/>
  <c r="AE83" i="5" a="1"/>
  <c r="AE83" i="5" s="1"/>
  <c r="AF83" i="5" a="1"/>
  <c r="AF83" i="5" s="1"/>
  <c r="AG83" i="5" a="1"/>
  <c r="AG83" i="5" s="1"/>
  <c r="S84" i="5" a="1"/>
  <c r="S84" i="5" s="1"/>
  <c r="T84" i="5" a="1"/>
  <c r="T84" i="5" s="1"/>
  <c r="U84" i="5" a="1"/>
  <c r="U84" i="5" s="1"/>
  <c r="V84" i="5" a="1"/>
  <c r="V84" i="5" s="1"/>
  <c r="W84" i="5" a="1"/>
  <c r="W84" i="5" s="1"/>
  <c r="W96" i="5" s="1"/>
  <c r="X84" i="5" a="1"/>
  <c r="X84" i="5" s="1"/>
  <c r="Y84" i="5" a="1"/>
  <c r="Y84" i="5" s="1"/>
  <c r="Z84" i="5" a="1"/>
  <c r="Z84" i="5" s="1"/>
  <c r="AA84" i="5" a="1"/>
  <c r="AA84" i="5" s="1"/>
  <c r="AB84" i="5" a="1"/>
  <c r="AB84" i="5" s="1"/>
  <c r="AC84" i="5" a="1"/>
  <c r="AC84" i="5" s="1"/>
  <c r="AD84" i="5" a="1"/>
  <c r="AD84" i="5" s="1"/>
  <c r="AE84" i="5" a="1"/>
  <c r="AE84" i="5" s="1"/>
  <c r="AF84" i="5" a="1"/>
  <c r="AF84" i="5" s="1"/>
  <c r="AG84" i="5" a="1"/>
  <c r="AG84" i="5" s="1"/>
  <c r="S85" i="5" a="1"/>
  <c r="S85" i="5" s="1"/>
  <c r="T85" i="5" a="1"/>
  <c r="T85" i="5" s="1"/>
  <c r="U85" i="5" a="1"/>
  <c r="U85" i="5" s="1"/>
  <c r="V85" i="5" a="1"/>
  <c r="V85" i="5" s="1"/>
  <c r="W85" i="5" a="1"/>
  <c r="W85" i="5" s="1"/>
  <c r="W97" i="5" s="1"/>
  <c r="X85" i="5" a="1"/>
  <c r="X85" i="5" s="1"/>
  <c r="Y85" i="5" a="1"/>
  <c r="Y85" i="5" s="1"/>
  <c r="Z85" i="5" a="1"/>
  <c r="Z85" i="5" s="1"/>
  <c r="AA85" i="5" a="1"/>
  <c r="AA85" i="5" s="1"/>
  <c r="AB85" i="5" a="1"/>
  <c r="AB85" i="5" s="1"/>
  <c r="AC85" i="5" a="1"/>
  <c r="AC85" i="5" s="1"/>
  <c r="AD85" i="5" a="1"/>
  <c r="AD85" i="5" s="1"/>
  <c r="AE85" i="5" a="1"/>
  <c r="AE85" i="5" s="1"/>
  <c r="AF85" i="5" a="1"/>
  <c r="AF85" i="5" s="1"/>
  <c r="AG85" i="5" a="1"/>
  <c r="AG85" i="5" s="1"/>
  <c r="S86" i="5" a="1"/>
  <c r="S86" i="5" s="1"/>
  <c r="T86" i="5" a="1"/>
  <c r="T86" i="5" s="1"/>
  <c r="U86" i="5" a="1"/>
  <c r="U86" i="5" s="1"/>
  <c r="V86" i="5" a="1"/>
  <c r="V86" i="5" s="1"/>
  <c r="W86" i="5" a="1"/>
  <c r="W86" i="5" s="1"/>
  <c r="W98" i="5" s="1"/>
  <c r="X86" i="5" a="1"/>
  <c r="X86" i="5" s="1"/>
  <c r="Y86" i="5" a="1"/>
  <c r="Y86" i="5" s="1"/>
  <c r="Z86" i="5" a="1"/>
  <c r="Z86" i="5" s="1"/>
  <c r="AA86" i="5" a="1"/>
  <c r="AA86" i="5" s="1"/>
  <c r="AB86" i="5" a="1"/>
  <c r="AB86" i="5" s="1"/>
  <c r="AC86" i="5" a="1"/>
  <c r="AC86" i="5" s="1"/>
  <c r="AD86" i="5" a="1"/>
  <c r="AD86" i="5" s="1"/>
  <c r="AE86" i="5" a="1"/>
  <c r="AE86" i="5" s="1"/>
  <c r="AF86" i="5" a="1"/>
  <c r="AF86" i="5" s="1"/>
  <c r="AG86" i="5" a="1"/>
  <c r="AG86" i="5" s="1"/>
  <c r="D77" i="5" a="1"/>
  <c r="D77" i="5" s="1"/>
  <c r="E77" i="5" a="1"/>
  <c r="E77" i="5" s="1"/>
  <c r="F77" i="5" a="1"/>
  <c r="F77" i="5" s="1"/>
  <c r="G77" i="5" a="1"/>
  <c r="G77" i="5" s="1"/>
  <c r="H77" i="5" a="1"/>
  <c r="H77" i="5" s="1"/>
  <c r="H89" i="5" s="1"/>
  <c r="I77" i="5" a="1"/>
  <c r="I77" i="5" s="1"/>
  <c r="J77" i="5" a="1"/>
  <c r="J77" i="5" s="1"/>
  <c r="K77" i="5" a="1"/>
  <c r="K77" i="5" s="1"/>
  <c r="L77" i="5" a="1"/>
  <c r="L77" i="5" s="1"/>
  <c r="M77" i="5" a="1"/>
  <c r="M77" i="5" s="1"/>
  <c r="M89" i="5" s="1"/>
  <c r="N77" i="5" a="1"/>
  <c r="N77" i="5" s="1"/>
  <c r="O77" i="5" a="1"/>
  <c r="O77" i="5" s="1"/>
  <c r="P77" i="5" a="1"/>
  <c r="P77" i="5" s="1"/>
  <c r="Q77" i="5" a="1"/>
  <c r="Q77" i="5" s="1"/>
  <c r="R77" i="5" a="1"/>
  <c r="R77" i="5" s="1"/>
  <c r="R89" i="5" s="1"/>
  <c r="D78" i="5" a="1"/>
  <c r="D78" i="5" s="1"/>
  <c r="E78" i="5" a="1"/>
  <c r="E78" i="5" s="1"/>
  <c r="F78" i="5" a="1"/>
  <c r="F78" i="5" s="1"/>
  <c r="G78" i="5" a="1"/>
  <c r="G78" i="5" s="1"/>
  <c r="G90" i="5" s="1"/>
  <c r="H78" i="5" a="1"/>
  <c r="H78" i="5" s="1"/>
  <c r="H90" i="5" s="1"/>
  <c r="I78" i="5" a="1"/>
  <c r="I78" i="5" s="1"/>
  <c r="J78" i="5" a="1"/>
  <c r="J78" i="5" s="1"/>
  <c r="K78" i="5" a="1"/>
  <c r="K78" i="5" s="1"/>
  <c r="L78" i="5" a="1"/>
  <c r="L78" i="5" s="1"/>
  <c r="M78" i="5" a="1"/>
  <c r="M78" i="5" s="1"/>
  <c r="M90" i="5" s="1"/>
  <c r="N78" i="5" a="1"/>
  <c r="N78" i="5" s="1"/>
  <c r="O78" i="5" a="1"/>
  <c r="O78" i="5" s="1"/>
  <c r="P78" i="5" a="1"/>
  <c r="P78" i="5" s="1"/>
  <c r="Q78" i="5" a="1"/>
  <c r="Q78" i="5" s="1"/>
  <c r="R78" i="5" a="1"/>
  <c r="R78" i="5" s="1"/>
  <c r="R90" i="5" s="1"/>
  <c r="D79" i="5" a="1"/>
  <c r="D79" i="5" s="1"/>
  <c r="E79" i="5" a="1"/>
  <c r="E79" i="5" s="1"/>
  <c r="F79" i="5" a="1"/>
  <c r="F79" i="5" s="1"/>
  <c r="G79" i="5" a="1"/>
  <c r="G79" i="5" s="1"/>
  <c r="H79" i="5" a="1"/>
  <c r="H79" i="5" s="1"/>
  <c r="H91" i="5" s="1"/>
  <c r="I79" i="5" a="1"/>
  <c r="I79" i="5" s="1"/>
  <c r="J79" i="5" a="1"/>
  <c r="J79" i="5" s="1"/>
  <c r="K79" i="5" a="1"/>
  <c r="K79" i="5" s="1"/>
  <c r="L79" i="5" a="1"/>
  <c r="L79" i="5" s="1"/>
  <c r="M79" i="5" a="1"/>
  <c r="M79" i="5" s="1"/>
  <c r="M91" i="5" s="1"/>
  <c r="N79" i="5" a="1"/>
  <c r="N79" i="5" s="1"/>
  <c r="O79" i="5" a="1"/>
  <c r="O79" i="5" s="1"/>
  <c r="P79" i="5" a="1"/>
  <c r="P79" i="5" s="1"/>
  <c r="Q79" i="5" a="1"/>
  <c r="Q79" i="5" s="1"/>
  <c r="R79" i="5" a="1"/>
  <c r="R79" i="5" s="1"/>
  <c r="R91" i="5" s="1"/>
  <c r="D80" i="5" a="1"/>
  <c r="D80" i="5" s="1"/>
  <c r="E80" i="5" a="1"/>
  <c r="E80" i="5" s="1"/>
  <c r="F80" i="5" a="1"/>
  <c r="F80" i="5" s="1"/>
  <c r="G80" i="5" a="1"/>
  <c r="G80" i="5" s="1"/>
  <c r="H80" i="5" a="1"/>
  <c r="H80" i="5" s="1"/>
  <c r="H92" i="5" s="1"/>
  <c r="I80" i="5" a="1"/>
  <c r="I80" i="5" s="1"/>
  <c r="J80" i="5" a="1"/>
  <c r="J80" i="5" s="1"/>
  <c r="K80" i="5" a="1"/>
  <c r="K80" i="5" s="1"/>
  <c r="L80" i="5" a="1"/>
  <c r="L80" i="5" s="1"/>
  <c r="M80" i="5" a="1"/>
  <c r="M80" i="5" s="1"/>
  <c r="M92" i="5" s="1"/>
  <c r="N80" i="5" a="1"/>
  <c r="N80" i="5" s="1"/>
  <c r="N92" i="5" s="1"/>
  <c r="O80" i="5" a="1"/>
  <c r="O80" i="5" s="1"/>
  <c r="P80" i="5" a="1"/>
  <c r="P80" i="5" s="1"/>
  <c r="Q80" i="5" a="1"/>
  <c r="Q80" i="5" s="1"/>
  <c r="R80" i="5" a="1"/>
  <c r="R80" i="5" s="1"/>
  <c r="R92" i="5" s="1"/>
  <c r="D81" i="5" a="1"/>
  <c r="D81" i="5" s="1"/>
  <c r="E81" i="5" a="1"/>
  <c r="E81" i="5" s="1"/>
  <c r="F81" i="5" a="1"/>
  <c r="F81" i="5" s="1"/>
  <c r="G81" i="5" a="1"/>
  <c r="G81" i="5" s="1"/>
  <c r="H81" i="5" a="1"/>
  <c r="H81" i="5" s="1"/>
  <c r="H93" i="5" s="1"/>
  <c r="I81" i="5" a="1"/>
  <c r="I81" i="5" s="1"/>
  <c r="I93" i="5" s="1"/>
  <c r="J81" i="5" a="1"/>
  <c r="J81" i="5" s="1"/>
  <c r="K81" i="5" a="1"/>
  <c r="K81" i="5" s="1"/>
  <c r="L81" i="5" a="1"/>
  <c r="L81" i="5" s="1"/>
  <c r="M81" i="5" a="1"/>
  <c r="M81" i="5" s="1"/>
  <c r="M93" i="5" s="1"/>
  <c r="N81" i="5" a="1"/>
  <c r="N81" i="5" s="1"/>
  <c r="O81" i="5" a="1"/>
  <c r="O81" i="5" s="1"/>
  <c r="P81" i="5" a="1"/>
  <c r="P81" i="5" s="1"/>
  <c r="Q81" i="5" a="1"/>
  <c r="Q81" i="5" s="1"/>
  <c r="Q93" i="5" s="1"/>
  <c r="R81" i="5" a="1"/>
  <c r="R81" i="5" s="1"/>
  <c r="R93" i="5" s="1"/>
  <c r="D82" i="5" a="1"/>
  <c r="D82" i="5" s="1"/>
  <c r="D94" i="5" s="1"/>
  <c r="E82" i="5" a="1"/>
  <c r="E82" i="5" s="1"/>
  <c r="F82" i="5" a="1"/>
  <c r="F82" i="5" s="1"/>
  <c r="G82" i="5" a="1"/>
  <c r="G82" i="5" s="1"/>
  <c r="H82" i="5" a="1"/>
  <c r="H82" i="5" s="1"/>
  <c r="H94" i="5" s="1"/>
  <c r="I82" i="5" a="1"/>
  <c r="I82" i="5" s="1"/>
  <c r="J82" i="5" a="1"/>
  <c r="J82" i="5" s="1"/>
  <c r="K82" i="5" a="1"/>
  <c r="K82" i="5" s="1"/>
  <c r="L82" i="5" a="1"/>
  <c r="L82" i="5" s="1"/>
  <c r="L94" i="5" s="1"/>
  <c r="M82" i="5" a="1"/>
  <c r="M82" i="5" s="1"/>
  <c r="M94" i="5" s="1"/>
  <c r="N82" i="5" a="1"/>
  <c r="N82" i="5" s="1"/>
  <c r="O82" i="5" a="1"/>
  <c r="O82" i="5" s="1"/>
  <c r="P82" i="5" a="1"/>
  <c r="P82" i="5" s="1"/>
  <c r="Q82" i="5" a="1"/>
  <c r="Q82" i="5" s="1"/>
  <c r="R82" i="5" a="1"/>
  <c r="R82" i="5" s="1"/>
  <c r="R94" i="5" s="1"/>
  <c r="D83" i="5" a="1"/>
  <c r="D83" i="5" s="1"/>
  <c r="E83" i="5" a="1"/>
  <c r="E83" i="5" s="1"/>
  <c r="F83" i="5" a="1"/>
  <c r="F83" i="5" s="1"/>
  <c r="G83" i="5" a="1"/>
  <c r="G83" i="5" s="1"/>
  <c r="G95" i="5" s="1"/>
  <c r="H83" i="5" a="1"/>
  <c r="H83" i="5" s="1"/>
  <c r="H95" i="5" s="1"/>
  <c r="I83" i="5" a="1"/>
  <c r="I83" i="5" s="1"/>
  <c r="J83" i="5" a="1"/>
  <c r="J83" i="5" s="1"/>
  <c r="K83" i="5" a="1"/>
  <c r="K83" i="5" s="1"/>
  <c r="L83" i="5" a="1"/>
  <c r="L83" i="5" s="1"/>
  <c r="M83" i="5" a="1"/>
  <c r="M83" i="5" s="1"/>
  <c r="M95" i="5" s="1"/>
  <c r="N83" i="5" a="1"/>
  <c r="N83" i="5" s="1"/>
  <c r="O83" i="5" a="1"/>
  <c r="O83" i="5" s="1"/>
  <c r="P83" i="5" a="1"/>
  <c r="P83" i="5" s="1"/>
  <c r="Q83" i="5" a="1"/>
  <c r="Q83" i="5" s="1"/>
  <c r="R83" i="5" a="1"/>
  <c r="R83" i="5" s="1"/>
  <c r="R95" i="5" s="1"/>
  <c r="D84" i="5" a="1"/>
  <c r="D84" i="5" s="1"/>
  <c r="E84" i="5" a="1"/>
  <c r="E84" i="5" s="1"/>
  <c r="F84" i="5" a="1"/>
  <c r="F84" i="5" s="1"/>
  <c r="G84" i="5" a="1"/>
  <c r="G84" i="5" s="1"/>
  <c r="H84" i="5" a="1"/>
  <c r="H84" i="5" s="1"/>
  <c r="H96" i="5" s="1"/>
  <c r="I84" i="5" a="1"/>
  <c r="I84" i="5" s="1"/>
  <c r="J84" i="5" a="1"/>
  <c r="J84" i="5" s="1"/>
  <c r="K84" i="5" a="1"/>
  <c r="K84" i="5" s="1"/>
  <c r="L84" i="5" a="1"/>
  <c r="L84" i="5" s="1"/>
  <c r="M84" i="5" a="1"/>
  <c r="M84" i="5" s="1"/>
  <c r="M96" i="5" s="1"/>
  <c r="N84" i="5" a="1"/>
  <c r="N84" i="5" s="1"/>
  <c r="N96" i="5" s="1"/>
  <c r="O84" i="5" a="1"/>
  <c r="O84" i="5" s="1"/>
  <c r="O96" i="5" s="1"/>
  <c r="P84" i="5" a="1"/>
  <c r="P84" i="5" s="1"/>
  <c r="P96" i="5" s="1"/>
  <c r="Q84" i="5" a="1"/>
  <c r="Q84" i="5" s="1"/>
  <c r="Q96" i="5" s="1"/>
  <c r="R84" i="5" a="1"/>
  <c r="R84" i="5" s="1"/>
  <c r="R96" i="5" s="1"/>
  <c r="D85" i="5" a="1"/>
  <c r="D85" i="5" s="1"/>
  <c r="E85" i="5" a="1"/>
  <c r="E85" i="5" s="1"/>
  <c r="F85" i="5" a="1"/>
  <c r="F85" i="5" s="1"/>
  <c r="G85" i="5" a="1"/>
  <c r="G85" i="5" s="1"/>
  <c r="H85" i="5" a="1"/>
  <c r="H85" i="5" s="1"/>
  <c r="H97" i="5" s="1"/>
  <c r="I85" i="5" a="1"/>
  <c r="I85" i="5" s="1"/>
  <c r="J85" i="5" a="1"/>
  <c r="J85" i="5" s="1"/>
  <c r="K85" i="5" a="1"/>
  <c r="K85" i="5" s="1"/>
  <c r="L85" i="5" a="1"/>
  <c r="L85" i="5" s="1"/>
  <c r="M85" i="5" a="1"/>
  <c r="M85" i="5" s="1"/>
  <c r="M97" i="5" s="1"/>
  <c r="N85" i="5" a="1"/>
  <c r="N85" i="5" s="1"/>
  <c r="N97" i="5" s="1"/>
  <c r="O85" i="5" a="1"/>
  <c r="O85" i="5" s="1"/>
  <c r="O97" i="5" s="1"/>
  <c r="P85" i="5" a="1"/>
  <c r="P85" i="5" s="1"/>
  <c r="P97" i="5" s="1"/>
  <c r="Q85" i="5" a="1"/>
  <c r="Q85" i="5" s="1"/>
  <c r="R85" i="5" a="1"/>
  <c r="R85" i="5" s="1"/>
  <c r="R97" i="5" s="1"/>
  <c r="D86" i="5" a="1"/>
  <c r="D86" i="5" s="1"/>
  <c r="D98" i="5" s="1"/>
  <c r="E86" i="5" a="1"/>
  <c r="E86" i="5" s="1"/>
  <c r="E98" i="5" s="1"/>
  <c r="F86" i="5" a="1"/>
  <c r="F86" i="5" s="1"/>
  <c r="F98" i="5" s="1"/>
  <c r="G86" i="5" a="1"/>
  <c r="G86" i="5" s="1"/>
  <c r="G98" i="5" s="1"/>
  <c r="H86" i="5" a="1"/>
  <c r="H86" i="5" s="1"/>
  <c r="H98" i="5" s="1"/>
  <c r="I86" i="5" a="1"/>
  <c r="I86" i="5" s="1"/>
  <c r="I98" i="5" s="1"/>
  <c r="J86" i="5" a="1"/>
  <c r="J86" i="5" s="1"/>
  <c r="J98" i="5" s="1"/>
  <c r="K86" i="5" a="1"/>
  <c r="K86" i="5" s="1"/>
  <c r="K98" i="5" s="1"/>
  <c r="L86" i="5" a="1"/>
  <c r="L86" i="5" s="1"/>
  <c r="L98" i="5" s="1"/>
  <c r="M86" i="5" a="1"/>
  <c r="M86" i="5" s="1"/>
  <c r="M98" i="5" s="1"/>
  <c r="N86" i="5" a="1"/>
  <c r="N86" i="5" s="1"/>
  <c r="O86" i="5" a="1"/>
  <c r="O86" i="5" s="1"/>
  <c r="P86" i="5" a="1"/>
  <c r="P86" i="5" s="1"/>
  <c r="P98" i="5" s="1"/>
  <c r="Q86" i="5" a="1"/>
  <c r="Q86" i="5" s="1"/>
  <c r="Q98" i="5" s="1"/>
  <c r="R86" i="5" a="1"/>
  <c r="R86" i="5" s="1"/>
  <c r="R98" i="5" s="1"/>
  <c r="C78" i="5" a="1"/>
  <c r="C78" i="5" s="1"/>
  <c r="C90" i="5" s="1"/>
  <c r="C79" i="5" a="1"/>
  <c r="C79" i="5" s="1"/>
  <c r="C91" i="5" s="1"/>
  <c r="C80" i="5" a="1"/>
  <c r="C80" i="5" s="1"/>
  <c r="C92" i="5" s="1"/>
  <c r="C81" i="5" a="1"/>
  <c r="C81" i="5" s="1"/>
  <c r="C93" i="5" s="1"/>
  <c r="C82" i="5" a="1"/>
  <c r="C82" i="5" s="1"/>
  <c r="C94" i="5" s="1"/>
  <c r="C83" i="5" a="1"/>
  <c r="C83" i="5" s="1"/>
  <c r="C95" i="5" s="1"/>
  <c r="C84" i="5" a="1"/>
  <c r="C84" i="5" s="1"/>
  <c r="C96" i="5" s="1"/>
  <c r="C85" i="5" a="1"/>
  <c r="C85" i="5" s="1"/>
  <c r="C97" i="5" s="1"/>
  <c r="C86" i="5" a="1"/>
  <c r="C86" i="5" s="1"/>
  <c r="C98" i="5" s="1"/>
  <c r="C77" i="5" a="1"/>
  <c r="C77" i="5" s="1"/>
  <c r="C89" i="5" s="1"/>
  <c r="V28" i="5"/>
  <c r="Q28" i="5"/>
  <c r="L28" i="5"/>
  <c r="G28" i="5"/>
  <c r="B28" i="5"/>
  <c r="V23" i="5"/>
  <c r="Q23" i="5"/>
  <c r="L23" i="5"/>
  <c r="G23" i="5"/>
  <c r="B23" i="5"/>
  <c r="F57" i="4"/>
  <c r="F51" i="4"/>
  <c r="M107" i="4" s="1"/>
  <c r="F45" i="4"/>
  <c r="M99" i="4" s="1"/>
  <c r="E99" i="4" s="1"/>
  <c r="F99" i="4" s="1"/>
  <c r="G99" i="4" s="1"/>
  <c r="H99" i="4" s="1"/>
  <c r="I99" i="4" s="1"/>
  <c r="J99" i="4" s="1"/>
  <c r="K99" i="4" s="1"/>
  <c r="L99" i="4" s="1"/>
  <c r="F39" i="4"/>
  <c r="M95" i="4" s="1"/>
  <c r="E95" i="4" s="1"/>
  <c r="F95" i="4" s="1"/>
  <c r="G95" i="4" s="1"/>
  <c r="H95" i="4" s="1"/>
  <c r="I95" i="4" s="1"/>
  <c r="J95" i="4" s="1"/>
  <c r="K95" i="4" s="1"/>
  <c r="L95" i="4" s="1"/>
  <c r="F30" i="4"/>
  <c r="M83" i="4" s="1"/>
  <c r="E83" i="4" s="1"/>
  <c r="F83" i="4" s="1"/>
  <c r="G83" i="4" s="1"/>
  <c r="H83" i="4" s="1"/>
  <c r="I83" i="4" s="1"/>
  <c r="J83" i="4" s="1"/>
  <c r="K83" i="4" s="1"/>
  <c r="L83" i="4" s="1"/>
  <c r="F24" i="4"/>
  <c r="M79" i="4" s="1"/>
  <c r="E79" i="4" s="1"/>
  <c r="F79" i="4" s="1"/>
  <c r="G79" i="4" s="1"/>
  <c r="H79" i="4" s="1"/>
  <c r="I79" i="4" s="1"/>
  <c r="J79" i="4" s="1"/>
  <c r="K79" i="4" s="1"/>
  <c r="L79" i="4" s="1"/>
  <c r="F18" i="4"/>
  <c r="M71" i="4" s="1"/>
  <c r="E71" i="4" s="1"/>
  <c r="F71" i="4" s="1"/>
  <c r="G71" i="4" s="1"/>
  <c r="H71" i="4" s="1"/>
  <c r="I71" i="4" s="1"/>
  <c r="J71" i="4" s="1"/>
  <c r="K71" i="4" s="1"/>
  <c r="L71" i="4" s="1"/>
  <c r="F12" i="4"/>
  <c r="M65" i="4" s="1"/>
  <c r="J176" i="4"/>
  <c r="J175" i="4"/>
  <c r="J174" i="4"/>
  <c r="J173" i="4"/>
  <c r="J172" i="4"/>
  <c r="I172" i="4"/>
  <c r="H172" i="4"/>
  <c r="F172" i="4"/>
  <c r="E172" i="4"/>
  <c r="D172" i="4"/>
  <c r="J171" i="4"/>
  <c r="I171" i="4"/>
  <c r="H171" i="4"/>
  <c r="F171" i="4"/>
  <c r="E171" i="4"/>
  <c r="D171" i="4"/>
  <c r="J170" i="4"/>
  <c r="I170" i="4"/>
  <c r="H170" i="4"/>
  <c r="F170" i="4"/>
  <c r="E170" i="4"/>
  <c r="D170" i="4"/>
  <c r="J169" i="4"/>
  <c r="I169" i="4"/>
  <c r="H169" i="4"/>
  <c r="F169" i="4"/>
  <c r="E169" i="4"/>
  <c r="D169" i="4"/>
  <c r="J168" i="4"/>
  <c r="I168" i="4"/>
  <c r="H168" i="4"/>
  <c r="F168" i="4"/>
  <c r="E168" i="4"/>
  <c r="D168" i="4"/>
  <c r="J167" i="4"/>
  <c r="I167" i="4"/>
  <c r="H167" i="4"/>
  <c r="F167" i="4"/>
  <c r="E167" i="4"/>
  <c r="D167" i="4"/>
  <c r="J166" i="4"/>
  <c r="I166" i="4"/>
  <c r="H166" i="4"/>
  <c r="F166" i="4"/>
  <c r="E166" i="4"/>
  <c r="D166" i="4"/>
  <c r="J165" i="4"/>
  <c r="I165" i="4"/>
  <c r="H165" i="4"/>
  <c r="F165" i="4"/>
  <c r="E165" i="4"/>
  <c r="D165" i="4"/>
  <c r="J164" i="4"/>
  <c r="I164" i="4"/>
  <c r="H164" i="4"/>
  <c r="F164" i="4"/>
  <c r="E164" i="4"/>
  <c r="D164" i="4"/>
  <c r="J163" i="4"/>
  <c r="I163" i="4"/>
  <c r="H163" i="4"/>
  <c r="F163" i="4"/>
  <c r="E163" i="4"/>
  <c r="D163" i="4"/>
  <c r="J162" i="4"/>
  <c r="I162" i="4"/>
  <c r="H162" i="4"/>
  <c r="F162" i="4"/>
  <c r="E162" i="4"/>
  <c r="D162" i="4"/>
  <c r="J161" i="4"/>
  <c r="I161" i="4"/>
  <c r="H161" i="4"/>
  <c r="F161" i="4"/>
  <c r="E161" i="4"/>
  <c r="D161" i="4"/>
  <c r="J160" i="4"/>
  <c r="I160" i="4"/>
  <c r="H160" i="4"/>
  <c r="F160" i="4"/>
  <c r="E160" i="4"/>
  <c r="D160" i="4"/>
  <c r="J159" i="4"/>
  <c r="I159" i="4"/>
  <c r="H159" i="4"/>
  <c r="F159" i="4"/>
  <c r="E159" i="4"/>
  <c r="D159" i="4"/>
  <c r="J158" i="4"/>
  <c r="I158" i="4"/>
  <c r="H158" i="4"/>
  <c r="F158" i="4"/>
  <c r="E158" i="4"/>
  <c r="D158" i="4"/>
  <c r="J157" i="4"/>
  <c r="I157" i="4"/>
  <c r="H157" i="4"/>
  <c r="F157" i="4"/>
  <c r="E157" i="4"/>
  <c r="D157" i="4"/>
  <c r="J156" i="4"/>
  <c r="I156" i="4"/>
  <c r="H156" i="4"/>
  <c r="F156" i="4"/>
  <c r="E156" i="4"/>
  <c r="D156" i="4"/>
  <c r="J155" i="4"/>
  <c r="I155" i="4"/>
  <c r="H155" i="4"/>
  <c r="F155" i="4"/>
  <c r="E155" i="4"/>
  <c r="D155" i="4"/>
  <c r="J154" i="4"/>
  <c r="I154" i="4"/>
  <c r="H154" i="4"/>
  <c r="F154" i="4"/>
  <c r="E154" i="4"/>
  <c r="D154" i="4"/>
  <c r="J153" i="4"/>
  <c r="I153" i="4"/>
  <c r="H153" i="4"/>
  <c r="F153" i="4"/>
  <c r="E153" i="4"/>
  <c r="D153" i="4"/>
  <c r="J152" i="4"/>
  <c r="I152" i="4"/>
  <c r="H152" i="4"/>
  <c r="F152" i="4"/>
  <c r="E152" i="4"/>
  <c r="D152" i="4"/>
  <c r="J151" i="4"/>
  <c r="I151" i="4"/>
  <c r="H151" i="4"/>
  <c r="F151" i="4"/>
  <c r="E151" i="4"/>
  <c r="D151" i="4"/>
  <c r="J150" i="4"/>
  <c r="I150" i="4"/>
  <c r="H150" i="4"/>
  <c r="F150" i="4"/>
  <c r="E150" i="4"/>
  <c r="D150" i="4"/>
  <c r="J149" i="4"/>
  <c r="I149" i="4"/>
  <c r="H149" i="4"/>
  <c r="F149" i="4"/>
  <c r="E149" i="4"/>
  <c r="D149" i="4"/>
  <c r="J148" i="4"/>
  <c r="I148" i="4"/>
  <c r="H148" i="4"/>
  <c r="F148" i="4"/>
  <c r="E148" i="4"/>
  <c r="D148" i="4"/>
  <c r="J147" i="4"/>
  <c r="I147" i="4"/>
  <c r="H147" i="4"/>
  <c r="F147" i="4"/>
  <c r="E147" i="4"/>
  <c r="D147" i="4"/>
  <c r="J146" i="4"/>
  <c r="I146" i="4"/>
  <c r="H146" i="4"/>
  <c r="F146" i="4"/>
  <c r="E146" i="4"/>
  <c r="D146" i="4"/>
  <c r="J145" i="4"/>
  <c r="I145" i="4"/>
  <c r="H145" i="4"/>
  <c r="F145" i="4"/>
  <c r="E145" i="4"/>
  <c r="D145" i="4"/>
  <c r="J144" i="4"/>
  <c r="I144" i="4"/>
  <c r="H144" i="4"/>
  <c r="F144" i="4"/>
  <c r="E144" i="4"/>
  <c r="D144" i="4"/>
  <c r="J143" i="4"/>
  <c r="I143" i="4"/>
  <c r="H143" i="4"/>
  <c r="F143" i="4"/>
  <c r="E143" i="4"/>
  <c r="D143" i="4"/>
  <c r="J142" i="4"/>
  <c r="I142" i="4"/>
  <c r="H142" i="4"/>
  <c r="F142" i="4"/>
  <c r="E142" i="4"/>
  <c r="D142" i="4"/>
  <c r="J141" i="4"/>
  <c r="I141" i="4"/>
  <c r="H141" i="4"/>
  <c r="F141" i="4"/>
  <c r="E141" i="4"/>
  <c r="D141" i="4"/>
  <c r="J140" i="4"/>
  <c r="I140" i="4"/>
  <c r="H140" i="4"/>
  <c r="F140" i="4"/>
  <c r="E140" i="4"/>
  <c r="D140" i="4"/>
  <c r="J139" i="4"/>
  <c r="I139" i="4"/>
  <c r="H139" i="4"/>
  <c r="F139" i="4"/>
  <c r="E139" i="4"/>
  <c r="D139" i="4"/>
  <c r="J138" i="4"/>
  <c r="I138" i="4"/>
  <c r="H138" i="4"/>
  <c r="F138" i="4"/>
  <c r="E138" i="4"/>
  <c r="D138" i="4"/>
  <c r="J137" i="4"/>
  <c r="I137" i="4"/>
  <c r="H137" i="4"/>
  <c r="F137" i="4"/>
  <c r="E137" i="4"/>
  <c r="D137" i="4"/>
  <c r="J136" i="4"/>
  <c r="I136" i="4"/>
  <c r="H136" i="4"/>
  <c r="F136" i="4"/>
  <c r="E136" i="4"/>
  <c r="D136" i="4"/>
  <c r="J135" i="4"/>
  <c r="I135" i="4"/>
  <c r="H135" i="4"/>
  <c r="F135" i="4"/>
  <c r="E135" i="4"/>
  <c r="D135" i="4"/>
  <c r="J134" i="4"/>
  <c r="I134" i="4"/>
  <c r="H134" i="4"/>
  <c r="F134" i="4"/>
  <c r="E134" i="4"/>
  <c r="D134" i="4"/>
  <c r="J133" i="4"/>
  <c r="I133" i="4"/>
  <c r="H133" i="4"/>
  <c r="F133" i="4"/>
  <c r="E133" i="4"/>
  <c r="D133" i="4"/>
  <c r="J132" i="4"/>
  <c r="I132" i="4"/>
  <c r="H132" i="4"/>
  <c r="F132" i="4"/>
  <c r="E132" i="4"/>
  <c r="D132" i="4"/>
  <c r="J131" i="4"/>
  <c r="I131" i="4"/>
  <c r="H131" i="4"/>
  <c r="F131" i="4"/>
  <c r="E131" i="4"/>
  <c r="D131" i="4"/>
  <c r="J130" i="4"/>
  <c r="I130" i="4"/>
  <c r="H130" i="4"/>
  <c r="F130" i="4"/>
  <c r="E130" i="4"/>
  <c r="D130" i="4"/>
  <c r="J129" i="4"/>
  <c r="I129" i="4"/>
  <c r="H129" i="4"/>
  <c r="F129" i="4"/>
  <c r="E129" i="4"/>
  <c r="D129" i="4"/>
  <c r="J128" i="4"/>
  <c r="I128" i="4"/>
  <c r="H128" i="4"/>
  <c r="F128" i="4"/>
  <c r="E128" i="4"/>
  <c r="D128" i="4"/>
  <c r="J127" i="4"/>
  <c r="I127" i="4"/>
  <c r="H127" i="4"/>
  <c r="F127" i="4"/>
  <c r="E127" i="4"/>
  <c r="D127" i="4"/>
  <c r="J126" i="4"/>
  <c r="I126" i="4"/>
  <c r="H126" i="4"/>
  <c r="F126" i="4"/>
  <c r="E126" i="4"/>
  <c r="D126" i="4"/>
  <c r="J125" i="4"/>
  <c r="I125" i="4"/>
  <c r="H125" i="4"/>
  <c r="F125" i="4"/>
  <c r="E125" i="4"/>
  <c r="D125" i="4"/>
  <c r="B15" i="8" l="1"/>
  <c r="J15" i="8"/>
  <c r="R15" i="8"/>
  <c r="Z15" i="8"/>
  <c r="AE28" i="8"/>
  <c r="AE52" i="8"/>
  <c r="AE60" i="8"/>
  <c r="AB15" i="8"/>
  <c r="C14" i="8"/>
  <c r="K14" i="8"/>
  <c r="S14" i="8"/>
  <c r="AA14" i="8"/>
  <c r="E15" i="8"/>
  <c r="M15" i="8"/>
  <c r="U15" i="8"/>
  <c r="AC15" i="8"/>
  <c r="AE33" i="8"/>
  <c r="AE35" i="8"/>
  <c r="AE37" i="8"/>
  <c r="AE39" i="8"/>
  <c r="AE41" i="8"/>
  <c r="AE43" i="8"/>
  <c r="AE45" i="8"/>
  <c r="AE53" i="8"/>
  <c r="AE30" i="8"/>
  <c r="C15" i="8"/>
  <c r="K15" i="8"/>
  <c r="S15" i="8"/>
  <c r="AA15" i="8"/>
  <c r="G15" i="8"/>
  <c r="O15" i="8"/>
  <c r="W15" i="8"/>
  <c r="AE15" i="8"/>
  <c r="AE51" i="8"/>
  <c r="AE59" i="8"/>
  <c r="AE46" i="8"/>
  <c r="AE54" i="8"/>
  <c r="AE32" i="8"/>
  <c r="AE34" i="8"/>
  <c r="AE36" i="8"/>
  <c r="AE38" i="8"/>
  <c r="AE40" i="8"/>
  <c r="AE42" i="8"/>
  <c r="AE44" i="8"/>
  <c r="AE49" i="8"/>
  <c r="AE57" i="8"/>
  <c r="C112" i="5"/>
  <c r="C118" i="5" s="1"/>
  <c r="D113" i="5"/>
  <c r="C113" i="5" s="1"/>
  <c r="O89" i="5"/>
  <c r="I96" i="5"/>
  <c r="Q89" i="5"/>
  <c r="P89" i="5"/>
  <c r="P102" i="5" s="1"/>
  <c r="K94" i="5"/>
  <c r="K95" i="5"/>
  <c r="K110" i="5" s="1"/>
  <c r="K127" i="5" s="1"/>
  <c r="F90" i="5"/>
  <c r="U96" i="5"/>
  <c r="U92" i="5"/>
  <c r="J95" i="5"/>
  <c r="J110" i="5" s="1"/>
  <c r="J127" i="5" s="1"/>
  <c r="E94" i="5"/>
  <c r="O92" i="5"/>
  <c r="E90" i="5"/>
  <c r="T96" i="5"/>
  <c r="T92" i="5"/>
  <c r="U91" i="5"/>
  <c r="V92" i="5"/>
  <c r="I95" i="5"/>
  <c r="V93" i="5"/>
  <c r="J96" i="5"/>
  <c r="U97" i="5"/>
  <c r="U93" i="5"/>
  <c r="J94" i="5"/>
  <c r="I94" i="5"/>
  <c r="S91" i="5"/>
  <c r="D90" i="5"/>
  <c r="K96" i="5"/>
  <c r="V97" i="5"/>
  <c r="C102" i="5"/>
  <c r="T97" i="5"/>
  <c r="T93" i="5"/>
  <c r="S97" i="5"/>
  <c r="S93" i="5"/>
  <c r="V91" i="5"/>
  <c r="S96" i="5"/>
  <c r="L97" i="5"/>
  <c r="L96" i="5"/>
  <c r="L108" i="5" s="1"/>
  <c r="L125" i="5" s="1"/>
  <c r="V90" i="5"/>
  <c r="T91" i="5"/>
  <c r="V96" i="5"/>
  <c r="J97" i="5"/>
  <c r="U90" i="5"/>
  <c r="R104" i="5"/>
  <c r="R121" i="5" s="1"/>
  <c r="L95" i="5"/>
  <c r="L107" i="5" s="1"/>
  <c r="L124" i="5" s="1"/>
  <c r="S92" i="5"/>
  <c r="K97" i="5"/>
  <c r="K109" i="5" s="1"/>
  <c r="K126" i="5" s="1"/>
  <c r="L93" i="5"/>
  <c r="K93" i="5"/>
  <c r="I97" i="5"/>
  <c r="J93" i="5"/>
  <c r="T90" i="5"/>
  <c r="K108" i="5"/>
  <c r="K125" i="5" s="1"/>
  <c r="N89" i="5"/>
  <c r="G91" i="5"/>
  <c r="F95" i="5"/>
  <c r="E95" i="5"/>
  <c r="Q90" i="5"/>
  <c r="Q101" i="5" s="1"/>
  <c r="Q117" i="5" s="1"/>
  <c r="P90" i="5"/>
  <c r="E92" i="5"/>
  <c r="N90" i="5"/>
  <c r="U98" i="5"/>
  <c r="U110" i="5" s="1"/>
  <c r="U127" i="5" s="1"/>
  <c r="T98" i="5"/>
  <c r="C107" i="5"/>
  <c r="C124" i="5" s="1"/>
  <c r="H103" i="5"/>
  <c r="H120" i="5" s="1"/>
  <c r="V98" i="5"/>
  <c r="V108" i="5" s="1"/>
  <c r="V125" i="5" s="1"/>
  <c r="G92" i="5"/>
  <c r="F92" i="5"/>
  <c r="O90" i="5"/>
  <c r="D92" i="5"/>
  <c r="C106" i="5"/>
  <c r="C123" i="5" s="1"/>
  <c r="C104" i="5"/>
  <c r="C121" i="5" s="1"/>
  <c r="C105" i="5"/>
  <c r="C122" i="5" s="1"/>
  <c r="R110" i="5"/>
  <c r="R127" i="5" s="1"/>
  <c r="H108" i="5"/>
  <c r="H125" i="5" s="1"/>
  <c r="R102" i="5"/>
  <c r="J109" i="5"/>
  <c r="J126" i="5" s="1"/>
  <c r="D95" i="5"/>
  <c r="H107" i="5"/>
  <c r="H124" i="5" s="1"/>
  <c r="W110" i="5"/>
  <c r="W127" i="5" s="1"/>
  <c r="C103" i="5"/>
  <c r="C120" i="5" s="1"/>
  <c r="M105" i="5"/>
  <c r="M122" i="5" s="1"/>
  <c r="M101" i="5"/>
  <c r="M117" i="5" s="1"/>
  <c r="C101" i="5"/>
  <c r="C117" i="5" s="1"/>
  <c r="H101" i="5"/>
  <c r="H117" i="5" s="1"/>
  <c r="O102" i="5"/>
  <c r="R108" i="5"/>
  <c r="R125" i="5" s="1"/>
  <c r="R106" i="5"/>
  <c r="R123" i="5" s="1"/>
  <c r="W106" i="5"/>
  <c r="W123" i="5" s="1"/>
  <c r="H109" i="5"/>
  <c r="H126" i="5" s="1"/>
  <c r="I108" i="5"/>
  <c r="I125" i="5" s="1"/>
  <c r="O101" i="5"/>
  <c r="O117" i="5" s="1"/>
  <c r="M109" i="5"/>
  <c r="M126" i="5" s="1"/>
  <c r="H104" i="5"/>
  <c r="H121" i="5" s="1"/>
  <c r="W102" i="5"/>
  <c r="G96" i="5"/>
  <c r="D96" i="5"/>
  <c r="M102" i="5"/>
  <c r="F97" i="5"/>
  <c r="Q94" i="5"/>
  <c r="P94" i="5"/>
  <c r="E96" i="5"/>
  <c r="M110" i="5"/>
  <c r="M127" i="5" s="1"/>
  <c r="N94" i="5"/>
  <c r="R107" i="5"/>
  <c r="R124" i="5" s="1"/>
  <c r="W107" i="5"/>
  <c r="W124" i="5" s="1"/>
  <c r="W103" i="5"/>
  <c r="W120" i="5" s="1"/>
  <c r="P95" i="5"/>
  <c r="P107" i="5" s="1"/>
  <c r="P124" i="5" s="1"/>
  <c r="H105" i="5"/>
  <c r="H122" i="5" s="1"/>
  <c r="H110" i="5"/>
  <c r="H127" i="5" s="1"/>
  <c r="F96" i="5"/>
  <c r="N98" i="5"/>
  <c r="R103" i="5"/>
  <c r="R120" i="5" s="1"/>
  <c r="C110" i="5"/>
  <c r="C127" i="5" s="1"/>
  <c r="H106" i="5"/>
  <c r="H123" i="5" s="1"/>
  <c r="H102" i="5"/>
  <c r="O94" i="5"/>
  <c r="M106" i="5"/>
  <c r="M123" i="5" s="1"/>
  <c r="M107" i="5"/>
  <c r="M124" i="5" s="1"/>
  <c r="M103" i="5"/>
  <c r="M120" i="5" s="1"/>
  <c r="W108" i="5"/>
  <c r="W125" i="5" s="1"/>
  <c r="W104" i="5"/>
  <c r="W121" i="5" s="1"/>
  <c r="C108" i="5"/>
  <c r="C125" i="5" s="1"/>
  <c r="C109" i="5"/>
  <c r="C126" i="5" s="1"/>
  <c r="O98" i="5"/>
  <c r="J91" i="5"/>
  <c r="K107" i="5"/>
  <c r="K124" i="5" s="1"/>
  <c r="R109" i="5"/>
  <c r="R126" i="5" s="1"/>
  <c r="M108" i="5"/>
  <c r="M125" i="5" s="1"/>
  <c r="I91" i="5"/>
  <c r="Q97" i="5"/>
  <c r="R105" i="5"/>
  <c r="R122" i="5" s="1"/>
  <c r="M104" i="5"/>
  <c r="M121" i="5" s="1"/>
  <c r="R101" i="5"/>
  <c r="R117" i="5" s="1"/>
  <c r="W109" i="5"/>
  <c r="W126" i="5" s="1"/>
  <c r="W105" i="5"/>
  <c r="W122" i="5" s="1"/>
  <c r="W101" i="5"/>
  <c r="W117" i="5" s="1"/>
  <c r="S89" i="5"/>
  <c r="S101" i="5" s="1"/>
  <c r="S117" i="5" s="1"/>
  <c r="G97" i="5"/>
  <c r="G109" i="5" s="1"/>
  <c r="G126" i="5" s="1"/>
  <c r="S98" i="5"/>
  <c r="G93" i="5"/>
  <c r="Q91" i="5"/>
  <c r="L90" i="5"/>
  <c r="G89" i="5"/>
  <c r="G101" i="5" s="1"/>
  <c r="G117" i="5" s="1"/>
  <c r="P91" i="5"/>
  <c r="F89" i="5"/>
  <c r="F101" i="5" s="1"/>
  <c r="F117" i="5" s="1"/>
  <c r="F93" i="5"/>
  <c r="K90" i="5"/>
  <c r="D97" i="5"/>
  <c r="O95" i="5"/>
  <c r="E93" i="5"/>
  <c r="O91" i="5"/>
  <c r="J90" i="5"/>
  <c r="E89" i="5"/>
  <c r="N95" i="5"/>
  <c r="N91" i="5"/>
  <c r="I90" i="5"/>
  <c r="I102" i="5" s="1"/>
  <c r="D89" i="5"/>
  <c r="E97" i="5"/>
  <c r="G94" i="5"/>
  <c r="Q92" i="5"/>
  <c r="L91" i="5"/>
  <c r="Q95" i="5"/>
  <c r="D93" i="5"/>
  <c r="F94" i="5"/>
  <c r="P92" i="5"/>
  <c r="K91" i="5"/>
  <c r="M102" i="4"/>
  <c r="E102" i="4" s="1"/>
  <c r="F102" i="4" s="1"/>
  <c r="G102" i="4" s="1"/>
  <c r="H102" i="4" s="1"/>
  <c r="I102" i="4" s="1"/>
  <c r="J102" i="4" s="1"/>
  <c r="K102" i="4" s="1"/>
  <c r="L102" i="4" s="1"/>
  <c r="M74" i="4"/>
  <c r="E74" i="4" s="1"/>
  <c r="F74" i="4" s="1"/>
  <c r="G74" i="4" s="1"/>
  <c r="H74" i="4" s="1"/>
  <c r="I74" i="4" s="1"/>
  <c r="J74" i="4" s="1"/>
  <c r="K74" i="4" s="1"/>
  <c r="L74" i="4" s="1"/>
  <c r="M78" i="4"/>
  <c r="E78" i="4" s="1"/>
  <c r="F78" i="4" s="1"/>
  <c r="G78" i="4" s="1"/>
  <c r="H78" i="4" s="1"/>
  <c r="I78" i="4" s="1"/>
  <c r="J78" i="4" s="1"/>
  <c r="K78" i="4" s="1"/>
  <c r="L78" i="4" s="1"/>
  <c r="P93" i="5"/>
  <c r="F91" i="5"/>
  <c r="T89" i="5"/>
  <c r="O93" i="5"/>
  <c r="E91" i="5"/>
  <c r="N93" i="5"/>
  <c r="D91" i="5"/>
  <c r="L89" i="5"/>
  <c r="U89" i="5"/>
  <c r="L92" i="5"/>
  <c r="K89" i="5"/>
  <c r="V94" i="5"/>
  <c r="K92" i="5"/>
  <c r="K104" i="5" s="1"/>
  <c r="K121" i="5" s="1"/>
  <c r="J89" i="5"/>
  <c r="U94" i="5"/>
  <c r="J92" i="5"/>
  <c r="I89" i="5"/>
  <c r="T94" i="5"/>
  <c r="I92" i="5"/>
  <c r="S94" i="5"/>
  <c r="V89" i="5"/>
  <c r="X90" i="5"/>
  <c r="X102" i="5" s="1"/>
  <c r="Z93" i="5"/>
  <c r="W27" i="5" a="1"/>
  <c r="W27" i="5" s="1"/>
  <c r="X98" i="5" s="1"/>
  <c r="W20" i="5" a="1"/>
  <c r="W20" i="5" s="1"/>
  <c r="X92" i="5" s="1"/>
  <c r="AE27" i="5" a="1"/>
  <c r="AE27" i="5" s="1"/>
  <c r="AF98" i="5" s="1"/>
  <c r="Y27" i="5" a="1"/>
  <c r="Y27" i="5" s="1"/>
  <c r="Z98" i="5" s="1"/>
  <c r="X26" i="5" a="1"/>
  <c r="X26" i="5" s="1"/>
  <c r="Y97" i="5" s="1"/>
  <c r="AD25" i="5" a="1"/>
  <c r="AD25" i="5" s="1"/>
  <c r="AE96" i="5" s="1"/>
  <c r="AI24" i="5" a="1"/>
  <c r="AI24" i="5" s="1"/>
  <c r="AC24" i="5" a="1"/>
  <c r="AC24" i="5" s="1"/>
  <c r="AD95" i="5" s="1"/>
  <c r="AB22" i="5" a="1"/>
  <c r="AB22" i="5" s="1"/>
  <c r="AC94" i="5" s="1"/>
  <c r="AH21" i="5" a="1"/>
  <c r="AH21" i="5" s="1"/>
  <c r="AA21" i="5" a="1"/>
  <c r="AA21" i="5" s="1"/>
  <c r="AB93" i="5" s="1"/>
  <c r="AG20" i="5" a="1"/>
  <c r="AG20" i="5" s="1"/>
  <c r="AF19" i="5" a="1"/>
  <c r="AF19" i="5" s="1"/>
  <c r="AG91" i="5" s="1"/>
  <c r="Z19" i="5" a="1"/>
  <c r="Z19" i="5" s="1"/>
  <c r="AA91" i="5" s="1"/>
  <c r="AE18" i="5" a="1"/>
  <c r="AE18" i="5" s="1"/>
  <c r="AF90" i="5" s="1"/>
  <c r="Y18" i="5" a="1"/>
  <c r="Y18" i="5" s="1"/>
  <c r="Z90" i="5" s="1"/>
  <c r="W26" i="5" a="1"/>
  <c r="W26" i="5" s="1"/>
  <c r="X97" i="5" s="1"/>
  <c r="W19" i="5" a="1"/>
  <c r="W19" i="5" s="1"/>
  <c r="X91" i="5" s="1"/>
  <c r="X27" i="5" a="1"/>
  <c r="X27" i="5" s="1"/>
  <c r="Y98" i="5" s="1"/>
  <c r="AD26" i="5" a="1"/>
  <c r="AD26" i="5" s="1"/>
  <c r="AE97" i="5" s="1"/>
  <c r="AI25" i="5" a="1"/>
  <c r="AI25" i="5" s="1"/>
  <c r="AC25" i="5" a="1"/>
  <c r="AC25" i="5" s="1"/>
  <c r="AD96" i="5" s="1"/>
  <c r="AB24" i="5" a="1"/>
  <c r="AB24" i="5" s="1"/>
  <c r="AC95" i="5" s="1"/>
  <c r="AH22" i="5" a="1"/>
  <c r="AH22" i="5" s="1"/>
  <c r="AA22" i="5" a="1"/>
  <c r="AA22" i="5" s="1"/>
  <c r="AB94" i="5" s="1"/>
  <c r="AG21" i="5" a="1"/>
  <c r="AG21" i="5" s="1"/>
  <c r="AF20" i="5" a="1"/>
  <c r="AF20" i="5" s="1"/>
  <c r="AG92" i="5" s="1"/>
  <c r="Z20" i="5" a="1"/>
  <c r="Z20" i="5" s="1"/>
  <c r="AA92" i="5" s="1"/>
  <c r="AE19" i="5" a="1"/>
  <c r="AE19" i="5" s="1"/>
  <c r="AF91" i="5" s="1"/>
  <c r="Y19" i="5" a="1"/>
  <c r="Y19" i="5" s="1"/>
  <c r="Z91" i="5" s="1"/>
  <c r="X18" i="5" a="1"/>
  <c r="X18" i="5" s="1"/>
  <c r="Y90" i="5" s="1"/>
  <c r="AE17" i="5" a="1"/>
  <c r="AE17" i="5" s="1"/>
  <c r="AF89" i="5" s="1"/>
  <c r="Z17" i="5" a="1"/>
  <c r="Z17" i="5" s="1"/>
  <c r="AA89" i="5" s="1"/>
  <c r="W25" i="5" a="1"/>
  <c r="W25" i="5" s="1"/>
  <c r="X96" i="5" s="1"/>
  <c r="W18" i="5" a="1"/>
  <c r="W18" i="5" s="1"/>
  <c r="AD27" i="5" a="1"/>
  <c r="AD27" i="5" s="1"/>
  <c r="AE98" i="5" s="1"/>
  <c r="AI26" i="5" a="1"/>
  <c r="AI26" i="5" s="1"/>
  <c r="AC26" i="5" a="1"/>
  <c r="AC26" i="5" s="1"/>
  <c r="AD97" i="5" s="1"/>
  <c r="AB25" i="5" a="1"/>
  <c r="AB25" i="5" s="1"/>
  <c r="AC96" i="5" s="1"/>
  <c r="AH24" i="5" a="1"/>
  <c r="AH24" i="5" s="1"/>
  <c r="AA24" i="5" a="1"/>
  <c r="AA24" i="5" s="1"/>
  <c r="AB95" i="5" s="1"/>
  <c r="AG22" i="5" a="1"/>
  <c r="AG22" i="5" s="1"/>
  <c r="AF21" i="5" a="1"/>
  <c r="AF21" i="5" s="1"/>
  <c r="AG93" i="5" s="1"/>
  <c r="Z21" i="5" a="1"/>
  <c r="Z21" i="5" s="1"/>
  <c r="AA93" i="5" s="1"/>
  <c r="AE20" i="5" a="1"/>
  <c r="AE20" i="5" s="1"/>
  <c r="AF92" i="5" s="1"/>
  <c r="Y20" i="5" a="1"/>
  <c r="Y20" i="5" s="1"/>
  <c r="Z92" i="5" s="1"/>
  <c r="X19" i="5" a="1"/>
  <c r="X19" i="5" s="1"/>
  <c r="Y91" i="5" s="1"/>
  <c r="AD18" i="5" a="1"/>
  <c r="AD18" i="5" s="1"/>
  <c r="AE90" i="5" s="1"/>
  <c r="Y17" i="5" a="1"/>
  <c r="Y17" i="5" s="1"/>
  <c r="Z89" i="5" s="1"/>
  <c r="AI27" i="5" a="1"/>
  <c r="AI27" i="5" s="1"/>
  <c r="AC27" i="5" a="1"/>
  <c r="AC27" i="5" s="1"/>
  <c r="AD98" i="5" s="1"/>
  <c r="AB26" i="5" a="1"/>
  <c r="AB26" i="5" s="1"/>
  <c r="AC97" i="5" s="1"/>
  <c r="AH25" i="5" a="1"/>
  <c r="AH25" i="5" s="1"/>
  <c r="AA25" i="5" a="1"/>
  <c r="AA25" i="5" s="1"/>
  <c r="AB96" i="5" s="1"/>
  <c r="AG24" i="5" a="1"/>
  <c r="AG24" i="5" s="1"/>
  <c r="AF22" i="5" a="1"/>
  <c r="AF22" i="5" s="1"/>
  <c r="AG94" i="5" s="1"/>
  <c r="Z22" i="5" a="1"/>
  <c r="Z22" i="5" s="1"/>
  <c r="AA94" i="5" s="1"/>
  <c r="AE21" i="5" a="1"/>
  <c r="AE21" i="5" s="1"/>
  <c r="AF93" i="5" s="1"/>
  <c r="Y21" i="5" a="1"/>
  <c r="Y21" i="5" s="1"/>
  <c r="X20" i="5" a="1"/>
  <c r="X20" i="5" s="1"/>
  <c r="Y92" i="5" s="1"/>
  <c r="AD19" i="5" a="1"/>
  <c r="AD19" i="5" s="1"/>
  <c r="AE91" i="5" s="1"/>
  <c r="AI18" i="5" a="1"/>
  <c r="AI18" i="5" s="1"/>
  <c r="AC18" i="5" a="1"/>
  <c r="AC18" i="5" s="1"/>
  <c r="AD90" i="5" s="1"/>
  <c r="AI17" i="5" a="1"/>
  <c r="AI17" i="5" s="1"/>
  <c r="AD17" i="5" a="1"/>
  <c r="AD17" i="5" s="1"/>
  <c r="AE89" i="5" s="1"/>
  <c r="X17" i="5" a="1"/>
  <c r="X17" i="5" s="1"/>
  <c r="Y89" i="5" s="1"/>
  <c r="W24" i="5" a="1"/>
  <c r="W24" i="5" s="1"/>
  <c r="X95" i="5" s="1"/>
  <c r="AB27" i="5" a="1"/>
  <c r="AB27" i="5" s="1"/>
  <c r="AC98" i="5" s="1"/>
  <c r="AH26" i="5" a="1"/>
  <c r="AH26" i="5" s="1"/>
  <c r="AA26" i="5" a="1"/>
  <c r="AA26" i="5" s="1"/>
  <c r="AB97" i="5" s="1"/>
  <c r="AG25" i="5" a="1"/>
  <c r="AG25" i="5" s="1"/>
  <c r="AF24" i="5" a="1"/>
  <c r="AF24" i="5" s="1"/>
  <c r="AG95" i="5" s="1"/>
  <c r="Z24" i="5" a="1"/>
  <c r="Z24" i="5" s="1"/>
  <c r="AA95" i="5" s="1"/>
  <c r="AE22" i="5" a="1"/>
  <c r="AE22" i="5" s="1"/>
  <c r="AF94" i="5" s="1"/>
  <c r="Y22" i="5" a="1"/>
  <c r="Y22" i="5" s="1"/>
  <c r="Z94" i="5" s="1"/>
  <c r="X21" i="5" a="1"/>
  <c r="X21" i="5" s="1"/>
  <c r="Y93" i="5" s="1"/>
  <c r="AD20" i="5" a="1"/>
  <c r="AD20" i="5" s="1"/>
  <c r="AE92" i="5" s="1"/>
  <c r="AI19" i="5" a="1"/>
  <c r="AI19" i="5" s="1"/>
  <c r="AC19" i="5" a="1"/>
  <c r="AC19" i="5" s="1"/>
  <c r="AD91" i="5" s="1"/>
  <c r="AB18" i="5" a="1"/>
  <c r="AB18" i="5" s="1"/>
  <c r="AC90" i="5" s="1"/>
  <c r="AC102" i="5" s="1"/>
  <c r="AC17" i="5" a="1"/>
  <c r="AC17" i="5" s="1"/>
  <c r="AD89" i="5" s="1"/>
  <c r="W22" i="5" a="1"/>
  <c r="W22" i="5" s="1"/>
  <c r="X94" i="5" s="1"/>
  <c r="AH27" i="5" a="1"/>
  <c r="AH27" i="5" s="1"/>
  <c r="AA27" i="5" a="1"/>
  <c r="AA27" i="5" s="1"/>
  <c r="AB98" i="5" s="1"/>
  <c r="AG26" i="5" a="1"/>
  <c r="AG26" i="5" s="1"/>
  <c r="AF25" i="5" a="1"/>
  <c r="AF25" i="5" s="1"/>
  <c r="AG96" i="5" s="1"/>
  <c r="Z25" i="5" a="1"/>
  <c r="Z25" i="5" s="1"/>
  <c r="AA96" i="5" s="1"/>
  <c r="AE24" i="5" a="1"/>
  <c r="AE24" i="5" s="1"/>
  <c r="AF95" i="5" s="1"/>
  <c r="Y24" i="5" a="1"/>
  <c r="Y24" i="5" s="1"/>
  <c r="Z95" i="5" s="1"/>
  <c r="X22" i="5" a="1"/>
  <c r="X22" i="5" s="1"/>
  <c r="Y94" i="5" s="1"/>
  <c r="AD21" i="5" a="1"/>
  <c r="AD21" i="5" s="1"/>
  <c r="AE93" i="5" s="1"/>
  <c r="AI20" i="5" a="1"/>
  <c r="AI20" i="5" s="1"/>
  <c r="AC20" i="5" a="1"/>
  <c r="AC20" i="5" s="1"/>
  <c r="AD92" i="5" s="1"/>
  <c r="AB19" i="5" a="1"/>
  <c r="AB19" i="5" s="1"/>
  <c r="AC91" i="5" s="1"/>
  <c r="AH18" i="5" a="1"/>
  <c r="AH18" i="5" s="1"/>
  <c r="AA18" i="5" a="1"/>
  <c r="AA18" i="5" s="1"/>
  <c r="AB90" i="5" s="1"/>
  <c r="AH17" i="5" a="1"/>
  <c r="AH17" i="5" s="1"/>
  <c r="AB17" i="5" a="1"/>
  <c r="AB17" i="5" s="1"/>
  <c r="AC89" i="5" s="1"/>
  <c r="W21" i="5" a="1"/>
  <c r="W21" i="5" s="1"/>
  <c r="X93" i="5" s="1"/>
  <c r="AG27" i="5" a="1"/>
  <c r="AG27" i="5" s="1"/>
  <c r="AF26" i="5" a="1"/>
  <c r="AF26" i="5" s="1"/>
  <c r="AG97" i="5" s="1"/>
  <c r="Z26" i="5" a="1"/>
  <c r="Z26" i="5" s="1"/>
  <c r="AA97" i="5" s="1"/>
  <c r="AE25" i="5" a="1"/>
  <c r="AE25" i="5" s="1"/>
  <c r="AF96" i="5" s="1"/>
  <c r="Y25" i="5" a="1"/>
  <c r="Y25" i="5" s="1"/>
  <c r="Z96" i="5" s="1"/>
  <c r="X24" i="5" a="1"/>
  <c r="X24" i="5" s="1"/>
  <c r="Y95" i="5" s="1"/>
  <c r="AD22" i="5" a="1"/>
  <c r="AD22" i="5" s="1"/>
  <c r="AE94" i="5" s="1"/>
  <c r="AI21" i="5" a="1"/>
  <c r="AI21" i="5" s="1"/>
  <c r="AC21" i="5" a="1"/>
  <c r="AC21" i="5" s="1"/>
  <c r="AD93" i="5" s="1"/>
  <c r="AB20" i="5" a="1"/>
  <c r="AB20" i="5" s="1"/>
  <c r="AC92" i="5" s="1"/>
  <c r="AH19" i="5" a="1"/>
  <c r="AH19" i="5" s="1"/>
  <c r="AA19" i="5" a="1"/>
  <c r="AA19" i="5" s="1"/>
  <c r="AB91" i="5" s="1"/>
  <c r="AG18" i="5" a="1"/>
  <c r="AG18" i="5" s="1"/>
  <c r="AG17" i="5" a="1"/>
  <c r="AG17" i="5" s="1"/>
  <c r="W17" i="5" a="1"/>
  <c r="W17" i="5" s="1"/>
  <c r="X89" i="5" s="1"/>
  <c r="AF27" i="5" a="1"/>
  <c r="AF27" i="5" s="1"/>
  <c r="AG98" i="5" s="1"/>
  <c r="Z27" i="5" a="1"/>
  <c r="Z27" i="5" s="1"/>
  <c r="AA98" i="5" s="1"/>
  <c r="AE26" i="5" a="1"/>
  <c r="AE26" i="5" s="1"/>
  <c r="AF97" i="5" s="1"/>
  <c r="Y26" i="5" a="1"/>
  <c r="Y26" i="5" s="1"/>
  <c r="Z97" i="5" s="1"/>
  <c r="X25" i="5" a="1"/>
  <c r="X25" i="5" s="1"/>
  <c r="Y96" i="5" s="1"/>
  <c r="AD24" i="5" a="1"/>
  <c r="AD24" i="5" s="1"/>
  <c r="AE95" i="5" s="1"/>
  <c r="AI22" i="5" a="1"/>
  <c r="AI22" i="5" s="1"/>
  <c r="AC22" i="5" a="1"/>
  <c r="AC22" i="5" s="1"/>
  <c r="AD94" i="5" s="1"/>
  <c r="AB21" i="5" a="1"/>
  <c r="AB21" i="5" s="1"/>
  <c r="AC93" i="5" s="1"/>
  <c r="AH20" i="5" a="1"/>
  <c r="AH20" i="5" s="1"/>
  <c r="AA20" i="5" a="1"/>
  <c r="AA20" i="5" s="1"/>
  <c r="AB92" i="5" s="1"/>
  <c r="AG19" i="5" a="1"/>
  <c r="AG19" i="5" s="1"/>
  <c r="AF18" i="5" a="1"/>
  <c r="AF18" i="5" s="1"/>
  <c r="AG90" i="5" s="1"/>
  <c r="Z18" i="5" a="1"/>
  <c r="Z18" i="5" s="1"/>
  <c r="AA90" i="5" s="1"/>
  <c r="AF17" i="5" a="1"/>
  <c r="AF17" i="5" s="1"/>
  <c r="AG89" i="5" s="1"/>
  <c r="AG101" i="5" s="1"/>
  <c r="AG117" i="5" s="1"/>
  <c r="AA17" i="5" a="1"/>
  <c r="AA17" i="5" s="1"/>
  <c r="AB89" i="5" s="1"/>
  <c r="M76" i="4"/>
  <c r="E76" i="4" s="1"/>
  <c r="F76" i="4" s="1"/>
  <c r="G76" i="4" s="1"/>
  <c r="H76" i="4" s="1"/>
  <c r="I76" i="4" s="1"/>
  <c r="J76" i="4" s="1"/>
  <c r="K76" i="4" s="1"/>
  <c r="L76" i="4" s="1"/>
  <c r="M106" i="4"/>
  <c r="E106" i="4" s="1"/>
  <c r="F106" i="4" s="1"/>
  <c r="G106" i="4" s="1"/>
  <c r="H106" i="4" s="1"/>
  <c r="I106" i="4" s="1"/>
  <c r="J106" i="4" s="1"/>
  <c r="K106" i="4" s="1"/>
  <c r="L106" i="4" s="1"/>
  <c r="M94" i="4"/>
  <c r="E94" i="4" s="1"/>
  <c r="F94" i="4" s="1"/>
  <c r="G94" i="4" s="1"/>
  <c r="H94" i="4" s="1"/>
  <c r="I94" i="4" s="1"/>
  <c r="J94" i="4" s="1"/>
  <c r="K94" i="4" s="1"/>
  <c r="L94" i="4" s="1"/>
  <c r="M104" i="4"/>
  <c r="E104" i="4" s="1"/>
  <c r="F104" i="4" s="1"/>
  <c r="G104" i="4" s="1"/>
  <c r="H104" i="4" s="1"/>
  <c r="I104" i="4" s="1"/>
  <c r="J104" i="4" s="1"/>
  <c r="K104" i="4" s="1"/>
  <c r="L104" i="4" s="1"/>
  <c r="M64" i="4"/>
  <c r="M73" i="4"/>
  <c r="E73" i="4" s="1"/>
  <c r="F73" i="4" s="1"/>
  <c r="G73" i="4" s="1"/>
  <c r="H73" i="4" s="1"/>
  <c r="I73" i="4" s="1"/>
  <c r="J73" i="4" s="1"/>
  <c r="K73" i="4" s="1"/>
  <c r="L73" i="4" s="1"/>
  <c r="M81" i="4"/>
  <c r="E81" i="4" s="1"/>
  <c r="F81" i="4" s="1"/>
  <c r="G81" i="4" s="1"/>
  <c r="H81" i="4" s="1"/>
  <c r="I81" i="4" s="1"/>
  <c r="J81" i="4" s="1"/>
  <c r="K81" i="4" s="1"/>
  <c r="L81" i="4" s="1"/>
  <c r="M77" i="4"/>
  <c r="E77" i="4" s="1"/>
  <c r="F77" i="4" s="1"/>
  <c r="G77" i="4" s="1"/>
  <c r="H77" i="4" s="1"/>
  <c r="I77" i="4" s="1"/>
  <c r="J77" i="4" s="1"/>
  <c r="K77" i="4" s="1"/>
  <c r="L77" i="4" s="1"/>
  <c r="M85" i="4"/>
  <c r="E85" i="4" s="1"/>
  <c r="F85" i="4" s="1"/>
  <c r="G85" i="4" s="1"/>
  <c r="H85" i="4" s="1"/>
  <c r="I85" i="4" s="1"/>
  <c r="J85" i="4" s="1"/>
  <c r="K85" i="4" s="1"/>
  <c r="L85" i="4" s="1"/>
  <c r="M97" i="4"/>
  <c r="E97" i="4" s="1"/>
  <c r="F97" i="4" s="1"/>
  <c r="G97" i="4" s="1"/>
  <c r="H97" i="4" s="1"/>
  <c r="I97" i="4" s="1"/>
  <c r="J97" i="4" s="1"/>
  <c r="K97" i="4" s="1"/>
  <c r="L97" i="4" s="1"/>
  <c r="M93" i="4"/>
  <c r="E93" i="4" s="1"/>
  <c r="F93" i="4" s="1"/>
  <c r="G93" i="4" s="1"/>
  <c r="H93" i="4" s="1"/>
  <c r="I93" i="4" s="1"/>
  <c r="J93" i="4" s="1"/>
  <c r="K93" i="4" s="1"/>
  <c r="L93" i="4" s="1"/>
  <c r="M101" i="4"/>
  <c r="E101" i="4" s="1"/>
  <c r="F101" i="4" s="1"/>
  <c r="G101" i="4" s="1"/>
  <c r="H101" i="4" s="1"/>
  <c r="I101" i="4" s="1"/>
  <c r="J101" i="4" s="1"/>
  <c r="K101" i="4" s="1"/>
  <c r="L101" i="4" s="1"/>
  <c r="M109" i="4"/>
  <c r="E109" i="4" s="1"/>
  <c r="F109" i="4" s="1"/>
  <c r="G109" i="4" s="1"/>
  <c r="H109" i="4" s="1"/>
  <c r="I109" i="4" s="1"/>
  <c r="J109" i="4" s="1"/>
  <c r="K109" i="4" s="1"/>
  <c r="L109" i="4" s="1"/>
  <c r="M105" i="4"/>
  <c r="E105" i="4" s="1"/>
  <c r="F105" i="4" s="1"/>
  <c r="G105" i="4" s="1"/>
  <c r="H105" i="4" s="1"/>
  <c r="I105" i="4" s="1"/>
  <c r="J105" i="4" s="1"/>
  <c r="K105" i="4" s="1"/>
  <c r="L105" i="4" s="1"/>
  <c r="M69" i="4"/>
  <c r="E69" i="4" s="1"/>
  <c r="F69" i="4" s="1"/>
  <c r="G69" i="4" s="1"/>
  <c r="H69" i="4" s="1"/>
  <c r="I69" i="4" s="1"/>
  <c r="J69" i="4" s="1"/>
  <c r="K69" i="4" s="1"/>
  <c r="L69" i="4" s="1"/>
  <c r="M68" i="4"/>
  <c r="E68" i="4" s="1"/>
  <c r="F68" i="4" s="1"/>
  <c r="G68" i="4" s="1"/>
  <c r="H68" i="4" s="1"/>
  <c r="I68" i="4" s="1"/>
  <c r="J68" i="4" s="1"/>
  <c r="K68" i="4" s="1"/>
  <c r="L68" i="4" s="1"/>
  <c r="M72" i="4"/>
  <c r="E72" i="4" s="1"/>
  <c r="F72" i="4" s="1"/>
  <c r="G72" i="4" s="1"/>
  <c r="H72" i="4" s="1"/>
  <c r="I72" i="4" s="1"/>
  <c r="J72" i="4" s="1"/>
  <c r="K72" i="4" s="1"/>
  <c r="L72" i="4" s="1"/>
  <c r="M80" i="4"/>
  <c r="E80" i="4" s="1"/>
  <c r="F80" i="4" s="1"/>
  <c r="G80" i="4" s="1"/>
  <c r="H80" i="4" s="1"/>
  <c r="I80" i="4" s="1"/>
  <c r="J80" i="4" s="1"/>
  <c r="K80" i="4" s="1"/>
  <c r="L80" i="4" s="1"/>
  <c r="M84" i="4"/>
  <c r="E84" i="4" s="1"/>
  <c r="F84" i="4" s="1"/>
  <c r="G84" i="4" s="1"/>
  <c r="H84" i="4" s="1"/>
  <c r="I84" i="4" s="1"/>
  <c r="J84" i="4" s="1"/>
  <c r="K84" i="4" s="1"/>
  <c r="L84" i="4" s="1"/>
  <c r="M96" i="4"/>
  <c r="E96" i="4" s="1"/>
  <c r="F96" i="4" s="1"/>
  <c r="G96" i="4" s="1"/>
  <c r="H96" i="4" s="1"/>
  <c r="I96" i="4" s="1"/>
  <c r="J96" i="4" s="1"/>
  <c r="K96" i="4" s="1"/>
  <c r="L96" i="4" s="1"/>
  <c r="M100" i="4"/>
  <c r="E100" i="4" s="1"/>
  <c r="F100" i="4" s="1"/>
  <c r="G100" i="4" s="1"/>
  <c r="H100" i="4" s="1"/>
  <c r="I100" i="4" s="1"/>
  <c r="J100" i="4" s="1"/>
  <c r="K100" i="4" s="1"/>
  <c r="L100" i="4" s="1"/>
  <c r="M108" i="4"/>
  <c r="E108" i="4" s="1"/>
  <c r="F108" i="4" s="1"/>
  <c r="G108" i="4" s="1"/>
  <c r="H108" i="4" s="1"/>
  <c r="I108" i="4" s="1"/>
  <c r="J108" i="4" s="1"/>
  <c r="K108" i="4" s="1"/>
  <c r="L108" i="4" s="1"/>
  <c r="M92" i="4"/>
  <c r="M67" i="4"/>
  <c r="M70" i="4"/>
  <c r="E70" i="4" s="1"/>
  <c r="F70" i="4" s="1"/>
  <c r="G70" i="4" s="1"/>
  <c r="H70" i="4" s="1"/>
  <c r="I70" i="4" s="1"/>
  <c r="J70" i="4" s="1"/>
  <c r="K70" i="4" s="1"/>
  <c r="L70" i="4" s="1"/>
  <c r="M82" i="4"/>
  <c r="E82" i="4" s="1"/>
  <c r="F82" i="4" s="1"/>
  <c r="G82" i="4" s="1"/>
  <c r="H82" i="4" s="1"/>
  <c r="I82" i="4" s="1"/>
  <c r="J82" i="4" s="1"/>
  <c r="K82" i="4" s="1"/>
  <c r="L82" i="4" s="1"/>
  <c r="M98" i="4"/>
  <c r="E98" i="4" s="1"/>
  <c r="F98" i="4" s="1"/>
  <c r="G98" i="4" s="1"/>
  <c r="H98" i="4" s="1"/>
  <c r="I98" i="4" s="1"/>
  <c r="J98" i="4" s="1"/>
  <c r="K98" i="4" s="1"/>
  <c r="L98" i="4" s="1"/>
  <c r="M86" i="4"/>
  <c r="E86" i="4" s="1"/>
  <c r="F86" i="4" s="1"/>
  <c r="G86" i="4" s="1"/>
  <c r="H86" i="4" s="1"/>
  <c r="I86" i="4" s="1"/>
  <c r="J86" i="4" s="1"/>
  <c r="K86" i="4" s="1"/>
  <c r="L86" i="4" s="1"/>
  <c r="M66" i="4"/>
  <c r="E66" i="4" s="1"/>
  <c r="F66" i="4" s="1"/>
  <c r="G66" i="4" s="1"/>
  <c r="H66" i="4" s="1"/>
  <c r="I66" i="4" s="1"/>
  <c r="J66" i="4" s="1"/>
  <c r="K66" i="4" s="1"/>
  <c r="L66" i="4" s="1"/>
  <c r="M75" i="4"/>
  <c r="E75" i="4" s="1"/>
  <c r="F75" i="4" s="1"/>
  <c r="G75" i="4" s="1"/>
  <c r="H75" i="4" s="1"/>
  <c r="I75" i="4" s="1"/>
  <c r="J75" i="4" s="1"/>
  <c r="K75" i="4" s="1"/>
  <c r="L75" i="4" s="1"/>
  <c r="M87" i="4"/>
  <c r="M103" i="4"/>
  <c r="E103" i="4" s="1"/>
  <c r="F103" i="4" s="1"/>
  <c r="G103" i="4" s="1"/>
  <c r="H103" i="4" s="1"/>
  <c r="I103" i="4" s="1"/>
  <c r="J103" i="4" s="1"/>
  <c r="K103" i="4" s="1"/>
  <c r="L103" i="4" s="1"/>
  <c r="N76" i="4"/>
  <c r="O76" i="4" s="1"/>
  <c r="P76" i="4" s="1"/>
  <c r="Q76" i="4" s="1"/>
  <c r="R76" i="4" s="1"/>
  <c r="N82" i="4"/>
  <c r="O82" i="4" s="1"/>
  <c r="P82" i="4" s="1"/>
  <c r="Q82" i="4" s="1"/>
  <c r="R82" i="4" s="1"/>
  <c r="N71" i="4"/>
  <c r="O71" i="4" s="1"/>
  <c r="P71" i="4" s="1"/>
  <c r="Q71" i="4" s="1"/>
  <c r="R71" i="4" s="1"/>
  <c r="N83" i="4"/>
  <c r="O83" i="4" s="1"/>
  <c r="P83" i="4" s="1"/>
  <c r="Q83" i="4" s="1"/>
  <c r="R83" i="4" s="1"/>
  <c r="N109" i="4"/>
  <c r="O109" i="4" s="1"/>
  <c r="P109" i="4" s="1"/>
  <c r="Q109" i="4" s="1"/>
  <c r="R109" i="4" s="1"/>
  <c r="N73" i="4"/>
  <c r="O73" i="4" s="1"/>
  <c r="P73" i="4" s="1"/>
  <c r="Q73" i="4" s="1"/>
  <c r="R73" i="4" s="1"/>
  <c r="N78" i="4"/>
  <c r="O78" i="4" s="1"/>
  <c r="P78" i="4" s="1"/>
  <c r="Q78" i="4" s="1"/>
  <c r="R78" i="4" s="1"/>
  <c r="N79" i="4"/>
  <c r="O79" i="4" s="1"/>
  <c r="P79" i="4" s="1"/>
  <c r="Q79" i="4" s="1"/>
  <c r="R79" i="4" s="1"/>
  <c r="N65" i="4"/>
  <c r="O65" i="4" s="1"/>
  <c r="P65" i="4" s="1"/>
  <c r="Q65" i="4" s="1"/>
  <c r="R65" i="4" s="1"/>
  <c r="N75" i="4"/>
  <c r="O75" i="4" s="1"/>
  <c r="P75" i="4" s="1"/>
  <c r="Q75" i="4" s="1"/>
  <c r="R75" i="4" s="1"/>
  <c r="N69" i="4"/>
  <c r="O69" i="4" s="1"/>
  <c r="P69" i="4" s="1"/>
  <c r="Q69" i="4" s="1"/>
  <c r="R69" i="4" s="1"/>
  <c r="P118" i="5" l="1"/>
  <c r="P119" i="5"/>
  <c r="T109" i="5"/>
  <c r="T126" i="5" s="1"/>
  <c r="I109" i="5"/>
  <c r="I126" i="5" s="1"/>
  <c r="W132" i="5"/>
  <c r="V109" i="5"/>
  <c r="V126" i="5" s="1"/>
  <c r="R118" i="5"/>
  <c r="R130" i="5" s="1"/>
  <c r="R119" i="5"/>
  <c r="R131" i="5" s="1"/>
  <c r="O118" i="5"/>
  <c r="O130" i="5" s="1"/>
  <c r="O119" i="5"/>
  <c r="S110" i="5"/>
  <c r="S127" i="5" s="1"/>
  <c r="T101" i="5"/>
  <c r="T117" i="5" s="1"/>
  <c r="X118" i="5"/>
  <c r="X119" i="5"/>
  <c r="D101" i="5"/>
  <c r="D117" i="5" s="1"/>
  <c r="T108" i="5"/>
  <c r="T125" i="5" s="1"/>
  <c r="T132" i="5" s="1"/>
  <c r="M119" i="5"/>
  <c r="M131" i="5" s="1"/>
  <c r="M118" i="5"/>
  <c r="M130" i="5" s="1"/>
  <c r="N101" i="5"/>
  <c r="N117" i="5" s="1"/>
  <c r="J108" i="5"/>
  <c r="J125" i="5" s="1"/>
  <c r="C119" i="5"/>
  <c r="C131" i="5" s="1"/>
  <c r="W118" i="5"/>
  <c r="W119" i="5"/>
  <c r="L109" i="5"/>
  <c r="L126" i="5" s="1"/>
  <c r="R132" i="5"/>
  <c r="S105" i="5"/>
  <c r="S122" i="5" s="1"/>
  <c r="AF102" i="5"/>
  <c r="E101" i="5"/>
  <c r="E117" i="5" s="1"/>
  <c r="Q102" i="5"/>
  <c r="L105" i="5"/>
  <c r="L122" i="5" s="1"/>
  <c r="AC119" i="5"/>
  <c r="AC118" i="5"/>
  <c r="I118" i="5"/>
  <c r="I119" i="5"/>
  <c r="H119" i="5"/>
  <c r="H131" i="5" s="1"/>
  <c r="H118" i="5"/>
  <c r="H130" i="5" s="1"/>
  <c r="P101" i="5"/>
  <c r="P117" i="5" s="1"/>
  <c r="I107" i="5"/>
  <c r="I124" i="5" s="1"/>
  <c r="I132" i="5" s="1"/>
  <c r="V101" i="5"/>
  <c r="V117" i="5" s="1"/>
  <c r="T106" i="5"/>
  <c r="T123" i="5" s="1"/>
  <c r="J107" i="5"/>
  <c r="J124" i="5" s="1"/>
  <c r="L110" i="5"/>
  <c r="L127" i="5" s="1"/>
  <c r="C130" i="5"/>
  <c r="F109" i="5"/>
  <c r="F126" i="5" s="1"/>
  <c r="U106" i="5"/>
  <c r="U123" i="5" s="1"/>
  <c r="V106" i="5"/>
  <c r="V123" i="5" s="1"/>
  <c r="I103" i="5"/>
  <c r="I120" i="5" s="1"/>
  <c r="N102" i="5"/>
  <c r="AF109" i="5"/>
  <c r="AF126" i="5" s="1"/>
  <c r="T107" i="5"/>
  <c r="T124" i="5" s="1"/>
  <c r="K101" i="5"/>
  <c r="K117" i="5" s="1"/>
  <c r="O107" i="5"/>
  <c r="O124" i="5" s="1"/>
  <c r="D109" i="5"/>
  <c r="D126" i="5" s="1"/>
  <c r="S102" i="5"/>
  <c r="D102" i="5"/>
  <c r="I110" i="5"/>
  <c r="I127" i="5" s="1"/>
  <c r="U101" i="5"/>
  <c r="U117" i="5" s="1"/>
  <c r="K132" i="5"/>
  <c r="V107" i="5"/>
  <c r="V124" i="5" s="1"/>
  <c r="E108" i="5"/>
  <c r="E125" i="5" s="1"/>
  <c r="AB104" i="5"/>
  <c r="AB121" i="5" s="1"/>
  <c r="J103" i="5"/>
  <c r="J120" i="5" s="1"/>
  <c r="M132" i="5"/>
  <c r="Q107" i="5"/>
  <c r="Q124" i="5" s="1"/>
  <c r="Q106" i="5"/>
  <c r="Q123" i="5" s="1"/>
  <c r="K105" i="5"/>
  <c r="K122" i="5" s="1"/>
  <c r="AE101" i="5"/>
  <c r="AE117" i="5" s="1"/>
  <c r="T110" i="5"/>
  <c r="T127" i="5" s="1"/>
  <c r="O105" i="5"/>
  <c r="O122" i="5" s="1"/>
  <c r="Z109" i="5"/>
  <c r="Z126" i="5" s="1"/>
  <c r="AF105" i="5"/>
  <c r="AF122" i="5" s="1"/>
  <c r="AD109" i="5"/>
  <c r="AD126" i="5" s="1"/>
  <c r="G106" i="5"/>
  <c r="G123" i="5" s="1"/>
  <c r="C132" i="5"/>
  <c r="L103" i="5"/>
  <c r="L120" i="5" s="1"/>
  <c r="X105" i="5"/>
  <c r="X122" i="5" s="1"/>
  <c r="AE104" i="5"/>
  <c r="AE121" i="5" s="1"/>
  <c r="AA106" i="5"/>
  <c r="AA123" i="5" s="1"/>
  <c r="X109" i="5"/>
  <c r="X126" i="5" s="1"/>
  <c r="U107" i="5"/>
  <c r="U124" i="5" s="1"/>
  <c r="Y108" i="5"/>
  <c r="Y125" i="5" s="1"/>
  <c r="Z102" i="5"/>
  <c r="P105" i="5"/>
  <c r="P122" i="5" s="1"/>
  <c r="V110" i="5"/>
  <c r="V127" i="5" s="1"/>
  <c r="U109" i="5"/>
  <c r="U126" i="5" s="1"/>
  <c r="E103" i="5"/>
  <c r="E120" i="5" s="1"/>
  <c r="D110" i="5"/>
  <c r="D127" i="5" s="1"/>
  <c r="U108" i="5"/>
  <c r="U125" i="5" s="1"/>
  <c r="J101" i="5"/>
  <c r="J117" i="5" s="1"/>
  <c r="W131" i="5"/>
  <c r="AD101" i="5"/>
  <c r="AD117" i="5" s="1"/>
  <c r="U102" i="5"/>
  <c r="AB102" i="5"/>
  <c r="AC103" i="5"/>
  <c r="AC120" i="5" s="1"/>
  <c r="AA101" i="5"/>
  <c r="AA117" i="5" s="1"/>
  <c r="V103" i="5"/>
  <c r="V120" i="5" s="1"/>
  <c r="H132" i="5"/>
  <c r="F106" i="5"/>
  <c r="F123" i="5" s="1"/>
  <c r="AE107" i="5"/>
  <c r="AE124" i="5" s="1"/>
  <c r="Z105" i="5"/>
  <c r="Z122" i="5" s="1"/>
  <c r="AC108" i="5"/>
  <c r="AC125" i="5" s="1"/>
  <c r="AG110" i="5"/>
  <c r="AG127" i="5" s="1"/>
  <c r="N107" i="5"/>
  <c r="N124" i="5" s="1"/>
  <c r="O108" i="5"/>
  <c r="O125" i="5" s="1"/>
  <c r="L132" i="5"/>
  <c r="D105" i="5"/>
  <c r="D122" i="5" s="1"/>
  <c r="Y104" i="5"/>
  <c r="Y121" i="5" s="1"/>
  <c r="AD103" i="5"/>
  <c r="AD120" i="5" s="1"/>
  <c r="L102" i="5"/>
  <c r="AA110" i="5"/>
  <c r="AA127" i="5" s="1"/>
  <c r="AG106" i="5"/>
  <c r="AG123" i="5" s="1"/>
  <c r="AB108" i="5"/>
  <c r="AB125" i="5" s="1"/>
  <c r="Y102" i="5"/>
  <c r="AE109" i="5"/>
  <c r="AE126" i="5" s="1"/>
  <c r="D106" i="5"/>
  <c r="D123" i="5" s="1"/>
  <c r="Y105" i="5"/>
  <c r="Y122" i="5" s="1"/>
  <c r="P103" i="5"/>
  <c r="P120" i="5" s="1"/>
  <c r="G110" i="5"/>
  <c r="G127" i="5" s="1"/>
  <c r="AF106" i="5"/>
  <c r="AF123" i="5" s="1"/>
  <c r="F102" i="5"/>
  <c r="AA107" i="5"/>
  <c r="AA124" i="5" s="1"/>
  <c r="S107" i="5"/>
  <c r="S124" i="5" s="1"/>
  <c r="T105" i="5"/>
  <c r="T122" i="5" s="1"/>
  <c r="AG107" i="5"/>
  <c r="AG124" i="5" s="1"/>
  <c r="AC109" i="5"/>
  <c r="AC126" i="5" s="1"/>
  <c r="AF101" i="5"/>
  <c r="AF117" i="5" s="1"/>
  <c r="I101" i="5"/>
  <c r="I117" i="5" s="1"/>
  <c r="W130" i="5"/>
  <c r="E110" i="5"/>
  <c r="E127" i="5" s="1"/>
  <c r="I106" i="5"/>
  <c r="I123" i="5" s="1"/>
  <c r="J105" i="5"/>
  <c r="J122" i="5" s="1"/>
  <c r="N109" i="5"/>
  <c r="N126" i="5" s="1"/>
  <c r="AB103" i="5"/>
  <c r="AB120" i="5" s="1"/>
  <c r="AE105" i="5"/>
  <c r="AE122" i="5" s="1"/>
  <c r="AD110" i="5"/>
  <c r="AD127" i="5" s="1"/>
  <c r="AB105" i="5"/>
  <c r="AB122" i="5" s="1"/>
  <c r="J104" i="5"/>
  <c r="J121" i="5" s="1"/>
  <c r="Q104" i="5"/>
  <c r="Q121" i="5" s="1"/>
  <c r="P106" i="5"/>
  <c r="P123" i="5" s="1"/>
  <c r="AC101" i="5"/>
  <c r="AC117" i="5" s="1"/>
  <c r="F103" i="5"/>
  <c r="F120" i="5" s="1"/>
  <c r="Q108" i="5"/>
  <c r="Q125" i="5" s="1"/>
  <c r="S106" i="5"/>
  <c r="S123" i="5" s="1"/>
  <c r="S104" i="5"/>
  <c r="S121" i="5" s="1"/>
  <c r="AB101" i="5"/>
  <c r="AB117" i="5" s="1"/>
  <c r="P110" i="5"/>
  <c r="P127" i="5" s="1"/>
  <c r="AF103" i="5"/>
  <c r="AF120" i="5" s="1"/>
  <c r="E109" i="5"/>
  <c r="E126" i="5" s="1"/>
  <c r="AA102" i="5"/>
  <c r="AF107" i="5"/>
  <c r="AF124" i="5" s="1"/>
  <c r="AE102" i="5"/>
  <c r="AD107" i="5"/>
  <c r="AD124" i="5" s="1"/>
  <c r="O110" i="5"/>
  <c r="O127" i="5" s="1"/>
  <c r="AG102" i="5"/>
  <c r="AA108" i="5"/>
  <c r="AA125" i="5" s="1"/>
  <c r="X107" i="5"/>
  <c r="X124" i="5" s="1"/>
  <c r="Y103" i="5"/>
  <c r="Y120" i="5" s="1"/>
  <c r="AG104" i="5"/>
  <c r="AG121" i="5" s="1"/>
  <c r="O103" i="5"/>
  <c r="O120" i="5" s="1"/>
  <c r="O104" i="5"/>
  <c r="O121" i="5" s="1"/>
  <c r="Q103" i="5"/>
  <c r="Q120" i="5" s="1"/>
  <c r="D107" i="5"/>
  <c r="D124" i="5" s="1"/>
  <c r="S109" i="5"/>
  <c r="S126" i="5" s="1"/>
  <c r="Y110" i="5"/>
  <c r="Y127" i="5" s="1"/>
  <c r="Z106" i="5"/>
  <c r="Z123" i="5" s="1"/>
  <c r="AA103" i="5"/>
  <c r="AA120" i="5" s="1"/>
  <c r="AG103" i="5"/>
  <c r="AG120" i="5" s="1"/>
  <c r="P109" i="5"/>
  <c r="P126" i="5" s="1"/>
  <c r="Z103" i="5"/>
  <c r="Z120" i="5" s="1"/>
  <c r="V102" i="5"/>
  <c r="E107" i="5"/>
  <c r="E124" i="5" s="1"/>
  <c r="Z101" i="5"/>
  <c r="Z117" i="5" s="1"/>
  <c r="E104" i="5"/>
  <c r="E121" i="5" s="1"/>
  <c r="S108" i="5"/>
  <c r="S125" i="5" s="1"/>
  <c r="AD105" i="5"/>
  <c r="AD122" i="5" s="1"/>
  <c r="AC110" i="5"/>
  <c r="AC127" i="5" s="1"/>
  <c r="AA104" i="5"/>
  <c r="AA121" i="5" s="1"/>
  <c r="J102" i="5"/>
  <c r="AE106" i="5"/>
  <c r="AE123" i="5" s="1"/>
  <c r="AG108" i="5"/>
  <c r="AG125" i="5" s="1"/>
  <c r="Y101" i="5"/>
  <c r="Y117" i="5" s="1"/>
  <c r="Z104" i="5"/>
  <c r="Z121" i="5" s="1"/>
  <c r="AE108" i="5"/>
  <c r="AE125" i="5" s="1"/>
  <c r="E105" i="5"/>
  <c r="E122" i="5" s="1"/>
  <c r="G105" i="5"/>
  <c r="G122" i="5" s="1"/>
  <c r="Q109" i="5"/>
  <c r="Q126" i="5" s="1"/>
  <c r="V104" i="5"/>
  <c r="V121" i="5" s="1"/>
  <c r="N110" i="5"/>
  <c r="N127" i="5" s="1"/>
  <c r="D108" i="5"/>
  <c r="D125" i="5" s="1"/>
  <c r="X103" i="5"/>
  <c r="X120" i="5" s="1"/>
  <c r="AD104" i="5"/>
  <c r="AD121" i="5" s="1"/>
  <c r="AC104" i="5"/>
  <c r="AC121" i="5" s="1"/>
  <c r="Y109" i="5"/>
  <c r="Y126" i="5" s="1"/>
  <c r="F108" i="5"/>
  <c r="F125" i="5" s="1"/>
  <c r="S103" i="5"/>
  <c r="S120" i="5" s="1"/>
  <c r="U105" i="5"/>
  <c r="U122" i="5" s="1"/>
  <c r="T102" i="5"/>
  <c r="V105" i="5"/>
  <c r="V122" i="5" s="1"/>
  <c r="X101" i="5"/>
  <c r="X117" i="5" s="1"/>
  <c r="X130" i="5" s="1"/>
  <c r="AB109" i="5"/>
  <c r="AB126" i="5" s="1"/>
  <c r="G104" i="5"/>
  <c r="G121" i="5" s="1"/>
  <c r="U103" i="5"/>
  <c r="U120" i="5" s="1"/>
  <c r="G102" i="5"/>
  <c r="F104" i="5"/>
  <c r="F121" i="5" s="1"/>
  <c r="O109" i="5"/>
  <c r="O126" i="5" s="1"/>
  <c r="Q105" i="5"/>
  <c r="Q122" i="5" s="1"/>
  <c r="D104" i="5"/>
  <c r="D121" i="5" s="1"/>
  <c r="U104" i="5"/>
  <c r="U121" i="5" s="1"/>
  <c r="AF104" i="5"/>
  <c r="AF121" i="5" s="1"/>
  <c r="AB110" i="5"/>
  <c r="AB127" i="5" s="1"/>
  <c r="AF108" i="5"/>
  <c r="AF125" i="5" s="1"/>
  <c r="AG105" i="5"/>
  <c r="AG122" i="5" s="1"/>
  <c r="AF110" i="5"/>
  <c r="AF127" i="5" s="1"/>
  <c r="L101" i="5"/>
  <c r="L117" i="5" s="1"/>
  <c r="K102" i="5"/>
  <c r="K106" i="5"/>
  <c r="K123" i="5" s="1"/>
  <c r="L106" i="5"/>
  <c r="L123" i="5" s="1"/>
  <c r="T104" i="5"/>
  <c r="T121" i="5" s="1"/>
  <c r="F107" i="5"/>
  <c r="F124" i="5" s="1"/>
  <c r="E106" i="5"/>
  <c r="E123" i="5" s="1"/>
  <c r="Z110" i="5"/>
  <c r="Z127" i="5" s="1"/>
  <c r="AE110" i="5"/>
  <c r="AE127" i="5" s="1"/>
  <c r="X108" i="5"/>
  <c r="X125" i="5" s="1"/>
  <c r="Q110" i="5"/>
  <c r="Q127" i="5" s="1"/>
  <c r="AC106" i="5"/>
  <c r="AC123" i="5" s="1"/>
  <c r="AB106" i="5"/>
  <c r="AB123" i="5" s="1"/>
  <c r="L104" i="5"/>
  <c r="L121" i="5" s="1"/>
  <c r="Z108" i="5"/>
  <c r="Z125" i="5" s="1"/>
  <c r="AA105" i="5"/>
  <c r="AA122" i="5" s="1"/>
  <c r="AC105" i="5"/>
  <c r="AC122" i="5" s="1"/>
  <c r="AD102" i="5"/>
  <c r="AC107" i="5"/>
  <c r="AC124" i="5" s="1"/>
  <c r="AD106" i="5"/>
  <c r="AD123" i="5" s="1"/>
  <c r="AA109" i="5"/>
  <c r="AA126" i="5" s="1"/>
  <c r="X106" i="5"/>
  <c r="X123" i="5" s="1"/>
  <c r="AD108" i="5"/>
  <c r="AD125" i="5" s="1"/>
  <c r="X104" i="5"/>
  <c r="X121" i="5" s="1"/>
  <c r="D103" i="5"/>
  <c r="D120" i="5" s="1"/>
  <c r="K103" i="5"/>
  <c r="K120" i="5" s="1"/>
  <c r="F105" i="5"/>
  <c r="F122" i="5" s="1"/>
  <c r="T103" i="5"/>
  <c r="T120" i="5" s="1"/>
  <c r="F110" i="5"/>
  <c r="F127" i="5" s="1"/>
  <c r="G108" i="5"/>
  <c r="G125" i="5" s="1"/>
  <c r="N108" i="5"/>
  <c r="N125" i="5" s="1"/>
  <c r="G103" i="5"/>
  <c r="G120" i="5" s="1"/>
  <c r="N103" i="5"/>
  <c r="N120" i="5" s="1"/>
  <c r="N104" i="5"/>
  <c r="N121" i="5" s="1"/>
  <c r="N106" i="5"/>
  <c r="N123" i="5" s="1"/>
  <c r="I104" i="5"/>
  <c r="I121" i="5" s="1"/>
  <c r="O106" i="5"/>
  <c r="O123" i="5" s="1"/>
  <c r="Y106" i="5"/>
  <c r="Y123" i="5" s="1"/>
  <c r="Z107" i="5"/>
  <c r="Z124" i="5" s="1"/>
  <c r="P108" i="5"/>
  <c r="P125" i="5" s="1"/>
  <c r="Y107" i="5"/>
  <c r="Y124" i="5" s="1"/>
  <c r="AG109" i="5"/>
  <c r="AG126" i="5" s="1"/>
  <c r="AE103" i="5"/>
  <c r="AE120" i="5" s="1"/>
  <c r="AB107" i="5"/>
  <c r="AB124" i="5" s="1"/>
  <c r="X110" i="5"/>
  <c r="X127" i="5" s="1"/>
  <c r="N105" i="5"/>
  <c r="N122" i="5" s="1"/>
  <c r="P104" i="5"/>
  <c r="P121" i="5" s="1"/>
  <c r="J106" i="5"/>
  <c r="J123" i="5" s="1"/>
  <c r="E102" i="5"/>
  <c r="I105" i="5"/>
  <c r="I122" i="5" s="1"/>
  <c r="G107" i="5"/>
  <c r="G124" i="5" s="1"/>
  <c r="N86" i="4"/>
  <c r="O86" i="4" s="1"/>
  <c r="P86" i="4" s="1"/>
  <c r="Q86" i="4" s="1"/>
  <c r="R86" i="4" s="1"/>
  <c r="N80" i="4"/>
  <c r="O80" i="4" s="1"/>
  <c r="P80" i="4" s="1"/>
  <c r="Q80" i="4" s="1"/>
  <c r="R80" i="4" s="1"/>
  <c r="N77" i="4"/>
  <c r="O77" i="4" s="1"/>
  <c r="P77" i="4" s="1"/>
  <c r="Q77" i="4" s="1"/>
  <c r="R77" i="4" s="1"/>
  <c r="N87" i="4"/>
  <c r="O87" i="4" s="1"/>
  <c r="P87" i="4" s="1"/>
  <c r="Q87" i="4" s="1"/>
  <c r="R87" i="4" s="1"/>
  <c r="E87" i="4"/>
  <c r="F87" i="4" s="1"/>
  <c r="G87" i="4" s="1"/>
  <c r="H87" i="4" s="1"/>
  <c r="I87" i="4" s="1"/>
  <c r="J87" i="4" s="1"/>
  <c r="K87" i="4" s="1"/>
  <c r="L87" i="4" s="1"/>
  <c r="N92" i="4"/>
  <c r="O92" i="4" s="1"/>
  <c r="P92" i="4" s="1"/>
  <c r="Q92" i="4" s="1"/>
  <c r="R92" i="4" s="1"/>
  <c r="E92" i="4"/>
  <c r="D182" i="4" s="1"/>
  <c r="F92" i="4"/>
  <c r="G92" i="4" s="1"/>
  <c r="H92" i="4" s="1"/>
  <c r="I92" i="4" s="1"/>
  <c r="J92" i="4" s="1"/>
  <c r="K92" i="4" s="1"/>
  <c r="L92" i="4" s="1"/>
  <c r="N67" i="4"/>
  <c r="O67" i="4" s="1"/>
  <c r="P67" i="4" s="1"/>
  <c r="Q67" i="4" s="1"/>
  <c r="R67" i="4" s="1"/>
  <c r="E67" i="4"/>
  <c r="F67" i="4" s="1"/>
  <c r="G67" i="4" s="1"/>
  <c r="H67" i="4" s="1"/>
  <c r="I67" i="4" s="1"/>
  <c r="J67" i="4" s="1"/>
  <c r="K67" i="4" s="1"/>
  <c r="L67" i="4" s="1"/>
  <c r="N74" i="4"/>
  <c r="O74" i="4" s="1"/>
  <c r="P74" i="4" s="1"/>
  <c r="Q74" i="4" s="1"/>
  <c r="R74" i="4" s="1"/>
  <c r="E64" i="4"/>
  <c r="D181" i="4" s="1"/>
  <c r="L181" i="4"/>
  <c r="N85" i="4"/>
  <c r="O85" i="4" s="1"/>
  <c r="P85" i="4" s="1"/>
  <c r="Q85" i="4" s="1"/>
  <c r="R85" i="4" s="1"/>
  <c r="N84" i="4"/>
  <c r="O84" i="4" s="1"/>
  <c r="P84" i="4" s="1"/>
  <c r="Q84" i="4" s="1"/>
  <c r="R84" i="4" s="1"/>
  <c r="N70" i="4"/>
  <c r="O70" i="4" s="1"/>
  <c r="P70" i="4" s="1"/>
  <c r="Q70" i="4" s="1"/>
  <c r="R70" i="4" s="1"/>
  <c r="N68" i="4"/>
  <c r="O68" i="4" s="1"/>
  <c r="P68" i="4" s="1"/>
  <c r="Q68" i="4" s="1"/>
  <c r="R68" i="4" s="1"/>
  <c r="N81" i="4"/>
  <c r="O81" i="4" s="1"/>
  <c r="P81" i="4" s="1"/>
  <c r="Q81" i="4" s="1"/>
  <c r="R81" i="4" s="1"/>
  <c r="N72" i="4"/>
  <c r="O72" i="4" s="1"/>
  <c r="P72" i="4" s="1"/>
  <c r="Q72" i="4" s="1"/>
  <c r="R72" i="4" s="1"/>
  <c r="N66" i="4"/>
  <c r="O66" i="4" s="1"/>
  <c r="P66" i="4" s="1"/>
  <c r="Q66" i="4" s="1"/>
  <c r="R66" i="4" s="1"/>
  <c r="N101" i="4"/>
  <c r="O101" i="4" s="1"/>
  <c r="P101" i="4" s="1"/>
  <c r="Q101" i="4" s="1"/>
  <c r="R101" i="4" s="1"/>
  <c r="N64" i="4"/>
  <c r="O64" i="4" s="1"/>
  <c r="P64" i="4" s="1"/>
  <c r="Q64" i="4" s="1"/>
  <c r="R64" i="4" s="1"/>
  <c r="Q181" i="4" s="1"/>
  <c r="M181" i="4" s="1"/>
  <c r="M186" i="4" s="1"/>
  <c r="N100" i="4"/>
  <c r="O100" i="4" s="1"/>
  <c r="P100" i="4" s="1"/>
  <c r="Q100" i="4" s="1"/>
  <c r="R100" i="4" s="1"/>
  <c r="N97" i="4"/>
  <c r="O97" i="4" s="1"/>
  <c r="P97" i="4" s="1"/>
  <c r="Q97" i="4" s="1"/>
  <c r="R97" i="4" s="1"/>
  <c r="N98" i="4"/>
  <c r="O98" i="4" s="1"/>
  <c r="P98" i="4" s="1"/>
  <c r="Q98" i="4" s="1"/>
  <c r="R98" i="4" s="1"/>
  <c r="N96" i="4"/>
  <c r="O96" i="4" s="1"/>
  <c r="P96" i="4" s="1"/>
  <c r="Q96" i="4" s="1"/>
  <c r="R96" i="4" s="1"/>
  <c r="N107" i="4"/>
  <c r="O107" i="4" s="1"/>
  <c r="P107" i="4" s="1"/>
  <c r="Q107" i="4" s="1"/>
  <c r="R107" i="4" s="1"/>
  <c r="N104" i="4"/>
  <c r="O104" i="4" s="1"/>
  <c r="P104" i="4" s="1"/>
  <c r="Q104" i="4" s="1"/>
  <c r="R104" i="4" s="1"/>
  <c r="N105" i="4"/>
  <c r="O105" i="4" s="1"/>
  <c r="P105" i="4" s="1"/>
  <c r="Q105" i="4" s="1"/>
  <c r="R105" i="4" s="1"/>
  <c r="N99" i="4"/>
  <c r="O99" i="4" s="1"/>
  <c r="P99" i="4" s="1"/>
  <c r="Q99" i="4" s="1"/>
  <c r="R99" i="4" s="1"/>
  <c r="N94" i="4"/>
  <c r="O94" i="4" s="1"/>
  <c r="P94" i="4" s="1"/>
  <c r="Q94" i="4" s="1"/>
  <c r="R94" i="4" s="1"/>
  <c r="N102" i="4"/>
  <c r="O102" i="4" s="1"/>
  <c r="P102" i="4" s="1"/>
  <c r="Q102" i="4" s="1"/>
  <c r="R102" i="4" s="1"/>
  <c r="N108" i="4"/>
  <c r="O108" i="4" s="1"/>
  <c r="P108" i="4" s="1"/>
  <c r="Q108" i="4" s="1"/>
  <c r="R108" i="4" s="1"/>
  <c r="N95" i="4"/>
  <c r="O95" i="4" s="1"/>
  <c r="P95" i="4" s="1"/>
  <c r="Q95" i="4" s="1"/>
  <c r="R95" i="4" s="1"/>
  <c r="N93" i="4"/>
  <c r="O93" i="4" s="1"/>
  <c r="P93" i="4" s="1"/>
  <c r="Q93" i="4" s="1"/>
  <c r="R93" i="4" s="1"/>
  <c r="N103" i="4"/>
  <c r="O103" i="4" s="1"/>
  <c r="P103" i="4" s="1"/>
  <c r="Q103" i="4" s="1"/>
  <c r="R103" i="4" s="1"/>
  <c r="N106" i="4"/>
  <c r="O106" i="4" s="1"/>
  <c r="P106" i="4" s="1"/>
  <c r="Q106" i="4" s="1"/>
  <c r="R106" i="4" s="1"/>
  <c r="P130" i="5" l="1"/>
  <c r="P135" i="5" s="1"/>
  <c r="O2" i="3" s="1"/>
  <c r="I130" i="5"/>
  <c r="AC130" i="5"/>
  <c r="L137" i="5"/>
  <c r="K3" i="2" s="1"/>
  <c r="L119" i="5"/>
  <c r="L118" i="5"/>
  <c r="D119" i="5"/>
  <c r="D118" i="5"/>
  <c r="D130" i="5" s="1"/>
  <c r="D135" i="5" s="1"/>
  <c r="C2" i="3" s="1"/>
  <c r="O132" i="5"/>
  <c r="S132" i="5"/>
  <c r="S137" i="5" s="1"/>
  <c r="R3" i="2" s="1"/>
  <c r="J119" i="5"/>
  <c r="J118" i="5"/>
  <c r="J130" i="5" s="1"/>
  <c r="J135" i="5" s="1"/>
  <c r="I2" i="3" s="1"/>
  <c r="T118" i="5"/>
  <c r="T130" i="5" s="1"/>
  <c r="T119" i="5"/>
  <c r="T131" i="5" s="1"/>
  <c r="F119" i="5"/>
  <c r="F131" i="5" s="1"/>
  <c r="F118" i="5"/>
  <c r="F130" i="5" s="1"/>
  <c r="V132" i="5"/>
  <c r="W137" i="5" s="1"/>
  <c r="V3" i="2" s="1"/>
  <c r="N119" i="5"/>
  <c r="N131" i="5" s="1"/>
  <c r="N136" i="5" s="1"/>
  <c r="M3" i="3" s="1"/>
  <c r="N118" i="5"/>
  <c r="N130" i="5" s="1"/>
  <c r="U118" i="5"/>
  <c r="U130" i="5" s="1"/>
  <c r="U119" i="5"/>
  <c r="S119" i="5"/>
  <c r="S131" i="5" s="1"/>
  <c r="S136" i="5" s="1"/>
  <c r="R3" i="3" s="1"/>
  <c r="S118" i="5"/>
  <c r="S130" i="5" s="1"/>
  <c r="S135" i="5" s="1"/>
  <c r="R2" i="3" s="1"/>
  <c r="P132" i="5"/>
  <c r="P137" i="5" s="1"/>
  <c r="O3" i="2" s="1"/>
  <c r="AE132" i="5"/>
  <c r="AF119" i="5"/>
  <c r="AF131" i="5" s="1"/>
  <c r="AF118" i="5"/>
  <c r="AF130" i="5" s="1"/>
  <c r="AF135" i="5" s="1"/>
  <c r="AE2" i="3" s="1"/>
  <c r="AE119" i="5"/>
  <c r="AE118" i="5"/>
  <c r="AA119" i="5"/>
  <c r="AA118" i="5"/>
  <c r="AA130" i="5" s="1"/>
  <c r="J132" i="5"/>
  <c r="K137" i="5" s="1"/>
  <c r="J3" i="2" s="1"/>
  <c r="I135" i="5"/>
  <c r="H2" i="3" s="1"/>
  <c r="E119" i="5"/>
  <c r="E118" i="5"/>
  <c r="E130" i="5" s="1"/>
  <c r="K119" i="5"/>
  <c r="K118" i="5"/>
  <c r="K130" i="5" s="1"/>
  <c r="K135" i="5" s="1"/>
  <c r="J2" i="3" s="1"/>
  <c r="AG119" i="5"/>
  <c r="AG118" i="5"/>
  <c r="AG130" i="5" s="1"/>
  <c r="V118" i="5"/>
  <c r="V130" i="5" s="1"/>
  <c r="V119" i="5"/>
  <c r="Y118" i="5"/>
  <c r="Y130" i="5" s="1"/>
  <c r="Y119" i="5"/>
  <c r="G119" i="5"/>
  <c r="G118" i="5"/>
  <c r="G130" i="5" s="1"/>
  <c r="Q118" i="5"/>
  <c r="Q130" i="5" s="1"/>
  <c r="Q119" i="5"/>
  <c r="Q131" i="5" s="1"/>
  <c r="R136" i="5" s="1"/>
  <c r="Q3" i="3" s="1"/>
  <c r="L130" i="5"/>
  <c r="M135" i="5" s="1"/>
  <c r="L2" i="3" s="1"/>
  <c r="J131" i="5"/>
  <c r="Z118" i="5"/>
  <c r="Z130" i="5" s="1"/>
  <c r="Z119" i="5"/>
  <c r="AD119" i="5"/>
  <c r="AD131" i="5" s="1"/>
  <c r="AD118" i="5"/>
  <c r="AD130" i="5" s="1"/>
  <c r="E132" i="5"/>
  <c r="I131" i="5"/>
  <c r="I136" i="5" s="1"/>
  <c r="H3" i="3" s="1"/>
  <c r="AB119" i="5"/>
  <c r="AB131" i="5" s="1"/>
  <c r="AB118" i="5"/>
  <c r="AB130" i="5" s="1"/>
  <c r="E131" i="5"/>
  <c r="I137" i="5"/>
  <c r="H3" i="2" s="1"/>
  <c r="N132" i="5"/>
  <c r="N137" i="5" s="1"/>
  <c r="M3" i="2" s="1"/>
  <c r="Z132" i="5"/>
  <c r="AE130" i="5"/>
  <c r="Z131" i="5"/>
  <c r="L131" i="5"/>
  <c r="M136" i="5" s="1"/>
  <c r="L3" i="3" s="1"/>
  <c r="AD132" i="5"/>
  <c r="U132" i="5"/>
  <c r="U137" i="5" s="1"/>
  <c r="T3" i="2" s="1"/>
  <c r="P131" i="5"/>
  <c r="G131" i="5"/>
  <c r="X131" i="5"/>
  <c r="X136" i="5" s="1"/>
  <c r="W3" i="3" s="1"/>
  <c r="V131" i="5"/>
  <c r="W136" i="5" s="1"/>
  <c r="V3" i="3" s="1"/>
  <c r="X132" i="5"/>
  <c r="X137" i="5" s="1"/>
  <c r="W3" i="2" s="1"/>
  <c r="M137" i="5"/>
  <c r="L3" i="2" s="1"/>
  <c r="D132" i="5"/>
  <c r="D137" i="5" s="1"/>
  <c r="C3" i="2" s="1"/>
  <c r="AC132" i="5"/>
  <c r="AD137" i="5" s="1"/>
  <c r="AC3" i="2" s="1"/>
  <c r="AC131" i="5"/>
  <c r="X135" i="5"/>
  <c r="W2" i="3" s="1"/>
  <c r="Q132" i="5"/>
  <c r="AA132" i="5"/>
  <c r="G132" i="5"/>
  <c r="K131" i="5"/>
  <c r="AG132" i="5"/>
  <c r="AG131" i="5"/>
  <c r="U131" i="5"/>
  <c r="O131" i="5"/>
  <c r="Y131" i="5"/>
  <c r="D131" i="5"/>
  <c r="D136" i="5" s="1"/>
  <c r="C3" i="3" s="1"/>
  <c r="Y132" i="5"/>
  <c r="AF132" i="5"/>
  <c r="AF137" i="5" s="1"/>
  <c r="AE3" i="2" s="1"/>
  <c r="O137" i="5"/>
  <c r="N3" i="2" s="1"/>
  <c r="AB132" i="5"/>
  <c r="AA131" i="5"/>
  <c r="AE131" i="5"/>
  <c r="F132" i="5"/>
  <c r="F137" i="5" s="1"/>
  <c r="E3" i="2" s="1"/>
  <c r="F64" i="4"/>
  <c r="G64" i="4" s="1"/>
  <c r="H64" i="4" s="1"/>
  <c r="I64" i="4" s="1"/>
  <c r="J64" i="4" s="1"/>
  <c r="K64" i="4" s="1"/>
  <c r="L64" i="4" s="1"/>
  <c r="E181" i="4"/>
  <c r="N181" i="4"/>
  <c r="O181" i="4" s="1"/>
  <c r="F135" i="5" l="1"/>
  <c r="E2" i="3" s="1"/>
  <c r="AG135" i="5"/>
  <c r="AF2" i="3" s="1"/>
  <c r="F136" i="5"/>
  <c r="E3" i="3" s="1"/>
  <c r="Q135" i="5"/>
  <c r="P2" i="3" s="1"/>
  <c r="AA135" i="5"/>
  <c r="Z2" i="3" s="1"/>
  <c r="U135" i="5"/>
  <c r="T2" i="3" s="1"/>
  <c r="AD135" i="5"/>
  <c r="AC2" i="3" s="1"/>
  <c r="AC135" i="5"/>
  <c r="AB2" i="3" s="1"/>
  <c r="J136" i="5"/>
  <c r="I3" i="3" s="1"/>
  <c r="E135" i="5"/>
  <c r="D2" i="3" s="1"/>
  <c r="W135" i="5"/>
  <c r="V2" i="3" s="1"/>
  <c r="V135" i="5"/>
  <c r="U2" i="3" s="1"/>
  <c r="N135" i="5"/>
  <c r="M2" i="3" s="1"/>
  <c r="O135" i="5"/>
  <c r="N2" i="3" s="1"/>
  <c r="T135" i="5"/>
  <c r="S2" i="3" s="1"/>
  <c r="G135" i="5"/>
  <c r="F2" i="3" s="1"/>
  <c r="AA136" i="5"/>
  <c r="Z3" i="3" s="1"/>
  <c r="H135" i="5"/>
  <c r="G2" i="3" s="1"/>
  <c r="J137" i="5"/>
  <c r="I3" i="2" s="1"/>
  <c r="K136" i="5"/>
  <c r="J3" i="3" s="1"/>
  <c r="Q137" i="5"/>
  <c r="P3" i="2" s="1"/>
  <c r="G136" i="5"/>
  <c r="F3" i="3" s="1"/>
  <c r="Z135" i="5"/>
  <c r="Y2" i="3" s="1"/>
  <c r="AE136" i="5"/>
  <c r="AD3" i="3" s="1"/>
  <c r="L135" i="5"/>
  <c r="K2" i="3" s="1"/>
  <c r="T137" i="5"/>
  <c r="S3" i="2" s="1"/>
  <c r="AE135" i="5"/>
  <c r="AD2" i="3" s="1"/>
  <c r="R135" i="5"/>
  <c r="Q2" i="3" s="1"/>
  <c r="AE137" i="5"/>
  <c r="AD3" i="2" s="1"/>
  <c r="E137" i="5"/>
  <c r="D3" i="2" s="1"/>
  <c r="Y135" i="5"/>
  <c r="X2" i="3" s="1"/>
  <c r="AD136" i="5"/>
  <c r="AC3" i="3" s="1"/>
  <c r="R137" i="5"/>
  <c r="Q3" i="2" s="1"/>
  <c r="Y136" i="5"/>
  <c r="X3" i="3" s="1"/>
  <c r="AA137" i="5"/>
  <c r="Z3" i="2" s="1"/>
  <c r="AB135" i="5"/>
  <c r="AA2" i="3" s="1"/>
  <c r="O136" i="5"/>
  <c r="N3" i="3" s="1"/>
  <c r="AB137" i="5"/>
  <c r="AA3" i="2" s="1"/>
  <c r="AB136" i="5"/>
  <c r="AA3" i="3" s="1"/>
  <c r="Q136" i="5"/>
  <c r="P3" i="3" s="1"/>
  <c r="H136" i="5"/>
  <c r="G3" i="3" s="1"/>
  <c r="Y137" i="5"/>
  <c r="X3" i="2" s="1"/>
  <c r="T136" i="5"/>
  <c r="S3" i="3" s="1"/>
  <c r="AF136" i="5"/>
  <c r="AE3" i="3" s="1"/>
  <c r="V137" i="5"/>
  <c r="U3" i="2" s="1"/>
  <c r="G137" i="5"/>
  <c r="F3" i="2" s="1"/>
  <c r="H137" i="5"/>
  <c r="G3" i="2" s="1"/>
  <c r="U136" i="5"/>
  <c r="T3" i="3" s="1"/>
  <c r="L136" i="5"/>
  <c r="K3" i="3" s="1"/>
  <c r="V136" i="5"/>
  <c r="U3" i="3" s="1"/>
  <c r="AG136" i="5"/>
  <c r="AF3" i="3" s="1"/>
  <c r="AC136" i="5"/>
  <c r="AB3" i="3" s="1"/>
  <c r="Z136" i="5"/>
  <c r="Y3" i="3" s="1"/>
  <c r="E136" i="5"/>
  <c r="D3" i="3" s="1"/>
  <c r="P136" i="5"/>
  <c r="O3" i="3" s="1"/>
  <c r="AC137" i="5"/>
  <c r="AB3" i="2" s="1"/>
  <c r="AG137" i="5"/>
  <c r="AF3" i="2" s="1"/>
  <c r="Z137" i="5"/>
  <c r="Y3" i="2" s="1"/>
  <c r="E186" i="4"/>
  <c r="F181" i="4"/>
  <c r="N186" i="4"/>
  <c r="P181" i="4"/>
  <c r="O186" i="4"/>
  <c r="F186" i="4" l="1"/>
  <c r="G181" i="4"/>
  <c r="P186" i="4"/>
  <c r="Q186" i="4"/>
  <c r="G186" i="4" l="1"/>
  <c r="H181" i="4"/>
  <c r="I181" i="4" l="1"/>
  <c r="H186" i="4"/>
  <c r="I186" i="4" l="1"/>
  <c r="J181" i="4"/>
  <c r="K181" i="4" l="1"/>
  <c r="J186" i="4"/>
  <c r="K186" i="4" l="1"/>
  <c r="L186" i="4"/>
  <c r="M113" i="4" l="1"/>
  <c r="N113" i="4" l="1"/>
  <c r="O113" i="4" s="1"/>
  <c r="P113" i="4" s="1"/>
  <c r="Q113" i="4" s="1"/>
  <c r="R113" i="4" s="1"/>
  <c r="Q182" i="4" s="1"/>
  <c r="L182" i="4"/>
  <c r="E182" i="4" l="1"/>
  <c r="E187" i="4" s="1"/>
  <c r="M182" i="4"/>
  <c r="M187" i="4" s="1"/>
  <c r="N182" i="4"/>
  <c r="N187" i="4" s="1"/>
  <c r="O182" i="4" l="1"/>
  <c r="F182" i="4"/>
  <c r="F187" i="4" l="1"/>
  <c r="G182" i="4"/>
  <c r="O187" i="4"/>
  <c r="P182" i="4"/>
  <c r="P187" i="4" l="1"/>
  <c r="Q187" i="4"/>
  <c r="G187" i="4"/>
  <c r="H182" i="4"/>
  <c r="H187" i="4" l="1"/>
  <c r="I182" i="4"/>
  <c r="I187" i="4" l="1"/>
  <c r="J182" i="4"/>
  <c r="J187" i="4" l="1"/>
  <c r="K182" i="4"/>
  <c r="K187" i="4" l="1"/>
  <c r="L18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<sst xmlns="http://schemas.openxmlformats.org/spreadsheetml/2006/main" count="572" uniqueCount="231">
  <si>
    <t>AIiBCbVT Annual Improvement in Battery Capacity by Vehicle Type</t>
  </si>
  <si>
    <t>ICCT Data on Vehicle Efficiency (MPG of kWh/mile)</t>
  </si>
  <si>
    <t>Vehicle Type</t>
  </si>
  <si>
    <t>Engine Type</t>
  </si>
  <si>
    <t>Label fuel economy (mpg)</t>
  </si>
  <si>
    <t>Battery Pack (kWh)</t>
  </si>
  <si>
    <t>Car</t>
  </si>
  <si>
    <t>ICE</t>
  </si>
  <si>
    <t>Crossover</t>
  </si>
  <si>
    <t>SUV</t>
  </si>
  <si>
    <t>Pickup</t>
  </si>
  <si>
    <t>BEV-150</t>
  </si>
  <si>
    <t>BEV-200</t>
  </si>
  <si>
    <t>BEV-250</t>
  </si>
  <si>
    <t>BEV-300</t>
  </si>
  <si>
    <t>BEV-350</t>
  </si>
  <si>
    <t>BEV-400</t>
  </si>
  <si>
    <t>PHEV-20</t>
  </si>
  <si>
    <t>PHEV-30</t>
  </si>
  <si>
    <t>PHEV-40</t>
  </si>
  <si>
    <t>PHEV-50</t>
  </si>
  <si>
    <t>PHEV-60</t>
  </si>
  <si>
    <t>PHEV-70</t>
  </si>
  <si>
    <t>PHEV</t>
  </si>
  <si>
    <r>
      <t xml:space="preserve">Range </t>
    </r>
    <r>
      <rPr>
        <b/>
        <vertAlign val="superscript"/>
        <sz val="8"/>
        <color rgb="FFFFFFFF"/>
        <rFont val="Arial"/>
        <family val="2"/>
      </rPr>
      <t>a</t>
    </r>
  </si>
  <si>
    <t>Rated power (kW)</t>
  </si>
  <si>
    <t xml:space="preserve">Fuel economy </t>
  </si>
  <si>
    <t>--</t>
  </si>
  <si>
    <t>(mpg)</t>
  </si>
  <si>
    <t xml:space="preserve">Efficiency </t>
  </si>
  <si>
    <r>
      <t xml:space="preserve">(kWh/mile) </t>
    </r>
    <r>
      <rPr>
        <vertAlign val="superscript"/>
        <sz val="8"/>
        <color rgb="FF000000"/>
        <rFont val="Arial"/>
        <family val="2"/>
      </rPr>
      <t>b</t>
    </r>
  </si>
  <si>
    <r>
      <t xml:space="preserve">Battery pack </t>
    </r>
    <r>
      <rPr>
        <vertAlign val="superscript"/>
        <sz val="8"/>
        <color rgb="FF000000"/>
        <rFont val="Arial"/>
        <family val="2"/>
      </rPr>
      <t>c</t>
    </r>
    <r>
      <rPr>
        <sz val="8"/>
        <color rgb="FF000000"/>
        <rFont val="Arial"/>
        <family val="2"/>
      </rPr>
      <t xml:space="preserve"> </t>
    </r>
  </si>
  <si>
    <t>(kWh)</t>
  </si>
  <si>
    <r>
      <t xml:space="preserve">Pack cost </t>
    </r>
    <r>
      <rPr>
        <vertAlign val="superscript"/>
        <sz val="8"/>
        <color rgb="FF000000"/>
        <rFont val="Arial"/>
        <family val="2"/>
      </rPr>
      <t>d</t>
    </r>
  </si>
  <si>
    <t>($/kWh)</t>
  </si>
  <si>
    <t>&lt;MPG for gas consumption</t>
  </si>
  <si>
    <t>BEV Market Shares</t>
  </si>
  <si>
    <t>Electric car (150 mile)</t>
  </si>
  <si>
    <t>Electric car (200 mile)</t>
  </si>
  <si>
    <t>Electric car (250 mile)</t>
  </si>
  <si>
    <t>Electric car (300 mile)</t>
  </si>
  <si>
    <t>Electric car (350 mile)</t>
  </si>
  <si>
    <t>Electric car (400 mile)</t>
  </si>
  <si>
    <t>Crossover (150 mile)</t>
  </si>
  <si>
    <t>Crossover (200 mile)</t>
  </si>
  <si>
    <t>Crossover (250 mile)</t>
  </si>
  <si>
    <t>Crossover (300 mile)</t>
  </si>
  <si>
    <t>Crossover (350 mile)</t>
  </si>
  <si>
    <t>Crossover (400 mile)</t>
  </si>
  <si>
    <t>Sport utility vehicle (200 mile)</t>
  </si>
  <si>
    <t>Sport utility vehicle (250 mile)</t>
  </si>
  <si>
    <t>Sport utility vehicle (300 mile)</t>
  </si>
  <si>
    <t>Sport utility vehicle (350 mile)</t>
  </si>
  <si>
    <t>Sport utility vehicle (400 mile)</t>
  </si>
  <si>
    <t>Pickup (150 mile)</t>
  </si>
  <si>
    <t>Pickup (200 mile)</t>
  </si>
  <si>
    <t>Pickup (250 mile)</t>
  </si>
  <si>
    <t>Pickup (300 mile)</t>
  </si>
  <si>
    <t>Pickup (350 mile)</t>
  </si>
  <si>
    <t>Pickup (400 mile)</t>
  </si>
  <si>
    <t>PHEV Market Shares</t>
  </si>
  <si>
    <t>PHEV car (20 mile)</t>
  </si>
  <si>
    <t>PHEV car (30 mile)</t>
  </si>
  <si>
    <t>PHEV car (40 mile)</t>
  </si>
  <si>
    <t>PHEV car (50 mile)</t>
  </si>
  <si>
    <t>PHEV car (60 mile)</t>
  </si>
  <si>
    <t>PHEV car (70 mile)</t>
  </si>
  <si>
    <t>PHEV crossover (20 mile)</t>
  </si>
  <si>
    <t>PHEV crossover (30 mile)</t>
  </si>
  <si>
    <t>PHEV crossover (40 mile)</t>
  </si>
  <si>
    <t>PHEV crossover (50 mile)</t>
  </si>
  <si>
    <t>PHEV crossover (60 mile)</t>
  </si>
  <si>
    <t>PHEV crossover (70 mile)</t>
  </si>
  <si>
    <t>PHEV SUV (20 mile)</t>
  </si>
  <si>
    <t>PHEV SUV (30 mile)</t>
  </si>
  <si>
    <t>PHEV SUV (40 mile)</t>
  </si>
  <si>
    <t>PHEV SUV (50 mile)</t>
  </si>
  <si>
    <t>PHEV SUV (60 mile)</t>
  </si>
  <si>
    <t>PHEV SUV (70 mile)</t>
  </si>
  <si>
    <t>PHEV pickup (20 mile)</t>
  </si>
  <si>
    <t>PHEV pickup (30 mile)</t>
  </si>
  <si>
    <t>PHEV pickup (40 mile)</t>
  </si>
  <si>
    <t>PHEV pickup (50 mile)</t>
  </si>
  <si>
    <t>PHEV pickup (60 mile)</t>
  </si>
  <si>
    <t>PHEV pickup (70 mile)</t>
  </si>
  <si>
    <t>Vehicle</t>
  </si>
  <si>
    <t>BEV</t>
  </si>
  <si>
    <t>Sport utilty vehicle (150 mile)</t>
  </si>
  <si>
    <t>ICE Sales Shares (from the report above, page 14, paragraph 2)</t>
  </si>
  <si>
    <t>Data here and below from an earlier ICCT 2017 report</t>
  </si>
  <si>
    <t>car</t>
  </si>
  <si>
    <t>Source: Figure 4, Lutsey &amp; Nicholas (2018) "Electric Vehicle Costs and Consumer Benefits in Colorado in the 2020-2030 Time Frame," International Council on Clean Transportation, https://theicct.org/wp-content/uploads/2021/06/ev_Colorado_cost_2020_20190613.pdf</t>
  </si>
  <si>
    <t>crossover</t>
  </si>
  <si>
    <t>pickup</t>
  </si>
  <si>
    <t>Annual US BEV sales by vehicle class and range</t>
  </si>
  <si>
    <t>Annual US PHEV sales by vehicle class and range</t>
  </si>
  <si>
    <t>We map onto historical ICE shares and weight within each group by the mileage share. We maintain the ICE mapping but assume a shift to all 300 mile vehicles by 2030.</t>
  </si>
  <si>
    <t>We use historical data from 2021 for 2023 and assume that by 2030 100% of PHEVs are 50-mile range matching the historical sales distribution of ICE</t>
  </si>
  <si>
    <t>Had to make some adjustments to this row to make sense</t>
  </si>
  <si>
    <t>Average Battery Pack Size for BEV and PHEV</t>
  </si>
  <si>
    <t>Annual Improvement Rate in Battery Pack Size for BEV and PHEV</t>
  </si>
  <si>
    <t>Average Battery Pack Size</t>
  </si>
  <si>
    <t>Rigid truck, 4-5</t>
  </si>
  <si>
    <t>Rigid truck, 6-7</t>
  </si>
  <si>
    <t>Rigid truck, 8</t>
  </si>
  <si>
    <t>Tractor truck, short-haul</t>
  </si>
  <si>
    <t>Tractor truck, long-haul</t>
  </si>
  <si>
    <t>Refuse truck</t>
  </si>
  <si>
    <t>Small bus, 4-5</t>
  </si>
  <si>
    <t>Transit bus, 6-8</t>
  </si>
  <si>
    <t>School bus, 6-8</t>
  </si>
  <si>
    <t>Other bus, 6-8</t>
  </si>
  <si>
    <t>Total vehicle sales - historical data and projections</t>
  </si>
  <si>
    <t>Annual sales</t>
  </si>
  <si>
    <t>Overall HDT</t>
  </si>
  <si>
    <t>Overall Bus</t>
  </si>
  <si>
    <t>EPS Category</t>
  </si>
  <si>
    <t>Freight HDV</t>
  </si>
  <si>
    <t>Passenger HDV</t>
  </si>
  <si>
    <t>Freight LDV</t>
  </si>
  <si>
    <t>VKT per vehicle</t>
  </si>
  <si>
    <t>Average of VKTpVeh</t>
  </si>
  <si>
    <t>Row Labels</t>
  </si>
  <si>
    <t>(blank)</t>
  </si>
  <si>
    <t>Grand Total</t>
  </si>
  <si>
    <t>bus</t>
  </si>
  <si>
    <t>Motor Home_4_5</t>
  </si>
  <si>
    <t>Motor Home_6_7</t>
  </si>
  <si>
    <t>Motor Home_8</t>
  </si>
  <si>
    <t>Other Buses_4_5</t>
  </si>
  <si>
    <t>Other Buses_6_7</t>
  </si>
  <si>
    <t>Other Buses_8</t>
  </si>
  <si>
    <t>School Bus_4_5</t>
  </si>
  <si>
    <t>School Bus_6_7</t>
  </si>
  <si>
    <t>School Bus_8</t>
  </si>
  <si>
    <t>Transit Bus_4_5</t>
  </si>
  <si>
    <t>Transit Bus_6_7</t>
  </si>
  <si>
    <t>Transit Bus_8</t>
  </si>
  <si>
    <t>Transit Bus_Urban</t>
  </si>
  <si>
    <t>ldv</t>
  </si>
  <si>
    <t>Light Commercial Truck_2b_3</t>
  </si>
  <si>
    <t>Light Commercial Van</t>
  </si>
  <si>
    <t>Light Duty  Truck</t>
  </si>
  <si>
    <t>Motorcycle</t>
  </si>
  <si>
    <t xml:space="preserve"> Car</t>
  </si>
  <si>
    <t xml:space="preserve"> Truck_2b_3</t>
  </si>
  <si>
    <t>Refuse Truck_2b_3</t>
  </si>
  <si>
    <t>School Bus_2b_3</t>
  </si>
  <si>
    <t>Single Unit Long-haul Truck_2b_3</t>
  </si>
  <si>
    <t>Single Unit Short-haul Truck_2b_3</t>
  </si>
  <si>
    <t>Combination Long Haul Glider</t>
  </si>
  <si>
    <t>Combination Long-haul Truck_7</t>
  </si>
  <si>
    <t>Combination Long-haul Truck_8</t>
  </si>
  <si>
    <t>Combination Short Haul Glider</t>
  </si>
  <si>
    <t>Combination Short-haul Truck_7</t>
  </si>
  <si>
    <t>Combination Short-haul Truck_8</t>
  </si>
  <si>
    <t>Refuse Truck_4_5</t>
  </si>
  <si>
    <t>Refuse Truck_6_7</t>
  </si>
  <si>
    <t>Refuse Truck_8</t>
  </si>
  <si>
    <t>Single Unit Long-haul Truck_4_5</t>
  </si>
  <si>
    <t>Single Unit Long-haul Truck_6_7</t>
  </si>
  <si>
    <t>Single Unit Long-haul Truck_8</t>
  </si>
  <si>
    <t>Single Unit Short-haul Truck_4_5</t>
  </si>
  <si>
    <t>Single Unit Short-haul Truck_6_7</t>
  </si>
  <si>
    <t>Single Unit Short-haul Truck_8</t>
  </si>
  <si>
    <t>Total Vehicle Kilometers by Vehicle Type</t>
  </si>
  <si>
    <t>EPS Vehicle Type</t>
  </si>
  <si>
    <t>Total New Vehicle Miles</t>
  </si>
  <si>
    <t>Share New Vehicle Miles by EPS Vehicle Type</t>
  </si>
  <si>
    <t>Weighted New BEV Size</t>
  </si>
  <si>
    <t>New BEV Battery Size by EPS Vehicle Type</t>
  </si>
  <si>
    <t>Annual Percent Improvement in Battery Size by Vehicle Type</t>
  </si>
  <si>
    <t>LDVs</t>
  </si>
  <si>
    <t>HDVs</t>
  </si>
  <si>
    <t>aircraft (not used)</t>
  </si>
  <si>
    <t>rail (not used)</t>
  </si>
  <si>
    <t>ships (not used)</t>
  </si>
  <si>
    <t>motorbikes (not used)</t>
  </si>
  <si>
    <t>%</t>
  </si>
  <si>
    <t>Sources:</t>
  </si>
  <si>
    <t>ICCT</t>
  </si>
  <si>
    <t>(Data on Request)</t>
  </si>
  <si>
    <t>Estimated vehicle costs, battery sizes, and fleet distance traveled</t>
  </si>
  <si>
    <t>Total VMT by Class</t>
  </si>
  <si>
    <t>2b</t>
  </si>
  <si>
    <t>Percentage of class 6/7 VMT from class 6</t>
  </si>
  <si>
    <t>Percentage of AEO HDV from class 7</t>
  </si>
  <si>
    <t>Percentage of AEO HDV from class 8</t>
  </si>
  <si>
    <t>Freight truck VMT (Class 2b-8) by fuel and market class</t>
  </si>
  <si>
    <t>Vocational</t>
  </si>
  <si>
    <t>Class 7 tractor</t>
  </si>
  <si>
    <t>Class 8</t>
  </si>
  <si>
    <t>Year</t>
  </si>
  <si>
    <t>Powertrain</t>
  </si>
  <si>
    <t>Class 2 pickup and van</t>
  </si>
  <si>
    <t>Class 2 vocational</t>
  </si>
  <si>
    <t>Class 3 pickup and van</t>
  </si>
  <si>
    <t>Day low</t>
  </si>
  <si>
    <t>day mid</t>
  </si>
  <si>
    <t>day high</t>
  </si>
  <si>
    <t>voc</t>
  </si>
  <si>
    <t>day low</t>
  </si>
  <si>
    <t>sleeper low</t>
  </si>
  <si>
    <t>sleeper mid</t>
  </si>
  <si>
    <t>sleeper high</t>
  </si>
  <si>
    <t>heavy-haul</t>
  </si>
  <si>
    <t>Light-Medium</t>
  </si>
  <si>
    <t>Medium-Heavy</t>
  </si>
  <si>
    <t>Heavy-heavy</t>
  </si>
  <si>
    <t>Diesel</t>
  </si>
  <si>
    <t>Gasoline</t>
  </si>
  <si>
    <t>LPG</t>
  </si>
  <si>
    <t>CNG</t>
  </si>
  <si>
    <t>PHEV diesel</t>
  </si>
  <si>
    <t>PHEV gasoline</t>
  </si>
  <si>
    <t>Percentage of Rigid truck, 6-7 in freight LDV</t>
  </si>
  <si>
    <t>Percentage of Rigid truck, 6-7 in freight HDV</t>
  </si>
  <si>
    <t>Weighted Rigid truck, 6</t>
  </si>
  <si>
    <t>Weighted Rigid truck, 7</t>
  </si>
  <si>
    <t>Breakdown by class 6/7</t>
  </si>
  <si>
    <t>Energy Information Administration (Data on Request)</t>
  </si>
  <si>
    <t>Estimated freight vehicle miles traveled by vehicle class</t>
  </si>
  <si>
    <t>AEO2025 Alternative Transportation case</t>
  </si>
  <si>
    <t>million miles</t>
  </si>
  <si>
    <t>E85</t>
  </si>
  <si>
    <t>Electric</t>
  </si>
  <si>
    <t>H2 fuel cell, small battery</t>
  </si>
  <si>
    <t>H2 fuel cell, large battery</t>
  </si>
  <si>
    <t>Gasoline hybrid</t>
  </si>
  <si>
    <t>Hydrogen ICE</t>
  </si>
  <si>
    <t>Alternative Transportation 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</si>
</sst>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64" formatCode="0.0%"/>
    <numFmt numFmtId="165" formatCode="0.000"/>
    <numFmt numFmtId="166" formatCode="0.0"/>
    <numFmt numFmtId="167" formatCode="0.00000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11"/>
      <name val="Arial"/>
      <family val="2"/>
    </font>
    <font>
      <b/>
      <vertAlign val="superscript"/>
      <sz val="8"/>
      <color rgb="FFFFFFFF"/>
      <name val="Arial"/>
      <family val="2"/>
    </font>
    <font>
      <sz val="7.5"/>
      <color theme="1"/>
      <name val="Helvetica"/>
      <family val="2"/>
    </font>
    <font>
      <vertAlign val="superscript"/>
      <sz val="8"/>
      <color rgb="FF000000"/>
      <name val="Arial"/>
      <family val="2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theme="1"/>
      <name val="Helvetica"/>
      <family val="2"/>
    </font>
    <font>
      <b/>
      <sz val="11"/>
      <color rgb="FF000000"/>
      <name val="Calibri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3F3F3F"/>
      <name val="Arial"/>
      <family val="2"/>
    </font>
    <font>
      <b/>
      <sz val="10"/>
      <color rgb="FF3F3F3F"/>
      <name val="Arial"/>
      <family val="2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i/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007A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1EEE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DDE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 style="medium">
        <color rgb="FFFFFFFF"/>
      </bottom>
      <diagonal/>
    </border>
    <border>
      <left/>
      <right/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 style="medium">
        <color rgb="FFFFFFFF"/>
      </top>
      <bottom/>
      <diagonal/>
    </border>
    <border>
      <left style="medium">
        <color rgb="FFFFFFFF"/>
      </left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1" fillId="0" borderId="0"/>
    <xf numFmtId="9" fontId="1" fillId="0" borderId="0" applyFont="0" applyFill="0" applyBorder="0" applyAlignment="0" applyProtection="0"/>
    <xf numFmtId="0" fontId="20" fillId="0" borderId="0"/>
  </cellStyleXfs>
  <cellXfs count="117">
    <xf numFmtId="0" fontId="0" fillId="0" borderId="0" xfId="0"/>
    <xf numFmtId="0" fontId="3" fillId="0" borderId="0" xfId="0" applyFont="1"/>
    <xf numFmtId="0" fontId="3" fillId="0" borderId="0" xfId="3" applyFont="1"/>
    <xf numFmtId="0" fontId="1" fillId="0" borderId="0" xfId="3"/>
    <xf numFmtId="0" fontId="5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5" borderId="5" xfId="0" applyFont="1" applyFill="1" applyBorder="1" applyAlignment="1">
      <alignment vertical="center"/>
    </xf>
    <xf numFmtId="0" fontId="6" fillId="6" borderId="6" xfId="0" applyFont="1" applyFill="1" applyBorder="1" applyAlignment="1">
      <alignment vertical="center"/>
    </xf>
    <xf numFmtId="0" fontId="5" fillId="5" borderId="7" xfId="0" applyFont="1" applyFill="1" applyBorder="1" applyAlignment="1">
      <alignment horizontal="center" vertical="center" wrapText="1"/>
    </xf>
    <xf numFmtId="0" fontId="1" fillId="7" borderId="0" xfId="3" applyFill="1"/>
    <xf numFmtId="0" fontId="5" fillId="8" borderId="8" xfId="0" applyFont="1" applyFill="1" applyBorder="1" applyAlignment="1">
      <alignment vertical="center"/>
    </xf>
    <xf numFmtId="0" fontId="5" fillId="8" borderId="6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2" fontId="5" fillId="5" borderId="6" xfId="0" applyNumberFormat="1" applyFont="1" applyFill="1" applyBorder="1" applyAlignment="1">
      <alignment horizontal="center" vertical="center" wrapText="1"/>
    </xf>
    <xf numFmtId="2" fontId="5" fillId="8" borderId="6" xfId="0" applyNumberFormat="1" applyFont="1" applyFill="1" applyBorder="1" applyAlignment="1">
      <alignment horizontal="center" vertical="center" wrapText="1"/>
    </xf>
    <xf numFmtId="0" fontId="5" fillId="8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0" fontId="5" fillId="8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4" fillId="3" borderId="10" xfId="0" applyFont="1" applyFill="1" applyBorder="1" applyAlignment="1">
      <alignment vertical="center" wrapText="1"/>
    </xf>
    <xf numFmtId="0" fontId="4" fillId="3" borderId="11" xfId="0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9" fillId="10" borderId="6" xfId="0" applyFont="1" applyFill="1" applyBorder="1" applyAlignment="1">
      <alignment vertical="center" wrapText="1"/>
    </xf>
    <xf numFmtId="0" fontId="5" fillId="4" borderId="8" xfId="0" applyFont="1" applyFill="1" applyBorder="1" applyAlignment="1">
      <alignment vertical="center" wrapText="1"/>
    </xf>
    <xf numFmtId="0" fontId="5" fillId="6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vertical="center" wrapText="1"/>
    </xf>
    <xf numFmtId="2" fontId="6" fillId="5" borderId="6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2" fontId="6" fillId="8" borderId="6" xfId="0" applyNumberFormat="1" applyFont="1" applyFill="1" applyBorder="1" applyAlignment="1">
      <alignment horizontal="center" vertical="center"/>
    </xf>
    <xf numFmtId="0" fontId="0" fillId="4" borderId="12" xfId="0" applyFill="1" applyBorder="1" applyAlignment="1">
      <alignment vertical="center" wrapText="1"/>
    </xf>
    <xf numFmtId="0" fontId="0" fillId="4" borderId="8" xfId="0" applyFill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5" fillId="4" borderId="13" xfId="0" applyFont="1" applyFill="1" applyBorder="1" applyAlignment="1">
      <alignment vertical="center" wrapText="1"/>
    </xf>
    <xf numFmtId="6" fontId="6" fillId="5" borderId="6" xfId="0" applyNumberFormat="1" applyFont="1" applyFill="1" applyBorder="1" applyAlignment="1">
      <alignment horizontal="center" vertical="center"/>
    </xf>
    <xf numFmtId="0" fontId="5" fillId="4" borderId="14" xfId="0" applyFont="1" applyFill="1" applyBorder="1" applyAlignment="1">
      <alignment vertical="center" wrapText="1"/>
    </xf>
    <xf numFmtId="6" fontId="6" fillId="8" borderId="6" xfId="0" applyNumberFormat="1" applyFont="1" applyFill="1" applyBorder="1" applyAlignment="1">
      <alignment horizontal="center" vertical="center"/>
    </xf>
    <xf numFmtId="0" fontId="0" fillId="4" borderId="14" xfId="0" applyFill="1" applyBorder="1" applyAlignment="1">
      <alignment vertical="center" wrapText="1"/>
    </xf>
    <xf numFmtId="0" fontId="0" fillId="4" borderId="3" xfId="0" applyFill="1" applyBorder="1" applyAlignment="1">
      <alignment vertical="center" wrapText="1"/>
    </xf>
    <xf numFmtId="0" fontId="6" fillId="6" borderId="6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2" fontId="6" fillId="5" borderId="6" xfId="0" applyNumberFormat="1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2" fontId="6" fillId="8" borderId="6" xfId="0" applyNumberFormat="1" applyFont="1" applyFill="1" applyBorder="1" applyAlignment="1">
      <alignment horizontal="center" vertical="center" wrapText="1"/>
    </xf>
    <xf numFmtId="6" fontId="6" fillId="5" borderId="6" xfId="0" applyNumberFormat="1" applyFont="1" applyFill="1" applyBorder="1" applyAlignment="1">
      <alignment horizontal="center" vertical="center" wrapText="1"/>
    </xf>
    <xf numFmtId="6" fontId="6" fillId="5" borderId="10" xfId="0" applyNumberFormat="1" applyFont="1" applyFill="1" applyBorder="1" applyAlignment="1">
      <alignment vertical="center" wrapText="1"/>
    </xf>
    <xf numFmtId="6" fontId="6" fillId="8" borderId="6" xfId="0" applyNumberFormat="1" applyFont="1" applyFill="1" applyBorder="1" applyAlignment="1">
      <alignment horizontal="center" vertical="center" wrapText="1"/>
    </xf>
    <xf numFmtId="6" fontId="6" fillId="8" borderId="10" xfId="0" applyNumberFormat="1" applyFont="1" applyFill="1" applyBorder="1" applyAlignment="1">
      <alignment vertical="center" wrapText="1"/>
    </xf>
    <xf numFmtId="0" fontId="3" fillId="11" borderId="0" xfId="3" applyFont="1" applyFill="1"/>
    <xf numFmtId="0" fontId="1" fillId="11" borderId="0" xfId="3" applyFill="1"/>
    <xf numFmtId="9" fontId="1" fillId="0" borderId="0" xfId="1" applyFont="1"/>
    <xf numFmtId="9" fontId="0" fillId="0" borderId="0" xfId="4" applyFont="1"/>
    <xf numFmtId="0" fontId="11" fillId="0" borderId="0" xfId="3" applyFont="1"/>
    <xf numFmtId="0" fontId="13" fillId="12" borderId="16" xfId="0" applyFont="1" applyFill="1" applyBorder="1"/>
    <xf numFmtId="0" fontId="3" fillId="13" borderId="0" xfId="3" applyFont="1" applyFill="1"/>
    <xf numFmtId="0" fontId="1" fillId="13" borderId="0" xfId="3" applyFill="1"/>
    <xf numFmtId="9" fontId="1" fillId="0" borderId="0" xfId="3" applyNumberFormat="1"/>
    <xf numFmtId="0" fontId="14" fillId="0" borderId="0" xfId="0" applyFont="1"/>
    <xf numFmtId="2" fontId="1" fillId="7" borderId="0" xfId="3" applyNumberFormat="1" applyFill="1"/>
    <xf numFmtId="9" fontId="0" fillId="0" borderId="0" xfId="1" applyFont="1"/>
    <xf numFmtId="9" fontId="0" fillId="14" borderId="0" xfId="1" applyFont="1" applyFill="1"/>
    <xf numFmtId="0" fontId="3" fillId="0" borderId="0" xfId="3" applyFont="1" applyAlignment="1">
      <alignment horizontal="center"/>
    </xf>
    <xf numFmtId="0" fontId="15" fillId="0" borderId="0" xfId="0" applyFont="1" applyAlignment="1">
      <alignment horizontal="left" indent="3"/>
    </xf>
    <xf numFmtId="0" fontId="0" fillId="0" borderId="0" xfId="0" applyAlignment="1">
      <alignment horizontal="right"/>
    </xf>
    <xf numFmtId="0" fontId="16" fillId="0" borderId="0" xfId="0" applyFont="1"/>
    <xf numFmtId="0" fontId="15" fillId="0" borderId="0" xfId="0" applyFont="1"/>
    <xf numFmtId="0" fontId="17" fillId="0" borderId="0" xfId="0" applyFont="1"/>
    <xf numFmtId="0" fontId="17" fillId="0" borderId="15" xfId="0" applyFont="1" applyBorder="1"/>
    <xf numFmtId="0" fontId="16" fillId="0" borderId="15" xfId="0" applyFont="1" applyBorder="1"/>
    <xf numFmtId="3" fontId="15" fillId="0" borderId="0" xfId="0" applyNumberFormat="1" applyFont="1"/>
    <xf numFmtId="0" fontId="18" fillId="15" borderId="1" xfId="2" applyFont="1" applyFill="1"/>
    <xf numFmtId="3" fontId="19" fillId="15" borderId="1" xfId="2" applyNumberFormat="1" applyFont="1" applyFill="1"/>
    <xf numFmtId="0" fontId="15" fillId="15" borderId="0" xfId="0" applyFont="1" applyFill="1"/>
    <xf numFmtId="0" fontId="20" fillId="0" borderId="0" xfId="5"/>
    <xf numFmtId="0" fontId="21" fillId="0" borderId="0" xfId="5" applyFont="1" applyAlignment="1">
      <alignment horizontal="left"/>
    </xf>
    <xf numFmtId="0" fontId="12" fillId="0" borderId="0" xfId="5" applyFont="1"/>
    <xf numFmtId="1" fontId="20" fillId="0" borderId="0" xfId="5" applyNumberFormat="1"/>
    <xf numFmtId="11" fontId="20" fillId="0" borderId="0" xfId="5" applyNumberFormat="1"/>
    <xf numFmtId="3" fontId="22" fillId="0" borderId="0" xfId="0" applyNumberFormat="1" applyFont="1"/>
    <xf numFmtId="164" fontId="20" fillId="0" borderId="0" xfId="1" applyNumberFormat="1" applyFont="1"/>
    <xf numFmtId="0" fontId="11" fillId="0" borderId="0" xfId="0" applyFont="1"/>
    <xf numFmtId="165" fontId="0" fillId="0" borderId="0" xfId="0" applyNumberFormat="1"/>
    <xf numFmtId="1" fontId="0" fillId="0" borderId="0" xfId="0" applyNumberFormat="1"/>
    <xf numFmtId="9" fontId="0" fillId="14" borderId="0" xfId="0" applyNumberFormat="1" applyFill="1"/>
    <xf numFmtId="11" fontId="0" fillId="0" borderId="0" xfId="0" applyNumberFormat="1"/>
    <xf numFmtId="0" fontId="0" fillId="7" borderId="0" xfId="0" applyFill="1"/>
    <xf numFmtId="11" fontId="0" fillId="7" borderId="0" xfId="0" applyNumberFormat="1" applyFill="1"/>
    <xf numFmtId="0" fontId="0" fillId="0" borderId="0" xfId="0" applyAlignment="1">
      <alignment horizontal="left"/>
    </xf>
    <xf numFmtId="0" fontId="12" fillId="0" borderId="15" xfId="0" applyFont="1" applyBorder="1"/>
    <xf numFmtId="0" fontId="20" fillId="0" borderId="15" xfId="0" applyFont="1" applyBorder="1"/>
    <xf numFmtId="0" fontId="0" fillId="0" borderId="17" xfId="0" applyBorder="1"/>
    <xf numFmtId="0" fontId="0" fillId="0" borderId="17" xfId="0" applyBorder="1" applyAlignment="1">
      <alignment horizontal="centerContinuous"/>
    </xf>
    <xf numFmtId="0" fontId="0" fillId="0" borderId="0" xfId="0" applyAlignment="1">
      <alignment horizontal="centerContinuous"/>
    </xf>
    <xf numFmtId="0" fontId="1" fillId="16" borderId="0" xfId="3" applyFill="1"/>
    <xf numFmtId="0" fontId="20" fillId="16" borderId="0" xfId="5" applyFill="1"/>
    <xf numFmtId="0" fontId="0" fillId="16" borderId="0" xfId="0" applyFill="1"/>
    <xf numFmtId="0" fontId="3" fillId="7" borderId="0" xfId="0" applyFont="1" applyFill="1"/>
    <xf numFmtId="0" fontId="6" fillId="8" borderId="9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5" fillId="6" borderId="9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166" fontId="0" fillId="0" borderId="0" xfId="0" applyNumberFormat="1"/>
    <xf numFmtId="166" fontId="0" fillId="0" borderId="17" xfId="0" applyNumberFormat="1" applyBorder="1"/>
    <xf numFmtId="167" fontId="0" fillId="0" borderId="0" xfId="0" applyNumberFormat="1"/>
    <xf numFmtId="164" fontId="20" fillId="14" borderId="0" xfId="1" applyNumberFormat="1" applyFont="1" applyFill="1"/>
  </cellXfs>
  <cellStyles count="6">
    <cellStyle name="Normal" xfId="0" builtinId="0"/>
    <cellStyle name="Normal 6" xfId="3" xr:uid="{130E95C6-1E13-4F12-B88D-7E849F7757D7}"/>
    <cellStyle name="Normal 7" xfId="5" xr:uid="{784BC752-6231-4F22-9742-B9A96782378E}"/>
    <cellStyle name="Output" xfId="2" builtinId="21"/>
    <cellStyle name="Percent" xfId="1" builtinId="5"/>
    <cellStyle name="Percent 3" xfId="4" xr:uid="{31F04F07-59BB-4E97-824C-79013188FB7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deng/Dropbox%20(Energy%20Innovation)/Documents/Energy%20Policy%20Simulator/California/3.0%20Update/Data%20Sources/trans/BNVP/BAU%20New%20Vehicle%20Price_US%20for%20referenc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ganMahajan\Documents\eps-us\InputData\trans\NBPoNVP\Non-Battery%20Portion%20of%20New%20Vehicle%20Price.xlsx" TargetMode="External"/><Relationship Id="rId1" Type="http://schemas.openxmlformats.org/officeDocument/2006/relationships/externalLinkPath" Target="/Users/MeganMahajan/Documents/eps-us/InputData/trans/NBPoNVP/Non-Battery%20Portion%20of%20New%20Vehicle%20Pri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deng/Dropbox%20(Energy%20Innovation)/Documents/Energy%20Policy%20Simulator/California/3.0%20Update/Data%20Sources/trans/BNVP/e3_cn_final_cost_data_supplement_oct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39"/>
      <sheetName val="AEO 42"/>
      <sheetName val="AEO 53"/>
      <sheetName val="BEV and PHEV Price Calcs"/>
      <sheetName val="LDV Shares"/>
      <sheetName val="Hydrogen Vehicle Calcs"/>
      <sheetName val="Conventional Daycab Trucks"/>
      <sheetName val="Conventional Sleeper Trucks"/>
      <sheetName val="Passenger Aircraft"/>
      <sheetName val="Ships"/>
      <sheetName val="Motorbikes"/>
      <sheetName val="BNVP-LDVs-psgr"/>
      <sheetName val="BNVP-LDVs-frgt"/>
      <sheetName val="BNVP-HDVs-psgr"/>
      <sheetName val="BNVP-HDVs-frgt"/>
      <sheetName val="BNVP-aircraft-psgr"/>
      <sheetName val="BNVP-aircraft-frgt"/>
      <sheetName val="BNVP-rail-psgr"/>
      <sheetName val="BNVP-rail-frgt"/>
      <sheetName val="BNVP-ships-psgr"/>
      <sheetName val="BNVP-ships-frgt"/>
      <sheetName val="BNVP-motorbikes-psgr"/>
      <sheetName val="BNVP-motorbikes-frgt"/>
    </sheetNames>
    <sheetDataSet>
      <sheetData sheetId="0">
        <row r="113">
          <cell r="A113">
            <v>0.91400000000000003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AEO 2023 Table 38 Raw"/>
      <sheetName val="AEO 2023 Table 38"/>
      <sheetName val="AEO 2022 Table 38"/>
      <sheetName val="AEO 2023 Table 39 Raw"/>
      <sheetName val="AEO 2023 Table 39"/>
      <sheetName val="AEO 2022 Table 39"/>
      <sheetName val="AEO 2023 Table 42 Raw"/>
      <sheetName val="AEO 2023 Table 42"/>
      <sheetName val="AEO 2022 Table 42"/>
      <sheetName val="AEO 2023 Table 44 Raw"/>
      <sheetName val="AEO 2023 Table 44"/>
      <sheetName val="AEO 2022 Table 44"/>
      <sheetName val="AEO 2023 Table 49 Raw"/>
      <sheetName val="AEO 2023 Table 49"/>
      <sheetName val="AEO 2022 Table 49"/>
      <sheetName val="AEO 2023 Table 52 Raw"/>
      <sheetName val="AEO 2023 Table 52"/>
      <sheetName val="AEO 2022 Table 52"/>
      <sheetName val="AEO 2021 Table 52"/>
      <sheetName val="AEO by Class"/>
      <sheetName val="ICE Freight HDVs"/>
      <sheetName val="ICCT LDV Data"/>
      <sheetName val="ICCT MDV HDV Data"/>
      <sheetName val="ICCT LDV Calculations"/>
      <sheetName val="ICCT MDV HDV Calcs"/>
      <sheetName val="ICCT Diesel and FCV Prices"/>
      <sheetName val="NREL_ATB_2020"/>
      <sheetName val="NREL Calcs"/>
      <sheetName val="LDV Cost Calcs"/>
      <sheetName val="CARB ACT ISOR"/>
      <sheetName val="LDV Shares"/>
      <sheetName val="Hydrogen Vehicle Calcs"/>
      <sheetName val="Passenger Aircraft"/>
      <sheetName val="Ships"/>
      <sheetName val="Motorbikes"/>
      <sheetName val="NBPoNVP-LDVs-psgr"/>
      <sheetName val="NBPoNVP-LDVs-frgt"/>
      <sheetName val="NBPoNVP-HDVs-psgr"/>
      <sheetName val="NBPoNVP-HDVs-frgt"/>
      <sheetName val="NBPoNVP-aircraft-psgr"/>
      <sheetName val="NBPoNVP-aircraft-frgt"/>
      <sheetName val="NBPoNVP-rail-psgr"/>
      <sheetName val="NBPoNVP-rail-frgt"/>
      <sheetName val="NBPoNVP-ships-psgr"/>
      <sheetName val="NBPoNVP-ships-frgt"/>
      <sheetName val="NBPoNVP-motorbikes-psgr"/>
      <sheetName val="NBPoNVP-motorbikes-frgt"/>
    </sheetNames>
    <sheetDataSet>
      <sheetData sheetId="0">
        <row r="120">
          <cell r="A120">
            <v>0.93665959530026111</v>
          </cell>
        </row>
        <row r="121">
          <cell r="A121">
            <v>0.91400000000000003</v>
          </cell>
        </row>
        <row r="122">
          <cell r="A122">
            <v>0.89805481563188172</v>
          </cell>
        </row>
        <row r="123">
          <cell r="A123">
            <v>0.88711067149387013</v>
          </cell>
        </row>
        <row r="124">
          <cell r="A124">
            <v>0.84730412960844359</v>
          </cell>
        </row>
        <row r="125">
          <cell r="A125">
            <v>0.78500000000000003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ummary"/>
      <sheetName val="Electricity Decarbonization"/>
      <sheetName val="Industry Elec. - Boilers"/>
      <sheetName val="Industry Elec. - Process Heat"/>
      <sheetName val="Industry CCS - Process Heat"/>
      <sheetName val="Industry Hydrogen &amp; SNG"/>
      <sheetName val="MDV &amp; HDV Decarbonization"/>
      <sheetName val="DAC &amp; BECCS"/>
      <sheetName val="Fuel Costs - PATHWAYS"/>
      <sheetName val="Emission Factors - PATHWAYS"/>
      <sheetName val="Constants"/>
    </sheetNames>
    <sheetDataSet>
      <sheetData sheetId="0"/>
      <sheetData sheetId="1"/>
      <sheetData sheetId="2"/>
      <sheetData sheetId="3"/>
      <sheetData sheetId="4"/>
      <sheetData sheetId="5"/>
      <sheetData sheetId="6">
        <row r="13">
          <cell r="D13">
            <v>10.5</v>
          </cell>
        </row>
      </sheetData>
      <sheetData sheetId="7"/>
      <sheetData sheetId="8"/>
      <sheetData sheetId="9">
        <row r="7">
          <cell r="D7">
            <v>42.766231219576298</v>
          </cell>
        </row>
      </sheetData>
      <sheetData sheetId="10">
        <row r="7">
          <cell r="D7">
            <v>1.7765038912431299</v>
          </cell>
        </row>
      </sheetData>
      <sheetData sheetId="11">
        <row r="4">
          <cell r="D4">
            <v>3412.14</v>
          </cell>
        </row>
        <row r="7">
          <cell r="D7">
            <v>0.13450999999999999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2C255-1CE5-4B90-9F93-9029BE5772B2}">
  <dimension ref="A1:B12"/>
  <sheetViews>
    <sheetView tabSelected="1" workbookViewId="0">
      <selection activeCell="B13" sqref="B13"/>
    </sheetView>
  </sheetViews>
  <sheetFormatPr defaultRowHeight="14.75" x14ac:dyDescent="0.75"/>
  <cols>
    <col min="2" max="2" width="60.1328125" bestFit="1" customWidth="1"/>
  </cols>
  <sheetData>
    <row r="1" spans="1:2" x14ac:dyDescent="0.75">
      <c r="A1" s="1" t="s">
        <v>0</v>
      </c>
    </row>
    <row r="3" spans="1:2" x14ac:dyDescent="0.75">
      <c r="A3" s="1" t="s">
        <v>179</v>
      </c>
      <c r="B3" s="97" t="s">
        <v>180</v>
      </c>
    </row>
    <row r="4" spans="1:2" x14ac:dyDescent="0.75">
      <c r="A4" s="1"/>
      <c r="B4" t="s">
        <v>181</v>
      </c>
    </row>
    <row r="5" spans="1:2" x14ac:dyDescent="0.75">
      <c r="B5" s="88">
        <v>2022</v>
      </c>
    </row>
    <row r="6" spans="1:2" x14ac:dyDescent="0.75">
      <c r="B6" t="s">
        <v>182</v>
      </c>
    </row>
    <row r="8" spans="1:2" x14ac:dyDescent="0.75">
      <c r="B8" s="97" t="s">
        <v>219</v>
      </c>
    </row>
    <row r="9" spans="1:2" x14ac:dyDescent="0.75">
      <c r="B9" t="s">
        <v>220</v>
      </c>
    </row>
    <row r="10" spans="1:2" x14ac:dyDescent="0.75">
      <c r="B10" s="88">
        <v>2025</v>
      </c>
    </row>
    <row r="11" spans="1:2" x14ac:dyDescent="0.75">
      <c r="B11" t="s">
        <v>221</v>
      </c>
    </row>
    <row r="12" spans="1:2" x14ac:dyDescent="0.75">
      <c r="B12" t="s">
        <v>230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FFAA5-E2EC-4E15-BFB4-74AA3CE497CC}">
  <dimension ref="A1:AG187"/>
  <sheetViews>
    <sheetView workbookViewId="0"/>
  </sheetViews>
  <sheetFormatPr defaultRowHeight="14.75" x14ac:dyDescent="0.75"/>
  <sheetData>
    <row r="1" spans="1:33" x14ac:dyDescent="0.75">
      <c r="A1" s="55" t="s">
        <v>88</v>
      </c>
      <c r="B1" s="56"/>
      <c r="C1" s="3"/>
      <c r="D1" s="3" t="s">
        <v>89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75">
      <c r="A2" s="3" t="s">
        <v>90</v>
      </c>
      <c r="B2" s="57">
        <v>0.26967960760811566</v>
      </c>
      <c r="C2" s="3"/>
      <c r="D2" t="s">
        <v>91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75">
      <c r="A3" s="3" t="s">
        <v>92</v>
      </c>
      <c r="B3" s="57">
        <v>0.35313092081261371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75">
      <c r="A4" s="3" t="s">
        <v>9</v>
      </c>
      <c r="B4" s="57">
        <v>0.23075099694560849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75">
      <c r="A5" s="3" t="s">
        <v>93</v>
      </c>
      <c r="B5" s="57">
        <v>0.14643847463366214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7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75">
      <c r="A7" s="58" t="s">
        <v>94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75">
      <c r="A8" s="3" t="s">
        <v>2</v>
      </c>
      <c r="B8" s="3">
        <v>2018</v>
      </c>
      <c r="C8" s="3">
        <v>2019</v>
      </c>
      <c r="D8" s="3">
        <v>2020</v>
      </c>
      <c r="E8" s="3">
        <v>2021</v>
      </c>
      <c r="F8" s="3">
        <v>2030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75">
      <c r="A9" s="3" t="s">
        <v>37</v>
      </c>
      <c r="B9" s="3">
        <v>14775</v>
      </c>
      <c r="C9" s="3">
        <v>12365</v>
      </c>
      <c r="D9" s="3">
        <v>9564</v>
      </c>
      <c r="E9" s="3">
        <v>14239</v>
      </c>
      <c r="F9" s="9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75">
      <c r="A10" s="3" t="s">
        <v>38</v>
      </c>
      <c r="B10" s="3">
        <v>18019</v>
      </c>
      <c r="C10" s="3">
        <v>16550</v>
      </c>
      <c r="D10" s="3">
        <v>25173</v>
      </c>
      <c r="E10" s="3">
        <v>37438</v>
      </c>
      <c r="F10" s="9">
        <v>0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75">
      <c r="A11" s="3" t="s">
        <v>39</v>
      </c>
      <c r="B11" s="3">
        <v>0</v>
      </c>
      <c r="C11" s="3">
        <v>0</v>
      </c>
      <c r="D11" s="3">
        <v>3</v>
      </c>
      <c r="E11" s="3">
        <v>27140</v>
      </c>
      <c r="F11" s="9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75">
      <c r="A12" s="3" t="s">
        <v>40</v>
      </c>
      <c r="B12" s="3">
        <v>164220</v>
      </c>
      <c r="C12" s="3">
        <v>158253</v>
      </c>
      <c r="D12" s="3">
        <v>109589</v>
      </c>
      <c r="E12" s="3">
        <v>164966</v>
      </c>
      <c r="F12" s="9">
        <f>B2*100</f>
        <v>26.967960760811565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75">
      <c r="A13" s="3" t="s">
        <v>41</v>
      </c>
      <c r="B13" s="3">
        <v>0</v>
      </c>
      <c r="C13" s="3">
        <v>0</v>
      </c>
      <c r="D13" s="3">
        <v>0</v>
      </c>
      <c r="E13" s="3">
        <v>0</v>
      </c>
      <c r="F13" s="9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75">
      <c r="A14" s="3" t="s">
        <v>42</v>
      </c>
      <c r="B14" s="3">
        <v>0</v>
      </c>
      <c r="C14" s="3">
        <v>0</v>
      </c>
      <c r="D14" s="3">
        <v>0</v>
      </c>
      <c r="E14" s="3">
        <v>125</v>
      </c>
      <c r="F14" s="9">
        <v>0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75">
      <c r="A15" s="3" t="s">
        <v>43</v>
      </c>
      <c r="B15" s="3">
        <v>0</v>
      </c>
      <c r="C15" s="3">
        <v>2508</v>
      </c>
      <c r="D15" s="3">
        <v>2848</v>
      </c>
      <c r="E15" s="3">
        <v>8717</v>
      </c>
      <c r="F15" s="9">
        <v>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75">
      <c r="A16" s="3" t="s">
        <v>44</v>
      </c>
      <c r="B16" s="3">
        <v>0</v>
      </c>
      <c r="C16" s="3">
        <v>3603</v>
      </c>
      <c r="D16" s="3">
        <v>3116</v>
      </c>
      <c r="E16" s="3">
        <v>15328</v>
      </c>
      <c r="F16" s="9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75">
      <c r="A17" s="3" t="s">
        <v>45</v>
      </c>
      <c r="B17" s="3">
        <v>0</v>
      </c>
      <c r="C17" s="3">
        <v>0</v>
      </c>
      <c r="D17" s="3">
        <v>75400</v>
      </c>
      <c r="E17" s="3">
        <v>188400</v>
      </c>
      <c r="F17" s="9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75">
      <c r="A18" s="3" t="s">
        <v>46</v>
      </c>
      <c r="B18" s="3">
        <v>0</v>
      </c>
      <c r="C18" s="3">
        <v>0</v>
      </c>
      <c r="D18" s="3">
        <v>0</v>
      </c>
      <c r="E18" s="3">
        <v>0</v>
      </c>
      <c r="F18" s="9">
        <f>B3*100</f>
        <v>35.313092081261374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75">
      <c r="A19" s="3" t="s">
        <v>47</v>
      </c>
      <c r="B19" s="3">
        <v>0</v>
      </c>
      <c r="C19" s="3">
        <v>0</v>
      </c>
      <c r="D19" s="3">
        <v>0</v>
      </c>
      <c r="E19" s="3">
        <v>0</v>
      </c>
      <c r="F19" s="9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75">
      <c r="A20" s="3" t="s">
        <v>48</v>
      </c>
      <c r="B20" s="3">
        <v>0</v>
      </c>
      <c r="C20" s="3">
        <v>0</v>
      </c>
      <c r="D20" s="3">
        <v>0</v>
      </c>
      <c r="E20" s="3">
        <v>0</v>
      </c>
      <c r="F20" s="9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75">
      <c r="A21" s="3" t="s">
        <v>87</v>
      </c>
      <c r="B21" s="3">
        <v>0</v>
      </c>
      <c r="C21" s="3">
        <v>0</v>
      </c>
      <c r="D21" s="3">
        <v>0</v>
      </c>
      <c r="E21" s="3">
        <v>0</v>
      </c>
      <c r="F21" s="9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75">
      <c r="A22" s="3" t="s">
        <v>49</v>
      </c>
      <c r="B22" s="3">
        <v>393</v>
      </c>
      <c r="C22" s="3">
        <v>7966</v>
      </c>
      <c r="D22" s="3">
        <v>8860</v>
      </c>
      <c r="E22" s="3">
        <v>27388</v>
      </c>
      <c r="F22" s="9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75">
      <c r="A23" s="3" t="s">
        <v>50</v>
      </c>
      <c r="B23" s="3">
        <v>0</v>
      </c>
      <c r="C23" s="3">
        <v>0</v>
      </c>
      <c r="D23" s="3">
        <v>0</v>
      </c>
      <c r="E23" s="3">
        <v>0</v>
      </c>
      <c r="F23" s="9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75">
      <c r="A24" s="3" t="s">
        <v>51</v>
      </c>
      <c r="B24" s="3">
        <v>24650</v>
      </c>
      <c r="C24" s="3">
        <v>18442</v>
      </c>
      <c r="D24" s="3">
        <v>16650</v>
      </c>
      <c r="E24" s="3">
        <v>1015</v>
      </c>
      <c r="F24" s="9">
        <f>B4*100</f>
        <v>23.075099694560848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75">
      <c r="A25" s="3" t="s">
        <v>52</v>
      </c>
      <c r="B25" s="3">
        <v>0</v>
      </c>
      <c r="C25" s="3">
        <v>0</v>
      </c>
      <c r="D25" s="3">
        <v>0</v>
      </c>
      <c r="E25" s="3">
        <v>0</v>
      </c>
      <c r="F25" s="9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75">
      <c r="A26" s="3" t="s">
        <v>53</v>
      </c>
      <c r="B26" s="3">
        <v>0</v>
      </c>
      <c r="C26" s="3">
        <v>0</v>
      </c>
      <c r="D26" s="3">
        <v>0</v>
      </c>
      <c r="E26" s="3">
        <v>0</v>
      </c>
      <c r="F26" s="9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75">
      <c r="A27" s="3" t="s">
        <v>54</v>
      </c>
      <c r="B27" s="3">
        <v>0</v>
      </c>
      <c r="C27" s="3">
        <v>0</v>
      </c>
      <c r="D27" s="3">
        <v>0</v>
      </c>
      <c r="E27" s="3">
        <v>0</v>
      </c>
      <c r="F27" s="9">
        <v>0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75">
      <c r="A28" s="3" t="s">
        <v>55</v>
      </c>
      <c r="B28" s="3">
        <v>0</v>
      </c>
      <c r="C28" s="3">
        <v>0</v>
      </c>
      <c r="D28" s="3">
        <v>0</v>
      </c>
      <c r="E28" s="3">
        <v>76</v>
      </c>
      <c r="F28" s="9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75">
      <c r="A29" s="3" t="s">
        <v>56</v>
      </c>
      <c r="B29" s="3">
        <v>0</v>
      </c>
      <c r="C29" s="3">
        <v>0</v>
      </c>
      <c r="D29" s="3">
        <v>0</v>
      </c>
      <c r="E29" s="3">
        <v>0</v>
      </c>
      <c r="F29" s="9">
        <v>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75">
      <c r="A30" s="3" t="s">
        <v>57</v>
      </c>
      <c r="B30" s="3">
        <v>0</v>
      </c>
      <c r="C30" s="3">
        <v>0</v>
      </c>
      <c r="D30" s="3">
        <v>0</v>
      </c>
      <c r="E30" s="3">
        <v>913</v>
      </c>
      <c r="F30" s="59">
        <f>B5*100</f>
        <v>14.643847463366214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75">
      <c r="A31" s="3" t="s">
        <v>58</v>
      </c>
      <c r="B31" s="3">
        <v>0</v>
      </c>
      <c r="C31" s="3">
        <v>0</v>
      </c>
      <c r="D31" s="3">
        <v>0</v>
      </c>
      <c r="E31" s="3">
        <v>0</v>
      </c>
      <c r="F31" s="9">
        <v>0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75">
      <c r="A32" s="3" t="s">
        <v>59</v>
      </c>
      <c r="B32" s="3">
        <v>0</v>
      </c>
      <c r="C32" s="3">
        <v>0</v>
      </c>
      <c r="D32" s="3">
        <v>0</v>
      </c>
      <c r="E32" s="3">
        <v>0</v>
      </c>
      <c r="F32" s="9">
        <v>0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7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7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75">
      <c r="A35" s="58" t="s">
        <v>95</v>
      </c>
      <c r="B35">
        <v>2018</v>
      </c>
      <c r="C35">
        <v>2019</v>
      </c>
      <c r="D35">
        <v>2020</v>
      </c>
      <c r="E35">
        <v>2021</v>
      </c>
      <c r="F35" s="3">
        <v>2030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75">
      <c r="A36" s="3" t="s">
        <v>61</v>
      </c>
      <c r="B36" s="3">
        <v>51806</v>
      </c>
      <c r="C36" s="3">
        <v>39780</v>
      </c>
      <c r="D36" s="3">
        <v>25570</v>
      </c>
      <c r="E36" s="3">
        <v>39782</v>
      </c>
      <c r="F36" s="9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75">
      <c r="A37" s="3" t="s">
        <v>62</v>
      </c>
      <c r="B37" s="3">
        <v>261</v>
      </c>
      <c r="C37" s="3">
        <v>42</v>
      </c>
      <c r="D37" s="3">
        <v>10</v>
      </c>
      <c r="E37" s="3">
        <v>18</v>
      </c>
      <c r="F37" s="9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75">
      <c r="A38" s="3" t="s">
        <v>63</v>
      </c>
      <c r="B38" s="3">
        <v>18602</v>
      </c>
      <c r="C38" s="3">
        <v>10758</v>
      </c>
      <c r="D38" s="3">
        <v>7140</v>
      </c>
      <c r="E38" s="3">
        <v>30021</v>
      </c>
      <c r="F38" s="9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75">
      <c r="A39" s="3" t="s">
        <v>64</v>
      </c>
      <c r="B39" s="3">
        <v>18306</v>
      </c>
      <c r="C39" s="3">
        <v>4493</v>
      </c>
      <c r="D39" s="3">
        <v>43</v>
      </c>
      <c r="E39" s="3">
        <v>16</v>
      </c>
      <c r="F39" s="9">
        <f>B2*100</f>
        <v>26.967960760811565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75">
      <c r="A40" s="3" t="s">
        <v>65</v>
      </c>
      <c r="B40" s="3">
        <v>0</v>
      </c>
      <c r="C40" s="3">
        <v>0</v>
      </c>
      <c r="D40" s="3">
        <v>0</v>
      </c>
      <c r="E40" s="3">
        <v>99</v>
      </c>
      <c r="F40" s="9">
        <v>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75">
      <c r="A41" s="3" t="s">
        <v>66</v>
      </c>
      <c r="B41" s="3">
        <v>0</v>
      </c>
      <c r="C41" s="3">
        <v>0</v>
      </c>
      <c r="D41" s="3">
        <v>0</v>
      </c>
      <c r="E41" s="3">
        <v>0</v>
      </c>
      <c r="F41" s="9">
        <v>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75">
      <c r="A42" s="3" t="s">
        <v>67</v>
      </c>
      <c r="B42" s="3">
        <v>7892</v>
      </c>
      <c r="C42" s="3">
        <v>6846</v>
      </c>
      <c r="D42" s="3">
        <v>8713</v>
      </c>
      <c r="E42" s="3">
        <v>45098</v>
      </c>
      <c r="F42" s="9">
        <v>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75">
      <c r="A43" s="3" t="s">
        <v>68</v>
      </c>
      <c r="B43" s="3">
        <v>0</v>
      </c>
      <c r="C43" s="3">
        <v>0</v>
      </c>
      <c r="D43" s="3">
        <v>27</v>
      </c>
      <c r="E43" s="3">
        <v>7201</v>
      </c>
      <c r="F43" s="9">
        <v>0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75">
      <c r="A44" s="3" t="s">
        <v>69</v>
      </c>
      <c r="B44" s="3">
        <v>0</v>
      </c>
      <c r="C44" s="3">
        <v>0</v>
      </c>
      <c r="D44" s="3">
        <v>0</v>
      </c>
      <c r="E44" s="3">
        <v>0</v>
      </c>
      <c r="F44" s="9">
        <v>0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75">
      <c r="A45" s="3" t="s">
        <v>70</v>
      </c>
      <c r="B45" s="3">
        <v>0</v>
      </c>
      <c r="C45" s="3">
        <v>0</v>
      </c>
      <c r="D45" s="3">
        <v>0</v>
      </c>
      <c r="E45" s="3">
        <v>0</v>
      </c>
      <c r="F45" s="9">
        <f>B3*100</f>
        <v>35.313092081261374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75">
      <c r="A46" s="3" t="s">
        <v>71</v>
      </c>
      <c r="B46" s="3">
        <v>0</v>
      </c>
      <c r="C46" s="3">
        <v>0</v>
      </c>
      <c r="D46" s="3">
        <v>0</v>
      </c>
      <c r="E46" s="3">
        <v>0</v>
      </c>
      <c r="F46" s="9">
        <v>0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75">
      <c r="A47" s="3" t="s">
        <v>72</v>
      </c>
      <c r="B47" s="3">
        <v>0</v>
      </c>
      <c r="C47" s="3">
        <v>0</v>
      </c>
      <c r="D47" s="3">
        <v>0</v>
      </c>
      <c r="E47" s="3">
        <v>0</v>
      </c>
      <c r="F47" s="9">
        <v>0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75">
      <c r="A48" s="3" t="s">
        <v>73</v>
      </c>
      <c r="B48" s="3">
        <v>0</v>
      </c>
      <c r="C48" s="3">
        <v>78</v>
      </c>
      <c r="D48" s="3">
        <v>1843</v>
      </c>
      <c r="E48" s="3">
        <v>2901</v>
      </c>
      <c r="F48" s="9">
        <v>0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75">
      <c r="A49" s="3" t="s">
        <v>74</v>
      </c>
      <c r="B49" s="3">
        <v>7062</v>
      </c>
      <c r="C49" s="3">
        <v>5228</v>
      </c>
      <c r="D49" s="3">
        <v>5765</v>
      </c>
      <c r="E49" s="3">
        <v>15321</v>
      </c>
      <c r="F49" s="9">
        <v>0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75">
      <c r="A50" s="3" t="s">
        <v>75</v>
      </c>
      <c r="B50" s="3">
        <v>0</v>
      </c>
      <c r="C50" s="3">
        <v>0</v>
      </c>
      <c r="D50" s="3">
        <v>0</v>
      </c>
      <c r="E50" s="3">
        <v>0</v>
      </c>
      <c r="F50" s="9">
        <v>0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75">
      <c r="A51" s="3" t="s">
        <v>76</v>
      </c>
      <c r="B51" s="3">
        <v>0</v>
      </c>
      <c r="C51" s="3">
        <v>0</v>
      </c>
      <c r="D51" s="3">
        <v>0</v>
      </c>
      <c r="E51" s="3">
        <v>0</v>
      </c>
      <c r="F51" s="9">
        <f>B4*100</f>
        <v>23.075099694560848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75">
      <c r="A52" s="3" t="s">
        <v>77</v>
      </c>
      <c r="B52" s="3">
        <v>596</v>
      </c>
      <c r="C52" s="3">
        <v>2906</v>
      </c>
      <c r="D52" s="3">
        <v>160</v>
      </c>
      <c r="E52" s="3">
        <v>0</v>
      </c>
      <c r="F52" s="9">
        <v>0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75">
      <c r="A53" s="3" t="s">
        <v>78</v>
      </c>
      <c r="B53" s="3">
        <v>0</v>
      </c>
      <c r="C53" s="3">
        <v>0</v>
      </c>
      <c r="D53" s="3">
        <v>0</v>
      </c>
      <c r="E53" s="3">
        <v>0</v>
      </c>
      <c r="F53" s="9">
        <v>0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75">
      <c r="A54" s="3" t="s">
        <v>79</v>
      </c>
      <c r="B54" s="3">
        <v>0</v>
      </c>
      <c r="C54" s="3">
        <v>0</v>
      </c>
      <c r="D54" s="3">
        <v>0</v>
      </c>
      <c r="E54" s="3">
        <v>0</v>
      </c>
      <c r="F54" s="9">
        <v>0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75">
      <c r="A55" s="3" t="s">
        <v>80</v>
      </c>
      <c r="B55" s="3">
        <v>0</v>
      </c>
      <c r="C55" s="3">
        <v>0</v>
      </c>
      <c r="D55" s="3">
        <v>0</v>
      </c>
      <c r="E55" s="3">
        <v>0</v>
      </c>
      <c r="F55" s="9">
        <v>0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75">
      <c r="A56" s="3" t="s">
        <v>81</v>
      </c>
      <c r="B56" s="3">
        <v>0</v>
      </c>
      <c r="C56" s="3">
        <v>0</v>
      </c>
      <c r="D56" s="3">
        <v>0</v>
      </c>
      <c r="E56" s="3">
        <v>0</v>
      </c>
      <c r="F56" s="9">
        <v>0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75">
      <c r="A57" s="3" t="s">
        <v>82</v>
      </c>
      <c r="B57" s="3">
        <v>0</v>
      </c>
      <c r="C57" s="3">
        <v>0</v>
      </c>
      <c r="D57" s="3">
        <v>0</v>
      </c>
      <c r="E57" s="3">
        <v>0</v>
      </c>
      <c r="F57" s="59">
        <f>B5*100</f>
        <v>14.643847463366214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75">
      <c r="A58" s="3" t="s">
        <v>83</v>
      </c>
      <c r="B58" s="3">
        <v>0</v>
      </c>
      <c r="C58" s="3">
        <v>0</v>
      </c>
      <c r="D58" s="3">
        <v>0</v>
      </c>
      <c r="E58" s="3">
        <v>0</v>
      </c>
      <c r="F58" s="9">
        <v>0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75">
      <c r="A59" s="3" t="s">
        <v>84</v>
      </c>
      <c r="B59" s="3">
        <v>0</v>
      </c>
      <c r="C59" s="3">
        <v>0</v>
      </c>
      <c r="D59" s="3">
        <v>0</v>
      </c>
      <c r="E59" s="3">
        <v>0</v>
      </c>
      <c r="F59" s="9">
        <v>0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7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75">
      <c r="A61" s="53" t="s">
        <v>96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75">
      <c r="A62" s="49" t="s">
        <v>36</v>
      </c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3"/>
      <c r="T62" s="3"/>
      <c r="U62" s="3"/>
      <c r="V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75">
      <c r="A63" s="3"/>
      <c r="C63" s="2">
        <v>2020</v>
      </c>
      <c r="D63" s="2">
        <v>2021</v>
      </c>
      <c r="E63" s="2">
        <v>2022</v>
      </c>
      <c r="F63" s="2">
        <v>2023</v>
      </c>
      <c r="G63" s="2">
        <v>2024</v>
      </c>
      <c r="H63" s="2">
        <v>2025</v>
      </c>
      <c r="I63" s="2">
        <v>2026</v>
      </c>
      <c r="J63" s="2">
        <v>2027</v>
      </c>
      <c r="K63" s="2">
        <v>2028</v>
      </c>
      <c r="L63" s="2">
        <v>2029</v>
      </c>
      <c r="M63" s="2">
        <v>2030</v>
      </c>
      <c r="N63" s="2">
        <v>2031</v>
      </c>
      <c r="O63" s="2">
        <v>2032</v>
      </c>
      <c r="P63" s="2">
        <v>2033</v>
      </c>
      <c r="Q63" s="2">
        <v>2034</v>
      </c>
      <c r="R63" s="2">
        <v>2035</v>
      </c>
      <c r="S63" s="3"/>
      <c r="T63" s="3"/>
      <c r="U63" s="3"/>
      <c r="V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75">
      <c r="A64" s="54" t="s">
        <v>37</v>
      </c>
      <c r="C64" s="60">
        <f>D9/SUM(D$9:D$14)*$B$2</f>
        <v>1.7870391724213553E-2</v>
      </c>
      <c r="D64" s="60">
        <f>E9/SUM(E$9:E$14)*$B$2</f>
        <v>1.5743509572182787E-2</v>
      </c>
      <c r="E64" s="52">
        <f>($M64-$D64)/($M$63-$D$63)+D64</f>
        <v>1.3994230730829144E-2</v>
      </c>
      <c r="F64" s="52">
        <f t="shared" ref="F64:L64" si="0">($M64-$D64)/($M$63-$D$63)+E64</f>
        <v>1.2244951889475501E-2</v>
      </c>
      <c r="G64" s="52">
        <f t="shared" si="0"/>
        <v>1.0495673048121858E-2</v>
      </c>
      <c r="H64" s="52">
        <f t="shared" si="0"/>
        <v>8.7463942067682147E-3</v>
      </c>
      <c r="I64" s="52">
        <f t="shared" si="0"/>
        <v>6.9971153654145718E-3</v>
      </c>
      <c r="J64" s="52">
        <f t="shared" si="0"/>
        <v>5.2478365240609288E-3</v>
      </c>
      <c r="K64" s="52">
        <f t="shared" si="0"/>
        <v>3.4985576827072859E-3</v>
      </c>
      <c r="L64" s="52">
        <f t="shared" si="0"/>
        <v>1.7492788413536429E-3</v>
      </c>
      <c r="M64" s="51">
        <f t="shared" ref="M64:M69" si="1">F9/SUM($F$9:$F$14)*$B$2</f>
        <v>0</v>
      </c>
      <c r="N64" s="57">
        <f>M64</f>
        <v>0</v>
      </c>
      <c r="O64" s="57">
        <f t="shared" ref="O64:R79" si="2">N64</f>
        <v>0</v>
      </c>
      <c r="P64" s="57">
        <f t="shared" si="2"/>
        <v>0</v>
      </c>
      <c r="Q64" s="57">
        <f t="shared" si="2"/>
        <v>0</v>
      </c>
      <c r="R64" s="57">
        <f t="shared" si="2"/>
        <v>0</v>
      </c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75">
      <c r="A65" s="54" t="s">
        <v>38</v>
      </c>
      <c r="C65" s="60">
        <f t="shared" ref="C65:D65" si="3">D10/SUM(D$9:D$14)*$B$2</f>
        <v>4.7035902433461708E-2</v>
      </c>
      <c r="D65" s="60">
        <f t="shared" si="3"/>
        <v>4.139374333614574E-2</v>
      </c>
      <c r="E65" s="52">
        <f t="shared" ref="E65:L65" si="4">($M65-$D65)/($M$63-$D$63)+D65</f>
        <v>3.6794438521018435E-2</v>
      </c>
      <c r="F65" s="52">
        <f t="shared" si="4"/>
        <v>3.2195133705891131E-2</v>
      </c>
      <c r="G65" s="52">
        <f t="shared" si="4"/>
        <v>2.7595828890763827E-2</v>
      </c>
      <c r="H65" s="52">
        <f t="shared" si="4"/>
        <v>2.2996524075636522E-2</v>
      </c>
      <c r="I65" s="52">
        <f t="shared" si="4"/>
        <v>1.8397219260509218E-2</v>
      </c>
      <c r="J65" s="52">
        <f t="shared" si="4"/>
        <v>1.3797914445381913E-2</v>
      </c>
      <c r="K65" s="52">
        <f t="shared" si="4"/>
        <v>9.1986096302546089E-3</v>
      </c>
      <c r="L65" s="52">
        <f t="shared" si="4"/>
        <v>4.5993048151273044E-3</v>
      </c>
      <c r="M65" s="51">
        <f t="shared" si="1"/>
        <v>0</v>
      </c>
      <c r="N65" s="57">
        <f>M65</f>
        <v>0</v>
      </c>
      <c r="O65" s="57">
        <f t="shared" si="2"/>
        <v>0</v>
      </c>
      <c r="P65" s="57">
        <f t="shared" si="2"/>
        <v>0</v>
      </c>
      <c r="Q65" s="57">
        <f t="shared" si="2"/>
        <v>0</v>
      </c>
      <c r="R65" s="57">
        <f t="shared" si="2"/>
        <v>0</v>
      </c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75">
      <c r="A66" s="54" t="s">
        <v>39</v>
      </c>
      <c r="C66" s="60">
        <f t="shared" ref="C66:D66" si="5">D11/SUM(D$9:D$14)*$B$2</f>
        <v>5.6055181067169246E-6</v>
      </c>
      <c r="D66" s="60">
        <f t="shared" si="5"/>
        <v>3.0007644482691258E-2</v>
      </c>
      <c r="E66" s="52">
        <f t="shared" ref="E66:L66" si="6">($M66-$D66)/($M$63-$D$63)+D66</f>
        <v>2.6673461762392228E-2</v>
      </c>
      <c r="F66" s="52">
        <f t="shared" si="6"/>
        <v>2.3339279042093201E-2</v>
      </c>
      <c r="G66" s="52">
        <f t="shared" si="6"/>
        <v>2.0005096321794175E-2</v>
      </c>
      <c r="H66" s="52">
        <f t="shared" si="6"/>
        <v>1.6670913601495148E-2</v>
      </c>
      <c r="I66" s="52">
        <f t="shared" si="6"/>
        <v>1.3336730881196119E-2</v>
      </c>
      <c r="J66" s="52">
        <f t="shared" si="6"/>
        <v>1.0002548160897091E-2</v>
      </c>
      <c r="K66" s="52">
        <f t="shared" si="6"/>
        <v>6.6683654405980623E-3</v>
      </c>
      <c r="L66" s="52">
        <f t="shared" si="6"/>
        <v>3.3341827202990337E-3</v>
      </c>
      <c r="M66" s="51">
        <f t="shared" si="1"/>
        <v>0</v>
      </c>
      <c r="N66" s="57">
        <f t="shared" ref="N66:R81" si="7">M66</f>
        <v>0</v>
      </c>
      <c r="O66" s="57">
        <f t="shared" si="7"/>
        <v>0</v>
      </c>
      <c r="P66" s="57">
        <f t="shared" si="7"/>
        <v>0</v>
      </c>
      <c r="Q66" s="57">
        <f t="shared" si="7"/>
        <v>0</v>
      </c>
      <c r="R66" s="57">
        <f t="shared" si="2"/>
        <v>0</v>
      </c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75">
      <c r="A67" s="54" t="s">
        <v>40</v>
      </c>
      <c r="C67" s="60">
        <f t="shared" ref="C67:D67" si="8">D12/SUM(D$9:D$14)*$B$2</f>
        <v>0.20476770793233368</v>
      </c>
      <c r="D67" s="60">
        <f t="shared" si="8"/>
        <v>0.18239650256933107</v>
      </c>
      <c r="E67" s="52">
        <f t="shared" ref="E67:L67" si="9">($M67-$D67)/($M$63-$D$63)+D67</f>
        <v>0.19209462535141825</v>
      </c>
      <c r="F67" s="52">
        <f t="shared" si="9"/>
        <v>0.20179274813350542</v>
      </c>
      <c r="G67" s="52">
        <f t="shared" si="9"/>
        <v>0.2114908709155926</v>
      </c>
      <c r="H67" s="52">
        <f t="shared" si="9"/>
        <v>0.22118899369767978</v>
      </c>
      <c r="I67" s="52">
        <f t="shared" si="9"/>
        <v>0.23088711647976695</v>
      </c>
      <c r="J67" s="52">
        <f t="shared" si="9"/>
        <v>0.24058523926185413</v>
      </c>
      <c r="K67" s="52">
        <f t="shared" si="9"/>
        <v>0.2502833620439413</v>
      </c>
      <c r="L67" s="52">
        <f t="shared" si="9"/>
        <v>0.25998148482602845</v>
      </c>
      <c r="M67" s="51">
        <f t="shared" si="1"/>
        <v>0.26967960760811566</v>
      </c>
      <c r="N67" s="57">
        <f t="shared" si="7"/>
        <v>0.26967960760811566</v>
      </c>
      <c r="O67" s="57">
        <f t="shared" si="7"/>
        <v>0.26967960760811566</v>
      </c>
      <c r="P67" s="57">
        <f t="shared" si="7"/>
        <v>0.26967960760811566</v>
      </c>
      <c r="Q67" s="57">
        <f t="shared" si="7"/>
        <v>0.26967960760811566</v>
      </c>
      <c r="R67" s="57">
        <f t="shared" si="2"/>
        <v>0.26967960760811566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75">
      <c r="A68" s="54" t="s">
        <v>41</v>
      </c>
      <c r="C68" s="60">
        <f t="shared" ref="C68:D68" si="10">D13/SUM(D$9:D$14)*$B$2</f>
        <v>0</v>
      </c>
      <c r="D68" s="60">
        <f t="shared" si="10"/>
        <v>0</v>
      </c>
      <c r="E68" s="52">
        <f t="shared" ref="E68:L68" si="11">($M68-$D68)/($M$63-$D$63)+D68</f>
        <v>0</v>
      </c>
      <c r="F68" s="52">
        <f t="shared" si="11"/>
        <v>0</v>
      </c>
      <c r="G68" s="52">
        <f t="shared" si="11"/>
        <v>0</v>
      </c>
      <c r="H68" s="52">
        <f t="shared" si="11"/>
        <v>0</v>
      </c>
      <c r="I68" s="52">
        <f t="shared" si="11"/>
        <v>0</v>
      </c>
      <c r="J68" s="52">
        <f t="shared" si="11"/>
        <v>0</v>
      </c>
      <c r="K68" s="52">
        <f t="shared" si="11"/>
        <v>0</v>
      </c>
      <c r="L68" s="52">
        <f t="shared" si="11"/>
        <v>0</v>
      </c>
      <c r="M68" s="51">
        <f t="shared" si="1"/>
        <v>0</v>
      </c>
      <c r="N68" s="57">
        <f t="shared" si="7"/>
        <v>0</v>
      </c>
      <c r="O68" s="57">
        <f t="shared" si="7"/>
        <v>0</v>
      </c>
      <c r="P68" s="57">
        <f t="shared" si="7"/>
        <v>0</v>
      </c>
      <c r="Q68" s="57">
        <f t="shared" si="7"/>
        <v>0</v>
      </c>
      <c r="R68" s="57">
        <f t="shared" si="2"/>
        <v>0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75">
      <c r="A69" s="54" t="s">
        <v>42</v>
      </c>
      <c r="C69" s="60">
        <f t="shared" ref="C69:D69" si="12">D14/SUM(D$9:D$14)*$B$2</f>
        <v>0</v>
      </c>
      <c r="D69" s="60">
        <f t="shared" si="12"/>
        <v>1.3820764776479024E-4</v>
      </c>
      <c r="E69" s="52">
        <f t="shared" ref="E69:L69" si="13">($M69-$D69)/($M$63-$D$63)+D69</f>
        <v>1.2285124245759132E-4</v>
      </c>
      <c r="F69" s="52">
        <f t="shared" si="13"/>
        <v>1.0749483715039241E-4</v>
      </c>
      <c r="G69" s="52">
        <f t="shared" si="13"/>
        <v>9.2138431843193493E-5</v>
      </c>
      <c r="H69" s="52">
        <f t="shared" si="13"/>
        <v>7.6782026535994577E-5</v>
      </c>
      <c r="I69" s="52">
        <f t="shared" si="13"/>
        <v>6.1425621228795662E-5</v>
      </c>
      <c r="J69" s="52">
        <f t="shared" si="13"/>
        <v>4.6069215921596746E-5</v>
      </c>
      <c r="K69" s="52">
        <f t="shared" si="13"/>
        <v>3.0712810614397831E-5</v>
      </c>
      <c r="L69" s="52">
        <f t="shared" si="13"/>
        <v>1.5356405307198915E-5</v>
      </c>
      <c r="M69" s="51">
        <f t="shared" si="1"/>
        <v>0</v>
      </c>
      <c r="N69" s="57">
        <f t="shared" si="7"/>
        <v>0</v>
      </c>
      <c r="O69" s="57">
        <f t="shared" si="7"/>
        <v>0</v>
      </c>
      <c r="P69" s="57">
        <f t="shared" si="7"/>
        <v>0</v>
      </c>
      <c r="Q69" s="57">
        <f t="shared" si="7"/>
        <v>0</v>
      </c>
      <c r="R69" s="57">
        <f t="shared" si="2"/>
        <v>0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75">
      <c r="A70" s="54" t="s">
        <v>43</v>
      </c>
      <c r="C70" s="60">
        <f>D15/SUM(D$15:D$20)*$B$3</f>
        <v>1.236071066410604E-2</v>
      </c>
      <c r="D70" s="60">
        <f>E15/SUM(E$15:E$20)*$B$3</f>
        <v>1.4489596068269685E-2</v>
      </c>
      <c r="E70" s="52">
        <f t="shared" ref="E70:L70" si="14">($M70-$D70)/($M$63-$D$63)+D70</f>
        <v>1.2879640949573053E-2</v>
      </c>
      <c r="F70" s="52">
        <f t="shared" si="14"/>
        <v>1.1269685830876421E-2</v>
      </c>
      <c r="G70" s="52">
        <f t="shared" si="14"/>
        <v>9.6597307121797892E-3</v>
      </c>
      <c r="H70" s="52">
        <f t="shared" si="14"/>
        <v>8.049775593483157E-3</v>
      </c>
      <c r="I70" s="52">
        <f t="shared" si="14"/>
        <v>6.4398204747865249E-3</v>
      </c>
      <c r="J70" s="52">
        <f t="shared" si="14"/>
        <v>4.8298653560898928E-3</v>
      </c>
      <c r="K70" s="52">
        <f t="shared" si="14"/>
        <v>3.2199102373932612E-3</v>
      </c>
      <c r="L70" s="52">
        <f t="shared" si="14"/>
        <v>1.6099551186966295E-3</v>
      </c>
      <c r="M70" s="51">
        <f t="shared" ref="M70:M75" si="15">F15/SUM($F$15:$F$20)*$B$3</f>
        <v>0</v>
      </c>
      <c r="N70" s="57">
        <f t="shared" si="7"/>
        <v>0</v>
      </c>
      <c r="O70" s="57">
        <f t="shared" si="7"/>
        <v>0</v>
      </c>
      <c r="P70" s="57">
        <f t="shared" si="7"/>
        <v>0</v>
      </c>
      <c r="Q70" s="57">
        <f t="shared" si="7"/>
        <v>0</v>
      </c>
      <c r="R70" s="57">
        <f t="shared" si="2"/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75">
      <c r="A71" s="54" t="s">
        <v>44</v>
      </c>
      <c r="C71" s="60">
        <f t="shared" ref="C71:D71" si="16">D16/SUM(D$15:D$20)*$B$3</f>
        <v>1.3523867426037365E-2</v>
      </c>
      <c r="D71" s="60">
        <f t="shared" si="16"/>
        <v>2.5478550938905331E-2</v>
      </c>
      <c r="E71" s="52">
        <f t="shared" ref="E71:L71" si="17">($M71-$D71)/($M$63-$D$63)+D71</f>
        <v>2.2647600834582518E-2</v>
      </c>
      <c r="F71" s="52">
        <f t="shared" si="17"/>
        <v>1.9816650730259705E-2</v>
      </c>
      <c r="G71" s="52">
        <f t="shared" si="17"/>
        <v>1.6985700625936892E-2</v>
      </c>
      <c r="H71" s="52">
        <f t="shared" si="17"/>
        <v>1.4154750521614077E-2</v>
      </c>
      <c r="I71" s="52">
        <f t="shared" si="17"/>
        <v>1.1323800417291262E-2</v>
      </c>
      <c r="J71" s="52">
        <f t="shared" si="17"/>
        <v>8.4928503129684477E-3</v>
      </c>
      <c r="K71" s="52">
        <f t="shared" si="17"/>
        <v>5.661900208645633E-3</v>
      </c>
      <c r="L71" s="52">
        <f t="shared" si="17"/>
        <v>2.8309501043228182E-3</v>
      </c>
      <c r="M71" s="51">
        <f t="shared" si="15"/>
        <v>0</v>
      </c>
      <c r="N71" s="57">
        <f t="shared" si="7"/>
        <v>0</v>
      </c>
      <c r="O71" s="57">
        <f t="shared" si="7"/>
        <v>0</v>
      </c>
      <c r="P71" s="57">
        <f t="shared" si="7"/>
        <v>0</v>
      </c>
      <c r="Q71" s="57">
        <f t="shared" si="7"/>
        <v>0</v>
      </c>
      <c r="R71" s="57">
        <f t="shared" si="2"/>
        <v>0</v>
      </c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75">
      <c r="A72" s="54" t="s">
        <v>45</v>
      </c>
      <c r="C72" s="60">
        <f t="shared" ref="C72:D72" si="18">D17/SUM(D$15:D$20)*$B$3</f>
        <v>0.32724634272247033</v>
      </c>
      <c r="D72" s="60">
        <f t="shared" si="18"/>
        <v>0.31316277380543872</v>
      </c>
      <c r="E72" s="52">
        <f t="shared" ref="E72:L72" si="19">($M72-$D72)/($M$63-$D$63)+D72</f>
        <v>0.27836691004927888</v>
      </c>
      <c r="F72" s="52">
        <f t="shared" si="19"/>
        <v>0.24357104629311901</v>
      </c>
      <c r="G72" s="52">
        <f t="shared" si="19"/>
        <v>0.20877518253695915</v>
      </c>
      <c r="H72" s="52">
        <f t="shared" si="19"/>
        <v>0.17397931878079928</v>
      </c>
      <c r="I72" s="52">
        <f t="shared" si="19"/>
        <v>0.13918345502463941</v>
      </c>
      <c r="J72" s="52">
        <f t="shared" si="19"/>
        <v>0.10438759126847955</v>
      </c>
      <c r="K72" s="52">
        <f t="shared" si="19"/>
        <v>6.9591727512319679E-2</v>
      </c>
      <c r="L72" s="52">
        <f t="shared" si="19"/>
        <v>3.4795863756159819E-2</v>
      </c>
      <c r="M72" s="51">
        <f t="shared" si="15"/>
        <v>0</v>
      </c>
      <c r="N72" s="57">
        <f t="shared" si="7"/>
        <v>0</v>
      </c>
      <c r="O72" s="57">
        <f t="shared" si="7"/>
        <v>0</v>
      </c>
      <c r="P72" s="57">
        <f t="shared" si="7"/>
        <v>0</v>
      </c>
      <c r="Q72" s="57">
        <f t="shared" si="7"/>
        <v>0</v>
      </c>
      <c r="R72" s="57">
        <f t="shared" si="2"/>
        <v>0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75">
      <c r="A73" s="54" t="s">
        <v>46</v>
      </c>
      <c r="C73" s="60">
        <f t="shared" ref="C73:D73" si="20">D18/SUM(D$15:D$20)*$B$3</f>
        <v>0</v>
      </c>
      <c r="D73" s="60">
        <f t="shared" si="20"/>
        <v>0</v>
      </c>
      <c r="E73" s="52">
        <f t="shared" ref="E73:L73" si="21">($M73-$D73)/($M$63-$D$63)+D73</f>
        <v>3.9236768979179298E-2</v>
      </c>
      <c r="F73" s="52">
        <f t="shared" si="21"/>
        <v>7.8473537958358597E-2</v>
      </c>
      <c r="G73" s="52">
        <f t="shared" si="21"/>
        <v>0.1177103069375379</v>
      </c>
      <c r="H73" s="52">
        <f t="shared" si="21"/>
        <v>0.15694707591671719</v>
      </c>
      <c r="I73" s="52">
        <f t="shared" si="21"/>
        <v>0.19618384489589649</v>
      </c>
      <c r="J73" s="52">
        <f t="shared" si="21"/>
        <v>0.23542061387507579</v>
      </c>
      <c r="K73" s="52">
        <f t="shared" si="21"/>
        <v>0.27465738285425512</v>
      </c>
      <c r="L73" s="52">
        <f t="shared" si="21"/>
        <v>0.31389415183343439</v>
      </c>
      <c r="M73" s="51">
        <f t="shared" si="15"/>
        <v>0.35313092081261371</v>
      </c>
      <c r="N73" s="57">
        <f t="shared" si="7"/>
        <v>0.35313092081261371</v>
      </c>
      <c r="O73" s="57">
        <f t="shared" si="7"/>
        <v>0.35313092081261371</v>
      </c>
      <c r="P73" s="57">
        <f t="shared" si="7"/>
        <v>0.35313092081261371</v>
      </c>
      <c r="Q73" s="57">
        <f t="shared" si="7"/>
        <v>0.35313092081261371</v>
      </c>
      <c r="R73" s="57">
        <f t="shared" si="2"/>
        <v>0.35313092081261371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75">
      <c r="A74" s="54" t="s">
        <v>47</v>
      </c>
      <c r="C74" s="60">
        <f t="shared" ref="C74:D74" si="22">D19/SUM(D$15:D$20)*$B$3</f>
        <v>0</v>
      </c>
      <c r="D74" s="60">
        <f t="shared" si="22"/>
        <v>0</v>
      </c>
      <c r="E74" s="52">
        <f t="shared" ref="E74:L74" si="23">($M74-$D74)/($M$63-$D$63)+D74</f>
        <v>0</v>
      </c>
      <c r="F74" s="52">
        <f t="shared" si="23"/>
        <v>0</v>
      </c>
      <c r="G74" s="52">
        <f t="shared" si="23"/>
        <v>0</v>
      </c>
      <c r="H74" s="52">
        <f t="shared" si="23"/>
        <v>0</v>
      </c>
      <c r="I74" s="52">
        <f t="shared" si="23"/>
        <v>0</v>
      </c>
      <c r="J74" s="52">
        <f t="shared" si="23"/>
        <v>0</v>
      </c>
      <c r="K74" s="52">
        <f t="shared" si="23"/>
        <v>0</v>
      </c>
      <c r="L74" s="52">
        <f t="shared" si="23"/>
        <v>0</v>
      </c>
      <c r="M74" s="51">
        <f t="shared" si="15"/>
        <v>0</v>
      </c>
      <c r="N74" s="57">
        <f t="shared" si="7"/>
        <v>0</v>
      </c>
      <c r="O74" s="57">
        <f t="shared" si="7"/>
        <v>0</v>
      </c>
      <c r="P74" s="57">
        <f t="shared" si="7"/>
        <v>0</v>
      </c>
      <c r="Q74" s="57">
        <f t="shared" si="7"/>
        <v>0</v>
      </c>
      <c r="R74" s="57">
        <f t="shared" si="2"/>
        <v>0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75">
      <c r="A75" s="54" t="s">
        <v>48</v>
      </c>
      <c r="C75" s="60">
        <f t="shared" ref="C75:D75" si="24">D20/SUM(D$15:D$20)*$B$3</f>
        <v>0</v>
      </c>
      <c r="D75" s="60">
        <f t="shared" si="24"/>
        <v>0</v>
      </c>
      <c r="E75" s="52">
        <f t="shared" ref="E75:L75" si="25">($M75-$D75)/($M$63-$D$63)+D75</f>
        <v>0</v>
      </c>
      <c r="F75" s="52">
        <f t="shared" si="25"/>
        <v>0</v>
      </c>
      <c r="G75" s="52">
        <f t="shared" si="25"/>
        <v>0</v>
      </c>
      <c r="H75" s="52">
        <f t="shared" si="25"/>
        <v>0</v>
      </c>
      <c r="I75" s="52">
        <f t="shared" si="25"/>
        <v>0</v>
      </c>
      <c r="J75" s="52">
        <f t="shared" si="25"/>
        <v>0</v>
      </c>
      <c r="K75" s="52">
        <f t="shared" si="25"/>
        <v>0</v>
      </c>
      <c r="L75" s="52">
        <f t="shared" si="25"/>
        <v>0</v>
      </c>
      <c r="M75" s="51">
        <f t="shared" si="15"/>
        <v>0</v>
      </c>
      <c r="N75" s="57">
        <f t="shared" si="7"/>
        <v>0</v>
      </c>
      <c r="O75" s="57">
        <f t="shared" si="7"/>
        <v>0</v>
      </c>
      <c r="P75" s="57">
        <f t="shared" si="7"/>
        <v>0</v>
      </c>
      <c r="Q75" s="57">
        <f t="shared" si="7"/>
        <v>0</v>
      </c>
      <c r="R75" s="57">
        <f t="shared" si="2"/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75">
      <c r="A76" s="54" t="s">
        <v>87</v>
      </c>
      <c r="C76" s="60">
        <f>D21/SUM(D$21:D$26)*$B$4</f>
        <v>0</v>
      </c>
      <c r="D76" s="60">
        <f>E21/SUM(E$21:E$26)*$B$4</f>
        <v>0</v>
      </c>
      <c r="E76" s="52">
        <f t="shared" ref="E76:L76" si="26">($M76-$D76)/($M$63-$D$63)+D76</f>
        <v>0</v>
      </c>
      <c r="F76" s="52">
        <f t="shared" si="26"/>
        <v>0</v>
      </c>
      <c r="G76" s="52">
        <f t="shared" si="26"/>
        <v>0</v>
      </c>
      <c r="H76" s="52">
        <f t="shared" si="26"/>
        <v>0</v>
      </c>
      <c r="I76" s="52">
        <f t="shared" si="26"/>
        <v>0</v>
      </c>
      <c r="J76" s="52">
        <f t="shared" si="26"/>
        <v>0</v>
      </c>
      <c r="K76" s="52">
        <f t="shared" si="26"/>
        <v>0</v>
      </c>
      <c r="L76" s="52">
        <f t="shared" si="26"/>
        <v>0</v>
      </c>
      <c r="M76" s="51">
        <f t="shared" ref="M76:M81" si="27">F21/SUM($F$21:$F$26)*$B$4</f>
        <v>0</v>
      </c>
      <c r="N76" s="57">
        <f t="shared" si="7"/>
        <v>0</v>
      </c>
      <c r="O76" s="57">
        <f t="shared" si="7"/>
        <v>0</v>
      </c>
      <c r="P76" s="57">
        <f t="shared" si="7"/>
        <v>0</v>
      </c>
      <c r="Q76" s="57">
        <f t="shared" si="7"/>
        <v>0</v>
      </c>
      <c r="R76" s="57">
        <f t="shared" si="2"/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75">
      <c r="A77" s="54" t="s">
        <v>49</v>
      </c>
      <c r="C77" s="60">
        <f t="shared" ref="C77:D77" si="28">D22/SUM(D$21:D$26)*$B$4</f>
        <v>8.0143231397024353E-2</v>
      </c>
      <c r="D77" s="60">
        <f t="shared" si="28"/>
        <v>0.22250495737585202</v>
      </c>
      <c r="E77" s="52">
        <f t="shared" ref="E77:L77" si="29">($M77-$D77)/($M$63-$D$63)+D77</f>
        <v>0.19778218433409067</v>
      </c>
      <c r="F77" s="52">
        <f t="shared" si="29"/>
        <v>0.17305941129232932</v>
      </c>
      <c r="G77" s="52">
        <f t="shared" si="29"/>
        <v>0.14833663825056798</v>
      </c>
      <c r="H77" s="52">
        <f t="shared" si="29"/>
        <v>0.12361386520880664</v>
      </c>
      <c r="I77" s="52">
        <f t="shared" si="29"/>
        <v>9.8891092167045308E-2</v>
      </c>
      <c r="J77" s="52">
        <f t="shared" si="29"/>
        <v>7.4168319125283974E-2</v>
      </c>
      <c r="K77" s="52">
        <f t="shared" si="29"/>
        <v>4.944554608352264E-2</v>
      </c>
      <c r="L77" s="52">
        <f t="shared" si="29"/>
        <v>2.4722773041761306E-2</v>
      </c>
      <c r="M77" s="51">
        <f t="shared" si="27"/>
        <v>0</v>
      </c>
      <c r="N77" s="57">
        <f t="shared" si="7"/>
        <v>0</v>
      </c>
      <c r="O77" s="57">
        <f t="shared" si="7"/>
        <v>0</v>
      </c>
      <c r="P77" s="57">
        <f t="shared" si="7"/>
        <v>0</v>
      </c>
      <c r="Q77" s="57">
        <f t="shared" si="7"/>
        <v>0</v>
      </c>
      <c r="R77" s="57">
        <f t="shared" si="2"/>
        <v>0</v>
      </c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75">
      <c r="A78" s="54" t="s">
        <v>50</v>
      </c>
      <c r="C78" s="60">
        <f t="shared" ref="C78:D78" si="30">D23/SUM(D$21:D$26)*$B$4</f>
        <v>0</v>
      </c>
      <c r="D78" s="60">
        <f t="shared" si="30"/>
        <v>0</v>
      </c>
      <c r="E78" s="52">
        <f t="shared" ref="E78:L78" si="31">($M78-$D78)/($M$63-$D$63)+D78</f>
        <v>0</v>
      </c>
      <c r="F78" s="52">
        <f t="shared" si="31"/>
        <v>0</v>
      </c>
      <c r="G78" s="52">
        <f t="shared" si="31"/>
        <v>0</v>
      </c>
      <c r="H78" s="52">
        <f t="shared" si="31"/>
        <v>0</v>
      </c>
      <c r="I78" s="52">
        <f t="shared" si="31"/>
        <v>0</v>
      </c>
      <c r="J78" s="52">
        <f t="shared" si="31"/>
        <v>0</v>
      </c>
      <c r="K78" s="52">
        <f t="shared" si="31"/>
        <v>0</v>
      </c>
      <c r="L78" s="52">
        <f t="shared" si="31"/>
        <v>0</v>
      </c>
      <c r="M78" s="51">
        <f t="shared" si="27"/>
        <v>0</v>
      </c>
      <c r="N78" s="57">
        <f t="shared" si="7"/>
        <v>0</v>
      </c>
      <c r="O78" s="57">
        <f t="shared" si="7"/>
        <v>0</v>
      </c>
      <c r="P78" s="57">
        <f t="shared" si="7"/>
        <v>0</v>
      </c>
      <c r="Q78" s="57">
        <f t="shared" si="7"/>
        <v>0</v>
      </c>
      <c r="R78" s="57">
        <f t="shared" si="2"/>
        <v>0</v>
      </c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75">
      <c r="A79" s="54" t="s">
        <v>51</v>
      </c>
      <c r="C79" s="60">
        <f t="shared" ref="C79:D79" si="32">D24/SUM(D$21:D$26)*$B$4</f>
        <v>0.15060776554858415</v>
      </c>
      <c r="D79" s="60">
        <f t="shared" si="32"/>
        <v>8.2460395697564557E-3</v>
      </c>
      <c r="E79" s="52">
        <f t="shared" ref="E79:L79" si="33">($M79-$D79)/($M$63-$D$63)+D79</f>
        <v>3.2968812611517795E-2</v>
      </c>
      <c r="F79" s="52">
        <f t="shared" si="33"/>
        <v>5.7691585653279129E-2</v>
      </c>
      <c r="G79" s="52">
        <f t="shared" si="33"/>
        <v>8.2414358695040463E-2</v>
      </c>
      <c r="H79" s="52">
        <f t="shared" si="33"/>
        <v>0.1071371317368018</v>
      </c>
      <c r="I79" s="52">
        <f t="shared" si="33"/>
        <v>0.13185990477856313</v>
      </c>
      <c r="J79" s="52">
        <f t="shared" si="33"/>
        <v>0.15658267782032448</v>
      </c>
      <c r="K79" s="52">
        <f t="shared" si="33"/>
        <v>0.18130545086208583</v>
      </c>
      <c r="L79" s="52">
        <f t="shared" si="33"/>
        <v>0.20602822390384717</v>
      </c>
      <c r="M79" s="51">
        <f t="shared" si="27"/>
        <v>0.23075099694560849</v>
      </c>
      <c r="N79" s="57">
        <f t="shared" si="7"/>
        <v>0.23075099694560849</v>
      </c>
      <c r="O79" s="57">
        <f t="shared" si="7"/>
        <v>0.23075099694560849</v>
      </c>
      <c r="P79" s="57">
        <f t="shared" si="7"/>
        <v>0.23075099694560849</v>
      </c>
      <c r="Q79" s="57">
        <f t="shared" si="7"/>
        <v>0.23075099694560849</v>
      </c>
      <c r="R79" s="57">
        <f t="shared" si="2"/>
        <v>0.23075099694560849</v>
      </c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75">
      <c r="A80" s="54" t="s">
        <v>52</v>
      </c>
      <c r="C80" s="60">
        <f t="shared" ref="C80:D80" si="34">D25/SUM(D$21:D$26)*$B$4</f>
        <v>0</v>
      </c>
      <c r="D80" s="60">
        <f t="shared" si="34"/>
        <v>0</v>
      </c>
      <c r="E80" s="52">
        <f t="shared" ref="E80:L80" si="35">($M80-$D80)/($M$63-$D$63)+D80</f>
        <v>0</v>
      </c>
      <c r="F80" s="52">
        <f t="shared" si="35"/>
        <v>0</v>
      </c>
      <c r="G80" s="52">
        <f t="shared" si="35"/>
        <v>0</v>
      </c>
      <c r="H80" s="52">
        <f t="shared" si="35"/>
        <v>0</v>
      </c>
      <c r="I80" s="52">
        <f t="shared" si="35"/>
        <v>0</v>
      </c>
      <c r="J80" s="52">
        <f t="shared" si="35"/>
        <v>0</v>
      </c>
      <c r="K80" s="52">
        <f t="shared" si="35"/>
        <v>0</v>
      </c>
      <c r="L80" s="52">
        <f t="shared" si="35"/>
        <v>0</v>
      </c>
      <c r="M80" s="51">
        <f t="shared" si="27"/>
        <v>0</v>
      </c>
      <c r="N80" s="57">
        <f t="shared" si="7"/>
        <v>0</v>
      </c>
      <c r="O80" s="57">
        <f t="shared" si="7"/>
        <v>0</v>
      </c>
      <c r="P80" s="57">
        <f t="shared" si="7"/>
        <v>0</v>
      </c>
      <c r="Q80" s="57">
        <f t="shared" si="7"/>
        <v>0</v>
      </c>
      <c r="R80" s="57">
        <f t="shared" si="7"/>
        <v>0</v>
      </c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75">
      <c r="A81" s="54" t="s">
        <v>53</v>
      </c>
      <c r="C81" s="60">
        <f t="shared" ref="C81:D81" si="36">D26/SUM(D$21:D$26)*$B$4</f>
        <v>0</v>
      </c>
      <c r="D81" s="60">
        <f t="shared" si="36"/>
        <v>0</v>
      </c>
      <c r="E81" s="52">
        <f t="shared" ref="E81:L81" si="37">($M81-$D81)/($M$63-$D$63)+D81</f>
        <v>0</v>
      </c>
      <c r="F81" s="52">
        <f t="shared" si="37"/>
        <v>0</v>
      </c>
      <c r="G81" s="52">
        <f t="shared" si="37"/>
        <v>0</v>
      </c>
      <c r="H81" s="52">
        <f t="shared" si="37"/>
        <v>0</v>
      </c>
      <c r="I81" s="52">
        <f t="shared" si="37"/>
        <v>0</v>
      </c>
      <c r="J81" s="52">
        <f t="shared" si="37"/>
        <v>0</v>
      </c>
      <c r="K81" s="52">
        <f t="shared" si="37"/>
        <v>0</v>
      </c>
      <c r="L81" s="52">
        <f t="shared" si="37"/>
        <v>0</v>
      </c>
      <c r="M81" s="51">
        <f t="shared" si="27"/>
        <v>0</v>
      </c>
      <c r="N81" s="57">
        <f t="shared" si="7"/>
        <v>0</v>
      </c>
      <c r="O81" s="57">
        <f t="shared" si="7"/>
        <v>0</v>
      </c>
      <c r="P81" s="57">
        <f t="shared" si="7"/>
        <v>0</v>
      </c>
      <c r="Q81" s="57">
        <f t="shared" si="7"/>
        <v>0</v>
      </c>
      <c r="R81" s="57">
        <f t="shared" si="7"/>
        <v>0</v>
      </c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75">
      <c r="A82" s="54" t="s">
        <v>54</v>
      </c>
      <c r="C82" s="61">
        <f>D82</f>
        <v>0</v>
      </c>
      <c r="D82" s="60">
        <f>E27/SUM(E$27:E$32)*$B$5</f>
        <v>0</v>
      </c>
      <c r="E82" s="52">
        <f t="shared" ref="E82:L82" si="38">($M82-$D82)/($M$63-$D$63)+D82</f>
        <v>0</v>
      </c>
      <c r="F82" s="52">
        <f t="shared" si="38"/>
        <v>0</v>
      </c>
      <c r="G82" s="52">
        <f t="shared" si="38"/>
        <v>0</v>
      </c>
      <c r="H82" s="52">
        <f t="shared" si="38"/>
        <v>0</v>
      </c>
      <c r="I82" s="52">
        <f t="shared" si="38"/>
        <v>0</v>
      </c>
      <c r="J82" s="52">
        <f t="shared" si="38"/>
        <v>0</v>
      </c>
      <c r="K82" s="52">
        <f t="shared" si="38"/>
        <v>0</v>
      </c>
      <c r="L82" s="52">
        <f t="shared" si="38"/>
        <v>0</v>
      </c>
      <c r="M82" s="51">
        <f t="shared" ref="M82:M87" si="39">F27/SUM($F$27:$F$32)*$B$5</f>
        <v>0</v>
      </c>
      <c r="N82" s="57">
        <f t="shared" ref="N82:R87" si="40">M82</f>
        <v>0</v>
      </c>
      <c r="O82" s="57">
        <f t="shared" si="40"/>
        <v>0</v>
      </c>
      <c r="P82" s="57">
        <f t="shared" si="40"/>
        <v>0</v>
      </c>
      <c r="Q82" s="57">
        <f t="shared" si="40"/>
        <v>0</v>
      </c>
      <c r="R82" s="57">
        <f t="shared" si="40"/>
        <v>0</v>
      </c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75">
      <c r="A83" s="54" t="s">
        <v>55</v>
      </c>
      <c r="C83" s="61">
        <f t="shared" ref="C83:C87" si="41">D83</f>
        <v>1.1253108263051894E-2</v>
      </c>
      <c r="D83" s="60">
        <f t="shared" ref="D83" si="42">E28/SUM(E$27:E$32)*$B$5</f>
        <v>1.1253108263051894E-2</v>
      </c>
      <c r="E83" s="52">
        <f t="shared" ref="E83:L83" si="43">($M83-$D83)/($M$63-$D$63)+D83</f>
        <v>1.0002762900490573E-2</v>
      </c>
      <c r="F83" s="52">
        <f t="shared" si="43"/>
        <v>8.7524175379292517E-3</v>
      </c>
      <c r="G83" s="52">
        <f t="shared" si="43"/>
        <v>7.5020721753679305E-3</v>
      </c>
      <c r="H83" s="52">
        <f t="shared" si="43"/>
        <v>6.2517268128066093E-3</v>
      </c>
      <c r="I83" s="52">
        <f t="shared" si="43"/>
        <v>5.0013814502452882E-3</v>
      </c>
      <c r="J83" s="52">
        <f t="shared" si="43"/>
        <v>3.7510360876839666E-3</v>
      </c>
      <c r="K83" s="52">
        <f t="shared" si="43"/>
        <v>2.5006907251226449E-3</v>
      </c>
      <c r="L83" s="52">
        <f t="shared" si="43"/>
        <v>1.2503453625613233E-3</v>
      </c>
      <c r="M83" s="51">
        <f t="shared" si="39"/>
        <v>0</v>
      </c>
      <c r="N83" s="57">
        <f t="shared" si="40"/>
        <v>0</v>
      </c>
      <c r="O83" s="57">
        <f t="shared" si="40"/>
        <v>0</v>
      </c>
      <c r="P83" s="57">
        <f t="shared" si="40"/>
        <v>0</v>
      </c>
      <c r="Q83" s="57">
        <f t="shared" si="40"/>
        <v>0</v>
      </c>
      <c r="R83" s="57">
        <f t="shared" si="40"/>
        <v>0</v>
      </c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75">
      <c r="A84" s="54" t="s">
        <v>56</v>
      </c>
      <c r="C84" s="61">
        <f t="shared" si="41"/>
        <v>0</v>
      </c>
      <c r="D84" s="60">
        <f t="shared" ref="D84" si="44">E29/SUM(E$27:E$32)*$B$5</f>
        <v>0</v>
      </c>
      <c r="E84" s="52">
        <f t="shared" ref="E84:L84" si="45">($M84-$D84)/($M$63-$D$63)+D84</f>
        <v>0</v>
      </c>
      <c r="F84" s="52">
        <f t="shared" si="45"/>
        <v>0</v>
      </c>
      <c r="G84" s="52">
        <f t="shared" si="45"/>
        <v>0</v>
      </c>
      <c r="H84" s="52">
        <f t="shared" si="45"/>
        <v>0</v>
      </c>
      <c r="I84" s="52">
        <f t="shared" si="45"/>
        <v>0</v>
      </c>
      <c r="J84" s="52">
        <f t="shared" si="45"/>
        <v>0</v>
      </c>
      <c r="K84" s="52">
        <f t="shared" si="45"/>
        <v>0</v>
      </c>
      <c r="L84" s="52">
        <f t="shared" si="45"/>
        <v>0</v>
      </c>
      <c r="M84" s="51">
        <f t="shared" si="39"/>
        <v>0</v>
      </c>
      <c r="N84" s="57">
        <f t="shared" si="40"/>
        <v>0</v>
      </c>
      <c r="O84" s="57">
        <f t="shared" si="40"/>
        <v>0</v>
      </c>
      <c r="P84" s="57">
        <f t="shared" si="40"/>
        <v>0</v>
      </c>
      <c r="Q84" s="57">
        <f t="shared" si="40"/>
        <v>0</v>
      </c>
      <c r="R84" s="57">
        <f t="shared" si="40"/>
        <v>0</v>
      </c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75">
      <c r="A85" s="54" t="s">
        <v>57</v>
      </c>
      <c r="C85" s="61">
        <f t="shared" si="41"/>
        <v>0.13518536637061024</v>
      </c>
      <c r="D85" s="60">
        <f t="shared" ref="D85" si="46">E30/SUM(E$27:E$32)*$B$5</f>
        <v>0.13518536637061024</v>
      </c>
      <c r="E85" s="52">
        <f t="shared" ref="E85:L85" si="47">($M85-$D85)/($M$63-$D$63)+D85</f>
        <v>0.13643571173317157</v>
      </c>
      <c r="F85" s="52">
        <f t="shared" si="47"/>
        <v>0.13768605709573289</v>
      </c>
      <c r="G85" s="52">
        <f t="shared" si="47"/>
        <v>0.13893640245829422</v>
      </c>
      <c r="H85" s="52">
        <f t="shared" si="47"/>
        <v>0.14018674782085555</v>
      </c>
      <c r="I85" s="52">
        <f t="shared" si="47"/>
        <v>0.14143709318341688</v>
      </c>
      <c r="J85" s="52">
        <f t="shared" si="47"/>
        <v>0.14268743854597821</v>
      </c>
      <c r="K85" s="52">
        <f t="shared" si="47"/>
        <v>0.14393778390853953</v>
      </c>
      <c r="L85" s="52">
        <f t="shared" si="47"/>
        <v>0.14518812927110086</v>
      </c>
      <c r="M85" s="51">
        <f t="shared" si="39"/>
        <v>0.14643847463366214</v>
      </c>
      <c r="N85" s="57">
        <f t="shared" si="40"/>
        <v>0.14643847463366214</v>
      </c>
      <c r="O85" s="57">
        <f t="shared" si="40"/>
        <v>0.14643847463366214</v>
      </c>
      <c r="P85" s="57">
        <f t="shared" si="40"/>
        <v>0.14643847463366214</v>
      </c>
      <c r="Q85" s="57">
        <f t="shared" si="40"/>
        <v>0.14643847463366214</v>
      </c>
      <c r="R85" s="57">
        <f t="shared" si="40"/>
        <v>0.14643847463366214</v>
      </c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75">
      <c r="A86" s="54" t="s">
        <v>58</v>
      </c>
      <c r="C86" s="61">
        <f t="shared" si="41"/>
        <v>0</v>
      </c>
      <c r="D86" s="60">
        <f t="shared" ref="D86" si="48">E31/SUM(E$27:E$32)*$B$5</f>
        <v>0</v>
      </c>
      <c r="E86" s="52">
        <f t="shared" ref="E86:L86" si="49">($M86-$D86)/($M$63-$D$63)+D86</f>
        <v>0</v>
      </c>
      <c r="F86" s="52">
        <f t="shared" si="49"/>
        <v>0</v>
      </c>
      <c r="G86" s="52">
        <f t="shared" si="49"/>
        <v>0</v>
      </c>
      <c r="H86" s="52">
        <f t="shared" si="49"/>
        <v>0</v>
      </c>
      <c r="I86" s="52">
        <f t="shared" si="49"/>
        <v>0</v>
      </c>
      <c r="J86" s="52">
        <f t="shared" si="49"/>
        <v>0</v>
      </c>
      <c r="K86" s="52">
        <f t="shared" si="49"/>
        <v>0</v>
      </c>
      <c r="L86" s="52">
        <f t="shared" si="49"/>
        <v>0</v>
      </c>
      <c r="M86" s="51">
        <f t="shared" si="39"/>
        <v>0</v>
      </c>
      <c r="N86" s="57">
        <f t="shared" si="40"/>
        <v>0</v>
      </c>
      <c r="O86" s="57">
        <f t="shared" si="40"/>
        <v>0</v>
      </c>
      <c r="P86" s="57">
        <f t="shared" si="40"/>
        <v>0</v>
      </c>
      <c r="Q86" s="57">
        <f t="shared" si="40"/>
        <v>0</v>
      </c>
      <c r="R86" s="57">
        <f t="shared" si="40"/>
        <v>0</v>
      </c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75">
      <c r="A87" s="54" t="s">
        <v>59</v>
      </c>
      <c r="C87" s="61">
        <f t="shared" si="41"/>
        <v>0</v>
      </c>
      <c r="D87" s="60">
        <f t="shared" ref="D87" si="50">E32/SUM(E$27:E$32)*$B$5</f>
        <v>0</v>
      </c>
      <c r="E87" s="52">
        <f t="shared" ref="E87:L87" si="51">($M87-$D87)/($M$63-$D$63)+D87</f>
        <v>0</v>
      </c>
      <c r="F87" s="52">
        <f t="shared" si="51"/>
        <v>0</v>
      </c>
      <c r="G87" s="52">
        <f t="shared" si="51"/>
        <v>0</v>
      </c>
      <c r="H87" s="52">
        <f t="shared" si="51"/>
        <v>0</v>
      </c>
      <c r="I87" s="52">
        <f t="shared" si="51"/>
        <v>0</v>
      </c>
      <c r="J87" s="52">
        <f t="shared" si="51"/>
        <v>0</v>
      </c>
      <c r="K87" s="52">
        <f t="shared" si="51"/>
        <v>0</v>
      </c>
      <c r="L87" s="52">
        <f t="shared" si="51"/>
        <v>0</v>
      </c>
      <c r="M87" s="51">
        <f t="shared" si="39"/>
        <v>0</v>
      </c>
      <c r="N87" s="52">
        <f t="shared" si="40"/>
        <v>0</v>
      </c>
      <c r="O87" s="52">
        <f t="shared" si="40"/>
        <v>0</v>
      </c>
      <c r="P87" s="52">
        <f t="shared" si="40"/>
        <v>0</v>
      </c>
      <c r="Q87" s="52">
        <f t="shared" si="40"/>
        <v>0</v>
      </c>
      <c r="R87" s="57">
        <f t="shared" si="40"/>
        <v>0</v>
      </c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9" spans="1:33" x14ac:dyDescent="0.75">
      <c r="A89" s="53" t="s">
        <v>97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75">
      <c r="A90" s="49" t="s">
        <v>60</v>
      </c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75">
      <c r="A91" s="3"/>
      <c r="C91" s="2">
        <v>2020</v>
      </c>
      <c r="D91" s="2">
        <v>2021</v>
      </c>
      <c r="E91" s="2">
        <v>2022</v>
      </c>
      <c r="F91" s="2">
        <v>2023</v>
      </c>
      <c r="G91" s="2">
        <v>2024</v>
      </c>
      <c r="H91" s="2">
        <v>2025</v>
      </c>
      <c r="I91" s="2">
        <v>2026</v>
      </c>
      <c r="J91" s="2">
        <v>2027</v>
      </c>
      <c r="K91" s="2">
        <v>2028</v>
      </c>
      <c r="L91" s="2">
        <v>2029</v>
      </c>
      <c r="M91" s="2">
        <v>2030</v>
      </c>
      <c r="N91" s="2">
        <v>2031</v>
      </c>
      <c r="O91" s="2">
        <v>2032</v>
      </c>
      <c r="P91" s="2">
        <v>2033</v>
      </c>
      <c r="Q91" s="2">
        <v>2034</v>
      </c>
      <c r="R91" s="2">
        <v>2035</v>
      </c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75">
      <c r="A92" s="54" t="s">
        <v>61</v>
      </c>
      <c r="C92" s="60">
        <f>D36/SUM(D$36:D$41)*$B$2</f>
        <v>0.21047240993008937</v>
      </c>
      <c r="D92" s="60">
        <f>E36/SUM(E$36:E$41)*$B$2</f>
        <v>0.15340302776633002</v>
      </c>
      <c r="E92" s="52">
        <f>($M92-$D92)/($M$91-$D$91)+D92</f>
        <v>0.13635824690340448</v>
      </c>
      <c r="F92" s="52">
        <f t="shared" ref="F92:L92" si="52">($M92-$D92)/($M$91-$D$91)+E92</f>
        <v>0.11931346604047892</v>
      </c>
      <c r="G92" s="52">
        <f t="shared" si="52"/>
        <v>0.10226868517755336</v>
      </c>
      <c r="H92" s="52">
        <f t="shared" si="52"/>
        <v>8.5223904314627799E-2</v>
      </c>
      <c r="I92" s="52">
        <f t="shared" si="52"/>
        <v>6.8179123451702239E-2</v>
      </c>
      <c r="J92" s="52">
        <f t="shared" si="52"/>
        <v>5.1134342588776679E-2</v>
      </c>
      <c r="K92" s="52">
        <f t="shared" si="52"/>
        <v>3.408956172585112E-2</v>
      </c>
      <c r="L92" s="52">
        <f t="shared" si="52"/>
        <v>1.704478086292556E-2</v>
      </c>
      <c r="M92" s="51">
        <f t="shared" ref="M92:M97" si="53">F36/SUM($F$36:$F$41)*$B$2</f>
        <v>0</v>
      </c>
      <c r="N92" s="57">
        <f>M92</f>
        <v>0</v>
      </c>
      <c r="O92" s="57">
        <f t="shared" ref="O92" si="54">N92</f>
        <v>0</v>
      </c>
      <c r="P92" s="57">
        <f t="shared" ref="P92" si="55">O92</f>
        <v>0</v>
      </c>
      <c r="Q92" s="57">
        <f t="shared" ref="Q92" si="56">P92</f>
        <v>0</v>
      </c>
      <c r="R92" s="57">
        <f t="shared" ref="R92" si="57">Q92</f>
        <v>0</v>
      </c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75">
      <c r="A93" s="54" t="s">
        <v>62</v>
      </c>
      <c r="C93" s="60">
        <f t="shared" ref="C93:D93" si="58">D37/SUM(D$36:D$41)*$B$2</f>
        <v>8.2312244790805377E-5</v>
      </c>
      <c r="D93" s="60">
        <f t="shared" si="58"/>
        <v>6.9409645060427856E-5</v>
      </c>
      <c r="E93" s="52">
        <f t="shared" ref="E93:L93" si="59">($M93-$D93)/($M$91-$D$91)+D93</f>
        <v>6.1697462275935876E-5</v>
      </c>
      <c r="F93" s="52">
        <f t="shared" si="59"/>
        <v>5.398527949144389E-5</v>
      </c>
      <c r="G93" s="52">
        <f t="shared" si="59"/>
        <v>4.6273096706951904E-5</v>
      </c>
      <c r="H93" s="52">
        <f t="shared" si="59"/>
        <v>3.8560913922459918E-5</v>
      </c>
      <c r="I93" s="52">
        <f t="shared" si="59"/>
        <v>3.0848731137967931E-5</v>
      </c>
      <c r="J93" s="52">
        <f t="shared" si="59"/>
        <v>2.3136548353475945E-5</v>
      </c>
      <c r="K93" s="52">
        <f t="shared" si="59"/>
        <v>1.5424365568983959E-5</v>
      </c>
      <c r="L93" s="52">
        <f t="shared" si="59"/>
        <v>7.7121827844919744E-6</v>
      </c>
      <c r="M93" s="51">
        <f t="shared" si="53"/>
        <v>0</v>
      </c>
      <c r="N93" s="51">
        <f t="shared" ref="N93:R108" si="60">M93</f>
        <v>0</v>
      </c>
      <c r="O93" s="51">
        <f t="shared" si="60"/>
        <v>0</v>
      </c>
      <c r="P93" s="51">
        <f t="shared" si="60"/>
        <v>0</v>
      </c>
      <c r="Q93" s="51">
        <f t="shared" si="60"/>
        <v>0</v>
      </c>
      <c r="R93" s="51">
        <f t="shared" si="60"/>
        <v>0</v>
      </c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75">
      <c r="A94" s="54" t="s">
        <v>63</v>
      </c>
      <c r="C94" s="60">
        <f t="shared" ref="C94:D94" si="61">D38/SUM(D$36:D$41)*$B$2</f>
        <v>5.8770942780635042E-2</v>
      </c>
      <c r="D94" s="60">
        <f t="shared" si="61"/>
        <v>0.11576371968661692</v>
      </c>
      <c r="E94" s="52">
        <f t="shared" ref="E94:L94" si="62">($M94-$D94)/($M$91-$D$91)+D94</f>
        <v>0.1029010841658817</v>
      </c>
      <c r="F94" s="52">
        <f t="shared" si="62"/>
        <v>9.0038448645146485E-2</v>
      </c>
      <c r="G94" s="52">
        <f t="shared" si="62"/>
        <v>7.7175813124411269E-2</v>
      </c>
      <c r="H94" s="52">
        <f t="shared" si="62"/>
        <v>6.4313177603676053E-2</v>
      </c>
      <c r="I94" s="52">
        <f t="shared" si="62"/>
        <v>5.1450542082940837E-2</v>
      </c>
      <c r="J94" s="52">
        <f t="shared" si="62"/>
        <v>3.8587906562205621E-2</v>
      </c>
      <c r="K94" s="52">
        <f t="shared" si="62"/>
        <v>2.5725271041470408E-2</v>
      </c>
      <c r="L94" s="52">
        <f t="shared" si="62"/>
        <v>1.2862635520735195E-2</v>
      </c>
      <c r="M94" s="51">
        <f t="shared" si="53"/>
        <v>0</v>
      </c>
      <c r="N94" s="51">
        <f t="shared" si="60"/>
        <v>0</v>
      </c>
      <c r="O94" s="51">
        <f t="shared" si="60"/>
        <v>0</v>
      </c>
      <c r="P94" s="51">
        <f t="shared" si="60"/>
        <v>0</v>
      </c>
      <c r="Q94" s="51">
        <f t="shared" si="60"/>
        <v>0</v>
      </c>
      <c r="R94" s="51">
        <f t="shared" si="60"/>
        <v>0</v>
      </c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75">
      <c r="A95" s="54" t="s">
        <v>64</v>
      </c>
      <c r="C95" s="60">
        <f t="shared" ref="C95:D95" si="63">D39/SUM(D$36:D$41)*$B$2</f>
        <v>3.5394265260046308E-4</v>
      </c>
      <c r="D95" s="60">
        <f t="shared" si="63"/>
        <v>6.1697462275935863E-5</v>
      </c>
      <c r="E95" s="52">
        <f t="shared" ref="E95:L95" si="64">($M95-$D95)/($M$91-$D$91)+D95</f>
        <v>3.0019243034035907E-2</v>
      </c>
      <c r="F95" s="52">
        <f t="shared" si="64"/>
        <v>5.9976788605795875E-2</v>
      </c>
      <c r="G95" s="52">
        <f t="shared" si="64"/>
        <v>8.993433417755585E-2</v>
      </c>
      <c r="H95" s="52">
        <f t="shared" si="64"/>
        <v>0.11989187974931582</v>
      </c>
      <c r="I95" s="52">
        <f t="shared" si="64"/>
        <v>0.14984942532107579</v>
      </c>
      <c r="J95" s="52">
        <f t="shared" si="64"/>
        <v>0.17980697089283576</v>
      </c>
      <c r="K95" s="52">
        <f t="shared" si="64"/>
        <v>0.20976451646459573</v>
      </c>
      <c r="L95" s="52">
        <f t="shared" si="64"/>
        <v>0.23972206203635571</v>
      </c>
      <c r="M95" s="51">
        <f t="shared" si="53"/>
        <v>0.26967960760811566</v>
      </c>
      <c r="N95" s="51">
        <f t="shared" si="60"/>
        <v>0.26967960760811566</v>
      </c>
      <c r="O95" s="51">
        <f t="shared" si="60"/>
        <v>0.26967960760811566</v>
      </c>
      <c r="P95" s="51">
        <f t="shared" si="60"/>
        <v>0.26967960760811566</v>
      </c>
      <c r="Q95" s="51">
        <f t="shared" si="60"/>
        <v>0.26967960760811566</v>
      </c>
      <c r="R95" s="51">
        <f t="shared" si="60"/>
        <v>0.26967960760811566</v>
      </c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75">
      <c r="A96" s="54" t="s">
        <v>65</v>
      </c>
      <c r="C96" s="60">
        <f t="shared" ref="C96:D96" si="65">D40/SUM(D$36:D$41)*$B$2</f>
        <v>0</v>
      </c>
      <c r="D96" s="60">
        <f t="shared" si="65"/>
        <v>3.8175304783235313E-4</v>
      </c>
      <c r="E96" s="52">
        <f t="shared" ref="E96:L96" si="66">($M96-$D96)/($M$91-$D$91)+D96</f>
        <v>3.393360425176472E-4</v>
      </c>
      <c r="F96" s="52">
        <f t="shared" si="66"/>
        <v>2.9691903720294128E-4</v>
      </c>
      <c r="G96" s="52">
        <f t="shared" si="66"/>
        <v>2.5450203188823536E-4</v>
      </c>
      <c r="H96" s="52">
        <f t="shared" si="66"/>
        <v>2.1208502657352947E-4</v>
      </c>
      <c r="I96" s="52">
        <f t="shared" si="66"/>
        <v>1.6966802125882358E-4</v>
      </c>
      <c r="J96" s="52">
        <f t="shared" si="66"/>
        <v>1.2725101594411768E-4</v>
      </c>
      <c r="K96" s="52">
        <f t="shared" si="66"/>
        <v>8.4834010629411788E-5</v>
      </c>
      <c r="L96" s="52">
        <f t="shared" si="66"/>
        <v>4.2417005314705887E-5</v>
      </c>
      <c r="M96" s="51">
        <f t="shared" si="53"/>
        <v>0</v>
      </c>
      <c r="N96" s="51">
        <f t="shared" si="60"/>
        <v>0</v>
      </c>
      <c r="O96" s="51">
        <f t="shared" si="60"/>
        <v>0</v>
      </c>
      <c r="P96" s="51">
        <f t="shared" si="60"/>
        <v>0</v>
      </c>
      <c r="Q96" s="51">
        <f t="shared" si="60"/>
        <v>0</v>
      </c>
      <c r="R96" s="51">
        <f t="shared" si="60"/>
        <v>0</v>
      </c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75">
      <c r="A97" s="54" t="s">
        <v>66</v>
      </c>
      <c r="C97" s="60">
        <f t="shared" ref="C97:D97" si="67">D41/SUM(D$36:D$41)*$B$2</f>
        <v>0</v>
      </c>
      <c r="D97" s="60">
        <f t="shared" si="67"/>
        <v>0</v>
      </c>
      <c r="E97" s="52">
        <f t="shared" ref="E97:L97" si="68">($M97-$D97)/($M$91-$D$91)+D97</f>
        <v>0</v>
      </c>
      <c r="F97" s="52">
        <f t="shared" si="68"/>
        <v>0</v>
      </c>
      <c r="G97" s="52">
        <f t="shared" si="68"/>
        <v>0</v>
      </c>
      <c r="H97" s="52">
        <f t="shared" si="68"/>
        <v>0</v>
      </c>
      <c r="I97" s="52">
        <f t="shared" si="68"/>
        <v>0</v>
      </c>
      <c r="J97" s="52">
        <f t="shared" si="68"/>
        <v>0</v>
      </c>
      <c r="K97" s="52">
        <f t="shared" si="68"/>
        <v>0</v>
      </c>
      <c r="L97" s="52">
        <f t="shared" si="68"/>
        <v>0</v>
      </c>
      <c r="M97" s="51">
        <f t="shared" si="53"/>
        <v>0</v>
      </c>
      <c r="N97" s="51">
        <f t="shared" si="60"/>
        <v>0</v>
      </c>
      <c r="O97" s="51">
        <f t="shared" si="60"/>
        <v>0</v>
      </c>
      <c r="P97" s="51">
        <f t="shared" si="60"/>
        <v>0</v>
      </c>
      <c r="Q97" s="51">
        <f t="shared" si="60"/>
        <v>0</v>
      </c>
      <c r="R97" s="51">
        <f t="shared" si="60"/>
        <v>0</v>
      </c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75">
      <c r="A98" s="54" t="s">
        <v>67</v>
      </c>
      <c r="C98" s="60">
        <f>D42/SUM(D$42:D$47)*$B$3</f>
        <v>0.35204001293367315</v>
      </c>
      <c r="D98" s="60">
        <f>E42/SUM(E$42:E$47)*$B$3</f>
        <v>0.30450865727465637</v>
      </c>
      <c r="E98" s="52">
        <f t="shared" ref="E98:L98" si="69">($M98-$D98)/($M$91-$D$91)+D98</f>
        <v>0.27067436202191675</v>
      </c>
      <c r="F98" s="52">
        <f t="shared" si="69"/>
        <v>0.23684006676917715</v>
      </c>
      <c r="G98" s="52">
        <f t="shared" si="69"/>
        <v>0.20300577151643756</v>
      </c>
      <c r="H98" s="52">
        <f t="shared" si="69"/>
        <v>0.16917147626369797</v>
      </c>
      <c r="I98" s="52">
        <f t="shared" si="69"/>
        <v>0.13533718101095837</v>
      </c>
      <c r="J98" s="52">
        <f t="shared" si="69"/>
        <v>0.10150288575821878</v>
      </c>
      <c r="K98" s="52">
        <f t="shared" si="69"/>
        <v>6.7668590505479187E-2</v>
      </c>
      <c r="L98" s="52">
        <f t="shared" si="69"/>
        <v>3.3834295252739593E-2</v>
      </c>
      <c r="M98" s="51">
        <f t="shared" ref="M98:M103" si="70">F42/SUM($F$42:$F$47)*$B$3</f>
        <v>0</v>
      </c>
      <c r="N98" s="51">
        <f t="shared" si="60"/>
        <v>0</v>
      </c>
      <c r="O98" s="51">
        <f t="shared" si="60"/>
        <v>0</v>
      </c>
      <c r="P98" s="51">
        <f t="shared" si="60"/>
        <v>0</v>
      </c>
      <c r="Q98" s="51">
        <f t="shared" si="60"/>
        <v>0</v>
      </c>
      <c r="R98" s="51">
        <f t="shared" si="60"/>
        <v>0</v>
      </c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75">
      <c r="A99" s="54" t="s">
        <v>68</v>
      </c>
      <c r="C99" s="60">
        <f t="shared" ref="C99:D99" si="71">D43/SUM(D$42:D$47)*$B$3</f>
        <v>1.0909078789405687E-3</v>
      </c>
      <c r="D99" s="60">
        <f t="shared" si="71"/>
        <v>4.8622263537957351E-2</v>
      </c>
      <c r="E99" s="52">
        <f t="shared" ref="E99:L99" si="72">($M99-$D99)/($M$91-$D$91)+D99</f>
        <v>4.3219789811517646E-2</v>
      </c>
      <c r="F99" s="52">
        <f t="shared" si="72"/>
        <v>3.7817316085077941E-2</v>
      </c>
      <c r="G99" s="52">
        <f t="shared" si="72"/>
        <v>3.2414842358638236E-2</v>
      </c>
      <c r="H99" s="52">
        <f t="shared" si="72"/>
        <v>2.7012368632198532E-2</v>
      </c>
      <c r="I99" s="52">
        <f t="shared" si="72"/>
        <v>2.1609894905758827E-2</v>
      </c>
      <c r="J99" s="52">
        <f t="shared" si="72"/>
        <v>1.6207421179319122E-2</v>
      </c>
      <c r="K99" s="52">
        <f t="shared" si="72"/>
        <v>1.0804947452879417E-2</v>
      </c>
      <c r="L99" s="52">
        <f t="shared" si="72"/>
        <v>5.402473726439711E-3</v>
      </c>
      <c r="M99" s="51">
        <f t="shared" si="70"/>
        <v>0</v>
      </c>
      <c r="N99" s="51">
        <f t="shared" si="60"/>
        <v>0</v>
      </c>
      <c r="O99" s="51">
        <f t="shared" si="60"/>
        <v>0</v>
      </c>
      <c r="P99" s="51">
        <f t="shared" si="60"/>
        <v>0</v>
      </c>
      <c r="Q99" s="51">
        <f t="shared" si="60"/>
        <v>0</v>
      </c>
      <c r="R99" s="51">
        <f t="shared" si="60"/>
        <v>0</v>
      </c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75">
      <c r="A100" s="54" t="s">
        <v>69</v>
      </c>
      <c r="C100" s="60">
        <f t="shared" ref="C100:D100" si="73">D44/SUM(D$42:D$47)*$B$3</f>
        <v>0</v>
      </c>
      <c r="D100" s="60">
        <f t="shared" si="73"/>
        <v>0</v>
      </c>
      <c r="E100" s="52">
        <f t="shared" ref="E100:L100" si="74">($M100-$D100)/($M$91-$D$91)+D100</f>
        <v>0</v>
      </c>
      <c r="F100" s="52">
        <f t="shared" si="74"/>
        <v>0</v>
      </c>
      <c r="G100" s="52">
        <f t="shared" si="74"/>
        <v>0</v>
      </c>
      <c r="H100" s="52">
        <f t="shared" si="74"/>
        <v>0</v>
      </c>
      <c r="I100" s="52">
        <f t="shared" si="74"/>
        <v>0</v>
      </c>
      <c r="J100" s="52">
        <f t="shared" si="74"/>
        <v>0</v>
      </c>
      <c r="K100" s="52">
        <f t="shared" si="74"/>
        <v>0</v>
      </c>
      <c r="L100" s="52">
        <f t="shared" si="74"/>
        <v>0</v>
      </c>
      <c r="M100" s="51">
        <f t="shared" si="70"/>
        <v>0</v>
      </c>
      <c r="N100" s="51">
        <f t="shared" si="60"/>
        <v>0</v>
      </c>
      <c r="O100" s="51">
        <f t="shared" si="60"/>
        <v>0</v>
      </c>
      <c r="P100" s="51">
        <f t="shared" si="60"/>
        <v>0</v>
      </c>
      <c r="Q100" s="51">
        <f t="shared" si="60"/>
        <v>0</v>
      </c>
      <c r="R100" s="51">
        <f t="shared" si="60"/>
        <v>0</v>
      </c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75">
      <c r="A101" s="54" t="s">
        <v>70</v>
      </c>
      <c r="C101" s="60">
        <f t="shared" ref="C101:D101" si="75">D45/SUM(D$42:D$47)*$B$3</f>
        <v>0</v>
      </c>
      <c r="D101" s="60">
        <f t="shared" si="75"/>
        <v>0</v>
      </c>
      <c r="E101" s="52">
        <f t="shared" ref="E101:L101" si="76">($M101-$D101)/($M$91-$D$91)+D101</f>
        <v>3.9236768979179298E-2</v>
      </c>
      <c r="F101" s="52">
        <f t="shared" si="76"/>
        <v>7.8473537958358597E-2</v>
      </c>
      <c r="G101" s="52">
        <f t="shared" si="76"/>
        <v>0.1177103069375379</v>
      </c>
      <c r="H101" s="52">
        <f t="shared" si="76"/>
        <v>0.15694707591671719</v>
      </c>
      <c r="I101" s="52">
        <f t="shared" si="76"/>
        <v>0.19618384489589649</v>
      </c>
      <c r="J101" s="52">
        <f t="shared" si="76"/>
        <v>0.23542061387507579</v>
      </c>
      <c r="K101" s="52">
        <f t="shared" si="76"/>
        <v>0.27465738285425512</v>
      </c>
      <c r="L101" s="52">
        <f t="shared" si="76"/>
        <v>0.31389415183343439</v>
      </c>
      <c r="M101" s="51">
        <f t="shared" si="70"/>
        <v>0.35313092081261371</v>
      </c>
      <c r="N101" s="51">
        <f t="shared" si="60"/>
        <v>0.35313092081261371</v>
      </c>
      <c r="O101" s="51">
        <f t="shared" si="60"/>
        <v>0.35313092081261371</v>
      </c>
      <c r="P101" s="51">
        <f t="shared" si="60"/>
        <v>0.35313092081261371</v>
      </c>
      <c r="Q101" s="51">
        <f t="shared" si="60"/>
        <v>0.35313092081261371</v>
      </c>
      <c r="R101" s="51">
        <f t="shared" si="60"/>
        <v>0.35313092081261371</v>
      </c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75">
      <c r="A102" s="54" t="s">
        <v>71</v>
      </c>
      <c r="C102" s="60">
        <f t="shared" ref="C102:D102" si="77">D46/SUM(D$42:D$47)*$B$3</f>
        <v>0</v>
      </c>
      <c r="D102" s="60">
        <f t="shared" si="77"/>
        <v>0</v>
      </c>
      <c r="E102" s="52">
        <f t="shared" ref="E102:L102" si="78">($M102-$D102)/($M$91-$D$91)+D102</f>
        <v>0</v>
      </c>
      <c r="F102" s="52">
        <f t="shared" si="78"/>
        <v>0</v>
      </c>
      <c r="G102" s="52">
        <f t="shared" si="78"/>
        <v>0</v>
      </c>
      <c r="H102" s="52">
        <f t="shared" si="78"/>
        <v>0</v>
      </c>
      <c r="I102" s="52">
        <f t="shared" si="78"/>
        <v>0</v>
      </c>
      <c r="J102" s="52">
        <f t="shared" si="78"/>
        <v>0</v>
      </c>
      <c r="K102" s="52">
        <f t="shared" si="78"/>
        <v>0</v>
      </c>
      <c r="L102" s="52">
        <f t="shared" si="78"/>
        <v>0</v>
      </c>
      <c r="M102" s="51">
        <f t="shared" si="70"/>
        <v>0</v>
      </c>
      <c r="N102" s="51">
        <f t="shared" si="60"/>
        <v>0</v>
      </c>
      <c r="O102" s="51">
        <f t="shared" si="60"/>
        <v>0</v>
      </c>
      <c r="P102" s="51">
        <f t="shared" si="60"/>
        <v>0</v>
      </c>
      <c r="Q102" s="51">
        <f t="shared" si="60"/>
        <v>0</v>
      </c>
      <c r="R102" s="51">
        <f t="shared" si="60"/>
        <v>0</v>
      </c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75">
      <c r="A103" s="54" t="s">
        <v>72</v>
      </c>
      <c r="C103" s="60">
        <f t="shared" ref="C103:D103" si="79">D47/SUM(D$42:D$47)*$B$3</f>
        <v>0</v>
      </c>
      <c r="D103" s="60">
        <f t="shared" si="79"/>
        <v>0</v>
      </c>
      <c r="E103" s="52">
        <f t="shared" ref="E103:L103" si="80">($M103-$D103)/($M$91-$D$91)+D103</f>
        <v>0</v>
      </c>
      <c r="F103" s="52">
        <f t="shared" si="80"/>
        <v>0</v>
      </c>
      <c r="G103" s="52">
        <f t="shared" si="80"/>
        <v>0</v>
      </c>
      <c r="H103" s="52">
        <f t="shared" si="80"/>
        <v>0</v>
      </c>
      <c r="I103" s="52">
        <f t="shared" si="80"/>
        <v>0</v>
      </c>
      <c r="J103" s="52">
        <f t="shared" si="80"/>
        <v>0</v>
      </c>
      <c r="K103" s="52">
        <f t="shared" si="80"/>
        <v>0</v>
      </c>
      <c r="L103" s="52">
        <f t="shared" si="80"/>
        <v>0</v>
      </c>
      <c r="M103" s="51">
        <f t="shared" si="70"/>
        <v>0</v>
      </c>
      <c r="N103" s="51">
        <f t="shared" si="60"/>
        <v>0</v>
      </c>
      <c r="O103" s="51">
        <f t="shared" si="60"/>
        <v>0</v>
      </c>
      <c r="P103" s="51">
        <f t="shared" si="60"/>
        <v>0</v>
      </c>
      <c r="Q103" s="51">
        <f t="shared" si="60"/>
        <v>0</v>
      </c>
      <c r="R103" s="51">
        <f t="shared" si="60"/>
        <v>0</v>
      </c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75">
      <c r="A104" s="54" t="s">
        <v>73</v>
      </c>
      <c r="C104" s="60">
        <f>D48/SUM(D$48:D$53)*$B$4</f>
        <v>5.4746921649170499E-2</v>
      </c>
      <c r="D104" s="60">
        <f>E48/SUM(E$48:E$53)*$B$4</f>
        <v>3.6736288120909351E-2</v>
      </c>
      <c r="E104" s="52">
        <f t="shared" ref="E104:L104" si="81">($M104-$D104)/($M$91-$D$91)+D104</f>
        <v>3.2654478329697201E-2</v>
      </c>
      <c r="F104" s="52">
        <f t="shared" si="81"/>
        <v>2.8572668538485051E-2</v>
      </c>
      <c r="G104" s="52">
        <f t="shared" si="81"/>
        <v>2.4490858747272901E-2</v>
      </c>
      <c r="H104" s="52">
        <f t="shared" si="81"/>
        <v>2.040904895606075E-2</v>
      </c>
      <c r="I104" s="52">
        <f t="shared" si="81"/>
        <v>1.63272391648486E-2</v>
      </c>
      <c r="J104" s="52">
        <f t="shared" si="81"/>
        <v>1.224542937363645E-2</v>
      </c>
      <c r="K104" s="52">
        <f t="shared" si="81"/>
        <v>8.1636195824243002E-3</v>
      </c>
      <c r="L104" s="52">
        <f t="shared" si="81"/>
        <v>4.0818097912121501E-3</v>
      </c>
      <c r="M104" s="51">
        <f t="shared" ref="M104:M109" si="82">F48/SUM($F$48:$F$53)*$B$4</f>
        <v>0</v>
      </c>
      <c r="N104" s="51">
        <f t="shared" si="60"/>
        <v>0</v>
      </c>
      <c r="O104" s="51">
        <f t="shared" si="60"/>
        <v>0</v>
      </c>
      <c r="P104" s="51">
        <f t="shared" si="60"/>
        <v>0</v>
      </c>
      <c r="Q104" s="51">
        <f t="shared" si="60"/>
        <v>0</v>
      </c>
      <c r="R104" s="51">
        <f t="shared" si="60"/>
        <v>0</v>
      </c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75">
      <c r="A105" s="54" t="s">
        <v>74</v>
      </c>
      <c r="C105" s="60">
        <f t="shared" ref="C105:D105" si="83">D49/SUM(D$48:D$53)*$B$4</f>
        <v>0.17125122263020509</v>
      </c>
      <c r="D105" s="60">
        <f t="shared" si="83"/>
        <v>0.19401470882469915</v>
      </c>
      <c r="E105" s="52">
        <f t="shared" ref="E105:L105" si="84">($M105-$D105)/($M$91-$D$91)+D105</f>
        <v>0.17245751895528813</v>
      </c>
      <c r="F105" s="52">
        <f t="shared" si="84"/>
        <v>0.15090032908587711</v>
      </c>
      <c r="G105" s="52">
        <f t="shared" si="84"/>
        <v>0.12934313921646609</v>
      </c>
      <c r="H105" s="52">
        <f t="shared" si="84"/>
        <v>0.10778594934705507</v>
      </c>
      <c r="I105" s="52">
        <f t="shared" si="84"/>
        <v>8.6228759477644051E-2</v>
      </c>
      <c r="J105" s="52">
        <f t="shared" si="84"/>
        <v>6.4671569608233032E-2</v>
      </c>
      <c r="K105" s="52">
        <f t="shared" si="84"/>
        <v>4.3114379738822012E-2</v>
      </c>
      <c r="L105" s="52">
        <f t="shared" si="84"/>
        <v>2.1557189869410995E-2</v>
      </c>
      <c r="M105" s="51">
        <f t="shared" si="82"/>
        <v>0</v>
      </c>
      <c r="N105" s="51">
        <f t="shared" si="60"/>
        <v>0</v>
      </c>
      <c r="O105" s="51">
        <f t="shared" si="60"/>
        <v>0</v>
      </c>
      <c r="P105" s="51">
        <f t="shared" si="60"/>
        <v>0</v>
      </c>
      <c r="Q105" s="51">
        <f t="shared" si="60"/>
        <v>0</v>
      </c>
      <c r="R105" s="51">
        <f t="shared" si="60"/>
        <v>0</v>
      </c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75">
      <c r="A106" s="54" t="s">
        <v>75</v>
      </c>
      <c r="C106" s="60">
        <f t="shared" ref="C106:D106" si="85">D50/SUM(D$48:D$53)*$B$4</f>
        <v>0</v>
      </c>
      <c r="D106" s="60">
        <f t="shared" si="85"/>
        <v>0</v>
      </c>
      <c r="E106" s="52">
        <f t="shared" ref="E106:L106" si="86">($M106-$D106)/($M$91-$D$91)+D106</f>
        <v>0</v>
      </c>
      <c r="F106" s="52">
        <f t="shared" si="86"/>
        <v>0</v>
      </c>
      <c r="G106" s="52">
        <f t="shared" si="86"/>
        <v>0</v>
      </c>
      <c r="H106" s="52">
        <f t="shared" si="86"/>
        <v>0</v>
      </c>
      <c r="I106" s="52">
        <f t="shared" si="86"/>
        <v>0</v>
      </c>
      <c r="J106" s="52">
        <f t="shared" si="86"/>
        <v>0</v>
      </c>
      <c r="K106" s="52">
        <f t="shared" si="86"/>
        <v>0</v>
      </c>
      <c r="L106" s="52">
        <f t="shared" si="86"/>
        <v>0</v>
      </c>
      <c r="M106" s="51">
        <f t="shared" si="82"/>
        <v>0</v>
      </c>
      <c r="N106" s="51">
        <f t="shared" si="60"/>
        <v>0</v>
      </c>
      <c r="O106" s="51">
        <f t="shared" si="60"/>
        <v>0</v>
      </c>
      <c r="P106" s="51">
        <f t="shared" si="60"/>
        <v>0</v>
      </c>
      <c r="Q106" s="51">
        <f t="shared" si="60"/>
        <v>0</v>
      </c>
      <c r="R106" s="51">
        <f t="shared" si="60"/>
        <v>0</v>
      </c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75">
      <c r="A107" s="54" t="s">
        <v>76</v>
      </c>
      <c r="C107" s="60">
        <f t="shared" ref="C107:D107" si="87">D51/SUM(D$48:D$53)*$B$4</f>
        <v>0</v>
      </c>
      <c r="D107" s="60">
        <f t="shared" si="87"/>
        <v>0</v>
      </c>
      <c r="E107" s="52">
        <f t="shared" ref="E107:L107" si="88">($M107-$D107)/($M$91-$D$91)+D107</f>
        <v>2.5638999660623166E-2</v>
      </c>
      <c r="F107" s="52">
        <f t="shared" si="88"/>
        <v>5.1277999321246333E-2</v>
      </c>
      <c r="G107" s="52">
        <f t="shared" si="88"/>
        <v>7.6916998981869503E-2</v>
      </c>
      <c r="H107" s="52">
        <f t="shared" si="88"/>
        <v>0.10255599864249267</v>
      </c>
      <c r="I107" s="52">
        <f t="shared" si="88"/>
        <v>0.12819499830311584</v>
      </c>
      <c r="J107" s="52">
        <f t="shared" si="88"/>
        <v>0.15383399796373901</v>
      </c>
      <c r="K107" s="52">
        <f t="shared" si="88"/>
        <v>0.17947299762436217</v>
      </c>
      <c r="L107" s="52">
        <f t="shared" si="88"/>
        <v>0.20511199728498533</v>
      </c>
      <c r="M107" s="51">
        <f t="shared" si="82"/>
        <v>0.23075099694560849</v>
      </c>
      <c r="N107" s="51">
        <f t="shared" si="60"/>
        <v>0.23075099694560849</v>
      </c>
      <c r="O107" s="51">
        <f t="shared" si="60"/>
        <v>0.23075099694560849</v>
      </c>
      <c r="P107" s="51">
        <f t="shared" si="60"/>
        <v>0.23075099694560849</v>
      </c>
      <c r="Q107" s="51">
        <f t="shared" si="60"/>
        <v>0.23075099694560849</v>
      </c>
      <c r="R107" s="51">
        <f t="shared" si="60"/>
        <v>0.23075099694560849</v>
      </c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75">
      <c r="A108" s="54" t="s">
        <v>77</v>
      </c>
      <c r="C108" s="60">
        <f t="shared" ref="C108:D108" si="89">D52/SUM(D$48:D$53)*$B$4</f>
        <v>4.7528526662329248E-3</v>
      </c>
      <c r="D108" s="60">
        <f t="shared" si="89"/>
        <v>0</v>
      </c>
      <c r="E108" s="52">
        <f t="shared" ref="E108:L108" si="90">($M108-$D108)/($M$91-$D$91)+D108</f>
        <v>0</v>
      </c>
      <c r="F108" s="52">
        <f t="shared" si="90"/>
        <v>0</v>
      </c>
      <c r="G108" s="52">
        <f t="shared" si="90"/>
        <v>0</v>
      </c>
      <c r="H108" s="52">
        <f t="shared" si="90"/>
        <v>0</v>
      </c>
      <c r="I108" s="52">
        <f t="shared" si="90"/>
        <v>0</v>
      </c>
      <c r="J108" s="52">
        <f t="shared" si="90"/>
        <v>0</v>
      </c>
      <c r="K108" s="52">
        <f t="shared" si="90"/>
        <v>0</v>
      </c>
      <c r="L108" s="52">
        <f t="shared" si="90"/>
        <v>0</v>
      </c>
      <c r="M108" s="51">
        <f t="shared" si="82"/>
        <v>0</v>
      </c>
      <c r="N108" s="51">
        <f t="shared" si="60"/>
        <v>0</v>
      </c>
      <c r="O108" s="51">
        <f t="shared" si="60"/>
        <v>0</v>
      </c>
      <c r="P108" s="51">
        <f t="shared" si="60"/>
        <v>0</v>
      </c>
      <c r="Q108" s="51">
        <f t="shared" si="60"/>
        <v>0</v>
      </c>
      <c r="R108" s="51">
        <f t="shared" si="60"/>
        <v>0</v>
      </c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75">
      <c r="A109" s="54" t="s">
        <v>78</v>
      </c>
      <c r="C109" s="60">
        <f t="shared" ref="C109:D109" si="91">D53/SUM(D$48:D$53)*$B$4</f>
        <v>0</v>
      </c>
      <c r="D109" s="60">
        <f t="shared" si="91"/>
        <v>0</v>
      </c>
      <c r="E109" s="52">
        <f t="shared" ref="E109:L109" si="92">($M109-$D109)/($M$91-$D$91)+D109</f>
        <v>0</v>
      </c>
      <c r="F109" s="52">
        <f t="shared" si="92"/>
        <v>0</v>
      </c>
      <c r="G109" s="52">
        <f t="shared" si="92"/>
        <v>0</v>
      </c>
      <c r="H109" s="52">
        <f t="shared" si="92"/>
        <v>0</v>
      </c>
      <c r="I109" s="52">
        <f t="shared" si="92"/>
        <v>0</v>
      </c>
      <c r="J109" s="52">
        <f t="shared" si="92"/>
        <v>0</v>
      </c>
      <c r="K109" s="52">
        <f t="shared" si="92"/>
        <v>0</v>
      </c>
      <c r="L109" s="52">
        <f t="shared" si="92"/>
        <v>0</v>
      </c>
      <c r="M109" s="51">
        <f t="shared" si="82"/>
        <v>0</v>
      </c>
      <c r="N109" s="51">
        <f t="shared" ref="N109:R109" si="93">M109</f>
        <v>0</v>
      </c>
      <c r="O109" s="51">
        <f t="shared" si="93"/>
        <v>0</v>
      </c>
      <c r="P109" s="51">
        <f t="shared" si="93"/>
        <v>0</v>
      </c>
      <c r="Q109" s="51">
        <f t="shared" si="93"/>
        <v>0</v>
      </c>
      <c r="R109" s="51">
        <f t="shared" si="93"/>
        <v>0</v>
      </c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75">
      <c r="A110" s="54" t="s">
        <v>79</v>
      </c>
      <c r="C110" s="60">
        <v>0</v>
      </c>
      <c r="D110" s="60">
        <v>0</v>
      </c>
      <c r="E110" s="52">
        <f t="shared" ref="E110:L110" si="94">($M110-$D110)/($M$91-$D$91)+D110</f>
        <v>0</v>
      </c>
      <c r="F110" s="52">
        <f t="shared" si="94"/>
        <v>0</v>
      </c>
      <c r="G110" s="52">
        <f t="shared" si="94"/>
        <v>0</v>
      </c>
      <c r="H110" s="52">
        <f t="shared" si="94"/>
        <v>0</v>
      </c>
      <c r="I110" s="52">
        <f t="shared" si="94"/>
        <v>0</v>
      </c>
      <c r="J110" s="52">
        <f t="shared" si="94"/>
        <v>0</v>
      </c>
      <c r="K110" s="52">
        <f t="shared" si="94"/>
        <v>0</v>
      </c>
      <c r="L110" s="52">
        <f t="shared" si="94"/>
        <v>0</v>
      </c>
      <c r="M110" s="60">
        <v>0</v>
      </c>
      <c r="N110" s="60">
        <v>0</v>
      </c>
      <c r="O110" s="60">
        <v>0</v>
      </c>
      <c r="P110" s="60">
        <v>0</v>
      </c>
      <c r="Q110" s="60">
        <v>0</v>
      </c>
      <c r="R110" s="60">
        <v>0</v>
      </c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75">
      <c r="A111" s="54" t="s">
        <v>80</v>
      </c>
      <c r="C111" s="60">
        <v>0</v>
      </c>
      <c r="D111" s="60">
        <v>0</v>
      </c>
      <c r="E111" s="52">
        <f t="shared" ref="E111:L111" si="95">($M111-$D111)/($M$91-$D$91)+D111</f>
        <v>0</v>
      </c>
      <c r="F111" s="52">
        <f t="shared" si="95"/>
        <v>0</v>
      </c>
      <c r="G111" s="52">
        <f t="shared" si="95"/>
        <v>0</v>
      </c>
      <c r="H111" s="52">
        <f t="shared" si="95"/>
        <v>0</v>
      </c>
      <c r="I111" s="52">
        <f t="shared" si="95"/>
        <v>0</v>
      </c>
      <c r="J111" s="52">
        <f t="shared" si="95"/>
        <v>0</v>
      </c>
      <c r="K111" s="52">
        <f t="shared" si="95"/>
        <v>0</v>
      </c>
      <c r="L111" s="52">
        <f t="shared" si="95"/>
        <v>0</v>
      </c>
      <c r="M111" s="60">
        <v>0</v>
      </c>
      <c r="N111" s="60">
        <v>0</v>
      </c>
      <c r="O111" s="60">
        <v>0</v>
      </c>
      <c r="P111" s="60">
        <v>0</v>
      </c>
      <c r="Q111" s="60">
        <v>0</v>
      </c>
      <c r="R111" s="60">
        <v>0</v>
      </c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75">
      <c r="A112" s="54" t="s">
        <v>81</v>
      </c>
      <c r="C112" s="60">
        <v>0</v>
      </c>
      <c r="D112" s="60">
        <v>0</v>
      </c>
      <c r="E112" s="52">
        <f t="shared" ref="E112:L112" si="96">($M112-$D112)/($M$91-$D$91)+D112</f>
        <v>0</v>
      </c>
      <c r="F112" s="52">
        <f t="shared" si="96"/>
        <v>0</v>
      </c>
      <c r="G112" s="52">
        <f t="shared" si="96"/>
        <v>0</v>
      </c>
      <c r="H112" s="52">
        <f t="shared" si="96"/>
        <v>0</v>
      </c>
      <c r="I112" s="52">
        <f t="shared" si="96"/>
        <v>0</v>
      </c>
      <c r="J112" s="52">
        <f t="shared" si="96"/>
        <v>0</v>
      </c>
      <c r="K112" s="52">
        <f t="shared" si="96"/>
        <v>0</v>
      </c>
      <c r="L112" s="52">
        <f t="shared" si="96"/>
        <v>0</v>
      </c>
      <c r="M112" s="60">
        <v>0</v>
      </c>
      <c r="N112" s="60">
        <v>0</v>
      </c>
      <c r="O112" s="60">
        <v>0</v>
      </c>
      <c r="P112" s="60">
        <v>0</v>
      </c>
      <c r="Q112" s="60">
        <v>0</v>
      </c>
      <c r="R112" s="60">
        <v>0</v>
      </c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75">
      <c r="A113" s="54" t="s">
        <v>82</v>
      </c>
      <c r="C113" s="61">
        <f>B5</f>
        <v>0.14643847463366214</v>
      </c>
      <c r="D113" s="61">
        <f>C113</f>
        <v>0.14643847463366214</v>
      </c>
      <c r="E113" s="84">
        <f t="shared" ref="E113:L113" si="97">D113</f>
        <v>0.14643847463366214</v>
      </c>
      <c r="F113" s="84">
        <f t="shared" si="97"/>
        <v>0.14643847463366214</v>
      </c>
      <c r="G113" s="84">
        <f t="shared" si="97"/>
        <v>0.14643847463366214</v>
      </c>
      <c r="H113" s="84">
        <f t="shared" si="97"/>
        <v>0.14643847463366214</v>
      </c>
      <c r="I113" s="84">
        <f t="shared" si="97"/>
        <v>0.14643847463366214</v>
      </c>
      <c r="J113" s="84">
        <f t="shared" si="97"/>
        <v>0.14643847463366214</v>
      </c>
      <c r="K113" s="84">
        <f t="shared" si="97"/>
        <v>0.14643847463366214</v>
      </c>
      <c r="L113" s="84">
        <f t="shared" si="97"/>
        <v>0.14643847463366214</v>
      </c>
      <c r="M113" s="84">
        <f t="shared" ref="M113:R113" si="98">L113</f>
        <v>0.14643847463366214</v>
      </c>
      <c r="N113" s="84">
        <f t="shared" si="98"/>
        <v>0.14643847463366214</v>
      </c>
      <c r="O113" s="84">
        <f t="shared" si="98"/>
        <v>0.14643847463366214</v>
      </c>
      <c r="P113" s="84">
        <f t="shared" si="98"/>
        <v>0.14643847463366214</v>
      </c>
      <c r="Q113" s="84">
        <f t="shared" si="98"/>
        <v>0.14643847463366214</v>
      </c>
      <c r="R113" s="84">
        <f t="shared" si="98"/>
        <v>0.14643847463366214</v>
      </c>
      <c r="S113" s="3" t="s">
        <v>98</v>
      </c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75">
      <c r="A114" s="54" t="s">
        <v>83</v>
      </c>
      <c r="C114" s="60">
        <v>0</v>
      </c>
      <c r="D114" s="60">
        <v>0</v>
      </c>
      <c r="E114" s="52">
        <f t="shared" ref="E114:L114" si="99">($M114-$D114)/($M$91-$D$91)+D114</f>
        <v>0</v>
      </c>
      <c r="F114" s="52">
        <f t="shared" si="99"/>
        <v>0</v>
      </c>
      <c r="G114" s="52">
        <f t="shared" si="99"/>
        <v>0</v>
      </c>
      <c r="H114" s="52">
        <f t="shared" si="99"/>
        <v>0</v>
      </c>
      <c r="I114" s="52">
        <f t="shared" si="99"/>
        <v>0</v>
      </c>
      <c r="J114" s="52">
        <f t="shared" si="99"/>
        <v>0</v>
      </c>
      <c r="K114" s="52">
        <f t="shared" si="99"/>
        <v>0</v>
      </c>
      <c r="L114" s="52">
        <f t="shared" si="99"/>
        <v>0</v>
      </c>
      <c r="M114" s="60">
        <v>0</v>
      </c>
      <c r="N114" s="60">
        <v>0</v>
      </c>
      <c r="O114" s="60">
        <v>0</v>
      </c>
      <c r="P114" s="60">
        <v>0</v>
      </c>
      <c r="Q114" s="60">
        <v>0</v>
      </c>
      <c r="R114" s="60">
        <v>0</v>
      </c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75">
      <c r="A115" s="54" t="s">
        <v>84</v>
      </c>
      <c r="C115" s="60">
        <v>0</v>
      </c>
      <c r="D115" s="60">
        <v>0</v>
      </c>
      <c r="E115" s="52">
        <f t="shared" ref="E115:L115" si="100">($M115-$D115)/($M$91-$D$91)+D115</f>
        <v>0</v>
      </c>
      <c r="F115" s="52">
        <f t="shared" si="100"/>
        <v>0</v>
      </c>
      <c r="G115" s="52">
        <f t="shared" si="100"/>
        <v>0</v>
      </c>
      <c r="H115" s="52">
        <f t="shared" si="100"/>
        <v>0</v>
      </c>
      <c r="I115" s="52">
        <f t="shared" si="100"/>
        <v>0</v>
      </c>
      <c r="J115" s="52">
        <f t="shared" si="100"/>
        <v>0</v>
      </c>
      <c r="K115" s="52">
        <f t="shared" si="100"/>
        <v>0</v>
      </c>
      <c r="L115" s="52">
        <f t="shared" si="100"/>
        <v>0</v>
      </c>
      <c r="M115" s="60">
        <v>0</v>
      </c>
      <c r="N115" s="60">
        <v>0</v>
      </c>
      <c r="O115" s="60">
        <v>0</v>
      </c>
      <c r="P115" s="60">
        <v>0</v>
      </c>
      <c r="Q115" s="60">
        <v>0</v>
      </c>
      <c r="R115" s="60">
        <v>0</v>
      </c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7" spans="1:33" ht="15.5" thickBot="1" x14ac:dyDescent="0.9"/>
    <row r="118" spans="1:33" ht="15.5" thickBot="1" x14ac:dyDescent="0.9">
      <c r="A118" s="2" t="s">
        <v>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18"/>
      <c r="R118" s="105"/>
      <c r="S118" s="19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</row>
    <row r="119" spans="1:33" ht="15.5" thickBot="1" x14ac:dyDescent="0.9">
      <c r="A119" s="100" t="s">
        <v>2</v>
      </c>
      <c r="B119" s="102" t="s">
        <v>3</v>
      </c>
      <c r="C119" s="103" t="s">
        <v>4</v>
      </c>
      <c r="D119" s="104"/>
      <c r="E119" s="104"/>
      <c r="F119" s="104"/>
      <c r="G119" s="103" t="s">
        <v>5</v>
      </c>
      <c r="H119" s="104"/>
      <c r="I119" s="104"/>
      <c r="J119" s="104"/>
      <c r="K119" s="3"/>
      <c r="L119" s="3"/>
      <c r="M119" s="3"/>
      <c r="N119" s="3"/>
      <c r="O119" s="3"/>
      <c r="P119" s="3"/>
      <c r="Q119" s="18"/>
      <c r="R119" s="106"/>
      <c r="S119" s="108" t="s">
        <v>24</v>
      </c>
      <c r="T119" s="19" t="s">
        <v>6</v>
      </c>
      <c r="U119" s="19" t="s">
        <v>8</v>
      </c>
      <c r="V119" s="19" t="s">
        <v>9</v>
      </c>
      <c r="W119" s="19" t="s">
        <v>10</v>
      </c>
      <c r="X119" s="21" t="s">
        <v>6</v>
      </c>
      <c r="Y119" s="19" t="s">
        <v>8</v>
      </c>
      <c r="Z119" s="19" t="s">
        <v>9</v>
      </c>
      <c r="AA119" s="19" t="s">
        <v>10</v>
      </c>
      <c r="AB119" s="21" t="s">
        <v>6</v>
      </c>
      <c r="AC119" s="19" t="s">
        <v>8</v>
      </c>
      <c r="AD119" s="19" t="s">
        <v>9</v>
      </c>
      <c r="AE119" s="19" t="s">
        <v>10</v>
      </c>
    </row>
    <row r="120" spans="1:33" ht="15.5" thickBot="1" x14ac:dyDescent="0.9">
      <c r="A120" s="101"/>
      <c r="B120" s="102"/>
      <c r="C120" s="4">
        <v>2020</v>
      </c>
      <c r="D120" s="4">
        <v>2022</v>
      </c>
      <c r="E120" s="4">
        <v>2030</v>
      </c>
      <c r="F120" s="5">
        <v>2035</v>
      </c>
      <c r="G120" s="4">
        <v>2020</v>
      </c>
      <c r="H120" s="4">
        <v>2022</v>
      </c>
      <c r="I120" s="4">
        <v>2030</v>
      </c>
      <c r="J120" s="5">
        <v>2035</v>
      </c>
      <c r="K120" s="3"/>
      <c r="L120" s="3"/>
      <c r="M120" s="3"/>
      <c r="N120" s="3"/>
      <c r="O120" s="3"/>
      <c r="P120" s="3"/>
      <c r="Q120" s="18"/>
      <c r="R120" s="107"/>
      <c r="S120" s="109"/>
      <c r="T120" s="22">
        <v>2022</v>
      </c>
      <c r="U120" s="22">
        <v>2022</v>
      </c>
      <c r="V120" s="22">
        <v>2022</v>
      </c>
      <c r="W120" s="22">
        <v>2022</v>
      </c>
      <c r="X120" s="22">
        <v>2030</v>
      </c>
      <c r="Y120" s="22">
        <v>2030</v>
      </c>
      <c r="Z120" s="22">
        <v>2030</v>
      </c>
      <c r="AA120" s="22">
        <v>2030</v>
      </c>
      <c r="AB120" s="23">
        <v>2035</v>
      </c>
      <c r="AC120" s="23">
        <v>2035</v>
      </c>
      <c r="AD120" s="23">
        <v>2035</v>
      </c>
      <c r="AE120" s="23">
        <v>2035</v>
      </c>
    </row>
    <row r="121" spans="1:33" ht="21.75" thickBot="1" x14ac:dyDescent="0.9">
      <c r="A121" s="6" t="s">
        <v>6</v>
      </c>
      <c r="B121" s="7" t="s">
        <v>7</v>
      </c>
      <c r="C121" s="8">
        <v>31.3</v>
      </c>
      <c r="D121" s="8">
        <v>33.6</v>
      </c>
      <c r="E121" s="8">
        <v>44.6</v>
      </c>
      <c r="F121" s="8">
        <v>53.3</v>
      </c>
      <c r="G121" s="9"/>
      <c r="H121" s="9"/>
      <c r="I121" s="9"/>
      <c r="J121" s="9"/>
      <c r="K121" s="3"/>
      <c r="L121" s="3"/>
      <c r="M121" s="3"/>
      <c r="N121" s="3"/>
      <c r="O121" s="3"/>
      <c r="P121" s="3"/>
      <c r="Q121" s="18"/>
      <c r="R121" s="24" t="s">
        <v>25</v>
      </c>
      <c r="S121" s="25"/>
      <c r="T121" s="26">
        <v>153</v>
      </c>
      <c r="U121" s="26">
        <v>146</v>
      </c>
      <c r="V121" s="26">
        <v>227</v>
      </c>
      <c r="W121" s="26">
        <v>253</v>
      </c>
      <c r="X121" s="26">
        <v>153</v>
      </c>
      <c r="Y121" s="26">
        <v>146</v>
      </c>
      <c r="Z121" s="26">
        <v>227</v>
      </c>
      <c r="AA121" s="26">
        <v>253</v>
      </c>
      <c r="AB121" s="26">
        <v>152.60842752091946</v>
      </c>
      <c r="AC121" s="26">
        <v>145.98083087539877</v>
      </c>
      <c r="AD121" s="26">
        <v>227.02874406681264</v>
      </c>
      <c r="AE121" s="26">
        <v>252.86951483455164</v>
      </c>
    </row>
    <row r="122" spans="1:33" ht="21.75" thickBot="1" x14ac:dyDescent="0.9">
      <c r="A122" s="10" t="s">
        <v>8</v>
      </c>
      <c r="B122" s="7" t="s">
        <v>7</v>
      </c>
      <c r="C122" s="11">
        <v>28</v>
      </c>
      <c r="D122" s="11">
        <v>30.1</v>
      </c>
      <c r="E122" s="11">
        <v>40</v>
      </c>
      <c r="F122" s="11">
        <v>47.8</v>
      </c>
      <c r="G122" s="9"/>
      <c r="H122" s="9"/>
      <c r="I122" s="9"/>
      <c r="J122" s="9"/>
      <c r="K122" s="3"/>
      <c r="L122" s="3"/>
      <c r="M122" s="3"/>
      <c r="N122" s="3"/>
      <c r="O122" s="3"/>
      <c r="P122" s="3"/>
      <c r="Q122" s="110"/>
      <c r="R122" s="27" t="s">
        <v>26</v>
      </c>
      <c r="S122" s="111"/>
      <c r="T122" s="98" t="s">
        <v>27</v>
      </c>
      <c r="U122" s="98" t="s">
        <v>27</v>
      </c>
      <c r="V122" s="98" t="s">
        <v>27</v>
      </c>
      <c r="W122" s="98" t="s">
        <v>27</v>
      </c>
      <c r="X122" s="98" t="s">
        <v>27</v>
      </c>
      <c r="Y122" s="98" t="s">
        <v>27</v>
      </c>
      <c r="Z122" s="98" t="s">
        <v>27</v>
      </c>
      <c r="AA122" s="98" t="s">
        <v>27</v>
      </c>
      <c r="AB122" s="98"/>
      <c r="AC122" s="98"/>
      <c r="AD122" s="98"/>
      <c r="AE122" s="98"/>
    </row>
    <row r="123" spans="1:33" ht="15.5" thickBot="1" x14ac:dyDescent="0.9">
      <c r="A123" s="6" t="s">
        <v>9</v>
      </c>
      <c r="B123" s="7" t="s">
        <v>7</v>
      </c>
      <c r="C123" s="12">
        <v>21.5</v>
      </c>
      <c r="D123" s="12">
        <v>23</v>
      </c>
      <c r="E123" s="12">
        <v>30.6</v>
      </c>
      <c r="F123" s="12">
        <v>36.6</v>
      </c>
      <c r="G123" s="9"/>
      <c r="H123" s="9"/>
      <c r="I123" s="9"/>
      <c r="J123" s="9"/>
      <c r="K123" s="3"/>
      <c r="L123" s="3"/>
      <c r="M123" s="3"/>
      <c r="N123" s="3"/>
      <c r="O123" s="3"/>
      <c r="P123" s="3"/>
      <c r="Q123" s="110"/>
      <c r="R123" s="24" t="s">
        <v>28</v>
      </c>
      <c r="S123" s="112"/>
      <c r="T123" s="99"/>
      <c r="U123" s="99"/>
      <c r="V123" s="99"/>
      <c r="W123" s="99"/>
      <c r="X123" s="99"/>
      <c r="Y123" s="99"/>
      <c r="Z123" s="99"/>
      <c r="AA123" s="99"/>
      <c r="AB123" s="99"/>
      <c r="AC123" s="99"/>
      <c r="AD123" s="99"/>
      <c r="AE123" s="99"/>
    </row>
    <row r="124" spans="1:33" ht="15.5" thickBot="1" x14ac:dyDescent="0.9">
      <c r="A124" s="10" t="s">
        <v>10</v>
      </c>
      <c r="B124" s="7" t="s">
        <v>7</v>
      </c>
      <c r="C124" s="11">
        <v>19</v>
      </c>
      <c r="D124" s="11">
        <v>20.399999999999999</v>
      </c>
      <c r="E124" s="11">
        <v>27.2</v>
      </c>
      <c r="F124" s="11">
        <v>32.5</v>
      </c>
      <c r="G124" s="9"/>
      <c r="H124" s="9"/>
      <c r="I124" s="9"/>
      <c r="J124" s="9"/>
      <c r="K124" s="3"/>
      <c r="L124" s="3"/>
      <c r="M124" s="3"/>
      <c r="N124" s="3"/>
      <c r="O124" s="3"/>
      <c r="P124" s="3"/>
      <c r="Q124" s="18"/>
      <c r="R124" s="27" t="s">
        <v>29</v>
      </c>
      <c r="S124" s="7" t="s">
        <v>11</v>
      </c>
      <c r="T124" s="26">
        <v>0.27</v>
      </c>
      <c r="U124" s="26">
        <v>0.32</v>
      </c>
      <c r="V124" s="26">
        <v>0.37</v>
      </c>
      <c r="W124" s="26">
        <v>0.45</v>
      </c>
      <c r="X124" s="26">
        <v>0.19</v>
      </c>
      <c r="Y124" s="26">
        <v>0.2</v>
      </c>
      <c r="Z124" s="26">
        <v>0.24</v>
      </c>
      <c r="AA124" s="26">
        <v>0.31</v>
      </c>
      <c r="AB124" s="28">
        <v>0.18426701437307363</v>
      </c>
      <c r="AC124" s="28">
        <v>0.19574832681316678</v>
      </c>
      <c r="AD124" s="28">
        <v>0.23764303932196376</v>
      </c>
      <c r="AE124" s="28">
        <v>0.30309995733807726</v>
      </c>
    </row>
    <row r="125" spans="1:33" ht="15.5" thickBot="1" x14ac:dyDescent="0.9">
      <c r="A125" s="6" t="s">
        <v>6</v>
      </c>
      <c r="B125" s="7" t="s">
        <v>11</v>
      </c>
      <c r="C125" s="9"/>
      <c r="D125" s="12">
        <f t="shared" ref="D125:D148" si="101">INDEX($T$124:$W$129,MATCH($B125,$S$124:$S$129,0),MATCH($A125,$T$119:$W$119,0))</f>
        <v>0.27</v>
      </c>
      <c r="E125" s="12">
        <f t="shared" ref="E125:E148" si="102">INDEX($X$124:$AA$129,MATCH($B125,$S$124:$S$129,0),MATCH($A125,$X$119:$AA$119,0))</f>
        <v>0.19</v>
      </c>
      <c r="F125" s="13">
        <f t="shared" ref="F125:F148" si="103">INDEX($AB$124:$AE$129,MATCH($B125,$S$124:$S$129,0),MATCH($A125,$AB$119:$AE$119,0))</f>
        <v>0.18426701437307363</v>
      </c>
      <c r="G125" s="9"/>
      <c r="H125" s="12">
        <f t="shared" ref="H125:H148" si="104">INDEX($T$130:$W$135,MATCH($B125,$S$130:$S$135,0),MATCH($A125,$T$119:$W$119,0))</f>
        <v>41</v>
      </c>
      <c r="I125" s="12">
        <f t="shared" ref="I125:I148" si="105">INDEX($X$130:$AA$135,MATCH($B125,$S$130:$S$135,0),MATCH($A125,$X$119:$AA$119,0))</f>
        <v>27</v>
      </c>
      <c r="J125" s="12">
        <f t="shared" ref="J125:J148" si="106">INDEX($AB$130:$AE$135,MATCH($B125,$S$130:$S$135,0),MATCH($A125,$X$119:$AA$119,0))</f>
        <v>26.364357441070538</v>
      </c>
      <c r="K125" s="3"/>
      <c r="L125" s="3"/>
      <c r="M125" s="3"/>
      <c r="N125" s="3"/>
      <c r="O125" s="3"/>
      <c r="P125" s="3"/>
      <c r="Q125" s="18"/>
      <c r="R125" s="27" t="s">
        <v>30</v>
      </c>
      <c r="S125" s="7" t="s">
        <v>12</v>
      </c>
      <c r="T125" s="29">
        <v>0.28000000000000003</v>
      </c>
      <c r="U125" s="29">
        <v>0.33</v>
      </c>
      <c r="V125" s="29">
        <v>0.38</v>
      </c>
      <c r="W125" s="29">
        <v>0.46</v>
      </c>
      <c r="X125" s="29">
        <v>0.2</v>
      </c>
      <c r="Y125" s="29">
        <v>0.21</v>
      </c>
      <c r="Z125" s="29">
        <v>0.26</v>
      </c>
      <c r="AA125" s="29">
        <v>0.33</v>
      </c>
      <c r="AB125" s="30">
        <v>0.19456292552209251</v>
      </c>
      <c r="AC125" s="30">
        <v>0.20646960386579979</v>
      </c>
      <c r="AD125" s="30">
        <v>0.25035718310927135</v>
      </c>
      <c r="AE125" s="30">
        <v>0.31939450393345609</v>
      </c>
    </row>
    <row r="126" spans="1:33" ht="15.5" thickBot="1" x14ac:dyDescent="0.9">
      <c r="A126" s="10" t="s">
        <v>6</v>
      </c>
      <c r="B126" s="7" t="s">
        <v>12</v>
      </c>
      <c r="C126" s="9"/>
      <c r="D126" s="11">
        <f t="shared" si="101"/>
        <v>0.28000000000000003</v>
      </c>
      <c r="E126" s="11">
        <f t="shared" si="102"/>
        <v>0.2</v>
      </c>
      <c r="F126" s="14">
        <f t="shared" si="103"/>
        <v>0.19456292552209251</v>
      </c>
      <c r="G126" s="9"/>
      <c r="H126" s="12">
        <f t="shared" si="104"/>
        <v>56</v>
      </c>
      <c r="I126" s="12">
        <f t="shared" si="105"/>
        <v>38</v>
      </c>
      <c r="J126" s="12">
        <f t="shared" si="106"/>
        <v>37.116619638060733</v>
      </c>
      <c r="K126" s="3"/>
      <c r="L126" s="3"/>
      <c r="M126" s="3"/>
      <c r="N126" s="3"/>
      <c r="O126" s="3"/>
      <c r="P126" s="3"/>
      <c r="Q126" s="18"/>
      <c r="R126" s="31"/>
      <c r="S126" s="7" t="s">
        <v>13</v>
      </c>
      <c r="T126" s="26">
        <v>0.28000000000000003</v>
      </c>
      <c r="U126" s="26">
        <v>0.34</v>
      </c>
      <c r="V126" s="26">
        <v>0.39</v>
      </c>
      <c r="W126" s="26">
        <v>0.47</v>
      </c>
      <c r="X126" s="26">
        <v>0.21</v>
      </c>
      <c r="Y126" s="26">
        <v>0.22</v>
      </c>
      <c r="Z126" s="26">
        <v>0.27</v>
      </c>
      <c r="AA126" s="26">
        <v>0.35</v>
      </c>
      <c r="AB126" s="28">
        <v>0.20543412024396976</v>
      </c>
      <c r="AC126" s="28">
        <v>0.21777809299585213</v>
      </c>
      <c r="AD126" s="28">
        <v>0.26375154649276639</v>
      </c>
      <c r="AE126" s="28">
        <v>0.33656503959554668</v>
      </c>
    </row>
    <row r="127" spans="1:33" ht="15.5" thickBot="1" x14ac:dyDescent="0.9">
      <c r="A127" s="6" t="s">
        <v>6</v>
      </c>
      <c r="B127" s="7" t="s">
        <v>13</v>
      </c>
      <c r="C127" s="9"/>
      <c r="D127" s="12">
        <f t="shared" si="101"/>
        <v>0.28000000000000003</v>
      </c>
      <c r="E127" s="12">
        <f t="shared" si="102"/>
        <v>0.21</v>
      </c>
      <c r="F127" s="13">
        <f t="shared" si="103"/>
        <v>0.20543412024396976</v>
      </c>
      <c r="G127" s="9"/>
      <c r="H127" s="12">
        <f t="shared" si="104"/>
        <v>72</v>
      </c>
      <c r="I127" s="12">
        <f t="shared" si="105"/>
        <v>50</v>
      </c>
      <c r="J127" s="12">
        <f t="shared" si="106"/>
        <v>48.988136365869714</v>
      </c>
      <c r="K127" s="3"/>
      <c r="L127" s="3"/>
      <c r="M127" s="3"/>
      <c r="N127" s="3"/>
      <c r="O127" s="3"/>
      <c r="P127" s="3"/>
      <c r="Q127" s="18"/>
      <c r="R127" s="31"/>
      <c r="S127" s="7" t="s">
        <v>14</v>
      </c>
      <c r="T127" s="29">
        <v>0.28999999999999998</v>
      </c>
      <c r="U127" s="29">
        <v>0.35</v>
      </c>
      <c r="V127" s="29">
        <v>0.4</v>
      </c>
      <c r="W127" s="29">
        <v>0.48</v>
      </c>
      <c r="X127" s="29">
        <v>0.22</v>
      </c>
      <c r="Y127" s="29">
        <v>0.24</v>
      </c>
      <c r="Z127" s="29">
        <v>0.28000000000000003</v>
      </c>
      <c r="AA127" s="29">
        <v>0.36</v>
      </c>
      <c r="AB127" s="30">
        <v>0.21691274248249151</v>
      </c>
      <c r="AC127" s="30">
        <v>0.22970595623235948</v>
      </c>
      <c r="AD127" s="30">
        <v>0.27786252191119876</v>
      </c>
      <c r="AE127" s="30">
        <v>0.35465865718701378</v>
      </c>
    </row>
    <row r="128" spans="1:33" ht="15.5" thickBot="1" x14ac:dyDescent="0.9">
      <c r="A128" s="10" t="s">
        <v>6</v>
      </c>
      <c r="B128" s="7" t="s">
        <v>14</v>
      </c>
      <c r="C128" s="9"/>
      <c r="D128" s="11">
        <f t="shared" si="101"/>
        <v>0.28999999999999998</v>
      </c>
      <c r="E128" s="11">
        <f t="shared" si="102"/>
        <v>0.22</v>
      </c>
      <c r="F128" s="14">
        <f t="shared" si="103"/>
        <v>0.21691274248249151</v>
      </c>
      <c r="G128" s="9"/>
      <c r="H128" s="12">
        <f t="shared" si="104"/>
        <v>88</v>
      </c>
      <c r="I128" s="12">
        <f t="shared" si="105"/>
        <v>64</v>
      </c>
      <c r="J128" s="12">
        <f t="shared" si="106"/>
        <v>62.070415541143731</v>
      </c>
      <c r="K128" s="3"/>
      <c r="L128" s="3"/>
      <c r="M128" s="3"/>
      <c r="N128" s="3"/>
      <c r="O128" s="3"/>
      <c r="P128" s="3"/>
      <c r="Q128" s="18"/>
      <c r="R128" s="31"/>
      <c r="S128" s="7" t="s">
        <v>15</v>
      </c>
      <c r="T128" s="26">
        <v>0.3</v>
      </c>
      <c r="U128" s="26">
        <v>0.36</v>
      </c>
      <c r="V128" s="26">
        <v>0.4</v>
      </c>
      <c r="W128" s="26">
        <v>0.49</v>
      </c>
      <c r="X128" s="26">
        <v>0.23</v>
      </c>
      <c r="Y128" s="26">
        <v>0.25</v>
      </c>
      <c r="Z128" s="26">
        <v>0.3</v>
      </c>
      <c r="AA128" s="26">
        <v>0.38</v>
      </c>
      <c r="AB128" s="28">
        <v>0.22903273222285869</v>
      </c>
      <c r="AC128" s="28">
        <v>0.24228711714188639</v>
      </c>
      <c r="AD128" s="28">
        <v>0.29272844883572613</v>
      </c>
      <c r="AE128" s="28">
        <v>0.37372498126617681</v>
      </c>
    </row>
    <row r="129" spans="1:31" ht="15.5" thickBot="1" x14ac:dyDescent="0.9">
      <c r="A129" s="6" t="s">
        <v>6</v>
      </c>
      <c r="B129" s="7" t="s">
        <v>15</v>
      </c>
      <c r="C129" s="9"/>
      <c r="D129" s="12">
        <f t="shared" si="101"/>
        <v>0.3</v>
      </c>
      <c r="E129" s="12">
        <f t="shared" si="102"/>
        <v>0.23</v>
      </c>
      <c r="F129" s="13">
        <f t="shared" si="103"/>
        <v>0.22903273222285869</v>
      </c>
      <c r="G129" s="9"/>
      <c r="H129" s="12">
        <f t="shared" si="104"/>
        <v>105</v>
      </c>
      <c r="I129" s="12">
        <f t="shared" si="105"/>
        <v>78</v>
      </c>
      <c r="J129" s="12">
        <f t="shared" si="106"/>
        <v>76.461696757477441</v>
      </c>
      <c r="K129" s="3"/>
      <c r="L129" s="3"/>
      <c r="M129" s="3"/>
      <c r="N129" s="3"/>
      <c r="O129" s="3"/>
      <c r="P129" s="3"/>
      <c r="Q129" s="18"/>
      <c r="R129" s="32"/>
      <c r="S129" s="7" t="s">
        <v>16</v>
      </c>
      <c r="T129" s="29">
        <v>0.31</v>
      </c>
      <c r="U129" s="29">
        <v>0.36</v>
      </c>
      <c r="V129" s="29">
        <v>0.41</v>
      </c>
      <c r="W129" s="29">
        <v>0.5</v>
      </c>
      <c r="X129" s="29">
        <v>0.25</v>
      </c>
      <c r="Y129" s="29">
        <v>0.26</v>
      </c>
      <c r="Z129" s="29">
        <v>0.32</v>
      </c>
      <c r="AA129" s="29">
        <v>0.4</v>
      </c>
      <c r="AB129" s="30">
        <v>0.24115272196322587</v>
      </c>
      <c r="AC129" s="30">
        <v>0.25486827805141332</v>
      </c>
      <c r="AD129" s="30">
        <v>0.30759437576025339</v>
      </c>
      <c r="AE129" s="30">
        <v>0.3927913053453399</v>
      </c>
    </row>
    <row r="130" spans="1:31" ht="23.25" thickBot="1" x14ac:dyDescent="0.9">
      <c r="A130" s="10" t="s">
        <v>6</v>
      </c>
      <c r="B130" s="7" t="s">
        <v>16</v>
      </c>
      <c r="C130" s="9"/>
      <c r="D130" s="11">
        <f t="shared" si="101"/>
        <v>0.31</v>
      </c>
      <c r="E130" s="11">
        <f t="shared" si="102"/>
        <v>0.25</v>
      </c>
      <c r="F130" s="14">
        <f t="shared" si="103"/>
        <v>0.24115272196322587</v>
      </c>
      <c r="G130" s="9"/>
      <c r="H130" s="12">
        <f t="shared" si="104"/>
        <v>123</v>
      </c>
      <c r="I130" s="12">
        <f t="shared" si="105"/>
        <v>94</v>
      </c>
      <c r="J130" s="12">
        <f t="shared" si="106"/>
        <v>92.009038533661567</v>
      </c>
      <c r="K130" s="3"/>
      <c r="L130" s="3"/>
      <c r="M130" s="3"/>
      <c r="N130" s="3"/>
      <c r="O130" s="3"/>
      <c r="P130" s="3"/>
      <c r="Q130" s="18"/>
      <c r="R130" s="27" t="s">
        <v>31</v>
      </c>
      <c r="S130" s="7" t="s">
        <v>11</v>
      </c>
      <c r="T130" s="26">
        <v>41</v>
      </c>
      <c r="U130" s="26">
        <v>50</v>
      </c>
      <c r="V130" s="26">
        <v>57</v>
      </c>
      <c r="W130" s="26">
        <v>70</v>
      </c>
      <c r="X130" s="26">
        <v>27</v>
      </c>
      <c r="Y130" s="26">
        <v>29</v>
      </c>
      <c r="Z130" s="26">
        <v>35</v>
      </c>
      <c r="AA130" s="26">
        <v>45</v>
      </c>
      <c r="AB130" s="28">
        <v>26.364357441070538</v>
      </c>
      <c r="AC130" s="28">
        <v>28.007068297883862</v>
      </c>
      <c r="AD130" s="28">
        <v>34.001234856834813</v>
      </c>
      <c r="AE130" s="28">
        <v>43.366609280678752</v>
      </c>
    </row>
    <row r="131" spans="1:31" ht="15.5" thickBot="1" x14ac:dyDescent="0.9">
      <c r="A131" s="6" t="s">
        <v>8</v>
      </c>
      <c r="B131" s="7" t="s">
        <v>11</v>
      </c>
      <c r="C131" s="9"/>
      <c r="D131" s="12">
        <f t="shared" si="101"/>
        <v>0.32</v>
      </c>
      <c r="E131" s="12">
        <f t="shared" si="102"/>
        <v>0.2</v>
      </c>
      <c r="F131" s="13">
        <f t="shared" si="103"/>
        <v>0.19574832681316678</v>
      </c>
      <c r="G131" s="9"/>
      <c r="H131" s="12">
        <f t="shared" si="104"/>
        <v>50</v>
      </c>
      <c r="I131" s="12">
        <f t="shared" si="105"/>
        <v>29</v>
      </c>
      <c r="J131" s="12">
        <f t="shared" si="106"/>
        <v>28.007068297883862</v>
      </c>
      <c r="K131" s="3"/>
      <c r="L131" s="3"/>
      <c r="M131" s="3"/>
      <c r="N131" s="3"/>
      <c r="O131" s="3"/>
      <c r="P131" s="3"/>
      <c r="Q131" s="18"/>
      <c r="R131" s="27" t="s">
        <v>32</v>
      </c>
      <c r="S131" s="7" t="s">
        <v>12</v>
      </c>
      <c r="T131" s="29">
        <v>56</v>
      </c>
      <c r="U131" s="29">
        <v>67</v>
      </c>
      <c r="V131" s="29">
        <v>77</v>
      </c>
      <c r="W131" s="29">
        <v>94</v>
      </c>
      <c r="X131" s="29">
        <v>38</v>
      </c>
      <c r="Y131" s="29">
        <v>41</v>
      </c>
      <c r="Z131" s="29">
        <v>49</v>
      </c>
      <c r="AA131" s="29">
        <v>63</v>
      </c>
      <c r="AB131" s="30">
        <v>37.116619638060733</v>
      </c>
      <c r="AC131" s="30">
        <v>39.388047506706428</v>
      </c>
      <c r="AD131" s="30">
        <v>47.760447239307148</v>
      </c>
      <c r="AE131" s="30">
        <v>60.930643827305474</v>
      </c>
    </row>
    <row r="132" spans="1:31" ht="15.5" thickBot="1" x14ac:dyDescent="0.9">
      <c r="A132" s="10" t="s">
        <v>8</v>
      </c>
      <c r="B132" s="7" t="s">
        <v>12</v>
      </c>
      <c r="C132" s="9"/>
      <c r="D132" s="11">
        <f t="shared" si="101"/>
        <v>0.33</v>
      </c>
      <c r="E132" s="11">
        <f t="shared" si="102"/>
        <v>0.21</v>
      </c>
      <c r="F132" s="14">
        <f t="shared" si="103"/>
        <v>0.20646960386579979</v>
      </c>
      <c r="G132" s="9"/>
      <c r="H132" s="12">
        <f t="shared" si="104"/>
        <v>67</v>
      </c>
      <c r="I132" s="12">
        <f t="shared" si="105"/>
        <v>41</v>
      </c>
      <c r="J132" s="12">
        <f t="shared" si="106"/>
        <v>39.388047506706428</v>
      </c>
      <c r="K132" s="3"/>
      <c r="L132" s="3"/>
      <c r="M132" s="3"/>
      <c r="N132" s="3"/>
      <c r="O132" s="3"/>
      <c r="P132" s="3"/>
      <c r="Q132" s="18"/>
      <c r="R132" s="31"/>
      <c r="S132" s="7" t="s">
        <v>13</v>
      </c>
      <c r="T132" s="26">
        <v>72</v>
      </c>
      <c r="U132" s="26">
        <v>86</v>
      </c>
      <c r="V132" s="26">
        <v>98</v>
      </c>
      <c r="W132" s="26">
        <v>119</v>
      </c>
      <c r="X132" s="26">
        <v>50</v>
      </c>
      <c r="Y132" s="26">
        <v>53</v>
      </c>
      <c r="Z132" s="26">
        <v>64</v>
      </c>
      <c r="AA132" s="26">
        <v>82</v>
      </c>
      <c r="AB132" s="28">
        <v>48.988136365869714</v>
      </c>
      <c r="AC132" s="28">
        <v>51.931699099010892</v>
      </c>
      <c r="AD132" s="28">
        <v>62.894599548275075</v>
      </c>
      <c r="AE132" s="28">
        <v>80.257817134322678</v>
      </c>
    </row>
    <row r="133" spans="1:31" ht="15.5" thickBot="1" x14ac:dyDescent="0.9">
      <c r="A133" s="6" t="s">
        <v>8</v>
      </c>
      <c r="B133" s="7" t="s">
        <v>13</v>
      </c>
      <c r="C133" s="9"/>
      <c r="D133" s="12">
        <f t="shared" si="101"/>
        <v>0.34</v>
      </c>
      <c r="E133" s="12">
        <f t="shared" si="102"/>
        <v>0.22</v>
      </c>
      <c r="F133" s="13">
        <f t="shared" si="103"/>
        <v>0.21777809299585213</v>
      </c>
      <c r="G133" s="9"/>
      <c r="H133" s="12">
        <f t="shared" si="104"/>
        <v>86</v>
      </c>
      <c r="I133" s="12">
        <f t="shared" si="105"/>
        <v>53</v>
      </c>
      <c r="J133" s="12">
        <f t="shared" si="106"/>
        <v>51.931699099010892</v>
      </c>
      <c r="K133" s="3"/>
      <c r="L133" s="3"/>
      <c r="M133" s="3"/>
      <c r="N133" s="3"/>
      <c r="O133" s="3"/>
      <c r="P133" s="3"/>
      <c r="Q133" s="18"/>
      <c r="R133" s="31"/>
      <c r="S133" s="7" t="s">
        <v>14</v>
      </c>
      <c r="T133" s="29">
        <v>88</v>
      </c>
      <c r="U133" s="29">
        <v>105</v>
      </c>
      <c r="V133" s="29">
        <v>119</v>
      </c>
      <c r="W133" s="29">
        <v>144</v>
      </c>
      <c r="X133" s="29">
        <v>64</v>
      </c>
      <c r="Y133" s="29">
        <v>67</v>
      </c>
      <c r="Z133" s="29">
        <v>82</v>
      </c>
      <c r="AA133" s="29">
        <v>104</v>
      </c>
      <c r="AB133" s="30">
        <v>62.070415541143731</v>
      </c>
      <c r="AC133" s="30">
        <v>65.731242860336721</v>
      </c>
      <c r="AD133" s="30">
        <v>79.51142934689689</v>
      </c>
      <c r="AE133" s="30">
        <v>101.48693882582241</v>
      </c>
    </row>
    <row r="134" spans="1:31" ht="15.5" thickBot="1" x14ac:dyDescent="0.9">
      <c r="A134" s="10" t="s">
        <v>8</v>
      </c>
      <c r="B134" s="7" t="s">
        <v>14</v>
      </c>
      <c r="C134" s="9"/>
      <c r="D134" s="11">
        <f t="shared" si="101"/>
        <v>0.35</v>
      </c>
      <c r="E134" s="11">
        <f t="shared" si="102"/>
        <v>0.24</v>
      </c>
      <c r="F134" s="14">
        <f t="shared" si="103"/>
        <v>0.22970595623235948</v>
      </c>
      <c r="G134" s="9"/>
      <c r="H134" s="12">
        <f t="shared" si="104"/>
        <v>105</v>
      </c>
      <c r="I134" s="12">
        <f t="shared" si="105"/>
        <v>67</v>
      </c>
      <c r="J134" s="12">
        <f t="shared" si="106"/>
        <v>65.731242860336721</v>
      </c>
      <c r="K134" s="3"/>
      <c r="L134" s="3"/>
      <c r="M134" s="3"/>
      <c r="N134" s="3"/>
      <c r="O134" s="3"/>
      <c r="P134" s="3"/>
      <c r="Q134" s="18"/>
      <c r="R134" s="31"/>
      <c r="S134" s="7" t="s">
        <v>15</v>
      </c>
      <c r="T134" s="26">
        <v>105</v>
      </c>
      <c r="U134" s="26">
        <v>125</v>
      </c>
      <c r="V134" s="26">
        <v>141</v>
      </c>
      <c r="W134" s="26">
        <v>170</v>
      </c>
      <c r="X134" s="26">
        <v>78</v>
      </c>
      <c r="Y134" s="26">
        <v>83</v>
      </c>
      <c r="Z134" s="26">
        <v>100</v>
      </c>
      <c r="AA134" s="26">
        <v>128</v>
      </c>
      <c r="AB134" s="28">
        <v>76.461696757477441</v>
      </c>
      <c r="AC134" s="28">
        <v>80.886622184291312</v>
      </c>
      <c r="AD134" s="28">
        <v>97.726266765157817</v>
      </c>
      <c r="AE134" s="28">
        <v>124.76664759193905</v>
      </c>
    </row>
    <row r="135" spans="1:31" ht="15.5" thickBot="1" x14ac:dyDescent="0.9">
      <c r="A135" s="6" t="s">
        <v>8</v>
      </c>
      <c r="B135" s="7" t="s">
        <v>15</v>
      </c>
      <c r="C135" s="9"/>
      <c r="D135" s="12">
        <f t="shared" si="101"/>
        <v>0.36</v>
      </c>
      <c r="E135" s="12">
        <f t="shared" si="102"/>
        <v>0.25</v>
      </c>
      <c r="F135" s="13">
        <f t="shared" si="103"/>
        <v>0.24228711714188639</v>
      </c>
      <c r="G135" s="9"/>
      <c r="H135" s="12">
        <f t="shared" si="104"/>
        <v>125</v>
      </c>
      <c r="I135" s="12">
        <f t="shared" si="105"/>
        <v>83</v>
      </c>
      <c r="J135" s="12">
        <f t="shared" si="106"/>
        <v>80.886622184291312</v>
      </c>
      <c r="K135" s="3"/>
      <c r="L135" s="3"/>
      <c r="M135" s="3"/>
      <c r="N135" s="3"/>
      <c r="O135" s="3"/>
      <c r="P135" s="3"/>
      <c r="Q135" s="33"/>
      <c r="R135" s="32"/>
      <c r="S135" s="7" t="s">
        <v>16</v>
      </c>
      <c r="T135" s="29">
        <v>123</v>
      </c>
      <c r="U135" s="29">
        <v>145</v>
      </c>
      <c r="V135" s="29">
        <v>164</v>
      </c>
      <c r="W135" s="29">
        <v>197</v>
      </c>
      <c r="X135" s="29">
        <v>94</v>
      </c>
      <c r="Y135" s="29">
        <v>100</v>
      </c>
      <c r="Z135" s="29">
        <v>120</v>
      </c>
      <c r="AA135" s="29">
        <v>154</v>
      </c>
      <c r="AB135" s="30">
        <v>92.009038533661567</v>
      </c>
      <c r="AC135" s="30">
        <v>97.242050702693078</v>
      </c>
      <c r="AD135" s="30">
        <v>117.35908490545053</v>
      </c>
      <c r="AE135" s="30">
        <v>149.86499034714507</v>
      </c>
    </row>
    <row r="136" spans="1:31" ht="15.5" thickBot="1" x14ac:dyDescent="0.9">
      <c r="A136" s="10" t="s">
        <v>8</v>
      </c>
      <c r="B136" s="7" t="s">
        <v>16</v>
      </c>
      <c r="C136" s="9"/>
      <c r="D136" s="11">
        <f t="shared" si="101"/>
        <v>0.36</v>
      </c>
      <c r="E136" s="11">
        <f t="shared" si="102"/>
        <v>0.26</v>
      </c>
      <c r="F136" s="14">
        <f t="shared" si="103"/>
        <v>0.25486827805141332</v>
      </c>
      <c r="G136" s="9"/>
      <c r="H136" s="12">
        <f t="shared" si="104"/>
        <v>145</v>
      </c>
      <c r="I136" s="12">
        <f t="shared" si="105"/>
        <v>100</v>
      </c>
      <c r="J136" s="12">
        <f t="shared" si="106"/>
        <v>97.242050702693078</v>
      </c>
      <c r="K136" s="3"/>
      <c r="L136" s="3"/>
      <c r="M136" s="3"/>
      <c r="N136" s="3"/>
      <c r="O136" s="3"/>
      <c r="P136" s="3"/>
      <c r="Q136" s="3"/>
      <c r="R136" s="34" t="s">
        <v>33</v>
      </c>
      <c r="S136" s="7" t="s">
        <v>11</v>
      </c>
      <c r="T136" s="35">
        <v>134</v>
      </c>
      <c r="U136" s="35">
        <v>131</v>
      </c>
      <c r="V136" s="35">
        <v>129</v>
      </c>
      <c r="W136" s="35">
        <v>126</v>
      </c>
      <c r="X136" s="35">
        <v>79</v>
      </c>
      <c r="Y136" s="35">
        <v>78</v>
      </c>
      <c r="Z136" s="35">
        <v>77</v>
      </c>
      <c r="AA136" s="35">
        <v>75</v>
      </c>
      <c r="AB136" s="35">
        <v>67.981962411456095</v>
      </c>
      <c r="AC136" s="35">
        <v>67.521080243364935</v>
      </c>
      <c r="AD136" s="35">
        <v>66.042296957575672</v>
      </c>
      <c r="AE136" s="35">
        <v>64.187199212787178</v>
      </c>
    </row>
    <row r="137" spans="1:31" ht="15.5" thickBot="1" x14ac:dyDescent="0.9">
      <c r="A137" s="6" t="s">
        <v>9</v>
      </c>
      <c r="B137" s="7" t="s">
        <v>11</v>
      </c>
      <c r="C137" s="9"/>
      <c r="D137" s="12">
        <f t="shared" si="101"/>
        <v>0.37</v>
      </c>
      <c r="E137" s="12">
        <f t="shared" si="102"/>
        <v>0.24</v>
      </c>
      <c r="F137" s="13">
        <f t="shared" si="103"/>
        <v>0.23764303932196376</v>
      </c>
      <c r="G137" s="9"/>
      <c r="H137" s="12">
        <f t="shared" si="104"/>
        <v>57</v>
      </c>
      <c r="I137" s="12">
        <f t="shared" si="105"/>
        <v>35</v>
      </c>
      <c r="J137" s="12">
        <f t="shared" si="106"/>
        <v>34.001234856834813</v>
      </c>
      <c r="K137" s="3"/>
      <c r="L137" s="3"/>
      <c r="M137" s="3"/>
      <c r="N137" s="3"/>
      <c r="O137" s="3"/>
      <c r="P137" s="3"/>
      <c r="Q137" s="3"/>
      <c r="R137" s="36" t="s">
        <v>34</v>
      </c>
      <c r="S137" s="7" t="s">
        <v>12</v>
      </c>
      <c r="T137" s="37">
        <v>129</v>
      </c>
      <c r="U137" s="37">
        <v>126</v>
      </c>
      <c r="V137" s="37">
        <v>124</v>
      </c>
      <c r="W137" s="37">
        <v>121</v>
      </c>
      <c r="X137" s="37">
        <v>76</v>
      </c>
      <c r="Y137" s="37">
        <v>75</v>
      </c>
      <c r="Z137" s="37">
        <v>74</v>
      </c>
      <c r="AA137" s="37">
        <v>72</v>
      </c>
      <c r="AB137" s="37">
        <v>65.373832407134955</v>
      </c>
      <c r="AC137" s="37">
        <v>64.92092858816099</v>
      </c>
      <c r="AD137" s="37">
        <v>63.451329560444108</v>
      </c>
      <c r="AE137" s="37">
        <v>61.594360138983198</v>
      </c>
    </row>
    <row r="138" spans="1:31" ht="15.5" thickBot="1" x14ac:dyDescent="0.9">
      <c r="A138" s="10" t="s">
        <v>9</v>
      </c>
      <c r="B138" s="7" t="s">
        <v>12</v>
      </c>
      <c r="C138" s="9"/>
      <c r="D138" s="11">
        <f t="shared" si="101"/>
        <v>0.38</v>
      </c>
      <c r="E138" s="11">
        <f t="shared" si="102"/>
        <v>0.26</v>
      </c>
      <c r="F138" s="14">
        <f t="shared" si="103"/>
        <v>0.25035718310927135</v>
      </c>
      <c r="G138" s="9"/>
      <c r="H138" s="12">
        <f t="shared" si="104"/>
        <v>77</v>
      </c>
      <c r="I138" s="12">
        <f t="shared" si="105"/>
        <v>49</v>
      </c>
      <c r="J138" s="12">
        <f t="shared" si="106"/>
        <v>47.760447239307148</v>
      </c>
      <c r="K138" s="3"/>
      <c r="L138" s="3"/>
      <c r="M138" s="3"/>
      <c r="N138" s="3"/>
      <c r="O138" s="3"/>
      <c r="P138" s="3"/>
      <c r="Q138" s="3"/>
      <c r="R138" s="38"/>
      <c r="S138" s="7" t="s">
        <v>13</v>
      </c>
      <c r="T138" s="35">
        <v>125</v>
      </c>
      <c r="U138" s="35">
        <v>122</v>
      </c>
      <c r="V138" s="35">
        <v>120</v>
      </c>
      <c r="W138" s="35">
        <v>117</v>
      </c>
      <c r="X138" s="35">
        <v>74</v>
      </c>
      <c r="Y138" s="35">
        <v>73</v>
      </c>
      <c r="Z138" s="35">
        <v>71</v>
      </c>
      <c r="AA138" s="35">
        <v>69</v>
      </c>
      <c r="AB138" s="35">
        <v>63.257805748630886</v>
      </c>
      <c r="AC138" s="35">
        <v>62.812880278774088</v>
      </c>
      <c r="AD138" s="35">
        <v>61.352465509129622</v>
      </c>
      <c r="AE138" s="35">
        <v>59.493624410996297</v>
      </c>
    </row>
    <row r="139" spans="1:31" ht="15.5" thickBot="1" x14ac:dyDescent="0.9">
      <c r="A139" s="6" t="s">
        <v>9</v>
      </c>
      <c r="B139" s="7" t="s">
        <v>13</v>
      </c>
      <c r="C139" s="9"/>
      <c r="D139" s="12">
        <f t="shared" si="101"/>
        <v>0.39</v>
      </c>
      <c r="E139" s="12">
        <f t="shared" si="102"/>
        <v>0.27</v>
      </c>
      <c r="F139" s="13">
        <f t="shared" si="103"/>
        <v>0.26375154649276639</v>
      </c>
      <c r="G139" s="9"/>
      <c r="H139" s="12">
        <f t="shared" si="104"/>
        <v>98</v>
      </c>
      <c r="I139" s="12">
        <f t="shared" si="105"/>
        <v>64</v>
      </c>
      <c r="J139" s="12">
        <f t="shared" si="106"/>
        <v>62.894599548275075</v>
      </c>
      <c r="K139" s="3"/>
      <c r="L139" s="3"/>
      <c r="M139" s="3"/>
      <c r="N139" s="3"/>
      <c r="O139" s="3"/>
      <c r="P139" s="3"/>
      <c r="Q139" s="3"/>
      <c r="R139" s="38"/>
      <c r="S139" s="7" t="s">
        <v>14</v>
      </c>
      <c r="T139" s="37">
        <v>122</v>
      </c>
      <c r="U139" s="37">
        <v>119</v>
      </c>
      <c r="V139" s="37">
        <v>117</v>
      </c>
      <c r="W139" s="37">
        <v>117</v>
      </c>
      <c r="X139" s="37">
        <v>71</v>
      </c>
      <c r="Y139" s="37">
        <v>71</v>
      </c>
      <c r="Z139" s="37">
        <v>69</v>
      </c>
      <c r="AA139" s="37">
        <v>67</v>
      </c>
      <c r="AB139" s="37">
        <v>61.453044978037738</v>
      </c>
      <c r="AC139" s="37">
        <v>61.016097857298128</v>
      </c>
      <c r="AD139" s="37">
        <v>59.564867345726057</v>
      </c>
      <c r="AE139" s="37">
        <v>57.704154570920309</v>
      </c>
    </row>
    <row r="140" spans="1:31" ht="15.5" thickBot="1" x14ac:dyDescent="0.9">
      <c r="A140" s="10" t="s">
        <v>9</v>
      </c>
      <c r="B140" s="7" t="s">
        <v>14</v>
      </c>
      <c r="C140" s="9"/>
      <c r="D140" s="11">
        <f t="shared" si="101"/>
        <v>0.4</v>
      </c>
      <c r="E140" s="11">
        <f t="shared" si="102"/>
        <v>0.28000000000000003</v>
      </c>
      <c r="F140" s="14">
        <f t="shared" si="103"/>
        <v>0.27786252191119876</v>
      </c>
      <c r="G140" s="9"/>
      <c r="H140" s="12">
        <f t="shared" si="104"/>
        <v>119</v>
      </c>
      <c r="I140" s="12">
        <f t="shared" si="105"/>
        <v>82</v>
      </c>
      <c r="J140" s="12">
        <f t="shared" si="106"/>
        <v>79.51142934689689</v>
      </c>
      <c r="K140" s="3"/>
      <c r="L140" s="3"/>
      <c r="M140" s="3"/>
      <c r="N140" s="3"/>
      <c r="O140" s="3"/>
      <c r="P140" s="3"/>
      <c r="Q140" s="3"/>
      <c r="R140" s="38"/>
      <c r="S140" s="7" t="s">
        <v>15</v>
      </c>
      <c r="T140" s="35">
        <v>119</v>
      </c>
      <c r="U140" s="35">
        <v>117</v>
      </c>
      <c r="V140" s="35">
        <v>117</v>
      </c>
      <c r="W140" s="35">
        <v>117</v>
      </c>
      <c r="X140" s="35">
        <v>70</v>
      </c>
      <c r="Y140" s="35">
        <v>69</v>
      </c>
      <c r="Z140" s="35">
        <v>67</v>
      </c>
      <c r="AA140" s="35">
        <v>66</v>
      </c>
      <c r="AB140" s="35">
        <v>59.863085888139459</v>
      </c>
      <c r="AC140" s="35">
        <v>59.434117116517037</v>
      </c>
      <c r="AD140" s="35">
        <v>57.992070863017368</v>
      </c>
      <c r="AE140" s="35">
        <v>56.691118280256852</v>
      </c>
    </row>
    <row r="141" spans="1:31" ht="15.5" thickBot="1" x14ac:dyDescent="0.9">
      <c r="A141" s="6" t="s">
        <v>9</v>
      </c>
      <c r="B141" s="7" t="s">
        <v>15</v>
      </c>
      <c r="C141" s="9"/>
      <c r="D141" s="12">
        <f t="shared" si="101"/>
        <v>0.4</v>
      </c>
      <c r="E141" s="12">
        <f t="shared" si="102"/>
        <v>0.3</v>
      </c>
      <c r="F141" s="13">
        <f t="shared" si="103"/>
        <v>0.29272844883572613</v>
      </c>
      <c r="G141" s="9"/>
      <c r="H141" s="12">
        <f t="shared" si="104"/>
        <v>141</v>
      </c>
      <c r="I141" s="12">
        <f t="shared" si="105"/>
        <v>100</v>
      </c>
      <c r="J141" s="12">
        <f t="shared" si="106"/>
        <v>97.726266765157817</v>
      </c>
      <c r="K141" s="3"/>
      <c r="L141" s="3"/>
      <c r="M141" s="3"/>
      <c r="N141" s="3"/>
      <c r="O141" s="3"/>
      <c r="P141" s="3"/>
      <c r="Q141" s="3"/>
      <c r="R141" s="39"/>
      <c r="S141" s="7" t="s">
        <v>16</v>
      </c>
      <c r="T141" s="37">
        <v>117</v>
      </c>
      <c r="U141" s="37">
        <v>117</v>
      </c>
      <c r="V141" s="37">
        <v>117</v>
      </c>
      <c r="W141" s="37">
        <v>117</v>
      </c>
      <c r="X141" s="37">
        <v>68</v>
      </c>
      <c r="Y141" s="37">
        <v>67</v>
      </c>
      <c r="Z141" s="37">
        <v>66</v>
      </c>
      <c r="AA141" s="37">
        <v>66</v>
      </c>
      <c r="AB141" s="37">
        <v>58.451730296944831</v>
      </c>
      <c r="AC141" s="37">
        <v>58.029945052255513</v>
      </c>
      <c r="AD141" s="37">
        <v>56.691118280256852</v>
      </c>
      <c r="AE141" s="37">
        <v>56.691118280256852</v>
      </c>
    </row>
    <row r="142" spans="1:31" ht="15.5" thickBot="1" x14ac:dyDescent="0.9">
      <c r="A142" s="10" t="s">
        <v>9</v>
      </c>
      <c r="B142" s="7" t="s">
        <v>16</v>
      </c>
      <c r="C142" s="9"/>
      <c r="D142" s="11">
        <f t="shared" si="101"/>
        <v>0.41</v>
      </c>
      <c r="E142" s="11">
        <f t="shared" si="102"/>
        <v>0.32</v>
      </c>
      <c r="F142" s="14">
        <f t="shared" si="103"/>
        <v>0.30759437576025339</v>
      </c>
      <c r="G142" s="9"/>
      <c r="H142" s="12">
        <f t="shared" si="104"/>
        <v>164</v>
      </c>
      <c r="I142" s="12">
        <f t="shared" si="105"/>
        <v>120</v>
      </c>
      <c r="J142" s="12">
        <f t="shared" si="106"/>
        <v>117.35908490545053</v>
      </c>
      <c r="K142" s="3"/>
      <c r="L142" s="3"/>
      <c r="M142" s="3"/>
      <c r="N142" s="3"/>
      <c r="O142" s="3"/>
      <c r="P142" s="3"/>
      <c r="Q142" s="3"/>
      <c r="R142" s="27" t="s">
        <v>29</v>
      </c>
      <c r="S142" s="40" t="s">
        <v>17</v>
      </c>
      <c r="T142" s="26">
        <v>0.37</v>
      </c>
      <c r="U142" s="26">
        <v>0.42</v>
      </c>
      <c r="V142" s="41">
        <v>0.54</v>
      </c>
      <c r="W142" s="41">
        <v>0.65</v>
      </c>
      <c r="X142" s="26">
        <v>0.27</v>
      </c>
      <c r="Y142" s="26">
        <v>0.34</v>
      </c>
      <c r="Z142" s="41">
        <v>0.36</v>
      </c>
      <c r="AA142" s="41">
        <v>0.45</v>
      </c>
      <c r="AB142" s="42">
        <v>0.25965854711485653</v>
      </c>
      <c r="AC142" s="42">
        <v>0.32723298206196499</v>
      </c>
      <c r="AD142" s="42">
        <v>0.35528161177705786</v>
      </c>
      <c r="AE142" s="42">
        <v>0.44039766865078672</v>
      </c>
    </row>
    <row r="143" spans="1:31" ht="15.5" thickBot="1" x14ac:dyDescent="0.9">
      <c r="A143" s="6" t="s">
        <v>10</v>
      </c>
      <c r="B143" s="7" t="s">
        <v>11</v>
      </c>
      <c r="C143" s="9"/>
      <c r="D143" s="12">
        <f t="shared" si="101"/>
        <v>0.45</v>
      </c>
      <c r="E143" s="12">
        <f t="shared" si="102"/>
        <v>0.31</v>
      </c>
      <c r="F143" s="13">
        <f t="shared" si="103"/>
        <v>0.30309995733807726</v>
      </c>
      <c r="G143" s="9"/>
      <c r="H143" s="12">
        <f t="shared" si="104"/>
        <v>70</v>
      </c>
      <c r="I143" s="12">
        <f t="shared" si="105"/>
        <v>45</v>
      </c>
      <c r="J143" s="12">
        <f t="shared" si="106"/>
        <v>43.366609280678752</v>
      </c>
      <c r="K143" s="3"/>
      <c r="L143" s="3"/>
      <c r="M143" s="3"/>
      <c r="N143" s="3"/>
      <c r="O143" s="3"/>
      <c r="P143" s="3"/>
      <c r="Q143" s="3"/>
      <c r="R143" s="27" t="s">
        <v>30</v>
      </c>
      <c r="S143" s="40" t="s">
        <v>18</v>
      </c>
      <c r="T143" s="29">
        <v>0.38</v>
      </c>
      <c r="U143" s="29">
        <v>0.42</v>
      </c>
      <c r="V143" s="43">
        <v>0.54</v>
      </c>
      <c r="W143" s="43">
        <v>0.66</v>
      </c>
      <c r="X143" s="29">
        <v>0.27</v>
      </c>
      <c r="Y143" s="29">
        <v>0.34</v>
      </c>
      <c r="Z143" s="43">
        <v>0.37</v>
      </c>
      <c r="AA143" s="43">
        <v>0.45</v>
      </c>
      <c r="AB143" s="44">
        <v>0.26080466170751743</v>
      </c>
      <c r="AC143" s="44">
        <v>0.32867736546512433</v>
      </c>
      <c r="AD143" s="44">
        <v>0.35684979986208809</v>
      </c>
      <c r="AE143" s="44">
        <v>0.4423415530336538</v>
      </c>
    </row>
    <row r="144" spans="1:31" ht="15.5" thickBot="1" x14ac:dyDescent="0.9">
      <c r="A144" s="10" t="s">
        <v>10</v>
      </c>
      <c r="B144" s="7" t="s">
        <v>12</v>
      </c>
      <c r="C144" s="9"/>
      <c r="D144" s="11">
        <f t="shared" si="101"/>
        <v>0.46</v>
      </c>
      <c r="E144" s="11">
        <f t="shared" si="102"/>
        <v>0.33</v>
      </c>
      <c r="F144" s="14">
        <f t="shared" si="103"/>
        <v>0.31939450393345609</v>
      </c>
      <c r="G144" s="9"/>
      <c r="H144" s="12">
        <f t="shared" si="104"/>
        <v>94</v>
      </c>
      <c r="I144" s="12">
        <f t="shared" si="105"/>
        <v>63</v>
      </c>
      <c r="J144" s="12">
        <f t="shared" si="106"/>
        <v>60.930643827305474</v>
      </c>
      <c r="K144" s="3"/>
      <c r="L144" s="3"/>
      <c r="M144" s="3"/>
      <c r="N144" s="3"/>
      <c r="O144" s="3"/>
      <c r="P144" s="3"/>
      <c r="Q144" s="3"/>
      <c r="R144" s="31"/>
      <c r="S144" s="40" t="s">
        <v>19</v>
      </c>
      <c r="T144" s="26">
        <v>0.38</v>
      </c>
      <c r="U144" s="26">
        <v>0.42</v>
      </c>
      <c r="V144" s="41">
        <v>0.54</v>
      </c>
      <c r="W144" s="41">
        <v>0.66</v>
      </c>
      <c r="X144" s="26">
        <v>0.27</v>
      </c>
      <c r="Y144" s="26">
        <v>0.34</v>
      </c>
      <c r="Z144" s="41">
        <v>0.37</v>
      </c>
      <c r="AA144" s="41">
        <v>0.46</v>
      </c>
      <c r="AB144" s="42">
        <v>0.26195583516950538</v>
      </c>
      <c r="AC144" s="42">
        <v>0.33012812427519461</v>
      </c>
      <c r="AD144" s="42">
        <v>0.358424909819201</v>
      </c>
      <c r="AE144" s="42">
        <v>0.44429401758567916</v>
      </c>
    </row>
    <row r="145" spans="1:31" ht="15.5" thickBot="1" x14ac:dyDescent="0.9">
      <c r="A145" s="6" t="s">
        <v>10</v>
      </c>
      <c r="B145" s="7" t="s">
        <v>13</v>
      </c>
      <c r="C145" s="9"/>
      <c r="D145" s="12">
        <f t="shared" si="101"/>
        <v>0.47</v>
      </c>
      <c r="E145" s="12">
        <f t="shared" si="102"/>
        <v>0.35</v>
      </c>
      <c r="F145" s="13">
        <f t="shared" si="103"/>
        <v>0.33656503959554668</v>
      </c>
      <c r="G145" s="9"/>
      <c r="H145" s="12">
        <f t="shared" si="104"/>
        <v>119</v>
      </c>
      <c r="I145" s="12">
        <f t="shared" si="105"/>
        <v>82</v>
      </c>
      <c r="J145" s="12">
        <f t="shared" si="106"/>
        <v>80.257817134322678</v>
      </c>
      <c r="K145" s="3"/>
      <c r="L145" s="3"/>
      <c r="M145" s="3"/>
      <c r="N145" s="3"/>
      <c r="O145" s="3"/>
      <c r="P145" s="3"/>
      <c r="Q145" s="3"/>
      <c r="R145" s="31"/>
      <c r="S145" s="40" t="s">
        <v>20</v>
      </c>
      <c r="T145" s="29">
        <v>0.38</v>
      </c>
      <c r="U145" s="29">
        <v>0.42</v>
      </c>
      <c r="V145" s="43">
        <v>0.55000000000000004</v>
      </c>
      <c r="W145" s="43">
        <v>0.66</v>
      </c>
      <c r="X145" s="29">
        <v>0.27</v>
      </c>
      <c r="Y145" s="29">
        <v>0.34</v>
      </c>
      <c r="Z145" s="43">
        <v>0.37</v>
      </c>
      <c r="AA145" s="43">
        <v>0.46</v>
      </c>
      <c r="AB145" s="44">
        <v>0.26311208983031448</v>
      </c>
      <c r="AC145" s="44">
        <v>0.33158528663277431</v>
      </c>
      <c r="AD145" s="44">
        <v>0.36000697220105377</v>
      </c>
      <c r="AE145" s="44">
        <v>0.44625510017912701</v>
      </c>
    </row>
    <row r="146" spans="1:31" ht="15.5" thickBot="1" x14ac:dyDescent="0.9">
      <c r="A146" s="10" t="s">
        <v>10</v>
      </c>
      <c r="B146" s="7" t="s">
        <v>14</v>
      </c>
      <c r="C146" s="9"/>
      <c r="D146" s="11">
        <f t="shared" si="101"/>
        <v>0.48</v>
      </c>
      <c r="E146" s="11">
        <f t="shared" si="102"/>
        <v>0.36</v>
      </c>
      <c r="F146" s="14">
        <f t="shared" si="103"/>
        <v>0.35465865718701378</v>
      </c>
      <c r="G146" s="9"/>
      <c r="H146" s="12">
        <f t="shared" si="104"/>
        <v>144</v>
      </c>
      <c r="I146" s="12">
        <f t="shared" si="105"/>
        <v>104</v>
      </c>
      <c r="J146" s="12">
        <f t="shared" si="106"/>
        <v>101.48693882582241</v>
      </c>
      <c r="K146" s="3"/>
      <c r="L146" s="3"/>
      <c r="M146" s="3"/>
      <c r="N146" s="3"/>
      <c r="O146" s="3"/>
      <c r="P146" s="3"/>
      <c r="Q146" s="3"/>
      <c r="R146" s="31"/>
      <c r="S146" s="40" t="s">
        <v>21</v>
      </c>
      <c r="T146" s="26">
        <v>0.38</v>
      </c>
      <c r="U146" s="26">
        <v>0.42</v>
      </c>
      <c r="V146" s="41">
        <v>0.55000000000000004</v>
      </c>
      <c r="W146" s="41">
        <v>0.66</v>
      </c>
      <c r="X146" s="26">
        <v>0.27</v>
      </c>
      <c r="Y146" s="26">
        <v>0.34</v>
      </c>
      <c r="Z146" s="41">
        <v>0.37</v>
      </c>
      <c r="AA146" s="41">
        <v>0.46</v>
      </c>
      <c r="AB146" s="42">
        <v>0.2642734481179993</v>
      </c>
      <c r="AC146" s="42">
        <v>0.33304888080267225</v>
      </c>
      <c r="AD146" s="42">
        <v>0.36159601769516109</v>
      </c>
      <c r="AE146" s="42">
        <v>0.44822483885342695</v>
      </c>
    </row>
    <row r="147" spans="1:31" ht="15.5" thickBot="1" x14ac:dyDescent="0.9">
      <c r="A147" s="6" t="s">
        <v>10</v>
      </c>
      <c r="B147" s="7" t="s">
        <v>15</v>
      </c>
      <c r="C147" s="9"/>
      <c r="D147" s="12">
        <f t="shared" si="101"/>
        <v>0.49</v>
      </c>
      <c r="E147" s="12">
        <f t="shared" si="102"/>
        <v>0.38</v>
      </c>
      <c r="F147" s="13">
        <f t="shared" si="103"/>
        <v>0.37372498126617681</v>
      </c>
      <c r="G147" s="9"/>
      <c r="H147" s="12">
        <f t="shared" si="104"/>
        <v>170</v>
      </c>
      <c r="I147" s="12">
        <f t="shared" si="105"/>
        <v>128</v>
      </c>
      <c r="J147" s="12">
        <f t="shared" si="106"/>
        <v>124.76664759193905</v>
      </c>
      <c r="K147" s="3"/>
      <c r="L147" s="3"/>
      <c r="M147" s="3"/>
      <c r="N147" s="3"/>
      <c r="O147" s="3"/>
      <c r="P147" s="3"/>
      <c r="Q147" s="3"/>
      <c r="R147" s="32"/>
      <c r="S147" s="40" t="s">
        <v>22</v>
      </c>
      <c r="T147" s="29">
        <v>0.38</v>
      </c>
      <c r="U147" s="29">
        <v>0.42</v>
      </c>
      <c r="V147" s="43">
        <v>0.55000000000000004</v>
      </c>
      <c r="W147" s="43">
        <v>0.66</v>
      </c>
      <c r="X147" s="29">
        <v>0.27</v>
      </c>
      <c r="Y147" s="29">
        <v>0.34</v>
      </c>
      <c r="Z147" s="43">
        <v>0.37</v>
      </c>
      <c r="AA147" s="43">
        <v>0.46</v>
      </c>
      <c r="AB147" s="44">
        <v>0.26543993255961057</v>
      </c>
      <c r="AC147" s="44">
        <v>0.33451893517445652</v>
      </c>
      <c r="AD147" s="44">
        <v>0.36319207712449003</v>
      </c>
      <c r="AE147" s="44">
        <v>0.45020327181591202</v>
      </c>
    </row>
    <row r="148" spans="1:31" ht="23.25" thickBot="1" x14ac:dyDescent="0.9">
      <c r="A148" s="10" t="s">
        <v>10</v>
      </c>
      <c r="B148" s="7" t="s">
        <v>16</v>
      </c>
      <c r="C148" s="9"/>
      <c r="D148" s="11">
        <f t="shared" si="101"/>
        <v>0.5</v>
      </c>
      <c r="E148" s="11">
        <f t="shared" si="102"/>
        <v>0.4</v>
      </c>
      <c r="F148" s="14">
        <f t="shared" si="103"/>
        <v>0.3927913053453399</v>
      </c>
      <c r="G148" s="9"/>
      <c r="H148" s="12">
        <f t="shared" si="104"/>
        <v>197</v>
      </c>
      <c r="I148" s="12">
        <f t="shared" si="105"/>
        <v>154</v>
      </c>
      <c r="J148" s="12">
        <f t="shared" si="106"/>
        <v>149.86499034714507</v>
      </c>
      <c r="K148" s="3"/>
      <c r="L148" s="3"/>
      <c r="M148" s="3"/>
      <c r="N148" s="3"/>
      <c r="O148" s="3"/>
      <c r="P148" s="3"/>
      <c r="Q148" s="3"/>
      <c r="R148" s="27" t="s">
        <v>31</v>
      </c>
      <c r="S148" s="40" t="s">
        <v>17</v>
      </c>
      <c r="T148" s="26">
        <v>8</v>
      </c>
      <c r="U148" s="26">
        <v>9</v>
      </c>
      <c r="V148" s="41">
        <v>12</v>
      </c>
      <c r="W148" s="41">
        <v>14</v>
      </c>
      <c r="X148" s="26">
        <v>6</v>
      </c>
      <c r="Y148" s="26">
        <v>7</v>
      </c>
      <c r="Z148" s="41">
        <v>8</v>
      </c>
      <c r="AA148" s="41">
        <v>10</v>
      </c>
      <c r="AB148" s="42">
        <v>5.4984135454276748</v>
      </c>
      <c r="AC148" s="42">
        <v>6.9293396311130095</v>
      </c>
      <c r="AD148" s="42">
        <v>7.5232848998891342</v>
      </c>
      <c r="AE148" s="42">
        <v>9.3256645451888076</v>
      </c>
    </row>
    <row r="149" spans="1:31" ht="15.5" thickBot="1" x14ac:dyDescent="0.9">
      <c r="A149" s="6" t="s">
        <v>6</v>
      </c>
      <c r="B149" s="7" t="s">
        <v>17</v>
      </c>
      <c r="C149" s="9"/>
      <c r="D149" s="12">
        <f t="shared" ref="D149:D172" si="107">INDEX($T$142:$W$147,MATCH($B149,$S$142:$S$147,0),MATCH($A149,$T$119:$W$119,0))</f>
        <v>0.37</v>
      </c>
      <c r="E149" s="12">
        <f t="shared" ref="E149:E172" si="108">INDEX($X$142:$AA$147,MATCH($B149,$S$142:$S$147,0),MATCH($A149,$X$119:$AA$119,0))</f>
        <v>0.27</v>
      </c>
      <c r="F149" s="13">
        <f t="shared" ref="F149:F172" si="109">INDEX($AB$142:$AE$147,MATCH($B149,$S$142:$S$147,0),MATCH($A149,$X$119:$AA$119,0))</f>
        <v>0.25965854711485653</v>
      </c>
      <c r="G149" s="9"/>
      <c r="H149" s="12">
        <f t="shared" ref="H149:H172" si="110">INDEX($T$148:$W$153,MATCH($B149,$S$148:$S$153,0),MATCH($A149,$T$119:$W$119,0))</f>
        <v>8</v>
      </c>
      <c r="I149" s="12">
        <f t="shared" ref="I149:I172" si="111">INDEX($X$148:$AA$153,MATCH($B149,$S$148:$S$153,0),MATCH($A149,$X$119:$AA$119,0))</f>
        <v>6</v>
      </c>
      <c r="J149" s="12">
        <f t="shared" ref="J149:J176" si="112">INDEX($AB$148:$AE$153,MATCH($B149,$S$148:$S$153,0),MATCH($A149,$X$119:$AA$119,0))</f>
        <v>5.4984135454276748</v>
      </c>
      <c r="K149" s="3"/>
      <c r="L149" s="3"/>
      <c r="M149" s="3"/>
      <c r="N149" s="3"/>
      <c r="O149" s="3"/>
      <c r="P149" s="3"/>
      <c r="Q149" s="3"/>
      <c r="R149" s="27" t="s">
        <v>32</v>
      </c>
      <c r="S149" s="40" t="s">
        <v>18</v>
      </c>
      <c r="T149" s="29">
        <v>12</v>
      </c>
      <c r="U149" s="29">
        <v>14</v>
      </c>
      <c r="V149" s="43">
        <v>18</v>
      </c>
      <c r="W149" s="43">
        <v>22</v>
      </c>
      <c r="X149" s="29">
        <v>8</v>
      </c>
      <c r="Y149" s="29">
        <v>11</v>
      </c>
      <c r="Z149" s="43">
        <v>12</v>
      </c>
      <c r="AA149" s="43">
        <v>14</v>
      </c>
      <c r="AB149" s="44">
        <v>8.2840247350435572</v>
      </c>
      <c r="AC149" s="44">
        <v>10.439887874456501</v>
      </c>
      <c r="AD149" s="44">
        <v>11.334738226681294</v>
      </c>
      <c r="AE149" s="44">
        <v>14.05024106040643</v>
      </c>
    </row>
    <row r="150" spans="1:31" ht="15.5" thickBot="1" x14ac:dyDescent="0.9">
      <c r="A150" s="10" t="s">
        <v>6</v>
      </c>
      <c r="B150" s="7" t="s">
        <v>18</v>
      </c>
      <c r="C150" s="9"/>
      <c r="D150" s="11">
        <f t="shared" si="107"/>
        <v>0.38</v>
      </c>
      <c r="E150" s="11">
        <f t="shared" si="108"/>
        <v>0.27</v>
      </c>
      <c r="F150" s="14">
        <f t="shared" si="109"/>
        <v>0.26080466170751743</v>
      </c>
      <c r="G150" s="9"/>
      <c r="H150" s="12">
        <f t="shared" si="110"/>
        <v>12</v>
      </c>
      <c r="I150" s="12">
        <f t="shared" si="111"/>
        <v>8</v>
      </c>
      <c r="J150" s="12">
        <f t="shared" si="112"/>
        <v>8.2840247350435572</v>
      </c>
      <c r="K150" s="3"/>
      <c r="L150" s="3"/>
      <c r="M150" s="3"/>
      <c r="N150" s="3"/>
      <c r="O150" s="3"/>
      <c r="P150" s="3"/>
      <c r="Q150" s="3"/>
      <c r="R150" s="31"/>
      <c r="S150" s="40" t="s">
        <v>19</v>
      </c>
      <c r="T150" s="26">
        <v>17</v>
      </c>
      <c r="U150" s="26">
        <v>18</v>
      </c>
      <c r="V150" s="41">
        <v>24</v>
      </c>
      <c r="W150" s="41">
        <v>29</v>
      </c>
      <c r="X150" s="26">
        <v>11</v>
      </c>
      <c r="Y150" s="26">
        <v>14</v>
      </c>
      <c r="Z150" s="41">
        <v>16</v>
      </c>
      <c r="AA150" s="41">
        <v>19</v>
      </c>
      <c r="AB150" s="42">
        <v>11.094119784647118</v>
      </c>
      <c r="AC150" s="42">
        <v>13.98129174186929</v>
      </c>
      <c r="AD150" s="42">
        <v>15.179691953655155</v>
      </c>
      <c r="AE150" s="42">
        <v>18.816343783707534</v>
      </c>
    </row>
    <row r="151" spans="1:31" ht="15.5" thickBot="1" x14ac:dyDescent="0.9">
      <c r="A151" s="6" t="s">
        <v>6</v>
      </c>
      <c r="B151" s="7" t="s">
        <v>19</v>
      </c>
      <c r="C151" s="9"/>
      <c r="D151" s="12">
        <f t="shared" si="107"/>
        <v>0.38</v>
      </c>
      <c r="E151" s="12">
        <f t="shared" si="108"/>
        <v>0.27</v>
      </c>
      <c r="F151" s="13">
        <f t="shared" si="109"/>
        <v>0.26195583516950538</v>
      </c>
      <c r="G151" s="9"/>
      <c r="H151" s="12">
        <f t="shared" si="110"/>
        <v>17</v>
      </c>
      <c r="I151" s="12">
        <f t="shared" si="111"/>
        <v>11</v>
      </c>
      <c r="J151" s="12">
        <f t="shared" si="112"/>
        <v>11.094119784647118</v>
      </c>
      <c r="K151" s="3"/>
      <c r="L151" s="3"/>
      <c r="M151" s="3"/>
      <c r="N151" s="3"/>
      <c r="O151" s="3"/>
      <c r="P151" s="3"/>
      <c r="Q151" s="3"/>
      <c r="R151" s="31"/>
      <c r="S151" s="40" t="s">
        <v>20</v>
      </c>
      <c r="T151" s="29">
        <v>21</v>
      </c>
      <c r="U151" s="29">
        <v>23</v>
      </c>
      <c r="V151" s="43">
        <v>30</v>
      </c>
      <c r="W151" s="43">
        <v>36</v>
      </c>
      <c r="X151" s="29">
        <v>14</v>
      </c>
      <c r="Y151" s="29">
        <v>18</v>
      </c>
      <c r="Z151" s="43">
        <v>20</v>
      </c>
      <c r="AA151" s="43">
        <v>24</v>
      </c>
      <c r="AB151" s="44">
        <v>13.928860562876601</v>
      </c>
      <c r="AC151" s="44">
        <v>17.553755227241748</v>
      </c>
      <c r="AD151" s="44">
        <v>19.058367559946788</v>
      </c>
      <c r="AE151" s="44">
        <v>23.62424725475854</v>
      </c>
    </row>
    <row r="152" spans="1:31" ht="15.5" thickBot="1" x14ac:dyDescent="0.9">
      <c r="A152" s="10" t="s">
        <v>6</v>
      </c>
      <c r="B152" s="7" t="s">
        <v>20</v>
      </c>
      <c r="C152" s="9"/>
      <c r="D152" s="11">
        <f t="shared" si="107"/>
        <v>0.38</v>
      </c>
      <c r="E152" s="11">
        <f t="shared" si="108"/>
        <v>0.27</v>
      </c>
      <c r="F152" s="14">
        <f t="shared" si="109"/>
        <v>0.26311208983031448</v>
      </c>
      <c r="G152" s="9"/>
      <c r="H152" s="12">
        <f t="shared" si="110"/>
        <v>21</v>
      </c>
      <c r="I152" s="12">
        <f t="shared" si="111"/>
        <v>14</v>
      </c>
      <c r="J152" s="12">
        <f t="shared" si="112"/>
        <v>13.928860562876601</v>
      </c>
      <c r="K152" s="3"/>
      <c r="L152" s="3"/>
      <c r="M152" s="3"/>
      <c r="N152" s="3"/>
      <c r="O152" s="3"/>
      <c r="P152" s="3"/>
      <c r="Q152" s="3"/>
      <c r="R152" s="31"/>
      <c r="S152" s="40" t="s">
        <v>21</v>
      </c>
      <c r="T152" s="26">
        <v>25</v>
      </c>
      <c r="U152" s="26">
        <v>28</v>
      </c>
      <c r="V152" s="41">
        <v>36</v>
      </c>
      <c r="W152" s="41">
        <v>44</v>
      </c>
      <c r="X152" s="26">
        <v>17</v>
      </c>
      <c r="Y152" s="26">
        <v>22</v>
      </c>
      <c r="Z152" s="41">
        <v>24</v>
      </c>
      <c r="AA152" s="41">
        <v>29</v>
      </c>
      <c r="AB152" s="42">
        <v>16.788409890310284</v>
      </c>
      <c r="AC152" s="42">
        <v>21.157483524140439</v>
      </c>
      <c r="AD152" s="42">
        <v>22.97098782719819</v>
      </c>
      <c r="AE152" s="42">
        <v>28.474227627777672</v>
      </c>
    </row>
    <row r="153" spans="1:31" ht="15.5" thickBot="1" x14ac:dyDescent="0.9">
      <c r="A153" s="6" t="s">
        <v>6</v>
      </c>
      <c r="B153" s="7" t="s">
        <v>21</v>
      </c>
      <c r="C153" s="9"/>
      <c r="D153" s="12">
        <f t="shared" si="107"/>
        <v>0.38</v>
      </c>
      <c r="E153" s="12">
        <f t="shared" si="108"/>
        <v>0.27</v>
      </c>
      <c r="F153" s="13">
        <f t="shared" si="109"/>
        <v>0.2642734481179993</v>
      </c>
      <c r="G153" s="9"/>
      <c r="H153" s="12">
        <f t="shared" si="110"/>
        <v>25</v>
      </c>
      <c r="I153" s="12">
        <f t="shared" si="111"/>
        <v>17</v>
      </c>
      <c r="J153" s="12">
        <f t="shared" si="112"/>
        <v>16.788409890310284</v>
      </c>
      <c r="K153" s="3"/>
      <c r="L153" s="3"/>
      <c r="M153" s="3"/>
      <c r="N153" s="3"/>
      <c r="O153" s="3"/>
      <c r="P153" s="3"/>
      <c r="Q153" s="3"/>
      <c r="R153" s="32"/>
      <c r="S153" s="40" t="s">
        <v>22</v>
      </c>
      <c r="T153" s="29">
        <v>30</v>
      </c>
      <c r="U153" s="29">
        <v>33</v>
      </c>
      <c r="V153" s="43">
        <v>42</v>
      </c>
      <c r="W153" s="43">
        <v>51</v>
      </c>
      <c r="X153" s="29">
        <v>20</v>
      </c>
      <c r="Y153" s="29">
        <v>25</v>
      </c>
      <c r="Z153" s="43">
        <v>28</v>
      </c>
      <c r="AA153" s="43">
        <v>34</v>
      </c>
      <c r="AB153" s="44">
        <v>19.672931544716437</v>
      </c>
      <c r="AC153" s="44">
        <v>24.792683032424343</v>
      </c>
      <c r="AD153" s="44">
        <v>26.917776846740573</v>
      </c>
      <c r="AE153" s="44">
        <v>33.366562680439209</v>
      </c>
    </row>
    <row r="154" spans="1:31" ht="15.5" thickBot="1" x14ac:dyDescent="0.9">
      <c r="A154" s="10" t="s">
        <v>6</v>
      </c>
      <c r="B154" s="7" t="s">
        <v>22</v>
      </c>
      <c r="C154" s="9"/>
      <c r="D154" s="11">
        <f t="shared" si="107"/>
        <v>0.38</v>
      </c>
      <c r="E154" s="11">
        <f t="shared" si="108"/>
        <v>0.27</v>
      </c>
      <c r="F154" s="14">
        <f t="shared" si="109"/>
        <v>0.26543993255961057</v>
      </c>
      <c r="G154" s="9"/>
      <c r="H154" s="12">
        <f t="shared" si="110"/>
        <v>30</v>
      </c>
      <c r="I154" s="12">
        <f t="shared" si="111"/>
        <v>20</v>
      </c>
      <c r="J154" s="12">
        <f t="shared" si="112"/>
        <v>19.672931544716437</v>
      </c>
      <c r="K154" s="3"/>
      <c r="L154" s="3"/>
      <c r="M154" s="3"/>
      <c r="N154" s="3"/>
      <c r="O154" s="3"/>
      <c r="P154" s="3"/>
      <c r="Q154" s="3"/>
      <c r="R154" s="34" t="s">
        <v>33</v>
      </c>
      <c r="S154" s="40" t="s">
        <v>17</v>
      </c>
      <c r="T154" s="35">
        <v>165</v>
      </c>
      <c r="U154" s="35">
        <v>165</v>
      </c>
      <c r="V154" s="45">
        <v>165</v>
      </c>
      <c r="W154" s="45">
        <v>165</v>
      </c>
      <c r="X154" s="35">
        <v>97</v>
      </c>
      <c r="Y154" s="35">
        <v>97</v>
      </c>
      <c r="Z154" s="45">
        <v>97</v>
      </c>
      <c r="AA154" s="46">
        <v>97</v>
      </c>
      <c r="AB154" s="46">
        <v>83.61781376609099</v>
      </c>
      <c r="AC154" s="46">
        <v>83.61781376609099</v>
      </c>
      <c r="AD154" s="46">
        <v>83.61781376609099</v>
      </c>
      <c r="AE154" s="46">
        <v>83.61781376609099</v>
      </c>
    </row>
    <row r="155" spans="1:31" ht="15.5" thickBot="1" x14ac:dyDescent="0.9">
      <c r="A155" s="6" t="s">
        <v>8</v>
      </c>
      <c r="B155" s="7" t="s">
        <v>17</v>
      </c>
      <c r="C155" s="9"/>
      <c r="D155" s="12">
        <f t="shared" si="107"/>
        <v>0.42</v>
      </c>
      <c r="E155" s="12">
        <f t="shared" si="108"/>
        <v>0.34</v>
      </c>
      <c r="F155" s="13">
        <f t="shared" si="109"/>
        <v>0.32723298206196499</v>
      </c>
      <c r="G155" s="9"/>
      <c r="H155" s="12">
        <f t="shared" si="110"/>
        <v>9</v>
      </c>
      <c r="I155" s="12">
        <f t="shared" si="111"/>
        <v>7</v>
      </c>
      <c r="J155" s="12">
        <f t="shared" si="112"/>
        <v>6.9293396311130095</v>
      </c>
      <c r="K155" s="3"/>
      <c r="L155" s="3"/>
      <c r="M155" s="3"/>
      <c r="N155" s="3"/>
      <c r="O155" s="3"/>
      <c r="P155" s="3"/>
      <c r="Q155" s="3"/>
      <c r="R155" s="36" t="s">
        <v>34</v>
      </c>
      <c r="S155" s="40" t="s">
        <v>18</v>
      </c>
      <c r="T155" s="37">
        <v>165</v>
      </c>
      <c r="U155" s="37">
        <v>165</v>
      </c>
      <c r="V155" s="47">
        <v>165</v>
      </c>
      <c r="W155" s="47">
        <v>165</v>
      </c>
      <c r="X155" s="37">
        <v>97</v>
      </c>
      <c r="Y155" s="37">
        <v>97</v>
      </c>
      <c r="Z155" s="47">
        <v>97</v>
      </c>
      <c r="AA155" s="48">
        <v>97</v>
      </c>
      <c r="AB155" s="48">
        <v>83.61781376609099</v>
      </c>
      <c r="AC155" s="48">
        <v>83.61781376609099</v>
      </c>
      <c r="AD155" s="48">
        <v>83.61781376609099</v>
      </c>
      <c r="AE155" s="48">
        <v>83.61781376609099</v>
      </c>
    </row>
    <row r="156" spans="1:31" ht="15.5" thickBot="1" x14ac:dyDescent="0.9">
      <c r="A156" s="10" t="s">
        <v>8</v>
      </c>
      <c r="B156" s="7" t="s">
        <v>18</v>
      </c>
      <c r="C156" s="9"/>
      <c r="D156" s="11">
        <f t="shared" si="107"/>
        <v>0.42</v>
      </c>
      <c r="E156" s="11">
        <f t="shared" si="108"/>
        <v>0.34</v>
      </c>
      <c r="F156" s="14">
        <f t="shared" si="109"/>
        <v>0.32867736546512433</v>
      </c>
      <c r="G156" s="9"/>
      <c r="H156" s="12">
        <f t="shared" si="110"/>
        <v>14</v>
      </c>
      <c r="I156" s="12">
        <f t="shared" si="111"/>
        <v>11</v>
      </c>
      <c r="J156" s="12">
        <f t="shared" si="112"/>
        <v>10.439887874456501</v>
      </c>
      <c r="K156" s="3"/>
      <c r="L156" s="3"/>
      <c r="M156" s="3"/>
      <c r="N156" s="3"/>
      <c r="O156" s="3"/>
      <c r="P156" s="3"/>
      <c r="Q156" s="3"/>
      <c r="R156" s="38"/>
      <c r="S156" s="40" t="s">
        <v>19</v>
      </c>
      <c r="T156" s="35">
        <v>165</v>
      </c>
      <c r="U156" s="35">
        <v>165</v>
      </c>
      <c r="V156" s="45">
        <v>165</v>
      </c>
      <c r="W156" s="45">
        <v>165</v>
      </c>
      <c r="X156" s="35">
        <v>97</v>
      </c>
      <c r="Y156" s="35">
        <v>97</v>
      </c>
      <c r="Z156" s="45">
        <v>97</v>
      </c>
      <c r="AA156" s="46">
        <v>97</v>
      </c>
      <c r="AB156" s="46">
        <v>83.61781376609099</v>
      </c>
      <c r="AC156" s="46">
        <v>83.61781376609099</v>
      </c>
      <c r="AD156" s="46">
        <v>83.61781376609099</v>
      </c>
      <c r="AE156" s="46">
        <v>83.61781376609099</v>
      </c>
    </row>
    <row r="157" spans="1:31" ht="15.5" thickBot="1" x14ac:dyDescent="0.9">
      <c r="A157" s="6" t="s">
        <v>8</v>
      </c>
      <c r="B157" s="7" t="s">
        <v>19</v>
      </c>
      <c r="C157" s="9"/>
      <c r="D157" s="12">
        <f t="shared" si="107"/>
        <v>0.42</v>
      </c>
      <c r="E157" s="12">
        <f t="shared" si="108"/>
        <v>0.34</v>
      </c>
      <c r="F157" s="13">
        <f t="shared" si="109"/>
        <v>0.33012812427519461</v>
      </c>
      <c r="G157" s="9"/>
      <c r="H157" s="12">
        <f t="shared" si="110"/>
        <v>18</v>
      </c>
      <c r="I157" s="12">
        <f t="shared" si="111"/>
        <v>14</v>
      </c>
      <c r="J157" s="12">
        <f t="shared" si="112"/>
        <v>13.98129174186929</v>
      </c>
      <c r="K157" s="3"/>
      <c r="L157" s="3"/>
      <c r="M157" s="3"/>
      <c r="N157" s="3"/>
      <c r="O157" s="3"/>
      <c r="P157" s="3"/>
      <c r="Q157" s="3"/>
      <c r="R157" s="38"/>
      <c r="S157" s="40" t="s">
        <v>20</v>
      </c>
      <c r="T157" s="37">
        <v>165</v>
      </c>
      <c r="U157" s="37">
        <v>165</v>
      </c>
      <c r="V157" s="47">
        <v>165</v>
      </c>
      <c r="W157" s="47">
        <v>165</v>
      </c>
      <c r="X157" s="37">
        <v>97</v>
      </c>
      <c r="Y157" s="37">
        <v>97</v>
      </c>
      <c r="Z157" s="47">
        <v>97</v>
      </c>
      <c r="AA157" s="48">
        <v>97</v>
      </c>
      <c r="AB157" s="48">
        <v>83.61781376609099</v>
      </c>
      <c r="AC157" s="48">
        <v>83.61781376609099</v>
      </c>
      <c r="AD157" s="48">
        <v>83.61781376609099</v>
      </c>
      <c r="AE157" s="48">
        <v>83.61781376609099</v>
      </c>
    </row>
    <row r="158" spans="1:31" ht="15.5" thickBot="1" x14ac:dyDescent="0.9">
      <c r="A158" s="10" t="s">
        <v>8</v>
      </c>
      <c r="B158" s="7" t="s">
        <v>20</v>
      </c>
      <c r="C158" s="9"/>
      <c r="D158" s="11">
        <f t="shared" si="107"/>
        <v>0.42</v>
      </c>
      <c r="E158" s="11">
        <f t="shared" si="108"/>
        <v>0.34</v>
      </c>
      <c r="F158" s="14">
        <f t="shared" si="109"/>
        <v>0.33158528663277431</v>
      </c>
      <c r="G158" s="9"/>
      <c r="H158" s="12">
        <f t="shared" si="110"/>
        <v>23</v>
      </c>
      <c r="I158" s="12">
        <f t="shared" si="111"/>
        <v>18</v>
      </c>
      <c r="J158" s="12">
        <f t="shared" si="112"/>
        <v>17.553755227241748</v>
      </c>
      <c r="K158" s="3"/>
      <c r="L158" s="3"/>
      <c r="M158" s="3"/>
      <c r="N158" s="3"/>
      <c r="O158" s="3"/>
      <c r="P158" s="3"/>
      <c r="Q158" s="3"/>
      <c r="R158" s="38"/>
      <c r="S158" s="40" t="s">
        <v>21</v>
      </c>
      <c r="T158" s="35">
        <v>165</v>
      </c>
      <c r="U158" s="35">
        <v>165</v>
      </c>
      <c r="V158" s="45">
        <v>165</v>
      </c>
      <c r="W158" s="45">
        <v>165</v>
      </c>
      <c r="X158" s="35">
        <v>97</v>
      </c>
      <c r="Y158" s="35">
        <v>97</v>
      </c>
      <c r="Z158" s="45">
        <v>97</v>
      </c>
      <c r="AA158" s="46">
        <v>97</v>
      </c>
      <c r="AB158" s="46">
        <v>83.61781376609099</v>
      </c>
      <c r="AC158" s="46">
        <v>83.61781376609099</v>
      </c>
      <c r="AD158" s="46">
        <v>83.61781376609099</v>
      </c>
      <c r="AE158" s="46">
        <v>83.61781376609099</v>
      </c>
    </row>
    <row r="159" spans="1:31" ht="15.5" thickBot="1" x14ac:dyDescent="0.9">
      <c r="A159" s="6" t="s">
        <v>8</v>
      </c>
      <c r="B159" s="7" t="s">
        <v>21</v>
      </c>
      <c r="C159" s="9"/>
      <c r="D159" s="12">
        <f t="shared" si="107"/>
        <v>0.42</v>
      </c>
      <c r="E159" s="12">
        <f t="shared" si="108"/>
        <v>0.34</v>
      </c>
      <c r="F159" s="13">
        <f t="shared" si="109"/>
        <v>0.33304888080267225</v>
      </c>
      <c r="G159" s="9"/>
      <c r="H159" s="12">
        <f t="shared" si="110"/>
        <v>28</v>
      </c>
      <c r="I159" s="12">
        <f t="shared" si="111"/>
        <v>22</v>
      </c>
      <c r="J159" s="12">
        <f t="shared" si="112"/>
        <v>21.157483524140439</v>
      </c>
      <c r="K159" s="3"/>
      <c r="L159" s="3"/>
      <c r="M159" s="3"/>
      <c r="N159" s="3"/>
      <c r="O159" s="3"/>
      <c r="P159" s="3"/>
      <c r="Q159" s="3"/>
      <c r="R159" s="39"/>
      <c r="S159" s="40" t="s">
        <v>22</v>
      </c>
      <c r="T159" s="37">
        <v>165</v>
      </c>
      <c r="U159" s="37">
        <v>165</v>
      </c>
      <c r="V159" s="47">
        <v>165</v>
      </c>
      <c r="W159" s="47">
        <v>165</v>
      </c>
      <c r="X159" s="37">
        <v>97</v>
      </c>
      <c r="Y159" s="37">
        <v>97</v>
      </c>
      <c r="Z159" s="47">
        <v>97</v>
      </c>
      <c r="AA159" s="48">
        <v>97</v>
      </c>
      <c r="AB159" s="48">
        <v>83.61781376609099</v>
      </c>
      <c r="AC159" s="48">
        <v>83.61781376609099</v>
      </c>
      <c r="AD159" s="48">
        <v>83.61781376609099</v>
      </c>
      <c r="AE159" s="48">
        <v>83.61781376609099</v>
      </c>
    </row>
    <row r="160" spans="1:31" ht="15.5" thickBot="1" x14ac:dyDescent="0.9">
      <c r="A160" s="10" t="s">
        <v>8</v>
      </c>
      <c r="B160" s="7" t="s">
        <v>22</v>
      </c>
      <c r="C160" s="9"/>
      <c r="D160" s="11">
        <f t="shared" si="107"/>
        <v>0.42</v>
      </c>
      <c r="E160" s="11">
        <f t="shared" si="108"/>
        <v>0.34</v>
      </c>
      <c r="F160" s="14">
        <f t="shared" si="109"/>
        <v>0.33451893517445652</v>
      </c>
      <c r="G160" s="9"/>
      <c r="H160" s="12">
        <f t="shared" si="110"/>
        <v>33</v>
      </c>
      <c r="I160" s="12">
        <f t="shared" si="111"/>
        <v>25</v>
      </c>
      <c r="J160" s="12">
        <f t="shared" si="112"/>
        <v>24.792683032424343</v>
      </c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5.5" thickBot="1" x14ac:dyDescent="0.9">
      <c r="A161" s="6" t="s">
        <v>9</v>
      </c>
      <c r="B161" s="7" t="s">
        <v>17</v>
      </c>
      <c r="C161" s="9"/>
      <c r="D161" s="12">
        <f t="shared" si="107"/>
        <v>0.54</v>
      </c>
      <c r="E161" s="12">
        <f t="shared" si="108"/>
        <v>0.36</v>
      </c>
      <c r="F161" s="13">
        <f t="shared" si="109"/>
        <v>0.35528161177705786</v>
      </c>
      <c r="G161" s="9"/>
      <c r="H161" s="12">
        <f t="shared" si="110"/>
        <v>12</v>
      </c>
      <c r="I161" s="12">
        <f t="shared" si="111"/>
        <v>8</v>
      </c>
      <c r="J161" s="12">
        <f t="shared" si="112"/>
        <v>7.5232848998891342</v>
      </c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5.5" thickBot="1" x14ac:dyDescent="0.9">
      <c r="A162" s="10" t="s">
        <v>9</v>
      </c>
      <c r="B162" s="7" t="s">
        <v>18</v>
      </c>
      <c r="C162" s="9"/>
      <c r="D162" s="11">
        <f t="shared" si="107"/>
        <v>0.54</v>
      </c>
      <c r="E162" s="11">
        <f t="shared" si="108"/>
        <v>0.37</v>
      </c>
      <c r="F162" s="14">
        <f t="shared" si="109"/>
        <v>0.35684979986208809</v>
      </c>
      <c r="G162" s="9"/>
      <c r="H162" s="12">
        <f t="shared" si="110"/>
        <v>18</v>
      </c>
      <c r="I162" s="12">
        <f t="shared" si="111"/>
        <v>12</v>
      </c>
      <c r="J162" s="12">
        <f t="shared" si="112"/>
        <v>11.334738226681294</v>
      </c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5.5" thickBot="1" x14ac:dyDescent="0.9">
      <c r="A163" s="6" t="s">
        <v>9</v>
      </c>
      <c r="B163" s="7" t="s">
        <v>19</v>
      </c>
      <c r="C163" s="9"/>
      <c r="D163" s="12">
        <f t="shared" si="107"/>
        <v>0.54</v>
      </c>
      <c r="E163" s="12">
        <f t="shared" si="108"/>
        <v>0.37</v>
      </c>
      <c r="F163" s="13">
        <f t="shared" si="109"/>
        <v>0.358424909819201</v>
      </c>
      <c r="G163" s="9"/>
      <c r="H163" s="12">
        <f t="shared" si="110"/>
        <v>24</v>
      </c>
      <c r="I163" s="12">
        <f t="shared" si="111"/>
        <v>16</v>
      </c>
      <c r="J163" s="12">
        <f t="shared" si="112"/>
        <v>15.179691953655155</v>
      </c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5.5" thickBot="1" x14ac:dyDescent="0.9">
      <c r="A164" s="10" t="s">
        <v>9</v>
      </c>
      <c r="B164" s="7" t="s">
        <v>20</v>
      </c>
      <c r="C164" s="9"/>
      <c r="D164" s="11">
        <f t="shared" si="107"/>
        <v>0.55000000000000004</v>
      </c>
      <c r="E164" s="11">
        <f t="shared" si="108"/>
        <v>0.37</v>
      </c>
      <c r="F164" s="14">
        <f t="shared" si="109"/>
        <v>0.36000697220105377</v>
      </c>
      <c r="G164" s="9"/>
      <c r="H164" s="12">
        <f t="shared" si="110"/>
        <v>30</v>
      </c>
      <c r="I164" s="12">
        <f t="shared" si="111"/>
        <v>20</v>
      </c>
      <c r="J164" s="12">
        <f t="shared" si="112"/>
        <v>19.058367559946788</v>
      </c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5.5" thickBot="1" x14ac:dyDescent="0.9">
      <c r="A165" s="6" t="s">
        <v>9</v>
      </c>
      <c r="B165" s="7" t="s">
        <v>21</v>
      </c>
      <c r="C165" s="9"/>
      <c r="D165" s="12">
        <f t="shared" si="107"/>
        <v>0.55000000000000004</v>
      </c>
      <c r="E165" s="12">
        <f t="shared" si="108"/>
        <v>0.37</v>
      </c>
      <c r="F165" s="13">
        <f t="shared" si="109"/>
        <v>0.36159601769516109</v>
      </c>
      <c r="G165" s="9"/>
      <c r="H165" s="12">
        <f t="shared" si="110"/>
        <v>36</v>
      </c>
      <c r="I165" s="12">
        <f t="shared" si="111"/>
        <v>24</v>
      </c>
      <c r="J165" s="12">
        <f t="shared" si="112"/>
        <v>22.97098782719819</v>
      </c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5.5" thickBot="1" x14ac:dyDescent="0.9">
      <c r="A166" s="10" t="s">
        <v>9</v>
      </c>
      <c r="B166" s="7" t="s">
        <v>22</v>
      </c>
      <c r="C166" s="9"/>
      <c r="D166" s="11">
        <f t="shared" si="107"/>
        <v>0.55000000000000004</v>
      </c>
      <c r="E166" s="11">
        <f t="shared" si="108"/>
        <v>0.37</v>
      </c>
      <c r="F166" s="14">
        <f t="shared" si="109"/>
        <v>0.36319207712449003</v>
      </c>
      <c r="G166" s="9"/>
      <c r="H166" s="12">
        <f t="shared" si="110"/>
        <v>42</v>
      </c>
      <c r="I166" s="12">
        <f t="shared" si="111"/>
        <v>28</v>
      </c>
      <c r="J166" s="12">
        <f t="shared" si="112"/>
        <v>26.917776846740573</v>
      </c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5.5" thickBot="1" x14ac:dyDescent="0.9">
      <c r="A167" s="6" t="s">
        <v>10</v>
      </c>
      <c r="B167" s="7" t="s">
        <v>17</v>
      </c>
      <c r="C167" s="9"/>
      <c r="D167" s="12">
        <f t="shared" si="107"/>
        <v>0.65</v>
      </c>
      <c r="E167" s="12">
        <f t="shared" si="108"/>
        <v>0.45</v>
      </c>
      <c r="F167" s="13">
        <f t="shared" si="109"/>
        <v>0.44039766865078672</v>
      </c>
      <c r="G167" s="9"/>
      <c r="H167" s="12">
        <f t="shared" si="110"/>
        <v>14</v>
      </c>
      <c r="I167" s="12">
        <f t="shared" si="111"/>
        <v>10</v>
      </c>
      <c r="J167" s="12">
        <f t="shared" si="112"/>
        <v>9.3256645451888076</v>
      </c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5.5" thickBot="1" x14ac:dyDescent="0.9">
      <c r="A168" s="10" t="s">
        <v>10</v>
      </c>
      <c r="B168" s="7" t="s">
        <v>18</v>
      </c>
      <c r="C168" s="9"/>
      <c r="D168" s="11">
        <f t="shared" si="107"/>
        <v>0.66</v>
      </c>
      <c r="E168" s="11">
        <f t="shared" si="108"/>
        <v>0.45</v>
      </c>
      <c r="F168" s="14">
        <f t="shared" si="109"/>
        <v>0.4423415530336538</v>
      </c>
      <c r="G168" s="9"/>
      <c r="H168" s="12">
        <f t="shared" si="110"/>
        <v>22</v>
      </c>
      <c r="I168" s="12">
        <f t="shared" si="111"/>
        <v>14</v>
      </c>
      <c r="J168" s="12">
        <f t="shared" si="112"/>
        <v>14.05024106040643</v>
      </c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5.5" thickBot="1" x14ac:dyDescent="0.9">
      <c r="A169" s="6" t="s">
        <v>10</v>
      </c>
      <c r="B169" s="7" t="s">
        <v>19</v>
      </c>
      <c r="C169" s="9"/>
      <c r="D169" s="12">
        <f t="shared" si="107"/>
        <v>0.66</v>
      </c>
      <c r="E169" s="12">
        <f t="shared" si="108"/>
        <v>0.46</v>
      </c>
      <c r="F169" s="13">
        <f t="shared" si="109"/>
        <v>0.44429401758567916</v>
      </c>
      <c r="G169" s="9"/>
      <c r="H169" s="12">
        <f t="shared" si="110"/>
        <v>29</v>
      </c>
      <c r="I169" s="12">
        <f t="shared" si="111"/>
        <v>19</v>
      </c>
      <c r="J169" s="12">
        <f t="shared" si="112"/>
        <v>18.816343783707534</v>
      </c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5.5" thickBot="1" x14ac:dyDescent="0.9">
      <c r="A170" s="10" t="s">
        <v>10</v>
      </c>
      <c r="B170" s="7" t="s">
        <v>20</v>
      </c>
      <c r="C170" s="9"/>
      <c r="D170" s="11">
        <f t="shared" si="107"/>
        <v>0.66</v>
      </c>
      <c r="E170" s="11">
        <f t="shared" si="108"/>
        <v>0.46</v>
      </c>
      <c r="F170" s="14">
        <f t="shared" si="109"/>
        <v>0.44625510017912701</v>
      </c>
      <c r="G170" s="9"/>
      <c r="H170" s="12">
        <f t="shared" si="110"/>
        <v>36</v>
      </c>
      <c r="I170" s="12">
        <f t="shared" si="111"/>
        <v>24</v>
      </c>
      <c r="J170" s="12">
        <f t="shared" si="112"/>
        <v>23.62424725475854</v>
      </c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5.5" thickBot="1" x14ac:dyDescent="0.9">
      <c r="A171" s="6" t="s">
        <v>10</v>
      </c>
      <c r="B171" s="7" t="s">
        <v>21</v>
      </c>
      <c r="C171" s="9"/>
      <c r="D171" s="12">
        <f t="shared" si="107"/>
        <v>0.66</v>
      </c>
      <c r="E171" s="12">
        <f t="shared" si="108"/>
        <v>0.46</v>
      </c>
      <c r="F171" s="13">
        <f t="shared" si="109"/>
        <v>0.44822483885342695</v>
      </c>
      <c r="G171" s="9"/>
      <c r="H171" s="12">
        <f t="shared" si="110"/>
        <v>44</v>
      </c>
      <c r="I171" s="12">
        <f t="shared" si="111"/>
        <v>29</v>
      </c>
      <c r="J171" s="12">
        <f t="shared" si="112"/>
        <v>28.474227627777672</v>
      </c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5.5" thickBot="1" x14ac:dyDescent="0.9">
      <c r="A172" s="10" t="s">
        <v>10</v>
      </c>
      <c r="B172" s="7" t="s">
        <v>22</v>
      </c>
      <c r="C172" s="9"/>
      <c r="D172" s="11">
        <f t="shared" si="107"/>
        <v>0.66</v>
      </c>
      <c r="E172" s="11">
        <f t="shared" si="108"/>
        <v>0.46</v>
      </c>
      <c r="F172" s="14">
        <f t="shared" si="109"/>
        <v>0.45020327181591202</v>
      </c>
      <c r="G172" s="9"/>
      <c r="H172" s="12">
        <f t="shared" si="110"/>
        <v>51</v>
      </c>
      <c r="I172" s="12">
        <f t="shared" si="111"/>
        <v>34</v>
      </c>
      <c r="J172" s="12">
        <f t="shared" si="112"/>
        <v>33.366562680439209</v>
      </c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5.5" thickBot="1" x14ac:dyDescent="0.9">
      <c r="A173" s="15" t="s">
        <v>6</v>
      </c>
      <c r="B173" s="16" t="s">
        <v>23</v>
      </c>
      <c r="C173" s="9"/>
      <c r="D173" s="17">
        <v>37</v>
      </c>
      <c r="E173" s="17">
        <v>54</v>
      </c>
      <c r="F173" s="9"/>
      <c r="G173" s="3" t="s">
        <v>35</v>
      </c>
      <c r="H173" s="3"/>
      <c r="I173" s="3"/>
      <c r="J173" s="12" t="e">
        <f t="shared" si="112"/>
        <v>#N/A</v>
      </c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5.5" thickBot="1" x14ac:dyDescent="0.9">
      <c r="A174" s="15" t="s">
        <v>8</v>
      </c>
      <c r="B174" s="16" t="s">
        <v>23</v>
      </c>
      <c r="C174" s="9"/>
      <c r="D174" s="17">
        <v>32</v>
      </c>
      <c r="E174" s="17">
        <v>45</v>
      </c>
      <c r="F174" s="9"/>
      <c r="G174" s="3" t="s">
        <v>35</v>
      </c>
      <c r="H174" s="3"/>
      <c r="I174" s="3"/>
      <c r="J174" s="12" t="e">
        <f t="shared" si="112"/>
        <v>#N/A</v>
      </c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5.5" thickBot="1" x14ac:dyDescent="0.9">
      <c r="A175" s="15" t="s">
        <v>9</v>
      </c>
      <c r="B175" s="16" t="s">
        <v>23</v>
      </c>
      <c r="C175" s="9"/>
      <c r="D175" s="17">
        <v>26</v>
      </c>
      <c r="E175" s="17">
        <v>37</v>
      </c>
      <c r="F175" s="9"/>
      <c r="G175" s="3" t="s">
        <v>35</v>
      </c>
      <c r="H175" s="3"/>
      <c r="I175" s="3"/>
      <c r="J175" s="12" t="e">
        <f t="shared" si="112"/>
        <v>#N/A</v>
      </c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5.5" thickBot="1" x14ac:dyDescent="0.9">
      <c r="A176" s="15" t="s">
        <v>10</v>
      </c>
      <c r="B176" s="16" t="s">
        <v>23</v>
      </c>
      <c r="C176" s="9"/>
      <c r="D176" s="17">
        <v>23</v>
      </c>
      <c r="E176" s="17">
        <v>25</v>
      </c>
      <c r="F176" s="9"/>
      <c r="G176" s="3" t="s">
        <v>35</v>
      </c>
      <c r="H176" s="3"/>
      <c r="I176" s="3"/>
      <c r="J176" s="12" t="e">
        <f t="shared" si="112"/>
        <v>#N/A</v>
      </c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32" x14ac:dyDescent="0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32" x14ac:dyDescent="0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32" x14ac:dyDescent="0.75">
      <c r="A179" s="49" t="s">
        <v>99</v>
      </c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32" x14ac:dyDescent="0.75">
      <c r="A180" s="3" t="s">
        <v>85</v>
      </c>
      <c r="B180" s="1">
        <v>2020</v>
      </c>
      <c r="C180" s="2">
        <v>2021</v>
      </c>
      <c r="D180" s="1">
        <v>2022</v>
      </c>
      <c r="E180" s="2">
        <v>2023</v>
      </c>
      <c r="F180" s="2">
        <v>2024</v>
      </c>
      <c r="G180" s="2">
        <v>2025</v>
      </c>
      <c r="H180" s="2">
        <v>2026</v>
      </c>
      <c r="I180" s="2">
        <v>2027</v>
      </c>
      <c r="J180" s="2">
        <v>2028</v>
      </c>
      <c r="K180" s="2">
        <v>2029</v>
      </c>
      <c r="L180" s="2">
        <v>2030</v>
      </c>
      <c r="M180" s="2">
        <v>2031</v>
      </c>
      <c r="N180" s="2">
        <v>2032</v>
      </c>
      <c r="O180" s="2">
        <v>2033</v>
      </c>
      <c r="P180" s="2">
        <v>2034</v>
      </c>
      <c r="Q180" s="2">
        <v>2035</v>
      </c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32" x14ac:dyDescent="0.75">
      <c r="A181" s="3" t="s">
        <v>86</v>
      </c>
      <c r="B181" cm="1">
        <f t="array" ref="B181">TREND($D181:$H181,$D$180:$H$180,B$180)</f>
        <v>95.525493082981484</v>
      </c>
      <c r="C181" cm="1">
        <f t="array" ref="C181">TREND($D181:$H181,$D$180:$H$180,C$180)</f>
        <v>93.479988743963986</v>
      </c>
      <c r="D181" s="3">
        <f>SUMPRODUCT(E64:E87,H125:H148)</f>
        <v>91.434484404946261</v>
      </c>
      <c r="E181" s="53">
        <f t="shared" ref="E181:K182" si="113">($L181-$D181)/COUNT($E$180:$L$180)+D181</f>
        <v>89.388980065928635</v>
      </c>
      <c r="F181" s="53">
        <f t="shared" si="113"/>
        <v>87.343475726911009</v>
      </c>
      <c r="G181" s="53">
        <f t="shared" si="113"/>
        <v>85.297971387893384</v>
      </c>
      <c r="H181" s="53">
        <f t="shared" si="113"/>
        <v>83.252467048875758</v>
      </c>
      <c r="I181" s="53">
        <f t="shared" si="113"/>
        <v>81.206962709858132</v>
      </c>
      <c r="J181" s="53">
        <f t="shared" si="113"/>
        <v>79.161458370840506</v>
      </c>
      <c r="K181" s="53">
        <f t="shared" si="113"/>
        <v>77.115954031822881</v>
      </c>
      <c r="L181" s="3">
        <f>SUMPRODUCT(M64:M87,I125:I148)</f>
        <v>75.070449692805283</v>
      </c>
      <c r="M181" s="53">
        <f t="shared" ref="M181:P182" si="114">($Q181-$L181)/COUNT($M$180:$Q$180)+L181</f>
        <v>74.688318500623538</v>
      </c>
      <c r="N181" s="53">
        <f t="shared" si="114"/>
        <v>74.306187308441793</v>
      </c>
      <c r="O181" s="53">
        <f t="shared" si="114"/>
        <v>73.924056116260047</v>
      </c>
      <c r="P181" s="53">
        <f t="shared" si="114"/>
        <v>73.541924924078302</v>
      </c>
      <c r="Q181" s="3">
        <f>SUMPRODUCT(R64:R87,J125:J148)</f>
        <v>73.159793731896556</v>
      </c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32" x14ac:dyDescent="0.75">
      <c r="A182" s="3" t="s">
        <v>23</v>
      </c>
      <c r="B182" cm="1">
        <f t="array" ref="B182">TREND($D182:$H182,$D$180:$H$180,B$180)</f>
        <v>16.635206947477229</v>
      </c>
      <c r="C182" cm="1">
        <f t="array" ref="C182">TREND($D182:$H182,$D$180:$H$180,C$180)</f>
        <v>16.797827693855538</v>
      </c>
      <c r="D182" s="3">
        <f>SUMPRODUCT(E92:E115,H149:H172)</f>
        <v>16.960448440233939</v>
      </c>
      <c r="E182" s="53">
        <f t="shared" si="113"/>
        <v>17.123069186612287</v>
      </c>
      <c r="F182" s="53">
        <f t="shared" si="113"/>
        <v>17.285689932990635</v>
      </c>
      <c r="G182" s="53">
        <f t="shared" si="113"/>
        <v>17.448310679368984</v>
      </c>
      <c r="H182" s="53">
        <f t="shared" si="113"/>
        <v>17.610931425747332</v>
      </c>
      <c r="I182" s="53">
        <f t="shared" si="113"/>
        <v>17.77355217212568</v>
      </c>
      <c r="J182" s="53">
        <f t="shared" si="113"/>
        <v>17.936172918504028</v>
      </c>
      <c r="K182" s="53">
        <f t="shared" si="113"/>
        <v>18.098793664882376</v>
      </c>
      <c r="L182" s="3">
        <f>SUMPRODUCT(M92:M115,I149:I172)</f>
        <v>18.261414411260727</v>
      </c>
      <c r="M182" s="53">
        <f t="shared" si="114"/>
        <v>18.171599418030326</v>
      </c>
      <c r="N182" s="53">
        <f t="shared" si="114"/>
        <v>18.081784424799924</v>
      </c>
      <c r="O182" s="53">
        <f t="shared" si="114"/>
        <v>17.991969431569522</v>
      </c>
      <c r="P182" s="53">
        <f t="shared" si="114"/>
        <v>17.902154438339121</v>
      </c>
      <c r="Q182" s="3">
        <f>SUMPRODUCT(R92:R115,J149:J172)</f>
        <v>17.812339445108716</v>
      </c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32" x14ac:dyDescent="0.75">
      <c r="A183" s="3"/>
      <c r="B183" s="3"/>
      <c r="C183" s="53"/>
      <c r="D183" s="53"/>
      <c r="E183" s="53"/>
      <c r="F183" s="53"/>
      <c r="G183" s="53"/>
      <c r="H183" s="53"/>
      <c r="I183" s="3"/>
      <c r="J183" s="53"/>
      <c r="K183" s="53"/>
      <c r="L183" s="53"/>
      <c r="M183" s="5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32" x14ac:dyDescent="0.75">
      <c r="A184" s="49" t="s">
        <v>100</v>
      </c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  <c r="AD184" s="49"/>
      <c r="AE184" s="49"/>
      <c r="AF184" s="49"/>
    </row>
    <row r="185" spans="1:32" x14ac:dyDescent="0.75">
      <c r="A185" s="3" t="s">
        <v>85</v>
      </c>
      <c r="B185" s="1">
        <v>2020</v>
      </c>
      <c r="C185" s="2">
        <v>2021</v>
      </c>
      <c r="D185" s="1">
        <v>2022</v>
      </c>
      <c r="E185" s="2">
        <v>2023</v>
      </c>
      <c r="F185" s="2">
        <v>2024</v>
      </c>
      <c r="G185" s="2">
        <v>2025</v>
      </c>
      <c r="H185" s="2">
        <v>2026</v>
      </c>
      <c r="I185" s="2">
        <v>2027</v>
      </c>
      <c r="J185" s="2">
        <v>2028</v>
      </c>
      <c r="K185" s="2">
        <v>2029</v>
      </c>
      <c r="L185" s="2">
        <v>2030</v>
      </c>
      <c r="M185" s="2">
        <v>2031</v>
      </c>
      <c r="N185" s="2">
        <v>2032</v>
      </c>
      <c r="O185" s="2">
        <v>2033</v>
      </c>
      <c r="P185" s="2">
        <v>2034</v>
      </c>
      <c r="Q185" s="2">
        <v>2035</v>
      </c>
      <c r="R185" s="2">
        <v>2036</v>
      </c>
      <c r="S185" s="2">
        <v>2037</v>
      </c>
      <c r="T185" s="2">
        <v>2038</v>
      </c>
      <c r="U185" s="2">
        <v>2039</v>
      </c>
      <c r="V185" s="2">
        <v>2040</v>
      </c>
      <c r="W185" s="2">
        <v>2041</v>
      </c>
      <c r="X185" s="2">
        <v>2042</v>
      </c>
      <c r="Y185" s="2">
        <v>2043</v>
      </c>
      <c r="Z185" s="2">
        <v>2044</v>
      </c>
      <c r="AA185" s="2">
        <v>2045</v>
      </c>
      <c r="AB185" s="2">
        <v>2046</v>
      </c>
      <c r="AC185" s="2">
        <v>2047</v>
      </c>
      <c r="AD185" s="2">
        <v>2048</v>
      </c>
      <c r="AE185" s="2">
        <v>2049</v>
      </c>
      <c r="AF185" s="2">
        <v>2050</v>
      </c>
    </row>
    <row r="186" spans="1:32" x14ac:dyDescent="0.75">
      <c r="A186" s="3" t="s">
        <v>86</v>
      </c>
      <c r="B186">
        <v>0</v>
      </c>
      <c r="C186">
        <f t="shared" ref="C186:D186" si="115">1-(C181/B181)</f>
        <v>2.1413177498498803E-2</v>
      </c>
      <c r="D186">
        <f t="shared" si="115"/>
        <v>2.1881734973463018E-2</v>
      </c>
      <c r="E186">
        <f t="shared" ref="E186:Q186" si="116">1-(E181/D181)</f>
        <v>2.2371256887701918E-2</v>
      </c>
      <c r="F186">
        <f t="shared" si="116"/>
        <v>2.2883182440486149E-2</v>
      </c>
      <c r="G186">
        <f t="shared" si="116"/>
        <v>2.3419085650004612E-2</v>
      </c>
      <c r="H186">
        <f t="shared" si="116"/>
        <v>2.3980691518625585E-2</v>
      </c>
      <c r="I186">
        <f t="shared" si="116"/>
        <v>2.4569894581223051E-2</v>
      </c>
      <c r="J186">
        <f t="shared" si="116"/>
        <v>2.5188780256761301E-2</v>
      </c>
      <c r="K186">
        <f t="shared" si="116"/>
        <v>2.5839649510185136E-2</v>
      </c>
      <c r="L186">
        <f t="shared" si="116"/>
        <v>2.65250474392561E-2</v>
      </c>
      <c r="M186">
        <f t="shared" si="116"/>
        <v>5.0903010937787263E-3</v>
      </c>
      <c r="N186">
        <f t="shared" si="116"/>
        <v>5.1163448294602176E-3</v>
      </c>
      <c r="O186">
        <f t="shared" si="116"/>
        <v>5.1426564331115143E-3</v>
      </c>
      <c r="P186">
        <f t="shared" si="116"/>
        <v>5.1692400587539655E-3</v>
      </c>
      <c r="Q186">
        <f t="shared" si="116"/>
        <v>5.1960999467479674E-3</v>
      </c>
      <c r="R186" s="81" cm="1">
        <f t="array" ref="R186">TREND($M186:$Q186,$M$185:$Q$185,R$185)</f>
        <v>5.2222763529401472E-3</v>
      </c>
      <c r="S186" s="81" cm="1">
        <f t="array" ref="S186">TREND($M186:$Q186,$M$185:$Q$185,S$185)</f>
        <v>5.2487256464633716E-3</v>
      </c>
      <c r="T186" s="81" cm="1">
        <f t="array" ref="T186">TREND($M186:$Q186,$M$185:$Q$185,T$185)</f>
        <v>5.275174939986596E-3</v>
      </c>
      <c r="U186" s="81" cm="1">
        <f t="array" ref="U186">TREND($M186:$Q186,$M$185:$Q$185,U$185)</f>
        <v>5.3016242335098204E-3</v>
      </c>
      <c r="V186" s="81" cm="1">
        <f t="array" ref="V186">TREND($M186:$Q186,$M$185:$Q$185,V$185)</f>
        <v>5.3280735270330448E-3</v>
      </c>
      <c r="W186" s="81" cm="1">
        <f t="array" ref="W186">TREND($M186:$Q186,$M$185:$Q$185,W$185)</f>
        <v>5.3545228205562623E-3</v>
      </c>
      <c r="X186" s="81" cm="1">
        <f t="array" ref="X186">TREND($M186:$Q186,$M$185:$Q$185,X$185)</f>
        <v>5.3809721140794867E-3</v>
      </c>
      <c r="Y186" s="81" cm="1">
        <f t="array" ref="Y186">TREND($M186:$Q186,$M$185:$Q$185,Y$185)</f>
        <v>5.4074214076027111E-3</v>
      </c>
      <c r="Z186" s="81" cm="1">
        <f t="array" ref="Z186">TREND($M186:$Q186,$M$185:$Q$185,Z$185)</f>
        <v>5.4338707011259355E-3</v>
      </c>
      <c r="AA186" s="81" cm="1">
        <f t="array" ref="AA186">TREND($M186:$Q186,$M$185:$Q$185,AA$185)</f>
        <v>5.4603199946491598E-3</v>
      </c>
      <c r="AB186" s="81" cm="1">
        <f t="array" ref="AB186">TREND($M186:$Q186,$M$185:$Q$185,AB$185)</f>
        <v>5.4867692881723773E-3</v>
      </c>
      <c r="AC186" s="81" cm="1">
        <f t="array" ref="AC186">TREND($M186:$Q186,$M$185:$Q$185,AC$185)</f>
        <v>5.5132185816956017E-3</v>
      </c>
      <c r="AD186" s="81" cm="1">
        <f t="array" ref="AD186">TREND($M186:$Q186,$M$185:$Q$185,AD$185)</f>
        <v>5.5396678752188261E-3</v>
      </c>
      <c r="AE186" s="81" cm="1">
        <f t="array" ref="AE186">TREND($M186:$Q186,$M$185:$Q$185,AE$185)</f>
        <v>5.5661171687420505E-3</v>
      </c>
      <c r="AF186" s="81" cm="1">
        <f t="array" ref="AF186">TREND($M186:$Q186,$M$185:$Q$185,AF$185)</f>
        <v>5.5925664622652749E-3</v>
      </c>
    </row>
    <row r="187" spans="1:32" x14ac:dyDescent="0.75">
      <c r="A187" s="3" t="s">
        <v>23</v>
      </c>
      <c r="B187">
        <v>0</v>
      </c>
      <c r="C187">
        <f t="shared" ref="C187:D187" si="117">1-(C182/B182)</f>
        <v>-9.7756972240714557E-3</v>
      </c>
      <c r="D187">
        <f t="shared" si="117"/>
        <v>-9.6810581309800803E-3</v>
      </c>
      <c r="E187">
        <f t="shared" ref="E187:Q187" si="118">1-(E182/D182)</f>
        <v>-9.5882338813975121E-3</v>
      </c>
      <c r="F187">
        <f t="shared" si="118"/>
        <v>-9.4971727676889106E-3</v>
      </c>
      <c r="G187">
        <f t="shared" si="118"/>
        <v>-9.407825028029615E-3</v>
      </c>
      <c r="H187">
        <f t="shared" si="118"/>
        <v>-9.3201427557472183E-3</v>
      </c>
      <c r="I187">
        <f t="shared" si="118"/>
        <v>-9.2340798136658631E-3</v>
      </c>
      <c r="J187">
        <f t="shared" si="118"/>
        <v>-9.1495917531547732E-3</v>
      </c>
      <c r="K187">
        <f t="shared" si="118"/>
        <v>-9.0666357375814854E-3</v>
      </c>
      <c r="L187">
        <f t="shared" si="118"/>
        <v>-8.9851704698911128E-3</v>
      </c>
      <c r="M187">
        <f t="shared" si="118"/>
        <v>4.918293359303938E-3</v>
      </c>
      <c r="N187">
        <f t="shared" si="118"/>
        <v>4.9426025284975417E-3</v>
      </c>
      <c r="O187">
        <f t="shared" si="118"/>
        <v>4.9671531924259105E-3</v>
      </c>
      <c r="P187">
        <f t="shared" si="118"/>
        <v>4.9919489676770734E-3</v>
      </c>
      <c r="Q187">
        <f t="shared" si="118"/>
        <v>5.0169935434172253E-3</v>
      </c>
      <c r="R187" s="81" cm="1">
        <f t="array" ref="R187">TREND($M187:$Q187,$M$185:$Q$185,R$185)</f>
        <v>5.0414223604861655E-3</v>
      </c>
      <c r="S187" s="81" cm="1">
        <f t="array" ref="S187">TREND($M187:$Q187,$M$185:$Q$185,S$185)</f>
        <v>5.0660970412267775E-3</v>
      </c>
      <c r="T187" s="81" cm="1">
        <f t="array" ref="T187">TREND($M187:$Q187,$M$185:$Q$185,T$185)</f>
        <v>5.0907717219673895E-3</v>
      </c>
      <c r="U187" s="81" cm="1">
        <f t="array" ref="U187">TREND($M187:$Q187,$M$185:$Q$185,U$185)</f>
        <v>5.1154464027080015E-3</v>
      </c>
      <c r="V187" s="81" cm="1">
        <f t="array" ref="V187">TREND($M187:$Q187,$M$185:$Q$185,V$185)</f>
        <v>5.1401210834486136E-3</v>
      </c>
      <c r="W187" s="81" cm="1">
        <f t="array" ref="W187">TREND($M187:$Q187,$M$185:$Q$185,W$185)</f>
        <v>5.1647957641892187E-3</v>
      </c>
      <c r="X187" s="81" cm="1">
        <f t="array" ref="X187">TREND($M187:$Q187,$M$185:$Q$185,X$185)</f>
        <v>5.1894704449298307E-3</v>
      </c>
      <c r="Y187" s="81" cm="1">
        <f t="array" ref="Y187">TREND($M187:$Q187,$M$185:$Q$185,Y$185)</f>
        <v>5.2141451256704427E-3</v>
      </c>
      <c r="Z187" s="81" cm="1">
        <f t="array" ref="Z187">TREND($M187:$Q187,$M$185:$Q$185,Z$185)</f>
        <v>5.2388198064110547E-3</v>
      </c>
      <c r="AA187" s="81" cm="1">
        <f t="array" ref="AA187">TREND($M187:$Q187,$M$185:$Q$185,AA$185)</f>
        <v>5.2634944871516667E-3</v>
      </c>
      <c r="AB187" s="81" cm="1">
        <f t="array" ref="AB187">TREND($M187:$Q187,$M$185:$Q$185,AB$185)</f>
        <v>5.2881691678922718E-3</v>
      </c>
      <c r="AC187" s="81" cm="1">
        <f t="array" ref="AC187">TREND($M187:$Q187,$M$185:$Q$185,AC$185)</f>
        <v>5.3128438486328838E-3</v>
      </c>
      <c r="AD187" s="81" cm="1">
        <f t="array" ref="AD187">TREND($M187:$Q187,$M$185:$Q$185,AD$185)</f>
        <v>5.3375185293734959E-3</v>
      </c>
      <c r="AE187" s="81" cm="1">
        <f t="array" ref="AE187">TREND($M187:$Q187,$M$185:$Q$185,AE$185)</f>
        <v>5.3621932101141079E-3</v>
      </c>
      <c r="AF187" s="81" cm="1">
        <f t="array" ref="AF187">TREND($M187:$Q187,$M$185:$Q$185,AF$185)</f>
        <v>5.3868678908547199E-3</v>
      </c>
    </row>
  </sheetData>
  <mergeCells count="20">
    <mergeCell ref="AD122:AD123"/>
    <mergeCell ref="AE122:AE123"/>
    <mergeCell ref="X122:X123"/>
    <mergeCell ref="Y122:Y123"/>
    <mergeCell ref="Z122:Z123"/>
    <mergeCell ref="AA122:AA123"/>
    <mergeCell ref="AB122:AB123"/>
    <mergeCell ref="AC122:AC123"/>
    <mergeCell ref="W122:W123"/>
    <mergeCell ref="A119:A120"/>
    <mergeCell ref="B119:B120"/>
    <mergeCell ref="C119:F119"/>
    <mergeCell ref="G119:J119"/>
    <mergeCell ref="R118:R120"/>
    <mergeCell ref="S119:S120"/>
    <mergeCell ref="Q122:Q123"/>
    <mergeCell ref="S122:S123"/>
    <mergeCell ref="T122:T123"/>
    <mergeCell ref="U122:U123"/>
    <mergeCell ref="V122:V1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4BDA9-C258-4593-B06F-5EA0519CE561}">
  <dimension ref="A1:AE489"/>
  <sheetViews>
    <sheetView workbookViewId="0">
      <selection activeCell="B13" sqref="B13"/>
    </sheetView>
  </sheetViews>
  <sheetFormatPr defaultRowHeight="14.75" x14ac:dyDescent="0.75"/>
  <cols>
    <col min="1" max="1" width="31.86328125" customWidth="1"/>
    <col min="2" max="2" width="13.7265625" bestFit="1" customWidth="1"/>
    <col min="3" max="3" width="24.54296875" customWidth="1"/>
    <col min="27" max="27" width="11.1328125" bestFit="1" customWidth="1"/>
    <col min="28" max="28" width="9.54296875" bestFit="1" customWidth="1"/>
  </cols>
  <sheetData>
    <row r="1" spans="1:31" x14ac:dyDescent="0.75">
      <c r="A1" t="s">
        <v>183</v>
      </c>
    </row>
    <row r="2" spans="1:31" x14ac:dyDescent="0.75"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 x14ac:dyDescent="0.75">
      <c r="A3" s="64" t="s">
        <v>184</v>
      </c>
      <c r="B3" s="115">
        <f>SUMIFS($E$22:$E$489,$B$22:$B$489,B$2)+SUMIFS($F$22:$F$489,$B$22:$B$489,B$2)</f>
        <v>91386.651882000006</v>
      </c>
      <c r="C3" s="115">
        <f>SUMIFS($E$22:$E$489,$B$22:$B$489,C$2)+SUMIFS($F$22:$F$489,$B$22:$B$489,C$2)</f>
        <v>91947.005730999997</v>
      </c>
      <c r="D3" s="113">
        <f>SUMIFS($E$22:$E$489,$B$22:$B$489,D$2)+SUMIFS($F$22:$F$489,$B$22:$B$489,D$2)</f>
        <v>92648.953790000014</v>
      </c>
      <c r="E3" s="113">
        <f>SUMIFS($E$22:$E$489,$B$22:$B$489,E$2)+SUMIFS($F$22:$F$489,$B$22:$B$489,E$2)</f>
        <v>90178.649212999997</v>
      </c>
      <c r="F3" s="113">
        <f>SUMIFS($E$22:$E$489,$B$22:$B$489,F$2)+SUMIFS($F$22:$F$489,$B$22:$B$489,F$2)</f>
        <v>88689.614931000004</v>
      </c>
      <c r="G3" s="113">
        <f>SUMIFS($E$22:$E$489,$B$22:$B$489,G$2)+SUMIFS($F$22:$F$489,$B$22:$B$489,G$2)</f>
        <v>87470.570069000009</v>
      </c>
      <c r="H3" s="113">
        <f>SUMIFS($E$22:$E$489,$B$22:$B$489,H$2)+SUMIFS($F$22:$F$489,$B$22:$B$489,H$2)</f>
        <v>86828.223828999995</v>
      </c>
      <c r="I3" s="113">
        <f>SUMIFS($E$22:$E$489,$B$22:$B$489,I$2)+SUMIFS($F$22:$F$489,$B$22:$B$489,I$2)</f>
        <v>86099.213946000003</v>
      </c>
      <c r="J3" s="113">
        <f>SUMIFS($E$22:$E$489,$B$22:$B$489,J$2)+SUMIFS($F$22:$F$489,$B$22:$B$489,J$2)</f>
        <v>85512.290208999999</v>
      </c>
      <c r="K3" s="113">
        <f>SUMIFS($E$22:$E$489,$B$22:$B$489,K$2)+SUMIFS($F$22:$F$489,$B$22:$B$489,K$2)</f>
        <v>85063.745385999995</v>
      </c>
      <c r="L3" s="113">
        <f>SUMIFS($E$22:$E$489,$B$22:$B$489,L$2)+SUMIFS($F$22:$F$489,$B$22:$B$489,L$2)</f>
        <v>84548.881482000012</v>
      </c>
      <c r="M3" s="113">
        <f>SUMIFS($E$22:$E$489,$B$22:$B$489,M$2)+SUMIFS($F$22:$F$489,$B$22:$B$489,M$2)</f>
        <v>84020.64536200001</v>
      </c>
      <c r="N3" s="113">
        <f>SUMIFS($E$22:$E$489,$B$22:$B$489,N$2)+SUMIFS($F$22:$F$489,$B$22:$B$489,N$2)</f>
        <v>83568.854577999984</v>
      </c>
      <c r="O3" s="113">
        <f>SUMIFS($E$22:$E$489,$B$22:$B$489,O$2)+SUMIFS($F$22:$F$489,$B$22:$B$489,O$2)</f>
        <v>83098.194587000005</v>
      </c>
      <c r="P3" s="113">
        <f>SUMIFS($E$22:$E$489,$B$22:$B$489,P$2)+SUMIFS($F$22:$F$489,$B$22:$B$489,P$2)</f>
        <v>82622.156791000001</v>
      </c>
      <c r="Q3" s="113">
        <f>SUMIFS($E$22:$E$489,$B$22:$B$489,Q$2)+SUMIFS($F$22:$F$489,$B$22:$B$489,Q$2)</f>
        <v>82121.637713000004</v>
      </c>
      <c r="R3" s="113">
        <f>SUMIFS($E$22:$E$489,$B$22:$B$489,R$2)+SUMIFS($F$22:$F$489,$B$22:$B$489,R$2)</f>
        <v>81640.438290000006</v>
      </c>
      <c r="S3" s="113">
        <f>SUMIFS($E$22:$E$489,$B$22:$B$489,S$2)+SUMIFS($F$22:$F$489,$B$22:$B$489,S$2)</f>
        <v>81150.819166000001</v>
      </c>
      <c r="T3" s="113">
        <f>SUMIFS($E$22:$E$489,$B$22:$B$489,T$2)+SUMIFS($F$22:$F$489,$B$22:$B$489,T$2)</f>
        <v>80665.457783999984</v>
      </c>
      <c r="U3" s="113">
        <f>SUMIFS($E$22:$E$489,$B$22:$B$489,U$2)+SUMIFS($F$22:$F$489,$B$22:$B$489,U$2)</f>
        <v>80185.747414000012</v>
      </c>
      <c r="V3" s="113">
        <f>SUMIFS($E$22:$E$489,$B$22:$B$489,V$2)+SUMIFS($F$22:$F$489,$B$22:$B$489,V$2)</f>
        <v>79663.005447999996</v>
      </c>
      <c r="W3" s="113">
        <f>SUMIFS($E$22:$E$489,$B$22:$B$489,W$2)+SUMIFS($F$22:$F$489,$B$22:$B$489,W$2)</f>
        <v>79163.568668000007</v>
      </c>
      <c r="X3" s="113">
        <f>SUMIFS($E$22:$E$489,$B$22:$B$489,X$2)+SUMIFS($F$22:$F$489,$B$22:$B$489,X$2)</f>
        <v>78624.839274000013</v>
      </c>
      <c r="Y3" s="113">
        <f>SUMIFS($E$22:$E$489,$B$22:$B$489,Y$2)+SUMIFS($F$22:$F$489,$B$22:$B$489,Y$2)</f>
        <v>78119.995691999997</v>
      </c>
      <c r="Z3" s="113">
        <f>SUMIFS($E$22:$E$489,$B$22:$B$489,Z$2)+SUMIFS($F$22:$F$489,$B$22:$B$489,Z$2)</f>
        <v>77562.44322500001</v>
      </c>
      <c r="AA3" s="113">
        <f>SUMIFS($E$22:$E$489,$B$22:$B$489,AA$2)+SUMIFS($F$22:$F$489,$B$22:$B$489,AA$2)</f>
        <v>77005.893577999988</v>
      </c>
      <c r="AB3" s="113">
        <f>SUMIFS($E$22:$E$489,$B$22:$B$489,AB$2)+SUMIFS($F$22:$F$489,$B$22:$B$489,AB$2)</f>
        <v>76407.862476000009</v>
      </c>
      <c r="AC3" s="113">
        <f>SUMIFS($E$22:$E$489,$B$22:$B$489,AC$2)+SUMIFS($F$22:$F$489,$B$22:$B$489,AC$2)</f>
        <v>75801.433523999993</v>
      </c>
      <c r="AD3" s="113">
        <f>SUMIFS($E$22:$E$489,$B$22:$B$489,AD$2)+SUMIFS($F$22:$F$489,$B$22:$B$489,AD$2)</f>
        <v>75167.452890999994</v>
      </c>
      <c r="AE3" s="113">
        <f>SUMIFS($E$22:$E$489,$B$22:$B$489,AE$2)+SUMIFS($F$22:$F$489,$B$22:$B$489,AE$2)</f>
        <v>74487.219474999991</v>
      </c>
    </row>
    <row r="4" spans="1:31" x14ac:dyDescent="0.75">
      <c r="A4">
        <v>3</v>
      </c>
      <c r="B4" s="115">
        <f>SUMIFS($G$22:$G$489,$B$22:$B$489,B$2)+SUMIFS($H$22:$H$489,$B$22:$B$489,B$2)</f>
        <v>71427.169756999996</v>
      </c>
      <c r="C4" s="113">
        <f>SUMIFS($G$22:$G$489,$B$22:$B$489,C$2)+SUMIFS($H$22:$H$489,$B$22:$B$489,C$2)</f>
        <v>76543.150125</v>
      </c>
      <c r="D4" s="113">
        <f>SUMIFS($G$22:$G$489,$B$22:$B$489,D$2)+SUMIFS($H$22:$H$489,$B$22:$B$489,D$2)</f>
        <v>79287.410000999997</v>
      </c>
      <c r="E4" s="113">
        <f>SUMIFS($G$22:$G$489,$B$22:$B$489,E$2)+SUMIFS($H$22:$H$489,$B$22:$B$489,E$2)</f>
        <v>81913.445359999998</v>
      </c>
      <c r="F4" s="113">
        <f>SUMIFS($G$22:$G$489,$B$22:$B$489,F$2)+SUMIFS($H$22:$H$489,$B$22:$B$489,F$2)</f>
        <v>83614.934195000009</v>
      </c>
      <c r="G4" s="113">
        <f>SUMIFS($G$22:$G$489,$B$22:$B$489,G$2)+SUMIFS($H$22:$H$489,$B$22:$B$489,G$2)</f>
        <v>84685.04848300002</v>
      </c>
      <c r="H4" s="113">
        <f>SUMIFS($G$22:$G$489,$B$22:$B$489,H$2)+SUMIFS($H$22:$H$489,$B$22:$B$489,H$2)</f>
        <v>85288.011897999997</v>
      </c>
      <c r="I4" s="113">
        <f>SUMIFS($G$22:$G$489,$B$22:$B$489,I$2)+SUMIFS($H$22:$H$489,$B$22:$B$489,I$2)</f>
        <v>85993.857422000016</v>
      </c>
      <c r="J4" s="113">
        <f>SUMIFS($G$22:$G$489,$B$22:$B$489,J$2)+SUMIFS($H$22:$H$489,$B$22:$B$489,J$2)</f>
        <v>87110.821344000011</v>
      </c>
      <c r="K4" s="113">
        <f>SUMIFS($G$22:$G$489,$B$22:$B$489,K$2)+SUMIFS($H$22:$H$489,$B$22:$B$489,K$2)</f>
        <v>88538.416630999971</v>
      </c>
      <c r="L4" s="113">
        <f>SUMIFS($G$22:$G$489,$B$22:$B$489,L$2)+SUMIFS($H$22:$H$489,$B$22:$B$489,L$2)</f>
        <v>89987.666987999997</v>
      </c>
      <c r="M4" s="113">
        <f>SUMIFS($G$22:$G$489,$B$22:$B$489,M$2)+SUMIFS($H$22:$H$489,$B$22:$B$489,M$2)</f>
        <v>91482.890748999984</v>
      </c>
      <c r="N4" s="113">
        <f>SUMIFS($G$22:$G$489,$B$22:$B$489,N$2)+SUMIFS($H$22:$H$489,$B$22:$B$489,N$2)</f>
        <v>92929.674592999989</v>
      </c>
      <c r="O4" s="113">
        <f>SUMIFS($G$22:$G$489,$B$22:$B$489,O$2)+SUMIFS($H$22:$H$489,$B$22:$B$489,O$2)</f>
        <v>94730.795887999993</v>
      </c>
      <c r="P4" s="113">
        <f>SUMIFS($G$22:$G$489,$B$22:$B$489,P$2)+SUMIFS($H$22:$H$489,$B$22:$B$489,P$2)</f>
        <v>96488.455765999985</v>
      </c>
      <c r="Q4" s="113">
        <f>SUMIFS($G$22:$G$489,$B$22:$B$489,Q$2)+SUMIFS($H$22:$H$489,$B$22:$B$489,Q$2)</f>
        <v>98262.995028000005</v>
      </c>
      <c r="R4" s="113">
        <f>SUMIFS($G$22:$G$489,$B$22:$B$489,R$2)+SUMIFS($H$22:$H$489,$B$22:$B$489,R$2)</f>
        <v>100050.720611</v>
      </c>
      <c r="S4" s="113">
        <f>SUMIFS($G$22:$G$489,$B$22:$B$489,S$2)+SUMIFS($H$22:$H$489,$B$22:$B$489,S$2)</f>
        <v>101865.797056</v>
      </c>
      <c r="T4" s="113">
        <f>SUMIFS($G$22:$G$489,$B$22:$B$489,T$2)+SUMIFS($H$22:$H$489,$B$22:$B$489,T$2)</f>
        <v>103730.98400199998</v>
      </c>
      <c r="U4" s="113">
        <f>SUMIFS($G$22:$G$489,$B$22:$B$489,U$2)+SUMIFS($H$22:$H$489,$B$22:$B$489,U$2)</f>
        <v>105678.075992</v>
      </c>
      <c r="V4" s="113">
        <f>SUMIFS($G$22:$G$489,$B$22:$B$489,V$2)+SUMIFS($H$22:$H$489,$B$22:$B$489,V$2)</f>
        <v>107457.22378</v>
      </c>
      <c r="W4" s="113">
        <f>SUMIFS($G$22:$G$489,$B$22:$B$489,W$2)+SUMIFS($H$22:$H$489,$B$22:$B$489,W$2)</f>
        <v>109259.60183</v>
      </c>
      <c r="X4" s="113">
        <f>SUMIFS($G$22:$G$489,$B$22:$B$489,X$2)+SUMIFS($H$22:$H$489,$B$22:$B$489,X$2)</f>
        <v>110877.69287500001</v>
      </c>
      <c r="Y4" s="113">
        <f>SUMIFS($G$22:$G$489,$B$22:$B$489,Y$2)+SUMIFS($H$22:$H$489,$B$22:$B$489,Y$2)</f>
        <v>112500.63605099999</v>
      </c>
      <c r="Z4" s="113">
        <f>SUMIFS($G$22:$G$489,$B$22:$B$489,Z$2)+SUMIFS($H$22:$H$489,$B$22:$B$489,Z$2)</f>
        <v>114271.65651000002</v>
      </c>
      <c r="AA4" s="113">
        <f>SUMIFS($G$22:$G$489,$B$22:$B$489,AA$2)+SUMIFS($H$22:$H$489,$B$22:$B$489,AA$2)</f>
        <v>116054.76933800001</v>
      </c>
      <c r="AB4" s="113">
        <f>SUMIFS($G$22:$G$489,$B$22:$B$489,AB$2)+SUMIFS($H$22:$H$489,$B$22:$B$489,AB$2)</f>
        <v>118006.800472</v>
      </c>
      <c r="AC4" s="113">
        <f>SUMIFS($G$22:$G$489,$B$22:$B$489,AC$2)+SUMIFS($H$22:$H$489,$B$22:$B$489,AC$2)</f>
        <v>120067.081515</v>
      </c>
      <c r="AD4" s="113">
        <f>SUMIFS($G$22:$G$489,$B$22:$B$489,AD$2)+SUMIFS($H$22:$H$489,$B$22:$B$489,AD$2)</f>
        <v>122139.629445</v>
      </c>
      <c r="AE4" s="113">
        <f>SUMIFS($G$22:$G$489,$B$22:$B$489,AE$2)+SUMIFS($H$22:$H$489,$B$22:$B$489,AE$2)</f>
        <v>123986.29526699999</v>
      </c>
    </row>
    <row r="5" spans="1:31" x14ac:dyDescent="0.75">
      <c r="A5">
        <v>4</v>
      </c>
      <c r="B5">
        <f>SUMIFS($I$22:$I$489,$B$22:$B$489,B$2)</f>
        <v>19414.486346000002</v>
      </c>
      <c r="C5">
        <f>SUMIFS($I$22:$I$489,$B$22:$B$489,C$2)</f>
        <v>18782.325086999997</v>
      </c>
      <c r="D5">
        <f>SUMIFS($I$22:$I$489,$B$22:$B$489,D$2)</f>
        <v>18445.817516000003</v>
      </c>
      <c r="E5">
        <f>SUMIFS($I$22:$I$489,$B$22:$B$489,E$2)</f>
        <v>17607.409018999995</v>
      </c>
      <c r="F5">
        <f>SUMIFS($I$22:$I$489,$B$22:$B$489,F$2)</f>
        <v>17213.381957999998</v>
      </c>
      <c r="G5">
        <f>SUMIFS($I$22:$I$489,$B$22:$B$489,G$2)</f>
        <v>16783.292234</v>
      </c>
      <c r="H5">
        <f>SUMIFS($I$22:$I$489,$B$22:$B$489,H$2)</f>
        <v>16380.809446000001</v>
      </c>
      <c r="I5">
        <f>SUMIFS($I$22:$I$489,$B$22:$B$489,I$2)</f>
        <v>16059.415208</v>
      </c>
      <c r="J5">
        <f>SUMIFS($I$22:$I$489,$B$22:$B$489,J$2)</f>
        <v>15809.562198999998</v>
      </c>
      <c r="K5">
        <f>SUMIFS($I$22:$I$489,$B$22:$B$489,K$2)</f>
        <v>15616.747004000001</v>
      </c>
      <c r="L5">
        <f>SUMIFS($I$22:$I$489,$B$22:$B$489,L$2)</f>
        <v>15438.676612999998</v>
      </c>
      <c r="M5">
        <f>SUMIFS($I$22:$I$489,$B$22:$B$489,M$2)</f>
        <v>15286.067033000001</v>
      </c>
      <c r="N5">
        <f>SUMIFS($I$22:$I$489,$B$22:$B$489,N$2)</f>
        <v>15118.561512</v>
      </c>
      <c r="O5">
        <f>SUMIFS($I$22:$I$489,$B$22:$B$489,O$2)</f>
        <v>15018.582343</v>
      </c>
      <c r="P5">
        <f>SUMIFS($I$22:$I$489,$B$22:$B$489,P$2)</f>
        <v>14922.009007000001</v>
      </c>
      <c r="Q5">
        <f>SUMIFS($I$22:$I$489,$B$22:$B$489,Q$2)</f>
        <v>14848.16036</v>
      </c>
      <c r="R5">
        <f>SUMIFS($I$22:$I$489,$B$22:$B$489,R$2)</f>
        <v>14801.315512000001</v>
      </c>
      <c r="S5">
        <f>SUMIFS($I$22:$I$489,$B$22:$B$489,S$2)</f>
        <v>14767.466149999998</v>
      </c>
      <c r="T5">
        <f>SUMIFS($I$22:$I$489,$B$22:$B$489,T$2)</f>
        <v>14745.250242</v>
      </c>
      <c r="U5">
        <f>SUMIFS($I$22:$I$489,$B$22:$B$489,U$2)</f>
        <v>14728.338946000002</v>
      </c>
      <c r="V5">
        <f>SUMIFS($I$22:$I$489,$B$22:$B$489,V$2)</f>
        <v>14694.517717000001</v>
      </c>
      <c r="W5">
        <f>SUMIFS($I$22:$I$489,$B$22:$B$489,W$2)</f>
        <v>14675.339044999997</v>
      </c>
      <c r="X5">
        <f>SUMIFS($I$22:$I$489,$B$22:$B$489,X$2)</f>
        <v>14658.549915</v>
      </c>
      <c r="Y5">
        <f>SUMIFS($I$22:$I$489,$B$22:$B$489,Y$2)</f>
        <v>14647.978391000001</v>
      </c>
      <c r="Z5">
        <f>SUMIFS($I$22:$I$489,$B$22:$B$489,Z$2)</f>
        <v>14656.503912999999</v>
      </c>
      <c r="AA5">
        <f>SUMIFS($I$22:$I$489,$B$22:$B$489,AA$2)</f>
        <v>14665.974178</v>
      </c>
      <c r="AB5">
        <f>SUMIFS($I$22:$I$489,$B$22:$B$489,AB$2)</f>
        <v>14696.385322999999</v>
      </c>
      <c r="AC5">
        <f>SUMIFS($I$22:$I$489,$B$22:$B$489,AC$2)</f>
        <v>14751.581929</v>
      </c>
      <c r="AD5">
        <f>SUMIFS($I$22:$I$489,$B$22:$B$489,AD$2)</f>
        <v>14830.045799999998</v>
      </c>
      <c r="AE5">
        <f>SUMIFS($I$22:$I$489,$B$22:$B$489,AE$2)</f>
        <v>14896.729336</v>
      </c>
    </row>
    <row r="6" spans="1:31" x14ac:dyDescent="0.75">
      <c r="A6">
        <v>5</v>
      </c>
      <c r="B6">
        <f>SUMIFS($J$22:$J$489,$B$22:$B$489,B$2)</f>
        <v>22651.085961000001</v>
      </c>
      <c r="C6">
        <f>SUMIFS($J$22:$J$489,$B$22:$B$489,C$2)</f>
        <v>23270.266451</v>
      </c>
      <c r="D6">
        <f>SUMIFS($J$22:$J$489,$B$22:$B$489,D$2)</f>
        <v>23298.111777000002</v>
      </c>
      <c r="E6">
        <f>SUMIFS($J$22:$J$489,$B$22:$B$489,E$2)</f>
        <v>22455.269437999999</v>
      </c>
      <c r="F6">
        <f>SUMIFS($J$22:$J$489,$B$22:$B$489,F$2)</f>
        <v>22103.419449999998</v>
      </c>
      <c r="G6">
        <f>SUMIFS($J$22:$J$489,$B$22:$B$489,G$2)</f>
        <v>21650.364925999998</v>
      </c>
      <c r="H6">
        <f>SUMIFS($J$22:$J$489,$B$22:$B$489,H$2)</f>
        <v>21200.639844999998</v>
      </c>
      <c r="I6">
        <f>SUMIFS($J$22:$J$489,$B$22:$B$489,I$2)</f>
        <v>20813.721148999997</v>
      </c>
      <c r="J6">
        <f>SUMIFS($J$22:$J$489,$B$22:$B$489,J$2)</f>
        <v>20498.612206999998</v>
      </c>
      <c r="K6">
        <f>SUMIFS($J$22:$J$489,$B$22:$B$489,K$2)</f>
        <v>20252.294534999997</v>
      </c>
      <c r="L6">
        <f>SUMIFS($J$22:$J$489,$B$22:$B$489,L$2)</f>
        <v>20028.142410000004</v>
      </c>
      <c r="M6">
        <f>SUMIFS($J$22:$J$489,$B$22:$B$489,M$2)</f>
        <v>19842.127461</v>
      </c>
      <c r="N6">
        <f>SUMIFS($J$22:$J$489,$B$22:$B$489,N$2)</f>
        <v>19640.064179000005</v>
      </c>
      <c r="O6">
        <f>SUMIFS($J$22:$J$489,$B$22:$B$489,O$2)</f>
        <v>19515.734643000003</v>
      </c>
      <c r="P6">
        <f>SUMIFS($J$22:$J$489,$B$22:$B$489,P$2)</f>
        <v>19411.499112000001</v>
      </c>
      <c r="Q6">
        <f>SUMIFS($J$22:$J$489,$B$22:$B$489,Q$2)</f>
        <v>19332.852276999998</v>
      </c>
      <c r="R6">
        <f>SUMIFS($J$22:$J$489,$B$22:$B$489,R$2)</f>
        <v>19299.564255999998</v>
      </c>
      <c r="S6">
        <f>SUMIFS($J$22:$J$489,$B$22:$B$489,S$2)</f>
        <v>19268.158143999997</v>
      </c>
      <c r="T6">
        <f>SUMIFS($J$22:$J$489,$B$22:$B$489,T$2)</f>
        <v>19259.955196000003</v>
      </c>
      <c r="U6">
        <f>SUMIFS($J$22:$J$489,$B$22:$B$489,U$2)</f>
        <v>19276.274984999996</v>
      </c>
      <c r="V6">
        <f>SUMIFS($J$22:$J$489,$B$22:$B$489,V$2)</f>
        <v>19273.811634000002</v>
      </c>
      <c r="W6">
        <f>SUMIFS($J$22:$J$489,$B$22:$B$489,W$2)</f>
        <v>19291.918430000002</v>
      </c>
      <c r="X6">
        <f>SUMIFS($J$22:$J$489,$B$22:$B$489,X$2)</f>
        <v>19297.858151</v>
      </c>
      <c r="Y6">
        <f>SUMIFS($J$22:$J$489,$B$22:$B$489,Y$2)</f>
        <v>19302.460306000001</v>
      </c>
      <c r="Z6">
        <f>SUMIFS($J$22:$J$489,$B$22:$B$489,Z$2)</f>
        <v>19323.574655999997</v>
      </c>
      <c r="AA6">
        <f>SUMIFS($J$22:$J$489,$B$22:$B$489,AA$2)</f>
        <v>19342.37831</v>
      </c>
      <c r="AB6">
        <f>SUMIFS($J$22:$J$489,$B$22:$B$489,AB$2)</f>
        <v>19388.915843999999</v>
      </c>
      <c r="AC6">
        <f>SUMIFS($J$22:$J$489,$B$22:$B$489,AC$2)</f>
        <v>19462.744257999999</v>
      </c>
      <c r="AD6">
        <f>SUMIFS($J$22:$J$489,$B$22:$B$489,AD$2)</f>
        <v>19561.611316000002</v>
      </c>
      <c r="AE6">
        <f>SUMIFS($J$22:$J$489,$B$22:$B$489,AE$2)</f>
        <v>19645.960756</v>
      </c>
    </row>
    <row r="7" spans="1:31" x14ac:dyDescent="0.75">
      <c r="A7">
        <v>6</v>
      </c>
      <c r="B7">
        <f>SUMIFS($K$22:$K$489,$B$22:$B$489,B$2)</f>
        <v>21940.273291000001</v>
      </c>
      <c r="C7">
        <f>SUMIFS($K$22:$K$489,$B$22:$B$489,C$2)</f>
        <v>22077.037609999999</v>
      </c>
      <c r="D7">
        <f>SUMIFS($K$22:$K$489,$B$22:$B$489,D$2)</f>
        <v>22611.727949</v>
      </c>
      <c r="E7">
        <f>SUMIFS($K$22:$K$489,$B$22:$B$489,E$2)</f>
        <v>22607.182384000003</v>
      </c>
      <c r="F7">
        <f>SUMIFS($K$22:$K$489,$B$22:$B$489,F$2)</f>
        <v>22972.835413000001</v>
      </c>
      <c r="G7">
        <f>SUMIFS($K$22:$K$489,$B$22:$B$489,G$2)</f>
        <v>23229.145300999997</v>
      </c>
      <c r="H7">
        <f>SUMIFS($K$22:$K$489,$B$22:$B$489,H$2)</f>
        <v>23439.492543</v>
      </c>
      <c r="I7">
        <f>SUMIFS($K$22:$K$489,$B$22:$B$489,I$2)</f>
        <v>23623.839638999998</v>
      </c>
      <c r="J7">
        <f>SUMIFS($K$22:$K$489,$B$22:$B$489,J$2)</f>
        <v>23805.145677999997</v>
      </c>
      <c r="K7">
        <f>SUMIFS($K$22:$K$489,$B$22:$B$489,K$2)</f>
        <v>24008.707160999998</v>
      </c>
      <c r="L7">
        <f>SUMIFS($K$22:$K$489,$B$22:$B$489,L$2)</f>
        <v>24187.886661000004</v>
      </c>
      <c r="M7">
        <f>SUMIFS($K$22:$K$489,$B$22:$B$489,M$2)</f>
        <v>24349.554397000004</v>
      </c>
      <c r="N7">
        <f>SUMIFS($K$22:$K$489,$B$22:$B$489,N$2)</f>
        <v>24452.617066000003</v>
      </c>
      <c r="O7">
        <f>SUMIFS($K$22:$K$489,$B$22:$B$489,O$2)</f>
        <v>24614.602836999999</v>
      </c>
      <c r="P7">
        <f>SUMIFS($K$22:$K$489,$B$22:$B$489,P$2)</f>
        <v>24762.041200999996</v>
      </c>
      <c r="Q7">
        <f>SUMIFS($K$22:$K$489,$B$22:$B$489,Q$2)</f>
        <v>24925.997117000003</v>
      </c>
      <c r="R7">
        <f>SUMIFS($K$22:$K$489,$B$22:$B$489,R$2)</f>
        <v>25103.093696000004</v>
      </c>
      <c r="S7">
        <f>SUMIFS($K$22:$K$489,$B$22:$B$489,S$2)</f>
        <v>25273.301616000004</v>
      </c>
      <c r="T7">
        <f>SUMIFS($K$22:$K$489,$B$22:$B$489,T$2)</f>
        <v>25446.450102999999</v>
      </c>
      <c r="U7">
        <f>SUMIFS($K$22:$K$489,$B$22:$B$489,U$2)</f>
        <v>25625.548934999999</v>
      </c>
      <c r="V7">
        <f>SUMIFS($K$22:$K$489,$B$22:$B$489,V$2)</f>
        <v>25767.655288999995</v>
      </c>
      <c r="W7">
        <f>SUMIFS($K$22:$K$489,$B$22:$B$489,W$2)</f>
        <v>25927.630467000003</v>
      </c>
      <c r="X7">
        <f>SUMIFS($K$22:$K$489,$B$22:$B$489,X$2)</f>
        <v>26066.288624999994</v>
      </c>
      <c r="Y7">
        <f>SUMIFS($K$22:$K$489,$B$22:$B$489,Y$2)</f>
        <v>26202.111996999996</v>
      </c>
      <c r="Z7">
        <f>SUMIFS($K$22:$K$489,$B$22:$B$489,Z$2)</f>
        <v>26359.156559000003</v>
      </c>
      <c r="AA7">
        <f>SUMIFS($K$22:$K$489,$B$22:$B$489,AA$2)</f>
        <v>26505.882994</v>
      </c>
      <c r="AB7">
        <f>SUMIFS($K$22:$K$489,$B$22:$B$489,AB$2)</f>
        <v>26679.581488999997</v>
      </c>
      <c r="AC7">
        <f>SUMIFS($K$22:$K$489,$B$22:$B$489,AC$2)</f>
        <v>26885.932075000001</v>
      </c>
      <c r="AD7">
        <f>SUMIFS($K$22:$K$489,$B$22:$B$489,AD$2)</f>
        <v>27127.311409999998</v>
      </c>
      <c r="AE7">
        <f>SUMIFS($K$22:$K$489,$B$22:$B$489,AE$2)</f>
        <v>27347.686089000003</v>
      </c>
    </row>
    <row r="8" spans="1:31" x14ac:dyDescent="0.75">
      <c r="A8">
        <v>7</v>
      </c>
      <c r="B8" s="115">
        <f>SUMIFS($M$22:$M$489,$B$22:$B$489,B$2)+SUMIFS($N$22:$N$489,$B$22:$B$489,B$2)+SUMIFS($O$22:$O$489,$B$22:$B$489,B$2)+SUMIFS($L$22:$L$489,$B$22:$B$489,B$2)</f>
        <v>20978.411241000002</v>
      </c>
      <c r="C8" s="113">
        <f>SUMIFS($M$22:$M$489,$B$22:$B$489,C$2)+SUMIFS($N$22:$N$489,$B$22:$B$489,C$2)+SUMIFS($O$22:$O$489,$B$22:$B$489,C$2)+SUMIFS($L$22:$L$489,$B$22:$B$489,C$2)</f>
        <v>20138.780785999999</v>
      </c>
      <c r="D8" s="113">
        <f>SUMIFS($M$22:$M$489,$B$22:$B$489,D$2)+SUMIFS($N$22:$N$489,$B$22:$B$489,D$2)+SUMIFS($O$22:$O$489,$B$22:$B$489,D$2)+SUMIFS($L$22:$L$489,$B$22:$B$489,D$2)</f>
        <v>19679.480126000002</v>
      </c>
      <c r="E8" s="113">
        <f>SUMIFS($M$22:$M$489,$B$22:$B$489,E$2)+SUMIFS($N$22:$N$489,$B$22:$B$489,E$2)+SUMIFS($O$22:$O$489,$B$22:$B$489,E$2)+SUMIFS($L$22:$L$489,$B$22:$B$489,E$2)</f>
        <v>18835.966456000002</v>
      </c>
      <c r="F8" s="113">
        <f>SUMIFS($M$22:$M$489,$B$22:$B$489,F$2)+SUMIFS($N$22:$N$489,$B$22:$B$489,F$2)+SUMIFS($O$22:$O$489,$B$22:$B$489,F$2)+SUMIFS($L$22:$L$489,$B$22:$B$489,F$2)</f>
        <v>18392.682805</v>
      </c>
      <c r="G8" s="113">
        <f>SUMIFS($M$22:$M$489,$B$22:$B$489,G$2)+SUMIFS($N$22:$N$489,$B$22:$B$489,G$2)+SUMIFS($O$22:$O$489,$B$22:$B$489,G$2)+SUMIFS($L$22:$L$489,$B$22:$B$489,G$2)</f>
        <v>17938.766030999999</v>
      </c>
      <c r="H8" s="113">
        <f>SUMIFS($M$22:$M$489,$B$22:$B$489,H$2)+SUMIFS($N$22:$N$489,$B$22:$B$489,H$2)+SUMIFS($O$22:$O$489,$B$22:$B$489,H$2)+SUMIFS($L$22:$L$489,$B$22:$B$489,H$2)</f>
        <v>17539.014866999998</v>
      </c>
      <c r="I8" s="113">
        <f>SUMIFS($M$22:$M$489,$B$22:$B$489,I$2)+SUMIFS($N$22:$N$489,$B$22:$B$489,I$2)+SUMIFS($O$22:$O$489,$B$22:$B$489,I$2)+SUMIFS($L$22:$L$489,$B$22:$B$489,I$2)</f>
        <v>17212.688193999998</v>
      </c>
      <c r="J8" s="113">
        <f>SUMIFS($M$22:$M$489,$B$22:$B$489,J$2)+SUMIFS($N$22:$N$489,$B$22:$B$489,J$2)+SUMIFS($O$22:$O$489,$B$22:$B$489,J$2)+SUMIFS($L$22:$L$489,$B$22:$B$489,J$2)</f>
        <v>16975.508381</v>
      </c>
      <c r="K8" s="113">
        <f>SUMIFS($M$22:$M$489,$B$22:$B$489,K$2)+SUMIFS($N$22:$N$489,$B$22:$B$489,K$2)+SUMIFS($O$22:$O$489,$B$22:$B$489,K$2)+SUMIFS($L$22:$L$489,$B$22:$B$489,K$2)</f>
        <v>16817.358190000003</v>
      </c>
      <c r="L8" s="113">
        <f>SUMIFS($M$22:$M$489,$B$22:$B$489,L$2)+SUMIFS($N$22:$N$489,$B$22:$B$489,L$2)+SUMIFS($O$22:$O$489,$B$22:$B$489,L$2)+SUMIFS($L$22:$L$489,$B$22:$B$489,L$2)</f>
        <v>16682.311540999995</v>
      </c>
      <c r="M8" s="113">
        <f>SUMIFS($M$22:$M$489,$B$22:$B$489,M$2)+SUMIFS($N$22:$N$489,$B$22:$B$489,M$2)+SUMIFS($O$22:$O$489,$B$22:$B$489,M$2)+SUMIFS($L$22:$L$489,$B$22:$B$489,M$2)</f>
        <v>16569.502860000001</v>
      </c>
      <c r="N8" s="113">
        <f>SUMIFS($M$22:$M$489,$B$22:$B$489,N$2)+SUMIFS($N$22:$N$489,$B$22:$B$489,N$2)+SUMIFS($O$22:$O$489,$B$22:$B$489,N$2)+SUMIFS($L$22:$L$489,$B$22:$B$489,N$2)</f>
        <v>16444.402748</v>
      </c>
      <c r="O8" s="113">
        <f>SUMIFS($M$22:$M$489,$B$22:$B$489,O$2)+SUMIFS($N$22:$N$489,$B$22:$B$489,O$2)+SUMIFS($O$22:$O$489,$B$22:$B$489,O$2)+SUMIFS($L$22:$L$489,$B$22:$B$489,O$2)</f>
        <v>16389.434329</v>
      </c>
      <c r="P8" s="113">
        <f>SUMIFS($M$22:$M$489,$B$22:$B$489,P$2)+SUMIFS($N$22:$N$489,$B$22:$B$489,P$2)+SUMIFS($O$22:$O$489,$B$22:$B$489,P$2)+SUMIFS($L$22:$L$489,$B$22:$B$489,P$2)</f>
        <v>16342.975540000005</v>
      </c>
      <c r="Q8" s="113">
        <f>SUMIFS($M$22:$M$489,$B$22:$B$489,Q$2)+SUMIFS($N$22:$N$489,$B$22:$B$489,Q$2)+SUMIFS($O$22:$O$489,$B$22:$B$489,Q$2)+SUMIFS($L$22:$L$489,$B$22:$B$489,Q$2)</f>
        <v>16317.693303000002</v>
      </c>
      <c r="R8" s="113">
        <f>SUMIFS($M$22:$M$489,$B$22:$B$489,R$2)+SUMIFS($N$22:$N$489,$B$22:$B$489,R$2)+SUMIFS($O$22:$O$489,$B$22:$B$489,R$2)+SUMIFS($L$22:$L$489,$B$22:$B$489,R$2)</f>
        <v>16308.296256</v>
      </c>
      <c r="S8" s="113">
        <f>SUMIFS($M$22:$M$489,$B$22:$B$489,S$2)+SUMIFS($N$22:$N$489,$B$22:$B$489,S$2)+SUMIFS($O$22:$O$489,$B$22:$B$489,S$2)+SUMIFS($L$22:$L$489,$B$22:$B$489,S$2)</f>
        <v>16301.890731</v>
      </c>
      <c r="T8" s="113">
        <f>SUMIFS($M$22:$M$489,$B$22:$B$489,T$2)+SUMIFS($N$22:$N$489,$B$22:$B$489,T$2)+SUMIFS($O$22:$O$489,$B$22:$B$489,T$2)+SUMIFS($L$22:$L$489,$B$22:$B$489,T$2)</f>
        <v>16304.316945999997</v>
      </c>
      <c r="U8" s="113">
        <f>SUMIFS($M$22:$M$489,$B$22:$B$489,U$2)+SUMIFS($N$22:$N$489,$B$22:$B$489,U$2)+SUMIFS($O$22:$O$489,$B$22:$B$489,U$2)+SUMIFS($L$22:$L$489,$B$22:$B$489,U$2)</f>
        <v>16316.936898</v>
      </c>
      <c r="V8" s="113">
        <f>SUMIFS($M$22:$M$489,$B$22:$B$489,V$2)+SUMIFS($N$22:$N$489,$B$22:$B$489,V$2)+SUMIFS($O$22:$O$489,$B$22:$B$489,V$2)+SUMIFS($L$22:$L$489,$B$22:$B$489,V$2)</f>
        <v>16320.363329999998</v>
      </c>
      <c r="W8" s="113">
        <f>SUMIFS($M$22:$M$489,$B$22:$B$489,W$2)+SUMIFS($N$22:$N$489,$B$22:$B$489,W$2)+SUMIFS($O$22:$O$489,$B$22:$B$489,W$2)+SUMIFS($L$22:$L$489,$B$22:$B$489,W$2)</f>
        <v>16340.567712999999</v>
      </c>
      <c r="X8" s="113">
        <f>SUMIFS($M$22:$M$489,$B$22:$B$489,X$2)+SUMIFS($N$22:$N$489,$B$22:$B$489,X$2)+SUMIFS($O$22:$O$489,$B$22:$B$489,X$2)+SUMIFS($L$22:$L$489,$B$22:$B$489,X$2)</f>
        <v>16350.856233999999</v>
      </c>
      <c r="Y8" s="113">
        <f>SUMIFS($M$22:$M$489,$B$22:$B$489,Y$2)+SUMIFS($N$22:$N$489,$B$22:$B$489,Y$2)+SUMIFS($O$22:$O$489,$B$22:$B$489,Y$2)+SUMIFS($L$22:$L$489,$B$22:$B$489,Y$2)</f>
        <v>16361.001324999997</v>
      </c>
      <c r="Z8" s="113">
        <f>SUMIFS($M$22:$M$489,$B$22:$B$489,Z$2)+SUMIFS($N$22:$N$489,$B$22:$B$489,Z$2)+SUMIFS($O$22:$O$489,$B$22:$B$489,Z$2)+SUMIFS($L$22:$L$489,$B$22:$B$489,Z$2)</f>
        <v>16389.603556999999</v>
      </c>
      <c r="AA8" s="113">
        <f>SUMIFS($M$22:$M$489,$B$22:$B$489,AA$2)+SUMIFS($N$22:$N$489,$B$22:$B$489,AA$2)+SUMIFS($O$22:$O$489,$B$22:$B$489,AA$2)+SUMIFS($L$22:$L$489,$B$22:$B$489,AA$2)</f>
        <v>16415.054132999998</v>
      </c>
      <c r="AB8" s="113">
        <f>SUMIFS($M$22:$M$489,$B$22:$B$489,AB$2)+SUMIFS($N$22:$N$489,$B$22:$B$489,AB$2)+SUMIFS($O$22:$O$489,$B$22:$B$489,AB$2)+SUMIFS($L$22:$L$489,$B$22:$B$489,AB$2)</f>
        <v>16460.386118000002</v>
      </c>
      <c r="AC8" s="113">
        <f>SUMIFS($M$22:$M$489,$B$22:$B$489,AC$2)+SUMIFS($N$22:$N$489,$B$22:$B$489,AC$2)+SUMIFS($O$22:$O$489,$B$22:$B$489,AC$2)+SUMIFS($L$22:$L$489,$B$22:$B$489,AC$2)</f>
        <v>16527.800465</v>
      </c>
      <c r="AD8" s="113">
        <f>SUMIFS($M$22:$M$489,$B$22:$B$489,AD$2)+SUMIFS($N$22:$N$489,$B$22:$B$489,AD$2)+SUMIFS($O$22:$O$489,$B$22:$B$489,AD$2)+SUMIFS($L$22:$L$489,$B$22:$B$489,AD$2)</f>
        <v>16622.349877000001</v>
      </c>
      <c r="AE8" s="113">
        <f>SUMIFS($M$22:$M$489,$B$22:$B$489,AE$2)+SUMIFS($N$22:$N$489,$B$22:$B$489,AE$2)+SUMIFS($O$22:$O$489,$B$22:$B$489,AE$2)+SUMIFS($L$22:$L$489,$B$22:$B$489,AE$2)</f>
        <v>16715.211235000002</v>
      </c>
    </row>
    <row r="9" spans="1:31" x14ac:dyDescent="0.75">
      <c r="A9">
        <v>8</v>
      </c>
      <c r="B9" s="115">
        <f>SUMIFS($P$22:$P$489,$B$22:$B$489,B$2)+SUMIFS($Q$22:$Q$489,$B$22:$B$489,B$2)+SUMIFS($R$22:$R$489,$B$22:$B$489,B$2)+SUMIFS($S$22:$S$489,$B$22:$B$489,B$2)+SUMIFS($T$22:$T$489,$B$22:$B$489,B$2)+SUMIFS($U$22:$U$489,$B$22:$B$489,B$2)+SUMIFS($V$22:$V$489,$B$22:$B$489,B$2)+SUMIFS($W$22:$W$489,$B$22:$B$489,B$2)</f>
        <v>170615.04326600002</v>
      </c>
      <c r="C9" s="113">
        <f>SUMIFS($P$22:$P$489,$B$22:$B$489,C$2)+SUMIFS($Q$22:$Q$489,$B$22:$B$489,C$2)+SUMIFS($R$22:$R$489,$B$22:$B$489,C$2)+SUMIFS($S$22:$S$489,$B$22:$B$489,C$2)+SUMIFS($T$22:$T$489,$B$22:$B$489,C$2)+SUMIFS($U$22:$U$489,$B$22:$B$489,C$2)+SUMIFS($V$22:$V$489,$B$22:$B$489,C$2)+SUMIFS($W$22:$W$489,$B$22:$B$489,C$2)</f>
        <v>170462.936112</v>
      </c>
      <c r="D9" s="113">
        <f>SUMIFS($P$22:$P$489,$B$22:$B$489,D$2)+SUMIFS($Q$22:$Q$489,$B$22:$B$489,D$2)+SUMIFS($R$22:$R$489,$B$22:$B$489,D$2)+SUMIFS($S$22:$S$489,$B$22:$B$489,D$2)+SUMIFS($T$22:$T$489,$B$22:$B$489,D$2)+SUMIFS($U$22:$U$489,$B$22:$B$489,D$2)+SUMIFS($V$22:$V$489,$B$22:$B$489,D$2)+SUMIFS($W$22:$W$489,$B$22:$B$489,D$2)</f>
        <v>174098.30622300002</v>
      </c>
      <c r="E9" s="113">
        <f>SUMIFS($P$22:$P$489,$B$22:$B$489,E$2)+SUMIFS($Q$22:$Q$489,$B$22:$B$489,E$2)+SUMIFS($R$22:$R$489,$B$22:$B$489,E$2)+SUMIFS($S$22:$S$489,$B$22:$B$489,E$2)+SUMIFS($T$22:$T$489,$B$22:$B$489,E$2)+SUMIFS($U$22:$U$489,$B$22:$B$489,E$2)+SUMIFS($V$22:$V$489,$B$22:$B$489,E$2)+SUMIFS($W$22:$W$489,$B$22:$B$489,E$2)</f>
        <v>176635.57707000003</v>
      </c>
      <c r="F9" s="113">
        <f>SUMIFS($P$22:$P$489,$B$22:$B$489,F$2)+SUMIFS($Q$22:$Q$489,$B$22:$B$489,F$2)+SUMIFS($R$22:$R$489,$B$22:$B$489,F$2)+SUMIFS($S$22:$S$489,$B$22:$B$489,F$2)+SUMIFS($T$22:$T$489,$B$22:$B$489,F$2)+SUMIFS($U$22:$U$489,$B$22:$B$489,F$2)+SUMIFS($V$22:$V$489,$B$22:$B$489,F$2)+SUMIFS($W$22:$W$489,$B$22:$B$489,F$2)</f>
        <v>181814.52898599999</v>
      </c>
      <c r="G9" s="113">
        <f>SUMIFS($P$22:$P$489,$B$22:$B$489,G$2)+SUMIFS($Q$22:$Q$489,$B$22:$B$489,G$2)+SUMIFS($R$22:$R$489,$B$22:$B$489,G$2)+SUMIFS($S$22:$S$489,$B$22:$B$489,G$2)+SUMIFS($T$22:$T$489,$B$22:$B$489,G$2)+SUMIFS($U$22:$U$489,$B$22:$B$489,G$2)+SUMIFS($V$22:$V$489,$B$22:$B$489,G$2)+SUMIFS($W$22:$W$489,$B$22:$B$489,G$2)</f>
        <v>185933.03132299997</v>
      </c>
      <c r="H9" s="113">
        <f>SUMIFS($P$22:$P$489,$B$22:$B$489,H$2)+SUMIFS($Q$22:$Q$489,$B$22:$B$489,H$2)+SUMIFS($R$22:$R$489,$B$22:$B$489,H$2)+SUMIFS($S$22:$S$489,$B$22:$B$489,H$2)+SUMIFS($T$22:$T$489,$B$22:$B$489,H$2)+SUMIFS($U$22:$U$489,$B$22:$B$489,H$2)+SUMIFS($V$22:$V$489,$B$22:$B$489,H$2)+SUMIFS($W$22:$W$489,$B$22:$B$489,H$2)</f>
        <v>189401.99382599999</v>
      </c>
      <c r="I9" s="113">
        <f>SUMIFS($P$22:$P$489,$B$22:$B$489,I$2)+SUMIFS($Q$22:$Q$489,$B$22:$B$489,I$2)+SUMIFS($R$22:$R$489,$B$22:$B$489,I$2)+SUMIFS($S$22:$S$489,$B$22:$B$489,I$2)+SUMIFS($T$22:$T$489,$B$22:$B$489,I$2)+SUMIFS($U$22:$U$489,$B$22:$B$489,I$2)+SUMIFS($V$22:$V$489,$B$22:$B$489,I$2)+SUMIFS($W$22:$W$489,$B$22:$B$489,I$2)</f>
        <v>192225.62788200003</v>
      </c>
      <c r="J9" s="113">
        <f>SUMIFS($P$22:$P$489,$B$22:$B$489,J$2)+SUMIFS($Q$22:$Q$489,$B$22:$B$489,J$2)+SUMIFS($R$22:$R$489,$B$22:$B$489,J$2)+SUMIFS($S$22:$S$489,$B$22:$B$489,J$2)+SUMIFS($T$22:$T$489,$B$22:$B$489,J$2)+SUMIFS($U$22:$U$489,$B$22:$B$489,J$2)+SUMIFS($V$22:$V$489,$B$22:$B$489,J$2)+SUMIFS($W$22:$W$489,$B$22:$B$489,J$2)</f>
        <v>194604.46543300003</v>
      </c>
      <c r="K9" s="113">
        <f>SUMIFS($P$22:$P$489,$B$22:$B$489,K$2)+SUMIFS($Q$22:$Q$489,$B$22:$B$489,K$2)+SUMIFS($R$22:$R$489,$B$22:$B$489,K$2)+SUMIFS($S$22:$S$489,$B$22:$B$489,K$2)+SUMIFS($T$22:$T$489,$B$22:$B$489,K$2)+SUMIFS($U$22:$U$489,$B$22:$B$489,K$2)+SUMIFS($V$22:$V$489,$B$22:$B$489,K$2)+SUMIFS($W$22:$W$489,$B$22:$B$489,K$2)</f>
        <v>196793.55512499998</v>
      </c>
      <c r="L9" s="113">
        <f>SUMIFS($P$22:$P$489,$B$22:$B$489,L$2)+SUMIFS($Q$22:$Q$489,$B$22:$B$489,L$2)+SUMIFS($R$22:$R$489,$B$22:$B$489,L$2)+SUMIFS($S$22:$S$489,$B$22:$B$489,L$2)+SUMIFS($T$22:$T$489,$B$22:$B$489,L$2)+SUMIFS($U$22:$U$489,$B$22:$B$489,L$2)+SUMIFS($V$22:$V$489,$B$22:$B$489,L$2)+SUMIFS($W$22:$W$489,$B$22:$B$489,L$2)</f>
        <v>198432.631375</v>
      </c>
      <c r="M9" s="113">
        <f>SUMIFS($P$22:$P$489,$B$22:$B$489,M$2)+SUMIFS($Q$22:$Q$489,$B$22:$B$489,M$2)+SUMIFS($R$22:$R$489,$B$22:$B$489,M$2)+SUMIFS($S$22:$S$489,$B$22:$B$489,M$2)+SUMIFS($T$22:$T$489,$B$22:$B$489,M$2)+SUMIFS($U$22:$U$489,$B$22:$B$489,M$2)+SUMIFS($V$22:$V$489,$B$22:$B$489,M$2)+SUMIFS($W$22:$W$489,$B$22:$B$489,M$2)</f>
        <v>199732.16945000002</v>
      </c>
      <c r="N9" s="113">
        <f>SUMIFS($P$22:$P$489,$B$22:$B$489,N$2)+SUMIFS($Q$22:$Q$489,$B$22:$B$489,N$2)+SUMIFS($R$22:$R$489,$B$22:$B$489,N$2)+SUMIFS($S$22:$S$489,$B$22:$B$489,N$2)+SUMIFS($T$22:$T$489,$B$22:$B$489,N$2)+SUMIFS($U$22:$U$489,$B$22:$B$489,N$2)+SUMIFS($V$22:$V$489,$B$22:$B$489,N$2)+SUMIFS($W$22:$W$489,$B$22:$B$489,N$2)</f>
        <v>200526.56572899999</v>
      </c>
      <c r="O9" s="113">
        <f>SUMIFS($P$22:$P$489,$B$22:$B$489,O$2)+SUMIFS($Q$22:$Q$489,$B$22:$B$489,O$2)+SUMIFS($R$22:$R$489,$B$22:$B$489,O$2)+SUMIFS($S$22:$S$489,$B$22:$B$489,O$2)+SUMIFS($T$22:$T$489,$B$22:$B$489,O$2)+SUMIFS($U$22:$U$489,$B$22:$B$489,O$2)+SUMIFS($V$22:$V$489,$B$22:$B$489,O$2)+SUMIFS($W$22:$W$489,$B$22:$B$489,O$2)</f>
        <v>201827.21285099999</v>
      </c>
      <c r="P9" s="113">
        <f>SUMIFS($P$22:$P$489,$B$22:$B$489,P$2)+SUMIFS($Q$22:$Q$489,$B$22:$B$489,P$2)+SUMIFS($R$22:$R$489,$B$22:$B$489,P$2)+SUMIFS($S$22:$S$489,$B$22:$B$489,P$2)+SUMIFS($T$22:$T$489,$B$22:$B$489,P$2)+SUMIFS($U$22:$U$489,$B$22:$B$489,P$2)+SUMIFS($V$22:$V$489,$B$22:$B$489,P$2)+SUMIFS($W$22:$W$489,$B$22:$B$489,P$2)</f>
        <v>202986.27313700001</v>
      </c>
      <c r="Q9" s="113">
        <f>SUMIFS($P$22:$P$489,$B$22:$B$489,Q$2)+SUMIFS($Q$22:$Q$489,$B$22:$B$489,Q$2)+SUMIFS($R$22:$R$489,$B$22:$B$489,Q$2)+SUMIFS($S$22:$S$489,$B$22:$B$489,Q$2)+SUMIFS($T$22:$T$489,$B$22:$B$489,Q$2)+SUMIFS($U$22:$U$489,$B$22:$B$489,Q$2)+SUMIFS($V$22:$V$489,$B$22:$B$489,Q$2)+SUMIFS($W$22:$W$489,$B$22:$B$489,Q$2)</f>
        <v>204224.17586699998</v>
      </c>
      <c r="R9" s="113">
        <f>SUMIFS($P$22:$P$489,$B$22:$B$489,R$2)+SUMIFS($Q$22:$Q$489,$B$22:$B$489,R$2)+SUMIFS($R$22:$R$489,$B$22:$B$489,R$2)+SUMIFS($S$22:$S$489,$B$22:$B$489,R$2)+SUMIFS($T$22:$T$489,$B$22:$B$489,R$2)+SUMIFS($U$22:$U$489,$B$22:$B$489,R$2)+SUMIFS($V$22:$V$489,$B$22:$B$489,R$2)+SUMIFS($W$22:$W$489,$B$22:$B$489,R$2)</f>
        <v>205577.558467</v>
      </c>
      <c r="S9" s="113">
        <f>SUMIFS($P$22:$P$489,$B$22:$B$489,S$2)+SUMIFS($Q$22:$Q$489,$B$22:$B$489,S$2)+SUMIFS($R$22:$R$489,$B$22:$B$489,S$2)+SUMIFS($S$22:$S$489,$B$22:$B$489,S$2)+SUMIFS($T$22:$T$489,$B$22:$B$489,S$2)+SUMIFS($U$22:$U$489,$B$22:$B$489,S$2)+SUMIFS($V$22:$V$489,$B$22:$B$489,S$2)+SUMIFS($W$22:$W$489,$B$22:$B$489,S$2)</f>
        <v>206907.41704899998</v>
      </c>
      <c r="T9" s="113">
        <f>SUMIFS($P$22:$P$489,$B$22:$B$489,T$2)+SUMIFS($Q$22:$Q$489,$B$22:$B$489,T$2)+SUMIFS($R$22:$R$489,$B$22:$B$489,T$2)+SUMIFS($S$22:$S$489,$B$22:$B$489,T$2)+SUMIFS($T$22:$T$489,$B$22:$B$489,T$2)+SUMIFS($U$22:$U$489,$B$22:$B$489,T$2)+SUMIFS($V$22:$V$489,$B$22:$B$489,T$2)+SUMIFS($W$22:$W$489,$B$22:$B$489,T$2)</f>
        <v>208212.49375200001</v>
      </c>
      <c r="U9" s="113">
        <f>SUMIFS($P$22:$P$489,$B$22:$B$489,U$2)+SUMIFS($Q$22:$Q$489,$B$22:$B$489,U$2)+SUMIFS($R$22:$R$489,$B$22:$B$489,U$2)+SUMIFS($S$22:$S$489,$B$22:$B$489,U$2)+SUMIFS($T$22:$T$489,$B$22:$B$489,U$2)+SUMIFS($U$22:$U$489,$B$22:$B$489,U$2)+SUMIFS($V$22:$V$489,$B$22:$B$489,U$2)+SUMIFS($W$22:$W$489,$B$22:$B$489,U$2)</f>
        <v>209521.73155999999</v>
      </c>
      <c r="V9" s="113">
        <f>SUMIFS($P$22:$P$489,$B$22:$B$489,V$2)+SUMIFS($Q$22:$Q$489,$B$22:$B$489,V$2)+SUMIFS($R$22:$R$489,$B$22:$B$489,V$2)+SUMIFS($S$22:$S$489,$B$22:$B$489,V$2)+SUMIFS($T$22:$T$489,$B$22:$B$489,V$2)+SUMIFS($U$22:$U$489,$B$22:$B$489,V$2)+SUMIFS($V$22:$V$489,$B$22:$B$489,V$2)+SUMIFS($W$22:$W$489,$B$22:$B$489,V$2)</f>
        <v>210526.17366899998</v>
      </c>
      <c r="W9" s="113">
        <f>SUMIFS($P$22:$P$489,$B$22:$B$489,W$2)+SUMIFS($Q$22:$Q$489,$B$22:$B$489,W$2)+SUMIFS($R$22:$R$489,$B$22:$B$489,W$2)+SUMIFS($S$22:$S$489,$B$22:$B$489,W$2)+SUMIFS($T$22:$T$489,$B$22:$B$489,W$2)+SUMIFS($U$22:$U$489,$B$22:$B$489,W$2)+SUMIFS($V$22:$V$489,$B$22:$B$489,W$2)+SUMIFS($W$22:$W$489,$B$22:$B$489,W$2)</f>
        <v>211575.70843499998</v>
      </c>
      <c r="X9" s="113">
        <f>SUMIFS($P$22:$P$489,$B$22:$B$489,X$2)+SUMIFS($Q$22:$Q$489,$B$22:$B$489,X$2)+SUMIFS($R$22:$R$489,$B$22:$B$489,X$2)+SUMIFS($S$22:$S$489,$B$22:$B$489,X$2)+SUMIFS($T$22:$T$489,$B$22:$B$489,X$2)+SUMIFS($U$22:$U$489,$B$22:$B$489,X$2)+SUMIFS($V$22:$V$489,$B$22:$B$489,X$2)+SUMIFS($W$22:$W$489,$B$22:$B$489,X$2)</f>
        <v>212360.92822600002</v>
      </c>
      <c r="Y9" s="113">
        <f>SUMIFS($P$22:$P$489,$B$22:$B$489,Y$2)+SUMIFS($Q$22:$Q$489,$B$22:$B$489,Y$2)+SUMIFS($R$22:$R$489,$B$22:$B$489,Y$2)+SUMIFS($S$22:$S$489,$B$22:$B$489,Y$2)+SUMIFS($T$22:$T$489,$B$22:$B$489,Y$2)+SUMIFS($U$22:$U$489,$B$22:$B$489,Y$2)+SUMIFS($V$22:$V$489,$B$22:$B$489,Y$2)+SUMIFS($W$22:$W$489,$B$22:$B$489,Y$2)</f>
        <v>213057.81222400002</v>
      </c>
      <c r="Z9" s="113">
        <f>SUMIFS($P$22:$P$489,$B$22:$B$489,Z$2)+SUMIFS($Q$22:$Q$489,$B$22:$B$489,Z$2)+SUMIFS($R$22:$R$489,$B$22:$B$489,Z$2)+SUMIFS($S$22:$S$489,$B$22:$B$489,Z$2)+SUMIFS($T$22:$T$489,$B$22:$B$489,Z$2)+SUMIFS($U$22:$U$489,$B$22:$B$489,Z$2)+SUMIFS($V$22:$V$489,$B$22:$B$489,Z$2)+SUMIFS($W$22:$W$489,$B$22:$B$489,Z$2)</f>
        <v>213915.500936</v>
      </c>
      <c r="AA9" s="113">
        <f>SUMIFS($P$22:$P$489,$B$22:$B$489,AA$2)+SUMIFS($Q$22:$Q$489,$B$22:$B$489,AA$2)+SUMIFS($R$22:$R$489,$B$22:$B$489,AA$2)+SUMIFS($S$22:$S$489,$B$22:$B$489,AA$2)+SUMIFS($T$22:$T$489,$B$22:$B$489,AA$2)+SUMIFS($U$22:$U$489,$B$22:$B$489,AA$2)+SUMIFS($V$22:$V$489,$B$22:$B$489,AA$2)+SUMIFS($W$22:$W$489,$B$22:$B$489,AA$2)</f>
        <v>214682.90586699996</v>
      </c>
      <c r="AB9" s="113">
        <f>SUMIFS($P$22:$P$489,$B$22:$B$489,AB$2)+SUMIFS($Q$22:$Q$489,$B$22:$B$489,AB$2)+SUMIFS($R$22:$R$489,$B$22:$B$489,AB$2)+SUMIFS($S$22:$S$489,$B$22:$B$489,AB$2)+SUMIFS($T$22:$T$489,$B$22:$B$489,AB$2)+SUMIFS($U$22:$U$489,$B$22:$B$489,AB$2)+SUMIFS($V$22:$V$489,$B$22:$B$489,AB$2)+SUMIFS($W$22:$W$489,$B$22:$B$489,AB$2)</f>
        <v>215658.83282899999</v>
      </c>
      <c r="AC9" s="113">
        <f>SUMIFS($P$22:$P$489,$B$22:$B$489,AC$2)+SUMIFS($Q$22:$Q$489,$B$22:$B$489,AC$2)+SUMIFS($R$22:$R$489,$B$22:$B$489,AC$2)+SUMIFS($S$22:$S$489,$B$22:$B$489,AC$2)+SUMIFS($T$22:$T$489,$B$22:$B$489,AC$2)+SUMIFS($U$22:$U$489,$B$22:$B$489,AC$2)+SUMIFS($V$22:$V$489,$B$22:$B$489,AC$2)+SUMIFS($W$22:$W$489,$B$22:$B$489,AC$2)</f>
        <v>216909.54592199999</v>
      </c>
      <c r="AD9" s="113">
        <f>SUMIFS($P$22:$P$489,$B$22:$B$489,AD$2)+SUMIFS($Q$22:$Q$489,$B$22:$B$489,AD$2)+SUMIFS($R$22:$R$489,$B$22:$B$489,AD$2)+SUMIFS($S$22:$S$489,$B$22:$B$489,AD$2)+SUMIFS($T$22:$T$489,$B$22:$B$489,AD$2)+SUMIFS($U$22:$U$489,$B$22:$B$489,AD$2)+SUMIFS($V$22:$V$489,$B$22:$B$489,AD$2)+SUMIFS($W$22:$W$489,$B$22:$B$489,AD$2)</f>
        <v>218498.86953299999</v>
      </c>
      <c r="AE9" s="113">
        <f>SUMIFS($P$22:$P$489,$B$22:$B$489,AE$2)+SUMIFS($Q$22:$Q$489,$B$22:$B$489,AE$2)+SUMIFS($R$22:$R$489,$B$22:$B$489,AE$2)+SUMIFS($S$22:$S$489,$B$22:$B$489,AE$2)+SUMIFS($T$22:$T$489,$B$22:$B$489,AE$2)+SUMIFS($U$22:$U$489,$B$22:$B$489,AE$2)+SUMIFS($V$22:$V$489,$B$22:$B$489,AE$2)+SUMIFS($W$22:$W$489,$B$22:$B$489,AE$2)</f>
        <v>220069.16838100002</v>
      </c>
    </row>
    <row r="11" spans="1:31" x14ac:dyDescent="0.75">
      <c r="A11" t="s">
        <v>183</v>
      </c>
    </row>
    <row r="12" spans="1:31" x14ac:dyDescent="0.75">
      <c r="B12">
        <v>2021</v>
      </c>
      <c r="C12">
        <v>2022</v>
      </c>
      <c r="D12">
        <v>2023</v>
      </c>
      <c r="E12">
        <v>2024</v>
      </c>
      <c r="F12">
        <v>2025</v>
      </c>
      <c r="G12">
        <v>2026</v>
      </c>
      <c r="H12">
        <v>2027</v>
      </c>
      <c r="I12">
        <v>2028</v>
      </c>
      <c r="J12">
        <v>2029</v>
      </c>
      <c r="K12">
        <v>2030</v>
      </c>
      <c r="L12">
        <v>2031</v>
      </c>
      <c r="M12">
        <v>2032</v>
      </c>
      <c r="N12">
        <v>2033</v>
      </c>
      <c r="O12">
        <v>2034</v>
      </c>
      <c r="P12">
        <v>2035</v>
      </c>
      <c r="Q12">
        <v>2036</v>
      </c>
      <c r="R12">
        <v>2037</v>
      </c>
      <c r="S12">
        <v>2038</v>
      </c>
      <c r="T12">
        <v>2039</v>
      </c>
      <c r="U12">
        <v>2040</v>
      </c>
      <c r="V12">
        <v>2041</v>
      </c>
      <c r="W12">
        <v>2042</v>
      </c>
      <c r="X12">
        <v>2043</v>
      </c>
      <c r="Y12">
        <v>2044</v>
      </c>
      <c r="Z12">
        <v>2045</v>
      </c>
      <c r="AA12">
        <v>2046</v>
      </c>
      <c r="AB12">
        <v>2047</v>
      </c>
      <c r="AC12">
        <v>2048</v>
      </c>
      <c r="AD12">
        <v>2049</v>
      </c>
      <c r="AE12">
        <v>2050</v>
      </c>
    </row>
    <row r="13" spans="1:31" x14ac:dyDescent="0.75">
      <c r="A13" t="s">
        <v>185</v>
      </c>
      <c r="B13" s="60">
        <f>B7/SUM(B7:B8)</f>
        <v>0.51120563293689536</v>
      </c>
      <c r="C13" s="60">
        <f t="shared" ref="C13:AE13" si="0">C7/SUM(C7:C8)</f>
        <v>0.52295652314279961</v>
      </c>
      <c r="D13" s="60">
        <f t="shared" si="0"/>
        <v>0.53466734525294113</v>
      </c>
      <c r="E13" s="60">
        <f t="shared" si="0"/>
        <v>0.54549866544358838</v>
      </c>
      <c r="F13" s="60">
        <f t="shared" si="0"/>
        <v>0.55536196336115251</v>
      </c>
      <c r="G13" s="60">
        <f t="shared" si="0"/>
        <v>0.56425367596786191</v>
      </c>
      <c r="H13" s="60">
        <f t="shared" si="0"/>
        <v>0.57199478518048841</v>
      </c>
      <c r="I13" s="60">
        <f t="shared" si="0"/>
        <v>0.57849775415797156</v>
      </c>
      <c r="J13" s="60">
        <f t="shared" si="0"/>
        <v>0.58373624031531135</v>
      </c>
      <c r="K13" s="60">
        <f t="shared" si="0"/>
        <v>0.58807301057758987</v>
      </c>
      <c r="L13" s="60">
        <f t="shared" si="0"/>
        <v>0.59182210327074847</v>
      </c>
      <c r="M13" s="60">
        <f t="shared" si="0"/>
        <v>0.59506635854457601</v>
      </c>
      <c r="N13" s="60">
        <f t="shared" si="0"/>
        <v>0.59790706455410969</v>
      </c>
      <c r="O13" s="60">
        <f t="shared" si="0"/>
        <v>0.60029705702759684</v>
      </c>
      <c r="P13" s="60">
        <f t="shared" si="0"/>
        <v>0.60240922311317824</v>
      </c>
      <c r="Q13" s="60">
        <f t="shared" si="0"/>
        <v>0.60435903924137735</v>
      </c>
      <c r="R13" s="60">
        <f t="shared" si="0"/>
        <v>0.60618814594479997</v>
      </c>
      <c r="S13" s="60">
        <f t="shared" si="0"/>
        <v>0.60789379890442485</v>
      </c>
      <c r="T13" s="60">
        <f t="shared" si="0"/>
        <v>0.60948461313621516</v>
      </c>
      <c r="U13" s="60">
        <f t="shared" si="0"/>
        <v>0.61096876892399232</v>
      </c>
      <c r="V13" s="60">
        <f t="shared" si="0"/>
        <v>0.61223255773241791</v>
      </c>
      <c r="W13" s="60">
        <f t="shared" si="0"/>
        <v>0.61340751636931978</v>
      </c>
      <c r="X13" s="60">
        <f t="shared" si="0"/>
        <v>0.61452246990332959</v>
      </c>
      <c r="Y13" s="60">
        <f t="shared" si="0"/>
        <v>0.61560609532425037</v>
      </c>
      <c r="Z13" s="60">
        <f t="shared" si="0"/>
        <v>0.61660634103711232</v>
      </c>
      <c r="AA13" s="60">
        <f t="shared" si="0"/>
        <v>0.61755135764093361</v>
      </c>
      <c r="AB13" s="60">
        <f t="shared" si="0"/>
        <v>0.61844231623092139</v>
      </c>
      <c r="AC13" s="60">
        <f t="shared" si="0"/>
        <v>0.61929556621808968</v>
      </c>
      <c r="AD13" s="60">
        <f t="shared" si="0"/>
        <v>0.62005763272185033</v>
      </c>
      <c r="AE13" s="60">
        <f t="shared" si="0"/>
        <v>0.62065110897971687</v>
      </c>
    </row>
    <row r="14" spans="1:31" x14ac:dyDescent="0.75">
      <c r="A14" s="64" t="s">
        <v>186</v>
      </c>
      <c r="B14" s="60">
        <f t="shared" ref="B14:AE15" si="1">B8/SUM(B$8:B$9)</f>
        <v>0.10949440467567507</v>
      </c>
      <c r="C14" s="60">
        <f t="shared" si="1"/>
        <v>0.10565896841725311</v>
      </c>
      <c r="D14" s="60">
        <f t="shared" si="1"/>
        <v>0.10155694569942411</v>
      </c>
      <c r="E14" s="60">
        <f t="shared" si="1"/>
        <v>9.6361680663224494E-2</v>
      </c>
      <c r="F14" s="60">
        <f t="shared" si="1"/>
        <v>9.1868233119396639E-2</v>
      </c>
      <c r="G14" s="60">
        <f t="shared" si="1"/>
        <v>8.7990424687586333E-2</v>
      </c>
      <c r="H14" s="60">
        <f t="shared" si="1"/>
        <v>8.4753693710942449E-2</v>
      </c>
      <c r="I14" s="60">
        <f t="shared" si="1"/>
        <v>8.2185000894267779E-2</v>
      </c>
      <c r="J14" s="60">
        <f t="shared" si="1"/>
        <v>8.0232113063418611E-2</v>
      </c>
      <c r="K14" s="60">
        <f t="shared" si="1"/>
        <v>7.8728927885816355E-2</v>
      </c>
      <c r="L14" s="60">
        <f t="shared" si="1"/>
        <v>7.7550686692715032E-2</v>
      </c>
      <c r="M14" s="60">
        <f t="shared" si="1"/>
        <v>7.6603674317657883E-2</v>
      </c>
      <c r="N14" s="60">
        <f t="shared" si="1"/>
        <v>7.5790797558905623E-2</v>
      </c>
      <c r="O14" s="60">
        <f t="shared" si="1"/>
        <v>7.5106251245263031E-2</v>
      </c>
      <c r="P14" s="60">
        <f t="shared" si="1"/>
        <v>7.4513434202603063E-2</v>
      </c>
      <c r="Q14" s="60">
        <f t="shared" si="1"/>
        <v>7.398909497054211E-2</v>
      </c>
      <c r="R14" s="60">
        <f t="shared" si="1"/>
        <v>7.3498584559881508E-2</v>
      </c>
      <c r="S14" s="60">
        <f t="shared" si="1"/>
        <v>7.3034099218960452E-2</v>
      </c>
      <c r="T14" s="60">
        <f t="shared" si="1"/>
        <v>7.2619582005069142E-2</v>
      </c>
      <c r="U14" s="60">
        <f t="shared" si="1"/>
        <v>7.225041224963881E-2</v>
      </c>
      <c r="V14" s="60">
        <f t="shared" si="1"/>
        <v>7.1944511676949E-2</v>
      </c>
      <c r="W14" s="60">
        <f t="shared" si="1"/>
        <v>7.1695483925812598E-2</v>
      </c>
      <c r="X14" s="60">
        <f t="shared" si="1"/>
        <v>7.1491096414665251E-2</v>
      </c>
      <c r="Y14" s="60">
        <f t="shared" si="1"/>
        <v>7.1314994057824127E-2</v>
      </c>
      <c r="Z14" s="60">
        <f t="shared" si="1"/>
        <v>7.1164742931254271E-2</v>
      </c>
      <c r="AA14" s="60">
        <f t="shared" si="1"/>
        <v>7.1030718458094569E-2</v>
      </c>
      <c r="AB14" s="60">
        <f t="shared" si="1"/>
        <v>7.0913499505434824E-2</v>
      </c>
      <c r="AC14" s="60">
        <f t="shared" si="1"/>
        <v>7.0801869198768547E-2</v>
      </c>
      <c r="AD14" s="60">
        <f t="shared" si="1"/>
        <v>7.0696936323787332E-2</v>
      </c>
      <c r="AE14" s="60">
        <f t="shared" si="1"/>
        <v>7.0592541881806289E-2</v>
      </c>
    </row>
    <row r="15" spans="1:31" x14ac:dyDescent="0.75">
      <c r="A15" s="64" t="s">
        <v>187</v>
      </c>
      <c r="B15" s="60">
        <f t="shared" si="1"/>
        <v>0.89050559532432494</v>
      </c>
      <c r="C15" s="60">
        <f t="shared" si="1"/>
        <v>0.89434103158274691</v>
      </c>
      <c r="D15" s="60">
        <f t="shared" si="1"/>
        <v>0.89844305430057581</v>
      </c>
      <c r="E15" s="60">
        <f t="shared" si="1"/>
        <v>0.90363831933677552</v>
      </c>
      <c r="F15" s="60">
        <f t="shared" si="1"/>
        <v>0.90813176688060337</v>
      </c>
      <c r="G15" s="60">
        <f t="shared" si="1"/>
        <v>0.91200957531241367</v>
      </c>
      <c r="H15" s="60">
        <f t="shared" si="1"/>
        <v>0.91524630628905757</v>
      </c>
      <c r="I15" s="60">
        <f t="shared" si="1"/>
        <v>0.91781499910573228</v>
      </c>
      <c r="J15" s="60">
        <f t="shared" si="1"/>
        <v>0.9197678869365814</v>
      </c>
      <c r="K15" s="60">
        <f t="shared" si="1"/>
        <v>0.92127107211418369</v>
      </c>
      <c r="L15" s="60">
        <f t="shared" si="1"/>
        <v>0.92244931330728497</v>
      </c>
      <c r="M15" s="60">
        <f t="shared" si="1"/>
        <v>0.92339632568234209</v>
      </c>
      <c r="N15" s="60">
        <f t="shared" si="1"/>
        <v>0.92420920244109439</v>
      </c>
      <c r="O15" s="60">
        <f t="shared" si="1"/>
        <v>0.92489374875473696</v>
      </c>
      <c r="P15" s="60">
        <f t="shared" si="1"/>
        <v>0.92548656579739685</v>
      </c>
      <c r="Q15" s="60">
        <f t="shared" si="1"/>
        <v>0.92601090502945782</v>
      </c>
      <c r="R15" s="60">
        <f t="shared" si="1"/>
        <v>0.92650141544011844</v>
      </c>
      <c r="S15" s="60">
        <f t="shared" si="1"/>
        <v>0.92696590078103958</v>
      </c>
      <c r="T15" s="60">
        <f t="shared" si="1"/>
        <v>0.92738041799493076</v>
      </c>
      <c r="U15" s="60">
        <f t="shared" si="1"/>
        <v>0.92774958775036109</v>
      </c>
      <c r="V15" s="60">
        <f t="shared" si="1"/>
        <v>0.92805548832305107</v>
      </c>
      <c r="W15" s="60">
        <f t="shared" si="1"/>
        <v>0.9283045160741874</v>
      </c>
      <c r="X15" s="60">
        <f t="shared" si="1"/>
        <v>0.92850890358533467</v>
      </c>
      <c r="Y15" s="60">
        <f t="shared" si="1"/>
        <v>0.92868500594217596</v>
      </c>
      <c r="Z15" s="60">
        <f t="shared" si="1"/>
        <v>0.9288352570687457</v>
      </c>
      <c r="AA15" s="60">
        <f t="shared" si="1"/>
        <v>0.92896928154190539</v>
      </c>
      <c r="AB15" s="60">
        <f t="shared" si="1"/>
        <v>0.9290865004945652</v>
      </c>
      <c r="AC15" s="60">
        <f t="shared" si="1"/>
        <v>0.92919813080123137</v>
      </c>
      <c r="AD15" s="60">
        <f t="shared" si="1"/>
        <v>0.92930306367621263</v>
      </c>
      <c r="AE15" s="60">
        <f t="shared" si="1"/>
        <v>0.9294074581181937</v>
      </c>
    </row>
    <row r="17" spans="1:31" s="90" customFormat="1" ht="16" x14ac:dyDescent="0.8">
      <c r="A17" s="89" t="s">
        <v>188</v>
      </c>
    </row>
    <row r="18" spans="1:31" x14ac:dyDescent="0.75">
      <c r="A18" t="s">
        <v>222</v>
      </c>
    </row>
    <row r="19" spans="1:31" x14ac:dyDescent="0.75">
      <c r="A19" s="81" t="s">
        <v>223</v>
      </c>
      <c r="H19" s="91"/>
      <c r="M19" s="91"/>
      <c r="P19" s="91"/>
      <c r="W19" s="91"/>
    </row>
    <row r="20" spans="1:31" x14ac:dyDescent="0.75">
      <c r="H20" s="92" t="s">
        <v>189</v>
      </c>
      <c r="I20" s="93"/>
      <c r="J20" s="93"/>
      <c r="K20" s="93"/>
      <c r="L20" s="93"/>
      <c r="M20" s="92" t="s">
        <v>190</v>
      </c>
      <c r="N20" s="93"/>
      <c r="O20" s="93"/>
      <c r="P20" s="92" t="s">
        <v>191</v>
      </c>
      <c r="Q20" s="93"/>
      <c r="R20" s="93"/>
      <c r="S20" s="93"/>
      <c r="T20" s="93"/>
      <c r="U20" s="93"/>
      <c r="V20" s="93"/>
      <c r="W20" s="91"/>
    </row>
    <row r="21" spans="1:31" x14ac:dyDescent="0.75">
      <c r="B21" t="s">
        <v>192</v>
      </c>
      <c r="D21" t="s">
        <v>193</v>
      </c>
      <c r="E21" t="s">
        <v>194</v>
      </c>
      <c r="F21" t="s">
        <v>195</v>
      </c>
      <c r="G21" t="s">
        <v>196</v>
      </c>
      <c r="H21" s="91">
        <v>3</v>
      </c>
      <c r="I21">
        <v>4</v>
      </c>
      <c r="J21">
        <v>5</v>
      </c>
      <c r="K21">
        <v>6</v>
      </c>
      <c r="L21">
        <v>7</v>
      </c>
      <c r="M21" s="91" t="s">
        <v>197</v>
      </c>
      <c r="N21" t="s">
        <v>198</v>
      </c>
      <c r="O21" t="s">
        <v>199</v>
      </c>
      <c r="P21" s="91" t="s">
        <v>200</v>
      </c>
      <c r="Q21" t="s">
        <v>201</v>
      </c>
      <c r="R21" t="s">
        <v>198</v>
      </c>
      <c r="S21" t="s">
        <v>199</v>
      </c>
      <c r="T21" t="s">
        <v>202</v>
      </c>
      <c r="U21" t="s">
        <v>203</v>
      </c>
      <c r="V21" t="s">
        <v>204</v>
      </c>
      <c r="W21" s="91" t="s">
        <v>205</v>
      </c>
      <c r="AB21" t="s">
        <v>206</v>
      </c>
      <c r="AC21" t="s">
        <v>207</v>
      </c>
      <c r="AD21" t="s">
        <v>208</v>
      </c>
    </row>
    <row r="22" spans="1:31" x14ac:dyDescent="0.75">
      <c r="B22">
        <v>2012</v>
      </c>
      <c r="C22" t="s">
        <v>209</v>
      </c>
      <c r="D22">
        <v>1</v>
      </c>
      <c r="E22" s="113">
        <v>28926.986327999999</v>
      </c>
      <c r="F22" s="113">
        <v>502.91888399999999</v>
      </c>
      <c r="G22" s="113">
        <v>31836.052734000001</v>
      </c>
      <c r="H22" s="114">
        <v>2911.2785640000002</v>
      </c>
      <c r="I22" s="113">
        <v>10047.358398</v>
      </c>
      <c r="J22" s="113">
        <v>10027.025390999999</v>
      </c>
      <c r="K22" s="113">
        <v>15190.825194999999</v>
      </c>
      <c r="L22" s="113">
        <v>14232.540039</v>
      </c>
      <c r="M22" s="114">
        <v>1979.451172</v>
      </c>
      <c r="N22" s="113">
        <v>1979.451172</v>
      </c>
      <c r="O22" s="113">
        <v>5938.3535160000001</v>
      </c>
      <c r="P22" s="114">
        <v>19237.244140999999</v>
      </c>
      <c r="Q22" s="113">
        <v>9382.4638670000004</v>
      </c>
      <c r="R22" s="113">
        <v>9382.4638670000004</v>
      </c>
      <c r="S22" s="113">
        <v>28147.388672000001</v>
      </c>
      <c r="T22" s="113">
        <v>14655.736328000001</v>
      </c>
      <c r="U22" s="113">
        <v>14655.737305000001</v>
      </c>
      <c r="V22" s="113">
        <v>43963.542969000002</v>
      </c>
      <c r="W22" s="114">
        <v>1.5061450000000001</v>
      </c>
      <c r="AA22">
        <v>2012</v>
      </c>
      <c r="AB22" s="83" cm="1">
        <f t="array" ref="AB22">SUM(($G$22:$H$489)*($B$22:$B$489=$AA22))</f>
        <v>48918.964656999997</v>
      </c>
      <c r="AC22" s="83" cm="1">
        <f t="array" ref="AC22">SUM(($I$22:$K$489)*($B$22:$B$489=$AA22))</f>
        <v>55770.044407999994</v>
      </c>
      <c r="AD22" s="83" cm="1">
        <f t="array" ref="AD22">SUM(($L$22:$W$489)*($B$22:$B$489=$AA22))</f>
        <v>164518.35149600005</v>
      </c>
      <c r="AE22" s="83">
        <f>SUM(AB22:AD22)</f>
        <v>269207.36056100007</v>
      </c>
    </row>
    <row r="23" spans="1:31" x14ac:dyDescent="0.75">
      <c r="B23">
        <v>2012</v>
      </c>
      <c r="C23" t="s">
        <v>210</v>
      </c>
      <c r="D23">
        <v>2</v>
      </c>
      <c r="E23" s="113">
        <v>57198.195312000003</v>
      </c>
      <c r="F23" s="113">
        <v>4327.7465819999998</v>
      </c>
      <c r="G23" s="113">
        <v>7176.9614259999998</v>
      </c>
      <c r="H23" s="114">
        <v>5097.7470700000003</v>
      </c>
      <c r="I23" s="113">
        <v>10825.797852</v>
      </c>
      <c r="J23" s="113">
        <v>3803.5427249999998</v>
      </c>
      <c r="K23" s="113">
        <v>5703.4873049999997</v>
      </c>
      <c r="L23" s="113">
        <v>499.79055799999998</v>
      </c>
      <c r="M23" s="114">
        <v>0.52919899999999997</v>
      </c>
      <c r="N23" s="113">
        <v>0.52919899999999997</v>
      </c>
      <c r="O23" s="113">
        <v>1.587596</v>
      </c>
      <c r="P23" s="114">
        <v>46.662086000000002</v>
      </c>
      <c r="Q23" s="113">
        <v>3.1662999999999997E-2</v>
      </c>
      <c r="R23" s="113">
        <v>3.1662999999999997E-2</v>
      </c>
      <c r="S23" s="113">
        <v>9.4990000000000005E-2</v>
      </c>
      <c r="T23" s="113">
        <v>4.9459000000000003E-2</v>
      </c>
      <c r="U23" s="113">
        <v>4.9459000000000003E-2</v>
      </c>
      <c r="V23" s="113">
        <v>0.14837700000000001</v>
      </c>
      <c r="W23" s="114">
        <v>0</v>
      </c>
      <c r="AA23">
        <v>2013</v>
      </c>
      <c r="AB23" s="83" cm="1">
        <f t="array" ref="AB23">SUM(($G$22:$H$489)*($B$22:$B$489=$AA23))</f>
        <v>50384.624357000001</v>
      </c>
      <c r="AC23" s="83" cm="1">
        <f t="array" ref="AC23">SUM(($I$22:$K$489)*($B$22:$B$489=$AA23))</f>
        <v>55851.412469000003</v>
      </c>
      <c r="AD23" s="83" cm="1">
        <f t="array" ref="AD23">SUM(($L$22:$W$489)*($B$22:$B$489=$AA23))</f>
        <v>168781.92242200003</v>
      </c>
      <c r="AE23" s="83">
        <f t="shared" ref="AE23:AE60" si="2">SUM(AB23:AD23)</f>
        <v>275017.95924800006</v>
      </c>
    </row>
    <row r="24" spans="1:31" x14ac:dyDescent="0.75">
      <c r="B24">
        <v>2012</v>
      </c>
      <c r="C24" t="s">
        <v>211</v>
      </c>
      <c r="D24">
        <v>3</v>
      </c>
      <c r="E24" s="113">
        <v>0.21359800000000001</v>
      </c>
      <c r="F24" s="113">
        <v>0</v>
      </c>
      <c r="G24" s="113">
        <v>2.7782969999999998</v>
      </c>
      <c r="H24" s="114">
        <v>6.5620000000000001E-3</v>
      </c>
      <c r="I24" s="113">
        <v>6.1346879999999997</v>
      </c>
      <c r="J24" s="113">
        <v>3.8109860000000002</v>
      </c>
      <c r="K24" s="113">
        <v>14.325196999999999</v>
      </c>
      <c r="L24" s="113">
        <v>32.030422000000002</v>
      </c>
      <c r="M24" s="114">
        <v>1.5318E-2</v>
      </c>
      <c r="N24" s="113">
        <v>1.5318E-2</v>
      </c>
      <c r="O24" s="113">
        <v>4.5955000000000003E-2</v>
      </c>
      <c r="P24" s="114">
        <v>0.27084999999999998</v>
      </c>
      <c r="Q24" s="113">
        <v>0</v>
      </c>
      <c r="R24" s="113">
        <v>0</v>
      </c>
      <c r="S24" s="113">
        <v>0</v>
      </c>
      <c r="T24" s="113">
        <v>0</v>
      </c>
      <c r="U24" s="113">
        <v>0</v>
      </c>
      <c r="V24" s="113">
        <v>0</v>
      </c>
      <c r="W24" s="114">
        <v>0</v>
      </c>
      <c r="AA24">
        <v>2014</v>
      </c>
      <c r="AB24" s="83" cm="1">
        <f t="array" ref="AB24">SUM(($G$22:$H$489)*($B$22:$B$489=$AA24))</f>
        <v>52035.118874999993</v>
      </c>
      <c r="AC24" s="83" cm="1">
        <f t="array" ref="AC24">SUM(($I$22:$K$489)*($B$22:$B$489=$AA24))</f>
        <v>55662.805953999989</v>
      </c>
      <c r="AD24" s="83" cm="1">
        <f t="array" ref="AD24">SUM(($L$22:$W$489)*($B$22:$B$489=$AA24))</f>
        <v>171433.79255700001</v>
      </c>
      <c r="AE24" s="83">
        <f t="shared" si="2"/>
        <v>279131.71738599997</v>
      </c>
    </row>
    <row r="25" spans="1:31" x14ac:dyDescent="0.75">
      <c r="B25">
        <v>2012</v>
      </c>
      <c r="C25" t="s">
        <v>212</v>
      </c>
      <c r="D25">
        <v>4</v>
      </c>
      <c r="E25" s="113">
        <v>71.884429999999995</v>
      </c>
      <c r="F25" s="113">
        <v>0.39609899999999998</v>
      </c>
      <c r="G25" s="113">
        <v>0</v>
      </c>
      <c r="H25" s="114">
        <v>1.157753</v>
      </c>
      <c r="I25" s="113">
        <v>19.120702999999999</v>
      </c>
      <c r="J25" s="113">
        <v>2.0263149999999999</v>
      </c>
      <c r="K25" s="113">
        <v>22.659034999999999</v>
      </c>
      <c r="L25" s="113">
        <v>7.0479409999999998</v>
      </c>
      <c r="M25" s="114">
        <v>1.604163</v>
      </c>
      <c r="N25" s="113">
        <v>1.604163</v>
      </c>
      <c r="O25" s="113">
        <v>4.8124880000000001</v>
      </c>
      <c r="P25" s="114">
        <v>199.93718000000001</v>
      </c>
      <c r="Q25" s="113">
        <v>12.925996</v>
      </c>
      <c r="R25" s="113">
        <v>12.925996</v>
      </c>
      <c r="S25" s="113">
        <v>38.777980999999997</v>
      </c>
      <c r="T25" s="113">
        <v>20.190854999999999</v>
      </c>
      <c r="U25" s="113">
        <v>20.190857000000001</v>
      </c>
      <c r="V25" s="113">
        <v>60.572571000000003</v>
      </c>
      <c r="W25" s="114">
        <v>0</v>
      </c>
      <c r="AA25">
        <v>2015</v>
      </c>
      <c r="AB25" s="83" cm="1">
        <f t="array" ref="AB25">SUM(($G$22:$H$489)*($B$22:$B$489=$AA25))</f>
        <v>53707.999909999999</v>
      </c>
      <c r="AC25" s="83" cm="1">
        <f t="array" ref="AC25">SUM(($I$22:$K$489)*($B$22:$B$489=$AA25))</f>
        <v>54990.648395999997</v>
      </c>
      <c r="AD25" s="83" cm="1">
        <f t="array" ref="AD25">SUM(($L$22:$W$489)*($B$22:$B$489=$AA25))</f>
        <v>171144.94143099998</v>
      </c>
      <c r="AE25" s="83">
        <f t="shared" si="2"/>
        <v>279843.58973699994</v>
      </c>
    </row>
    <row r="26" spans="1:31" x14ac:dyDescent="0.75">
      <c r="B26">
        <v>2012</v>
      </c>
      <c r="C26" t="s">
        <v>224</v>
      </c>
      <c r="D26">
        <v>5</v>
      </c>
      <c r="E26" s="113">
        <v>3128.9216310000002</v>
      </c>
      <c r="F26" s="113">
        <v>309.81118800000002</v>
      </c>
      <c r="G26" s="113">
        <v>1387.288818</v>
      </c>
      <c r="H26" s="114">
        <v>503.78332499999999</v>
      </c>
      <c r="I26" s="113">
        <v>103.930618</v>
      </c>
      <c r="J26" s="113">
        <v>0</v>
      </c>
      <c r="K26" s="113">
        <v>0</v>
      </c>
      <c r="L26" s="113">
        <v>0</v>
      </c>
      <c r="M26" s="114">
        <v>0</v>
      </c>
      <c r="N26" s="113">
        <v>0</v>
      </c>
      <c r="O26" s="113">
        <v>0</v>
      </c>
      <c r="P26" s="114">
        <v>0</v>
      </c>
      <c r="Q26" s="113">
        <v>0</v>
      </c>
      <c r="R26" s="113">
        <v>0</v>
      </c>
      <c r="S26" s="113">
        <v>0</v>
      </c>
      <c r="T26" s="113">
        <v>0</v>
      </c>
      <c r="U26" s="113">
        <v>0</v>
      </c>
      <c r="V26" s="113">
        <v>0</v>
      </c>
      <c r="W26" s="114">
        <v>0</v>
      </c>
      <c r="AA26">
        <v>2016</v>
      </c>
      <c r="AB26" s="83" cm="1">
        <f t="array" ref="AB26">SUM(($G$22:$H$489)*($B$22:$B$489=$AA26))</f>
        <v>54989.051392999994</v>
      </c>
      <c r="AC26" s="83" cm="1">
        <f t="array" ref="AC26">SUM(($I$22:$K$489)*($B$22:$B$489=$AA26))</f>
        <v>55919.491998999983</v>
      </c>
      <c r="AD26" s="83" cm="1">
        <f t="array" ref="AD26">SUM(($L$22:$W$489)*($B$22:$B$489=$AA26))</f>
        <v>176986.70779299995</v>
      </c>
      <c r="AE26" s="83">
        <f t="shared" si="2"/>
        <v>287895.25118499994</v>
      </c>
    </row>
    <row r="27" spans="1:31" x14ac:dyDescent="0.75">
      <c r="B27">
        <v>2012</v>
      </c>
      <c r="C27" t="s">
        <v>225</v>
      </c>
      <c r="D27">
        <v>6</v>
      </c>
      <c r="E27" s="113">
        <v>0</v>
      </c>
      <c r="F27" s="113">
        <v>0</v>
      </c>
      <c r="G27" s="113">
        <v>0</v>
      </c>
      <c r="H27" s="114">
        <v>1.9101079999999999</v>
      </c>
      <c r="I27" s="113">
        <v>0</v>
      </c>
      <c r="J27" s="113">
        <v>0</v>
      </c>
      <c r="K27" s="113">
        <v>0</v>
      </c>
      <c r="L27" s="113">
        <v>0</v>
      </c>
      <c r="M27" s="114">
        <v>0</v>
      </c>
      <c r="N27" s="113">
        <v>0</v>
      </c>
      <c r="O27" s="113">
        <v>0</v>
      </c>
      <c r="P27" s="114">
        <v>0</v>
      </c>
      <c r="Q27" s="113">
        <v>0</v>
      </c>
      <c r="R27" s="113">
        <v>0</v>
      </c>
      <c r="S27" s="113">
        <v>0</v>
      </c>
      <c r="T27" s="113">
        <v>0</v>
      </c>
      <c r="U27" s="113">
        <v>0</v>
      </c>
      <c r="V27" s="113">
        <v>0</v>
      </c>
      <c r="W27" s="114">
        <v>0</v>
      </c>
      <c r="AA27">
        <v>2017</v>
      </c>
      <c r="AB27" s="83" cm="1">
        <f t="array" ref="AB27">SUM(($G$22:$H$489)*($B$22:$B$489=$AA27))</f>
        <v>59107.066633000009</v>
      </c>
      <c r="AC27" s="83" cm="1">
        <f t="array" ref="AC27">SUM(($I$22:$K$489)*($B$22:$B$489=$AA27))</f>
        <v>59419.291025999992</v>
      </c>
      <c r="AD27" s="83" cm="1">
        <f t="array" ref="AD27">SUM(($L$22:$W$489)*($B$22:$B$489=$AA27))</f>
        <v>179066.43330399995</v>
      </c>
      <c r="AE27" s="83">
        <f t="shared" si="2"/>
        <v>297592.79096299992</v>
      </c>
    </row>
    <row r="28" spans="1:31" x14ac:dyDescent="0.75">
      <c r="B28">
        <v>2012</v>
      </c>
      <c r="C28" t="s">
        <v>213</v>
      </c>
      <c r="D28">
        <v>7</v>
      </c>
      <c r="E28" s="113">
        <v>0</v>
      </c>
      <c r="F28" s="113">
        <v>0</v>
      </c>
      <c r="G28" s="113">
        <v>0</v>
      </c>
      <c r="H28" s="114">
        <v>0</v>
      </c>
      <c r="I28" s="113">
        <v>0</v>
      </c>
      <c r="J28" s="113">
        <v>0</v>
      </c>
      <c r="K28" s="113">
        <v>0</v>
      </c>
      <c r="L28" s="113">
        <v>0</v>
      </c>
      <c r="M28" s="114">
        <v>0</v>
      </c>
      <c r="N28" s="113">
        <v>0</v>
      </c>
      <c r="O28" s="113">
        <v>0</v>
      </c>
      <c r="P28" s="114">
        <v>0</v>
      </c>
      <c r="Q28" s="113">
        <v>0</v>
      </c>
      <c r="R28" s="113">
        <v>0</v>
      </c>
      <c r="S28" s="113">
        <v>0</v>
      </c>
      <c r="T28" s="113">
        <v>0</v>
      </c>
      <c r="U28" s="113">
        <v>0</v>
      </c>
      <c r="V28" s="113">
        <v>0</v>
      </c>
      <c r="W28" s="114">
        <v>0</v>
      </c>
      <c r="AA28">
        <v>2018</v>
      </c>
      <c r="AB28" s="83" cm="1">
        <f t="array" ref="AB28">SUM(($G$22:$H$489)*($B$22:$B$489=$AA28))</f>
        <v>61351.235191</v>
      </c>
      <c r="AC28" s="83" cm="1">
        <f t="array" ref="AC28">SUM(($I$22:$K$489)*($B$22:$B$489=$AA28))</f>
        <v>60916.656831999993</v>
      </c>
      <c r="AD28" s="83" cm="1">
        <f t="array" ref="AD28">SUM(($L$22:$W$489)*($B$22:$B$489=$AA28))</f>
        <v>182597.10843799997</v>
      </c>
      <c r="AE28" s="83">
        <f t="shared" si="2"/>
        <v>304865.00046099996</v>
      </c>
    </row>
    <row r="29" spans="1:31" x14ac:dyDescent="0.75">
      <c r="B29">
        <v>2012</v>
      </c>
      <c r="C29" t="s">
        <v>214</v>
      </c>
      <c r="D29">
        <v>8</v>
      </c>
      <c r="E29" s="113">
        <v>0</v>
      </c>
      <c r="F29" s="113">
        <v>0</v>
      </c>
      <c r="G29" s="113">
        <v>0</v>
      </c>
      <c r="H29" s="114">
        <v>0</v>
      </c>
      <c r="I29" s="113">
        <v>0</v>
      </c>
      <c r="J29" s="113">
        <v>0</v>
      </c>
      <c r="K29" s="113">
        <v>0</v>
      </c>
      <c r="L29" s="113">
        <v>0</v>
      </c>
      <c r="M29" s="114">
        <v>0</v>
      </c>
      <c r="N29" s="113">
        <v>0</v>
      </c>
      <c r="O29" s="113">
        <v>0</v>
      </c>
      <c r="P29" s="114">
        <v>0</v>
      </c>
      <c r="Q29" s="113">
        <v>0</v>
      </c>
      <c r="R29" s="113">
        <v>0</v>
      </c>
      <c r="S29" s="113">
        <v>0</v>
      </c>
      <c r="T29" s="113">
        <v>0</v>
      </c>
      <c r="U29" s="113">
        <v>0</v>
      </c>
      <c r="V29" s="113">
        <v>0</v>
      </c>
      <c r="W29" s="114">
        <v>0</v>
      </c>
      <c r="AA29">
        <v>2019</v>
      </c>
      <c r="AB29" s="83" cm="1">
        <f t="array" ref="AB29">SUM(($G$22:$H$489)*($B$22:$B$489=$AA29))</f>
        <v>59793.070783999981</v>
      </c>
      <c r="AC29" s="83" cm="1">
        <f t="array" ref="AC29">SUM(($I$22:$K$489)*($B$22:$B$489=$AA29))</f>
        <v>60220.075356000001</v>
      </c>
      <c r="AD29" s="83" cm="1">
        <f t="array" ref="AD29">SUM(($L$22:$W$489)*($B$22:$B$489=$AA29))</f>
        <v>180038.29178699994</v>
      </c>
      <c r="AE29" s="83">
        <f t="shared" si="2"/>
        <v>300051.43792699993</v>
      </c>
    </row>
    <row r="30" spans="1:31" x14ac:dyDescent="0.75">
      <c r="B30">
        <v>2012</v>
      </c>
      <c r="C30" t="s">
        <v>226</v>
      </c>
      <c r="D30">
        <v>9</v>
      </c>
      <c r="E30" s="113">
        <v>0</v>
      </c>
      <c r="F30" s="113">
        <v>0</v>
      </c>
      <c r="G30" s="113">
        <v>0</v>
      </c>
      <c r="H30" s="114">
        <v>0</v>
      </c>
      <c r="I30" s="113">
        <v>0</v>
      </c>
      <c r="J30" s="113">
        <v>0</v>
      </c>
      <c r="K30" s="113">
        <v>0</v>
      </c>
      <c r="L30" s="113">
        <v>0</v>
      </c>
      <c r="M30" s="114">
        <v>0</v>
      </c>
      <c r="N30" s="113">
        <v>0</v>
      </c>
      <c r="O30" s="113">
        <v>0</v>
      </c>
      <c r="P30" s="114">
        <v>0</v>
      </c>
      <c r="Q30" s="113">
        <v>0</v>
      </c>
      <c r="R30" s="113">
        <v>0</v>
      </c>
      <c r="S30" s="113">
        <v>0</v>
      </c>
      <c r="T30" s="113">
        <v>0</v>
      </c>
      <c r="U30" s="113">
        <v>0</v>
      </c>
      <c r="V30" s="113">
        <v>0</v>
      </c>
      <c r="W30" s="114">
        <v>0</v>
      </c>
      <c r="AA30">
        <v>2020</v>
      </c>
      <c r="AB30" s="83" cm="1">
        <f t="array" ref="AB30">SUM(($G$22:$H$489)*($B$22:$B$489=$AA30))</f>
        <v>61154.296365000002</v>
      </c>
      <c r="AC30" s="83" cm="1">
        <f t="array" ref="AC30">SUM(($I$22:$K$489)*($B$22:$B$489=$AA30))</f>
        <v>58359.700415999985</v>
      </c>
      <c r="AD30" s="83" cm="1">
        <f t="array" ref="AD30">SUM(($L$22:$W$489)*($B$22:$B$489=$AA30))</f>
        <v>178135.06281899998</v>
      </c>
      <c r="AE30" s="83">
        <f t="shared" si="2"/>
        <v>297649.05959999998</v>
      </c>
    </row>
    <row r="31" spans="1:31" x14ac:dyDescent="0.75">
      <c r="B31">
        <v>2012</v>
      </c>
      <c r="C31" t="s">
        <v>227</v>
      </c>
      <c r="D31">
        <v>10</v>
      </c>
      <c r="E31" s="113">
        <v>0</v>
      </c>
      <c r="F31" s="113">
        <v>0</v>
      </c>
      <c r="G31" s="113">
        <v>0</v>
      </c>
      <c r="H31" s="114">
        <v>0</v>
      </c>
      <c r="I31" s="113">
        <v>0</v>
      </c>
      <c r="J31" s="113">
        <v>0</v>
      </c>
      <c r="K31" s="113">
        <v>0</v>
      </c>
      <c r="L31" s="113">
        <v>0</v>
      </c>
      <c r="M31" s="114">
        <v>0</v>
      </c>
      <c r="N31" s="113">
        <v>0</v>
      </c>
      <c r="O31" s="113">
        <v>0</v>
      </c>
      <c r="P31" s="114">
        <v>0</v>
      </c>
      <c r="Q31" s="113">
        <v>0</v>
      </c>
      <c r="R31" s="113">
        <v>0</v>
      </c>
      <c r="S31" s="113">
        <v>0</v>
      </c>
      <c r="T31" s="113">
        <v>0</v>
      </c>
      <c r="U31" s="113">
        <v>0</v>
      </c>
      <c r="V31" s="113">
        <v>0</v>
      </c>
      <c r="W31" s="114">
        <v>0</v>
      </c>
      <c r="AA31">
        <v>2021</v>
      </c>
      <c r="AB31" s="83" cm="1">
        <f t="array" ref="AB31">SUM(($G$22:$H$489)*($B$22:$B$489=$AA31))</f>
        <v>71427.169756999996</v>
      </c>
      <c r="AC31" s="83" cm="1">
        <f t="array" ref="AC31">SUM(($I$22:$K$489)*($B$22:$B$489=$AA31))</f>
        <v>64005.845598000014</v>
      </c>
      <c r="AD31" s="83" cm="1">
        <f t="array" ref="AD31">SUM(($L$22:$W$489)*($B$22:$B$489=$AA31))</f>
        <v>191593.45450699993</v>
      </c>
      <c r="AE31" s="83">
        <f t="shared" si="2"/>
        <v>327026.46986199997</v>
      </c>
    </row>
    <row r="32" spans="1:31" x14ac:dyDescent="0.75">
      <c r="B32">
        <v>2012</v>
      </c>
      <c r="C32" t="s">
        <v>228</v>
      </c>
      <c r="D32">
        <v>11</v>
      </c>
      <c r="E32" s="113">
        <v>0</v>
      </c>
      <c r="F32" s="113">
        <v>0</v>
      </c>
      <c r="G32" s="113">
        <v>0</v>
      </c>
      <c r="H32" s="114">
        <v>0</v>
      </c>
      <c r="I32" s="113">
        <v>0</v>
      </c>
      <c r="J32" s="113">
        <v>0</v>
      </c>
      <c r="K32" s="113">
        <v>0</v>
      </c>
      <c r="L32" s="113">
        <v>0</v>
      </c>
      <c r="M32" s="114">
        <v>0</v>
      </c>
      <c r="N32" s="113">
        <v>0</v>
      </c>
      <c r="O32" s="113">
        <v>0</v>
      </c>
      <c r="P32" s="114">
        <v>0</v>
      </c>
      <c r="Q32" s="113">
        <v>0</v>
      </c>
      <c r="R32" s="113">
        <v>0</v>
      </c>
      <c r="S32" s="113">
        <v>0</v>
      </c>
      <c r="T32" s="113">
        <v>0</v>
      </c>
      <c r="U32" s="113">
        <v>0</v>
      </c>
      <c r="V32" s="113">
        <v>0</v>
      </c>
      <c r="W32" s="114">
        <v>0</v>
      </c>
      <c r="AA32">
        <v>2022</v>
      </c>
      <c r="AB32" s="83" cm="1">
        <f t="array" ref="AB32">SUM(($G$22:$H$489)*($B$22:$B$489=$AA32))</f>
        <v>76543.150125</v>
      </c>
      <c r="AC32" s="83" cm="1">
        <f t="array" ref="AC32">SUM(($I$22:$K$489)*($B$22:$B$489=$AA32))</f>
        <v>64129.629147999993</v>
      </c>
      <c r="AD32" s="83" cm="1">
        <f t="array" ref="AD32">SUM(($L$22:$W$489)*($B$22:$B$489=$AA32))</f>
        <v>190601.71689799996</v>
      </c>
      <c r="AE32" s="83">
        <f t="shared" si="2"/>
        <v>331274.49617099995</v>
      </c>
    </row>
    <row r="33" spans="2:31" x14ac:dyDescent="0.75">
      <c r="B33">
        <v>2012</v>
      </c>
      <c r="C33" t="s">
        <v>229</v>
      </c>
      <c r="D33">
        <v>12</v>
      </c>
      <c r="E33" s="113">
        <v>0</v>
      </c>
      <c r="F33" s="113">
        <v>0</v>
      </c>
      <c r="G33" s="113">
        <v>0</v>
      </c>
      <c r="H33" s="114">
        <v>0</v>
      </c>
      <c r="I33" s="113">
        <v>0</v>
      </c>
      <c r="J33" s="113">
        <v>0</v>
      </c>
      <c r="K33" s="113">
        <v>0</v>
      </c>
      <c r="L33" s="113">
        <v>0</v>
      </c>
      <c r="M33" s="114">
        <v>0</v>
      </c>
      <c r="N33" s="113">
        <v>0</v>
      </c>
      <c r="O33" s="113">
        <v>0</v>
      </c>
      <c r="P33" s="114">
        <v>0</v>
      </c>
      <c r="Q33" s="113">
        <v>0</v>
      </c>
      <c r="R33" s="113">
        <v>0</v>
      </c>
      <c r="S33" s="113">
        <v>0</v>
      </c>
      <c r="T33" s="113">
        <v>0</v>
      </c>
      <c r="U33" s="113">
        <v>0</v>
      </c>
      <c r="V33" s="113">
        <v>0</v>
      </c>
      <c r="W33" s="114">
        <v>0</v>
      </c>
      <c r="AA33">
        <v>2023</v>
      </c>
      <c r="AB33" s="83" cm="1">
        <f t="array" ref="AB33">SUM(($G$22:$H$489)*($B$22:$B$489=$AA33))</f>
        <v>79287.410000999967</v>
      </c>
      <c r="AC33" s="83" cm="1">
        <f t="array" ref="AC33">SUM(($I$22:$K$489)*($B$22:$B$489=$AA33))</f>
        <v>64355.657241999994</v>
      </c>
      <c r="AD33" s="83" cm="1">
        <f t="array" ref="AD33">SUM(($L$22:$W$489)*($B$22:$B$489=$AA33))</f>
        <v>193777.78634899997</v>
      </c>
      <c r="AE33" s="83">
        <f t="shared" si="2"/>
        <v>337420.85359199997</v>
      </c>
    </row>
    <row r="34" spans="2:31" x14ac:dyDescent="0.75">
      <c r="B34">
        <v>2013</v>
      </c>
      <c r="C34" t="str">
        <f>C22</f>
        <v>Diesel</v>
      </c>
      <c r="D34">
        <v>1</v>
      </c>
      <c r="E34" s="113">
        <v>29019.144531000002</v>
      </c>
      <c r="F34" s="113">
        <v>464.71447799999999</v>
      </c>
      <c r="G34" s="113">
        <v>32933.527344000002</v>
      </c>
      <c r="H34" s="114">
        <v>2834.5563959999999</v>
      </c>
      <c r="I34" s="113">
        <v>9473.1230469999991</v>
      </c>
      <c r="J34" s="113">
        <v>10383.946289</v>
      </c>
      <c r="K34" s="113">
        <v>15172.909180000001</v>
      </c>
      <c r="L34" s="113">
        <v>13916.683594</v>
      </c>
      <c r="M34" s="114">
        <v>1991.5665280000001</v>
      </c>
      <c r="N34" s="113">
        <v>1991.5665280000001</v>
      </c>
      <c r="O34" s="113">
        <v>5974.7001950000003</v>
      </c>
      <c r="P34" s="114">
        <v>19278.287109000001</v>
      </c>
      <c r="Q34" s="113">
        <v>9724.265625</v>
      </c>
      <c r="R34" s="113">
        <v>9724.265625</v>
      </c>
      <c r="S34" s="113">
        <v>29172.800781000002</v>
      </c>
      <c r="T34" s="113">
        <v>15189.646484000001</v>
      </c>
      <c r="U34" s="113">
        <v>15189.646484000001</v>
      </c>
      <c r="V34" s="113">
        <v>45565.144530999998</v>
      </c>
      <c r="W34" s="114">
        <v>2.204294</v>
      </c>
      <c r="AA34">
        <v>2024</v>
      </c>
      <c r="AB34" s="83" cm="1">
        <f t="array" ref="AB34">SUM(($G$22:$H$489)*($B$22:$B$489=$AA34))</f>
        <v>81913.445359999969</v>
      </c>
      <c r="AC34" s="83" cm="1">
        <f t="array" ref="AC34">SUM(($I$22:$K$489)*($B$22:$B$489=$AA34))</f>
        <v>62669.860841000002</v>
      </c>
      <c r="AD34" s="83" cm="1">
        <f t="array" ref="AD34">SUM(($L$22:$W$489)*($B$22:$B$489=$AA34))</f>
        <v>195471.54352600005</v>
      </c>
      <c r="AE34" s="83">
        <f t="shared" si="2"/>
        <v>340054.84972699999</v>
      </c>
    </row>
    <row r="35" spans="2:31" x14ac:dyDescent="0.75">
      <c r="B35">
        <v>2013</v>
      </c>
      <c r="C35" t="str">
        <f t="shared" ref="C35:C98" si="3">C23</f>
        <v>Gasoline</v>
      </c>
      <c r="D35">
        <v>2</v>
      </c>
      <c r="E35" s="113">
        <v>57059.828125</v>
      </c>
      <c r="F35" s="113">
        <v>4402.7622069999998</v>
      </c>
      <c r="G35" s="113">
        <v>7560.091797</v>
      </c>
      <c r="H35" s="114">
        <v>5102.7817379999997</v>
      </c>
      <c r="I35" s="113">
        <v>10923.132812</v>
      </c>
      <c r="J35" s="113">
        <v>3965.3427729999999</v>
      </c>
      <c r="K35" s="113">
        <v>5646.2153319999998</v>
      </c>
      <c r="L35" s="113">
        <v>457.69653299999999</v>
      </c>
      <c r="M35" s="114">
        <v>0.36146299999999998</v>
      </c>
      <c r="N35" s="113">
        <v>0.36146299999999998</v>
      </c>
      <c r="O35" s="113">
        <v>1.0843879999999999</v>
      </c>
      <c r="P35" s="114">
        <v>44.237495000000003</v>
      </c>
      <c r="Q35" s="113">
        <v>3.2339E-2</v>
      </c>
      <c r="R35" s="113">
        <v>3.2339E-2</v>
      </c>
      <c r="S35" s="113">
        <v>9.7017000000000006E-2</v>
      </c>
      <c r="T35" s="113">
        <v>5.0514999999999997E-2</v>
      </c>
      <c r="U35" s="113">
        <v>5.0514999999999997E-2</v>
      </c>
      <c r="V35" s="113">
        <v>0.15154400000000001</v>
      </c>
      <c r="W35" s="114">
        <v>0</v>
      </c>
      <c r="AA35">
        <v>2025</v>
      </c>
      <c r="AB35" s="83" cm="1">
        <f t="array" ref="AB35">SUM(($G$22:$H$489)*($B$22:$B$489=$AA35))</f>
        <v>83614.934195000009</v>
      </c>
      <c r="AC35" s="83" cm="1">
        <f t="array" ref="AC35">SUM(($I$22:$K$489)*($B$22:$B$489=$AA35))</f>
        <v>62289.636821000007</v>
      </c>
      <c r="AD35" s="83" cm="1">
        <f t="array" ref="AD35">SUM(($L$22:$W$489)*($B$22:$B$489=$AA35))</f>
        <v>200207.21179099995</v>
      </c>
      <c r="AE35" s="83">
        <f t="shared" si="2"/>
        <v>346111.78280699998</v>
      </c>
    </row>
    <row r="36" spans="2:31" x14ac:dyDescent="0.75">
      <c r="B36">
        <v>2013</v>
      </c>
      <c r="C36" t="str">
        <f t="shared" si="3"/>
        <v>LPG</v>
      </c>
      <c r="D36">
        <v>3</v>
      </c>
      <c r="E36" s="113">
        <v>0.21309</v>
      </c>
      <c r="F36" s="113">
        <v>3.4450000000000001E-3</v>
      </c>
      <c r="G36" s="113">
        <v>2.4964409999999999</v>
      </c>
      <c r="H36" s="114">
        <v>6.254E-3</v>
      </c>
      <c r="I36" s="113">
        <v>5.5355730000000003</v>
      </c>
      <c r="J36" s="113">
        <v>3.513595</v>
      </c>
      <c r="K36" s="113">
        <v>12.623632000000001</v>
      </c>
      <c r="L36" s="113">
        <v>27.462688</v>
      </c>
      <c r="M36" s="114">
        <v>1.4559000000000001E-2</v>
      </c>
      <c r="N36" s="113">
        <v>1.4559000000000001E-2</v>
      </c>
      <c r="O36" s="113">
        <v>4.3676E-2</v>
      </c>
      <c r="P36" s="114">
        <v>0.323938</v>
      </c>
      <c r="Q36" s="113">
        <v>0</v>
      </c>
      <c r="R36" s="113">
        <v>0</v>
      </c>
      <c r="S36" s="113">
        <v>0</v>
      </c>
      <c r="T36" s="113">
        <v>0</v>
      </c>
      <c r="U36" s="113">
        <v>0</v>
      </c>
      <c r="V36" s="113">
        <v>0</v>
      </c>
      <c r="W36" s="114">
        <v>0</v>
      </c>
      <c r="AA36">
        <v>2026</v>
      </c>
      <c r="AB36" s="83" cm="1">
        <f t="array" ref="AB36">SUM(($G$22:$H$489)*($B$22:$B$489=$AA36))</f>
        <v>84685.048483000035</v>
      </c>
      <c r="AC36" s="83" cm="1">
        <f t="array" ref="AC36">SUM(($I$22:$K$489)*($B$22:$B$489=$AA36))</f>
        <v>61662.802461000007</v>
      </c>
      <c r="AD36" s="83" cm="1">
        <f t="array" ref="AD36">SUM(($L$22:$W$489)*($B$22:$B$489=$AA36))</f>
        <v>203871.79735400001</v>
      </c>
      <c r="AE36" s="83">
        <f t="shared" si="2"/>
        <v>350219.64829800004</v>
      </c>
    </row>
    <row r="37" spans="2:31" x14ac:dyDescent="0.75">
      <c r="B37">
        <v>2013</v>
      </c>
      <c r="C37" t="str">
        <f t="shared" si="3"/>
        <v>CNG</v>
      </c>
      <c r="D37">
        <v>4</v>
      </c>
      <c r="E37" s="113">
        <v>89.668259000000006</v>
      </c>
      <c r="F37" s="113">
        <v>0.87144200000000005</v>
      </c>
      <c r="G37" s="113">
        <v>0</v>
      </c>
      <c r="H37" s="114">
        <v>0.61229599999999995</v>
      </c>
      <c r="I37" s="113">
        <v>23.805775000000001</v>
      </c>
      <c r="J37" s="113">
        <v>1.7374160000000001</v>
      </c>
      <c r="K37" s="113">
        <v>20.909265999999999</v>
      </c>
      <c r="L37" s="113">
        <v>9.0464409999999997</v>
      </c>
      <c r="M37" s="114">
        <v>2.160234</v>
      </c>
      <c r="N37" s="113">
        <v>2.160234</v>
      </c>
      <c r="O37" s="113">
        <v>6.480702</v>
      </c>
      <c r="P37" s="114">
        <v>274.96285999999998</v>
      </c>
      <c r="Q37" s="113">
        <v>18.291640999999998</v>
      </c>
      <c r="R37" s="113">
        <v>18.291640999999998</v>
      </c>
      <c r="S37" s="113">
        <v>54.874927999999997</v>
      </c>
      <c r="T37" s="113">
        <v>28.572185999999999</v>
      </c>
      <c r="U37" s="113">
        <v>28.572185999999999</v>
      </c>
      <c r="V37" s="113">
        <v>85.716560000000001</v>
      </c>
      <c r="W37" s="114">
        <v>0</v>
      </c>
      <c r="AA37">
        <v>2027</v>
      </c>
      <c r="AB37" s="83" cm="1">
        <f t="array" ref="AB37">SUM(($G$22:$H$489)*($B$22:$B$489=$AA37))</f>
        <v>85288.011897999997</v>
      </c>
      <c r="AC37" s="83" cm="1">
        <f t="array" ref="AC37">SUM(($I$22:$K$489)*($B$22:$B$489=$AA37))</f>
        <v>61020.941833999997</v>
      </c>
      <c r="AD37" s="83" cm="1">
        <f t="array" ref="AD37">SUM(($L$22:$W$489)*($B$22:$B$489=$AA37))</f>
        <v>206941.00869300004</v>
      </c>
      <c r="AE37" s="83">
        <f t="shared" si="2"/>
        <v>353249.96242500003</v>
      </c>
    </row>
    <row r="38" spans="2:31" x14ac:dyDescent="0.75">
      <c r="B38">
        <v>2013</v>
      </c>
      <c r="C38" t="str">
        <f t="shared" si="3"/>
        <v>E85</v>
      </c>
      <c r="D38">
        <v>5</v>
      </c>
      <c r="E38" s="113">
        <v>3576.336182</v>
      </c>
      <c r="F38" s="113">
        <v>488.118652</v>
      </c>
      <c r="G38" s="113">
        <v>1282.4163820000001</v>
      </c>
      <c r="H38" s="114">
        <v>666.26458700000001</v>
      </c>
      <c r="I38" s="113">
        <v>185.21665999999999</v>
      </c>
      <c r="J38" s="113">
        <v>0</v>
      </c>
      <c r="K38" s="113">
        <v>33.401119000000001</v>
      </c>
      <c r="L38" s="113">
        <v>0</v>
      </c>
      <c r="M38" s="114">
        <v>0</v>
      </c>
      <c r="N38" s="113">
        <v>0</v>
      </c>
      <c r="O38" s="113">
        <v>0</v>
      </c>
      <c r="P38" s="114">
        <v>0</v>
      </c>
      <c r="Q38" s="113">
        <v>0</v>
      </c>
      <c r="R38" s="113">
        <v>0</v>
      </c>
      <c r="S38" s="113">
        <v>0</v>
      </c>
      <c r="T38" s="113">
        <v>0</v>
      </c>
      <c r="U38" s="113">
        <v>0</v>
      </c>
      <c r="V38" s="113">
        <v>0</v>
      </c>
      <c r="W38" s="114">
        <v>0</v>
      </c>
      <c r="AA38">
        <v>2028</v>
      </c>
      <c r="AB38" s="83" cm="1">
        <f t="array" ref="AB38">SUM(($G$22:$H$489)*($B$22:$B$489=$AA38))</f>
        <v>85993.857422000016</v>
      </c>
      <c r="AC38" s="83" cm="1">
        <f t="array" ref="AC38">SUM(($I$22:$K$489)*($B$22:$B$489=$AA38))</f>
        <v>60496.975995999994</v>
      </c>
      <c r="AD38" s="83" cm="1">
        <f t="array" ref="AD38">SUM(($L$22:$W$489)*($B$22:$B$489=$AA38))</f>
        <v>209438.31607600008</v>
      </c>
      <c r="AE38" s="83">
        <f t="shared" si="2"/>
        <v>355929.14949400013</v>
      </c>
    </row>
    <row r="39" spans="2:31" x14ac:dyDescent="0.75">
      <c r="B39">
        <v>2013</v>
      </c>
      <c r="C39" t="str">
        <f t="shared" si="3"/>
        <v>Electric</v>
      </c>
      <c r="D39">
        <v>6</v>
      </c>
      <c r="E39" s="113">
        <v>0</v>
      </c>
      <c r="F39" s="113">
        <v>0</v>
      </c>
      <c r="G39" s="113">
        <v>0</v>
      </c>
      <c r="H39" s="114">
        <v>1.871122</v>
      </c>
      <c r="I39" s="113">
        <v>0</v>
      </c>
      <c r="J39" s="113">
        <v>0</v>
      </c>
      <c r="K39" s="113">
        <v>0</v>
      </c>
      <c r="L39" s="113">
        <v>0</v>
      </c>
      <c r="M39" s="114">
        <v>0</v>
      </c>
      <c r="N39" s="113">
        <v>0</v>
      </c>
      <c r="O39" s="113">
        <v>0</v>
      </c>
      <c r="P39" s="114">
        <v>0</v>
      </c>
      <c r="Q39" s="113">
        <v>0</v>
      </c>
      <c r="R39" s="113">
        <v>0</v>
      </c>
      <c r="S39" s="113">
        <v>0</v>
      </c>
      <c r="T39" s="113">
        <v>0</v>
      </c>
      <c r="U39" s="113">
        <v>0</v>
      </c>
      <c r="V39" s="113">
        <v>0</v>
      </c>
      <c r="W39" s="114">
        <v>0</v>
      </c>
      <c r="AA39">
        <v>2029</v>
      </c>
      <c r="AB39" s="83" cm="1">
        <f t="array" ref="AB39">SUM(($G$22:$H$489)*($B$22:$B$489=$AA39))</f>
        <v>87110.821344000011</v>
      </c>
      <c r="AC39" s="83" cm="1">
        <f t="array" ref="AC39">SUM(($I$22:$K$489)*($B$22:$B$489=$AA39))</f>
        <v>60113.320083999992</v>
      </c>
      <c r="AD39" s="83" cm="1">
        <f t="array" ref="AD39">SUM(($L$22:$W$489)*($B$22:$B$489=$AA39))</f>
        <v>211579.97381399997</v>
      </c>
      <c r="AE39" s="83">
        <f t="shared" si="2"/>
        <v>358804.11524199997</v>
      </c>
    </row>
    <row r="40" spans="2:31" x14ac:dyDescent="0.75">
      <c r="B40">
        <v>2013</v>
      </c>
      <c r="C40" t="str">
        <f t="shared" si="3"/>
        <v>PHEV diesel</v>
      </c>
      <c r="D40">
        <v>7</v>
      </c>
      <c r="E40" s="113">
        <v>0</v>
      </c>
      <c r="F40" s="113">
        <v>0</v>
      </c>
      <c r="G40" s="113">
        <v>0</v>
      </c>
      <c r="H40" s="114">
        <v>0</v>
      </c>
      <c r="I40" s="113">
        <v>0</v>
      </c>
      <c r="J40" s="113">
        <v>0</v>
      </c>
      <c r="K40" s="113">
        <v>0</v>
      </c>
      <c r="L40" s="113">
        <v>0</v>
      </c>
      <c r="M40" s="114">
        <v>0</v>
      </c>
      <c r="N40" s="113">
        <v>0</v>
      </c>
      <c r="O40" s="113">
        <v>0</v>
      </c>
      <c r="P40" s="114">
        <v>0</v>
      </c>
      <c r="Q40" s="113">
        <v>0</v>
      </c>
      <c r="R40" s="113">
        <v>0</v>
      </c>
      <c r="S40" s="113">
        <v>0</v>
      </c>
      <c r="T40" s="113">
        <v>0</v>
      </c>
      <c r="U40" s="113">
        <v>0</v>
      </c>
      <c r="V40" s="113">
        <v>0</v>
      </c>
      <c r="W40" s="114">
        <v>0</v>
      </c>
      <c r="AA40">
        <v>2030</v>
      </c>
      <c r="AB40" s="83" cm="1">
        <f t="array" ref="AB40">SUM(($G$22:$H$489)*($B$22:$B$489=$AA40))</f>
        <v>88538.416630999986</v>
      </c>
      <c r="AC40" s="83" cm="1">
        <f t="array" ref="AC40">SUM(($I$22:$K$489)*($B$22:$B$489=$AA40))</f>
        <v>59877.748699999996</v>
      </c>
      <c r="AD40" s="83" cm="1">
        <f t="array" ref="AD40">SUM(($L$22:$W$489)*($B$22:$B$489=$AA40))</f>
        <v>213610.91331499998</v>
      </c>
      <c r="AE40" s="83">
        <f t="shared" si="2"/>
        <v>362027.07864600001</v>
      </c>
    </row>
    <row r="41" spans="2:31" x14ac:dyDescent="0.75">
      <c r="B41">
        <v>2013</v>
      </c>
      <c r="C41" t="str">
        <f t="shared" si="3"/>
        <v>PHEV gasoline</v>
      </c>
      <c r="D41">
        <v>8</v>
      </c>
      <c r="E41" s="113">
        <v>0</v>
      </c>
      <c r="F41" s="113">
        <v>0</v>
      </c>
      <c r="G41" s="113">
        <v>0</v>
      </c>
      <c r="H41" s="114">
        <v>0</v>
      </c>
      <c r="I41" s="113">
        <v>0</v>
      </c>
      <c r="J41" s="113">
        <v>0</v>
      </c>
      <c r="K41" s="113">
        <v>0</v>
      </c>
      <c r="L41" s="113">
        <v>0</v>
      </c>
      <c r="M41" s="114">
        <v>0</v>
      </c>
      <c r="N41" s="113">
        <v>0</v>
      </c>
      <c r="O41" s="113">
        <v>0</v>
      </c>
      <c r="P41" s="114">
        <v>0</v>
      </c>
      <c r="Q41" s="113">
        <v>0</v>
      </c>
      <c r="R41" s="113">
        <v>0</v>
      </c>
      <c r="S41" s="113">
        <v>0</v>
      </c>
      <c r="T41" s="113">
        <v>0</v>
      </c>
      <c r="U41" s="113">
        <v>0</v>
      </c>
      <c r="V41" s="113">
        <v>0</v>
      </c>
      <c r="W41" s="114">
        <v>0</v>
      </c>
      <c r="AA41">
        <v>2031</v>
      </c>
      <c r="AB41" s="83" cm="1">
        <f t="array" ref="AB41">SUM(($G$22:$H$489)*($B$22:$B$489=$AA41))</f>
        <v>89987.666987999983</v>
      </c>
      <c r="AC41" s="83" cm="1">
        <f t="array" ref="AC41">SUM(($I$22:$K$489)*($B$22:$B$489=$AA41))</f>
        <v>59654.705684000008</v>
      </c>
      <c r="AD41" s="83" cm="1">
        <f t="array" ref="AD41">SUM(($L$22:$W$489)*($B$22:$B$489=$AA41))</f>
        <v>215114.94291599994</v>
      </c>
      <c r="AE41" s="83">
        <f t="shared" si="2"/>
        <v>364757.31558799994</v>
      </c>
    </row>
    <row r="42" spans="2:31" x14ac:dyDescent="0.75">
      <c r="B42">
        <v>2013</v>
      </c>
      <c r="C42" t="str">
        <f t="shared" si="3"/>
        <v>H2 fuel cell, small battery</v>
      </c>
      <c r="D42">
        <v>9</v>
      </c>
      <c r="E42" s="113">
        <v>0</v>
      </c>
      <c r="F42" s="113">
        <v>0</v>
      </c>
      <c r="G42" s="113">
        <v>0</v>
      </c>
      <c r="H42" s="114">
        <v>0</v>
      </c>
      <c r="I42" s="113">
        <v>0</v>
      </c>
      <c r="J42" s="113">
        <v>0</v>
      </c>
      <c r="K42" s="113">
        <v>0</v>
      </c>
      <c r="L42" s="113">
        <v>0</v>
      </c>
      <c r="M42" s="114">
        <v>0</v>
      </c>
      <c r="N42" s="113">
        <v>0</v>
      </c>
      <c r="O42" s="113">
        <v>0</v>
      </c>
      <c r="P42" s="114">
        <v>0</v>
      </c>
      <c r="Q42" s="113">
        <v>0</v>
      </c>
      <c r="R42" s="113">
        <v>0</v>
      </c>
      <c r="S42" s="113">
        <v>0</v>
      </c>
      <c r="T42" s="113">
        <v>0</v>
      </c>
      <c r="U42" s="113">
        <v>0</v>
      </c>
      <c r="V42" s="113">
        <v>0</v>
      </c>
      <c r="W42" s="114">
        <v>0</v>
      </c>
      <c r="AA42">
        <v>2032</v>
      </c>
      <c r="AB42" s="83" cm="1">
        <f t="array" ref="AB42">SUM(($G$22:$H$489)*($B$22:$B$489=$AA42))</f>
        <v>91482.890748999984</v>
      </c>
      <c r="AC42" s="83" cm="1">
        <f t="array" ref="AC42">SUM(($I$22:$K$489)*($B$22:$B$489=$AA42))</f>
        <v>59477.748890999996</v>
      </c>
      <c r="AD42" s="83" cm="1">
        <f t="array" ref="AD42">SUM(($L$22:$W$489)*($B$22:$B$489=$AA42))</f>
        <v>216301.67231000002</v>
      </c>
      <c r="AE42" s="83">
        <f t="shared" si="2"/>
        <v>367262.31195</v>
      </c>
    </row>
    <row r="43" spans="2:31" x14ac:dyDescent="0.75">
      <c r="B43">
        <v>2013</v>
      </c>
      <c r="C43" t="str">
        <f t="shared" si="3"/>
        <v>H2 fuel cell, large battery</v>
      </c>
      <c r="D43">
        <v>10</v>
      </c>
      <c r="E43" s="113">
        <v>0</v>
      </c>
      <c r="F43" s="113">
        <v>0</v>
      </c>
      <c r="G43" s="113">
        <v>0</v>
      </c>
      <c r="H43" s="114">
        <v>0</v>
      </c>
      <c r="I43" s="113">
        <v>0</v>
      </c>
      <c r="J43" s="113">
        <v>0</v>
      </c>
      <c r="K43" s="113">
        <v>0</v>
      </c>
      <c r="L43" s="113">
        <v>0</v>
      </c>
      <c r="M43" s="114">
        <v>0</v>
      </c>
      <c r="N43" s="113">
        <v>0</v>
      </c>
      <c r="O43" s="113">
        <v>0</v>
      </c>
      <c r="P43" s="114">
        <v>0</v>
      </c>
      <c r="Q43" s="113">
        <v>0</v>
      </c>
      <c r="R43" s="113">
        <v>0</v>
      </c>
      <c r="S43" s="113">
        <v>0</v>
      </c>
      <c r="T43" s="113">
        <v>0</v>
      </c>
      <c r="U43" s="113">
        <v>0</v>
      </c>
      <c r="V43" s="113">
        <v>0</v>
      </c>
      <c r="W43" s="114">
        <v>0</v>
      </c>
      <c r="AA43">
        <v>2033</v>
      </c>
      <c r="AB43" s="83" cm="1">
        <f t="array" ref="AB43">SUM(($G$22:$H$489)*($B$22:$B$489=$AA43))</f>
        <v>92929.674593000003</v>
      </c>
      <c r="AC43" s="83" cm="1">
        <f t="array" ref="AC43">SUM(($I$22:$K$489)*($B$22:$B$489=$AA43))</f>
        <v>59211.242756999985</v>
      </c>
      <c r="AD43" s="83" cm="1">
        <f t="array" ref="AD43">SUM(($L$22:$W$489)*($B$22:$B$489=$AA43))</f>
        <v>216970.96847700013</v>
      </c>
      <c r="AE43" s="83">
        <f t="shared" si="2"/>
        <v>369111.88582700014</v>
      </c>
    </row>
    <row r="44" spans="2:31" x14ac:dyDescent="0.75">
      <c r="B44">
        <v>2013</v>
      </c>
      <c r="C44" t="str">
        <f t="shared" si="3"/>
        <v>Gasoline hybrid</v>
      </c>
      <c r="D44">
        <v>11</v>
      </c>
      <c r="E44" s="113">
        <v>0</v>
      </c>
      <c r="F44" s="113">
        <v>0</v>
      </c>
      <c r="G44" s="113">
        <v>0</v>
      </c>
      <c r="H44" s="114">
        <v>0</v>
      </c>
      <c r="I44" s="113">
        <v>0</v>
      </c>
      <c r="J44" s="113">
        <v>0</v>
      </c>
      <c r="K44" s="113">
        <v>0</v>
      </c>
      <c r="L44" s="113">
        <v>0</v>
      </c>
      <c r="M44" s="114">
        <v>0</v>
      </c>
      <c r="N44" s="113">
        <v>0</v>
      </c>
      <c r="O44" s="113">
        <v>0</v>
      </c>
      <c r="P44" s="114">
        <v>0</v>
      </c>
      <c r="Q44" s="113">
        <v>0</v>
      </c>
      <c r="R44" s="113">
        <v>0</v>
      </c>
      <c r="S44" s="113">
        <v>0</v>
      </c>
      <c r="T44" s="113">
        <v>0</v>
      </c>
      <c r="U44" s="113">
        <v>0</v>
      </c>
      <c r="V44" s="113">
        <v>0</v>
      </c>
      <c r="W44" s="114">
        <v>0</v>
      </c>
      <c r="AA44">
        <v>2034</v>
      </c>
      <c r="AB44" s="83" cm="1">
        <f t="array" ref="AB44">SUM(($G$22:$H$489)*($B$22:$B$489=$AA44))</f>
        <v>94730.795887999993</v>
      </c>
      <c r="AC44" s="83" cm="1">
        <f t="array" ref="AC44">SUM(($I$22:$K$489)*($B$22:$B$489=$AA44))</f>
        <v>59148.919823000004</v>
      </c>
      <c r="AD44" s="83" cm="1">
        <f t="array" ref="AD44">SUM(($L$22:$W$489)*($B$22:$B$489=$AA44))</f>
        <v>218216.64717999994</v>
      </c>
      <c r="AE44" s="83">
        <f t="shared" si="2"/>
        <v>372096.36289099994</v>
      </c>
    </row>
    <row r="45" spans="2:31" x14ac:dyDescent="0.75">
      <c r="B45">
        <v>2013</v>
      </c>
      <c r="C45" t="str">
        <f t="shared" si="3"/>
        <v>Hydrogen ICE</v>
      </c>
      <c r="D45">
        <v>12</v>
      </c>
      <c r="E45" s="113">
        <v>0</v>
      </c>
      <c r="F45" s="113">
        <v>0</v>
      </c>
      <c r="G45" s="113">
        <v>0</v>
      </c>
      <c r="H45" s="114">
        <v>0</v>
      </c>
      <c r="I45" s="113">
        <v>0</v>
      </c>
      <c r="J45" s="113">
        <v>0</v>
      </c>
      <c r="K45" s="113">
        <v>0</v>
      </c>
      <c r="L45" s="113">
        <v>0</v>
      </c>
      <c r="M45" s="114">
        <v>0</v>
      </c>
      <c r="N45" s="113">
        <v>0</v>
      </c>
      <c r="O45" s="113">
        <v>0</v>
      </c>
      <c r="P45" s="114">
        <v>0</v>
      </c>
      <c r="Q45" s="113">
        <v>0</v>
      </c>
      <c r="R45" s="113">
        <v>0</v>
      </c>
      <c r="S45" s="113">
        <v>0</v>
      </c>
      <c r="T45" s="113">
        <v>0</v>
      </c>
      <c r="U45" s="113">
        <v>0</v>
      </c>
      <c r="V45" s="113">
        <v>0</v>
      </c>
      <c r="W45" s="114">
        <v>0</v>
      </c>
      <c r="AA45">
        <v>2035</v>
      </c>
      <c r="AB45" s="83" cm="1">
        <f t="array" ref="AB45">SUM(($G$22:$H$489)*($B$22:$B$489=$AA45))</f>
        <v>96488.455765999999</v>
      </c>
      <c r="AC45" s="83" cm="1">
        <f t="array" ref="AC45">SUM(($I$22:$K$489)*($B$22:$B$489=$AA45))</f>
        <v>59095.549320000006</v>
      </c>
      <c r="AD45" s="83" cm="1">
        <f t="array" ref="AD45">SUM(($L$22:$W$489)*($B$22:$B$489=$AA45))</f>
        <v>219329.24867700014</v>
      </c>
      <c r="AE45" s="83">
        <f t="shared" si="2"/>
        <v>374913.25376300013</v>
      </c>
    </row>
    <row r="46" spans="2:31" x14ac:dyDescent="0.75">
      <c r="B46">
        <v>2014</v>
      </c>
      <c r="C46" t="str">
        <f t="shared" si="3"/>
        <v>Diesel</v>
      </c>
      <c r="D46">
        <v>1</v>
      </c>
      <c r="E46" s="113">
        <v>29028.853515999999</v>
      </c>
      <c r="F46" s="113">
        <v>422.46569799999997</v>
      </c>
      <c r="G46" s="113">
        <v>33728.675780999998</v>
      </c>
      <c r="H46" s="114">
        <v>2648.314453</v>
      </c>
      <c r="I46" s="113">
        <v>8970.5400389999995</v>
      </c>
      <c r="J46" s="113">
        <v>10893.829102</v>
      </c>
      <c r="K46" s="113">
        <v>14828.509765999999</v>
      </c>
      <c r="L46" s="113">
        <v>13516.097656</v>
      </c>
      <c r="M46" s="114">
        <v>1965.9719239999999</v>
      </c>
      <c r="N46" s="113">
        <v>1965.9719239999999</v>
      </c>
      <c r="O46" s="113">
        <v>5897.9150390000004</v>
      </c>
      <c r="P46" s="114">
        <v>19250.296875</v>
      </c>
      <c r="Q46" s="113">
        <v>9953.4326170000004</v>
      </c>
      <c r="R46" s="113">
        <v>9953.4326170000004</v>
      </c>
      <c r="S46" s="113">
        <v>29860.287109000001</v>
      </c>
      <c r="T46" s="113">
        <v>15547.609375</v>
      </c>
      <c r="U46" s="113">
        <v>15547.609375</v>
      </c>
      <c r="V46" s="113">
        <v>46638.917969000002</v>
      </c>
      <c r="W46" s="114">
        <v>2.2598950000000002</v>
      </c>
      <c r="AA46">
        <v>2036</v>
      </c>
      <c r="AB46" s="83" cm="1">
        <f t="array" ref="AB46">SUM(($G$22:$H$489)*($B$22:$B$489=$AA46))</f>
        <v>98262.995028000005</v>
      </c>
      <c r="AC46" s="83" cm="1">
        <f t="array" ref="AC46">SUM(($I$22:$K$489)*($B$22:$B$489=$AA46))</f>
        <v>59107.009754000006</v>
      </c>
      <c r="AD46" s="83" cm="1">
        <f t="array" ref="AD46">SUM(($L$22:$W$489)*($B$22:$B$489=$AA46))</f>
        <v>220541.86917000011</v>
      </c>
      <c r="AE46" s="83">
        <f t="shared" si="2"/>
        <v>377911.87395200011</v>
      </c>
    </row>
    <row r="47" spans="2:31" x14ac:dyDescent="0.75">
      <c r="B47">
        <v>2014</v>
      </c>
      <c r="C47" t="str">
        <f t="shared" si="3"/>
        <v>Gasoline</v>
      </c>
      <c r="D47">
        <v>2</v>
      </c>
      <c r="E47" s="113">
        <v>56658.40625</v>
      </c>
      <c r="F47" s="113">
        <v>4379.0810549999997</v>
      </c>
      <c r="G47" s="113">
        <v>8323.8925780000009</v>
      </c>
      <c r="H47" s="114">
        <v>5110.5742190000001</v>
      </c>
      <c r="I47" s="113">
        <v>10864.560546999999</v>
      </c>
      <c r="J47" s="113">
        <v>4100.1547849999997</v>
      </c>
      <c r="K47" s="113">
        <v>5565.5791019999997</v>
      </c>
      <c r="L47" s="113">
        <v>415.48486300000002</v>
      </c>
      <c r="M47" s="114">
        <v>0.17299999999999999</v>
      </c>
      <c r="N47" s="113">
        <v>0.17299999999999999</v>
      </c>
      <c r="O47" s="113">
        <v>0.51900000000000002</v>
      </c>
      <c r="P47" s="114">
        <v>43.124313000000001</v>
      </c>
      <c r="Q47" s="113">
        <v>2.7557000000000002E-2</v>
      </c>
      <c r="R47" s="113">
        <v>2.7557000000000002E-2</v>
      </c>
      <c r="S47" s="113">
        <v>8.2669999999999993E-2</v>
      </c>
      <c r="T47" s="113">
        <v>4.3043999999999999E-2</v>
      </c>
      <c r="U47" s="113">
        <v>4.3043999999999999E-2</v>
      </c>
      <c r="V47" s="113">
        <v>0.129133</v>
      </c>
      <c r="W47" s="114">
        <v>0</v>
      </c>
      <c r="AA47">
        <v>2037</v>
      </c>
      <c r="AB47" s="83" cm="1">
        <f t="array" ref="AB47">SUM(($G$22:$H$489)*($B$22:$B$489=$AA47))</f>
        <v>100050.72061099998</v>
      </c>
      <c r="AC47" s="83" cm="1">
        <f t="array" ref="AC47">SUM(($I$22:$K$489)*($B$22:$B$489=$AA47))</f>
        <v>59203.973464000002</v>
      </c>
      <c r="AD47" s="83" cm="1">
        <f t="array" ref="AD47">SUM(($L$22:$W$489)*($B$22:$B$489=$AA47))</f>
        <v>221885.85472299994</v>
      </c>
      <c r="AE47" s="83">
        <f t="shared" si="2"/>
        <v>381140.54879799992</v>
      </c>
    </row>
    <row r="48" spans="2:31" x14ac:dyDescent="0.75">
      <c r="B48">
        <v>2014</v>
      </c>
      <c r="C48" t="str">
        <f t="shared" si="3"/>
        <v>LPG</v>
      </c>
      <c r="D48">
        <v>3</v>
      </c>
      <c r="E48" s="113">
        <v>0.14380999999999999</v>
      </c>
      <c r="F48" s="113">
        <v>3.2290000000000001E-3</v>
      </c>
      <c r="G48" s="113">
        <v>2.1332770000000001</v>
      </c>
      <c r="H48" s="114">
        <v>0</v>
      </c>
      <c r="I48" s="113">
        <v>4.7924020000000001</v>
      </c>
      <c r="J48" s="113">
        <v>3.012686</v>
      </c>
      <c r="K48" s="113">
        <v>10.365148</v>
      </c>
      <c r="L48" s="113">
        <v>22.938385</v>
      </c>
      <c r="M48" s="114">
        <v>9.9360000000000004E-3</v>
      </c>
      <c r="N48" s="113">
        <v>9.9360000000000004E-3</v>
      </c>
      <c r="O48" s="113">
        <v>2.9808999999999999E-2</v>
      </c>
      <c r="P48" s="114">
        <v>0.22866600000000001</v>
      </c>
      <c r="Q48" s="113">
        <v>0</v>
      </c>
      <c r="R48" s="113">
        <v>0</v>
      </c>
      <c r="S48" s="113">
        <v>0</v>
      </c>
      <c r="T48" s="113">
        <v>0</v>
      </c>
      <c r="U48" s="113">
        <v>0</v>
      </c>
      <c r="V48" s="113">
        <v>0</v>
      </c>
      <c r="W48" s="114">
        <v>0</v>
      </c>
      <c r="AA48">
        <v>2038</v>
      </c>
      <c r="AB48" s="83" cm="1">
        <f t="array" ref="AB48">SUM(($G$22:$H$489)*($B$22:$B$489=$AA48))</f>
        <v>101865.79705600001</v>
      </c>
      <c r="AC48" s="83" cm="1">
        <f t="array" ref="AC48">SUM(($I$22:$K$489)*($B$22:$B$489=$AA48))</f>
        <v>59308.925909999991</v>
      </c>
      <c r="AD48" s="83" cm="1">
        <f t="array" ref="AD48">SUM(($L$22:$W$489)*($B$22:$B$489=$AA48))</f>
        <v>223209.30778000003</v>
      </c>
      <c r="AE48" s="83">
        <f t="shared" si="2"/>
        <v>384384.030746</v>
      </c>
    </row>
    <row r="49" spans="2:31" x14ac:dyDescent="0.75">
      <c r="B49">
        <v>2014</v>
      </c>
      <c r="C49" t="str">
        <f t="shared" si="3"/>
        <v>CNG</v>
      </c>
      <c r="D49">
        <v>4</v>
      </c>
      <c r="E49" s="113">
        <v>93.287788000000006</v>
      </c>
      <c r="F49" s="113">
        <v>1.7226809999999999</v>
      </c>
      <c r="G49" s="113">
        <v>0</v>
      </c>
      <c r="H49" s="114">
        <v>0</v>
      </c>
      <c r="I49" s="113">
        <v>28.327133</v>
      </c>
      <c r="J49" s="113">
        <v>1.2931729999999999</v>
      </c>
      <c r="K49" s="113">
        <v>18.508586999999999</v>
      </c>
      <c r="L49" s="113">
        <v>14.036747999999999</v>
      </c>
      <c r="M49" s="114">
        <v>5.2658940000000003</v>
      </c>
      <c r="N49" s="113">
        <v>5.2658940000000003</v>
      </c>
      <c r="O49" s="113">
        <v>15.797682</v>
      </c>
      <c r="P49" s="114">
        <v>377.84643599999998</v>
      </c>
      <c r="Q49" s="113">
        <v>33.780459999999998</v>
      </c>
      <c r="R49" s="113">
        <v>33.780459999999998</v>
      </c>
      <c r="S49" s="113">
        <v>101.341385</v>
      </c>
      <c r="T49" s="113">
        <v>52.766261999999998</v>
      </c>
      <c r="U49" s="113">
        <v>52.766266000000002</v>
      </c>
      <c r="V49" s="113">
        <v>158.29878199999999</v>
      </c>
      <c r="W49" s="114">
        <v>0</v>
      </c>
      <c r="AA49">
        <v>2039</v>
      </c>
      <c r="AB49" s="83" cm="1">
        <f t="array" ref="AB49">SUM(($G$22:$H$489)*($B$22:$B$489=$AA49))</f>
        <v>103730.984002</v>
      </c>
      <c r="AC49" s="83" cm="1">
        <f t="array" ref="AC49">SUM(($I$22:$K$489)*($B$22:$B$489=$AA49))</f>
        <v>59451.655541000007</v>
      </c>
      <c r="AD49" s="83" cm="1">
        <f t="array" ref="AD49">SUM(($L$22:$W$489)*($B$22:$B$489=$AA49))</f>
        <v>224516.81069799996</v>
      </c>
      <c r="AE49" s="83">
        <f t="shared" si="2"/>
        <v>387699.45024099993</v>
      </c>
    </row>
    <row r="50" spans="2:31" x14ac:dyDescent="0.75">
      <c r="B50">
        <v>2014</v>
      </c>
      <c r="C50" t="str">
        <f t="shared" si="3"/>
        <v>E85</v>
      </c>
      <c r="D50">
        <v>5</v>
      </c>
      <c r="E50" s="113">
        <v>3740.2338869999999</v>
      </c>
      <c r="F50" s="113">
        <v>730.46838400000001</v>
      </c>
      <c r="G50" s="113">
        <v>1344.410889</v>
      </c>
      <c r="H50" s="114">
        <v>875.38995399999999</v>
      </c>
      <c r="I50" s="113">
        <v>311.17141700000002</v>
      </c>
      <c r="J50" s="113">
        <v>0</v>
      </c>
      <c r="K50" s="113">
        <v>62.162067</v>
      </c>
      <c r="L50" s="113">
        <v>0</v>
      </c>
      <c r="M50" s="114">
        <v>0</v>
      </c>
      <c r="N50" s="113">
        <v>0</v>
      </c>
      <c r="O50" s="113">
        <v>0</v>
      </c>
      <c r="P50" s="114">
        <v>0</v>
      </c>
      <c r="Q50" s="113">
        <v>0</v>
      </c>
      <c r="R50" s="113">
        <v>0</v>
      </c>
      <c r="S50" s="113">
        <v>0</v>
      </c>
      <c r="T50" s="113">
        <v>0</v>
      </c>
      <c r="U50" s="113">
        <v>0</v>
      </c>
      <c r="V50" s="113">
        <v>0</v>
      </c>
      <c r="W50" s="114">
        <v>0</v>
      </c>
      <c r="AA50">
        <v>2040</v>
      </c>
      <c r="AB50" s="83" cm="1">
        <f t="array" ref="AB50">SUM(($G$22:$H$489)*($B$22:$B$489=$AA50))</f>
        <v>105678.075992</v>
      </c>
      <c r="AC50" s="83" cm="1">
        <f t="array" ref="AC50">SUM(($I$22:$K$489)*($B$22:$B$489=$AA50))</f>
        <v>59630.162866000021</v>
      </c>
      <c r="AD50" s="83" cm="1">
        <f t="array" ref="AD50">SUM(($L$22:$W$489)*($B$22:$B$489=$AA50))</f>
        <v>225838.66845800003</v>
      </c>
      <c r="AE50" s="83">
        <f t="shared" si="2"/>
        <v>391146.90731600008</v>
      </c>
    </row>
    <row r="51" spans="2:31" x14ac:dyDescent="0.75">
      <c r="B51">
        <v>2014</v>
      </c>
      <c r="C51" t="str">
        <f t="shared" si="3"/>
        <v>Electric</v>
      </c>
      <c r="D51">
        <v>6</v>
      </c>
      <c r="E51" s="113">
        <v>0</v>
      </c>
      <c r="F51" s="113">
        <v>0</v>
      </c>
      <c r="G51" s="113">
        <v>0</v>
      </c>
      <c r="H51" s="114">
        <v>1.727724</v>
      </c>
      <c r="I51" s="113">
        <v>0</v>
      </c>
      <c r="J51" s="113">
        <v>0</v>
      </c>
      <c r="K51" s="113">
        <v>0</v>
      </c>
      <c r="L51" s="113">
        <v>0</v>
      </c>
      <c r="M51" s="114">
        <v>0</v>
      </c>
      <c r="N51" s="113">
        <v>0</v>
      </c>
      <c r="O51" s="113">
        <v>0</v>
      </c>
      <c r="P51" s="114">
        <v>0</v>
      </c>
      <c r="Q51" s="113">
        <v>0</v>
      </c>
      <c r="R51" s="113">
        <v>0</v>
      </c>
      <c r="S51" s="113">
        <v>0</v>
      </c>
      <c r="T51" s="113">
        <v>0</v>
      </c>
      <c r="U51" s="113">
        <v>0</v>
      </c>
      <c r="V51" s="113">
        <v>0</v>
      </c>
      <c r="W51" s="114">
        <v>0</v>
      </c>
      <c r="AA51">
        <v>2041</v>
      </c>
      <c r="AB51" s="83" cm="1">
        <f t="array" ref="AB51">SUM(($G$22:$H$489)*($B$22:$B$489=$AA51))</f>
        <v>107457.22378000001</v>
      </c>
      <c r="AC51" s="83" cm="1">
        <f t="array" ref="AC51">SUM(($I$22:$K$489)*($B$22:$B$489=$AA51))</f>
        <v>59735.98464000001</v>
      </c>
      <c r="AD51" s="83" cm="1">
        <f t="array" ref="AD51">SUM(($L$22:$W$489)*($B$22:$B$489=$AA51))</f>
        <v>226846.53699899997</v>
      </c>
      <c r="AE51" s="83">
        <f t="shared" si="2"/>
        <v>394039.74541900004</v>
      </c>
    </row>
    <row r="52" spans="2:31" x14ac:dyDescent="0.75">
      <c r="B52">
        <v>2014</v>
      </c>
      <c r="C52" t="str">
        <f t="shared" si="3"/>
        <v>PHEV diesel</v>
      </c>
      <c r="D52">
        <v>7</v>
      </c>
      <c r="E52" s="113">
        <v>0</v>
      </c>
      <c r="F52" s="113">
        <v>0</v>
      </c>
      <c r="G52" s="113">
        <v>0</v>
      </c>
      <c r="H52" s="114">
        <v>0</v>
      </c>
      <c r="I52" s="113">
        <v>0</v>
      </c>
      <c r="J52" s="113">
        <v>0</v>
      </c>
      <c r="K52" s="113">
        <v>0</v>
      </c>
      <c r="L52" s="113">
        <v>0</v>
      </c>
      <c r="M52" s="114">
        <v>0</v>
      </c>
      <c r="N52" s="113">
        <v>0</v>
      </c>
      <c r="O52" s="113">
        <v>0</v>
      </c>
      <c r="P52" s="114">
        <v>0</v>
      </c>
      <c r="Q52" s="113">
        <v>0</v>
      </c>
      <c r="R52" s="113">
        <v>0</v>
      </c>
      <c r="S52" s="113">
        <v>0</v>
      </c>
      <c r="T52" s="113">
        <v>0</v>
      </c>
      <c r="U52" s="113">
        <v>0</v>
      </c>
      <c r="V52" s="113">
        <v>0</v>
      </c>
      <c r="W52" s="114">
        <v>0</v>
      </c>
      <c r="AA52">
        <v>2042</v>
      </c>
      <c r="AB52" s="83" cm="1">
        <f t="array" ref="AB52">SUM(($G$22:$H$489)*($B$22:$B$489=$AA52))</f>
        <v>109259.60183000003</v>
      </c>
      <c r="AC52" s="83" cm="1">
        <f t="array" ref="AC52">SUM(($I$22:$K$489)*($B$22:$B$489=$AA52))</f>
        <v>59894.887942000008</v>
      </c>
      <c r="AD52" s="83" cm="1">
        <f t="array" ref="AD52">SUM(($L$22:$W$489)*($B$22:$B$489=$AA52))</f>
        <v>227916.27614800009</v>
      </c>
      <c r="AE52" s="83">
        <f t="shared" si="2"/>
        <v>397070.76592000015</v>
      </c>
    </row>
    <row r="53" spans="2:31" x14ac:dyDescent="0.75">
      <c r="B53">
        <v>2014</v>
      </c>
      <c r="C53" t="str">
        <f t="shared" si="3"/>
        <v>PHEV gasoline</v>
      </c>
      <c r="D53">
        <v>8</v>
      </c>
      <c r="E53" s="113">
        <v>0</v>
      </c>
      <c r="F53" s="113">
        <v>0</v>
      </c>
      <c r="G53" s="113">
        <v>0</v>
      </c>
      <c r="H53" s="114">
        <v>0</v>
      </c>
      <c r="I53" s="113">
        <v>0</v>
      </c>
      <c r="J53" s="113">
        <v>0</v>
      </c>
      <c r="K53" s="113">
        <v>0</v>
      </c>
      <c r="L53" s="113">
        <v>0</v>
      </c>
      <c r="M53" s="114">
        <v>0</v>
      </c>
      <c r="N53" s="113">
        <v>0</v>
      </c>
      <c r="O53" s="113">
        <v>0</v>
      </c>
      <c r="P53" s="114">
        <v>0</v>
      </c>
      <c r="Q53" s="113">
        <v>0</v>
      </c>
      <c r="R53" s="113">
        <v>0</v>
      </c>
      <c r="S53" s="113">
        <v>0</v>
      </c>
      <c r="T53" s="113">
        <v>0</v>
      </c>
      <c r="U53" s="113">
        <v>0</v>
      </c>
      <c r="V53" s="113">
        <v>0</v>
      </c>
      <c r="W53" s="114">
        <v>0</v>
      </c>
      <c r="AA53">
        <v>2043</v>
      </c>
      <c r="AB53" s="83" cm="1">
        <f t="array" ref="AB53">SUM(($G$22:$H$489)*($B$22:$B$489=$AA53))</f>
        <v>110877.69287499999</v>
      </c>
      <c r="AC53" s="83" cm="1">
        <f t="array" ref="AC53">SUM(($I$22:$K$489)*($B$22:$B$489=$AA53))</f>
        <v>60022.69669099999</v>
      </c>
      <c r="AD53" s="83" cm="1">
        <f t="array" ref="AD53">SUM(($L$22:$W$489)*($B$22:$B$489=$AA53))</f>
        <v>228711.78446000005</v>
      </c>
      <c r="AE53" s="83">
        <f t="shared" si="2"/>
        <v>399612.17402600002</v>
      </c>
    </row>
    <row r="54" spans="2:31" x14ac:dyDescent="0.75">
      <c r="B54">
        <v>2014</v>
      </c>
      <c r="C54" t="str">
        <f t="shared" si="3"/>
        <v>H2 fuel cell, small battery</v>
      </c>
      <c r="D54">
        <v>9</v>
      </c>
      <c r="E54" s="113">
        <v>0</v>
      </c>
      <c r="F54" s="113">
        <v>0</v>
      </c>
      <c r="G54" s="113">
        <v>0</v>
      </c>
      <c r="H54" s="114">
        <v>0</v>
      </c>
      <c r="I54" s="113">
        <v>0</v>
      </c>
      <c r="J54" s="113">
        <v>0</v>
      </c>
      <c r="K54" s="113">
        <v>0</v>
      </c>
      <c r="L54" s="113">
        <v>0</v>
      </c>
      <c r="M54" s="114">
        <v>0</v>
      </c>
      <c r="N54" s="113">
        <v>0</v>
      </c>
      <c r="O54" s="113">
        <v>0</v>
      </c>
      <c r="P54" s="114">
        <v>0</v>
      </c>
      <c r="Q54" s="113">
        <v>0</v>
      </c>
      <c r="R54" s="113">
        <v>0</v>
      </c>
      <c r="S54" s="113">
        <v>0</v>
      </c>
      <c r="T54" s="113">
        <v>0</v>
      </c>
      <c r="U54" s="113">
        <v>0</v>
      </c>
      <c r="V54" s="113">
        <v>0</v>
      </c>
      <c r="W54" s="114">
        <v>0</v>
      </c>
      <c r="AA54">
        <v>2044</v>
      </c>
      <c r="AB54" s="83" cm="1">
        <f t="array" ref="AB54">SUM(($G$22:$H$489)*($B$22:$B$489=$AA54))</f>
        <v>112500.63605099999</v>
      </c>
      <c r="AC54" s="83" cm="1">
        <f t="array" ref="AC54">SUM(($I$22:$K$489)*($B$22:$B$489=$AA54))</f>
        <v>60152.550694000005</v>
      </c>
      <c r="AD54" s="83" cm="1">
        <f t="array" ref="AD54">SUM(($L$22:$W$489)*($B$22:$B$489=$AA54))</f>
        <v>229418.81354899998</v>
      </c>
      <c r="AE54" s="83">
        <f t="shared" si="2"/>
        <v>402072.00029400003</v>
      </c>
    </row>
    <row r="55" spans="2:31" x14ac:dyDescent="0.75">
      <c r="B55">
        <v>2014</v>
      </c>
      <c r="C55" t="str">
        <f t="shared" si="3"/>
        <v>H2 fuel cell, large battery</v>
      </c>
      <c r="D55">
        <v>10</v>
      </c>
      <c r="E55" s="113">
        <v>0</v>
      </c>
      <c r="F55" s="113">
        <v>0</v>
      </c>
      <c r="G55" s="113">
        <v>0</v>
      </c>
      <c r="H55" s="114">
        <v>0</v>
      </c>
      <c r="I55" s="113">
        <v>0</v>
      </c>
      <c r="J55" s="113">
        <v>0</v>
      </c>
      <c r="K55" s="113">
        <v>0</v>
      </c>
      <c r="L55" s="113">
        <v>0</v>
      </c>
      <c r="M55" s="114">
        <v>0</v>
      </c>
      <c r="N55" s="113">
        <v>0</v>
      </c>
      <c r="O55" s="113">
        <v>0</v>
      </c>
      <c r="P55" s="114">
        <v>0</v>
      </c>
      <c r="Q55" s="113">
        <v>0</v>
      </c>
      <c r="R55" s="113">
        <v>0</v>
      </c>
      <c r="S55" s="113">
        <v>0</v>
      </c>
      <c r="T55" s="113">
        <v>0</v>
      </c>
      <c r="U55" s="113">
        <v>0</v>
      </c>
      <c r="V55" s="113">
        <v>0</v>
      </c>
      <c r="W55" s="114">
        <v>0</v>
      </c>
      <c r="AA55">
        <v>2045</v>
      </c>
      <c r="AB55" s="83" cm="1">
        <f t="array" ref="AB55">SUM(($G$22:$H$489)*($B$22:$B$489=$AA55))</f>
        <v>114271.65651</v>
      </c>
      <c r="AC55" s="83" cm="1">
        <f t="array" ref="AC55">SUM(($I$22:$K$489)*($B$22:$B$489=$AA55))</f>
        <v>60339.235127999993</v>
      </c>
      <c r="AD55" s="83" cm="1">
        <f t="array" ref="AD55">SUM(($L$22:$W$489)*($B$22:$B$489=$AA55))</f>
        <v>230305.10449300002</v>
      </c>
      <c r="AE55" s="83">
        <f t="shared" si="2"/>
        <v>404915.99613099999</v>
      </c>
    </row>
    <row r="56" spans="2:31" x14ac:dyDescent="0.75">
      <c r="B56">
        <v>2014</v>
      </c>
      <c r="C56" t="str">
        <f t="shared" si="3"/>
        <v>Gasoline hybrid</v>
      </c>
      <c r="D56">
        <v>11</v>
      </c>
      <c r="E56" s="113">
        <v>0</v>
      </c>
      <c r="F56" s="113">
        <v>0</v>
      </c>
      <c r="G56" s="113">
        <v>0</v>
      </c>
      <c r="H56" s="114">
        <v>0</v>
      </c>
      <c r="I56" s="113">
        <v>0</v>
      </c>
      <c r="J56" s="113">
        <v>0</v>
      </c>
      <c r="K56" s="113">
        <v>0</v>
      </c>
      <c r="L56" s="113">
        <v>0</v>
      </c>
      <c r="M56" s="114">
        <v>0</v>
      </c>
      <c r="N56" s="113">
        <v>0</v>
      </c>
      <c r="O56" s="113">
        <v>0</v>
      </c>
      <c r="P56" s="114">
        <v>0</v>
      </c>
      <c r="Q56" s="113">
        <v>0</v>
      </c>
      <c r="R56" s="113">
        <v>0</v>
      </c>
      <c r="S56" s="113">
        <v>0</v>
      </c>
      <c r="T56" s="113">
        <v>0</v>
      </c>
      <c r="U56" s="113">
        <v>0</v>
      </c>
      <c r="V56" s="113">
        <v>0</v>
      </c>
      <c r="W56" s="114">
        <v>0</v>
      </c>
      <c r="AA56">
        <v>2046</v>
      </c>
      <c r="AB56" s="83" cm="1">
        <f t="array" ref="AB56">SUM(($G$22:$H$489)*($B$22:$B$489=$AA56))</f>
        <v>116054.769338</v>
      </c>
      <c r="AC56" s="83" cm="1">
        <f t="array" ref="AC56">SUM(($I$22:$K$489)*($B$22:$B$489=$AA56))</f>
        <v>60514.235482000004</v>
      </c>
      <c r="AD56" s="83" cm="1">
        <f t="array" ref="AD56">SUM(($L$22:$W$489)*($B$22:$B$489=$AA56))</f>
        <v>231097.96000000008</v>
      </c>
      <c r="AE56" s="83">
        <f t="shared" si="2"/>
        <v>407666.96482000011</v>
      </c>
    </row>
    <row r="57" spans="2:31" x14ac:dyDescent="0.75">
      <c r="B57">
        <v>2014</v>
      </c>
      <c r="C57" t="str">
        <f t="shared" si="3"/>
        <v>Hydrogen ICE</v>
      </c>
      <c r="D57">
        <v>12</v>
      </c>
      <c r="E57" s="113">
        <v>0</v>
      </c>
      <c r="F57" s="113">
        <v>0</v>
      </c>
      <c r="G57" s="113">
        <v>0</v>
      </c>
      <c r="H57" s="114">
        <v>0</v>
      </c>
      <c r="I57" s="113">
        <v>0</v>
      </c>
      <c r="J57" s="113">
        <v>0</v>
      </c>
      <c r="K57" s="113">
        <v>0</v>
      </c>
      <c r="L57" s="113">
        <v>0</v>
      </c>
      <c r="M57" s="114">
        <v>0</v>
      </c>
      <c r="N57" s="113">
        <v>0</v>
      </c>
      <c r="O57" s="113">
        <v>0</v>
      </c>
      <c r="P57" s="114">
        <v>0</v>
      </c>
      <c r="Q57" s="113">
        <v>0</v>
      </c>
      <c r="R57" s="113">
        <v>0</v>
      </c>
      <c r="S57" s="113">
        <v>0</v>
      </c>
      <c r="T57" s="113">
        <v>0</v>
      </c>
      <c r="U57" s="113">
        <v>0</v>
      </c>
      <c r="V57" s="113">
        <v>0</v>
      </c>
      <c r="W57" s="114">
        <v>0</v>
      </c>
      <c r="AA57">
        <v>2047</v>
      </c>
      <c r="AB57" s="83" cm="1">
        <f t="array" ref="AB57">SUM(($G$22:$H$489)*($B$22:$B$489=$AA57))</f>
        <v>118006.800472</v>
      </c>
      <c r="AC57" s="83" cm="1">
        <f t="array" ref="AC57">SUM(($I$22:$K$489)*($B$22:$B$489=$AA57))</f>
        <v>60764.882656000009</v>
      </c>
      <c r="AD57" s="83" cm="1">
        <f t="array" ref="AD57">SUM(($L$22:$W$489)*($B$22:$B$489=$AA57))</f>
        <v>232119.2189469999</v>
      </c>
      <c r="AE57" s="83">
        <f t="shared" si="2"/>
        <v>410890.90207499987</v>
      </c>
    </row>
    <row r="58" spans="2:31" x14ac:dyDescent="0.75">
      <c r="B58">
        <v>2015</v>
      </c>
      <c r="C58" t="str">
        <f t="shared" si="3"/>
        <v>Diesel</v>
      </c>
      <c r="D58">
        <v>1</v>
      </c>
      <c r="E58" s="113">
        <v>29306.380859000001</v>
      </c>
      <c r="F58" s="113">
        <v>381.66198700000001</v>
      </c>
      <c r="G58" s="113">
        <v>35573.730469000002</v>
      </c>
      <c r="H58" s="114">
        <v>2414.758057</v>
      </c>
      <c r="I58" s="113">
        <v>8347.7011719999991</v>
      </c>
      <c r="J58" s="113">
        <v>11350.849609000001</v>
      </c>
      <c r="K58" s="113">
        <v>14509.570312</v>
      </c>
      <c r="L58" s="113">
        <v>12980.338867</v>
      </c>
      <c r="M58" s="114">
        <v>1887.104736</v>
      </c>
      <c r="N58" s="113">
        <v>1887.104736</v>
      </c>
      <c r="O58" s="113">
        <v>5661.3149409999996</v>
      </c>
      <c r="P58" s="114">
        <v>19035.150390999999</v>
      </c>
      <c r="Q58" s="113">
        <v>9999.6816409999992</v>
      </c>
      <c r="R58" s="113">
        <v>9999.6816409999992</v>
      </c>
      <c r="S58" s="113">
        <v>29999.041015999999</v>
      </c>
      <c r="T58" s="113">
        <v>15619.851562</v>
      </c>
      <c r="U58" s="113">
        <v>15619.851562</v>
      </c>
      <c r="V58" s="113">
        <v>46855.65625</v>
      </c>
      <c r="W58" s="114">
        <v>3.5248490000000001</v>
      </c>
      <c r="AA58">
        <v>2048</v>
      </c>
      <c r="AB58" s="83" cm="1">
        <f t="array" ref="AB58">SUM(($G$22:$H$489)*($B$22:$B$489=$AA58))</f>
        <v>120067.081515</v>
      </c>
      <c r="AC58" s="83" cm="1">
        <f t="array" ref="AC58">SUM(($I$22:$K$489)*($B$22:$B$489=$AA58))</f>
        <v>61100.258261999988</v>
      </c>
      <c r="AD58" s="83" cm="1">
        <f t="array" ref="AD58">SUM(($L$22:$W$489)*($B$22:$B$489=$AA58))</f>
        <v>233437.346387</v>
      </c>
      <c r="AE58" s="83">
        <f t="shared" si="2"/>
        <v>414604.68616399996</v>
      </c>
    </row>
    <row r="59" spans="2:31" x14ac:dyDescent="0.75">
      <c r="B59">
        <v>2015</v>
      </c>
      <c r="C59" t="str">
        <f t="shared" si="3"/>
        <v>Gasoline</v>
      </c>
      <c r="D59">
        <v>2</v>
      </c>
      <c r="E59" s="113">
        <v>54060.109375</v>
      </c>
      <c r="F59" s="113">
        <v>4266.3867190000001</v>
      </c>
      <c r="G59" s="113">
        <v>8123.2216799999997</v>
      </c>
      <c r="H59" s="114">
        <v>4865.4653319999998</v>
      </c>
      <c r="I59" s="113">
        <v>10504.138671999999</v>
      </c>
      <c r="J59" s="113">
        <v>4373.3310549999997</v>
      </c>
      <c r="K59" s="113">
        <v>5368.7690430000002</v>
      </c>
      <c r="L59" s="113">
        <v>377.19754</v>
      </c>
      <c r="M59" s="114">
        <v>0.172621</v>
      </c>
      <c r="N59" s="113">
        <v>0.172621</v>
      </c>
      <c r="O59" s="113">
        <v>0.51786399999999999</v>
      </c>
      <c r="P59" s="114">
        <v>37.577911</v>
      </c>
      <c r="Q59" s="113">
        <v>2.4858000000000002E-2</v>
      </c>
      <c r="R59" s="113">
        <v>2.4858000000000002E-2</v>
      </c>
      <c r="S59" s="113">
        <v>7.4573E-2</v>
      </c>
      <c r="T59" s="113">
        <v>3.8829000000000002E-2</v>
      </c>
      <c r="U59" s="113">
        <v>3.8829000000000002E-2</v>
      </c>
      <c r="V59" s="113">
        <v>0.11648600000000001</v>
      </c>
      <c r="W59" s="114">
        <v>0</v>
      </c>
      <c r="AA59">
        <v>2049</v>
      </c>
      <c r="AB59" s="83" cm="1">
        <f t="array" ref="AB59">SUM(($G$22:$H$489)*($B$22:$B$489=$AA59))</f>
        <v>122139.629445</v>
      </c>
      <c r="AC59" s="83" cm="1">
        <f t="array" ref="AC59">SUM(($I$22:$K$489)*($B$22:$B$489=$AA59))</f>
        <v>61518.968525999982</v>
      </c>
      <c r="AD59" s="83" cm="1">
        <f t="array" ref="AD59">SUM(($L$22:$W$489)*($B$22:$B$489=$AA59))</f>
        <v>235121.21941000005</v>
      </c>
      <c r="AE59" s="83">
        <f t="shared" si="2"/>
        <v>418779.81738100003</v>
      </c>
    </row>
    <row r="60" spans="2:31" x14ac:dyDescent="0.75">
      <c r="B60">
        <v>2015</v>
      </c>
      <c r="C60" t="str">
        <f t="shared" si="3"/>
        <v>LPG</v>
      </c>
      <c r="D60">
        <v>3</v>
      </c>
      <c r="E60" s="113">
        <v>0.151559</v>
      </c>
      <c r="F60" s="113">
        <v>2.9719999999999998E-3</v>
      </c>
      <c r="G60" s="113">
        <v>1.7608029999999999</v>
      </c>
      <c r="H60" s="114">
        <v>0</v>
      </c>
      <c r="I60" s="113">
        <v>4.0502989999999999</v>
      </c>
      <c r="J60" s="113">
        <v>27.389856000000002</v>
      </c>
      <c r="K60" s="113">
        <v>19.869676999999999</v>
      </c>
      <c r="L60" s="113">
        <v>23.566683000000001</v>
      </c>
      <c r="M60" s="114">
        <v>9.2429999999999995E-3</v>
      </c>
      <c r="N60" s="113">
        <v>9.2429999999999995E-3</v>
      </c>
      <c r="O60" s="113">
        <v>2.7727999999999999E-2</v>
      </c>
      <c r="P60" s="114">
        <v>0.27976200000000001</v>
      </c>
      <c r="Q60" s="113">
        <v>0</v>
      </c>
      <c r="R60" s="113">
        <v>0</v>
      </c>
      <c r="S60" s="113">
        <v>0</v>
      </c>
      <c r="T60" s="113">
        <v>0</v>
      </c>
      <c r="U60" s="113">
        <v>0</v>
      </c>
      <c r="V60" s="113">
        <v>0</v>
      </c>
      <c r="W60" s="114">
        <v>0</v>
      </c>
      <c r="AA60">
        <v>2050</v>
      </c>
      <c r="AB60" s="83" cm="1">
        <f t="array" ref="AB60">SUM(($G$22:$H$489)*($B$22:$B$489=$AA60))</f>
        <v>123986.29526699999</v>
      </c>
      <c r="AC60" s="83" cm="1">
        <f t="array" ref="AC60">SUM(($I$22:$K$489)*($B$22:$B$489=$AA60))</f>
        <v>61890.376181000014</v>
      </c>
      <c r="AD60" s="83" cm="1">
        <f t="array" ref="AD60">SUM(($L$22:$W$489)*($B$22:$B$489=$AA60))</f>
        <v>236784.37961600002</v>
      </c>
      <c r="AE60" s="83">
        <f t="shared" si="2"/>
        <v>422661.051064</v>
      </c>
    </row>
    <row r="61" spans="2:31" x14ac:dyDescent="0.75">
      <c r="B61">
        <v>2015</v>
      </c>
      <c r="C61" t="str">
        <f t="shared" si="3"/>
        <v>CNG</v>
      </c>
      <c r="D61">
        <v>4</v>
      </c>
      <c r="E61" s="113">
        <v>101.11190000000001</v>
      </c>
      <c r="F61" s="113">
        <v>1.9474929999999999</v>
      </c>
      <c r="G61" s="113">
        <v>0</v>
      </c>
      <c r="H61" s="114">
        <v>0</v>
      </c>
      <c r="I61" s="113">
        <v>27.197706</v>
      </c>
      <c r="J61" s="113">
        <v>1.223341</v>
      </c>
      <c r="K61" s="113">
        <v>17.647497000000001</v>
      </c>
      <c r="L61" s="113">
        <v>17.562649</v>
      </c>
      <c r="M61" s="114">
        <v>6.5747809999999998</v>
      </c>
      <c r="N61" s="113">
        <v>6.5747809999999998</v>
      </c>
      <c r="O61" s="113">
        <v>19.724343999999999</v>
      </c>
      <c r="P61" s="114">
        <v>451.98635899999999</v>
      </c>
      <c r="Q61" s="113">
        <v>51.081783000000001</v>
      </c>
      <c r="R61" s="113">
        <v>51.081783000000001</v>
      </c>
      <c r="S61" s="113">
        <v>153.24537699999999</v>
      </c>
      <c r="T61" s="113">
        <v>79.791556999999997</v>
      </c>
      <c r="U61" s="113">
        <v>79.791556999999997</v>
      </c>
      <c r="V61" s="113">
        <v>239.374619</v>
      </c>
      <c r="W61" s="114">
        <v>0</v>
      </c>
    </row>
    <row r="62" spans="2:31" x14ac:dyDescent="0.75">
      <c r="B62">
        <v>2015</v>
      </c>
      <c r="C62" t="str">
        <f t="shared" si="3"/>
        <v>E85</v>
      </c>
      <c r="D62">
        <v>5</v>
      </c>
      <c r="E62" s="113">
        <v>6198.1806640000004</v>
      </c>
      <c r="F62" s="113">
        <v>914.91461200000003</v>
      </c>
      <c r="G62" s="113">
        <v>1672.3988039999999</v>
      </c>
      <c r="H62" s="114">
        <v>1055.056274</v>
      </c>
      <c r="I62" s="113">
        <v>382.86566199999999</v>
      </c>
      <c r="J62" s="113">
        <v>0</v>
      </c>
      <c r="K62" s="113">
        <v>55.904949000000002</v>
      </c>
      <c r="L62" s="113">
        <v>0</v>
      </c>
      <c r="M62" s="114">
        <v>0</v>
      </c>
      <c r="N62" s="113">
        <v>0</v>
      </c>
      <c r="O62" s="113">
        <v>0</v>
      </c>
      <c r="P62" s="114">
        <v>0</v>
      </c>
      <c r="Q62" s="113">
        <v>0</v>
      </c>
      <c r="R62" s="113">
        <v>0</v>
      </c>
      <c r="S62" s="113">
        <v>0</v>
      </c>
      <c r="T62" s="113">
        <v>0</v>
      </c>
      <c r="U62" s="113">
        <v>0</v>
      </c>
      <c r="V62" s="113">
        <v>0</v>
      </c>
      <c r="W62" s="114">
        <v>0</v>
      </c>
    </row>
    <row r="63" spans="2:31" x14ac:dyDescent="0.75">
      <c r="B63">
        <v>2015</v>
      </c>
      <c r="C63" t="str">
        <f t="shared" si="3"/>
        <v>Electric</v>
      </c>
      <c r="D63">
        <v>6</v>
      </c>
      <c r="E63" s="113">
        <v>0</v>
      </c>
      <c r="F63" s="113">
        <v>0</v>
      </c>
      <c r="G63" s="113">
        <v>0</v>
      </c>
      <c r="H63" s="114">
        <v>1.6084909999999999</v>
      </c>
      <c r="I63" s="113">
        <v>0</v>
      </c>
      <c r="J63" s="113">
        <v>0.139546</v>
      </c>
      <c r="K63" s="113">
        <v>0</v>
      </c>
      <c r="L63" s="113">
        <v>0</v>
      </c>
      <c r="M63" s="114">
        <v>0</v>
      </c>
      <c r="N63" s="113">
        <v>0</v>
      </c>
      <c r="O63" s="113">
        <v>0</v>
      </c>
      <c r="P63" s="114">
        <v>0</v>
      </c>
      <c r="Q63" s="113">
        <v>0</v>
      </c>
      <c r="R63" s="113">
        <v>0</v>
      </c>
      <c r="S63" s="113">
        <v>0</v>
      </c>
      <c r="T63" s="113">
        <v>0</v>
      </c>
      <c r="U63" s="113">
        <v>0</v>
      </c>
      <c r="V63" s="113">
        <v>0</v>
      </c>
      <c r="W63" s="114">
        <v>0</v>
      </c>
    </row>
    <row r="64" spans="2:31" x14ac:dyDescent="0.75">
      <c r="B64">
        <v>2015</v>
      </c>
      <c r="C64" t="str">
        <f t="shared" si="3"/>
        <v>PHEV diesel</v>
      </c>
      <c r="D64">
        <v>7</v>
      </c>
      <c r="E64" s="113">
        <v>0</v>
      </c>
      <c r="F64" s="113">
        <v>0</v>
      </c>
      <c r="G64" s="113">
        <v>0</v>
      </c>
      <c r="H64" s="114">
        <v>0</v>
      </c>
      <c r="I64" s="113">
        <v>0</v>
      </c>
      <c r="J64" s="113">
        <v>0</v>
      </c>
      <c r="K64" s="113">
        <v>0</v>
      </c>
      <c r="L64" s="113">
        <v>0</v>
      </c>
      <c r="M64" s="114">
        <v>0</v>
      </c>
      <c r="N64" s="113">
        <v>0</v>
      </c>
      <c r="O64" s="113">
        <v>0</v>
      </c>
      <c r="P64" s="114">
        <v>0</v>
      </c>
      <c r="Q64" s="113">
        <v>0</v>
      </c>
      <c r="R64" s="113">
        <v>0</v>
      </c>
      <c r="S64" s="113">
        <v>0</v>
      </c>
      <c r="T64" s="113">
        <v>0</v>
      </c>
      <c r="U64" s="113">
        <v>0</v>
      </c>
      <c r="V64" s="113">
        <v>0</v>
      </c>
      <c r="W64" s="114">
        <v>0</v>
      </c>
    </row>
    <row r="65" spans="2:23" x14ac:dyDescent="0.75">
      <c r="B65">
        <v>2015</v>
      </c>
      <c r="C65" t="str">
        <f t="shared" si="3"/>
        <v>PHEV gasoline</v>
      </c>
      <c r="D65">
        <v>8</v>
      </c>
      <c r="E65" s="113">
        <v>0</v>
      </c>
      <c r="F65" s="113">
        <v>0</v>
      </c>
      <c r="G65" s="113">
        <v>0</v>
      </c>
      <c r="H65" s="114">
        <v>0</v>
      </c>
      <c r="I65" s="113">
        <v>0</v>
      </c>
      <c r="J65" s="113">
        <v>0</v>
      </c>
      <c r="K65" s="113">
        <v>0</v>
      </c>
      <c r="L65" s="113">
        <v>0</v>
      </c>
      <c r="M65" s="114">
        <v>0</v>
      </c>
      <c r="N65" s="113">
        <v>0</v>
      </c>
      <c r="O65" s="113">
        <v>0</v>
      </c>
      <c r="P65" s="114">
        <v>0</v>
      </c>
      <c r="Q65" s="113">
        <v>0</v>
      </c>
      <c r="R65" s="113">
        <v>0</v>
      </c>
      <c r="S65" s="113">
        <v>0</v>
      </c>
      <c r="T65" s="113">
        <v>0</v>
      </c>
      <c r="U65" s="113">
        <v>0</v>
      </c>
      <c r="V65" s="113">
        <v>0</v>
      </c>
      <c r="W65" s="114">
        <v>0</v>
      </c>
    </row>
    <row r="66" spans="2:23" x14ac:dyDescent="0.75">
      <c r="B66">
        <v>2015</v>
      </c>
      <c r="C66" t="str">
        <f t="shared" si="3"/>
        <v>H2 fuel cell, small battery</v>
      </c>
      <c r="D66">
        <v>9</v>
      </c>
      <c r="E66" s="113">
        <v>0</v>
      </c>
      <c r="F66" s="113">
        <v>0</v>
      </c>
      <c r="G66" s="113">
        <v>0</v>
      </c>
      <c r="H66" s="114">
        <v>0</v>
      </c>
      <c r="I66" s="113">
        <v>0</v>
      </c>
      <c r="J66" s="113">
        <v>0</v>
      </c>
      <c r="K66" s="113">
        <v>0</v>
      </c>
      <c r="L66" s="113">
        <v>0</v>
      </c>
      <c r="M66" s="114">
        <v>0</v>
      </c>
      <c r="N66" s="113">
        <v>0</v>
      </c>
      <c r="O66" s="113">
        <v>0</v>
      </c>
      <c r="P66" s="114">
        <v>0</v>
      </c>
      <c r="Q66" s="113">
        <v>0</v>
      </c>
      <c r="R66" s="113">
        <v>0</v>
      </c>
      <c r="S66" s="113">
        <v>0</v>
      </c>
      <c r="T66" s="113">
        <v>0</v>
      </c>
      <c r="U66" s="113">
        <v>0</v>
      </c>
      <c r="V66" s="113">
        <v>0</v>
      </c>
      <c r="W66" s="114">
        <v>0</v>
      </c>
    </row>
    <row r="67" spans="2:23" x14ac:dyDescent="0.75">
      <c r="B67">
        <v>2015</v>
      </c>
      <c r="C67" t="str">
        <f t="shared" si="3"/>
        <v>H2 fuel cell, large battery</v>
      </c>
      <c r="D67">
        <v>10</v>
      </c>
      <c r="E67" s="113">
        <v>0</v>
      </c>
      <c r="F67" s="113">
        <v>0</v>
      </c>
      <c r="G67" s="113">
        <v>0</v>
      </c>
      <c r="H67" s="114">
        <v>0</v>
      </c>
      <c r="I67" s="113">
        <v>0</v>
      </c>
      <c r="J67" s="113">
        <v>0</v>
      </c>
      <c r="K67" s="113">
        <v>0</v>
      </c>
      <c r="L67" s="113">
        <v>0</v>
      </c>
      <c r="M67" s="114">
        <v>0</v>
      </c>
      <c r="N67" s="113">
        <v>0</v>
      </c>
      <c r="O67" s="113">
        <v>0</v>
      </c>
      <c r="P67" s="114">
        <v>0</v>
      </c>
      <c r="Q67" s="113">
        <v>0</v>
      </c>
      <c r="R67" s="113">
        <v>0</v>
      </c>
      <c r="S67" s="113">
        <v>0</v>
      </c>
      <c r="T67" s="113">
        <v>0</v>
      </c>
      <c r="U67" s="113">
        <v>0</v>
      </c>
      <c r="V67" s="113">
        <v>0</v>
      </c>
      <c r="W67" s="114">
        <v>0</v>
      </c>
    </row>
    <row r="68" spans="2:23" x14ac:dyDescent="0.75">
      <c r="B68">
        <v>2015</v>
      </c>
      <c r="C68" t="str">
        <f t="shared" si="3"/>
        <v>Gasoline hybrid</v>
      </c>
      <c r="D68">
        <v>11</v>
      </c>
      <c r="E68" s="113">
        <v>0</v>
      </c>
      <c r="F68" s="113">
        <v>0</v>
      </c>
      <c r="G68" s="113">
        <v>0</v>
      </c>
      <c r="H68" s="114">
        <v>0</v>
      </c>
      <c r="I68" s="113">
        <v>0</v>
      </c>
      <c r="J68" s="113">
        <v>0</v>
      </c>
      <c r="K68" s="113">
        <v>0</v>
      </c>
      <c r="L68" s="113">
        <v>0</v>
      </c>
      <c r="M68" s="114">
        <v>0</v>
      </c>
      <c r="N68" s="113">
        <v>0</v>
      </c>
      <c r="O68" s="113">
        <v>0</v>
      </c>
      <c r="P68" s="114">
        <v>0</v>
      </c>
      <c r="Q68" s="113">
        <v>0</v>
      </c>
      <c r="R68" s="113">
        <v>0</v>
      </c>
      <c r="S68" s="113">
        <v>0</v>
      </c>
      <c r="T68" s="113">
        <v>0</v>
      </c>
      <c r="U68" s="113">
        <v>0</v>
      </c>
      <c r="V68" s="113">
        <v>0</v>
      </c>
      <c r="W68" s="114">
        <v>0</v>
      </c>
    </row>
    <row r="69" spans="2:23" x14ac:dyDescent="0.75">
      <c r="B69">
        <v>2015</v>
      </c>
      <c r="C69" t="str">
        <f t="shared" si="3"/>
        <v>Hydrogen ICE</v>
      </c>
      <c r="D69">
        <v>12</v>
      </c>
      <c r="E69" s="113">
        <v>0</v>
      </c>
      <c r="F69" s="113">
        <v>0</v>
      </c>
      <c r="G69" s="113">
        <v>0</v>
      </c>
      <c r="H69" s="114">
        <v>0</v>
      </c>
      <c r="I69" s="113">
        <v>0</v>
      </c>
      <c r="J69" s="113">
        <v>0</v>
      </c>
      <c r="K69" s="113">
        <v>0</v>
      </c>
      <c r="L69" s="113">
        <v>0</v>
      </c>
      <c r="M69" s="114">
        <v>0</v>
      </c>
      <c r="N69" s="113">
        <v>0</v>
      </c>
      <c r="O69" s="113">
        <v>0</v>
      </c>
      <c r="P69" s="114">
        <v>0</v>
      </c>
      <c r="Q69" s="113">
        <v>0</v>
      </c>
      <c r="R69" s="113">
        <v>0</v>
      </c>
      <c r="S69" s="113">
        <v>0</v>
      </c>
      <c r="T69" s="113">
        <v>0</v>
      </c>
      <c r="U69" s="113">
        <v>0</v>
      </c>
      <c r="V69" s="113">
        <v>0</v>
      </c>
      <c r="W69" s="114">
        <v>0</v>
      </c>
    </row>
    <row r="70" spans="2:23" x14ac:dyDescent="0.75">
      <c r="B70">
        <v>2016</v>
      </c>
      <c r="C70" t="str">
        <f t="shared" si="3"/>
        <v>Diesel</v>
      </c>
      <c r="D70">
        <v>1</v>
      </c>
      <c r="E70" s="113">
        <v>29839.964843999998</v>
      </c>
      <c r="F70" s="113">
        <v>339.72653200000002</v>
      </c>
      <c r="G70" s="113">
        <v>37007.140625</v>
      </c>
      <c r="H70" s="114">
        <v>2299.3823240000002</v>
      </c>
      <c r="I70" s="113">
        <v>7845.8505859999996</v>
      </c>
      <c r="J70" s="113">
        <v>12138.287109000001</v>
      </c>
      <c r="K70" s="113">
        <v>14429.449219</v>
      </c>
      <c r="L70" s="113">
        <v>12657.258789</v>
      </c>
      <c r="M70" s="114">
        <v>1869.686279</v>
      </c>
      <c r="N70" s="113">
        <v>1869.686279</v>
      </c>
      <c r="O70" s="113">
        <v>5609.0585940000001</v>
      </c>
      <c r="P70" s="114">
        <v>19328.808593999998</v>
      </c>
      <c r="Q70" s="113">
        <v>10448.894531</v>
      </c>
      <c r="R70" s="113">
        <v>10448.894531</v>
      </c>
      <c r="S70" s="113">
        <v>31346.681640999999</v>
      </c>
      <c r="T70" s="113">
        <v>16321.542969</v>
      </c>
      <c r="U70" s="113">
        <v>16321.542969</v>
      </c>
      <c r="V70" s="113">
        <v>48960.539062000003</v>
      </c>
      <c r="W70" s="114">
        <v>3.4980159999999998</v>
      </c>
    </row>
    <row r="71" spans="2:23" x14ac:dyDescent="0.75">
      <c r="B71">
        <v>2016</v>
      </c>
      <c r="C71" t="str">
        <f t="shared" si="3"/>
        <v>Gasoline</v>
      </c>
      <c r="D71">
        <v>2</v>
      </c>
      <c r="E71" s="113">
        <v>51917.996094000002</v>
      </c>
      <c r="F71" s="113">
        <v>4230.7041019999997</v>
      </c>
      <c r="G71" s="113">
        <v>7863.7846680000002</v>
      </c>
      <c r="H71" s="114">
        <v>4878.6713870000003</v>
      </c>
      <c r="I71" s="113">
        <v>10717.950194999999</v>
      </c>
      <c r="J71" s="113">
        <v>4698.7265619999998</v>
      </c>
      <c r="K71" s="113">
        <v>5493.3774409999996</v>
      </c>
      <c r="L71" s="113">
        <v>341.75683600000002</v>
      </c>
      <c r="M71" s="114">
        <v>0.13575000000000001</v>
      </c>
      <c r="N71" s="113">
        <v>0.13575000000000001</v>
      </c>
      <c r="O71" s="113">
        <v>0.40724900000000003</v>
      </c>
      <c r="P71" s="114">
        <v>32.006504</v>
      </c>
      <c r="Q71" s="113">
        <v>1.7809999999999999E-2</v>
      </c>
      <c r="R71" s="113">
        <v>1.7809999999999999E-2</v>
      </c>
      <c r="S71" s="113">
        <v>5.3429999999999998E-2</v>
      </c>
      <c r="T71" s="113">
        <v>2.7820000000000001E-2</v>
      </c>
      <c r="U71" s="113">
        <v>2.7820000000000001E-2</v>
      </c>
      <c r="V71" s="113">
        <v>8.3460000000000006E-2</v>
      </c>
      <c r="W71" s="114">
        <v>0</v>
      </c>
    </row>
    <row r="72" spans="2:23" x14ac:dyDescent="0.75">
      <c r="B72">
        <v>2016</v>
      </c>
      <c r="C72" t="str">
        <f t="shared" si="3"/>
        <v>LPG</v>
      </c>
      <c r="D72">
        <v>3</v>
      </c>
      <c r="E72" s="113">
        <v>0.118571</v>
      </c>
      <c r="F72" s="113">
        <v>2.9680000000000002E-3</v>
      </c>
      <c r="G72" s="113">
        <v>1.3505659999999999</v>
      </c>
      <c r="H72" s="114">
        <v>0</v>
      </c>
      <c r="I72" s="113">
        <v>8.4208200000000009</v>
      </c>
      <c r="J72" s="113">
        <v>25.540108</v>
      </c>
      <c r="K72" s="113">
        <v>18.508161999999999</v>
      </c>
      <c r="L72" s="113">
        <v>26.218748000000001</v>
      </c>
      <c r="M72" s="114">
        <v>8.8179999999999994E-3</v>
      </c>
      <c r="N72" s="113">
        <v>8.8179999999999994E-3</v>
      </c>
      <c r="O72" s="113">
        <v>2.6453000000000001E-2</v>
      </c>
      <c r="P72" s="114">
        <v>0.26280100000000001</v>
      </c>
      <c r="Q72" s="113">
        <v>0</v>
      </c>
      <c r="R72" s="113">
        <v>0</v>
      </c>
      <c r="S72" s="113">
        <v>0</v>
      </c>
      <c r="T72" s="113">
        <v>0</v>
      </c>
      <c r="U72" s="113">
        <v>0</v>
      </c>
      <c r="V72" s="113">
        <v>0</v>
      </c>
      <c r="W72" s="114">
        <v>0</v>
      </c>
    </row>
    <row r="73" spans="2:23" x14ac:dyDescent="0.75">
      <c r="B73">
        <v>2016</v>
      </c>
      <c r="C73" t="str">
        <f t="shared" si="3"/>
        <v>CNG</v>
      </c>
      <c r="D73">
        <v>4</v>
      </c>
      <c r="E73" s="113">
        <v>99.337654000000001</v>
      </c>
      <c r="F73" s="113">
        <v>2.3833310000000001</v>
      </c>
      <c r="G73" s="113">
        <v>8.8714000000000001E-2</v>
      </c>
      <c r="H73" s="114">
        <v>0</v>
      </c>
      <c r="I73" s="113">
        <v>23.018308999999999</v>
      </c>
      <c r="J73" s="113">
        <v>1.0588610000000001</v>
      </c>
      <c r="K73" s="113">
        <v>16.571949</v>
      </c>
      <c r="L73" s="113">
        <v>22.133512</v>
      </c>
      <c r="M73" s="114">
        <v>6.473592</v>
      </c>
      <c r="N73" s="113">
        <v>6.473592</v>
      </c>
      <c r="O73" s="113">
        <v>19.420776</v>
      </c>
      <c r="P73" s="114">
        <v>540.47375499999998</v>
      </c>
      <c r="Q73" s="113">
        <v>62.797297999999998</v>
      </c>
      <c r="R73" s="113">
        <v>62.797297999999998</v>
      </c>
      <c r="S73" s="113">
        <v>188.391907</v>
      </c>
      <c r="T73" s="113">
        <v>98.091590999999994</v>
      </c>
      <c r="U73" s="113">
        <v>98.091590999999994</v>
      </c>
      <c r="V73" s="113">
        <v>294.27474999999998</v>
      </c>
      <c r="W73" s="114">
        <v>0</v>
      </c>
    </row>
    <row r="74" spans="2:23" x14ac:dyDescent="0.75">
      <c r="B74">
        <v>2016</v>
      </c>
      <c r="C74" t="str">
        <f t="shared" si="3"/>
        <v>E85</v>
      </c>
      <c r="D74">
        <v>5</v>
      </c>
      <c r="E74" s="113">
        <v>8322.0527340000008</v>
      </c>
      <c r="F74" s="113">
        <v>1128.9305420000001</v>
      </c>
      <c r="G74" s="113">
        <v>1705.474121</v>
      </c>
      <c r="H74" s="114">
        <v>1231.66626</v>
      </c>
      <c r="I74" s="113">
        <v>451.96627799999999</v>
      </c>
      <c r="J74" s="113">
        <v>0</v>
      </c>
      <c r="K74" s="113">
        <v>50.63541</v>
      </c>
      <c r="L74" s="113">
        <v>0</v>
      </c>
      <c r="M74" s="114">
        <v>0</v>
      </c>
      <c r="N74" s="113">
        <v>0</v>
      </c>
      <c r="O74" s="113">
        <v>0</v>
      </c>
      <c r="P74" s="114">
        <v>0</v>
      </c>
      <c r="Q74" s="113">
        <v>0</v>
      </c>
      <c r="R74" s="113">
        <v>0</v>
      </c>
      <c r="S74" s="113">
        <v>0</v>
      </c>
      <c r="T74" s="113">
        <v>0</v>
      </c>
      <c r="U74" s="113">
        <v>0</v>
      </c>
      <c r="V74" s="113">
        <v>0</v>
      </c>
      <c r="W74" s="114">
        <v>0</v>
      </c>
    </row>
    <row r="75" spans="2:23" x14ac:dyDescent="0.75">
      <c r="B75">
        <v>2016</v>
      </c>
      <c r="C75" t="str">
        <f t="shared" si="3"/>
        <v>Electric</v>
      </c>
      <c r="D75">
        <v>6</v>
      </c>
      <c r="E75" s="113">
        <v>0</v>
      </c>
      <c r="F75" s="113">
        <v>0</v>
      </c>
      <c r="G75" s="113">
        <v>0</v>
      </c>
      <c r="H75" s="114">
        <v>1.4927280000000001</v>
      </c>
      <c r="I75" s="113">
        <v>0</v>
      </c>
      <c r="J75" s="113">
        <v>0.13099</v>
      </c>
      <c r="K75" s="113">
        <v>0</v>
      </c>
      <c r="L75" s="113">
        <v>0</v>
      </c>
      <c r="M75" s="114">
        <v>0</v>
      </c>
      <c r="N75" s="113">
        <v>0</v>
      </c>
      <c r="O75" s="113">
        <v>0</v>
      </c>
      <c r="P75" s="114">
        <v>0</v>
      </c>
      <c r="Q75" s="113">
        <v>0</v>
      </c>
      <c r="R75" s="113">
        <v>0</v>
      </c>
      <c r="S75" s="113">
        <v>0</v>
      </c>
      <c r="T75" s="113">
        <v>0</v>
      </c>
      <c r="U75" s="113">
        <v>0</v>
      </c>
      <c r="V75" s="113">
        <v>0</v>
      </c>
      <c r="W75" s="114">
        <v>0</v>
      </c>
    </row>
    <row r="76" spans="2:23" x14ac:dyDescent="0.75">
      <c r="B76">
        <v>2016</v>
      </c>
      <c r="C76" t="str">
        <f t="shared" si="3"/>
        <v>PHEV diesel</v>
      </c>
      <c r="D76">
        <v>7</v>
      </c>
      <c r="E76" s="113">
        <v>0</v>
      </c>
      <c r="F76" s="113">
        <v>0</v>
      </c>
      <c r="G76" s="113">
        <v>0</v>
      </c>
      <c r="H76" s="114">
        <v>0</v>
      </c>
      <c r="I76" s="113">
        <v>0</v>
      </c>
      <c r="J76" s="113">
        <v>0</v>
      </c>
      <c r="K76" s="113">
        <v>0</v>
      </c>
      <c r="L76" s="113">
        <v>0</v>
      </c>
      <c r="M76" s="114">
        <v>0</v>
      </c>
      <c r="N76" s="113">
        <v>0</v>
      </c>
      <c r="O76" s="113">
        <v>0</v>
      </c>
      <c r="P76" s="114">
        <v>0</v>
      </c>
      <c r="Q76" s="113">
        <v>0</v>
      </c>
      <c r="R76" s="113">
        <v>0</v>
      </c>
      <c r="S76" s="113">
        <v>0</v>
      </c>
      <c r="T76" s="113">
        <v>0</v>
      </c>
      <c r="U76" s="113">
        <v>0</v>
      </c>
      <c r="V76" s="113">
        <v>0</v>
      </c>
      <c r="W76" s="114">
        <v>0</v>
      </c>
    </row>
    <row r="77" spans="2:23" x14ac:dyDescent="0.75">
      <c r="B77">
        <v>2016</v>
      </c>
      <c r="C77" t="str">
        <f t="shared" si="3"/>
        <v>PHEV gasoline</v>
      </c>
      <c r="D77">
        <v>8</v>
      </c>
      <c r="E77" s="113">
        <v>0</v>
      </c>
      <c r="F77" s="113">
        <v>0</v>
      </c>
      <c r="G77" s="113">
        <v>0</v>
      </c>
      <c r="H77" s="114">
        <v>0</v>
      </c>
      <c r="I77" s="113">
        <v>0</v>
      </c>
      <c r="J77" s="113">
        <v>0</v>
      </c>
      <c r="K77" s="113">
        <v>0</v>
      </c>
      <c r="L77" s="113">
        <v>0</v>
      </c>
      <c r="M77" s="114">
        <v>0</v>
      </c>
      <c r="N77" s="113">
        <v>0</v>
      </c>
      <c r="O77" s="113">
        <v>0</v>
      </c>
      <c r="P77" s="114">
        <v>0</v>
      </c>
      <c r="Q77" s="113">
        <v>0</v>
      </c>
      <c r="R77" s="113">
        <v>0</v>
      </c>
      <c r="S77" s="113">
        <v>0</v>
      </c>
      <c r="T77" s="113">
        <v>0</v>
      </c>
      <c r="U77" s="113">
        <v>0</v>
      </c>
      <c r="V77" s="113">
        <v>0</v>
      </c>
      <c r="W77" s="114">
        <v>0</v>
      </c>
    </row>
    <row r="78" spans="2:23" x14ac:dyDescent="0.75">
      <c r="B78">
        <v>2016</v>
      </c>
      <c r="C78" t="str">
        <f t="shared" si="3"/>
        <v>H2 fuel cell, small battery</v>
      </c>
      <c r="D78">
        <v>9</v>
      </c>
      <c r="E78" s="113">
        <v>0</v>
      </c>
      <c r="F78" s="113">
        <v>0</v>
      </c>
      <c r="G78" s="113">
        <v>0</v>
      </c>
      <c r="H78" s="114">
        <v>0</v>
      </c>
      <c r="I78" s="113">
        <v>0</v>
      </c>
      <c r="J78" s="113">
        <v>0</v>
      </c>
      <c r="K78" s="113">
        <v>0</v>
      </c>
      <c r="L78" s="113">
        <v>0</v>
      </c>
      <c r="M78" s="114">
        <v>0</v>
      </c>
      <c r="N78" s="113">
        <v>0</v>
      </c>
      <c r="O78" s="113">
        <v>0</v>
      </c>
      <c r="P78" s="114">
        <v>0</v>
      </c>
      <c r="Q78" s="113">
        <v>0</v>
      </c>
      <c r="R78" s="113">
        <v>0</v>
      </c>
      <c r="S78" s="113">
        <v>0</v>
      </c>
      <c r="T78" s="113">
        <v>0</v>
      </c>
      <c r="U78" s="113">
        <v>0</v>
      </c>
      <c r="V78" s="113">
        <v>0</v>
      </c>
      <c r="W78" s="114">
        <v>0</v>
      </c>
    </row>
    <row r="79" spans="2:23" x14ac:dyDescent="0.75">
      <c r="B79">
        <v>2016</v>
      </c>
      <c r="C79" t="str">
        <f t="shared" si="3"/>
        <v>H2 fuel cell, large battery</v>
      </c>
      <c r="D79">
        <v>10</v>
      </c>
      <c r="E79" s="113">
        <v>0</v>
      </c>
      <c r="F79" s="113">
        <v>0</v>
      </c>
      <c r="G79" s="113">
        <v>0</v>
      </c>
      <c r="H79" s="114">
        <v>0</v>
      </c>
      <c r="I79" s="113">
        <v>0</v>
      </c>
      <c r="J79" s="113">
        <v>0</v>
      </c>
      <c r="K79" s="113">
        <v>0</v>
      </c>
      <c r="L79" s="113">
        <v>0</v>
      </c>
      <c r="M79" s="114">
        <v>0</v>
      </c>
      <c r="N79" s="113">
        <v>0</v>
      </c>
      <c r="O79" s="113">
        <v>0</v>
      </c>
      <c r="P79" s="114">
        <v>0</v>
      </c>
      <c r="Q79" s="113">
        <v>0</v>
      </c>
      <c r="R79" s="113">
        <v>0</v>
      </c>
      <c r="S79" s="113">
        <v>0</v>
      </c>
      <c r="T79" s="113">
        <v>0</v>
      </c>
      <c r="U79" s="113">
        <v>0</v>
      </c>
      <c r="V79" s="113">
        <v>0</v>
      </c>
      <c r="W79" s="114">
        <v>0</v>
      </c>
    </row>
    <row r="80" spans="2:23" x14ac:dyDescent="0.75">
      <c r="B80">
        <v>2016</v>
      </c>
      <c r="C80" t="str">
        <f t="shared" si="3"/>
        <v>Gasoline hybrid</v>
      </c>
      <c r="D80">
        <v>11</v>
      </c>
      <c r="E80" s="113">
        <v>0</v>
      </c>
      <c r="F80" s="113">
        <v>0</v>
      </c>
      <c r="G80" s="113">
        <v>0</v>
      </c>
      <c r="H80" s="114">
        <v>0</v>
      </c>
      <c r="I80" s="113">
        <v>0</v>
      </c>
      <c r="J80" s="113">
        <v>0</v>
      </c>
      <c r="K80" s="113">
        <v>0</v>
      </c>
      <c r="L80" s="113">
        <v>0</v>
      </c>
      <c r="M80" s="114">
        <v>0</v>
      </c>
      <c r="N80" s="113">
        <v>0</v>
      </c>
      <c r="O80" s="113">
        <v>0</v>
      </c>
      <c r="P80" s="114">
        <v>0</v>
      </c>
      <c r="Q80" s="113">
        <v>0</v>
      </c>
      <c r="R80" s="113">
        <v>0</v>
      </c>
      <c r="S80" s="113">
        <v>0</v>
      </c>
      <c r="T80" s="113">
        <v>0</v>
      </c>
      <c r="U80" s="113">
        <v>0</v>
      </c>
      <c r="V80" s="113">
        <v>0</v>
      </c>
      <c r="W80" s="114">
        <v>0</v>
      </c>
    </row>
    <row r="81" spans="2:23" x14ac:dyDescent="0.75">
      <c r="B81">
        <v>2016</v>
      </c>
      <c r="C81" t="str">
        <f t="shared" si="3"/>
        <v>Hydrogen ICE</v>
      </c>
      <c r="D81">
        <v>12</v>
      </c>
      <c r="E81" s="113">
        <v>0</v>
      </c>
      <c r="F81" s="113">
        <v>0</v>
      </c>
      <c r="G81" s="113">
        <v>0</v>
      </c>
      <c r="H81" s="114">
        <v>0</v>
      </c>
      <c r="I81" s="113">
        <v>0</v>
      </c>
      <c r="J81" s="113">
        <v>0</v>
      </c>
      <c r="K81" s="113">
        <v>0</v>
      </c>
      <c r="L81" s="113">
        <v>0</v>
      </c>
      <c r="M81" s="114">
        <v>0</v>
      </c>
      <c r="N81" s="113">
        <v>0</v>
      </c>
      <c r="O81" s="113">
        <v>0</v>
      </c>
      <c r="P81" s="114">
        <v>0</v>
      </c>
      <c r="Q81" s="113">
        <v>0</v>
      </c>
      <c r="R81" s="113">
        <v>0</v>
      </c>
      <c r="S81" s="113">
        <v>0</v>
      </c>
      <c r="T81" s="113">
        <v>0</v>
      </c>
      <c r="U81" s="113">
        <v>0</v>
      </c>
      <c r="V81" s="113">
        <v>0</v>
      </c>
      <c r="W81" s="114">
        <v>0</v>
      </c>
    </row>
    <row r="82" spans="2:23" x14ac:dyDescent="0.75">
      <c r="B82">
        <v>2017</v>
      </c>
      <c r="C82" t="str">
        <f t="shared" si="3"/>
        <v>Diesel</v>
      </c>
      <c r="D82">
        <v>1</v>
      </c>
      <c r="E82" s="113">
        <v>30170.966797000001</v>
      </c>
      <c r="F82" s="113">
        <v>304.14154100000002</v>
      </c>
      <c r="G82" s="113">
        <v>39946.011719000002</v>
      </c>
      <c r="H82" s="114">
        <v>2292.0966800000001</v>
      </c>
      <c r="I82" s="113">
        <v>7579.3901370000003</v>
      </c>
      <c r="J82" s="113">
        <v>13317.234375</v>
      </c>
      <c r="K82" s="113">
        <v>14889.683594</v>
      </c>
      <c r="L82" s="113">
        <v>12642.823242</v>
      </c>
      <c r="M82" s="114">
        <v>1875.0832519999999</v>
      </c>
      <c r="N82" s="113">
        <v>1875.0832519999999</v>
      </c>
      <c r="O82" s="113">
        <v>5625.2509769999997</v>
      </c>
      <c r="P82" s="114">
        <v>20221.275390999999</v>
      </c>
      <c r="Q82" s="113">
        <v>10533.285156</v>
      </c>
      <c r="R82" s="113">
        <v>10533.285156</v>
      </c>
      <c r="S82" s="113">
        <v>31599.845702999999</v>
      </c>
      <c r="T82" s="113">
        <v>16453.353515999999</v>
      </c>
      <c r="U82" s="113">
        <v>16453.355468999998</v>
      </c>
      <c r="V82" s="113">
        <v>49355.949219000002</v>
      </c>
      <c r="W82" s="114">
        <v>4.5522270000000002</v>
      </c>
    </row>
    <row r="83" spans="2:23" x14ac:dyDescent="0.75">
      <c r="B83">
        <v>2017</v>
      </c>
      <c r="C83" t="str">
        <f t="shared" si="3"/>
        <v>Gasoline</v>
      </c>
      <c r="D83">
        <v>2</v>
      </c>
      <c r="E83" s="113">
        <v>48844.214844000002</v>
      </c>
      <c r="F83" s="113">
        <v>4043.3945309999999</v>
      </c>
      <c r="G83" s="113">
        <v>8240.7539059999999</v>
      </c>
      <c r="H83" s="114">
        <v>5001.4628910000001</v>
      </c>
      <c r="I83" s="113">
        <v>11817.830078000001</v>
      </c>
      <c r="J83" s="113">
        <v>5257.0161129999997</v>
      </c>
      <c r="K83" s="113">
        <v>5816.0249020000001</v>
      </c>
      <c r="L83" s="113">
        <v>326.41928100000001</v>
      </c>
      <c r="M83" s="114">
        <v>0.15338399999999999</v>
      </c>
      <c r="N83" s="113">
        <v>0.15338399999999999</v>
      </c>
      <c r="O83" s="113">
        <v>0.46015099999999998</v>
      </c>
      <c r="P83" s="114">
        <v>27.042292</v>
      </c>
      <c r="Q83" s="113">
        <v>1.8749999999999999E-2</v>
      </c>
      <c r="R83" s="113">
        <v>1.8749999999999999E-2</v>
      </c>
      <c r="S83" s="113">
        <v>5.6249E-2</v>
      </c>
      <c r="T83" s="113">
        <v>2.9288000000000002E-2</v>
      </c>
      <c r="U83" s="113">
        <v>2.9288000000000002E-2</v>
      </c>
      <c r="V83" s="113">
        <v>8.7862999999999997E-2</v>
      </c>
      <c r="W83" s="114">
        <v>0</v>
      </c>
    </row>
    <row r="84" spans="2:23" x14ac:dyDescent="0.75">
      <c r="B84">
        <v>2017</v>
      </c>
      <c r="C84" t="str">
        <f t="shared" si="3"/>
        <v>LPG</v>
      </c>
      <c r="D84">
        <v>3</v>
      </c>
      <c r="E84" s="113">
        <v>0.11349099999999999</v>
      </c>
      <c r="F84" s="113">
        <v>2.892E-3</v>
      </c>
      <c r="G84" s="113">
        <v>1.23414</v>
      </c>
      <c r="H84" s="114">
        <v>0</v>
      </c>
      <c r="I84" s="113">
        <v>8.0446019999999994</v>
      </c>
      <c r="J84" s="113">
        <v>24.509499000000002</v>
      </c>
      <c r="K84" s="113">
        <v>17.470009000000001</v>
      </c>
      <c r="L84" s="113">
        <v>27.075617000000001</v>
      </c>
      <c r="M84" s="114">
        <v>8.6940000000000003E-3</v>
      </c>
      <c r="N84" s="113">
        <v>8.6940000000000003E-3</v>
      </c>
      <c r="O84" s="113">
        <v>2.6082999999999999E-2</v>
      </c>
      <c r="P84" s="114">
        <v>0.24462400000000001</v>
      </c>
      <c r="Q84" s="113">
        <v>0</v>
      </c>
      <c r="R84" s="113">
        <v>0</v>
      </c>
      <c r="S84" s="113">
        <v>0</v>
      </c>
      <c r="T84" s="113">
        <v>0</v>
      </c>
      <c r="U84" s="113">
        <v>0</v>
      </c>
      <c r="V84" s="113">
        <v>0</v>
      </c>
      <c r="W84" s="114">
        <v>0</v>
      </c>
    </row>
    <row r="85" spans="2:23" x14ac:dyDescent="0.75">
      <c r="B85">
        <v>2017</v>
      </c>
      <c r="C85" t="str">
        <f t="shared" si="3"/>
        <v>CNG</v>
      </c>
      <c r="D85">
        <v>4</v>
      </c>
      <c r="E85" s="113">
        <v>93.975723000000002</v>
      </c>
      <c r="F85" s="113">
        <v>2.4345919999999999</v>
      </c>
      <c r="G85" s="113">
        <v>0.17519000000000001</v>
      </c>
      <c r="H85" s="114">
        <v>0</v>
      </c>
      <c r="I85" s="113">
        <v>22.789688000000002</v>
      </c>
      <c r="J85" s="113">
        <v>1.020467</v>
      </c>
      <c r="K85" s="113">
        <v>16.801953999999999</v>
      </c>
      <c r="L85" s="113">
        <v>25.754652</v>
      </c>
      <c r="M85" s="114">
        <v>6.4310640000000001</v>
      </c>
      <c r="N85" s="113">
        <v>6.4310640000000001</v>
      </c>
      <c r="O85" s="113">
        <v>19.293189999999999</v>
      </c>
      <c r="P85" s="114">
        <v>598.77734399999997</v>
      </c>
      <c r="Q85" s="113">
        <v>66.668571</v>
      </c>
      <c r="R85" s="113">
        <v>66.668571</v>
      </c>
      <c r="S85" s="113">
        <v>200.00572199999999</v>
      </c>
      <c r="T85" s="113">
        <v>104.13864100000001</v>
      </c>
      <c r="U85" s="113">
        <v>104.13864100000001</v>
      </c>
      <c r="V85" s="113">
        <v>312.41592400000002</v>
      </c>
      <c r="W85" s="114">
        <v>0</v>
      </c>
    </row>
    <row r="86" spans="2:23" x14ac:dyDescent="0.75">
      <c r="B86">
        <v>2017</v>
      </c>
      <c r="C86" t="str">
        <f t="shared" si="3"/>
        <v>E85</v>
      </c>
      <c r="D86">
        <v>5</v>
      </c>
      <c r="E86" s="113">
        <v>10704.573242</v>
      </c>
      <c r="F86" s="113">
        <v>1441.2771</v>
      </c>
      <c r="G86" s="113">
        <v>2105.4245609999998</v>
      </c>
      <c r="H86" s="114">
        <v>1518.4858400000001</v>
      </c>
      <c r="I86" s="113">
        <v>625.97790499999996</v>
      </c>
      <c r="J86" s="113">
        <v>0</v>
      </c>
      <c r="K86" s="113">
        <v>23.872133000000002</v>
      </c>
      <c r="L86" s="113">
        <v>0</v>
      </c>
      <c r="M86" s="114">
        <v>0</v>
      </c>
      <c r="N86" s="113">
        <v>0</v>
      </c>
      <c r="O86" s="113">
        <v>0</v>
      </c>
      <c r="P86" s="114">
        <v>0</v>
      </c>
      <c r="Q86" s="113">
        <v>0</v>
      </c>
      <c r="R86" s="113">
        <v>0</v>
      </c>
      <c r="S86" s="113">
        <v>0</v>
      </c>
      <c r="T86" s="113">
        <v>0</v>
      </c>
      <c r="U86" s="113">
        <v>0</v>
      </c>
      <c r="V86" s="113">
        <v>0</v>
      </c>
      <c r="W86" s="114">
        <v>0</v>
      </c>
    </row>
    <row r="87" spans="2:23" x14ac:dyDescent="0.75">
      <c r="B87">
        <v>2017</v>
      </c>
      <c r="C87" t="str">
        <f t="shared" si="3"/>
        <v>Electric</v>
      </c>
      <c r="D87">
        <v>6</v>
      </c>
      <c r="E87" s="113">
        <v>0</v>
      </c>
      <c r="F87" s="113">
        <v>0</v>
      </c>
      <c r="G87" s="113">
        <v>0</v>
      </c>
      <c r="H87" s="114">
        <v>1.4217059999999999</v>
      </c>
      <c r="I87" s="113">
        <v>0</v>
      </c>
      <c r="J87" s="113">
        <v>1.2451179999999999</v>
      </c>
      <c r="K87" s="113">
        <v>0.38045200000000001</v>
      </c>
      <c r="L87" s="113">
        <v>0</v>
      </c>
      <c r="M87" s="114">
        <v>0</v>
      </c>
      <c r="N87" s="113">
        <v>0</v>
      </c>
      <c r="O87" s="113">
        <v>0</v>
      </c>
      <c r="P87" s="114">
        <v>6.8913000000000002E-2</v>
      </c>
      <c r="Q87" s="113">
        <v>5.1993999999999999E-2</v>
      </c>
      <c r="R87" s="113">
        <v>5.1993999999999999E-2</v>
      </c>
      <c r="S87" s="113">
        <v>0.15598300000000001</v>
      </c>
      <c r="T87" s="113">
        <v>8.1216999999999998E-2</v>
      </c>
      <c r="U87" s="113">
        <v>8.1216999999999998E-2</v>
      </c>
      <c r="V87" s="113">
        <v>0.24365000000000001</v>
      </c>
      <c r="W87" s="114">
        <v>0</v>
      </c>
    </row>
    <row r="88" spans="2:23" x14ac:dyDescent="0.75">
      <c r="B88">
        <v>2017</v>
      </c>
      <c r="C88" t="str">
        <f t="shared" si="3"/>
        <v>PHEV diesel</v>
      </c>
      <c r="D88">
        <v>7</v>
      </c>
      <c r="E88" s="113">
        <v>0</v>
      </c>
      <c r="F88" s="113">
        <v>0</v>
      </c>
      <c r="G88" s="113">
        <v>0</v>
      </c>
      <c r="H88" s="114">
        <v>0</v>
      </c>
      <c r="I88" s="113">
        <v>0</v>
      </c>
      <c r="J88" s="113">
        <v>0</v>
      </c>
      <c r="K88" s="113">
        <v>0</v>
      </c>
      <c r="L88" s="113">
        <v>0</v>
      </c>
      <c r="M88" s="114">
        <v>0</v>
      </c>
      <c r="N88" s="113">
        <v>0</v>
      </c>
      <c r="O88" s="113">
        <v>0</v>
      </c>
      <c r="P88" s="114">
        <v>0</v>
      </c>
      <c r="Q88" s="113">
        <v>0</v>
      </c>
      <c r="R88" s="113">
        <v>0</v>
      </c>
      <c r="S88" s="113">
        <v>0</v>
      </c>
      <c r="T88" s="113">
        <v>0</v>
      </c>
      <c r="U88" s="113">
        <v>0</v>
      </c>
      <c r="V88" s="113">
        <v>0</v>
      </c>
      <c r="W88" s="114">
        <v>0</v>
      </c>
    </row>
    <row r="89" spans="2:23" x14ac:dyDescent="0.75">
      <c r="B89">
        <v>2017</v>
      </c>
      <c r="C89" t="str">
        <f t="shared" si="3"/>
        <v>PHEV gasoline</v>
      </c>
      <c r="D89">
        <v>8</v>
      </c>
      <c r="E89" s="113">
        <v>0</v>
      </c>
      <c r="F89" s="113">
        <v>0</v>
      </c>
      <c r="G89" s="113">
        <v>0</v>
      </c>
      <c r="H89" s="114">
        <v>0</v>
      </c>
      <c r="I89" s="113">
        <v>0</v>
      </c>
      <c r="J89" s="113">
        <v>0</v>
      </c>
      <c r="K89" s="113">
        <v>0</v>
      </c>
      <c r="L89" s="113">
        <v>0</v>
      </c>
      <c r="M89" s="114">
        <v>0</v>
      </c>
      <c r="N89" s="113">
        <v>0</v>
      </c>
      <c r="O89" s="113">
        <v>0</v>
      </c>
      <c r="P89" s="114">
        <v>0</v>
      </c>
      <c r="Q89" s="113">
        <v>0</v>
      </c>
      <c r="R89" s="113">
        <v>0</v>
      </c>
      <c r="S89" s="113">
        <v>0</v>
      </c>
      <c r="T89" s="113">
        <v>0</v>
      </c>
      <c r="U89" s="113">
        <v>0</v>
      </c>
      <c r="V89" s="113">
        <v>0</v>
      </c>
      <c r="W89" s="114">
        <v>0</v>
      </c>
    </row>
    <row r="90" spans="2:23" x14ac:dyDescent="0.75">
      <c r="B90">
        <v>2017</v>
      </c>
      <c r="C90" t="str">
        <f t="shared" si="3"/>
        <v>H2 fuel cell, small battery</v>
      </c>
      <c r="D90">
        <v>9</v>
      </c>
      <c r="E90" s="113">
        <v>0</v>
      </c>
      <c r="F90" s="113">
        <v>0</v>
      </c>
      <c r="G90" s="113">
        <v>0</v>
      </c>
      <c r="H90" s="114">
        <v>0</v>
      </c>
      <c r="I90" s="113">
        <v>0</v>
      </c>
      <c r="J90" s="113">
        <v>0</v>
      </c>
      <c r="K90" s="113">
        <v>0</v>
      </c>
      <c r="L90" s="113">
        <v>0</v>
      </c>
      <c r="M90" s="114">
        <v>0</v>
      </c>
      <c r="N90" s="113">
        <v>0</v>
      </c>
      <c r="O90" s="113">
        <v>0</v>
      </c>
      <c r="P90" s="114">
        <v>0</v>
      </c>
      <c r="Q90" s="113">
        <v>0</v>
      </c>
      <c r="R90" s="113">
        <v>0</v>
      </c>
      <c r="S90" s="113">
        <v>0</v>
      </c>
      <c r="T90" s="113">
        <v>0</v>
      </c>
      <c r="U90" s="113">
        <v>0</v>
      </c>
      <c r="V90" s="113">
        <v>0</v>
      </c>
      <c r="W90" s="114">
        <v>0</v>
      </c>
    </row>
    <row r="91" spans="2:23" x14ac:dyDescent="0.75">
      <c r="B91">
        <v>2017</v>
      </c>
      <c r="C91" t="str">
        <f t="shared" si="3"/>
        <v>H2 fuel cell, large battery</v>
      </c>
      <c r="D91">
        <v>10</v>
      </c>
      <c r="E91" s="113">
        <v>0</v>
      </c>
      <c r="F91" s="113">
        <v>0</v>
      </c>
      <c r="G91" s="113">
        <v>0</v>
      </c>
      <c r="H91" s="114">
        <v>0</v>
      </c>
      <c r="I91" s="113">
        <v>0</v>
      </c>
      <c r="J91" s="113">
        <v>0</v>
      </c>
      <c r="K91" s="113">
        <v>0</v>
      </c>
      <c r="L91" s="113">
        <v>0</v>
      </c>
      <c r="M91" s="114">
        <v>0</v>
      </c>
      <c r="N91" s="113">
        <v>0</v>
      </c>
      <c r="O91" s="113">
        <v>0</v>
      </c>
      <c r="P91" s="114">
        <v>0</v>
      </c>
      <c r="Q91" s="113">
        <v>0</v>
      </c>
      <c r="R91" s="113">
        <v>0</v>
      </c>
      <c r="S91" s="113">
        <v>0</v>
      </c>
      <c r="T91" s="113">
        <v>0</v>
      </c>
      <c r="U91" s="113">
        <v>0</v>
      </c>
      <c r="V91" s="113">
        <v>0</v>
      </c>
      <c r="W91" s="114">
        <v>0</v>
      </c>
    </row>
    <row r="92" spans="2:23" x14ac:dyDescent="0.75">
      <c r="B92">
        <v>2017</v>
      </c>
      <c r="C92" t="str">
        <f t="shared" si="3"/>
        <v>Gasoline hybrid</v>
      </c>
      <c r="D92">
        <v>11</v>
      </c>
      <c r="E92" s="113">
        <v>0</v>
      </c>
      <c r="F92" s="113">
        <v>0</v>
      </c>
      <c r="G92" s="113">
        <v>0</v>
      </c>
      <c r="H92" s="114">
        <v>0</v>
      </c>
      <c r="I92" s="113">
        <v>0</v>
      </c>
      <c r="J92" s="113">
        <v>0</v>
      </c>
      <c r="K92" s="113">
        <v>0</v>
      </c>
      <c r="L92" s="113">
        <v>0</v>
      </c>
      <c r="M92" s="114">
        <v>0</v>
      </c>
      <c r="N92" s="113">
        <v>0</v>
      </c>
      <c r="O92" s="113">
        <v>0</v>
      </c>
      <c r="P92" s="114">
        <v>0</v>
      </c>
      <c r="Q92" s="113">
        <v>0</v>
      </c>
      <c r="R92" s="113">
        <v>0</v>
      </c>
      <c r="S92" s="113">
        <v>0</v>
      </c>
      <c r="T92" s="113">
        <v>0</v>
      </c>
      <c r="U92" s="113">
        <v>0</v>
      </c>
      <c r="V92" s="113">
        <v>0</v>
      </c>
      <c r="W92" s="114">
        <v>0</v>
      </c>
    </row>
    <row r="93" spans="2:23" x14ac:dyDescent="0.75">
      <c r="B93">
        <v>2017</v>
      </c>
      <c r="C93" t="str">
        <f t="shared" si="3"/>
        <v>Hydrogen ICE</v>
      </c>
      <c r="D93">
        <v>12</v>
      </c>
      <c r="E93" s="113">
        <v>0</v>
      </c>
      <c r="F93" s="113">
        <v>0</v>
      </c>
      <c r="G93" s="113">
        <v>0</v>
      </c>
      <c r="H93" s="114">
        <v>0</v>
      </c>
      <c r="I93" s="113">
        <v>0</v>
      </c>
      <c r="J93" s="113">
        <v>0</v>
      </c>
      <c r="K93" s="113">
        <v>0</v>
      </c>
      <c r="L93" s="113">
        <v>0</v>
      </c>
      <c r="M93" s="114">
        <v>0</v>
      </c>
      <c r="N93" s="113">
        <v>0</v>
      </c>
      <c r="O93" s="113">
        <v>0</v>
      </c>
      <c r="P93" s="114">
        <v>0</v>
      </c>
      <c r="Q93" s="113">
        <v>0</v>
      </c>
      <c r="R93" s="113">
        <v>0</v>
      </c>
      <c r="S93" s="113">
        <v>0</v>
      </c>
      <c r="T93" s="113">
        <v>0</v>
      </c>
      <c r="U93" s="113">
        <v>0</v>
      </c>
      <c r="V93" s="113">
        <v>0</v>
      </c>
      <c r="W93" s="114">
        <v>0</v>
      </c>
    </row>
    <row r="94" spans="2:23" x14ac:dyDescent="0.75">
      <c r="B94">
        <v>2018</v>
      </c>
      <c r="C94" t="str">
        <f t="shared" si="3"/>
        <v>Diesel</v>
      </c>
      <c r="D94">
        <v>1</v>
      </c>
      <c r="E94" s="113">
        <v>30657.486327999999</v>
      </c>
      <c r="F94" s="113">
        <v>273.142944</v>
      </c>
      <c r="G94" s="113">
        <v>41748.011719000002</v>
      </c>
      <c r="H94" s="114">
        <v>2266.2709960000002</v>
      </c>
      <c r="I94" s="113">
        <v>7313.6640619999998</v>
      </c>
      <c r="J94" s="113">
        <v>13794.212890999999</v>
      </c>
      <c r="K94" s="113">
        <v>15379.09375</v>
      </c>
      <c r="L94" s="113">
        <v>12691.71875</v>
      </c>
      <c r="M94" s="114">
        <v>1861.8599850000001</v>
      </c>
      <c r="N94" s="113">
        <v>1861.8599850000001</v>
      </c>
      <c r="O94" s="113">
        <v>5585.5795900000003</v>
      </c>
      <c r="P94" s="114">
        <v>21193.816406000002</v>
      </c>
      <c r="Q94" s="113">
        <v>10725.853515999999</v>
      </c>
      <c r="R94" s="113">
        <v>10725.853515999999</v>
      </c>
      <c r="S94" s="113">
        <v>32177.554688</v>
      </c>
      <c r="T94" s="113">
        <v>16754.154297000001</v>
      </c>
      <c r="U94" s="113">
        <v>16754.154297000001</v>
      </c>
      <c r="V94" s="113">
        <v>50258.28125</v>
      </c>
      <c r="W94" s="114">
        <v>5.2763949999999999</v>
      </c>
    </row>
    <row r="95" spans="2:23" x14ac:dyDescent="0.75">
      <c r="B95">
        <v>2018</v>
      </c>
      <c r="C95" t="str">
        <f t="shared" si="3"/>
        <v>Gasoline</v>
      </c>
      <c r="D95">
        <v>2</v>
      </c>
      <c r="E95" s="113">
        <v>46874.566405999998</v>
      </c>
      <c r="F95" s="113">
        <v>3943.5153810000002</v>
      </c>
      <c r="G95" s="113">
        <v>8283.5820309999999</v>
      </c>
      <c r="H95" s="114">
        <v>4983.5170900000003</v>
      </c>
      <c r="I95" s="113">
        <v>12074.149414</v>
      </c>
      <c r="J95" s="113">
        <v>5582.4956050000001</v>
      </c>
      <c r="K95" s="113">
        <v>5985.4135740000002</v>
      </c>
      <c r="L95" s="113">
        <v>304.46948200000003</v>
      </c>
      <c r="M95" s="114">
        <v>0.132933</v>
      </c>
      <c r="N95" s="113">
        <v>0.132933</v>
      </c>
      <c r="O95" s="113">
        <v>0.39879900000000001</v>
      </c>
      <c r="P95" s="114">
        <v>21.929449000000002</v>
      </c>
      <c r="Q95" s="113">
        <v>1.6230000000000001E-2</v>
      </c>
      <c r="R95" s="113">
        <v>1.6230000000000001E-2</v>
      </c>
      <c r="S95" s="113">
        <v>4.8689999999999997E-2</v>
      </c>
      <c r="T95" s="113">
        <v>2.5352E-2</v>
      </c>
      <c r="U95" s="113">
        <v>2.5352E-2</v>
      </c>
      <c r="V95" s="113">
        <v>7.6054999999999998E-2</v>
      </c>
      <c r="W95" s="114">
        <v>0</v>
      </c>
    </row>
    <row r="96" spans="2:23" x14ac:dyDescent="0.75">
      <c r="B96">
        <v>2018</v>
      </c>
      <c r="C96" t="str">
        <f t="shared" si="3"/>
        <v>LPG</v>
      </c>
      <c r="D96">
        <v>3</v>
      </c>
      <c r="E96" s="113">
        <v>9.3796000000000004E-2</v>
      </c>
      <c r="F96" s="113">
        <v>2.895E-3</v>
      </c>
      <c r="G96" s="113">
        <v>1.0730040000000001</v>
      </c>
      <c r="H96" s="114">
        <v>0</v>
      </c>
      <c r="I96" s="113">
        <v>7.4489749999999999</v>
      </c>
      <c r="J96" s="113">
        <v>23.652495999999999</v>
      </c>
      <c r="K96" s="113">
        <v>16.068724</v>
      </c>
      <c r="L96" s="113">
        <v>29.133156</v>
      </c>
      <c r="M96" s="114">
        <v>3.4919999999999999E-3</v>
      </c>
      <c r="N96" s="113">
        <v>3.4919999999999999E-3</v>
      </c>
      <c r="O96" s="113">
        <v>1.0475E-2</v>
      </c>
      <c r="P96" s="114">
        <v>0.19050400000000001</v>
      </c>
      <c r="Q96" s="113">
        <v>0</v>
      </c>
      <c r="R96" s="113">
        <v>0</v>
      </c>
      <c r="S96" s="113">
        <v>0</v>
      </c>
      <c r="T96" s="113">
        <v>0</v>
      </c>
      <c r="U96" s="113">
        <v>0</v>
      </c>
      <c r="V96" s="113">
        <v>0</v>
      </c>
      <c r="W96" s="114">
        <v>0</v>
      </c>
    </row>
    <row r="97" spans="2:23" x14ac:dyDescent="0.75">
      <c r="B97">
        <v>2018</v>
      </c>
      <c r="C97" t="str">
        <f t="shared" si="3"/>
        <v>CNG</v>
      </c>
      <c r="D97">
        <v>4</v>
      </c>
      <c r="E97" s="113">
        <v>93.379974000000004</v>
      </c>
      <c r="F97" s="113">
        <v>3.4515380000000002</v>
      </c>
      <c r="G97" s="113">
        <v>0.58146100000000001</v>
      </c>
      <c r="H97" s="114">
        <v>0.30034899999999998</v>
      </c>
      <c r="I97" s="113">
        <v>25.211051999999999</v>
      </c>
      <c r="J97" s="113">
        <v>0.92182399999999998</v>
      </c>
      <c r="K97" s="113">
        <v>16.689340999999999</v>
      </c>
      <c r="L97" s="113">
        <v>28.859235999999999</v>
      </c>
      <c r="M97" s="114">
        <v>6.1532299999999998</v>
      </c>
      <c r="N97" s="113">
        <v>6.1532299999999998</v>
      </c>
      <c r="O97" s="113">
        <v>18.459688</v>
      </c>
      <c r="P97" s="114">
        <v>687.28582800000004</v>
      </c>
      <c r="Q97" s="113">
        <v>70.015251000000006</v>
      </c>
      <c r="R97" s="113">
        <v>70.015251000000006</v>
      </c>
      <c r="S97" s="113">
        <v>210.04573099999999</v>
      </c>
      <c r="T97" s="113">
        <v>109.366272</v>
      </c>
      <c r="U97" s="113">
        <v>109.366272</v>
      </c>
      <c r="V97" s="113">
        <v>328.098816</v>
      </c>
      <c r="W97" s="114">
        <v>0</v>
      </c>
    </row>
    <row r="98" spans="2:23" x14ac:dyDescent="0.75">
      <c r="B98">
        <v>2018</v>
      </c>
      <c r="C98" t="str">
        <f t="shared" si="3"/>
        <v>E85</v>
      </c>
      <c r="D98">
        <v>5</v>
      </c>
      <c r="E98" s="113">
        <v>12769.605469</v>
      </c>
      <c r="F98" s="113">
        <v>1591.5211179999999</v>
      </c>
      <c r="G98" s="113">
        <v>2414.5654300000001</v>
      </c>
      <c r="H98" s="114">
        <v>1652.076172</v>
      </c>
      <c r="I98" s="113">
        <v>694.25854500000003</v>
      </c>
      <c r="J98" s="113">
        <v>0</v>
      </c>
      <c r="K98" s="113">
        <v>0</v>
      </c>
      <c r="L98" s="113">
        <v>0</v>
      </c>
      <c r="M98" s="114">
        <v>0</v>
      </c>
      <c r="N98" s="113">
        <v>0</v>
      </c>
      <c r="O98" s="113">
        <v>0</v>
      </c>
      <c r="P98" s="114">
        <v>0</v>
      </c>
      <c r="Q98" s="113">
        <v>0</v>
      </c>
      <c r="R98" s="113">
        <v>0</v>
      </c>
      <c r="S98" s="113">
        <v>0</v>
      </c>
      <c r="T98" s="113">
        <v>0</v>
      </c>
      <c r="U98" s="113">
        <v>0</v>
      </c>
      <c r="V98" s="113">
        <v>0</v>
      </c>
      <c r="W98" s="114">
        <v>0</v>
      </c>
    </row>
    <row r="99" spans="2:23" x14ac:dyDescent="0.75">
      <c r="B99">
        <v>2018</v>
      </c>
      <c r="C99" t="str">
        <f t="shared" ref="C99:C162" si="4">C87</f>
        <v>Electric</v>
      </c>
      <c r="D99">
        <v>6</v>
      </c>
      <c r="E99" s="113">
        <v>0</v>
      </c>
      <c r="F99" s="113">
        <v>0</v>
      </c>
      <c r="G99" s="113">
        <v>0</v>
      </c>
      <c r="H99" s="114">
        <v>1.256939</v>
      </c>
      <c r="I99" s="113">
        <v>1.5296160000000001</v>
      </c>
      <c r="J99" s="113">
        <v>1.4810920000000001</v>
      </c>
      <c r="K99" s="113">
        <v>0.365871</v>
      </c>
      <c r="L99" s="113">
        <v>0</v>
      </c>
      <c r="M99" s="114">
        <v>0</v>
      </c>
      <c r="N99" s="113">
        <v>0</v>
      </c>
      <c r="O99" s="113">
        <v>0</v>
      </c>
      <c r="P99" s="114">
        <v>6.5920000000000006E-2</v>
      </c>
      <c r="Q99" s="113">
        <v>5.0617000000000002E-2</v>
      </c>
      <c r="R99" s="113">
        <v>5.0617000000000002E-2</v>
      </c>
      <c r="S99" s="113">
        <v>0.15185100000000001</v>
      </c>
      <c r="T99" s="113">
        <v>7.9065999999999997E-2</v>
      </c>
      <c r="U99" s="113">
        <v>7.9065999999999997E-2</v>
      </c>
      <c r="V99" s="113">
        <v>0.23719699999999999</v>
      </c>
      <c r="W99" s="114">
        <v>0</v>
      </c>
    </row>
    <row r="100" spans="2:23" x14ac:dyDescent="0.75">
      <c r="B100">
        <v>2018</v>
      </c>
      <c r="C100" t="str">
        <f t="shared" si="4"/>
        <v>PHEV diesel</v>
      </c>
      <c r="D100">
        <v>7</v>
      </c>
      <c r="E100" s="113">
        <v>0</v>
      </c>
      <c r="F100" s="113">
        <v>0</v>
      </c>
      <c r="G100" s="113">
        <v>0</v>
      </c>
      <c r="H100" s="114">
        <v>0</v>
      </c>
      <c r="I100" s="113">
        <v>0</v>
      </c>
      <c r="J100" s="113">
        <v>0</v>
      </c>
      <c r="K100" s="113">
        <v>0</v>
      </c>
      <c r="L100" s="113">
        <v>0</v>
      </c>
      <c r="M100" s="114">
        <v>0</v>
      </c>
      <c r="N100" s="113">
        <v>0</v>
      </c>
      <c r="O100" s="113">
        <v>0</v>
      </c>
      <c r="P100" s="114">
        <v>0</v>
      </c>
      <c r="Q100" s="113">
        <v>0</v>
      </c>
      <c r="R100" s="113">
        <v>0</v>
      </c>
      <c r="S100" s="113">
        <v>0</v>
      </c>
      <c r="T100" s="113">
        <v>0</v>
      </c>
      <c r="U100" s="113">
        <v>0</v>
      </c>
      <c r="V100" s="113">
        <v>0</v>
      </c>
      <c r="W100" s="114">
        <v>0</v>
      </c>
    </row>
    <row r="101" spans="2:23" x14ac:dyDescent="0.75">
      <c r="B101">
        <v>2018</v>
      </c>
      <c r="C101" t="str">
        <f t="shared" si="4"/>
        <v>PHEV gasoline</v>
      </c>
      <c r="D101">
        <v>8</v>
      </c>
      <c r="E101" s="113">
        <v>0</v>
      </c>
      <c r="F101" s="113">
        <v>0</v>
      </c>
      <c r="G101" s="113">
        <v>0</v>
      </c>
      <c r="H101" s="114">
        <v>0</v>
      </c>
      <c r="I101" s="113">
        <v>0</v>
      </c>
      <c r="J101" s="113">
        <v>0</v>
      </c>
      <c r="K101" s="113">
        <v>0</v>
      </c>
      <c r="L101" s="113">
        <v>0</v>
      </c>
      <c r="M101" s="114">
        <v>0</v>
      </c>
      <c r="N101" s="113">
        <v>0</v>
      </c>
      <c r="O101" s="113">
        <v>0</v>
      </c>
      <c r="P101" s="114">
        <v>0</v>
      </c>
      <c r="Q101" s="113">
        <v>0</v>
      </c>
      <c r="R101" s="113">
        <v>0</v>
      </c>
      <c r="S101" s="113">
        <v>0</v>
      </c>
      <c r="T101" s="113">
        <v>0</v>
      </c>
      <c r="U101" s="113">
        <v>0</v>
      </c>
      <c r="V101" s="113">
        <v>0</v>
      </c>
      <c r="W101" s="114">
        <v>0</v>
      </c>
    </row>
    <row r="102" spans="2:23" x14ac:dyDescent="0.75">
      <c r="B102">
        <v>2018</v>
      </c>
      <c r="C102" t="str">
        <f t="shared" si="4"/>
        <v>H2 fuel cell, small battery</v>
      </c>
      <c r="D102">
        <v>9</v>
      </c>
      <c r="E102" s="113">
        <v>0</v>
      </c>
      <c r="F102" s="113">
        <v>0</v>
      </c>
      <c r="G102" s="113">
        <v>0</v>
      </c>
      <c r="H102" s="114">
        <v>0</v>
      </c>
      <c r="I102" s="113">
        <v>0</v>
      </c>
      <c r="J102" s="113">
        <v>0</v>
      </c>
      <c r="K102" s="113">
        <v>0</v>
      </c>
      <c r="L102" s="113">
        <v>0</v>
      </c>
      <c r="M102" s="114">
        <v>0</v>
      </c>
      <c r="N102" s="113">
        <v>0</v>
      </c>
      <c r="O102" s="113">
        <v>0</v>
      </c>
      <c r="P102" s="114">
        <v>0</v>
      </c>
      <c r="Q102" s="113">
        <v>0</v>
      </c>
      <c r="R102" s="113">
        <v>0</v>
      </c>
      <c r="S102" s="113">
        <v>0</v>
      </c>
      <c r="T102" s="113">
        <v>0</v>
      </c>
      <c r="U102" s="113">
        <v>0</v>
      </c>
      <c r="V102" s="113">
        <v>0</v>
      </c>
      <c r="W102" s="114">
        <v>0</v>
      </c>
    </row>
    <row r="103" spans="2:23" x14ac:dyDescent="0.75">
      <c r="B103">
        <v>2018</v>
      </c>
      <c r="C103" t="str">
        <f t="shared" si="4"/>
        <v>H2 fuel cell, large battery</v>
      </c>
      <c r="D103">
        <v>10</v>
      </c>
      <c r="E103" s="113">
        <v>0</v>
      </c>
      <c r="F103" s="113">
        <v>0</v>
      </c>
      <c r="G103" s="113">
        <v>0</v>
      </c>
      <c r="H103" s="114">
        <v>0</v>
      </c>
      <c r="I103" s="113">
        <v>0</v>
      </c>
      <c r="J103" s="113">
        <v>0</v>
      </c>
      <c r="K103" s="113">
        <v>0</v>
      </c>
      <c r="L103" s="113">
        <v>0</v>
      </c>
      <c r="M103" s="114">
        <v>0</v>
      </c>
      <c r="N103" s="113">
        <v>0</v>
      </c>
      <c r="O103" s="113">
        <v>0</v>
      </c>
      <c r="P103" s="114">
        <v>0</v>
      </c>
      <c r="Q103" s="113">
        <v>0</v>
      </c>
      <c r="R103" s="113">
        <v>0</v>
      </c>
      <c r="S103" s="113">
        <v>0</v>
      </c>
      <c r="T103" s="113">
        <v>0</v>
      </c>
      <c r="U103" s="113">
        <v>0</v>
      </c>
      <c r="V103" s="113">
        <v>0</v>
      </c>
      <c r="W103" s="114">
        <v>0</v>
      </c>
    </row>
    <row r="104" spans="2:23" x14ac:dyDescent="0.75">
      <c r="B104">
        <v>2018</v>
      </c>
      <c r="C104" t="str">
        <f t="shared" si="4"/>
        <v>Gasoline hybrid</v>
      </c>
      <c r="D104">
        <v>11</v>
      </c>
      <c r="E104" s="113">
        <v>0</v>
      </c>
      <c r="F104" s="113">
        <v>0</v>
      </c>
      <c r="G104" s="113">
        <v>0</v>
      </c>
      <c r="H104" s="114">
        <v>0</v>
      </c>
      <c r="I104" s="113">
        <v>0</v>
      </c>
      <c r="J104" s="113">
        <v>0</v>
      </c>
      <c r="K104" s="113">
        <v>0</v>
      </c>
      <c r="L104" s="113">
        <v>0</v>
      </c>
      <c r="M104" s="114">
        <v>0</v>
      </c>
      <c r="N104" s="113">
        <v>0</v>
      </c>
      <c r="O104" s="113">
        <v>0</v>
      </c>
      <c r="P104" s="114">
        <v>0</v>
      </c>
      <c r="Q104" s="113">
        <v>0</v>
      </c>
      <c r="R104" s="113">
        <v>0</v>
      </c>
      <c r="S104" s="113">
        <v>0</v>
      </c>
      <c r="T104" s="113">
        <v>0</v>
      </c>
      <c r="U104" s="113">
        <v>0</v>
      </c>
      <c r="V104" s="113">
        <v>0</v>
      </c>
      <c r="W104" s="114">
        <v>0</v>
      </c>
    </row>
    <row r="105" spans="2:23" x14ac:dyDescent="0.75">
      <c r="B105">
        <v>2018</v>
      </c>
      <c r="C105" t="str">
        <f t="shared" si="4"/>
        <v>Hydrogen ICE</v>
      </c>
      <c r="D105">
        <v>12</v>
      </c>
      <c r="E105" s="113">
        <v>0</v>
      </c>
      <c r="F105" s="113">
        <v>0</v>
      </c>
      <c r="G105" s="113">
        <v>0</v>
      </c>
      <c r="H105" s="114">
        <v>0</v>
      </c>
      <c r="I105" s="113">
        <v>0</v>
      </c>
      <c r="J105" s="113">
        <v>0</v>
      </c>
      <c r="K105" s="113">
        <v>0</v>
      </c>
      <c r="L105" s="113">
        <v>0</v>
      </c>
      <c r="M105" s="114">
        <v>0</v>
      </c>
      <c r="N105" s="113">
        <v>0</v>
      </c>
      <c r="O105" s="113">
        <v>0</v>
      </c>
      <c r="P105" s="114">
        <v>0</v>
      </c>
      <c r="Q105" s="113">
        <v>0</v>
      </c>
      <c r="R105" s="113">
        <v>0</v>
      </c>
      <c r="S105" s="113">
        <v>0</v>
      </c>
      <c r="T105" s="113">
        <v>0</v>
      </c>
      <c r="U105" s="113">
        <v>0</v>
      </c>
      <c r="V105" s="113">
        <v>0</v>
      </c>
      <c r="W105" s="114">
        <v>0</v>
      </c>
    </row>
    <row r="106" spans="2:23" x14ac:dyDescent="0.75">
      <c r="B106">
        <v>2019</v>
      </c>
      <c r="C106" t="str">
        <f t="shared" si="4"/>
        <v>Diesel</v>
      </c>
      <c r="D106">
        <v>1</v>
      </c>
      <c r="E106" s="113">
        <v>30850.753906000002</v>
      </c>
      <c r="F106" s="113">
        <v>240.983566</v>
      </c>
      <c r="G106" s="113">
        <v>40914.335937999997</v>
      </c>
      <c r="H106" s="114">
        <v>2128.8083499999998</v>
      </c>
      <c r="I106" s="113">
        <v>6602.2260740000002</v>
      </c>
      <c r="J106" s="113">
        <v>14207.288086</v>
      </c>
      <c r="K106" s="113">
        <v>15055.657227</v>
      </c>
      <c r="L106" s="113">
        <v>11946.349609000001</v>
      </c>
      <c r="M106" s="114">
        <v>1782.2120359999999</v>
      </c>
      <c r="N106" s="113">
        <v>1782.2120359999999</v>
      </c>
      <c r="O106" s="113">
        <v>5346.6376950000003</v>
      </c>
      <c r="P106" s="114">
        <v>20639.851562</v>
      </c>
      <c r="Q106" s="113">
        <v>10663.300781</v>
      </c>
      <c r="R106" s="113">
        <v>10663.300781</v>
      </c>
      <c r="S106" s="113">
        <v>31989.896484000001</v>
      </c>
      <c r="T106" s="113">
        <v>16656.449218999998</v>
      </c>
      <c r="U106" s="113">
        <v>16656.449218999998</v>
      </c>
      <c r="V106" s="113">
        <v>49965.167969000002</v>
      </c>
      <c r="W106" s="114">
        <v>5.1454000000000004</v>
      </c>
    </row>
    <row r="107" spans="2:23" x14ac:dyDescent="0.75">
      <c r="B107">
        <v>2019</v>
      </c>
      <c r="C107" t="str">
        <f t="shared" si="4"/>
        <v>Gasoline</v>
      </c>
      <c r="D107">
        <v>2</v>
      </c>
      <c r="E107" s="113">
        <v>44185.136719000002</v>
      </c>
      <c r="F107" s="113">
        <v>3772.2141109999998</v>
      </c>
      <c r="G107" s="113">
        <v>7973.2744140000004</v>
      </c>
      <c r="H107" s="114">
        <v>4632.6743159999996</v>
      </c>
      <c r="I107" s="113">
        <v>11946.794921999999</v>
      </c>
      <c r="J107" s="113">
        <v>5682.3564450000003</v>
      </c>
      <c r="K107" s="113">
        <v>5897.6875</v>
      </c>
      <c r="L107" s="113">
        <v>267.39862099999999</v>
      </c>
      <c r="M107" s="114">
        <v>0.112485</v>
      </c>
      <c r="N107" s="113">
        <v>0.112485</v>
      </c>
      <c r="O107" s="113">
        <v>0.33745599999999998</v>
      </c>
      <c r="P107" s="114">
        <v>16.539988000000001</v>
      </c>
      <c r="Q107" s="113">
        <v>1.3507E-2</v>
      </c>
      <c r="R107" s="113">
        <v>1.3507E-2</v>
      </c>
      <c r="S107" s="113">
        <v>4.0521000000000001E-2</v>
      </c>
      <c r="T107" s="113">
        <v>2.1097999999999999E-2</v>
      </c>
      <c r="U107" s="113">
        <v>2.1097999999999999E-2</v>
      </c>
      <c r="V107" s="113">
        <v>6.3294000000000003E-2</v>
      </c>
      <c r="W107" s="114">
        <v>0</v>
      </c>
    </row>
    <row r="108" spans="2:23" x14ac:dyDescent="0.75">
      <c r="B108">
        <v>2019</v>
      </c>
      <c r="C108" t="str">
        <f t="shared" si="4"/>
        <v>LPG</v>
      </c>
      <c r="D108">
        <v>3</v>
      </c>
      <c r="E108" s="113">
        <v>8.1374000000000002E-2</v>
      </c>
      <c r="F108" s="113">
        <v>2.8189999999999999E-3</v>
      </c>
      <c r="G108" s="113">
        <v>0.91352599999999995</v>
      </c>
      <c r="H108" s="114">
        <v>0</v>
      </c>
      <c r="I108" s="113">
        <v>6.4707420000000004</v>
      </c>
      <c r="J108" s="113">
        <v>20.759830000000001</v>
      </c>
      <c r="K108" s="113">
        <v>13.420408</v>
      </c>
      <c r="L108" s="113">
        <v>26.04007</v>
      </c>
      <c r="M108" s="114">
        <v>3.202E-3</v>
      </c>
      <c r="N108" s="113">
        <v>3.202E-3</v>
      </c>
      <c r="O108" s="113">
        <v>9.6069999999999992E-3</v>
      </c>
      <c r="P108" s="114">
        <v>0.16304299999999999</v>
      </c>
      <c r="Q108" s="113">
        <v>0</v>
      </c>
      <c r="R108" s="113">
        <v>0</v>
      </c>
      <c r="S108" s="113">
        <v>0</v>
      </c>
      <c r="T108" s="113">
        <v>0</v>
      </c>
      <c r="U108" s="113">
        <v>0</v>
      </c>
      <c r="V108" s="113">
        <v>0</v>
      </c>
      <c r="W108" s="114">
        <v>0</v>
      </c>
    </row>
    <row r="109" spans="2:23" x14ac:dyDescent="0.75">
      <c r="B109">
        <v>2019</v>
      </c>
      <c r="C109" t="str">
        <f t="shared" si="4"/>
        <v>CNG</v>
      </c>
      <c r="D109">
        <v>4</v>
      </c>
      <c r="E109" s="113">
        <v>93.957329000000001</v>
      </c>
      <c r="F109" s="113">
        <v>4.7850099999999998</v>
      </c>
      <c r="G109" s="113">
        <v>1.3680300000000001</v>
      </c>
      <c r="H109" s="114">
        <v>17.143992999999998</v>
      </c>
      <c r="I109" s="113">
        <v>24.825209000000001</v>
      </c>
      <c r="J109" s="113">
        <v>0.80252800000000002</v>
      </c>
      <c r="K109" s="113">
        <v>15.327681999999999</v>
      </c>
      <c r="L109" s="113">
        <v>26.783365</v>
      </c>
      <c r="M109" s="114">
        <v>5.4360920000000004</v>
      </c>
      <c r="N109" s="113">
        <v>5.4360920000000004</v>
      </c>
      <c r="O109" s="113">
        <v>16.308277</v>
      </c>
      <c r="P109" s="114">
        <v>709.77886999999998</v>
      </c>
      <c r="Q109" s="113">
        <v>67.53331</v>
      </c>
      <c r="R109" s="113">
        <v>67.53331</v>
      </c>
      <c r="S109" s="113">
        <v>202.59991500000001</v>
      </c>
      <c r="T109" s="113">
        <v>105.489403</v>
      </c>
      <c r="U109" s="113">
        <v>105.489403</v>
      </c>
      <c r="V109" s="113">
        <v>316.46820100000002</v>
      </c>
      <c r="W109" s="114">
        <v>0</v>
      </c>
    </row>
    <row r="110" spans="2:23" x14ac:dyDescent="0.75">
      <c r="B110">
        <v>2019</v>
      </c>
      <c r="C110" t="str">
        <f t="shared" si="4"/>
        <v>E85</v>
      </c>
      <c r="D110">
        <v>5</v>
      </c>
      <c r="E110" s="113">
        <v>14715.149414</v>
      </c>
      <c r="F110" s="113">
        <v>1771.79187</v>
      </c>
      <c r="G110" s="113">
        <v>2420.530518</v>
      </c>
      <c r="H110" s="114">
        <v>1702.9501949999999</v>
      </c>
      <c r="I110" s="113">
        <v>743.31622300000004</v>
      </c>
      <c r="J110" s="113">
        <v>0</v>
      </c>
      <c r="K110" s="113">
        <v>0</v>
      </c>
      <c r="L110" s="113">
        <v>0</v>
      </c>
      <c r="M110" s="114">
        <v>0</v>
      </c>
      <c r="N110" s="113">
        <v>0</v>
      </c>
      <c r="O110" s="113">
        <v>0</v>
      </c>
      <c r="P110" s="114">
        <v>0</v>
      </c>
      <c r="Q110" s="113">
        <v>0</v>
      </c>
      <c r="R110" s="113">
        <v>0</v>
      </c>
      <c r="S110" s="113">
        <v>0</v>
      </c>
      <c r="T110" s="113">
        <v>0</v>
      </c>
      <c r="U110" s="113">
        <v>0</v>
      </c>
      <c r="V110" s="113">
        <v>0</v>
      </c>
      <c r="W110" s="114">
        <v>0</v>
      </c>
    </row>
    <row r="111" spans="2:23" x14ac:dyDescent="0.75">
      <c r="B111">
        <v>2019</v>
      </c>
      <c r="C111" t="str">
        <f t="shared" si="4"/>
        <v>Electric</v>
      </c>
      <c r="D111">
        <v>6</v>
      </c>
      <c r="E111" s="113">
        <v>0</v>
      </c>
      <c r="F111" s="113">
        <v>0</v>
      </c>
      <c r="G111" s="113">
        <v>0</v>
      </c>
      <c r="H111" s="114">
        <v>1.071504</v>
      </c>
      <c r="I111" s="113">
        <v>1.4337279999999999</v>
      </c>
      <c r="J111" s="113">
        <v>1.381578</v>
      </c>
      <c r="K111" s="113">
        <v>0.32717400000000002</v>
      </c>
      <c r="L111" s="113">
        <v>0</v>
      </c>
      <c r="M111" s="114">
        <v>0</v>
      </c>
      <c r="N111" s="113">
        <v>0</v>
      </c>
      <c r="O111" s="113">
        <v>0</v>
      </c>
      <c r="P111" s="114">
        <v>5.8707000000000002E-2</v>
      </c>
      <c r="Q111" s="113">
        <v>0.11794300000000001</v>
      </c>
      <c r="R111" s="113">
        <v>0.11794300000000001</v>
      </c>
      <c r="S111" s="113">
        <v>0.35382799999999998</v>
      </c>
      <c r="T111" s="113">
        <v>0.18423100000000001</v>
      </c>
      <c r="U111" s="113">
        <v>0.18423100000000001</v>
      </c>
      <c r="V111" s="113">
        <v>0.55269100000000004</v>
      </c>
      <c r="W111" s="114">
        <v>0</v>
      </c>
    </row>
    <row r="112" spans="2:23" x14ac:dyDescent="0.75">
      <c r="B112">
        <v>2019</v>
      </c>
      <c r="C112" t="str">
        <f t="shared" si="4"/>
        <v>PHEV diesel</v>
      </c>
      <c r="D112">
        <v>7</v>
      </c>
      <c r="E112" s="113">
        <v>0</v>
      </c>
      <c r="F112" s="113">
        <v>0</v>
      </c>
      <c r="G112" s="113">
        <v>0</v>
      </c>
      <c r="H112" s="114">
        <v>0</v>
      </c>
      <c r="I112" s="113">
        <v>0</v>
      </c>
      <c r="J112" s="113">
        <v>0</v>
      </c>
      <c r="K112" s="113">
        <v>0</v>
      </c>
      <c r="L112" s="113">
        <v>0</v>
      </c>
      <c r="M112" s="114">
        <v>0</v>
      </c>
      <c r="N112" s="113">
        <v>0</v>
      </c>
      <c r="O112" s="113">
        <v>0</v>
      </c>
      <c r="P112" s="114">
        <v>0</v>
      </c>
      <c r="Q112" s="113">
        <v>0</v>
      </c>
      <c r="R112" s="113">
        <v>0</v>
      </c>
      <c r="S112" s="113">
        <v>0</v>
      </c>
      <c r="T112" s="113">
        <v>0</v>
      </c>
      <c r="U112" s="113">
        <v>0</v>
      </c>
      <c r="V112" s="113">
        <v>0</v>
      </c>
      <c r="W112" s="114">
        <v>0</v>
      </c>
    </row>
    <row r="113" spans="2:23" x14ac:dyDescent="0.75">
      <c r="B113">
        <v>2019</v>
      </c>
      <c r="C113" t="str">
        <f t="shared" si="4"/>
        <v>PHEV gasoline</v>
      </c>
      <c r="D113">
        <v>8</v>
      </c>
      <c r="E113" s="113">
        <v>0</v>
      </c>
      <c r="F113" s="113">
        <v>0</v>
      </c>
      <c r="G113" s="113">
        <v>0</v>
      </c>
      <c r="H113" s="114">
        <v>0</v>
      </c>
      <c r="I113" s="113">
        <v>0</v>
      </c>
      <c r="J113" s="113">
        <v>0</v>
      </c>
      <c r="K113" s="113">
        <v>0</v>
      </c>
      <c r="L113" s="113">
        <v>0</v>
      </c>
      <c r="M113" s="114">
        <v>0</v>
      </c>
      <c r="N113" s="113">
        <v>0</v>
      </c>
      <c r="O113" s="113">
        <v>0</v>
      </c>
      <c r="P113" s="114">
        <v>0</v>
      </c>
      <c r="Q113" s="113">
        <v>0</v>
      </c>
      <c r="R113" s="113">
        <v>0</v>
      </c>
      <c r="S113" s="113">
        <v>0</v>
      </c>
      <c r="T113" s="113">
        <v>0</v>
      </c>
      <c r="U113" s="113">
        <v>0</v>
      </c>
      <c r="V113" s="113">
        <v>0</v>
      </c>
      <c r="W113" s="114">
        <v>0</v>
      </c>
    </row>
    <row r="114" spans="2:23" x14ac:dyDescent="0.75">
      <c r="B114">
        <v>2019</v>
      </c>
      <c r="C114" t="str">
        <f t="shared" si="4"/>
        <v>H2 fuel cell, small battery</v>
      </c>
      <c r="D114">
        <v>9</v>
      </c>
      <c r="E114" s="113">
        <v>0</v>
      </c>
      <c r="F114" s="113">
        <v>0</v>
      </c>
      <c r="G114" s="113">
        <v>0</v>
      </c>
      <c r="H114" s="114">
        <v>0</v>
      </c>
      <c r="I114" s="113">
        <v>0</v>
      </c>
      <c r="J114" s="113">
        <v>0</v>
      </c>
      <c r="K114" s="113">
        <v>0</v>
      </c>
      <c r="L114" s="113">
        <v>0</v>
      </c>
      <c r="M114" s="114">
        <v>0</v>
      </c>
      <c r="N114" s="113">
        <v>0</v>
      </c>
      <c r="O114" s="113">
        <v>0</v>
      </c>
      <c r="P114" s="114">
        <v>0</v>
      </c>
      <c r="Q114" s="113">
        <v>0</v>
      </c>
      <c r="R114" s="113">
        <v>0</v>
      </c>
      <c r="S114" s="113">
        <v>0</v>
      </c>
      <c r="T114" s="113">
        <v>0</v>
      </c>
      <c r="U114" s="113">
        <v>0</v>
      </c>
      <c r="V114" s="113">
        <v>0</v>
      </c>
      <c r="W114" s="114">
        <v>0</v>
      </c>
    </row>
    <row r="115" spans="2:23" x14ac:dyDescent="0.75">
      <c r="B115">
        <v>2019</v>
      </c>
      <c r="C115" t="str">
        <f t="shared" si="4"/>
        <v>H2 fuel cell, large battery</v>
      </c>
      <c r="D115">
        <v>10</v>
      </c>
      <c r="E115" s="113">
        <v>0</v>
      </c>
      <c r="F115" s="113">
        <v>0</v>
      </c>
      <c r="G115" s="113">
        <v>0</v>
      </c>
      <c r="H115" s="114">
        <v>0</v>
      </c>
      <c r="I115" s="113">
        <v>0</v>
      </c>
      <c r="J115" s="113">
        <v>0</v>
      </c>
      <c r="K115" s="113">
        <v>0</v>
      </c>
      <c r="L115" s="113">
        <v>0</v>
      </c>
      <c r="M115" s="114">
        <v>0</v>
      </c>
      <c r="N115" s="113">
        <v>0</v>
      </c>
      <c r="O115" s="113">
        <v>0</v>
      </c>
      <c r="P115" s="114">
        <v>0</v>
      </c>
      <c r="Q115" s="113">
        <v>0</v>
      </c>
      <c r="R115" s="113">
        <v>0</v>
      </c>
      <c r="S115" s="113">
        <v>0</v>
      </c>
      <c r="T115" s="113">
        <v>0</v>
      </c>
      <c r="U115" s="113">
        <v>0</v>
      </c>
      <c r="V115" s="113">
        <v>0</v>
      </c>
      <c r="W115" s="114">
        <v>0</v>
      </c>
    </row>
    <row r="116" spans="2:23" x14ac:dyDescent="0.75">
      <c r="B116">
        <v>2019</v>
      </c>
      <c r="C116" t="str">
        <f t="shared" si="4"/>
        <v>Gasoline hybrid</v>
      </c>
      <c r="D116">
        <v>11</v>
      </c>
      <c r="E116" s="113">
        <v>0</v>
      </c>
      <c r="F116" s="113">
        <v>0</v>
      </c>
      <c r="G116" s="113">
        <v>0</v>
      </c>
      <c r="H116" s="114">
        <v>0</v>
      </c>
      <c r="I116" s="113">
        <v>0</v>
      </c>
      <c r="J116" s="113">
        <v>0</v>
      </c>
      <c r="K116" s="113">
        <v>0</v>
      </c>
      <c r="L116" s="113">
        <v>0</v>
      </c>
      <c r="M116" s="114">
        <v>0</v>
      </c>
      <c r="N116" s="113">
        <v>0</v>
      </c>
      <c r="O116" s="113">
        <v>0</v>
      </c>
      <c r="P116" s="114">
        <v>0</v>
      </c>
      <c r="Q116" s="113">
        <v>0</v>
      </c>
      <c r="R116" s="113">
        <v>0</v>
      </c>
      <c r="S116" s="113">
        <v>0</v>
      </c>
      <c r="T116" s="113">
        <v>0</v>
      </c>
      <c r="U116" s="113">
        <v>0</v>
      </c>
      <c r="V116" s="113">
        <v>0</v>
      </c>
      <c r="W116" s="114">
        <v>0</v>
      </c>
    </row>
    <row r="117" spans="2:23" x14ac:dyDescent="0.75">
      <c r="B117">
        <v>2019</v>
      </c>
      <c r="C117" t="str">
        <f t="shared" si="4"/>
        <v>Hydrogen ICE</v>
      </c>
      <c r="D117">
        <v>12</v>
      </c>
      <c r="E117" s="113">
        <v>0</v>
      </c>
      <c r="F117" s="113">
        <v>0</v>
      </c>
      <c r="G117" s="113">
        <v>0</v>
      </c>
      <c r="H117" s="114">
        <v>0</v>
      </c>
      <c r="I117" s="113">
        <v>0</v>
      </c>
      <c r="J117" s="113">
        <v>0</v>
      </c>
      <c r="K117" s="113">
        <v>0</v>
      </c>
      <c r="L117" s="113">
        <v>0</v>
      </c>
      <c r="M117" s="114">
        <v>0</v>
      </c>
      <c r="N117" s="113">
        <v>0</v>
      </c>
      <c r="O117" s="113">
        <v>0</v>
      </c>
      <c r="P117" s="114">
        <v>0</v>
      </c>
      <c r="Q117" s="113">
        <v>0</v>
      </c>
      <c r="R117" s="113">
        <v>0</v>
      </c>
      <c r="S117" s="113">
        <v>0</v>
      </c>
      <c r="T117" s="113">
        <v>0</v>
      </c>
      <c r="U117" s="113">
        <v>0</v>
      </c>
      <c r="V117" s="113">
        <v>0</v>
      </c>
      <c r="W117" s="114">
        <v>0</v>
      </c>
    </row>
    <row r="118" spans="2:23" x14ac:dyDescent="0.75">
      <c r="B118">
        <v>2020</v>
      </c>
      <c r="C118" t="str">
        <f t="shared" si="4"/>
        <v>Diesel</v>
      </c>
      <c r="D118">
        <v>1</v>
      </c>
      <c r="E118" s="113">
        <v>28271.828125</v>
      </c>
      <c r="F118" s="113">
        <v>196.85432399999999</v>
      </c>
      <c r="G118" s="113">
        <v>42181.90625</v>
      </c>
      <c r="H118" s="114">
        <v>1970.262573</v>
      </c>
      <c r="I118" s="113">
        <v>6046.0146480000003</v>
      </c>
      <c r="J118" s="113">
        <v>14247.724609000001</v>
      </c>
      <c r="K118" s="113">
        <v>14720.486328000001</v>
      </c>
      <c r="L118" s="113">
        <v>11241.774414</v>
      </c>
      <c r="M118" s="114">
        <v>1672.8516850000001</v>
      </c>
      <c r="N118" s="113">
        <v>1672.8516850000001</v>
      </c>
      <c r="O118" s="113">
        <v>5018.5551759999998</v>
      </c>
      <c r="P118" s="114">
        <v>20382.388672000001</v>
      </c>
      <c r="Q118" s="113">
        <v>10638.833984000001</v>
      </c>
      <c r="R118" s="113">
        <v>10638.833984000001</v>
      </c>
      <c r="S118" s="113">
        <v>31916.492188</v>
      </c>
      <c r="T118" s="113">
        <v>16618.232422000001</v>
      </c>
      <c r="U118" s="113">
        <v>16618.232422000001</v>
      </c>
      <c r="V118" s="113">
        <v>49850.539062000003</v>
      </c>
      <c r="W118" s="114">
        <v>4.8298040000000002</v>
      </c>
    </row>
    <row r="119" spans="2:23" x14ac:dyDescent="0.75">
      <c r="B119">
        <v>2020</v>
      </c>
      <c r="C119" t="str">
        <f t="shared" si="4"/>
        <v>Gasoline</v>
      </c>
      <c r="D119">
        <v>2</v>
      </c>
      <c r="E119" s="113">
        <v>43571.125</v>
      </c>
      <c r="F119" s="113">
        <v>3413.8410640000002</v>
      </c>
      <c r="G119" s="113">
        <v>9228.09375</v>
      </c>
      <c r="H119" s="114">
        <v>4095.2150879999999</v>
      </c>
      <c r="I119" s="113">
        <v>11101.035156</v>
      </c>
      <c r="J119" s="113">
        <v>5914.6044920000004</v>
      </c>
      <c r="K119" s="113">
        <v>5479.6660160000001</v>
      </c>
      <c r="L119" s="113">
        <v>227.827606</v>
      </c>
      <c r="M119" s="114">
        <v>9.7915000000000002E-2</v>
      </c>
      <c r="N119" s="113">
        <v>9.7915000000000002E-2</v>
      </c>
      <c r="O119" s="113">
        <v>0.29374400000000001</v>
      </c>
      <c r="P119" s="114">
        <v>11.324384</v>
      </c>
      <c r="Q119" s="113">
        <v>1.0952999999999999E-2</v>
      </c>
      <c r="R119" s="113">
        <v>1.0952999999999999E-2</v>
      </c>
      <c r="S119" s="113">
        <v>3.286E-2</v>
      </c>
      <c r="T119" s="113">
        <v>1.7108999999999999E-2</v>
      </c>
      <c r="U119" s="113">
        <v>1.7108999999999999E-2</v>
      </c>
      <c r="V119" s="113">
        <v>5.1327999999999999E-2</v>
      </c>
      <c r="W119" s="114">
        <v>0</v>
      </c>
    </row>
    <row r="120" spans="2:23" x14ac:dyDescent="0.75">
      <c r="B120">
        <v>2020</v>
      </c>
      <c r="C120" t="str">
        <f t="shared" si="4"/>
        <v>LPG</v>
      </c>
      <c r="D120">
        <v>3</v>
      </c>
      <c r="E120" s="113">
        <v>6.8696999999999994E-2</v>
      </c>
      <c r="F120" s="113">
        <v>2.5990000000000002E-3</v>
      </c>
      <c r="G120" s="113">
        <v>0.74011800000000005</v>
      </c>
      <c r="H120" s="114">
        <v>0</v>
      </c>
      <c r="I120" s="113">
        <v>5.6589910000000003</v>
      </c>
      <c r="J120" s="113">
        <v>18.318135999999999</v>
      </c>
      <c r="K120" s="113">
        <v>10.623658000000001</v>
      </c>
      <c r="L120" s="113">
        <v>24.980757000000001</v>
      </c>
      <c r="M120" s="114">
        <v>2.9629999999999999E-3</v>
      </c>
      <c r="N120" s="113">
        <v>2.9629999999999999E-3</v>
      </c>
      <c r="O120" s="113">
        <v>8.8900000000000003E-3</v>
      </c>
      <c r="P120" s="114">
        <v>0.11228200000000001</v>
      </c>
      <c r="Q120" s="113">
        <v>0</v>
      </c>
      <c r="R120" s="113">
        <v>0</v>
      </c>
      <c r="S120" s="113">
        <v>0</v>
      </c>
      <c r="T120" s="113">
        <v>0</v>
      </c>
      <c r="U120" s="113">
        <v>0</v>
      </c>
      <c r="V120" s="113">
        <v>0</v>
      </c>
      <c r="W120" s="114">
        <v>0</v>
      </c>
    </row>
    <row r="121" spans="2:23" x14ac:dyDescent="0.75">
      <c r="B121">
        <v>2020</v>
      </c>
      <c r="C121" t="str">
        <f t="shared" si="4"/>
        <v>CNG</v>
      </c>
      <c r="D121">
        <v>4</v>
      </c>
      <c r="E121" s="113">
        <v>83.103156999999996</v>
      </c>
      <c r="F121" s="113">
        <v>5.7605089999999999</v>
      </c>
      <c r="G121" s="113">
        <v>1.230359</v>
      </c>
      <c r="H121" s="114">
        <v>16.148506000000001</v>
      </c>
      <c r="I121" s="113">
        <v>25.479583999999999</v>
      </c>
      <c r="J121" s="113">
        <v>0.69353399999999998</v>
      </c>
      <c r="K121" s="113">
        <v>17.531711999999999</v>
      </c>
      <c r="L121" s="113">
        <v>27.383016999999999</v>
      </c>
      <c r="M121" s="114">
        <v>4.5994489999999999</v>
      </c>
      <c r="N121" s="113">
        <v>4.5994489999999999</v>
      </c>
      <c r="O121" s="113">
        <v>13.798344999999999</v>
      </c>
      <c r="P121" s="114">
        <v>722.53765899999996</v>
      </c>
      <c r="Q121" s="113">
        <v>63.313091</v>
      </c>
      <c r="R121" s="113">
        <v>63.313091</v>
      </c>
      <c r="S121" s="113">
        <v>189.939301</v>
      </c>
      <c r="T121" s="113">
        <v>98.897284999999997</v>
      </c>
      <c r="U121" s="113">
        <v>98.897284999999997</v>
      </c>
      <c r="V121" s="113">
        <v>296.69183299999997</v>
      </c>
      <c r="W121" s="114">
        <v>0</v>
      </c>
    </row>
    <row r="122" spans="2:23" x14ac:dyDescent="0.75">
      <c r="B122">
        <v>2020</v>
      </c>
      <c r="C122" t="str">
        <f t="shared" si="4"/>
        <v>E85</v>
      </c>
      <c r="D122">
        <v>5</v>
      </c>
      <c r="E122" s="113">
        <v>10341.087890999999</v>
      </c>
      <c r="F122" s="113">
        <v>1741.7856449999999</v>
      </c>
      <c r="G122" s="113">
        <v>1985.140625</v>
      </c>
      <c r="H122" s="114">
        <v>1674.6324460000001</v>
      </c>
      <c r="I122" s="113">
        <v>768.63043200000004</v>
      </c>
      <c r="J122" s="113">
        <v>0</v>
      </c>
      <c r="K122" s="113">
        <v>0</v>
      </c>
      <c r="L122" s="113">
        <v>0</v>
      </c>
      <c r="M122" s="114">
        <v>0</v>
      </c>
      <c r="N122" s="113">
        <v>0</v>
      </c>
      <c r="O122" s="113">
        <v>0</v>
      </c>
      <c r="P122" s="114">
        <v>0</v>
      </c>
      <c r="Q122" s="113">
        <v>0</v>
      </c>
      <c r="R122" s="113">
        <v>0</v>
      </c>
      <c r="S122" s="113">
        <v>0</v>
      </c>
      <c r="T122" s="113">
        <v>0</v>
      </c>
      <c r="U122" s="113">
        <v>0</v>
      </c>
      <c r="V122" s="113">
        <v>0</v>
      </c>
      <c r="W122" s="114">
        <v>0</v>
      </c>
    </row>
    <row r="123" spans="2:23" x14ac:dyDescent="0.75">
      <c r="B123">
        <v>2020</v>
      </c>
      <c r="C123" t="str">
        <f t="shared" si="4"/>
        <v>Electric</v>
      </c>
      <c r="D123">
        <v>6</v>
      </c>
      <c r="E123" s="113">
        <v>0</v>
      </c>
      <c r="F123" s="113">
        <v>0</v>
      </c>
      <c r="G123" s="113">
        <v>0</v>
      </c>
      <c r="H123" s="114">
        <v>0.92664999999999997</v>
      </c>
      <c r="I123" s="113">
        <v>1.2902020000000001</v>
      </c>
      <c r="J123" s="113">
        <v>1.191165</v>
      </c>
      <c r="K123" s="113">
        <v>0.751753</v>
      </c>
      <c r="L123" s="113">
        <v>0</v>
      </c>
      <c r="M123" s="114">
        <v>0</v>
      </c>
      <c r="N123" s="113">
        <v>0</v>
      </c>
      <c r="O123" s="113">
        <v>0</v>
      </c>
      <c r="P123" s="114">
        <v>5.2540999999999997E-2</v>
      </c>
      <c r="Q123" s="113">
        <v>0.91608800000000001</v>
      </c>
      <c r="R123" s="113">
        <v>0.91608800000000001</v>
      </c>
      <c r="S123" s="113">
        <v>2.7482630000000001</v>
      </c>
      <c r="T123" s="113">
        <v>1.4309609999999999</v>
      </c>
      <c r="U123" s="113">
        <v>1.4309609999999999</v>
      </c>
      <c r="V123" s="113">
        <v>4.2928829999999998</v>
      </c>
      <c r="W123" s="114">
        <v>0</v>
      </c>
    </row>
    <row r="124" spans="2:23" x14ac:dyDescent="0.75">
      <c r="B124">
        <v>2020</v>
      </c>
      <c r="C124" t="str">
        <f t="shared" si="4"/>
        <v>PHEV diesel</v>
      </c>
      <c r="D124">
        <v>7</v>
      </c>
      <c r="E124" s="113">
        <v>0</v>
      </c>
      <c r="F124" s="113">
        <v>0</v>
      </c>
      <c r="G124" s="113">
        <v>0</v>
      </c>
      <c r="H124" s="114">
        <v>0</v>
      </c>
      <c r="I124" s="113">
        <v>0</v>
      </c>
      <c r="J124" s="113">
        <v>0</v>
      </c>
      <c r="K124" s="113">
        <v>0</v>
      </c>
      <c r="L124" s="113">
        <v>0</v>
      </c>
      <c r="M124" s="114">
        <v>0</v>
      </c>
      <c r="N124" s="113">
        <v>0</v>
      </c>
      <c r="O124" s="113">
        <v>0</v>
      </c>
      <c r="P124" s="114">
        <v>0</v>
      </c>
      <c r="Q124" s="113">
        <v>0</v>
      </c>
      <c r="R124" s="113">
        <v>0</v>
      </c>
      <c r="S124" s="113">
        <v>0</v>
      </c>
      <c r="T124" s="113">
        <v>0</v>
      </c>
      <c r="U124" s="113">
        <v>0</v>
      </c>
      <c r="V124" s="113">
        <v>0</v>
      </c>
      <c r="W124" s="114">
        <v>0</v>
      </c>
    </row>
    <row r="125" spans="2:23" x14ac:dyDescent="0.75">
      <c r="B125">
        <v>2020</v>
      </c>
      <c r="C125" t="str">
        <f t="shared" si="4"/>
        <v>PHEV gasoline</v>
      </c>
      <c r="D125">
        <v>8</v>
      </c>
      <c r="E125" s="113">
        <v>0</v>
      </c>
      <c r="F125" s="113">
        <v>0</v>
      </c>
      <c r="G125" s="113">
        <v>0</v>
      </c>
      <c r="H125" s="114">
        <v>0</v>
      </c>
      <c r="I125" s="113">
        <v>0</v>
      </c>
      <c r="J125" s="113">
        <v>0</v>
      </c>
      <c r="K125" s="113">
        <v>0</v>
      </c>
      <c r="L125" s="113">
        <v>0</v>
      </c>
      <c r="M125" s="114">
        <v>0</v>
      </c>
      <c r="N125" s="113">
        <v>0</v>
      </c>
      <c r="O125" s="113">
        <v>0</v>
      </c>
      <c r="P125" s="114">
        <v>0</v>
      </c>
      <c r="Q125" s="113">
        <v>0</v>
      </c>
      <c r="R125" s="113">
        <v>0</v>
      </c>
      <c r="S125" s="113">
        <v>0</v>
      </c>
      <c r="T125" s="113">
        <v>0</v>
      </c>
      <c r="U125" s="113">
        <v>0</v>
      </c>
      <c r="V125" s="113">
        <v>0</v>
      </c>
      <c r="W125" s="114">
        <v>0</v>
      </c>
    </row>
    <row r="126" spans="2:23" x14ac:dyDescent="0.75">
      <c r="B126">
        <v>2020</v>
      </c>
      <c r="C126" t="str">
        <f t="shared" si="4"/>
        <v>H2 fuel cell, small battery</v>
      </c>
      <c r="D126">
        <v>9</v>
      </c>
      <c r="E126" s="113">
        <v>0</v>
      </c>
      <c r="F126" s="113">
        <v>0</v>
      </c>
      <c r="G126" s="113">
        <v>0</v>
      </c>
      <c r="H126" s="114">
        <v>0</v>
      </c>
      <c r="I126" s="113">
        <v>0</v>
      </c>
      <c r="J126" s="113">
        <v>0</v>
      </c>
      <c r="K126" s="113">
        <v>0</v>
      </c>
      <c r="L126" s="113">
        <v>0</v>
      </c>
      <c r="M126" s="114">
        <v>0</v>
      </c>
      <c r="N126" s="113">
        <v>0</v>
      </c>
      <c r="O126" s="113">
        <v>0</v>
      </c>
      <c r="P126" s="114">
        <v>0</v>
      </c>
      <c r="Q126" s="113">
        <v>0</v>
      </c>
      <c r="R126" s="113">
        <v>0</v>
      </c>
      <c r="S126" s="113">
        <v>0</v>
      </c>
      <c r="T126" s="113">
        <v>0</v>
      </c>
      <c r="U126" s="113">
        <v>0</v>
      </c>
      <c r="V126" s="113">
        <v>0</v>
      </c>
      <c r="W126" s="114">
        <v>0</v>
      </c>
    </row>
    <row r="127" spans="2:23" x14ac:dyDescent="0.75">
      <c r="B127">
        <v>2020</v>
      </c>
      <c r="C127" t="str">
        <f t="shared" si="4"/>
        <v>H2 fuel cell, large battery</v>
      </c>
      <c r="D127">
        <v>10</v>
      </c>
      <c r="E127" s="113">
        <v>0</v>
      </c>
      <c r="F127" s="113">
        <v>0</v>
      </c>
      <c r="G127" s="113">
        <v>0</v>
      </c>
      <c r="H127" s="114">
        <v>0</v>
      </c>
      <c r="I127" s="113">
        <v>0</v>
      </c>
      <c r="J127" s="113">
        <v>0</v>
      </c>
      <c r="K127" s="113">
        <v>0</v>
      </c>
      <c r="L127" s="113">
        <v>0</v>
      </c>
      <c r="M127" s="114">
        <v>0</v>
      </c>
      <c r="N127" s="113">
        <v>0</v>
      </c>
      <c r="O127" s="113">
        <v>0</v>
      </c>
      <c r="P127" s="114">
        <v>0</v>
      </c>
      <c r="Q127" s="113">
        <v>0</v>
      </c>
      <c r="R127" s="113">
        <v>0</v>
      </c>
      <c r="S127" s="113">
        <v>0</v>
      </c>
      <c r="T127" s="113">
        <v>0</v>
      </c>
      <c r="U127" s="113">
        <v>0</v>
      </c>
      <c r="V127" s="113">
        <v>0</v>
      </c>
      <c r="W127" s="114">
        <v>0</v>
      </c>
    </row>
    <row r="128" spans="2:23" x14ac:dyDescent="0.75">
      <c r="B128">
        <v>2020</v>
      </c>
      <c r="C128" t="str">
        <f t="shared" si="4"/>
        <v>Gasoline hybrid</v>
      </c>
      <c r="D128">
        <v>11</v>
      </c>
      <c r="E128" s="113">
        <v>0</v>
      </c>
      <c r="F128" s="113">
        <v>0</v>
      </c>
      <c r="G128" s="113">
        <v>0</v>
      </c>
      <c r="H128" s="114">
        <v>0</v>
      </c>
      <c r="I128" s="113">
        <v>0</v>
      </c>
      <c r="J128" s="113">
        <v>0</v>
      </c>
      <c r="K128" s="113">
        <v>0</v>
      </c>
      <c r="L128" s="113">
        <v>0</v>
      </c>
      <c r="M128" s="114">
        <v>0</v>
      </c>
      <c r="N128" s="113">
        <v>0</v>
      </c>
      <c r="O128" s="113">
        <v>0</v>
      </c>
      <c r="P128" s="114">
        <v>0</v>
      </c>
      <c r="Q128" s="113">
        <v>0</v>
      </c>
      <c r="R128" s="113">
        <v>0</v>
      </c>
      <c r="S128" s="113">
        <v>0</v>
      </c>
      <c r="T128" s="113">
        <v>0</v>
      </c>
      <c r="U128" s="113">
        <v>0</v>
      </c>
      <c r="V128" s="113">
        <v>0</v>
      </c>
      <c r="W128" s="114">
        <v>0</v>
      </c>
    </row>
    <row r="129" spans="2:23" x14ac:dyDescent="0.75">
      <c r="B129">
        <v>2020</v>
      </c>
      <c r="C129" t="str">
        <f t="shared" si="4"/>
        <v>Hydrogen ICE</v>
      </c>
      <c r="D129">
        <v>12</v>
      </c>
      <c r="E129" s="113">
        <v>0</v>
      </c>
      <c r="F129" s="113">
        <v>0</v>
      </c>
      <c r="G129" s="113">
        <v>0</v>
      </c>
      <c r="H129" s="114">
        <v>0</v>
      </c>
      <c r="I129" s="113">
        <v>0</v>
      </c>
      <c r="J129" s="113">
        <v>0</v>
      </c>
      <c r="K129" s="113">
        <v>0</v>
      </c>
      <c r="L129" s="113">
        <v>0</v>
      </c>
      <c r="M129" s="114">
        <v>0</v>
      </c>
      <c r="N129" s="113">
        <v>0</v>
      </c>
      <c r="O129" s="113">
        <v>0</v>
      </c>
      <c r="P129" s="114">
        <v>0</v>
      </c>
      <c r="Q129" s="113">
        <v>0</v>
      </c>
      <c r="R129" s="113">
        <v>0</v>
      </c>
      <c r="S129" s="113">
        <v>0</v>
      </c>
      <c r="T129" s="113">
        <v>0</v>
      </c>
      <c r="U129" s="113">
        <v>0</v>
      </c>
      <c r="V129" s="113">
        <v>0</v>
      </c>
      <c r="W129" s="114">
        <v>0</v>
      </c>
    </row>
    <row r="130" spans="2:23" x14ac:dyDescent="0.75">
      <c r="B130">
        <v>2021</v>
      </c>
      <c r="C130" t="str">
        <f t="shared" si="4"/>
        <v>Diesel</v>
      </c>
      <c r="D130">
        <v>1</v>
      </c>
      <c r="E130" s="113">
        <v>29258.404297000001</v>
      </c>
      <c r="F130" s="113">
        <v>185.28968800000001</v>
      </c>
      <c r="G130" s="113">
        <v>49288.347655999998</v>
      </c>
      <c r="H130" s="114">
        <v>2116.391846</v>
      </c>
      <c r="I130" s="113">
        <v>6247.5039059999999</v>
      </c>
      <c r="J130" s="113">
        <v>15782.135742</v>
      </c>
      <c r="K130" s="113">
        <v>15910.990234000001</v>
      </c>
      <c r="L130" s="113">
        <v>11875.810546999999</v>
      </c>
      <c r="M130" s="114">
        <v>1757.3466800000001</v>
      </c>
      <c r="N130" s="113">
        <v>1757.3466800000001</v>
      </c>
      <c r="O130" s="113">
        <v>5272.0405270000001</v>
      </c>
      <c r="P130" s="114">
        <v>22262.847656000002</v>
      </c>
      <c r="Q130" s="113">
        <v>11441.321289</v>
      </c>
      <c r="R130" s="113">
        <v>11441.321289</v>
      </c>
      <c r="S130" s="113">
        <v>34323.964844000002</v>
      </c>
      <c r="T130" s="113">
        <v>17871.75</v>
      </c>
      <c r="U130" s="113">
        <v>17871.75</v>
      </c>
      <c r="V130" s="113">
        <v>53610.769530999998</v>
      </c>
      <c r="W130" s="114">
        <v>6.1901619999999999</v>
      </c>
    </row>
    <row r="131" spans="2:23" x14ac:dyDescent="0.75">
      <c r="B131">
        <v>2021</v>
      </c>
      <c r="C131" t="str">
        <f t="shared" si="4"/>
        <v>Gasoline</v>
      </c>
      <c r="D131">
        <v>2</v>
      </c>
      <c r="E131" s="113">
        <v>45335.5625</v>
      </c>
      <c r="F131" s="113">
        <v>3565.2333979999999</v>
      </c>
      <c r="G131" s="113">
        <v>11639.526367</v>
      </c>
      <c r="H131" s="114">
        <v>4521.8828119999998</v>
      </c>
      <c r="I131" s="113">
        <v>12319.259765999999</v>
      </c>
      <c r="J131" s="113">
        <v>6848.7670900000003</v>
      </c>
      <c r="K131" s="113">
        <v>5995.8657229999999</v>
      </c>
      <c r="L131" s="113">
        <v>233.76307700000001</v>
      </c>
      <c r="M131" s="114">
        <v>9.7379999999999994E-2</v>
      </c>
      <c r="N131" s="113">
        <v>9.7379999999999994E-2</v>
      </c>
      <c r="O131" s="113">
        <v>0.29214000000000001</v>
      </c>
      <c r="P131" s="114">
        <v>11.317824999999999</v>
      </c>
      <c r="Q131" s="113">
        <v>2.0903000000000001E-2</v>
      </c>
      <c r="R131" s="113">
        <v>2.0903000000000001E-2</v>
      </c>
      <c r="S131" s="113">
        <v>6.2708E-2</v>
      </c>
      <c r="T131" s="113">
        <v>3.2650999999999999E-2</v>
      </c>
      <c r="U131" s="113">
        <v>3.2650999999999999E-2</v>
      </c>
      <c r="V131" s="113">
        <v>9.7951999999999997E-2</v>
      </c>
      <c r="W131" s="114">
        <v>0</v>
      </c>
    </row>
    <row r="132" spans="2:23" x14ac:dyDescent="0.75">
      <c r="B132">
        <v>2021</v>
      </c>
      <c r="C132" t="str">
        <f t="shared" si="4"/>
        <v>LPG</v>
      </c>
      <c r="D132">
        <v>3</v>
      </c>
      <c r="E132" s="113">
        <v>7.2965000000000002E-2</v>
      </c>
      <c r="F132" s="113">
        <v>2.7179999999999999E-3</v>
      </c>
      <c r="G132" s="113">
        <v>0.71599699999999999</v>
      </c>
      <c r="H132" s="114">
        <v>0</v>
      </c>
      <c r="I132" s="113">
        <v>5.7152950000000002</v>
      </c>
      <c r="J132" s="113">
        <v>18.440344</v>
      </c>
      <c r="K132" s="113">
        <v>10.477264999999999</v>
      </c>
      <c r="L132" s="113">
        <v>26.891428000000001</v>
      </c>
      <c r="M132" s="114">
        <v>1.6180000000000001E-3</v>
      </c>
      <c r="N132" s="113">
        <v>1.6180000000000001E-3</v>
      </c>
      <c r="O132" s="113">
        <v>4.8529999999999997E-3</v>
      </c>
      <c r="P132" s="114">
        <v>9.9000000000000005E-2</v>
      </c>
      <c r="Q132" s="113">
        <v>0</v>
      </c>
      <c r="R132" s="113">
        <v>0</v>
      </c>
      <c r="S132" s="113">
        <v>0</v>
      </c>
      <c r="T132" s="113">
        <v>0</v>
      </c>
      <c r="U132" s="113">
        <v>0</v>
      </c>
      <c r="V132" s="113">
        <v>0</v>
      </c>
      <c r="W132" s="114">
        <v>0</v>
      </c>
    </row>
    <row r="133" spans="2:23" x14ac:dyDescent="0.75">
      <c r="B133">
        <v>2021</v>
      </c>
      <c r="C133" t="str">
        <f t="shared" si="4"/>
        <v>CNG</v>
      </c>
      <c r="D133">
        <v>4</v>
      </c>
      <c r="E133" s="113">
        <v>82.131598999999994</v>
      </c>
      <c r="F133" s="113">
        <v>6.3147019999999996</v>
      </c>
      <c r="G133" s="113">
        <v>1.19421</v>
      </c>
      <c r="H133" s="114">
        <v>16.235802</v>
      </c>
      <c r="I133" s="113">
        <v>28.341652</v>
      </c>
      <c r="J133" s="113">
        <v>0.56729700000000005</v>
      </c>
      <c r="K133" s="113">
        <v>20.604578</v>
      </c>
      <c r="L133" s="113">
        <v>32.185862999999998</v>
      </c>
      <c r="M133" s="114">
        <v>4.4421049999999997</v>
      </c>
      <c r="N133" s="113">
        <v>4.4421049999999997</v>
      </c>
      <c r="O133" s="113">
        <v>13.326316</v>
      </c>
      <c r="P133" s="114">
        <v>798.95410200000003</v>
      </c>
      <c r="Q133" s="113">
        <v>74.800430000000006</v>
      </c>
      <c r="R133" s="113">
        <v>74.800430000000006</v>
      </c>
      <c r="S133" s="113">
        <v>224.40129099999999</v>
      </c>
      <c r="T133" s="113">
        <v>116.840897</v>
      </c>
      <c r="U133" s="113">
        <v>116.840897</v>
      </c>
      <c r="V133" s="113">
        <v>350.52264400000001</v>
      </c>
      <c r="W133" s="114">
        <v>0</v>
      </c>
    </row>
    <row r="134" spans="2:23" x14ac:dyDescent="0.75">
      <c r="B134">
        <v>2021</v>
      </c>
      <c r="C134" t="str">
        <f t="shared" si="4"/>
        <v>E85</v>
      </c>
      <c r="D134">
        <v>5</v>
      </c>
      <c r="E134" s="113">
        <v>11099.944336</v>
      </c>
      <c r="F134" s="113">
        <v>1853.6956789999999</v>
      </c>
      <c r="G134" s="113">
        <v>2059.0278320000002</v>
      </c>
      <c r="H134" s="114">
        <v>1782.9295649999999</v>
      </c>
      <c r="I134" s="113">
        <v>811.76690699999995</v>
      </c>
      <c r="J134" s="113">
        <v>0</v>
      </c>
      <c r="K134" s="113">
        <v>2.8961000000000001E-2</v>
      </c>
      <c r="L134" s="113">
        <v>0</v>
      </c>
      <c r="M134" s="114">
        <v>0</v>
      </c>
      <c r="N134" s="113">
        <v>0</v>
      </c>
      <c r="O134" s="113">
        <v>0</v>
      </c>
      <c r="P134" s="114">
        <v>0</v>
      </c>
      <c r="Q134" s="113">
        <v>0</v>
      </c>
      <c r="R134" s="113">
        <v>0</v>
      </c>
      <c r="S134" s="113">
        <v>0</v>
      </c>
      <c r="T134" s="113">
        <v>0</v>
      </c>
      <c r="U134" s="113">
        <v>0</v>
      </c>
      <c r="V134" s="113">
        <v>0</v>
      </c>
      <c r="W134" s="114">
        <v>0</v>
      </c>
    </row>
    <row r="135" spans="2:23" x14ac:dyDescent="0.75">
      <c r="B135">
        <v>2021</v>
      </c>
      <c r="C135" t="str">
        <f t="shared" si="4"/>
        <v>Electric</v>
      </c>
      <c r="D135">
        <v>6</v>
      </c>
      <c r="E135" s="113">
        <v>0</v>
      </c>
      <c r="F135" s="113">
        <v>0</v>
      </c>
      <c r="G135" s="113">
        <v>0</v>
      </c>
      <c r="H135" s="114">
        <v>0.91766999999999999</v>
      </c>
      <c r="I135" s="113">
        <v>1.89882</v>
      </c>
      <c r="J135" s="113">
        <v>1.1754880000000001</v>
      </c>
      <c r="K135" s="113">
        <v>2.30653</v>
      </c>
      <c r="L135" s="113">
        <v>0</v>
      </c>
      <c r="M135" s="114">
        <v>6.4185000000000006E-2</v>
      </c>
      <c r="N135" s="113">
        <v>6.4185000000000006E-2</v>
      </c>
      <c r="O135" s="113">
        <v>0.192554</v>
      </c>
      <c r="P135" s="114">
        <v>0.15363499999999999</v>
      </c>
      <c r="Q135" s="113">
        <v>1.2591220000000001</v>
      </c>
      <c r="R135" s="113">
        <v>1.2591220000000001</v>
      </c>
      <c r="S135" s="113">
        <v>3.7773659999999998</v>
      </c>
      <c r="T135" s="113">
        <v>1.966793</v>
      </c>
      <c r="U135" s="113">
        <v>1.966793</v>
      </c>
      <c r="V135" s="113">
        <v>5.9003800000000002</v>
      </c>
      <c r="W135" s="114">
        <v>0</v>
      </c>
    </row>
    <row r="136" spans="2:23" x14ac:dyDescent="0.75">
      <c r="B136">
        <v>2021</v>
      </c>
      <c r="C136" t="str">
        <f t="shared" si="4"/>
        <v>PHEV diesel</v>
      </c>
      <c r="D136">
        <v>7</v>
      </c>
      <c r="E136" s="113">
        <v>0</v>
      </c>
      <c r="F136" s="113">
        <v>0</v>
      </c>
      <c r="G136" s="113">
        <v>0</v>
      </c>
      <c r="H136" s="114">
        <v>0</v>
      </c>
      <c r="I136" s="113">
        <v>0</v>
      </c>
      <c r="J136" s="113">
        <v>0</v>
      </c>
      <c r="K136" s="113">
        <v>0</v>
      </c>
      <c r="L136" s="113">
        <v>0</v>
      </c>
      <c r="M136" s="114">
        <v>0</v>
      </c>
      <c r="N136" s="113">
        <v>0</v>
      </c>
      <c r="O136" s="113">
        <v>0</v>
      </c>
      <c r="P136" s="114">
        <v>0</v>
      </c>
      <c r="Q136" s="113">
        <v>0</v>
      </c>
      <c r="R136" s="113">
        <v>0</v>
      </c>
      <c r="S136" s="113">
        <v>0</v>
      </c>
      <c r="T136" s="113">
        <v>0</v>
      </c>
      <c r="U136" s="113">
        <v>0</v>
      </c>
      <c r="V136" s="113">
        <v>0</v>
      </c>
      <c r="W136" s="114">
        <v>0</v>
      </c>
    </row>
    <row r="137" spans="2:23" x14ac:dyDescent="0.75">
      <c r="B137">
        <v>2021</v>
      </c>
      <c r="C137" t="str">
        <f t="shared" si="4"/>
        <v>PHEV gasoline</v>
      </c>
      <c r="D137">
        <v>8</v>
      </c>
      <c r="E137" s="113">
        <v>0</v>
      </c>
      <c r="F137" s="113">
        <v>0</v>
      </c>
      <c r="G137" s="113">
        <v>0</v>
      </c>
      <c r="H137" s="114">
        <v>0</v>
      </c>
      <c r="I137" s="113">
        <v>0</v>
      </c>
      <c r="J137" s="113">
        <v>0</v>
      </c>
      <c r="K137" s="113">
        <v>0</v>
      </c>
      <c r="L137" s="113">
        <v>0</v>
      </c>
      <c r="M137" s="114">
        <v>0</v>
      </c>
      <c r="N137" s="113">
        <v>0</v>
      </c>
      <c r="O137" s="113">
        <v>0</v>
      </c>
      <c r="P137" s="114">
        <v>0</v>
      </c>
      <c r="Q137" s="113">
        <v>0</v>
      </c>
      <c r="R137" s="113">
        <v>0</v>
      </c>
      <c r="S137" s="113">
        <v>0</v>
      </c>
      <c r="T137" s="113">
        <v>0</v>
      </c>
      <c r="U137" s="113">
        <v>0</v>
      </c>
      <c r="V137" s="113">
        <v>0</v>
      </c>
      <c r="W137" s="114">
        <v>0</v>
      </c>
    </row>
    <row r="138" spans="2:23" x14ac:dyDescent="0.75">
      <c r="B138">
        <v>2021</v>
      </c>
      <c r="C138" t="str">
        <f t="shared" si="4"/>
        <v>H2 fuel cell, small battery</v>
      </c>
      <c r="D138">
        <v>9</v>
      </c>
      <c r="E138" s="113">
        <v>0</v>
      </c>
      <c r="F138" s="113">
        <v>0</v>
      </c>
      <c r="G138" s="113">
        <v>0</v>
      </c>
      <c r="H138" s="114">
        <v>0</v>
      </c>
      <c r="I138" s="113">
        <v>0</v>
      </c>
      <c r="J138" s="113">
        <v>0</v>
      </c>
      <c r="K138" s="113">
        <v>0</v>
      </c>
      <c r="L138" s="113">
        <v>0</v>
      </c>
      <c r="M138" s="114">
        <v>0</v>
      </c>
      <c r="N138" s="113">
        <v>0</v>
      </c>
      <c r="O138" s="113">
        <v>0</v>
      </c>
      <c r="P138" s="114">
        <v>0</v>
      </c>
      <c r="Q138" s="113">
        <v>0</v>
      </c>
      <c r="R138" s="113">
        <v>0</v>
      </c>
      <c r="S138" s="113">
        <v>0</v>
      </c>
      <c r="T138" s="113">
        <v>0</v>
      </c>
      <c r="U138" s="113">
        <v>0</v>
      </c>
      <c r="V138" s="113">
        <v>0</v>
      </c>
      <c r="W138" s="114">
        <v>0</v>
      </c>
    </row>
    <row r="139" spans="2:23" x14ac:dyDescent="0.75">
      <c r="B139">
        <v>2021</v>
      </c>
      <c r="C139" t="str">
        <f t="shared" si="4"/>
        <v>H2 fuel cell, large battery</v>
      </c>
      <c r="D139">
        <v>10</v>
      </c>
      <c r="E139" s="113">
        <v>0</v>
      </c>
      <c r="F139" s="113">
        <v>0</v>
      </c>
      <c r="G139" s="113">
        <v>0</v>
      </c>
      <c r="H139" s="114">
        <v>0</v>
      </c>
      <c r="I139" s="113">
        <v>0</v>
      </c>
      <c r="J139" s="113">
        <v>0</v>
      </c>
      <c r="K139" s="113">
        <v>0</v>
      </c>
      <c r="L139" s="113">
        <v>0</v>
      </c>
      <c r="M139" s="114">
        <v>0</v>
      </c>
      <c r="N139" s="113">
        <v>0</v>
      </c>
      <c r="O139" s="113">
        <v>0</v>
      </c>
      <c r="P139" s="114">
        <v>0</v>
      </c>
      <c r="Q139" s="113">
        <v>0</v>
      </c>
      <c r="R139" s="113">
        <v>0</v>
      </c>
      <c r="S139" s="113">
        <v>0</v>
      </c>
      <c r="T139" s="113">
        <v>0</v>
      </c>
      <c r="U139" s="113">
        <v>0</v>
      </c>
      <c r="V139" s="113">
        <v>0</v>
      </c>
      <c r="W139" s="114">
        <v>0</v>
      </c>
    </row>
    <row r="140" spans="2:23" x14ac:dyDescent="0.75">
      <c r="B140">
        <v>2021</v>
      </c>
      <c r="C140" t="str">
        <f t="shared" si="4"/>
        <v>Gasoline hybrid</v>
      </c>
      <c r="D140">
        <v>11</v>
      </c>
      <c r="E140" s="113">
        <v>0</v>
      </c>
      <c r="F140" s="113">
        <v>0</v>
      </c>
      <c r="G140" s="113">
        <v>0</v>
      </c>
      <c r="H140" s="114">
        <v>0</v>
      </c>
      <c r="I140" s="113">
        <v>0</v>
      </c>
      <c r="J140" s="113">
        <v>0</v>
      </c>
      <c r="K140" s="113">
        <v>0</v>
      </c>
      <c r="L140" s="113">
        <v>0</v>
      </c>
      <c r="M140" s="114">
        <v>0</v>
      </c>
      <c r="N140" s="113">
        <v>0</v>
      </c>
      <c r="O140" s="113">
        <v>0</v>
      </c>
      <c r="P140" s="114">
        <v>0</v>
      </c>
      <c r="Q140" s="113">
        <v>0</v>
      </c>
      <c r="R140" s="113">
        <v>0</v>
      </c>
      <c r="S140" s="113">
        <v>0</v>
      </c>
      <c r="T140" s="113">
        <v>0</v>
      </c>
      <c r="U140" s="113">
        <v>0</v>
      </c>
      <c r="V140" s="113">
        <v>0</v>
      </c>
      <c r="W140" s="114">
        <v>0</v>
      </c>
    </row>
    <row r="141" spans="2:23" x14ac:dyDescent="0.75">
      <c r="B141">
        <v>2021</v>
      </c>
      <c r="C141" t="str">
        <f t="shared" si="4"/>
        <v>Hydrogen ICE</v>
      </c>
      <c r="D141">
        <v>12</v>
      </c>
      <c r="E141" s="113">
        <v>0</v>
      </c>
      <c r="F141" s="113">
        <v>0</v>
      </c>
      <c r="G141" s="113">
        <v>0</v>
      </c>
      <c r="H141" s="114">
        <v>0</v>
      </c>
      <c r="I141" s="113">
        <v>0</v>
      </c>
      <c r="J141" s="113">
        <v>0</v>
      </c>
      <c r="K141" s="113">
        <v>0</v>
      </c>
      <c r="L141" s="113">
        <v>0</v>
      </c>
      <c r="M141" s="114">
        <v>0</v>
      </c>
      <c r="N141" s="113">
        <v>0</v>
      </c>
      <c r="O141" s="113">
        <v>0</v>
      </c>
      <c r="P141" s="114">
        <v>0</v>
      </c>
      <c r="Q141" s="113">
        <v>0</v>
      </c>
      <c r="R141" s="113">
        <v>0</v>
      </c>
      <c r="S141" s="113">
        <v>0</v>
      </c>
      <c r="T141" s="113">
        <v>0</v>
      </c>
      <c r="U141" s="113">
        <v>0</v>
      </c>
      <c r="V141" s="113">
        <v>0</v>
      </c>
      <c r="W141" s="114">
        <v>0</v>
      </c>
    </row>
    <row r="142" spans="2:23" x14ac:dyDescent="0.75">
      <c r="B142">
        <v>2022</v>
      </c>
      <c r="C142" t="str">
        <f t="shared" si="4"/>
        <v>Diesel</v>
      </c>
      <c r="D142">
        <v>1</v>
      </c>
      <c r="E142" s="113">
        <v>29238.320312</v>
      </c>
      <c r="F142" s="113">
        <v>169.56213399999999</v>
      </c>
      <c r="G142" s="113">
        <v>52720.230469000002</v>
      </c>
      <c r="H142" s="114">
        <v>2136.186279</v>
      </c>
      <c r="I142" s="113">
        <v>5891.7299800000001</v>
      </c>
      <c r="J142" s="113">
        <v>16117.375977</v>
      </c>
      <c r="K142" s="113">
        <v>16077.098633</v>
      </c>
      <c r="L142" s="113">
        <v>11387.955078000001</v>
      </c>
      <c r="M142" s="114">
        <v>1690.99585</v>
      </c>
      <c r="N142" s="113">
        <v>1690.99585</v>
      </c>
      <c r="O142" s="113">
        <v>5072.9868159999996</v>
      </c>
      <c r="P142" s="114">
        <v>21790.134765999999</v>
      </c>
      <c r="Q142" s="113">
        <v>11449.532227</v>
      </c>
      <c r="R142" s="113">
        <v>11449.532227</v>
      </c>
      <c r="S142" s="113">
        <v>34348.601562000003</v>
      </c>
      <c r="T142" s="113">
        <v>17884.574218999998</v>
      </c>
      <c r="U142" s="113">
        <v>17884.574218999998</v>
      </c>
      <c r="V142" s="113">
        <v>53649.234375</v>
      </c>
      <c r="W142" s="114">
        <v>5.8542069999999997</v>
      </c>
    </row>
    <row r="143" spans="2:23" x14ac:dyDescent="0.75">
      <c r="B143">
        <v>2022</v>
      </c>
      <c r="C143" t="str">
        <f t="shared" si="4"/>
        <v>Gasoline</v>
      </c>
      <c r="D143">
        <v>2</v>
      </c>
      <c r="E143" s="113">
        <v>45502.34375</v>
      </c>
      <c r="F143" s="113">
        <v>3548.3540039999998</v>
      </c>
      <c r="G143" s="113">
        <v>13563.107421999999</v>
      </c>
      <c r="H143" s="114">
        <v>4541.8969729999999</v>
      </c>
      <c r="I143" s="113">
        <v>12115.596680000001</v>
      </c>
      <c r="J143" s="113">
        <v>7134.5234380000002</v>
      </c>
      <c r="K143" s="113">
        <v>5938.4638670000004</v>
      </c>
      <c r="L143" s="113">
        <v>215.215744</v>
      </c>
      <c r="M143" s="114">
        <v>8.8485999999999995E-2</v>
      </c>
      <c r="N143" s="113">
        <v>8.8485999999999995E-2</v>
      </c>
      <c r="O143" s="113">
        <v>0.26545800000000003</v>
      </c>
      <c r="P143" s="114">
        <v>10.351444000000001</v>
      </c>
      <c r="Q143" s="113">
        <v>9.2099999999999994E-3</v>
      </c>
      <c r="R143" s="113">
        <v>9.2099999999999994E-3</v>
      </c>
      <c r="S143" s="113">
        <v>2.7629000000000001E-2</v>
      </c>
      <c r="T143" s="113">
        <v>1.4385999999999999E-2</v>
      </c>
      <c r="U143" s="113">
        <v>1.4385999999999999E-2</v>
      </c>
      <c r="V143" s="113">
        <v>4.3158000000000002E-2</v>
      </c>
      <c r="W143" s="114">
        <v>0</v>
      </c>
    </row>
    <row r="144" spans="2:23" x14ac:dyDescent="0.75">
      <c r="B144">
        <v>2022</v>
      </c>
      <c r="C144" t="str">
        <f t="shared" si="4"/>
        <v>LPG</v>
      </c>
      <c r="D144">
        <v>3</v>
      </c>
      <c r="E144" s="113">
        <v>6.4130999999999994E-2</v>
      </c>
      <c r="F144" s="113">
        <v>2.7560000000000002E-3</v>
      </c>
      <c r="G144" s="113">
        <v>0.60211499999999996</v>
      </c>
      <c r="H144" s="114">
        <v>0</v>
      </c>
      <c r="I144" s="113">
        <v>5.1686889999999996</v>
      </c>
      <c r="J144" s="113">
        <v>16.755907000000001</v>
      </c>
      <c r="K144" s="113">
        <v>9.5263500000000008</v>
      </c>
      <c r="L144" s="113">
        <v>26.881616999999999</v>
      </c>
      <c r="M144" s="114">
        <v>3.0240000000000002E-3</v>
      </c>
      <c r="N144" s="113">
        <v>3.0240000000000002E-3</v>
      </c>
      <c r="O144" s="113">
        <v>9.0729999999999995E-3</v>
      </c>
      <c r="P144" s="114">
        <v>8.2017000000000007E-2</v>
      </c>
      <c r="Q144" s="113">
        <v>0</v>
      </c>
      <c r="R144" s="113">
        <v>0</v>
      </c>
      <c r="S144" s="113">
        <v>0</v>
      </c>
      <c r="T144" s="113">
        <v>0</v>
      </c>
      <c r="U144" s="113">
        <v>0</v>
      </c>
      <c r="V144" s="113">
        <v>0</v>
      </c>
      <c r="W144" s="114">
        <v>0</v>
      </c>
    </row>
    <row r="145" spans="2:23" x14ac:dyDescent="0.75">
      <c r="B145">
        <v>2022</v>
      </c>
      <c r="C145" t="str">
        <f t="shared" si="4"/>
        <v>CNG</v>
      </c>
      <c r="D145">
        <v>4</v>
      </c>
      <c r="E145" s="113">
        <v>77.928275999999997</v>
      </c>
      <c r="F145" s="113">
        <v>6.5353640000000004</v>
      </c>
      <c r="G145" s="113">
        <v>1.116195</v>
      </c>
      <c r="H145" s="114">
        <v>14.394258000000001</v>
      </c>
      <c r="I145" s="113">
        <v>25.751055000000001</v>
      </c>
      <c r="J145" s="113">
        <v>0.43544899999999997</v>
      </c>
      <c r="K145" s="113">
        <v>40.572510000000001</v>
      </c>
      <c r="L145" s="113">
        <v>32.734439999999999</v>
      </c>
      <c r="M145" s="114">
        <v>4.0156609999999997</v>
      </c>
      <c r="N145" s="113">
        <v>4.0156609999999997</v>
      </c>
      <c r="O145" s="113">
        <v>12.046983000000001</v>
      </c>
      <c r="P145" s="114">
        <v>802.50048800000002</v>
      </c>
      <c r="Q145" s="113">
        <v>88.656395000000003</v>
      </c>
      <c r="R145" s="113">
        <v>88.656395000000003</v>
      </c>
      <c r="S145" s="113">
        <v>265.969177</v>
      </c>
      <c r="T145" s="113">
        <v>138.484375</v>
      </c>
      <c r="U145" s="113">
        <v>138.484375</v>
      </c>
      <c r="V145" s="113">
        <v>415.45309400000002</v>
      </c>
      <c r="W145" s="114">
        <v>0</v>
      </c>
    </row>
    <row r="146" spans="2:23" x14ac:dyDescent="0.75">
      <c r="B146">
        <v>2022</v>
      </c>
      <c r="C146" t="str">
        <f t="shared" si="4"/>
        <v>E85</v>
      </c>
      <c r="D146">
        <v>5</v>
      </c>
      <c r="E146" s="113">
        <v>11483.662109000001</v>
      </c>
      <c r="F146" s="113">
        <v>1868.2001949999999</v>
      </c>
      <c r="G146" s="113">
        <v>1904.2272949999999</v>
      </c>
      <c r="H146" s="114">
        <v>1639.748779</v>
      </c>
      <c r="I146" s="113">
        <v>742.00451699999996</v>
      </c>
      <c r="J146" s="113">
        <v>0</v>
      </c>
      <c r="K146" s="113">
        <v>2.6710000000000001E-2</v>
      </c>
      <c r="L146" s="113">
        <v>0</v>
      </c>
      <c r="M146" s="114">
        <v>0</v>
      </c>
      <c r="N146" s="113">
        <v>0</v>
      </c>
      <c r="O146" s="113">
        <v>0</v>
      </c>
      <c r="P146" s="114">
        <v>0</v>
      </c>
      <c r="Q146" s="113">
        <v>0</v>
      </c>
      <c r="R146" s="113">
        <v>0</v>
      </c>
      <c r="S146" s="113">
        <v>0</v>
      </c>
      <c r="T146" s="113">
        <v>0</v>
      </c>
      <c r="U146" s="113">
        <v>0</v>
      </c>
      <c r="V146" s="113">
        <v>0</v>
      </c>
      <c r="W146" s="114">
        <v>0</v>
      </c>
    </row>
    <row r="147" spans="2:23" x14ac:dyDescent="0.75">
      <c r="B147">
        <v>2022</v>
      </c>
      <c r="C147" t="str">
        <f t="shared" si="4"/>
        <v>Electric</v>
      </c>
      <c r="D147">
        <v>6</v>
      </c>
      <c r="E147" s="113">
        <v>52.032699999999998</v>
      </c>
      <c r="F147" s="113">
        <v>0</v>
      </c>
      <c r="G147" s="113">
        <v>20.939561999999999</v>
      </c>
      <c r="H147" s="114">
        <v>0.70077800000000001</v>
      </c>
      <c r="I147" s="113">
        <v>2.074166</v>
      </c>
      <c r="J147" s="113">
        <v>1.1756800000000001</v>
      </c>
      <c r="K147" s="113">
        <v>11.349539999999999</v>
      </c>
      <c r="L147" s="113">
        <v>0.177481</v>
      </c>
      <c r="M147" s="114">
        <v>6.0410999999999999E-2</v>
      </c>
      <c r="N147" s="113">
        <v>6.0410999999999999E-2</v>
      </c>
      <c r="O147" s="113">
        <v>0.181232</v>
      </c>
      <c r="P147" s="114">
        <v>0.77466500000000005</v>
      </c>
      <c r="Q147" s="113">
        <v>4.0099299999999998</v>
      </c>
      <c r="R147" s="113">
        <v>4.0099299999999998</v>
      </c>
      <c r="S147" s="113">
        <v>12.029788999999999</v>
      </c>
      <c r="T147" s="113">
        <v>6.2636510000000003</v>
      </c>
      <c r="U147" s="113">
        <v>6.2636510000000003</v>
      </c>
      <c r="V147" s="113">
        <v>18.790955</v>
      </c>
      <c r="W147" s="114">
        <v>0</v>
      </c>
    </row>
    <row r="148" spans="2:23" x14ac:dyDescent="0.75">
      <c r="B148">
        <v>2022</v>
      </c>
      <c r="C148" t="str">
        <f t="shared" si="4"/>
        <v>PHEV diesel</v>
      </c>
      <c r="D148">
        <v>7</v>
      </c>
      <c r="E148" s="113">
        <v>0</v>
      </c>
      <c r="F148" s="113">
        <v>0</v>
      </c>
      <c r="G148" s="113">
        <v>0</v>
      </c>
      <c r="H148" s="114">
        <v>0</v>
      </c>
      <c r="I148" s="113">
        <v>0</v>
      </c>
      <c r="J148" s="113">
        <v>0</v>
      </c>
      <c r="K148" s="113">
        <v>0</v>
      </c>
      <c r="L148" s="113">
        <v>0</v>
      </c>
      <c r="M148" s="114">
        <v>0</v>
      </c>
      <c r="N148" s="113">
        <v>0</v>
      </c>
      <c r="O148" s="113">
        <v>0</v>
      </c>
      <c r="P148" s="114">
        <v>0</v>
      </c>
      <c r="Q148" s="113">
        <v>0</v>
      </c>
      <c r="R148" s="113">
        <v>0</v>
      </c>
      <c r="S148" s="113">
        <v>0</v>
      </c>
      <c r="T148" s="113">
        <v>0</v>
      </c>
      <c r="U148" s="113">
        <v>0</v>
      </c>
      <c r="V148" s="113">
        <v>0</v>
      </c>
      <c r="W148" s="114">
        <v>0</v>
      </c>
    </row>
    <row r="149" spans="2:23" x14ac:dyDescent="0.75">
      <c r="B149">
        <v>2022</v>
      </c>
      <c r="C149" t="str">
        <f t="shared" si="4"/>
        <v>PHEV gasoline</v>
      </c>
      <c r="D149">
        <v>8</v>
      </c>
      <c r="E149" s="113">
        <v>0</v>
      </c>
      <c r="F149" s="113">
        <v>0</v>
      </c>
      <c r="G149" s="113">
        <v>0</v>
      </c>
      <c r="H149" s="114">
        <v>0</v>
      </c>
      <c r="I149" s="113">
        <v>0</v>
      </c>
      <c r="J149" s="113">
        <v>0</v>
      </c>
      <c r="K149" s="113">
        <v>0</v>
      </c>
      <c r="L149" s="113">
        <v>0</v>
      </c>
      <c r="M149" s="114">
        <v>0</v>
      </c>
      <c r="N149" s="113">
        <v>0</v>
      </c>
      <c r="O149" s="113">
        <v>0</v>
      </c>
      <c r="P149" s="114">
        <v>0</v>
      </c>
      <c r="Q149" s="113">
        <v>0</v>
      </c>
      <c r="R149" s="113">
        <v>0</v>
      </c>
      <c r="S149" s="113">
        <v>0</v>
      </c>
      <c r="T149" s="113">
        <v>0</v>
      </c>
      <c r="U149" s="113">
        <v>0</v>
      </c>
      <c r="V149" s="113">
        <v>0</v>
      </c>
      <c r="W149" s="114">
        <v>0</v>
      </c>
    </row>
    <row r="150" spans="2:23" x14ac:dyDescent="0.75">
      <c r="B150">
        <v>2022</v>
      </c>
      <c r="C150" t="str">
        <f t="shared" si="4"/>
        <v>H2 fuel cell, small battery</v>
      </c>
      <c r="D150">
        <v>9</v>
      </c>
      <c r="E150" s="113">
        <v>0</v>
      </c>
      <c r="F150" s="113">
        <v>0</v>
      </c>
      <c r="G150" s="113">
        <v>0</v>
      </c>
      <c r="H150" s="114">
        <v>0</v>
      </c>
      <c r="I150" s="113">
        <v>0</v>
      </c>
      <c r="J150" s="113">
        <v>0</v>
      </c>
      <c r="K150" s="113">
        <v>0</v>
      </c>
      <c r="L150" s="113">
        <v>0</v>
      </c>
      <c r="M150" s="114">
        <v>0</v>
      </c>
      <c r="N150" s="113">
        <v>0</v>
      </c>
      <c r="O150" s="113">
        <v>0</v>
      </c>
      <c r="P150" s="114">
        <v>0</v>
      </c>
      <c r="Q150" s="113">
        <v>0</v>
      </c>
      <c r="R150" s="113">
        <v>0</v>
      </c>
      <c r="S150" s="113">
        <v>0</v>
      </c>
      <c r="T150" s="113">
        <v>0</v>
      </c>
      <c r="U150" s="113">
        <v>0</v>
      </c>
      <c r="V150" s="113">
        <v>0</v>
      </c>
      <c r="W150" s="114">
        <v>0</v>
      </c>
    </row>
    <row r="151" spans="2:23" x14ac:dyDescent="0.75">
      <c r="B151">
        <v>2022</v>
      </c>
      <c r="C151" t="str">
        <f t="shared" si="4"/>
        <v>H2 fuel cell, large battery</v>
      </c>
      <c r="D151">
        <v>10</v>
      </c>
      <c r="E151" s="113">
        <v>0</v>
      </c>
      <c r="F151" s="113">
        <v>0</v>
      </c>
      <c r="G151" s="113">
        <v>0</v>
      </c>
      <c r="H151" s="114">
        <v>0</v>
      </c>
      <c r="I151" s="113">
        <v>0</v>
      </c>
      <c r="J151" s="113">
        <v>0</v>
      </c>
      <c r="K151" s="113">
        <v>0</v>
      </c>
      <c r="L151" s="113">
        <v>0</v>
      </c>
      <c r="M151" s="114">
        <v>0</v>
      </c>
      <c r="N151" s="113">
        <v>0</v>
      </c>
      <c r="O151" s="113">
        <v>0</v>
      </c>
      <c r="P151" s="114">
        <v>0</v>
      </c>
      <c r="Q151" s="113">
        <v>0</v>
      </c>
      <c r="R151" s="113">
        <v>0</v>
      </c>
      <c r="S151" s="113">
        <v>0</v>
      </c>
      <c r="T151" s="113">
        <v>0</v>
      </c>
      <c r="U151" s="113">
        <v>0</v>
      </c>
      <c r="V151" s="113">
        <v>0</v>
      </c>
      <c r="W151" s="114">
        <v>0</v>
      </c>
    </row>
    <row r="152" spans="2:23" x14ac:dyDescent="0.75">
      <c r="B152">
        <v>2022</v>
      </c>
      <c r="C152" t="str">
        <f t="shared" si="4"/>
        <v>Gasoline hybrid</v>
      </c>
      <c r="D152">
        <v>11</v>
      </c>
      <c r="E152" s="113">
        <v>0</v>
      </c>
      <c r="F152" s="113">
        <v>0</v>
      </c>
      <c r="G152" s="113">
        <v>0</v>
      </c>
      <c r="H152" s="114">
        <v>0</v>
      </c>
      <c r="I152" s="113">
        <v>0</v>
      </c>
      <c r="J152" s="113">
        <v>0</v>
      </c>
      <c r="K152" s="113">
        <v>0</v>
      </c>
      <c r="L152" s="113">
        <v>0</v>
      </c>
      <c r="M152" s="114">
        <v>0</v>
      </c>
      <c r="N152" s="113">
        <v>0</v>
      </c>
      <c r="O152" s="113">
        <v>0</v>
      </c>
      <c r="P152" s="114">
        <v>0</v>
      </c>
      <c r="Q152" s="113">
        <v>0</v>
      </c>
      <c r="R152" s="113">
        <v>0</v>
      </c>
      <c r="S152" s="113">
        <v>0</v>
      </c>
      <c r="T152" s="113">
        <v>0</v>
      </c>
      <c r="U152" s="113">
        <v>0</v>
      </c>
      <c r="V152" s="113">
        <v>0</v>
      </c>
      <c r="W152" s="114">
        <v>0</v>
      </c>
    </row>
    <row r="153" spans="2:23" x14ac:dyDescent="0.75">
      <c r="B153">
        <v>2022</v>
      </c>
      <c r="C153" t="str">
        <f t="shared" si="4"/>
        <v>Hydrogen ICE</v>
      </c>
      <c r="D153">
        <v>12</v>
      </c>
      <c r="E153" s="113">
        <v>0</v>
      </c>
      <c r="F153" s="113">
        <v>0</v>
      </c>
      <c r="G153" s="113">
        <v>0</v>
      </c>
      <c r="H153" s="114">
        <v>0</v>
      </c>
      <c r="I153" s="113">
        <v>0</v>
      </c>
      <c r="J153" s="113">
        <v>0</v>
      </c>
      <c r="K153" s="113">
        <v>0</v>
      </c>
      <c r="L153" s="113">
        <v>0</v>
      </c>
      <c r="M153" s="114">
        <v>0</v>
      </c>
      <c r="N153" s="113">
        <v>0</v>
      </c>
      <c r="O153" s="113">
        <v>0</v>
      </c>
      <c r="P153" s="114">
        <v>0</v>
      </c>
      <c r="Q153" s="113">
        <v>0</v>
      </c>
      <c r="R153" s="113">
        <v>0</v>
      </c>
      <c r="S153" s="113">
        <v>0</v>
      </c>
      <c r="T153" s="113">
        <v>0</v>
      </c>
      <c r="U153" s="113">
        <v>0</v>
      </c>
      <c r="V153" s="113">
        <v>0</v>
      </c>
      <c r="W153" s="114">
        <v>0</v>
      </c>
    </row>
    <row r="154" spans="2:23" x14ac:dyDescent="0.75">
      <c r="B154">
        <v>2023</v>
      </c>
      <c r="C154" t="str">
        <f t="shared" si="4"/>
        <v>Diesel</v>
      </c>
      <c r="D154">
        <v>1</v>
      </c>
      <c r="E154" s="113">
        <v>28994.515625</v>
      </c>
      <c r="F154" s="113">
        <v>156.643112</v>
      </c>
      <c r="G154" s="113">
        <v>54330.085937999997</v>
      </c>
      <c r="H154" s="114">
        <v>2126.7302249999998</v>
      </c>
      <c r="I154" s="113">
        <v>5585.5327150000003</v>
      </c>
      <c r="J154" s="113">
        <v>16147.021484000001</v>
      </c>
      <c r="K154" s="113">
        <v>16560.398438</v>
      </c>
      <c r="L154" s="113">
        <v>11020.268555000001</v>
      </c>
      <c r="M154" s="114">
        <v>1674.7219239999999</v>
      </c>
      <c r="N154" s="113">
        <v>1674.7219239999999</v>
      </c>
      <c r="O154" s="113">
        <v>5024.1655270000001</v>
      </c>
      <c r="P154" s="114">
        <v>21733.802734000001</v>
      </c>
      <c r="Q154" s="113">
        <v>11727.023438</v>
      </c>
      <c r="R154" s="113">
        <v>11727.023438</v>
      </c>
      <c r="S154" s="113">
        <v>35181.058594000002</v>
      </c>
      <c r="T154" s="113">
        <v>18318.017577999999</v>
      </c>
      <c r="U154" s="113">
        <v>18318.019531000002</v>
      </c>
      <c r="V154" s="113">
        <v>54949.492187999997</v>
      </c>
      <c r="W154" s="114">
        <v>5.882587</v>
      </c>
    </row>
    <row r="155" spans="2:23" x14ac:dyDescent="0.75">
      <c r="B155">
        <v>2023</v>
      </c>
      <c r="C155" t="str">
        <f t="shared" si="4"/>
        <v>Gasoline</v>
      </c>
      <c r="D155">
        <v>2</v>
      </c>
      <c r="E155" s="113">
        <v>45764.148437999997</v>
      </c>
      <c r="F155" s="113">
        <v>3565.6789549999999</v>
      </c>
      <c r="G155" s="113">
        <v>14982.921875</v>
      </c>
      <c r="H155" s="114">
        <v>4492.7514650000003</v>
      </c>
      <c r="I155" s="113">
        <v>12142.585938</v>
      </c>
      <c r="J155" s="113">
        <v>7113.1547849999997</v>
      </c>
      <c r="K155" s="113">
        <v>5930.5849609999996</v>
      </c>
      <c r="L155" s="113">
        <v>204.270172</v>
      </c>
      <c r="M155" s="114">
        <v>7.8900999999999999E-2</v>
      </c>
      <c r="N155" s="113">
        <v>7.8900999999999999E-2</v>
      </c>
      <c r="O155" s="113">
        <v>0.236703</v>
      </c>
      <c r="P155" s="114">
        <v>9.5495420000000006</v>
      </c>
      <c r="Q155" s="113">
        <v>9.1369999999999993E-3</v>
      </c>
      <c r="R155" s="113">
        <v>9.1369999999999993E-3</v>
      </c>
      <c r="S155" s="113">
        <v>2.7411000000000001E-2</v>
      </c>
      <c r="T155" s="113">
        <v>1.4272E-2</v>
      </c>
      <c r="U155" s="113">
        <v>1.4272E-2</v>
      </c>
      <c r="V155" s="113">
        <v>4.2817000000000001E-2</v>
      </c>
      <c r="W155" s="114">
        <v>0</v>
      </c>
    </row>
    <row r="156" spans="2:23" x14ac:dyDescent="0.75">
      <c r="B156">
        <v>2023</v>
      </c>
      <c r="C156" t="str">
        <f t="shared" si="4"/>
        <v>LPG</v>
      </c>
      <c r="D156">
        <v>3</v>
      </c>
      <c r="E156" s="113">
        <v>6.6950999999999997E-2</v>
      </c>
      <c r="F156" s="113">
        <v>2.82E-3</v>
      </c>
      <c r="G156" s="113">
        <v>0.521069</v>
      </c>
      <c r="H156" s="114">
        <v>0</v>
      </c>
      <c r="I156" s="113">
        <v>4.7155120000000004</v>
      </c>
      <c r="J156" s="113">
        <v>15.450313</v>
      </c>
      <c r="K156" s="113">
        <v>8.6724180000000004</v>
      </c>
      <c r="L156" s="113">
        <v>25.191631000000001</v>
      </c>
      <c r="M156" s="114">
        <v>2.9429999999999999E-3</v>
      </c>
      <c r="N156" s="113">
        <v>2.9429999999999999E-3</v>
      </c>
      <c r="O156" s="113">
        <v>8.8299999999999993E-3</v>
      </c>
      <c r="P156" s="114">
        <v>6.6938999999999999E-2</v>
      </c>
      <c r="Q156" s="113">
        <v>0</v>
      </c>
      <c r="R156" s="113">
        <v>0</v>
      </c>
      <c r="S156" s="113">
        <v>0</v>
      </c>
      <c r="T156" s="113">
        <v>0</v>
      </c>
      <c r="U156" s="113">
        <v>0</v>
      </c>
      <c r="V156" s="113">
        <v>0</v>
      </c>
      <c r="W156" s="114">
        <v>0</v>
      </c>
    </row>
    <row r="157" spans="2:23" x14ac:dyDescent="0.75">
      <c r="B157">
        <v>2023</v>
      </c>
      <c r="C157" t="str">
        <f t="shared" si="4"/>
        <v>CNG</v>
      </c>
      <c r="D157">
        <v>4</v>
      </c>
      <c r="E157" s="113">
        <v>74.073265000000006</v>
      </c>
      <c r="F157" s="113">
        <v>6.6452559999999998</v>
      </c>
      <c r="G157" s="113">
        <v>1.0706310000000001</v>
      </c>
      <c r="H157" s="114">
        <v>12.765139</v>
      </c>
      <c r="I157" s="113">
        <v>23.658391999999999</v>
      </c>
      <c r="J157" s="113">
        <v>21.278793</v>
      </c>
      <c r="K157" s="113">
        <v>95.263603000000003</v>
      </c>
      <c r="L157" s="113">
        <v>32.795963</v>
      </c>
      <c r="M157" s="114">
        <v>4.0667999999999997</v>
      </c>
      <c r="N157" s="113">
        <v>4.0667999999999997</v>
      </c>
      <c r="O157" s="113">
        <v>12.200398</v>
      </c>
      <c r="P157" s="114">
        <v>816.81140100000005</v>
      </c>
      <c r="Q157" s="113">
        <v>92.938225000000003</v>
      </c>
      <c r="R157" s="113">
        <v>92.938225000000003</v>
      </c>
      <c r="S157" s="113">
        <v>278.814728</v>
      </c>
      <c r="T157" s="113">
        <v>145.17276000000001</v>
      </c>
      <c r="U157" s="113">
        <v>145.172775</v>
      </c>
      <c r="V157" s="113">
        <v>435.51840199999998</v>
      </c>
      <c r="W157" s="114">
        <v>0</v>
      </c>
    </row>
    <row r="158" spans="2:23" x14ac:dyDescent="0.75">
      <c r="B158">
        <v>2023</v>
      </c>
      <c r="C158" t="str">
        <f t="shared" si="4"/>
        <v>E85</v>
      </c>
      <c r="D158">
        <v>5</v>
      </c>
      <c r="E158" s="113">
        <v>12047.706055000001</v>
      </c>
      <c r="F158" s="113">
        <v>1859.518433</v>
      </c>
      <c r="G158" s="113">
        <v>1774.6279300000001</v>
      </c>
      <c r="H158" s="114">
        <v>1516.134033</v>
      </c>
      <c r="I158" s="113">
        <v>687.13830600000006</v>
      </c>
      <c r="J158" s="113">
        <v>0</v>
      </c>
      <c r="K158" s="113">
        <v>2.4965000000000001E-2</v>
      </c>
      <c r="L158" s="113">
        <v>0</v>
      </c>
      <c r="M158" s="114">
        <v>0</v>
      </c>
      <c r="N158" s="113">
        <v>0</v>
      </c>
      <c r="O158" s="113">
        <v>0</v>
      </c>
      <c r="P158" s="114">
        <v>0</v>
      </c>
      <c r="Q158" s="113">
        <v>0</v>
      </c>
      <c r="R158" s="113">
        <v>0</v>
      </c>
      <c r="S158" s="113">
        <v>0</v>
      </c>
      <c r="T158" s="113">
        <v>0</v>
      </c>
      <c r="U158" s="113">
        <v>0</v>
      </c>
      <c r="V158" s="113">
        <v>0</v>
      </c>
      <c r="W158" s="114">
        <v>0</v>
      </c>
    </row>
    <row r="159" spans="2:23" x14ac:dyDescent="0.75">
      <c r="B159">
        <v>2023</v>
      </c>
      <c r="C159" t="str">
        <f t="shared" si="4"/>
        <v>Electric</v>
      </c>
      <c r="D159">
        <v>6</v>
      </c>
      <c r="E159" s="113">
        <v>179.95488</v>
      </c>
      <c r="F159" s="113">
        <v>0</v>
      </c>
      <c r="G159" s="113">
        <v>49.270057999999999</v>
      </c>
      <c r="H159" s="114">
        <v>0.53163800000000005</v>
      </c>
      <c r="I159" s="113">
        <v>2.1866530000000002</v>
      </c>
      <c r="J159" s="113">
        <v>1.206402</v>
      </c>
      <c r="K159" s="113">
        <v>16.783563999999998</v>
      </c>
      <c r="L159" s="113">
        <v>1.618827</v>
      </c>
      <c r="M159" s="114">
        <v>0.19647700000000001</v>
      </c>
      <c r="N159" s="113">
        <v>0.19647700000000001</v>
      </c>
      <c r="O159" s="113">
        <v>0.58943000000000001</v>
      </c>
      <c r="P159" s="114">
        <v>1.5149539999999999</v>
      </c>
      <c r="Q159" s="113">
        <v>9.3184620000000002</v>
      </c>
      <c r="R159" s="113">
        <v>9.3184620000000002</v>
      </c>
      <c r="S159" s="113">
        <v>27.955385</v>
      </c>
      <c r="T159" s="113">
        <v>14.555766</v>
      </c>
      <c r="U159" s="113">
        <v>14.555766</v>
      </c>
      <c r="V159" s="113">
        <v>43.667296999999998</v>
      </c>
      <c r="W159" s="114">
        <v>0</v>
      </c>
    </row>
    <row r="160" spans="2:23" x14ac:dyDescent="0.75">
      <c r="B160">
        <v>2023</v>
      </c>
      <c r="C160" t="str">
        <f t="shared" si="4"/>
        <v>PHEV diesel</v>
      </c>
      <c r="D160">
        <v>7</v>
      </c>
      <c r="E160" s="113">
        <v>0</v>
      </c>
      <c r="F160" s="113">
        <v>0</v>
      </c>
      <c r="G160" s="113">
        <v>0</v>
      </c>
      <c r="H160" s="114">
        <v>0</v>
      </c>
      <c r="I160" s="113">
        <v>0</v>
      </c>
      <c r="J160" s="113">
        <v>0</v>
      </c>
      <c r="K160" s="113">
        <v>0</v>
      </c>
      <c r="L160" s="113">
        <v>0</v>
      </c>
      <c r="M160" s="114">
        <v>0</v>
      </c>
      <c r="N160" s="113">
        <v>0</v>
      </c>
      <c r="O160" s="113">
        <v>0</v>
      </c>
      <c r="P160" s="114">
        <v>0</v>
      </c>
      <c r="Q160" s="113">
        <v>0</v>
      </c>
      <c r="R160" s="113">
        <v>0</v>
      </c>
      <c r="S160" s="113">
        <v>0</v>
      </c>
      <c r="T160" s="113">
        <v>0</v>
      </c>
      <c r="U160" s="113">
        <v>0</v>
      </c>
      <c r="V160" s="113">
        <v>0</v>
      </c>
      <c r="W160" s="114">
        <v>0</v>
      </c>
    </row>
    <row r="161" spans="2:23" x14ac:dyDescent="0.75">
      <c r="B161">
        <v>2023</v>
      </c>
      <c r="C161" t="str">
        <f t="shared" si="4"/>
        <v>PHEV gasoline</v>
      </c>
      <c r="D161">
        <v>8</v>
      </c>
      <c r="E161" s="113">
        <v>0</v>
      </c>
      <c r="F161" s="113">
        <v>0</v>
      </c>
      <c r="G161" s="113">
        <v>0</v>
      </c>
      <c r="H161" s="114">
        <v>0</v>
      </c>
      <c r="I161" s="113">
        <v>0</v>
      </c>
      <c r="J161" s="113">
        <v>0</v>
      </c>
      <c r="K161" s="113">
        <v>0</v>
      </c>
      <c r="L161" s="113">
        <v>0</v>
      </c>
      <c r="M161" s="114">
        <v>0</v>
      </c>
      <c r="N161" s="113">
        <v>0</v>
      </c>
      <c r="O161" s="113">
        <v>0</v>
      </c>
      <c r="P161" s="114">
        <v>0</v>
      </c>
      <c r="Q161" s="113">
        <v>0</v>
      </c>
      <c r="R161" s="113">
        <v>0</v>
      </c>
      <c r="S161" s="113">
        <v>0</v>
      </c>
      <c r="T161" s="113">
        <v>0</v>
      </c>
      <c r="U161" s="113">
        <v>0</v>
      </c>
      <c r="V161" s="113">
        <v>0</v>
      </c>
      <c r="W161" s="114">
        <v>0</v>
      </c>
    </row>
    <row r="162" spans="2:23" x14ac:dyDescent="0.75">
      <c r="B162">
        <v>2023</v>
      </c>
      <c r="C162" t="str">
        <f t="shared" si="4"/>
        <v>H2 fuel cell, small battery</v>
      </c>
      <c r="D162">
        <v>9</v>
      </c>
      <c r="E162" s="113">
        <v>0</v>
      </c>
      <c r="F162" s="113">
        <v>0</v>
      </c>
      <c r="G162" s="113">
        <v>0</v>
      </c>
      <c r="H162" s="114">
        <v>0</v>
      </c>
      <c r="I162" s="113">
        <v>0</v>
      </c>
      <c r="J162" s="113">
        <v>0</v>
      </c>
      <c r="K162" s="113">
        <v>0</v>
      </c>
      <c r="L162" s="113">
        <v>0</v>
      </c>
      <c r="M162" s="114">
        <v>0</v>
      </c>
      <c r="N162" s="113">
        <v>0</v>
      </c>
      <c r="O162" s="113">
        <v>0</v>
      </c>
      <c r="P162" s="114">
        <v>0</v>
      </c>
      <c r="Q162" s="113">
        <v>0</v>
      </c>
      <c r="R162" s="113">
        <v>0</v>
      </c>
      <c r="S162" s="113">
        <v>0</v>
      </c>
      <c r="T162" s="113">
        <v>0</v>
      </c>
      <c r="U162" s="113">
        <v>0</v>
      </c>
      <c r="V162" s="113">
        <v>0</v>
      </c>
      <c r="W162" s="114">
        <v>0</v>
      </c>
    </row>
    <row r="163" spans="2:23" x14ac:dyDescent="0.75">
      <c r="B163">
        <v>2023</v>
      </c>
      <c r="C163" t="str">
        <f t="shared" ref="C163:C226" si="5">C151</f>
        <v>H2 fuel cell, large battery</v>
      </c>
      <c r="D163">
        <v>10</v>
      </c>
      <c r="E163" s="113">
        <v>0</v>
      </c>
      <c r="F163" s="113">
        <v>0</v>
      </c>
      <c r="G163" s="113">
        <v>0</v>
      </c>
      <c r="H163" s="114">
        <v>0</v>
      </c>
      <c r="I163" s="113">
        <v>0</v>
      </c>
      <c r="J163" s="113">
        <v>0</v>
      </c>
      <c r="K163" s="113">
        <v>0</v>
      </c>
      <c r="L163" s="113">
        <v>0</v>
      </c>
      <c r="M163" s="114">
        <v>0</v>
      </c>
      <c r="N163" s="113">
        <v>0</v>
      </c>
      <c r="O163" s="113">
        <v>0</v>
      </c>
      <c r="P163" s="114">
        <v>0</v>
      </c>
      <c r="Q163" s="113">
        <v>0</v>
      </c>
      <c r="R163" s="113">
        <v>0</v>
      </c>
      <c r="S163" s="113">
        <v>0</v>
      </c>
      <c r="T163" s="113">
        <v>0</v>
      </c>
      <c r="U163" s="113">
        <v>0</v>
      </c>
      <c r="V163" s="113">
        <v>0</v>
      </c>
      <c r="W163" s="114">
        <v>0</v>
      </c>
    </row>
    <row r="164" spans="2:23" x14ac:dyDescent="0.75">
      <c r="B164">
        <v>2023</v>
      </c>
      <c r="C164" t="str">
        <f t="shared" si="5"/>
        <v>Gasoline hybrid</v>
      </c>
      <c r="D164">
        <v>11</v>
      </c>
      <c r="E164" s="113">
        <v>0</v>
      </c>
      <c r="F164" s="113">
        <v>0</v>
      </c>
      <c r="G164" s="113">
        <v>0</v>
      </c>
      <c r="H164" s="114">
        <v>0</v>
      </c>
      <c r="I164" s="113">
        <v>0</v>
      </c>
      <c r="J164" s="113">
        <v>0</v>
      </c>
      <c r="K164" s="113">
        <v>0</v>
      </c>
      <c r="L164" s="113">
        <v>0</v>
      </c>
      <c r="M164" s="114">
        <v>0</v>
      </c>
      <c r="N164" s="113">
        <v>0</v>
      </c>
      <c r="O164" s="113">
        <v>0</v>
      </c>
      <c r="P164" s="114">
        <v>0</v>
      </c>
      <c r="Q164" s="113">
        <v>0</v>
      </c>
      <c r="R164" s="113">
        <v>0</v>
      </c>
      <c r="S164" s="113">
        <v>0</v>
      </c>
      <c r="T164" s="113">
        <v>0</v>
      </c>
      <c r="U164" s="113">
        <v>0</v>
      </c>
      <c r="V164" s="113">
        <v>0</v>
      </c>
      <c r="W164" s="114">
        <v>0</v>
      </c>
    </row>
    <row r="165" spans="2:23" x14ac:dyDescent="0.75">
      <c r="B165">
        <v>2023</v>
      </c>
      <c r="C165" t="str">
        <f t="shared" si="5"/>
        <v>Hydrogen ICE</v>
      </c>
      <c r="D165">
        <v>12</v>
      </c>
      <c r="E165" s="113">
        <v>0</v>
      </c>
      <c r="F165" s="113">
        <v>0</v>
      </c>
      <c r="G165" s="113">
        <v>0</v>
      </c>
      <c r="H165" s="114">
        <v>0</v>
      </c>
      <c r="I165" s="113">
        <v>0</v>
      </c>
      <c r="J165" s="113">
        <v>0</v>
      </c>
      <c r="K165" s="113">
        <v>0</v>
      </c>
      <c r="L165" s="113">
        <v>0</v>
      </c>
      <c r="M165" s="114">
        <v>0</v>
      </c>
      <c r="N165" s="113">
        <v>0</v>
      </c>
      <c r="O165" s="113">
        <v>0</v>
      </c>
      <c r="P165" s="114">
        <v>0</v>
      </c>
      <c r="Q165" s="113">
        <v>0</v>
      </c>
      <c r="R165" s="113">
        <v>0</v>
      </c>
      <c r="S165" s="113">
        <v>0</v>
      </c>
      <c r="T165" s="113">
        <v>0</v>
      </c>
      <c r="U165" s="113">
        <v>0</v>
      </c>
      <c r="V165" s="113">
        <v>0</v>
      </c>
      <c r="W165" s="114">
        <v>0</v>
      </c>
    </row>
    <row r="166" spans="2:23" x14ac:dyDescent="0.75">
      <c r="B166">
        <v>2024</v>
      </c>
      <c r="C166" t="str">
        <f t="shared" si="5"/>
        <v>Diesel</v>
      </c>
      <c r="D166">
        <v>1</v>
      </c>
      <c r="E166" s="113">
        <v>27780.433593999998</v>
      </c>
      <c r="F166" s="113">
        <v>160.43661499999999</v>
      </c>
      <c r="G166" s="113">
        <v>52039.089844000002</v>
      </c>
      <c r="H166" s="114">
        <v>2094.9570309999999</v>
      </c>
      <c r="I166" s="113">
        <v>5692.2827150000003</v>
      </c>
      <c r="J166" s="113">
        <v>15356.743164</v>
      </c>
      <c r="K166" s="113">
        <v>16081.827148</v>
      </c>
      <c r="L166" s="113">
        <v>10464.321289</v>
      </c>
      <c r="M166" s="114">
        <v>1620.7960210000001</v>
      </c>
      <c r="N166" s="113">
        <v>1620.7960210000001</v>
      </c>
      <c r="O166" s="113">
        <v>4863.7075199999999</v>
      </c>
      <c r="P166" s="114">
        <v>21342.648438</v>
      </c>
      <c r="Q166" s="113">
        <v>11946.973633</v>
      </c>
      <c r="R166" s="113">
        <v>11946.973633</v>
      </c>
      <c r="S166" s="113">
        <v>35840.917969000002</v>
      </c>
      <c r="T166" s="113">
        <v>18661.068359000001</v>
      </c>
      <c r="U166" s="113">
        <v>18661.587890999999</v>
      </c>
      <c r="V166" s="113">
        <v>55974.203125</v>
      </c>
      <c r="W166" s="114">
        <v>5.6386890000000003</v>
      </c>
    </row>
    <row r="167" spans="2:23" x14ac:dyDescent="0.75">
      <c r="B167">
        <v>2024</v>
      </c>
      <c r="C167" t="str">
        <f t="shared" si="5"/>
        <v>Gasoline</v>
      </c>
      <c r="D167">
        <v>2</v>
      </c>
      <c r="E167" s="113">
        <v>45174.015625</v>
      </c>
      <c r="F167" s="113">
        <v>3437.1489259999998</v>
      </c>
      <c r="G167" s="113">
        <v>19307.478515999999</v>
      </c>
      <c r="H167" s="114">
        <v>5039.1489259999998</v>
      </c>
      <c r="I167" s="113">
        <v>11324.494140999999</v>
      </c>
      <c r="J167" s="113">
        <v>7040.4433589999999</v>
      </c>
      <c r="K167" s="113">
        <v>6345.294922</v>
      </c>
      <c r="L167" s="113">
        <v>171.96864299999999</v>
      </c>
      <c r="M167" s="114">
        <v>6.3317999999999999E-2</v>
      </c>
      <c r="N167" s="113">
        <v>6.3317999999999999E-2</v>
      </c>
      <c r="O167" s="113">
        <v>0.18995400000000001</v>
      </c>
      <c r="P167" s="114">
        <v>7.0569459999999999</v>
      </c>
      <c r="Q167" s="113">
        <v>7.7590000000000003E-3</v>
      </c>
      <c r="R167" s="113">
        <v>7.7590000000000003E-3</v>
      </c>
      <c r="S167" s="113">
        <v>2.3276999999999999E-2</v>
      </c>
      <c r="T167" s="113">
        <v>1.2120000000000001E-2</v>
      </c>
      <c r="U167" s="113">
        <v>1.2120000000000001E-2</v>
      </c>
      <c r="V167" s="113">
        <v>3.6359000000000002E-2</v>
      </c>
      <c r="W167" s="114">
        <v>0</v>
      </c>
    </row>
    <row r="168" spans="2:23" x14ac:dyDescent="0.75">
      <c r="B168">
        <v>2024</v>
      </c>
      <c r="C168" t="str">
        <f t="shared" si="5"/>
        <v>LPG</v>
      </c>
      <c r="D168">
        <v>3</v>
      </c>
      <c r="E168" s="113">
        <v>9.2448000000000002E-2</v>
      </c>
      <c r="F168" s="113">
        <v>3.7109999999999999E-3</v>
      </c>
      <c r="G168" s="113">
        <v>0.72552399999999995</v>
      </c>
      <c r="H168" s="114">
        <v>4.2589999999999998E-3</v>
      </c>
      <c r="I168" s="113">
        <v>4.2897350000000003</v>
      </c>
      <c r="J168" s="113">
        <v>12.631259999999999</v>
      </c>
      <c r="K168" s="113">
        <v>8.7618960000000001</v>
      </c>
      <c r="L168" s="113">
        <v>35.391734999999997</v>
      </c>
      <c r="M168" s="114">
        <v>0.101021</v>
      </c>
      <c r="N168" s="113">
        <v>0.101021</v>
      </c>
      <c r="O168" s="113">
        <v>0.30306499999999997</v>
      </c>
      <c r="P168" s="114">
        <v>1.0820289999999999</v>
      </c>
      <c r="Q168" s="113">
        <v>0.84911999999999999</v>
      </c>
      <c r="R168" s="113">
        <v>0.84911999999999999</v>
      </c>
      <c r="S168" s="113">
        <v>2.547361</v>
      </c>
      <c r="T168" s="113">
        <v>1.326355</v>
      </c>
      <c r="U168" s="113">
        <v>1.326355</v>
      </c>
      <c r="V168" s="113">
        <v>3.9787349999999999</v>
      </c>
      <c r="W168" s="114">
        <v>0</v>
      </c>
    </row>
    <row r="169" spans="2:23" x14ac:dyDescent="0.75">
      <c r="B169">
        <v>2024</v>
      </c>
      <c r="C169" t="str">
        <f t="shared" si="5"/>
        <v>CNG</v>
      </c>
      <c r="D169">
        <v>4</v>
      </c>
      <c r="E169" s="113">
        <v>85.047545999999997</v>
      </c>
      <c r="F169" s="113">
        <v>8.7723220000000008</v>
      </c>
      <c r="G169" s="113">
        <v>74.034096000000005</v>
      </c>
      <c r="H169" s="114">
        <v>11.852308000000001</v>
      </c>
      <c r="I169" s="113">
        <v>21.361746</v>
      </c>
      <c r="J169" s="113">
        <v>44.207034999999998</v>
      </c>
      <c r="K169" s="113">
        <v>152.68336500000001</v>
      </c>
      <c r="L169" s="113">
        <v>33.298779000000003</v>
      </c>
      <c r="M169" s="114">
        <v>4.4552550000000002</v>
      </c>
      <c r="N169" s="113">
        <v>4.4552550000000002</v>
      </c>
      <c r="O169" s="113">
        <v>12.045855</v>
      </c>
      <c r="P169" s="114">
        <v>821.85150099999998</v>
      </c>
      <c r="Q169" s="113">
        <v>95.777534000000003</v>
      </c>
      <c r="R169" s="113">
        <v>95.777534000000003</v>
      </c>
      <c r="S169" s="113">
        <v>287.33261099999999</v>
      </c>
      <c r="T169" s="113">
        <v>150.12597700000001</v>
      </c>
      <c r="U169" s="113">
        <v>149.60784899999999</v>
      </c>
      <c r="V169" s="113">
        <v>454.73043799999999</v>
      </c>
      <c r="W169" s="114">
        <v>0</v>
      </c>
    </row>
    <row r="170" spans="2:23" x14ac:dyDescent="0.75">
      <c r="B170">
        <v>2024</v>
      </c>
      <c r="C170" t="str">
        <f t="shared" si="5"/>
        <v>E85</v>
      </c>
      <c r="D170">
        <v>5</v>
      </c>
      <c r="E170" s="113">
        <v>11161.513671999999</v>
      </c>
      <c r="F170" s="113">
        <v>2020.612427</v>
      </c>
      <c r="G170" s="113">
        <v>1752.1320800000001</v>
      </c>
      <c r="H170" s="114">
        <v>1506.7414550000001</v>
      </c>
      <c r="I170" s="113">
        <v>563.09039299999995</v>
      </c>
      <c r="J170" s="113">
        <v>1.8031999999999999E-2</v>
      </c>
      <c r="K170" s="113">
        <v>4.6672999999999999E-2</v>
      </c>
      <c r="L170" s="113">
        <v>0</v>
      </c>
      <c r="M170" s="114">
        <v>0</v>
      </c>
      <c r="N170" s="113">
        <v>0</v>
      </c>
      <c r="O170" s="113">
        <v>0</v>
      </c>
      <c r="P170" s="114">
        <v>0</v>
      </c>
      <c r="Q170" s="113">
        <v>0</v>
      </c>
      <c r="R170" s="113">
        <v>0</v>
      </c>
      <c r="S170" s="113">
        <v>0</v>
      </c>
      <c r="T170" s="113">
        <v>0</v>
      </c>
      <c r="U170" s="113">
        <v>0</v>
      </c>
      <c r="V170" s="113">
        <v>0</v>
      </c>
      <c r="W170" s="114">
        <v>0</v>
      </c>
    </row>
    <row r="171" spans="2:23" x14ac:dyDescent="0.75">
      <c r="B171">
        <v>2024</v>
      </c>
      <c r="C171" t="str">
        <f t="shared" si="5"/>
        <v>Electric</v>
      </c>
      <c r="D171">
        <v>6</v>
      </c>
      <c r="E171" s="113">
        <v>350.57232699999997</v>
      </c>
      <c r="F171" s="113">
        <v>0</v>
      </c>
      <c r="G171" s="113">
        <v>86.786285000000007</v>
      </c>
      <c r="H171" s="114">
        <v>0.49503599999999998</v>
      </c>
      <c r="I171" s="113">
        <v>1.8902890000000001</v>
      </c>
      <c r="J171" s="113">
        <v>1.226588</v>
      </c>
      <c r="K171" s="113">
        <v>18.568380000000001</v>
      </c>
      <c r="L171" s="113">
        <v>2.8464649999999998</v>
      </c>
      <c r="M171" s="114">
        <v>0.21238399999999999</v>
      </c>
      <c r="N171" s="113">
        <v>0.21238399999999999</v>
      </c>
      <c r="O171" s="113">
        <v>0.63715299999999997</v>
      </c>
      <c r="P171" s="114">
        <v>2.0815000000000001</v>
      </c>
      <c r="Q171" s="113">
        <v>13.986147000000001</v>
      </c>
      <c r="R171" s="113">
        <v>13.986147000000001</v>
      </c>
      <c r="S171" s="113">
        <v>41.958438999999998</v>
      </c>
      <c r="T171" s="113">
        <v>21.846851000000001</v>
      </c>
      <c r="U171" s="113">
        <v>21.846855000000001</v>
      </c>
      <c r="V171" s="113">
        <v>65.540535000000006</v>
      </c>
      <c r="W171" s="114">
        <v>0</v>
      </c>
    </row>
    <row r="172" spans="2:23" x14ac:dyDescent="0.75">
      <c r="B172">
        <v>2024</v>
      </c>
      <c r="C172" t="str">
        <f t="shared" si="5"/>
        <v>PHEV diesel</v>
      </c>
      <c r="D172">
        <v>7</v>
      </c>
      <c r="E172" s="113">
        <v>0</v>
      </c>
      <c r="F172" s="113">
        <v>0</v>
      </c>
      <c r="G172" s="113">
        <v>0</v>
      </c>
      <c r="H172" s="114">
        <v>0</v>
      </c>
      <c r="I172" s="113">
        <v>0</v>
      </c>
      <c r="J172" s="113">
        <v>0</v>
      </c>
      <c r="K172" s="113">
        <v>0</v>
      </c>
      <c r="L172" s="113">
        <v>0</v>
      </c>
      <c r="M172" s="114">
        <v>0</v>
      </c>
      <c r="N172" s="113">
        <v>0</v>
      </c>
      <c r="O172" s="113">
        <v>0</v>
      </c>
      <c r="P172" s="114">
        <v>0</v>
      </c>
      <c r="Q172" s="113">
        <v>0</v>
      </c>
      <c r="R172" s="113">
        <v>0</v>
      </c>
      <c r="S172" s="113">
        <v>0</v>
      </c>
      <c r="T172" s="113">
        <v>0</v>
      </c>
      <c r="U172" s="113">
        <v>0</v>
      </c>
      <c r="V172" s="113">
        <v>0</v>
      </c>
      <c r="W172" s="114">
        <v>0</v>
      </c>
    </row>
    <row r="173" spans="2:23" x14ac:dyDescent="0.75">
      <c r="B173">
        <v>2024</v>
      </c>
      <c r="C173" t="str">
        <f t="shared" si="5"/>
        <v>PHEV gasoline</v>
      </c>
      <c r="D173">
        <v>8</v>
      </c>
      <c r="E173" s="113">
        <v>0</v>
      </c>
      <c r="F173" s="113">
        <v>0</v>
      </c>
      <c r="G173" s="113">
        <v>0</v>
      </c>
      <c r="H173" s="114">
        <v>0</v>
      </c>
      <c r="I173" s="113">
        <v>0</v>
      </c>
      <c r="J173" s="113">
        <v>0</v>
      </c>
      <c r="K173" s="113">
        <v>0</v>
      </c>
      <c r="L173" s="113">
        <v>0</v>
      </c>
      <c r="M173" s="114">
        <v>0</v>
      </c>
      <c r="N173" s="113">
        <v>0</v>
      </c>
      <c r="O173" s="113">
        <v>0</v>
      </c>
      <c r="P173" s="114">
        <v>0</v>
      </c>
      <c r="Q173" s="113">
        <v>0</v>
      </c>
      <c r="R173" s="113">
        <v>0</v>
      </c>
      <c r="S173" s="113">
        <v>0</v>
      </c>
      <c r="T173" s="113">
        <v>0</v>
      </c>
      <c r="U173" s="113">
        <v>0</v>
      </c>
      <c r="V173" s="113">
        <v>0</v>
      </c>
      <c r="W173" s="114">
        <v>0</v>
      </c>
    </row>
    <row r="174" spans="2:23" x14ac:dyDescent="0.75">
      <c r="B174">
        <v>2024</v>
      </c>
      <c r="C174" t="str">
        <f t="shared" si="5"/>
        <v>H2 fuel cell, small battery</v>
      </c>
      <c r="D174">
        <v>9</v>
      </c>
      <c r="E174" s="113">
        <v>0</v>
      </c>
      <c r="F174" s="113">
        <v>0</v>
      </c>
      <c r="G174" s="113">
        <v>0</v>
      </c>
      <c r="H174" s="114">
        <v>0</v>
      </c>
      <c r="I174" s="113">
        <v>0</v>
      </c>
      <c r="J174" s="113">
        <v>0</v>
      </c>
      <c r="K174" s="113">
        <v>0</v>
      </c>
      <c r="L174" s="113">
        <v>0</v>
      </c>
      <c r="M174" s="114">
        <v>0</v>
      </c>
      <c r="N174" s="113">
        <v>0</v>
      </c>
      <c r="O174" s="113">
        <v>0</v>
      </c>
      <c r="P174" s="114">
        <v>0</v>
      </c>
      <c r="Q174" s="113">
        <v>0</v>
      </c>
      <c r="R174" s="113">
        <v>0</v>
      </c>
      <c r="S174" s="113">
        <v>0</v>
      </c>
      <c r="T174" s="113">
        <v>0</v>
      </c>
      <c r="U174" s="113">
        <v>0</v>
      </c>
      <c r="V174" s="113">
        <v>0</v>
      </c>
      <c r="W174" s="114">
        <v>0</v>
      </c>
    </row>
    <row r="175" spans="2:23" x14ac:dyDescent="0.75">
      <c r="B175">
        <v>2024</v>
      </c>
      <c r="C175" t="str">
        <f t="shared" si="5"/>
        <v>H2 fuel cell, large battery</v>
      </c>
      <c r="D175">
        <v>10</v>
      </c>
      <c r="E175" s="113">
        <v>0</v>
      </c>
      <c r="F175" s="113">
        <v>0</v>
      </c>
      <c r="G175" s="113">
        <v>0</v>
      </c>
      <c r="H175" s="114">
        <v>0</v>
      </c>
      <c r="I175" s="113">
        <v>0</v>
      </c>
      <c r="J175" s="113">
        <v>0</v>
      </c>
      <c r="K175" s="113">
        <v>0</v>
      </c>
      <c r="L175" s="113">
        <v>0</v>
      </c>
      <c r="M175" s="114">
        <v>0</v>
      </c>
      <c r="N175" s="113">
        <v>0</v>
      </c>
      <c r="O175" s="113">
        <v>0</v>
      </c>
      <c r="P175" s="114">
        <v>0</v>
      </c>
      <c r="Q175" s="113">
        <v>0</v>
      </c>
      <c r="R175" s="113">
        <v>0</v>
      </c>
      <c r="S175" s="113">
        <v>0</v>
      </c>
      <c r="T175" s="113">
        <v>0</v>
      </c>
      <c r="U175" s="113">
        <v>0</v>
      </c>
      <c r="V175" s="113">
        <v>0</v>
      </c>
      <c r="W175" s="114">
        <v>0</v>
      </c>
    </row>
    <row r="176" spans="2:23" x14ac:dyDescent="0.75">
      <c r="B176">
        <v>2024</v>
      </c>
      <c r="C176" t="str">
        <f t="shared" si="5"/>
        <v>Gasoline hybrid</v>
      </c>
      <c r="D176">
        <v>11</v>
      </c>
      <c r="E176" s="113">
        <v>0</v>
      </c>
      <c r="F176" s="113">
        <v>0</v>
      </c>
      <c r="G176" s="113">
        <v>0</v>
      </c>
      <c r="H176" s="114">
        <v>0</v>
      </c>
      <c r="I176" s="113">
        <v>0</v>
      </c>
      <c r="J176" s="113">
        <v>0</v>
      </c>
      <c r="K176" s="113">
        <v>0</v>
      </c>
      <c r="L176" s="113">
        <v>0</v>
      </c>
      <c r="M176" s="114">
        <v>0</v>
      </c>
      <c r="N176" s="113">
        <v>0</v>
      </c>
      <c r="O176" s="113">
        <v>0</v>
      </c>
      <c r="P176" s="114">
        <v>0</v>
      </c>
      <c r="Q176" s="113">
        <v>0</v>
      </c>
      <c r="R176" s="113">
        <v>0</v>
      </c>
      <c r="S176" s="113">
        <v>0</v>
      </c>
      <c r="T176" s="113">
        <v>0</v>
      </c>
      <c r="U176" s="113">
        <v>0</v>
      </c>
      <c r="V176" s="113">
        <v>0</v>
      </c>
      <c r="W176" s="114">
        <v>0</v>
      </c>
    </row>
    <row r="177" spans="2:23" x14ac:dyDescent="0.75">
      <c r="B177">
        <v>2024</v>
      </c>
      <c r="C177" t="str">
        <f t="shared" si="5"/>
        <v>Hydrogen ICE</v>
      </c>
      <c r="D177">
        <v>12</v>
      </c>
      <c r="E177" s="113">
        <v>0</v>
      </c>
      <c r="F177" s="113">
        <v>0</v>
      </c>
      <c r="G177" s="113">
        <v>0</v>
      </c>
      <c r="H177" s="114">
        <v>0</v>
      </c>
      <c r="I177" s="113">
        <v>0</v>
      </c>
      <c r="J177" s="113">
        <v>0</v>
      </c>
      <c r="K177" s="113">
        <v>0</v>
      </c>
      <c r="L177" s="113">
        <v>0</v>
      </c>
      <c r="M177" s="114">
        <v>0</v>
      </c>
      <c r="N177" s="113">
        <v>0</v>
      </c>
      <c r="O177" s="113">
        <v>0</v>
      </c>
      <c r="P177" s="114">
        <v>0</v>
      </c>
      <c r="Q177" s="113">
        <v>0</v>
      </c>
      <c r="R177" s="113">
        <v>0</v>
      </c>
      <c r="S177" s="113">
        <v>0</v>
      </c>
      <c r="T177" s="113">
        <v>0</v>
      </c>
      <c r="U177" s="113">
        <v>0</v>
      </c>
      <c r="V177" s="113">
        <v>0</v>
      </c>
      <c r="W177" s="114">
        <v>0</v>
      </c>
    </row>
    <row r="178" spans="2:23" x14ac:dyDescent="0.75">
      <c r="B178">
        <v>2025</v>
      </c>
      <c r="C178" t="str">
        <f t="shared" si="5"/>
        <v>Diesel</v>
      </c>
      <c r="D178">
        <v>1</v>
      </c>
      <c r="E178" s="113">
        <v>26474.865234000001</v>
      </c>
      <c r="F178" s="113">
        <v>170.79193100000001</v>
      </c>
      <c r="G178" s="113">
        <v>51873.484375</v>
      </c>
      <c r="H178" s="114">
        <v>2185.380615</v>
      </c>
      <c r="I178" s="113">
        <v>5861.2646480000003</v>
      </c>
      <c r="J178" s="113">
        <v>14836.102539</v>
      </c>
      <c r="K178" s="113">
        <v>15885.347656</v>
      </c>
      <c r="L178" s="113">
        <v>10137.375977</v>
      </c>
      <c r="M178" s="114">
        <v>1601.989746</v>
      </c>
      <c r="N178" s="113">
        <v>1602.003052</v>
      </c>
      <c r="O178" s="113">
        <v>4807.2822269999997</v>
      </c>
      <c r="P178" s="114">
        <v>21323.503906000002</v>
      </c>
      <c r="Q178" s="113">
        <v>12342.171875</v>
      </c>
      <c r="R178" s="113">
        <v>12342.171875</v>
      </c>
      <c r="S178" s="113">
        <v>37023.164062000003</v>
      </c>
      <c r="T178" s="113">
        <v>19272.9375</v>
      </c>
      <c r="U178" s="113">
        <v>19274.5625</v>
      </c>
      <c r="V178" s="113">
        <v>57802.648437999997</v>
      </c>
      <c r="W178" s="114">
        <v>5.5079310000000001</v>
      </c>
    </row>
    <row r="179" spans="2:23" x14ac:dyDescent="0.75">
      <c r="B179">
        <v>2025</v>
      </c>
      <c r="C179" t="str">
        <f t="shared" si="5"/>
        <v>Gasoline</v>
      </c>
      <c r="D179">
        <v>2</v>
      </c>
      <c r="E179" s="113">
        <v>44861.648437999997</v>
      </c>
      <c r="F179" s="113">
        <v>3325.4067380000001</v>
      </c>
      <c r="G179" s="113">
        <v>21333.373047000001</v>
      </c>
      <c r="H179" s="114">
        <v>4819.1948240000002</v>
      </c>
      <c r="I179" s="113">
        <v>10789.487305000001</v>
      </c>
      <c r="J179" s="113">
        <v>7151.4873049999997</v>
      </c>
      <c r="K179" s="113">
        <v>6843.9145509999998</v>
      </c>
      <c r="L179" s="113">
        <v>149.27568099999999</v>
      </c>
      <c r="M179" s="114">
        <v>4.9780999999999999E-2</v>
      </c>
      <c r="N179" s="113">
        <v>4.9780999999999999E-2</v>
      </c>
      <c r="O179" s="113">
        <v>0.149344</v>
      </c>
      <c r="P179" s="114">
        <v>5.3364859999999998</v>
      </c>
      <c r="Q179" s="113">
        <v>6.8069999999999997E-3</v>
      </c>
      <c r="R179" s="113">
        <v>6.8069999999999997E-3</v>
      </c>
      <c r="S179" s="113">
        <v>2.0420000000000001E-2</v>
      </c>
      <c r="T179" s="113">
        <v>1.0632000000000001E-2</v>
      </c>
      <c r="U179" s="113">
        <v>1.0632000000000001E-2</v>
      </c>
      <c r="V179" s="113">
        <v>3.1896000000000001E-2</v>
      </c>
      <c r="W179" s="114">
        <v>0</v>
      </c>
    </row>
    <row r="180" spans="2:23" x14ac:dyDescent="0.75">
      <c r="B180">
        <v>2025</v>
      </c>
      <c r="C180" t="str">
        <f t="shared" si="5"/>
        <v>LPG</v>
      </c>
      <c r="D180">
        <v>3</v>
      </c>
      <c r="E180" s="113">
        <v>0.12217799999999999</v>
      </c>
      <c r="F180" s="113">
        <v>5.3319999999999999E-3</v>
      </c>
      <c r="G180" s="113">
        <v>0.72111999999999998</v>
      </c>
      <c r="H180" s="114">
        <v>1.0145E-2</v>
      </c>
      <c r="I180" s="113">
        <v>3.9285380000000001</v>
      </c>
      <c r="J180" s="113">
        <v>11.394814</v>
      </c>
      <c r="K180" s="113">
        <v>7.5901300000000003</v>
      </c>
      <c r="L180" s="113">
        <v>33.393864000000001</v>
      </c>
      <c r="M180" s="114">
        <v>0.189419</v>
      </c>
      <c r="N180" s="113">
        <v>0.189419</v>
      </c>
      <c r="O180" s="113">
        <v>0.56825599999999998</v>
      </c>
      <c r="P180" s="114">
        <v>2.009852</v>
      </c>
      <c r="Q180" s="113">
        <v>1.6681410000000001</v>
      </c>
      <c r="R180" s="113">
        <v>1.6681410000000001</v>
      </c>
      <c r="S180" s="113">
        <v>5.0044230000000001</v>
      </c>
      <c r="T180" s="113">
        <v>2.6056919999999999</v>
      </c>
      <c r="U180" s="113">
        <v>2.6056940000000002</v>
      </c>
      <c r="V180" s="113">
        <v>7.8164280000000002</v>
      </c>
      <c r="W180" s="114">
        <v>0</v>
      </c>
    </row>
    <row r="181" spans="2:23" x14ac:dyDescent="0.75">
      <c r="B181">
        <v>2025</v>
      </c>
      <c r="C181" t="str">
        <f t="shared" si="5"/>
        <v>CNG</v>
      </c>
      <c r="D181">
        <v>4</v>
      </c>
      <c r="E181" s="113">
        <v>103.72099300000001</v>
      </c>
      <c r="F181" s="113">
        <v>10.276177000000001</v>
      </c>
      <c r="G181" s="113">
        <v>203.12535099999999</v>
      </c>
      <c r="H181" s="114">
        <v>11.749969999999999</v>
      </c>
      <c r="I181" s="113">
        <v>20.720255000000002</v>
      </c>
      <c r="J181" s="113">
        <v>66.077538000000004</v>
      </c>
      <c r="K181" s="113">
        <v>209.52787799999999</v>
      </c>
      <c r="L181" s="113">
        <v>33.997813999999998</v>
      </c>
      <c r="M181" s="114">
        <v>4.4594959999999997</v>
      </c>
      <c r="N181" s="113">
        <v>4.4461760000000004</v>
      </c>
      <c r="O181" s="113">
        <v>12.067126</v>
      </c>
      <c r="P181" s="114">
        <v>837.79608199999996</v>
      </c>
      <c r="Q181" s="113">
        <v>99.772614000000004</v>
      </c>
      <c r="R181" s="113">
        <v>99.772614000000004</v>
      </c>
      <c r="S181" s="113">
        <v>302.67034899999999</v>
      </c>
      <c r="T181" s="113">
        <v>161.82077000000001</v>
      </c>
      <c r="U181" s="113">
        <v>160.19538900000001</v>
      </c>
      <c r="V181" s="113">
        <v>496.78549199999998</v>
      </c>
      <c r="W181" s="114">
        <v>0</v>
      </c>
    </row>
    <row r="182" spans="2:23" x14ac:dyDescent="0.75">
      <c r="B182">
        <v>2025</v>
      </c>
      <c r="C182" t="str">
        <f t="shared" si="5"/>
        <v>E85</v>
      </c>
      <c r="D182">
        <v>5</v>
      </c>
      <c r="E182" s="113">
        <v>11206.742188</v>
      </c>
      <c r="F182" s="113">
        <v>1978.8448490000001</v>
      </c>
      <c r="G182" s="113">
        <v>1604.724121</v>
      </c>
      <c r="H182" s="114">
        <v>1363.94165</v>
      </c>
      <c r="I182" s="113">
        <v>508.31997699999999</v>
      </c>
      <c r="J182" s="113">
        <v>3.4599999999999999E-2</v>
      </c>
      <c r="K182" s="113">
        <v>6.8580000000000002E-2</v>
      </c>
      <c r="L182" s="113">
        <v>0</v>
      </c>
      <c r="M182" s="114">
        <v>0</v>
      </c>
      <c r="N182" s="113">
        <v>0</v>
      </c>
      <c r="O182" s="113">
        <v>0</v>
      </c>
      <c r="P182" s="114">
        <v>0</v>
      </c>
      <c r="Q182" s="113">
        <v>0</v>
      </c>
      <c r="R182" s="113">
        <v>0</v>
      </c>
      <c r="S182" s="113">
        <v>0</v>
      </c>
      <c r="T182" s="113">
        <v>0</v>
      </c>
      <c r="U182" s="113">
        <v>0</v>
      </c>
      <c r="V182" s="113">
        <v>0</v>
      </c>
      <c r="W182" s="114">
        <v>0</v>
      </c>
    </row>
    <row r="183" spans="2:23" x14ac:dyDescent="0.75">
      <c r="B183">
        <v>2025</v>
      </c>
      <c r="C183" t="str">
        <f t="shared" si="5"/>
        <v>Electric</v>
      </c>
      <c r="D183">
        <v>6</v>
      </c>
      <c r="E183" s="113">
        <v>506.607147</v>
      </c>
      <c r="F183" s="113">
        <v>0</v>
      </c>
      <c r="G183" s="113">
        <v>119.029259</v>
      </c>
      <c r="H183" s="114">
        <v>0.43782300000000002</v>
      </c>
      <c r="I183" s="113">
        <v>1.7216370000000001</v>
      </c>
      <c r="J183" s="113">
        <v>1.333026</v>
      </c>
      <c r="K183" s="113">
        <v>20.219920999999999</v>
      </c>
      <c r="L183" s="113">
        <v>4.0369419999999998</v>
      </c>
      <c r="M183" s="114">
        <v>0.231741</v>
      </c>
      <c r="N183" s="113">
        <v>0.231741</v>
      </c>
      <c r="O183" s="113">
        <v>0.69522200000000001</v>
      </c>
      <c r="P183" s="114">
        <v>2.6308690000000001</v>
      </c>
      <c r="Q183" s="113">
        <v>18.548909999999999</v>
      </c>
      <c r="R183" s="113">
        <v>18.548909999999999</v>
      </c>
      <c r="S183" s="113">
        <v>55.646725000000004</v>
      </c>
      <c r="T183" s="113">
        <v>28.974032999999999</v>
      </c>
      <c r="U183" s="113">
        <v>28.974032999999999</v>
      </c>
      <c r="V183" s="113">
        <v>86.922058000000007</v>
      </c>
      <c r="W183" s="114">
        <v>0</v>
      </c>
    </row>
    <row r="184" spans="2:23" x14ac:dyDescent="0.75">
      <c r="B184">
        <v>2025</v>
      </c>
      <c r="C184" t="str">
        <f t="shared" si="5"/>
        <v>PHEV diesel</v>
      </c>
      <c r="D184">
        <v>7</v>
      </c>
      <c r="E184" s="113">
        <v>0</v>
      </c>
      <c r="F184" s="113">
        <v>0</v>
      </c>
      <c r="G184" s="113">
        <v>0</v>
      </c>
      <c r="H184" s="114">
        <v>0</v>
      </c>
      <c r="I184" s="113">
        <v>0</v>
      </c>
      <c r="J184" s="113">
        <v>0</v>
      </c>
      <c r="K184" s="113">
        <v>0</v>
      </c>
      <c r="L184" s="113">
        <v>0</v>
      </c>
      <c r="M184" s="114">
        <v>0</v>
      </c>
      <c r="N184" s="113">
        <v>0</v>
      </c>
      <c r="O184" s="113">
        <v>0</v>
      </c>
      <c r="P184" s="114">
        <v>0</v>
      </c>
      <c r="Q184" s="113">
        <v>0</v>
      </c>
      <c r="R184" s="113">
        <v>0</v>
      </c>
      <c r="S184" s="113">
        <v>0</v>
      </c>
      <c r="T184" s="113">
        <v>0</v>
      </c>
      <c r="U184" s="113">
        <v>0</v>
      </c>
      <c r="V184" s="113">
        <v>0</v>
      </c>
      <c r="W184" s="114">
        <v>0</v>
      </c>
    </row>
    <row r="185" spans="2:23" x14ac:dyDescent="0.75">
      <c r="B185">
        <v>2025</v>
      </c>
      <c r="C185" t="str">
        <f t="shared" si="5"/>
        <v>PHEV gasoline</v>
      </c>
      <c r="D185">
        <v>8</v>
      </c>
      <c r="E185" s="113">
        <v>0</v>
      </c>
      <c r="F185" s="113">
        <v>0</v>
      </c>
      <c r="G185" s="113">
        <v>0</v>
      </c>
      <c r="H185" s="114">
        <v>0</v>
      </c>
      <c r="I185" s="113">
        <v>0</v>
      </c>
      <c r="J185" s="113">
        <v>0</v>
      </c>
      <c r="K185" s="113">
        <v>6.1666970000000001</v>
      </c>
      <c r="L185" s="113">
        <v>0</v>
      </c>
      <c r="M185" s="114">
        <v>0</v>
      </c>
      <c r="N185" s="113">
        <v>0</v>
      </c>
      <c r="O185" s="113">
        <v>0</v>
      </c>
      <c r="P185" s="114">
        <v>0</v>
      </c>
      <c r="Q185" s="113">
        <v>0</v>
      </c>
      <c r="R185" s="113">
        <v>0</v>
      </c>
      <c r="S185" s="113">
        <v>0</v>
      </c>
      <c r="T185" s="113">
        <v>0</v>
      </c>
      <c r="U185" s="113">
        <v>0</v>
      </c>
      <c r="V185" s="113">
        <v>0</v>
      </c>
      <c r="W185" s="114">
        <v>0</v>
      </c>
    </row>
    <row r="186" spans="2:23" x14ac:dyDescent="0.75">
      <c r="B186">
        <v>2025</v>
      </c>
      <c r="C186" t="str">
        <f t="shared" si="5"/>
        <v>H2 fuel cell, small battery</v>
      </c>
      <c r="D186">
        <v>9</v>
      </c>
      <c r="E186" s="113">
        <v>0</v>
      </c>
      <c r="F186" s="113">
        <v>0</v>
      </c>
      <c r="G186" s="113">
        <v>0</v>
      </c>
      <c r="H186" s="114">
        <v>0</v>
      </c>
      <c r="I186" s="113">
        <v>0</v>
      </c>
      <c r="J186" s="113">
        <v>0</v>
      </c>
      <c r="K186" s="113">
        <v>0</v>
      </c>
      <c r="L186" s="113">
        <v>0</v>
      </c>
      <c r="M186" s="114">
        <v>0</v>
      </c>
      <c r="N186" s="113">
        <v>0</v>
      </c>
      <c r="O186" s="113">
        <v>0</v>
      </c>
      <c r="P186" s="114">
        <v>0</v>
      </c>
      <c r="Q186" s="113">
        <v>0</v>
      </c>
      <c r="R186" s="113">
        <v>0</v>
      </c>
      <c r="S186" s="113">
        <v>0</v>
      </c>
      <c r="T186" s="113">
        <v>0</v>
      </c>
      <c r="U186" s="113">
        <v>0</v>
      </c>
      <c r="V186" s="113">
        <v>0</v>
      </c>
      <c r="W186" s="114">
        <v>0</v>
      </c>
    </row>
    <row r="187" spans="2:23" x14ac:dyDescent="0.75">
      <c r="B187">
        <v>2025</v>
      </c>
      <c r="C187" t="str">
        <f t="shared" si="5"/>
        <v>H2 fuel cell, large battery</v>
      </c>
      <c r="D187">
        <v>10</v>
      </c>
      <c r="E187" s="113">
        <v>0</v>
      </c>
      <c r="F187" s="113">
        <v>0</v>
      </c>
      <c r="G187" s="113">
        <v>0</v>
      </c>
      <c r="H187" s="114">
        <v>0</v>
      </c>
      <c r="I187" s="113">
        <v>0</v>
      </c>
      <c r="J187" s="113">
        <v>0</v>
      </c>
      <c r="K187" s="113">
        <v>0</v>
      </c>
      <c r="L187" s="113">
        <v>0</v>
      </c>
      <c r="M187" s="114">
        <v>0</v>
      </c>
      <c r="N187" s="113">
        <v>0</v>
      </c>
      <c r="O187" s="113">
        <v>0</v>
      </c>
      <c r="P187" s="114">
        <v>0</v>
      </c>
      <c r="Q187" s="113">
        <v>0</v>
      </c>
      <c r="R187" s="113">
        <v>0</v>
      </c>
      <c r="S187" s="113">
        <v>0</v>
      </c>
      <c r="T187" s="113">
        <v>0</v>
      </c>
      <c r="U187" s="113">
        <v>0</v>
      </c>
      <c r="V187" s="113">
        <v>0</v>
      </c>
      <c r="W187" s="114">
        <v>0</v>
      </c>
    </row>
    <row r="188" spans="2:23" x14ac:dyDescent="0.75">
      <c r="B188">
        <v>2025</v>
      </c>
      <c r="C188" t="str">
        <f t="shared" si="5"/>
        <v>Gasoline hybrid</v>
      </c>
      <c r="D188">
        <v>11</v>
      </c>
      <c r="E188" s="113">
        <v>47.983601</v>
      </c>
      <c r="F188" s="113">
        <v>2.6001249999999998</v>
      </c>
      <c r="G188" s="113">
        <v>86.992812999999998</v>
      </c>
      <c r="H188" s="114">
        <v>12.769081999999999</v>
      </c>
      <c r="I188" s="113">
        <v>27.939598</v>
      </c>
      <c r="J188" s="113">
        <v>36.989628000000003</v>
      </c>
      <c r="K188" s="113">
        <v>0</v>
      </c>
      <c r="L188" s="113">
        <v>0</v>
      </c>
      <c r="M188" s="114">
        <v>0</v>
      </c>
      <c r="N188" s="113">
        <v>0</v>
      </c>
      <c r="O188" s="113">
        <v>0</v>
      </c>
      <c r="P188" s="114">
        <v>0</v>
      </c>
      <c r="Q188" s="113">
        <v>0</v>
      </c>
      <c r="R188" s="113">
        <v>0</v>
      </c>
      <c r="S188" s="113">
        <v>0</v>
      </c>
      <c r="T188" s="113">
        <v>0</v>
      </c>
      <c r="U188" s="113">
        <v>0</v>
      </c>
      <c r="V188" s="113">
        <v>0</v>
      </c>
      <c r="W188" s="114">
        <v>0</v>
      </c>
    </row>
    <row r="189" spans="2:23" x14ac:dyDescent="0.75">
      <c r="B189">
        <v>2025</v>
      </c>
      <c r="C189" t="str">
        <f t="shared" si="5"/>
        <v>Hydrogen ICE</v>
      </c>
      <c r="D189">
        <v>12</v>
      </c>
      <c r="E189" s="113">
        <v>0</v>
      </c>
      <c r="F189" s="113">
        <v>0</v>
      </c>
      <c r="G189" s="113">
        <v>0</v>
      </c>
      <c r="H189" s="114">
        <v>0</v>
      </c>
      <c r="I189" s="113">
        <v>0</v>
      </c>
      <c r="J189" s="113">
        <v>0</v>
      </c>
      <c r="K189" s="113">
        <v>0</v>
      </c>
      <c r="L189" s="113">
        <v>0</v>
      </c>
      <c r="M189" s="114">
        <v>0</v>
      </c>
      <c r="N189" s="113">
        <v>0</v>
      </c>
      <c r="O189" s="113">
        <v>0</v>
      </c>
      <c r="P189" s="114">
        <v>0</v>
      </c>
      <c r="Q189" s="113">
        <v>0</v>
      </c>
      <c r="R189" s="113">
        <v>0</v>
      </c>
      <c r="S189" s="113">
        <v>0</v>
      </c>
      <c r="T189" s="113">
        <v>0</v>
      </c>
      <c r="U189" s="113">
        <v>0</v>
      </c>
      <c r="V189" s="113">
        <v>0</v>
      </c>
      <c r="W189" s="114">
        <v>0</v>
      </c>
    </row>
    <row r="190" spans="2:23" x14ac:dyDescent="0.75">
      <c r="B190">
        <v>2026</v>
      </c>
      <c r="C190" t="str">
        <f t="shared" si="5"/>
        <v>Diesel</v>
      </c>
      <c r="D190">
        <v>1</v>
      </c>
      <c r="E190" s="113">
        <v>25147.457031000002</v>
      </c>
      <c r="F190" s="113">
        <v>187.016739</v>
      </c>
      <c r="G190" s="113">
        <v>51229.863280999998</v>
      </c>
      <c r="H190" s="114">
        <v>2253.998779</v>
      </c>
      <c r="I190" s="113">
        <v>5995.953125</v>
      </c>
      <c r="J190" s="113">
        <v>14242.648438</v>
      </c>
      <c r="K190" s="113">
        <v>15611.044921999999</v>
      </c>
      <c r="L190" s="113">
        <v>9790.3818360000005</v>
      </c>
      <c r="M190" s="114">
        <v>1584.0108640000001</v>
      </c>
      <c r="N190" s="113">
        <v>1584.0382079999999</v>
      </c>
      <c r="O190" s="113">
        <v>4751.935547</v>
      </c>
      <c r="P190" s="114">
        <v>21202.701172000001</v>
      </c>
      <c r="Q190" s="113">
        <v>12663.960938</v>
      </c>
      <c r="R190" s="113">
        <v>12663.179688</v>
      </c>
      <c r="S190" s="113">
        <v>37986.222655999998</v>
      </c>
      <c r="T190" s="113">
        <v>19769.236327999999</v>
      </c>
      <c r="U190" s="113">
        <v>19773.496093999998</v>
      </c>
      <c r="V190" s="113">
        <v>59287.132812000003</v>
      </c>
      <c r="W190" s="114">
        <v>5.3625439999999998</v>
      </c>
    </row>
    <row r="191" spans="2:23" x14ac:dyDescent="0.75">
      <c r="B191">
        <v>2026</v>
      </c>
      <c r="C191" t="str">
        <f t="shared" si="5"/>
        <v>Gasoline</v>
      </c>
      <c r="D191">
        <v>2</v>
      </c>
      <c r="E191" s="113">
        <v>44855.320312000003</v>
      </c>
      <c r="F191" s="113">
        <v>3233.9909670000002</v>
      </c>
      <c r="G191" s="113">
        <v>23163.875</v>
      </c>
      <c r="H191" s="114">
        <v>4584.2348629999997</v>
      </c>
      <c r="I191" s="113">
        <v>10242.986328000001</v>
      </c>
      <c r="J191" s="113">
        <v>7224.0288090000004</v>
      </c>
      <c r="K191" s="113">
        <v>7308.3598629999997</v>
      </c>
      <c r="L191" s="113">
        <v>130.95275899999999</v>
      </c>
      <c r="M191" s="114">
        <v>3.6944999999999999E-2</v>
      </c>
      <c r="N191" s="113">
        <v>3.6944999999999999E-2</v>
      </c>
      <c r="O191" s="113">
        <v>0.110835</v>
      </c>
      <c r="P191" s="114">
        <v>4.0343689999999999</v>
      </c>
      <c r="Q191" s="113">
        <v>6.084E-3</v>
      </c>
      <c r="R191" s="113">
        <v>6.084E-3</v>
      </c>
      <c r="S191" s="113">
        <v>1.8252000000000001E-2</v>
      </c>
      <c r="T191" s="113">
        <v>9.5029999999999993E-3</v>
      </c>
      <c r="U191" s="113">
        <v>9.5029999999999993E-3</v>
      </c>
      <c r="V191" s="113">
        <v>2.8510000000000001E-2</v>
      </c>
      <c r="W191" s="114">
        <v>0</v>
      </c>
    </row>
    <row r="192" spans="2:23" x14ac:dyDescent="0.75">
      <c r="B192">
        <v>2026</v>
      </c>
      <c r="C192" t="str">
        <f t="shared" si="5"/>
        <v>LPG</v>
      </c>
      <c r="D192">
        <v>3</v>
      </c>
      <c r="E192" s="113">
        <v>0.15641099999999999</v>
      </c>
      <c r="F192" s="113">
        <v>7.241E-3</v>
      </c>
      <c r="G192" s="113">
        <v>0.71688499999999999</v>
      </c>
      <c r="H192" s="114">
        <v>1.5671000000000001E-2</v>
      </c>
      <c r="I192" s="113">
        <v>3.56047</v>
      </c>
      <c r="J192" s="113">
        <v>10.213082999999999</v>
      </c>
      <c r="K192" s="113">
        <v>6.5486659999999999</v>
      </c>
      <c r="L192" s="113">
        <v>31.219819999999999</v>
      </c>
      <c r="M192" s="114">
        <v>0.27179300000000001</v>
      </c>
      <c r="N192" s="113">
        <v>0.27179300000000001</v>
      </c>
      <c r="O192" s="113">
        <v>0.81537999999999999</v>
      </c>
      <c r="P192" s="114">
        <v>2.9186130000000001</v>
      </c>
      <c r="Q192" s="113">
        <v>2.4546389999999998</v>
      </c>
      <c r="R192" s="113">
        <v>2.4546389999999998</v>
      </c>
      <c r="S192" s="113">
        <v>7.3639140000000003</v>
      </c>
      <c r="T192" s="113">
        <v>3.8342269999999998</v>
      </c>
      <c r="U192" s="113">
        <v>3.8342290000000001</v>
      </c>
      <c r="V192" s="113">
        <v>11.501723999999999</v>
      </c>
      <c r="W192" s="114">
        <v>0</v>
      </c>
    </row>
    <row r="193" spans="2:23" x14ac:dyDescent="0.75">
      <c r="B193">
        <v>2026</v>
      </c>
      <c r="C193" t="str">
        <f t="shared" si="5"/>
        <v>CNG</v>
      </c>
      <c r="D193">
        <v>4</v>
      </c>
      <c r="E193" s="113">
        <v>123.748047</v>
      </c>
      <c r="F193" s="113">
        <v>12.081219000000001</v>
      </c>
      <c r="G193" s="113">
        <v>352.73217799999998</v>
      </c>
      <c r="H193" s="114">
        <v>11.817845999999999</v>
      </c>
      <c r="I193" s="113">
        <v>20.070065</v>
      </c>
      <c r="J193" s="113">
        <v>84.946877000000001</v>
      </c>
      <c r="K193" s="113">
        <v>263.550049</v>
      </c>
      <c r="L193" s="113">
        <v>34.412998000000002</v>
      </c>
      <c r="M193" s="114">
        <v>4.3961860000000001</v>
      </c>
      <c r="N193" s="113">
        <v>4.3687250000000004</v>
      </c>
      <c r="O193" s="113">
        <v>13.291308000000001</v>
      </c>
      <c r="P193" s="114">
        <v>847.58868399999994</v>
      </c>
      <c r="Q193" s="113">
        <v>103.110291</v>
      </c>
      <c r="R193" s="113">
        <v>103.891617</v>
      </c>
      <c r="S193" s="113">
        <v>314.996307</v>
      </c>
      <c r="T193" s="113">
        <v>173.37342799999999</v>
      </c>
      <c r="U193" s="113">
        <v>169.11836199999999</v>
      </c>
      <c r="V193" s="113">
        <v>535.75921600000004</v>
      </c>
      <c r="W193" s="114">
        <v>0</v>
      </c>
    </row>
    <row r="194" spans="2:23" x14ac:dyDescent="0.75">
      <c r="B194">
        <v>2026</v>
      </c>
      <c r="C194" t="str">
        <f t="shared" si="5"/>
        <v>E85</v>
      </c>
      <c r="D194">
        <v>5</v>
      </c>
      <c r="E194" s="113">
        <v>11188.138671999999</v>
      </c>
      <c r="F194" s="113">
        <v>1926.220703</v>
      </c>
      <c r="G194" s="113">
        <v>1451.3460689999999</v>
      </c>
      <c r="H194" s="114">
        <v>1219.974121</v>
      </c>
      <c r="I194" s="113">
        <v>453.29965199999998</v>
      </c>
      <c r="J194" s="113">
        <v>5.0294999999999999E-2</v>
      </c>
      <c r="K194" s="113">
        <v>8.8985999999999996E-2</v>
      </c>
      <c r="L194" s="113">
        <v>0</v>
      </c>
      <c r="M194" s="114">
        <v>0</v>
      </c>
      <c r="N194" s="113">
        <v>0</v>
      </c>
      <c r="O194" s="113">
        <v>0</v>
      </c>
      <c r="P194" s="114">
        <v>0</v>
      </c>
      <c r="Q194" s="113">
        <v>0</v>
      </c>
      <c r="R194" s="113">
        <v>0</v>
      </c>
      <c r="S194" s="113">
        <v>0</v>
      </c>
      <c r="T194" s="113">
        <v>0</v>
      </c>
      <c r="U194" s="113">
        <v>0</v>
      </c>
      <c r="V194" s="113">
        <v>0</v>
      </c>
      <c r="W194" s="114">
        <v>0</v>
      </c>
    </row>
    <row r="195" spans="2:23" x14ac:dyDescent="0.75">
      <c r="B195">
        <v>2026</v>
      </c>
      <c r="C195" t="str">
        <f t="shared" si="5"/>
        <v>Electric</v>
      </c>
      <c r="D195">
        <v>6</v>
      </c>
      <c r="E195" s="113">
        <v>672.77697799999999</v>
      </c>
      <c r="F195" s="113">
        <v>0</v>
      </c>
      <c r="G195" s="113">
        <v>148.86798099999999</v>
      </c>
      <c r="H195" s="114">
        <v>0.38255400000000001</v>
      </c>
      <c r="I195" s="113">
        <v>1.552835</v>
      </c>
      <c r="J195" s="113">
        <v>1.3989180000000001</v>
      </c>
      <c r="K195" s="113">
        <v>21.663042000000001</v>
      </c>
      <c r="L195" s="113">
        <v>5.1518319999999997</v>
      </c>
      <c r="M195" s="114">
        <v>0.25198500000000001</v>
      </c>
      <c r="N195" s="113">
        <v>0.25198500000000001</v>
      </c>
      <c r="O195" s="113">
        <v>0.75595599999999996</v>
      </c>
      <c r="P195" s="114">
        <v>3.1434160000000002</v>
      </c>
      <c r="Q195" s="113">
        <v>22.816528000000002</v>
      </c>
      <c r="R195" s="113">
        <v>22.816528000000002</v>
      </c>
      <c r="S195" s="113">
        <v>68.449577000000005</v>
      </c>
      <c r="T195" s="113">
        <v>35.640174999999999</v>
      </c>
      <c r="U195" s="113">
        <v>35.640186</v>
      </c>
      <c r="V195" s="113">
        <v>106.920486</v>
      </c>
      <c r="W195" s="114">
        <v>0</v>
      </c>
    </row>
    <row r="196" spans="2:23" x14ac:dyDescent="0.75">
      <c r="B196">
        <v>2026</v>
      </c>
      <c r="C196" t="str">
        <f t="shared" si="5"/>
        <v>PHEV diesel</v>
      </c>
      <c r="D196">
        <v>7</v>
      </c>
      <c r="E196" s="113">
        <v>0</v>
      </c>
      <c r="F196" s="113">
        <v>0</v>
      </c>
      <c r="G196" s="113">
        <v>0</v>
      </c>
      <c r="H196" s="114">
        <v>0</v>
      </c>
      <c r="I196" s="113">
        <v>0</v>
      </c>
      <c r="J196" s="113">
        <v>0</v>
      </c>
      <c r="K196" s="113">
        <v>7.5088650000000001</v>
      </c>
      <c r="L196" s="113">
        <v>1.8023309999999999</v>
      </c>
      <c r="M196" s="114">
        <v>0</v>
      </c>
      <c r="N196" s="113">
        <v>0</v>
      </c>
      <c r="O196" s="113">
        <v>0</v>
      </c>
      <c r="P196" s="114">
        <v>0</v>
      </c>
      <c r="Q196" s="113">
        <v>0</v>
      </c>
      <c r="R196" s="113">
        <v>0</v>
      </c>
      <c r="S196" s="113">
        <v>0</v>
      </c>
      <c r="T196" s="113">
        <v>0</v>
      </c>
      <c r="U196" s="113">
        <v>0</v>
      </c>
      <c r="V196" s="113">
        <v>0</v>
      </c>
      <c r="W196" s="114">
        <v>0</v>
      </c>
    </row>
    <row r="197" spans="2:23" x14ac:dyDescent="0.75">
      <c r="B197">
        <v>2026</v>
      </c>
      <c r="C197" t="str">
        <f t="shared" si="5"/>
        <v>PHEV gasoline</v>
      </c>
      <c r="D197">
        <v>8</v>
      </c>
      <c r="E197" s="113">
        <v>0</v>
      </c>
      <c r="F197" s="113">
        <v>0</v>
      </c>
      <c r="G197" s="113">
        <v>0</v>
      </c>
      <c r="H197" s="114">
        <v>0</v>
      </c>
      <c r="I197" s="113">
        <v>0</v>
      </c>
      <c r="J197" s="113">
        <v>0</v>
      </c>
      <c r="K197" s="113">
        <v>10.380908</v>
      </c>
      <c r="L197" s="113">
        <v>0</v>
      </c>
      <c r="M197" s="114">
        <v>0</v>
      </c>
      <c r="N197" s="113">
        <v>0</v>
      </c>
      <c r="O197" s="113">
        <v>0</v>
      </c>
      <c r="P197" s="114">
        <v>0</v>
      </c>
      <c r="Q197" s="113">
        <v>0</v>
      </c>
      <c r="R197" s="113">
        <v>0</v>
      </c>
      <c r="S197" s="113">
        <v>0</v>
      </c>
      <c r="T197" s="113">
        <v>0</v>
      </c>
      <c r="U197" s="113">
        <v>0</v>
      </c>
      <c r="V197" s="113">
        <v>0</v>
      </c>
      <c r="W197" s="114">
        <v>0</v>
      </c>
    </row>
    <row r="198" spans="2:23" x14ac:dyDescent="0.75">
      <c r="B198">
        <v>2026</v>
      </c>
      <c r="C198" t="str">
        <f t="shared" si="5"/>
        <v>H2 fuel cell, small battery</v>
      </c>
      <c r="D198">
        <v>9</v>
      </c>
      <c r="E198" s="113">
        <v>0</v>
      </c>
      <c r="F198" s="113">
        <v>0</v>
      </c>
      <c r="G198" s="113">
        <v>0</v>
      </c>
      <c r="H198" s="114">
        <v>0</v>
      </c>
      <c r="I198" s="113">
        <v>0</v>
      </c>
      <c r="J198" s="113">
        <v>0</v>
      </c>
      <c r="K198" s="113">
        <v>0</v>
      </c>
      <c r="L198" s="113">
        <v>0</v>
      </c>
      <c r="M198" s="114">
        <v>0</v>
      </c>
      <c r="N198" s="113">
        <v>0</v>
      </c>
      <c r="O198" s="113">
        <v>0</v>
      </c>
      <c r="P198" s="114">
        <v>0</v>
      </c>
      <c r="Q198" s="113">
        <v>0</v>
      </c>
      <c r="R198" s="113">
        <v>0</v>
      </c>
      <c r="S198" s="113">
        <v>0</v>
      </c>
      <c r="T198" s="113">
        <v>0</v>
      </c>
      <c r="U198" s="113">
        <v>0</v>
      </c>
      <c r="V198" s="113">
        <v>0</v>
      </c>
      <c r="W198" s="114">
        <v>0</v>
      </c>
    </row>
    <row r="199" spans="2:23" x14ac:dyDescent="0.75">
      <c r="B199">
        <v>2026</v>
      </c>
      <c r="C199" t="str">
        <f t="shared" si="5"/>
        <v>H2 fuel cell, large battery</v>
      </c>
      <c r="D199">
        <v>10</v>
      </c>
      <c r="E199" s="113">
        <v>0</v>
      </c>
      <c r="F199" s="113">
        <v>0</v>
      </c>
      <c r="G199" s="113">
        <v>0</v>
      </c>
      <c r="H199" s="114">
        <v>0</v>
      </c>
      <c r="I199" s="113">
        <v>0</v>
      </c>
      <c r="J199" s="113">
        <v>0</v>
      </c>
      <c r="K199" s="113">
        <v>0</v>
      </c>
      <c r="L199" s="113">
        <v>0</v>
      </c>
      <c r="M199" s="114">
        <v>0</v>
      </c>
      <c r="N199" s="113">
        <v>0</v>
      </c>
      <c r="O199" s="113">
        <v>0</v>
      </c>
      <c r="P199" s="114">
        <v>0</v>
      </c>
      <c r="Q199" s="113">
        <v>0</v>
      </c>
      <c r="R199" s="113">
        <v>0</v>
      </c>
      <c r="S199" s="113">
        <v>0</v>
      </c>
      <c r="T199" s="113">
        <v>0</v>
      </c>
      <c r="U199" s="113">
        <v>0</v>
      </c>
      <c r="V199" s="113">
        <v>0</v>
      </c>
      <c r="W199" s="114">
        <v>0</v>
      </c>
    </row>
    <row r="200" spans="2:23" x14ac:dyDescent="0.75">
      <c r="B200">
        <v>2026</v>
      </c>
      <c r="C200" t="str">
        <f t="shared" si="5"/>
        <v>Gasoline hybrid</v>
      </c>
      <c r="D200">
        <v>11</v>
      </c>
      <c r="E200" s="113">
        <v>116.701843</v>
      </c>
      <c r="F200" s="113">
        <v>6.9539059999999999</v>
      </c>
      <c r="G200" s="113">
        <v>236.71139500000001</v>
      </c>
      <c r="H200" s="114">
        <v>30.511859999999999</v>
      </c>
      <c r="I200" s="113">
        <v>65.869759000000002</v>
      </c>
      <c r="J200" s="113">
        <v>87.078506000000004</v>
      </c>
      <c r="K200" s="113">
        <v>0</v>
      </c>
      <c r="L200" s="113">
        <v>0</v>
      </c>
      <c r="M200" s="114">
        <v>0</v>
      </c>
      <c r="N200" s="113">
        <v>0</v>
      </c>
      <c r="O200" s="113">
        <v>0</v>
      </c>
      <c r="P200" s="114">
        <v>0</v>
      </c>
      <c r="Q200" s="113">
        <v>0</v>
      </c>
      <c r="R200" s="113">
        <v>0</v>
      </c>
      <c r="S200" s="113">
        <v>0</v>
      </c>
      <c r="T200" s="113">
        <v>0</v>
      </c>
      <c r="U200" s="113">
        <v>0</v>
      </c>
      <c r="V200" s="113">
        <v>0</v>
      </c>
      <c r="W200" s="114">
        <v>0</v>
      </c>
    </row>
    <row r="201" spans="2:23" x14ac:dyDescent="0.75">
      <c r="B201">
        <v>2026</v>
      </c>
      <c r="C201" t="str">
        <f t="shared" si="5"/>
        <v>Hydrogen ICE</v>
      </c>
      <c r="D201">
        <v>12</v>
      </c>
      <c r="E201" s="113">
        <v>0</v>
      </c>
      <c r="F201" s="113">
        <v>0</v>
      </c>
      <c r="G201" s="113">
        <v>0</v>
      </c>
      <c r="H201" s="114">
        <v>0</v>
      </c>
      <c r="I201" s="113">
        <v>0</v>
      </c>
      <c r="J201" s="113">
        <v>0</v>
      </c>
      <c r="K201" s="113">
        <v>0</v>
      </c>
      <c r="L201" s="113">
        <v>0</v>
      </c>
      <c r="M201" s="114">
        <v>0</v>
      </c>
      <c r="N201" s="113">
        <v>0</v>
      </c>
      <c r="O201" s="113">
        <v>0</v>
      </c>
      <c r="P201" s="114">
        <v>0</v>
      </c>
      <c r="Q201" s="113">
        <v>0</v>
      </c>
      <c r="R201" s="113">
        <v>0</v>
      </c>
      <c r="S201" s="113">
        <v>0</v>
      </c>
      <c r="T201" s="113">
        <v>0</v>
      </c>
      <c r="U201" s="113">
        <v>0</v>
      </c>
      <c r="V201" s="113">
        <v>0</v>
      </c>
      <c r="W201" s="114">
        <v>0</v>
      </c>
    </row>
    <row r="202" spans="2:23" x14ac:dyDescent="0.75">
      <c r="B202">
        <v>2027</v>
      </c>
      <c r="C202" t="str">
        <f t="shared" si="5"/>
        <v>Diesel</v>
      </c>
      <c r="D202">
        <v>1</v>
      </c>
      <c r="E202" s="113">
        <v>24053.167968999998</v>
      </c>
      <c r="F202" s="113">
        <v>206.91540499999999</v>
      </c>
      <c r="G202" s="113">
        <v>50305.390625</v>
      </c>
      <c r="H202" s="114">
        <v>2299.351807</v>
      </c>
      <c r="I202" s="113">
        <v>6107.7109380000002</v>
      </c>
      <c r="J202" s="113">
        <v>13656.821289</v>
      </c>
      <c r="K202" s="113">
        <v>15332.574219</v>
      </c>
      <c r="L202" s="113">
        <v>9469.2197269999997</v>
      </c>
      <c r="M202" s="114">
        <v>1570.8435059999999</v>
      </c>
      <c r="N202" s="113">
        <v>1570.8688959999999</v>
      </c>
      <c r="O202" s="113">
        <v>4712.34375</v>
      </c>
      <c r="P202" s="114">
        <v>21065.345702999999</v>
      </c>
      <c r="Q202" s="113">
        <v>12937.399414</v>
      </c>
      <c r="R202" s="113">
        <v>12936.620117</v>
      </c>
      <c r="S202" s="113">
        <v>38806.589844000002</v>
      </c>
      <c r="T202" s="113">
        <v>20194.71875</v>
      </c>
      <c r="U202" s="113">
        <v>20200.884765999999</v>
      </c>
      <c r="V202" s="113">
        <v>60571.441405999998</v>
      </c>
      <c r="W202" s="114">
        <v>5.2324109999999999</v>
      </c>
    </row>
    <row r="203" spans="2:23" x14ac:dyDescent="0.75">
      <c r="B203">
        <v>2027</v>
      </c>
      <c r="C203" t="str">
        <f t="shared" si="5"/>
        <v>Gasoline</v>
      </c>
      <c r="D203">
        <v>2</v>
      </c>
      <c r="E203" s="113">
        <v>45004.324219000002</v>
      </c>
      <c r="F203" s="113">
        <v>3158.3176269999999</v>
      </c>
      <c r="G203" s="113">
        <v>24746.880859000001</v>
      </c>
      <c r="H203" s="114">
        <v>4351.8198240000002</v>
      </c>
      <c r="I203" s="113">
        <v>9733.0615230000003</v>
      </c>
      <c r="J203" s="113">
        <v>7282.4267579999996</v>
      </c>
      <c r="K203" s="113">
        <v>7741.9775390000004</v>
      </c>
      <c r="L203" s="113">
        <v>115.87230700000001</v>
      </c>
      <c r="M203" s="114">
        <v>2.7213000000000001E-2</v>
      </c>
      <c r="N203" s="113">
        <v>2.7213000000000001E-2</v>
      </c>
      <c r="O203" s="113">
        <v>8.1638000000000002E-2</v>
      </c>
      <c r="P203" s="114">
        <v>3.0668540000000002</v>
      </c>
      <c r="Q203" s="113">
        <v>5.4120000000000001E-3</v>
      </c>
      <c r="R203" s="113">
        <v>5.4120000000000001E-3</v>
      </c>
      <c r="S203" s="113">
        <v>1.6236E-2</v>
      </c>
      <c r="T203" s="113">
        <v>8.4539999999999997E-3</v>
      </c>
      <c r="U203" s="113">
        <v>8.4539999999999997E-3</v>
      </c>
      <c r="V203" s="113">
        <v>2.5361000000000002E-2</v>
      </c>
      <c r="W203" s="114">
        <v>0</v>
      </c>
    </row>
    <row r="204" spans="2:23" x14ac:dyDescent="0.75">
      <c r="B204">
        <v>2027</v>
      </c>
      <c r="C204" t="str">
        <f t="shared" si="5"/>
        <v>LPG</v>
      </c>
      <c r="D204">
        <v>3</v>
      </c>
      <c r="E204" s="113">
        <v>0.19531999999999999</v>
      </c>
      <c r="F204" s="113">
        <v>9.3220000000000004E-3</v>
      </c>
      <c r="G204" s="113">
        <v>0.71370400000000001</v>
      </c>
      <c r="H204" s="114">
        <v>2.0569E-2</v>
      </c>
      <c r="I204" s="113">
        <v>3.2159759999999999</v>
      </c>
      <c r="J204" s="113">
        <v>9.0358020000000003</v>
      </c>
      <c r="K204" s="113">
        <v>5.6550940000000001</v>
      </c>
      <c r="L204" s="113">
        <v>29.342725999999999</v>
      </c>
      <c r="M204" s="114">
        <v>0.34572599999999998</v>
      </c>
      <c r="N204" s="113">
        <v>0.34572599999999998</v>
      </c>
      <c r="O204" s="113">
        <v>1.037177</v>
      </c>
      <c r="P204" s="114">
        <v>3.7728489999999999</v>
      </c>
      <c r="Q204" s="113">
        <v>3.168927</v>
      </c>
      <c r="R204" s="113">
        <v>3.1689259999999999</v>
      </c>
      <c r="S204" s="113">
        <v>9.5067789999999999</v>
      </c>
      <c r="T204" s="113">
        <v>4.9499680000000001</v>
      </c>
      <c r="U204" s="113">
        <v>4.9499719999999998</v>
      </c>
      <c r="V204" s="113">
        <v>14.848679000000001</v>
      </c>
      <c r="W204" s="114">
        <v>0</v>
      </c>
    </row>
    <row r="205" spans="2:23" x14ac:dyDescent="0.75">
      <c r="B205">
        <v>2027</v>
      </c>
      <c r="C205" t="str">
        <f t="shared" si="5"/>
        <v>CNG</v>
      </c>
      <c r="D205">
        <v>4</v>
      </c>
      <c r="E205" s="113">
        <v>150.99954199999999</v>
      </c>
      <c r="F205" s="113">
        <v>13.829663999999999</v>
      </c>
      <c r="G205" s="113">
        <v>519.20629899999994</v>
      </c>
      <c r="H205" s="114">
        <v>11.849615999999999</v>
      </c>
      <c r="I205" s="113">
        <v>20.317969999999999</v>
      </c>
      <c r="J205" s="113">
        <v>100.510757</v>
      </c>
      <c r="K205" s="113">
        <v>311.24591099999998</v>
      </c>
      <c r="L205" s="113">
        <v>35.038485999999999</v>
      </c>
      <c r="M205" s="114">
        <v>4.2644440000000001</v>
      </c>
      <c r="N205" s="113">
        <v>4.2385659999999996</v>
      </c>
      <c r="O205" s="113">
        <v>12.986421</v>
      </c>
      <c r="P205" s="114">
        <v>854.67486599999995</v>
      </c>
      <c r="Q205" s="113">
        <v>106.062111</v>
      </c>
      <c r="R205" s="113">
        <v>106.838921</v>
      </c>
      <c r="S205" s="113">
        <v>323.78643799999998</v>
      </c>
      <c r="T205" s="113">
        <v>179.62309300000001</v>
      </c>
      <c r="U205" s="113">
        <v>173.47224399999999</v>
      </c>
      <c r="V205" s="113">
        <v>546.54095500000005</v>
      </c>
      <c r="W205" s="114">
        <v>0</v>
      </c>
    </row>
    <row r="206" spans="2:23" x14ac:dyDescent="0.75">
      <c r="B206">
        <v>2027</v>
      </c>
      <c r="C206" t="str">
        <f t="shared" si="5"/>
        <v>E85</v>
      </c>
      <c r="D206">
        <v>5</v>
      </c>
      <c r="E206" s="113">
        <v>11304.293944999999</v>
      </c>
      <c r="F206" s="113">
        <v>1862.364014</v>
      </c>
      <c r="G206" s="113">
        <v>1306.553711</v>
      </c>
      <c r="H206" s="114">
        <v>1083.083374</v>
      </c>
      <c r="I206" s="113">
        <v>401.43319700000001</v>
      </c>
      <c r="J206" s="113">
        <v>6.4588000000000007E-2</v>
      </c>
      <c r="K206" s="113">
        <v>0.107471</v>
      </c>
      <c r="L206" s="113">
        <v>0</v>
      </c>
      <c r="M206" s="114">
        <v>0</v>
      </c>
      <c r="N206" s="113">
        <v>0</v>
      </c>
      <c r="O206" s="113">
        <v>0</v>
      </c>
      <c r="P206" s="114">
        <v>0</v>
      </c>
      <c r="Q206" s="113">
        <v>0</v>
      </c>
      <c r="R206" s="113">
        <v>0</v>
      </c>
      <c r="S206" s="113">
        <v>0</v>
      </c>
      <c r="T206" s="113">
        <v>0</v>
      </c>
      <c r="U206" s="113">
        <v>0</v>
      </c>
      <c r="V206" s="113">
        <v>0</v>
      </c>
      <c r="W206" s="114">
        <v>0</v>
      </c>
    </row>
    <row r="207" spans="2:23" x14ac:dyDescent="0.75">
      <c r="B207">
        <v>2027</v>
      </c>
      <c r="C207" t="str">
        <f t="shared" si="5"/>
        <v>Electric</v>
      </c>
      <c r="D207">
        <v>6</v>
      </c>
      <c r="E207" s="113">
        <v>845.14575200000002</v>
      </c>
      <c r="F207" s="113">
        <v>0</v>
      </c>
      <c r="G207" s="113">
        <v>175.12226899999999</v>
      </c>
      <c r="H207" s="114">
        <v>0.33485399999999998</v>
      </c>
      <c r="I207" s="113">
        <v>1.3869199999999999</v>
      </c>
      <c r="J207" s="113">
        <v>1.482952</v>
      </c>
      <c r="K207" s="113">
        <v>22.963079</v>
      </c>
      <c r="L207" s="113">
        <v>6.1540679999999996</v>
      </c>
      <c r="M207" s="114">
        <v>0.27272400000000002</v>
      </c>
      <c r="N207" s="113">
        <v>0.27272400000000002</v>
      </c>
      <c r="O207" s="113">
        <v>0.81817200000000001</v>
      </c>
      <c r="P207" s="114">
        <v>3.610989</v>
      </c>
      <c r="Q207" s="113">
        <v>26.670186999999999</v>
      </c>
      <c r="R207" s="113">
        <v>26.670185</v>
      </c>
      <c r="S207" s="113">
        <v>80.010536000000002</v>
      </c>
      <c r="T207" s="113">
        <v>41.659717999999998</v>
      </c>
      <c r="U207" s="113">
        <v>41.659739999999999</v>
      </c>
      <c r="V207" s="113">
        <v>124.97914900000001</v>
      </c>
      <c r="W207" s="114">
        <v>0</v>
      </c>
    </row>
    <row r="208" spans="2:23" x14ac:dyDescent="0.75">
      <c r="B208">
        <v>2027</v>
      </c>
      <c r="C208" t="str">
        <f t="shared" si="5"/>
        <v>PHEV diesel</v>
      </c>
      <c r="D208">
        <v>7</v>
      </c>
      <c r="E208" s="113">
        <v>0</v>
      </c>
      <c r="F208" s="113">
        <v>0</v>
      </c>
      <c r="G208" s="113">
        <v>0</v>
      </c>
      <c r="H208" s="114">
        <v>0</v>
      </c>
      <c r="I208" s="113">
        <v>0</v>
      </c>
      <c r="J208" s="113">
        <v>0</v>
      </c>
      <c r="K208" s="113">
        <v>14.570237000000001</v>
      </c>
      <c r="L208" s="113">
        <v>4.6136569999999999</v>
      </c>
      <c r="M208" s="114">
        <v>0</v>
      </c>
      <c r="N208" s="113">
        <v>0</v>
      </c>
      <c r="O208" s="113">
        <v>0</v>
      </c>
      <c r="P208" s="114">
        <v>0</v>
      </c>
      <c r="Q208" s="113">
        <v>0</v>
      </c>
      <c r="R208" s="113">
        <v>0</v>
      </c>
      <c r="S208" s="113">
        <v>0</v>
      </c>
      <c r="T208" s="113">
        <v>0</v>
      </c>
      <c r="U208" s="113">
        <v>0</v>
      </c>
      <c r="V208" s="113">
        <v>0</v>
      </c>
      <c r="W208" s="114">
        <v>0</v>
      </c>
    </row>
    <row r="209" spans="2:23" x14ac:dyDescent="0.75">
      <c r="B209">
        <v>2027</v>
      </c>
      <c r="C209" t="str">
        <f t="shared" si="5"/>
        <v>PHEV gasoline</v>
      </c>
      <c r="D209">
        <v>8</v>
      </c>
      <c r="E209" s="113">
        <v>0</v>
      </c>
      <c r="F209" s="113">
        <v>0</v>
      </c>
      <c r="G209" s="113">
        <v>0</v>
      </c>
      <c r="H209" s="114">
        <v>0</v>
      </c>
      <c r="I209" s="113">
        <v>0</v>
      </c>
      <c r="J209" s="113">
        <v>0</v>
      </c>
      <c r="K209" s="113">
        <v>10.398993000000001</v>
      </c>
      <c r="L209" s="113">
        <v>0</v>
      </c>
      <c r="M209" s="114">
        <v>0</v>
      </c>
      <c r="N209" s="113">
        <v>0</v>
      </c>
      <c r="O209" s="113">
        <v>0</v>
      </c>
      <c r="P209" s="114">
        <v>0</v>
      </c>
      <c r="Q209" s="113">
        <v>0</v>
      </c>
      <c r="R209" s="113">
        <v>0</v>
      </c>
      <c r="S209" s="113">
        <v>0</v>
      </c>
      <c r="T209" s="113">
        <v>0</v>
      </c>
      <c r="U209" s="113">
        <v>0</v>
      </c>
      <c r="V209" s="113">
        <v>0</v>
      </c>
      <c r="W209" s="114">
        <v>0</v>
      </c>
    </row>
    <row r="210" spans="2:23" x14ac:dyDescent="0.75">
      <c r="B210">
        <v>2027</v>
      </c>
      <c r="C210" t="str">
        <f t="shared" si="5"/>
        <v>H2 fuel cell, small battery</v>
      </c>
      <c r="D210">
        <v>9</v>
      </c>
      <c r="E210" s="113">
        <v>0</v>
      </c>
      <c r="F210" s="113">
        <v>0</v>
      </c>
      <c r="G210" s="113">
        <v>0</v>
      </c>
      <c r="H210" s="114">
        <v>0</v>
      </c>
      <c r="I210" s="113">
        <v>0</v>
      </c>
      <c r="J210" s="113">
        <v>0</v>
      </c>
      <c r="K210" s="113">
        <v>0</v>
      </c>
      <c r="L210" s="113">
        <v>0</v>
      </c>
      <c r="M210" s="114">
        <v>0</v>
      </c>
      <c r="N210" s="113">
        <v>0</v>
      </c>
      <c r="O210" s="113">
        <v>0</v>
      </c>
      <c r="P210" s="114">
        <v>0</v>
      </c>
      <c r="Q210" s="113">
        <v>0</v>
      </c>
      <c r="R210" s="113">
        <v>0</v>
      </c>
      <c r="S210" s="113">
        <v>0</v>
      </c>
      <c r="T210" s="113">
        <v>0</v>
      </c>
      <c r="U210" s="113">
        <v>0</v>
      </c>
      <c r="V210" s="113">
        <v>0</v>
      </c>
      <c r="W210" s="114">
        <v>0</v>
      </c>
    </row>
    <row r="211" spans="2:23" x14ac:dyDescent="0.75">
      <c r="B211">
        <v>2027</v>
      </c>
      <c r="C211" t="str">
        <f t="shared" si="5"/>
        <v>H2 fuel cell, large battery</v>
      </c>
      <c r="D211">
        <v>10</v>
      </c>
      <c r="E211" s="113">
        <v>0</v>
      </c>
      <c r="F211" s="113">
        <v>0</v>
      </c>
      <c r="G211" s="113">
        <v>0</v>
      </c>
      <c r="H211" s="114">
        <v>0</v>
      </c>
      <c r="I211" s="113">
        <v>0</v>
      </c>
      <c r="J211" s="113">
        <v>0</v>
      </c>
      <c r="K211" s="113">
        <v>0</v>
      </c>
      <c r="L211" s="113">
        <v>0</v>
      </c>
      <c r="M211" s="114">
        <v>0</v>
      </c>
      <c r="N211" s="113">
        <v>0</v>
      </c>
      <c r="O211" s="113">
        <v>0</v>
      </c>
      <c r="P211" s="114">
        <v>0</v>
      </c>
      <c r="Q211" s="113">
        <v>0</v>
      </c>
      <c r="R211" s="113">
        <v>0</v>
      </c>
      <c r="S211" s="113">
        <v>0</v>
      </c>
      <c r="T211" s="113">
        <v>0</v>
      </c>
      <c r="U211" s="113">
        <v>0</v>
      </c>
      <c r="V211" s="113">
        <v>0</v>
      </c>
      <c r="W211" s="114">
        <v>0</v>
      </c>
    </row>
    <row r="212" spans="2:23" x14ac:dyDescent="0.75">
      <c r="B212">
        <v>2027</v>
      </c>
      <c r="C212" t="str">
        <f t="shared" si="5"/>
        <v>Gasoline hybrid</v>
      </c>
      <c r="D212">
        <v>11</v>
      </c>
      <c r="E212" s="113">
        <v>216.522141</v>
      </c>
      <c r="F212" s="113">
        <v>12.138909</v>
      </c>
      <c r="G212" s="113">
        <v>434.630585</v>
      </c>
      <c r="H212" s="114">
        <v>53.053801999999997</v>
      </c>
      <c r="I212" s="113">
        <v>113.682922</v>
      </c>
      <c r="J212" s="113">
        <v>150.29769899999999</v>
      </c>
      <c r="K212" s="113">
        <v>0</v>
      </c>
      <c r="L212" s="113">
        <v>0</v>
      </c>
      <c r="M212" s="114">
        <v>0</v>
      </c>
      <c r="N212" s="113">
        <v>0</v>
      </c>
      <c r="O212" s="113">
        <v>0</v>
      </c>
      <c r="P212" s="114">
        <v>0</v>
      </c>
      <c r="Q212" s="113">
        <v>0</v>
      </c>
      <c r="R212" s="113">
        <v>0</v>
      </c>
      <c r="S212" s="113">
        <v>0</v>
      </c>
      <c r="T212" s="113">
        <v>0</v>
      </c>
      <c r="U212" s="113">
        <v>0</v>
      </c>
      <c r="V212" s="113">
        <v>0</v>
      </c>
      <c r="W212" s="114">
        <v>0</v>
      </c>
    </row>
    <row r="213" spans="2:23" x14ac:dyDescent="0.75">
      <c r="B213">
        <v>2027</v>
      </c>
      <c r="C213" t="str">
        <f t="shared" si="5"/>
        <v>Hydrogen ICE</v>
      </c>
      <c r="D213">
        <v>12</v>
      </c>
      <c r="E213" s="113">
        <v>0</v>
      </c>
      <c r="F213" s="113">
        <v>0</v>
      </c>
      <c r="G213" s="113">
        <v>0</v>
      </c>
      <c r="H213" s="114">
        <v>0</v>
      </c>
      <c r="I213" s="113">
        <v>0</v>
      </c>
      <c r="J213" s="113">
        <v>0</v>
      </c>
      <c r="K213" s="113">
        <v>0</v>
      </c>
      <c r="L213" s="113">
        <v>0</v>
      </c>
      <c r="M213" s="114">
        <v>0</v>
      </c>
      <c r="N213" s="113">
        <v>0</v>
      </c>
      <c r="O213" s="113">
        <v>0</v>
      </c>
      <c r="P213" s="114">
        <v>0</v>
      </c>
      <c r="Q213" s="113">
        <v>0</v>
      </c>
      <c r="R213" s="113">
        <v>0</v>
      </c>
      <c r="S213" s="113">
        <v>0</v>
      </c>
      <c r="T213" s="113">
        <v>0</v>
      </c>
      <c r="U213" s="113">
        <v>0</v>
      </c>
      <c r="V213" s="113">
        <v>0</v>
      </c>
      <c r="W213" s="114">
        <v>0</v>
      </c>
    </row>
    <row r="214" spans="2:23" x14ac:dyDescent="0.75">
      <c r="B214">
        <v>2028</v>
      </c>
      <c r="C214" t="str">
        <f t="shared" si="5"/>
        <v>Diesel</v>
      </c>
      <c r="D214">
        <v>1</v>
      </c>
      <c r="E214" s="113">
        <v>22833.507812</v>
      </c>
      <c r="F214" s="113">
        <v>228.54934700000001</v>
      </c>
      <c r="G214" s="113">
        <v>49217.53125</v>
      </c>
      <c r="H214" s="114">
        <v>2337.3103030000002</v>
      </c>
      <c r="I214" s="113">
        <v>6197.5634769999997</v>
      </c>
      <c r="J214" s="113">
        <v>13139.494140999999</v>
      </c>
      <c r="K214" s="113">
        <v>15080.572265999999</v>
      </c>
      <c r="L214" s="113">
        <v>9200.4511719999991</v>
      </c>
      <c r="M214" s="114">
        <v>1561.265625</v>
      </c>
      <c r="N214" s="113">
        <v>1561.2883300000001</v>
      </c>
      <c r="O214" s="113">
        <v>4683.5849609999996</v>
      </c>
      <c r="P214" s="114">
        <v>20964.921875</v>
      </c>
      <c r="Q214" s="113">
        <v>13158.732421999999</v>
      </c>
      <c r="R214" s="113">
        <v>13157.949219</v>
      </c>
      <c r="S214" s="113">
        <v>39470.765625</v>
      </c>
      <c r="T214" s="113">
        <v>20541.375</v>
      </c>
      <c r="U214" s="113">
        <v>20547.078125</v>
      </c>
      <c r="V214" s="113">
        <v>61612.808594000002</v>
      </c>
      <c r="W214" s="114">
        <v>5.1429689999999999</v>
      </c>
    </row>
    <row r="215" spans="2:23" x14ac:dyDescent="0.75">
      <c r="B215">
        <v>2028</v>
      </c>
      <c r="C215" t="str">
        <f t="shared" si="5"/>
        <v>Gasoline</v>
      </c>
      <c r="D215">
        <v>2</v>
      </c>
      <c r="E215" s="113">
        <v>45071.9375</v>
      </c>
      <c r="F215" s="113">
        <v>3091.01001</v>
      </c>
      <c r="G215" s="113">
        <v>25959.472656000002</v>
      </c>
      <c r="H215" s="114">
        <v>4165.263672</v>
      </c>
      <c r="I215" s="113">
        <v>9310.9658199999994</v>
      </c>
      <c r="J215" s="113">
        <v>7327.6079099999997</v>
      </c>
      <c r="K215" s="113">
        <v>8133.7221680000002</v>
      </c>
      <c r="L215" s="113">
        <v>104.056381</v>
      </c>
      <c r="M215" s="114">
        <v>2.0701000000000001E-2</v>
      </c>
      <c r="N215" s="113">
        <v>2.0701000000000001E-2</v>
      </c>
      <c r="O215" s="113">
        <v>6.2101999999999997E-2</v>
      </c>
      <c r="P215" s="114">
        <v>2.3595389999999998</v>
      </c>
      <c r="Q215" s="113">
        <v>4.8399999999999997E-3</v>
      </c>
      <c r="R215" s="113">
        <v>4.8399999999999997E-3</v>
      </c>
      <c r="S215" s="113">
        <v>1.452E-2</v>
      </c>
      <c r="T215" s="113">
        <v>7.5599999999999999E-3</v>
      </c>
      <c r="U215" s="113">
        <v>7.5599999999999999E-3</v>
      </c>
      <c r="V215" s="113">
        <v>2.2679999999999999E-2</v>
      </c>
      <c r="W215" s="114">
        <v>0</v>
      </c>
    </row>
    <row r="216" spans="2:23" x14ac:dyDescent="0.75">
      <c r="B216">
        <v>2028</v>
      </c>
      <c r="C216" t="str">
        <f t="shared" si="5"/>
        <v>LPG</v>
      </c>
      <c r="D216">
        <v>3</v>
      </c>
      <c r="E216" s="113">
        <v>0.235064</v>
      </c>
      <c r="F216" s="113">
        <v>1.1448E-2</v>
      </c>
      <c r="G216" s="113">
        <v>0.72388600000000003</v>
      </c>
      <c r="H216" s="114">
        <v>2.4850000000000001E-2</v>
      </c>
      <c r="I216" s="113">
        <v>2.9240370000000002</v>
      </c>
      <c r="J216" s="113">
        <v>8.0342680000000009</v>
      </c>
      <c r="K216" s="113">
        <v>4.8896569999999997</v>
      </c>
      <c r="L216" s="113">
        <v>27.607890999999999</v>
      </c>
      <c r="M216" s="114">
        <v>0.40776499999999999</v>
      </c>
      <c r="N216" s="113">
        <v>0.40776499999999999</v>
      </c>
      <c r="O216" s="113">
        <v>1.2232940000000001</v>
      </c>
      <c r="P216" s="114">
        <v>4.5253430000000003</v>
      </c>
      <c r="Q216" s="113">
        <v>3.7692730000000001</v>
      </c>
      <c r="R216" s="113">
        <v>3.769272</v>
      </c>
      <c r="S216" s="113">
        <v>11.307814</v>
      </c>
      <c r="T216" s="113">
        <v>5.8877290000000002</v>
      </c>
      <c r="U216" s="113">
        <v>5.8877319999999997</v>
      </c>
      <c r="V216" s="113">
        <v>17.661728</v>
      </c>
      <c r="W216" s="114">
        <v>0</v>
      </c>
    </row>
    <row r="217" spans="2:23" x14ac:dyDescent="0.75">
      <c r="B217">
        <v>2028</v>
      </c>
      <c r="C217" t="str">
        <f t="shared" si="5"/>
        <v>CNG</v>
      </c>
      <c r="D217">
        <v>4</v>
      </c>
      <c r="E217" s="113">
        <v>181.231583</v>
      </c>
      <c r="F217" s="113">
        <v>15.928582</v>
      </c>
      <c r="G217" s="113">
        <v>662.14294400000006</v>
      </c>
      <c r="H217" s="114">
        <v>11.902578999999999</v>
      </c>
      <c r="I217" s="113">
        <v>21.410710999999999</v>
      </c>
      <c r="J217" s="113">
        <v>113.90010100000001</v>
      </c>
      <c r="K217" s="113">
        <v>350.16439800000001</v>
      </c>
      <c r="L217" s="113">
        <v>35.476624000000001</v>
      </c>
      <c r="M217" s="114">
        <v>4.111853</v>
      </c>
      <c r="N217" s="113">
        <v>4.0883849999999997</v>
      </c>
      <c r="O217" s="113">
        <v>12.54988</v>
      </c>
      <c r="P217" s="114">
        <v>861.25231900000006</v>
      </c>
      <c r="Q217" s="113">
        <v>108.564682</v>
      </c>
      <c r="R217" s="113">
        <v>109.344055</v>
      </c>
      <c r="S217" s="113">
        <v>331.11077899999998</v>
      </c>
      <c r="T217" s="113">
        <v>182.60955799999999</v>
      </c>
      <c r="U217" s="113">
        <v>176.92640700000001</v>
      </c>
      <c r="V217" s="113">
        <v>554.03643799999998</v>
      </c>
      <c r="W217" s="114">
        <v>0</v>
      </c>
    </row>
    <row r="218" spans="2:23" x14ac:dyDescent="0.75">
      <c r="B218">
        <v>2028</v>
      </c>
      <c r="C218" t="str">
        <f t="shared" si="5"/>
        <v>E85</v>
      </c>
      <c r="D218">
        <v>5</v>
      </c>
      <c r="E218" s="113">
        <v>11357.367188</v>
      </c>
      <c r="F218" s="113">
        <v>1790.5241699999999</v>
      </c>
      <c r="G218" s="113">
        <v>1180.1599120000001</v>
      </c>
      <c r="H218" s="114">
        <v>963.33026099999995</v>
      </c>
      <c r="I218" s="113">
        <v>356.45925899999997</v>
      </c>
      <c r="J218" s="113">
        <v>7.6881000000000005E-2</v>
      </c>
      <c r="K218" s="113">
        <v>0.123946</v>
      </c>
      <c r="L218" s="113">
        <v>0</v>
      </c>
      <c r="M218" s="114">
        <v>0</v>
      </c>
      <c r="N218" s="113">
        <v>0</v>
      </c>
      <c r="O218" s="113">
        <v>0</v>
      </c>
      <c r="P218" s="114">
        <v>0</v>
      </c>
      <c r="Q218" s="113">
        <v>0</v>
      </c>
      <c r="R218" s="113">
        <v>0</v>
      </c>
      <c r="S218" s="113">
        <v>0</v>
      </c>
      <c r="T218" s="113">
        <v>0</v>
      </c>
      <c r="U218" s="113">
        <v>0</v>
      </c>
      <c r="V218" s="113">
        <v>0</v>
      </c>
      <c r="W218" s="114">
        <v>0</v>
      </c>
    </row>
    <row r="219" spans="2:23" x14ac:dyDescent="0.75">
      <c r="B219">
        <v>2028</v>
      </c>
      <c r="C219" t="str">
        <f t="shared" si="5"/>
        <v>Electric</v>
      </c>
      <c r="D219">
        <v>6</v>
      </c>
      <c r="E219" s="113">
        <v>1011.928406</v>
      </c>
      <c r="F219" s="113">
        <v>1.2267999999999999E-2</v>
      </c>
      <c r="G219" s="113">
        <v>198.40206900000001</v>
      </c>
      <c r="H219" s="114">
        <v>0.29368499999999997</v>
      </c>
      <c r="I219" s="113">
        <v>1.241989</v>
      </c>
      <c r="J219" s="113">
        <v>1.5487200000000001</v>
      </c>
      <c r="K219" s="113">
        <v>24.058125</v>
      </c>
      <c r="L219" s="113">
        <v>7.0181050000000003</v>
      </c>
      <c r="M219" s="114">
        <v>0.29256599999999999</v>
      </c>
      <c r="N219" s="113">
        <v>0.29256599999999999</v>
      </c>
      <c r="O219" s="113">
        <v>0.87769799999999998</v>
      </c>
      <c r="P219" s="114">
        <v>4.0177360000000002</v>
      </c>
      <c r="Q219" s="113">
        <v>29.957581000000001</v>
      </c>
      <c r="R219" s="113">
        <v>29.957578999999999</v>
      </c>
      <c r="S219" s="113">
        <v>89.872719000000004</v>
      </c>
      <c r="T219" s="113">
        <v>46.794750000000001</v>
      </c>
      <c r="U219" s="113">
        <v>46.794772999999999</v>
      </c>
      <c r="V219" s="113">
        <v>140.38424699999999</v>
      </c>
      <c r="W219" s="114">
        <v>0</v>
      </c>
    </row>
    <row r="220" spans="2:23" x14ac:dyDescent="0.75">
      <c r="B220">
        <v>2028</v>
      </c>
      <c r="C220" t="str">
        <f t="shared" si="5"/>
        <v>PHEV diesel</v>
      </c>
      <c r="D220">
        <v>7</v>
      </c>
      <c r="E220" s="113">
        <v>0</v>
      </c>
      <c r="F220" s="113">
        <v>0</v>
      </c>
      <c r="G220" s="113">
        <v>0</v>
      </c>
      <c r="H220" s="114">
        <v>0</v>
      </c>
      <c r="I220" s="113">
        <v>0</v>
      </c>
      <c r="J220" s="113">
        <v>0</v>
      </c>
      <c r="K220" s="113">
        <v>20.861622000000001</v>
      </c>
      <c r="L220" s="113">
        <v>7.5838289999999997</v>
      </c>
      <c r="M220" s="114">
        <v>0</v>
      </c>
      <c r="N220" s="113">
        <v>0</v>
      </c>
      <c r="O220" s="113">
        <v>0</v>
      </c>
      <c r="P220" s="114">
        <v>0</v>
      </c>
      <c r="Q220" s="113">
        <v>0</v>
      </c>
      <c r="R220" s="113">
        <v>0</v>
      </c>
      <c r="S220" s="113">
        <v>0</v>
      </c>
      <c r="T220" s="113">
        <v>0</v>
      </c>
      <c r="U220" s="113">
        <v>0</v>
      </c>
      <c r="V220" s="113">
        <v>0</v>
      </c>
      <c r="W220" s="114">
        <v>0</v>
      </c>
    </row>
    <row r="221" spans="2:23" x14ac:dyDescent="0.75">
      <c r="B221">
        <v>2028</v>
      </c>
      <c r="C221" t="str">
        <f t="shared" si="5"/>
        <v>PHEV gasoline</v>
      </c>
      <c r="D221">
        <v>8</v>
      </c>
      <c r="E221" s="113">
        <v>0</v>
      </c>
      <c r="F221" s="113">
        <v>0</v>
      </c>
      <c r="G221" s="113">
        <v>0</v>
      </c>
      <c r="H221" s="114">
        <v>0</v>
      </c>
      <c r="I221" s="113">
        <v>0</v>
      </c>
      <c r="J221" s="113">
        <v>0</v>
      </c>
      <c r="K221" s="113">
        <v>9.447457</v>
      </c>
      <c r="L221" s="113">
        <v>0</v>
      </c>
      <c r="M221" s="114">
        <v>0</v>
      </c>
      <c r="N221" s="113">
        <v>0</v>
      </c>
      <c r="O221" s="113">
        <v>0</v>
      </c>
      <c r="P221" s="114">
        <v>0</v>
      </c>
      <c r="Q221" s="113">
        <v>0</v>
      </c>
      <c r="R221" s="113">
        <v>0</v>
      </c>
      <c r="S221" s="113">
        <v>0</v>
      </c>
      <c r="T221" s="113">
        <v>0</v>
      </c>
      <c r="U221" s="113">
        <v>0</v>
      </c>
      <c r="V221" s="113">
        <v>0</v>
      </c>
      <c r="W221" s="114">
        <v>0</v>
      </c>
    </row>
    <row r="222" spans="2:23" x14ac:dyDescent="0.75">
      <c r="B222">
        <v>2028</v>
      </c>
      <c r="C222" t="str">
        <f t="shared" si="5"/>
        <v>H2 fuel cell, small battery</v>
      </c>
      <c r="D222">
        <v>9</v>
      </c>
      <c r="E222" s="113">
        <v>0</v>
      </c>
      <c r="F222" s="113">
        <v>0</v>
      </c>
      <c r="G222" s="113">
        <v>0</v>
      </c>
      <c r="H222" s="114">
        <v>0</v>
      </c>
      <c r="I222" s="113">
        <v>0</v>
      </c>
      <c r="J222" s="113">
        <v>0</v>
      </c>
      <c r="K222" s="113">
        <v>0</v>
      </c>
      <c r="L222" s="113">
        <v>0</v>
      </c>
      <c r="M222" s="114">
        <v>0</v>
      </c>
      <c r="N222" s="113">
        <v>0</v>
      </c>
      <c r="O222" s="113">
        <v>0</v>
      </c>
      <c r="P222" s="114">
        <v>0</v>
      </c>
      <c r="Q222" s="113">
        <v>0</v>
      </c>
      <c r="R222" s="113">
        <v>0</v>
      </c>
      <c r="S222" s="113">
        <v>0</v>
      </c>
      <c r="T222" s="113">
        <v>0</v>
      </c>
      <c r="U222" s="113">
        <v>0</v>
      </c>
      <c r="V222" s="113">
        <v>0</v>
      </c>
      <c r="W222" s="114">
        <v>0</v>
      </c>
    </row>
    <row r="223" spans="2:23" x14ac:dyDescent="0.75">
      <c r="B223">
        <v>2028</v>
      </c>
      <c r="C223" t="str">
        <f t="shared" si="5"/>
        <v>H2 fuel cell, large battery</v>
      </c>
      <c r="D223">
        <v>10</v>
      </c>
      <c r="E223" s="113">
        <v>0</v>
      </c>
      <c r="F223" s="113">
        <v>0</v>
      </c>
      <c r="G223" s="113">
        <v>0</v>
      </c>
      <c r="H223" s="114">
        <v>0</v>
      </c>
      <c r="I223" s="113">
        <v>0</v>
      </c>
      <c r="J223" s="113">
        <v>0</v>
      </c>
      <c r="K223" s="113">
        <v>0</v>
      </c>
      <c r="L223" s="113">
        <v>0</v>
      </c>
      <c r="M223" s="114">
        <v>0</v>
      </c>
      <c r="N223" s="113">
        <v>0</v>
      </c>
      <c r="O223" s="113">
        <v>0</v>
      </c>
      <c r="P223" s="114">
        <v>0</v>
      </c>
      <c r="Q223" s="113">
        <v>0</v>
      </c>
      <c r="R223" s="113">
        <v>0</v>
      </c>
      <c r="S223" s="113">
        <v>0</v>
      </c>
      <c r="T223" s="113">
        <v>0</v>
      </c>
      <c r="U223" s="113">
        <v>0</v>
      </c>
      <c r="V223" s="113">
        <v>0</v>
      </c>
      <c r="W223" s="114">
        <v>0</v>
      </c>
    </row>
    <row r="224" spans="2:23" x14ac:dyDescent="0.75">
      <c r="B224">
        <v>2028</v>
      </c>
      <c r="C224" t="str">
        <f t="shared" si="5"/>
        <v>Gasoline hybrid</v>
      </c>
      <c r="D224">
        <v>11</v>
      </c>
      <c r="E224" s="113">
        <v>498.39315800000003</v>
      </c>
      <c r="F224" s="113">
        <v>18.57741</v>
      </c>
      <c r="G224" s="113">
        <v>1216.81897</v>
      </c>
      <c r="H224" s="114">
        <v>80.480384999999998</v>
      </c>
      <c r="I224" s="113">
        <v>168.84991500000001</v>
      </c>
      <c r="J224" s="113">
        <v>223.05912799999999</v>
      </c>
      <c r="K224" s="113">
        <v>0</v>
      </c>
      <c r="L224" s="113">
        <v>0</v>
      </c>
      <c r="M224" s="114">
        <v>0</v>
      </c>
      <c r="N224" s="113">
        <v>0</v>
      </c>
      <c r="O224" s="113">
        <v>0</v>
      </c>
      <c r="P224" s="114">
        <v>0</v>
      </c>
      <c r="Q224" s="113">
        <v>0</v>
      </c>
      <c r="R224" s="113">
        <v>0</v>
      </c>
      <c r="S224" s="113">
        <v>0</v>
      </c>
      <c r="T224" s="113">
        <v>0</v>
      </c>
      <c r="U224" s="113">
        <v>0</v>
      </c>
      <c r="V224" s="113">
        <v>0</v>
      </c>
      <c r="W224" s="114">
        <v>0</v>
      </c>
    </row>
    <row r="225" spans="2:23" x14ac:dyDescent="0.75">
      <c r="B225">
        <v>2028</v>
      </c>
      <c r="C225" t="str">
        <f t="shared" si="5"/>
        <v>Hydrogen ICE</v>
      </c>
      <c r="D225">
        <v>12</v>
      </c>
      <c r="E225" s="113">
        <v>0</v>
      </c>
      <c r="F225" s="113">
        <v>0</v>
      </c>
      <c r="G225" s="113">
        <v>0</v>
      </c>
      <c r="H225" s="114">
        <v>0</v>
      </c>
      <c r="I225" s="113">
        <v>0</v>
      </c>
      <c r="J225" s="113">
        <v>0</v>
      </c>
      <c r="K225" s="113">
        <v>0</v>
      </c>
      <c r="L225" s="113">
        <v>0</v>
      </c>
      <c r="M225" s="114">
        <v>0</v>
      </c>
      <c r="N225" s="113">
        <v>0</v>
      </c>
      <c r="O225" s="113">
        <v>0</v>
      </c>
      <c r="P225" s="114">
        <v>0</v>
      </c>
      <c r="Q225" s="113">
        <v>0</v>
      </c>
      <c r="R225" s="113">
        <v>0</v>
      </c>
      <c r="S225" s="113">
        <v>0</v>
      </c>
      <c r="T225" s="113">
        <v>0</v>
      </c>
      <c r="U225" s="113">
        <v>0</v>
      </c>
      <c r="V225" s="113">
        <v>0</v>
      </c>
      <c r="W225" s="114">
        <v>0</v>
      </c>
    </row>
    <row r="226" spans="2:23" x14ac:dyDescent="0.75">
      <c r="B226">
        <v>2029</v>
      </c>
      <c r="C226" t="str">
        <f t="shared" si="5"/>
        <v>Diesel</v>
      </c>
      <c r="D226">
        <v>1</v>
      </c>
      <c r="E226" s="113">
        <v>21606.796875</v>
      </c>
      <c r="F226" s="113">
        <v>251.00559999999999</v>
      </c>
      <c r="G226" s="113">
        <v>48100.226562000003</v>
      </c>
      <c r="H226" s="114">
        <v>2377.6723630000001</v>
      </c>
      <c r="I226" s="113">
        <v>6267.4599609999996</v>
      </c>
      <c r="J226" s="113">
        <v>12694.403319999999</v>
      </c>
      <c r="K226" s="113">
        <v>14866.90625</v>
      </c>
      <c r="L226" s="113">
        <v>8998.0546880000002</v>
      </c>
      <c r="M226" s="114">
        <v>1555.508423</v>
      </c>
      <c r="N226" s="113">
        <v>1555.527832</v>
      </c>
      <c r="O226" s="113">
        <v>4666.3115230000003</v>
      </c>
      <c r="P226" s="114">
        <v>20931.644531000002</v>
      </c>
      <c r="Q226" s="113">
        <v>13340.980469</v>
      </c>
      <c r="R226" s="113">
        <v>13340.229492</v>
      </c>
      <c r="S226" s="113">
        <v>40017.882812000003</v>
      </c>
      <c r="T226" s="113">
        <v>20827.169922000001</v>
      </c>
      <c r="U226" s="113">
        <v>20831.287109000001</v>
      </c>
      <c r="V226" s="113">
        <v>62471.871094000002</v>
      </c>
      <c r="W226" s="114">
        <v>5.0967719999999996</v>
      </c>
    </row>
    <row r="227" spans="2:23" x14ac:dyDescent="0.75">
      <c r="B227">
        <v>2029</v>
      </c>
      <c r="C227" t="str">
        <f t="shared" ref="C227:C290" si="6">C215</f>
        <v>Gasoline</v>
      </c>
      <c r="D227">
        <v>2</v>
      </c>
      <c r="E227" s="113">
        <v>45037.105469000002</v>
      </c>
      <c r="F227" s="113">
        <v>3029.3979490000002</v>
      </c>
      <c r="G227" s="113">
        <v>26894.974609000001</v>
      </c>
      <c r="H227" s="114">
        <v>4026.3835450000001</v>
      </c>
      <c r="I227" s="113">
        <v>8961.9599610000005</v>
      </c>
      <c r="J227" s="113">
        <v>7363.2851559999999</v>
      </c>
      <c r="K227" s="113">
        <v>8489.1171880000002</v>
      </c>
      <c r="L227" s="113">
        <v>95.142525000000006</v>
      </c>
      <c r="M227" s="114">
        <v>1.4845000000000001E-2</v>
      </c>
      <c r="N227" s="113">
        <v>1.4845000000000001E-2</v>
      </c>
      <c r="O227" s="113">
        <v>4.4535999999999999E-2</v>
      </c>
      <c r="P227" s="114">
        <v>1.8411139999999999</v>
      </c>
      <c r="Q227" s="113">
        <v>4.4409999999999996E-3</v>
      </c>
      <c r="R227" s="113">
        <v>4.4409999999999996E-3</v>
      </c>
      <c r="S227" s="113">
        <v>1.3322000000000001E-2</v>
      </c>
      <c r="T227" s="113">
        <v>6.9360000000000003E-3</v>
      </c>
      <c r="U227" s="113">
        <v>6.9360000000000003E-3</v>
      </c>
      <c r="V227" s="113">
        <v>2.0809000000000001E-2</v>
      </c>
      <c r="W227" s="114">
        <v>0</v>
      </c>
    </row>
    <row r="228" spans="2:23" x14ac:dyDescent="0.75">
      <c r="B228">
        <v>2029</v>
      </c>
      <c r="C228" t="str">
        <f t="shared" si="6"/>
        <v>LPG</v>
      </c>
      <c r="D228">
        <v>3</v>
      </c>
      <c r="E228" s="113">
        <v>0.27657900000000002</v>
      </c>
      <c r="F228" s="113">
        <v>1.3591000000000001E-2</v>
      </c>
      <c r="G228" s="113">
        <v>0.73886099999999999</v>
      </c>
      <c r="H228" s="114">
        <v>2.8753999999999998E-2</v>
      </c>
      <c r="I228" s="113">
        <v>2.6804649999999999</v>
      </c>
      <c r="J228" s="113">
        <v>6.2389970000000003</v>
      </c>
      <c r="K228" s="113">
        <v>4.2196160000000003</v>
      </c>
      <c r="L228" s="113">
        <v>26.273489000000001</v>
      </c>
      <c r="M228" s="114">
        <v>0.45953699999999997</v>
      </c>
      <c r="N228" s="113">
        <v>0.45953699999999997</v>
      </c>
      <c r="O228" s="113">
        <v>1.378611</v>
      </c>
      <c r="P228" s="114">
        <v>5.1963840000000001</v>
      </c>
      <c r="Q228" s="113">
        <v>4.265326</v>
      </c>
      <c r="R228" s="113">
        <v>4.265326</v>
      </c>
      <c r="S228" s="113">
        <v>12.795975</v>
      </c>
      <c r="T228" s="113">
        <v>6.6625819999999996</v>
      </c>
      <c r="U228" s="113">
        <v>6.6625839999999998</v>
      </c>
      <c r="V228" s="113">
        <v>19.986098999999999</v>
      </c>
      <c r="W228" s="114">
        <v>0</v>
      </c>
    </row>
    <row r="229" spans="2:23" x14ac:dyDescent="0.75">
      <c r="B229">
        <v>2029</v>
      </c>
      <c r="C229" t="str">
        <f t="shared" si="6"/>
        <v>CNG</v>
      </c>
      <c r="D229">
        <v>4</v>
      </c>
      <c r="E229" s="113">
        <v>225.685959</v>
      </c>
      <c r="F229" s="113">
        <v>18.262938999999999</v>
      </c>
      <c r="G229" s="113">
        <v>755.64111300000002</v>
      </c>
      <c r="H229" s="114">
        <v>12.057251000000001</v>
      </c>
      <c r="I229" s="113">
        <v>23.487162000000001</v>
      </c>
      <c r="J229" s="113">
        <v>125.46131099999999</v>
      </c>
      <c r="K229" s="113">
        <v>385.13732900000002</v>
      </c>
      <c r="L229" s="113">
        <v>35.937140999999997</v>
      </c>
      <c r="M229" s="114">
        <v>3.9534669999999998</v>
      </c>
      <c r="N229" s="113">
        <v>3.932671</v>
      </c>
      <c r="O229" s="113">
        <v>12.072881000000001</v>
      </c>
      <c r="P229" s="114">
        <v>868.67175299999997</v>
      </c>
      <c r="Q229" s="113">
        <v>110.71073199999999</v>
      </c>
      <c r="R229" s="113">
        <v>111.45613899999999</v>
      </c>
      <c r="S229" s="113">
        <v>337.182953</v>
      </c>
      <c r="T229" s="113">
        <v>184.84651199999999</v>
      </c>
      <c r="U229" s="113">
        <v>180.75796500000001</v>
      </c>
      <c r="V229" s="113">
        <v>559.02856399999996</v>
      </c>
      <c r="W229" s="114">
        <v>0</v>
      </c>
    </row>
    <row r="230" spans="2:23" x14ac:dyDescent="0.75">
      <c r="B230">
        <v>2029</v>
      </c>
      <c r="C230" t="str">
        <f t="shared" si="6"/>
        <v>E85</v>
      </c>
      <c r="D230">
        <v>5</v>
      </c>
      <c r="E230" s="113">
        <v>11472.092773</v>
      </c>
      <c r="F230" s="113">
        <v>1708.1282960000001</v>
      </c>
      <c r="G230" s="113">
        <v>1074.3129879999999</v>
      </c>
      <c r="H230" s="114">
        <v>860.46160899999995</v>
      </c>
      <c r="I230" s="113">
        <v>319.54565400000001</v>
      </c>
      <c r="J230" s="113">
        <v>8.7517999999999999E-2</v>
      </c>
      <c r="K230" s="113">
        <v>0.137541</v>
      </c>
      <c r="L230" s="113">
        <v>0</v>
      </c>
      <c r="M230" s="114">
        <v>0</v>
      </c>
      <c r="N230" s="113">
        <v>0</v>
      </c>
      <c r="O230" s="113">
        <v>0</v>
      </c>
      <c r="P230" s="114">
        <v>0</v>
      </c>
      <c r="Q230" s="113">
        <v>0</v>
      </c>
      <c r="R230" s="113">
        <v>0</v>
      </c>
      <c r="S230" s="113">
        <v>0</v>
      </c>
      <c r="T230" s="113">
        <v>0</v>
      </c>
      <c r="U230" s="113">
        <v>0</v>
      </c>
      <c r="V230" s="113">
        <v>0</v>
      </c>
      <c r="W230" s="114">
        <v>0</v>
      </c>
    </row>
    <row r="231" spans="2:23" x14ac:dyDescent="0.75">
      <c r="B231">
        <v>2029</v>
      </c>
      <c r="C231" t="str">
        <f t="shared" si="6"/>
        <v>Electric</v>
      </c>
      <c r="D231">
        <v>6</v>
      </c>
      <c r="E231" s="113">
        <v>1159.2504879999999</v>
      </c>
      <c r="F231" s="113">
        <v>0.111858</v>
      </c>
      <c r="G231" s="113">
        <v>220.275925</v>
      </c>
      <c r="H231" s="114">
        <v>0.26053300000000001</v>
      </c>
      <c r="I231" s="113">
        <v>1.121882</v>
      </c>
      <c r="J231" s="113">
        <v>1.6029150000000001</v>
      </c>
      <c r="K231" s="113">
        <v>24.99004</v>
      </c>
      <c r="L231" s="113">
        <v>7.7896850000000004</v>
      </c>
      <c r="M231" s="114">
        <v>0.312029</v>
      </c>
      <c r="N231" s="113">
        <v>0.312029</v>
      </c>
      <c r="O231" s="113">
        <v>0.936087</v>
      </c>
      <c r="P231" s="114">
        <v>4.3756360000000001</v>
      </c>
      <c r="Q231" s="113">
        <v>32.750599000000001</v>
      </c>
      <c r="R231" s="113">
        <v>32.750594999999997</v>
      </c>
      <c r="S231" s="113">
        <v>98.251793000000006</v>
      </c>
      <c r="T231" s="113">
        <v>51.157539</v>
      </c>
      <c r="U231" s="113">
        <v>51.157550999999998</v>
      </c>
      <c r="V231" s="113">
        <v>153.47262599999999</v>
      </c>
      <c r="W231" s="114">
        <v>0</v>
      </c>
    </row>
    <row r="232" spans="2:23" x14ac:dyDescent="0.75">
      <c r="B232">
        <v>2029</v>
      </c>
      <c r="C232" t="str">
        <f t="shared" si="6"/>
        <v>PHEV diesel</v>
      </c>
      <c r="D232">
        <v>7</v>
      </c>
      <c r="E232" s="113">
        <v>0</v>
      </c>
      <c r="F232" s="113">
        <v>0</v>
      </c>
      <c r="G232" s="113">
        <v>0</v>
      </c>
      <c r="H232" s="114">
        <v>0</v>
      </c>
      <c r="I232" s="113">
        <v>0</v>
      </c>
      <c r="J232" s="113">
        <v>0</v>
      </c>
      <c r="K232" s="113">
        <v>26.058992</v>
      </c>
      <c r="L232" s="113">
        <v>11.071999999999999</v>
      </c>
      <c r="M232" s="114">
        <v>0</v>
      </c>
      <c r="N232" s="113">
        <v>0</v>
      </c>
      <c r="O232" s="113">
        <v>0</v>
      </c>
      <c r="P232" s="114">
        <v>0</v>
      </c>
      <c r="Q232" s="113">
        <v>0</v>
      </c>
      <c r="R232" s="113">
        <v>0</v>
      </c>
      <c r="S232" s="113">
        <v>0</v>
      </c>
      <c r="T232" s="113">
        <v>0</v>
      </c>
      <c r="U232" s="113">
        <v>0</v>
      </c>
      <c r="V232" s="113">
        <v>0</v>
      </c>
      <c r="W232" s="114">
        <v>0</v>
      </c>
    </row>
    <row r="233" spans="2:23" x14ac:dyDescent="0.75">
      <c r="B233">
        <v>2029</v>
      </c>
      <c r="C233" t="str">
        <f t="shared" si="6"/>
        <v>PHEV gasoline</v>
      </c>
      <c r="D233">
        <v>8</v>
      </c>
      <c r="E233" s="113">
        <v>0</v>
      </c>
      <c r="F233" s="113">
        <v>0</v>
      </c>
      <c r="G233" s="113">
        <v>0</v>
      </c>
      <c r="H233" s="114">
        <v>0</v>
      </c>
      <c r="I233" s="113">
        <v>0</v>
      </c>
      <c r="J233" s="113">
        <v>0</v>
      </c>
      <c r="K233" s="113">
        <v>8.5787220000000008</v>
      </c>
      <c r="L233" s="113">
        <v>0</v>
      </c>
      <c r="M233" s="114">
        <v>0</v>
      </c>
      <c r="N233" s="113">
        <v>0</v>
      </c>
      <c r="O233" s="113">
        <v>0</v>
      </c>
      <c r="P233" s="114">
        <v>0</v>
      </c>
      <c r="Q233" s="113">
        <v>0</v>
      </c>
      <c r="R233" s="113">
        <v>0</v>
      </c>
      <c r="S233" s="113">
        <v>0</v>
      </c>
      <c r="T233" s="113">
        <v>0</v>
      </c>
      <c r="U233" s="113">
        <v>0</v>
      </c>
      <c r="V233" s="113">
        <v>0</v>
      </c>
      <c r="W233" s="114">
        <v>0</v>
      </c>
    </row>
    <row r="234" spans="2:23" x14ac:dyDescent="0.75">
      <c r="B234">
        <v>2029</v>
      </c>
      <c r="C234" t="str">
        <f t="shared" si="6"/>
        <v>H2 fuel cell, small battery</v>
      </c>
      <c r="D234">
        <v>9</v>
      </c>
      <c r="E234" s="113">
        <v>0</v>
      </c>
      <c r="F234" s="113">
        <v>0</v>
      </c>
      <c r="G234" s="113">
        <v>0</v>
      </c>
      <c r="H234" s="114">
        <v>0</v>
      </c>
      <c r="I234" s="113">
        <v>0</v>
      </c>
      <c r="J234" s="113">
        <v>0</v>
      </c>
      <c r="K234" s="113">
        <v>0</v>
      </c>
      <c r="L234" s="113">
        <v>0</v>
      </c>
      <c r="M234" s="114">
        <v>0</v>
      </c>
      <c r="N234" s="113">
        <v>0</v>
      </c>
      <c r="O234" s="113">
        <v>0</v>
      </c>
      <c r="P234" s="114">
        <v>0</v>
      </c>
      <c r="Q234" s="113">
        <v>0</v>
      </c>
      <c r="R234" s="113">
        <v>0</v>
      </c>
      <c r="S234" s="113">
        <v>0</v>
      </c>
      <c r="T234" s="113">
        <v>0</v>
      </c>
      <c r="U234" s="113">
        <v>0</v>
      </c>
      <c r="V234" s="113">
        <v>0</v>
      </c>
      <c r="W234" s="114">
        <v>0</v>
      </c>
    </row>
    <row r="235" spans="2:23" x14ac:dyDescent="0.75">
      <c r="B235">
        <v>2029</v>
      </c>
      <c r="C235" t="str">
        <f t="shared" si="6"/>
        <v>H2 fuel cell, large battery</v>
      </c>
      <c r="D235">
        <v>10</v>
      </c>
      <c r="E235" s="113">
        <v>0</v>
      </c>
      <c r="F235" s="113">
        <v>0</v>
      </c>
      <c r="G235" s="113">
        <v>0</v>
      </c>
      <c r="H235" s="114">
        <v>0</v>
      </c>
      <c r="I235" s="113">
        <v>0</v>
      </c>
      <c r="J235" s="113">
        <v>0</v>
      </c>
      <c r="K235" s="113">
        <v>0</v>
      </c>
      <c r="L235" s="113">
        <v>0</v>
      </c>
      <c r="M235" s="114">
        <v>0</v>
      </c>
      <c r="N235" s="113">
        <v>0</v>
      </c>
      <c r="O235" s="113">
        <v>0</v>
      </c>
      <c r="P235" s="114">
        <v>0</v>
      </c>
      <c r="Q235" s="113">
        <v>0</v>
      </c>
      <c r="R235" s="113">
        <v>0</v>
      </c>
      <c r="S235" s="113">
        <v>0</v>
      </c>
      <c r="T235" s="113">
        <v>0</v>
      </c>
      <c r="U235" s="113">
        <v>0</v>
      </c>
      <c r="V235" s="113">
        <v>0</v>
      </c>
      <c r="W235" s="114">
        <v>0</v>
      </c>
    </row>
    <row r="236" spans="2:23" x14ac:dyDescent="0.75">
      <c r="B236">
        <v>2029</v>
      </c>
      <c r="C236" t="str">
        <f t="shared" si="6"/>
        <v>Gasoline hybrid</v>
      </c>
      <c r="D236">
        <v>11</v>
      </c>
      <c r="E236" s="113">
        <v>976.39794900000004</v>
      </c>
      <c r="F236" s="113">
        <v>27.763884000000001</v>
      </c>
      <c r="G236" s="113">
        <v>2672.1428219999998</v>
      </c>
      <c r="H236" s="114">
        <v>115.644409</v>
      </c>
      <c r="I236" s="113">
        <v>233.30711400000001</v>
      </c>
      <c r="J236" s="113">
        <v>307.53298999999998</v>
      </c>
      <c r="K236" s="113">
        <v>0</v>
      </c>
      <c r="L236" s="113">
        <v>0</v>
      </c>
      <c r="M236" s="114">
        <v>0</v>
      </c>
      <c r="N236" s="113">
        <v>0</v>
      </c>
      <c r="O236" s="113">
        <v>0</v>
      </c>
      <c r="P236" s="114">
        <v>0</v>
      </c>
      <c r="Q236" s="113">
        <v>0</v>
      </c>
      <c r="R236" s="113">
        <v>0</v>
      </c>
      <c r="S236" s="113">
        <v>0</v>
      </c>
      <c r="T236" s="113">
        <v>0</v>
      </c>
      <c r="U236" s="113">
        <v>0</v>
      </c>
      <c r="V236" s="113">
        <v>0</v>
      </c>
      <c r="W236" s="114">
        <v>0</v>
      </c>
    </row>
    <row r="237" spans="2:23" x14ac:dyDescent="0.75">
      <c r="B237">
        <v>2029</v>
      </c>
      <c r="C237" t="str">
        <f t="shared" si="6"/>
        <v>Hydrogen ICE</v>
      </c>
      <c r="D237">
        <v>12</v>
      </c>
      <c r="E237" s="113">
        <v>0</v>
      </c>
      <c r="F237" s="113">
        <v>0</v>
      </c>
      <c r="G237" s="113">
        <v>0</v>
      </c>
      <c r="H237" s="114">
        <v>0</v>
      </c>
      <c r="I237" s="113">
        <v>0</v>
      </c>
      <c r="J237" s="113">
        <v>0</v>
      </c>
      <c r="K237" s="113">
        <v>0</v>
      </c>
      <c r="L237" s="113">
        <v>0</v>
      </c>
      <c r="M237" s="114">
        <v>0</v>
      </c>
      <c r="N237" s="113">
        <v>0</v>
      </c>
      <c r="O237" s="113">
        <v>0</v>
      </c>
      <c r="P237" s="114">
        <v>0</v>
      </c>
      <c r="Q237" s="113">
        <v>0</v>
      </c>
      <c r="R237" s="113">
        <v>0</v>
      </c>
      <c r="S237" s="113">
        <v>0</v>
      </c>
      <c r="T237" s="113">
        <v>0</v>
      </c>
      <c r="U237" s="113">
        <v>0</v>
      </c>
      <c r="V237" s="113">
        <v>0</v>
      </c>
      <c r="W237" s="114">
        <v>0</v>
      </c>
    </row>
    <row r="238" spans="2:23" x14ac:dyDescent="0.75">
      <c r="B238">
        <v>2030</v>
      </c>
      <c r="C238" t="str">
        <f t="shared" si="6"/>
        <v>Diesel</v>
      </c>
      <c r="D238">
        <v>1</v>
      </c>
      <c r="E238" s="113">
        <v>20531.845702999999</v>
      </c>
      <c r="F238" s="113">
        <v>273.47271699999999</v>
      </c>
      <c r="G238" s="113">
        <v>46866.570312000003</v>
      </c>
      <c r="H238" s="114">
        <v>2415.8352049999999</v>
      </c>
      <c r="I238" s="113">
        <v>6322.4272460000002</v>
      </c>
      <c r="J238" s="113">
        <v>12302.930664</v>
      </c>
      <c r="K238" s="113">
        <v>14694</v>
      </c>
      <c r="L238" s="113">
        <v>8847.5927730000003</v>
      </c>
      <c r="M238" s="114">
        <v>1554.656616</v>
      </c>
      <c r="N238" s="113">
        <v>1554.6729740000001</v>
      </c>
      <c r="O238" s="113">
        <v>4663.7690430000002</v>
      </c>
      <c r="P238" s="114">
        <v>20957.708984000001</v>
      </c>
      <c r="Q238" s="113">
        <v>13504.324219</v>
      </c>
      <c r="R238" s="113">
        <v>13503.630859000001</v>
      </c>
      <c r="S238" s="113">
        <v>40508.382812000003</v>
      </c>
      <c r="T238" s="113">
        <v>21083.535156000002</v>
      </c>
      <c r="U238" s="113">
        <v>21087.146484000001</v>
      </c>
      <c r="V238" s="113">
        <v>63242.5</v>
      </c>
      <c r="W238" s="114">
        <v>5.0830140000000004</v>
      </c>
    </row>
    <row r="239" spans="2:23" x14ac:dyDescent="0.75">
      <c r="B239">
        <v>2030</v>
      </c>
      <c r="C239" t="str">
        <f t="shared" si="6"/>
        <v>Gasoline</v>
      </c>
      <c r="D239">
        <v>2</v>
      </c>
      <c r="E239" s="113">
        <v>44883.566405999998</v>
      </c>
      <c r="F239" s="113">
        <v>2972.4189449999999</v>
      </c>
      <c r="G239" s="113">
        <v>27531.703125</v>
      </c>
      <c r="H239" s="114">
        <v>3919.4982909999999</v>
      </c>
      <c r="I239" s="113">
        <v>8664.4873050000006</v>
      </c>
      <c r="J239" s="113">
        <v>7392.7148440000001</v>
      </c>
      <c r="K239" s="113">
        <v>8828.7373050000006</v>
      </c>
      <c r="L239" s="113">
        <v>88.269217999999995</v>
      </c>
      <c r="M239" s="114">
        <v>1.0642E-2</v>
      </c>
      <c r="N239" s="113">
        <v>1.0642E-2</v>
      </c>
      <c r="O239" s="113">
        <v>3.1926000000000003E-2</v>
      </c>
      <c r="P239" s="114">
        <v>1.451449</v>
      </c>
      <c r="Q239" s="113">
        <v>4.0740000000000004E-3</v>
      </c>
      <c r="R239" s="113">
        <v>4.0740000000000004E-3</v>
      </c>
      <c r="S239" s="113">
        <v>1.2222E-2</v>
      </c>
      <c r="T239" s="113">
        <v>6.3639999999999999E-3</v>
      </c>
      <c r="U239" s="113">
        <v>6.3639999999999999E-3</v>
      </c>
      <c r="V239" s="113">
        <v>1.9091E-2</v>
      </c>
      <c r="W239" s="114">
        <v>0</v>
      </c>
    </row>
    <row r="240" spans="2:23" x14ac:dyDescent="0.75">
      <c r="B240">
        <v>2030</v>
      </c>
      <c r="C240" t="str">
        <f t="shared" si="6"/>
        <v>LPG</v>
      </c>
      <c r="D240">
        <v>3</v>
      </c>
      <c r="E240" s="113">
        <v>0.317139</v>
      </c>
      <c r="F240" s="113">
        <v>1.5723999999999998E-2</v>
      </c>
      <c r="G240" s="113">
        <v>0.755297</v>
      </c>
      <c r="H240" s="114">
        <v>3.2386999999999999E-2</v>
      </c>
      <c r="I240" s="113">
        <v>2.404175</v>
      </c>
      <c r="J240" s="113">
        <v>5.654827</v>
      </c>
      <c r="K240" s="113">
        <v>3.6564749999999999</v>
      </c>
      <c r="L240" s="113">
        <v>24.96678</v>
      </c>
      <c r="M240" s="114">
        <v>0.50444</v>
      </c>
      <c r="N240" s="113">
        <v>0.50444</v>
      </c>
      <c r="O240" s="113">
        <v>1.5133209999999999</v>
      </c>
      <c r="P240" s="114">
        <v>5.8123250000000004</v>
      </c>
      <c r="Q240" s="113">
        <v>4.6840109999999999</v>
      </c>
      <c r="R240" s="113">
        <v>4.6840099999999998</v>
      </c>
      <c r="S240" s="113">
        <v>14.05203</v>
      </c>
      <c r="T240" s="113">
        <v>7.3165829999999996</v>
      </c>
      <c r="U240" s="113">
        <v>7.3165849999999999</v>
      </c>
      <c r="V240" s="113">
        <v>21.947941</v>
      </c>
      <c r="W240" s="114">
        <v>0</v>
      </c>
    </row>
    <row r="241" spans="2:23" x14ac:dyDescent="0.75">
      <c r="B241">
        <v>2030</v>
      </c>
      <c r="C241" t="str">
        <f t="shared" si="6"/>
        <v>CNG</v>
      </c>
      <c r="D241">
        <v>4</v>
      </c>
      <c r="E241" s="113">
        <v>277.58904999999999</v>
      </c>
      <c r="F241" s="113">
        <v>20.877348000000001</v>
      </c>
      <c r="G241" s="113">
        <v>838.682861</v>
      </c>
      <c r="H241" s="114">
        <v>12.36913</v>
      </c>
      <c r="I241" s="113">
        <v>25.428213</v>
      </c>
      <c r="J241" s="113">
        <v>136.04420500000001</v>
      </c>
      <c r="K241" s="113">
        <v>417.720551</v>
      </c>
      <c r="L241" s="113">
        <v>36.406371999999998</v>
      </c>
      <c r="M241" s="114">
        <v>3.8087089999999999</v>
      </c>
      <c r="N241" s="113">
        <v>3.7905869999999999</v>
      </c>
      <c r="O241" s="113">
        <v>11.622621000000001</v>
      </c>
      <c r="P241" s="114">
        <v>877.253601</v>
      </c>
      <c r="Q241" s="113">
        <v>112.663025</v>
      </c>
      <c r="R241" s="113">
        <v>113.351418</v>
      </c>
      <c r="S241" s="113">
        <v>342.57235700000001</v>
      </c>
      <c r="T241" s="113">
        <v>186.68412799999999</v>
      </c>
      <c r="U241" s="113">
        <v>183.10441599999999</v>
      </c>
      <c r="V241" s="113">
        <v>562.96698000000004</v>
      </c>
      <c r="W241" s="114">
        <v>0</v>
      </c>
    </row>
    <row r="242" spans="2:23" x14ac:dyDescent="0.75">
      <c r="B242">
        <v>2030</v>
      </c>
      <c r="C242" t="str">
        <f t="shared" si="6"/>
        <v>E85</v>
      </c>
      <c r="D242">
        <v>5</v>
      </c>
      <c r="E242" s="113">
        <v>11507.119140999999</v>
      </c>
      <c r="F242" s="113">
        <v>1619.82251</v>
      </c>
      <c r="G242" s="113">
        <v>980.95654300000001</v>
      </c>
      <c r="H242" s="114">
        <v>770.18621800000005</v>
      </c>
      <c r="I242" s="113">
        <v>286.97827100000001</v>
      </c>
      <c r="J242" s="113">
        <v>9.7120999999999999E-2</v>
      </c>
      <c r="K242" s="113">
        <v>0.149864</v>
      </c>
      <c r="L242" s="113">
        <v>0</v>
      </c>
      <c r="M242" s="114">
        <v>0</v>
      </c>
      <c r="N242" s="113">
        <v>0</v>
      </c>
      <c r="O242" s="113">
        <v>0</v>
      </c>
      <c r="P242" s="114">
        <v>0</v>
      </c>
      <c r="Q242" s="113">
        <v>0</v>
      </c>
      <c r="R242" s="113">
        <v>0</v>
      </c>
      <c r="S242" s="113">
        <v>0</v>
      </c>
      <c r="T242" s="113">
        <v>0</v>
      </c>
      <c r="U242" s="113">
        <v>0</v>
      </c>
      <c r="V242" s="113">
        <v>0</v>
      </c>
      <c r="W242" s="114">
        <v>0</v>
      </c>
    </row>
    <row r="243" spans="2:23" x14ac:dyDescent="0.75">
      <c r="B243">
        <v>2030</v>
      </c>
      <c r="C243" t="str">
        <f t="shared" si="6"/>
        <v>Electric</v>
      </c>
      <c r="D243">
        <v>6</v>
      </c>
      <c r="E243" s="113">
        <v>1297.820068</v>
      </c>
      <c r="F243" s="113">
        <v>0.383774</v>
      </c>
      <c r="G243" s="113">
        <v>245.460205</v>
      </c>
      <c r="H243" s="114">
        <v>0.23146800000000001</v>
      </c>
      <c r="I243" s="113">
        <v>1.020543</v>
      </c>
      <c r="J243" s="113">
        <v>1.651214</v>
      </c>
      <c r="K243" s="113">
        <v>25.919744000000001</v>
      </c>
      <c r="L243" s="113">
        <v>8.4904740000000007</v>
      </c>
      <c r="M243" s="114">
        <v>0.33182499999999998</v>
      </c>
      <c r="N243" s="113">
        <v>0.33182499999999998</v>
      </c>
      <c r="O243" s="113">
        <v>0.99547399999999997</v>
      </c>
      <c r="P243" s="114">
        <v>4.701441</v>
      </c>
      <c r="Q243" s="113">
        <v>35.177452000000002</v>
      </c>
      <c r="R243" s="113">
        <v>35.177452000000002</v>
      </c>
      <c r="S243" s="113">
        <v>105.53231</v>
      </c>
      <c r="T243" s="113">
        <v>54.948371999999999</v>
      </c>
      <c r="U243" s="113">
        <v>54.948383</v>
      </c>
      <c r="V243" s="113">
        <v>164.84513899999999</v>
      </c>
      <c r="W243" s="114">
        <v>0</v>
      </c>
    </row>
    <row r="244" spans="2:23" x14ac:dyDescent="0.75">
      <c r="B244">
        <v>2030</v>
      </c>
      <c r="C244" t="str">
        <f t="shared" si="6"/>
        <v>PHEV diesel</v>
      </c>
      <c r="D244">
        <v>7</v>
      </c>
      <c r="E244" s="113">
        <v>0</v>
      </c>
      <c r="F244" s="113">
        <v>0</v>
      </c>
      <c r="G244" s="113">
        <v>0</v>
      </c>
      <c r="H244" s="114">
        <v>0</v>
      </c>
      <c r="I244" s="113">
        <v>0</v>
      </c>
      <c r="J244" s="113">
        <v>0</v>
      </c>
      <c r="K244" s="113">
        <v>30.698366</v>
      </c>
      <c r="L244" s="113">
        <v>15.077488000000001</v>
      </c>
      <c r="M244" s="114">
        <v>0</v>
      </c>
      <c r="N244" s="113">
        <v>0</v>
      </c>
      <c r="O244" s="113">
        <v>0</v>
      </c>
      <c r="P244" s="114">
        <v>0</v>
      </c>
      <c r="Q244" s="113">
        <v>0</v>
      </c>
      <c r="R244" s="113">
        <v>0</v>
      </c>
      <c r="S244" s="113">
        <v>0</v>
      </c>
      <c r="T244" s="113">
        <v>0</v>
      </c>
      <c r="U244" s="113">
        <v>0</v>
      </c>
      <c r="V244" s="113">
        <v>0</v>
      </c>
      <c r="W244" s="114">
        <v>0</v>
      </c>
    </row>
    <row r="245" spans="2:23" x14ac:dyDescent="0.75">
      <c r="B245">
        <v>2030</v>
      </c>
      <c r="C245" t="str">
        <f t="shared" si="6"/>
        <v>PHEV gasoline</v>
      </c>
      <c r="D245">
        <v>8</v>
      </c>
      <c r="E245" s="113">
        <v>0</v>
      </c>
      <c r="F245" s="113">
        <v>0</v>
      </c>
      <c r="G245" s="113">
        <v>0</v>
      </c>
      <c r="H245" s="114">
        <v>0</v>
      </c>
      <c r="I245" s="113">
        <v>0</v>
      </c>
      <c r="J245" s="113">
        <v>0</v>
      </c>
      <c r="K245" s="113">
        <v>7.8248559999999996</v>
      </c>
      <c r="L245" s="113">
        <v>0</v>
      </c>
      <c r="M245" s="114">
        <v>0</v>
      </c>
      <c r="N245" s="113">
        <v>0</v>
      </c>
      <c r="O245" s="113">
        <v>0</v>
      </c>
      <c r="P245" s="114">
        <v>0</v>
      </c>
      <c r="Q245" s="113">
        <v>0</v>
      </c>
      <c r="R245" s="113">
        <v>0</v>
      </c>
      <c r="S245" s="113">
        <v>0</v>
      </c>
      <c r="T245" s="113">
        <v>0</v>
      </c>
      <c r="U245" s="113">
        <v>0</v>
      </c>
      <c r="V245" s="113">
        <v>0</v>
      </c>
      <c r="W245" s="114">
        <v>0</v>
      </c>
    </row>
    <row r="246" spans="2:23" x14ac:dyDescent="0.75">
      <c r="B246">
        <v>2030</v>
      </c>
      <c r="C246" t="str">
        <f t="shared" si="6"/>
        <v>H2 fuel cell, small battery</v>
      </c>
      <c r="D246">
        <v>9</v>
      </c>
      <c r="E246" s="113">
        <v>0</v>
      </c>
      <c r="F246" s="113">
        <v>0</v>
      </c>
      <c r="G246" s="113">
        <v>0</v>
      </c>
      <c r="H246" s="114">
        <v>0</v>
      </c>
      <c r="I246" s="113">
        <v>0</v>
      </c>
      <c r="J246" s="113">
        <v>0</v>
      </c>
      <c r="K246" s="113">
        <v>0</v>
      </c>
      <c r="L246" s="113">
        <v>0</v>
      </c>
      <c r="M246" s="114">
        <v>0</v>
      </c>
      <c r="N246" s="113">
        <v>0</v>
      </c>
      <c r="O246" s="113">
        <v>0</v>
      </c>
      <c r="P246" s="114">
        <v>0</v>
      </c>
      <c r="Q246" s="113">
        <v>0</v>
      </c>
      <c r="R246" s="113">
        <v>0</v>
      </c>
      <c r="S246" s="113">
        <v>0</v>
      </c>
      <c r="T246" s="113">
        <v>0</v>
      </c>
      <c r="U246" s="113">
        <v>0</v>
      </c>
      <c r="V246" s="113">
        <v>0</v>
      </c>
      <c r="W246" s="114">
        <v>0</v>
      </c>
    </row>
    <row r="247" spans="2:23" x14ac:dyDescent="0.75">
      <c r="B247">
        <v>2030</v>
      </c>
      <c r="C247" t="str">
        <f t="shared" si="6"/>
        <v>H2 fuel cell, large battery</v>
      </c>
      <c r="D247">
        <v>10</v>
      </c>
      <c r="E247" s="113">
        <v>0</v>
      </c>
      <c r="F247" s="113">
        <v>0</v>
      </c>
      <c r="G247" s="113">
        <v>0</v>
      </c>
      <c r="H247" s="114">
        <v>0</v>
      </c>
      <c r="I247" s="113">
        <v>0</v>
      </c>
      <c r="J247" s="113">
        <v>0</v>
      </c>
      <c r="K247" s="113">
        <v>0</v>
      </c>
      <c r="L247" s="113">
        <v>0</v>
      </c>
      <c r="M247" s="114">
        <v>0</v>
      </c>
      <c r="N247" s="113">
        <v>0</v>
      </c>
      <c r="O247" s="113">
        <v>0</v>
      </c>
      <c r="P247" s="114">
        <v>0</v>
      </c>
      <c r="Q247" s="113">
        <v>0</v>
      </c>
      <c r="R247" s="113">
        <v>0</v>
      </c>
      <c r="S247" s="113">
        <v>0</v>
      </c>
      <c r="T247" s="113">
        <v>0</v>
      </c>
      <c r="U247" s="113">
        <v>0</v>
      </c>
      <c r="V247" s="113">
        <v>0</v>
      </c>
      <c r="W247" s="114">
        <v>0</v>
      </c>
    </row>
    <row r="248" spans="2:23" x14ac:dyDescent="0.75">
      <c r="B248">
        <v>2030</v>
      </c>
      <c r="C248" t="str">
        <f t="shared" si="6"/>
        <v>Gasoline hybrid</v>
      </c>
      <c r="D248">
        <v>11</v>
      </c>
      <c r="E248" s="113">
        <v>1636.85376</v>
      </c>
      <c r="F248" s="113">
        <v>41.643101000000001</v>
      </c>
      <c r="G248" s="113">
        <v>4794.0961909999996</v>
      </c>
      <c r="H248" s="114">
        <v>162.03939800000001</v>
      </c>
      <c r="I248" s="113">
        <v>314.00125100000002</v>
      </c>
      <c r="J248" s="113">
        <v>413.20166</v>
      </c>
      <c r="K248" s="113">
        <v>0</v>
      </c>
      <c r="L248" s="113">
        <v>0</v>
      </c>
      <c r="M248" s="114">
        <v>0</v>
      </c>
      <c r="N248" s="113">
        <v>0</v>
      </c>
      <c r="O248" s="113">
        <v>0</v>
      </c>
      <c r="P248" s="114">
        <v>0</v>
      </c>
      <c r="Q248" s="113">
        <v>0</v>
      </c>
      <c r="R248" s="113">
        <v>0</v>
      </c>
      <c r="S248" s="113">
        <v>0</v>
      </c>
      <c r="T248" s="113">
        <v>0</v>
      </c>
      <c r="U248" s="113">
        <v>0</v>
      </c>
      <c r="V248" s="113">
        <v>0</v>
      </c>
      <c r="W248" s="114">
        <v>0</v>
      </c>
    </row>
    <row r="249" spans="2:23" x14ac:dyDescent="0.75">
      <c r="B249">
        <v>2030</v>
      </c>
      <c r="C249" t="str">
        <f t="shared" si="6"/>
        <v>Hydrogen ICE</v>
      </c>
      <c r="D249">
        <v>12</v>
      </c>
      <c r="E249" s="113">
        <v>0</v>
      </c>
      <c r="F249" s="113">
        <v>0</v>
      </c>
      <c r="G249" s="113">
        <v>0</v>
      </c>
      <c r="H249" s="114">
        <v>0</v>
      </c>
      <c r="I249" s="113">
        <v>0</v>
      </c>
      <c r="J249" s="113">
        <v>0</v>
      </c>
      <c r="K249" s="113">
        <v>0</v>
      </c>
      <c r="L249" s="113">
        <v>0</v>
      </c>
      <c r="M249" s="114">
        <v>0</v>
      </c>
      <c r="N249" s="113">
        <v>0</v>
      </c>
      <c r="O249" s="113">
        <v>0</v>
      </c>
      <c r="P249" s="114">
        <v>0</v>
      </c>
      <c r="Q249" s="113">
        <v>0</v>
      </c>
      <c r="R249" s="113">
        <v>0</v>
      </c>
      <c r="S249" s="113">
        <v>0</v>
      </c>
      <c r="T249" s="113">
        <v>0</v>
      </c>
      <c r="U249" s="113">
        <v>0</v>
      </c>
      <c r="V249" s="113">
        <v>0</v>
      </c>
      <c r="W249" s="114">
        <v>0</v>
      </c>
    </row>
    <row r="250" spans="2:23" x14ac:dyDescent="0.75">
      <c r="B250">
        <v>2031</v>
      </c>
      <c r="C250" t="str">
        <f t="shared" si="6"/>
        <v>Diesel</v>
      </c>
      <c r="D250">
        <v>1</v>
      </c>
      <c r="E250" s="113">
        <v>19410.326172000001</v>
      </c>
      <c r="F250" s="113">
        <v>294.61029100000002</v>
      </c>
      <c r="G250" s="113">
        <v>45401.550780999998</v>
      </c>
      <c r="H250" s="114">
        <v>2442.5046390000002</v>
      </c>
      <c r="I250" s="113">
        <v>6346.3056640000004</v>
      </c>
      <c r="J250" s="113">
        <v>11926.400390999999</v>
      </c>
      <c r="K250" s="113">
        <v>14523.903319999999</v>
      </c>
      <c r="L250" s="113">
        <v>8715.421875</v>
      </c>
      <c r="M250" s="114">
        <v>1554.501831</v>
      </c>
      <c r="N250" s="113">
        <v>1554.5157469999999</v>
      </c>
      <c r="O250" s="113">
        <v>4663.328125</v>
      </c>
      <c r="P250" s="114">
        <v>20985.25</v>
      </c>
      <c r="Q250" s="113">
        <v>13625.530273</v>
      </c>
      <c r="R250" s="113">
        <v>13624.90625</v>
      </c>
      <c r="S250" s="113">
        <v>40872.503905999998</v>
      </c>
      <c r="T250" s="113">
        <v>21274.033202999999</v>
      </c>
      <c r="U250" s="113">
        <v>21277.183593999998</v>
      </c>
      <c r="V250" s="113">
        <v>63815.042969000002</v>
      </c>
      <c r="W250" s="114">
        <v>5.0818729999999999</v>
      </c>
    </row>
    <row r="251" spans="2:23" x14ac:dyDescent="0.75">
      <c r="B251">
        <v>2031</v>
      </c>
      <c r="C251" t="str">
        <f t="shared" si="6"/>
        <v>Gasoline</v>
      </c>
      <c r="D251">
        <v>2</v>
      </c>
      <c r="E251" s="113">
        <v>44557.546875</v>
      </c>
      <c r="F251" s="113">
        <v>2913.3486330000001</v>
      </c>
      <c r="G251" s="113">
        <v>27794.828125</v>
      </c>
      <c r="H251" s="114">
        <v>3820.0383299999999</v>
      </c>
      <c r="I251" s="113">
        <v>8385.3134769999997</v>
      </c>
      <c r="J251" s="113">
        <v>7398.9780270000001</v>
      </c>
      <c r="K251" s="113">
        <v>9144.8251949999994</v>
      </c>
      <c r="L251" s="113">
        <v>82.409248000000005</v>
      </c>
      <c r="M251" s="114">
        <v>7.4019999999999997E-3</v>
      </c>
      <c r="N251" s="113">
        <v>7.4019999999999997E-3</v>
      </c>
      <c r="O251" s="113">
        <v>2.2207000000000001E-2</v>
      </c>
      <c r="P251" s="114">
        <v>1.155152</v>
      </c>
      <c r="Q251" s="113">
        <v>3.7820000000000002E-3</v>
      </c>
      <c r="R251" s="113">
        <v>3.7820000000000002E-3</v>
      </c>
      <c r="S251" s="113">
        <v>1.1346E-2</v>
      </c>
      <c r="T251" s="113">
        <v>5.9069999999999999E-3</v>
      </c>
      <c r="U251" s="113">
        <v>5.9069999999999999E-3</v>
      </c>
      <c r="V251" s="113">
        <v>1.7722000000000002E-2</v>
      </c>
      <c r="W251" s="114">
        <v>0</v>
      </c>
    </row>
    <row r="252" spans="2:23" x14ac:dyDescent="0.75">
      <c r="B252">
        <v>2031</v>
      </c>
      <c r="C252" t="str">
        <f t="shared" si="6"/>
        <v>LPG</v>
      </c>
      <c r="D252">
        <v>3</v>
      </c>
      <c r="E252" s="113">
        <v>0.34903699999999999</v>
      </c>
      <c r="F252" s="113">
        <v>1.7788999999999999E-2</v>
      </c>
      <c r="G252" s="113">
        <v>0.77343600000000001</v>
      </c>
      <c r="H252" s="114">
        <v>3.5726000000000001E-2</v>
      </c>
      <c r="I252" s="113">
        <v>2.2093029999999998</v>
      </c>
      <c r="J252" s="113">
        <v>5.0849200000000003</v>
      </c>
      <c r="K252" s="113">
        <v>3.122938</v>
      </c>
      <c r="L252" s="113">
        <v>23.422125000000001</v>
      </c>
      <c r="M252" s="114">
        <v>0.54257100000000003</v>
      </c>
      <c r="N252" s="113">
        <v>0.54257100000000003</v>
      </c>
      <c r="O252" s="113">
        <v>1.627713</v>
      </c>
      <c r="P252" s="114">
        <v>6.3691700000000004</v>
      </c>
      <c r="Q252" s="113">
        <v>5.0295759999999996</v>
      </c>
      <c r="R252" s="113">
        <v>5.0295759999999996</v>
      </c>
      <c r="S252" s="113">
        <v>15.088725999999999</v>
      </c>
      <c r="T252" s="113">
        <v>7.8563689999999999</v>
      </c>
      <c r="U252" s="113">
        <v>7.8563710000000002</v>
      </c>
      <c r="V252" s="113">
        <v>23.567163000000001</v>
      </c>
      <c r="W252" s="114">
        <v>0</v>
      </c>
    </row>
    <row r="253" spans="2:23" x14ac:dyDescent="0.75">
      <c r="B253">
        <v>2031</v>
      </c>
      <c r="C253" t="str">
        <f t="shared" si="6"/>
        <v>CNG</v>
      </c>
      <c r="D253">
        <v>4</v>
      </c>
      <c r="E253" s="113">
        <v>331.15020800000002</v>
      </c>
      <c r="F253" s="113">
        <v>23.563127999999999</v>
      </c>
      <c r="G253" s="113">
        <v>877.26135299999999</v>
      </c>
      <c r="H253" s="114">
        <v>12.64381</v>
      </c>
      <c r="I253" s="113">
        <v>27.172581000000001</v>
      </c>
      <c r="J253" s="113">
        <v>145.42065400000001</v>
      </c>
      <c r="K253" s="113">
        <v>446.89688100000001</v>
      </c>
      <c r="L253" s="113">
        <v>36.734921</v>
      </c>
      <c r="M253" s="114">
        <v>3.6804649999999999</v>
      </c>
      <c r="N253" s="113">
        <v>3.664866</v>
      </c>
      <c r="O253" s="113">
        <v>11.21433</v>
      </c>
      <c r="P253" s="114">
        <v>884.88433799999996</v>
      </c>
      <c r="Q253" s="113">
        <v>114.23458100000001</v>
      </c>
      <c r="R253" s="113">
        <v>114.853638</v>
      </c>
      <c r="S253" s="113">
        <v>346.77780200000001</v>
      </c>
      <c r="T253" s="113">
        <v>187.978241</v>
      </c>
      <c r="U253" s="113">
        <v>184.851913</v>
      </c>
      <c r="V253" s="113">
        <v>565.744507</v>
      </c>
      <c r="W253" s="114">
        <v>0</v>
      </c>
    </row>
    <row r="254" spans="2:23" x14ac:dyDescent="0.75">
      <c r="B254">
        <v>2031</v>
      </c>
      <c r="C254" t="str">
        <f t="shared" si="6"/>
        <v>E85</v>
      </c>
      <c r="D254">
        <v>5</v>
      </c>
      <c r="E254" s="113">
        <v>11515.432617</v>
      </c>
      <c r="F254" s="113">
        <v>1529.2110600000001</v>
      </c>
      <c r="G254" s="113">
        <v>898.22833300000002</v>
      </c>
      <c r="H254" s="114">
        <v>688.71691899999996</v>
      </c>
      <c r="I254" s="113">
        <v>257.86111499999998</v>
      </c>
      <c r="J254" s="113">
        <v>0.105736</v>
      </c>
      <c r="K254" s="113">
        <v>0.16096199999999999</v>
      </c>
      <c r="L254" s="113">
        <v>0</v>
      </c>
      <c r="M254" s="114">
        <v>0</v>
      </c>
      <c r="N254" s="113">
        <v>0</v>
      </c>
      <c r="O254" s="113">
        <v>0</v>
      </c>
      <c r="P254" s="114">
        <v>0</v>
      </c>
      <c r="Q254" s="113">
        <v>0</v>
      </c>
      <c r="R254" s="113">
        <v>0</v>
      </c>
      <c r="S254" s="113">
        <v>0</v>
      </c>
      <c r="T254" s="113">
        <v>0</v>
      </c>
      <c r="U254" s="113">
        <v>0</v>
      </c>
      <c r="V254" s="113">
        <v>0</v>
      </c>
      <c r="W254" s="114">
        <v>0</v>
      </c>
    </row>
    <row r="255" spans="2:23" x14ac:dyDescent="0.75">
      <c r="B255">
        <v>2031</v>
      </c>
      <c r="C255" t="str">
        <f t="shared" si="6"/>
        <v>Electric</v>
      </c>
      <c r="D255">
        <v>6</v>
      </c>
      <c r="E255" s="113">
        <v>1442.292725</v>
      </c>
      <c r="F255" s="113">
        <v>0.79616900000000002</v>
      </c>
      <c r="G255" s="113">
        <v>314.467804</v>
      </c>
      <c r="H255" s="114">
        <v>0.20269300000000001</v>
      </c>
      <c r="I255" s="113">
        <v>0.92818100000000003</v>
      </c>
      <c r="J255" s="113">
        <v>1.639132</v>
      </c>
      <c r="K255" s="113">
        <v>26.746511000000002</v>
      </c>
      <c r="L255" s="113">
        <v>9.1132679999999997</v>
      </c>
      <c r="M255" s="114">
        <v>0.350879</v>
      </c>
      <c r="N255" s="113">
        <v>0.350879</v>
      </c>
      <c r="O255" s="113">
        <v>1.052638</v>
      </c>
      <c r="P255" s="114">
        <v>4.9900200000000003</v>
      </c>
      <c r="Q255" s="113">
        <v>37.219154000000003</v>
      </c>
      <c r="R255" s="113">
        <v>37.219150999999997</v>
      </c>
      <c r="S255" s="113">
        <v>111.657455</v>
      </c>
      <c r="T255" s="113">
        <v>58.137591999999998</v>
      </c>
      <c r="U255" s="113">
        <v>58.137599999999999</v>
      </c>
      <c r="V255" s="113">
        <v>174.412766</v>
      </c>
      <c r="W255" s="114">
        <v>0</v>
      </c>
    </row>
    <row r="256" spans="2:23" x14ac:dyDescent="0.75">
      <c r="B256">
        <v>2031</v>
      </c>
      <c r="C256" t="str">
        <f t="shared" si="6"/>
        <v>PHEV diesel</v>
      </c>
      <c r="D256">
        <v>7</v>
      </c>
      <c r="E256" s="113">
        <v>0</v>
      </c>
      <c r="F256" s="113">
        <v>0</v>
      </c>
      <c r="G256" s="113">
        <v>0</v>
      </c>
      <c r="H256" s="114">
        <v>0</v>
      </c>
      <c r="I256" s="113">
        <v>0</v>
      </c>
      <c r="J256" s="113">
        <v>0</v>
      </c>
      <c r="K256" s="113">
        <v>35.050204999999998</v>
      </c>
      <c r="L256" s="113">
        <v>19.800477999999998</v>
      </c>
      <c r="M256" s="114">
        <v>0</v>
      </c>
      <c r="N256" s="113">
        <v>0</v>
      </c>
      <c r="O256" s="113">
        <v>0</v>
      </c>
      <c r="P256" s="114">
        <v>0</v>
      </c>
      <c r="Q256" s="113">
        <v>0</v>
      </c>
      <c r="R256" s="113">
        <v>0</v>
      </c>
      <c r="S256" s="113">
        <v>0</v>
      </c>
      <c r="T256" s="113">
        <v>0</v>
      </c>
      <c r="U256" s="113">
        <v>0</v>
      </c>
      <c r="V256" s="113">
        <v>0</v>
      </c>
      <c r="W256" s="114">
        <v>0</v>
      </c>
    </row>
    <row r="257" spans="2:23" x14ac:dyDescent="0.75">
      <c r="B257">
        <v>2031</v>
      </c>
      <c r="C257" t="str">
        <f t="shared" si="6"/>
        <v>PHEV gasoline</v>
      </c>
      <c r="D257">
        <v>8</v>
      </c>
      <c r="E257" s="113">
        <v>0</v>
      </c>
      <c r="F257" s="113">
        <v>0</v>
      </c>
      <c r="G257" s="113">
        <v>0</v>
      </c>
      <c r="H257" s="114">
        <v>0</v>
      </c>
      <c r="I257" s="113">
        <v>0</v>
      </c>
      <c r="J257" s="113">
        <v>0</v>
      </c>
      <c r="K257" s="113">
        <v>7.1806489999999998</v>
      </c>
      <c r="L257" s="113">
        <v>0</v>
      </c>
      <c r="M257" s="114">
        <v>0</v>
      </c>
      <c r="N257" s="113">
        <v>0</v>
      </c>
      <c r="O257" s="113">
        <v>0</v>
      </c>
      <c r="P257" s="114">
        <v>0</v>
      </c>
      <c r="Q257" s="113">
        <v>0</v>
      </c>
      <c r="R257" s="113">
        <v>0</v>
      </c>
      <c r="S257" s="113">
        <v>0</v>
      </c>
      <c r="T257" s="113">
        <v>0</v>
      </c>
      <c r="U257" s="113">
        <v>0</v>
      </c>
      <c r="V257" s="113">
        <v>0</v>
      </c>
      <c r="W257" s="114">
        <v>0</v>
      </c>
    </row>
    <row r="258" spans="2:23" x14ac:dyDescent="0.75">
      <c r="B258">
        <v>2031</v>
      </c>
      <c r="C258" t="str">
        <f t="shared" si="6"/>
        <v>H2 fuel cell, small battery</v>
      </c>
      <c r="D258">
        <v>9</v>
      </c>
      <c r="E258" s="113">
        <v>0</v>
      </c>
      <c r="F258" s="113">
        <v>0</v>
      </c>
      <c r="G258" s="113">
        <v>0</v>
      </c>
      <c r="H258" s="114">
        <v>0</v>
      </c>
      <c r="I258" s="113">
        <v>0</v>
      </c>
      <c r="J258" s="113">
        <v>0</v>
      </c>
      <c r="K258" s="113">
        <v>0</v>
      </c>
      <c r="L258" s="113">
        <v>0</v>
      </c>
      <c r="M258" s="114">
        <v>0</v>
      </c>
      <c r="N258" s="113">
        <v>0</v>
      </c>
      <c r="O258" s="113">
        <v>0</v>
      </c>
      <c r="P258" s="114">
        <v>0</v>
      </c>
      <c r="Q258" s="113">
        <v>0</v>
      </c>
      <c r="R258" s="113">
        <v>0</v>
      </c>
      <c r="S258" s="113">
        <v>0</v>
      </c>
      <c r="T258" s="113">
        <v>0</v>
      </c>
      <c r="U258" s="113">
        <v>0</v>
      </c>
      <c r="V258" s="113">
        <v>0</v>
      </c>
      <c r="W258" s="114">
        <v>0</v>
      </c>
    </row>
    <row r="259" spans="2:23" x14ac:dyDescent="0.75">
      <c r="B259">
        <v>2031</v>
      </c>
      <c r="C259" t="str">
        <f t="shared" si="6"/>
        <v>H2 fuel cell, large battery</v>
      </c>
      <c r="D259">
        <v>10</v>
      </c>
      <c r="E259" s="113">
        <v>0</v>
      </c>
      <c r="F259" s="113">
        <v>0</v>
      </c>
      <c r="G259" s="113">
        <v>0</v>
      </c>
      <c r="H259" s="114">
        <v>0</v>
      </c>
      <c r="I259" s="113">
        <v>0</v>
      </c>
      <c r="J259" s="113">
        <v>0</v>
      </c>
      <c r="K259" s="113">
        <v>0</v>
      </c>
      <c r="L259" s="113">
        <v>0</v>
      </c>
      <c r="M259" s="114">
        <v>0</v>
      </c>
      <c r="N259" s="113">
        <v>0</v>
      </c>
      <c r="O259" s="113">
        <v>0</v>
      </c>
      <c r="P259" s="114">
        <v>0</v>
      </c>
      <c r="Q259" s="113">
        <v>0</v>
      </c>
      <c r="R259" s="113">
        <v>0</v>
      </c>
      <c r="S259" s="113">
        <v>0</v>
      </c>
      <c r="T259" s="113">
        <v>0</v>
      </c>
      <c r="U259" s="113">
        <v>0</v>
      </c>
      <c r="V259" s="113">
        <v>0</v>
      </c>
      <c r="W259" s="114">
        <v>0</v>
      </c>
    </row>
    <row r="260" spans="2:23" x14ac:dyDescent="0.75">
      <c r="B260">
        <v>2031</v>
      </c>
      <c r="C260" t="str">
        <f t="shared" si="6"/>
        <v>Gasoline hybrid</v>
      </c>
      <c r="D260">
        <v>11</v>
      </c>
      <c r="E260" s="113">
        <v>2469.2473140000002</v>
      </c>
      <c r="F260" s="113">
        <v>60.989463999999998</v>
      </c>
      <c r="G260" s="113">
        <v>7512.8452150000003</v>
      </c>
      <c r="H260" s="114">
        <v>223.56982400000001</v>
      </c>
      <c r="I260" s="113">
        <v>418.88629200000003</v>
      </c>
      <c r="J260" s="113">
        <v>550.51355000000001</v>
      </c>
      <c r="K260" s="113">
        <v>0</v>
      </c>
      <c r="L260" s="113">
        <v>0</v>
      </c>
      <c r="M260" s="114">
        <v>0</v>
      </c>
      <c r="N260" s="113">
        <v>0</v>
      </c>
      <c r="O260" s="113">
        <v>0</v>
      </c>
      <c r="P260" s="114">
        <v>0</v>
      </c>
      <c r="Q260" s="113">
        <v>0</v>
      </c>
      <c r="R260" s="113">
        <v>0</v>
      </c>
      <c r="S260" s="113">
        <v>0</v>
      </c>
      <c r="T260" s="113">
        <v>0</v>
      </c>
      <c r="U260" s="113">
        <v>0</v>
      </c>
      <c r="V260" s="113">
        <v>0</v>
      </c>
      <c r="W260" s="114">
        <v>0</v>
      </c>
    </row>
    <row r="261" spans="2:23" x14ac:dyDescent="0.75">
      <c r="B261">
        <v>2031</v>
      </c>
      <c r="C261" t="str">
        <f t="shared" si="6"/>
        <v>Hydrogen ICE</v>
      </c>
      <c r="D261">
        <v>12</v>
      </c>
      <c r="E261" s="113">
        <v>0</v>
      </c>
      <c r="F261" s="113">
        <v>0</v>
      </c>
      <c r="G261" s="113">
        <v>0</v>
      </c>
      <c r="H261" s="114">
        <v>0</v>
      </c>
      <c r="I261" s="113">
        <v>0</v>
      </c>
      <c r="J261" s="113">
        <v>0</v>
      </c>
      <c r="K261" s="113">
        <v>0</v>
      </c>
      <c r="L261" s="113">
        <v>0</v>
      </c>
      <c r="M261" s="114">
        <v>0</v>
      </c>
      <c r="N261" s="113">
        <v>0</v>
      </c>
      <c r="O261" s="113">
        <v>0</v>
      </c>
      <c r="P261" s="114">
        <v>0</v>
      </c>
      <c r="Q261" s="113">
        <v>0</v>
      </c>
      <c r="R261" s="113">
        <v>0</v>
      </c>
      <c r="S261" s="113">
        <v>0</v>
      </c>
      <c r="T261" s="113">
        <v>0</v>
      </c>
      <c r="U261" s="113">
        <v>0</v>
      </c>
      <c r="V261" s="113">
        <v>0</v>
      </c>
      <c r="W261" s="114">
        <v>0</v>
      </c>
    </row>
    <row r="262" spans="2:23" x14ac:dyDescent="0.75">
      <c r="B262">
        <v>2032</v>
      </c>
      <c r="C262" t="str">
        <f t="shared" si="6"/>
        <v>Diesel</v>
      </c>
      <c r="D262">
        <v>1</v>
      </c>
      <c r="E262" s="113">
        <v>18284.105468999998</v>
      </c>
      <c r="F262" s="113">
        <v>314.027557</v>
      </c>
      <c r="G262" s="113">
        <v>43701.441405999998</v>
      </c>
      <c r="H262" s="114">
        <v>2457.15625</v>
      </c>
      <c r="I262" s="113">
        <v>6340.4633789999998</v>
      </c>
      <c r="J262" s="113">
        <v>11556.272461</v>
      </c>
      <c r="K262" s="113">
        <v>14362.334961</v>
      </c>
      <c r="L262" s="113">
        <v>8599.9277340000008</v>
      </c>
      <c r="M262" s="114">
        <v>1555.079956</v>
      </c>
      <c r="N262" s="113">
        <v>1555.091187</v>
      </c>
      <c r="O262" s="113">
        <v>4665.0859380000002</v>
      </c>
      <c r="P262" s="114">
        <v>21017.291015999999</v>
      </c>
      <c r="Q262" s="113">
        <v>13720.487305000001</v>
      </c>
      <c r="R262" s="113">
        <v>13719.935546999999</v>
      </c>
      <c r="S262" s="113">
        <v>41157.867187999997</v>
      </c>
      <c r="T262" s="113">
        <v>21423.347656000002</v>
      </c>
      <c r="U262" s="113">
        <v>21426.230468999998</v>
      </c>
      <c r="V262" s="113">
        <v>64263.734375</v>
      </c>
      <c r="W262" s="114">
        <v>5.085858</v>
      </c>
    </row>
    <row r="263" spans="2:23" x14ac:dyDescent="0.75">
      <c r="B263">
        <v>2032</v>
      </c>
      <c r="C263" t="str">
        <f t="shared" si="6"/>
        <v>Gasoline</v>
      </c>
      <c r="D263">
        <v>2</v>
      </c>
      <c r="E263" s="113">
        <v>44064.574219000002</v>
      </c>
      <c r="F263" s="113">
        <v>2853.318115</v>
      </c>
      <c r="G263" s="113">
        <v>27723.107422000001</v>
      </c>
      <c r="H263" s="114">
        <v>3727.1132809999999</v>
      </c>
      <c r="I263" s="113">
        <v>8122.4145509999998</v>
      </c>
      <c r="J263" s="113">
        <v>7391.5512699999999</v>
      </c>
      <c r="K263" s="113">
        <v>9438.1699219999991</v>
      </c>
      <c r="L263" s="113">
        <v>77.356857000000005</v>
      </c>
      <c r="M263" s="114">
        <v>5.1619999999999999E-3</v>
      </c>
      <c r="N263" s="113">
        <v>5.1619999999999999E-3</v>
      </c>
      <c r="O263" s="113">
        <v>1.5485000000000001E-2</v>
      </c>
      <c r="P263" s="114">
        <v>0.92182500000000001</v>
      </c>
      <c r="Q263" s="113">
        <v>3.5609999999999999E-3</v>
      </c>
      <c r="R263" s="113">
        <v>3.5609999999999999E-3</v>
      </c>
      <c r="S263" s="113">
        <v>1.0683E-2</v>
      </c>
      <c r="T263" s="113">
        <v>5.5630000000000002E-3</v>
      </c>
      <c r="U263" s="113">
        <v>5.5630000000000002E-3</v>
      </c>
      <c r="V263" s="113">
        <v>1.6688000000000001E-2</v>
      </c>
      <c r="W263" s="114">
        <v>0</v>
      </c>
    </row>
    <row r="264" spans="2:23" x14ac:dyDescent="0.75">
      <c r="B264">
        <v>2032</v>
      </c>
      <c r="C264" t="str">
        <f t="shared" si="6"/>
        <v>LPG</v>
      </c>
      <c r="D264">
        <v>3</v>
      </c>
      <c r="E264" s="113">
        <v>0.38018099999999999</v>
      </c>
      <c r="F264" s="113">
        <v>1.9793000000000002E-2</v>
      </c>
      <c r="G264" s="113">
        <v>0.79325699999999999</v>
      </c>
      <c r="H264" s="114">
        <v>3.8883000000000001E-2</v>
      </c>
      <c r="I264" s="113">
        <v>2.0378759999999998</v>
      </c>
      <c r="J264" s="113">
        <v>4.605092</v>
      </c>
      <c r="K264" s="113">
        <v>2.6796000000000002</v>
      </c>
      <c r="L264" s="113">
        <v>21.953627000000001</v>
      </c>
      <c r="M264" s="114">
        <v>0.57564499999999996</v>
      </c>
      <c r="N264" s="113">
        <v>0.57564499999999996</v>
      </c>
      <c r="O264" s="113">
        <v>1.726936</v>
      </c>
      <c r="P264" s="114">
        <v>6.8774230000000003</v>
      </c>
      <c r="Q264" s="113">
        <v>5.3199969999999999</v>
      </c>
      <c r="R264" s="113">
        <v>5.3199969999999999</v>
      </c>
      <c r="S264" s="113">
        <v>15.959987999999999</v>
      </c>
      <c r="T264" s="113">
        <v>8.3100170000000002</v>
      </c>
      <c r="U264" s="113">
        <v>8.3100190000000005</v>
      </c>
      <c r="V264" s="113">
        <v>24.927997999999999</v>
      </c>
      <c r="W264" s="114">
        <v>0</v>
      </c>
    </row>
    <row r="265" spans="2:23" x14ac:dyDescent="0.75">
      <c r="B265">
        <v>2032</v>
      </c>
      <c r="C265" t="str">
        <f t="shared" si="6"/>
        <v>CNG</v>
      </c>
      <c r="D265">
        <v>4</v>
      </c>
      <c r="E265" s="113">
        <v>389.603882</v>
      </c>
      <c r="F265" s="113">
        <v>26.350452000000001</v>
      </c>
      <c r="G265" s="113">
        <v>899.10156199999994</v>
      </c>
      <c r="H265" s="114">
        <v>12.967695000000001</v>
      </c>
      <c r="I265" s="113">
        <v>28.718004000000001</v>
      </c>
      <c r="J265" s="113">
        <v>153.96623199999999</v>
      </c>
      <c r="K265" s="113">
        <v>473.46929899999998</v>
      </c>
      <c r="L265" s="113">
        <v>36.971603000000002</v>
      </c>
      <c r="M265" s="114">
        <v>3.5763919999999998</v>
      </c>
      <c r="N265" s="113">
        <v>3.5630489999999999</v>
      </c>
      <c r="O265" s="113">
        <v>10.876234</v>
      </c>
      <c r="P265" s="114">
        <v>892.07708700000001</v>
      </c>
      <c r="Q265" s="113">
        <v>115.59251399999999</v>
      </c>
      <c r="R265" s="113">
        <v>116.13941199999999</v>
      </c>
      <c r="S265" s="113">
        <v>350.35183699999999</v>
      </c>
      <c r="T265" s="113">
        <v>189.11029099999999</v>
      </c>
      <c r="U265" s="113">
        <v>186.249619</v>
      </c>
      <c r="V265" s="113">
        <v>568.35913100000005</v>
      </c>
      <c r="W265" s="114">
        <v>0</v>
      </c>
    </row>
    <row r="266" spans="2:23" x14ac:dyDescent="0.75">
      <c r="B266">
        <v>2032</v>
      </c>
      <c r="C266" t="str">
        <f t="shared" si="6"/>
        <v>E85</v>
      </c>
      <c r="D266">
        <v>5</v>
      </c>
      <c r="E266" s="113">
        <v>11480.875977</v>
      </c>
      <c r="F266" s="113">
        <v>1436.556763</v>
      </c>
      <c r="G266" s="113">
        <v>822.22522000000004</v>
      </c>
      <c r="H266" s="114">
        <v>615.44122300000004</v>
      </c>
      <c r="I266" s="113">
        <v>232.611526</v>
      </c>
      <c r="J266" s="113">
        <v>0.11358699999999999</v>
      </c>
      <c r="K266" s="113">
        <v>0.17069699999999999</v>
      </c>
      <c r="L266" s="113">
        <v>0</v>
      </c>
      <c r="M266" s="114">
        <v>0</v>
      </c>
      <c r="N266" s="113">
        <v>0</v>
      </c>
      <c r="O266" s="113">
        <v>0</v>
      </c>
      <c r="P266" s="114">
        <v>0</v>
      </c>
      <c r="Q266" s="113">
        <v>0</v>
      </c>
      <c r="R266" s="113">
        <v>0</v>
      </c>
      <c r="S266" s="113">
        <v>0</v>
      </c>
      <c r="T266" s="113">
        <v>0</v>
      </c>
      <c r="U266" s="113">
        <v>0</v>
      </c>
      <c r="V266" s="113">
        <v>0</v>
      </c>
      <c r="W266" s="114">
        <v>0</v>
      </c>
    </row>
    <row r="267" spans="2:23" x14ac:dyDescent="0.75">
      <c r="B267">
        <v>2032</v>
      </c>
      <c r="C267" t="str">
        <f t="shared" si="6"/>
        <v>Electric</v>
      </c>
      <c r="D267">
        <v>6</v>
      </c>
      <c r="E267" s="113">
        <v>1602.0297849999999</v>
      </c>
      <c r="F267" s="113">
        <v>1.3402780000000001</v>
      </c>
      <c r="G267" s="113">
        <v>435.03164700000002</v>
      </c>
      <c r="H267" s="114">
        <v>0.17502100000000001</v>
      </c>
      <c r="I267" s="113">
        <v>0.83066899999999999</v>
      </c>
      <c r="J267" s="113">
        <v>1.6804030000000001</v>
      </c>
      <c r="K267" s="113">
        <v>27.560296999999998</v>
      </c>
      <c r="L267" s="113">
        <v>9.6795570000000009</v>
      </c>
      <c r="M267" s="114">
        <v>0.368952</v>
      </c>
      <c r="N267" s="113">
        <v>0.368952</v>
      </c>
      <c r="O267" s="113">
        <v>1.106857</v>
      </c>
      <c r="P267" s="114">
        <v>5.2492349999999997</v>
      </c>
      <c r="Q267" s="113">
        <v>38.958736000000002</v>
      </c>
      <c r="R267" s="113">
        <v>38.958736000000002</v>
      </c>
      <c r="S267" s="113">
        <v>116.876175</v>
      </c>
      <c r="T267" s="113">
        <v>60.854874000000002</v>
      </c>
      <c r="U267" s="113">
        <v>60.854885000000003</v>
      </c>
      <c r="V267" s="113">
        <v>182.56462099999999</v>
      </c>
      <c r="W267" s="114">
        <v>0</v>
      </c>
    </row>
    <row r="268" spans="2:23" x14ac:dyDescent="0.75">
      <c r="B268">
        <v>2032</v>
      </c>
      <c r="C268" t="str">
        <f t="shared" si="6"/>
        <v>PHEV diesel</v>
      </c>
      <c r="D268">
        <v>7</v>
      </c>
      <c r="E268" s="113">
        <v>0</v>
      </c>
      <c r="F268" s="113">
        <v>0</v>
      </c>
      <c r="G268" s="113">
        <v>0</v>
      </c>
      <c r="H268" s="114">
        <v>0</v>
      </c>
      <c r="I268" s="113">
        <v>0</v>
      </c>
      <c r="J268" s="113">
        <v>0</v>
      </c>
      <c r="K268" s="113">
        <v>38.560040000000001</v>
      </c>
      <c r="L268" s="113">
        <v>25.591930000000001</v>
      </c>
      <c r="M268" s="114">
        <v>0</v>
      </c>
      <c r="N268" s="113">
        <v>0</v>
      </c>
      <c r="O268" s="113">
        <v>0</v>
      </c>
      <c r="P268" s="114">
        <v>0</v>
      </c>
      <c r="Q268" s="113">
        <v>0</v>
      </c>
      <c r="R268" s="113">
        <v>0</v>
      </c>
      <c r="S268" s="113">
        <v>0</v>
      </c>
      <c r="T268" s="113">
        <v>0</v>
      </c>
      <c r="U268" s="113">
        <v>0</v>
      </c>
      <c r="V268" s="113">
        <v>0</v>
      </c>
      <c r="W268" s="114">
        <v>0</v>
      </c>
    </row>
    <row r="269" spans="2:23" x14ac:dyDescent="0.75">
      <c r="B269">
        <v>2032</v>
      </c>
      <c r="C269" t="str">
        <f t="shared" si="6"/>
        <v>PHEV gasoline</v>
      </c>
      <c r="D269">
        <v>8</v>
      </c>
      <c r="E269" s="113">
        <v>0</v>
      </c>
      <c r="F269" s="113">
        <v>0</v>
      </c>
      <c r="G269" s="113">
        <v>0</v>
      </c>
      <c r="H269" s="114">
        <v>0</v>
      </c>
      <c r="I269" s="113">
        <v>0</v>
      </c>
      <c r="J269" s="113">
        <v>0</v>
      </c>
      <c r="K269" s="113">
        <v>6.6095810000000004</v>
      </c>
      <c r="L269" s="113">
        <v>0</v>
      </c>
      <c r="M269" s="114">
        <v>0</v>
      </c>
      <c r="N269" s="113">
        <v>0</v>
      </c>
      <c r="O269" s="113">
        <v>0</v>
      </c>
      <c r="P269" s="114">
        <v>0</v>
      </c>
      <c r="Q269" s="113">
        <v>0</v>
      </c>
      <c r="R269" s="113">
        <v>0</v>
      </c>
      <c r="S269" s="113">
        <v>0</v>
      </c>
      <c r="T269" s="113">
        <v>0</v>
      </c>
      <c r="U269" s="113">
        <v>0</v>
      </c>
      <c r="V269" s="113">
        <v>0</v>
      </c>
      <c r="W269" s="114">
        <v>0</v>
      </c>
    </row>
    <row r="270" spans="2:23" x14ac:dyDescent="0.75">
      <c r="B270">
        <v>2032</v>
      </c>
      <c r="C270" t="str">
        <f t="shared" si="6"/>
        <v>H2 fuel cell, small battery</v>
      </c>
      <c r="D270">
        <v>9</v>
      </c>
      <c r="E270" s="113">
        <v>0</v>
      </c>
      <c r="F270" s="113">
        <v>0</v>
      </c>
      <c r="G270" s="113">
        <v>0</v>
      </c>
      <c r="H270" s="114">
        <v>0</v>
      </c>
      <c r="I270" s="113">
        <v>0</v>
      </c>
      <c r="J270" s="113">
        <v>0</v>
      </c>
      <c r="K270" s="113">
        <v>0</v>
      </c>
      <c r="L270" s="113">
        <v>0</v>
      </c>
      <c r="M270" s="114">
        <v>0</v>
      </c>
      <c r="N270" s="113">
        <v>0</v>
      </c>
      <c r="O270" s="113">
        <v>0</v>
      </c>
      <c r="P270" s="114">
        <v>0</v>
      </c>
      <c r="Q270" s="113">
        <v>0</v>
      </c>
      <c r="R270" s="113">
        <v>0</v>
      </c>
      <c r="S270" s="113">
        <v>0</v>
      </c>
      <c r="T270" s="113">
        <v>0</v>
      </c>
      <c r="U270" s="113">
        <v>0</v>
      </c>
      <c r="V270" s="113">
        <v>0</v>
      </c>
      <c r="W270" s="114">
        <v>0</v>
      </c>
    </row>
    <row r="271" spans="2:23" x14ac:dyDescent="0.75">
      <c r="B271">
        <v>2032</v>
      </c>
      <c r="C271" t="str">
        <f t="shared" si="6"/>
        <v>H2 fuel cell, large battery</v>
      </c>
      <c r="D271">
        <v>10</v>
      </c>
      <c r="E271" s="113">
        <v>0</v>
      </c>
      <c r="F271" s="113">
        <v>0</v>
      </c>
      <c r="G271" s="113">
        <v>0</v>
      </c>
      <c r="H271" s="114">
        <v>0</v>
      </c>
      <c r="I271" s="113">
        <v>0</v>
      </c>
      <c r="J271" s="113">
        <v>0</v>
      </c>
      <c r="K271" s="113">
        <v>0</v>
      </c>
      <c r="L271" s="113">
        <v>0</v>
      </c>
      <c r="M271" s="114">
        <v>0</v>
      </c>
      <c r="N271" s="113">
        <v>0</v>
      </c>
      <c r="O271" s="113">
        <v>0</v>
      </c>
      <c r="P271" s="114">
        <v>0</v>
      </c>
      <c r="Q271" s="113">
        <v>0</v>
      </c>
      <c r="R271" s="113">
        <v>0</v>
      </c>
      <c r="S271" s="113">
        <v>0</v>
      </c>
      <c r="T271" s="113">
        <v>0</v>
      </c>
      <c r="U271" s="113">
        <v>0</v>
      </c>
      <c r="V271" s="113">
        <v>0</v>
      </c>
      <c r="W271" s="114">
        <v>0</v>
      </c>
    </row>
    <row r="272" spans="2:23" x14ac:dyDescent="0.75">
      <c r="B272">
        <v>2032</v>
      </c>
      <c r="C272" t="str">
        <f t="shared" si="6"/>
        <v>Gasoline hybrid</v>
      </c>
      <c r="D272">
        <v>11</v>
      </c>
      <c r="E272" s="113">
        <v>3481.4472660000001</v>
      </c>
      <c r="F272" s="113">
        <v>86.015625</v>
      </c>
      <c r="G272" s="113">
        <v>10783.171875</v>
      </c>
      <c r="H272" s="114">
        <v>305.12600700000002</v>
      </c>
      <c r="I272" s="113">
        <v>558.99102800000003</v>
      </c>
      <c r="J272" s="113">
        <v>733.93841599999996</v>
      </c>
      <c r="K272" s="113">
        <v>0</v>
      </c>
      <c r="L272" s="113">
        <v>0</v>
      </c>
      <c r="M272" s="114">
        <v>0</v>
      </c>
      <c r="N272" s="113">
        <v>0</v>
      </c>
      <c r="O272" s="113">
        <v>0</v>
      </c>
      <c r="P272" s="114">
        <v>0</v>
      </c>
      <c r="Q272" s="113">
        <v>0</v>
      </c>
      <c r="R272" s="113">
        <v>0</v>
      </c>
      <c r="S272" s="113">
        <v>0</v>
      </c>
      <c r="T272" s="113">
        <v>0</v>
      </c>
      <c r="U272" s="113">
        <v>0</v>
      </c>
      <c r="V272" s="113">
        <v>0</v>
      </c>
      <c r="W272" s="114">
        <v>0</v>
      </c>
    </row>
    <row r="273" spans="2:23" x14ac:dyDescent="0.75">
      <c r="B273">
        <v>2032</v>
      </c>
      <c r="C273" t="str">
        <f t="shared" si="6"/>
        <v>Hydrogen ICE</v>
      </c>
      <c r="D273">
        <v>12</v>
      </c>
      <c r="E273" s="113">
        <v>0</v>
      </c>
      <c r="F273" s="113">
        <v>0</v>
      </c>
      <c r="G273" s="113">
        <v>0</v>
      </c>
      <c r="H273" s="114">
        <v>0</v>
      </c>
      <c r="I273" s="113">
        <v>0</v>
      </c>
      <c r="J273" s="113">
        <v>0</v>
      </c>
      <c r="K273" s="113">
        <v>0</v>
      </c>
      <c r="L273" s="113">
        <v>0</v>
      </c>
      <c r="M273" s="114">
        <v>0</v>
      </c>
      <c r="N273" s="113">
        <v>0</v>
      </c>
      <c r="O273" s="113">
        <v>0</v>
      </c>
      <c r="P273" s="114">
        <v>0</v>
      </c>
      <c r="Q273" s="113">
        <v>0</v>
      </c>
      <c r="R273" s="113">
        <v>0</v>
      </c>
      <c r="S273" s="113">
        <v>0</v>
      </c>
      <c r="T273" s="113">
        <v>0</v>
      </c>
      <c r="U273" s="113">
        <v>0</v>
      </c>
      <c r="V273" s="113">
        <v>0</v>
      </c>
      <c r="W273" s="114">
        <v>0</v>
      </c>
    </row>
    <row r="274" spans="2:23" x14ac:dyDescent="0.75">
      <c r="B274">
        <v>2033</v>
      </c>
      <c r="C274" t="str">
        <f t="shared" si="6"/>
        <v>Diesel</v>
      </c>
      <c r="D274">
        <v>1</v>
      </c>
      <c r="E274" s="113">
        <v>17215.412109000001</v>
      </c>
      <c r="F274" s="113">
        <v>331.41037</v>
      </c>
      <c r="G274" s="113">
        <v>41806.625</v>
      </c>
      <c r="H274" s="114">
        <v>2453.7548830000001</v>
      </c>
      <c r="I274" s="113">
        <v>6284.1586909999996</v>
      </c>
      <c r="J274" s="113">
        <v>11154.723633</v>
      </c>
      <c r="K274" s="113">
        <v>14188.080078000001</v>
      </c>
      <c r="L274" s="113">
        <v>8487.1855469999991</v>
      </c>
      <c r="M274" s="114">
        <v>1554.08374</v>
      </c>
      <c r="N274" s="113">
        <v>1554.0932620000001</v>
      </c>
      <c r="O274" s="113">
        <v>4662.1225590000004</v>
      </c>
      <c r="P274" s="114">
        <v>21016.259765999999</v>
      </c>
      <c r="Q274" s="113">
        <v>13779.350586</v>
      </c>
      <c r="R274" s="113">
        <v>13778.870117</v>
      </c>
      <c r="S274" s="113">
        <v>41334.949219000002</v>
      </c>
      <c r="T274" s="113">
        <v>21516.0625</v>
      </c>
      <c r="U274" s="113">
        <v>21518.544922000001</v>
      </c>
      <c r="V274" s="113">
        <v>64542.359375</v>
      </c>
      <c r="W274" s="114">
        <v>5.0822120000000002</v>
      </c>
    </row>
    <row r="275" spans="2:23" x14ac:dyDescent="0.75">
      <c r="B275">
        <v>2033</v>
      </c>
      <c r="C275" t="str">
        <f t="shared" si="6"/>
        <v>Gasoline</v>
      </c>
      <c r="D275">
        <v>2</v>
      </c>
      <c r="E275" s="113">
        <v>43443.699219000002</v>
      </c>
      <c r="F275" s="113">
        <v>2790.5939939999998</v>
      </c>
      <c r="G275" s="113">
        <v>27382.509765999999</v>
      </c>
      <c r="H275" s="114">
        <v>3627.2878420000002</v>
      </c>
      <c r="I275" s="113">
        <v>7847.2514650000003</v>
      </c>
      <c r="J275" s="113">
        <v>7339.0278319999998</v>
      </c>
      <c r="K275" s="113">
        <v>9694.6113280000009</v>
      </c>
      <c r="L275" s="113">
        <v>72.595161000000004</v>
      </c>
      <c r="M275" s="114">
        <v>3.5980000000000001E-3</v>
      </c>
      <c r="N275" s="113">
        <v>3.5980000000000001E-3</v>
      </c>
      <c r="O275" s="113">
        <v>1.0793000000000001E-2</v>
      </c>
      <c r="P275" s="114">
        <v>0.72819999999999996</v>
      </c>
      <c r="Q275" s="113">
        <v>3.3899999999999998E-3</v>
      </c>
      <c r="R275" s="113">
        <v>3.3899999999999998E-3</v>
      </c>
      <c r="S275" s="113">
        <v>1.0168999999999999E-2</v>
      </c>
      <c r="T275" s="113">
        <v>5.2950000000000002E-3</v>
      </c>
      <c r="U275" s="113">
        <v>5.2950000000000002E-3</v>
      </c>
      <c r="V275" s="113">
        <v>1.5883999999999999E-2</v>
      </c>
      <c r="W275" s="114">
        <v>0</v>
      </c>
    </row>
    <row r="276" spans="2:23" x14ac:dyDescent="0.75">
      <c r="B276">
        <v>2033</v>
      </c>
      <c r="C276" t="str">
        <f t="shared" si="6"/>
        <v>LPG</v>
      </c>
      <c r="D276">
        <v>3</v>
      </c>
      <c r="E276" s="113">
        <v>0.40798800000000002</v>
      </c>
      <c r="F276" s="113">
        <v>2.1745E-2</v>
      </c>
      <c r="G276" s="113">
        <v>0.78369100000000003</v>
      </c>
      <c r="H276" s="114">
        <v>4.1867000000000001E-2</v>
      </c>
      <c r="I276" s="113">
        <v>1.8347199999999999</v>
      </c>
      <c r="J276" s="113">
        <v>4.1859460000000004</v>
      </c>
      <c r="K276" s="113">
        <v>2.3349220000000002</v>
      </c>
      <c r="L276" s="113">
        <v>20.385811</v>
      </c>
      <c r="M276" s="114">
        <v>0.60397199999999995</v>
      </c>
      <c r="N276" s="113">
        <v>0.60397199999999995</v>
      </c>
      <c r="O276" s="113">
        <v>1.811917</v>
      </c>
      <c r="P276" s="114">
        <v>7.3335270000000001</v>
      </c>
      <c r="Q276" s="113">
        <v>5.5619350000000001</v>
      </c>
      <c r="R276" s="113">
        <v>5.5619350000000001</v>
      </c>
      <c r="S276" s="113">
        <v>16.685804000000001</v>
      </c>
      <c r="T276" s="113">
        <v>8.6879340000000003</v>
      </c>
      <c r="U276" s="113">
        <v>8.6879360000000005</v>
      </c>
      <c r="V276" s="113">
        <v>26.061653</v>
      </c>
      <c r="W276" s="114">
        <v>0</v>
      </c>
    </row>
    <row r="277" spans="2:23" x14ac:dyDescent="0.75">
      <c r="B277">
        <v>2033</v>
      </c>
      <c r="C277" t="str">
        <f t="shared" si="6"/>
        <v>CNG</v>
      </c>
      <c r="D277">
        <v>4</v>
      </c>
      <c r="E277" s="113">
        <v>451.38562000000002</v>
      </c>
      <c r="F277" s="113">
        <v>29.323687</v>
      </c>
      <c r="G277" s="113">
        <v>889.13091999999995</v>
      </c>
      <c r="H277" s="114">
        <v>13.266406999999999</v>
      </c>
      <c r="I277" s="113">
        <v>30.106839999999998</v>
      </c>
      <c r="J277" s="113">
        <v>161.664368</v>
      </c>
      <c r="K277" s="113">
        <v>497.58892800000001</v>
      </c>
      <c r="L277" s="113">
        <v>37.205565999999997</v>
      </c>
      <c r="M277" s="114">
        <v>3.4945949999999999</v>
      </c>
      <c r="N277" s="113">
        <v>3.483222</v>
      </c>
      <c r="O277" s="113">
        <v>10.605956000000001</v>
      </c>
      <c r="P277" s="114">
        <v>897.51892099999998</v>
      </c>
      <c r="Q277" s="113">
        <v>116.67572800000001</v>
      </c>
      <c r="R277" s="113">
        <v>117.152748</v>
      </c>
      <c r="S277" s="113">
        <v>353.13443000000001</v>
      </c>
      <c r="T277" s="113">
        <v>190.042282</v>
      </c>
      <c r="U277" s="113">
        <v>187.57737700000001</v>
      </c>
      <c r="V277" s="113">
        <v>570.64923099999999</v>
      </c>
      <c r="W277" s="114">
        <v>0</v>
      </c>
    </row>
    <row r="278" spans="2:23" x14ac:dyDescent="0.75">
      <c r="B278">
        <v>2033</v>
      </c>
      <c r="C278" t="str">
        <f t="shared" si="6"/>
        <v>E85</v>
      </c>
      <c r="D278">
        <v>5</v>
      </c>
      <c r="E278" s="113">
        <v>11440.714844</v>
      </c>
      <c r="F278" s="113">
        <v>1345.2696530000001</v>
      </c>
      <c r="G278" s="113">
        <v>750.86346400000002</v>
      </c>
      <c r="H278" s="114">
        <v>548.34674099999995</v>
      </c>
      <c r="I278" s="113">
        <v>208.569031</v>
      </c>
      <c r="J278" s="113">
        <v>0.12069000000000001</v>
      </c>
      <c r="K278" s="113">
        <v>0.17982300000000001</v>
      </c>
      <c r="L278" s="113">
        <v>0</v>
      </c>
      <c r="M278" s="114">
        <v>0</v>
      </c>
      <c r="N278" s="113">
        <v>0</v>
      </c>
      <c r="O278" s="113">
        <v>0</v>
      </c>
      <c r="P278" s="114">
        <v>0</v>
      </c>
      <c r="Q278" s="113">
        <v>0</v>
      </c>
      <c r="R278" s="113">
        <v>0</v>
      </c>
      <c r="S278" s="113">
        <v>0</v>
      </c>
      <c r="T278" s="113">
        <v>0</v>
      </c>
      <c r="U278" s="113">
        <v>0</v>
      </c>
      <c r="V278" s="113">
        <v>0</v>
      </c>
      <c r="W278" s="114">
        <v>0</v>
      </c>
    </row>
    <row r="279" spans="2:23" x14ac:dyDescent="0.75">
      <c r="B279">
        <v>2033</v>
      </c>
      <c r="C279" t="str">
        <f t="shared" si="6"/>
        <v>Electric</v>
      </c>
      <c r="D279">
        <v>6</v>
      </c>
      <c r="E279" s="113">
        <v>1767.6058350000001</v>
      </c>
      <c r="F279" s="113">
        <v>1.982369</v>
      </c>
      <c r="G279" s="113">
        <v>550.83227499999998</v>
      </c>
      <c r="H279" s="114">
        <v>0.151446</v>
      </c>
      <c r="I279" s="113">
        <v>0.75343599999999999</v>
      </c>
      <c r="J279" s="113">
        <v>1.7226300000000001</v>
      </c>
      <c r="K279" s="113">
        <v>28.248640000000002</v>
      </c>
      <c r="L279" s="113">
        <v>10.195415000000001</v>
      </c>
      <c r="M279" s="114">
        <v>0.38506400000000002</v>
      </c>
      <c r="N279" s="113">
        <v>0.38506400000000002</v>
      </c>
      <c r="O279" s="113">
        <v>1.1551929999999999</v>
      </c>
      <c r="P279" s="114">
        <v>5.4757629999999997</v>
      </c>
      <c r="Q279" s="113">
        <v>40.398223999999999</v>
      </c>
      <c r="R279" s="113">
        <v>40.398223999999999</v>
      </c>
      <c r="S279" s="113">
        <v>121.19465599999999</v>
      </c>
      <c r="T279" s="113">
        <v>63.103416000000003</v>
      </c>
      <c r="U279" s="113">
        <v>63.103428000000001</v>
      </c>
      <c r="V279" s="113">
        <v>189.31025700000001</v>
      </c>
      <c r="W279" s="114">
        <v>0</v>
      </c>
    </row>
    <row r="280" spans="2:23" x14ac:dyDescent="0.75">
      <c r="B280">
        <v>2033</v>
      </c>
      <c r="C280" t="str">
        <f t="shared" si="6"/>
        <v>PHEV diesel</v>
      </c>
      <c r="D280">
        <v>7</v>
      </c>
      <c r="E280" s="113">
        <v>0</v>
      </c>
      <c r="F280" s="113">
        <v>0</v>
      </c>
      <c r="G280" s="113">
        <v>0</v>
      </c>
      <c r="H280" s="114">
        <v>0</v>
      </c>
      <c r="I280" s="113">
        <v>0</v>
      </c>
      <c r="J280" s="113">
        <v>0</v>
      </c>
      <c r="K280" s="113">
        <v>35.506236999999999</v>
      </c>
      <c r="L280" s="113">
        <v>23.988742999999999</v>
      </c>
      <c r="M280" s="114">
        <v>0</v>
      </c>
      <c r="N280" s="113">
        <v>0</v>
      </c>
      <c r="O280" s="113">
        <v>0</v>
      </c>
      <c r="P280" s="114">
        <v>0</v>
      </c>
      <c r="Q280" s="113">
        <v>0</v>
      </c>
      <c r="R280" s="113">
        <v>0</v>
      </c>
      <c r="S280" s="113">
        <v>0</v>
      </c>
      <c r="T280" s="113">
        <v>0</v>
      </c>
      <c r="U280" s="113">
        <v>0</v>
      </c>
      <c r="V280" s="113">
        <v>0</v>
      </c>
      <c r="W280" s="114">
        <v>0</v>
      </c>
    </row>
    <row r="281" spans="2:23" x14ac:dyDescent="0.75">
      <c r="B281">
        <v>2033</v>
      </c>
      <c r="C281" t="str">
        <f t="shared" si="6"/>
        <v>PHEV gasoline</v>
      </c>
      <c r="D281">
        <v>8</v>
      </c>
      <c r="E281" s="113">
        <v>0</v>
      </c>
      <c r="F281" s="113">
        <v>0</v>
      </c>
      <c r="G281" s="113">
        <v>0</v>
      </c>
      <c r="H281" s="114">
        <v>0</v>
      </c>
      <c r="I281" s="113">
        <v>0</v>
      </c>
      <c r="J281" s="113">
        <v>0</v>
      </c>
      <c r="K281" s="113">
        <v>6.0671099999999996</v>
      </c>
      <c r="L281" s="113">
        <v>0</v>
      </c>
      <c r="M281" s="114">
        <v>0</v>
      </c>
      <c r="N281" s="113">
        <v>0</v>
      </c>
      <c r="O281" s="113">
        <v>0</v>
      </c>
      <c r="P281" s="114">
        <v>0</v>
      </c>
      <c r="Q281" s="113">
        <v>0</v>
      </c>
      <c r="R281" s="113">
        <v>0</v>
      </c>
      <c r="S281" s="113">
        <v>0</v>
      </c>
      <c r="T281" s="113">
        <v>0</v>
      </c>
      <c r="U281" s="113">
        <v>0</v>
      </c>
      <c r="V281" s="113">
        <v>0</v>
      </c>
      <c r="W281" s="114">
        <v>0</v>
      </c>
    </row>
    <row r="282" spans="2:23" x14ac:dyDescent="0.75">
      <c r="B282">
        <v>2033</v>
      </c>
      <c r="C282" t="str">
        <f t="shared" si="6"/>
        <v>H2 fuel cell, small battery</v>
      </c>
      <c r="D282">
        <v>9</v>
      </c>
      <c r="E282" s="113">
        <v>0</v>
      </c>
      <c r="F282" s="113">
        <v>0</v>
      </c>
      <c r="G282" s="113">
        <v>0</v>
      </c>
      <c r="H282" s="114">
        <v>0</v>
      </c>
      <c r="I282" s="113">
        <v>0</v>
      </c>
      <c r="J282" s="113">
        <v>0</v>
      </c>
      <c r="K282" s="113">
        <v>0</v>
      </c>
      <c r="L282" s="113">
        <v>0</v>
      </c>
      <c r="M282" s="114">
        <v>0</v>
      </c>
      <c r="N282" s="113">
        <v>0</v>
      </c>
      <c r="O282" s="113">
        <v>0</v>
      </c>
      <c r="P282" s="114">
        <v>0</v>
      </c>
      <c r="Q282" s="113">
        <v>0</v>
      </c>
      <c r="R282" s="113">
        <v>0</v>
      </c>
      <c r="S282" s="113">
        <v>0</v>
      </c>
      <c r="T282" s="113">
        <v>0</v>
      </c>
      <c r="U282" s="113">
        <v>0</v>
      </c>
      <c r="V282" s="113">
        <v>0</v>
      </c>
      <c r="W282" s="114">
        <v>0</v>
      </c>
    </row>
    <row r="283" spans="2:23" x14ac:dyDescent="0.75">
      <c r="B283">
        <v>2033</v>
      </c>
      <c r="C283" t="str">
        <f t="shared" si="6"/>
        <v>H2 fuel cell, large battery</v>
      </c>
      <c r="D283">
        <v>10</v>
      </c>
      <c r="E283" s="113">
        <v>0</v>
      </c>
      <c r="F283" s="113">
        <v>0</v>
      </c>
      <c r="G283" s="113">
        <v>0</v>
      </c>
      <c r="H283" s="114">
        <v>0</v>
      </c>
      <c r="I283" s="113">
        <v>0</v>
      </c>
      <c r="J283" s="113">
        <v>0</v>
      </c>
      <c r="K283" s="113">
        <v>0</v>
      </c>
      <c r="L283" s="113">
        <v>0</v>
      </c>
      <c r="M283" s="114">
        <v>0</v>
      </c>
      <c r="N283" s="113">
        <v>0</v>
      </c>
      <c r="O283" s="113">
        <v>0</v>
      </c>
      <c r="P283" s="114">
        <v>0</v>
      </c>
      <c r="Q283" s="113">
        <v>0</v>
      </c>
      <c r="R283" s="113">
        <v>0</v>
      </c>
      <c r="S283" s="113">
        <v>0</v>
      </c>
      <c r="T283" s="113">
        <v>0</v>
      </c>
      <c r="U283" s="113">
        <v>0</v>
      </c>
      <c r="V283" s="113">
        <v>0</v>
      </c>
      <c r="W283" s="114">
        <v>0</v>
      </c>
    </row>
    <row r="284" spans="2:23" x14ac:dyDescent="0.75">
      <c r="B284">
        <v>2033</v>
      </c>
      <c r="C284" t="str">
        <f t="shared" si="6"/>
        <v>Gasoline hybrid</v>
      </c>
      <c r="D284">
        <v>11</v>
      </c>
      <c r="E284" s="113">
        <v>4632.9521480000003</v>
      </c>
      <c r="F284" s="113">
        <v>118.074997</v>
      </c>
      <c r="G284" s="113">
        <v>14492.193359000001</v>
      </c>
      <c r="H284" s="114">
        <v>413.886932</v>
      </c>
      <c r="I284" s="113">
        <v>745.88732900000002</v>
      </c>
      <c r="J284" s="113">
        <v>978.61908000000005</v>
      </c>
      <c r="K284" s="113">
        <v>0</v>
      </c>
      <c r="L284" s="113">
        <v>0</v>
      </c>
      <c r="M284" s="114">
        <v>0</v>
      </c>
      <c r="N284" s="113">
        <v>0</v>
      </c>
      <c r="O284" s="113">
        <v>0</v>
      </c>
      <c r="P284" s="114">
        <v>0</v>
      </c>
      <c r="Q284" s="113">
        <v>0</v>
      </c>
      <c r="R284" s="113">
        <v>0</v>
      </c>
      <c r="S284" s="113">
        <v>0</v>
      </c>
      <c r="T284" s="113">
        <v>0</v>
      </c>
      <c r="U284" s="113">
        <v>0</v>
      </c>
      <c r="V284" s="113">
        <v>0</v>
      </c>
      <c r="W284" s="114">
        <v>0</v>
      </c>
    </row>
    <row r="285" spans="2:23" x14ac:dyDescent="0.75">
      <c r="B285">
        <v>2033</v>
      </c>
      <c r="C285" t="str">
        <f t="shared" si="6"/>
        <v>Hydrogen ICE</v>
      </c>
      <c r="D285">
        <v>12</v>
      </c>
      <c r="E285" s="113">
        <v>0</v>
      </c>
      <c r="F285" s="113">
        <v>0</v>
      </c>
      <c r="G285" s="113">
        <v>0</v>
      </c>
      <c r="H285" s="114">
        <v>0</v>
      </c>
      <c r="I285" s="113">
        <v>0</v>
      </c>
      <c r="J285" s="113">
        <v>0</v>
      </c>
      <c r="K285" s="113">
        <v>0</v>
      </c>
      <c r="L285" s="113">
        <v>0</v>
      </c>
      <c r="M285" s="114">
        <v>0</v>
      </c>
      <c r="N285" s="113">
        <v>0</v>
      </c>
      <c r="O285" s="113">
        <v>0</v>
      </c>
      <c r="P285" s="114">
        <v>0</v>
      </c>
      <c r="Q285" s="113">
        <v>0</v>
      </c>
      <c r="R285" s="113">
        <v>0</v>
      </c>
      <c r="S285" s="113">
        <v>0</v>
      </c>
      <c r="T285" s="113">
        <v>0</v>
      </c>
      <c r="U285" s="113">
        <v>0</v>
      </c>
      <c r="V285" s="113">
        <v>0</v>
      </c>
      <c r="W285" s="114">
        <v>0</v>
      </c>
    </row>
    <row r="286" spans="2:23" x14ac:dyDescent="0.75">
      <c r="B286">
        <v>2034</v>
      </c>
      <c r="C286" t="str">
        <f t="shared" si="6"/>
        <v>Diesel</v>
      </c>
      <c r="D286">
        <v>1</v>
      </c>
      <c r="E286" s="113">
        <v>16145.644531</v>
      </c>
      <c r="F286" s="113">
        <v>346.15649400000001</v>
      </c>
      <c r="G286" s="113">
        <v>39987.152344000002</v>
      </c>
      <c r="H286" s="114">
        <v>2440.9479980000001</v>
      </c>
      <c r="I286" s="113">
        <v>6206.3989259999998</v>
      </c>
      <c r="J286" s="113">
        <v>10766.174805000001</v>
      </c>
      <c r="K286" s="113">
        <v>14062.082031</v>
      </c>
      <c r="L286" s="113">
        <v>8414.8623050000006</v>
      </c>
      <c r="M286" s="114">
        <v>1558.668823</v>
      </c>
      <c r="N286" s="113">
        <v>1558.6766359999999</v>
      </c>
      <c r="O286" s="113">
        <v>4675.9003910000001</v>
      </c>
      <c r="P286" s="114">
        <v>21083.802734000001</v>
      </c>
      <c r="Q286" s="113">
        <v>13872.076171999999</v>
      </c>
      <c r="R286" s="113">
        <v>13871.658203000001</v>
      </c>
      <c r="S286" s="113">
        <v>41613.527344000002</v>
      </c>
      <c r="T286" s="113">
        <v>21661.363281000002</v>
      </c>
      <c r="U286" s="113">
        <v>21663.527343999998</v>
      </c>
      <c r="V286" s="113">
        <v>64978.519530999998</v>
      </c>
      <c r="W286" s="114">
        <v>5.0925880000000001</v>
      </c>
    </row>
    <row r="287" spans="2:23" x14ac:dyDescent="0.75">
      <c r="B287">
        <v>2034</v>
      </c>
      <c r="C287" t="str">
        <f t="shared" si="6"/>
        <v>Gasoline</v>
      </c>
      <c r="D287">
        <v>2</v>
      </c>
      <c r="E287" s="113">
        <v>42733.125</v>
      </c>
      <c r="F287" s="113">
        <v>2722.1298830000001</v>
      </c>
      <c r="G287" s="113">
        <v>26981.996093999998</v>
      </c>
      <c r="H287" s="114">
        <v>3533.0139159999999</v>
      </c>
      <c r="I287" s="113">
        <v>7598.0107420000004</v>
      </c>
      <c r="J287" s="113">
        <v>7273.4414059999999</v>
      </c>
      <c r="K287" s="113">
        <v>9961.8193360000005</v>
      </c>
      <c r="L287" s="113">
        <v>69.147957000000005</v>
      </c>
      <c r="M287" s="114">
        <v>2.516E-3</v>
      </c>
      <c r="N287" s="113">
        <v>2.516E-3</v>
      </c>
      <c r="O287" s="113">
        <v>7.5490000000000002E-3</v>
      </c>
      <c r="P287" s="114">
        <v>0.56432700000000002</v>
      </c>
      <c r="Q287" s="113">
        <v>3.2560000000000002E-3</v>
      </c>
      <c r="R287" s="113">
        <v>3.2560000000000002E-3</v>
      </c>
      <c r="S287" s="113">
        <v>9.7689999999999999E-3</v>
      </c>
      <c r="T287" s="113">
        <v>5.0870000000000004E-3</v>
      </c>
      <c r="U287" s="113">
        <v>5.0870000000000004E-3</v>
      </c>
      <c r="V287" s="113">
        <v>1.5259999999999999E-2</v>
      </c>
      <c r="W287" s="114">
        <v>0</v>
      </c>
    </row>
    <row r="288" spans="2:23" x14ac:dyDescent="0.75">
      <c r="B288">
        <v>2034</v>
      </c>
      <c r="C288" t="str">
        <f t="shared" si="6"/>
        <v>LPG</v>
      </c>
      <c r="D288">
        <v>3</v>
      </c>
      <c r="E288" s="113">
        <v>0.43341000000000002</v>
      </c>
      <c r="F288" s="113">
        <v>2.3609000000000002E-2</v>
      </c>
      <c r="G288" s="113">
        <v>0.76661400000000002</v>
      </c>
      <c r="H288" s="114">
        <v>4.4860999999999998E-2</v>
      </c>
      <c r="I288" s="113">
        <v>1.5680510000000001</v>
      </c>
      <c r="J288" s="113">
        <v>3.7476370000000001</v>
      </c>
      <c r="K288" s="113">
        <v>2.0328930000000001</v>
      </c>
      <c r="L288" s="113">
        <v>19.097594999999998</v>
      </c>
      <c r="M288" s="114">
        <v>0.630722</v>
      </c>
      <c r="N288" s="113">
        <v>0.630722</v>
      </c>
      <c r="O288" s="113">
        <v>1.892166</v>
      </c>
      <c r="P288" s="114">
        <v>7.7711969999999999</v>
      </c>
      <c r="Q288" s="113">
        <v>5.7882119999999997</v>
      </c>
      <c r="R288" s="113">
        <v>5.7882110000000004</v>
      </c>
      <c r="S288" s="113">
        <v>17.364629999999998</v>
      </c>
      <c r="T288" s="113">
        <v>9.0413840000000008</v>
      </c>
      <c r="U288" s="113">
        <v>9.0413859999999993</v>
      </c>
      <c r="V288" s="113">
        <v>27.121919999999999</v>
      </c>
      <c r="W288" s="114">
        <v>0</v>
      </c>
    </row>
    <row r="289" spans="2:23" x14ac:dyDescent="0.75">
      <c r="B289">
        <v>2034</v>
      </c>
      <c r="C289" t="str">
        <f t="shared" si="6"/>
        <v>CNG</v>
      </c>
      <c r="D289">
        <v>4</v>
      </c>
      <c r="E289" s="113">
        <v>515.11773700000003</v>
      </c>
      <c r="F289" s="113">
        <v>32.542544999999997</v>
      </c>
      <c r="G289" s="113">
        <v>883.56384300000002</v>
      </c>
      <c r="H289" s="114">
        <v>13.591172</v>
      </c>
      <c r="I289" s="113">
        <v>31.524263000000001</v>
      </c>
      <c r="J289" s="113">
        <v>169.226471</v>
      </c>
      <c r="K289" s="113">
        <v>521.19085700000005</v>
      </c>
      <c r="L289" s="113">
        <v>37.320929999999997</v>
      </c>
      <c r="M289" s="114">
        <v>3.4412069999999999</v>
      </c>
      <c r="N289" s="113">
        <v>3.43147</v>
      </c>
      <c r="O289" s="113">
        <v>10.424652999999999</v>
      </c>
      <c r="P289" s="114">
        <v>905.08123799999998</v>
      </c>
      <c r="Q289" s="113">
        <v>118.009056</v>
      </c>
      <c r="R289" s="113">
        <v>118.424026</v>
      </c>
      <c r="S289" s="113">
        <v>356.727417</v>
      </c>
      <c r="T289" s="113">
        <v>191.660507</v>
      </c>
      <c r="U289" s="113">
        <v>189.510986</v>
      </c>
      <c r="V289" s="113">
        <v>575.20385699999997</v>
      </c>
      <c r="W289" s="114">
        <v>0</v>
      </c>
    </row>
    <row r="290" spans="2:23" x14ac:dyDescent="0.75">
      <c r="B290">
        <v>2034</v>
      </c>
      <c r="C290" t="str">
        <f t="shared" si="6"/>
        <v>E85</v>
      </c>
      <c r="D290">
        <v>5</v>
      </c>
      <c r="E290" s="113">
        <v>11380.003906</v>
      </c>
      <c r="F290" s="113">
        <v>1256.5512699999999</v>
      </c>
      <c r="G290" s="113">
        <v>685.601135</v>
      </c>
      <c r="H290" s="114">
        <v>489.51586900000001</v>
      </c>
      <c r="I290" s="113">
        <v>188.13626099999999</v>
      </c>
      <c r="J290" s="113">
        <v>0.12762399999999999</v>
      </c>
      <c r="K290" s="113">
        <v>0.18848899999999999</v>
      </c>
      <c r="L290" s="113">
        <v>0</v>
      </c>
      <c r="M290" s="114">
        <v>0</v>
      </c>
      <c r="N290" s="113">
        <v>0</v>
      </c>
      <c r="O290" s="113">
        <v>0</v>
      </c>
      <c r="P290" s="114">
        <v>0</v>
      </c>
      <c r="Q290" s="113">
        <v>0</v>
      </c>
      <c r="R290" s="113">
        <v>0</v>
      </c>
      <c r="S290" s="113">
        <v>0</v>
      </c>
      <c r="T290" s="113">
        <v>0</v>
      </c>
      <c r="U290" s="113">
        <v>0</v>
      </c>
      <c r="V290" s="113">
        <v>0</v>
      </c>
      <c r="W290" s="114">
        <v>0</v>
      </c>
    </row>
    <row r="291" spans="2:23" x14ac:dyDescent="0.75">
      <c r="B291">
        <v>2034</v>
      </c>
      <c r="C291" t="str">
        <f t="shared" ref="C291:C354" si="7">C279</f>
        <v>Electric</v>
      </c>
      <c r="D291">
        <v>6</v>
      </c>
      <c r="E291" s="113">
        <v>1954.025024</v>
      </c>
      <c r="F291" s="113">
        <v>2.8568889999999998</v>
      </c>
      <c r="G291" s="113">
        <v>733.88445999999999</v>
      </c>
      <c r="H291" s="114">
        <v>0.130912</v>
      </c>
      <c r="I291" s="113">
        <v>0.68543299999999996</v>
      </c>
      <c r="J291" s="113">
        <v>1.765968</v>
      </c>
      <c r="K291" s="113">
        <v>28.956582999999998</v>
      </c>
      <c r="L291" s="113">
        <v>10.694800000000001</v>
      </c>
      <c r="M291" s="114">
        <v>0.40038899999999999</v>
      </c>
      <c r="N291" s="113">
        <v>0.40038899999999999</v>
      </c>
      <c r="O291" s="113">
        <v>1.2011670000000001</v>
      </c>
      <c r="P291" s="114">
        <v>5.695068</v>
      </c>
      <c r="Q291" s="113">
        <v>41.748894</v>
      </c>
      <c r="R291" s="113">
        <v>41.748894</v>
      </c>
      <c r="S291" s="113">
        <v>125.246674</v>
      </c>
      <c r="T291" s="113">
        <v>65.213195999999996</v>
      </c>
      <c r="U291" s="113">
        <v>65.213211000000001</v>
      </c>
      <c r="V291" s="113">
        <v>195.63964799999999</v>
      </c>
      <c r="W291" s="114">
        <v>0</v>
      </c>
    </row>
    <row r="292" spans="2:23" x14ac:dyDescent="0.75">
      <c r="B292">
        <v>2034</v>
      </c>
      <c r="C292" t="str">
        <f t="shared" si="7"/>
        <v>PHEV diesel</v>
      </c>
      <c r="D292">
        <v>7</v>
      </c>
      <c r="E292" s="113">
        <v>0</v>
      </c>
      <c r="F292" s="113">
        <v>0</v>
      </c>
      <c r="G292" s="113">
        <v>0</v>
      </c>
      <c r="H292" s="114">
        <v>0</v>
      </c>
      <c r="I292" s="113">
        <v>0</v>
      </c>
      <c r="J292" s="113">
        <v>0</v>
      </c>
      <c r="K292" s="113">
        <v>32.752228000000002</v>
      </c>
      <c r="L292" s="113">
        <v>22.599426000000001</v>
      </c>
      <c r="M292" s="114">
        <v>0</v>
      </c>
      <c r="N292" s="113">
        <v>0</v>
      </c>
      <c r="O292" s="113">
        <v>0</v>
      </c>
      <c r="P292" s="114">
        <v>0</v>
      </c>
      <c r="Q292" s="113">
        <v>0</v>
      </c>
      <c r="R292" s="113">
        <v>0</v>
      </c>
      <c r="S292" s="113">
        <v>0</v>
      </c>
      <c r="T292" s="113">
        <v>0</v>
      </c>
      <c r="U292" s="113">
        <v>0</v>
      </c>
      <c r="V292" s="113">
        <v>0</v>
      </c>
      <c r="W292" s="114">
        <v>0</v>
      </c>
    </row>
    <row r="293" spans="2:23" x14ac:dyDescent="0.75">
      <c r="B293">
        <v>2034</v>
      </c>
      <c r="C293" t="str">
        <f t="shared" si="7"/>
        <v>PHEV gasoline</v>
      </c>
      <c r="D293">
        <v>8</v>
      </c>
      <c r="E293" s="113">
        <v>0</v>
      </c>
      <c r="F293" s="113">
        <v>0</v>
      </c>
      <c r="G293" s="113">
        <v>0</v>
      </c>
      <c r="H293" s="114">
        <v>0</v>
      </c>
      <c r="I293" s="113">
        <v>0</v>
      </c>
      <c r="J293" s="113">
        <v>0</v>
      </c>
      <c r="K293" s="113">
        <v>5.5804200000000002</v>
      </c>
      <c r="L293" s="113">
        <v>0</v>
      </c>
      <c r="M293" s="114">
        <v>0</v>
      </c>
      <c r="N293" s="113">
        <v>0</v>
      </c>
      <c r="O293" s="113">
        <v>0</v>
      </c>
      <c r="P293" s="114">
        <v>0</v>
      </c>
      <c r="Q293" s="113">
        <v>0</v>
      </c>
      <c r="R293" s="113">
        <v>0</v>
      </c>
      <c r="S293" s="113">
        <v>0</v>
      </c>
      <c r="T293" s="113">
        <v>0</v>
      </c>
      <c r="U293" s="113">
        <v>0</v>
      </c>
      <c r="V293" s="113">
        <v>0</v>
      </c>
      <c r="W293" s="114">
        <v>0</v>
      </c>
    </row>
    <row r="294" spans="2:23" x14ac:dyDescent="0.75">
      <c r="B294">
        <v>2034</v>
      </c>
      <c r="C294" t="str">
        <f t="shared" si="7"/>
        <v>H2 fuel cell, small battery</v>
      </c>
      <c r="D294">
        <v>9</v>
      </c>
      <c r="E294" s="113">
        <v>0</v>
      </c>
      <c r="F294" s="113">
        <v>0</v>
      </c>
      <c r="G294" s="113">
        <v>0</v>
      </c>
      <c r="H294" s="114">
        <v>0</v>
      </c>
      <c r="I294" s="113">
        <v>0</v>
      </c>
      <c r="J294" s="113">
        <v>0</v>
      </c>
      <c r="K294" s="113">
        <v>0</v>
      </c>
      <c r="L294" s="113">
        <v>0</v>
      </c>
      <c r="M294" s="114">
        <v>0</v>
      </c>
      <c r="N294" s="113">
        <v>0</v>
      </c>
      <c r="O294" s="113">
        <v>0</v>
      </c>
      <c r="P294" s="114">
        <v>0</v>
      </c>
      <c r="Q294" s="113">
        <v>0</v>
      </c>
      <c r="R294" s="113">
        <v>0</v>
      </c>
      <c r="S294" s="113">
        <v>0</v>
      </c>
      <c r="T294" s="113">
        <v>0</v>
      </c>
      <c r="U294" s="113">
        <v>0</v>
      </c>
      <c r="V294" s="113">
        <v>0</v>
      </c>
      <c r="W294" s="114">
        <v>0</v>
      </c>
    </row>
    <row r="295" spans="2:23" x14ac:dyDescent="0.75">
      <c r="B295">
        <v>2034</v>
      </c>
      <c r="C295" t="str">
        <f t="shared" si="7"/>
        <v>H2 fuel cell, large battery</v>
      </c>
      <c r="D295">
        <v>10</v>
      </c>
      <c r="E295" s="113">
        <v>0</v>
      </c>
      <c r="F295" s="113">
        <v>0</v>
      </c>
      <c r="G295" s="113">
        <v>0</v>
      </c>
      <c r="H295" s="114">
        <v>0</v>
      </c>
      <c r="I295" s="113">
        <v>0</v>
      </c>
      <c r="J295" s="113">
        <v>0</v>
      </c>
      <c r="K295" s="113">
        <v>0</v>
      </c>
      <c r="L295" s="113">
        <v>0</v>
      </c>
      <c r="M295" s="114">
        <v>0</v>
      </c>
      <c r="N295" s="113">
        <v>0</v>
      </c>
      <c r="O295" s="113">
        <v>0</v>
      </c>
      <c r="P295" s="114">
        <v>0</v>
      </c>
      <c r="Q295" s="113">
        <v>0</v>
      </c>
      <c r="R295" s="113">
        <v>0</v>
      </c>
      <c r="S295" s="113">
        <v>0</v>
      </c>
      <c r="T295" s="113">
        <v>0</v>
      </c>
      <c r="U295" s="113">
        <v>0</v>
      </c>
      <c r="V295" s="113">
        <v>0</v>
      </c>
      <c r="W295" s="114">
        <v>0</v>
      </c>
    </row>
    <row r="296" spans="2:23" x14ac:dyDescent="0.75">
      <c r="B296">
        <v>2034</v>
      </c>
      <c r="C296" t="str">
        <f t="shared" si="7"/>
        <v>Gasoline hybrid</v>
      </c>
      <c r="D296">
        <v>11</v>
      </c>
      <c r="E296" s="113">
        <v>5850.4726559999999</v>
      </c>
      <c r="F296" s="113">
        <v>159.11163300000001</v>
      </c>
      <c r="G296" s="113">
        <v>18422.263672000001</v>
      </c>
      <c r="H296" s="114">
        <v>558.32299799999998</v>
      </c>
      <c r="I296" s="113">
        <v>992.25866699999995</v>
      </c>
      <c r="J296" s="113">
        <v>1301.250732</v>
      </c>
      <c r="K296" s="113">
        <v>0</v>
      </c>
      <c r="L296" s="113">
        <v>0</v>
      </c>
      <c r="M296" s="114">
        <v>0</v>
      </c>
      <c r="N296" s="113">
        <v>0</v>
      </c>
      <c r="O296" s="113">
        <v>0</v>
      </c>
      <c r="P296" s="114">
        <v>0</v>
      </c>
      <c r="Q296" s="113">
        <v>0</v>
      </c>
      <c r="R296" s="113">
        <v>0</v>
      </c>
      <c r="S296" s="113">
        <v>0</v>
      </c>
      <c r="T296" s="113">
        <v>0</v>
      </c>
      <c r="U296" s="113">
        <v>0</v>
      </c>
      <c r="V296" s="113">
        <v>0</v>
      </c>
      <c r="W296" s="114">
        <v>0</v>
      </c>
    </row>
    <row r="297" spans="2:23" x14ac:dyDescent="0.75">
      <c r="B297">
        <v>2034</v>
      </c>
      <c r="C297" t="str">
        <f t="shared" si="7"/>
        <v>Hydrogen ICE</v>
      </c>
      <c r="D297">
        <v>12</v>
      </c>
      <c r="E297" s="113">
        <v>0</v>
      </c>
      <c r="F297" s="113">
        <v>0</v>
      </c>
      <c r="G297" s="113">
        <v>0</v>
      </c>
      <c r="H297" s="114">
        <v>0</v>
      </c>
      <c r="I297" s="113">
        <v>0</v>
      </c>
      <c r="J297" s="113">
        <v>0</v>
      </c>
      <c r="K297" s="113">
        <v>0</v>
      </c>
      <c r="L297" s="113">
        <v>0</v>
      </c>
      <c r="M297" s="114">
        <v>0</v>
      </c>
      <c r="N297" s="113">
        <v>0</v>
      </c>
      <c r="O297" s="113">
        <v>0</v>
      </c>
      <c r="P297" s="114">
        <v>0</v>
      </c>
      <c r="Q297" s="113">
        <v>0</v>
      </c>
      <c r="R297" s="113">
        <v>0</v>
      </c>
      <c r="S297" s="113">
        <v>0</v>
      </c>
      <c r="T297" s="113">
        <v>0</v>
      </c>
      <c r="U297" s="113">
        <v>0</v>
      </c>
      <c r="V297" s="113">
        <v>0</v>
      </c>
      <c r="W297" s="114">
        <v>0</v>
      </c>
    </row>
    <row r="298" spans="2:23" x14ac:dyDescent="0.75">
      <c r="B298">
        <v>2035</v>
      </c>
      <c r="C298" t="str">
        <f t="shared" si="7"/>
        <v>Diesel</v>
      </c>
      <c r="D298">
        <v>1</v>
      </c>
      <c r="E298" s="113">
        <v>15107.049805000001</v>
      </c>
      <c r="F298" s="113">
        <v>357.66748000000001</v>
      </c>
      <c r="G298" s="113">
        <v>38153.300780999998</v>
      </c>
      <c r="H298" s="114">
        <v>2407.53125</v>
      </c>
      <c r="I298" s="113">
        <v>6087.7534180000002</v>
      </c>
      <c r="J298" s="113">
        <v>10351.746094</v>
      </c>
      <c r="K298" s="113">
        <v>13942.928711</v>
      </c>
      <c r="L298" s="113">
        <v>8350.7705079999996</v>
      </c>
      <c r="M298" s="114">
        <v>1563.190918</v>
      </c>
      <c r="N298" s="113">
        <v>1563.197388</v>
      </c>
      <c r="O298" s="113">
        <v>4689.4814450000003</v>
      </c>
      <c r="P298" s="114">
        <v>21144.505859000001</v>
      </c>
      <c r="Q298" s="113">
        <v>13954.798828000001</v>
      </c>
      <c r="R298" s="113">
        <v>13954.436523</v>
      </c>
      <c r="S298" s="113">
        <v>41862.050780999998</v>
      </c>
      <c r="T298" s="113">
        <v>21790.314452999999</v>
      </c>
      <c r="U298" s="113">
        <v>21792.666015999999</v>
      </c>
      <c r="V298" s="113">
        <v>65366.863280999998</v>
      </c>
      <c r="W298" s="114">
        <v>5.0980280000000002</v>
      </c>
    </row>
    <row r="299" spans="2:23" x14ac:dyDescent="0.75">
      <c r="B299">
        <v>2035</v>
      </c>
      <c r="C299" t="str">
        <f t="shared" si="7"/>
        <v>Gasoline</v>
      </c>
      <c r="D299">
        <v>2</v>
      </c>
      <c r="E299" s="113">
        <v>41890.75</v>
      </c>
      <c r="F299" s="113">
        <v>2646.7546390000002</v>
      </c>
      <c r="G299" s="113">
        <v>26484.068359000001</v>
      </c>
      <c r="H299" s="114">
        <v>3424.9665530000002</v>
      </c>
      <c r="I299" s="113">
        <v>7330.0463870000003</v>
      </c>
      <c r="J299" s="113">
        <v>7175.4375</v>
      </c>
      <c r="K299" s="113">
        <v>10209.439453000001</v>
      </c>
      <c r="L299" s="113">
        <v>66.276115000000004</v>
      </c>
      <c r="M299" s="114">
        <v>1.7600000000000001E-3</v>
      </c>
      <c r="N299" s="113">
        <v>1.7600000000000001E-3</v>
      </c>
      <c r="O299" s="113">
        <v>5.28E-3</v>
      </c>
      <c r="P299" s="114">
        <v>0.43195899999999998</v>
      </c>
      <c r="Q299" s="113">
        <v>2.6340000000000001E-3</v>
      </c>
      <c r="R299" s="113">
        <v>2.6340000000000001E-3</v>
      </c>
      <c r="S299" s="113">
        <v>7.901E-3</v>
      </c>
      <c r="T299" s="113">
        <v>4.1139999999999996E-3</v>
      </c>
      <c r="U299" s="113">
        <v>4.1139999999999996E-3</v>
      </c>
      <c r="V299" s="113">
        <v>1.2342000000000001E-2</v>
      </c>
      <c r="W299" s="114">
        <v>0</v>
      </c>
    </row>
    <row r="300" spans="2:23" x14ac:dyDescent="0.75">
      <c r="B300">
        <v>2035</v>
      </c>
      <c r="C300" t="str">
        <f t="shared" si="7"/>
        <v>LPG</v>
      </c>
      <c r="D300">
        <v>3</v>
      </c>
      <c r="E300" s="113">
        <v>0.45682299999999998</v>
      </c>
      <c r="F300" s="113">
        <v>2.5368000000000002E-2</v>
      </c>
      <c r="G300" s="113">
        <v>0.76428600000000002</v>
      </c>
      <c r="H300" s="114">
        <v>4.7677999999999998E-2</v>
      </c>
      <c r="I300" s="113">
        <v>1.302783</v>
      </c>
      <c r="J300" s="113">
        <v>3.4406159999999999</v>
      </c>
      <c r="K300" s="113">
        <v>1.841834</v>
      </c>
      <c r="L300" s="113">
        <v>17.645247000000001</v>
      </c>
      <c r="M300" s="114">
        <v>0.65406299999999995</v>
      </c>
      <c r="N300" s="113">
        <v>0.65406299999999995</v>
      </c>
      <c r="O300" s="113">
        <v>1.9621900000000001</v>
      </c>
      <c r="P300" s="114">
        <v>8.1661959999999993</v>
      </c>
      <c r="Q300" s="113">
        <v>5.9846079999999997</v>
      </c>
      <c r="R300" s="113">
        <v>5.9846069999999996</v>
      </c>
      <c r="S300" s="113">
        <v>17.953821000000001</v>
      </c>
      <c r="T300" s="113">
        <v>9.3481620000000003</v>
      </c>
      <c r="U300" s="113">
        <v>9.3481629999999996</v>
      </c>
      <c r="V300" s="113">
        <v>28.042175</v>
      </c>
      <c r="W300" s="114">
        <v>0</v>
      </c>
    </row>
    <row r="301" spans="2:23" x14ac:dyDescent="0.75">
      <c r="B301">
        <v>2035</v>
      </c>
      <c r="C301" t="str">
        <f t="shared" si="7"/>
        <v>CNG</v>
      </c>
      <c r="D301">
        <v>4</v>
      </c>
      <c r="E301" s="113">
        <v>581.23919699999999</v>
      </c>
      <c r="F301" s="113">
        <v>36.014522999999997</v>
      </c>
      <c r="G301" s="113">
        <v>885.55877699999996</v>
      </c>
      <c r="H301" s="114">
        <v>13.769353000000001</v>
      </c>
      <c r="I301" s="113">
        <v>32.823703999999999</v>
      </c>
      <c r="J301" s="113">
        <v>176.10127299999999</v>
      </c>
      <c r="K301" s="113">
        <v>542.71331799999996</v>
      </c>
      <c r="L301" s="113">
        <v>37.403838999999998</v>
      </c>
      <c r="M301" s="114">
        <v>3.3977110000000001</v>
      </c>
      <c r="N301" s="113">
        <v>3.3893520000000001</v>
      </c>
      <c r="O301" s="113">
        <v>10.277352</v>
      </c>
      <c r="P301" s="114">
        <v>911.57873500000005</v>
      </c>
      <c r="Q301" s="113">
        <v>119.151871</v>
      </c>
      <c r="R301" s="113">
        <v>119.512146</v>
      </c>
      <c r="S301" s="113">
        <v>359.79986600000001</v>
      </c>
      <c r="T301" s="113">
        <v>193.702179</v>
      </c>
      <c r="U301" s="113">
        <v>191.35929899999999</v>
      </c>
      <c r="V301" s="113">
        <v>579.78033400000004</v>
      </c>
      <c r="W301" s="114">
        <v>0</v>
      </c>
    </row>
    <row r="302" spans="2:23" x14ac:dyDescent="0.75">
      <c r="B302">
        <v>2035</v>
      </c>
      <c r="C302" t="str">
        <f t="shared" si="7"/>
        <v>E85</v>
      </c>
      <c r="D302">
        <v>5</v>
      </c>
      <c r="E302" s="113">
        <v>11325.148438</v>
      </c>
      <c r="F302" s="113">
        <v>1171.917725</v>
      </c>
      <c r="G302" s="113">
        <v>625.22033699999997</v>
      </c>
      <c r="H302" s="114">
        <v>435.91247600000003</v>
      </c>
      <c r="I302" s="113">
        <v>170.70045500000001</v>
      </c>
      <c r="J302" s="113">
        <v>0.13392999999999999</v>
      </c>
      <c r="K302" s="113">
        <v>0.196465</v>
      </c>
      <c r="L302" s="113">
        <v>0</v>
      </c>
      <c r="M302" s="114">
        <v>0</v>
      </c>
      <c r="N302" s="113">
        <v>0</v>
      </c>
      <c r="O302" s="113">
        <v>0</v>
      </c>
      <c r="P302" s="114">
        <v>0</v>
      </c>
      <c r="Q302" s="113">
        <v>0</v>
      </c>
      <c r="R302" s="113">
        <v>0</v>
      </c>
      <c r="S302" s="113">
        <v>0</v>
      </c>
      <c r="T302" s="113">
        <v>0</v>
      </c>
      <c r="U302" s="113">
        <v>0</v>
      </c>
      <c r="V302" s="113">
        <v>0</v>
      </c>
      <c r="W302" s="114">
        <v>0</v>
      </c>
    </row>
    <row r="303" spans="2:23" x14ac:dyDescent="0.75">
      <c r="B303">
        <v>2035</v>
      </c>
      <c r="C303" t="str">
        <f t="shared" si="7"/>
        <v>Electric</v>
      </c>
      <c r="D303">
        <v>6</v>
      </c>
      <c r="E303" s="113">
        <v>2178.5939939999998</v>
      </c>
      <c r="F303" s="113">
        <v>4.113766</v>
      </c>
      <c r="G303" s="113">
        <v>995.46899399999995</v>
      </c>
      <c r="H303" s="114">
        <v>0.11328000000000001</v>
      </c>
      <c r="I303" s="113">
        <v>0.60210900000000001</v>
      </c>
      <c r="J303" s="113">
        <v>1.804006</v>
      </c>
      <c r="K303" s="113">
        <v>29.605539</v>
      </c>
      <c r="L303" s="113">
        <v>11.13519</v>
      </c>
      <c r="M303" s="114">
        <v>0.41327700000000001</v>
      </c>
      <c r="N303" s="113">
        <v>0.41327700000000001</v>
      </c>
      <c r="O303" s="113">
        <v>1.23983</v>
      </c>
      <c r="P303" s="114">
        <v>5.8892179999999996</v>
      </c>
      <c r="Q303" s="113">
        <v>42.893439999999998</v>
      </c>
      <c r="R303" s="113">
        <v>42.893439999999998</v>
      </c>
      <c r="S303" s="113">
        <v>128.680283</v>
      </c>
      <c r="T303" s="113">
        <v>67.001022000000006</v>
      </c>
      <c r="U303" s="113">
        <v>67.001037999999994</v>
      </c>
      <c r="V303" s="113">
        <v>201.00306699999999</v>
      </c>
      <c r="W303" s="114">
        <v>0</v>
      </c>
    </row>
    <row r="304" spans="2:23" x14ac:dyDescent="0.75">
      <c r="B304">
        <v>2035</v>
      </c>
      <c r="C304" t="str">
        <f t="shared" si="7"/>
        <v>PHEV diesel</v>
      </c>
      <c r="D304">
        <v>7</v>
      </c>
      <c r="E304" s="113">
        <v>0</v>
      </c>
      <c r="F304" s="113">
        <v>0</v>
      </c>
      <c r="G304" s="113">
        <v>0</v>
      </c>
      <c r="H304" s="114">
        <v>0</v>
      </c>
      <c r="I304" s="113">
        <v>0</v>
      </c>
      <c r="J304" s="113">
        <v>0</v>
      </c>
      <c r="K304" s="113">
        <v>30.191583999999999</v>
      </c>
      <c r="L304" s="113">
        <v>21.464974999999999</v>
      </c>
      <c r="M304" s="114">
        <v>0</v>
      </c>
      <c r="N304" s="113">
        <v>0</v>
      </c>
      <c r="O304" s="113">
        <v>0</v>
      </c>
      <c r="P304" s="114">
        <v>0</v>
      </c>
      <c r="Q304" s="113">
        <v>0</v>
      </c>
      <c r="R304" s="113">
        <v>0</v>
      </c>
      <c r="S304" s="113">
        <v>0</v>
      </c>
      <c r="T304" s="113">
        <v>0</v>
      </c>
      <c r="U304" s="113">
        <v>0</v>
      </c>
      <c r="V304" s="113">
        <v>0</v>
      </c>
      <c r="W304" s="114">
        <v>0</v>
      </c>
    </row>
    <row r="305" spans="2:23" x14ac:dyDescent="0.75">
      <c r="B305">
        <v>2035</v>
      </c>
      <c r="C305" t="str">
        <f t="shared" si="7"/>
        <v>PHEV gasoline</v>
      </c>
      <c r="D305">
        <v>8</v>
      </c>
      <c r="E305" s="113">
        <v>0</v>
      </c>
      <c r="F305" s="113">
        <v>0</v>
      </c>
      <c r="G305" s="113">
        <v>0</v>
      </c>
      <c r="H305" s="114">
        <v>0</v>
      </c>
      <c r="I305" s="113">
        <v>0</v>
      </c>
      <c r="J305" s="113">
        <v>0</v>
      </c>
      <c r="K305" s="113">
        <v>5.1242970000000003</v>
      </c>
      <c r="L305" s="113">
        <v>0</v>
      </c>
      <c r="M305" s="114">
        <v>0</v>
      </c>
      <c r="N305" s="113">
        <v>0</v>
      </c>
      <c r="O305" s="113">
        <v>0</v>
      </c>
      <c r="P305" s="114">
        <v>0</v>
      </c>
      <c r="Q305" s="113">
        <v>0</v>
      </c>
      <c r="R305" s="113">
        <v>0</v>
      </c>
      <c r="S305" s="113">
        <v>0</v>
      </c>
      <c r="T305" s="113">
        <v>0</v>
      </c>
      <c r="U305" s="113">
        <v>0</v>
      </c>
      <c r="V305" s="113">
        <v>0</v>
      </c>
      <c r="W305" s="114">
        <v>0</v>
      </c>
    </row>
    <row r="306" spans="2:23" x14ac:dyDescent="0.75">
      <c r="B306">
        <v>2035</v>
      </c>
      <c r="C306" t="str">
        <f t="shared" si="7"/>
        <v>H2 fuel cell, small battery</v>
      </c>
      <c r="D306">
        <v>9</v>
      </c>
      <c r="E306" s="113">
        <v>0</v>
      </c>
      <c r="F306" s="113">
        <v>0</v>
      </c>
      <c r="G306" s="113">
        <v>0</v>
      </c>
      <c r="H306" s="114">
        <v>0</v>
      </c>
      <c r="I306" s="113">
        <v>0</v>
      </c>
      <c r="J306" s="113">
        <v>0</v>
      </c>
      <c r="K306" s="113">
        <v>0</v>
      </c>
      <c r="L306" s="113">
        <v>0</v>
      </c>
      <c r="M306" s="114">
        <v>0</v>
      </c>
      <c r="N306" s="113">
        <v>0</v>
      </c>
      <c r="O306" s="113">
        <v>0</v>
      </c>
      <c r="P306" s="114">
        <v>0</v>
      </c>
      <c r="Q306" s="113">
        <v>0</v>
      </c>
      <c r="R306" s="113">
        <v>0</v>
      </c>
      <c r="S306" s="113">
        <v>0</v>
      </c>
      <c r="T306" s="113">
        <v>0</v>
      </c>
      <c r="U306" s="113">
        <v>0</v>
      </c>
      <c r="V306" s="113">
        <v>0</v>
      </c>
      <c r="W306" s="114">
        <v>0</v>
      </c>
    </row>
    <row r="307" spans="2:23" x14ac:dyDescent="0.75">
      <c r="B307">
        <v>2035</v>
      </c>
      <c r="C307" t="str">
        <f t="shared" si="7"/>
        <v>H2 fuel cell, large battery</v>
      </c>
      <c r="D307">
        <v>10</v>
      </c>
      <c r="E307" s="113">
        <v>0</v>
      </c>
      <c r="F307" s="113">
        <v>0</v>
      </c>
      <c r="G307" s="113">
        <v>0</v>
      </c>
      <c r="H307" s="114">
        <v>0</v>
      </c>
      <c r="I307" s="113">
        <v>0</v>
      </c>
      <c r="J307" s="113">
        <v>0</v>
      </c>
      <c r="K307" s="113">
        <v>0</v>
      </c>
      <c r="L307" s="113">
        <v>0</v>
      </c>
      <c r="M307" s="114">
        <v>0</v>
      </c>
      <c r="N307" s="113">
        <v>0</v>
      </c>
      <c r="O307" s="113">
        <v>0</v>
      </c>
      <c r="P307" s="114">
        <v>0</v>
      </c>
      <c r="Q307" s="113">
        <v>0</v>
      </c>
      <c r="R307" s="113">
        <v>0</v>
      </c>
      <c r="S307" s="113">
        <v>0</v>
      </c>
      <c r="T307" s="113">
        <v>0</v>
      </c>
      <c r="U307" s="113">
        <v>0</v>
      </c>
      <c r="V307" s="113">
        <v>0</v>
      </c>
      <c r="W307" s="114">
        <v>0</v>
      </c>
    </row>
    <row r="308" spans="2:23" x14ac:dyDescent="0.75">
      <c r="B308">
        <v>2035</v>
      </c>
      <c r="C308" t="str">
        <f t="shared" si="7"/>
        <v>Gasoline hybrid</v>
      </c>
      <c r="D308">
        <v>11</v>
      </c>
      <c r="E308" s="113">
        <v>7111.8945309999999</v>
      </c>
      <c r="F308" s="113">
        <v>210.53050200000001</v>
      </c>
      <c r="G308" s="113">
        <v>22322.630859000001</v>
      </c>
      <c r="H308" s="114">
        <v>739.10278300000004</v>
      </c>
      <c r="I308" s="113">
        <v>1298.7801509999999</v>
      </c>
      <c r="J308" s="113">
        <v>1702.835693</v>
      </c>
      <c r="K308" s="113">
        <v>0</v>
      </c>
      <c r="L308" s="113">
        <v>0</v>
      </c>
      <c r="M308" s="114">
        <v>0</v>
      </c>
      <c r="N308" s="113">
        <v>0</v>
      </c>
      <c r="O308" s="113">
        <v>0</v>
      </c>
      <c r="P308" s="114">
        <v>0</v>
      </c>
      <c r="Q308" s="113">
        <v>0</v>
      </c>
      <c r="R308" s="113">
        <v>0</v>
      </c>
      <c r="S308" s="113">
        <v>0</v>
      </c>
      <c r="T308" s="113">
        <v>0</v>
      </c>
      <c r="U308" s="113">
        <v>0</v>
      </c>
      <c r="V308" s="113">
        <v>0</v>
      </c>
      <c r="W308" s="114">
        <v>0</v>
      </c>
    </row>
    <row r="309" spans="2:23" x14ac:dyDescent="0.75">
      <c r="B309">
        <v>2035</v>
      </c>
      <c r="C309" t="str">
        <f t="shared" si="7"/>
        <v>Hydrogen ICE</v>
      </c>
      <c r="D309">
        <v>12</v>
      </c>
      <c r="E309" s="113">
        <v>0</v>
      </c>
      <c r="F309" s="113">
        <v>0</v>
      </c>
      <c r="G309" s="113">
        <v>0</v>
      </c>
      <c r="H309" s="114">
        <v>0</v>
      </c>
      <c r="I309" s="113">
        <v>0</v>
      </c>
      <c r="J309" s="113">
        <v>0</v>
      </c>
      <c r="K309" s="113">
        <v>0</v>
      </c>
      <c r="L309" s="113">
        <v>0</v>
      </c>
      <c r="M309" s="114">
        <v>0</v>
      </c>
      <c r="N309" s="113">
        <v>0</v>
      </c>
      <c r="O309" s="113">
        <v>0</v>
      </c>
      <c r="P309" s="114">
        <v>0</v>
      </c>
      <c r="Q309" s="113">
        <v>0</v>
      </c>
      <c r="R309" s="113">
        <v>0</v>
      </c>
      <c r="S309" s="113">
        <v>0</v>
      </c>
      <c r="T309" s="113">
        <v>0</v>
      </c>
      <c r="U309" s="113">
        <v>0</v>
      </c>
      <c r="V309" s="113">
        <v>0</v>
      </c>
      <c r="W309" s="114">
        <v>0</v>
      </c>
    </row>
    <row r="310" spans="2:23" x14ac:dyDescent="0.75">
      <c r="B310">
        <v>2036</v>
      </c>
      <c r="C310" t="str">
        <f t="shared" si="7"/>
        <v>Diesel</v>
      </c>
      <c r="D310">
        <v>1</v>
      </c>
      <c r="E310" s="113">
        <v>14103.261719</v>
      </c>
      <c r="F310" s="113">
        <v>365.473389</v>
      </c>
      <c r="G310" s="113">
        <v>36363.378905999998</v>
      </c>
      <c r="H310" s="114">
        <v>2356.4309079999998</v>
      </c>
      <c r="I310" s="113">
        <v>5938.1181640000004</v>
      </c>
      <c r="J310" s="113">
        <v>9925.4619139999995</v>
      </c>
      <c r="K310" s="113">
        <v>13847.964844</v>
      </c>
      <c r="L310" s="113">
        <v>8300.4296880000002</v>
      </c>
      <c r="M310" s="114">
        <v>1569.0505370000001</v>
      </c>
      <c r="N310" s="113">
        <v>1569.056274</v>
      </c>
      <c r="O310" s="113">
        <v>4707.0756840000004</v>
      </c>
      <c r="P310" s="114">
        <v>21215.681640999999</v>
      </c>
      <c r="Q310" s="113">
        <v>14043.058594</v>
      </c>
      <c r="R310" s="113">
        <v>14042.743164</v>
      </c>
      <c r="S310" s="113">
        <v>42127.132812000003</v>
      </c>
      <c r="T310" s="113">
        <v>21926.701172000001</v>
      </c>
      <c r="U310" s="113">
        <v>21930.271484000001</v>
      </c>
      <c r="V310" s="113">
        <v>65780.398438000004</v>
      </c>
      <c r="W310" s="114">
        <v>5.1046149999999999</v>
      </c>
    </row>
    <row r="311" spans="2:23" x14ac:dyDescent="0.75">
      <c r="B311">
        <v>2036</v>
      </c>
      <c r="C311" t="str">
        <f t="shared" si="7"/>
        <v>Gasoline</v>
      </c>
      <c r="D311">
        <v>2</v>
      </c>
      <c r="E311" s="113">
        <v>40938</v>
      </c>
      <c r="F311" s="113">
        <v>2561.436768</v>
      </c>
      <c r="G311" s="113">
        <v>25943.705077999999</v>
      </c>
      <c r="H311" s="114">
        <v>3304.5141600000002</v>
      </c>
      <c r="I311" s="113">
        <v>7055.2758789999998</v>
      </c>
      <c r="J311" s="113">
        <v>7038.6123049999997</v>
      </c>
      <c r="K311" s="113">
        <v>10450.576171999999</v>
      </c>
      <c r="L311" s="113">
        <v>64.078629000000006</v>
      </c>
      <c r="M311" s="114">
        <v>1.232E-3</v>
      </c>
      <c r="N311" s="113">
        <v>1.232E-3</v>
      </c>
      <c r="O311" s="113">
        <v>3.6960000000000001E-3</v>
      </c>
      <c r="P311" s="114">
        <v>0.32918199999999997</v>
      </c>
      <c r="Q311" s="113">
        <v>1.9970000000000001E-3</v>
      </c>
      <c r="R311" s="113">
        <v>1.9970000000000001E-3</v>
      </c>
      <c r="S311" s="113">
        <v>5.9899999999999997E-3</v>
      </c>
      <c r="T311" s="113">
        <v>3.1189999999999998E-3</v>
      </c>
      <c r="U311" s="113">
        <v>3.1189999999999998E-3</v>
      </c>
      <c r="V311" s="113">
        <v>9.3570000000000007E-3</v>
      </c>
      <c r="W311" s="114">
        <v>0</v>
      </c>
    </row>
    <row r="312" spans="2:23" x14ac:dyDescent="0.75">
      <c r="B312">
        <v>2036</v>
      </c>
      <c r="C312" t="str">
        <f t="shared" si="7"/>
        <v>LPG</v>
      </c>
      <c r="D312">
        <v>3</v>
      </c>
      <c r="E312" s="113">
        <v>0.47907499999999997</v>
      </c>
      <c r="F312" s="113">
        <v>2.7007E-2</v>
      </c>
      <c r="G312" s="113">
        <v>0.773285</v>
      </c>
      <c r="H312" s="114">
        <v>5.0340000000000003E-2</v>
      </c>
      <c r="I312" s="113">
        <v>1.1356539999999999</v>
      </c>
      <c r="J312" s="113">
        <v>3.1566010000000002</v>
      </c>
      <c r="K312" s="113">
        <v>1.681268</v>
      </c>
      <c r="L312" s="113">
        <v>16.236574000000001</v>
      </c>
      <c r="M312" s="114">
        <v>0.67509699999999995</v>
      </c>
      <c r="N312" s="113">
        <v>0.67509699999999995</v>
      </c>
      <c r="O312" s="113">
        <v>2.0252919999999999</v>
      </c>
      <c r="P312" s="114">
        <v>8.5305809999999997</v>
      </c>
      <c r="Q312" s="113">
        <v>6.1626260000000004</v>
      </c>
      <c r="R312" s="113">
        <v>6.1626250000000002</v>
      </c>
      <c r="S312" s="113">
        <v>18.487873</v>
      </c>
      <c r="T312" s="113">
        <v>9.6262319999999999</v>
      </c>
      <c r="U312" s="113">
        <v>9.6262329999999992</v>
      </c>
      <c r="V312" s="113">
        <v>28.876315999999999</v>
      </c>
      <c r="W312" s="114">
        <v>0</v>
      </c>
    </row>
    <row r="313" spans="2:23" x14ac:dyDescent="0.75">
      <c r="B313">
        <v>2036</v>
      </c>
      <c r="C313" t="str">
        <f t="shared" si="7"/>
        <v>CNG</v>
      </c>
      <c r="D313">
        <v>4</v>
      </c>
      <c r="E313" s="113">
        <v>646.26306199999999</v>
      </c>
      <c r="F313" s="113">
        <v>39.791907999999999</v>
      </c>
      <c r="G313" s="113">
        <v>893.70507799999996</v>
      </c>
      <c r="H313" s="114">
        <v>13.952759</v>
      </c>
      <c r="I313" s="113">
        <v>34.017204</v>
      </c>
      <c r="J313" s="113">
        <v>182.541382</v>
      </c>
      <c r="K313" s="113">
        <v>562.86035200000003</v>
      </c>
      <c r="L313" s="113">
        <v>37.337024999999997</v>
      </c>
      <c r="M313" s="114">
        <v>3.3683269999999998</v>
      </c>
      <c r="N313" s="113">
        <v>3.3611270000000002</v>
      </c>
      <c r="O313" s="113">
        <v>10.176843</v>
      </c>
      <c r="P313" s="114">
        <v>918.14386000000002</v>
      </c>
      <c r="Q313" s="113">
        <v>120.24063099999999</v>
      </c>
      <c r="R313" s="113">
        <v>120.55362700000001</v>
      </c>
      <c r="S313" s="113">
        <v>362.75762900000001</v>
      </c>
      <c r="T313" s="113">
        <v>196.87112400000001</v>
      </c>
      <c r="U313" s="113">
        <v>193.312836</v>
      </c>
      <c r="V313" s="113">
        <v>584.87341300000003</v>
      </c>
      <c r="W313" s="114">
        <v>0</v>
      </c>
    </row>
    <row r="314" spans="2:23" x14ac:dyDescent="0.75">
      <c r="B314">
        <v>2036</v>
      </c>
      <c r="C314" t="str">
        <f t="shared" si="7"/>
        <v>E85</v>
      </c>
      <c r="D314">
        <v>5</v>
      </c>
      <c r="E314" s="113">
        <v>11271.914062</v>
      </c>
      <c r="F314" s="113">
        <v>1094.272217</v>
      </c>
      <c r="G314" s="113">
        <v>567.00152600000001</v>
      </c>
      <c r="H314" s="114">
        <v>387.81036399999999</v>
      </c>
      <c r="I314" s="113">
        <v>155.365692</v>
      </c>
      <c r="J314" s="113">
        <v>0.139817</v>
      </c>
      <c r="K314" s="113">
        <v>0.20380599999999999</v>
      </c>
      <c r="L314" s="113">
        <v>0</v>
      </c>
      <c r="M314" s="114">
        <v>0</v>
      </c>
      <c r="N314" s="113">
        <v>0</v>
      </c>
      <c r="O314" s="113">
        <v>0</v>
      </c>
      <c r="P314" s="114">
        <v>0</v>
      </c>
      <c r="Q314" s="113">
        <v>0</v>
      </c>
      <c r="R314" s="113">
        <v>0</v>
      </c>
      <c r="S314" s="113">
        <v>0</v>
      </c>
      <c r="T314" s="113">
        <v>0</v>
      </c>
      <c r="U314" s="113">
        <v>0</v>
      </c>
      <c r="V314" s="113">
        <v>0</v>
      </c>
      <c r="W314" s="114">
        <v>0</v>
      </c>
    </row>
    <row r="315" spans="2:23" x14ac:dyDescent="0.75">
      <c r="B315">
        <v>2036</v>
      </c>
      <c r="C315" t="str">
        <f t="shared" si="7"/>
        <v>Electric</v>
      </c>
      <c r="D315">
        <v>6</v>
      </c>
      <c r="E315" s="113">
        <v>2439.2097170000002</v>
      </c>
      <c r="F315" s="113">
        <v>5.9398809999999997</v>
      </c>
      <c r="G315" s="113">
        <v>1381.388062</v>
      </c>
      <c r="H315" s="114">
        <v>9.8770999999999998E-2</v>
      </c>
      <c r="I315" s="113">
        <v>0.54256700000000002</v>
      </c>
      <c r="J315" s="113">
        <v>1.836498</v>
      </c>
      <c r="K315" s="113">
        <v>30.179852</v>
      </c>
      <c r="L315" s="113">
        <v>11.551519000000001</v>
      </c>
      <c r="M315" s="114">
        <v>0.42418499999999998</v>
      </c>
      <c r="N315" s="113">
        <v>0.42418499999999998</v>
      </c>
      <c r="O315" s="113">
        <v>1.272554</v>
      </c>
      <c r="P315" s="114">
        <v>6.0669570000000004</v>
      </c>
      <c r="Q315" s="113">
        <v>43.905467999999999</v>
      </c>
      <c r="R315" s="113">
        <v>43.905467999999999</v>
      </c>
      <c r="S315" s="113">
        <v>131.716385</v>
      </c>
      <c r="T315" s="113">
        <v>68.581856000000002</v>
      </c>
      <c r="U315" s="113">
        <v>68.581871000000007</v>
      </c>
      <c r="V315" s="113">
        <v>205.745575</v>
      </c>
      <c r="W315" s="114">
        <v>0</v>
      </c>
    </row>
    <row r="316" spans="2:23" x14ac:dyDescent="0.75">
      <c r="B316">
        <v>2036</v>
      </c>
      <c r="C316" t="str">
        <f t="shared" si="7"/>
        <v>PHEV diesel</v>
      </c>
      <c r="D316">
        <v>7</v>
      </c>
      <c r="E316" s="113">
        <v>0</v>
      </c>
      <c r="F316" s="113">
        <v>0</v>
      </c>
      <c r="G316" s="113">
        <v>0</v>
      </c>
      <c r="H316" s="114">
        <v>0</v>
      </c>
      <c r="I316" s="113">
        <v>0</v>
      </c>
      <c r="J316" s="113">
        <v>0</v>
      </c>
      <c r="K316" s="113">
        <v>27.848891999999999</v>
      </c>
      <c r="L316" s="113">
        <v>20.468506000000001</v>
      </c>
      <c r="M316" s="114">
        <v>0</v>
      </c>
      <c r="N316" s="113">
        <v>0</v>
      </c>
      <c r="O316" s="113">
        <v>0</v>
      </c>
      <c r="P316" s="114">
        <v>0</v>
      </c>
      <c r="Q316" s="113">
        <v>0</v>
      </c>
      <c r="R316" s="113">
        <v>0</v>
      </c>
      <c r="S316" s="113">
        <v>0</v>
      </c>
      <c r="T316" s="113">
        <v>0</v>
      </c>
      <c r="U316" s="113">
        <v>0</v>
      </c>
      <c r="V316" s="113">
        <v>0</v>
      </c>
      <c r="W316" s="114">
        <v>0</v>
      </c>
    </row>
    <row r="317" spans="2:23" x14ac:dyDescent="0.75">
      <c r="B317">
        <v>2036</v>
      </c>
      <c r="C317" t="str">
        <f t="shared" si="7"/>
        <v>PHEV gasoline</v>
      </c>
      <c r="D317">
        <v>8</v>
      </c>
      <c r="E317" s="113">
        <v>0</v>
      </c>
      <c r="F317" s="113">
        <v>0</v>
      </c>
      <c r="G317" s="113">
        <v>0</v>
      </c>
      <c r="H317" s="114">
        <v>0</v>
      </c>
      <c r="I317" s="113">
        <v>0</v>
      </c>
      <c r="J317" s="113">
        <v>0</v>
      </c>
      <c r="K317" s="113">
        <v>4.6819309999999996</v>
      </c>
      <c r="L317" s="113">
        <v>0</v>
      </c>
      <c r="M317" s="114">
        <v>0</v>
      </c>
      <c r="N317" s="113">
        <v>0</v>
      </c>
      <c r="O317" s="113">
        <v>0</v>
      </c>
      <c r="P317" s="114">
        <v>0</v>
      </c>
      <c r="Q317" s="113">
        <v>0</v>
      </c>
      <c r="R317" s="113">
        <v>0</v>
      </c>
      <c r="S317" s="113">
        <v>0</v>
      </c>
      <c r="T317" s="113">
        <v>0</v>
      </c>
      <c r="U317" s="113">
        <v>0</v>
      </c>
      <c r="V317" s="113">
        <v>0</v>
      </c>
      <c r="W317" s="114">
        <v>0</v>
      </c>
    </row>
    <row r="318" spans="2:23" x14ac:dyDescent="0.75">
      <c r="B318">
        <v>2036</v>
      </c>
      <c r="C318" t="str">
        <f t="shared" si="7"/>
        <v>H2 fuel cell, small battery</v>
      </c>
      <c r="D318">
        <v>9</v>
      </c>
      <c r="E318" s="113">
        <v>0</v>
      </c>
      <c r="F318" s="113">
        <v>0</v>
      </c>
      <c r="G318" s="113">
        <v>0</v>
      </c>
      <c r="H318" s="114">
        <v>0</v>
      </c>
      <c r="I318" s="113">
        <v>0</v>
      </c>
      <c r="J318" s="113">
        <v>0</v>
      </c>
      <c r="K318" s="113">
        <v>0</v>
      </c>
      <c r="L318" s="113">
        <v>0</v>
      </c>
      <c r="M318" s="114">
        <v>0</v>
      </c>
      <c r="N318" s="113">
        <v>0</v>
      </c>
      <c r="O318" s="113">
        <v>0</v>
      </c>
      <c r="P318" s="114">
        <v>0</v>
      </c>
      <c r="Q318" s="113">
        <v>0</v>
      </c>
      <c r="R318" s="113">
        <v>0</v>
      </c>
      <c r="S318" s="113">
        <v>0</v>
      </c>
      <c r="T318" s="113">
        <v>0</v>
      </c>
      <c r="U318" s="113">
        <v>0</v>
      </c>
      <c r="V318" s="113">
        <v>0</v>
      </c>
      <c r="W318" s="114">
        <v>0</v>
      </c>
    </row>
    <row r="319" spans="2:23" x14ac:dyDescent="0.75">
      <c r="B319">
        <v>2036</v>
      </c>
      <c r="C319" t="str">
        <f t="shared" si="7"/>
        <v>H2 fuel cell, large battery</v>
      </c>
      <c r="D319">
        <v>10</v>
      </c>
      <c r="E319" s="113">
        <v>0</v>
      </c>
      <c r="F319" s="113">
        <v>0</v>
      </c>
      <c r="G319" s="113">
        <v>0</v>
      </c>
      <c r="H319" s="114">
        <v>0</v>
      </c>
      <c r="I319" s="113">
        <v>0</v>
      </c>
      <c r="J319" s="113">
        <v>0</v>
      </c>
      <c r="K319" s="113">
        <v>0</v>
      </c>
      <c r="L319" s="113">
        <v>0</v>
      </c>
      <c r="M319" s="114">
        <v>0</v>
      </c>
      <c r="N319" s="113">
        <v>0</v>
      </c>
      <c r="O319" s="113">
        <v>0</v>
      </c>
      <c r="P319" s="114">
        <v>0</v>
      </c>
      <c r="Q319" s="113">
        <v>0</v>
      </c>
      <c r="R319" s="113">
        <v>0</v>
      </c>
      <c r="S319" s="113">
        <v>0</v>
      </c>
      <c r="T319" s="113">
        <v>0</v>
      </c>
      <c r="U319" s="113">
        <v>0</v>
      </c>
      <c r="V319" s="113">
        <v>0</v>
      </c>
      <c r="W319" s="114">
        <v>0</v>
      </c>
    </row>
    <row r="320" spans="2:23" x14ac:dyDescent="0.75">
      <c r="B320">
        <v>2036</v>
      </c>
      <c r="C320" t="str">
        <f t="shared" si="7"/>
        <v>Gasoline hybrid</v>
      </c>
      <c r="D320">
        <v>11</v>
      </c>
      <c r="E320" s="113">
        <v>8381.9052730000003</v>
      </c>
      <c r="F320" s="113">
        <v>273.663635</v>
      </c>
      <c r="G320" s="113">
        <v>26095.378906000002</v>
      </c>
      <c r="H320" s="114">
        <v>954.80688499999997</v>
      </c>
      <c r="I320" s="113">
        <v>1663.7052000000001</v>
      </c>
      <c r="J320" s="113">
        <v>2181.10376</v>
      </c>
      <c r="K320" s="113">
        <v>0</v>
      </c>
      <c r="L320" s="113">
        <v>0</v>
      </c>
      <c r="M320" s="114">
        <v>0</v>
      </c>
      <c r="N320" s="113">
        <v>0</v>
      </c>
      <c r="O320" s="113">
        <v>0</v>
      </c>
      <c r="P320" s="114">
        <v>0</v>
      </c>
      <c r="Q320" s="113">
        <v>0</v>
      </c>
      <c r="R320" s="113">
        <v>0</v>
      </c>
      <c r="S320" s="113">
        <v>0</v>
      </c>
      <c r="T320" s="113">
        <v>0</v>
      </c>
      <c r="U320" s="113">
        <v>0</v>
      </c>
      <c r="V320" s="113">
        <v>0</v>
      </c>
      <c r="W320" s="114">
        <v>0</v>
      </c>
    </row>
    <row r="321" spans="2:23" x14ac:dyDescent="0.75">
      <c r="B321">
        <v>2036</v>
      </c>
      <c r="C321" t="str">
        <f t="shared" si="7"/>
        <v>Hydrogen ICE</v>
      </c>
      <c r="D321">
        <v>12</v>
      </c>
      <c r="E321" s="113">
        <v>0</v>
      </c>
      <c r="F321" s="113">
        <v>0</v>
      </c>
      <c r="G321" s="113">
        <v>0</v>
      </c>
      <c r="H321" s="114">
        <v>0</v>
      </c>
      <c r="I321" s="113">
        <v>0</v>
      </c>
      <c r="J321" s="113">
        <v>0</v>
      </c>
      <c r="K321" s="113">
        <v>0</v>
      </c>
      <c r="L321" s="113">
        <v>0</v>
      </c>
      <c r="M321" s="114">
        <v>0</v>
      </c>
      <c r="N321" s="113">
        <v>0</v>
      </c>
      <c r="O321" s="113">
        <v>0</v>
      </c>
      <c r="P321" s="114">
        <v>0</v>
      </c>
      <c r="Q321" s="113">
        <v>0</v>
      </c>
      <c r="R321" s="113">
        <v>0</v>
      </c>
      <c r="S321" s="113">
        <v>0</v>
      </c>
      <c r="T321" s="113">
        <v>0</v>
      </c>
      <c r="U321" s="113">
        <v>0</v>
      </c>
      <c r="V321" s="113">
        <v>0</v>
      </c>
      <c r="W321" s="114">
        <v>0</v>
      </c>
    </row>
    <row r="322" spans="2:23" x14ac:dyDescent="0.75">
      <c r="B322">
        <v>2037</v>
      </c>
      <c r="C322" t="str">
        <f t="shared" si="7"/>
        <v>Diesel</v>
      </c>
      <c r="D322">
        <v>1</v>
      </c>
      <c r="E322" s="113">
        <v>13166.576171999999</v>
      </c>
      <c r="F322" s="113">
        <v>369.89681999999999</v>
      </c>
      <c r="G322" s="113">
        <v>34565.988280999998</v>
      </c>
      <c r="H322" s="114">
        <v>2290.9738769999999</v>
      </c>
      <c r="I322" s="113">
        <v>5762.8164059999999</v>
      </c>
      <c r="J322" s="113">
        <v>9490.7607420000004</v>
      </c>
      <c r="K322" s="113">
        <v>13773.272461</v>
      </c>
      <c r="L322" s="113">
        <v>8259.3125</v>
      </c>
      <c r="M322" s="114">
        <v>1575.7677000000001</v>
      </c>
      <c r="N322" s="113">
        <v>1576.165283</v>
      </c>
      <c r="O322" s="113">
        <v>4728.4130859999996</v>
      </c>
      <c r="P322" s="114">
        <v>21295.945312</v>
      </c>
      <c r="Q322" s="113">
        <v>14139.757812</v>
      </c>
      <c r="R322" s="113">
        <v>14139.483398</v>
      </c>
      <c r="S322" s="113">
        <v>42417.503905999998</v>
      </c>
      <c r="T322" s="113">
        <v>22075.417968999998</v>
      </c>
      <c r="U322" s="113">
        <v>22080.904297000001</v>
      </c>
      <c r="V322" s="113">
        <v>66228.414061999996</v>
      </c>
      <c r="W322" s="114">
        <v>5.1075429999999997</v>
      </c>
    </row>
    <row r="323" spans="2:23" x14ac:dyDescent="0.75">
      <c r="B323">
        <v>2037</v>
      </c>
      <c r="C323" t="str">
        <f t="shared" si="7"/>
        <v>Gasoline</v>
      </c>
      <c r="D323">
        <v>2</v>
      </c>
      <c r="E323" s="113">
        <v>39892.539062000003</v>
      </c>
      <c r="F323" s="113">
        <v>2465.7917480000001</v>
      </c>
      <c r="G323" s="113">
        <v>25314.570312</v>
      </c>
      <c r="H323" s="114">
        <v>3174.9135740000002</v>
      </c>
      <c r="I323" s="113">
        <v>6781.9750979999999</v>
      </c>
      <c r="J323" s="113">
        <v>6892.453125</v>
      </c>
      <c r="K323" s="113">
        <v>10684.992188</v>
      </c>
      <c r="L323" s="113">
        <v>61.899273000000001</v>
      </c>
      <c r="M323" s="114">
        <v>8.6300000000000005E-4</v>
      </c>
      <c r="N323" s="113">
        <v>8.6300000000000005E-4</v>
      </c>
      <c r="O323" s="113">
        <v>2.588E-3</v>
      </c>
      <c r="P323" s="114">
        <v>0.24995500000000001</v>
      </c>
      <c r="Q323" s="113">
        <v>1.5449999999999999E-3</v>
      </c>
      <c r="R323" s="113">
        <v>1.5449999999999999E-3</v>
      </c>
      <c r="S323" s="113">
        <v>4.6360000000000004E-3</v>
      </c>
      <c r="T323" s="113">
        <v>2.4139999999999999E-3</v>
      </c>
      <c r="U323" s="113">
        <v>2.4139999999999999E-3</v>
      </c>
      <c r="V323" s="113">
        <v>7.241E-3</v>
      </c>
      <c r="W323" s="114">
        <v>0</v>
      </c>
    </row>
    <row r="324" spans="2:23" x14ac:dyDescent="0.75">
      <c r="B324">
        <v>2037</v>
      </c>
      <c r="C324" t="str">
        <f t="shared" si="7"/>
        <v>LPG</v>
      </c>
      <c r="D324">
        <v>3</v>
      </c>
      <c r="E324" s="113">
        <v>0.49944699999999997</v>
      </c>
      <c r="F324" s="113">
        <v>2.8523E-2</v>
      </c>
      <c r="G324" s="113">
        <v>0.78987099999999999</v>
      </c>
      <c r="H324" s="114">
        <v>5.2859999999999997E-2</v>
      </c>
      <c r="I324" s="113">
        <v>1.0053190000000001</v>
      </c>
      <c r="J324" s="113">
        <v>2.9193730000000002</v>
      </c>
      <c r="K324" s="113">
        <v>1.551515</v>
      </c>
      <c r="L324" s="113">
        <v>14.867819000000001</v>
      </c>
      <c r="M324" s="114">
        <v>0.69412499999999999</v>
      </c>
      <c r="N324" s="113">
        <v>0.69412600000000002</v>
      </c>
      <c r="O324" s="113">
        <v>2.0823770000000001</v>
      </c>
      <c r="P324" s="114">
        <v>8.8680319999999995</v>
      </c>
      <c r="Q324" s="113">
        <v>6.3258109999999999</v>
      </c>
      <c r="R324" s="113">
        <v>6.3258109999999999</v>
      </c>
      <c r="S324" s="113">
        <v>18.977432</v>
      </c>
      <c r="T324" s="113">
        <v>9.8811330000000002</v>
      </c>
      <c r="U324" s="113">
        <v>9.8811350000000004</v>
      </c>
      <c r="V324" s="113">
        <v>29.640953</v>
      </c>
      <c r="W324" s="114">
        <v>0</v>
      </c>
    </row>
    <row r="325" spans="2:23" x14ac:dyDescent="0.75">
      <c r="B325">
        <v>2037</v>
      </c>
      <c r="C325" t="str">
        <f t="shared" si="7"/>
        <v>CNG</v>
      </c>
      <c r="D325">
        <v>4</v>
      </c>
      <c r="E325" s="113">
        <v>717.98785399999997</v>
      </c>
      <c r="F325" s="113">
        <v>43.952278</v>
      </c>
      <c r="G325" s="113">
        <v>922.01696800000002</v>
      </c>
      <c r="H325" s="114">
        <v>14.140625999999999</v>
      </c>
      <c r="I325" s="113">
        <v>35.136814000000001</v>
      </c>
      <c r="J325" s="113">
        <v>188.054123</v>
      </c>
      <c r="K325" s="113">
        <v>582.40118399999994</v>
      </c>
      <c r="L325" s="113">
        <v>37.351604000000002</v>
      </c>
      <c r="M325" s="114">
        <v>3.744122</v>
      </c>
      <c r="N325" s="113">
        <v>3.3448340000000001</v>
      </c>
      <c r="O325" s="113">
        <v>10.116382</v>
      </c>
      <c r="P325" s="114">
        <v>924.85534700000005</v>
      </c>
      <c r="Q325" s="113">
        <v>121.308235</v>
      </c>
      <c r="R325" s="113">
        <v>121.58009300000001</v>
      </c>
      <c r="S325" s="113">
        <v>365.68966699999999</v>
      </c>
      <c r="T325" s="113">
        <v>200.848938</v>
      </c>
      <c r="U325" s="113">
        <v>195.37857099999999</v>
      </c>
      <c r="V325" s="113">
        <v>594.92437700000005</v>
      </c>
      <c r="W325" s="114">
        <v>0</v>
      </c>
    </row>
    <row r="326" spans="2:23" x14ac:dyDescent="0.75">
      <c r="B326">
        <v>2037</v>
      </c>
      <c r="C326" t="str">
        <f t="shared" si="7"/>
        <v>E85</v>
      </c>
      <c r="D326">
        <v>5</v>
      </c>
      <c r="E326" s="113">
        <v>11229.487305000001</v>
      </c>
      <c r="F326" s="113">
        <v>1023.940369</v>
      </c>
      <c r="G326" s="113">
        <v>512.04718000000003</v>
      </c>
      <c r="H326" s="114">
        <v>343.59051499999998</v>
      </c>
      <c r="I326" s="113">
        <v>142.46517900000001</v>
      </c>
      <c r="J326" s="113">
        <v>0.14536099999999999</v>
      </c>
      <c r="K326" s="113">
        <v>0.21077899999999999</v>
      </c>
      <c r="L326" s="113">
        <v>0</v>
      </c>
      <c r="M326" s="114">
        <v>0</v>
      </c>
      <c r="N326" s="113">
        <v>0</v>
      </c>
      <c r="O326" s="113">
        <v>0</v>
      </c>
      <c r="P326" s="114">
        <v>0</v>
      </c>
      <c r="Q326" s="113">
        <v>0</v>
      </c>
      <c r="R326" s="113">
        <v>0</v>
      </c>
      <c r="S326" s="113">
        <v>0</v>
      </c>
      <c r="T326" s="113">
        <v>0</v>
      </c>
      <c r="U326" s="113">
        <v>0</v>
      </c>
      <c r="V326" s="113">
        <v>0</v>
      </c>
      <c r="W326" s="114">
        <v>0</v>
      </c>
    </row>
    <row r="327" spans="2:23" x14ac:dyDescent="0.75">
      <c r="B327">
        <v>2037</v>
      </c>
      <c r="C327" t="str">
        <f t="shared" si="7"/>
        <v>Electric</v>
      </c>
      <c r="D327">
        <v>6</v>
      </c>
      <c r="E327" s="113">
        <v>2738.5183109999998</v>
      </c>
      <c r="F327" s="113">
        <v>8.3726529999999997</v>
      </c>
      <c r="G327" s="113">
        <v>1911.6982419999999</v>
      </c>
      <c r="H327" s="114">
        <v>8.7108000000000005E-2</v>
      </c>
      <c r="I327" s="113">
        <v>0.48993799999999998</v>
      </c>
      <c r="J327" s="113">
        <v>1.869227</v>
      </c>
      <c r="K327" s="113">
        <v>30.741696999999998</v>
      </c>
      <c r="L327" s="113">
        <v>11.866061999999999</v>
      </c>
      <c r="M327" s="114">
        <v>0.43332999999999999</v>
      </c>
      <c r="N327" s="113">
        <v>0.43332999999999999</v>
      </c>
      <c r="O327" s="113">
        <v>1.2999890000000001</v>
      </c>
      <c r="P327" s="114">
        <v>6.2308199999999996</v>
      </c>
      <c r="Q327" s="113">
        <v>44.811107999999997</v>
      </c>
      <c r="R327" s="113">
        <v>44.811107999999997</v>
      </c>
      <c r="S327" s="113">
        <v>134.433334</v>
      </c>
      <c r="T327" s="113">
        <v>69.996498000000003</v>
      </c>
      <c r="U327" s="113">
        <v>69.996512999999993</v>
      </c>
      <c r="V327" s="113">
        <v>209.98950199999999</v>
      </c>
      <c r="W327" s="114">
        <v>0</v>
      </c>
    </row>
    <row r="328" spans="2:23" x14ac:dyDescent="0.75">
      <c r="B328">
        <v>2037</v>
      </c>
      <c r="C328" t="str">
        <f t="shared" si="7"/>
        <v>PHEV diesel</v>
      </c>
      <c r="D328">
        <v>7</v>
      </c>
      <c r="E328" s="113">
        <v>0</v>
      </c>
      <c r="F328" s="113">
        <v>0</v>
      </c>
      <c r="G328" s="113">
        <v>0</v>
      </c>
      <c r="H328" s="114">
        <v>0</v>
      </c>
      <c r="I328" s="113">
        <v>0</v>
      </c>
      <c r="J328" s="113">
        <v>0</v>
      </c>
      <c r="K328" s="113">
        <v>25.646861999999999</v>
      </c>
      <c r="L328" s="113">
        <v>19.806000000000001</v>
      </c>
      <c r="M328" s="114">
        <v>0</v>
      </c>
      <c r="N328" s="113">
        <v>0</v>
      </c>
      <c r="O328" s="113">
        <v>0</v>
      </c>
      <c r="P328" s="114">
        <v>0</v>
      </c>
      <c r="Q328" s="113">
        <v>0</v>
      </c>
      <c r="R328" s="113">
        <v>0</v>
      </c>
      <c r="S328" s="113">
        <v>0</v>
      </c>
      <c r="T328" s="113">
        <v>0</v>
      </c>
      <c r="U328" s="113">
        <v>0</v>
      </c>
      <c r="V328" s="113">
        <v>0</v>
      </c>
      <c r="W328" s="114">
        <v>0</v>
      </c>
    </row>
    <row r="329" spans="2:23" x14ac:dyDescent="0.75">
      <c r="B329">
        <v>2037</v>
      </c>
      <c r="C329" t="str">
        <f t="shared" si="7"/>
        <v>PHEV gasoline</v>
      </c>
      <c r="D329">
        <v>8</v>
      </c>
      <c r="E329" s="113">
        <v>0</v>
      </c>
      <c r="F329" s="113">
        <v>0</v>
      </c>
      <c r="G329" s="113">
        <v>0</v>
      </c>
      <c r="H329" s="114">
        <v>0</v>
      </c>
      <c r="I329" s="113">
        <v>0</v>
      </c>
      <c r="J329" s="113">
        <v>0</v>
      </c>
      <c r="K329" s="113">
        <v>4.2770099999999998</v>
      </c>
      <c r="L329" s="113">
        <v>0</v>
      </c>
      <c r="M329" s="114">
        <v>0</v>
      </c>
      <c r="N329" s="113">
        <v>0</v>
      </c>
      <c r="O329" s="113">
        <v>0</v>
      </c>
      <c r="P329" s="114">
        <v>0</v>
      </c>
      <c r="Q329" s="113">
        <v>0</v>
      </c>
      <c r="R329" s="113">
        <v>0</v>
      </c>
      <c r="S329" s="113">
        <v>0</v>
      </c>
      <c r="T329" s="113">
        <v>0</v>
      </c>
      <c r="U329" s="113">
        <v>0</v>
      </c>
      <c r="V329" s="113">
        <v>0</v>
      </c>
      <c r="W329" s="114">
        <v>0</v>
      </c>
    </row>
    <row r="330" spans="2:23" x14ac:dyDescent="0.75">
      <c r="B330">
        <v>2037</v>
      </c>
      <c r="C330" t="str">
        <f t="shared" si="7"/>
        <v>H2 fuel cell, small battery</v>
      </c>
      <c r="D330">
        <v>9</v>
      </c>
      <c r="E330" s="113">
        <v>0</v>
      </c>
      <c r="F330" s="113">
        <v>0</v>
      </c>
      <c r="G330" s="113">
        <v>0</v>
      </c>
      <c r="H330" s="114">
        <v>0</v>
      </c>
      <c r="I330" s="113">
        <v>0</v>
      </c>
      <c r="J330" s="113">
        <v>0</v>
      </c>
      <c r="K330" s="113">
        <v>0</v>
      </c>
      <c r="L330" s="113">
        <v>0</v>
      </c>
      <c r="M330" s="114">
        <v>0</v>
      </c>
      <c r="N330" s="113">
        <v>0</v>
      </c>
      <c r="O330" s="113">
        <v>0</v>
      </c>
      <c r="P330" s="114">
        <v>0</v>
      </c>
      <c r="Q330" s="113">
        <v>0</v>
      </c>
      <c r="R330" s="113">
        <v>0</v>
      </c>
      <c r="S330" s="113">
        <v>0</v>
      </c>
      <c r="T330" s="113">
        <v>0</v>
      </c>
      <c r="U330" s="113">
        <v>0</v>
      </c>
      <c r="V330" s="113">
        <v>0</v>
      </c>
      <c r="W330" s="114">
        <v>0</v>
      </c>
    </row>
    <row r="331" spans="2:23" x14ac:dyDescent="0.75">
      <c r="B331">
        <v>2037</v>
      </c>
      <c r="C331" t="str">
        <f t="shared" si="7"/>
        <v>H2 fuel cell, large battery</v>
      </c>
      <c r="D331">
        <v>10</v>
      </c>
      <c r="E331" s="113">
        <v>0</v>
      </c>
      <c r="F331" s="113">
        <v>0</v>
      </c>
      <c r="G331" s="113">
        <v>0</v>
      </c>
      <c r="H331" s="114">
        <v>0</v>
      </c>
      <c r="I331" s="113">
        <v>0</v>
      </c>
      <c r="J331" s="113">
        <v>0</v>
      </c>
      <c r="K331" s="113">
        <v>0</v>
      </c>
      <c r="L331" s="113">
        <v>0</v>
      </c>
      <c r="M331" s="114">
        <v>0</v>
      </c>
      <c r="N331" s="113">
        <v>0</v>
      </c>
      <c r="O331" s="113">
        <v>0</v>
      </c>
      <c r="P331" s="114">
        <v>0</v>
      </c>
      <c r="Q331" s="113">
        <v>0</v>
      </c>
      <c r="R331" s="113">
        <v>0</v>
      </c>
      <c r="S331" s="113">
        <v>0</v>
      </c>
      <c r="T331" s="113">
        <v>0</v>
      </c>
      <c r="U331" s="113">
        <v>0</v>
      </c>
      <c r="V331" s="113">
        <v>0</v>
      </c>
      <c r="W331" s="114">
        <v>0</v>
      </c>
    </row>
    <row r="332" spans="2:23" x14ac:dyDescent="0.75">
      <c r="B332">
        <v>2037</v>
      </c>
      <c r="C332" t="str">
        <f t="shared" si="7"/>
        <v>Gasoline hybrid</v>
      </c>
      <c r="D332">
        <v>11</v>
      </c>
      <c r="E332" s="113">
        <v>9633.3417969999991</v>
      </c>
      <c r="F332" s="113">
        <v>349.50595099999998</v>
      </c>
      <c r="G332" s="113">
        <v>29799.230468999998</v>
      </c>
      <c r="H332" s="114">
        <v>1200.6207280000001</v>
      </c>
      <c r="I332" s="113">
        <v>2077.4267580000001</v>
      </c>
      <c r="J332" s="113">
        <v>2723.3623050000001</v>
      </c>
      <c r="K332" s="113">
        <v>0</v>
      </c>
      <c r="L332" s="113">
        <v>0</v>
      </c>
      <c r="M332" s="114">
        <v>0</v>
      </c>
      <c r="N332" s="113">
        <v>0</v>
      </c>
      <c r="O332" s="113">
        <v>0</v>
      </c>
      <c r="P332" s="114">
        <v>0</v>
      </c>
      <c r="Q332" s="113">
        <v>0</v>
      </c>
      <c r="R332" s="113">
        <v>0</v>
      </c>
      <c r="S332" s="113">
        <v>0</v>
      </c>
      <c r="T332" s="113">
        <v>0</v>
      </c>
      <c r="U332" s="113">
        <v>0</v>
      </c>
      <c r="V332" s="113">
        <v>0</v>
      </c>
      <c r="W332" s="114">
        <v>0</v>
      </c>
    </row>
    <row r="333" spans="2:23" x14ac:dyDescent="0.75">
      <c r="B333">
        <v>2037</v>
      </c>
      <c r="C333" t="str">
        <f t="shared" si="7"/>
        <v>Hydrogen ICE</v>
      </c>
      <c r="D333">
        <v>12</v>
      </c>
      <c r="E333" s="113">
        <v>0</v>
      </c>
      <c r="F333" s="113">
        <v>0</v>
      </c>
      <c r="G333" s="113">
        <v>0</v>
      </c>
      <c r="H333" s="114">
        <v>0</v>
      </c>
      <c r="I333" s="113">
        <v>0</v>
      </c>
      <c r="J333" s="113">
        <v>0</v>
      </c>
      <c r="K333" s="113">
        <v>0</v>
      </c>
      <c r="L333" s="113">
        <v>0</v>
      </c>
      <c r="M333" s="114">
        <v>0</v>
      </c>
      <c r="N333" s="113">
        <v>0</v>
      </c>
      <c r="O333" s="113">
        <v>0</v>
      </c>
      <c r="P333" s="114">
        <v>0</v>
      </c>
      <c r="Q333" s="113">
        <v>0</v>
      </c>
      <c r="R333" s="113">
        <v>0</v>
      </c>
      <c r="S333" s="113">
        <v>0</v>
      </c>
      <c r="T333" s="113">
        <v>0</v>
      </c>
      <c r="U333" s="113">
        <v>0</v>
      </c>
      <c r="V333" s="113">
        <v>0</v>
      </c>
      <c r="W333" s="114">
        <v>0</v>
      </c>
    </row>
    <row r="334" spans="2:23" x14ac:dyDescent="0.75">
      <c r="B334">
        <v>2038</v>
      </c>
      <c r="C334" t="str">
        <f t="shared" si="7"/>
        <v>Diesel</v>
      </c>
      <c r="D334">
        <v>1</v>
      </c>
      <c r="E334" s="113">
        <v>12278.988281</v>
      </c>
      <c r="F334" s="113">
        <v>370.78808600000002</v>
      </c>
      <c r="G334" s="113">
        <v>32796.492187999997</v>
      </c>
      <c r="H334" s="114">
        <v>2215.827393</v>
      </c>
      <c r="I334" s="113">
        <v>5567.2446289999998</v>
      </c>
      <c r="J334" s="113">
        <v>9049.9580079999996</v>
      </c>
      <c r="K334" s="113">
        <v>13705.723633</v>
      </c>
      <c r="L334" s="113">
        <v>8221.875</v>
      </c>
      <c r="M334" s="114">
        <v>1582.2595209999999</v>
      </c>
      <c r="N334" s="113">
        <v>1582.6480710000001</v>
      </c>
      <c r="O334" s="113">
        <v>4749.0566410000001</v>
      </c>
      <c r="P334" s="114">
        <v>21368.425781000002</v>
      </c>
      <c r="Q334" s="113">
        <v>14235.419921999999</v>
      </c>
      <c r="R334" s="113">
        <v>14235.181640999999</v>
      </c>
      <c r="S334" s="113">
        <v>42704.714844000002</v>
      </c>
      <c r="T334" s="113">
        <v>22221.787109000001</v>
      </c>
      <c r="U334" s="113">
        <v>22227.064452999999</v>
      </c>
      <c r="V334" s="113">
        <v>66669.125</v>
      </c>
      <c r="W334" s="114">
        <v>5.1021910000000004</v>
      </c>
    </row>
    <row r="335" spans="2:23" x14ac:dyDescent="0.75">
      <c r="B335">
        <v>2038</v>
      </c>
      <c r="C335" t="str">
        <f t="shared" si="7"/>
        <v>Gasoline</v>
      </c>
      <c r="D335">
        <v>2</v>
      </c>
      <c r="E335" s="113">
        <v>38772.398437999997</v>
      </c>
      <c r="F335" s="113">
        <v>2359.1821289999998</v>
      </c>
      <c r="G335" s="113">
        <v>24627.740234000001</v>
      </c>
      <c r="H335" s="114">
        <v>3039.763672</v>
      </c>
      <c r="I335" s="113">
        <v>6508.4462890000004</v>
      </c>
      <c r="J335" s="113">
        <v>6712.5649409999996</v>
      </c>
      <c r="K335" s="113">
        <v>10906.137694999999</v>
      </c>
      <c r="L335" s="113">
        <v>59.674393000000002</v>
      </c>
      <c r="M335" s="114">
        <v>6.0400000000000004E-4</v>
      </c>
      <c r="N335" s="113">
        <v>6.0400000000000004E-4</v>
      </c>
      <c r="O335" s="113">
        <v>1.812E-3</v>
      </c>
      <c r="P335" s="114">
        <v>0.19028</v>
      </c>
      <c r="Q335" s="113">
        <v>1.2340000000000001E-3</v>
      </c>
      <c r="R335" s="113">
        <v>1.2340000000000001E-3</v>
      </c>
      <c r="S335" s="113">
        <v>3.7030000000000001E-3</v>
      </c>
      <c r="T335" s="113">
        <v>1.928E-3</v>
      </c>
      <c r="U335" s="113">
        <v>1.928E-3</v>
      </c>
      <c r="V335" s="113">
        <v>5.7840000000000001E-3</v>
      </c>
      <c r="W335" s="114">
        <v>0</v>
      </c>
    </row>
    <row r="336" spans="2:23" x14ac:dyDescent="0.75">
      <c r="B336">
        <v>2038</v>
      </c>
      <c r="C336" t="str">
        <f t="shared" si="7"/>
        <v>LPG</v>
      </c>
      <c r="D336">
        <v>3</v>
      </c>
      <c r="E336" s="113">
        <v>0.51851400000000003</v>
      </c>
      <c r="F336" s="113">
        <v>2.9929000000000001E-2</v>
      </c>
      <c r="G336" s="113">
        <v>0.81138200000000005</v>
      </c>
      <c r="H336" s="114">
        <v>5.5244000000000001E-2</v>
      </c>
      <c r="I336" s="113">
        <v>0.90457699999999996</v>
      </c>
      <c r="J336" s="113">
        <v>2.690623</v>
      </c>
      <c r="K336" s="113">
        <v>1.440232</v>
      </c>
      <c r="L336" s="113">
        <v>13.741702</v>
      </c>
      <c r="M336" s="114">
        <v>0.71090100000000001</v>
      </c>
      <c r="N336" s="113">
        <v>0.71090100000000001</v>
      </c>
      <c r="O336" s="113">
        <v>2.1327050000000001</v>
      </c>
      <c r="P336" s="114">
        <v>9.1768350000000005</v>
      </c>
      <c r="Q336" s="113">
        <v>6.4723220000000001</v>
      </c>
      <c r="R336" s="113">
        <v>6.4723220000000001</v>
      </c>
      <c r="S336" s="113">
        <v>19.416962000000002</v>
      </c>
      <c r="T336" s="113">
        <v>10.109985</v>
      </c>
      <c r="U336" s="113">
        <v>10.109985999999999</v>
      </c>
      <c r="V336" s="113">
        <v>30.327459000000001</v>
      </c>
      <c r="W336" s="114">
        <v>0</v>
      </c>
    </row>
    <row r="337" spans="2:23" x14ac:dyDescent="0.75">
      <c r="B337">
        <v>2038</v>
      </c>
      <c r="C337" t="str">
        <f t="shared" si="7"/>
        <v>CNG</v>
      </c>
      <c r="D337">
        <v>4</v>
      </c>
      <c r="E337" s="113">
        <v>794.27948000000004</v>
      </c>
      <c r="F337" s="113">
        <v>48.250660000000003</v>
      </c>
      <c r="G337" s="113">
        <v>974.52807600000006</v>
      </c>
      <c r="H337" s="114">
        <v>14.343351</v>
      </c>
      <c r="I337" s="113">
        <v>36.213242000000001</v>
      </c>
      <c r="J337" s="113">
        <v>193.11499000000001</v>
      </c>
      <c r="K337" s="113">
        <v>601.06207300000005</v>
      </c>
      <c r="L337" s="113">
        <v>37.398952000000001</v>
      </c>
      <c r="M337" s="114">
        <v>4.1185369999999999</v>
      </c>
      <c r="N337" s="113">
        <v>3.7293120000000002</v>
      </c>
      <c r="O337" s="113">
        <v>10.075051999999999</v>
      </c>
      <c r="P337" s="114">
        <v>931.45495600000004</v>
      </c>
      <c r="Q337" s="113">
        <v>122.322746</v>
      </c>
      <c r="R337" s="113">
        <v>122.558182</v>
      </c>
      <c r="S337" s="113">
        <v>368.49075299999998</v>
      </c>
      <c r="T337" s="113">
        <v>205.47163399999999</v>
      </c>
      <c r="U337" s="113">
        <v>200.214371</v>
      </c>
      <c r="V337" s="113">
        <v>607.151611</v>
      </c>
      <c r="W337" s="114">
        <v>0</v>
      </c>
    </row>
    <row r="338" spans="2:23" x14ac:dyDescent="0.75">
      <c r="B338">
        <v>2038</v>
      </c>
      <c r="C338" t="str">
        <f t="shared" si="7"/>
        <v>E85</v>
      </c>
      <c r="D338">
        <v>5</v>
      </c>
      <c r="E338" s="113">
        <v>11193.273438</v>
      </c>
      <c r="F338" s="113">
        <v>961.69122300000004</v>
      </c>
      <c r="G338" s="113">
        <v>460.47479199999998</v>
      </c>
      <c r="H338" s="114">
        <v>302.90585299999998</v>
      </c>
      <c r="I338" s="113">
        <v>131.283096</v>
      </c>
      <c r="J338" s="113">
        <v>0.149947</v>
      </c>
      <c r="K338" s="113">
        <v>0.21757199999999999</v>
      </c>
      <c r="L338" s="113">
        <v>0</v>
      </c>
      <c r="M338" s="114">
        <v>0</v>
      </c>
      <c r="N338" s="113">
        <v>0</v>
      </c>
      <c r="O338" s="113">
        <v>0</v>
      </c>
      <c r="P338" s="114">
        <v>0</v>
      </c>
      <c r="Q338" s="113">
        <v>0</v>
      </c>
      <c r="R338" s="113">
        <v>0</v>
      </c>
      <c r="S338" s="113">
        <v>0</v>
      </c>
      <c r="T338" s="113">
        <v>0</v>
      </c>
      <c r="U338" s="113">
        <v>0</v>
      </c>
      <c r="V338" s="113">
        <v>0</v>
      </c>
      <c r="W338" s="114">
        <v>0</v>
      </c>
    </row>
    <row r="339" spans="2:23" x14ac:dyDescent="0.75">
      <c r="B339">
        <v>2038</v>
      </c>
      <c r="C339" t="str">
        <f t="shared" si="7"/>
        <v>Electric</v>
      </c>
      <c r="D339">
        <v>6</v>
      </c>
      <c r="E339" s="113">
        <v>3065.3122560000002</v>
      </c>
      <c r="F339" s="113">
        <v>11.666547</v>
      </c>
      <c r="G339" s="113">
        <v>2552.421875</v>
      </c>
      <c r="H339" s="114">
        <v>7.6184000000000002E-2</v>
      </c>
      <c r="I339" s="113">
        <v>0.44780300000000001</v>
      </c>
      <c r="J339" s="113">
        <v>1.898873</v>
      </c>
      <c r="K339" s="113">
        <v>31.247800999999999</v>
      </c>
      <c r="L339" s="113">
        <v>12.156615</v>
      </c>
      <c r="M339" s="114">
        <v>0.44087500000000002</v>
      </c>
      <c r="N339" s="113">
        <v>0.44087500000000002</v>
      </c>
      <c r="O339" s="113">
        <v>1.3226249999999999</v>
      </c>
      <c r="P339" s="114">
        <v>6.3796160000000004</v>
      </c>
      <c r="Q339" s="113">
        <v>45.609096999999998</v>
      </c>
      <c r="R339" s="113">
        <v>45.609096999999998</v>
      </c>
      <c r="S339" s="113">
        <v>136.82725500000001</v>
      </c>
      <c r="T339" s="113">
        <v>71.242949999999993</v>
      </c>
      <c r="U339" s="113">
        <v>71.242965999999996</v>
      </c>
      <c r="V339" s="113">
        <v>213.72891200000001</v>
      </c>
      <c r="W339" s="114">
        <v>0</v>
      </c>
    </row>
    <row r="340" spans="2:23" x14ac:dyDescent="0.75">
      <c r="B340">
        <v>2038</v>
      </c>
      <c r="C340" t="str">
        <f t="shared" si="7"/>
        <v>PHEV diesel</v>
      </c>
      <c r="D340">
        <v>7</v>
      </c>
      <c r="E340" s="113">
        <v>0</v>
      </c>
      <c r="F340" s="113">
        <v>0</v>
      </c>
      <c r="G340" s="113">
        <v>0</v>
      </c>
      <c r="H340" s="114">
        <v>0</v>
      </c>
      <c r="I340" s="113">
        <v>0</v>
      </c>
      <c r="J340" s="113">
        <v>0</v>
      </c>
      <c r="K340" s="113">
        <v>23.567080000000001</v>
      </c>
      <c r="L340" s="113">
        <v>19.395033000000002</v>
      </c>
      <c r="M340" s="114">
        <v>0</v>
      </c>
      <c r="N340" s="113">
        <v>0</v>
      </c>
      <c r="O340" s="113">
        <v>0</v>
      </c>
      <c r="P340" s="114">
        <v>0</v>
      </c>
      <c r="Q340" s="113">
        <v>0</v>
      </c>
      <c r="R340" s="113">
        <v>0</v>
      </c>
      <c r="S340" s="113">
        <v>0</v>
      </c>
      <c r="T340" s="113">
        <v>0</v>
      </c>
      <c r="U340" s="113">
        <v>0</v>
      </c>
      <c r="V340" s="113">
        <v>0</v>
      </c>
      <c r="W340" s="114">
        <v>0</v>
      </c>
    </row>
    <row r="341" spans="2:23" x14ac:dyDescent="0.75">
      <c r="B341">
        <v>2038</v>
      </c>
      <c r="C341" t="str">
        <f t="shared" si="7"/>
        <v>PHEV gasoline</v>
      </c>
      <c r="D341">
        <v>8</v>
      </c>
      <c r="E341" s="113">
        <v>0</v>
      </c>
      <c r="F341" s="113">
        <v>0</v>
      </c>
      <c r="G341" s="113">
        <v>0</v>
      </c>
      <c r="H341" s="114">
        <v>0</v>
      </c>
      <c r="I341" s="113">
        <v>0</v>
      </c>
      <c r="J341" s="113">
        <v>0</v>
      </c>
      <c r="K341" s="113">
        <v>3.9055300000000002</v>
      </c>
      <c r="L341" s="113">
        <v>0</v>
      </c>
      <c r="M341" s="114">
        <v>0</v>
      </c>
      <c r="N341" s="113">
        <v>0</v>
      </c>
      <c r="O341" s="113">
        <v>0</v>
      </c>
      <c r="P341" s="114">
        <v>0</v>
      </c>
      <c r="Q341" s="113">
        <v>0</v>
      </c>
      <c r="R341" s="113">
        <v>0</v>
      </c>
      <c r="S341" s="113">
        <v>0</v>
      </c>
      <c r="T341" s="113">
        <v>0</v>
      </c>
      <c r="U341" s="113">
        <v>0</v>
      </c>
      <c r="V341" s="113">
        <v>0</v>
      </c>
      <c r="W341" s="114">
        <v>0</v>
      </c>
    </row>
    <row r="342" spans="2:23" x14ac:dyDescent="0.75">
      <c r="B342">
        <v>2038</v>
      </c>
      <c r="C342" t="str">
        <f t="shared" si="7"/>
        <v>H2 fuel cell, small battery</v>
      </c>
      <c r="D342">
        <v>9</v>
      </c>
      <c r="E342" s="113">
        <v>0</v>
      </c>
      <c r="F342" s="113">
        <v>0</v>
      </c>
      <c r="G342" s="113">
        <v>0</v>
      </c>
      <c r="H342" s="114">
        <v>0</v>
      </c>
      <c r="I342" s="113">
        <v>0</v>
      </c>
      <c r="J342" s="113">
        <v>0</v>
      </c>
      <c r="K342" s="113">
        <v>0</v>
      </c>
      <c r="L342" s="113">
        <v>0</v>
      </c>
      <c r="M342" s="114">
        <v>0</v>
      </c>
      <c r="N342" s="113">
        <v>0</v>
      </c>
      <c r="O342" s="113">
        <v>0</v>
      </c>
      <c r="P342" s="114">
        <v>0</v>
      </c>
      <c r="Q342" s="113">
        <v>0</v>
      </c>
      <c r="R342" s="113">
        <v>0</v>
      </c>
      <c r="S342" s="113">
        <v>0</v>
      </c>
      <c r="T342" s="113">
        <v>0</v>
      </c>
      <c r="U342" s="113">
        <v>0</v>
      </c>
      <c r="V342" s="113">
        <v>0</v>
      </c>
      <c r="W342" s="114">
        <v>0</v>
      </c>
    </row>
    <row r="343" spans="2:23" x14ac:dyDescent="0.75">
      <c r="B343">
        <v>2038</v>
      </c>
      <c r="C343" t="str">
        <f t="shared" si="7"/>
        <v>H2 fuel cell, large battery</v>
      </c>
      <c r="D343">
        <v>10</v>
      </c>
      <c r="E343" s="113">
        <v>0</v>
      </c>
      <c r="F343" s="113">
        <v>0</v>
      </c>
      <c r="G343" s="113">
        <v>0</v>
      </c>
      <c r="H343" s="114">
        <v>0</v>
      </c>
      <c r="I343" s="113">
        <v>0</v>
      </c>
      <c r="J343" s="113">
        <v>0</v>
      </c>
      <c r="K343" s="113">
        <v>0</v>
      </c>
      <c r="L343" s="113">
        <v>0</v>
      </c>
      <c r="M343" s="114">
        <v>0</v>
      </c>
      <c r="N343" s="113">
        <v>0</v>
      </c>
      <c r="O343" s="113">
        <v>0</v>
      </c>
      <c r="P343" s="114">
        <v>0</v>
      </c>
      <c r="Q343" s="113">
        <v>0</v>
      </c>
      <c r="R343" s="113">
        <v>0</v>
      </c>
      <c r="S343" s="113">
        <v>0</v>
      </c>
      <c r="T343" s="113">
        <v>0</v>
      </c>
      <c r="U343" s="113">
        <v>0</v>
      </c>
      <c r="V343" s="113">
        <v>0</v>
      </c>
      <c r="W343" s="114">
        <v>0</v>
      </c>
    </row>
    <row r="344" spans="2:23" x14ac:dyDescent="0.75">
      <c r="B344">
        <v>2038</v>
      </c>
      <c r="C344" t="str">
        <f t="shared" si="7"/>
        <v>Gasoline hybrid</v>
      </c>
      <c r="D344">
        <v>11</v>
      </c>
      <c r="E344" s="113">
        <v>10856.115234000001</v>
      </c>
      <c r="F344" s="113">
        <v>438.324951</v>
      </c>
      <c r="G344" s="113">
        <v>33411.84375</v>
      </c>
      <c r="H344" s="114">
        <v>1468.513062</v>
      </c>
      <c r="I344" s="113">
        <v>2522.9265140000002</v>
      </c>
      <c r="J344" s="113">
        <v>3307.7807619999999</v>
      </c>
      <c r="K344" s="113">
        <v>0</v>
      </c>
      <c r="L344" s="113">
        <v>0</v>
      </c>
      <c r="M344" s="114">
        <v>0</v>
      </c>
      <c r="N344" s="113">
        <v>0</v>
      </c>
      <c r="O344" s="113">
        <v>0</v>
      </c>
      <c r="P344" s="114">
        <v>0</v>
      </c>
      <c r="Q344" s="113">
        <v>0</v>
      </c>
      <c r="R344" s="113">
        <v>0</v>
      </c>
      <c r="S344" s="113">
        <v>0</v>
      </c>
      <c r="T344" s="113">
        <v>0</v>
      </c>
      <c r="U344" s="113">
        <v>0</v>
      </c>
      <c r="V344" s="113">
        <v>0</v>
      </c>
      <c r="W344" s="114">
        <v>0</v>
      </c>
    </row>
    <row r="345" spans="2:23" x14ac:dyDescent="0.75">
      <c r="B345">
        <v>2038</v>
      </c>
      <c r="C345" t="str">
        <f t="shared" si="7"/>
        <v>Hydrogen ICE</v>
      </c>
      <c r="D345">
        <v>12</v>
      </c>
      <c r="E345" s="113">
        <v>0</v>
      </c>
      <c r="F345" s="113">
        <v>0</v>
      </c>
      <c r="G345" s="113">
        <v>0</v>
      </c>
      <c r="H345" s="114">
        <v>0</v>
      </c>
      <c r="I345" s="113">
        <v>0</v>
      </c>
      <c r="J345" s="113">
        <v>0</v>
      </c>
      <c r="K345" s="113">
        <v>0</v>
      </c>
      <c r="L345" s="113">
        <v>0</v>
      </c>
      <c r="M345" s="114">
        <v>0</v>
      </c>
      <c r="N345" s="113">
        <v>0</v>
      </c>
      <c r="O345" s="113">
        <v>0</v>
      </c>
      <c r="P345" s="114">
        <v>0</v>
      </c>
      <c r="Q345" s="113">
        <v>0</v>
      </c>
      <c r="R345" s="113">
        <v>0</v>
      </c>
      <c r="S345" s="113">
        <v>0</v>
      </c>
      <c r="T345" s="113">
        <v>0</v>
      </c>
      <c r="U345" s="113">
        <v>0</v>
      </c>
      <c r="V345" s="113">
        <v>0</v>
      </c>
      <c r="W345" s="114">
        <v>0</v>
      </c>
    </row>
    <row r="346" spans="2:23" x14ac:dyDescent="0.75">
      <c r="B346">
        <v>2039</v>
      </c>
      <c r="C346" t="str">
        <f t="shared" si="7"/>
        <v>Diesel</v>
      </c>
      <c r="D346">
        <v>1</v>
      </c>
      <c r="E346" s="113">
        <v>11451.534180000001</v>
      </c>
      <c r="F346" s="113">
        <v>367.766144</v>
      </c>
      <c r="G346" s="113">
        <v>31089.757812</v>
      </c>
      <c r="H346" s="114">
        <v>2134.0820309999999</v>
      </c>
      <c r="I346" s="113">
        <v>5360.2016599999997</v>
      </c>
      <c r="J346" s="113">
        <v>8621.9287110000005</v>
      </c>
      <c r="K346" s="113">
        <v>13649.617188</v>
      </c>
      <c r="L346" s="113">
        <v>8193.9042969999991</v>
      </c>
      <c r="M346" s="114">
        <v>1588.748169</v>
      </c>
      <c r="N346" s="113">
        <v>1588.841064</v>
      </c>
      <c r="O346" s="113">
        <v>4767.6171880000002</v>
      </c>
      <c r="P346" s="114">
        <v>21438.734375</v>
      </c>
      <c r="Q346" s="113">
        <v>14329.399414</v>
      </c>
      <c r="R346" s="113">
        <v>14329.194336</v>
      </c>
      <c r="S346" s="113">
        <v>42986.894530999998</v>
      </c>
      <c r="T346" s="113">
        <v>22363.755859000001</v>
      </c>
      <c r="U346" s="113">
        <v>22370.539062</v>
      </c>
      <c r="V346" s="113">
        <v>67100.414061999996</v>
      </c>
      <c r="W346" s="114">
        <v>5.0834270000000004</v>
      </c>
    </row>
    <row r="347" spans="2:23" x14ac:dyDescent="0.75">
      <c r="B347">
        <v>2039</v>
      </c>
      <c r="C347" t="str">
        <f t="shared" si="7"/>
        <v>Gasoline</v>
      </c>
      <c r="D347">
        <v>2</v>
      </c>
      <c r="E347" s="113">
        <v>37603.582030999998</v>
      </c>
      <c r="F347" s="113">
        <v>2242.7434079999998</v>
      </c>
      <c r="G347" s="113">
        <v>23930.826172000001</v>
      </c>
      <c r="H347" s="114">
        <v>2906.3408199999999</v>
      </c>
      <c r="I347" s="113">
        <v>6242.0981449999999</v>
      </c>
      <c r="J347" s="113">
        <v>6524.6679690000001</v>
      </c>
      <c r="K347" s="113">
        <v>11121.799805000001</v>
      </c>
      <c r="L347" s="113">
        <v>57.848171000000001</v>
      </c>
      <c r="M347" s="114">
        <v>4.2299999999999998E-4</v>
      </c>
      <c r="N347" s="113">
        <v>4.2299999999999998E-4</v>
      </c>
      <c r="O347" s="113">
        <v>1.2700000000000001E-3</v>
      </c>
      <c r="P347" s="114">
        <v>0.14427699999999999</v>
      </c>
      <c r="Q347" s="113">
        <v>1.0150000000000001E-3</v>
      </c>
      <c r="R347" s="113">
        <v>1.0150000000000001E-3</v>
      </c>
      <c r="S347" s="113">
        <v>3.045E-3</v>
      </c>
      <c r="T347" s="113">
        <v>1.586E-3</v>
      </c>
      <c r="U347" s="113">
        <v>1.586E-3</v>
      </c>
      <c r="V347" s="113">
        <v>4.7569999999999999E-3</v>
      </c>
      <c r="W347" s="114">
        <v>0</v>
      </c>
    </row>
    <row r="348" spans="2:23" x14ac:dyDescent="0.75">
      <c r="B348">
        <v>2039</v>
      </c>
      <c r="C348" t="str">
        <f t="shared" si="7"/>
        <v>LPG</v>
      </c>
      <c r="D348">
        <v>3</v>
      </c>
      <c r="E348" s="113">
        <v>0.53605800000000003</v>
      </c>
      <c r="F348" s="113">
        <v>3.1209000000000001E-2</v>
      </c>
      <c r="G348" s="113">
        <v>0.83531599999999995</v>
      </c>
      <c r="H348" s="114">
        <v>5.7540000000000001E-2</v>
      </c>
      <c r="I348" s="113">
        <v>0.82825000000000004</v>
      </c>
      <c r="J348" s="113">
        <v>2.485932</v>
      </c>
      <c r="K348" s="113">
        <v>1.341391</v>
      </c>
      <c r="L348" s="113">
        <v>12.819782</v>
      </c>
      <c r="M348" s="114">
        <v>0.72558</v>
      </c>
      <c r="N348" s="113">
        <v>0.72558</v>
      </c>
      <c r="O348" s="113">
        <v>2.176742</v>
      </c>
      <c r="P348" s="114">
        <v>9.4607869999999998</v>
      </c>
      <c r="Q348" s="113">
        <v>6.6034709999999999</v>
      </c>
      <c r="R348" s="113">
        <v>6.6034709999999999</v>
      </c>
      <c r="S348" s="113">
        <v>19.810410999999998</v>
      </c>
      <c r="T348" s="113">
        <v>10.314843</v>
      </c>
      <c r="U348" s="113">
        <v>10.314845999999999</v>
      </c>
      <c r="V348" s="113">
        <v>30.941986</v>
      </c>
      <c r="W348" s="114">
        <v>0</v>
      </c>
    </row>
    <row r="349" spans="2:23" x14ac:dyDescent="0.75">
      <c r="B349">
        <v>2039</v>
      </c>
      <c r="C349" t="str">
        <f t="shared" si="7"/>
        <v>CNG</v>
      </c>
      <c r="D349">
        <v>4</v>
      </c>
      <c r="E349" s="113">
        <v>878.50433299999997</v>
      </c>
      <c r="F349" s="113">
        <v>53.007584000000001</v>
      </c>
      <c r="G349" s="113">
        <v>1038.7078859999999</v>
      </c>
      <c r="H349" s="114">
        <v>14.56499</v>
      </c>
      <c r="I349" s="113">
        <v>37.281185000000001</v>
      </c>
      <c r="J349" s="113">
        <v>197.831039</v>
      </c>
      <c r="K349" s="113">
        <v>616.50976600000001</v>
      </c>
      <c r="L349" s="113">
        <v>37.489623999999999</v>
      </c>
      <c r="M349" s="114">
        <v>4.2014060000000004</v>
      </c>
      <c r="N349" s="113">
        <v>4.1091730000000002</v>
      </c>
      <c r="O349" s="113">
        <v>11.234538000000001</v>
      </c>
      <c r="P349" s="114">
        <v>938.20574999999997</v>
      </c>
      <c r="Q349" s="113">
        <v>123.340446</v>
      </c>
      <c r="R349" s="113">
        <v>123.543098</v>
      </c>
      <c r="S349" s="113">
        <v>371.32409699999999</v>
      </c>
      <c r="T349" s="113">
        <v>211.87115499999999</v>
      </c>
      <c r="U349" s="113">
        <v>205.11393699999999</v>
      </c>
      <c r="V349" s="113">
        <v>620.94372599999997</v>
      </c>
      <c r="W349" s="114">
        <v>0</v>
      </c>
    </row>
    <row r="350" spans="2:23" x14ac:dyDescent="0.75">
      <c r="B350">
        <v>2039</v>
      </c>
      <c r="C350" t="str">
        <f t="shared" si="7"/>
        <v>E85</v>
      </c>
      <c r="D350">
        <v>5</v>
      </c>
      <c r="E350" s="113">
        <v>11153.011719</v>
      </c>
      <c r="F350" s="113">
        <v>908.32574499999998</v>
      </c>
      <c r="G350" s="113">
        <v>413.40121499999998</v>
      </c>
      <c r="H350" s="114">
        <v>266.02108800000002</v>
      </c>
      <c r="I350" s="113">
        <v>121.57517199999999</v>
      </c>
      <c r="J350" s="113">
        <v>0.15423200000000001</v>
      </c>
      <c r="K350" s="113">
        <v>0.223857</v>
      </c>
      <c r="L350" s="113">
        <v>0</v>
      </c>
      <c r="M350" s="114">
        <v>0</v>
      </c>
      <c r="N350" s="113">
        <v>0</v>
      </c>
      <c r="O350" s="113">
        <v>0</v>
      </c>
      <c r="P350" s="114">
        <v>0</v>
      </c>
      <c r="Q350" s="113">
        <v>0</v>
      </c>
      <c r="R350" s="113">
        <v>0</v>
      </c>
      <c r="S350" s="113">
        <v>0</v>
      </c>
      <c r="T350" s="113">
        <v>0</v>
      </c>
      <c r="U350" s="113">
        <v>0</v>
      </c>
      <c r="V350" s="113">
        <v>0</v>
      </c>
      <c r="W350" s="114">
        <v>0</v>
      </c>
    </row>
    <row r="351" spans="2:23" x14ac:dyDescent="0.75">
      <c r="B351">
        <v>2039</v>
      </c>
      <c r="C351" t="str">
        <f t="shared" si="7"/>
        <v>Electric</v>
      </c>
      <c r="D351">
        <v>6</v>
      </c>
      <c r="E351" s="113">
        <v>3416.211182</v>
      </c>
      <c r="F351" s="113">
        <v>16.714079000000002</v>
      </c>
      <c r="G351" s="113">
        <v>3293.2211910000001</v>
      </c>
      <c r="H351" s="114">
        <v>6.7721000000000003E-2</v>
      </c>
      <c r="I351" s="113">
        <v>0.40962900000000002</v>
      </c>
      <c r="J351" s="113">
        <v>1.9268639999999999</v>
      </c>
      <c r="K351" s="113">
        <v>31.723331000000002</v>
      </c>
      <c r="L351" s="113">
        <v>12.428879</v>
      </c>
      <c r="M351" s="114">
        <v>0.44749100000000003</v>
      </c>
      <c r="N351" s="113">
        <v>0.44749100000000003</v>
      </c>
      <c r="O351" s="113">
        <v>1.342473</v>
      </c>
      <c r="P351" s="114">
        <v>6.515968</v>
      </c>
      <c r="Q351" s="113">
        <v>46.323611999999997</v>
      </c>
      <c r="R351" s="113">
        <v>46.323611999999997</v>
      </c>
      <c r="S351" s="113">
        <v>138.97084000000001</v>
      </c>
      <c r="T351" s="113">
        <v>72.359047000000004</v>
      </c>
      <c r="U351" s="113">
        <v>72.359076999999999</v>
      </c>
      <c r="V351" s="113">
        <v>217.077225</v>
      </c>
      <c r="W351" s="114">
        <v>0</v>
      </c>
    </row>
    <row r="352" spans="2:23" x14ac:dyDescent="0.75">
      <c r="B352">
        <v>2039</v>
      </c>
      <c r="C352" t="str">
        <f t="shared" si="7"/>
        <v>PHEV diesel</v>
      </c>
      <c r="D352">
        <v>7</v>
      </c>
      <c r="E352" s="113">
        <v>0</v>
      </c>
      <c r="F352" s="113">
        <v>0</v>
      </c>
      <c r="G352" s="113">
        <v>0</v>
      </c>
      <c r="H352" s="114">
        <v>0</v>
      </c>
      <c r="I352" s="113">
        <v>0</v>
      </c>
      <c r="J352" s="113">
        <v>0</v>
      </c>
      <c r="K352" s="113">
        <v>21.628585999999999</v>
      </c>
      <c r="L352" s="113">
        <v>19.207182</v>
      </c>
      <c r="M352" s="114">
        <v>0</v>
      </c>
      <c r="N352" s="113">
        <v>0</v>
      </c>
      <c r="O352" s="113">
        <v>0</v>
      </c>
      <c r="P352" s="114">
        <v>0</v>
      </c>
      <c r="Q352" s="113">
        <v>0</v>
      </c>
      <c r="R352" s="113">
        <v>0</v>
      </c>
      <c r="S352" s="113">
        <v>0</v>
      </c>
      <c r="T352" s="113">
        <v>0</v>
      </c>
      <c r="U352" s="113">
        <v>0</v>
      </c>
      <c r="V352" s="113">
        <v>0</v>
      </c>
      <c r="W352" s="114">
        <v>0</v>
      </c>
    </row>
    <row r="353" spans="2:23" x14ac:dyDescent="0.75">
      <c r="B353">
        <v>2039</v>
      </c>
      <c r="C353" t="str">
        <f t="shared" si="7"/>
        <v>PHEV gasoline</v>
      </c>
      <c r="D353">
        <v>8</v>
      </c>
      <c r="E353" s="113">
        <v>0</v>
      </c>
      <c r="F353" s="113">
        <v>0</v>
      </c>
      <c r="G353" s="113">
        <v>0</v>
      </c>
      <c r="H353" s="114">
        <v>0</v>
      </c>
      <c r="I353" s="113">
        <v>0</v>
      </c>
      <c r="J353" s="113">
        <v>0</v>
      </c>
      <c r="K353" s="113">
        <v>3.606179</v>
      </c>
      <c r="L353" s="113">
        <v>0</v>
      </c>
      <c r="M353" s="114">
        <v>0</v>
      </c>
      <c r="N353" s="113">
        <v>0</v>
      </c>
      <c r="O353" s="113">
        <v>0</v>
      </c>
      <c r="P353" s="114">
        <v>0</v>
      </c>
      <c r="Q353" s="113">
        <v>0</v>
      </c>
      <c r="R353" s="113">
        <v>0</v>
      </c>
      <c r="S353" s="113">
        <v>0</v>
      </c>
      <c r="T353" s="113">
        <v>0</v>
      </c>
      <c r="U353" s="113">
        <v>0</v>
      </c>
      <c r="V353" s="113">
        <v>0</v>
      </c>
      <c r="W353" s="114">
        <v>0</v>
      </c>
    </row>
    <row r="354" spans="2:23" x14ac:dyDescent="0.75">
      <c r="B354">
        <v>2039</v>
      </c>
      <c r="C354" t="str">
        <f t="shared" si="7"/>
        <v>H2 fuel cell, small battery</v>
      </c>
      <c r="D354">
        <v>9</v>
      </c>
      <c r="E354" s="113">
        <v>0</v>
      </c>
      <c r="F354" s="113">
        <v>0</v>
      </c>
      <c r="G354" s="113">
        <v>0</v>
      </c>
      <c r="H354" s="114">
        <v>0</v>
      </c>
      <c r="I354" s="113">
        <v>0</v>
      </c>
      <c r="J354" s="113">
        <v>0</v>
      </c>
      <c r="K354" s="113">
        <v>0</v>
      </c>
      <c r="L354" s="113">
        <v>0</v>
      </c>
      <c r="M354" s="114">
        <v>0</v>
      </c>
      <c r="N354" s="113">
        <v>0</v>
      </c>
      <c r="O354" s="113">
        <v>0</v>
      </c>
      <c r="P354" s="114">
        <v>0</v>
      </c>
      <c r="Q354" s="113">
        <v>0</v>
      </c>
      <c r="R354" s="113">
        <v>0</v>
      </c>
      <c r="S354" s="113">
        <v>0</v>
      </c>
      <c r="T354" s="113">
        <v>0</v>
      </c>
      <c r="U354" s="113">
        <v>0</v>
      </c>
      <c r="V354" s="113">
        <v>0</v>
      </c>
      <c r="W354" s="114">
        <v>0</v>
      </c>
    </row>
    <row r="355" spans="2:23" x14ac:dyDescent="0.75">
      <c r="B355">
        <v>2039</v>
      </c>
      <c r="C355" t="str">
        <f t="shared" ref="C355:C418" si="8">C343</f>
        <v>H2 fuel cell, large battery</v>
      </c>
      <c r="D355">
        <v>10</v>
      </c>
      <c r="E355" s="113">
        <v>0</v>
      </c>
      <c r="F355" s="113">
        <v>0</v>
      </c>
      <c r="G355" s="113">
        <v>0</v>
      </c>
      <c r="H355" s="114">
        <v>0</v>
      </c>
      <c r="I355" s="113">
        <v>0</v>
      </c>
      <c r="J355" s="113">
        <v>0</v>
      </c>
      <c r="K355" s="113">
        <v>0</v>
      </c>
      <c r="L355" s="113">
        <v>0</v>
      </c>
      <c r="M355" s="114">
        <v>0</v>
      </c>
      <c r="N355" s="113">
        <v>0</v>
      </c>
      <c r="O355" s="113">
        <v>0</v>
      </c>
      <c r="P355" s="114">
        <v>0</v>
      </c>
      <c r="Q355" s="113">
        <v>0</v>
      </c>
      <c r="R355" s="113">
        <v>0</v>
      </c>
      <c r="S355" s="113">
        <v>0</v>
      </c>
      <c r="T355" s="113">
        <v>0</v>
      </c>
      <c r="U355" s="113">
        <v>0</v>
      </c>
      <c r="V355" s="113">
        <v>0</v>
      </c>
      <c r="W355" s="114">
        <v>0</v>
      </c>
    </row>
    <row r="356" spans="2:23" x14ac:dyDescent="0.75">
      <c r="B356">
        <v>2039</v>
      </c>
      <c r="C356" t="str">
        <f t="shared" si="8"/>
        <v>Gasoline hybrid</v>
      </c>
      <c r="D356">
        <v>11</v>
      </c>
      <c r="E356" s="113">
        <v>12033.826171999999</v>
      </c>
      <c r="F356" s="113">
        <v>539.66394000000003</v>
      </c>
      <c r="G356" s="113">
        <v>36892.199219000002</v>
      </c>
      <c r="H356" s="114">
        <v>1750.901001</v>
      </c>
      <c r="I356" s="113">
        <v>2982.8562010000001</v>
      </c>
      <c r="J356" s="113">
        <v>3910.9604490000002</v>
      </c>
      <c r="K356" s="113">
        <v>0</v>
      </c>
      <c r="L356" s="113">
        <v>0</v>
      </c>
      <c r="M356" s="114">
        <v>0</v>
      </c>
      <c r="N356" s="113">
        <v>0</v>
      </c>
      <c r="O356" s="113">
        <v>0</v>
      </c>
      <c r="P356" s="114">
        <v>0</v>
      </c>
      <c r="Q356" s="113">
        <v>0</v>
      </c>
      <c r="R356" s="113">
        <v>0</v>
      </c>
      <c r="S356" s="113">
        <v>0</v>
      </c>
      <c r="T356" s="113">
        <v>0</v>
      </c>
      <c r="U356" s="113">
        <v>0</v>
      </c>
      <c r="V356" s="113">
        <v>0</v>
      </c>
      <c r="W356" s="114">
        <v>0</v>
      </c>
    </row>
    <row r="357" spans="2:23" x14ac:dyDescent="0.75">
      <c r="B357">
        <v>2039</v>
      </c>
      <c r="C357" t="str">
        <f t="shared" si="8"/>
        <v>Hydrogen ICE</v>
      </c>
      <c r="D357">
        <v>12</v>
      </c>
      <c r="E357" s="113">
        <v>0</v>
      </c>
      <c r="F357" s="113">
        <v>0</v>
      </c>
      <c r="G357" s="113">
        <v>0</v>
      </c>
      <c r="H357" s="114">
        <v>0</v>
      </c>
      <c r="I357" s="113">
        <v>0</v>
      </c>
      <c r="J357" s="113">
        <v>0</v>
      </c>
      <c r="K357" s="113">
        <v>0</v>
      </c>
      <c r="L357" s="113">
        <v>0</v>
      </c>
      <c r="M357" s="114">
        <v>0</v>
      </c>
      <c r="N357" s="113">
        <v>0</v>
      </c>
      <c r="O357" s="113">
        <v>0</v>
      </c>
      <c r="P357" s="114">
        <v>0</v>
      </c>
      <c r="Q357" s="113">
        <v>0</v>
      </c>
      <c r="R357" s="113">
        <v>0</v>
      </c>
      <c r="S357" s="113">
        <v>0</v>
      </c>
      <c r="T357" s="113">
        <v>0</v>
      </c>
      <c r="U357" s="113">
        <v>0</v>
      </c>
      <c r="V357" s="113">
        <v>0</v>
      </c>
      <c r="W357" s="114">
        <v>0</v>
      </c>
    </row>
    <row r="358" spans="2:23" x14ac:dyDescent="0.75">
      <c r="B358">
        <v>2040</v>
      </c>
      <c r="C358" t="str">
        <f t="shared" si="8"/>
        <v>Diesel</v>
      </c>
      <c r="D358">
        <v>1</v>
      </c>
      <c r="E358" s="113">
        <v>10688.796875</v>
      </c>
      <c r="F358" s="113">
        <v>360.36508199999997</v>
      </c>
      <c r="G358" s="113">
        <v>29476.845702999999</v>
      </c>
      <c r="H358" s="114">
        <v>2053.091797</v>
      </c>
      <c r="I358" s="113">
        <v>5151.5888670000004</v>
      </c>
      <c r="J358" s="113">
        <v>8215.6484380000002</v>
      </c>
      <c r="K358" s="113">
        <v>13607.241211</v>
      </c>
      <c r="L358" s="113">
        <v>8174.8056640000004</v>
      </c>
      <c r="M358" s="114">
        <v>1595.3055420000001</v>
      </c>
      <c r="N358" s="113">
        <v>1595.463501</v>
      </c>
      <c r="O358" s="113">
        <v>4786.6201170000004</v>
      </c>
      <c r="P358" s="114">
        <v>21514.501952999999</v>
      </c>
      <c r="Q358" s="113">
        <v>14422.550781</v>
      </c>
      <c r="R358" s="113">
        <v>14423.044921999999</v>
      </c>
      <c r="S358" s="113">
        <v>43268.542969000002</v>
      </c>
      <c r="T358" s="113">
        <v>22502.753906000002</v>
      </c>
      <c r="U358" s="113">
        <v>22513.109375</v>
      </c>
      <c r="V358" s="113">
        <v>67526.382811999996</v>
      </c>
      <c r="W358" s="114">
        <v>5.0656049999999997</v>
      </c>
    </row>
    <row r="359" spans="2:23" x14ac:dyDescent="0.75">
      <c r="B359">
        <v>2040</v>
      </c>
      <c r="C359" t="str">
        <f t="shared" si="8"/>
        <v>Gasoline</v>
      </c>
      <c r="D359">
        <v>2</v>
      </c>
      <c r="E359" s="113">
        <v>36386.398437999997</v>
      </c>
      <c r="F359" s="113">
        <v>2119.201904</v>
      </c>
      <c r="G359" s="113">
        <v>23242.095702999999</v>
      </c>
      <c r="H359" s="114">
        <v>2778.8095699999999</v>
      </c>
      <c r="I359" s="113">
        <v>5980.6381840000004</v>
      </c>
      <c r="J359" s="113">
        <v>6338.3569340000004</v>
      </c>
      <c r="K359" s="113">
        <v>11330.639648</v>
      </c>
      <c r="L359" s="113">
        <v>56.541245000000004</v>
      </c>
      <c r="M359" s="114">
        <v>2.9700000000000001E-4</v>
      </c>
      <c r="N359" s="113">
        <v>2.9700000000000001E-4</v>
      </c>
      <c r="O359" s="113">
        <v>8.9099999999999997E-4</v>
      </c>
      <c r="P359" s="114">
        <v>0.11026900000000001</v>
      </c>
      <c r="Q359" s="113">
        <v>8.5999999999999998E-4</v>
      </c>
      <c r="R359" s="113">
        <v>8.5999999999999998E-4</v>
      </c>
      <c r="S359" s="113">
        <v>2.5790000000000001E-3</v>
      </c>
      <c r="T359" s="113">
        <v>1.343E-3</v>
      </c>
      <c r="U359" s="113">
        <v>1.343E-3</v>
      </c>
      <c r="V359" s="113">
        <v>4.0289999999999996E-3</v>
      </c>
      <c r="W359" s="114">
        <v>0</v>
      </c>
    </row>
    <row r="360" spans="2:23" x14ac:dyDescent="0.75">
      <c r="B360">
        <v>2040</v>
      </c>
      <c r="C360" t="str">
        <f t="shared" si="8"/>
        <v>LPG</v>
      </c>
      <c r="D360">
        <v>3</v>
      </c>
      <c r="E360" s="113">
        <v>0.55126500000000001</v>
      </c>
      <c r="F360" s="113">
        <v>3.2346E-2</v>
      </c>
      <c r="G360" s="113">
        <v>0.85995999999999995</v>
      </c>
      <c r="H360" s="114">
        <v>5.9797999999999997E-2</v>
      </c>
      <c r="I360" s="113">
        <v>0.76452699999999996</v>
      </c>
      <c r="J360" s="113">
        <v>2.3089629999999999</v>
      </c>
      <c r="K360" s="113">
        <v>1.2732110000000001</v>
      </c>
      <c r="L360" s="113">
        <v>12.062911</v>
      </c>
      <c r="M360" s="114">
        <v>0.73857799999999996</v>
      </c>
      <c r="N360" s="113">
        <v>0.73857899999999999</v>
      </c>
      <c r="O360" s="113">
        <v>2.2157360000000001</v>
      </c>
      <c r="P360" s="114">
        <v>9.7263099999999998</v>
      </c>
      <c r="Q360" s="113">
        <v>6.7224680000000001</v>
      </c>
      <c r="R360" s="113">
        <v>6.7224690000000002</v>
      </c>
      <c r="S360" s="113">
        <v>20.167408000000002</v>
      </c>
      <c r="T360" s="113">
        <v>10.500717</v>
      </c>
      <c r="U360" s="113">
        <v>10.500721</v>
      </c>
      <c r="V360" s="113">
        <v>31.499562999999998</v>
      </c>
      <c r="W360" s="114">
        <v>0</v>
      </c>
    </row>
    <row r="361" spans="2:23" x14ac:dyDescent="0.75">
      <c r="B361">
        <v>2040</v>
      </c>
      <c r="C361" t="str">
        <f t="shared" si="8"/>
        <v>CNG</v>
      </c>
      <c r="D361">
        <v>4</v>
      </c>
      <c r="E361" s="113">
        <v>969.33252000000005</v>
      </c>
      <c r="F361" s="113">
        <v>58.223652000000001</v>
      </c>
      <c r="G361" s="113">
        <v>1116.7216800000001</v>
      </c>
      <c r="H361" s="114">
        <v>14.827420999999999</v>
      </c>
      <c r="I361" s="113">
        <v>38.348224999999999</v>
      </c>
      <c r="J361" s="113">
        <v>202.33865399999999</v>
      </c>
      <c r="K361" s="113">
        <v>630.78149399999995</v>
      </c>
      <c r="L361" s="113">
        <v>37.607059</v>
      </c>
      <c r="M361" s="114">
        <v>4.3572009999999999</v>
      </c>
      <c r="N361" s="113">
        <v>4.2007339999999997</v>
      </c>
      <c r="O361" s="113">
        <v>12.376575000000001</v>
      </c>
      <c r="P361" s="114">
        <v>945.59906000000001</v>
      </c>
      <c r="Q361" s="113">
        <v>125.100838</v>
      </c>
      <c r="R361" s="113">
        <v>124.602638</v>
      </c>
      <c r="S361" s="113">
        <v>374.39321899999999</v>
      </c>
      <c r="T361" s="113">
        <v>221.10221899999999</v>
      </c>
      <c r="U361" s="113">
        <v>210.77427700000001</v>
      </c>
      <c r="V361" s="113">
        <v>639.60022000000004</v>
      </c>
      <c r="W361" s="114">
        <v>0</v>
      </c>
    </row>
    <row r="362" spans="2:23" x14ac:dyDescent="0.75">
      <c r="B362">
        <v>2040</v>
      </c>
      <c r="C362" t="str">
        <f t="shared" si="8"/>
        <v>E85</v>
      </c>
      <c r="D362">
        <v>5</v>
      </c>
      <c r="E362" s="113">
        <v>11114.408203000001</v>
      </c>
      <c r="F362" s="113">
        <v>862.80102499999998</v>
      </c>
      <c r="G362" s="113">
        <v>371.14038099999999</v>
      </c>
      <c r="H362" s="114">
        <v>233.06997699999999</v>
      </c>
      <c r="I362" s="113">
        <v>113.402023</v>
      </c>
      <c r="J362" s="113">
        <v>0.15826599999999999</v>
      </c>
      <c r="K362" s="113">
        <v>0.229849</v>
      </c>
      <c r="L362" s="113">
        <v>0</v>
      </c>
      <c r="M362" s="114">
        <v>0</v>
      </c>
      <c r="N362" s="113">
        <v>0</v>
      </c>
      <c r="O362" s="113">
        <v>0</v>
      </c>
      <c r="P362" s="114">
        <v>0</v>
      </c>
      <c r="Q362" s="113">
        <v>0</v>
      </c>
      <c r="R362" s="113">
        <v>0</v>
      </c>
      <c r="S362" s="113">
        <v>0</v>
      </c>
      <c r="T362" s="113">
        <v>0</v>
      </c>
      <c r="U362" s="113">
        <v>0</v>
      </c>
      <c r="V362" s="113">
        <v>0</v>
      </c>
      <c r="W362" s="114">
        <v>0</v>
      </c>
    </row>
    <row r="363" spans="2:23" x14ac:dyDescent="0.75">
      <c r="B363">
        <v>2040</v>
      </c>
      <c r="C363" t="str">
        <f t="shared" si="8"/>
        <v>Electric</v>
      </c>
      <c r="D363">
        <v>6</v>
      </c>
      <c r="E363" s="113">
        <v>3779.8305660000001</v>
      </c>
      <c r="F363" s="113">
        <v>23.838374999999999</v>
      </c>
      <c r="G363" s="113">
        <v>4127.9594729999999</v>
      </c>
      <c r="H363" s="114">
        <v>5.9983000000000002E-2</v>
      </c>
      <c r="I363" s="113">
        <v>0.37544</v>
      </c>
      <c r="J363" s="113">
        <v>1.9520109999999999</v>
      </c>
      <c r="K363" s="113">
        <v>32.170344999999998</v>
      </c>
      <c r="L363" s="113">
        <v>12.692786999999999</v>
      </c>
      <c r="M363" s="114">
        <v>0.45407799999999998</v>
      </c>
      <c r="N363" s="113">
        <v>0.45407799999999998</v>
      </c>
      <c r="O363" s="113">
        <v>1.3622350000000001</v>
      </c>
      <c r="P363" s="114">
        <v>6.6441350000000003</v>
      </c>
      <c r="Q363" s="113">
        <v>46.994045</v>
      </c>
      <c r="R363" s="113">
        <v>46.994045</v>
      </c>
      <c r="S363" s="113">
        <v>140.982147</v>
      </c>
      <c r="T363" s="113">
        <v>73.406265000000005</v>
      </c>
      <c r="U363" s="113">
        <v>73.406302999999994</v>
      </c>
      <c r="V363" s="113">
        <v>220.218887</v>
      </c>
      <c r="W363" s="114">
        <v>0</v>
      </c>
    </row>
    <row r="364" spans="2:23" x14ac:dyDescent="0.75">
      <c r="B364">
        <v>2040</v>
      </c>
      <c r="C364" t="str">
        <f t="shared" si="8"/>
        <v>PHEV diesel</v>
      </c>
      <c r="D364">
        <v>7</v>
      </c>
      <c r="E364" s="113">
        <v>0</v>
      </c>
      <c r="F364" s="113">
        <v>0</v>
      </c>
      <c r="G364" s="113">
        <v>0</v>
      </c>
      <c r="H364" s="114">
        <v>0</v>
      </c>
      <c r="I364" s="113">
        <v>0</v>
      </c>
      <c r="J364" s="113">
        <v>0</v>
      </c>
      <c r="K364" s="113">
        <v>19.868781999999999</v>
      </c>
      <c r="L364" s="113">
        <v>18.938793</v>
      </c>
      <c r="M364" s="114">
        <v>0</v>
      </c>
      <c r="N364" s="113">
        <v>0</v>
      </c>
      <c r="O364" s="113">
        <v>0</v>
      </c>
      <c r="P364" s="114">
        <v>0</v>
      </c>
      <c r="Q364" s="113">
        <v>0</v>
      </c>
      <c r="R364" s="113">
        <v>0</v>
      </c>
      <c r="S364" s="113">
        <v>0</v>
      </c>
      <c r="T364" s="113">
        <v>0</v>
      </c>
      <c r="U364" s="113">
        <v>0</v>
      </c>
      <c r="V364" s="113">
        <v>0</v>
      </c>
      <c r="W364" s="114">
        <v>0</v>
      </c>
    </row>
    <row r="365" spans="2:23" x14ac:dyDescent="0.75">
      <c r="B365">
        <v>2040</v>
      </c>
      <c r="C365" t="str">
        <f t="shared" si="8"/>
        <v>PHEV gasoline</v>
      </c>
      <c r="D365">
        <v>8</v>
      </c>
      <c r="E365" s="113">
        <v>0</v>
      </c>
      <c r="F365" s="113">
        <v>0</v>
      </c>
      <c r="G365" s="113">
        <v>0</v>
      </c>
      <c r="H365" s="114">
        <v>0</v>
      </c>
      <c r="I365" s="113">
        <v>0</v>
      </c>
      <c r="J365" s="113">
        <v>0</v>
      </c>
      <c r="K365" s="113">
        <v>3.344395</v>
      </c>
      <c r="L365" s="113">
        <v>0</v>
      </c>
      <c r="M365" s="114">
        <v>0</v>
      </c>
      <c r="N365" s="113">
        <v>0</v>
      </c>
      <c r="O365" s="113">
        <v>0</v>
      </c>
      <c r="P365" s="114">
        <v>0</v>
      </c>
      <c r="Q365" s="113">
        <v>0</v>
      </c>
      <c r="R365" s="113">
        <v>0</v>
      </c>
      <c r="S365" s="113">
        <v>0</v>
      </c>
      <c r="T365" s="113">
        <v>0</v>
      </c>
      <c r="U365" s="113">
        <v>0</v>
      </c>
      <c r="V365" s="113">
        <v>0</v>
      </c>
      <c r="W365" s="114">
        <v>0</v>
      </c>
    </row>
    <row r="366" spans="2:23" x14ac:dyDescent="0.75">
      <c r="B366">
        <v>2040</v>
      </c>
      <c r="C366" t="str">
        <f t="shared" si="8"/>
        <v>H2 fuel cell, small battery</v>
      </c>
      <c r="D366">
        <v>9</v>
      </c>
      <c r="E366" s="113">
        <v>0</v>
      </c>
      <c r="F366" s="113">
        <v>0</v>
      </c>
      <c r="G366" s="113">
        <v>0</v>
      </c>
      <c r="H366" s="114">
        <v>0</v>
      </c>
      <c r="I366" s="113">
        <v>0</v>
      </c>
      <c r="J366" s="113">
        <v>0</v>
      </c>
      <c r="K366" s="113">
        <v>0</v>
      </c>
      <c r="L366" s="113">
        <v>0</v>
      </c>
      <c r="M366" s="114">
        <v>0</v>
      </c>
      <c r="N366" s="113">
        <v>0</v>
      </c>
      <c r="O366" s="113">
        <v>0</v>
      </c>
      <c r="P366" s="114">
        <v>0</v>
      </c>
      <c r="Q366" s="113">
        <v>0</v>
      </c>
      <c r="R366" s="113">
        <v>0</v>
      </c>
      <c r="S366" s="113">
        <v>0</v>
      </c>
      <c r="T366" s="113">
        <v>0</v>
      </c>
      <c r="U366" s="113">
        <v>0</v>
      </c>
      <c r="V366" s="113">
        <v>0</v>
      </c>
      <c r="W366" s="114">
        <v>0</v>
      </c>
    </row>
    <row r="367" spans="2:23" x14ac:dyDescent="0.75">
      <c r="B367">
        <v>2040</v>
      </c>
      <c r="C367" t="str">
        <f t="shared" si="8"/>
        <v>H2 fuel cell, large battery</v>
      </c>
      <c r="D367">
        <v>10</v>
      </c>
      <c r="E367" s="113">
        <v>0</v>
      </c>
      <c r="F367" s="113">
        <v>0</v>
      </c>
      <c r="G367" s="113">
        <v>0</v>
      </c>
      <c r="H367" s="114">
        <v>0</v>
      </c>
      <c r="I367" s="113">
        <v>0</v>
      </c>
      <c r="J367" s="113">
        <v>0</v>
      </c>
      <c r="K367" s="113">
        <v>0</v>
      </c>
      <c r="L367" s="113">
        <v>0</v>
      </c>
      <c r="M367" s="114">
        <v>0</v>
      </c>
      <c r="N367" s="113">
        <v>0</v>
      </c>
      <c r="O367" s="113">
        <v>0</v>
      </c>
      <c r="P367" s="114">
        <v>0</v>
      </c>
      <c r="Q367" s="113">
        <v>0</v>
      </c>
      <c r="R367" s="113">
        <v>0</v>
      </c>
      <c r="S367" s="113">
        <v>0</v>
      </c>
      <c r="T367" s="113">
        <v>0</v>
      </c>
      <c r="U367" s="113">
        <v>0</v>
      </c>
      <c r="V367" s="113">
        <v>0</v>
      </c>
      <c r="W367" s="114">
        <v>0</v>
      </c>
    </row>
    <row r="368" spans="2:23" x14ac:dyDescent="0.75">
      <c r="B368">
        <v>2040</v>
      </c>
      <c r="C368" t="str">
        <f t="shared" si="8"/>
        <v>Gasoline hybrid</v>
      </c>
      <c r="D368">
        <v>11</v>
      </c>
      <c r="E368" s="113">
        <v>13170.453125</v>
      </c>
      <c r="F368" s="113">
        <v>651.51403800000003</v>
      </c>
      <c r="G368" s="113">
        <v>40222.457030999998</v>
      </c>
      <c r="H368" s="114">
        <v>2040.0775149999999</v>
      </c>
      <c r="I368" s="113">
        <v>3443.2216800000001</v>
      </c>
      <c r="J368" s="113">
        <v>4515.5117190000001</v>
      </c>
      <c r="K368" s="113">
        <v>0</v>
      </c>
      <c r="L368" s="113">
        <v>0</v>
      </c>
      <c r="M368" s="114">
        <v>0</v>
      </c>
      <c r="N368" s="113">
        <v>0</v>
      </c>
      <c r="O368" s="113">
        <v>0</v>
      </c>
      <c r="P368" s="114">
        <v>0</v>
      </c>
      <c r="Q368" s="113">
        <v>0</v>
      </c>
      <c r="R368" s="113">
        <v>0</v>
      </c>
      <c r="S368" s="113">
        <v>0</v>
      </c>
      <c r="T368" s="113">
        <v>0</v>
      </c>
      <c r="U368" s="113">
        <v>0</v>
      </c>
      <c r="V368" s="113">
        <v>0</v>
      </c>
      <c r="W368" s="114">
        <v>0</v>
      </c>
    </row>
    <row r="369" spans="2:23" x14ac:dyDescent="0.75">
      <c r="B369">
        <v>2040</v>
      </c>
      <c r="C369" t="str">
        <f t="shared" si="8"/>
        <v>Hydrogen ICE</v>
      </c>
      <c r="D369">
        <v>12</v>
      </c>
      <c r="E369" s="113">
        <v>0</v>
      </c>
      <c r="F369" s="113">
        <v>0</v>
      </c>
      <c r="G369" s="113">
        <v>0</v>
      </c>
      <c r="H369" s="114">
        <v>0</v>
      </c>
      <c r="I369" s="113">
        <v>0</v>
      </c>
      <c r="J369" s="113">
        <v>0</v>
      </c>
      <c r="K369" s="113">
        <v>0</v>
      </c>
      <c r="L369" s="113">
        <v>0</v>
      </c>
      <c r="M369" s="114">
        <v>0</v>
      </c>
      <c r="N369" s="113">
        <v>0</v>
      </c>
      <c r="O369" s="113">
        <v>0</v>
      </c>
      <c r="P369" s="114">
        <v>0</v>
      </c>
      <c r="Q369" s="113">
        <v>0</v>
      </c>
      <c r="R369" s="113">
        <v>0</v>
      </c>
      <c r="S369" s="113">
        <v>0</v>
      </c>
      <c r="T369" s="113">
        <v>0</v>
      </c>
      <c r="U369" s="113">
        <v>0</v>
      </c>
      <c r="V369" s="113">
        <v>0</v>
      </c>
      <c r="W369" s="114">
        <v>0</v>
      </c>
    </row>
    <row r="370" spans="2:23" x14ac:dyDescent="0.75">
      <c r="B370">
        <v>2041</v>
      </c>
      <c r="C370" t="str">
        <f t="shared" si="8"/>
        <v>Diesel</v>
      </c>
      <c r="D370">
        <v>1</v>
      </c>
      <c r="E370" s="113">
        <v>9968.7724610000005</v>
      </c>
      <c r="F370" s="113">
        <v>349.53851300000002</v>
      </c>
      <c r="G370" s="113">
        <v>27853.328125</v>
      </c>
      <c r="H370" s="114">
        <v>1971.8917240000001</v>
      </c>
      <c r="I370" s="113">
        <v>4935.9467770000001</v>
      </c>
      <c r="J370" s="113">
        <v>7818.9765619999998</v>
      </c>
      <c r="K370" s="113">
        <v>13553.011719</v>
      </c>
      <c r="L370" s="113">
        <v>8158.4604490000002</v>
      </c>
      <c r="M370" s="114">
        <v>1599.371216</v>
      </c>
      <c r="N370" s="113">
        <v>1599.7705080000001</v>
      </c>
      <c r="O370" s="113">
        <v>4799.4624020000001</v>
      </c>
      <c r="P370" s="114">
        <v>21581.455077999999</v>
      </c>
      <c r="Q370" s="113">
        <v>14493.471680000001</v>
      </c>
      <c r="R370" s="113">
        <v>14493.587890999999</v>
      </c>
      <c r="S370" s="113">
        <v>43480.261719000002</v>
      </c>
      <c r="T370" s="113">
        <v>22603.169922000001</v>
      </c>
      <c r="U370" s="113">
        <v>22617.257812</v>
      </c>
      <c r="V370" s="113">
        <v>67838.140625</v>
      </c>
      <c r="W370" s="114">
        <v>5.0487029999999997</v>
      </c>
    </row>
    <row r="371" spans="2:23" x14ac:dyDescent="0.75">
      <c r="B371">
        <v>2041</v>
      </c>
      <c r="C371" t="str">
        <f t="shared" si="8"/>
        <v>Gasoline</v>
      </c>
      <c r="D371">
        <v>2</v>
      </c>
      <c r="E371" s="113">
        <v>35102.609375</v>
      </c>
      <c r="F371" s="113">
        <v>1990.2476810000001</v>
      </c>
      <c r="G371" s="113">
        <v>22479.349609000001</v>
      </c>
      <c r="H371" s="114">
        <v>2655.6625979999999</v>
      </c>
      <c r="I371" s="113">
        <v>5726.7553710000002</v>
      </c>
      <c r="J371" s="113">
        <v>6146.6352539999998</v>
      </c>
      <c r="K371" s="113">
        <v>11515.757812</v>
      </c>
      <c r="L371" s="113">
        <v>55.325710000000001</v>
      </c>
      <c r="M371" s="114">
        <v>2.0799999999999999E-4</v>
      </c>
      <c r="N371" s="113">
        <v>2.0799999999999999E-4</v>
      </c>
      <c r="O371" s="113">
        <v>6.2500000000000001E-4</v>
      </c>
      <c r="P371" s="114">
        <v>8.4916000000000005E-2</v>
      </c>
      <c r="Q371" s="113">
        <v>7.4799999999999997E-4</v>
      </c>
      <c r="R371" s="113">
        <v>7.4799999999999997E-4</v>
      </c>
      <c r="S371" s="113">
        <v>2.245E-3</v>
      </c>
      <c r="T371" s="113">
        <v>1.1689999999999999E-3</v>
      </c>
      <c r="U371" s="113">
        <v>1.1689999999999999E-3</v>
      </c>
      <c r="V371" s="113">
        <v>3.5070000000000001E-3</v>
      </c>
      <c r="W371" s="114">
        <v>0</v>
      </c>
    </row>
    <row r="372" spans="2:23" x14ac:dyDescent="0.75">
      <c r="B372">
        <v>2041</v>
      </c>
      <c r="C372" t="str">
        <f t="shared" si="8"/>
        <v>LPG</v>
      </c>
      <c r="D372">
        <v>3</v>
      </c>
      <c r="E372" s="113">
        <v>0.56399500000000002</v>
      </c>
      <c r="F372" s="113">
        <v>3.3341000000000003E-2</v>
      </c>
      <c r="G372" s="113">
        <v>0.88343000000000005</v>
      </c>
      <c r="H372" s="114">
        <v>6.1898000000000002E-2</v>
      </c>
      <c r="I372" s="113">
        <v>0.71203799999999995</v>
      </c>
      <c r="J372" s="113">
        <v>2.133705</v>
      </c>
      <c r="K372" s="113">
        <v>1.215319</v>
      </c>
      <c r="L372" s="113">
        <v>11.336065</v>
      </c>
      <c r="M372" s="114">
        <v>0.74862899999999999</v>
      </c>
      <c r="N372" s="113">
        <v>0.74862899999999999</v>
      </c>
      <c r="O372" s="113">
        <v>2.2458870000000002</v>
      </c>
      <c r="P372" s="114">
        <v>9.9546880000000009</v>
      </c>
      <c r="Q372" s="113">
        <v>6.8168569999999997</v>
      </c>
      <c r="R372" s="113">
        <v>6.8168569999999997</v>
      </c>
      <c r="S372" s="113">
        <v>20.450571</v>
      </c>
      <c r="T372" s="113">
        <v>10.648151</v>
      </c>
      <c r="U372" s="113">
        <v>10.648158</v>
      </c>
      <c r="V372" s="113">
        <v>31.94183</v>
      </c>
      <c r="W372" s="114">
        <v>0</v>
      </c>
    </row>
    <row r="373" spans="2:23" x14ac:dyDescent="0.75">
      <c r="B373">
        <v>2041</v>
      </c>
      <c r="C373" t="str">
        <f t="shared" si="8"/>
        <v>CNG</v>
      </c>
      <c r="D373">
        <v>4</v>
      </c>
      <c r="E373" s="113">
        <v>1063.980591</v>
      </c>
      <c r="F373" s="113">
        <v>63.870002999999997</v>
      </c>
      <c r="G373" s="113">
        <v>1205.9041749999999</v>
      </c>
      <c r="H373" s="114">
        <v>15.098497999999999</v>
      </c>
      <c r="I373" s="113">
        <v>39.277222000000002</v>
      </c>
      <c r="J373" s="113">
        <v>206.26251199999999</v>
      </c>
      <c r="K373" s="113">
        <v>643.54333499999996</v>
      </c>
      <c r="L373" s="113">
        <v>37.674377</v>
      </c>
      <c r="M373" s="114">
        <v>4.6543910000000004</v>
      </c>
      <c r="N373" s="113">
        <v>4.2570389999999998</v>
      </c>
      <c r="O373" s="113">
        <v>12.627354</v>
      </c>
      <c r="P373" s="114">
        <v>951.56024200000002</v>
      </c>
      <c r="Q373" s="113">
        <v>126.244598</v>
      </c>
      <c r="R373" s="113">
        <v>126.128395</v>
      </c>
      <c r="S373" s="113">
        <v>378.87365699999998</v>
      </c>
      <c r="T373" s="113">
        <v>233.21168499999999</v>
      </c>
      <c r="U373" s="113">
        <v>219.16703799999999</v>
      </c>
      <c r="V373" s="113">
        <v>665.40869099999998</v>
      </c>
      <c r="W373" s="114">
        <v>0</v>
      </c>
    </row>
    <row r="374" spans="2:23" x14ac:dyDescent="0.75">
      <c r="B374">
        <v>2041</v>
      </c>
      <c r="C374" t="str">
        <f t="shared" si="8"/>
        <v>E85</v>
      </c>
      <c r="D374">
        <v>5</v>
      </c>
      <c r="E374" s="113">
        <v>11050.560546999999</v>
      </c>
      <c r="F374" s="113">
        <v>824.64416500000004</v>
      </c>
      <c r="G374" s="113">
        <v>334.47955300000001</v>
      </c>
      <c r="H374" s="114">
        <v>203.20399499999999</v>
      </c>
      <c r="I374" s="113">
        <v>105.73442799999999</v>
      </c>
      <c r="J374" s="113">
        <v>0.161744</v>
      </c>
      <c r="K374" s="113">
        <v>0.23502500000000001</v>
      </c>
      <c r="L374" s="113">
        <v>0</v>
      </c>
      <c r="M374" s="114">
        <v>0</v>
      </c>
      <c r="N374" s="113">
        <v>0</v>
      </c>
      <c r="O374" s="113">
        <v>0</v>
      </c>
      <c r="P374" s="114">
        <v>0</v>
      </c>
      <c r="Q374" s="113">
        <v>0</v>
      </c>
      <c r="R374" s="113">
        <v>0</v>
      </c>
      <c r="S374" s="113">
        <v>0</v>
      </c>
      <c r="T374" s="113">
        <v>0</v>
      </c>
      <c r="U374" s="113">
        <v>0</v>
      </c>
      <c r="V374" s="113">
        <v>0</v>
      </c>
      <c r="W374" s="114">
        <v>0</v>
      </c>
    </row>
    <row r="375" spans="2:23" x14ac:dyDescent="0.75">
      <c r="B375">
        <v>2041</v>
      </c>
      <c r="C375" t="str">
        <f t="shared" si="8"/>
        <v>Electric</v>
      </c>
      <c r="D375">
        <v>6</v>
      </c>
      <c r="E375" s="113">
        <v>4146.5693359999996</v>
      </c>
      <c r="F375" s="113">
        <v>32.795310999999998</v>
      </c>
      <c r="G375" s="113">
        <v>5069.4609380000002</v>
      </c>
      <c r="H375" s="114">
        <v>5.2801000000000001E-2</v>
      </c>
      <c r="I375" s="113">
        <v>0.352379</v>
      </c>
      <c r="J375" s="113">
        <v>1.9714469999999999</v>
      </c>
      <c r="K375" s="113">
        <v>32.570545000000003</v>
      </c>
      <c r="L375" s="113">
        <v>12.918462</v>
      </c>
      <c r="M375" s="114">
        <v>0.45993899999999999</v>
      </c>
      <c r="N375" s="113">
        <v>0.45993899999999999</v>
      </c>
      <c r="O375" s="113">
        <v>1.3798159999999999</v>
      </c>
      <c r="P375" s="114">
        <v>6.7511279999999996</v>
      </c>
      <c r="Q375" s="113">
        <v>47.545299999999997</v>
      </c>
      <c r="R375" s="113">
        <v>47.545296</v>
      </c>
      <c r="S375" s="113">
        <v>142.63591</v>
      </c>
      <c r="T375" s="113">
        <v>74.267273000000003</v>
      </c>
      <c r="U375" s="113">
        <v>74.267334000000005</v>
      </c>
      <c r="V375" s="113">
        <v>222.80207799999999</v>
      </c>
      <c r="W375" s="114">
        <v>0</v>
      </c>
    </row>
    <row r="376" spans="2:23" x14ac:dyDescent="0.75">
      <c r="B376">
        <v>2041</v>
      </c>
      <c r="C376" t="str">
        <f t="shared" si="8"/>
        <v>PHEV diesel</v>
      </c>
      <c r="D376">
        <v>7</v>
      </c>
      <c r="E376" s="113">
        <v>0</v>
      </c>
      <c r="F376" s="113">
        <v>0</v>
      </c>
      <c r="G376" s="113">
        <v>0</v>
      </c>
      <c r="H376" s="114">
        <v>0</v>
      </c>
      <c r="I376" s="113">
        <v>0</v>
      </c>
      <c r="J376" s="113">
        <v>0</v>
      </c>
      <c r="K376" s="113">
        <v>18.251234</v>
      </c>
      <c r="L376" s="113">
        <v>18.461476999999999</v>
      </c>
      <c r="M376" s="114">
        <v>0</v>
      </c>
      <c r="N376" s="113">
        <v>0</v>
      </c>
      <c r="O376" s="113">
        <v>0</v>
      </c>
      <c r="P376" s="114">
        <v>0</v>
      </c>
      <c r="Q376" s="113">
        <v>0</v>
      </c>
      <c r="R376" s="113">
        <v>0</v>
      </c>
      <c r="S376" s="113">
        <v>0</v>
      </c>
      <c r="T376" s="113">
        <v>0</v>
      </c>
      <c r="U376" s="113">
        <v>0</v>
      </c>
      <c r="V376" s="113">
        <v>0</v>
      </c>
      <c r="W376" s="114">
        <v>0</v>
      </c>
    </row>
    <row r="377" spans="2:23" x14ac:dyDescent="0.75">
      <c r="B377">
        <v>2041</v>
      </c>
      <c r="C377" t="str">
        <f t="shared" si="8"/>
        <v>PHEV gasoline</v>
      </c>
      <c r="D377">
        <v>8</v>
      </c>
      <c r="E377" s="113">
        <v>0</v>
      </c>
      <c r="F377" s="113">
        <v>0</v>
      </c>
      <c r="G377" s="113">
        <v>0</v>
      </c>
      <c r="H377" s="114">
        <v>0</v>
      </c>
      <c r="I377" s="113">
        <v>0</v>
      </c>
      <c r="J377" s="113">
        <v>0</v>
      </c>
      <c r="K377" s="113">
        <v>3.0703</v>
      </c>
      <c r="L377" s="113">
        <v>0</v>
      </c>
      <c r="M377" s="114">
        <v>0</v>
      </c>
      <c r="N377" s="113">
        <v>0</v>
      </c>
      <c r="O377" s="113">
        <v>0</v>
      </c>
      <c r="P377" s="114">
        <v>0</v>
      </c>
      <c r="Q377" s="113">
        <v>0</v>
      </c>
      <c r="R377" s="113">
        <v>0</v>
      </c>
      <c r="S377" s="113">
        <v>0</v>
      </c>
      <c r="T377" s="113">
        <v>0</v>
      </c>
      <c r="U377" s="113">
        <v>0</v>
      </c>
      <c r="V377" s="113">
        <v>0</v>
      </c>
      <c r="W377" s="114">
        <v>0</v>
      </c>
    </row>
    <row r="378" spans="2:23" x14ac:dyDescent="0.75">
      <c r="B378">
        <v>2041</v>
      </c>
      <c r="C378" t="str">
        <f t="shared" si="8"/>
        <v>H2 fuel cell, small battery</v>
      </c>
      <c r="D378">
        <v>9</v>
      </c>
      <c r="E378" s="113">
        <v>0</v>
      </c>
      <c r="F378" s="113">
        <v>0</v>
      </c>
      <c r="G378" s="113">
        <v>0</v>
      </c>
      <c r="H378" s="114">
        <v>0</v>
      </c>
      <c r="I378" s="113">
        <v>0</v>
      </c>
      <c r="J378" s="113">
        <v>0</v>
      </c>
      <c r="K378" s="113">
        <v>0</v>
      </c>
      <c r="L378" s="113">
        <v>0</v>
      </c>
      <c r="M378" s="114">
        <v>0</v>
      </c>
      <c r="N378" s="113">
        <v>0</v>
      </c>
      <c r="O378" s="113">
        <v>0</v>
      </c>
      <c r="P378" s="114">
        <v>0</v>
      </c>
      <c r="Q378" s="113">
        <v>0</v>
      </c>
      <c r="R378" s="113">
        <v>0</v>
      </c>
      <c r="S378" s="113">
        <v>0</v>
      </c>
      <c r="T378" s="113">
        <v>0</v>
      </c>
      <c r="U378" s="113">
        <v>0</v>
      </c>
      <c r="V378" s="113">
        <v>0</v>
      </c>
      <c r="W378" s="114">
        <v>0</v>
      </c>
    </row>
    <row r="379" spans="2:23" x14ac:dyDescent="0.75">
      <c r="B379">
        <v>2041</v>
      </c>
      <c r="C379" t="str">
        <f t="shared" si="8"/>
        <v>H2 fuel cell, large battery</v>
      </c>
      <c r="D379">
        <v>10</v>
      </c>
      <c r="E379" s="113">
        <v>0</v>
      </c>
      <c r="F379" s="113">
        <v>0</v>
      </c>
      <c r="G379" s="113">
        <v>0</v>
      </c>
      <c r="H379" s="114">
        <v>0</v>
      </c>
      <c r="I379" s="113">
        <v>0</v>
      </c>
      <c r="J379" s="113">
        <v>0</v>
      </c>
      <c r="K379" s="113">
        <v>0</v>
      </c>
      <c r="L379" s="113">
        <v>0</v>
      </c>
      <c r="M379" s="114">
        <v>0</v>
      </c>
      <c r="N379" s="113">
        <v>0</v>
      </c>
      <c r="O379" s="113">
        <v>0</v>
      </c>
      <c r="P379" s="114">
        <v>0</v>
      </c>
      <c r="Q379" s="113">
        <v>0</v>
      </c>
      <c r="R379" s="113">
        <v>0</v>
      </c>
      <c r="S379" s="113">
        <v>0</v>
      </c>
      <c r="T379" s="113">
        <v>0</v>
      </c>
      <c r="U379" s="113">
        <v>0</v>
      </c>
      <c r="V379" s="113">
        <v>0</v>
      </c>
      <c r="W379" s="114">
        <v>0</v>
      </c>
    </row>
    <row r="380" spans="2:23" x14ac:dyDescent="0.75">
      <c r="B380">
        <v>2041</v>
      </c>
      <c r="C380" t="str">
        <f t="shared" si="8"/>
        <v>Gasoline hybrid</v>
      </c>
      <c r="D380">
        <v>11</v>
      </c>
      <c r="E380" s="113">
        <v>14297.606444999999</v>
      </c>
      <c r="F380" s="113">
        <v>771.21368399999994</v>
      </c>
      <c r="G380" s="113">
        <v>43343.011719000002</v>
      </c>
      <c r="H380" s="114">
        <v>2324.8347170000002</v>
      </c>
      <c r="I380" s="113">
        <v>3885.7395019999999</v>
      </c>
      <c r="J380" s="113">
        <v>5097.6704099999997</v>
      </c>
      <c r="K380" s="113">
        <v>0</v>
      </c>
      <c r="L380" s="113">
        <v>0</v>
      </c>
      <c r="M380" s="114">
        <v>0</v>
      </c>
      <c r="N380" s="113">
        <v>0</v>
      </c>
      <c r="O380" s="113">
        <v>0</v>
      </c>
      <c r="P380" s="114">
        <v>0</v>
      </c>
      <c r="Q380" s="113">
        <v>0</v>
      </c>
      <c r="R380" s="113">
        <v>0</v>
      </c>
      <c r="S380" s="113">
        <v>0</v>
      </c>
      <c r="T380" s="113">
        <v>0</v>
      </c>
      <c r="U380" s="113">
        <v>0</v>
      </c>
      <c r="V380" s="113">
        <v>0</v>
      </c>
      <c r="W380" s="114">
        <v>0</v>
      </c>
    </row>
    <row r="381" spans="2:23" x14ac:dyDescent="0.75">
      <c r="B381">
        <v>2041</v>
      </c>
      <c r="C381" t="str">
        <f t="shared" si="8"/>
        <v>Hydrogen ICE</v>
      </c>
      <c r="D381">
        <v>12</v>
      </c>
      <c r="E381" s="113">
        <v>0</v>
      </c>
      <c r="F381" s="113">
        <v>0</v>
      </c>
      <c r="G381" s="113">
        <v>0</v>
      </c>
      <c r="H381" s="114">
        <v>0</v>
      </c>
      <c r="I381" s="113">
        <v>0</v>
      </c>
      <c r="J381" s="113">
        <v>0</v>
      </c>
      <c r="K381" s="113">
        <v>0</v>
      </c>
      <c r="L381" s="113">
        <v>0</v>
      </c>
      <c r="M381" s="114">
        <v>0</v>
      </c>
      <c r="N381" s="113">
        <v>0</v>
      </c>
      <c r="O381" s="113">
        <v>0</v>
      </c>
      <c r="P381" s="114">
        <v>0</v>
      </c>
      <c r="Q381" s="113">
        <v>0</v>
      </c>
      <c r="R381" s="113">
        <v>0</v>
      </c>
      <c r="S381" s="113">
        <v>0</v>
      </c>
      <c r="T381" s="113">
        <v>0</v>
      </c>
      <c r="U381" s="113">
        <v>0</v>
      </c>
      <c r="V381" s="113">
        <v>0</v>
      </c>
      <c r="W381" s="114">
        <v>0</v>
      </c>
    </row>
    <row r="382" spans="2:23" x14ac:dyDescent="0.75">
      <c r="B382">
        <v>2042</v>
      </c>
      <c r="C382" t="str">
        <f t="shared" si="8"/>
        <v>Diesel</v>
      </c>
      <c r="D382">
        <v>1</v>
      </c>
      <c r="E382" s="113">
        <v>9321.3876949999994</v>
      </c>
      <c r="F382" s="113">
        <v>336.17562900000001</v>
      </c>
      <c r="G382" s="113">
        <v>26323.085938</v>
      </c>
      <c r="H382" s="114">
        <v>1894.9803469999999</v>
      </c>
      <c r="I382" s="113">
        <v>4730.9853519999997</v>
      </c>
      <c r="J382" s="113">
        <v>7455.1616210000002</v>
      </c>
      <c r="K382" s="113">
        <v>13521.095703000001</v>
      </c>
      <c r="L382" s="113">
        <v>8156.2592770000001</v>
      </c>
      <c r="M382" s="114">
        <v>1603.8863530000001</v>
      </c>
      <c r="N382" s="113">
        <v>1604.3648679999999</v>
      </c>
      <c r="O382" s="113">
        <v>4814.154297</v>
      </c>
      <c r="P382" s="114">
        <v>21661.570312</v>
      </c>
      <c r="Q382" s="113">
        <v>14566.958008</v>
      </c>
      <c r="R382" s="113">
        <v>14567.108398</v>
      </c>
      <c r="S382" s="113">
        <v>43699.65625</v>
      </c>
      <c r="T382" s="113">
        <v>22706.708984000001</v>
      </c>
      <c r="U382" s="113">
        <v>22723.132812</v>
      </c>
      <c r="V382" s="113">
        <v>68150.953125</v>
      </c>
      <c r="W382" s="114">
        <v>5.0449260000000002</v>
      </c>
    </row>
    <row r="383" spans="2:23" x14ac:dyDescent="0.75">
      <c r="B383">
        <v>2042</v>
      </c>
      <c r="C383" t="str">
        <f t="shared" si="8"/>
        <v>Gasoline</v>
      </c>
      <c r="D383">
        <v>2</v>
      </c>
      <c r="E383" s="113">
        <v>33792.671875</v>
      </c>
      <c r="F383" s="113">
        <v>1860.246216</v>
      </c>
      <c r="G383" s="113">
        <v>21712.287109000001</v>
      </c>
      <c r="H383" s="114">
        <v>2540.1259770000001</v>
      </c>
      <c r="I383" s="113">
        <v>5494.8344729999999</v>
      </c>
      <c r="J383" s="113">
        <v>5965.7436520000001</v>
      </c>
      <c r="K383" s="113">
        <v>11696.705078000001</v>
      </c>
      <c r="L383" s="113">
        <v>53.944823999999997</v>
      </c>
      <c r="M383" s="114">
        <v>1.46E-4</v>
      </c>
      <c r="N383" s="113">
        <v>1.46E-4</v>
      </c>
      <c r="O383" s="113">
        <v>4.3800000000000002E-4</v>
      </c>
      <c r="P383" s="114">
        <v>6.5535999999999997E-2</v>
      </c>
      <c r="Q383" s="113">
        <v>5.2499999999999997E-4</v>
      </c>
      <c r="R383" s="113">
        <v>5.2499999999999997E-4</v>
      </c>
      <c r="S383" s="113">
        <v>1.575E-3</v>
      </c>
      <c r="T383" s="113">
        <v>8.1999999999999998E-4</v>
      </c>
      <c r="U383" s="113">
        <v>8.1999999999999998E-4</v>
      </c>
      <c r="V383" s="113">
        <v>2.4599999999999999E-3</v>
      </c>
      <c r="W383" s="114">
        <v>0</v>
      </c>
    </row>
    <row r="384" spans="2:23" x14ac:dyDescent="0.75">
      <c r="B384">
        <v>2042</v>
      </c>
      <c r="C384" t="str">
        <f t="shared" si="8"/>
        <v>LPG</v>
      </c>
      <c r="D384">
        <v>3</v>
      </c>
      <c r="E384" s="113">
        <v>0.57497399999999999</v>
      </c>
      <c r="F384" s="113">
        <v>3.4164E-2</v>
      </c>
      <c r="G384" s="113">
        <v>0.90646199999999999</v>
      </c>
      <c r="H384" s="114">
        <v>6.3925999999999997E-2</v>
      </c>
      <c r="I384" s="113">
        <v>0.67173300000000002</v>
      </c>
      <c r="J384" s="113">
        <v>1.986861</v>
      </c>
      <c r="K384" s="113">
        <v>1.1540330000000001</v>
      </c>
      <c r="L384" s="113">
        <v>10.681372</v>
      </c>
      <c r="M384" s="114">
        <v>0.75750499999999998</v>
      </c>
      <c r="N384" s="113">
        <v>0.75750499999999998</v>
      </c>
      <c r="O384" s="113">
        <v>2.272516</v>
      </c>
      <c r="P384" s="114">
        <v>10.162625</v>
      </c>
      <c r="Q384" s="113">
        <v>6.9019130000000004</v>
      </c>
      <c r="R384" s="113">
        <v>6.9019130000000004</v>
      </c>
      <c r="S384" s="113">
        <v>20.705742000000001</v>
      </c>
      <c r="T384" s="113">
        <v>10.781003</v>
      </c>
      <c r="U384" s="113">
        <v>10.781014000000001</v>
      </c>
      <c r="V384" s="113">
        <v>32.340363000000004</v>
      </c>
      <c r="W384" s="114">
        <v>0</v>
      </c>
    </row>
    <row r="385" spans="2:23" x14ac:dyDescent="0.75">
      <c r="B385">
        <v>2042</v>
      </c>
      <c r="C385" t="str">
        <f t="shared" si="8"/>
        <v>CNG</v>
      </c>
      <c r="D385">
        <v>4</v>
      </c>
      <c r="E385" s="113">
        <v>1169.518433</v>
      </c>
      <c r="F385" s="113">
        <v>69.752601999999996</v>
      </c>
      <c r="G385" s="113">
        <v>1304.1201169999999</v>
      </c>
      <c r="H385" s="114">
        <v>15.592708999999999</v>
      </c>
      <c r="I385" s="113">
        <v>40.135035999999999</v>
      </c>
      <c r="J385" s="113">
        <v>209.916214</v>
      </c>
      <c r="K385" s="113">
        <v>655.88562000000002</v>
      </c>
      <c r="L385" s="113">
        <v>37.769775000000003</v>
      </c>
      <c r="M385" s="114">
        <v>5.0930939999999998</v>
      </c>
      <c r="N385" s="113">
        <v>4.6152730000000002</v>
      </c>
      <c r="O385" s="113">
        <v>12.794885000000001</v>
      </c>
      <c r="P385" s="114">
        <v>957.39605700000004</v>
      </c>
      <c r="Q385" s="113">
        <v>127.361351</v>
      </c>
      <c r="R385" s="113">
        <v>127.212227</v>
      </c>
      <c r="S385" s="113">
        <v>383.30148300000002</v>
      </c>
      <c r="T385" s="113">
        <v>246.16023300000001</v>
      </c>
      <c r="U385" s="113">
        <v>229.81796299999999</v>
      </c>
      <c r="V385" s="113">
        <v>702.07891800000004</v>
      </c>
      <c r="W385" s="114">
        <v>0</v>
      </c>
    </row>
    <row r="386" spans="2:23" x14ac:dyDescent="0.75">
      <c r="B386">
        <v>2042</v>
      </c>
      <c r="C386" t="str">
        <f t="shared" si="8"/>
        <v>E85</v>
      </c>
      <c r="D386">
        <v>5</v>
      </c>
      <c r="E386" s="113">
        <v>10990.680664</v>
      </c>
      <c r="F386" s="113">
        <v>793.43829300000004</v>
      </c>
      <c r="G386" s="113">
        <v>302.23113999999998</v>
      </c>
      <c r="H386" s="114">
        <v>177.72499099999999</v>
      </c>
      <c r="I386" s="113">
        <v>98.496284000000003</v>
      </c>
      <c r="J386" s="113">
        <v>0.16498299999999999</v>
      </c>
      <c r="K386" s="113">
        <v>0.23977399999999999</v>
      </c>
      <c r="L386" s="113">
        <v>0</v>
      </c>
      <c r="M386" s="114">
        <v>0</v>
      </c>
      <c r="N386" s="113">
        <v>0</v>
      </c>
      <c r="O386" s="113">
        <v>0</v>
      </c>
      <c r="P386" s="114">
        <v>0</v>
      </c>
      <c r="Q386" s="113">
        <v>0</v>
      </c>
      <c r="R386" s="113">
        <v>0</v>
      </c>
      <c r="S386" s="113">
        <v>0</v>
      </c>
      <c r="T386" s="113">
        <v>0</v>
      </c>
      <c r="U386" s="113">
        <v>0</v>
      </c>
      <c r="V386" s="113">
        <v>0</v>
      </c>
      <c r="W386" s="114">
        <v>0</v>
      </c>
    </row>
    <row r="387" spans="2:23" x14ac:dyDescent="0.75">
      <c r="B387">
        <v>2042</v>
      </c>
      <c r="C387" t="str">
        <f t="shared" si="8"/>
        <v>Electric</v>
      </c>
      <c r="D387">
        <v>6</v>
      </c>
      <c r="E387" s="113">
        <v>4502.576172</v>
      </c>
      <c r="F387" s="113">
        <v>42.912891000000002</v>
      </c>
      <c r="G387" s="113">
        <v>6061.8535160000001</v>
      </c>
      <c r="H387" s="114">
        <v>4.6345999999999998E-2</v>
      </c>
      <c r="I387" s="113">
        <v>0.331401</v>
      </c>
      <c r="J387" s="113">
        <v>1.989533</v>
      </c>
      <c r="K387" s="113">
        <v>32.975796000000003</v>
      </c>
      <c r="L387" s="113">
        <v>13.129614999999999</v>
      </c>
      <c r="M387" s="114">
        <v>0.46559499999999998</v>
      </c>
      <c r="N387" s="113">
        <v>0.46559499999999998</v>
      </c>
      <c r="O387" s="113">
        <v>1.3967849999999999</v>
      </c>
      <c r="P387" s="114">
        <v>6.8481969999999999</v>
      </c>
      <c r="Q387" s="113">
        <v>48.067501</v>
      </c>
      <c r="R387" s="113">
        <v>48.067501</v>
      </c>
      <c r="S387" s="113">
        <v>144.20245399999999</v>
      </c>
      <c r="T387" s="113">
        <v>75.082938999999996</v>
      </c>
      <c r="U387" s="113">
        <v>75.082999999999998</v>
      </c>
      <c r="V387" s="113">
        <v>225.24896200000001</v>
      </c>
      <c r="W387" s="114">
        <v>0</v>
      </c>
    </row>
    <row r="388" spans="2:23" x14ac:dyDescent="0.75">
      <c r="B388">
        <v>2042</v>
      </c>
      <c r="C388" t="str">
        <f t="shared" si="8"/>
        <v>PHEV diesel</v>
      </c>
      <c r="D388">
        <v>7</v>
      </c>
      <c r="E388" s="113">
        <v>0</v>
      </c>
      <c r="F388" s="113">
        <v>0</v>
      </c>
      <c r="G388" s="113">
        <v>0</v>
      </c>
      <c r="H388" s="114">
        <v>0</v>
      </c>
      <c r="I388" s="113">
        <v>0</v>
      </c>
      <c r="J388" s="113">
        <v>0</v>
      </c>
      <c r="K388" s="113">
        <v>16.772663000000001</v>
      </c>
      <c r="L388" s="113">
        <v>17.757849</v>
      </c>
      <c r="M388" s="114">
        <v>0</v>
      </c>
      <c r="N388" s="113">
        <v>0</v>
      </c>
      <c r="O388" s="113">
        <v>0</v>
      </c>
      <c r="P388" s="114">
        <v>0</v>
      </c>
      <c r="Q388" s="113">
        <v>0</v>
      </c>
      <c r="R388" s="113">
        <v>0</v>
      </c>
      <c r="S388" s="113">
        <v>0</v>
      </c>
      <c r="T388" s="113">
        <v>0</v>
      </c>
      <c r="U388" s="113">
        <v>0</v>
      </c>
      <c r="V388" s="113">
        <v>0</v>
      </c>
      <c r="W388" s="114">
        <v>0</v>
      </c>
    </row>
    <row r="389" spans="2:23" x14ac:dyDescent="0.75">
      <c r="B389">
        <v>2042</v>
      </c>
      <c r="C389" t="str">
        <f t="shared" si="8"/>
        <v>PHEV gasoline</v>
      </c>
      <c r="D389">
        <v>8</v>
      </c>
      <c r="E389" s="113">
        <v>0</v>
      </c>
      <c r="F389" s="113">
        <v>0</v>
      </c>
      <c r="G389" s="113">
        <v>0</v>
      </c>
      <c r="H389" s="114">
        <v>0</v>
      </c>
      <c r="I389" s="113">
        <v>0</v>
      </c>
      <c r="J389" s="113">
        <v>0</v>
      </c>
      <c r="K389" s="113">
        <v>2.8018000000000001</v>
      </c>
      <c r="L389" s="113">
        <v>0</v>
      </c>
      <c r="M389" s="114">
        <v>0</v>
      </c>
      <c r="N389" s="113">
        <v>0</v>
      </c>
      <c r="O389" s="113">
        <v>0</v>
      </c>
      <c r="P389" s="114">
        <v>0</v>
      </c>
      <c r="Q389" s="113">
        <v>0</v>
      </c>
      <c r="R389" s="113">
        <v>0</v>
      </c>
      <c r="S389" s="113">
        <v>0</v>
      </c>
      <c r="T389" s="113">
        <v>0</v>
      </c>
      <c r="U389" s="113">
        <v>0</v>
      </c>
      <c r="V389" s="113">
        <v>0</v>
      </c>
      <c r="W389" s="114">
        <v>0</v>
      </c>
    </row>
    <row r="390" spans="2:23" x14ac:dyDescent="0.75">
      <c r="B390">
        <v>2042</v>
      </c>
      <c r="C390" t="str">
        <f t="shared" si="8"/>
        <v>H2 fuel cell, small battery</v>
      </c>
      <c r="D390">
        <v>9</v>
      </c>
      <c r="E390" s="113">
        <v>0</v>
      </c>
      <c r="F390" s="113">
        <v>0</v>
      </c>
      <c r="G390" s="113">
        <v>0</v>
      </c>
      <c r="H390" s="114">
        <v>0</v>
      </c>
      <c r="I390" s="113">
        <v>0</v>
      </c>
      <c r="J390" s="113">
        <v>0</v>
      </c>
      <c r="K390" s="113">
        <v>0</v>
      </c>
      <c r="L390" s="113">
        <v>0</v>
      </c>
      <c r="M390" s="114">
        <v>0</v>
      </c>
      <c r="N390" s="113">
        <v>0</v>
      </c>
      <c r="O390" s="113">
        <v>0</v>
      </c>
      <c r="P390" s="114">
        <v>0</v>
      </c>
      <c r="Q390" s="113">
        <v>0</v>
      </c>
      <c r="R390" s="113">
        <v>0</v>
      </c>
      <c r="S390" s="113">
        <v>0</v>
      </c>
      <c r="T390" s="113">
        <v>0</v>
      </c>
      <c r="U390" s="113">
        <v>0</v>
      </c>
      <c r="V390" s="113">
        <v>0</v>
      </c>
      <c r="W390" s="114">
        <v>0</v>
      </c>
    </row>
    <row r="391" spans="2:23" x14ac:dyDescent="0.75">
      <c r="B391">
        <v>2042</v>
      </c>
      <c r="C391" t="str">
        <f t="shared" si="8"/>
        <v>H2 fuel cell, large battery</v>
      </c>
      <c r="D391">
        <v>10</v>
      </c>
      <c r="E391" s="113">
        <v>0</v>
      </c>
      <c r="F391" s="113">
        <v>0</v>
      </c>
      <c r="G391" s="113">
        <v>0</v>
      </c>
      <c r="H391" s="114">
        <v>0</v>
      </c>
      <c r="I391" s="113">
        <v>0</v>
      </c>
      <c r="J391" s="113">
        <v>0</v>
      </c>
      <c r="K391" s="113">
        <v>0</v>
      </c>
      <c r="L391" s="113">
        <v>0</v>
      </c>
      <c r="M391" s="114">
        <v>0</v>
      </c>
      <c r="N391" s="113">
        <v>0</v>
      </c>
      <c r="O391" s="113">
        <v>0</v>
      </c>
      <c r="P391" s="114">
        <v>0</v>
      </c>
      <c r="Q391" s="113">
        <v>0</v>
      </c>
      <c r="R391" s="113">
        <v>0</v>
      </c>
      <c r="S391" s="113">
        <v>0</v>
      </c>
      <c r="T391" s="113">
        <v>0</v>
      </c>
      <c r="U391" s="113">
        <v>0</v>
      </c>
      <c r="V391" s="113">
        <v>0</v>
      </c>
      <c r="W391" s="114">
        <v>0</v>
      </c>
    </row>
    <row r="392" spans="2:23" x14ac:dyDescent="0.75">
      <c r="B392">
        <v>2042</v>
      </c>
      <c r="C392" t="str">
        <f t="shared" si="8"/>
        <v>Gasoline hybrid</v>
      </c>
      <c r="D392">
        <v>11</v>
      </c>
      <c r="E392" s="113">
        <v>15389.639648</v>
      </c>
      <c r="F392" s="113">
        <v>893.95941200000004</v>
      </c>
      <c r="G392" s="113">
        <v>46322.929687999997</v>
      </c>
      <c r="H392" s="114">
        <v>2603.6535640000002</v>
      </c>
      <c r="I392" s="113">
        <v>4309.8847660000001</v>
      </c>
      <c r="J392" s="113">
        <v>5656.9555659999996</v>
      </c>
      <c r="K392" s="113">
        <v>0</v>
      </c>
      <c r="L392" s="113">
        <v>0</v>
      </c>
      <c r="M392" s="114">
        <v>0</v>
      </c>
      <c r="N392" s="113">
        <v>0</v>
      </c>
      <c r="O392" s="113">
        <v>0</v>
      </c>
      <c r="P392" s="114">
        <v>0</v>
      </c>
      <c r="Q392" s="113">
        <v>0</v>
      </c>
      <c r="R392" s="113">
        <v>0</v>
      </c>
      <c r="S392" s="113">
        <v>0</v>
      </c>
      <c r="T392" s="113">
        <v>0</v>
      </c>
      <c r="U392" s="113">
        <v>0</v>
      </c>
      <c r="V392" s="113">
        <v>0</v>
      </c>
      <c r="W392" s="114">
        <v>0</v>
      </c>
    </row>
    <row r="393" spans="2:23" x14ac:dyDescent="0.75">
      <c r="B393">
        <v>2042</v>
      </c>
      <c r="C393" t="str">
        <f t="shared" si="8"/>
        <v>Hydrogen ICE</v>
      </c>
      <c r="D393">
        <v>12</v>
      </c>
      <c r="E393" s="113">
        <v>0</v>
      </c>
      <c r="F393" s="113">
        <v>0</v>
      </c>
      <c r="G393" s="113">
        <v>0</v>
      </c>
      <c r="H393" s="114">
        <v>0</v>
      </c>
      <c r="I393" s="113">
        <v>0</v>
      </c>
      <c r="J393" s="113">
        <v>0</v>
      </c>
      <c r="K393" s="113">
        <v>0</v>
      </c>
      <c r="L393" s="113">
        <v>0</v>
      </c>
      <c r="M393" s="114">
        <v>0</v>
      </c>
      <c r="N393" s="113">
        <v>0</v>
      </c>
      <c r="O393" s="113">
        <v>0</v>
      </c>
      <c r="P393" s="114">
        <v>0</v>
      </c>
      <c r="Q393" s="113">
        <v>0</v>
      </c>
      <c r="R393" s="113">
        <v>0</v>
      </c>
      <c r="S393" s="113">
        <v>0</v>
      </c>
      <c r="T393" s="113">
        <v>0</v>
      </c>
      <c r="U393" s="113">
        <v>0</v>
      </c>
      <c r="V393" s="113">
        <v>0</v>
      </c>
      <c r="W393" s="114">
        <v>0</v>
      </c>
    </row>
    <row r="394" spans="2:23" x14ac:dyDescent="0.75">
      <c r="B394">
        <v>2043</v>
      </c>
      <c r="C394" t="str">
        <f t="shared" si="8"/>
        <v>Diesel</v>
      </c>
      <c r="D394">
        <v>1</v>
      </c>
      <c r="E394" s="113">
        <v>8710.2412110000005</v>
      </c>
      <c r="F394" s="113">
        <v>320.91085800000002</v>
      </c>
      <c r="G394" s="113">
        <v>24807.972656000002</v>
      </c>
      <c r="H394" s="114">
        <v>1819.8043210000001</v>
      </c>
      <c r="I394" s="113">
        <v>4540.1416019999997</v>
      </c>
      <c r="J394" s="113">
        <v>7115.4150390000004</v>
      </c>
      <c r="K394" s="113">
        <v>13490.931640999999</v>
      </c>
      <c r="L394" s="113">
        <v>8152.6508789999998</v>
      </c>
      <c r="M394" s="114">
        <v>1606.7783199999999</v>
      </c>
      <c r="N394" s="113">
        <v>1607.2126459999999</v>
      </c>
      <c r="O394" s="113">
        <v>4823.4316410000001</v>
      </c>
      <c r="P394" s="114">
        <v>21723.539062</v>
      </c>
      <c r="Q394" s="113">
        <v>14620.525390999999</v>
      </c>
      <c r="R394" s="113">
        <v>14621.846680000001</v>
      </c>
      <c r="S394" s="113">
        <v>43863.882812000003</v>
      </c>
      <c r="T394" s="113">
        <v>22780.037109000001</v>
      </c>
      <c r="U394" s="113">
        <v>22799.025390999999</v>
      </c>
      <c r="V394" s="113">
        <v>68371.414061999996</v>
      </c>
      <c r="W394" s="114">
        <v>5.0442650000000002</v>
      </c>
    </row>
    <row r="395" spans="2:23" x14ac:dyDescent="0.75">
      <c r="B395">
        <v>2043</v>
      </c>
      <c r="C395" t="str">
        <f t="shared" si="8"/>
        <v>Gasoline</v>
      </c>
      <c r="D395">
        <v>2</v>
      </c>
      <c r="E395" s="113">
        <v>32460.730468999998</v>
      </c>
      <c r="F395" s="113">
        <v>1733.331177</v>
      </c>
      <c r="G395" s="113">
        <v>20888.693359000001</v>
      </c>
      <c r="H395" s="114">
        <v>2429.67749</v>
      </c>
      <c r="I395" s="113">
        <v>5279.9257809999999</v>
      </c>
      <c r="J395" s="113">
        <v>5786.2109380000002</v>
      </c>
      <c r="K395" s="113">
        <v>11856.129883</v>
      </c>
      <c r="L395" s="113">
        <v>52.887031999999998</v>
      </c>
      <c r="M395" s="114">
        <v>1.02E-4</v>
      </c>
      <c r="N395" s="113">
        <v>1.02E-4</v>
      </c>
      <c r="O395" s="113">
        <v>3.0699999999999998E-4</v>
      </c>
      <c r="P395" s="114">
        <v>5.1188999999999998E-2</v>
      </c>
      <c r="Q395" s="113">
        <v>3.68E-4</v>
      </c>
      <c r="R395" s="113">
        <v>3.68E-4</v>
      </c>
      <c r="S395" s="113">
        <v>1.1039999999999999E-3</v>
      </c>
      <c r="T395" s="113">
        <v>5.7499999999999999E-4</v>
      </c>
      <c r="U395" s="113">
        <v>5.7499999999999999E-4</v>
      </c>
      <c r="V395" s="113">
        <v>1.7240000000000001E-3</v>
      </c>
      <c r="W395" s="114">
        <v>0</v>
      </c>
    </row>
    <row r="396" spans="2:23" x14ac:dyDescent="0.75">
      <c r="B396">
        <v>2043</v>
      </c>
      <c r="C396" t="str">
        <f t="shared" si="8"/>
        <v>LPG</v>
      </c>
      <c r="D396">
        <v>3</v>
      </c>
      <c r="E396" s="113">
        <v>0.583843</v>
      </c>
      <c r="F396" s="113">
        <v>3.4819999999999997E-2</v>
      </c>
      <c r="G396" s="113">
        <v>0.92760200000000004</v>
      </c>
      <c r="H396" s="114">
        <v>6.5770999999999996E-2</v>
      </c>
      <c r="I396" s="113">
        <v>0.63498500000000002</v>
      </c>
      <c r="J396" s="113">
        <v>1.8554740000000001</v>
      </c>
      <c r="K396" s="113">
        <v>1.0990770000000001</v>
      </c>
      <c r="L396" s="113">
        <v>10.078060000000001</v>
      </c>
      <c r="M396" s="114">
        <v>0.76463599999999998</v>
      </c>
      <c r="N396" s="113">
        <v>0.76463599999999998</v>
      </c>
      <c r="O396" s="113">
        <v>2.2939090000000002</v>
      </c>
      <c r="P396" s="114">
        <v>10.337076</v>
      </c>
      <c r="Q396" s="113">
        <v>6.9721310000000001</v>
      </c>
      <c r="R396" s="113">
        <v>6.9721330000000004</v>
      </c>
      <c r="S396" s="113">
        <v>20.916388999999999</v>
      </c>
      <c r="T396" s="113">
        <v>10.890686000000001</v>
      </c>
      <c r="U396" s="113">
        <v>10.890694</v>
      </c>
      <c r="V396" s="113">
        <v>32.669333999999999</v>
      </c>
      <c r="W396" s="114">
        <v>0</v>
      </c>
    </row>
    <row r="397" spans="2:23" x14ac:dyDescent="0.75">
      <c r="B397">
        <v>2043</v>
      </c>
      <c r="C397" t="str">
        <f t="shared" si="8"/>
        <v>CNG</v>
      </c>
      <c r="D397">
        <v>4</v>
      </c>
      <c r="E397" s="113">
        <v>1278.7117920000001</v>
      </c>
      <c r="F397" s="113">
        <v>75.794326999999996</v>
      </c>
      <c r="G397" s="113">
        <v>1406.4377440000001</v>
      </c>
      <c r="H397" s="114">
        <v>16.25271</v>
      </c>
      <c r="I397" s="113">
        <v>41.236069000000001</v>
      </c>
      <c r="J397" s="113">
        <v>213.12333699999999</v>
      </c>
      <c r="K397" s="113">
        <v>666.59832800000004</v>
      </c>
      <c r="L397" s="113">
        <v>37.847160000000002</v>
      </c>
      <c r="M397" s="114">
        <v>5.4472680000000002</v>
      </c>
      <c r="N397" s="113">
        <v>5.0107379999999999</v>
      </c>
      <c r="O397" s="113">
        <v>13.248965999999999</v>
      </c>
      <c r="P397" s="114">
        <v>961.733521</v>
      </c>
      <c r="Q397" s="113">
        <v>129.410889</v>
      </c>
      <c r="R397" s="113">
        <v>128.09144599999999</v>
      </c>
      <c r="S397" s="113">
        <v>385.91842700000001</v>
      </c>
      <c r="T397" s="113">
        <v>259.66629</v>
      </c>
      <c r="U397" s="113">
        <v>240.783783</v>
      </c>
      <c r="V397" s="113">
        <v>742.09576400000003</v>
      </c>
      <c r="W397" s="114">
        <v>0</v>
      </c>
    </row>
    <row r="398" spans="2:23" x14ac:dyDescent="0.75">
      <c r="B398">
        <v>2043</v>
      </c>
      <c r="C398" t="str">
        <f t="shared" si="8"/>
        <v>E85</v>
      </c>
      <c r="D398">
        <v>5</v>
      </c>
      <c r="E398" s="113">
        <v>10898.583984000001</v>
      </c>
      <c r="F398" s="113">
        <v>767.54003899999998</v>
      </c>
      <c r="G398" s="113">
        <v>274.739532</v>
      </c>
      <c r="H398" s="114">
        <v>154.56733700000001</v>
      </c>
      <c r="I398" s="113">
        <v>91.520270999999994</v>
      </c>
      <c r="J398" s="113">
        <v>0.16775499999999999</v>
      </c>
      <c r="K398" s="113">
        <v>0.243698</v>
      </c>
      <c r="L398" s="113">
        <v>0</v>
      </c>
      <c r="M398" s="114">
        <v>0</v>
      </c>
      <c r="N398" s="113">
        <v>0</v>
      </c>
      <c r="O398" s="113">
        <v>0</v>
      </c>
      <c r="P398" s="114">
        <v>0</v>
      </c>
      <c r="Q398" s="113">
        <v>0</v>
      </c>
      <c r="R398" s="113">
        <v>0</v>
      </c>
      <c r="S398" s="113">
        <v>0</v>
      </c>
      <c r="T398" s="113">
        <v>0</v>
      </c>
      <c r="U398" s="113">
        <v>0</v>
      </c>
      <c r="V398" s="113">
        <v>0</v>
      </c>
      <c r="W398" s="114">
        <v>0</v>
      </c>
    </row>
    <row r="399" spans="2:23" x14ac:dyDescent="0.75">
      <c r="B399">
        <v>2043</v>
      </c>
      <c r="C399" t="str">
        <f t="shared" si="8"/>
        <v>Electric</v>
      </c>
      <c r="D399">
        <v>6</v>
      </c>
      <c r="E399" s="113">
        <v>4863.5141599999997</v>
      </c>
      <c r="F399" s="113">
        <v>54.290207000000002</v>
      </c>
      <c r="G399" s="113">
        <v>7173.34375</v>
      </c>
      <c r="H399" s="114">
        <v>3.7262999999999998E-2</v>
      </c>
      <c r="I399" s="113">
        <v>0.31191000000000002</v>
      </c>
      <c r="J399" s="113">
        <v>2.0035769999999999</v>
      </c>
      <c r="K399" s="113">
        <v>33.302211999999997</v>
      </c>
      <c r="L399" s="113">
        <v>13.307525999999999</v>
      </c>
      <c r="M399" s="114">
        <v>0.47054600000000002</v>
      </c>
      <c r="N399" s="113">
        <v>0.47054600000000002</v>
      </c>
      <c r="O399" s="113">
        <v>1.411637</v>
      </c>
      <c r="P399" s="114">
        <v>6.9264029999999996</v>
      </c>
      <c r="Q399" s="113">
        <v>48.499237000000001</v>
      </c>
      <c r="R399" s="113">
        <v>48.499237000000001</v>
      </c>
      <c r="S399" s="113">
        <v>145.49774199999999</v>
      </c>
      <c r="T399" s="113">
        <v>75.757277999999999</v>
      </c>
      <c r="U399" s="113">
        <v>75.757362000000001</v>
      </c>
      <c r="V399" s="113">
        <v>227.27172899999999</v>
      </c>
      <c r="W399" s="114">
        <v>0</v>
      </c>
    </row>
    <row r="400" spans="2:23" x14ac:dyDescent="0.75">
      <c r="B400">
        <v>2043</v>
      </c>
      <c r="C400" t="str">
        <f t="shared" si="8"/>
        <v>PHEV diesel</v>
      </c>
      <c r="D400">
        <v>7</v>
      </c>
      <c r="E400" s="113">
        <v>0</v>
      </c>
      <c r="F400" s="113">
        <v>0</v>
      </c>
      <c r="G400" s="113">
        <v>0</v>
      </c>
      <c r="H400" s="114">
        <v>0</v>
      </c>
      <c r="I400" s="113">
        <v>0</v>
      </c>
      <c r="J400" s="113">
        <v>0</v>
      </c>
      <c r="K400" s="113">
        <v>15.43859</v>
      </c>
      <c r="L400" s="113">
        <v>16.779577</v>
      </c>
      <c r="M400" s="114">
        <v>0</v>
      </c>
      <c r="N400" s="113">
        <v>0</v>
      </c>
      <c r="O400" s="113">
        <v>0</v>
      </c>
      <c r="P400" s="114">
        <v>0</v>
      </c>
      <c r="Q400" s="113">
        <v>0</v>
      </c>
      <c r="R400" s="113">
        <v>0</v>
      </c>
      <c r="S400" s="113">
        <v>0</v>
      </c>
      <c r="T400" s="113">
        <v>0</v>
      </c>
      <c r="U400" s="113">
        <v>0</v>
      </c>
      <c r="V400" s="113">
        <v>0</v>
      </c>
      <c r="W400" s="114">
        <v>0</v>
      </c>
    </row>
    <row r="401" spans="2:23" x14ac:dyDescent="0.75">
      <c r="B401">
        <v>2043</v>
      </c>
      <c r="C401" t="str">
        <f t="shared" si="8"/>
        <v>PHEV gasoline</v>
      </c>
      <c r="D401">
        <v>8</v>
      </c>
      <c r="E401" s="113">
        <v>0</v>
      </c>
      <c r="F401" s="113">
        <v>0</v>
      </c>
      <c r="G401" s="113">
        <v>0</v>
      </c>
      <c r="H401" s="114">
        <v>0</v>
      </c>
      <c r="I401" s="113">
        <v>0</v>
      </c>
      <c r="J401" s="113">
        <v>0</v>
      </c>
      <c r="K401" s="113">
        <v>2.5451959999999998</v>
      </c>
      <c r="L401" s="113">
        <v>0</v>
      </c>
      <c r="M401" s="114">
        <v>0</v>
      </c>
      <c r="N401" s="113">
        <v>0</v>
      </c>
      <c r="O401" s="113">
        <v>0</v>
      </c>
      <c r="P401" s="114">
        <v>0</v>
      </c>
      <c r="Q401" s="113">
        <v>0</v>
      </c>
      <c r="R401" s="113">
        <v>0</v>
      </c>
      <c r="S401" s="113">
        <v>0</v>
      </c>
      <c r="T401" s="113">
        <v>0</v>
      </c>
      <c r="U401" s="113">
        <v>0</v>
      </c>
      <c r="V401" s="113">
        <v>0</v>
      </c>
      <c r="W401" s="114">
        <v>0</v>
      </c>
    </row>
    <row r="402" spans="2:23" x14ac:dyDescent="0.75">
      <c r="B402">
        <v>2043</v>
      </c>
      <c r="C402" t="str">
        <f t="shared" si="8"/>
        <v>H2 fuel cell, small battery</v>
      </c>
      <c r="D402">
        <v>9</v>
      </c>
      <c r="E402" s="113">
        <v>0</v>
      </c>
      <c r="F402" s="113">
        <v>0</v>
      </c>
      <c r="G402" s="113">
        <v>0</v>
      </c>
      <c r="H402" s="114">
        <v>0</v>
      </c>
      <c r="I402" s="113">
        <v>0</v>
      </c>
      <c r="J402" s="113">
        <v>0</v>
      </c>
      <c r="K402" s="113">
        <v>0</v>
      </c>
      <c r="L402" s="113">
        <v>0</v>
      </c>
      <c r="M402" s="114">
        <v>0</v>
      </c>
      <c r="N402" s="113">
        <v>0</v>
      </c>
      <c r="O402" s="113">
        <v>0</v>
      </c>
      <c r="P402" s="114">
        <v>0</v>
      </c>
      <c r="Q402" s="113">
        <v>0</v>
      </c>
      <c r="R402" s="113">
        <v>0</v>
      </c>
      <c r="S402" s="113">
        <v>0</v>
      </c>
      <c r="T402" s="113">
        <v>0</v>
      </c>
      <c r="U402" s="113">
        <v>0</v>
      </c>
      <c r="V402" s="113">
        <v>0</v>
      </c>
      <c r="W402" s="114">
        <v>0</v>
      </c>
    </row>
    <row r="403" spans="2:23" x14ac:dyDescent="0.75">
      <c r="B403">
        <v>2043</v>
      </c>
      <c r="C403" t="str">
        <f t="shared" si="8"/>
        <v>H2 fuel cell, large battery</v>
      </c>
      <c r="D403">
        <v>10</v>
      </c>
      <c r="E403" s="113">
        <v>0</v>
      </c>
      <c r="F403" s="113">
        <v>0</v>
      </c>
      <c r="G403" s="113">
        <v>0</v>
      </c>
      <c r="H403" s="114">
        <v>0</v>
      </c>
      <c r="I403" s="113">
        <v>0</v>
      </c>
      <c r="J403" s="113">
        <v>0</v>
      </c>
      <c r="K403" s="113">
        <v>0</v>
      </c>
      <c r="L403" s="113">
        <v>0</v>
      </c>
      <c r="M403" s="114">
        <v>0</v>
      </c>
      <c r="N403" s="113">
        <v>0</v>
      </c>
      <c r="O403" s="113">
        <v>0</v>
      </c>
      <c r="P403" s="114">
        <v>0</v>
      </c>
      <c r="Q403" s="113">
        <v>0</v>
      </c>
      <c r="R403" s="113">
        <v>0</v>
      </c>
      <c r="S403" s="113">
        <v>0</v>
      </c>
      <c r="T403" s="113">
        <v>0</v>
      </c>
      <c r="U403" s="113">
        <v>0</v>
      </c>
      <c r="V403" s="113">
        <v>0</v>
      </c>
      <c r="W403" s="114">
        <v>0</v>
      </c>
    </row>
    <row r="404" spans="2:23" x14ac:dyDescent="0.75">
      <c r="B404">
        <v>2043</v>
      </c>
      <c r="C404" t="str">
        <f t="shared" si="8"/>
        <v>Gasoline hybrid</v>
      </c>
      <c r="D404">
        <v>11</v>
      </c>
      <c r="E404" s="113">
        <v>16443.644531000002</v>
      </c>
      <c r="F404" s="113">
        <v>1016.927856</v>
      </c>
      <c r="G404" s="113">
        <v>49036.65625</v>
      </c>
      <c r="H404" s="114">
        <v>2868.5170899999998</v>
      </c>
      <c r="I404" s="113">
        <v>4704.779297</v>
      </c>
      <c r="J404" s="113">
        <v>6179.0820309999999</v>
      </c>
      <c r="K404" s="113">
        <v>0</v>
      </c>
      <c r="L404" s="113">
        <v>0</v>
      </c>
      <c r="M404" s="114">
        <v>0</v>
      </c>
      <c r="N404" s="113">
        <v>0</v>
      </c>
      <c r="O404" s="113">
        <v>0</v>
      </c>
      <c r="P404" s="114">
        <v>0</v>
      </c>
      <c r="Q404" s="113">
        <v>0</v>
      </c>
      <c r="R404" s="113">
        <v>0</v>
      </c>
      <c r="S404" s="113">
        <v>0</v>
      </c>
      <c r="T404" s="113">
        <v>0</v>
      </c>
      <c r="U404" s="113">
        <v>0</v>
      </c>
      <c r="V404" s="113">
        <v>0</v>
      </c>
      <c r="W404" s="114">
        <v>0</v>
      </c>
    </row>
    <row r="405" spans="2:23" x14ac:dyDescent="0.75">
      <c r="B405">
        <v>2043</v>
      </c>
      <c r="C405" t="str">
        <f t="shared" si="8"/>
        <v>Hydrogen ICE</v>
      </c>
      <c r="D405">
        <v>12</v>
      </c>
      <c r="E405" s="113">
        <v>0</v>
      </c>
      <c r="F405" s="113">
        <v>0</v>
      </c>
      <c r="G405" s="113">
        <v>0</v>
      </c>
      <c r="H405" s="114">
        <v>0</v>
      </c>
      <c r="I405" s="113">
        <v>0</v>
      </c>
      <c r="J405" s="113">
        <v>0</v>
      </c>
      <c r="K405" s="113">
        <v>0</v>
      </c>
      <c r="L405" s="113">
        <v>0</v>
      </c>
      <c r="M405" s="114">
        <v>0</v>
      </c>
      <c r="N405" s="113">
        <v>0</v>
      </c>
      <c r="O405" s="113">
        <v>0</v>
      </c>
      <c r="P405" s="114">
        <v>0</v>
      </c>
      <c r="Q405" s="113">
        <v>0</v>
      </c>
      <c r="R405" s="113">
        <v>0</v>
      </c>
      <c r="S405" s="113">
        <v>0</v>
      </c>
      <c r="T405" s="113">
        <v>0</v>
      </c>
      <c r="U405" s="113">
        <v>0</v>
      </c>
      <c r="V405" s="113">
        <v>0</v>
      </c>
      <c r="W405" s="114">
        <v>0</v>
      </c>
    </row>
    <row r="406" spans="2:23" x14ac:dyDescent="0.75">
      <c r="B406">
        <v>2044</v>
      </c>
      <c r="C406" t="str">
        <f t="shared" si="8"/>
        <v>Diesel</v>
      </c>
      <c r="D406">
        <v>1</v>
      </c>
      <c r="E406" s="113">
        <v>8153.1201170000004</v>
      </c>
      <c r="F406" s="113">
        <v>304.312073</v>
      </c>
      <c r="G406" s="113">
        <v>23351.988281000002</v>
      </c>
      <c r="H406" s="114">
        <v>1750.2657469999999</v>
      </c>
      <c r="I406" s="113">
        <v>4369.4877930000002</v>
      </c>
      <c r="J406" s="113">
        <v>6802.8808589999999</v>
      </c>
      <c r="K406" s="113">
        <v>13467.505859000001</v>
      </c>
      <c r="L406" s="113">
        <v>8150.3579099999997</v>
      </c>
      <c r="M406" s="114">
        <v>1609.2360839999999</v>
      </c>
      <c r="N406" s="113">
        <v>1609.747803</v>
      </c>
      <c r="O406" s="113">
        <v>4831.533203</v>
      </c>
      <c r="P406" s="114">
        <v>21780.904297000001</v>
      </c>
      <c r="Q406" s="113">
        <v>14666.931640999999</v>
      </c>
      <c r="R406" s="113">
        <v>14668.254883</v>
      </c>
      <c r="S406" s="113">
        <v>44008.175780999998</v>
      </c>
      <c r="T406" s="113">
        <v>22837.705077999999</v>
      </c>
      <c r="U406" s="113">
        <v>22861.769531000002</v>
      </c>
      <c r="V406" s="113">
        <v>68552.078125</v>
      </c>
      <c r="W406" s="114">
        <v>5.0383570000000004</v>
      </c>
    </row>
    <row r="407" spans="2:23" x14ac:dyDescent="0.75">
      <c r="B407">
        <v>2044</v>
      </c>
      <c r="C407" t="str">
        <f t="shared" si="8"/>
        <v>Gasoline</v>
      </c>
      <c r="D407">
        <v>2</v>
      </c>
      <c r="E407" s="113">
        <v>31109.548827999999</v>
      </c>
      <c r="F407" s="113">
        <v>1613.028687</v>
      </c>
      <c r="G407" s="113">
        <v>20060.652343999998</v>
      </c>
      <c r="H407" s="114">
        <v>2329.4790039999998</v>
      </c>
      <c r="I407" s="113">
        <v>5079.9580079999996</v>
      </c>
      <c r="J407" s="113">
        <v>5615.5664059999999</v>
      </c>
      <c r="K407" s="113">
        <v>12006.748046999999</v>
      </c>
      <c r="L407" s="113">
        <v>52.168796999999998</v>
      </c>
      <c r="M407" s="114">
        <v>7.2000000000000002E-5</v>
      </c>
      <c r="N407" s="113">
        <v>7.2000000000000002E-5</v>
      </c>
      <c r="O407" s="113">
        <v>2.1499999999999999E-4</v>
      </c>
      <c r="P407" s="114">
        <v>4.0835999999999997E-2</v>
      </c>
      <c r="Q407" s="113">
        <v>2.5799999999999998E-4</v>
      </c>
      <c r="R407" s="113">
        <v>2.5799999999999998E-4</v>
      </c>
      <c r="S407" s="113">
        <v>7.7399999999999995E-4</v>
      </c>
      <c r="T407" s="113">
        <v>4.0299999999999998E-4</v>
      </c>
      <c r="U407" s="113">
        <v>4.0299999999999998E-4</v>
      </c>
      <c r="V407" s="113">
        <v>1.209E-3</v>
      </c>
      <c r="W407" s="114">
        <v>0</v>
      </c>
    </row>
    <row r="408" spans="2:23" x14ac:dyDescent="0.75">
      <c r="B408">
        <v>2044</v>
      </c>
      <c r="C408" t="str">
        <f t="shared" si="8"/>
        <v>LPG</v>
      </c>
      <c r="D408">
        <v>3</v>
      </c>
      <c r="E408" s="113">
        <v>0.59098899999999999</v>
      </c>
      <c r="F408" s="113">
        <v>3.5333000000000003E-2</v>
      </c>
      <c r="G408" s="113">
        <v>0.94847199999999998</v>
      </c>
      <c r="H408" s="114">
        <v>6.7541000000000004E-2</v>
      </c>
      <c r="I408" s="113">
        <v>0.60172000000000003</v>
      </c>
      <c r="J408" s="113">
        <v>1.711438</v>
      </c>
      <c r="K408" s="113">
        <v>1.0611250000000001</v>
      </c>
      <c r="L408" s="113">
        <v>9.5794689999999996</v>
      </c>
      <c r="M408" s="114">
        <v>0.77080700000000002</v>
      </c>
      <c r="N408" s="113">
        <v>0.77080800000000005</v>
      </c>
      <c r="O408" s="113">
        <v>2.3124259999999999</v>
      </c>
      <c r="P408" s="114">
        <v>10.489169</v>
      </c>
      <c r="Q408" s="113">
        <v>7.0345339999999998</v>
      </c>
      <c r="R408" s="113">
        <v>7.0345339999999998</v>
      </c>
      <c r="S408" s="113">
        <v>21.103594000000001</v>
      </c>
      <c r="T408" s="113">
        <v>10.988148000000001</v>
      </c>
      <c r="U408" s="113">
        <v>10.988160000000001</v>
      </c>
      <c r="V408" s="113">
        <v>32.961703999999997</v>
      </c>
      <c r="W408" s="114">
        <v>0</v>
      </c>
    </row>
    <row r="409" spans="2:23" x14ac:dyDescent="0.75">
      <c r="B409">
        <v>2044</v>
      </c>
      <c r="C409" t="str">
        <f t="shared" si="8"/>
        <v>CNG</v>
      </c>
      <c r="D409">
        <v>4</v>
      </c>
      <c r="E409" s="113">
        <v>1388.2531739999999</v>
      </c>
      <c r="F409" s="113">
        <v>81.939552000000006</v>
      </c>
      <c r="G409" s="113">
        <v>1518.6210940000001</v>
      </c>
      <c r="H409" s="114">
        <v>16.930136000000001</v>
      </c>
      <c r="I409" s="113">
        <v>42.243617999999998</v>
      </c>
      <c r="J409" s="113">
        <v>216.071167</v>
      </c>
      <c r="K409" s="113">
        <v>676.43505900000002</v>
      </c>
      <c r="L409" s="113">
        <v>37.935321999999999</v>
      </c>
      <c r="M409" s="114">
        <v>5.8874820000000003</v>
      </c>
      <c r="N409" s="113">
        <v>5.3687529999999999</v>
      </c>
      <c r="O409" s="113">
        <v>13.82629</v>
      </c>
      <c r="P409" s="114">
        <v>965.22833300000002</v>
      </c>
      <c r="Q409" s="113">
        <v>132.197418</v>
      </c>
      <c r="R409" s="113">
        <v>130.87443500000001</v>
      </c>
      <c r="S409" s="113">
        <v>389.20425399999999</v>
      </c>
      <c r="T409" s="113">
        <v>278.822723</v>
      </c>
      <c r="U409" s="113">
        <v>254.865768</v>
      </c>
      <c r="V409" s="113">
        <v>791.82891800000004</v>
      </c>
      <c r="W409" s="114">
        <v>0</v>
      </c>
    </row>
    <row r="410" spans="2:23" x14ac:dyDescent="0.75">
      <c r="B410">
        <v>2044</v>
      </c>
      <c r="C410" t="str">
        <f t="shared" si="8"/>
        <v>E85</v>
      </c>
      <c r="D410">
        <v>5</v>
      </c>
      <c r="E410" s="113">
        <v>10807.081055000001</v>
      </c>
      <c r="F410" s="113">
        <v>744.42437700000005</v>
      </c>
      <c r="G410" s="113">
        <v>247.12806699999999</v>
      </c>
      <c r="H410" s="114">
        <v>133.74182099999999</v>
      </c>
      <c r="I410" s="113">
        <v>84.705665999999994</v>
      </c>
      <c r="J410" s="113">
        <v>0.17030999999999999</v>
      </c>
      <c r="K410" s="113">
        <v>0.24737300000000001</v>
      </c>
      <c r="L410" s="113">
        <v>0</v>
      </c>
      <c r="M410" s="114">
        <v>0</v>
      </c>
      <c r="N410" s="113">
        <v>0</v>
      </c>
      <c r="O410" s="113">
        <v>0</v>
      </c>
      <c r="P410" s="114">
        <v>0</v>
      </c>
      <c r="Q410" s="113">
        <v>0</v>
      </c>
      <c r="R410" s="113">
        <v>0</v>
      </c>
      <c r="S410" s="113">
        <v>0</v>
      </c>
      <c r="T410" s="113">
        <v>0</v>
      </c>
      <c r="U410" s="113">
        <v>0</v>
      </c>
      <c r="V410" s="113">
        <v>0</v>
      </c>
      <c r="W410" s="114">
        <v>0</v>
      </c>
    </row>
    <row r="411" spans="2:23" x14ac:dyDescent="0.75">
      <c r="B411">
        <v>2044</v>
      </c>
      <c r="C411" t="str">
        <f t="shared" si="8"/>
        <v>Electric</v>
      </c>
      <c r="D411">
        <v>6</v>
      </c>
      <c r="E411" s="113">
        <v>5221.419922</v>
      </c>
      <c r="F411" s="113">
        <v>66.771491999999995</v>
      </c>
      <c r="G411" s="113">
        <v>8393.0107420000004</v>
      </c>
      <c r="H411" s="114">
        <v>2.5947000000000001E-2</v>
      </c>
      <c r="I411" s="113">
        <v>0.294574</v>
      </c>
      <c r="J411" s="113">
        <v>2.016181</v>
      </c>
      <c r="K411" s="113">
        <v>33.590598999999997</v>
      </c>
      <c r="L411" s="113">
        <v>13.464976999999999</v>
      </c>
      <c r="M411" s="114">
        <v>0.47522500000000001</v>
      </c>
      <c r="N411" s="113">
        <v>0.47522500000000001</v>
      </c>
      <c r="O411" s="113">
        <v>1.4256740000000001</v>
      </c>
      <c r="P411" s="114">
        <v>6.9930649999999996</v>
      </c>
      <c r="Q411" s="113">
        <v>48.890591000000001</v>
      </c>
      <c r="R411" s="113">
        <v>48.890591000000001</v>
      </c>
      <c r="S411" s="113">
        <v>146.671753</v>
      </c>
      <c r="T411" s="113">
        <v>76.368538000000001</v>
      </c>
      <c r="U411" s="113">
        <v>76.368645000000001</v>
      </c>
      <c r="V411" s="113">
        <v>229.105515</v>
      </c>
      <c r="W411" s="114">
        <v>0</v>
      </c>
    </row>
    <row r="412" spans="2:23" x14ac:dyDescent="0.75">
      <c r="B412">
        <v>2044</v>
      </c>
      <c r="C412" t="str">
        <f t="shared" si="8"/>
        <v>PHEV diesel</v>
      </c>
      <c r="D412">
        <v>7</v>
      </c>
      <c r="E412" s="113">
        <v>0</v>
      </c>
      <c r="F412" s="113">
        <v>0</v>
      </c>
      <c r="G412" s="113">
        <v>0</v>
      </c>
      <c r="H412" s="114">
        <v>0</v>
      </c>
      <c r="I412" s="113">
        <v>0</v>
      </c>
      <c r="J412" s="113">
        <v>0</v>
      </c>
      <c r="K412" s="113">
        <v>14.216364</v>
      </c>
      <c r="L412" s="113">
        <v>15.664711</v>
      </c>
      <c r="M412" s="114">
        <v>0</v>
      </c>
      <c r="N412" s="113">
        <v>0</v>
      </c>
      <c r="O412" s="113">
        <v>0</v>
      </c>
      <c r="P412" s="114">
        <v>0</v>
      </c>
      <c r="Q412" s="113">
        <v>0</v>
      </c>
      <c r="R412" s="113">
        <v>0</v>
      </c>
      <c r="S412" s="113">
        <v>0</v>
      </c>
      <c r="T412" s="113">
        <v>0</v>
      </c>
      <c r="U412" s="113">
        <v>0</v>
      </c>
      <c r="V412" s="113">
        <v>0</v>
      </c>
      <c r="W412" s="114">
        <v>0</v>
      </c>
    </row>
    <row r="413" spans="2:23" x14ac:dyDescent="0.75">
      <c r="B413">
        <v>2044</v>
      </c>
      <c r="C413" t="str">
        <f t="shared" si="8"/>
        <v>PHEV gasoline</v>
      </c>
      <c r="D413">
        <v>8</v>
      </c>
      <c r="E413" s="113">
        <v>0</v>
      </c>
      <c r="F413" s="113">
        <v>0</v>
      </c>
      <c r="G413" s="113">
        <v>0</v>
      </c>
      <c r="H413" s="114">
        <v>0</v>
      </c>
      <c r="I413" s="113">
        <v>0</v>
      </c>
      <c r="J413" s="113">
        <v>0</v>
      </c>
      <c r="K413" s="113">
        <v>2.3075709999999998</v>
      </c>
      <c r="L413" s="113">
        <v>0</v>
      </c>
      <c r="M413" s="114">
        <v>0</v>
      </c>
      <c r="N413" s="113">
        <v>0</v>
      </c>
      <c r="O413" s="113">
        <v>0</v>
      </c>
      <c r="P413" s="114">
        <v>0</v>
      </c>
      <c r="Q413" s="113">
        <v>0</v>
      </c>
      <c r="R413" s="113">
        <v>0</v>
      </c>
      <c r="S413" s="113">
        <v>0</v>
      </c>
      <c r="T413" s="113">
        <v>0</v>
      </c>
      <c r="U413" s="113">
        <v>0</v>
      </c>
      <c r="V413" s="113">
        <v>0</v>
      </c>
      <c r="W413" s="114">
        <v>0</v>
      </c>
    </row>
    <row r="414" spans="2:23" x14ac:dyDescent="0.75">
      <c r="B414">
        <v>2044</v>
      </c>
      <c r="C414" t="str">
        <f t="shared" si="8"/>
        <v>H2 fuel cell, small battery</v>
      </c>
      <c r="D414">
        <v>9</v>
      </c>
      <c r="E414" s="113">
        <v>0</v>
      </c>
      <c r="F414" s="113">
        <v>0</v>
      </c>
      <c r="G414" s="113">
        <v>0</v>
      </c>
      <c r="H414" s="114">
        <v>0</v>
      </c>
      <c r="I414" s="113">
        <v>0</v>
      </c>
      <c r="J414" s="113">
        <v>0</v>
      </c>
      <c r="K414" s="113">
        <v>0</v>
      </c>
      <c r="L414" s="113">
        <v>0</v>
      </c>
      <c r="M414" s="114">
        <v>0</v>
      </c>
      <c r="N414" s="113">
        <v>0</v>
      </c>
      <c r="O414" s="113">
        <v>0</v>
      </c>
      <c r="P414" s="114">
        <v>0</v>
      </c>
      <c r="Q414" s="113">
        <v>0</v>
      </c>
      <c r="R414" s="113">
        <v>0</v>
      </c>
      <c r="S414" s="113">
        <v>0</v>
      </c>
      <c r="T414" s="113">
        <v>0</v>
      </c>
      <c r="U414" s="113">
        <v>0</v>
      </c>
      <c r="V414" s="113">
        <v>0</v>
      </c>
      <c r="W414" s="114">
        <v>0</v>
      </c>
    </row>
    <row r="415" spans="2:23" x14ac:dyDescent="0.75">
      <c r="B415">
        <v>2044</v>
      </c>
      <c r="C415" t="str">
        <f t="shared" si="8"/>
        <v>H2 fuel cell, large battery</v>
      </c>
      <c r="D415">
        <v>10</v>
      </c>
      <c r="E415" s="113">
        <v>0</v>
      </c>
      <c r="F415" s="113">
        <v>0</v>
      </c>
      <c r="G415" s="113">
        <v>0</v>
      </c>
      <c r="H415" s="114">
        <v>0</v>
      </c>
      <c r="I415" s="113">
        <v>0</v>
      </c>
      <c r="J415" s="113">
        <v>0</v>
      </c>
      <c r="K415" s="113">
        <v>0</v>
      </c>
      <c r="L415" s="113">
        <v>0</v>
      </c>
      <c r="M415" s="114">
        <v>0</v>
      </c>
      <c r="N415" s="113">
        <v>0</v>
      </c>
      <c r="O415" s="113">
        <v>0</v>
      </c>
      <c r="P415" s="114">
        <v>0</v>
      </c>
      <c r="Q415" s="113">
        <v>0</v>
      </c>
      <c r="R415" s="113">
        <v>0</v>
      </c>
      <c r="S415" s="113">
        <v>0</v>
      </c>
      <c r="T415" s="113">
        <v>0</v>
      </c>
      <c r="U415" s="113">
        <v>0</v>
      </c>
      <c r="V415" s="113">
        <v>0</v>
      </c>
      <c r="W415" s="114">
        <v>0</v>
      </c>
    </row>
    <row r="416" spans="2:23" x14ac:dyDescent="0.75">
      <c r="B416">
        <v>2044</v>
      </c>
      <c r="C416" t="str">
        <f t="shared" si="8"/>
        <v>Gasoline hybrid</v>
      </c>
      <c r="D416">
        <v>11</v>
      </c>
      <c r="E416" s="113">
        <v>17490.824218999998</v>
      </c>
      <c r="F416" s="113">
        <v>1138.645874</v>
      </c>
      <c r="G416" s="113">
        <v>51575.101562000003</v>
      </c>
      <c r="H416" s="114">
        <v>3122.6752929999998</v>
      </c>
      <c r="I416" s="113">
        <v>5070.6870120000003</v>
      </c>
      <c r="J416" s="113">
        <v>6664.0439450000003</v>
      </c>
      <c r="K416" s="113">
        <v>0</v>
      </c>
      <c r="L416" s="113">
        <v>0</v>
      </c>
      <c r="M416" s="114">
        <v>0</v>
      </c>
      <c r="N416" s="113">
        <v>0</v>
      </c>
      <c r="O416" s="113">
        <v>0</v>
      </c>
      <c r="P416" s="114">
        <v>0</v>
      </c>
      <c r="Q416" s="113">
        <v>0</v>
      </c>
      <c r="R416" s="113">
        <v>0</v>
      </c>
      <c r="S416" s="113">
        <v>0</v>
      </c>
      <c r="T416" s="113">
        <v>0</v>
      </c>
      <c r="U416" s="113">
        <v>0</v>
      </c>
      <c r="V416" s="113">
        <v>0</v>
      </c>
      <c r="W416" s="114">
        <v>0</v>
      </c>
    </row>
    <row r="417" spans="2:23" x14ac:dyDescent="0.75">
      <c r="B417">
        <v>2044</v>
      </c>
      <c r="C417" t="str">
        <f t="shared" si="8"/>
        <v>Hydrogen ICE</v>
      </c>
      <c r="D417">
        <v>12</v>
      </c>
      <c r="E417" s="113">
        <v>0</v>
      </c>
      <c r="F417" s="113">
        <v>0</v>
      </c>
      <c r="G417" s="113">
        <v>0</v>
      </c>
      <c r="H417" s="114">
        <v>0</v>
      </c>
      <c r="I417" s="113">
        <v>0</v>
      </c>
      <c r="J417" s="113">
        <v>0</v>
      </c>
      <c r="K417" s="113">
        <v>0</v>
      </c>
      <c r="L417" s="113">
        <v>0</v>
      </c>
      <c r="M417" s="114">
        <v>0</v>
      </c>
      <c r="N417" s="113">
        <v>0</v>
      </c>
      <c r="O417" s="113">
        <v>0</v>
      </c>
      <c r="P417" s="114">
        <v>0</v>
      </c>
      <c r="Q417" s="113">
        <v>0</v>
      </c>
      <c r="R417" s="113">
        <v>0</v>
      </c>
      <c r="S417" s="113">
        <v>0</v>
      </c>
      <c r="T417" s="113">
        <v>0</v>
      </c>
      <c r="U417" s="113">
        <v>0</v>
      </c>
      <c r="V417" s="113">
        <v>0</v>
      </c>
      <c r="W417" s="114">
        <v>0</v>
      </c>
    </row>
    <row r="418" spans="2:23" x14ac:dyDescent="0.75">
      <c r="B418">
        <v>2045</v>
      </c>
      <c r="C418" t="str">
        <f t="shared" si="8"/>
        <v>Diesel</v>
      </c>
      <c r="D418">
        <v>1</v>
      </c>
      <c r="E418" s="113">
        <v>7607.3623049999997</v>
      </c>
      <c r="F418" s="113">
        <v>286.79315200000002</v>
      </c>
      <c r="G418" s="113">
        <v>21998.884765999999</v>
      </c>
      <c r="H418" s="114">
        <v>1688.9923100000001</v>
      </c>
      <c r="I418" s="113">
        <v>4222.0058589999999</v>
      </c>
      <c r="J418" s="113">
        <v>6519.0078119999998</v>
      </c>
      <c r="K418" s="113">
        <v>13461.991211</v>
      </c>
      <c r="L418" s="113">
        <v>8159.0493159999996</v>
      </c>
      <c r="M418" s="114">
        <v>1613.1411129999999</v>
      </c>
      <c r="N418" s="113">
        <v>1613.7307129999999</v>
      </c>
      <c r="O418" s="113">
        <v>4843.9609380000002</v>
      </c>
      <c r="P418" s="114">
        <v>21856.980468999998</v>
      </c>
      <c r="Q418" s="113">
        <v>14725.477539</v>
      </c>
      <c r="R418" s="113">
        <v>14726.804688</v>
      </c>
      <c r="S418" s="113">
        <v>44178.816405999998</v>
      </c>
      <c r="T418" s="113">
        <v>22907.787109000001</v>
      </c>
      <c r="U418" s="113">
        <v>22938.220702999999</v>
      </c>
      <c r="V418" s="113">
        <v>68768.75</v>
      </c>
      <c r="W418" s="114">
        <v>5.0291249999999996</v>
      </c>
    </row>
    <row r="419" spans="2:23" x14ac:dyDescent="0.75">
      <c r="B419">
        <v>2045</v>
      </c>
      <c r="C419" t="str">
        <f t="shared" ref="C419:C482" si="9">C407</f>
        <v>Gasoline</v>
      </c>
      <c r="D419">
        <v>2</v>
      </c>
      <c r="E419" s="113">
        <v>29763.886718999998</v>
      </c>
      <c r="F419" s="113">
        <v>1496.600952</v>
      </c>
      <c r="G419" s="113">
        <v>19274.564452999999</v>
      </c>
      <c r="H419" s="114">
        <v>2241.914307</v>
      </c>
      <c r="I419" s="113">
        <v>4898.1723629999997</v>
      </c>
      <c r="J419" s="113">
        <v>5461.0766599999997</v>
      </c>
      <c r="K419" s="113">
        <v>12159.924805000001</v>
      </c>
      <c r="L419" s="113">
        <v>51.779781</v>
      </c>
      <c r="M419" s="114">
        <v>5.0000000000000002E-5</v>
      </c>
      <c r="N419" s="113">
        <v>5.0000000000000002E-5</v>
      </c>
      <c r="O419" s="113">
        <v>1.5100000000000001E-4</v>
      </c>
      <c r="P419" s="114">
        <v>3.3321999999999997E-2</v>
      </c>
      <c r="Q419" s="113">
        <v>1.8100000000000001E-4</v>
      </c>
      <c r="R419" s="113">
        <v>1.8100000000000001E-4</v>
      </c>
      <c r="S419" s="113">
        <v>5.4299999999999997E-4</v>
      </c>
      <c r="T419" s="113">
        <v>2.8299999999999999E-4</v>
      </c>
      <c r="U419" s="113">
        <v>2.8299999999999999E-4</v>
      </c>
      <c r="V419" s="113">
        <v>8.4900000000000004E-4</v>
      </c>
      <c r="W419" s="114">
        <v>0</v>
      </c>
    </row>
    <row r="420" spans="2:23" x14ac:dyDescent="0.75">
      <c r="B420">
        <v>2045</v>
      </c>
      <c r="C420" t="str">
        <f t="shared" si="9"/>
        <v>LPG</v>
      </c>
      <c r="D420">
        <v>3</v>
      </c>
      <c r="E420" s="113">
        <v>0.59686700000000004</v>
      </c>
      <c r="F420" s="113">
        <v>3.5727000000000002E-2</v>
      </c>
      <c r="G420" s="113">
        <v>0.969661</v>
      </c>
      <c r="H420" s="114">
        <v>6.9309999999999997E-2</v>
      </c>
      <c r="I420" s="113">
        <v>0.57288300000000003</v>
      </c>
      <c r="J420" s="113">
        <v>1.6415470000000001</v>
      </c>
      <c r="K420" s="113">
        <v>1.024627</v>
      </c>
      <c r="L420" s="113">
        <v>9.1724320000000006</v>
      </c>
      <c r="M420" s="114">
        <v>0.77726099999999998</v>
      </c>
      <c r="N420" s="113">
        <v>0.77726099999999998</v>
      </c>
      <c r="O420" s="113">
        <v>2.3317860000000001</v>
      </c>
      <c r="P420" s="114">
        <v>10.635719999999999</v>
      </c>
      <c r="Q420" s="113">
        <v>7.1000920000000001</v>
      </c>
      <c r="R420" s="113">
        <v>7.1000920000000001</v>
      </c>
      <c r="S420" s="113">
        <v>21.300280000000001</v>
      </c>
      <c r="T420" s="113">
        <v>11.090541999999999</v>
      </c>
      <c r="U420" s="113">
        <v>11.090558</v>
      </c>
      <c r="V420" s="113">
        <v>33.268825999999997</v>
      </c>
      <c r="W420" s="114">
        <v>0</v>
      </c>
    </row>
    <row r="421" spans="2:23" x14ac:dyDescent="0.75">
      <c r="B421">
        <v>2045</v>
      </c>
      <c r="C421" t="str">
        <f t="shared" si="9"/>
        <v>CNG</v>
      </c>
      <c r="D421">
        <v>4</v>
      </c>
      <c r="E421" s="113">
        <v>1497.885254</v>
      </c>
      <c r="F421" s="113">
        <v>88.139381</v>
      </c>
      <c r="G421" s="113">
        <v>1632.9167480000001</v>
      </c>
      <c r="H421" s="114">
        <v>17.678153999999999</v>
      </c>
      <c r="I421" s="113">
        <v>42.843311</v>
      </c>
      <c r="J421" s="113">
        <v>219.06047100000001</v>
      </c>
      <c r="K421" s="113">
        <v>686.82928500000003</v>
      </c>
      <c r="L421" s="113">
        <v>38.042476999999998</v>
      </c>
      <c r="M421" s="114">
        <v>6.3121289999999997</v>
      </c>
      <c r="N421" s="113">
        <v>5.711341</v>
      </c>
      <c r="O421" s="113">
        <v>14.369965000000001</v>
      </c>
      <c r="P421" s="114">
        <v>968.907104</v>
      </c>
      <c r="Q421" s="113">
        <v>133.88774100000001</v>
      </c>
      <c r="R421" s="113">
        <v>132.56239299999999</v>
      </c>
      <c r="S421" s="113">
        <v>399.25765999999999</v>
      </c>
      <c r="T421" s="113">
        <v>302.83279399999998</v>
      </c>
      <c r="U421" s="113">
        <v>272.48022500000002</v>
      </c>
      <c r="V421" s="113">
        <v>857.27832000000001</v>
      </c>
      <c r="W421" s="114">
        <v>0</v>
      </c>
    </row>
    <row r="422" spans="2:23" x14ac:dyDescent="0.75">
      <c r="B422">
        <v>2045</v>
      </c>
      <c r="C422" t="str">
        <f t="shared" si="9"/>
        <v>E85</v>
      </c>
      <c r="D422">
        <v>5</v>
      </c>
      <c r="E422" s="113">
        <v>10693.569336</v>
      </c>
      <c r="F422" s="113">
        <v>725.05566399999998</v>
      </c>
      <c r="G422" s="113">
        <v>220.319321</v>
      </c>
      <c r="H422" s="114">
        <v>115.27433000000001</v>
      </c>
      <c r="I422" s="113">
        <v>77.950119000000001</v>
      </c>
      <c r="J422" s="113">
        <v>0.17289599999999999</v>
      </c>
      <c r="K422" s="113">
        <v>0.25101000000000001</v>
      </c>
      <c r="L422" s="113">
        <v>0</v>
      </c>
      <c r="M422" s="114">
        <v>0</v>
      </c>
      <c r="N422" s="113">
        <v>0</v>
      </c>
      <c r="O422" s="113">
        <v>0</v>
      </c>
      <c r="P422" s="114">
        <v>0</v>
      </c>
      <c r="Q422" s="113">
        <v>0</v>
      </c>
      <c r="R422" s="113">
        <v>0</v>
      </c>
      <c r="S422" s="113">
        <v>0</v>
      </c>
      <c r="T422" s="113">
        <v>0</v>
      </c>
      <c r="U422" s="113">
        <v>0</v>
      </c>
      <c r="V422" s="113">
        <v>0</v>
      </c>
      <c r="W422" s="114">
        <v>0</v>
      </c>
    </row>
    <row r="423" spans="2:23" x14ac:dyDescent="0.75">
      <c r="B423">
        <v>2045</v>
      </c>
      <c r="C423" t="str">
        <f t="shared" si="9"/>
        <v>Electric</v>
      </c>
      <c r="D423">
        <v>6</v>
      </c>
      <c r="E423" s="113">
        <v>5572.1440430000002</v>
      </c>
      <c r="F423" s="113">
        <v>80.230514999999997</v>
      </c>
      <c r="G423" s="113">
        <v>9723.9550780000009</v>
      </c>
      <c r="H423" s="114">
        <v>1.8218000000000002E-2</v>
      </c>
      <c r="I423" s="113">
        <v>0.27920200000000001</v>
      </c>
      <c r="J423" s="113">
        <v>2.026891</v>
      </c>
      <c r="K423" s="113">
        <v>33.891337999999998</v>
      </c>
      <c r="L423" s="113">
        <v>13.622892999999999</v>
      </c>
      <c r="M423" s="114">
        <v>0.48036499999999999</v>
      </c>
      <c r="N423" s="113">
        <v>0.48036499999999999</v>
      </c>
      <c r="O423" s="113">
        <v>1.441093</v>
      </c>
      <c r="P423" s="114">
        <v>7.0591369999999998</v>
      </c>
      <c r="Q423" s="113">
        <v>49.316257</v>
      </c>
      <c r="R423" s="113">
        <v>49.316257</v>
      </c>
      <c r="S423" s="113">
        <v>147.94877600000001</v>
      </c>
      <c r="T423" s="113">
        <v>77.033371000000002</v>
      </c>
      <c r="U423" s="113">
        <v>77.033501000000001</v>
      </c>
      <c r="V423" s="113">
        <v>231.09960899999999</v>
      </c>
      <c r="W423" s="114">
        <v>0</v>
      </c>
    </row>
    <row r="424" spans="2:23" x14ac:dyDescent="0.75">
      <c r="B424">
        <v>2045</v>
      </c>
      <c r="C424" t="str">
        <f t="shared" si="9"/>
        <v>PHEV diesel</v>
      </c>
      <c r="D424">
        <v>7</v>
      </c>
      <c r="E424" s="113">
        <v>0</v>
      </c>
      <c r="F424" s="113">
        <v>0</v>
      </c>
      <c r="G424" s="113">
        <v>0</v>
      </c>
      <c r="H424" s="114">
        <v>0</v>
      </c>
      <c r="I424" s="113">
        <v>0</v>
      </c>
      <c r="J424" s="113">
        <v>0</v>
      </c>
      <c r="K424" s="113">
        <v>13.112432</v>
      </c>
      <c r="L424" s="113">
        <v>14.422077</v>
      </c>
      <c r="M424" s="114">
        <v>0</v>
      </c>
      <c r="N424" s="113">
        <v>0</v>
      </c>
      <c r="O424" s="113">
        <v>0</v>
      </c>
      <c r="P424" s="114">
        <v>0</v>
      </c>
      <c r="Q424" s="113">
        <v>0</v>
      </c>
      <c r="R424" s="113">
        <v>0</v>
      </c>
      <c r="S424" s="113">
        <v>0</v>
      </c>
      <c r="T424" s="113">
        <v>0</v>
      </c>
      <c r="U424" s="113">
        <v>0</v>
      </c>
      <c r="V424" s="113">
        <v>0</v>
      </c>
      <c r="W424" s="114">
        <v>0</v>
      </c>
    </row>
    <row r="425" spans="2:23" x14ac:dyDescent="0.75">
      <c r="B425">
        <v>2045</v>
      </c>
      <c r="C425" t="str">
        <f t="shared" si="9"/>
        <v>PHEV gasoline</v>
      </c>
      <c r="D425">
        <v>8</v>
      </c>
      <c r="E425" s="113">
        <v>0</v>
      </c>
      <c r="F425" s="113">
        <v>0</v>
      </c>
      <c r="G425" s="113">
        <v>0</v>
      </c>
      <c r="H425" s="114">
        <v>0</v>
      </c>
      <c r="I425" s="113">
        <v>0</v>
      </c>
      <c r="J425" s="113">
        <v>0</v>
      </c>
      <c r="K425" s="113">
        <v>2.1318510000000002</v>
      </c>
      <c r="L425" s="113">
        <v>0</v>
      </c>
      <c r="M425" s="114">
        <v>0</v>
      </c>
      <c r="N425" s="113">
        <v>0</v>
      </c>
      <c r="O425" s="113">
        <v>0</v>
      </c>
      <c r="P425" s="114">
        <v>0</v>
      </c>
      <c r="Q425" s="113">
        <v>0</v>
      </c>
      <c r="R425" s="113">
        <v>0</v>
      </c>
      <c r="S425" s="113">
        <v>0</v>
      </c>
      <c r="T425" s="113">
        <v>0</v>
      </c>
      <c r="U425" s="113">
        <v>0</v>
      </c>
      <c r="V425" s="113">
        <v>0</v>
      </c>
      <c r="W425" s="114">
        <v>0</v>
      </c>
    </row>
    <row r="426" spans="2:23" x14ac:dyDescent="0.75">
      <c r="B426">
        <v>2045</v>
      </c>
      <c r="C426" t="str">
        <f t="shared" si="9"/>
        <v>H2 fuel cell, small battery</v>
      </c>
      <c r="D426">
        <v>9</v>
      </c>
      <c r="E426" s="113">
        <v>0</v>
      </c>
      <c r="F426" s="113">
        <v>0</v>
      </c>
      <c r="G426" s="113">
        <v>0</v>
      </c>
      <c r="H426" s="114">
        <v>0</v>
      </c>
      <c r="I426" s="113">
        <v>0</v>
      </c>
      <c r="J426" s="113">
        <v>0</v>
      </c>
      <c r="K426" s="113">
        <v>0</v>
      </c>
      <c r="L426" s="113">
        <v>0</v>
      </c>
      <c r="M426" s="114">
        <v>0</v>
      </c>
      <c r="N426" s="113">
        <v>0</v>
      </c>
      <c r="O426" s="113">
        <v>0</v>
      </c>
      <c r="P426" s="114">
        <v>0</v>
      </c>
      <c r="Q426" s="113">
        <v>0</v>
      </c>
      <c r="R426" s="113">
        <v>0</v>
      </c>
      <c r="S426" s="113">
        <v>0</v>
      </c>
      <c r="T426" s="113">
        <v>0</v>
      </c>
      <c r="U426" s="113">
        <v>0</v>
      </c>
      <c r="V426" s="113">
        <v>0</v>
      </c>
      <c r="W426" s="114">
        <v>0</v>
      </c>
    </row>
    <row r="427" spans="2:23" x14ac:dyDescent="0.75">
      <c r="B427">
        <v>2045</v>
      </c>
      <c r="C427" t="str">
        <f t="shared" si="9"/>
        <v>H2 fuel cell, large battery</v>
      </c>
      <c r="D427">
        <v>10</v>
      </c>
      <c r="E427" s="113">
        <v>0</v>
      </c>
      <c r="F427" s="113">
        <v>0</v>
      </c>
      <c r="G427" s="113">
        <v>0</v>
      </c>
      <c r="H427" s="114">
        <v>0</v>
      </c>
      <c r="I427" s="113">
        <v>0</v>
      </c>
      <c r="J427" s="113">
        <v>0</v>
      </c>
      <c r="K427" s="113">
        <v>0</v>
      </c>
      <c r="L427" s="113">
        <v>0</v>
      </c>
      <c r="M427" s="114">
        <v>0</v>
      </c>
      <c r="N427" s="113">
        <v>0</v>
      </c>
      <c r="O427" s="113">
        <v>0</v>
      </c>
      <c r="P427" s="114">
        <v>0</v>
      </c>
      <c r="Q427" s="113">
        <v>0</v>
      </c>
      <c r="R427" s="113">
        <v>0</v>
      </c>
      <c r="S427" s="113">
        <v>0</v>
      </c>
      <c r="T427" s="113">
        <v>0</v>
      </c>
      <c r="U427" s="113">
        <v>0</v>
      </c>
      <c r="V427" s="113">
        <v>0</v>
      </c>
      <c r="W427" s="114">
        <v>0</v>
      </c>
    </row>
    <row r="428" spans="2:23" x14ac:dyDescent="0.75">
      <c r="B428">
        <v>2045</v>
      </c>
      <c r="C428" t="str">
        <f t="shared" si="9"/>
        <v>Gasoline hybrid</v>
      </c>
      <c r="D428">
        <v>11</v>
      </c>
      <c r="E428" s="113">
        <v>18493.099609000001</v>
      </c>
      <c r="F428" s="113">
        <v>1257.0437010000001</v>
      </c>
      <c r="G428" s="113">
        <v>53986.605469000002</v>
      </c>
      <c r="H428" s="114">
        <v>3369.494385</v>
      </c>
      <c r="I428" s="113">
        <v>5414.6801759999998</v>
      </c>
      <c r="J428" s="113">
        <v>7120.5883789999998</v>
      </c>
      <c r="K428" s="113">
        <v>0</v>
      </c>
      <c r="L428" s="113">
        <v>0</v>
      </c>
      <c r="M428" s="114">
        <v>0</v>
      </c>
      <c r="N428" s="113">
        <v>0</v>
      </c>
      <c r="O428" s="113">
        <v>0</v>
      </c>
      <c r="P428" s="114">
        <v>0</v>
      </c>
      <c r="Q428" s="113">
        <v>0</v>
      </c>
      <c r="R428" s="113">
        <v>0</v>
      </c>
      <c r="S428" s="113">
        <v>0</v>
      </c>
      <c r="T428" s="113">
        <v>0</v>
      </c>
      <c r="U428" s="113">
        <v>0</v>
      </c>
      <c r="V428" s="113">
        <v>0</v>
      </c>
      <c r="W428" s="114">
        <v>0</v>
      </c>
    </row>
    <row r="429" spans="2:23" x14ac:dyDescent="0.75">
      <c r="B429">
        <v>2045</v>
      </c>
      <c r="C429" t="str">
        <f t="shared" si="9"/>
        <v>Hydrogen ICE</v>
      </c>
      <c r="D429">
        <v>12</v>
      </c>
      <c r="E429" s="113">
        <v>0</v>
      </c>
      <c r="F429" s="113">
        <v>0</v>
      </c>
      <c r="G429" s="113">
        <v>0</v>
      </c>
      <c r="H429" s="114">
        <v>0</v>
      </c>
      <c r="I429" s="113">
        <v>0</v>
      </c>
      <c r="J429" s="113">
        <v>0</v>
      </c>
      <c r="K429" s="113">
        <v>0</v>
      </c>
      <c r="L429" s="113">
        <v>0</v>
      </c>
      <c r="M429" s="114">
        <v>0</v>
      </c>
      <c r="N429" s="113">
        <v>0</v>
      </c>
      <c r="O429" s="113">
        <v>0</v>
      </c>
      <c r="P429" s="114">
        <v>0</v>
      </c>
      <c r="Q429" s="113">
        <v>0</v>
      </c>
      <c r="R429" s="113">
        <v>0</v>
      </c>
      <c r="S429" s="113">
        <v>0</v>
      </c>
      <c r="T429" s="113">
        <v>0</v>
      </c>
      <c r="U429" s="113">
        <v>0</v>
      </c>
      <c r="V429" s="113">
        <v>0</v>
      </c>
      <c r="W429" s="114">
        <v>0</v>
      </c>
    </row>
    <row r="430" spans="2:23" x14ac:dyDescent="0.75">
      <c r="B430">
        <v>2046</v>
      </c>
      <c r="C430" t="str">
        <f t="shared" si="9"/>
        <v>Diesel</v>
      </c>
      <c r="D430">
        <v>1</v>
      </c>
      <c r="E430" s="113">
        <v>7104.935547</v>
      </c>
      <c r="F430" s="113">
        <v>268.76443499999999</v>
      </c>
      <c r="G430" s="113">
        <v>20759.798827999999</v>
      </c>
      <c r="H430" s="114">
        <v>1633.1166989999999</v>
      </c>
      <c r="I430" s="113">
        <v>4091.2717290000001</v>
      </c>
      <c r="J430" s="113">
        <v>6257.59375</v>
      </c>
      <c r="K430" s="113">
        <v>13456.319336</v>
      </c>
      <c r="L430" s="113">
        <v>8167.7114259999998</v>
      </c>
      <c r="M430" s="114">
        <v>1616.349976</v>
      </c>
      <c r="N430" s="113">
        <v>1617.0078120000001</v>
      </c>
      <c r="O430" s="113">
        <v>4854.5200199999999</v>
      </c>
      <c r="P430" s="114">
        <v>21926.212890999999</v>
      </c>
      <c r="Q430" s="113">
        <v>14775.155273</v>
      </c>
      <c r="R430" s="113">
        <v>14778.267578000001</v>
      </c>
      <c r="S430" s="113">
        <v>44333.859375</v>
      </c>
      <c r="T430" s="113">
        <v>22965.986327999999</v>
      </c>
      <c r="U430" s="113">
        <v>22999.216797000001</v>
      </c>
      <c r="V430" s="113">
        <v>68952.046875</v>
      </c>
      <c r="W430" s="114">
        <v>5.0134639999999999</v>
      </c>
    </row>
    <row r="431" spans="2:23" x14ac:dyDescent="0.75">
      <c r="B431">
        <v>2046</v>
      </c>
      <c r="C431" t="str">
        <f t="shared" si="9"/>
        <v>Gasoline</v>
      </c>
      <c r="D431">
        <v>2</v>
      </c>
      <c r="E431" s="113">
        <v>28428.521484000001</v>
      </c>
      <c r="F431" s="113">
        <v>1382.7227780000001</v>
      </c>
      <c r="G431" s="113">
        <v>18542.492188</v>
      </c>
      <c r="H431" s="114">
        <v>2162.1120609999998</v>
      </c>
      <c r="I431" s="113">
        <v>4727.9111329999996</v>
      </c>
      <c r="J431" s="113">
        <v>5317.8559569999998</v>
      </c>
      <c r="K431" s="113">
        <v>12303.451171999999</v>
      </c>
      <c r="L431" s="113">
        <v>51.503399000000002</v>
      </c>
      <c r="M431" s="114">
        <v>3.4999999999999997E-5</v>
      </c>
      <c r="N431" s="113">
        <v>3.4999999999999997E-5</v>
      </c>
      <c r="O431" s="113">
        <v>1.06E-4</v>
      </c>
      <c r="P431" s="114">
        <v>2.4670000000000001E-2</v>
      </c>
      <c r="Q431" s="113">
        <v>1.27E-4</v>
      </c>
      <c r="R431" s="113">
        <v>1.27E-4</v>
      </c>
      <c r="S431" s="113">
        <v>3.8200000000000002E-4</v>
      </c>
      <c r="T431" s="113">
        <v>1.9900000000000001E-4</v>
      </c>
      <c r="U431" s="113">
        <v>1.9900000000000001E-4</v>
      </c>
      <c r="V431" s="113">
        <v>5.9599999999999996E-4</v>
      </c>
      <c r="W431" s="114">
        <v>0</v>
      </c>
    </row>
    <row r="432" spans="2:23" x14ac:dyDescent="0.75">
      <c r="B432">
        <v>2046</v>
      </c>
      <c r="C432" t="str">
        <f t="shared" si="9"/>
        <v>LPG</v>
      </c>
      <c r="D432">
        <v>3</v>
      </c>
      <c r="E432" s="113">
        <v>0.60150099999999995</v>
      </c>
      <c r="F432" s="113">
        <v>3.6019000000000002E-2</v>
      </c>
      <c r="G432" s="113">
        <v>0.98932799999999999</v>
      </c>
      <c r="H432" s="114">
        <v>7.1002999999999997E-2</v>
      </c>
      <c r="I432" s="113">
        <v>0.54468499999999997</v>
      </c>
      <c r="J432" s="113">
        <v>1.546805</v>
      </c>
      <c r="K432" s="113">
        <v>0.99367099999999997</v>
      </c>
      <c r="L432" s="113">
        <v>8.8473400000000009</v>
      </c>
      <c r="M432" s="114">
        <v>0.783196</v>
      </c>
      <c r="N432" s="113">
        <v>0.78319700000000003</v>
      </c>
      <c r="O432" s="113">
        <v>2.349593</v>
      </c>
      <c r="P432" s="114">
        <v>10.767143000000001</v>
      </c>
      <c r="Q432" s="113">
        <v>7.1615089999999997</v>
      </c>
      <c r="R432" s="113">
        <v>7.1615099999999998</v>
      </c>
      <c r="S432" s="113">
        <v>21.484528999999998</v>
      </c>
      <c r="T432" s="113">
        <v>11.186456</v>
      </c>
      <c r="U432" s="113">
        <v>11.186472</v>
      </c>
      <c r="V432" s="113">
        <v>33.556576</v>
      </c>
      <c r="W432" s="114">
        <v>0</v>
      </c>
    </row>
    <row r="433" spans="2:23" x14ac:dyDescent="0.75">
      <c r="B433">
        <v>2046</v>
      </c>
      <c r="C433" t="str">
        <f t="shared" si="9"/>
        <v>CNG</v>
      </c>
      <c r="D433">
        <v>4</v>
      </c>
      <c r="E433" s="113">
        <v>1604.772461</v>
      </c>
      <c r="F433" s="113">
        <v>94.473823999999993</v>
      </c>
      <c r="G433" s="113">
        <v>1743.0205080000001</v>
      </c>
      <c r="H433" s="114">
        <v>18.414286000000001</v>
      </c>
      <c r="I433" s="113">
        <v>43.344517000000003</v>
      </c>
      <c r="J433" s="113">
        <v>221.84089700000001</v>
      </c>
      <c r="K433" s="113">
        <v>696.55078100000003</v>
      </c>
      <c r="L433" s="113">
        <v>38.165317999999999</v>
      </c>
      <c r="M433" s="114">
        <v>6.8069480000000002</v>
      </c>
      <c r="N433" s="113">
        <v>6.1339589999999999</v>
      </c>
      <c r="O433" s="113">
        <v>14.898617</v>
      </c>
      <c r="P433" s="114">
        <v>972.00024399999995</v>
      </c>
      <c r="Q433" s="113">
        <v>137.98287999999999</v>
      </c>
      <c r="R433" s="113">
        <v>134.87086500000001</v>
      </c>
      <c r="S433" s="113">
        <v>405.56420900000001</v>
      </c>
      <c r="T433" s="113">
        <v>328.69085699999999</v>
      </c>
      <c r="U433" s="113">
        <v>295.49771099999998</v>
      </c>
      <c r="V433" s="113">
        <v>925.92083700000001</v>
      </c>
      <c r="W433" s="114">
        <v>0</v>
      </c>
    </row>
    <row r="434" spans="2:23" x14ac:dyDescent="0.75">
      <c r="B434">
        <v>2046</v>
      </c>
      <c r="C434" t="str">
        <f t="shared" si="9"/>
        <v>E85</v>
      </c>
      <c r="D434">
        <v>5</v>
      </c>
      <c r="E434" s="113">
        <v>10585.132812</v>
      </c>
      <c r="F434" s="113">
        <v>708.62017800000001</v>
      </c>
      <c r="G434" s="113">
        <v>193.40704299999999</v>
      </c>
      <c r="H434" s="114">
        <v>99.142455999999996</v>
      </c>
      <c r="I434" s="113">
        <v>71.000716999999995</v>
      </c>
      <c r="J434" s="113">
        <v>0.17532200000000001</v>
      </c>
      <c r="K434" s="113">
        <v>0.254444</v>
      </c>
      <c r="L434" s="113">
        <v>0</v>
      </c>
      <c r="M434" s="114">
        <v>0</v>
      </c>
      <c r="N434" s="113">
        <v>0</v>
      </c>
      <c r="O434" s="113">
        <v>0</v>
      </c>
      <c r="P434" s="114">
        <v>0</v>
      </c>
      <c r="Q434" s="113">
        <v>0</v>
      </c>
      <c r="R434" s="113">
        <v>0</v>
      </c>
      <c r="S434" s="113">
        <v>0</v>
      </c>
      <c r="T434" s="113">
        <v>0</v>
      </c>
      <c r="U434" s="113">
        <v>0</v>
      </c>
      <c r="V434" s="113">
        <v>0</v>
      </c>
      <c r="W434" s="114">
        <v>0</v>
      </c>
    </row>
    <row r="435" spans="2:23" x14ac:dyDescent="0.75">
      <c r="B435">
        <v>2046</v>
      </c>
      <c r="C435" t="str">
        <f t="shared" si="9"/>
        <v>Electric</v>
      </c>
      <c r="D435">
        <v>6</v>
      </c>
      <c r="E435" s="113">
        <v>5907.2182620000003</v>
      </c>
      <c r="F435" s="113">
        <v>94.272377000000006</v>
      </c>
      <c r="G435" s="113">
        <v>11105.772461</v>
      </c>
      <c r="H435" s="114">
        <v>1.2799E-2</v>
      </c>
      <c r="I435" s="113">
        <v>0.26467800000000002</v>
      </c>
      <c r="J435" s="113">
        <v>2.0330590000000002</v>
      </c>
      <c r="K435" s="113">
        <v>34.168723999999997</v>
      </c>
      <c r="L435" s="113">
        <v>13.766261</v>
      </c>
      <c r="M435" s="114">
        <v>0.48551</v>
      </c>
      <c r="N435" s="113">
        <v>0.48551</v>
      </c>
      <c r="O435" s="113">
        <v>1.456529</v>
      </c>
      <c r="P435" s="114">
        <v>7.1179399999999999</v>
      </c>
      <c r="Q435" s="113">
        <v>49.724063999999998</v>
      </c>
      <c r="R435" s="113">
        <v>49.724074999999999</v>
      </c>
      <c r="S435" s="113">
        <v>149.17222599999999</v>
      </c>
      <c r="T435" s="113">
        <v>77.670219000000003</v>
      </c>
      <c r="U435" s="113">
        <v>77.670303000000004</v>
      </c>
      <c r="V435" s="113">
        <v>233.01036099999999</v>
      </c>
      <c r="W435" s="114">
        <v>0</v>
      </c>
    </row>
    <row r="436" spans="2:23" x14ac:dyDescent="0.75">
      <c r="B436">
        <v>2046</v>
      </c>
      <c r="C436" t="str">
        <f t="shared" si="9"/>
        <v>PHEV diesel</v>
      </c>
      <c r="D436">
        <v>7</v>
      </c>
      <c r="E436" s="113">
        <v>0</v>
      </c>
      <c r="F436" s="113">
        <v>0</v>
      </c>
      <c r="G436" s="113">
        <v>0</v>
      </c>
      <c r="H436" s="114">
        <v>0</v>
      </c>
      <c r="I436" s="113">
        <v>0</v>
      </c>
      <c r="J436" s="113">
        <v>0</v>
      </c>
      <c r="K436" s="113">
        <v>12.156376</v>
      </c>
      <c r="L436" s="113">
        <v>12.999345999999999</v>
      </c>
      <c r="M436" s="114">
        <v>0</v>
      </c>
      <c r="N436" s="113">
        <v>0</v>
      </c>
      <c r="O436" s="113">
        <v>0</v>
      </c>
      <c r="P436" s="114">
        <v>0</v>
      </c>
      <c r="Q436" s="113">
        <v>0</v>
      </c>
      <c r="R436" s="113">
        <v>0</v>
      </c>
      <c r="S436" s="113">
        <v>0</v>
      </c>
      <c r="T436" s="113">
        <v>0</v>
      </c>
      <c r="U436" s="113">
        <v>0</v>
      </c>
      <c r="V436" s="113">
        <v>0</v>
      </c>
      <c r="W436" s="114">
        <v>0</v>
      </c>
    </row>
    <row r="437" spans="2:23" x14ac:dyDescent="0.75">
      <c r="B437">
        <v>2046</v>
      </c>
      <c r="C437" t="str">
        <f t="shared" si="9"/>
        <v>PHEV gasoline</v>
      </c>
      <c r="D437">
        <v>8</v>
      </c>
      <c r="E437" s="113">
        <v>0</v>
      </c>
      <c r="F437" s="113">
        <v>0</v>
      </c>
      <c r="G437" s="113">
        <v>0</v>
      </c>
      <c r="H437" s="114">
        <v>0</v>
      </c>
      <c r="I437" s="113">
        <v>0</v>
      </c>
      <c r="J437" s="113">
        <v>0</v>
      </c>
      <c r="K437" s="113">
        <v>1.9884900000000001</v>
      </c>
      <c r="L437" s="113">
        <v>0</v>
      </c>
      <c r="M437" s="114">
        <v>0</v>
      </c>
      <c r="N437" s="113">
        <v>0</v>
      </c>
      <c r="O437" s="113">
        <v>0</v>
      </c>
      <c r="P437" s="114">
        <v>0</v>
      </c>
      <c r="Q437" s="113">
        <v>0</v>
      </c>
      <c r="R437" s="113">
        <v>0</v>
      </c>
      <c r="S437" s="113">
        <v>0</v>
      </c>
      <c r="T437" s="113">
        <v>0</v>
      </c>
      <c r="U437" s="113">
        <v>0</v>
      </c>
      <c r="V437" s="113">
        <v>0</v>
      </c>
      <c r="W437" s="114">
        <v>0</v>
      </c>
    </row>
    <row r="438" spans="2:23" x14ac:dyDescent="0.75">
      <c r="B438">
        <v>2046</v>
      </c>
      <c r="C438" t="str">
        <f t="shared" si="9"/>
        <v>H2 fuel cell, small battery</v>
      </c>
      <c r="D438">
        <v>9</v>
      </c>
      <c r="E438" s="113">
        <v>0</v>
      </c>
      <c r="F438" s="113">
        <v>0</v>
      </c>
      <c r="G438" s="113">
        <v>0</v>
      </c>
      <c r="H438" s="114">
        <v>0</v>
      </c>
      <c r="I438" s="113">
        <v>0</v>
      </c>
      <c r="J438" s="113">
        <v>0</v>
      </c>
      <c r="K438" s="113">
        <v>0</v>
      </c>
      <c r="L438" s="113">
        <v>0</v>
      </c>
      <c r="M438" s="114">
        <v>0</v>
      </c>
      <c r="N438" s="113">
        <v>0</v>
      </c>
      <c r="O438" s="113">
        <v>0</v>
      </c>
      <c r="P438" s="114">
        <v>0</v>
      </c>
      <c r="Q438" s="113">
        <v>0</v>
      </c>
      <c r="R438" s="113">
        <v>0</v>
      </c>
      <c r="S438" s="113">
        <v>0</v>
      </c>
      <c r="T438" s="113">
        <v>0</v>
      </c>
      <c r="U438" s="113">
        <v>0</v>
      </c>
      <c r="V438" s="113">
        <v>0</v>
      </c>
      <c r="W438" s="114">
        <v>0</v>
      </c>
    </row>
    <row r="439" spans="2:23" x14ac:dyDescent="0.75">
      <c r="B439">
        <v>2046</v>
      </c>
      <c r="C439" t="str">
        <f t="shared" si="9"/>
        <v>H2 fuel cell, large battery</v>
      </c>
      <c r="D439">
        <v>10</v>
      </c>
      <c r="E439" s="113">
        <v>0</v>
      </c>
      <c r="F439" s="113">
        <v>0</v>
      </c>
      <c r="G439" s="113">
        <v>0</v>
      </c>
      <c r="H439" s="114">
        <v>0</v>
      </c>
      <c r="I439" s="113">
        <v>0</v>
      </c>
      <c r="J439" s="113">
        <v>0</v>
      </c>
      <c r="K439" s="113">
        <v>0</v>
      </c>
      <c r="L439" s="113">
        <v>0</v>
      </c>
      <c r="M439" s="114">
        <v>0</v>
      </c>
      <c r="N439" s="113">
        <v>0</v>
      </c>
      <c r="O439" s="113">
        <v>0</v>
      </c>
      <c r="P439" s="114">
        <v>0</v>
      </c>
      <c r="Q439" s="113">
        <v>0</v>
      </c>
      <c r="R439" s="113">
        <v>0</v>
      </c>
      <c r="S439" s="113">
        <v>0</v>
      </c>
      <c r="T439" s="113">
        <v>0</v>
      </c>
      <c r="U439" s="113">
        <v>0</v>
      </c>
      <c r="V439" s="113">
        <v>0</v>
      </c>
      <c r="W439" s="114">
        <v>0</v>
      </c>
    </row>
    <row r="440" spans="2:23" x14ac:dyDescent="0.75">
      <c r="B440">
        <v>2046</v>
      </c>
      <c r="C440" t="str">
        <f t="shared" si="9"/>
        <v>Gasoline hybrid</v>
      </c>
      <c r="D440">
        <v>11</v>
      </c>
      <c r="E440" s="113">
        <v>19455.355468999998</v>
      </c>
      <c r="F440" s="113">
        <v>1370.4664310000001</v>
      </c>
      <c r="G440" s="113">
        <v>56191.359375</v>
      </c>
      <c r="H440" s="114">
        <v>3605.0603030000002</v>
      </c>
      <c r="I440" s="113">
        <v>5731.6367190000001</v>
      </c>
      <c r="J440" s="113">
        <v>7541.3325199999999</v>
      </c>
      <c r="K440" s="113">
        <v>0</v>
      </c>
      <c r="L440" s="113">
        <v>0</v>
      </c>
      <c r="M440" s="114">
        <v>0</v>
      </c>
      <c r="N440" s="113">
        <v>0</v>
      </c>
      <c r="O440" s="113">
        <v>0</v>
      </c>
      <c r="P440" s="114">
        <v>0</v>
      </c>
      <c r="Q440" s="113">
        <v>0</v>
      </c>
      <c r="R440" s="113">
        <v>0</v>
      </c>
      <c r="S440" s="113">
        <v>0</v>
      </c>
      <c r="T440" s="113">
        <v>0</v>
      </c>
      <c r="U440" s="113">
        <v>0</v>
      </c>
      <c r="V440" s="113">
        <v>0</v>
      </c>
      <c r="W440" s="114">
        <v>0</v>
      </c>
    </row>
    <row r="441" spans="2:23" x14ac:dyDescent="0.75">
      <c r="B441">
        <v>2046</v>
      </c>
      <c r="C441" t="str">
        <f t="shared" si="9"/>
        <v>Hydrogen ICE</v>
      </c>
      <c r="D441">
        <v>12</v>
      </c>
      <c r="E441" s="113">
        <v>0</v>
      </c>
      <c r="F441" s="113">
        <v>0</v>
      </c>
      <c r="G441" s="113">
        <v>0</v>
      </c>
      <c r="H441" s="114">
        <v>0</v>
      </c>
      <c r="I441" s="113">
        <v>0</v>
      </c>
      <c r="J441" s="113">
        <v>0</v>
      </c>
      <c r="K441" s="113">
        <v>0</v>
      </c>
      <c r="L441" s="113">
        <v>0</v>
      </c>
      <c r="M441" s="114">
        <v>0</v>
      </c>
      <c r="N441" s="113">
        <v>0</v>
      </c>
      <c r="O441" s="113">
        <v>0</v>
      </c>
      <c r="P441" s="114">
        <v>0</v>
      </c>
      <c r="Q441" s="113">
        <v>0</v>
      </c>
      <c r="R441" s="113">
        <v>0</v>
      </c>
      <c r="S441" s="113">
        <v>0</v>
      </c>
      <c r="T441" s="113">
        <v>0</v>
      </c>
      <c r="U441" s="113">
        <v>0</v>
      </c>
      <c r="V441" s="113">
        <v>0</v>
      </c>
      <c r="W441" s="114">
        <v>0</v>
      </c>
    </row>
    <row r="442" spans="2:23" x14ac:dyDescent="0.75">
      <c r="B442">
        <v>2047</v>
      </c>
      <c r="C442" t="str">
        <f t="shared" si="9"/>
        <v>Diesel</v>
      </c>
      <c r="D442">
        <v>1</v>
      </c>
      <c r="E442" s="113">
        <v>6602.6020509999998</v>
      </c>
      <c r="F442" s="113">
        <v>250.60957300000001</v>
      </c>
      <c r="G442" s="113">
        <v>19651.169922000001</v>
      </c>
      <c r="H442" s="114">
        <v>1585.1942140000001</v>
      </c>
      <c r="I442" s="113">
        <v>3981.5039059999999</v>
      </c>
      <c r="J442" s="113">
        <v>6029.0083009999998</v>
      </c>
      <c r="K442" s="113">
        <v>13470.123046999999</v>
      </c>
      <c r="L442" s="113">
        <v>8187.1787109999996</v>
      </c>
      <c r="M442" s="114">
        <v>1621.142822</v>
      </c>
      <c r="N442" s="113">
        <v>1621.890259</v>
      </c>
      <c r="O442" s="113">
        <v>4870.2924800000001</v>
      </c>
      <c r="P442" s="114">
        <v>22016.769531000002</v>
      </c>
      <c r="Q442" s="113">
        <v>14838.954102</v>
      </c>
      <c r="R442" s="113">
        <v>14841.667969</v>
      </c>
      <c r="S442" s="113">
        <v>44523.023437999997</v>
      </c>
      <c r="T442" s="113">
        <v>23038.253906000002</v>
      </c>
      <c r="U442" s="113">
        <v>23079.720702999999</v>
      </c>
      <c r="V442" s="113">
        <v>69169.460938000004</v>
      </c>
      <c r="W442" s="114">
        <v>5.012791</v>
      </c>
    </row>
    <row r="443" spans="2:23" x14ac:dyDescent="0.75">
      <c r="B443">
        <v>2047</v>
      </c>
      <c r="C443" t="str">
        <f t="shared" si="9"/>
        <v>Gasoline</v>
      </c>
      <c r="D443">
        <v>2</v>
      </c>
      <c r="E443" s="113">
        <v>27092.509765999999</v>
      </c>
      <c r="F443" s="113">
        <v>1274.69165</v>
      </c>
      <c r="G443" s="113">
        <v>17884.234375</v>
      </c>
      <c r="H443" s="114">
        <v>2093.5510250000002</v>
      </c>
      <c r="I443" s="113">
        <v>4575.4145509999998</v>
      </c>
      <c r="J443" s="113">
        <v>5193.2939450000003</v>
      </c>
      <c r="K443" s="113">
        <v>12454.177734000001</v>
      </c>
      <c r="L443" s="113">
        <v>51.417529999999999</v>
      </c>
      <c r="M443" s="114">
        <v>2.5000000000000001E-5</v>
      </c>
      <c r="N443" s="113">
        <v>2.5000000000000001E-5</v>
      </c>
      <c r="O443" s="113">
        <v>7.4999999999999993E-5</v>
      </c>
      <c r="P443" s="114">
        <v>1.7361999999999999E-2</v>
      </c>
      <c r="Q443" s="113">
        <v>9.0000000000000006E-5</v>
      </c>
      <c r="R443" s="113">
        <v>9.0000000000000006E-5</v>
      </c>
      <c r="S443" s="113">
        <v>2.6899999999999998E-4</v>
      </c>
      <c r="T443" s="113">
        <v>1.3999999999999999E-4</v>
      </c>
      <c r="U443" s="113">
        <v>1.3999999999999999E-4</v>
      </c>
      <c r="V443" s="113">
        <v>4.2000000000000002E-4</v>
      </c>
      <c r="W443" s="114">
        <v>0</v>
      </c>
    </row>
    <row r="444" spans="2:23" x14ac:dyDescent="0.75">
      <c r="B444">
        <v>2047</v>
      </c>
      <c r="C444" t="str">
        <f t="shared" si="9"/>
        <v>LPG</v>
      </c>
      <c r="D444">
        <v>3</v>
      </c>
      <c r="E444" s="113">
        <v>0.60521199999999997</v>
      </c>
      <c r="F444" s="113">
        <v>3.6226000000000001E-2</v>
      </c>
      <c r="G444" s="113">
        <v>1.0090600000000001</v>
      </c>
      <c r="H444" s="114">
        <v>7.2721999999999995E-2</v>
      </c>
      <c r="I444" s="113">
        <v>0.519814</v>
      </c>
      <c r="J444" s="113">
        <v>1.462744</v>
      </c>
      <c r="K444" s="113">
        <v>0.96314599999999995</v>
      </c>
      <c r="L444" s="113">
        <v>8.5719989999999999</v>
      </c>
      <c r="M444" s="114">
        <v>0.78974800000000001</v>
      </c>
      <c r="N444" s="113">
        <v>0.78974800000000001</v>
      </c>
      <c r="O444" s="113">
        <v>2.3692510000000002</v>
      </c>
      <c r="P444" s="114">
        <v>10.899896999999999</v>
      </c>
      <c r="Q444" s="113">
        <v>7.2290640000000002</v>
      </c>
      <c r="R444" s="113">
        <v>7.2290640000000002</v>
      </c>
      <c r="S444" s="113">
        <v>21.687197000000001</v>
      </c>
      <c r="T444" s="113">
        <v>11.291962</v>
      </c>
      <c r="U444" s="113">
        <v>11.291973</v>
      </c>
      <c r="V444" s="113">
        <v>33.873038999999999</v>
      </c>
      <c r="W444" s="114">
        <v>0</v>
      </c>
    </row>
    <row r="445" spans="2:23" x14ac:dyDescent="0.75">
      <c r="B445">
        <v>2047</v>
      </c>
      <c r="C445" t="str">
        <f t="shared" si="9"/>
        <v>CNG</v>
      </c>
      <c r="D445">
        <v>4</v>
      </c>
      <c r="E445" s="113">
        <v>1708.9567870000001</v>
      </c>
      <c r="F445" s="113">
        <v>100.73698400000001</v>
      </c>
      <c r="G445" s="113">
        <v>1864.6405030000001</v>
      </c>
      <c r="H445" s="114">
        <v>19.418513999999998</v>
      </c>
      <c r="I445" s="113">
        <v>43.796928000000001</v>
      </c>
      <c r="J445" s="113">
        <v>224.71431000000001</v>
      </c>
      <c r="K445" s="113">
        <v>706.503601</v>
      </c>
      <c r="L445" s="113">
        <v>38.288131999999997</v>
      </c>
      <c r="M445" s="114">
        <v>7.5092439999999998</v>
      </c>
      <c r="N445" s="113">
        <v>6.7426300000000001</v>
      </c>
      <c r="O445" s="113">
        <v>15.582148</v>
      </c>
      <c r="P445" s="114">
        <v>975.38293499999997</v>
      </c>
      <c r="Q445" s="113">
        <v>142.47575399999999</v>
      </c>
      <c r="R445" s="113">
        <v>139.760254</v>
      </c>
      <c r="S445" s="113">
        <v>421.29226699999998</v>
      </c>
      <c r="T445" s="113">
        <v>363.15872200000001</v>
      </c>
      <c r="U445" s="113">
        <v>321.72937000000002</v>
      </c>
      <c r="V445" s="113">
        <v>1028.638672</v>
      </c>
      <c r="W445" s="114">
        <v>0</v>
      </c>
    </row>
    <row r="446" spans="2:23" x14ac:dyDescent="0.75">
      <c r="B446">
        <v>2047</v>
      </c>
      <c r="C446" t="str">
        <f t="shared" si="9"/>
        <v>E85</v>
      </c>
      <c r="D446">
        <v>5</v>
      </c>
      <c r="E446" s="113">
        <v>10458.574219</v>
      </c>
      <c r="F446" s="113">
        <v>693.54455600000006</v>
      </c>
      <c r="G446" s="113">
        <v>169.912857</v>
      </c>
      <c r="H446" s="114">
        <v>84.196670999999995</v>
      </c>
      <c r="I446" s="113">
        <v>63.675159000000001</v>
      </c>
      <c r="J446" s="113">
        <v>0.17783099999999999</v>
      </c>
      <c r="K446" s="113">
        <v>0.25793500000000003</v>
      </c>
      <c r="L446" s="113">
        <v>0</v>
      </c>
      <c r="M446" s="114">
        <v>0</v>
      </c>
      <c r="N446" s="113">
        <v>0</v>
      </c>
      <c r="O446" s="113">
        <v>0</v>
      </c>
      <c r="P446" s="114">
        <v>0</v>
      </c>
      <c r="Q446" s="113">
        <v>0</v>
      </c>
      <c r="R446" s="113">
        <v>0</v>
      </c>
      <c r="S446" s="113">
        <v>0</v>
      </c>
      <c r="T446" s="113">
        <v>0</v>
      </c>
      <c r="U446" s="113">
        <v>0</v>
      </c>
      <c r="V446" s="113">
        <v>0</v>
      </c>
      <c r="W446" s="114">
        <v>0</v>
      </c>
    </row>
    <row r="447" spans="2:23" x14ac:dyDescent="0.75">
      <c r="B447">
        <v>2047</v>
      </c>
      <c r="C447" t="str">
        <f t="shared" si="9"/>
        <v>Electric</v>
      </c>
      <c r="D447">
        <v>6</v>
      </c>
      <c r="E447" s="113">
        <v>6239.1977539999998</v>
      </c>
      <c r="F447" s="113">
        <v>108.801849</v>
      </c>
      <c r="G447" s="113">
        <v>12516.854492</v>
      </c>
      <c r="H447" s="114">
        <v>9.0080000000000004E-3</v>
      </c>
      <c r="I447" s="113">
        <v>0.25181999999999999</v>
      </c>
      <c r="J447" s="113">
        <v>2.0433810000000001</v>
      </c>
      <c r="K447" s="113">
        <v>34.479323999999998</v>
      </c>
      <c r="L447" s="113">
        <v>13.914177</v>
      </c>
      <c r="M447" s="114">
        <v>0.491253</v>
      </c>
      <c r="N447" s="113">
        <v>0.491253</v>
      </c>
      <c r="O447" s="113">
        <v>1.473759</v>
      </c>
      <c r="P447" s="114">
        <v>7.1801269999999997</v>
      </c>
      <c r="Q447" s="113">
        <v>50.181538000000003</v>
      </c>
      <c r="R447" s="113">
        <v>50.181545</v>
      </c>
      <c r="S447" s="113">
        <v>150.544601</v>
      </c>
      <c r="T447" s="113">
        <v>78.384681999999998</v>
      </c>
      <c r="U447" s="113">
        <v>78.384743</v>
      </c>
      <c r="V447" s="113">
        <v>235.15353400000001</v>
      </c>
      <c r="W447" s="114">
        <v>0</v>
      </c>
    </row>
    <row r="448" spans="2:23" x14ac:dyDescent="0.75">
      <c r="B448">
        <v>2047</v>
      </c>
      <c r="C448" t="str">
        <f t="shared" si="9"/>
        <v>PHEV diesel</v>
      </c>
      <c r="D448">
        <v>7</v>
      </c>
      <c r="E448" s="113">
        <v>0</v>
      </c>
      <c r="F448" s="113">
        <v>0</v>
      </c>
      <c r="G448" s="113">
        <v>0</v>
      </c>
      <c r="H448" s="114">
        <v>0</v>
      </c>
      <c r="I448" s="113">
        <v>0</v>
      </c>
      <c r="J448" s="113">
        <v>0</v>
      </c>
      <c r="K448" s="113">
        <v>11.21852</v>
      </c>
      <c r="L448" s="113">
        <v>11.450849</v>
      </c>
      <c r="M448" s="114">
        <v>0</v>
      </c>
      <c r="N448" s="113">
        <v>0</v>
      </c>
      <c r="O448" s="113">
        <v>0</v>
      </c>
      <c r="P448" s="114">
        <v>0</v>
      </c>
      <c r="Q448" s="113">
        <v>0</v>
      </c>
      <c r="R448" s="113">
        <v>0</v>
      </c>
      <c r="S448" s="113">
        <v>0</v>
      </c>
      <c r="T448" s="113">
        <v>0</v>
      </c>
      <c r="U448" s="113">
        <v>0</v>
      </c>
      <c r="V448" s="113">
        <v>0</v>
      </c>
      <c r="W448" s="114">
        <v>0</v>
      </c>
    </row>
    <row r="449" spans="2:23" x14ac:dyDescent="0.75">
      <c r="B449">
        <v>2047</v>
      </c>
      <c r="C449" t="str">
        <f t="shared" si="9"/>
        <v>PHEV gasoline</v>
      </c>
      <c r="D449">
        <v>8</v>
      </c>
      <c r="E449" s="113">
        <v>0</v>
      </c>
      <c r="F449" s="113">
        <v>0</v>
      </c>
      <c r="G449" s="113">
        <v>0</v>
      </c>
      <c r="H449" s="114">
        <v>0</v>
      </c>
      <c r="I449" s="113">
        <v>0</v>
      </c>
      <c r="J449" s="113">
        <v>0</v>
      </c>
      <c r="K449" s="113">
        <v>1.858182</v>
      </c>
      <c r="L449" s="113">
        <v>0</v>
      </c>
      <c r="M449" s="114">
        <v>0</v>
      </c>
      <c r="N449" s="113">
        <v>0</v>
      </c>
      <c r="O449" s="113">
        <v>0</v>
      </c>
      <c r="P449" s="114">
        <v>0</v>
      </c>
      <c r="Q449" s="113">
        <v>0</v>
      </c>
      <c r="R449" s="113">
        <v>0</v>
      </c>
      <c r="S449" s="113">
        <v>0</v>
      </c>
      <c r="T449" s="113">
        <v>0</v>
      </c>
      <c r="U449" s="113">
        <v>0</v>
      </c>
      <c r="V449" s="113">
        <v>0</v>
      </c>
      <c r="W449" s="114">
        <v>0</v>
      </c>
    </row>
    <row r="450" spans="2:23" x14ac:dyDescent="0.75">
      <c r="B450">
        <v>2047</v>
      </c>
      <c r="C450" t="str">
        <f t="shared" si="9"/>
        <v>H2 fuel cell, small battery</v>
      </c>
      <c r="D450">
        <v>9</v>
      </c>
      <c r="E450" s="113">
        <v>0</v>
      </c>
      <c r="F450" s="113">
        <v>0</v>
      </c>
      <c r="G450" s="113">
        <v>0</v>
      </c>
      <c r="H450" s="114">
        <v>0</v>
      </c>
      <c r="I450" s="113">
        <v>0</v>
      </c>
      <c r="J450" s="113">
        <v>0</v>
      </c>
      <c r="K450" s="113">
        <v>0</v>
      </c>
      <c r="L450" s="113">
        <v>0</v>
      </c>
      <c r="M450" s="114">
        <v>0</v>
      </c>
      <c r="N450" s="113">
        <v>0</v>
      </c>
      <c r="O450" s="113">
        <v>0</v>
      </c>
      <c r="P450" s="114">
        <v>0</v>
      </c>
      <c r="Q450" s="113">
        <v>0</v>
      </c>
      <c r="R450" s="113">
        <v>0</v>
      </c>
      <c r="S450" s="113">
        <v>0</v>
      </c>
      <c r="T450" s="113">
        <v>0</v>
      </c>
      <c r="U450" s="113">
        <v>0</v>
      </c>
      <c r="V450" s="113">
        <v>0</v>
      </c>
      <c r="W450" s="114">
        <v>0</v>
      </c>
    </row>
    <row r="451" spans="2:23" x14ac:dyDescent="0.75">
      <c r="B451">
        <v>2047</v>
      </c>
      <c r="C451" t="str">
        <f t="shared" si="9"/>
        <v>H2 fuel cell, large battery</v>
      </c>
      <c r="D451">
        <v>10</v>
      </c>
      <c r="E451" s="113">
        <v>0</v>
      </c>
      <c r="F451" s="113">
        <v>0</v>
      </c>
      <c r="G451" s="113">
        <v>0</v>
      </c>
      <c r="H451" s="114">
        <v>0</v>
      </c>
      <c r="I451" s="113">
        <v>0</v>
      </c>
      <c r="J451" s="113">
        <v>0</v>
      </c>
      <c r="K451" s="113">
        <v>0</v>
      </c>
      <c r="L451" s="113">
        <v>0</v>
      </c>
      <c r="M451" s="114">
        <v>0</v>
      </c>
      <c r="N451" s="113">
        <v>0</v>
      </c>
      <c r="O451" s="113">
        <v>0</v>
      </c>
      <c r="P451" s="114">
        <v>0</v>
      </c>
      <c r="Q451" s="113">
        <v>0</v>
      </c>
      <c r="R451" s="113">
        <v>0</v>
      </c>
      <c r="S451" s="113">
        <v>0</v>
      </c>
      <c r="T451" s="113">
        <v>0</v>
      </c>
      <c r="U451" s="113">
        <v>0</v>
      </c>
      <c r="V451" s="113">
        <v>0</v>
      </c>
      <c r="W451" s="114">
        <v>0</v>
      </c>
    </row>
    <row r="452" spans="2:23" x14ac:dyDescent="0.75">
      <c r="B452">
        <v>2047</v>
      </c>
      <c r="C452" t="str">
        <f t="shared" si="9"/>
        <v>Gasoline hybrid</v>
      </c>
      <c r="D452">
        <v>11</v>
      </c>
      <c r="E452" s="113">
        <v>20399.097656000002</v>
      </c>
      <c r="F452" s="113">
        <v>1477.898193</v>
      </c>
      <c r="G452" s="113">
        <v>58302.285155999998</v>
      </c>
      <c r="H452" s="114">
        <v>3834.251953</v>
      </c>
      <c r="I452" s="113">
        <v>6031.2231449999999</v>
      </c>
      <c r="J452" s="113">
        <v>7938.2153319999998</v>
      </c>
      <c r="K452" s="113">
        <v>0</v>
      </c>
      <c r="L452" s="113">
        <v>0</v>
      </c>
      <c r="M452" s="114">
        <v>0</v>
      </c>
      <c r="N452" s="113">
        <v>0</v>
      </c>
      <c r="O452" s="113">
        <v>0</v>
      </c>
      <c r="P452" s="114">
        <v>0</v>
      </c>
      <c r="Q452" s="113">
        <v>0</v>
      </c>
      <c r="R452" s="113">
        <v>0</v>
      </c>
      <c r="S452" s="113">
        <v>0</v>
      </c>
      <c r="T452" s="113">
        <v>0</v>
      </c>
      <c r="U452" s="113">
        <v>0</v>
      </c>
      <c r="V452" s="113">
        <v>0</v>
      </c>
      <c r="W452" s="114">
        <v>0</v>
      </c>
    </row>
    <row r="453" spans="2:23" x14ac:dyDescent="0.75">
      <c r="B453">
        <v>2047</v>
      </c>
      <c r="C453" t="str">
        <f t="shared" si="9"/>
        <v>Hydrogen ICE</v>
      </c>
      <c r="D453">
        <v>12</v>
      </c>
      <c r="E453" s="113">
        <v>0</v>
      </c>
      <c r="F453" s="113">
        <v>0</v>
      </c>
      <c r="G453" s="113">
        <v>0</v>
      </c>
      <c r="H453" s="114">
        <v>0</v>
      </c>
      <c r="I453" s="113">
        <v>0</v>
      </c>
      <c r="J453" s="113">
        <v>0</v>
      </c>
      <c r="K453" s="113">
        <v>0</v>
      </c>
      <c r="L453" s="113">
        <v>0</v>
      </c>
      <c r="M453" s="114">
        <v>0</v>
      </c>
      <c r="N453" s="113">
        <v>0</v>
      </c>
      <c r="O453" s="113">
        <v>0</v>
      </c>
      <c r="P453" s="114">
        <v>0</v>
      </c>
      <c r="Q453" s="113">
        <v>0</v>
      </c>
      <c r="R453" s="113">
        <v>0</v>
      </c>
      <c r="S453" s="113">
        <v>0</v>
      </c>
      <c r="T453" s="113">
        <v>0</v>
      </c>
      <c r="U453" s="113">
        <v>0</v>
      </c>
      <c r="V453" s="113">
        <v>0</v>
      </c>
      <c r="W453" s="114">
        <v>0</v>
      </c>
    </row>
    <row r="454" spans="2:23" x14ac:dyDescent="0.75">
      <c r="B454">
        <v>2048</v>
      </c>
      <c r="C454" t="str">
        <f t="shared" si="9"/>
        <v>Diesel</v>
      </c>
      <c r="D454">
        <v>1</v>
      </c>
      <c r="E454" s="113">
        <v>6136.517578</v>
      </c>
      <c r="F454" s="113">
        <v>232.69105500000001</v>
      </c>
      <c r="G454" s="113">
        <v>18634.943359000001</v>
      </c>
      <c r="H454" s="114">
        <v>1544.495361</v>
      </c>
      <c r="I454" s="113">
        <v>3889.6352539999998</v>
      </c>
      <c r="J454" s="113">
        <v>5827.3945309999999</v>
      </c>
      <c r="K454" s="113">
        <v>13504.880859000001</v>
      </c>
      <c r="L454" s="113">
        <v>8216.2294920000004</v>
      </c>
      <c r="M454" s="114">
        <v>1628.1972659999999</v>
      </c>
      <c r="N454" s="113">
        <v>1629.2673339999999</v>
      </c>
      <c r="O454" s="113">
        <v>4893.0278319999998</v>
      </c>
      <c r="P454" s="114">
        <v>22129.876952999999</v>
      </c>
      <c r="Q454" s="113">
        <v>14921.243164</v>
      </c>
      <c r="R454" s="113">
        <v>14924.478515999999</v>
      </c>
      <c r="S454" s="113">
        <v>44767.898437999997</v>
      </c>
      <c r="T454" s="113">
        <v>23133.533202999999</v>
      </c>
      <c r="U454" s="113">
        <v>23189.261718999998</v>
      </c>
      <c r="V454" s="113">
        <v>69472.429688000004</v>
      </c>
      <c r="W454" s="114">
        <v>5.0011900000000002</v>
      </c>
    </row>
    <row r="455" spans="2:23" x14ac:dyDescent="0.75">
      <c r="B455">
        <v>2048</v>
      </c>
      <c r="C455" t="str">
        <f t="shared" si="9"/>
        <v>Gasoline</v>
      </c>
      <c r="D455">
        <v>2</v>
      </c>
      <c r="E455" s="113">
        <v>25784.167968999998</v>
      </c>
      <c r="F455" s="113">
        <v>1173.401001</v>
      </c>
      <c r="G455" s="113">
        <v>17289.59375</v>
      </c>
      <c r="H455" s="114">
        <v>2034.400635</v>
      </c>
      <c r="I455" s="113">
        <v>4441.3212890000004</v>
      </c>
      <c r="J455" s="113">
        <v>5086.1757809999999</v>
      </c>
      <c r="K455" s="113">
        <v>12615.528319999999</v>
      </c>
      <c r="L455" s="113">
        <v>51.434601000000001</v>
      </c>
      <c r="M455" s="114">
        <v>1.8E-5</v>
      </c>
      <c r="N455" s="113">
        <v>1.8E-5</v>
      </c>
      <c r="O455" s="113">
        <v>5.3000000000000001E-5</v>
      </c>
      <c r="P455" s="114">
        <v>1.2236E-2</v>
      </c>
      <c r="Q455" s="113">
        <v>6.3E-5</v>
      </c>
      <c r="R455" s="113">
        <v>6.3E-5</v>
      </c>
      <c r="S455" s="113">
        <v>1.8900000000000001E-4</v>
      </c>
      <c r="T455" s="113">
        <v>9.8999999999999994E-5</v>
      </c>
      <c r="U455" s="113">
        <v>9.8999999999999994E-5</v>
      </c>
      <c r="V455" s="113">
        <v>2.9599999999999998E-4</v>
      </c>
      <c r="W455" s="114">
        <v>0</v>
      </c>
    </row>
    <row r="456" spans="2:23" x14ac:dyDescent="0.75">
      <c r="B456">
        <v>2048</v>
      </c>
      <c r="C456" t="str">
        <f t="shared" si="9"/>
        <v>LPG</v>
      </c>
      <c r="D456">
        <v>3</v>
      </c>
      <c r="E456" s="113">
        <v>0.60790299999999997</v>
      </c>
      <c r="F456" s="113">
        <v>3.6353000000000003E-2</v>
      </c>
      <c r="G456" s="113">
        <v>1.0289470000000001</v>
      </c>
      <c r="H456" s="114">
        <v>7.4453000000000005E-2</v>
      </c>
      <c r="I456" s="113">
        <v>0.49748399999999998</v>
      </c>
      <c r="J456" s="113">
        <v>1.249995</v>
      </c>
      <c r="K456" s="113">
        <v>0.85794400000000004</v>
      </c>
      <c r="L456" s="113">
        <v>8.265962</v>
      </c>
      <c r="M456" s="114">
        <v>0.79734099999999997</v>
      </c>
      <c r="N456" s="113">
        <v>0.79734099999999997</v>
      </c>
      <c r="O456" s="113">
        <v>2.3920279999999998</v>
      </c>
      <c r="P456" s="114">
        <v>11.038918000000001</v>
      </c>
      <c r="Q456" s="113">
        <v>7.3063659999999997</v>
      </c>
      <c r="R456" s="113">
        <v>7.306368</v>
      </c>
      <c r="S456" s="113">
        <v>21.919104000000001</v>
      </c>
      <c r="T456" s="113">
        <v>11.412675999999999</v>
      </c>
      <c r="U456" s="113">
        <v>11.412712000000001</v>
      </c>
      <c r="V456" s="113">
        <v>34.235207000000003</v>
      </c>
      <c r="W456" s="114">
        <v>0</v>
      </c>
    </row>
    <row r="457" spans="2:23" x14ac:dyDescent="0.75">
      <c r="B457">
        <v>2048</v>
      </c>
      <c r="C457" t="str">
        <f t="shared" si="9"/>
        <v>CNG</v>
      </c>
      <c r="D457">
        <v>4</v>
      </c>
      <c r="E457" s="113">
        <v>1807.370361</v>
      </c>
      <c r="F457" s="113">
        <v>106.716309</v>
      </c>
      <c r="G457" s="113">
        <v>1992.0008539999999</v>
      </c>
      <c r="H457" s="114">
        <v>20.533909000000001</v>
      </c>
      <c r="I457" s="113">
        <v>44.649974999999998</v>
      </c>
      <c r="J457" s="113">
        <v>227.738449</v>
      </c>
      <c r="K457" s="113">
        <v>717.44726600000001</v>
      </c>
      <c r="L457" s="113">
        <v>38.436042999999998</v>
      </c>
      <c r="M457" s="114">
        <v>8.3735140000000001</v>
      </c>
      <c r="N457" s="113">
        <v>7.2825860000000002</v>
      </c>
      <c r="O457" s="113">
        <v>16.578213000000002</v>
      </c>
      <c r="P457" s="114">
        <v>979.76641800000004</v>
      </c>
      <c r="Q457" s="113">
        <v>148.000809</v>
      </c>
      <c r="R457" s="113">
        <v>144.764679</v>
      </c>
      <c r="S457" s="113">
        <v>439.89767499999999</v>
      </c>
      <c r="T457" s="113">
        <v>405.104736</v>
      </c>
      <c r="U457" s="113">
        <v>349.47180200000003</v>
      </c>
      <c r="V457" s="113">
        <v>1137.372437</v>
      </c>
      <c r="W457" s="114">
        <v>0</v>
      </c>
    </row>
    <row r="458" spans="2:23" x14ac:dyDescent="0.75">
      <c r="B458">
        <v>2048</v>
      </c>
      <c r="C458" t="str">
        <f t="shared" si="9"/>
        <v>E85</v>
      </c>
      <c r="D458">
        <v>5</v>
      </c>
      <c r="E458" s="113">
        <v>10339.434569999999</v>
      </c>
      <c r="F458" s="113">
        <v>676.92712400000005</v>
      </c>
      <c r="G458" s="113">
        <v>142.773605</v>
      </c>
      <c r="H458" s="114">
        <v>70.945380999999998</v>
      </c>
      <c r="I458" s="113">
        <v>56.184066999999999</v>
      </c>
      <c r="J458" s="113">
        <v>0.18049299999999999</v>
      </c>
      <c r="K458" s="113">
        <v>0.26161699999999999</v>
      </c>
      <c r="L458" s="113">
        <v>0</v>
      </c>
      <c r="M458" s="114">
        <v>0</v>
      </c>
      <c r="N458" s="113">
        <v>0</v>
      </c>
      <c r="O458" s="113">
        <v>0</v>
      </c>
      <c r="P458" s="114">
        <v>0</v>
      </c>
      <c r="Q458" s="113">
        <v>0</v>
      </c>
      <c r="R458" s="113">
        <v>0</v>
      </c>
      <c r="S458" s="113">
        <v>0</v>
      </c>
      <c r="T458" s="113">
        <v>0</v>
      </c>
      <c r="U458" s="113">
        <v>0</v>
      </c>
      <c r="V458" s="113">
        <v>0</v>
      </c>
      <c r="W458" s="114">
        <v>0</v>
      </c>
    </row>
    <row r="459" spans="2:23" x14ac:dyDescent="0.75">
      <c r="B459">
        <v>2048</v>
      </c>
      <c r="C459" t="str">
        <f t="shared" si="9"/>
        <v>Electric</v>
      </c>
      <c r="D459">
        <v>6</v>
      </c>
      <c r="E459" s="113">
        <v>6527.4584960000002</v>
      </c>
      <c r="F459" s="113">
        <v>123.53546900000001</v>
      </c>
      <c r="G459" s="113">
        <v>13933.835938</v>
      </c>
      <c r="H459" s="114">
        <v>6.3480000000000003E-3</v>
      </c>
      <c r="I459" s="113">
        <v>0.24063699999999999</v>
      </c>
      <c r="J459" s="113">
        <v>2.0577429999999999</v>
      </c>
      <c r="K459" s="113">
        <v>34.851139000000003</v>
      </c>
      <c r="L459" s="113">
        <v>14.072526</v>
      </c>
      <c r="M459" s="114">
        <v>0.49769799999999997</v>
      </c>
      <c r="N459" s="113">
        <v>0.49769799999999997</v>
      </c>
      <c r="O459" s="113">
        <v>1.4930939999999999</v>
      </c>
      <c r="P459" s="114">
        <v>7.248786</v>
      </c>
      <c r="Q459" s="113">
        <v>50.706223000000001</v>
      </c>
      <c r="R459" s="113">
        <v>50.706234000000002</v>
      </c>
      <c r="S459" s="113">
        <v>152.11866800000001</v>
      </c>
      <c r="T459" s="113">
        <v>79.204032999999995</v>
      </c>
      <c r="U459" s="113">
        <v>79.204200999999998</v>
      </c>
      <c r="V459" s="113">
        <v>237.611954</v>
      </c>
      <c r="W459" s="114">
        <v>0</v>
      </c>
    </row>
    <row r="460" spans="2:23" x14ac:dyDescent="0.75">
      <c r="B460">
        <v>2048</v>
      </c>
      <c r="C460" t="str">
        <f t="shared" si="9"/>
        <v>PHEV diesel</v>
      </c>
      <c r="D460">
        <v>7</v>
      </c>
      <c r="E460" s="113">
        <v>0</v>
      </c>
      <c r="F460" s="113">
        <v>0</v>
      </c>
      <c r="G460" s="113">
        <v>0</v>
      </c>
      <c r="H460" s="114">
        <v>0</v>
      </c>
      <c r="I460" s="113">
        <v>0</v>
      </c>
      <c r="J460" s="113">
        <v>0</v>
      </c>
      <c r="K460" s="113">
        <v>10.370156</v>
      </c>
      <c r="L460" s="113">
        <v>10.159807000000001</v>
      </c>
      <c r="M460" s="114">
        <v>0</v>
      </c>
      <c r="N460" s="113">
        <v>0</v>
      </c>
      <c r="O460" s="113">
        <v>0</v>
      </c>
      <c r="P460" s="114">
        <v>0</v>
      </c>
      <c r="Q460" s="113">
        <v>0</v>
      </c>
      <c r="R460" s="113">
        <v>0</v>
      </c>
      <c r="S460" s="113">
        <v>0</v>
      </c>
      <c r="T460" s="113">
        <v>0</v>
      </c>
      <c r="U460" s="113">
        <v>0</v>
      </c>
      <c r="V460" s="113">
        <v>0</v>
      </c>
      <c r="W460" s="114">
        <v>0</v>
      </c>
    </row>
    <row r="461" spans="2:23" x14ac:dyDescent="0.75">
      <c r="B461">
        <v>2048</v>
      </c>
      <c r="C461" t="str">
        <f t="shared" si="9"/>
        <v>PHEV gasoline</v>
      </c>
      <c r="D461">
        <v>8</v>
      </c>
      <c r="E461" s="113">
        <v>0</v>
      </c>
      <c r="F461" s="113">
        <v>0</v>
      </c>
      <c r="G461" s="113">
        <v>0</v>
      </c>
      <c r="H461" s="114">
        <v>0</v>
      </c>
      <c r="I461" s="113">
        <v>0</v>
      </c>
      <c r="J461" s="113">
        <v>0</v>
      </c>
      <c r="K461" s="113">
        <v>1.734774</v>
      </c>
      <c r="L461" s="113">
        <v>0</v>
      </c>
      <c r="M461" s="114">
        <v>0</v>
      </c>
      <c r="N461" s="113">
        <v>0</v>
      </c>
      <c r="O461" s="113">
        <v>0</v>
      </c>
      <c r="P461" s="114">
        <v>0</v>
      </c>
      <c r="Q461" s="113">
        <v>0</v>
      </c>
      <c r="R461" s="113">
        <v>0</v>
      </c>
      <c r="S461" s="113">
        <v>0</v>
      </c>
      <c r="T461" s="113">
        <v>0</v>
      </c>
      <c r="U461" s="113">
        <v>0</v>
      </c>
      <c r="V461" s="113">
        <v>0</v>
      </c>
      <c r="W461" s="114">
        <v>0</v>
      </c>
    </row>
    <row r="462" spans="2:23" x14ac:dyDescent="0.75">
      <c r="B462">
        <v>2048</v>
      </c>
      <c r="C462" t="str">
        <f t="shared" si="9"/>
        <v>H2 fuel cell, small battery</v>
      </c>
      <c r="D462">
        <v>9</v>
      </c>
      <c r="E462" s="113">
        <v>0</v>
      </c>
      <c r="F462" s="113">
        <v>0</v>
      </c>
      <c r="G462" s="113">
        <v>0</v>
      </c>
      <c r="H462" s="114">
        <v>0</v>
      </c>
      <c r="I462" s="113">
        <v>0</v>
      </c>
      <c r="J462" s="113">
        <v>0</v>
      </c>
      <c r="K462" s="113">
        <v>0</v>
      </c>
      <c r="L462" s="113">
        <v>0</v>
      </c>
      <c r="M462" s="114">
        <v>0</v>
      </c>
      <c r="N462" s="113">
        <v>0</v>
      </c>
      <c r="O462" s="113">
        <v>0</v>
      </c>
      <c r="P462" s="114">
        <v>0</v>
      </c>
      <c r="Q462" s="113">
        <v>0</v>
      </c>
      <c r="R462" s="113">
        <v>0</v>
      </c>
      <c r="S462" s="113">
        <v>0</v>
      </c>
      <c r="T462" s="113">
        <v>0</v>
      </c>
      <c r="U462" s="113">
        <v>0</v>
      </c>
      <c r="V462" s="113">
        <v>0</v>
      </c>
      <c r="W462" s="114">
        <v>0</v>
      </c>
    </row>
    <row r="463" spans="2:23" x14ac:dyDescent="0.75">
      <c r="B463">
        <v>2048</v>
      </c>
      <c r="C463" t="str">
        <f t="shared" si="9"/>
        <v>H2 fuel cell, large battery</v>
      </c>
      <c r="D463">
        <v>10</v>
      </c>
      <c r="E463" s="113">
        <v>0</v>
      </c>
      <c r="F463" s="113">
        <v>0</v>
      </c>
      <c r="G463" s="113">
        <v>0</v>
      </c>
      <c r="H463" s="114">
        <v>0</v>
      </c>
      <c r="I463" s="113">
        <v>0</v>
      </c>
      <c r="J463" s="113">
        <v>0</v>
      </c>
      <c r="K463" s="113">
        <v>0</v>
      </c>
      <c r="L463" s="113">
        <v>0</v>
      </c>
      <c r="M463" s="114">
        <v>0</v>
      </c>
      <c r="N463" s="113">
        <v>0</v>
      </c>
      <c r="O463" s="113">
        <v>0</v>
      </c>
      <c r="P463" s="114">
        <v>0</v>
      </c>
      <c r="Q463" s="113">
        <v>0</v>
      </c>
      <c r="R463" s="113">
        <v>0</v>
      </c>
      <c r="S463" s="113">
        <v>0</v>
      </c>
      <c r="T463" s="113">
        <v>0</v>
      </c>
      <c r="U463" s="113">
        <v>0</v>
      </c>
      <c r="V463" s="113">
        <v>0</v>
      </c>
      <c r="W463" s="114">
        <v>0</v>
      </c>
    </row>
    <row r="464" spans="2:23" x14ac:dyDescent="0.75">
      <c r="B464">
        <v>2048</v>
      </c>
      <c r="C464" t="str">
        <f t="shared" si="9"/>
        <v>Gasoline hybrid</v>
      </c>
      <c r="D464">
        <v>11</v>
      </c>
      <c r="E464" s="113">
        <v>21314.019531000002</v>
      </c>
      <c r="F464" s="113">
        <v>1578.5498050000001</v>
      </c>
      <c r="G464" s="113">
        <v>60345.511719000002</v>
      </c>
      <c r="H464" s="114">
        <v>4056.9372560000002</v>
      </c>
      <c r="I464" s="113">
        <v>6319.0532229999999</v>
      </c>
      <c r="J464" s="113">
        <v>8317.9472659999992</v>
      </c>
      <c r="K464" s="113">
        <v>0</v>
      </c>
      <c r="L464" s="113">
        <v>0</v>
      </c>
      <c r="M464" s="114">
        <v>0</v>
      </c>
      <c r="N464" s="113">
        <v>0</v>
      </c>
      <c r="O464" s="113">
        <v>0</v>
      </c>
      <c r="P464" s="114">
        <v>0</v>
      </c>
      <c r="Q464" s="113">
        <v>0</v>
      </c>
      <c r="R464" s="113">
        <v>0</v>
      </c>
      <c r="S464" s="113">
        <v>0</v>
      </c>
      <c r="T464" s="113">
        <v>0</v>
      </c>
      <c r="U464" s="113">
        <v>0</v>
      </c>
      <c r="V464" s="113">
        <v>0</v>
      </c>
      <c r="W464" s="114">
        <v>0</v>
      </c>
    </row>
    <row r="465" spans="2:23" x14ac:dyDescent="0.75">
      <c r="B465">
        <v>2048</v>
      </c>
      <c r="C465" t="str">
        <f t="shared" si="9"/>
        <v>Hydrogen ICE</v>
      </c>
      <c r="D465">
        <v>12</v>
      </c>
      <c r="E465" s="113">
        <v>0</v>
      </c>
      <c r="F465" s="113">
        <v>0</v>
      </c>
      <c r="G465" s="113">
        <v>0</v>
      </c>
      <c r="H465" s="114">
        <v>0</v>
      </c>
      <c r="I465" s="113">
        <v>0</v>
      </c>
      <c r="J465" s="113">
        <v>0</v>
      </c>
      <c r="K465" s="113">
        <v>0</v>
      </c>
      <c r="L465" s="113">
        <v>0</v>
      </c>
      <c r="M465" s="114">
        <v>0</v>
      </c>
      <c r="N465" s="113">
        <v>0</v>
      </c>
      <c r="O465" s="113">
        <v>0</v>
      </c>
      <c r="P465" s="114">
        <v>0</v>
      </c>
      <c r="Q465" s="113">
        <v>0</v>
      </c>
      <c r="R465" s="113">
        <v>0</v>
      </c>
      <c r="S465" s="113">
        <v>0</v>
      </c>
      <c r="T465" s="113">
        <v>0</v>
      </c>
      <c r="U465" s="113">
        <v>0</v>
      </c>
      <c r="V465" s="113">
        <v>0</v>
      </c>
      <c r="W465" s="114">
        <v>0</v>
      </c>
    </row>
    <row r="466" spans="2:23" x14ac:dyDescent="0.75">
      <c r="B466">
        <v>2049</v>
      </c>
      <c r="C466" t="str">
        <f t="shared" si="9"/>
        <v>Diesel</v>
      </c>
      <c r="D466">
        <v>1</v>
      </c>
      <c r="E466" s="113">
        <v>5684.2226559999999</v>
      </c>
      <c r="F466" s="113">
        <v>215.277084</v>
      </c>
      <c r="G466" s="113">
        <v>17671.841797000001</v>
      </c>
      <c r="H466" s="114">
        <v>1508.4602050000001</v>
      </c>
      <c r="I466" s="113">
        <v>3814.0969239999999</v>
      </c>
      <c r="J466" s="113">
        <v>5646.1494140000004</v>
      </c>
      <c r="K466" s="113">
        <v>13559.983398</v>
      </c>
      <c r="L466" s="113">
        <v>8257.1083980000003</v>
      </c>
      <c r="M466" s="114">
        <v>1638.2769780000001</v>
      </c>
      <c r="N466" s="113">
        <v>1639.5289310000001</v>
      </c>
      <c r="O466" s="113">
        <v>4924.4916990000002</v>
      </c>
      <c r="P466" s="114">
        <v>22268.654297000001</v>
      </c>
      <c r="Q466" s="113">
        <v>15026.684569999999</v>
      </c>
      <c r="R466" s="113">
        <v>15028.153319999999</v>
      </c>
      <c r="S466" s="113">
        <v>45079.324219000002</v>
      </c>
      <c r="T466" s="113">
        <v>23253.333984000001</v>
      </c>
      <c r="U466" s="113">
        <v>23327.976562</v>
      </c>
      <c r="V466" s="113">
        <v>69856.898438000004</v>
      </c>
      <c r="W466" s="114">
        <v>5.0104410000000001</v>
      </c>
    </row>
    <row r="467" spans="2:23" x14ac:dyDescent="0.75">
      <c r="B467">
        <v>2049</v>
      </c>
      <c r="C467" t="str">
        <f t="shared" si="9"/>
        <v>Gasoline</v>
      </c>
      <c r="D467">
        <v>2</v>
      </c>
      <c r="E467" s="113">
        <v>24467.919922000001</v>
      </c>
      <c r="F467" s="113">
        <v>1079.7388920000001</v>
      </c>
      <c r="G467" s="113">
        <v>16723.064452999999</v>
      </c>
      <c r="H467" s="114">
        <v>1981.060913</v>
      </c>
      <c r="I467" s="113">
        <v>4320.2387699999999</v>
      </c>
      <c r="J467" s="113">
        <v>4994.2846680000002</v>
      </c>
      <c r="K467" s="113">
        <v>12789.530273</v>
      </c>
      <c r="L467" s="113">
        <v>51.542296999999998</v>
      </c>
      <c r="M467" s="114">
        <v>1.2E-5</v>
      </c>
      <c r="N467" s="113">
        <v>1.2E-5</v>
      </c>
      <c r="O467" s="113">
        <v>3.6999999999999998E-5</v>
      </c>
      <c r="P467" s="114">
        <v>8.6289999999999995E-3</v>
      </c>
      <c r="Q467" s="113">
        <v>4.3999999999999999E-5</v>
      </c>
      <c r="R467" s="113">
        <v>4.3999999999999999E-5</v>
      </c>
      <c r="S467" s="113">
        <v>1.3300000000000001E-4</v>
      </c>
      <c r="T467" s="113">
        <v>6.9999999999999994E-5</v>
      </c>
      <c r="U467" s="113">
        <v>6.9999999999999994E-5</v>
      </c>
      <c r="V467" s="113">
        <v>2.0900000000000001E-4</v>
      </c>
      <c r="W467" s="114">
        <v>0</v>
      </c>
    </row>
    <row r="468" spans="2:23" x14ac:dyDescent="0.75">
      <c r="B468">
        <v>2049</v>
      </c>
      <c r="C468" t="str">
        <f t="shared" si="9"/>
        <v>LPG</v>
      </c>
      <c r="D468">
        <v>3</v>
      </c>
      <c r="E468" s="113">
        <v>0.60991499999999998</v>
      </c>
      <c r="F468" s="113">
        <v>3.6412E-2</v>
      </c>
      <c r="G468" s="113">
        <v>1.0485500000000001</v>
      </c>
      <c r="H468" s="114">
        <v>7.6147000000000006E-2</v>
      </c>
      <c r="I468" s="113">
        <v>0.43862400000000001</v>
      </c>
      <c r="J468" s="113">
        <v>0.94179299999999999</v>
      </c>
      <c r="K468" s="113">
        <v>0.68901699999999999</v>
      </c>
      <c r="L468" s="113">
        <v>7.84802</v>
      </c>
      <c r="M468" s="114">
        <v>0.80635800000000002</v>
      </c>
      <c r="N468" s="113">
        <v>0.80635900000000005</v>
      </c>
      <c r="O468" s="113">
        <v>2.419082</v>
      </c>
      <c r="P468" s="114">
        <v>11.188025</v>
      </c>
      <c r="Q468" s="113">
        <v>7.3969630000000004</v>
      </c>
      <c r="R468" s="113">
        <v>7.3969560000000003</v>
      </c>
      <c r="S468" s="113">
        <v>22.190888999999999</v>
      </c>
      <c r="T468" s="113">
        <v>11.554123000000001</v>
      </c>
      <c r="U468" s="113">
        <v>11.554209999999999</v>
      </c>
      <c r="V468" s="113">
        <v>34.659573000000002</v>
      </c>
      <c r="W468" s="114">
        <v>0</v>
      </c>
    </row>
    <row r="469" spans="2:23" x14ac:dyDescent="0.75">
      <c r="B469">
        <v>2049</v>
      </c>
      <c r="C469" t="str">
        <f t="shared" si="9"/>
        <v>CNG</v>
      </c>
      <c r="D469">
        <v>4</v>
      </c>
      <c r="E469" s="113">
        <v>1899.5517580000001</v>
      </c>
      <c r="F469" s="113">
        <v>112.51982099999999</v>
      </c>
      <c r="G469" s="113">
        <v>2140.485107</v>
      </c>
      <c r="H469" s="114">
        <v>21.705994</v>
      </c>
      <c r="I469" s="113">
        <v>45.878258000000002</v>
      </c>
      <c r="J469" s="113">
        <v>230.98379499999999</v>
      </c>
      <c r="K469" s="113">
        <v>730.32372999999995</v>
      </c>
      <c r="L469" s="113">
        <v>38.589812999999999</v>
      </c>
      <c r="M469" s="114">
        <v>9.2288530000000009</v>
      </c>
      <c r="N469" s="113">
        <v>7.9510589999999999</v>
      </c>
      <c r="O469" s="113">
        <v>17.878364999999999</v>
      </c>
      <c r="P469" s="114">
        <v>985.06030299999998</v>
      </c>
      <c r="Q469" s="113">
        <v>154.61312899999999</v>
      </c>
      <c r="R469" s="113">
        <v>153.149033</v>
      </c>
      <c r="S469" s="113">
        <v>464.71987899999999</v>
      </c>
      <c r="T469" s="113">
        <v>460.398438</v>
      </c>
      <c r="U469" s="113">
        <v>385.95239299999997</v>
      </c>
      <c r="V469" s="113">
        <v>1278.3164059999999</v>
      </c>
      <c r="W469" s="114">
        <v>0</v>
      </c>
    </row>
    <row r="470" spans="2:23" x14ac:dyDescent="0.75">
      <c r="B470">
        <v>2049</v>
      </c>
      <c r="C470" t="str">
        <f t="shared" si="9"/>
        <v>E85</v>
      </c>
      <c r="D470">
        <v>5</v>
      </c>
      <c r="E470" s="113">
        <v>10208.952148</v>
      </c>
      <c r="F470" s="113">
        <v>661.78186000000005</v>
      </c>
      <c r="G470" s="113">
        <v>115.93523399999999</v>
      </c>
      <c r="H470" s="114">
        <v>58.587192999999999</v>
      </c>
      <c r="I470" s="113">
        <v>48.854743999999997</v>
      </c>
      <c r="J470" s="113">
        <v>0.183342</v>
      </c>
      <c r="K470" s="113">
        <v>0.2656</v>
      </c>
      <c r="L470" s="113">
        <v>0</v>
      </c>
      <c r="M470" s="114">
        <v>0</v>
      </c>
      <c r="N470" s="113">
        <v>0</v>
      </c>
      <c r="O470" s="113">
        <v>0</v>
      </c>
      <c r="P470" s="114">
        <v>0</v>
      </c>
      <c r="Q470" s="113">
        <v>0</v>
      </c>
      <c r="R470" s="113">
        <v>0</v>
      </c>
      <c r="S470" s="113">
        <v>0</v>
      </c>
      <c r="T470" s="113">
        <v>0</v>
      </c>
      <c r="U470" s="113">
        <v>0</v>
      </c>
      <c r="V470" s="113">
        <v>0</v>
      </c>
      <c r="W470" s="114">
        <v>0</v>
      </c>
    </row>
    <row r="471" spans="2:23" x14ac:dyDescent="0.75">
      <c r="B471">
        <v>2049</v>
      </c>
      <c r="C471" t="str">
        <f t="shared" si="9"/>
        <v>Electric</v>
      </c>
      <c r="D471">
        <v>6</v>
      </c>
      <c r="E471" s="113">
        <v>6815.2211909999996</v>
      </c>
      <c r="F471" s="113">
        <v>138.184586</v>
      </c>
      <c r="G471" s="113">
        <v>15362.939453000001</v>
      </c>
      <c r="H471" s="114">
        <v>4.4770000000000001E-3</v>
      </c>
      <c r="I471" s="113">
        <v>0.22988600000000001</v>
      </c>
      <c r="J471" s="113">
        <v>2.0751400000000002</v>
      </c>
      <c r="K471" s="113">
        <v>35.284447</v>
      </c>
      <c r="L471" s="113">
        <v>14.247607</v>
      </c>
      <c r="M471" s="114">
        <v>0.50485400000000002</v>
      </c>
      <c r="N471" s="113">
        <v>0.50485400000000002</v>
      </c>
      <c r="O471" s="113">
        <v>1.5145630000000001</v>
      </c>
      <c r="P471" s="114">
        <v>7.3263259999999999</v>
      </c>
      <c r="Q471" s="113">
        <v>51.314948999999999</v>
      </c>
      <c r="R471" s="113">
        <v>51.314898999999997</v>
      </c>
      <c r="S471" s="113">
        <v>153.94487000000001</v>
      </c>
      <c r="T471" s="113">
        <v>80.154449</v>
      </c>
      <c r="U471" s="113">
        <v>80.154944999999998</v>
      </c>
      <c r="V471" s="113">
        <v>240.46374499999999</v>
      </c>
      <c r="W471" s="114">
        <v>0</v>
      </c>
    </row>
    <row r="472" spans="2:23" x14ac:dyDescent="0.75">
      <c r="B472">
        <v>2049</v>
      </c>
      <c r="C472" t="str">
        <f t="shared" si="9"/>
        <v>PHEV diesel</v>
      </c>
      <c r="D472">
        <v>7</v>
      </c>
      <c r="E472" s="113">
        <v>0</v>
      </c>
      <c r="F472" s="113">
        <v>0</v>
      </c>
      <c r="G472" s="113">
        <v>0</v>
      </c>
      <c r="H472" s="114">
        <v>0</v>
      </c>
      <c r="I472" s="113">
        <v>0</v>
      </c>
      <c r="J472" s="113">
        <v>0</v>
      </c>
      <c r="K472" s="113">
        <v>9.6144379999999998</v>
      </c>
      <c r="L472" s="113">
        <v>9.1017259999999993</v>
      </c>
      <c r="M472" s="114">
        <v>0</v>
      </c>
      <c r="N472" s="113">
        <v>0</v>
      </c>
      <c r="O472" s="113">
        <v>0</v>
      </c>
      <c r="P472" s="114">
        <v>0</v>
      </c>
      <c r="Q472" s="113">
        <v>0</v>
      </c>
      <c r="R472" s="113">
        <v>0</v>
      </c>
      <c r="S472" s="113">
        <v>0</v>
      </c>
      <c r="T472" s="113">
        <v>0</v>
      </c>
      <c r="U472" s="113">
        <v>0</v>
      </c>
      <c r="V472" s="113">
        <v>0</v>
      </c>
      <c r="W472" s="114">
        <v>0</v>
      </c>
    </row>
    <row r="473" spans="2:23" x14ac:dyDescent="0.75">
      <c r="B473">
        <v>2049</v>
      </c>
      <c r="C473" t="str">
        <f t="shared" si="9"/>
        <v>PHEV gasoline</v>
      </c>
      <c r="D473">
        <v>8</v>
      </c>
      <c r="E473" s="113">
        <v>0</v>
      </c>
      <c r="F473" s="113">
        <v>0</v>
      </c>
      <c r="G473" s="113">
        <v>0</v>
      </c>
      <c r="H473" s="114">
        <v>0</v>
      </c>
      <c r="I473" s="113">
        <v>0</v>
      </c>
      <c r="J473" s="113">
        <v>0</v>
      </c>
      <c r="K473" s="113">
        <v>1.6205069999999999</v>
      </c>
      <c r="L473" s="113">
        <v>0</v>
      </c>
      <c r="M473" s="114">
        <v>0</v>
      </c>
      <c r="N473" s="113">
        <v>0</v>
      </c>
      <c r="O473" s="113">
        <v>0</v>
      </c>
      <c r="P473" s="114">
        <v>0</v>
      </c>
      <c r="Q473" s="113">
        <v>0</v>
      </c>
      <c r="R473" s="113">
        <v>0</v>
      </c>
      <c r="S473" s="113">
        <v>0</v>
      </c>
      <c r="T473" s="113">
        <v>0</v>
      </c>
      <c r="U473" s="113">
        <v>0</v>
      </c>
      <c r="V473" s="113">
        <v>0</v>
      </c>
      <c r="W473" s="114">
        <v>0</v>
      </c>
    </row>
    <row r="474" spans="2:23" x14ac:dyDescent="0.75">
      <c r="B474">
        <v>2049</v>
      </c>
      <c r="C474" t="str">
        <f t="shared" si="9"/>
        <v>H2 fuel cell, small battery</v>
      </c>
      <c r="D474">
        <v>9</v>
      </c>
      <c r="E474" s="113">
        <v>0</v>
      </c>
      <c r="F474" s="113">
        <v>0</v>
      </c>
      <c r="G474" s="113">
        <v>0</v>
      </c>
      <c r="H474" s="114">
        <v>0</v>
      </c>
      <c r="I474" s="113">
        <v>0</v>
      </c>
      <c r="J474" s="113">
        <v>0</v>
      </c>
      <c r="K474" s="113">
        <v>0</v>
      </c>
      <c r="L474" s="113">
        <v>0</v>
      </c>
      <c r="M474" s="114">
        <v>0</v>
      </c>
      <c r="N474" s="113">
        <v>0</v>
      </c>
      <c r="O474" s="113">
        <v>0</v>
      </c>
      <c r="P474" s="114">
        <v>0</v>
      </c>
      <c r="Q474" s="113">
        <v>0</v>
      </c>
      <c r="R474" s="113">
        <v>0</v>
      </c>
      <c r="S474" s="113">
        <v>0</v>
      </c>
      <c r="T474" s="113">
        <v>0</v>
      </c>
      <c r="U474" s="113">
        <v>0</v>
      </c>
      <c r="V474" s="113">
        <v>0</v>
      </c>
      <c r="W474" s="114">
        <v>0</v>
      </c>
    </row>
    <row r="475" spans="2:23" x14ac:dyDescent="0.75">
      <c r="B475">
        <v>2049</v>
      </c>
      <c r="C475" t="str">
        <f t="shared" si="9"/>
        <v>H2 fuel cell, large battery</v>
      </c>
      <c r="D475">
        <v>10</v>
      </c>
      <c r="E475" s="113">
        <v>0</v>
      </c>
      <c r="F475" s="113">
        <v>0</v>
      </c>
      <c r="G475" s="113">
        <v>0</v>
      </c>
      <c r="H475" s="114">
        <v>0</v>
      </c>
      <c r="I475" s="113">
        <v>0</v>
      </c>
      <c r="J475" s="113">
        <v>0</v>
      </c>
      <c r="K475" s="113">
        <v>0</v>
      </c>
      <c r="L475" s="113">
        <v>0</v>
      </c>
      <c r="M475" s="114">
        <v>0</v>
      </c>
      <c r="N475" s="113">
        <v>0</v>
      </c>
      <c r="O475" s="113">
        <v>0</v>
      </c>
      <c r="P475" s="114">
        <v>0</v>
      </c>
      <c r="Q475" s="113">
        <v>0</v>
      </c>
      <c r="R475" s="113">
        <v>0</v>
      </c>
      <c r="S475" s="113">
        <v>0</v>
      </c>
      <c r="T475" s="113">
        <v>0</v>
      </c>
      <c r="U475" s="113">
        <v>0</v>
      </c>
      <c r="V475" s="113">
        <v>0</v>
      </c>
      <c r="W475" s="114">
        <v>0</v>
      </c>
    </row>
    <row r="476" spans="2:23" x14ac:dyDescent="0.75">
      <c r="B476">
        <v>2049</v>
      </c>
      <c r="C476" t="str">
        <f t="shared" si="9"/>
        <v>Gasoline hybrid</v>
      </c>
      <c r="D476">
        <v>11</v>
      </c>
      <c r="E476" s="113">
        <v>22211.875</v>
      </c>
      <c r="F476" s="113">
        <v>1671.5616460000001</v>
      </c>
      <c r="G476" s="113">
        <v>62284.144530999998</v>
      </c>
      <c r="H476" s="114">
        <v>4270.2753910000001</v>
      </c>
      <c r="I476" s="113">
        <v>6600.3085940000001</v>
      </c>
      <c r="J476" s="113">
        <v>8686.9931639999995</v>
      </c>
      <c r="K476" s="113">
        <v>0</v>
      </c>
      <c r="L476" s="113">
        <v>0</v>
      </c>
      <c r="M476" s="114">
        <v>0</v>
      </c>
      <c r="N476" s="113">
        <v>0</v>
      </c>
      <c r="O476" s="113">
        <v>0</v>
      </c>
      <c r="P476" s="114">
        <v>0</v>
      </c>
      <c r="Q476" s="113">
        <v>0</v>
      </c>
      <c r="R476" s="113">
        <v>0</v>
      </c>
      <c r="S476" s="113">
        <v>0</v>
      </c>
      <c r="T476" s="113">
        <v>0</v>
      </c>
      <c r="U476" s="113">
        <v>0</v>
      </c>
      <c r="V476" s="113">
        <v>0</v>
      </c>
      <c r="W476" s="114">
        <v>0</v>
      </c>
    </row>
    <row r="477" spans="2:23" x14ac:dyDescent="0.75">
      <c r="B477">
        <v>2049</v>
      </c>
      <c r="C477" t="str">
        <f t="shared" si="9"/>
        <v>Hydrogen ICE</v>
      </c>
      <c r="D477">
        <v>12</v>
      </c>
      <c r="E477" s="113">
        <v>0</v>
      </c>
      <c r="F477" s="113">
        <v>0</v>
      </c>
      <c r="G477" s="113">
        <v>0</v>
      </c>
      <c r="H477" s="114">
        <v>0</v>
      </c>
      <c r="I477" s="113">
        <v>0</v>
      </c>
      <c r="J477" s="113">
        <v>0</v>
      </c>
      <c r="K477" s="113">
        <v>0</v>
      </c>
      <c r="L477" s="113">
        <v>0</v>
      </c>
      <c r="M477" s="114">
        <v>0</v>
      </c>
      <c r="N477" s="113">
        <v>0</v>
      </c>
      <c r="O477" s="113">
        <v>0</v>
      </c>
      <c r="P477" s="114">
        <v>0</v>
      </c>
      <c r="Q477" s="113">
        <v>0</v>
      </c>
      <c r="R477" s="113">
        <v>0</v>
      </c>
      <c r="S477" s="113">
        <v>0</v>
      </c>
      <c r="T477" s="113">
        <v>0</v>
      </c>
      <c r="U477" s="113">
        <v>0</v>
      </c>
      <c r="V477" s="113">
        <v>0</v>
      </c>
      <c r="W477" s="114">
        <v>0</v>
      </c>
    </row>
    <row r="478" spans="2:23" x14ac:dyDescent="0.75">
      <c r="B478">
        <v>2050</v>
      </c>
      <c r="C478" t="str">
        <f t="shared" si="9"/>
        <v>Diesel</v>
      </c>
      <c r="D478">
        <v>1</v>
      </c>
      <c r="E478" s="113">
        <v>5252.2460940000001</v>
      </c>
      <c r="F478" s="113">
        <v>198.53973400000001</v>
      </c>
      <c r="G478" s="113">
        <v>16705.839843999998</v>
      </c>
      <c r="H478" s="114">
        <v>1474.3474120000001</v>
      </c>
      <c r="I478" s="113">
        <v>3746.4975589999999</v>
      </c>
      <c r="J478" s="113">
        <v>5472.455078</v>
      </c>
      <c r="K478" s="113">
        <v>13608.744140999999</v>
      </c>
      <c r="L478" s="113">
        <v>8295.6435550000006</v>
      </c>
      <c r="M478" s="114">
        <v>1648.451172</v>
      </c>
      <c r="N478" s="113">
        <v>1649.3237300000001</v>
      </c>
      <c r="O478" s="113">
        <v>4955.7060549999997</v>
      </c>
      <c r="P478" s="114">
        <v>22396.828125</v>
      </c>
      <c r="Q478" s="113">
        <v>15130.042969</v>
      </c>
      <c r="R478" s="113">
        <v>15131.443359000001</v>
      </c>
      <c r="S478" s="113">
        <v>45381.203125</v>
      </c>
      <c r="T478" s="113">
        <v>23376.138672000001</v>
      </c>
      <c r="U478" s="113">
        <v>23451.882812</v>
      </c>
      <c r="V478" s="113">
        <v>70205.835938000004</v>
      </c>
      <c r="W478" s="114">
        <v>5.0214670000000003</v>
      </c>
    </row>
    <row r="479" spans="2:23" x14ac:dyDescent="0.75">
      <c r="B479">
        <v>2050</v>
      </c>
      <c r="C479" t="str">
        <f t="shared" si="9"/>
        <v>Gasoline</v>
      </c>
      <c r="D479">
        <v>2</v>
      </c>
      <c r="E479" s="113">
        <v>23239.923827999999</v>
      </c>
      <c r="F479" s="113">
        <v>990.45739700000001</v>
      </c>
      <c r="G479" s="113">
        <v>16118.324219</v>
      </c>
      <c r="H479" s="114">
        <v>1930.677246</v>
      </c>
      <c r="I479" s="113">
        <v>4198.3071289999998</v>
      </c>
      <c r="J479" s="113">
        <v>4907.1499020000001</v>
      </c>
      <c r="K479" s="113">
        <v>12949.815430000001</v>
      </c>
      <c r="L479" s="113">
        <v>51.532378999999999</v>
      </c>
      <c r="M479" s="114">
        <v>9.0000000000000002E-6</v>
      </c>
      <c r="N479" s="113">
        <v>9.0000000000000002E-6</v>
      </c>
      <c r="O479" s="113">
        <v>2.5999999999999998E-5</v>
      </c>
      <c r="P479" s="114">
        <v>6.0759999999999998E-3</v>
      </c>
      <c r="Q479" s="113">
        <v>3.1000000000000001E-5</v>
      </c>
      <c r="R479" s="113">
        <v>3.1000000000000001E-5</v>
      </c>
      <c r="S479" s="113">
        <v>9.3999999999999994E-5</v>
      </c>
      <c r="T479" s="113">
        <v>4.8999999999999998E-5</v>
      </c>
      <c r="U479" s="113">
        <v>4.8999999999999998E-5</v>
      </c>
      <c r="V479" s="113">
        <v>1.47E-4</v>
      </c>
      <c r="W479" s="114">
        <v>0</v>
      </c>
    </row>
    <row r="480" spans="2:23" x14ac:dyDescent="0.75">
      <c r="B480">
        <v>2050</v>
      </c>
      <c r="C480" t="str">
        <f t="shared" si="9"/>
        <v>LPG</v>
      </c>
      <c r="D480">
        <v>3</v>
      </c>
      <c r="E480" s="113">
        <v>0.61093200000000003</v>
      </c>
      <c r="F480" s="113">
        <v>3.6415000000000003E-2</v>
      </c>
      <c r="G480" s="113">
        <v>1.0659829999999999</v>
      </c>
      <c r="H480" s="114">
        <v>7.7648999999999996E-2</v>
      </c>
      <c r="I480" s="113">
        <v>0.35222500000000001</v>
      </c>
      <c r="J480" s="113">
        <v>0.72463200000000005</v>
      </c>
      <c r="K480" s="113">
        <v>0.57035000000000002</v>
      </c>
      <c r="L480" s="113">
        <v>7.4821790000000004</v>
      </c>
      <c r="M480" s="114">
        <v>0.81520899999999996</v>
      </c>
      <c r="N480" s="113">
        <v>0.81520999999999999</v>
      </c>
      <c r="O480" s="113">
        <v>2.4456340000000001</v>
      </c>
      <c r="P480" s="114">
        <v>11.326117999999999</v>
      </c>
      <c r="Q480" s="113">
        <v>7.4865649999999997</v>
      </c>
      <c r="R480" s="113">
        <v>7.4865589999999997</v>
      </c>
      <c r="S480" s="113">
        <v>22.459693999999999</v>
      </c>
      <c r="T480" s="113">
        <v>11.694041</v>
      </c>
      <c r="U480" s="113">
        <v>11.694098</v>
      </c>
      <c r="V480" s="113">
        <v>35.079307999999997</v>
      </c>
      <c r="W480" s="114">
        <v>0</v>
      </c>
    </row>
    <row r="481" spans="2:23" x14ac:dyDescent="0.75">
      <c r="B481">
        <v>2050</v>
      </c>
      <c r="C481" t="str">
        <f t="shared" si="9"/>
        <v>CNG</v>
      </c>
      <c r="D481">
        <v>4</v>
      </c>
      <c r="E481" s="113">
        <v>1988.744751</v>
      </c>
      <c r="F481" s="113">
        <v>118.036728</v>
      </c>
      <c r="G481" s="113">
        <v>2297.34375</v>
      </c>
      <c r="H481" s="114">
        <v>23.065871999999999</v>
      </c>
      <c r="I481" s="113">
        <v>47.394432000000002</v>
      </c>
      <c r="J481" s="113">
        <v>233.98734999999999</v>
      </c>
      <c r="K481" s="113">
        <v>742.16943400000002</v>
      </c>
      <c r="L481" s="113">
        <v>39.061855000000001</v>
      </c>
      <c r="M481" s="114">
        <v>10.035916</v>
      </c>
      <c r="N481" s="113">
        <v>9.1308819999999997</v>
      </c>
      <c r="O481" s="113">
        <v>19.561865000000001</v>
      </c>
      <c r="P481" s="114">
        <v>990.98022500000002</v>
      </c>
      <c r="Q481" s="113">
        <v>162.62908899999999</v>
      </c>
      <c r="R481" s="113">
        <v>161.24520899999999</v>
      </c>
      <c r="S481" s="113">
        <v>497.12521400000003</v>
      </c>
      <c r="T481" s="113">
        <v>511.58373999999998</v>
      </c>
      <c r="U481" s="113">
        <v>436.17742900000002</v>
      </c>
      <c r="V481" s="113">
        <v>1451.4700929999999</v>
      </c>
      <c r="W481" s="114">
        <v>0</v>
      </c>
    </row>
    <row r="482" spans="2:23" x14ac:dyDescent="0.75">
      <c r="B482">
        <v>2050</v>
      </c>
      <c r="C482" t="str">
        <f t="shared" si="9"/>
        <v>E85</v>
      </c>
      <c r="D482">
        <v>5</v>
      </c>
      <c r="E482" s="113">
        <v>10083.981444999999</v>
      </c>
      <c r="F482" s="113">
        <v>647.25604199999998</v>
      </c>
      <c r="G482" s="113">
        <v>90.59272</v>
      </c>
      <c r="H482" s="114">
        <v>46.727927999999999</v>
      </c>
      <c r="I482" s="113">
        <v>41.101616</v>
      </c>
      <c r="J482" s="113">
        <v>0.18601100000000001</v>
      </c>
      <c r="K482" s="113">
        <v>0.26937699999999998</v>
      </c>
      <c r="L482" s="113">
        <v>0</v>
      </c>
      <c r="M482" s="114">
        <v>0</v>
      </c>
      <c r="N482" s="113">
        <v>0</v>
      </c>
      <c r="O482" s="113">
        <v>0</v>
      </c>
      <c r="P482" s="114">
        <v>0</v>
      </c>
      <c r="Q482" s="113">
        <v>0</v>
      </c>
      <c r="R482" s="113">
        <v>0</v>
      </c>
      <c r="S482" s="113">
        <v>0</v>
      </c>
      <c r="T482" s="113">
        <v>0</v>
      </c>
      <c r="U482" s="113">
        <v>0</v>
      </c>
      <c r="V482" s="113">
        <v>0</v>
      </c>
      <c r="W482" s="114">
        <v>0</v>
      </c>
    </row>
    <row r="483" spans="2:23" x14ac:dyDescent="0.75">
      <c r="B483">
        <v>2050</v>
      </c>
      <c r="C483" t="str">
        <f t="shared" ref="C483:C489" si="10">C471</f>
        <v>Electric</v>
      </c>
      <c r="D483">
        <v>6</v>
      </c>
      <c r="E483" s="113">
        <v>7060.5766599999997</v>
      </c>
      <c r="F483" s="113">
        <v>152.93066400000001</v>
      </c>
      <c r="G483" s="113">
        <v>16833.507812</v>
      </c>
      <c r="H483" s="114">
        <v>3.1519999999999999E-3</v>
      </c>
      <c r="I483" s="113">
        <v>0.21895300000000001</v>
      </c>
      <c r="J483" s="113">
        <v>2.0837599999999998</v>
      </c>
      <c r="K483" s="113">
        <v>35.692684</v>
      </c>
      <c r="L483" s="113">
        <v>14.412656</v>
      </c>
      <c r="M483" s="114">
        <v>0.51154999999999995</v>
      </c>
      <c r="N483" s="113">
        <v>0.51155099999999998</v>
      </c>
      <c r="O483" s="113">
        <v>1.5346519999999999</v>
      </c>
      <c r="P483" s="114">
        <v>7.3977709999999997</v>
      </c>
      <c r="Q483" s="113">
        <v>51.906959999999998</v>
      </c>
      <c r="R483" s="113">
        <v>51.906914</v>
      </c>
      <c r="S483" s="113">
        <v>155.72088600000001</v>
      </c>
      <c r="T483" s="113">
        <v>81.078934000000004</v>
      </c>
      <c r="U483" s="113">
        <v>81.079346000000001</v>
      </c>
      <c r="V483" s="113">
        <v>243.237244</v>
      </c>
      <c r="W483" s="114">
        <v>0</v>
      </c>
    </row>
    <row r="484" spans="2:23" x14ac:dyDescent="0.75">
      <c r="B484">
        <v>2050</v>
      </c>
      <c r="C484" t="str">
        <f t="shared" si="10"/>
        <v>PHEV diesel</v>
      </c>
      <c r="D484">
        <v>7</v>
      </c>
      <c r="E484" s="113">
        <v>0</v>
      </c>
      <c r="F484" s="113">
        <v>0</v>
      </c>
      <c r="G484" s="113">
        <v>0</v>
      </c>
      <c r="H484" s="114">
        <v>0</v>
      </c>
      <c r="I484" s="113">
        <v>0</v>
      </c>
      <c r="J484" s="113">
        <v>0</v>
      </c>
      <c r="K484" s="113">
        <v>8.9160509999999995</v>
      </c>
      <c r="L484" s="113">
        <v>8.2351410000000005</v>
      </c>
      <c r="M484" s="114">
        <v>0</v>
      </c>
      <c r="N484" s="113">
        <v>0</v>
      </c>
      <c r="O484" s="113">
        <v>0</v>
      </c>
      <c r="P484" s="114">
        <v>0</v>
      </c>
      <c r="Q484" s="113">
        <v>0</v>
      </c>
      <c r="R484" s="113">
        <v>0</v>
      </c>
      <c r="S484" s="113">
        <v>0</v>
      </c>
      <c r="T484" s="113">
        <v>0</v>
      </c>
      <c r="U484" s="113">
        <v>0</v>
      </c>
      <c r="V484" s="113">
        <v>0</v>
      </c>
      <c r="W484" s="114">
        <v>0</v>
      </c>
    </row>
    <row r="485" spans="2:23" x14ac:dyDescent="0.75">
      <c r="B485">
        <v>2050</v>
      </c>
      <c r="C485" t="str">
        <f t="shared" si="10"/>
        <v>PHEV gasoline</v>
      </c>
      <c r="D485">
        <v>8</v>
      </c>
      <c r="E485" s="113">
        <v>0</v>
      </c>
      <c r="F485" s="113">
        <v>0</v>
      </c>
      <c r="G485" s="113">
        <v>0</v>
      </c>
      <c r="H485" s="114">
        <v>0</v>
      </c>
      <c r="I485" s="113">
        <v>0</v>
      </c>
      <c r="J485" s="113">
        <v>0</v>
      </c>
      <c r="K485" s="113">
        <v>1.5086219999999999</v>
      </c>
      <c r="L485" s="113">
        <v>0</v>
      </c>
      <c r="M485" s="114">
        <v>0</v>
      </c>
      <c r="N485" s="113">
        <v>0</v>
      </c>
      <c r="O485" s="113">
        <v>0</v>
      </c>
      <c r="P485" s="114">
        <v>0</v>
      </c>
      <c r="Q485" s="113">
        <v>0</v>
      </c>
      <c r="R485" s="113">
        <v>0</v>
      </c>
      <c r="S485" s="113">
        <v>0</v>
      </c>
      <c r="T485" s="113">
        <v>0</v>
      </c>
      <c r="U485" s="113">
        <v>0</v>
      </c>
      <c r="V485" s="113">
        <v>0</v>
      </c>
      <c r="W485" s="114">
        <v>0</v>
      </c>
    </row>
    <row r="486" spans="2:23" x14ac:dyDescent="0.75">
      <c r="B486">
        <v>2050</v>
      </c>
      <c r="C486" t="str">
        <f t="shared" si="10"/>
        <v>H2 fuel cell, small battery</v>
      </c>
      <c r="D486">
        <v>9</v>
      </c>
      <c r="E486" s="113">
        <v>0</v>
      </c>
      <c r="F486" s="113">
        <v>0</v>
      </c>
      <c r="G486" s="113">
        <v>0</v>
      </c>
      <c r="H486" s="114">
        <v>0</v>
      </c>
      <c r="I486" s="113">
        <v>0</v>
      </c>
      <c r="J486" s="113">
        <v>0</v>
      </c>
      <c r="K486" s="113">
        <v>0</v>
      </c>
      <c r="L486" s="113">
        <v>0</v>
      </c>
      <c r="M486" s="114">
        <v>0</v>
      </c>
      <c r="N486" s="113">
        <v>0</v>
      </c>
      <c r="O486" s="113">
        <v>0</v>
      </c>
      <c r="P486" s="114">
        <v>0</v>
      </c>
      <c r="Q486" s="113">
        <v>0</v>
      </c>
      <c r="R486" s="113">
        <v>0</v>
      </c>
      <c r="S486" s="113">
        <v>0</v>
      </c>
      <c r="T486" s="113">
        <v>0</v>
      </c>
      <c r="U486" s="113">
        <v>0</v>
      </c>
      <c r="V486" s="113">
        <v>0</v>
      </c>
      <c r="W486" s="114">
        <v>0</v>
      </c>
    </row>
    <row r="487" spans="2:23" x14ac:dyDescent="0.75">
      <c r="B487">
        <v>2050</v>
      </c>
      <c r="C487" t="str">
        <f t="shared" si="10"/>
        <v>H2 fuel cell, large battery</v>
      </c>
      <c r="D487">
        <v>10</v>
      </c>
      <c r="E487" s="113">
        <v>0</v>
      </c>
      <c r="F487" s="113">
        <v>0</v>
      </c>
      <c r="G487" s="113">
        <v>0</v>
      </c>
      <c r="H487" s="114">
        <v>0</v>
      </c>
      <c r="I487" s="113">
        <v>0</v>
      </c>
      <c r="J487" s="113">
        <v>0</v>
      </c>
      <c r="K487" s="113">
        <v>0</v>
      </c>
      <c r="L487" s="113">
        <v>0</v>
      </c>
      <c r="M487" s="114">
        <v>0</v>
      </c>
      <c r="N487" s="113">
        <v>0</v>
      </c>
      <c r="O487" s="113">
        <v>0</v>
      </c>
      <c r="P487" s="114">
        <v>0</v>
      </c>
      <c r="Q487" s="113">
        <v>0</v>
      </c>
      <c r="R487" s="113">
        <v>0</v>
      </c>
      <c r="S487" s="113">
        <v>0</v>
      </c>
      <c r="T487" s="113">
        <v>0</v>
      </c>
      <c r="U487" s="113">
        <v>0</v>
      </c>
      <c r="V487" s="113">
        <v>0</v>
      </c>
      <c r="W487" s="114">
        <v>0</v>
      </c>
    </row>
    <row r="488" spans="2:23" x14ac:dyDescent="0.75">
      <c r="B488">
        <v>2050</v>
      </c>
      <c r="C488" t="str">
        <f t="shared" si="10"/>
        <v>Gasoline hybrid</v>
      </c>
      <c r="D488">
        <v>11</v>
      </c>
      <c r="E488" s="113">
        <v>22997.525390999999</v>
      </c>
      <c r="F488" s="113">
        <v>1756.353394</v>
      </c>
      <c r="G488" s="113">
        <v>63999.671875</v>
      </c>
      <c r="H488" s="114">
        <v>4465.0498049999997</v>
      </c>
      <c r="I488" s="113">
        <v>6862.857422</v>
      </c>
      <c r="J488" s="113">
        <v>9029.3740230000003</v>
      </c>
      <c r="K488" s="113">
        <v>0</v>
      </c>
      <c r="L488" s="113">
        <v>0</v>
      </c>
      <c r="M488" s="114">
        <v>0</v>
      </c>
      <c r="N488" s="113">
        <v>0</v>
      </c>
      <c r="O488" s="113">
        <v>0</v>
      </c>
      <c r="P488" s="114">
        <v>0</v>
      </c>
      <c r="Q488" s="113">
        <v>0</v>
      </c>
      <c r="R488" s="113">
        <v>0</v>
      </c>
      <c r="S488" s="113">
        <v>0</v>
      </c>
      <c r="T488" s="113">
        <v>0</v>
      </c>
      <c r="U488" s="113">
        <v>0</v>
      </c>
      <c r="V488" s="113">
        <v>0</v>
      </c>
      <c r="W488" s="114">
        <v>0</v>
      </c>
    </row>
    <row r="489" spans="2:23" x14ac:dyDescent="0.75">
      <c r="B489">
        <v>2050</v>
      </c>
      <c r="C489" t="str">
        <f t="shared" si="10"/>
        <v>Hydrogen ICE</v>
      </c>
      <c r="D489">
        <v>12</v>
      </c>
      <c r="E489" s="113">
        <v>0</v>
      </c>
      <c r="F489" s="113">
        <v>0</v>
      </c>
      <c r="G489" s="113">
        <v>0</v>
      </c>
      <c r="H489" s="114">
        <v>0</v>
      </c>
      <c r="I489" s="113">
        <v>0</v>
      </c>
      <c r="J489" s="113">
        <v>0</v>
      </c>
      <c r="K489" s="113">
        <v>0</v>
      </c>
      <c r="L489" s="113">
        <v>0</v>
      </c>
      <c r="M489" s="114">
        <v>0</v>
      </c>
      <c r="N489" s="113">
        <v>0</v>
      </c>
      <c r="O489" s="113">
        <v>0</v>
      </c>
      <c r="P489" s="114">
        <v>0</v>
      </c>
      <c r="Q489" s="113">
        <v>0</v>
      </c>
      <c r="R489" s="113">
        <v>0</v>
      </c>
      <c r="S489" s="113">
        <v>0</v>
      </c>
      <c r="T489" s="113">
        <v>0</v>
      </c>
      <c r="U489" s="113">
        <v>0</v>
      </c>
      <c r="V489" s="113">
        <v>0</v>
      </c>
      <c r="W489" s="11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45027-04A3-4219-9613-1C42FD0D1DCE}">
  <dimension ref="A1:BC137"/>
  <sheetViews>
    <sheetView topLeftCell="A106" zoomScale="60" zoomScaleNormal="60" workbookViewId="0">
      <selection activeCell="D112" sqref="D112"/>
    </sheetView>
  </sheetViews>
  <sheetFormatPr defaultRowHeight="14.75" x14ac:dyDescent="0.75"/>
  <cols>
    <col min="1" max="1" width="25" bestFit="1" customWidth="1"/>
    <col min="3" max="3" width="12.7265625" bestFit="1" customWidth="1"/>
    <col min="4" max="33" width="10.54296875" bestFit="1" customWidth="1"/>
  </cols>
  <sheetData>
    <row r="1" spans="1:36" x14ac:dyDescent="0.75">
      <c r="A1" s="2" t="s">
        <v>101</v>
      </c>
      <c r="B1" s="62">
        <v>2020</v>
      </c>
      <c r="C1" s="62">
        <v>2021</v>
      </c>
      <c r="D1" s="62">
        <v>2022</v>
      </c>
      <c r="E1" s="62">
        <v>2023</v>
      </c>
      <c r="F1" s="62">
        <v>2024</v>
      </c>
      <c r="G1" s="62">
        <v>2025</v>
      </c>
      <c r="H1" s="62">
        <v>2026</v>
      </c>
      <c r="I1" s="62">
        <v>2027</v>
      </c>
      <c r="J1" s="62">
        <v>2028</v>
      </c>
      <c r="K1" s="62">
        <v>2029</v>
      </c>
      <c r="L1" s="62">
        <v>2030</v>
      </c>
      <c r="M1" s="62">
        <v>2031</v>
      </c>
      <c r="N1" s="62">
        <v>2032</v>
      </c>
      <c r="O1" s="62">
        <v>2033</v>
      </c>
      <c r="P1" s="62">
        <v>2034</v>
      </c>
      <c r="Q1" s="62">
        <v>2035</v>
      </c>
      <c r="R1" s="62">
        <v>2036</v>
      </c>
      <c r="S1" s="62">
        <v>2037</v>
      </c>
      <c r="T1" s="62">
        <v>2038</v>
      </c>
      <c r="U1" s="62">
        <v>2039</v>
      </c>
      <c r="V1" s="62">
        <v>2040</v>
      </c>
      <c r="W1" s="62">
        <v>2041</v>
      </c>
      <c r="X1" s="62">
        <v>2042</v>
      </c>
      <c r="Y1" s="62">
        <v>2043</v>
      </c>
      <c r="Z1" s="62">
        <v>2044</v>
      </c>
      <c r="AA1" s="62">
        <v>2045</v>
      </c>
      <c r="AB1" s="62">
        <v>2046</v>
      </c>
      <c r="AC1" s="62">
        <v>2047</v>
      </c>
      <c r="AD1" s="62">
        <v>2048</v>
      </c>
      <c r="AE1" s="62">
        <v>2049</v>
      </c>
      <c r="AF1" s="62">
        <v>2050</v>
      </c>
    </row>
    <row r="2" spans="1:36" x14ac:dyDescent="0.75">
      <c r="A2" s="63" t="s">
        <v>102</v>
      </c>
      <c r="B2" s="81" cm="1">
        <f t="array" ref="B2">TREND($D2:$H2,$D$1:$H$1,B$1)</f>
        <v>140.5</v>
      </c>
      <c r="C2" s="81" cm="1">
        <f t="array" ref="C2">TREND($D2:$H2,$D$1:$H$1,C$1)</f>
        <v>137.75</v>
      </c>
      <c r="D2" s="64">
        <v>135</v>
      </c>
      <c r="E2" s="64">
        <v>132.25</v>
      </c>
      <c r="F2" s="64">
        <v>129.5</v>
      </c>
      <c r="G2" s="64">
        <v>126.75</v>
      </c>
      <c r="H2" s="64">
        <v>124</v>
      </c>
      <c r="I2" s="64">
        <v>121.25</v>
      </c>
      <c r="J2" s="64">
        <v>118.5</v>
      </c>
      <c r="K2" s="64">
        <v>115.75</v>
      </c>
      <c r="L2" s="64">
        <v>113</v>
      </c>
      <c r="M2" s="64">
        <v>113</v>
      </c>
      <c r="N2" s="64">
        <v>113</v>
      </c>
      <c r="O2" s="64">
        <v>113</v>
      </c>
      <c r="P2" s="64">
        <v>113</v>
      </c>
      <c r="Q2" s="64">
        <v>113</v>
      </c>
      <c r="R2" s="64">
        <v>113</v>
      </c>
      <c r="S2" s="64">
        <v>113</v>
      </c>
      <c r="T2" s="64">
        <v>113</v>
      </c>
      <c r="U2" s="64">
        <v>113</v>
      </c>
      <c r="V2" s="64">
        <v>113</v>
      </c>
      <c r="W2" s="64">
        <v>113</v>
      </c>
      <c r="X2" s="64">
        <v>113</v>
      </c>
      <c r="Y2" s="64">
        <v>113</v>
      </c>
      <c r="Z2" s="64">
        <v>113</v>
      </c>
      <c r="AA2" s="64">
        <v>113</v>
      </c>
      <c r="AB2" s="64">
        <v>113</v>
      </c>
      <c r="AC2" s="64">
        <v>113</v>
      </c>
      <c r="AD2" s="64">
        <v>113</v>
      </c>
      <c r="AE2" s="64">
        <v>113</v>
      </c>
      <c r="AF2" s="64">
        <v>113</v>
      </c>
    </row>
    <row r="3" spans="1:36" x14ac:dyDescent="0.75">
      <c r="A3" s="63" t="s">
        <v>103</v>
      </c>
      <c r="B3" s="81" cm="1">
        <f t="array" ref="B3">TREND($D3:$H3,$D$1:$H$1,B$1)</f>
        <v>213.5</v>
      </c>
      <c r="C3" s="81" cm="1">
        <f t="array" ref="C3">TREND($D3:$H3,$D$1:$H$1,C$1)</f>
        <v>209.25</v>
      </c>
      <c r="D3" s="64">
        <v>205</v>
      </c>
      <c r="E3" s="64">
        <v>200.75</v>
      </c>
      <c r="F3" s="64">
        <v>196.5</v>
      </c>
      <c r="G3" s="64">
        <v>192.25</v>
      </c>
      <c r="H3" s="64">
        <v>188</v>
      </c>
      <c r="I3" s="64">
        <v>183.75</v>
      </c>
      <c r="J3" s="64">
        <v>179.5</v>
      </c>
      <c r="K3" s="64">
        <v>175.25</v>
      </c>
      <c r="L3" s="64">
        <v>171</v>
      </c>
      <c r="M3" s="64">
        <v>171</v>
      </c>
      <c r="N3" s="64">
        <v>171</v>
      </c>
      <c r="O3" s="64">
        <v>171</v>
      </c>
      <c r="P3" s="64">
        <v>171</v>
      </c>
      <c r="Q3" s="64">
        <v>171</v>
      </c>
      <c r="R3" s="64">
        <v>171</v>
      </c>
      <c r="S3" s="64">
        <v>171</v>
      </c>
      <c r="T3" s="64">
        <v>171</v>
      </c>
      <c r="U3" s="64">
        <v>171</v>
      </c>
      <c r="V3" s="64">
        <v>171</v>
      </c>
      <c r="W3" s="64">
        <v>171</v>
      </c>
      <c r="X3" s="64">
        <v>171</v>
      </c>
      <c r="Y3" s="64">
        <v>171</v>
      </c>
      <c r="Z3" s="64">
        <v>171</v>
      </c>
      <c r="AA3" s="64">
        <v>171</v>
      </c>
      <c r="AB3" s="64">
        <v>171</v>
      </c>
      <c r="AC3" s="64">
        <v>171</v>
      </c>
      <c r="AD3" s="64">
        <v>171</v>
      </c>
      <c r="AE3" s="64">
        <v>171</v>
      </c>
      <c r="AF3" s="64">
        <v>171</v>
      </c>
    </row>
    <row r="4" spans="1:36" x14ac:dyDescent="0.75">
      <c r="A4" s="63" t="s">
        <v>104</v>
      </c>
      <c r="B4" s="81" cm="1">
        <f t="array" ref="B4">TREND($D4:$H4,$D$1:$H$1,B$1)</f>
        <v>425</v>
      </c>
      <c r="C4" s="81" cm="1">
        <f t="array" ref="C4">TREND($D4:$H4,$D$1:$H$1,C$1)</f>
        <v>412.5</v>
      </c>
      <c r="D4" s="64">
        <v>400</v>
      </c>
      <c r="E4" s="64">
        <v>387.5</v>
      </c>
      <c r="F4" s="64">
        <v>375</v>
      </c>
      <c r="G4" s="64">
        <v>362.5</v>
      </c>
      <c r="H4" s="64">
        <v>350</v>
      </c>
      <c r="I4" s="64">
        <v>337.5</v>
      </c>
      <c r="J4" s="64">
        <v>325</v>
      </c>
      <c r="K4" s="64">
        <v>312.5</v>
      </c>
      <c r="L4" s="64">
        <v>300</v>
      </c>
      <c r="M4" s="64">
        <v>300</v>
      </c>
      <c r="N4" s="64">
        <v>300</v>
      </c>
      <c r="O4" s="64">
        <v>300</v>
      </c>
      <c r="P4" s="64">
        <v>300</v>
      </c>
      <c r="Q4" s="64">
        <v>300</v>
      </c>
      <c r="R4" s="64">
        <v>300</v>
      </c>
      <c r="S4" s="64">
        <v>300</v>
      </c>
      <c r="T4" s="64">
        <v>300</v>
      </c>
      <c r="U4" s="64">
        <v>300</v>
      </c>
      <c r="V4" s="64">
        <v>300</v>
      </c>
      <c r="W4" s="64">
        <v>300</v>
      </c>
      <c r="X4" s="64">
        <v>300</v>
      </c>
      <c r="Y4" s="64">
        <v>300</v>
      </c>
      <c r="Z4" s="64">
        <v>300</v>
      </c>
      <c r="AA4" s="64">
        <v>300</v>
      </c>
      <c r="AB4" s="64">
        <v>300</v>
      </c>
      <c r="AC4" s="64">
        <v>300</v>
      </c>
      <c r="AD4" s="64">
        <v>300</v>
      </c>
      <c r="AE4" s="64">
        <v>300</v>
      </c>
      <c r="AF4" s="64">
        <v>300</v>
      </c>
    </row>
    <row r="5" spans="1:36" x14ac:dyDescent="0.75">
      <c r="A5" s="63" t="s">
        <v>105</v>
      </c>
      <c r="B5" s="81" cm="1">
        <f t="array" ref="B5">TREND($D5:$H5,$D$1:$H$1,B$1)</f>
        <v>485.5</v>
      </c>
      <c r="C5" s="81" cm="1">
        <f t="array" ref="C5">TREND($D5:$H5,$D$1:$H$1,C$1)</f>
        <v>470.25</v>
      </c>
      <c r="D5" s="64">
        <v>455</v>
      </c>
      <c r="E5" s="64">
        <v>439.75</v>
      </c>
      <c r="F5" s="64">
        <v>424.5</v>
      </c>
      <c r="G5" s="64">
        <v>409.25</v>
      </c>
      <c r="H5" s="64">
        <v>394</v>
      </c>
      <c r="I5" s="64">
        <v>378.75</v>
      </c>
      <c r="J5" s="64">
        <v>363.5</v>
      </c>
      <c r="K5" s="64">
        <v>348.25</v>
      </c>
      <c r="L5" s="64">
        <v>333</v>
      </c>
      <c r="M5" s="64">
        <v>333</v>
      </c>
      <c r="N5" s="64">
        <v>333</v>
      </c>
      <c r="O5" s="64">
        <v>333</v>
      </c>
      <c r="P5" s="64">
        <v>333</v>
      </c>
      <c r="Q5" s="64">
        <v>333</v>
      </c>
      <c r="R5" s="64">
        <v>333</v>
      </c>
      <c r="S5" s="64">
        <v>333</v>
      </c>
      <c r="T5" s="64">
        <v>333</v>
      </c>
      <c r="U5" s="64">
        <v>333</v>
      </c>
      <c r="V5" s="64">
        <v>333</v>
      </c>
      <c r="W5" s="64">
        <v>333</v>
      </c>
      <c r="X5" s="64">
        <v>333</v>
      </c>
      <c r="Y5" s="64">
        <v>333</v>
      </c>
      <c r="Z5" s="64">
        <v>333</v>
      </c>
      <c r="AA5" s="64">
        <v>333</v>
      </c>
      <c r="AB5" s="64">
        <v>333</v>
      </c>
      <c r="AC5" s="64">
        <v>333</v>
      </c>
      <c r="AD5" s="64">
        <v>333</v>
      </c>
      <c r="AE5" s="64">
        <v>333</v>
      </c>
      <c r="AF5" s="64">
        <v>333</v>
      </c>
    </row>
    <row r="6" spans="1:36" x14ac:dyDescent="0.75">
      <c r="A6" s="63" t="s">
        <v>106</v>
      </c>
      <c r="B6" s="81" cm="1">
        <f t="array" ref="B6">TREND($D6:$H6,$D$1:$H$1,B$1)</f>
        <v>984.25</v>
      </c>
      <c r="C6" s="81" cm="1">
        <f t="array" ref="C6">TREND($D6:$H6,$D$1:$H$1,C$1)</f>
        <v>952.125</v>
      </c>
      <c r="D6" s="64">
        <v>920</v>
      </c>
      <c r="E6" s="64">
        <v>887.875</v>
      </c>
      <c r="F6" s="64">
        <v>855.75</v>
      </c>
      <c r="G6" s="64">
        <v>823.625</v>
      </c>
      <c r="H6" s="64">
        <v>791.5</v>
      </c>
      <c r="I6" s="64">
        <v>759.375</v>
      </c>
      <c r="J6" s="64">
        <v>727.25</v>
      </c>
      <c r="K6" s="64">
        <v>695.125</v>
      </c>
      <c r="L6" s="64">
        <v>663</v>
      </c>
      <c r="M6" s="64">
        <v>663</v>
      </c>
      <c r="N6" s="64">
        <v>663</v>
      </c>
      <c r="O6" s="64">
        <v>663</v>
      </c>
      <c r="P6" s="64">
        <v>663</v>
      </c>
      <c r="Q6" s="64">
        <v>663</v>
      </c>
      <c r="R6" s="64">
        <v>663</v>
      </c>
      <c r="S6" s="64">
        <v>663</v>
      </c>
      <c r="T6" s="64">
        <v>663</v>
      </c>
      <c r="U6" s="64">
        <v>663</v>
      </c>
      <c r="V6" s="64">
        <v>663</v>
      </c>
      <c r="W6" s="64">
        <v>663</v>
      </c>
      <c r="X6" s="64">
        <v>663</v>
      </c>
      <c r="Y6" s="64">
        <v>663</v>
      </c>
      <c r="Z6" s="64">
        <v>663</v>
      </c>
      <c r="AA6" s="64">
        <v>663</v>
      </c>
      <c r="AB6" s="64">
        <v>663</v>
      </c>
      <c r="AC6" s="64">
        <v>663</v>
      </c>
      <c r="AD6" s="64">
        <v>663</v>
      </c>
      <c r="AE6" s="64">
        <v>663</v>
      </c>
      <c r="AF6" s="64">
        <v>663</v>
      </c>
    </row>
    <row r="7" spans="1:36" x14ac:dyDescent="0.75">
      <c r="A7" s="63" t="s">
        <v>107</v>
      </c>
      <c r="B7" s="81" cm="1">
        <f t="array" ref="B7">TREND($D7:$H7,$D$1:$H$1,B$1)</f>
        <v>428.25</v>
      </c>
      <c r="C7" s="81" cm="1">
        <f t="array" ref="C7">TREND($D7:$H7,$D$1:$H$1,C$1)</f>
        <v>416.625</v>
      </c>
      <c r="D7" s="64">
        <v>405</v>
      </c>
      <c r="E7" s="64">
        <v>393.375</v>
      </c>
      <c r="F7" s="64">
        <v>381.75</v>
      </c>
      <c r="G7" s="64">
        <v>370.125</v>
      </c>
      <c r="H7" s="64">
        <v>358.5</v>
      </c>
      <c r="I7" s="64">
        <v>346.875</v>
      </c>
      <c r="J7" s="64">
        <v>335.25</v>
      </c>
      <c r="K7" s="64">
        <v>323.625</v>
      </c>
      <c r="L7" s="64">
        <v>312</v>
      </c>
      <c r="M7" s="64">
        <v>312</v>
      </c>
      <c r="N7" s="64">
        <v>312</v>
      </c>
      <c r="O7" s="64">
        <v>312</v>
      </c>
      <c r="P7" s="64">
        <v>312</v>
      </c>
      <c r="Q7" s="64">
        <v>312</v>
      </c>
      <c r="R7" s="64">
        <v>312</v>
      </c>
      <c r="S7" s="64">
        <v>312</v>
      </c>
      <c r="T7" s="64">
        <v>312</v>
      </c>
      <c r="U7" s="64">
        <v>312</v>
      </c>
      <c r="V7" s="64">
        <v>312</v>
      </c>
      <c r="W7" s="64">
        <v>312</v>
      </c>
      <c r="X7" s="64">
        <v>312</v>
      </c>
      <c r="Y7" s="64">
        <v>312</v>
      </c>
      <c r="Z7" s="64">
        <v>312</v>
      </c>
      <c r="AA7" s="64">
        <v>312</v>
      </c>
      <c r="AB7" s="64">
        <v>312</v>
      </c>
      <c r="AC7" s="64">
        <v>312</v>
      </c>
      <c r="AD7" s="64">
        <v>312</v>
      </c>
      <c r="AE7" s="64">
        <v>312</v>
      </c>
      <c r="AF7" s="64">
        <v>312</v>
      </c>
    </row>
    <row r="8" spans="1:36" x14ac:dyDescent="0.75">
      <c r="A8" s="63" t="s">
        <v>108</v>
      </c>
      <c r="B8" s="81" cm="1">
        <f t="array" ref="B8">TREND($D8:$H8,$D$1:$H$1,B$1)</f>
        <v>121.25</v>
      </c>
      <c r="C8" s="81" cm="1">
        <f t="array" ref="C8">TREND($D8:$H8,$D$1:$H$1,C$1)</f>
        <v>120.625</v>
      </c>
      <c r="D8" s="64">
        <v>120</v>
      </c>
      <c r="E8" s="64">
        <v>119.375</v>
      </c>
      <c r="F8" s="64">
        <v>118.75</v>
      </c>
      <c r="G8" s="64">
        <v>118.125</v>
      </c>
      <c r="H8" s="64">
        <v>117.5</v>
      </c>
      <c r="I8" s="64">
        <v>116.875</v>
      </c>
      <c r="J8" s="64">
        <v>116.25</v>
      </c>
      <c r="K8" s="64">
        <v>115.625</v>
      </c>
      <c r="L8" s="64">
        <v>115</v>
      </c>
      <c r="M8" s="64">
        <v>115</v>
      </c>
      <c r="N8" s="64">
        <v>115</v>
      </c>
      <c r="O8" s="64">
        <v>115</v>
      </c>
      <c r="P8" s="64">
        <v>115</v>
      </c>
      <c r="Q8" s="64">
        <v>115</v>
      </c>
      <c r="R8" s="64">
        <v>115</v>
      </c>
      <c r="S8" s="64">
        <v>115</v>
      </c>
      <c r="T8" s="64">
        <v>115</v>
      </c>
      <c r="U8" s="64">
        <v>115</v>
      </c>
      <c r="V8" s="64">
        <v>115</v>
      </c>
      <c r="W8" s="64">
        <v>115</v>
      </c>
      <c r="X8" s="64">
        <v>115</v>
      </c>
      <c r="Y8" s="64">
        <v>115</v>
      </c>
      <c r="Z8" s="64">
        <v>115</v>
      </c>
      <c r="AA8" s="64">
        <v>115</v>
      </c>
      <c r="AB8" s="64">
        <v>115</v>
      </c>
      <c r="AC8" s="64">
        <v>115</v>
      </c>
      <c r="AD8" s="64">
        <v>115</v>
      </c>
      <c r="AE8" s="64">
        <v>115</v>
      </c>
      <c r="AF8" s="64">
        <v>115</v>
      </c>
    </row>
    <row r="9" spans="1:36" x14ac:dyDescent="0.75">
      <c r="A9" s="63" t="s">
        <v>109</v>
      </c>
      <c r="B9" s="81" cm="1">
        <f t="array" ref="B9">TREND($D9:$H9,$D$1:$H$1,B$1)</f>
        <v>455</v>
      </c>
      <c r="C9" s="81" cm="1">
        <f t="array" ref="C9">TREND($D9:$H9,$D$1:$H$1,C$1)</f>
        <v>452.5</v>
      </c>
      <c r="D9" s="64">
        <v>450</v>
      </c>
      <c r="E9" s="64">
        <v>447.5</v>
      </c>
      <c r="F9" s="64">
        <v>445</v>
      </c>
      <c r="G9" s="64">
        <v>442.5</v>
      </c>
      <c r="H9" s="64">
        <v>440</v>
      </c>
      <c r="I9" s="64">
        <v>437.5</v>
      </c>
      <c r="J9" s="64">
        <v>435</v>
      </c>
      <c r="K9" s="64">
        <v>432.5</v>
      </c>
      <c r="L9" s="64">
        <v>430</v>
      </c>
      <c r="M9" s="64">
        <v>430</v>
      </c>
      <c r="N9" s="64">
        <v>430</v>
      </c>
      <c r="O9" s="64">
        <v>430</v>
      </c>
      <c r="P9" s="64">
        <v>430</v>
      </c>
      <c r="Q9" s="64">
        <v>430</v>
      </c>
      <c r="R9" s="64">
        <v>430</v>
      </c>
      <c r="S9" s="64">
        <v>430</v>
      </c>
      <c r="T9" s="64">
        <v>430</v>
      </c>
      <c r="U9" s="64">
        <v>430</v>
      </c>
      <c r="V9" s="64">
        <v>430</v>
      </c>
      <c r="W9" s="64">
        <v>430</v>
      </c>
      <c r="X9" s="64">
        <v>430</v>
      </c>
      <c r="Y9" s="64">
        <v>430</v>
      </c>
      <c r="Z9" s="64">
        <v>430</v>
      </c>
      <c r="AA9" s="64">
        <v>430</v>
      </c>
      <c r="AB9" s="64">
        <v>430</v>
      </c>
      <c r="AC9" s="64">
        <v>430</v>
      </c>
      <c r="AD9" s="64">
        <v>430</v>
      </c>
      <c r="AE9" s="64">
        <v>430</v>
      </c>
      <c r="AF9" s="64">
        <v>430</v>
      </c>
    </row>
    <row r="10" spans="1:36" x14ac:dyDescent="0.75">
      <c r="A10" s="63" t="s">
        <v>110</v>
      </c>
      <c r="B10" s="81" cm="1">
        <f t="array" ref="B10">TREND($D10:$H10,$D$1:$H$1,B$1)</f>
        <v>182.00000000000023</v>
      </c>
      <c r="C10" s="81" cm="1">
        <f t="array" ref="C10">TREND($D10:$H10,$D$1:$H$1,C$1)</f>
        <v>181.00000000000023</v>
      </c>
      <c r="D10" s="64">
        <v>180</v>
      </c>
      <c r="E10" s="64">
        <v>179</v>
      </c>
      <c r="F10" s="64">
        <v>178</v>
      </c>
      <c r="G10" s="64">
        <v>177</v>
      </c>
      <c r="H10" s="64">
        <v>176</v>
      </c>
      <c r="I10" s="64">
        <v>175</v>
      </c>
      <c r="J10" s="64">
        <v>174</v>
      </c>
      <c r="K10" s="64">
        <v>173</v>
      </c>
      <c r="L10" s="64">
        <v>172</v>
      </c>
      <c r="M10" s="64">
        <v>172</v>
      </c>
      <c r="N10" s="64">
        <v>172</v>
      </c>
      <c r="O10" s="64">
        <v>172</v>
      </c>
      <c r="P10" s="64">
        <v>172</v>
      </c>
      <c r="Q10" s="64">
        <v>172</v>
      </c>
      <c r="R10" s="64">
        <v>172</v>
      </c>
      <c r="S10" s="64">
        <v>172</v>
      </c>
      <c r="T10" s="64">
        <v>172</v>
      </c>
      <c r="U10" s="64">
        <v>172</v>
      </c>
      <c r="V10" s="64">
        <v>172</v>
      </c>
      <c r="W10" s="64">
        <v>172</v>
      </c>
      <c r="X10" s="64">
        <v>172</v>
      </c>
      <c r="Y10" s="64">
        <v>172</v>
      </c>
      <c r="Z10" s="64">
        <v>172</v>
      </c>
      <c r="AA10" s="64">
        <v>172</v>
      </c>
      <c r="AB10" s="64">
        <v>172</v>
      </c>
      <c r="AC10" s="64">
        <v>172</v>
      </c>
      <c r="AD10" s="64">
        <v>172</v>
      </c>
      <c r="AE10" s="64">
        <v>172</v>
      </c>
      <c r="AF10" s="64">
        <v>172</v>
      </c>
    </row>
    <row r="11" spans="1:36" x14ac:dyDescent="0.75">
      <c r="A11" s="63" t="s">
        <v>111</v>
      </c>
      <c r="B11" s="81" cm="1">
        <f t="array" ref="B11">TREND($D11:$H11,$D$1:$H$1,B$1)</f>
        <v>683.50000000000091</v>
      </c>
      <c r="C11" s="81" cm="1">
        <f t="array" ref="C11">TREND($D11:$H11,$D$1:$H$1,C$1)</f>
        <v>679.75000000000091</v>
      </c>
      <c r="D11" s="64">
        <v>676</v>
      </c>
      <c r="E11" s="64">
        <v>672.25</v>
      </c>
      <c r="F11" s="64">
        <v>668.5</v>
      </c>
      <c r="G11" s="64">
        <v>664.75</v>
      </c>
      <c r="H11" s="64">
        <v>661</v>
      </c>
      <c r="I11" s="64">
        <v>657.25</v>
      </c>
      <c r="J11" s="64">
        <v>653.5</v>
      </c>
      <c r="K11" s="64">
        <v>649.75</v>
      </c>
      <c r="L11" s="64">
        <v>646</v>
      </c>
      <c r="M11" s="64">
        <v>646</v>
      </c>
      <c r="N11" s="64">
        <v>646</v>
      </c>
      <c r="O11" s="64">
        <v>646</v>
      </c>
      <c r="P11" s="64">
        <v>646</v>
      </c>
      <c r="Q11" s="64">
        <v>646</v>
      </c>
      <c r="R11" s="64">
        <v>646</v>
      </c>
      <c r="S11" s="64">
        <v>646</v>
      </c>
      <c r="T11" s="64">
        <v>646</v>
      </c>
      <c r="U11" s="64">
        <v>646</v>
      </c>
      <c r="V11" s="64">
        <v>646</v>
      </c>
      <c r="W11" s="64">
        <v>646</v>
      </c>
      <c r="X11" s="64">
        <v>646</v>
      </c>
      <c r="Y11" s="64">
        <v>646</v>
      </c>
      <c r="Z11" s="64">
        <v>646</v>
      </c>
      <c r="AA11" s="64">
        <v>646</v>
      </c>
      <c r="AB11" s="64">
        <v>646</v>
      </c>
      <c r="AC11" s="64">
        <v>646</v>
      </c>
      <c r="AD11" s="64">
        <v>646</v>
      </c>
      <c r="AE11" s="64">
        <v>646</v>
      </c>
      <c r="AF11" s="64">
        <v>646</v>
      </c>
    </row>
    <row r="14" spans="1:36" s="66" customFormat="1" ht="13" x14ac:dyDescent="0.6">
      <c r="A14" s="65" t="s">
        <v>112</v>
      </c>
    </row>
    <row r="15" spans="1:36" s="65" customFormat="1" ht="13" x14ac:dyDescent="0.6">
      <c r="A15" s="67"/>
      <c r="B15" s="65">
        <v>2020</v>
      </c>
      <c r="C15" s="65">
        <v>2021</v>
      </c>
      <c r="D15" s="65">
        <v>2022</v>
      </c>
      <c r="E15" s="65">
        <v>2023</v>
      </c>
      <c r="F15" s="65">
        <v>2024</v>
      </c>
      <c r="G15" s="65">
        <v>2025</v>
      </c>
      <c r="H15" s="65">
        <v>2026</v>
      </c>
      <c r="I15" s="65">
        <v>2027</v>
      </c>
      <c r="J15" s="65">
        <v>2028</v>
      </c>
      <c r="K15" s="65">
        <v>2029</v>
      </c>
      <c r="L15" s="65">
        <v>2030</v>
      </c>
      <c r="M15" s="65">
        <v>2031</v>
      </c>
      <c r="N15" s="65">
        <v>2032</v>
      </c>
      <c r="O15" s="65">
        <v>2033</v>
      </c>
      <c r="P15" s="65">
        <v>2034</v>
      </c>
      <c r="Q15" s="65">
        <v>2035</v>
      </c>
      <c r="R15" s="65">
        <v>2036</v>
      </c>
      <c r="S15" s="65">
        <v>2037</v>
      </c>
      <c r="T15" s="65">
        <v>2038</v>
      </c>
      <c r="U15" s="65">
        <v>2039</v>
      </c>
      <c r="V15" s="65">
        <v>2040</v>
      </c>
      <c r="W15" s="65">
        <v>2041</v>
      </c>
      <c r="X15" s="65">
        <v>2042</v>
      </c>
      <c r="Y15" s="65">
        <v>2043</v>
      </c>
      <c r="Z15" s="65">
        <v>2044</v>
      </c>
      <c r="AA15" s="65">
        <v>2045</v>
      </c>
      <c r="AB15" s="65">
        <v>2046</v>
      </c>
      <c r="AC15" s="65">
        <v>2047</v>
      </c>
      <c r="AD15" s="65">
        <v>2048</v>
      </c>
      <c r="AE15" s="65">
        <v>2049</v>
      </c>
      <c r="AF15" s="65">
        <v>2050</v>
      </c>
      <c r="AG15" s="65">
        <v>2051</v>
      </c>
      <c r="AH15" s="65">
        <v>2052</v>
      </c>
      <c r="AI15" s="65">
        <v>2053</v>
      </c>
      <c r="AJ15" s="65" t="s">
        <v>116</v>
      </c>
    </row>
    <row r="16" spans="1:36" s="67" customFormat="1" ht="13" x14ac:dyDescent="0.6">
      <c r="A16" s="68" t="s">
        <v>113</v>
      </c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</row>
    <row r="17" spans="1:36" s="66" customFormat="1" ht="13" x14ac:dyDescent="0.6">
      <c r="A17" s="66" t="s">
        <v>102</v>
      </c>
      <c r="B17" s="70">
        <v>116537.59</v>
      </c>
      <c r="C17" s="70">
        <f>($G17-$B17)/5+B17</f>
        <v>117344.414</v>
      </c>
      <c r="D17" s="70">
        <f>($G17-$B17)/5+C17</f>
        <v>118151.23800000001</v>
      </c>
      <c r="E17" s="70">
        <f>($G17-$B17)/5+D17</f>
        <v>118958.06200000002</v>
      </c>
      <c r="F17" s="70">
        <f>($G17-$B17)/5+E17</f>
        <v>119764.88600000003</v>
      </c>
      <c r="G17" s="70">
        <v>120571.71</v>
      </c>
      <c r="H17" s="70">
        <f>($L17-$G17)/5+G17</f>
        <v>122325.784</v>
      </c>
      <c r="I17" s="70">
        <f>($L17-$G17)/5+H17</f>
        <v>124079.85799999999</v>
      </c>
      <c r="J17" s="70">
        <f>($L17-$G17)/5+I17</f>
        <v>125833.93199999999</v>
      </c>
      <c r="K17" s="70">
        <f>($L17-$G17)/5+J17</f>
        <v>127588.00599999998</v>
      </c>
      <c r="L17" s="70">
        <v>129342.08</v>
      </c>
      <c r="M17" s="70">
        <f>($Q17-$L17)/5+L17</f>
        <v>132498.092</v>
      </c>
      <c r="N17" s="70">
        <f>($Q17-$L17)/5+M17</f>
        <v>135654.10399999999</v>
      </c>
      <c r="O17" s="70">
        <f>($Q17-$L17)/5+N17</f>
        <v>138810.11599999998</v>
      </c>
      <c r="P17" s="70">
        <f>($Q17-$L17)/5+O17</f>
        <v>141966.12799999997</v>
      </c>
      <c r="Q17" s="70">
        <v>145122.14000000001</v>
      </c>
      <c r="R17" s="70">
        <f>($V17-$Q17)/5+Q17</f>
        <v>148198.992</v>
      </c>
      <c r="S17" s="70">
        <f t="shared" ref="S17:U17" si="0">($V17-$Q17)/5+R17</f>
        <v>151275.84399999998</v>
      </c>
      <c r="T17" s="70">
        <f t="shared" si="0"/>
        <v>154352.69599999997</v>
      </c>
      <c r="U17" s="70">
        <f t="shared" si="0"/>
        <v>157429.54799999995</v>
      </c>
      <c r="V17" s="70">
        <v>160506.4</v>
      </c>
      <c r="W17" s="79" cm="1">
        <f t="array" ref="W17">TREND($M17:$V17,$M$15:$V$15,W$15)</f>
        <v>163688.79866666719</v>
      </c>
      <c r="X17" s="79" cm="1">
        <f t="array" ref="X17">TREND($M17:$V17,$M$15:$V$15,X$15)</f>
        <v>166799.23369697016</v>
      </c>
      <c r="Y17" s="79" cm="1">
        <f t="array" ref="Y17">TREND($M17:$V17,$M$15:$V$15,Y$15)</f>
        <v>169909.66872727312</v>
      </c>
      <c r="Z17" s="79" cm="1">
        <f t="array" ref="Z17">TREND($M17:$V17,$M$15:$V$15,Z$15)</f>
        <v>173020.10375757609</v>
      </c>
      <c r="AA17" s="79" cm="1">
        <f t="array" ref="AA17">TREND($M17:$V17,$M$15:$V$15,AA$15)</f>
        <v>176130.53878787905</v>
      </c>
      <c r="AB17" s="79" cm="1">
        <f t="array" ref="AB17">TREND($M17:$V17,$M$15:$V$15,AB$15)</f>
        <v>179240.97381818201</v>
      </c>
      <c r="AC17" s="79" cm="1">
        <f t="array" ref="AC17">TREND($M17:$V17,$M$15:$V$15,AC$15)</f>
        <v>182351.40884848498</v>
      </c>
      <c r="AD17" s="79" cm="1">
        <f t="array" ref="AD17">TREND($M17:$V17,$M$15:$V$15,AD$15)</f>
        <v>185461.84387878794</v>
      </c>
      <c r="AE17" s="79" cm="1">
        <f t="array" ref="AE17">TREND($M17:$V17,$M$15:$V$15,AE$15)</f>
        <v>188572.27890909091</v>
      </c>
      <c r="AF17" s="79" cm="1">
        <f t="array" ref="AF17">TREND($M17:$V17,$M$15:$V$15,AF$15)</f>
        <v>191682.71393939387</v>
      </c>
      <c r="AG17" s="79" cm="1">
        <f t="array" ref="AG17">TREND($M17:$V17,$M$15:$V$15,AG$15)</f>
        <v>194793.14896969683</v>
      </c>
      <c r="AH17" s="79" cm="1">
        <f t="array" ref="AH17">TREND($M17:$V17,$M$15:$V$15,AH$15)</f>
        <v>197903.5839999998</v>
      </c>
      <c r="AI17" s="79" cm="1">
        <f t="array" ref="AI17">TREND($M17:$V17,$M$15:$V$15,AI$15)</f>
        <v>201014.01903030276</v>
      </c>
      <c r="AJ17" s="66" t="s">
        <v>119</v>
      </c>
    </row>
    <row r="18" spans="1:36" s="66" customFormat="1" ht="13" x14ac:dyDescent="0.6">
      <c r="A18" s="66" t="s">
        <v>103</v>
      </c>
      <c r="B18" s="70">
        <v>118399.012</v>
      </c>
      <c r="C18" s="70">
        <f t="shared" ref="C18:F18" si="1">($G18-$B18)/5+B18</f>
        <v>119218.6992</v>
      </c>
      <c r="D18" s="70">
        <f t="shared" si="1"/>
        <v>120038.3864</v>
      </c>
      <c r="E18" s="70">
        <f t="shared" si="1"/>
        <v>120858.0736</v>
      </c>
      <c r="F18" s="70">
        <f t="shared" si="1"/>
        <v>121677.7608</v>
      </c>
      <c r="G18" s="70">
        <v>122497.448</v>
      </c>
      <c r="H18" s="70">
        <f t="shared" ref="H18:K18" si="2">($L18-$G18)/5+G18</f>
        <v>124279.485</v>
      </c>
      <c r="I18" s="70">
        <f t="shared" si="2"/>
        <v>126061.522</v>
      </c>
      <c r="J18" s="70">
        <f t="shared" si="2"/>
        <v>127843.55899999999</v>
      </c>
      <c r="K18" s="70">
        <f t="shared" si="2"/>
        <v>129625.59599999999</v>
      </c>
      <c r="L18" s="70">
        <v>131407.633</v>
      </c>
      <c r="M18" s="70">
        <f t="shared" ref="M18:P18" si="3">($Q18-$L18)/5+L18</f>
        <v>134614.11480000001</v>
      </c>
      <c r="N18" s="70">
        <f t="shared" si="3"/>
        <v>137820.59660000002</v>
      </c>
      <c r="O18" s="70">
        <f t="shared" si="3"/>
        <v>141027.07840000003</v>
      </c>
      <c r="P18" s="70">
        <f t="shared" si="3"/>
        <v>144233.56020000004</v>
      </c>
      <c r="Q18" s="70">
        <v>147440.04199999999</v>
      </c>
      <c r="R18" s="70">
        <f t="shared" ref="R18:U18" si="4">($V18-$Q18)/5+Q18</f>
        <v>150566.04759999999</v>
      </c>
      <c r="S18" s="70">
        <f t="shared" si="4"/>
        <v>153692.05319999999</v>
      </c>
      <c r="T18" s="70">
        <f t="shared" si="4"/>
        <v>156818.0588</v>
      </c>
      <c r="U18" s="70">
        <f t="shared" si="4"/>
        <v>159944.0644</v>
      </c>
      <c r="V18" s="70">
        <v>163070.06999999998</v>
      </c>
      <c r="W18" s="79" cm="1">
        <f t="array" ref="W18">TREND($M18:$V18,$M$15:$V$15,W$15)</f>
        <v>166303.37719999999</v>
      </c>
      <c r="X18" s="79" cm="1">
        <f t="array" ref="X18">TREND($M18:$V18,$M$15:$V$15,X$15)</f>
        <v>169463.52421818208</v>
      </c>
      <c r="Y18" s="79" cm="1">
        <f t="array" ref="Y18">TREND($M18:$V18,$M$15:$V$15,Y$15)</f>
        <v>172623.67123636324</v>
      </c>
      <c r="Z18" s="79" cm="1">
        <f t="array" ref="Z18">TREND($M18:$V18,$M$15:$V$15,Z$15)</f>
        <v>175783.81825454533</v>
      </c>
      <c r="AA18" s="79" cm="1">
        <f t="array" ref="AA18">TREND($M18:$V18,$M$15:$V$15,AA$15)</f>
        <v>178943.96527272742</v>
      </c>
      <c r="AB18" s="79" cm="1">
        <f t="array" ref="AB18">TREND($M18:$V18,$M$15:$V$15,AB$15)</f>
        <v>182104.11229090951</v>
      </c>
      <c r="AC18" s="79" cm="1">
        <f t="array" ref="AC18">TREND($M18:$V18,$M$15:$V$15,AC$15)</f>
        <v>185264.25930909067</v>
      </c>
      <c r="AD18" s="79" cm="1">
        <f t="array" ref="AD18">TREND($M18:$V18,$M$15:$V$15,AD$15)</f>
        <v>188424.40632727277</v>
      </c>
      <c r="AE18" s="79" cm="1">
        <f t="array" ref="AE18">TREND($M18:$V18,$M$15:$V$15,AE$15)</f>
        <v>191584.55334545486</v>
      </c>
      <c r="AF18" s="79" cm="1">
        <f t="array" ref="AF18">TREND($M18:$V18,$M$15:$V$15,AF$15)</f>
        <v>194744.70036363602</v>
      </c>
      <c r="AG18" s="79" cm="1">
        <f t="array" ref="AG18">TREND($M18:$V18,$M$15:$V$15,AG$15)</f>
        <v>197904.84738181811</v>
      </c>
      <c r="AH18" s="79" cm="1">
        <f t="array" ref="AH18">TREND($M18:$V18,$M$15:$V$15,AH$15)</f>
        <v>201064.9944000002</v>
      </c>
      <c r="AI18" s="79" cm="1">
        <f t="array" ref="AI18">TREND($M18:$V18,$M$15:$V$15,AI$15)</f>
        <v>204225.14141818229</v>
      </c>
      <c r="AJ18" s="66" t="s">
        <v>119</v>
      </c>
    </row>
    <row r="19" spans="1:36" s="66" customFormat="1" ht="13" x14ac:dyDescent="0.6">
      <c r="A19" s="66" t="s">
        <v>104</v>
      </c>
      <c r="B19" s="70">
        <v>95647.28</v>
      </c>
      <c r="C19" s="70">
        <f t="shared" ref="C19:F19" si="5">($G19-$B19)/5+B19</f>
        <v>96309.491800000003</v>
      </c>
      <c r="D19" s="70">
        <f t="shared" si="5"/>
        <v>96971.703600000008</v>
      </c>
      <c r="E19" s="70">
        <f t="shared" si="5"/>
        <v>97633.915400000013</v>
      </c>
      <c r="F19" s="70">
        <f t="shared" si="5"/>
        <v>98296.127200000017</v>
      </c>
      <c r="G19" s="70">
        <v>98958.338999999993</v>
      </c>
      <c r="H19" s="70">
        <f t="shared" ref="H19:K19" si="6">($L19-$G19)/5+G19</f>
        <v>100397.96219999999</v>
      </c>
      <c r="I19" s="70">
        <f t="shared" si="6"/>
        <v>101837.5854</v>
      </c>
      <c r="J19" s="70">
        <f t="shared" si="6"/>
        <v>103277.2086</v>
      </c>
      <c r="K19" s="70">
        <f t="shared" si="6"/>
        <v>104716.8318</v>
      </c>
      <c r="L19" s="70">
        <v>106156.455</v>
      </c>
      <c r="M19" s="70">
        <f t="shared" ref="M19:P19" si="7">($Q19-$L19)/5+L19</f>
        <v>108746.7678</v>
      </c>
      <c r="N19" s="70">
        <f t="shared" si="7"/>
        <v>111337.0806</v>
      </c>
      <c r="O19" s="70">
        <f t="shared" si="7"/>
        <v>113927.3934</v>
      </c>
      <c r="P19" s="70">
        <f t="shared" si="7"/>
        <v>116517.7062</v>
      </c>
      <c r="Q19" s="70">
        <v>119108.019</v>
      </c>
      <c r="R19" s="70">
        <f t="shared" ref="R19:U19" si="8">($V19-$Q19)/5+Q19</f>
        <v>121633.35619999999</v>
      </c>
      <c r="S19" s="70">
        <f t="shared" si="8"/>
        <v>124158.69339999999</v>
      </c>
      <c r="T19" s="70">
        <f t="shared" si="8"/>
        <v>126684.03059999998</v>
      </c>
      <c r="U19" s="70">
        <f t="shared" si="8"/>
        <v>129209.36779999998</v>
      </c>
      <c r="V19" s="70">
        <v>131734.70499999999</v>
      </c>
      <c r="W19" s="79" cm="1">
        <f t="array" ref="W19">TREND($M19:$V19,$M$15:$V$15,W$15)</f>
        <v>134346.67633333337</v>
      </c>
      <c r="X19" s="79" cm="1">
        <f t="array" ref="X19">TREND($M19:$V19,$M$15:$V$15,X$15)</f>
        <v>136899.57893939409</v>
      </c>
      <c r="Y19" s="79" cm="1">
        <f t="array" ref="Y19">TREND($M19:$V19,$M$15:$V$15,Y$15)</f>
        <v>139452.48154545482</v>
      </c>
      <c r="Z19" s="79" cm="1">
        <f t="array" ref="Z19">TREND($M19:$V19,$M$15:$V$15,Z$15)</f>
        <v>142005.38415151555</v>
      </c>
      <c r="AA19" s="79" cm="1">
        <f t="array" ref="AA19">TREND($M19:$V19,$M$15:$V$15,AA$15)</f>
        <v>144558.28675757535</v>
      </c>
      <c r="AB19" s="79" cm="1">
        <f t="array" ref="AB19">TREND($M19:$V19,$M$15:$V$15,AB$15)</f>
        <v>147111.18936363608</v>
      </c>
      <c r="AC19" s="79" cm="1">
        <f t="array" ref="AC19">TREND($M19:$V19,$M$15:$V$15,AC$15)</f>
        <v>149664.0919696968</v>
      </c>
      <c r="AD19" s="79" cm="1">
        <f t="array" ref="AD19">TREND($M19:$V19,$M$15:$V$15,AD$15)</f>
        <v>152216.99457575753</v>
      </c>
      <c r="AE19" s="79" cm="1">
        <f t="array" ref="AE19">TREND($M19:$V19,$M$15:$V$15,AE$15)</f>
        <v>154769.89718181826</v>
      </c>
      <c r="AF19" s="79" cm="1">
        <f t="array" ref="AF19">TREND($M19:$V19,$M$15:$V$15,AF$15)</f>
        <v>157322.79978787899</v>
      </c>
      <c r="AG19" s="79" cm="1">
        <f t="array" ref="AG19">TREND($M19:$V19,$M$15:$V$15,AG$15)</f>
        <v>159875.70239393972</v>
      </c>
      <c r="AH19" s="79" cm="1">
        <f t="array" ref="AH19">TREND($M19:$V19,$M$15:$V$15,AH$15)</f>
        <v>162428.60499999952</v>
      </c>
      <c r="AI19" s="79" cm="1">
        <f t="array" ref="AI19">TREND($M19:$V19,$M$15:$V$15,AI$15)</f>
        <v>164981.50760606024</v>
      </c>
      <c r="AJ19" s="66" t="s">
        <v>117</v>
      </c>
    </row>
    <row r="20" spans="1:36" s="66" customFormat="1" ht="13" x14ac:dyDescent="0.6">
      <c r="A20" s="66" t="s">
        <v>105</v>
      </c>
      <c r="B20" s="70">
        <v>55945.25</v>
      </c>
      <c r="C20" s="70">
        <f t="shared" ref="C20:F20" si="9">($G20-$B20)/5+B20</f>
        <v>55322.91</v>
      </c>
      <c r="D20" s="70">
        <f t="shared" si="9"/>
        <v>54700.570000000007</v>
      </c>
      <c r="E20" s="70">
        <f t="shared" si="9"/>
        <v>54078.23000000001</v>
      </c>
      <c r="F20" s="70">
        <f t="shared" si="9"/>
        <v>53455.890000000014</v>
      </c>
      <c r="G20" s="70">
        <v>52833.55</v>
      </c>
      <c r="H20" s="70">
        <f t="shared" ref="H20:K20" si="10">($L20-$G20)/5+G20</f>
        <v>52462.840000000004</v>
      </c>
      <c r="I20" s="70">
        <f t="shared" si="10"/>
        <v>52092.130000000005</v>
      </c>
      <c r="J20" s="70">
        <f t="shared" si="10"/>
        <v>51721.420000000006</v>
      </c>
      <c r="K20" s="70">
        <f t="shared" si="10"/>
        <v>51350.710000000006</v>
      </c>
      <c r="L20" s="70">
        <v>50980</v>
      </c>
      <c r="M20" s="70">
        <f t="shared" ref="M20:P20" si="11">($Q20-$L20)/5+L20</f>
        <v>51194.304000000004</v>
      </c>
      <c r="N20" s="70">
        <f t="shared" si="11"/>
        <v>51408.608000000007</v>
      </c>
      <c r="O20" s="70">
        <f t="shared" si="11"/>
        <v>51622.912000000011</v>
      </c>
      <c r="P20" s="70">
        <f t="shared" si="11"/>
        <v>51837.216000000015</v>
      </c>
      <c r="Q20" s="70">
        <v>52051.520000000004</v>
      </c>
      <c r="R20" s="70">
        <f t="shared" ref="R20:U20" si="12">($V20-$Q20)/5+Q20</f>
        <v>52259.394</v>
      </c>
      <c r="S20" s="70">
        <f t="shared" si="12"/>
        <v>52467.267999999996</v>
      </c>
      <c r="T20" s="70">
        <f t="shared" si="12"/>
        <v>52675.141999999993</v>
      </c>
      <c r="U20" s="70">
        <f t="shared" si="12"/>
        <v>52883.015999999989</v>
      </c>
      <c r="V20" s="70">
        <v>53090.889999999992</v>
      </c>
      <c r="W20" s="79" cm="1">
        <f t="array" ref="W20">TREND($M20:$V20,$M$15:$V$15,W$15)</f>
        <v>53307.337333333329</v>
      </c>
      <c r="X20" s="79" cm="1">
        <f t="array" ref="X20">TREND($M20:$V20,$M$15:$V$15,X$15)</f>
        <v>53517.939212121186</v>
      </c>
      <c r="Y20" s="79" cm="1">
        <f t="array" ref="Y20">TREND($M20:$V20,$M$15:$V$15,Y$15)</f>
        <v>53728.541090909042</v>
      </c>
      <c r="Z20" s="79" cm="1">
        <f t="array" ref="Z20">TREND($M20:$V20,$M$15:$V$15,Z$15)</f>
        <v>53939.142969696957</v>
      </c>
      <c r="AA20" s="79" cm="1">
        <f t="array" ref="AA20">TREND($M20:$V20,$M$15:$V$15,AA$15)</f>
        <v>54149.744848484814</v>
      </c>
      <c r="AB20" s="79" cm="1">
        <f t="array" ref="AB20">TREND($M20:$V20,$M$15:$V$15,AB$15)</f>
        <v>54360.34672727267</v>
      </c>
      <c r="AC20" s="79" cm="1">
        <f t="array" ref="AC20">TREND($M20:$V20,$M$15:$V$15,AC$15)</f>
        <v>54570.948606060585</v>
      </c>
      <c r="AD20" s="79" cm="1">
        <f t="array" ref="AD20">TREND($M20:$V20,$M$15:$V$15,AD$15)</f>
        <v>54781.550484848442</v>
      </c>
      <c r="AE20" s="79" cm="1">
        <f t="array" ref="AE20">TREND($M20:$V20,$M$15:$V$15,AE$15)</f>
        <v>54992.152363636298</v>
      </c>
      <c r="AF20" s="79" cm="1">
        <f t="array" ref="AF20">TREND($M20:$V20,$M$15:$V$15,AF$15)</f>
        <v>55202.754242424213</v>
      </c>
      <c r="AG20" s="79" cm="1">
        <f t="array" ref="AG20">TREND($M20:$V20,$M$15:$V$15,AG$15)</f>
        <v>55413.356121212069</v>
      </c>
      <c r="AH20" s="79" cm="1">
        <f t="array" ref="AH20">TREND($M20:$V20,$M$15:$V$15,AH$15)</f>
        <v>55623.957999999926</v>
      </c>
      <c r="AI20" s="79" cm="1">
        <f t="array" ref="AI20">TREND($M20:$V20,$M$15:$V$15,AI$15)</f>
        <v>55834.559878787841</v>
      </c>
      <c r="AJ20" s="66" t="s">
        <v>117</v>
      </c>
    </row>
    <row r="21" spans="1:36" s="66" customFormat="1" ht="13" x14ac:dyDescent="0.6">
      <c r="A21" s="66" t="s">
        <v>106</v>
      </c>
      <c r="B21" s="70">
        <v>92843.9</v>
      </c>
      <c r="C21" s="70">
        <f t="shared" ref="C21:F21" si="13">($G21-$B21)/5+B21</f>
        <v>91811.12</v>
      </c>
      <c r="D21" s="70">
        <f t="shared" si="13"/>
        <v>90778.34</v>
      </c>
      <c r="E21" s="70">
        <f t="shared" si="13"/>
        <v>89745.56</v>
      </c>
      <c r="F21" s="70">
        <f t="shared" si="13"/>
        <v>88712.78</v>
      </c>
      <c r="G21" s="70">
        <v>87680</v>
      </c>
      <c r="H21" s="70">
        <f t="shared" ref="H21:K21" si="14">($L21-$G21)/5+G21</f>
        <v>87064.76</v>
      </c>
      <c r="I21" s="70">
        <f t="shared" si="14"/>
        <v>86449.51999999999</v>
      </c>
      <c r="J21" s="70">
        <f t="shared" si="14"/>
        <v>85834.279999999984</v>
      </c>
      <c r="K21" s="70">
        <f t="shared" si="14"/>
        <v>85219.039999999979</v>
      </c>
      <c r="L21" s="70">
        <v>84603.8</v>
      </c>
      <c r="M21" s="70">
        <f t="shared" ref="M21:P21" si="15">($Q21-$L21)/5+L21</f>
        <v>84959.44</v>
      </c>
      <c r="N21" s="70">
        <f t="shared" si="15"/>
        <v>85315.08</v>
      </c>
      <c r="O21" s="70">
        <f t="shared" si="15"/>
        <v>85670.720000000001</v>
      </c>
      <c r="P21" s="70">
        <f t="shared" si="15"/>
        <v>86026.36</v>
      </c>
      <c r="Q21" s="70">
        <v>86382</v>
      </c>
      <c r="R21" s="70">
        <f t="shared" ref="R21:U21" si="16">($V21-$Q21)/5+Q21</f>
        <v>86726.98</v>
      </c>
      <c r="S21" s="70">
        <f t="shared" si="16"/>
        <v>87071.959999999992</v>
      </c>
      <c r="T21" s="70">
        <f t="shared" si="16"/>
        <v>87416.939999999988</v>
      </c>
      <c r="U21" s="70">
        <f t="shared" si="16"/>
        <v>87761.919999999984</v>
      </c>
      <c r="V21" s="70">
        <v>88106.9</v>
      </c>
      <c r="W21" s="79" cm="1">
        <f t="array" ref="W21">TREND($M21:$V21,$M$15:$V$15,W$15)</f>
        <v>88466.093333333265</v>
      </c>
      <c r="X21" s="79" cm="1">
        <f t="array" ref="X21">TREND($M21:$V21,$M$15:$V$15,X$15)</f>
        <v>88815.595757575706</v>
      </c>
      <c r="Y21" s="79" cm="1">
        <f t="array" ref="Y21">TREND($M21:$V21,$M$15:$V$15,Y$15)</f>
        <v>89165.098181818146</v>
      </c>
      <c r="Z21" s="79" cm="1">
        <f t="array" ref="Z21">TREND($M21:$V21,$M$15:$V$15,Z$15)</f>
        <v>89514.600606060587</v>
      </c>
      <c r="AA21" s="79" cm="1">
        <f t="array" ref="AA21">TREND($M21:$V21,$M$15:$V$15,AA$15)</f>
        <v>89864.103030302911</v>
      </c>
      <c r="AB21" s="79" cm="1">
        <f t="array" ref="AB21">TREND($M21:$V21,$M$15:$V$15,AB$15)</f>
        <v>90213.605454545352</v>
      </c>
      <c r="AC21" s="79" cm="1">
        <f t="array" ref="AC21">TREND($M21:$V21,$M$15:$V$15,AC$15)</f>
        <v>90563.107878787792</v>
      </c>
      <c r="AD21" s="79" cm="1">
        <f t="array" ref="AD21">TREND($M21:$V21,$M$15:$V$15,AD$15)</f>
        <v>90912.610303030233</v>
      </c>
      <c r="AE21" s="79" cm="1">
        <f t="array" ref="AE21">TREND($M21:$V21,$M$15:$V$15,AE$15)</f>
        <v>91262.112727272674</v>
      </c>
      <c r="AF21" s="79" cm="1">
        <f t="array" ref="AF21">TREND($M21:$V21,$M$15:$V$15,AF$15)</f>
        <v>91611.615151515114</v>
      </c>
      <c r="AG21" s="79" cm="1">
        <f t="array" ref="AG21">TREND($M21:$V21,$M$15:$V$15,AG$15)</f>
        <v>91961.117575757555</v>
      </c>
      <c r="AH21" s="79" cm="1">
        <f t="array" ref="AH21">TREND($M21:$V21,$M$15:$V$15,AH$15)</f>
        <v>92310.619999999879</v>
      </c>
      <c r="AI21" s="79" cm="1">
        <f t="array" ref="AI21">TREND($M21:$V21,$M$15:$V$15,AI$15)</f>
        <v>92660.12242424232</v>
      </c>
      <c r="AJ21" s="66" t="s">
        <v>117</v>
      </c>
    </row>
    <row r="22" spans="1:36" s="66" customFormat="1" ht="13" x14ac:dyDescent="0.6">
      <c r="A22" s="66" t="s">
        <v>107</v>
      </c>
      <c r="B22" s="70">
        <v>3614</v>
      </c>
      <c r="C22" s="70">
        <f t="shared" ref="C22:F22" si="17">($G22-$B22)/5+B22</f>
        <v>3639</v>
      </c>
      <c r="D22" s="70">
        <f t="shared" si="17"/>
        <v>3664</v>
      </c>
      <c r="E22" s="70">
        <f t="shared" si="17"/>
        <v>3689</v>
      </c>
      <c r="F22" s="70">
        <f t="shared" si="17"/>
        <v>3714</v>
      </c>
      <c r="G22" s="70">
        <v>3739</v>
      </c>
      <c r="H22" s="70">
        <f t="shared" ref="H22:K22" si="18">($L22-$G22)/5+G22</f>
        <v>3793.4</v>
      </c>
      <c r="I22" s="70">
        <f t="shared" si="18"/>
        <v>3847.8</v>
      </c>
      <c r="J22" s="70">
        <f t="shared" si="18"/>
        <v>3902.2000000000003</v>
      </c>
      <c r="K22" s="70">
        <f t="shared" si="18"/>
        <v>3956.6000000000004</v>
      </c>
      <c r="L22" s="70">
        <v>4011</v>
      </c>
      <c r="M22" s="70">
        <f t="shared" ref="M22:P22" si="19">($Q22-$L22)/5+L22</f>
        <v>4108.8</v>
      </c>
      <c r="N22" s="70">
        <f t="shared" si="19"/>
        <v>4206.6000000000004</v>
      </c>
      <c r="O22" s="70">
        <f t="shared" si="19"/>
        <v>4304.4000000000005</v>
      </c>
      <c r="P22" s="70">
        <f t="shared" si="19"/>
        <v>4402.2000000000007</v>
      </c>
      <c r="Q22" s="70">
        <v>4500</v>
      </c>
      <c r="R22" s="70">
        <f t="shared" ref="R22:U22" si="20">($V22-$Q22)/5+Q22</f>
        <v>4595.3999999999996</v>
      </c>
      <c r="S22" s="70">
        <f t="shared" si="20"/>
        <v>4690.7999999999993</v>
      </c>
      <c r="T22" s="70">
        <f t="shared" si="20"/>
        <v>4786.1999999999989</v>
      </c>
      <c r="U22" s="70">
        <f t="shared" si="20"/>
        <v>4881.5999999999985</v>
      </c>
      <c r="V22" s="70">
        <v>4977</v>
      </c>
      <c r="W22" s="79" cm="1">
        <f t="array" ref="W22">TREND($M22:$V22,$M$15:$V$15,W$15)</f>
        <v>5075.5999999999767</v>
      </c>
      <c r="X22" s="79" cm="1">
        <f t="array" ref="X22">TREND($M22:$V22,$M$15:$V$15,X$15)</f>
        <v>5172.0181818181591</v>
      </c>
      <c r="Y22" s="79" cm="1">
        <f t="array" ref="Y22">TREND($M22:$V22,$M$15:$V$15,Y$15)</f>
        <v>5268.4363636363414</v>
      </c>
      <c r="Z22" s="79" cm="1">
        <f t="array" ref="Z22">TREND($M22:$V22,$M$15:$V$15,Z$15)</f>
        <v>5364.8545454545238</v>
      </c>
      <c r="AA22" s="79" cm="1">
        <f t="array" ref="AA22">TREND($M22:$V22,$M$15:$V$15,AA$15)</f>
        <v>5461.2727272727061</v>
      </c>
      <c r="AB22" s="79" cm="1">
        <f t="array" ref="AB22">TREND($M22:$V22,$M$15:$V$15,AB$15)</f>
        <v>5557.6909090908885</v>
      </c>
      <c r="AC22" s="79" cm="1">
        <f t="array" ref="AC22">TREND($M22:$V22,$M$15:$V$15,AC$15)</f>
        <v>5654.1090909090708</v>
      </c>
      <c r="AD22" s="79" cm="1">
        <f t="array" ref="AD22">TREND($M22:$V22,$M$15:$V$15,AD$15)</f>
        <v>5750.5272727272531</v>
      </c>
      <c r="AE22" s="79" cm="1">
        <f t="array" ref="AE22">TREND($M22:$V22,$M$15:$V$15,AE$15)</f>
        <v>5846.9454545454355</v>
      </c>
      <c r="AF22" s="79" cm="1">
        <f t="array" ref="AF22">TREND($M22:$V22,$M$15:$V$15,AF$15)</f>
        <v>5943.3636363636178</v>
      </c>
      <c r="AG22" s="79" cm="1">
        <f t="array" ref="AG22">TREND($M22:$V22,$M$15:$V$15,AG$15)</f>
        <v>6039.7818181818002</v>
      </c>
      <c r="AH22" s="79" cm="1">
        <f t="array" ref="AH22">TREND($M22:$V22,$M$15:$V$15,AH$15)</f>
        <v>6136.1999999999825</v>
      </c>
      <c r="AI22" s="79" cm="1">
        <f t="array" ref="AI22">TREND($M22:$V22,$M$15:$V$15,AI$15)</f>
        <v>6232.6181818181649</v>
      </c>
      <c r="AJ22" s="66" t="s">
        <v>117</v>
      </c>
    </row>
    <row r="23" spans="1:36" s="73" customFormat="1" ht="13" x14ac:dyDescent="0.6">
      <c r="A23" s="71" t="s">
        <v>114</v>
      </c>
      <c r="B23" s="72">
        <f>SUM(B17:B22)</f>
        <v>482987.03200000001</v>
      </c>
      <c r="C23" s="72"/>
      <c r="D23" s="72"/>
      <c r="E23" s="72"/>
      <c r="F23" s="72"/>
      <c r="G23" s="72">
        <f>SUM(G17:G22)</f>
        <v>486280.04699999996</v>
      </c>
      <c r="H23" s="72"/>
      <c r="I23" s="72"/>
      <c r="J23" s="72"/>
      <c r="K23" s="72"/>
      <c r="L23" s="72">
        <f>SUM(L17:L22)</f>
        <v>506500.96799999999</v>
      </c>
      <c r="M23" s="72"/>
      <c r="N23" s="72"/>
      <c r="O23" s="72"/>
      <c r="P23" s="72"/>
      <c r="Q23" s="72">
        <f>SUM(Q17:Q22)</f>
        <v>554603.72100000002</v>
      </c>
      <c r="R23" s="72"/>
      <c r="S23" s="72"/>
      <c r="T23" s="72"/>
      <c r="U23" s="72"/>
      <c r="V23" s="72">
        <f>SUM(V17:V22)</f>
        <v>601485.96499999997</v>
      </c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</row>
    <row r="24" spans="1:36" s="66" customFormat="1" ht="13" x14ac:dyDescent="0.6">
      <c r="A24" s="66" t="s">
        <v>108</v>
      </c>
      <c r="B24" s="70">
        <v>4754.0109999999995</v>
      </c>
      <c r="C24" s="70">
        <f t="shared" ref="C24:F24" si="21">($G24-$B24)/5+B24</f>
        <v>4754.1695999999993</v>
      </c>
      <c r="D24" s="70">
        <f t="shared" si="21"/>
        <v>4754.328199999999</v>
      </c>
      <c r="E24" s="70">
        <f t="shared" si="21"/>
        <v>4754.4867999999988</v>
      </c>
      <c r="F24" s="70">
        <f t="shared" si="21"/>
        <v>4754.6453999999985</v>
      </c>
      <c r="G24" s="70">
        <v>4754.8040000000001</v>
      </c>
      <c r="H24" s="70">
        <f t="shared" ref="H24:K24" si="22">($L24-$G24)/5+G24</f>
        <v>4784.2997999999998</v>
      </c>
      <c r="I24" s="70">
        <f t="shared" si="22"/>
        <v>4813.7955999999995</v>
      </c>
      <c r="J24" s="70">
        <f t="shared" si="22"/>
        <v>4843.2913999999992</v>
      </c>
      <c r="K24" s="70">
        <f t="shared" si="22"/>
        <v>4872.7871999999988</v>
      </c>
      <c r="L24" s="70">
        <v>4902.2830000000004</v>
      </c>
      <c r="M24" s="70">
        <f t="shared" ref="M24:P24" si="23">($Q24-$L24)/5+L24</f>
        <v>4986.5684000000001</v>
      </c>
      <c r="N24" s="70">
        <f t="shared" si="23"/>
        <v>5070.8537999999999</v>
      </c>
      <c r="O24" s="70">
        <f t="shared" si="23"/>
        <v>5155.1391999999996</v>
      </c>
      <c r="P24" s="70">
        <f t="shared" si="23"/>
        <v>5239.4245999999994</v>
      </c>
      <c r="Q24" s="70">
        <v>5323.7099999999991</v>
      </c>
      <c r="R24" s="70">
        <f t="shared" ref="R24:U24" si="24">($V24-$Q24)/5+Q24</f>
        <v>5405.777399999999</v>
      </c>
      <c r="S24" s="70">
        <f t="shared" si="24"/>
        <v>5487.8447999999989</v>
      </c>
      <c r="T24" s="70">
        <f t="shared" si="24"/>
        <v>5569.9121999999988</v>
      </c>
      <c r="U24" s="70">
        <f t="shared" si="24"/>
        <v>5651.9795999999988</v>
      </c>
      <c r="V24" s="70">
        <v>5734.0469999999996</v>
      </c>
      <c r="W24" s="79" cm="1">
        <f t="array" ref="W24">TREND($M24:$V24,$M$15:$V$15,W$15)</f>
        <v>5819.0717333333159</v>
      </c>
      <c r="X24" s="79" cm="1">
        <f t="array" ref="X24">TREND($M24:$V24,$M$15:$V$15,X$15)</f>
        <v>5902.0801030302828</v>
      </c>
      <c r="Y24" s="79" cm="1">
        <f t="array" ref="Y24">TREND($M24:$V24,$M$15:$V$15,Y$15)</f>
        <v>5985.0884727272787</v>
      </c>
      <c r="Z24" s="79" cm="1">
        <f t="array" ref="Z24">TREND($M24:$V24,$M$15:$V$15,Z$15)</f>
        <v>6068.0968424242456</v>
      </c>
      <c r="AA24" s="79" cm="1">
        <f t="array" ref="AA24">TREND($M24:$V24,$M$15:$V$15,AA$15)</f>
        <v>6151.1052121212124</v>
      </c>
      <c r="AB24" s="79" cm="1">
        <f t="array" ref="AB24">TREND($M24:$V24,$M$15:$V$15,AB$15)</f>
        <v>6234.1135818181792</v>
      </c>
      <c r="AC24" s="79" cm="1">
        <f t="array" ref="AC24">TREND($M24:$V24,$M$15:$V$15,AC$15)</f>
        <v>6317.1219515151461</v>
      </c>
      <c r="AD24" s="79" cm="1">
        <f t="array" ref="AD24">TREND($M24:$V24,$M$15:$V$15,AD$15)</f>
        <v>6400.1303212121129</v>
      </c>
      <c r="AE24" s="79" cm="1">
        <f t="array" ref="AE24">TREND($M24:$V24,$M$15:$V$15,AE$15)</f>
        <v>6483.1386909090797</v>
      </c>
      <c r="AF24" s="79" cm="1">
        <f t="array" ref="AF24">TREND($M24:$V24,$M$15:$V$15,AF$15)</f>
        <v>6566.1470606060466</v>
      </c>
      <c r="AG24" s="79" cm="1">
        <f t="array" ref="AG24">TREND($M24:$V24,$M$15:$V$15,AG$15)</f>
        <v>6649.1554303030134</v>
      </c>
      <c r="AH24" s="79" cm="1">
        <f t="array" ref="AH24">TREND($M24:$V24,$M$15:$V$15,AH$15)</f>
        <v>6732.1637999999803</v>
      </c>
      <c r="AI24" s="79" cm="1">
        <f t="array" ref="AI24">TREND($M24:$V24,$M$15:$V$15,AI$15)</f>
        <v>6815.1721696969471</v>
      </c>
      <c r="AJ24" s="66" t="s">
        <v>118</v>
      </c>
    </row>
    <row r="25" spans="1:36" s="66" customFormat="1" ht="13" x14ac:dyDescent="0.6">
      <c r="A25" s="66" t="s">
        <v>109</v>
      </c>
      <c r="B25" s="70">
        <v>5282.9840000000004</v>
      </c>
      <c r="C25" s="70">
        <f t="shared" ref="C25:F25" si="25">($G25-$B25)/5+B25</f>
        <v>5283.1580000000004</v>
      </c>
      <c r="D25" s="70">
        <f t="shared" si="25"/>
        <v>5283.3320000000003</v>
      </c>
      <c r="E25" s="70">
        <f t="shared" si="25"/>
        <v>5283.5060000000003</v>
      </c>
      <c r="F25" s="70">
        <f t="shared" si="25"/>
        <v>5283.68</v>
      </c>
      <c r="G25" s="70">
        <v>5283.8539999999994</v>
      </c>
      <c r="H25" s="70">
        <f t="shared" ref="H25:K25" si="26">($L25-$G25)/5+G25</f>
        <v>5316.6317999999992</v>
      </c>
      <c r="I25" s="70">
        <f t="shared" si="26"/>
        <v>5349.409599999999</v>
      </c>
      <c r="J25" s="70">
        <f t="shared" si="26"/>
        <v>5382.1873999999989</v>
      </c>
      <c r="K25" s="70">
        <f t="shared" si="26"/>
        <v>5414.9651999999987</v>
      </c>
      <c r="L25" s="70">
        <v>5447.7430000000004</v>
      </c>
      <c r="M25" s="70">
        <f t="shared" ref="M25:P25" si="27">($Q25-$L25)/5+L25</f>
        <v>5541.4026000000003</v>
      </c>
      <c r="N25" s="70">
        <f t="shared" si="27"/>
        <v>5635.0622000000003</v>
      </c>
      <c r="O25" s="70">
        <f t="shared" si="27"/>
        <v>5728.7218000000003</v>
      </c>
      <c r="P25" s="70">
        <f t="shared" si="27"/>
        <v>5822.3814000000002</v>
      </c>
      <c r="Q25" s="70">
        <v>5916.0410000000002</v>
      </c>
      <c r="R25" s="70">
        <f t="shared" ref="R25:U25" si="28">($V25-$Q25)/5+Q25</f>
        <v>6007.2420000000002</v>
      </c>
      <c r="S25" s="70">
        <f t="shared" si="28"/>
        <v>6098.4430000000002</v>
      </c>
      <c r="T25" s="70">
        <f t="shared" si="28"/>
        <v>6189.6440000000002</v>
      </c>
      <c r="U25" s="70">
        <f t="shared" si="28"/>
        <v>6280.8450000000003</v>
      </c>
      <c r="V25" s="70">
        <v>6372.0460000000003</v>
      </c>
      <c r="W25" s="79" cm="1">
        <f t="array" ref="W25">TREND($M25:$V25,$M$15:$V$15,W$15)</f>
        <v>6466.5251333333435</v>
      </c>
      <c r="X25" s="79" cm="1">
        <f t="array" ref="X25">TREND($M25:$V25,$M$15:$V$15,X$15)</f>
        <v>6558.7691757575958</v>
      </c>
      <c r="Y25" s="79" cm="1">
        <f t="array" ref="Y25">TREND($M25:$V25,$M$15:$V$15,Y$15)</f>
        <v>6651.0132181818481</v>
      </c>
      <c r="Z25" s="79" cm="1">
        <f t="array" ref="Z25">TREND($M25:$V25,$M$15:$V$15,Z$15)</f>
        <v>6743.2572606060712</v>
      </c>
      <c r="AA25" s="79" cm="1">
        <f t="array" ref="AA25">TREND($M25:$V25,$M$15:$V$15,AA$15)</f>
        <v>6835.5013030303235</v>
      </c>
      <c r="AB25" s="79" cm="1">
        <f t="array" ref="AB25">TREND($M25:$V25,$M$15:$V$15,AB$15)</f>
        <v>6927.7453454545757</v>
      </c>
      <c r="AC25" s="79" cm="1">
        <f t="array" ref="AC25">TREND($M25:$V25,$M$15:$V$15,AC$15)</f>
        <v>7019.9893878787989</v>
      </c>
      <c r="AD25" s="79" cm="1">
        <f t="array" ref="AD25">TREND($M25:$V25,$M$15:$V$15,AD$15)</f>
        <v>7112.2334303030511</v>
      </c>
      <c r="AE25" s="79" cm="1">
        <f t="array" ref="AE25">TREND($M25:$V25,$M$15:$V$15,AE$15)</f>
        <v>7204.4774727273034</v>
      </c>
      <c r="AF25" s="79" cm="1">
        <f t="array" ref="AF25">TREND($M25:$V25,$M$15:$V$15,AF$15)</f>
        <v>7296.7215151515265</v>
      </c>
      <c r="AG25" s="79" cm="1">
        <f t="array" ref="AG25">TREND($M25:$V25,$M$15:$V$15,AG$15)</f>
        <v>7388.9655575757788</v>
      </c>
      <c r="AH25" s="79" cm="1">
        <f t="array" ref="AH25">TREND($M25:$V25,$M$15:$V$15,AH$15)</f>
        <v>7481.2096000000311</v>
      </c>
      <c r="AI25" s="79" cm="1">
        <f t="array" ref="AI25">TREND($M25:$V25,$M$15:$V$15,AI$15)</f>
        <v>7573.4536424242542</v>
      </c>
      <c r="AJ25" s="66" t="s">
        <v>118</v>
      </c>
    </row>
    <row r="26" spans="1:36" s="66" customFormat="1" ht="13" x14ac:dyDescent="0.6">
      <c r="A26" s="66" t="s">
        <v>110</v>
      </c>
      <c r="B26" s="70">
        <v>27044.906999999999</v>
      </c>
      <c r="C26" s="70">
        <f t="shared" ref="C26:F26" si="29">($G26-$B26)/5+B26</f>
        <v>27045.8024</v>
      </c>
      <c r="D26" s="70">
        <f t="shared" si="29"/>
        <v>27046.697800000002</v>
      </c>
      <c r="E26" s="70">
        <f t="shared" si="29"/>
        <v>27047.593200000003</v>
      </c>
      <c r="F26" s="70">
        <f t="shared" si="29"/>
        <v>27048.488600000004</v>
      </c>
      <c r="G26" s="70">
        <v>27049.384000000002</v>
      </c>
      <c r="H26" s="70">
        <f t="shared" ref="H26:K26" si="30">($L26-$G26)/5+G26</f>
        <v>27217.201800000003</v>
      </c>
      <c r="I26" s="70">
        <f t="shared" si="30"/>
        <v>27385.019600000003</v>
      </c>
      <c r="J26" s="70">
        <f t="shared" si="30"/>
        <v>27552.837400000004</v>
      </c>
      <c r="K26" s="70">
        <f t="shared" si="30"/>
        <v>27720.655200000005</v>
      </c>
      <c r="L26" s="70">
        <v>27888.472999999998</v>
      </c>
      <c r="M26" s="70">
        <f t="shared" ref="M26:P26" si="31">($Q26-$L26)/5+L26</f>
        <v>28367.96</v>
      </c>
      <c r="N26" s="70">
        <f t="shared" si="31"/>
        <v>28847.447</v>
      </c>
      <c r="O26" s="70">
        <f t="shared" si="31"/>
        <v>29326.934000000001</v>
      </c>
      <c r="P26" s="70">
        <f t="shared" si="31"/>
        <v>29806.421000000002</v>
      </c>
      <c r="Q26" s="70">
        <v>30285.907999999999</v>
      </c>
      <c r="R26" s="70">
        <f t="shared" ref="R26:U26" si="32">($V26-$Q26)/5+Q26</f>
        <v>30752.794000000002</v>
      </c>
      <c r="S26" s="70">
        <f t="shared" si="32"/>
        <v>31219.680000000004</v>
      </c>
      <c r="T26" s="70">
        <f t="shared" si="32"/>
        <v>31686.566000000006</v>
      </c>
      <c r="U26" s="70">
        <f t="shared" si="32"/>
        <v>32153.452000000008</v>
      </c>
      <c r="V26" s="70">
        <v>32620.338000000003</v>
      </c>
      <c r="W26" s="79" cm="1">
        <f t="array" ref="W26">TREND($M26:$V26,$M$15:$V$15,W$15)</f>
        <v>33104.025333333295</v>
      </c>
      <c r="X26" s="79" cm="1">
        <f t="array" ref="X26">TREND($M26:$V26,$M$15:$V$15,X$15)</f>
        <v>33576.257212121156</v>
      </c>
      <c r="Y26" s="79" cm="1">
        <f t="array" ref="Y26">TREND($M26:$V26,$M$15:$V$15,Y$15)</f>
        <v>34048.489090909017</v>
      </c>
      <c r="Z26" s="79" cm="1">
        <f t="array" ref="Z26">TREND($M26:$V26,$M$15:$V$15,Z$15)</f>
        <v>34520.720969696878</v>
      </c>
      <c r="AA26" s="79" cm="1">
        <f t="array" ref="AA26">TREND($M26:$V26,$M$15:$V$15,AA$15)</f>
        <v>34992.952848484856</v>
      </c>
      <c r="AB26" s="79" cm="1">
        <f t="array" ref="AB26">TREND($M26:$V26,$M$15:$V$15,AB$15)</f>
        <v>35465.184727272717</v>
      </c>
      <c r="AC26" s="79" cm="1">
        <f t="array" ref="AC26">TREND($M26:$V26,$M$15:$V$15,AC$15)</f>
        <v>35937.416606060578</v>
      </c>
      <c r="AD26" s="79" cm="1">
        <f t="array" ref="AD26">TREND($M26:$V26,$M$15:$V$15,AD$15)</f>
        <v>36409.64848484844</v>
      </c>
      <c r="AE26" s="79" cm="1">
        <f t="array" ref="AE26">TREND($M26:$V26,$M$15:$V$15,AE$15)</f>
        <v>36881.880363636301</v>
      </c>
      <c r="AF26" s="79" cm="1">
        <f t="array" ref="AF26">TREND($M26:$V26,$M$15:$V$15,AF$15)</f>
        <v>37354.112242424162</v>
      </c>
      <c r="AG26" s="79" cm="1">
        <f t="array" ref="AG26">TREND($M26:$V26,$M$15:$V$15,AG$15)</f>
        <v>37826.344121212023</v>
      </c>
      <c r="AH26" s="79" cm="1">
        <f t="array" ref="AH26">TREND($M26:$V26,$M$15:$V$15,AH$15)</f>
        <v>38298.576000000001</v>
      </c>
      <c r="AI26" s="79" cm="1">
        <f t="array" ref="AI26">TREND($M26:$V26,$M$15:$V$15,AI$15)</f>
        <v>38770.807878787862</v>
      </c>
      <c r="AJ26" s="66" t="s">
        <v>118</v>
      </c>
    </row>
    <row r="27" spans="1:36" s="66" customFormat="1" ht="13" x14ac:dyDescent="0.6">
      <c r="A27" s="66" t="s">
        <v>111</v>
      </c>
      <c r="B27" s="70">
        <v>16228.913</v>
      </c>
      <c r="C27" s="70">
        <f t="shared" ref="C27:F27" si="33">($G27-$B27)/5+B27</f>
        <v>16229.455</v>
      </c>
      <c r="D27" s="70">
        <f t="shared" si="33"/>
        <v>16229.996999999999</v>
      </c>
      <c r="E27" s="70">
        <f t="shared" si="33"/>
        <v>16230.538999999999</v>
      </c>
      <c r="F27" s="70">
        <f t="shared" si="33"/>
        <v>16231.080999999998</v>
      </c>
      <c r="G27" s="70">
        <v>16231.623</v>
      </c>
      <c r="H27" s="70">
        <f t="shared" ref="H27:K27" si="34">($L27-$G27)/5+G27</f>
        <v>16332.3094</v>
      </c>
      <c r="I27" s="70">
        <f t="shared" si="34"/>
        <v>16432.995800000001</v>
      </c>
      <c r="J27" s="70">
        <f t="shared" si="34"/>
        <v>16533.682199999999</v>
      </c>
      <c r="K27" s="70">
        <f t="shared" si="34"/>
        <v>16634.368599999998</v>
      </c>
      <c r="L27" s="70">
        <v>16735.055</v>
      </c>
      <c r="M27" s="70">
        <f t="shared" ref="M27:P27" si="35">($Q27-$L27)/5+L27</f>
        <v>17022.7916</v>
      </c>
      <c r="N27" s="70">
        <f t="shared" si="35"/>
        <v>17310.528200000001</v>
      </c>
      <c r="O27" s="70">
        <f t="shared" si="35"/>
        <v>17598.264800000001</v>
      </c>
      <c r="P27" s="70">
        <f t="shared" si="35"/>
        <v>17886.001400000001</v>
      </c>
      <c r="Q27" s="70">
        <v>18173.738000000001</v>
      </c>
      <c r="R27" s="70">
        <f t="shared" ref="R27:U27" si="36">($V27-$Q27)/5+Q27</f>
        <v>18453.896000000001</v>
      </c>
      <c r="S27" s="70">
        <f t="shared" si="36"/>
        <v>18734.054</v>
      </c>
      <c r="T27" s="70">
        <f t="shared" si="36"/>
        <v>19014.212</v>
      </c>
      <c r="U27" s="70">
        <f t="shared" si="36"/>
        <v>19294.37</v>
      </c>
      <c r="V27" s="70">
        <v>19574.527999999998</v>
      </c>
      <c r="W27" s="79" cm="1">
        <f t="array" ref="W27">TREND($M27:$V27,$M$15:$V$15,W$15)</f>
        <v>19864.790800000075</v>
      </c>
      <c r="X27" s="79" cm="1">
        <f t="array" ref="X27">TREND($M27:$V27,$M$15:$V$15,X$15)</f>
        <v>20148.163963636383</v>
      </c>
      <c r="Y27" s="79" cm="1">
        <f t="array" ref="Y27">TREND($M27:$V27,$M$15:$V$15,Y$15)</f>
        <v>20431.537127272808</v>
      </c>
      <c r="Z27" s="79" cm="1">
        <f t="array" ref="Z27">TREND($M27:$V27,$M$15:$V$15,Z$15)</f>
        <v>20714.910290909116</v>
      </c>
      <c r="AA27" s="79" cm="1">
        <f t="array" ref="AA27">TREND($M27:$V27,$M$15:$V$15,AA$15)</f>
        <v>20998.283454545541</v>
      </c>
      <c r="AB27" s="79" cm="1">
        <f t="array" ref="AB27">TREND($M27:$V27,$M$15:$V$15,AB$15)</f>
        <v>21281.656618181849</v>
      </c>
      <c r="AC27" s="79" cm="1">
        <f t="array" ref="AC27">TREND($M27:$V27,$M$15:$V$15,AC$15)</f>
        <v>21565.029781818273</v>
      </c>
      <c r="AD27" s="79" cm="1">
        <f t="array" ref="AD27">TREND($M27:$V27,$M$15:$V$15,AD$15)</f>
        <v>21848.402945454582</v>
      </c>
      <c r="AE27" s="79" cm="1">
        <f t="array" ref="AE27">TREND($M27:$V27,$M$15:$V$15,AE$15)</f>
        <v>22131.77610909089</v>
      </c>
      <c r="AF27" s="79" cm="1">
        <f t="array" ref="AF27">TREND($M27:$V27,$M$15:$V$15,AF$15)</f>
        <v>22415.149272727314</v>
      </c>
      <c r="AG27" s="79" cm="1">
        <f t="array" ref="AG27">TREND($M27:$V27,$M$15:$V$15,AG$15)</f>
        <v>22698.522436363623</v>
      </c>
      <c r="AH27" s="79" cm="1">
        <f t="array" ref="AH27">TREND($M27:$V27,$M$15:$V$15,AH$15)</f>
        <v>22981.895600000047</v>
      </c>
      <c r="AI27" s="79" cm="1">
        <f t="array" ref="AI27">TREND($M27:$V27,$M$15:$V$15,AI$15)</f>
        <v>23265.268763636355</v>
      </c>
      <c r="AJ27" s="66" t="s">
        <v>118</v>
      </c>
    </row>
    <row r="28" spans="1:36" s="73" customFormat="1" ht="13" x14ac:dyDescent="0.6">
      <c r="A28" s="71" t="s">
        <v>115</v>
      </c>
      <c r="B28" s="72">
        <f>SUM(B24:B27)</f>
        <v>53310.815000000002</v>
      </c>
      <c r="C28" s="72"/>
      <c r="D28" s="72"/>
      <c r="E28" s="72"/>
      <c r="F28" s="72"/>
      <c r="G28" s="72">
        <f>SUM(G24:G27)</f>
        <v>53319.665000000001</v>
      </c>
      <c r="H28" s="72"/>
      <c r="I28" s="72"/>
      <c r="J28" s="72"/>
      <c r="K28" s="72"/>
      <c r="L28" s="72">
        <f>SUM(L24:L27)</f>
        <v>54973.553999999996</v>
      </c>
      <c r="M28" s="72"/>
      <c r="N28" s="72"/>
      <c r="O28" s="72"/>
      <c r="P28" s="72"/>
      <c r="Q28" s="72">
        <f>SUM(Q24:Q27)</f>
        <v>59699.396999999997</v>
      </c>
      <c r="R28" s="72"/>
      <c r="S28" s="72"/>
      <c r="T28" s="72"/>
      <c r="U28" s="72"/>
      <c r="V28" s="72">
        <f>SUM(V24:V27)</f>
        <v>64300.959000000003</v>
      </c>
      <c r="W28" s="70"/>
      <c r="X28" s="70"/>
      <c r="Y28" s="70"/>
      <c r="Z28" s="70"/>
      <c r="AA28" s="70"/>
      <c r="AB28" s="70"/>
      <c r="AC28" s="70"/>
      <c r="AD28" s="70"/>
      <c r="AE28" s="70"/>
      <c r="AF28" s="70"/>
      <c r="AG28" s="70"/>
      <c r="AH28" s="70"/>
      <c r="AI28" s="70"/>
    </row>
    <row r="31" spans="1:36" s="74" customFormat="1" ht="33.75" x14ac:dyDescent="1.55">
      <c r="B31" s="75" t="s">
        <v>120</v>
      </c>
    </row>
    <row r="32" spans="1:36" s="74" customFormat="1" ht="17.25" customHeight="1" x14ac:dyDescent="0.8">
      <c r="B32" s="74" t="s">
        <v>121</v>
      </c>
    </row>
    <row r="33" spans="1:55" s="74" customFormat="1" ht="16" x14ac:dyDescent="0.8">
      <c r="B33" s="74" t="s">
        <v>122</v>
      </c>
      <c r="C33" s="74">
        <v>2020</v>
      </c>
      <c r="D33" s="74">
        <v>2021</v>
      </c>
      <c r="E33" s="74">
        <v>2022</v>
      </c>
      <c r="F33" s="74">
        <v>2023</v>
      </c>
      <c r="G33" s="74">
        <v>2024</v>
      </c>
      <c r="H33" s="74">
        <v>2025</v>
      </c>
      <c r="I33" s="74">
        <v>2026</v>
      </c>
      <c r="J33" s="74">
        <v>2027</v>
      </c>
      <c r="K33" s="74">
        <v>2028</v>
      </c>
      <c r="L33" s="74">
        <v>2029</v>
      </c>
      <c r="M33" s="74">
        <v>2030</v>
      </c>
      <c r="N33" s="74">
        <v>2031</v>
      </c>
      <c r="O33" s="74">
        <v>2032</v>
      </c>
      <c r="P33" s="74">
        <v>2033</v>
      </c>
      <c r="Q33" s="74">
        <v>2034</v>
      </c>
      <c r="R33" s="74">
        <v>2035</v>
      </c>
      <c r="S33" s="74">
        <v>2036</v>
      </c>
      <c r="T33" s="74">
        <v>2037</v>
      </c>
      <c r="U33" s="74">
        <v>2038</v>
      </c>
      <c r="V33" s="74">
        <v>2039</v>
      </c>
      <c r="W33" s="74">
        <v>2040</v>
      </c>
      <c r="X33" s="74">
        <v>2041</v>
      </c>
      <c r="Y33" s="74">
        <v>2042</v>
      </c>
      <c r="Z33" s="74">
        <v>2043</v>
      </c>
      <c r="AA33" s="74">
        <v>2044</v>
      </c>
      <c r="AB33" s="74">
        <v>2045</v>
      </c>
      <c r="AC33" s="74">
        <v>2046</v>
      </c>
      <c r="AD33" s="74">
        <v>2047</v>
      </c>
      <c r="AE33" s="74">
        <v>2048</v>
      </c>
      <c r="AF33" s="74">
        <v>2049</v>
      </c>
      <c r="AG33" s="74">
        <v>2050</v>
      </c>
      <c r="AH33" s="74">
        <v>2051</v>
      </c>
      <c r="AI33" s="74">
        <v>2052</v>
      </c>
      <c r="AJ33" s="74">
        <v>2053</v>
      </c>
      <c r="AK33" s="74">
        <v>2054</v>
      </c>
      <c r="AL33" s="74">
        <v>2055</v>
      </c>
      <c r="AM33" s="74">
        <v>2056</v>
      </c>
      <c r="AN33" s="74">
        <v>2057</v>
      </c>
      <c r="AO33" s="74">
        <v>2058</v>
      </c>
      <c r="AP33" s="74">
        <v>2059</v>
      </c>
      <c r="AQ33" s="74">
        <v>2060</v>
      </c>
      <c r="AR33" s="74">
        <v>2061</v>
      </c>
      <c r="AS33" s="74">
        <v>2062</v>
      </c>
      <c r="AT33" s="74">
        <v>2063</v>
      </c>
      <c r="AU33" s="74">
        <v>2064</v>
      </c>
      <c r="AV33" s="74">
        <v>2065</v>
      </c>
      <c r="AW33" s="74">
        <v>2066</v>
      </c>
      <c r="AX33" s="74">
        <v>2067</v>
      </c>
      <c r="AY33" s="74">
        <v>2068</v>
      </c>
      <c r="AZ33" s="74">
        <v>2069</v>
      </c>
      <c r="BA33" s="74">
        <v>2070</v>
      </c>
      <c r="BB33" s="74" t="s">
        <v>123</v>
      </c>
      <c r="BC33" s="74" t="s">
        <v>124</v>
      </c>
    </row>
    <row r="34" spans="1:55" s="74" customFormat="1" ht="16" x14ac:dyDescent="0.8">
      <c r="A34" s="74" t="s">
        <v>125</v>
      </c>
      <c r="B34" s="74" t="s">
        <v>126</v>
      </c>
      <c r="C34" s="74">
        <v>7282.1416874353799</v>
      </c>
      <c r="D34" s="74">
        <v>7350.0019452482002</v>
      </c>
      <c r="E34" s="74">
        <v>7417.8622030610204</v>
      </c>
      <c r="F34" s="74">
        <v>7485.7224608738397</v>
      </c>
      <c r="G34" s="74">
        <v>7553.58271868666</v>
      </c>
      <c r="H34" s="74">
        <v>7621.4429764994802</v>
      </c>
      <c r="I34" s="74">
        <v>7849.9524195209297</v>
      </c>
      <c r="J34" s="74">
        <v>8078.46186254237</v>
      </c>
      <c r="K34" s="74">
        <v>8306.9713055638204</v>
      </c>
      <c r="L34" s="74">
        <v>8535.4807485852598</v>
      </c>
      <c r="M34" s="74">
        <v>8763.9901916067101</v>
      </c>
      <c r="N34" s="74">
        <v>8847.3832993936594</v>
      </c>
      <c r="O34" s="74">
        <v>8930.7764071805996</v>
      </c>
      <c r="P34" s="74">
        <v>9014.1695149675397</v>
      </c>
      <c r="Q34" s="74">
        <v>9097.5626227544908</v>
      </c>
      <c r="R34" s="74">
        <v>9180.9557305414291</v>
      </c>
      <c r="S34" s="74">
        <v>9222.1208253382392</v>
      </c>
      <c r="T34" s="74">
        <v>9263.2859201350402</v>
      </c>
      <c r="U34" s="74">
        <v>9304.4510149318503</v>
      </c>
      <c r="V34" s="74">
        <v>9345.6161097286495</v>
      </c>
      <c r="W34" s="74">
        <v>9386.7812045254595</v>
      </c>
      <c r="X34" s="74">
        <v>9369.1215439642492</v>
      </c>
      <c r="Y34" s="74">
        <v>9351.4618834030498</v>
      </c>
      <c r="Z34" s="74">
        <v>9333.8022228418395</v>
      </c>
      <c r="AA34" s="74">
        <v>9316.1425622806291</v>
      </c>
      <c r="AB34" s="74">
        <v>9298.4829017194297</v>
      </c>
      <c r="AC34" s="74">
        <v>9319.9003916430102</v>
      </c>
      <c r="AD34" s="74">
        <v>9341.3178815665997</v>
      </c>
      <c r="AE34" s="74">
        <v>9362.7353714901801</v>
      </c>
      <c r="AF34" s="74">
        <v>9384.1528614137696</v>
      </c>
      <c r="AG34" s="74">
        <v>9405.5703513373501</v>
      </c>
      <c r="AH34" s="74">
        <v>9452.4188033549399</v>
      </c>
      <c r="AI34" s="74">
        <v>9499.2672553725406</v>
      </c>
      <c r="AJ34" s="74">
        <v>9546.1157073901304</v>
      </c>
      <c r="AK34" s="74">
        <v>9592.9641594077293</v>
      </c>
      <c r="AL34" s="74">
        <v>9639.8126114253191</v>
      </c>
      <c r="AM34" s="74">
        <v>9681.9087710619006</v>
      </c>
      <c r="AN34" s="74">
        <v>9724.0049306984802</v>
      </c>
      <c r="AO34" s="74">
        <v>9766.1010903350598</v>
      </c>
      <c r="AP34" s="74">
        <v>9808.1972499716394</v>
      </c>
      <c r="AQ34" s="74">
        <v>9850.2934096082208</v>
      </c>
      <c r="AR34" s="74">
        <v>9850.2934096082208</v>
      </c>
      <c r="AS34" s="74">
        <v>9850.2934096082208</v>
      </c>
      <c r="AT34" s="74">
        <v>9850.2934096082208</v>
      </c>
      <c r="AU34" s="74">
        <v>9850.2934096082208</v>
      </c>
      <c r="AV34" s="74">
        <v>9850.2934096082208</v>
      </c>
      <c r="AW34" s="74">
        <v>9850.2934096082208</v>
      </c>
      <c r="AX34" s="74">
        <v>9850.2934096082208</v>
      </c>
      <c r="AY34" s="74">
        <v>9850.2934096082208</v>
      </c>
      <c r="AZ34" s="74">
        <v>9850.2934096082208</v>
      </c>
      <c r="BA34" s="74">
        <v>9850.2934096082208</v>
      </c>
      <c r="BC34" s="74">
        <v>8941.1253098647539</v>
      </c>
    </row>
    <row r="35" spans="1:55" s="74" customFormat="1" ht="16" x14ac:dyDescent="0.8">
      <c r="A35" s="74" t="s">
        <v>125</v>
      </c>
      <c r="B35" s="74" t="s">
        <v>127</v>
      </c>
      <c r="C35" s="74">
        <v>8136.7392927447199</v>
      </c>
      <c r="D35" s="74">
        <v>8129.89814642275</v>
      </c>
      <c r="E35" s="74">
        <v>8123.05700010079</v>
      </c>
      <c r="F35" s="74">
        <v>8116.21585377882</v>
      </c>
      <c r="G35" s="74">
        <v>8109.37470745685</v>
      </c>
      <c r="H35" s="74">
        <v>8102.5335611348901</v>
      </c>
      <c r="I35" s="74">
        <v>8172.67728868431</v>
      </c>
      <c r="J35" s="74">
        <v>8242.82101623374</v>
      </c>
      <c r="K35" s="74">
        <v>8312.9647437831609</v>
      </c>
      <c r="L35" s="74">
        <v>8383.1084713325799</v>
      </c>
      <c r="M35" s="74">
        <v>8453.2521988820099</v>
      </c>
      <c r="N35" s="74">
        <v>8557.9386804889291</v>
      </c>
      <c r="O35" s="74">
        <v>8662.6251620958501</v>
      </c>
      <c r="P35" s="74">
        <v>8767.3116437027693</v>
      </c>
      <c r="Q35" s="74">
        <v>8871.9981253096903</v>
      </c>
      <c r="R35" s="74">
        <v>8976.6846069166095</v>
      </c>
      <c r="S35" s="74">
        <v>9033.8403811891603</v>
      </c>
      <c r="T35" s="74">
        <v>9090.9961554617003</v>
      </c>
      <c r="U35" s="74">
        <v>9148.1519297342493</v>
      </c>
      <c r="V35" s="74">
        <v>9205.3077040067892</v>
      </c>
      <c r="W35" s="74">
        <v>9262.4634782793401</v>
      </c>
      <c r="X35" s="74">
        <v>9269.66684530575</v>
      </c>
      <c r="Y35" s="74">
        <v>9276.87021233216</v>
      </c>
      <c r="Z35" s="74">
        <v>9284.07357935857</v>
      </c>
      <c r="AA35" s="74">
        <v>9291.2769463849909</v>
      </c>
      <c r="AB35" s="74">
        <v>9298.4803134114009</v>
      </c>
      <c r="AC35" s="74">
        <v>9319.8974401309006</v>
      </c>
      <c r="AD35" s="74">
        <v>9341.3145668504094</v>
      </c>
      <c r="AE35" s="74">
        <v>9362.7316935699091</v>
      </c>
      <c r="AF35" s="74">
        <v>9384.1488202894197</v>
      </c>
      <c r="AG35" s="74">
        <v>9405.5659470089195</v>
      </c>
      <c r="AH35" s="74">
        <v>9452.4154481758997</v>
      </c>
      <c r="AI35" s="74">
        <v>9499.2649493428798</v>
      </c>
      <c r="AJ35" s="74">
        <v>9546.1144505098691</v>
      </c>
      <c r="AK35" s="74">
        <v>9592.9639516768493</v>
      </c>
      <c r="AL35" s="74">
        <v>9639.8134528438295</v>
      </c>
      <c r="AM35" s="74">
        <v>9681.9106629611397</v>
      </c>
      <c r="AN35" s="74">
        <v>9724.0078730784408</v>
      </c>
      <c r="AO35" s="74">
        <v>9766.1050831957491</v>
      </c>
      <c r="AP35" s="74">
        <v>9808.2022933130593</v>
      </c>
      <c r="AQ35" s="74">
        <v>9850.2995034303694</v>
      </c>
      <c r="AR35" s="74">
        <v>9850.2995034303694</v>
      </c>
      <c r="AS35" s="74">
        <v>9850.2995034303694</v>
      </c>
      <c r="AT35" s="74">
        <v>9850.2995034303694</v>
      </c>
      <c r="AU35" s="74">
        <v>9850.2995034303694</v>
      </c>
      <c r="AV35" s="74">
        <v>9850.2995034303694</v>
      </c>
      <c r="AW35" s="74">
        <v>9850.2995034303694</v>
      </c>
      <c r="AX35" s="74">
        <v>9850.2995034303694</v>
      </c>
      <c r="AY35" s="74">
        <v>9850.2995034303694</v>
      </c>
      <c r="AZ35" s="74">
        <v>9850.2995034303694</v>
      </c>
      <c r="BA35" s="74">
        <v>9850.2995034303694</v>
      </c>
      <c r="BC35" s="74">
        <v>9335.2229055276457</v>
      </c>
    </row>
    <row r="36" spans="1:55" s="74" customFormat="1" ht="16" x14ac:dyDescent="0.8">
      <c r="A36" s="74" t="s">
        <v>125</v>
      </c>
      <c r="B36" s="74" t="s">
        <v>128</v>
      </c>
      <c r="C36" s="74">
        <v>8719.9366767922602</v>
      </c>
      <c r="D36" s="74">
        <v>8710.9261931227702</v>
      </c>
      <c r="E36" s="74">
        <v>8701.9157094532693</v>
      </c>
      <c r="F36" s="74">
        <v>8692.9052257837793</v>
      </c>
      <c r="G36" s="74">
        <v>8683.8947421142802</v>
      </c>
      <c r="H36" s="74">
        <v>8674.8842584447793</v>
      </c>
      <c r="I36" s="74">
        <v>8710.6315544953795</v>
      </c>
      <c r="J36" s="74">
        <v>8746.3788505459797</v>
      </c>
      <c r="K36" s="74">
        <v>8782.1261465965799</v>
      </c>
      <c r="L36" s="74">
        <v>8817.8734426471801</v>
      </c>
      <c r="M36" s="74">
        <v>8853.6207386977803</v>
      </c>
      <c r="N36" s="74">
        <v>8903.4735663380998</v>
      </c>
      <c r="O36" s="74">
        <v>8953.3263939784301</v>
      </c>
      <c r="P36" s="74">
        <v>9003.1792216187605</v>
      </c>
      <c r="Q36" s="74">
        <v>9053.0320492590909</v>
      </c>
      <c r="R36" s="74">
        <v>9102.8848768994194</v>
      </c>
      <c r="S36" s="74">
        <v>9139.2060599065098</v>
      </c>
      <c r="T36" s="74">
        <v>9175.5272429136003</v>
      </c>
      <c r="U36" s="74">
        <v>9211.8484259206907</v>
      </c>
      <c r="V36" s="74">
        <v>9248.1696089277793</v>
      </c>
      <c r="W36" s="74">
        <v>9284.4907919348807</v>
      </c>
      <c r="X36" s="74">
        <v>9287.2933523149804</v>
      </c>
      <c r="Y36" s="74">
        <v>9290.0959126950893</v>
      </c>
      <c r="Z36" s="74">
        <v>9292.8984730751909</v>
      </c>
      <c r="AA36" s="74">
        <v>9295.7010334552997</v>
      </c>
      <c r="AB36" s="74">
        <v>9298.5035938353994</v>
      </c>
      <c r="AC36" s="74">
        <v>9319.9192845638208</v>
      </c>
      <c r="AD36" s="74">
        <v>9341.3349752922404</v>
      </c>
      <c r="AE36" s="74">
        <v>9362.7506660206509</v>
      </c>
      <c r="AF36" s="74">
        <v>9384.1663567490705</v>
      </c>
      <c r="AG36" s="74">
        <v>9405.5820474774901</v>
      </c>
      <c r="AH36" s="74">
        <v>9452.4314031117792</v>
      </c>
      <c r="AI36" s="74">
        <v>9499.2807587460793</v>
      </c>
      <c r="AJ36" s="74">
        <v>9546.1301143803703</v>
      </c>
      <c r="AK36" s="74">
        <v>9592.9794700146595</v>
      </c>
      <c r="AL36" s="74">
        <v>9639.8288256489595</v>
      </c>
      <c r="AM36" s="74">
        <v>9681.9269695596195</v>
      </c>
      <c r="AN36" s="74">
        <v>9724.0251134702703</v>
      </c>
      <c r="AO36" s="74">
        <v>9766.1232573809302</v>
      </c>
      <c r="AP36" s="74">
        <v>9808.2214012915792</v>
      </c>
      <c r="AQ36" s="74">
        <v>9850.3195452022392</v>
      </c>
      <c r="AR36" s="74">
        <v>9850.3195452022392</v>
      </c>
      <c r="AS36" s="74">
        <v>9850.3195452022392</v>
      </c>
      <c r="AT36" s="74">
        <v>9850.3195452022392</v>
      </c>
      <c r="AU36" s="74">
        <v>9850.3195452022392</v>
      </c>
      <c r="AV36" s="74">
        <v>9850.3195452022392</v>
      </c>
      <c r="AW36" s="74">
        <v>9850.3195452022392</v>
      </c>
      <c r="AX36" s="74">
        <v>9850.3195452022392</v>
      </c>
      <c r="AY36" s="74">
        <v>9850.3195452022392</v>
      </c>
      <c r="AZ36" s="74">
        <v>9850.3195452022392</v>
      </c>
      <c r="BA36" s="74">
        <v>9850.3195452022392</v>
      </c>
      <c r="BC36" s="74">
        <v>9449.9949414654075</v>
      </c>
    </row>
    <row r="37" spans="1:55" s="74" customFormat="1" ht="16" x14ac:dyDescent="0.8">
      <c r="A37" s="74" t="s">
        <v>125</v>
      </c>
      <c r="B37" s="74" t="s">
        <v>129</v>
      </c>
      <c r="C37" s="74">
        <v>47403.3425431941</v>
      </c>
      <c r="D37" s="74">
        <v>47370.819333551997</v>
      </c>
      <c r="E37" s="74">
        <v>47338.2961239098</v>
      </c>
      <c r="F37" s="74">
        <v>47305.772914267603</v>
      </c>
      <c r="G37" s="74">
        <v>47273.249704625399</v>
      </c>
      <c r="H37" s="74">
        <v>47240.726494983202</v>
      </c>
      <c r="I37" s="74">
        <v>47313.685103101299</v>
      </c>
      <c r="J37" s="74">
        <v>47386.643711219403</v>
      </c>
      <c r="K37" s="74">
        <v>47459.602319337399</v>
      </c>
      <c r="L37" s="74">
        <v>47532.560927455503</v>
      </c>
      <c r="M37" s="74">
        <v>47605.5195355736</v>
      </c>
      <c r="N37" s="74">
        <v>47813.840253793001</v>
      </c>
      <c r="O37" s="74">
        <v>48022.160972012498</v>
      </c>
      <c r="P37" s="74">
        <v>48230.4816902319</v>
      </c>
      <c r="Q37" s="74">
        <v>48438.802408451404</v>
      </c>
      <c r="R37" s="74">
        <v>48647.123126670798</v>
      </c>
      <c r="S37" s="74">
        <v>49000.982680654299</v>
      </c>
      <c r="T37" s="74">
        <v>49354.842234637799</v>
      </c>
      <c r="U37" s="74">
        <v>49708.7017886213</v>
      </c>
      <c r="V37" s="74">
        <v>50062.5613426048</v>
      </c>
      <c r="W37" s="74">
        <v>50416.420896588301</v>
      </c>
      <c r="X37" s="74">
        <v>50436.5317338143</v>
      </c>
      <c r="Y37" s="74">
        <v>50456.642571040204</v>
      </c>
      <c r="Z37" s="74">
        <v>50476.753408266202</v>
      </c>
      <c r="AA37" s="74">
        <v>50496.864245492099</v>
      </c>
      <c r="AB37" s="74">
        <v>50516.975082718098</v>
      </c>
      <c r="AC37" s="74">
        <v>50482.10912501</v>
      </c>
      <c r="AD37" s="74">
        <v>50447.243167301902</v>
      </c>
      <c r="AE37" s="74">
        <v>50412.377209593797</v>
      </c>
      <c r="AF37" s="74">
        <v>50377.5112518858</v>
      </c>
      <c r="AG37" s="74">
        <v>50342.645294177702</v>
      </c>
      <c r="AH37" s="74">
        <v>50354.0822247123</v>
      </c>
      <c r="AI37" s="74">
        <v>50365.519155246897</v>
      </c>
      <c r="AJ37" s="74">
        <v>50376.956085781399</v>
      </c>
      <c r="AK37" s="74">
        <v>50388.393016315997</v>
      </c>
      <c r="AL37" s="74">
        <v>50399.829946850601</v>
      </c>
      <c r="AM37" s="74">
        <v>50409.758310406403</v>
      </c>
      <c r="AN37" s="74">
        <v>50419.686673962198</v>
      </c>
      <c r="AO37" s="74">
        <v>50429.615037518</v>
      </c>
      <c r="AP37" s="74">
        <v>50439.543401073803</v>
      </c>
      <c r="AQ37" s="74">
        <v>50449.471764629598</v>
      </c>
      <c r="AR37" s="74">
        <v>50449.471764629598</v>
      </c>
      <c r="AS37" s="74">
        <v>50449.471764629598</v>
      </c>
      <c r="AT37" s="74">
        <v>50449.471764629598</v>
      </c>
      <c r="AU37" s="74">
        <v>50449.471764629598</v>
      </c>
      <c r="AV37" s="74">
        <v>50449.471764629598</v>
      </c>
      <c r="AW37" s="74">
        <v>50449.471764629598</v>
      </c>
      <c r="AX37" s="74">
        <v>50449.471764629598</v>
      </c>
      <c r="AY37" s="74">
        <v>50449.471764629598</v>
      </c>
      <c r="AZ37" s="74">
        <v>50449.471764629598</v>
      </c>
      <c r="BA37" s="74">
        <v>50449.471764629598</v>
      </c>
      <c r="BC37" s="74">
        <v>49876.035846764251</v>
      </c>
    </row>
    <row r="38" spans="1:55" s="74" customFormat="1" ht="16" x14ac:dyDescent="0.8">
      <c r="A38" s="3" t="s">
        <v>111</v>
      </c>
      <c r="B38" s="74" t="s">
        <v>130</v>
      </c>
      <c r="C38" s="74">
        <v>46342.194513281</v>
      </c>
      <c r="D38" s="74">
        <v>46524.799897631303</v>
      </c>
      <c r="E38" s="74">
        <v>46707.405281981599</v>
      </c>
      <c r="F38" s="74">
        <v>46890.010666331997</v>
      </c>
      <c r="G38" s="74">
        <v>47072.6160506823</v>
      </c>
      <c r="H38" s="74">
        <v>47255.221435032698</v>
      </c>
      <c r="I38" s="74">
        <v>47488.017480245799</v>
      </c>
      <c r="J38" s="74">
        <v>47720.813525459002</v>
      </c>
      <c r="K38" s="74">
        <v>47953.609570672197</v>
      </c>
      <c r="L38" s="74">
        <v>48186.405615885298</v>
      </c>
      <c r="M38" s="74">
        <v>48419.201661098501</v>
      </c>
      <c r="N38" s="74">
        <v>48697.120556422902</v>
      </c>
      <c r="O38" s="74">
        <v>48975.039451747398</v>
      </c>
      <c r="P38" s="74">
        <v>49252.958347071799</v>
      </c>
      <c r="Q38" s="74">
        <v>49530.8772423962</v>
      </c>
      <c r="R38" s="74">
        <v>49808.796137720703</v>
      </c>
      <c r="S38" s="74">
        <v>50037.092172565797</v>
      </c>
      <c r="T38" s="74">
        <v>50265.388207411001</v>
      </c>
      <c r="U38" s="74">
        <v>50493.684242256102</v>
      </c>
      <c r="V38" s="74">
        <v>50721.980277101298</v>
      </c>
      <c r="W38" s="74">
        <v>50950.2763119464</v>
      </c>
      <c r="X38" s="74">
        <v>50863.640684938699</v>
      </c>
      <c r="Y38" s="74">
        <v>50777.005057930903</v>
      </c>
      <c r="Z38" s="74">
        <v>50690.3694309231</v>
      </c>
      <c r="AA38" s="74">
        <v>50603.733803915398</v>
      </c>
      <c r="AB38" s="74">
        <v>50517.098176907602</v>
      </c>
      <c r="AC38" s="74">
        <v>50482.235228493199</v>
      </c>
      <c r="AD38" s="74">
        <v>50447.3722800787</v>
      </c>
      <c r="AE38" s="74">
        <v>50412.509331664303</v>
      </c>
      <c r="AF38" s="74">
        <v>50377.646383249899</v>
      </c>
      <c r="AG38" s="74">
        <v>50342.783434835503</v>
      </c>
      <c r="AH38" s="74">
        <v>50354.217722337198</v>
      </c>
      <c r="AI38" s="74">
        <v>50365.652009838799</v>
      </c>
      <c r="AJ38" s="74">
        <v>50377.086297340502</v>
      </c>
      <c r="AK38" s="74">
        <v>50388.520584842197</v>
      </c>
      <c r="AL38" s="74">
        <v>50399.9548723439</v>
      </c>
      <c r="AM38" s="74">
        <v>50409.8910974135</v>
      </c>
      <c r="AN38" s="74">
        <v>50419.827322483201</v>
      </c>
      <c r="AO38" s="74">
        <v>50429.7635475528</v>
      </c>
      <c r="AP38" s="74">
        <v>50439.699772622502</v>
      </c>
      <c r="AQ38" s="74">
        <v>50449.635997692203</v>
      </c>
      <c r="AR38" s="74">
        <v>50449.635997692203</v>
      </c>
      <c r="AS38" s="74">
        <v>50449.635997692203</v>
      </c>
      <c r="AT38" s="74">
        <v>50449.635997692203</v>
      </c>
      <c r="AU38" s="74">
        <v>50449.635997692203</v>
      </c>
      <c r="AV38" s="74">
        <v>50449.635997692203</v>
      </c>
      <c r="AW38" s="74">
        <v>50449.635997692203</v>
      </c>
      <c r="AX38" s="74">
        <v>50449.635997692203</v>
      </c>
      <c r="AY38" s="74">
        <v>50449.635997692203</v>
      </c>
      <c r="AZ38" s="74">
        <v>50449.635997692203</v>
      </c>
      <c r="BA38" s="74">
        <v>50449.635997692203</v>
      </c>
      <c r="BC38" s="74">
        <v>48998.777404870685</v>
      </c>
    </row>
    <row r="39" spans="1:55" s="74" customFormat="1" ht="16" x14ac:dyDescent="0.8">
      <c r="A39" s="3" t="s">
        <v>111</v>
      </c>
      <c r="B39" s="74" t="s">
        <v>131</v>
      </c>
      <c r="C39" s="74">
        <v>47278.1584279175</v>
      </c>
      <c r="D39" s="74">
        <v>47569.074100935803</v>
      </c>
      <c r="E39" s="74">
        <v>47859.989773954097</v>
      </c>
      <c r="F39" s="74">
        <v>48150.9054469724</v>
      </c>
      <c r="G39" s="74">
        <v>48441.821119990702</v>
      </c>
      <c r="H39" s="74">
        <v>48732.736793008997</v>
      </c>
      <c r="I39" s="74">
        <v>48956.526623976002</v>
      </c>
      <c r="J39" s="74">
        <v>49180.316454943102</v>
      </c>
      <c r="K39" s="74">
        <v>49404.1062859101</v>
      </c>
      <c r="L39" s="74">
        <v>49627.8961168772</v>
      </c>
      <c r="M39" s="74">
        <v>49851.685947844198</v>
      </c>
      <c r="N39" s="74">
        <v>49992.597794347399</v>
      </c>
      <c r="O39" s="74">
        <v>50133.5096408506</v>
      </c>
      <c r="P39" s="74">
        <v>50274.4214873538</v>
      </c>
      <c r="Q39" s="74">
        <v>50415.333333857001</v>
      </c>
      <c r="R39" s="74">
        <v>50556.245180360202</v>
      </c>
      <c r="S39" s="74">
        <v>50632.372515471499</v>
      </c>
      <c r="T39" s="74">
        <v>50708.499850582797</v>
      </c>
      <c r="U39" s="74">
        <v>50784.627185694102</v>
      </c>
      <c r="V39" s="74">
        <v>50860.7545208054</v>
      </c>
      <c r="W39" s="74">
        <v>50936.881855916698</v>
      </c>
      <c r="X39" s="74">
        <v>50852.920852365198</v>
      </c>
      <c r="Y39" s="74">
        <v>50768.959848813698</v>
      </c>
      <c r="Z39" s="74">
        <v>50684.9988452623</v>
      </c>
      <c r="AA39" s="74">
        <v>50601.0378417108</v>
      </c>
      <c r="AB39" s="74">
        <v>50517.076838159403</v>
      </c>
      <c r="AC39" s="74">
        <v>50482.206494930797</v>
      </c>
      <c r="AD39" s="74">
        <v>50447.3361517023</v>
      </c>
      <c r="AE39" s="74">
        <v>50412.465808473702</v>
      </c>
      <c r="AF39" s="74">
        <v>50377.595465245198</v>
      </c>
      <c r="AG39" s="74">
        <v>50342.725122016702</v>
      </c>
      <c r="AH39" s="74">
        <v>50354.162869706503</v>
      </c>
      <c r="AI39" s="74">
        <v>50365.600617396398</v>
      </c>
      <c r="AJ39" s="74">
        <v>50377.0383650863</v>
      </c>
      <c r="AK39" s="74">
        <v>50388.476112776101</v>
      </c>
      <c r="AL39" s="74">
        <v>50399.913860465997</v>
      </c>
      <c r="AM39" s="74">
        <v>50409.8556951274</v>
      </c>
      <c r="AN39" s="74">
        <v>50419.797529788797</v>
      </c>
      <c r="AO39" s="74">
        <v>50429.739364450201</v>
      </c>
      <c r="AP39" s="74">
        <v>50439.681199111699</v>
      </c>
      <c r="AQ39" s="74">
        <v>50449.623033773103</v>
      </c>
      <c r="AR39" s="74">
        <v>50449.623033773103</v>
      </c>
      <c r="AS39" s="74">
        <v>50449.623033773103</v>
      </c>
      <c r="AT39" s="74">
        <v>50449.623033773103</v>
      </c>
      <c r="AU39" s="74">
        <v>50449.623033773103</v>
      </c>
      <c r="AV39" s="74">
        <v>50449.623033773103</v>
      </c>
      <c r="AW39" s="74">
        <v>50449.623033773103</v>
      </c>
      <c r="AX39" s="74">
        <v>50449.623033773103</v>
      </c>
      <c r="AY39" s="74">
        <v>50449.623033773103</v>
      </c>
      <c r="AZ39" s="74">
        <v>50449.623033773103</v>
      </c>
      <c r="BA39" s="74">
        <v>50449.623033773103</v>
      </c>
      <c r="BC39" s="74">
        <v>48193.856381193618</v>
      </c>
    </row>
    <row r="40" spans="1:55" s="74" customFormat="1" ht="16" x14ac:dyDescent="0.8">
      <c r="A40" s="3" t="s">
        <v>108</v>
      </c>
      <c r="B40" s="74" t="s">
        <v>132</v>
      </c>
      <c r="C40" s="74">
        <v>16553.996349754801</v>
      </c>
      <c r="D40" s="74">
        <v>16490.0208218193</v>
      </c>
      <c r="E40" s="74">
        <v>16426.045293883901</v>
      </c>
      <c r="F40" s="74">
        <v>16362.069765948399</v>
      </c>
      <c r="G40" s="74">
        <v>16298.094238013</v>
      </c>
      <c r="H40" s="74">
        <v>16234.118710077601</v>
      </c>
      <c r="I40" s="74">
        <v>16231.1416573607</v>
      </c>
      <c r="J40" s="74">
        <v>16228.1646046439</v>
      </c>
      <c r="K40" s="74">
        <v>16225.187551927</v>
      </c>
      <c r="L40" s="74">
        <v>16222.210499210199</v>
      </c>
      <c r="M40" s="74">
        <v>16219.233446493399</v>
      </c>
      <c r="N40" s="74">
        <v>16279.774472630001</v>
      </c>
      <c r="O40" s="74">
        <v>16340.3154987665</v>
      </c>
      <c r="P40" s="74">
        <v>16400.856524903102</v>
      </c>
      <c r="Q40" s="74">
        <v>16461.397551039699</v>
      </c>
      <c r="R40" s="74">
        <v>16521.938577176301</v>
      </c>
      <c r="S40" s="74">
        <v>16649.0811900755</v>
      </c>
      <c r="T40" s="74">
        <v>16776.223802974699</v>
      </c>
      <c r="U40" s="74">
        <v>16903.366415873901</v>
      </c>
      <c r="V40" s="74">
        <v>17030.5090287731</v>
      </c>
      <c r="W40" s="74">
        <v>17157.651641672299</v>
      </c>
      <c r="X40" s="74">
        <v>17212.593460200598</v>
      </c>
      <c r="Y40" s="74">
        <v>17267.535278728799</v>
      </c>
      <c r="Z40" s="74">
        <v>17322.477097257099</v>
      </c>
      <c r="AA40" s="74">
        <v>17377.418915785402</v>
      </c>
      <c r="AB40" s="74">
        <v>17432.360734313701</v>
      </c>
      <c r="AC40" s="74">
        <v>17419.187550922499</v>
      </c>
      <c r="AD40" s="74">
        <v>17406.014367531399</v>
      </c>
      <c r="AE40" s="74">
        <v>17392.841184140299</v>
      </c>
      <c r="AF40" s="74">
        <v>17379.668000749101</v>
      </c>
      <c r="AG40" s="74">
        <v>17366.494817358001</v>
      </c>
      <c r="AH40" s="74">
        <v>17369.148701652699</v>
      </c>
      <c r="AI40" s="74">
        <v>17371.8025859474</v>
      </c>
      <c r="AJ40" s="74">
        <v>17374.456470242101</v>
      </c>
      <c r="AK40" s="74">
        <v>17377.110354536799</v>
      </c>
      <c r="AL40" s="74">
        <v>17379.7642388315</v>
      </c>
      <c r="AM40" s="74">
        <v>17382.863465345799</v>
      </c>
      <c r="AN40" s="74">
        <v>17385.962691860099</v>
      </c>
      <c r="AO40" s="74">
        <v>17389.061918374398</v>
      </c>
      <c r="AP40" s="74">
        <v>17392.161144888702</v>
      </c>
      <c r="AQ40" s="74">
        <v>17395.260371403001</v>
      </c>
      <c r="AR40" s="74">
        <v>17395.260371403001</v>
      </c>
      <c r="AS40" s="74">
        <v>17395.260371403001</v>
      </c>
      <c r="AT40" s="74">
        <v>17395.260371403001</v>
      </c>
      <c r="AU40" s="74">
        <v>17395.260371403001</v>
      </c>
      <c r="AV40" s="74">
        <v>17395.260371403001</v>
      </c>
      <c r="AW40" s="74">
        <v>17395.260371403001</v>
      </c>
      <c r="AX40" s="74">
        <v>17395.260371403001</v>
      </c>
      <c r="AY40" s="74">
        <v>17395.260371403001</v>
      </c>
      <c r="AZ40" s="74">
        <v>17395.260371403001</v>
      </c>
      <c r="BA40" s="74">
        <v>17395.260371403001</v>
      </c>
      <c r="BC40" s="74">
        <v>16842.299684166632</v>
      </c>
    </row>
    <row r="41" spans="1:55" s="74" customFormat="1" ht="16" x14ac:dyDescent="0.8">
      <c r="A41" s="3" t="s">
        <v>110</v>
      </c>
      <c r="B41" s="74" t="s">
        <v>133</v>
      </c>
      <c r="C41" s="74">
        <v>16570.754794578301</v>
      </c>
      <c r="D41" s="74">
        <v>16622.4153990339</v>
      </c>
      <c r="E41" s="74">
        <v>16674.076003489401</v>
      </c>
      <c r="F41" s="74">
        <v>16725.736607945</v>
      </c>
      <c r="G41" s="74">
        <v>16777.3972124006</v>
      </c>
      <c r="H41" s="74">
        <v>16829.057816856101</v>
      </c>
      <c r="I41" s="74">
        <v>16868.7637990484</v>
      </c>
      <c r="J41" s="74">
        <v>16908.469781240699</v>
      </c>
      <c r="K41" s="74">
        <v>16948.175763432999</v>
      </c>
      <c r="L41" s="74">
        <v>16987.881745625298</v>
      </c>
      <c r="M41" s="74">
        <v>17027.587727817601</v>
      </c>
      <c r="N41" s="74">
        <v>17080.179941132999</v>
      </c>
      <c r="O41" s="74">
        <v>17132.772154448401</v>
      </c>
      <c r="P41" s="74">
        <v>17185.364367763799</v>
      </c>
      <c r="Q41" s="74">
        <v>17237.956581079201</v>
      </c>
      <c r="R41" s="74">
        <v>17290.548794394599</v>
      </c>
      <c r="S41" s="74">
        <v>17338.470504758399</v>
      </c>
      <c r="T41" s="74">
        <v>17386.3922151222</v>
      </c>
      <c r="U41" s="74">
        <v>17434.313925485902</v>
      </c>
      <c r="V41" s="74">
        <v>17482.235635849702</v>
      </c>
      <c r="W41" s="74">
        <v>17530.1573462134</v>
      </c>
      <c r="X41" s="74">
        <v>17510.593600268901</v>
      </c>
      <c r="Y41" s="74">
        <v>17491.029854324301</v>
      </c>
      <c r="Z41" s="74">
        <v>17471.466108379798</v>
      </c>
      <c r="AA41" s="74">
        <v>17451.902362435201</v>
      </c>
      <c r="AB41" s="74">
        <v>17432.338616490601</v>
      </c>
      <c r="AC41" s="74">
        <v>17419.1652077334</v>
      </c>
      <c r="AD41" s="74">
        <v>17405.9917989762</v>
      </c>
      <c r="AE41" s="74">
        <v>17392.818390218999</v>
      </c>
      <c r="AF41" s="74">
        <v>17379.644981461701</v>
      </c>
      <c r="AG41" s="74">
        <v>17366.4715727045</v>
      </c>
      <c r="AH41" s="74">
        <v>17369.1280221659</v>
      </c>
      <c r="AI41" s="74">
        <v>17371.784471627299</v>
      </c>
      <c r="AJ41" s="74">
        <v>17374.440921088699</v>
      </c>
      <c r="AK41" s="74">
        <v>17377.097370550098</v>
      </c>
      <c r="AL41" s="74">
        <v>17379.753820011501</v>
      </c>
      <c r="AM41" s="74">
        <v>17382.852288731701</v>
      </c>
      <c r="AN41" s="74">
        <v>17385.950757451799</v>
      </c>
      <c r="AO41" s="74">
        <v>17389.049226171999</v>
      </c>
      <c r="AP41" s="74">
        <v>17392.147694892101</v>
      </c>
      <c r="AQ41" s="74">
        <v>17395.246163612301</v>
      </c>
      <c r="AR41" s="74">
        <v>17395.246163612301</v>
      </c>
      <c r="AS41" s="74">
        <v>17395.246163612301</v>
      </c>
      <c r="AT41" s="74">
        <v>17395.246163612301</v>
      </c>
      <c r="AU41" s="74">
        <v>17395.246163612301</v>
      </c>
      <c r="AV41" s="74">
        <v>17395.246163612301</v>
      </c>
      <c r="AW41" s="74">
        <v>17395.246163612301</v>
      </c>
      <c r="AX41" s="74">
        <v>17395.246163612301</v>
      </c>
      <c r="AY41" s="74">
        <v>17395.246163612301</v>
      </c>
      <c r="AZ41" s="74">
        <v>17395.246163612301</v>
      </c>
      <c r="BA41" s="74">
        <v>17395.246163612301</v>
      </c>
      <c r="BC41" s="74">
        <v>16665.30579126858</v>
      </c>
    </row>
    <row r="42" spans="1:55" s="74" customFormat="1" ht="16" x14ac:dyDescent="0.8">
      <c r="A42" s="3" t="s">
        <v>110</v>
      </c>
      <c r="B42" s="74" t="s">
        <v>134</v>
      </c>
      <c r="C42" s="74">
        <v>16704.542098382299</v>
      </c>
      <c r="D42" s="74">
        <v>16744.325322286499</v>
      </c>
      <c r="E42" s="74">
        <v>16784.108546190699</v>
      </c>
      <c r="F42" s="74">
        <v>16823.8917700948</v>
      </c>
      <c r="G42" s="74">
        <v>16863.674993999</v>
      </c>
      <c r="H42" s="74">
        <v>16903.458217903099</v>
      </c>
      <c r="I42" s="74">
        <v>16930.0178621267</v>
      </c>
      <c r="J42" s="74">
        <v>16956.577506350299</v>
      </c>
      <c r="K42" s="74">
        <v>16983.137150573799</v>
      </c>
      <c r="L42" s="74">
        <v>17009.696794797401</v>
      </c>
      <c r="M42" s="74">
        <v>17036.256439020999</v>
      </c>
      <c r="N42" s="74">
        <v>17092.802504269799</v>
      </c>
      <c r="O42" s="74">
        <v>17149.348569518501</v>
      </c>
      <c r="P42" s="74">
        <v>17205.894634767301</v>
      </c>
      <c r="Q42" s="74">
        <v>17262.440700016101</v>
      </c>
      <c r="R42" s="74">
        <v>17318.986765264901</v>
      </c>
      <c r="S42" s="74">
        <v>17364.257959149501</v>
      </c>
      <c r="T42" s="74">
        <v>17409.529153034098</v>
      </c>
      <c r="U42" s="74">
        <v>17454.800346918801</v>
      </c>
      <c r="V42" s="74">
        <v>17500.071540803401</v>
      </c>
      <c r="W42" s="74">
        <v>17545.342734688002</v>
      </c>
      <c r="X42" s="74">
        <v>17522.7431531449</v>
      </c>
      <c r="Y42" s="74">
        <v>17500.143571601799</v>
      </c>
      <c r="Z42" s="74">
        <v>17477.543990058701</v>
      </c>
      <c r="AA42" s="74">
        <v>17454.944408515501</v>
      </c>
      <c r="AB42" s="74">
        <v>17432.344826972399</v>
      </c>
      <c r="AC42" s="74">
        <v>17419.170605622599</v>
      </c>
      <c r="AD42" s="74">
        <v>17405.996384272799</v>
      </c>
      <c r="AE42" s="74">
        <v>17392.822162922999</v>
      </c>
      <c r="AF42" s="74">
        <v>17379.647941573199</v>
      </c>
      <c r="AG42" s="74">
        <v>17366.473720223399</v>
      </c>
      <c r="AH42" s="74">
        <v>17369.1279193954</v>
      </c>
      <c r="AI42" s="74">
        <v>17371.7821185674</v>
      </c>
      <c r="AJ42" s="74">
        <v>17374.436317739401</v>
      </c>
      <c r="AK42" s="74">
        <v>17377.090516911499</v>
      </c>
      <c r="AL42" s="74">
        <v>17379.7447160835</v>
      </c>
      <c r="AM42" s="74">
        <v>17382.842621448199</v>
      </c>
      <c r="AN42" s="74">
        <v>17385.940526812999</v>
      </c>
      <c r="AO42" s="74">
        <v>17389.038432177698</v>
      </c>
      <c r="AP42" s="74">
        <v>17392.136337542499</v>
      </c>
      <c r="AQ42" s="74">
        <v>17395.234242907201</v>
      </c>
      <c r="AR42" s="74">
        <v>17395.234242907201</v>
      </c>
      <c r="AS42" s="74">
        <v>17395.234242907201</v>
      </c>
      <c r="AT42" s="74">
        <v>17395.234242907201</v>
      </c>
      <c r="AU42" s="74">
        <v>17395.234242907201</v>
      </c>
      <c r="AV42" s="74">
        <v>17395.234242907201</v>
      </c>
      <c r="AW42" s="74">
        <v>17395.234242907201</v>
      </c>
      <c r="AX42" s="74">
        <v>17395.234242907201</v>
      </c>
      <c r="AY42" s="74">
        <v>17395.234242907201</v>
      </c>
      <c r="AZ42" s="74">
        <v>17395.234242907201</v>
      </c>
      <c r="BA42" s="74">
        <v>17395.234242907201</v>
      </c>
      <c r="BC42" s="74">
        <v>16757.077087471102</v>
      </c>
    </row>
    <row r="43" spans="1:55" s="74" customFormat="1" ht="16" x14ac:dyDescent="0.8">
      <c r="A43" s="3" t="s">
        <v>108</v>
      </c>
      <c r="B43" s="74" t="s">
        <v>135</v>
      </c>
      <c r="C43" s="74">
        <v>48680.059179703101</v>
      </c>
      <c r="D43" s="74">
        <v>48531.565439054502</v>
      </c>
      <c r="E43" s="74">
        <v>48383.071698405802</v>
      </c>
      <c r="F43" s="74">
        <v>48234.577957757203</v>
      </c>
      <c r="G43" s="74">
        <v>48086.084217108597</v>
      </c>
      <c r="H43" s="74">
        <v>47937.590476459998</v>
      </c>
      <c r="I43" s="74">
        <v>47927.115820955602</v>
      </c>
      <c r="J43" s="74">
        <v>47916.641165451198</v>
      </c>
      <c r="K43" s="74">
        <v>47906.166509946699</v>
      </c>
      <c r="L43" s="74">
        <v>47895.691854442302</v>
      </c>
      <c r="M43" s="74">
        <v>47885.217198937899</v>
      </c>
      <c r="N43" s="74">
        <v>47968.700590354703</v>
      </c>
      <c r="O43" s="74">
        <v>48052.183981771501</v>
      </c>
      <c r="P43" s="74">
        <v>48135.667373188298</v>
      </c>
      <c r="Q43" s="74">
        <v>48219.150764605103</v>
      </c>
      <c r="R43" s="74">
        <v>48302.634156021901</v>
      </c>
      <c r="S43" s="74">
        <v>48572.493863907002</v>
      </c>
      <c r="T43" s="74">
        <v>48842.353571792097</v>
      </c>
      <c r="U43" s="74">
        <v>49112.213279677198</v>
      </c>
      <c r="V43" s="74">
        <v>49382.0729875623</v>
      </c>
      <c r="W43" s="74">
        <v>49651.932695447402</v>
      </c>
      <c r="X43" s="74">
        <v>49714.262858998103</v>
      </c>
      <c r="Y43" s="74">
        <v>49776.593022548797</v>
      </c>
      <c r="Z43" s="74">
        <v>49838.923186099499</v>
      </c>
      <c r="AA43" s="74">
        <v>49901.2533496502</v>
      </c>
      <c r="AB43" s="74">
        <v>49963.583513200902</v>
      </c>
      <c r="AC43" s="74">
        <v>49892.910659401299</v>
      </c>
      <c r="AD43" s="74">
        <v>49822.237805601799</v>
      </c>
      <c r="AE43" s="74">
        <v>49751.564951802298</v>
      </c>
      <c r="AF43" s="74">
        <v>49680.892098002798</v>
      </c>
      <c r="AG43" s="74">
        <v>49610.219244203297</v>
      </c>
      <c r="AH43" s="74">
        <v>49619.684017236097</v>
      </c>
      <c r="AI43" s="74">
        <v>49629.148790268999</v>
      </c>
      <c r="AJ43" s="74">
        <v>49638.6135633019</v>
      </c>
      <c r="AK43" s="74">
        <v>49648.078336334802</v>
      </c>
      <c r="AL43" s="74">
        <v>49657.543109367602</v>
      </c>
      <c r="AM43" s="74">
        <v>49669.802400022898</v>
      </c>
      <c r="AN43" s="74">
        <v>49682.061690678202</v>
      </c>
      <c r="AO43" s="74">
        <v>49694.3209813336</v>
      </c>
      <c r="AP43" s="74">
        <v>49706.580271988903</v>
      </c>
      <c r="AQ43" s="74">
        <v>49718.8395626442</v>
      </c>
      <c r="AR43" s="74">
        <v>49718.8395626442</v>
      </c>
      <c r="AS43" s="74">
        <v>49718.8395626442</v>
      </c>
      <c r="AT43" s="74">
        <v>49718.8395626442</v>
      </c>
      <c r="AU43" s="74">
        <v>49718.8395626442</v>
      </c>
      <c r="AV43" s="74">
        <v>49718.8395626442</v>
      </c>
      <c r="AW43" s="74">
        <v>49718.8395626442</v>
      </c>
      <c r="AX43" s="74">
        <v>49718.8395626442</v>
      </c>
      <c r="AY43" s="74">
        <v>49718.8395626442</v>
      </c>
      <c r="AZ43" s="74">
        <v>49718.8395626442</v>
      </c>
      <c r="BA43" s="74">
        <v>49718.8395626442</v>
      </c>
      <c r="BC43" s="74">
        <v>49997.893522427854</v>
      </c>
    </row>
    <row r="44" spans="1:55" s="74" customFormat="1" ht="16" x14ac:dyDescent="0.8">
      <c r="A44" s="3" t="s">
        <v>109</v>
      </c>
      <c r="B44" s="74" t="s">
        <v>136</v>
      </c>
      <c r="C44" s="74">
        <v>48928.255233450298</v>
      </c>
      <c r="D44" s="74">
        <v>48905.9512639452</v>
      </c>
      <c r="E44" s="74">
        <v>48883.647294440001</v>
      </c>
      <c r="F44" s="74">
        <v>48861.343324934896</v>
      </c>
      <c r="G44" s="74">
        <v>48839.039355429697</v>
      </c>
      <c r="H44" s="74">
        <v>48816.7353859246</v>
      </c>
      <c r="I44" s="74">
        <v>48853.189681665601</v>
      </c>
      <c r="J44" s="74">
        <v>48889.643977406697</v>
      </c>
      <c r="K44" s="74">
        <v>48926.098273147698</v>
      </c>
      <c r="L44" s="74">
        <v>48962.552568888801</v>
      </c>
      <c r="M44" s="74">
        <v>48999.006864629802</v>
      </c>
      <c r="N44" s="74">
        <v>49142.051968313703</v>
      </c>
      <c r="O44" s="74">
        <v>49285.097071997698</v>
      </c>
      <c r="P44" s="74">
        <v>49428.142175681598</v>
      </c>
      <c r="Q44" s="74">
        <v>49571.187279365498</v>
      </c>
      <c r="R44" s="74">
        <v>49714.232383049399</v>
      </c>
      <c r="S44" s="74">
        <v>49870.381640020802</v>
      </c>
      <c r="T44" s="74">
        <v>50026.530896992299</v>
      </c>
      <c r="U44" s="74">
        <v>50182.680153963702</v>
      </c>
      <c r="V44" s="74">
        <v>50338.829410935097</v>
      </c>
      <c r="W44" s="74">
        <v>50494.9786679065</v>
      </c>
      <c r="X44" s="74">
        <v>50388.725495065999</v>
      </c>
      <c r="Y44" s="74">
        <v>50282.472322225498</v>
      </c>
      <c r="Z44" s="74">
        <v>50176.219149384902</v>
      </c>
      <c r="AA44" s="74">
        <v>50069.965976544401</v>
      </c>
      <c r="AB44" s="74">
        <v>49963.712803703798</v>
      </c>
      <c r="AC44" s="74">
        <v>49893.036372125403</v>
      </c>
      <c r="AD44" s="74">
        <v>49822.359940547001</v>
      </c>
      <c r="AE44" s="74">
        <v>49751.683508968599</v>
      </c>
      <c r="AF44" s="74">
        <v>49681.007077390197</v>
      </c>
      <c r="AG44" s="74">
        <v>49610.3306458117</v>
      </c>
      <c r="AH44" s="74">
        <v>49619.803571141398</v>
      </c>
      <c r="AI44" s="74">
        <v>49629.276496471102</v>
      </c>
      <c r="AJ44" s="74">
        <v>49638.7494218008</v>
      </c>
      <c r="AK44" s="74">
        <v>49648.222347130497</v>
      </c>
      <c r="AL44" s="74">
        <v>49657.695272460202</v>
      </c>
      <c r="AM44" s="74">
        <v>49669.9530566182</v>
      </c>
      <c r="AN44" s="74">
        <v>49682.210840776199</v>
      </c>
      <c r="AO44" s="74">
        <v>49694.468624934198</v>
      </c>
      <c r="AP44" s="74">
        <v>49706.726409092298</v>
      </c>
      <c r="AQ44" s="74">
        <v>49718.984193250297</v>
      </c>
      <c r="AR44" s="74">
        <v>49718.984193250297</v>
      </c>
      <c r="AS44" s="74">
        <v>49718.984193250297</v>
      </c>
      <c r="AT44" s="74">
        <v>49718.984193250297</v>
      </c>
      <c r="AU44" s="74">
        <v>49718.984193250297</v>
      </c>
      <c r="AV44" s="74">
        <v>49718.984193250297</v>
      </c>
      <c r="AW44" s="74">
        <v>49718.984193250297</v>
      </c>
      <c r="AX44" s="74">
        <v>49718.984193250297</v>
      </c>
      <c r="AY44" s="74">
        <v>49718.984193250297</v>
      </c>
      <c r="AZ44" s="74">
        <v>49718.984193250297</v>
      </c>
      <c r="BA44" s="74">
        <v>49718.984193250297</v>
      </c>
      <c r="BC44" s="74">
        <v>49806.329843386644</v>
      </c>
    </row>
    <row r="45" spans="1:55" s="74" customFormat="1" ht="16" x14ac:dyDescent="0.8">
      <c r="A45" s="3" t="s">
        <v>109</v>
      </c>
      <c r="B45" s="74" t="s">
        <v>137</v>
      </c>
      <c r="C45" s="74">
        <v>41840.8040271758</v>
      </c>
      <c r="D45" s="74">
        <v>40833.384495642596</v>
      </c>
      <c r="E45" s="74">
        <v>39825.964964109298</v>
      </c>
      <c r="F45" s="74">
        <v>38818.545432576102</v>
      </c>
      <c r="G45" s="74">
        <v>37811.125901042898</v>
      </c>
      <c r="H45" s="74">
        <v>36803.7063695096</v>
      </c>
      <c r="I45" s="74">
        <v>35882.5363325976</v>
      </c>
      <c r="J45" s="74">
        <v>34961.366295685497</v>
      </c>
      <c r="K45" s="74">
        <v>34040.196258773401</v>
      </c>
      <c r="L45" s="74">
        <v>33119.026221861401</v>
      </c>
      <c r="M45" s="74">
        <v>32197.856184949302</v>
      </c>
      <c r="N45" s="74">
        <v>31358.835275197402</v>
      </c>
      <c r="O45" s="74">
        <v>30519.814365445502</v>
      </c>
      <c r="P45" s="74">
        <v>29680.793455693602</v>
      </c>
      <c r="Q45" s="74">
        <v>28841.772545941702</v>
      </c>
      <c r="R45" s="74">
        <v>28002.751636189802</v>
      </c>
      <c r="S45" s="74">
        <v>28002.751636189802</v>
      </c>
      <c r="T45" s="74">
        <v>28002.751636189802</v>
      </c>
      <c r="U45" s="74">
        <v>28002.751636189802</v>
      </c>
      <c r="V45" s="74">
        <v>28002.751636189802</v>
      </c>
      <c r="W45" s="74">
        <v>28002.751636189802</v>
      </c>
      <c r="X45" s="74">
        <v>28002.751636189802</v>
      </c>
      <c r="Y45" s="74">
        <v>28002.751636189802</v>
      </c>
      <c r="Z45" s="74">
        <v>28002.751636189802</v>
      </c>
      <c r="AA45" s="74">
        <v>28002.751636189802</v>
      </c>
      <c r="AB45" s="74">
        <v>28002.751636189802</v>
      </c>
      <c r="AC45" s="74">
        <v>28002.751636189802</v>
      </c>
      <c r="AD45" s="74">
        <v>28002.751636189802</v>
      </c>
      <c r="AE45" s="74">
        <v>28002.751636189802</v>
      </c>
      <c r="AF45" s="74">
        <v>28002.751636189802</v>
      </c>
      <c r="AG45" s="74">
        <v>28002.751636189802</v>
      </c>
      <c r="AH45" s="74">
        <v>28002.751636189802</v>
      </c>
      <c r="AI45" s="74">
        <v>28002.751636189802</v>
      </c>
      <c r="AJ45" s="74">
        <v>28002.751636189802</v>
      </c>
      <c r="AK45" s="74">
        <v>28002.751636189802</v>
      </c>
      <c r="AL45" s="74">
        <v>28002.751636189802</v>
      </c>
      <c r="AM45" s="74">
        <v>28002.751636189802</v>
      </c>
      <c r="AN45" s="74">
        <v>28002.751636189802</v>
      </c>
      <c r="AO45" s="74">
        <v>28002.751636189802</v>
      </c>
      <c r="AP45" s="74">
        <v>28002.751636189802</v>
      </c>
      <c r="AQ45" s="74">
        <v>28002.751636189802</v>
      </c>
      <c r="AR45" s="74">
        <v>28002.751636189802</v>
      </c>
      <c r="AS45" s="74">
        <v>28002.751636189802</v>
      </c>
      <c r="AT45" s="74">
        <v>28002.751636189802</v>
      </c>
      <c r="AU45" s="74">
        <v>28002.751636189802</v>
      </c>
      <c r="AV45" s="74">
        <v>28002.751636189802</v>
      </c>
      <c r="AW45" s="74">
        <v>28002.751636189802</v>
      </c>
      <c r="AX45" s="74">
        <v>28002.751636189802</v>
      </c>
      <c r="AY45" s="74">
        <v>28002.751636189802</v>
      </c>
      <c r="AZ45" s="74">
        <v>28002.751636189802</v>
      </c>
      <c r="BA45" s="74">
        <v>28002.751636189802</v>
      </c>
      <c r="BC45" s="74">
        <v>32848.683068259023</v>
      </c>
    </row>
    <row r="46" spans="1:55" s="74" customFormat="1" ht="16" x14ac:dyDescent="0.8">
      <c r="A46" s="74" t="s">
        <v>125</v>
      </c>
      <c r="B46" s="74" t="s">
        <v>138</v>
      </c>
      <c r="C46" s="74">
        <v>50685.4623430063</v>
      </c>
      <c r="D46" s="74">
        <v>50583.8805170345</v>
      </c>
      <c r="E46" s="74">
        <v>50482.298691062599</v>
      </c>
      <c r="F46" s="74">
        <v>50380.716865090799</v>
      </c>
      <c r="G46" s="74">
        <v>50279.135039118897</v>
      </c>
      <c r="H46" s="74">
        <v>50177.553213147097</v>
      </c>
      <c r="I46" s="74">
        <v>50126.056446811002</v>
      </c>
      <c r="J46" s="74">
        <v>50074.559680475002</v>
      </c>
      <c r="K46" s="74">
        <v>50023.0629141389</v>
      </c>
      <c r="L46" s="74">
        <v>49971.566147802798</v>
      </c>
      <c r="M46" s="74">
        <v>49920.069381466797</v>
      </c>
      <c r="N46" s="74">
        <v>49971.697861011198</v>
      </c>
      <c r="O46" s="74">
        <v>50023.326340555599</v>
      </c>
      <c r="P46" s="74">
        <v>50074.954820099898</v>
      </c>
      <c r="Q46" s="74">
        <v>50126.583299644299</v>
      </c>
      <c r="R46" s="74">
        <v>50178.211779188699</v>
      </c>
      <c r="S46" s="74">
        <v>50243.600408327002</v>
      </c>
      <c r="T46" s="74">
        <v>50308.989037465297</v>
      </c>
      <c r="U46" s="74">
        <v>50374.377666603599</v>
      </c>
      <c r="V46" s="74">
        <v>50439.7662957418</v>
      </c>
      <c r="W46" s="74">
        <v>50505.154924880102</v>
      </c>
      <c r="X46" s="74">
        <v>50396.860215410503</v>
      </c>
      <c r="Y46" s="74">
        <v>50288.565505940802</v>
      </c>
      <c r="Z46" s="74">
        <v>50180.270796471203</v>
      </c>
      <c r="AA46" s="74">
        <v>50071.976087001603</v>
      </c>
      <c r="AB46" s="74">
        <v>49963.681377531902</v>
      </c>
      <c r="AC46" s="74">
        <v>49893.016098539498</v>
      </c>
      <c r="AD46" s="74">
        <v>49822.350819546999</v>
      </c>
      <c r="AE46" s="74">
        <v>49751.685540554499</v>
      </c>
      <c r="AF46" s="74">
        <v>49681.020261562102</v>
      </c>
      <c r="AG46" s="74">
        <v>49610.354982569603</v>
      </c>
      <c r="AH46" s="74">
        <v>49619.818479635702</v>
      </c>
      <c r="AI46" s="74">
        <v>49629.281976701699</v>
      </c>
      <c r="AJ46" s="74">
        <v>49638.745473767798</v>
      </c>
      <c r="AK46" s="74">
        <v>49648.208970833897</v>
      </c>
      <c r="AL46" s="74">
        <v>49657.672467899902</v>
      </c>
      <c r="AM46" s="74">
        <v>49669.930950411203</v>
      </c>
      <c r="AN46" s="74">
        <v>49682.189432922401</v>
      </c>
      <c r="AO46" s="74">
        <v>49694.447915433702</v>
      </c>
      <c r="AP46" s="74">
        <v>49706.706397945003</v>
      </c>
      <c r="AQ46" s="74">
        <v>49718.964880456202</v>
      </c>
      <c r="AR46" s="74">
        <v>49718.964880456202</v>
      </c>
      <c r="AS46" s="74">
        <v>49718.964880456202</v>
      </c>
      <c r="AT46" s="74">
        <v>49718.964880456202</v>
      </c>
      <c r="AU46" s="74">
        <v>49718.964880456202</v>
      </c>
      <c r="AV46" s="74">
        <v>49718.964880456202</v>
      </c>
      <c r="AW46" s="74">
        <v>49718.964880456202</v>
      </c>
      <c r="AX46" s="74">
        <v>49718.964880456202</v>
      </c>
      <c r="AY46" s="74">
        <v>49718.964880456202</v>
      </c>
      <c r="AZ46" s="74">
        <v>49718.964880456202</v>
      </c>
      <c r="BA46" s="74">
        <v>49718.964880456202</v>
      </c>
      <c r="BC46" s="74">
        <v>49918.549378741227</v>
      </c>
    </row>
    <row r="47" spans="1:55" s="74" customFormat="1" ht="16" x14ac:dyDescent="0.8">
      <c r="A47" s="74" t="s">
        <v>139</v>
      </c>
      <c r="B47" s="74" t="s">
        <v>140</v>
      </c>
      <c r="C47" s="74">
        <v>18168.339556343199</v>
      </c>
      <c r="D47" s="74">
        <v>18087.779843213699</v>
      </c>
      <c r="E47" s="74">
        <v>18007.220130084301</v>
      </c>
      <c r="F47" s="74">
        <v>17926.660416954801</v>
      </c>
      <c r="G47" s="74">
        <v>17846.100703825399</v>
      </c>
      <c r="H47" s="74">
        <v>17765.540990695899</v>
      </c>
      <c r="I47" s="74">
        <v>17855.717347129601</v>
      </c>
      <c r="J47" s="74">
        <v>17945.893703563201</v>
      </c>
      <c r="K47" s="74">
        <v>18036.0700599968</v>
      </c>
      <c r="L47" s="74">
        <v>18126.246416430498</v>
      </c>
      <c r="M47" s="74">
        <v>18216.422772864102</v>
      </c>
      <c r="N47" s="74">
        <v>18333.793370800799</v>
      </c>
      <c r="O47" s="74">
        <v>18451.163968737499</v>
      </c>
      <c r="P47" s="74">
        <v>18568.534566674101</v>
      </c>
      <c r="Q47" s="74">
        <v>18685.905164610798</v>
      </c>
      <c r="R47" s="74">
        <v>18803.275762547499</v>
      </c>
      <c r="S47" s="74">
        <v>18989.4734114286</v>
      </c>
      <c r="T47" s="74">
        <v>19175.671060309702</v>
      </c>
      <c r="U47" s="74">
        <v>19361.8687091908</v>
      </c>
      <c r="V47" s="74">
        <v>19548.066358071999</v>
      </c>
      <c r="W47" s="74">
        <v>19734.264006953101</v>
      </c>
      <c r="X47" s="74">
        <v>19821.558269623201</v>
      </c>
      <c r="Y47" s="74">
        <v>19908.852532293298</v>
      </c>
      <c r="Z47" s="74">
        <v>19996.146794963501</v>
      </c>
      <c r="AA47" s="74">
        <v>20083.441057633601</v>
      </c>
      <c r="AB47" s="74">
        <v>20170.735320303698</v>
      </c>
      <c r="AC47" s="74">
        <v>20216.8878974441</v>
      </c>
      <c r="AD47" s="74">
        <v>20263.040474584599</v>
      </c>
      <c r="AE47" s="74">
        <v>20309.193051725</v>
      </c>
      <c r="AF47" s="74">
        <v>20355.345628865402</v>
      </c>
      <c r="AG47" s="74">
        <v>20401.498206005799</v>
      </c>
      <c r="AH47" s="74">
        <v>20465.361529331502</v>
      </c>
      <c r="AI47" s="74">
        <v>20529.2248526572</v>
      </c>
      <c r="AJ47" s="74">
        <v>20593.088175982801</v>
      </c>
      <c r="AK47" s="74">
        <v>20656.951499308499</v>
      </c>
      <c r="AL47" s="74">
        <v>20720.814822634198</v>
      </c>
      <c r="AM47" s="74">
        <v>20782.652656748</v>
      </c>
      <c r="AN47" s="74">
        <v>20844.490490861801</v>
      </c>
      <c r="AO47" s="74">
        <v>20906.328324975599</v>
      </c>
      <c r="AP47" s="74">
        <v>20968.166159089302</v>
      </c>
      <c r="AQ47" s="74">
        <v>21030.0039932031</v>
      </c>
      <c r="AR47" s="74">
        <v>21030.0039932031</v>
      </c>
      <c r="AS47" s="74">
        <v>21030.0039932031</v>
      </c>
      <c r="AT47" s="74">
        <v>21030.0039932031</v>
      </c>
      <c r="AU47" s="74">
        <v>21030.0039932031</v>
      </c>
      <c r="AV47" s="74">
        <v>21030.0039932031</v>
      </c>
      <c r="AW47" s="74">
        <v>21030.0039932031</v>
      </c>
      <c r="AX47" s="74">
        <v>21030.0039932031</v>
      </c>
      <c r="AY47" s="74">
        <v>21030.0039932031</v>
      </c>
      <c r="AZ47" s="74">
        <v>21030.0039932031</v>
      </c>
      <c r="BA47" s="74">
        <v>21030.0039932031</v>
      </c>
      <c r="BC47" s="74">
        <v>19869.544927123421</v>
      </c>
    </row>
    <row r="48" spans="1:55" s="74" customFormat="1" ht="16" x14ac:dyDescent="0.8">
      <c r="A48" s="74" t="s">
        <v>139</v>
      </c>
      <c r="B48" s="74" t="s">
        <v>141</v>
      </c>
      <c r="C48" s="74">
        <v>20917.827201155302</v>
      </c>
      <c r="D48" s="74">
        <v>20769.874522766298</v>
      </c>
      <c r="E48" s="74">
        <v>20621.921844377201</v>
      </c>
      <c r="F48" s="74">
        <v>20473.969165988099</v>
      </c>
      <c r="G48" s="74">
        <v>20326.016487599099</v>
      </c>
      <c r="H48" s="74">
        <v>20178.063809210002</v>
      </c>
      <c r="I48" s="74">
        <v>20110.102201513899</v>
      </c>
      <c r="J48" s="74">
        <v>20042.1405938178</v>
      </c>
      <c r="K48" s="74">
        <v>19974.178986121799</v>
      </c>
      <c r="L48" s="74">
        <v>19906.217378425699</v>
      </c>
      <c r="M48" s="74">
        <v>19838.2557707296</v>
      </c>
      <c r="N48" s="74">
        <v>19789.940504021601</v>
      </c>
      <c r="O48" s="74">
        <v>19741.625237313499</v>
      </c>
      <c r="P48" s="74">
        <v>19693.3099706055</v>
      </c>
      <c r="Q48" s="74">
        <v>19644.994703897399</v>
      </c>
      <c r="R48" s="74">
        <v>19596.679437189301</v>
      </c>
      <c r="S48" s="74">
        <v>19630.934993729701</v>
      </c>
      <c r="T48" s="74">
        <v>19665.190550270101</v>
      </c>
      <c r="U48" s="74">
        <v>19699.446106810399</v>
      </c>
      <c r="V48" s="74">
        <v>19733.701663350799</v>
      </c>
      <c r="W48" s="74">
        <v>19767.957219891101</v>
      </c>
      <c r="X48" s="74">
        <v>19842.261503890299</v>
      </c>
      <c r="Y48" s="74">
        <v>19916.5657878895</v>
      </c>
      <c r="Z48" s="74">
        <v>19990.870071888599</v>
      </c>
      <c r="AA48" s="74">
        <v>20065.174355887801</v>
      </c>
      <c r="AB48" s="74">
        <v>20139.478639886998</v>
      </c>
      <c r="AC48" s="74">
        <v>20205.411162817101</v>
      </c>
      <c r="AD48" s="74">
        <v>20271.343685747201</v>
      </c>
      <c r="AE48" s="74">
        <v>20337.2762086773</v>
      </c>
      <c r="AF48" s="74">
        <v>20403.208731607399</v>
      </c>
      <c r="AG48" s="74">
        <v>20469.141254537499</v>
      </c>
      <c r="AH48" s="74">
        <v>20531.942875398301</v>
      </c>
      <c r="AI48" s="74">
        <v>20594.744496259002</v>
      </c>
      <c r="AJ48" s="74">
        <v>20657.546117119698</v>
      </c>
      <c r="AK48" s="74">
        <v>20720.347737980501</v>
      </c>
      <c r="AL48" s="74">
        <v>20783.149358841201</v>
      </c>
      <c r="AM48" s="74">
        <v>20840.506481954799</v>
      </c>
      <c r="AN48" s="74">
        <v>20897.863605068502</v>
      </c>
      <c r="AO48" s="74">
        <v>20955.220728182099</v>
      </c>
      <c r="AP48" s="74">
        <v>21012.577851295799</v>
      </c>
      <c r="AQ48" s="74">
        <v>21069.9349744094</v>
      </c>
      <c r="AR48" s="74">
        <v>21069.9349744094</v>
      </c>
      <c r="AS48" s="74">
        <v>21069.9349744094</v>
      </c>
      <c r="AT48" s="74">
        <v>21069.9349744094</v>
      </c>
      <c r="AU48" s="74">
        <v>21069.9349744094</v>
      </c>
      <c r="AV48" s="74">
        <v>21069.9349744094</v>
      </c>
      <c r="AW48" s="74">
        <v>21069.9349744094</v>
      </c>
      <c r="AX48" s="74">
        <v>21069.9349744094</v>
      </c>
      <c r="AY48" s="74">
        <v>21069.9349744094</v>
      </c>
      <c r="AZ48" s="74">
        <v>21069.9349744094</v>
      </c>
      <c r="BA48" s="74">
        <v>21069.9349744094</v>
      </c>
      <c r="BC48" s="74">
        <v>20407.15243008138</v>
      </c>
    </row>
    <row r="49" spans="1:55" s="74" customFormat="1" ht="16" x14ac:dyDescent="0.8">
      <c r="A49" s="74" t="s">
        <v>139</v>
      </c>
      <c r="B49" s="74" t="s">
        <v>142</v>
      </c>
      <c r="C49" s="74">
        <v>19711.017562032201</v>
      </c>
      <c r="D49" s="74">
        <v>19686.4424373316</v>
      </c>
      <c r="E49" s="74">
        <v>19661.867312630999</v>
      </c>
      <c r="F49" s="74">
        <v>19637.292187930401</v>
      </c>
      <c r="G49" s="74">
        <v>19612.7170632298</v>
      </c>
      <c r="H49" s="74">
        <v>19588.141938529199</v>
      </c>
      <c r="I49" s="74">
        <v>19605.874300359101</v>
      </c>
      <c r="J49" s="74">
        <v>19623.6066621891</v>
      </c>
      <c r="K49" s="74">
        <v>19641.339024018998</v>
      </c>
      <c r="L49" s="74">
        <v>19659.071385849002</v>
      </c>
      <c r="M49" s="74">
        <v>19676.8037476789</v>
      </c>
      <c r="N49" s="74">
        <v>19666.568665689101</v>
      </c>
      <c r="O49" s="74">
        <v>19656.333583699299</v>
      </c>
      <c r="P49" s="74">
        <v>19646.098501709501</v>
      </c>
      <c r="Q49" s="74">
        <v>19635.863419719699</v>
      </c>
      <c r="R49" s="74">
        <v>19625.628337729901</v>
      </c>
      <c r="S49" s="74">
        <v>19664.817091797599</v>
      </c>
      <c r="T49" s="74">
        <v>19704.0058458653</v>
      </c>
      <c r="U49" s="74">
        <v>19743.194599932998</v>
      </c>
      <c r="V49" s="74">
        <v>19782.3833540007</v>
      </c>
      <c r="W49" s="74">
        <v>19821.572108068402</v>
      </c>
      <c r="X49" s="74">
        <v>19877.844543290899</v>
      </c>
      <c r="Y49" s="74">
        <v>19934.116978513401</v>
      </c>
      <c r="Z49" s="74">
        <v>19990.389413735898</v>
      </c>
      <c r="AA49" s="74">
        <v>20046.6618489584</v>
      </c>
      <c r="AB49" s="74">
        <v>20102.934284180901</v>
      </c>
      <c r="AC49" s="74">
        <v>20177.648909189898</v>
      </c>
      <c r="AD49" s="74">
        <v>20252.363534198899</v>
      </c>
      <c r="AE49" s="74">
        <v>20327.0781592079</v>
      </c>
      <c r="AF49" s="74">
        <v>20401.792784216999</v>
      </c>
      <c r="AG49" s="74">
        <v>20476.507409226</v>
      </c>
      <c r="AH49" s="74">
        <v>20541.9653622769</v>
      </c>
      <c r="AI49" s="74">
        <v>20607.4233153278</v>
      </c>
      <c r="AJ49" s="74">
        <v>20672.8812683787</v>
      </c>
      <c r="AK49" s="74">
        <v>20738.3392214296</v>
      </c>
      <c r="AL49" s="74">
        <v>20803.7971744805</v>
      </c>
      <c r="AM49" s="74">
        <v>20861.918369165</v>
      </c>
      <c r="AN49" s="74">
        <v>20920.039563849499</v>
      </c>
      <c r="AO49" s="74">
        <v>20978.160758533999</v>
      </c>
      <c r="AP49" s="74">
        <v>21036.281953218499</v>
      </c>
      <c r="AQ49" s="74">
        <v>21094.403147903002</v>
      </c>
      <c r="AR49" s="74">
        <v>21094.403147903002</v>
      </c>
      <c r="AS49" s="74">
        <v>21094.403147903002</v>
      </c>
      <c r="AT49" s="74">
        <v>21094.403147903002</v>
      </c>
      <c r="AU49" s="74">
        <v>21094.403147903002</v>
      </c>
      <c r="AV49" s="74">
        <v>21094.403147903002</v>
      </c>
      <c r="AW49" s="74">
        <v>21094.403147903002</v>
      </c>
      <c r="AX49" s="74">
        <v>21094.403147903002</v>
      </c>
      <c r="AY49" s="74">
        <v>21094.403147903002</v>
      </c>
      <c r="AZ49" s="74">
        <v>21094.403147903002</v>
      </c>
      <c r="BA49" s="74">
        <v>21094.403147903002</v>
      </c>
      <c r="BC49" s="74">
        <v>20211.770846553783</v>
      </c>
    </row>
    <row r="50" spans="1:55" s="74" customFormat="1" ht="16" x14ac:dyDescent="0.8">
      <c r="A50" s="74" t="s">
        <v>139</v>
      </c>
      <c r="B50" s="74" t="s">
        <v>143</v>
      </c>
      <c r="C50" s="74">
        <v>4020.7458490282002</v>
      </c>
      <c r="D50" s="74">
        <v>4009.3755094142798</v>
      </c>
      <c r="E50" s="74">
        <v>3998.0051698003599</v>
      </c>
      <c r="F50" s="74">
        <v>3986.63483018643</v>
      </c>
      <c r="G50" s="74">
        <v>3975.2644905725101</v>
      </c>
      <c r="H50" s="74">
        <v>3963.8941509585902</v>
      </c>
      <c r="I50" s="74">
        <v>3956.4469152118099</v>
      </c>
      <c r="J50" s="74">
        <v>3948.9996794650301</v>
      </c>
      <c r="K50" s="74">
        <v>3941.5524437182598</v>
      </c>
      <c r="L50" s="74">
        <v>3934.10520797148</v>
      </c>
      <c r="M50" s="74">
        <v>3926.6579722247002</v>
      </c>
      <c r="N50" s="74">
        <v>3906.55227623563</v>
      </c>
      <c r="O50" s="74">
        <v>3886.4465802465602</v>
      </c>
      <c r="P50" s="74">
        <v>3866.34088425748</v>
      </c>
      <c r="Q50" s="74">
        <v>3846.2351882684102</v>
      </c>
      <c r="R50" s="74">
        <v>3826.12949227934</v>
      </c>
      <c r="S50" s="74">
        <v>3806.4515496110998</v>
      </c>
      <c r="T50" s="74">
        <v>3786.7736069428702</v>
      </c>
      <c r="U50" s="74">
        <v>3767.0956642746401</v>
      </c>
      <c r="V50" s="74">
        <v>3747.4177216064099</v>
      </c>
      <c r="W50" s="74">
        <v>3727.7397789381698</v>
      </c>
      <c r="X50" s="74">
        <v>3710.80597965675</v>
      </c>
      <c r="Y50" s="74">
        <v>3693.8721803753201</v>
      </c>
      <c r="Z50" s="74">
        <v>3676.9383810938998</v>
      </c>
      <c r="AA50" s="74">
        <v>3660.00458181247</v>
      </c>
      <c r="AB50" s="74">
        <v>3643.0707825310501</v>
      </c>
      <c r="AC50" s="74">
        <v>3634.6787038867601</v>
      </c>
      <c r="AD50" s="74">
        <v>3626.2866252424601</v>
      </c>
      <c r="AE50" s="74">
        <v>3617.8945465981701</v>
      </c>
      <c r="AF50" s="74">
        <v>3609.5024679538801</v>
      </c>
      <c r="AG50" s="74">
        <v>3601.1103893095801</v>
      </c>
      <c r="AH50" s="74">
        <v>3596.2500154659301</v>
      </c>
      <c r="AI50" s="74">
        <v>3591.3896416222801</v>
      </c>
      <c r="AJ50" s="74">
        <v>3586.5292677786301</v>
      </c>
      <c r="AK50" s="74">
        <v>3581.6688939349801</v>
      </c>
      <c r="AL50" s="74">
        <v>3576.8085200913301</v>
      </c>
      <c r="AM50" s="74">
        <v>3571.9814206059</v>
      </c>
      <c r="AN50" s="74">
        <v>3567.1543211204698</v>
      </c>
      <c r="AO50" s="74">
        <v>3562.3272216350401</v>
      </c>
      <c r="AP50" s="74">
        <v>3557.50012214961</v>
      </c>
      <c r="AQ50" s="74">
        <v>3552.6730226641798</v>
      </c>
      <c r="AR50" s="74">
        <v>3552.6730226641798</v>
      </c>
      <c r="AS50" s="74">
        <v>3552.6730226641798</v>
      </c>
      <c r="AT50" s="74">
        <v>3552.6730226641798</v>
      </c>
      <c r="AU50" s="74">
        <v>3552.6730226641798</v>
      </c>
      <c r="AV50" s="74">
        <v>3552.6730226641798</v>
      </c>
      <c r="AW50" s="74">
        <v>3552.6730226641798</v>
      </c>
      <c r="AX50" s="74">
        <v>3552.6730226641798</v>
      </c>
      <c r="AY50" s="74">
        <v>3552.6730226641798</v>
      </c>
      <c r="AZ50" s="74">
        <v>3552.6730226641798</v>
      </c>
      <c r="BA50" s="74">
        <v>3552.6730226641798</v>
      </c>
      <c r="BC50" s="74">
        <v>3807.8853271450416</v>
      </c>
    </row>
    <row r="51" spans="1:55" s="74" customFormat="1" ht="16" x14ac:dyDescent="0.8">
      <c r="A51" s="74" t="s">
        <v>139</v>
      </c>
      <c r="B51" s="74" t="s">
        <v>144</v>
      </c>
      <c r="C51" s="74">
        <v>17973.6624094611</v>
      </c>
      <c r="D51" s="74">
        <v>17954.289625518501</v>
      </c>
      <c r="E51" s="74">
        <v>17934.916841576</v>
      </c>
      <c r="F51" s="74">
        <v>17915.544057633499</v>
      </c>
      <c r="G51" s="74">
        <v>17896.171273690899</v>
      </c>
      <c r="H51" s="74">
        <v>17876.798489748398</v>
      </c>
      <c r="I51" s="74">
        <v>17935.451709955902</v>
      </c>
      <c r="J51" s="74">
        <v>17994.104930163299</v>
      </c>
      <c r="K51" s="74">
        <v>18052.758150370799</v>
      </c>
      <c r="L51" s="74">
        <v>18111.4113705782</v>
      </c>
      <c r="M51" s="74">
        <v>18170.0645907857</v>
      </c>
      <c r="N51" s="74">
        <v>18231.495605779499</v>
      </c>
      <c r="O51" s="74">
        <v>18292.926620773302</v>
      </c>
      <c r="P51" s="74">
        <v>18354.357635767199</v>
      </c>
      <c r="Q51" s="74">
        <v>18415.788650760998</v>
      </c>
      <c r="R51" s="74">
        <v>18477.219665754801</v>
      </c>
      <c r="S51" s="74">
        <v>18557.101117931001</v>
      </c>
      <c r="T51" s="74">
        <v>18636.9825701072</v>
      </c>
      <c r="U51" s="74">
        <v>18716.864022283498</v>
      </c>
      <c r="V51" s="74">
        <v>18796.745474459702</v>
      </c>
      <c r="W51" s="74">
        <v>18876.626926635901</v>
      </c>
      <c r="X51" s="74">
        <v>18925.201737731099</v>
      </c>
      <c r="Y51" s="74">
        <v>18973.776548826299</v>
      </c>
      <c r="Z51" s="74">
        <v>19022.351359921598</v>
      </c>
      <c r="AA51" s="74">
        <v>19070.926171016799</v>
      </c>
      <c r="AB51" s="74">
        <v>19119.500982112098</v>
      </c>
      <c r="AC51" s="74">
        <v>19157.192925413699</v>
      </c>
      <c r="AD51" s="74">
        <v>19194.884868715399</v>
      </c>
      <c r="AE51" s="74">
        <v>19232.576812017</v>
      </c>
      <c r="AF51" s="74">
        <v>19270.268755318699</v>
      </c>
      <c r="AG51" s="74">
        <v>19307.9606986203</v>
      </c>
      <c r="AH51" s="74">
        <v>19346.846818670299</v>
      </c>
      <c r="AI51" s="74">
        <v>19385.732938720299</v>
      </c>
      <c r="AJ51" s="74">
        <v>19424.619058770299</v>
      </c>
      <c r="AK51" s="74">
        <v>19463.505178820302</v>
      </c>
      <c r="AL51" s="74">
        <v>19502.391298870301</v>
      </c>
      <c r="AM51" s="74">
        <v>19541.963390087101</v>
      </c>
      <c r="AN51" s="74">
        <v>19581.535481303999</v>
      </c>
      <c r="AO51" s="74">
        <v>19621.107572520901</v>
      </c>
      <c r="AP51" s="74">
        <v>19660.679663737701</v>
      </c>
      <c r="AQ51" s="74">
        <v>19700.251754954599</v>
      </c>
      <c r="AR51" s="74">
        <v>19700.251754954599</v>
      </c>
      <c r="AS51" s="74">
        <v>19700.251754954599</v>
      </c>
      <c r="AT51" s="74">
        <v>19700.251754954599</v>
      </c>
      <c r="AU51" s="74">
        <v>19700.251754954599</v>
      </c>
      <c r="AV51" s="74">
        <v>19700.251754954599</v>
      </c>
      <c r="AW51" s="74">
        <v>19700.251754954599</v>
      </c>
      <c r="AX51" s="74">
        <v>19700.251754954599</v>
      </c>
      <c r="AY51" s="74">
        <v>19700.251754954599</v>
      </c>
      <c r="AZ51" s="74">
        <v>19700.251754954599</v>
      </c>
      <c r="BA51" s="74">
        <v>19700.251754954599</v>
      </c>
      <c r="BC51" s="74">
        <v>18552.652863838659</v>
      </c>
    </row>
    <row r="52" spans="1:55" s="74" customFormat="1" ht="16" x14ac:dyDescent="0.8">
      <c r="A52" s="74" t="s">
        <v>139</v>
      </c>
      <c r="B52" s="74" t="s">
        <v>145</v>
      </c>
      <c r="C52" s="74">
        <v>17469.851457130699</v>
      </c>
      <c r="D52" s="74">
        <v>17675.241642131401</v>
      </c>
      <c r="E52" s="74">
        <v>17880.6318271321</v>
      </c>
      <c r="F52" s="74">
        <v>18086.022012132798</v>
      </c>
      <c r="G52" s="74">
        <v>18291.412197133501</v>
      </c>
      <c r="H52" s="74">
        <v>18496.802382134199</v>
      </c>
      <c r="I52" s="74">
        <v>18718.869345213701</v>
      </c>
      <c r="J52" s="74">
        <v>18940.936308293301</v>
      </c>
      <c r="K52" s="74">
        <v>19163.003271372902</v>
      </c>
      <c r="L52" s="74">
        <v>19385.070234452502</v>
      </c>
      <c r="M52" s="74">
        <v>19607.137197532102</v>
      </c>
      <c r="N52" s="74">
        <v>19703.901797418999</v>
      </c>
      <c r="O52" s="74">
        <v>19800.666397305999</v>
      </c>
      <c r="P52" s="74">
        <v>19897.4309971929</v>
      </c>
      <c r="Q52" s="74">
        <v>19994.195597079801</v>
      </c>
      <c r="R52" s="74">
        <v>20090.9601969668</v>
      </c>
      <c r="S52" s="74">
        <v>20130.9816244496</v>
      </c>
      <c r="T52" s="74">
        <v>20171.003051932501</v>
      </c>
      <c r="U52" s="74">
        <v>20211.024479415399</v>
      </c>
      <c r="V52" s="74">
        <v>20251.0459068983</v>
      </c>
      <c r="W52" s="74">
        <v>20291.067334381201</v>
      </c>
      <c r="X52" s="74">
        <v>20285.970104992699</v>
      </c>
      <c r="Y52" s="74">
        <v>20280.8728756042</v>
      </c>
      <c r="Z52" s="74">
        <v>20275.775646215701</v>
      </c>
      <c r="AA52" s="74">
        <v>20270.678416827199</v>
      </c>
      <c r="AB52" s="74">
        <v>20265.5811874387</v>
      </c>
      <c r="AC52" s="74">
        <v>20297.143188716102</v>
      </c>
      <c r="AD52" s="74">
        <v>20328.705189993601</v>
      </c>
      <c r="AE52" s="74">
        <v>20360.267191270999</v>
      </c>
      <c r="AF52" s="74">
        <v>20391.829192548401</v>
      </c>
      <c r="AG52" s="74">
        <v>20423.391193825901</v>
      </c>
      <c r="AH52" s="74">
        <v>20485.4421145704</v>
      </c>
      <c r="AI52" s="74">
        <v>20547.493035314899</v>
      </c>
      <c r="AJ52" s="74">
        <v>20609.543956059399</v>
      </c>
      <c r="AK52" s="74">
        <v>20671.594876804</v>
      </c>
      <c r="AL52" s="74">
        <v>20733.645797548499</v>
      </c>
      <c r="AM52" s="74">
        <v>20794.9371745811</v>
      </c>
      <c r="AN52" s="74">
        <v>20856.228551613702</v>
      </c>
      <c r="AO52" s="74">
        <v>20917.519928646299</v>
      </c>
      <c r="AP52" s="74">
        <v>20978.811305678799</v>
      </c>
      <c r="AQ52" s="74">
        <v>21040.1026827114</v>
      </c>
      <c r="AR52" s="74">
        <v>21040.1026827114</v>
      </c>
      <c r="AS52" s="74">
        <v>21040.1026827114</v>
      </c>
      <c r="AT52" s="74">
        <v>21040.1026827114</v>
      </c>
      <c r="AU52" s="74">
        <v>21040.1026827114</v>
      </c>
      <c r="AV52" s="74">
        <v>21040.1026827114</v>
      </c>
      <c r="AW52" s="74">
        <v>21040.1026827114</v>
      </c>
      <c r="AX52" s="74">
        <v>21040.1026827114</v>
      </c>
      <c r="AY52" s="74">
        <v>21040.1026827114</v>
      </c>
      <c r="AZ52" s="74">
        <v>21040.1026827114</v>
      </c>
      <c r="BA52" s="74">
        <v>21040.1026827114</v>
      </c>
      <c r="BC52" s="74">
        <v>19882.163050778829</v>
      </c>
    </row>
    <row r="53" spans="1:55" s="74" customFormat="1" ht="16" x14ac:dyDescent="0.8">
      <c r="A53" s="74" t="s">
        <v>139</v>
      </c>
      <c r="B53" s="74" t="s">
        <v>146</v>
      </c>
      <c r="C53" s="74">
        <v>8881.8420615397299</v>
      </c>
      <c r="D53" s="74">
        <v>7546.38357193908</v>
      </c>
      <c r="E53" s="74">
        <v>6210.92508233843</v>
      </c>
      <c r="F53" s="74">
        <v>4875.46659273778</v>
      </c>
      <c r="G53" s="74">
        <v>3540.0081031371301</v>
      </c>
      <c r="H53" s="74">
        <v>2204.5496135364801</v>
      </c>
      <c r="I53" s="74">
        <v>2204.5496135364801</v>
      </c>
      <c r="J53" s="74">
        <v>2204.5496135364801</v>
      </c>
      <c r="K53" s="74">
        <v>2204.5496135364801</v>
      </c>
      <c r="L53" s="74">
        <v>2204.5496135364801</v>
      </c>
      <c r="M53" s="74">
        <v>2204.5496135364801</v>
      </c>
      <c r="N53" s="74">
        <v>2204.5496135364801</v>
      </c>
      <c r="O53" s="74">
        <v>2204.5496135364801</v>
      </c>
      <c r="P53" s="74">
        <v>2204.5496135364801</v>
      </c>
      <c r="Q53" s="74">
        <v>2204.5496135364801</v>
      </c>
      <c r="R53" s="74">
        <v>2204.5496135364801</v>
      </c>
      <c r="S53" s="74">
        <v>2204.5496135364801</v>
      </c>
      <c r="T53" s="74">
        <v>2204.5496135364801</v>
      </c>
      <c r="U53" s="74">
        <v>2204.5496135364801</v>
      </c>
      <c r="V53" s="74">
        <v>2204.5496135364801</v>
      </c>
      <c r="W53" s="74">
        <v>2204.5496135364801</v>
      </c>
      <c r="X53" s="74">
        <v>2204.5496135364801</v>
      </c>
      <c r="Y53" s="74">
        <v>2204.5496135364801</v>
      </c>
      <c r="Z53" s="74">
        <v>2204.5496135364801</v>
      </c>
      <c r="AA53" s="74">
        <v>2204.5496135364801</v>
      </c>
      <c r="AB53" s="74">
        <v>2204.5496135364801</v>
      </c>
      <c r="AC53" s="74">
        <v>2204.5496135364801</v>
      </c>
      <c r="AD53" s="74">
        <v>2204.5496135364801</v>
      </c>
      <c r="AE53" s="74">
        <v>2204.5496135364801</v>
      </c>
      <c r="AF53" s="74">
        <v>2204.5496135364801</v>
      </c>
      <c r="AG53" s="74">
        <v>2204.5496135364801</v>
      </c>
      <c r="AH53" s="74">
        <v>2204.5496135364801</v>
      </c>
      <c r="AI53" s="74">
        <v>2204.5496135364801</v>
      </c>
      <c r="AJ53" s="74">
        <v>2204.5496135364801</v>
      </c>
      <c r="AK53" s="74">
        <v>2204.5496135364801</v>
      </c>
      <c r="AL53" s="74">
        <v>2204.5496135364801</v>
      </c>
      <c r="AM53" s="74">
        <v>2204.5496135364801</v>
      </c>
      <c r="AN53" s="74">
        <v>2204.5496135364801</v>
      </c>
      <c r="AO53" s="74">
        <v>2204.5496135364801</v>
      </c>
      <c r="AP53" s="74">
        <v>2204.5496135364801</v>
      </c>
      <c r="AQ53" s="74">
        <v>2204.5496135364801</v>
      </c>
      <c r="AR53" s="74">
        <v>2204.5496135364801</v>
      </c>
      <c r="AS53" s="74">
        <v>2204.5496135364801</v>
      </c>
      <c r="AT53" s="74">
        <v>2204.5496135364801</v>
      </c>
      <c r="AU53" s="74">
        <v>2204.5496135364801</v>
      </c>
      <c r="AV53" s="74">
        <v>2204.5496135364801</v>
      </c>
      <c r="AW53" s="74">
        <v>2204.5496135364801</v>
      </c>
      <c r="AX53" s="74">
        <v>2204.5496135364801</v>
      </c>
      <c r="AY53" s="74">
        <v>2204.5496135364801</v>
      </c>
      <c r="AZ53" s="74">
        <v>2204.5496135364801</v>
      </c>
      <c r="BA53" s="74">
        <v>2204.5496135364801</v>
      </c>
      <c r="BC53" s="74">
        <v>7249.3066990766138</v>
      </c>
    </row>
    <row r="54" spans="1:55" s="74" customFormat="1" ht="16" x14ac:dyDescent="0.8">
      <c r="A54" s="74" t="s">
        <v>139</v>
      </c>
      <c r="B54" s="74" t="s">
        <v>147</v>
      </c>
      <c r="C54" s="74">
        <v>9806.50378464393</v>
      </c>
      <c r="D54" s="74">
        <v>9655.4741716267999</v>
      </c>
      <c r="E54" s="74">
        <v>9504.4445586096808</v>
      </c>
      <c r="F54" s="74">
        <v>9353.4149455925508</v>
      </c>
      <c r="G54" s="74">
        <v>9202.3853325754208</v>
      </c>
      <c r="H54" s="74">
        <v>9051.3557195582907</v>
      </c>
      <c r="I54" s="74">
        <v>9051.3557195582907</v>
      </c>
      <c r="J54" s="74">
        <v>9051.3557195582907</v>
      </c>
      <c r="K54" s="74">
        <v>9051.3557195582907</v>
      </c>
      <c r="L54" s="74">
        <v>9051.3557195582907</v>
      </c>
      <c r="M54" s="74">
        <v>9051.3557195582907</v>
      </c>
      <c r="N54" s="74">
        <v>9051.3557195582907</v>
      </c>
      <c r="O54" s="74">
        <v>9051.3557195582907</v>
      </c>
      <c r="P54" s="74">
        <v>9051.3557195582907</v>
      </c>
      <c r="Q54" s="74">
        <v>9051.3557195582907</v>
      </c>
      <c r="R54" s="74">
        <v>9051.3557195582907</v>
      </c>
      <c r="S54" s="74">
        <v>9051.3557195582907</v>
      </c>
      <c r="T54" s="74">
        <v>9051.3557195582907</v>
      </c>
      <c r="U54" s="74">
        <v>9051.3557195582907</v>
      </c>
      <c r="V54" s="74">
        <v>9051.3557195582907</v>
      </c>
      <c r="W54" s="74">
        <v>9051.3557195582907</v>
      </c>
      <c r="X54" s="74">
        <v>9051.3557195582907</v>
      </c>
      <c r="Y54" s="74">
        <v>9051.3557195582907</v>
      </c>
      <c r="Z54" s="74">
        <v>9051.3557195582907</v>
      </c>
      <c r="AA54" s="74">
        <v>9051.3557195582907</v>
      </c>
      <c r="AB54" s="74">
        <v>9051.3557195582907</v>
      </c>
      <c r="AC54" s="74">
        <v>9051.3557195582907</v>
      </c>
      <c r="AD54" s="74">
        <v>9051.3557195582907</v>
      </c>
      <c r="AE54" s="74">
        <v>9051.3557195582907</v>
      </c>
      <c r="AF54" s="74">
        <v>9051.3557195582907</v>
      </c>
      <c r="AG54" s="74">
        <v>9051.3557195582907</v>
      </c>
      <c r="AH54" s="74">
        <v>9051.3557195582907</v>
      </c>
      <c r="AI54" s="74">
        <v>9051.3557195582907</v>
      </c>
      <c r="AJ54" s="74">
        <v>9051.3557195582907</v>
      </c>
      <c r="AK54" s="74">
        <v>9051.3557195582907</v>
      </c>
      <c r="AL54" s="74">
        <v>9051.3557195582907</v>
      </c>
      <c r="AM54" s="74">
        <v>9051.3557195582907</v>
      </c>
      <c r="AN54" s="74">
        <v>9051.3557195582907</v>
      </c>
      <c r="AO54" s="74">
        <v>9051.3557195582907</v>
      </c>
      <c r="AP54" s="74">
        <v>9051.3557195582907</v>
      </c>
      <c r="AQ54" s="74">
        <v>9051.3557195582907</v>
      </c>
      <c r="AR54" s="74">
        <v>9051.3557195582907</v>
      </c>
      <c r="AS54" s="74">
        <v>9051.3557195582907</v>
      </c>
      <c r="AT54" s="74">
        <v>9051.3557195582907</v>
      </c>
      <c r="AU54" s="74">
        <v>9051.3557195582907</v>
      </c>
      <c r="AV54" s="74">
        <v>9051.3557195582907</v>
      </c>
      <c r="AW54" s="74">
        <v>9051.3557195582907</v>
      </c>
      <c r="AX54" s="74">
        <v>9051.3557195582907</v>
      </c>
      <c r="AY54" s="74">
        <v>9051.3557195582907</v>
      </c>
      <c r="AZ54" s="74">
        <v>9051.3557195582907</v>
      </c>
      <c r="BA54" s="74">
        <v>9051.3557195582907</v>
      </c>
      <c r="BC54" s="74">
        <v>9896.7090327829428</v>
      </c>
    </row>
    <row r="55" spans="1:55" s="74" customFormat="1" ht="16" x14ac:dyDescent="0.8">
      <c r="A55" s="74" t="s">
        <v>139</v>
      </c>
      <c r="B55" s="74" t="s">
        <v>148</v>
      </c>
      <c r="C55" s="74">
        <v>29590.554377012799</v>
      </c>
      <c r="D55" s="74">
        <v>29843.707659375901</v>
      </c>
      <c r="E55" s="74">
        <v>30096.860941739</v>
      </c>
      <c r="F55" s="74">
        <v>30350.014224102099</v>
      </c>
      <c r="G55" s="74">
        <v>30603.167506465201</v>
      </c>
      <c r="H55" s="74">
        <v>30856.320788828201</v>
      </c>
      <c r="I55" s="74">
        <v>31215.788652550498</v>
      </c>
      <c r="J55" s="74">
        <v>31575.256516272701</v>
      </c>
      <c r="K55" s="74">
        <v>31934.724379995001</v>
      </c>
      <c r="L55" s="74">
        <v>32294.1922437172</v>
      </c>
      <c r="M55" s="74">
        <v>32653.660107439398</v>
      </c>
      <c r="N55" s="74">
        <v>32855.763706417398</v>
      </c>
      <c r="O55" s="74">
        <v>33057.867305395303</v>
      </c>
      <c r="P55" s="74">
        <v>33259.970904373302</v>
      </c>
      <c r="Q55" s="74">
        <v>33462.074503351199</v>
      </c>
      <c r="R55" s="74">
        <v>33664.178102329097</v>
      </c>
      <c r="S55" s="74">
        <v>33952.175930452599</v>
      </c>
      <c r="T55" s="74">
        <v>34240.1737585761</v>
      </c>
      <c r="U55" s="74">
        <v>34528.1715866995</v>
      </c>
      <c r="V55" s="74">
        <v>34816.169414823002</v>
      </c>
      <c r="W55" s="74">
        <v>35104.167242946503</v>
      </c>
      <c r="X55" s="74">
        <v>35244.166328981097</v>
      </c>
      <c r="Y55" s="74">
        <v>35384.165415015697</v>
      </c>
      <c r="Z55" s="74">
        <v>35524.164501050298</v>
      </c>
      <c r="AA55" s="74">
        <v>35664.163587084899</v>
      </c>
      <c r="AB55" s="74">
        <v>35804.162673119499</v>
      </c>
      <c r="AC55" s="74">
        <v>35876.120541892902</v>
      </c>
      <c r="AD55" s="74">
        <v>35948.078410666298</v>
      </c>
      <c r="AE55" s="74">
        <v>36020.036279439599</v>
      </c>
      <c r="AF55" s="74">
        <v>36091.994148213002</v>
      </c>
      <c r="AG55" s="74">
        <v>36163.952016986303</v>
      </c>
      <c r="AH55" s="74">
        <v>36287.348008594199</v>
      </c>
      <c r="AI55" s="74">
        <v>36410.744000202198</v>
      </c>
      <c r="AJ55" s="74">
        <v>36534.139991810101</v>
      </c>
      <c r="AK55" s="74">
        <v>36657.535983417998</v>
      </c>
      <c r="AL55" s="74">
        <v>36780.931975025902</v>
      </c>
      <c r="AM55" s="74">
        <v>36913.565554859102</v>
      </c>
      <c r="AN55" s="74">
        <v>37046.199134692397</v>
      </c>
      <c r="AO55" s="74">
        <v>37178.832714525597</v>
      </c>
      <c r="AP55" s="74">
        <v>37311.466294358797</v>
      </c>
      <c r="AQ55" s="74">
        <v>37444.099874192099</v>
      </c>
      <c r="AR55" s="74">
        <v>37444.099874192099</v>
      </c>
      <c r="AS55" s="74">
        <v>37444.099874192099</v>
      </c>
      <c r="AT55" s="74">
        <v>37444.099874192099</v>
      </c>
      <c r="AU55" s="74">
        <v>37444.099874192099</v>
      </c>
      <c r="AV55" s="74">
        <v>37444.099874192099</v>
      </c>
      <c r="AW55" s="74">
        <v>37444.099874192099</v>
      </c>
      <c r="AX55" s="74">
        <v>37444.099874192099</v>
      </c>
      <c r="AY55" s="74">
        <v>37444.099874192099</v>
      </c>
      <c r="AZ55" s="74">
        <v>37444.099874192099</v>
      </c>
      <c r="BA55" s="74">
        <v>37444.099874192099</v>
      </c>
      <c r="BC55" s="74">
        <v>35740.823754379227</v>
      </c>
    </row>
    <row r="56" spans="1:55" s="74" customFormat="1" ht="16" x14ac:dyDescent="0.8">
      <c r="A56" s="74" t="s">
        <v>139</v>
      </c>
      <c r="B56" s="74" t="s">
        <v>149</v>
      </c>
      <c r="C56" s="74">
        <v>20601.9178116148</v>
      </c>
      <c r="D56" s="74">
        <v>20613.482334111901</v>
      </c>
      <c r="E56" s="74">
        <v>20625.046856608998</v>
      </c>
      <c r="F56" s="74">
        <v>20636.611379106002</v>
      </c>
      <c r="G56" s="74">
        <v>20648.175901603099</v>
      </c>
      <c r="H56" s="74">
        <v>20659.7404241002</v>
      </c>
      <c r="I56" s="74">
        <v>20848.529148828398</v>
      </c>
      <c r="J56" s="74">
        <v>21037.3178735566</v>
      </c>
      <c r="K56" s="74">
        <v>21226.1065982849</v>
      </c>
      <c r="L56" s="74">
        <v>21414.895323013101</v>
      </c>
      <c r="M56" s="74">
        <v>21603.684047741299</v>
      </c>
      <c r="N56" s="74">
        <v>21736.752972212998</v>
      </c>
      <c r="O56" s="74">
        <v>21869.821896684702</v>
      </c>
      <c r="P56" s="74">
        <v>22002.890821156299</v>
      </c>
      <c r="Q56" s="74">
        <v>22135.959745627999</v>
      </c>
      <c r="R56" s="74">
        <v>22269.0286700996</v>
      </c>
      <c r="S56" s="74">
        <v>22455.030324339499</v>
      </c>
      <c r="T56" s="74">
        <v>22641.031978579402</v>
      </c>
      <c r="U56" s="74">
        <v>22827.033632819301</v>
      </c>
      <c r="V56" s="74">
        <v>23013.035287059101</v>
      </c>
      <c r="W56" s="74">
        <v>23199.036941299</v>
      </c>
      <c r="X56" s="74">
        <v>23288.025731774698</v>
      </c>
      <c r="Y56" s="74">
        <v>23377.014522250302</v>
      </c>
      <c r="Z56" s="74">
        <v>23466.003312725999</v>
      </c>
      <c r="AA56" s="74">
        <v>23554.992103201599</v>
      </c>
      <c r="AB56" s="74">
        <v>23643.980893677301</v>
      </c>
      <c r="AC56" s="74">
        <v>23696.157259764499</v>
      </c>
      <c r="AD56" s="74">
        <v>23748.333625851701</v>
      </c>
      <c r="AE56" s="74">
        <v>23800.509991939001</v>
      </c>
      <c r="AF56" s="74">
        <v>23852.6863580262</v>
      </c>
      <c r="AG56" s="74">
        <v>23904.8627241135</v>
      </c>
      <c r="AH56" s="74">
        <v>23991.679599139399</v>
      </c>
      <c r="AI56" s="74">
        <v>24078.496474165298</v>
      </c>
      <c r="AJ56" s="74">
        <v>24165.313349191201</v>
      </c>
      <c r="AK56" s="74">
        <v>24252.130224217199</v>
      </c>
      <c r="AL56" s="74">
        <v>24338.947099243102</v>
      </c>
      <c r="AM56" s="74">
        <v>24427.752812512401</v>
      </c>
      <c r="AN56" s="74">
        <v>24516.5585257817</v>
      </c>
      <c r="AO56" s="74">
        <v>24605.364239050999</v>
      </c>
      <c r="AP56" s="74">
        <v>24694.169952320299</v>
      </c>
      <c r="AQ56" s="74">
        <v>24782.9756655897</v>
      </c>
      <c r="AR56" s="74">
        <v>24782.9756655897</v>
      </c>
      <c r="AS56" s="74">
        <v>24782.9756655897</v>
      </c>
      <c r="AT56" s="74">
        <v>24782.9756655897</v>
      </c>
      <c r="AU56" s="74">
        <v>24782.9756655897</v>
      </c>
      <c r="AV56" s="74">
        <v>24782.9756655897</v>
      </c>
      <c r="AW56" s="74">
        <v>24782.9756655897</v>
      </c>
      <c r="AX56" s="74">
        <v>24782.9756655897</v>
      </c>
      <c r="AY56" s="74">
        <v>24782.9756655897</v>
      </c>
      <c r="AZ56" s="74">
        <v>24782.9756655897</v>
      </c>
      <c r="BA56" s="74">
        <v>24782.9756655897</v>
      </c>
      <c r="BC56" s="74">
        <v>23790.748009964722</v>
      </c>
    </row>
    <row r="57" spans="1:55" s="74" customFormat="1" ht="16" x14ac:dyDescent="0.8">
      <c r="A57" s="3" t="s">
        <v>106</v>
      </c>
      <c r="B57" s="74" t="s">
        <v>150</v>
      </c>
      <c r="C57" s="74">
        <v>190484.51206755501</v>
      </c>
      <c r="D57" s="74">
        <v>185869.99882967299</v>
      </c>
      <c r="E57" s="74">
        <v>181255.48559179201</v>
      </c>
      <c r="F57" s="74">
        <v>176640.972353911</v>
      </c>
      <c r="G57" s="74">
        <v>172026.459116029</v>
      </c>
      <c r="H57" s="74">
        <v>167411.94587814799</v>
      </c>
      <c r="I57" s="74">
        <v>164530.66751514899</v>
      </c>
      <c r="J57" s="74">
        <v>161649.38915214999</v>
      </c>
      <c r="K57" s="74">
        <v>158768.11078915099</v>
      </c>
      <c r="L57" s="74">
        <v>155886.83242615301</v>
      </c>
      <c r="M57" s="74">
        <v>153005.55406315401</v>
      </c>
      <c r="N57" s="74">
        <v>152117.022918339</v>
      </c>
      <c r="O57" s="74">
        <v>151228.491773524</v>
      </c>
      <c r="P57" s="74">
        <v>150339.96062870999</v>
      </c>
      <c r="Q57" s="74">
        <v>149451.42948389499</v>
      </c>
      <c r="R57" s="74">
        <v>148562.89833908001</v>
      </c>
      <c r="S57" s="74">
        <v>148377.44336477001</v>
      </c>
      <c r="T57" s="74">
        <v>148191.98839045901</v>
      </c>
      <c r="U57" s="74">
        <v>148006.533416149</v>
      </c>
      <c r="V57" s="74">
        <v>147821.07844183801</v>
      </c>
      <c r="W57" s="74">
        <v>147635.623467528</v>
      </c>
      <c r="X57" s="74">
        <v>147766.400561377</v>
      </c>
      <c r="Y57" s="74">
        <v>147897.17765522501</v>
      </c>
      <c r="Z57" s="74">
        <v>148027.95474907401</v>
      </c>
      <c r="AA57" s="74">
        <v>148158.73184292301</v>
      </c>
      <c r="AB57" s="74">
        <v>148289.50893677099</v>
      </c>
      <c r="AC57" s="74">
        <v>149440.60907093601</v>
      </c>
      <c r="AD57" s="74">
        <v>150591.70920510101</v>
      </c>
      <c r="AE57" s="74">
        <v>151742.80933926499</v>
      </c>
      <c r="AF57" s="74">
        <v>152893.90947342999</v>
      </c>
      <c r="AG57" s="74">
        <v>154045.00960759501</v>
      </c>
      <c r="AH57" s="74">
        <v>154636.241342714</v>
      </c>
      <c r="AI57" s="74">
        <v>155227.47307783301</v>
      </c>
      <c r="AJ57" s="74">
        <v>155818.704812952</v>
      </c>
      <c r="AK57" s="74">
        <v>156409.93654807101</v>
      </c>
      <c r="AL57" s="74">
        <v>157001.16828319</v>
      </c>
      <c r="AM57" s="74">
        <v>157740.077000555</v>
      </c>
      <c r="AN57" s="74">
        <v>158478.98571791899</v>
      </c>
      <c r="AO57" s="74">
        <v>159217.89443528399</v>
      </c>
      <c r="AP57" s="74">
        <v>159956.803152648</v>
      </c>
      <c r="AQ57" s="74">
        <v>160695.71187001199</v>
      </c>
      <c r="AR57" s="74">
        <v>160695.71187001199</v>
      </c>
      <c r="AS57" s="74">
        <v>160695.71187001199</v>
      </c>
      <c r="AT57" s="74">
        <v>160695.71187001199</v>
      </c>
      <c r="AU57" s="74">
        <v>160695.71187001199</v>
      </c>
      <c r="AV57" s="74">
        <v>160695.71187001199</v>
      </c>
      <c r="AW57" s="74">
        <v>160695.71187001199</v>
      </c>
      <c r="AX57" s="74">
        <v>160695.71187001199</v>
      </c>
      <c r="AY57" s="74">
        <v>160695.71187001199</v>
      </c>
      <c r="AZ57" s="74">
        <v>160695.71187001199</v>
      </c>
      <c r="BA57" s="74">
        <v>160695.71187001199</v>
      </c>
      <c r="BC57" s="74">
        <v>166426.06571909611</v>
      </c>
    </row>
    <row r="58" spans="1:55" s="74" customFormat="1" ht="16" x14ac:dyDescent="0.8">
      <c r="A58" s="3" t="s">
        <v>106</v>
      </c>
      <c r="B58" s="74" t="s">
        <v>151</v>
      </c>
      <c r="C58" s="74">
        <v>28394.8576211994</v>
      </c>
      <c r="D58" s="74">
        <v>26500.136287038</v>
      </c>
      <c r="E58" s="74">
        <v>24605.414952876599</v>
      </c>
      <c r="F58" s="74">
        <v>22710.693618715301</v>
      </c>
      <c r="G58" s="74">
        <v>20815.9722845539</v>
      </c>
      <c r="H58" s="74">
        <v>18921.250950392499</v>
      </c>
      <c r="I58" s="74">
        <v>18676.8852736097</v>
      </c>
      <c r="J58" s="74">
        <v>18432.5195968269</v>
      </c>
      <c r="K58" s="74">
        <v>18188.1539200441</v>
      </c>
      <c r="L58" s="74">
        <v>17943.788243261199</v>
      </c>
      <c r="M58" s="74">
        <v>17699.422566478399</v>
      </c>
      <c r="N58" s="74">
        <v>17464.265516594802</v>
      </c>
      <c r="O58" s="74">
        <v>17229.108466711201</v>
      </c>
      <c r="P58" s="74">
        <v>16993.951416827698</v>
      </c>
      <c r="Q58" s="74">
        <v>16758.794366944101</v>
      </c>
      <c r="R58" s="74">
        <v>16523.6373170605</v>
      </c>
      <c r="S58" s="74">
        <v>16523.6373170605</v>
      </c>
      <c r="T58" s="74">
        <v>16523.6373170605</v>
      </c>
      <c r="U58" s="74">
        <v>16523.6373170605</v>
      </c>
      <c r="V58" s="74">
        <v>16523.6373170605</v>
      </c>
      <c r="W58" s="74">
        <v>16523.6373170605</v>
      </c>
      <c r="X58" s="74">
        <v>16523.6373170605</v>
      </c>
      <c r="Y58" s="74">
        <v>16523.6373170605</v>
      </c>
      <c r="Z58" s="74">
        <v>16523.6373170605</v>
      </c>
      <c r="AA58" s="74">
        <v>16523.6373170605</v>
      </c>
      <c r="AB58" s="74">
        <v>16523.6373170605</v>
      </c>
      <c r="AC58" s="74">
        <v>16523.6373170605</v>
      </c>
      <c r="AD58" s="74">
        <v>16523.6373170605</v>
      </c>
      <c r="AE58" s="74">
        <v>16523.6373170605</v>
      </c>
      <c r="AF58" s="74">
        <v>16523.6373170605</v>
      </c>
      <c r="AG58" s="74">
        <v>16523.6373170605</v>
      </c>
      <c r="AH58" s="74">
        <v>16523.6373170605</v>
      </c>
      <c r="AI58" s="74">
        <v>16523.6373170605</v>
      </c>
      <c r="AJ58" s="74">
        <v>16523.6373170605</v>
      </c>
      <c r="AK58" s="74">
        <v>16523.6373170605</v>
      </c>
      <c r="AL58" s="74">
        <v>16523.6373170605</v>
      </c>
      <c r="AM58" s="74">
        <v>16523.6373170605</v>
      </c>
      <c r="AN58" s="74">
        <v>16523.6373170605</v>
      </c>
      <c r="AO58" s="74">
        <v>16523.6373170605</v>
      </c>
      <c r="AP58" s="74">
        <v>16523.6373170605</v>
      </c>
      <c r="AQ58" s="74">
        <v>16523.6373170605</v>
      </c>
      <c r="AR58" s="74">
        <v>16523.6373170605</v>
      </c>
      <c r="AS58" s="74">
        <v>16523.6373170605</v>
      </c>
      <c r="AT58" s="74">
        <v>16523.6373170605</v>
      </c>
      <c r="AU58" s="74">
        <v>16523.6373170605</v>
      </c>
      <c r="AV58" s="74">
        <v>16523.6373170605</v>
      </c>
      <c r="AW58" s="74">
        <v>16523.6373170605</v>
      </c>
      <c r="AX58" s="74">
        <v>16523.6373170605</v>
      </c>
      <c r="AY58" s="74">
        <v>16523.6373170605</v>
      </c>
      <c r="AZ58" s="74">
        <v>16523.6373170605</v>
      </c>
      <c r="BA58" s="74">
        <v>16523.6373170605</v>
      </c>
      <c r="BC58" s="74">
        <v>38356.83368908472</v>
      </c>
    </row>
    <row r="59" spans="1:55" s="74" customFormat="1" ht="16" x14ac:dyDescent="0.8">
      <c r="A59" s="3" t="s">
        <v>106</v>
      </c>
      <c r="B59" s="74" t="s">
        <v>152</v>
      </c>
      <c r="C59" s="74">
        <v>138294.38126705101</v>
      </c>
      <c r="D59" s="74">
        <v>139104.112757758</v>
      </c>
      <c r="E59" s="74">
        <v>139913.84424846599</v>
      </c>
      <c r="F59" s="74">
        <v>140723.57573917299</v>
      </c>
      <c r="G59" s="74">
        <v>141533.30722988001</v>
      </c>
      <c r="H59" s="74">
        <v>142343.038720588</v>
      </c>
      <c r="I59" s="74">
        <v>143239.89194552699</v>
      </c>
      <c r="J59" s="74">
        <v>144136.74517046599</v>
      </c>
      <c r="K59" s="74">
        <v>145033.59839540499</v>
      </c>
      <c r="L59" s="74">
        <v>145930.45162034401</v>
      </c>
      <c r="M59" s="74">
        <v>146827.30484528301</v>
      </c>
      <c r="N59" s="74">
        <v>147871.22505721301</v>
      </c>
      <c r="O59" s="74">
        <v>148915.14526914299</v>
      </c>
      <c r="P59" s="74">
        <v>149959.06548107401</v>
      </c>
      <c r="Q59" s="74">
        <v>151002.98569300401</v>
      </c>
      <c r="R59" s="74">
        <v>152046.90590493401</v>
      </c>
      <c r="S59" s="74">
        <v>153172.02501982299</v>
      </c>
      <c r="T59" s="74">
        <v>154297.144134712</v>
      </c>
      <c r="U59" s="74">
        <v>155422.26324959999</v>
      </c>
      <c r="V59" s="74">
        <v>156547.38236448899</v>
      </c>
      <c r="W59" s="74">
        <v>157672.501479378</v>
      </c>
      <c r="X59" s="74">
        <v>158090.231596289</v>
      </c>
      <c r="Y59" s="74">
        <v>158507.9617132</v>
      </c>
      <c r="Z59" s="74">
        <v>158925.691830111</v>
      </c>
      <c r="AA59" s="74">
        <v>159343.42194702101</v>
      </c>
      <c r="AB59" s="74">
        <v>159761.15206393201</v>
      </c>
      <c r="AC59" s="74">
        <v>160280.50917428601</v>
      </c>
      <c r="AD59" s="74">
        <v>160799.86628464001</v>
      </c>
      <c r="AE59" s="74">
        <v>161319.22339499299</v>
      </c>
      <c r="AF59" s="74">
        <v>161838.580505347</v>
      </c>
      <c r="AG59" s="74">
        <v>162357.937615701</v>
      </c>
      <c r="AH59" s="74">
        <v>163001.17365393401</v>
      </c>
      <c r="AI59" s="74">
        <v>163644.40969216701</v>
      </c>
      <c r="AJ59" s="74">
        <v>164287.64573039999</v>
      </c>
      <c r="AK59" s="74">
        <v>164930.881768633</v>
      </c>
      <c r="AL59" s="74">
        <v>165574.11780686601</v>
      </c>
      <c r="AM59" s="74">
        <v>166236.21381735301</v>
      </c>
      <c r="AN59" s="74">
        <v>166898.30982784001</v>
      </c>
      <c r="AO59" s="74">
        <v>167560.40583832699</v>
      </c>
      <c r="AP59" s="74">
        <v>168222.50184881399</v>
      </c>
      <c r="AQ59" s="74">
        <v>168884.59785930099</v>
      </c>
      <c r="AR59" s="74">
        <v>168884.59785930099</v>
      </c>
      <c r="AS59" s="74">
        <v>168884.59785930099</v>
      </c>
      <c r="AT59" s="74">
        <v>168884.59785930099</v>
      </c>
      <c r="AU59" s="74">
        <v>168884.59785930099</v>
      </c>
      <c r="AV59" s="74">
        <v>168884.59785930099</v>
      </c>
      <c r="AW59" s="74">
        <v>168884.59785930099</v>
      </c>
      <c r="AX59" s="74">
        <v>168884.59785930099</v>
      </c>
      <c r="AY59" s="74">
        <v>168884.59785930099</v>
      </c>
      <c r="AZ59" s="74">
        <v>168884.59785930099</v>
      </c>
      <c r="BA59" s="74">
        <v>168884.59785930099</v>
      </c>
      <c r="BC59" s="74">
        <v>155258.70386157703</v>
      </c>
    </row>
    <row r="60" spans="1:55" s="74" customFormat="1" ht="16" x14ac:dyDescent="0.8">
      <c r="A60" s="3" t="s">
        <v>105</v>
      </c>
      <c r="B60" s="74" t="s">
        <v>153</v>
      </c>
      <c r="C60" s="74">
        <v>97482.285015364498</v>
      </c>
      <c r="D60" s="74">
        <v>94547.246519103603</v>
      </c>
      <c r="E60" s="74">
        <v>91612.208022842795</v>
      </c>
      <c r="F60" s="74">
        <v>88677.169526582002</v>
      </c>
      <c r="G60" s="74">
        <v>85742.131030321107</v>
      </c>
      <c r="H60" s="74">
        <v>82807.092534060299</v>
      </c>
      <c r="I60" s="74">
        <v>80681.429948827004</v>
      </c>
      <c r="J60" s="74">
        <v>78555.767363593695</v>
      </c>
      <c r="K60" s="74">
        <v>76430.104778360401</v>
      </c>
      <c r="L60" s="74">
        <v>74304.442193127194</v>
      </c>
      <c r="M60" s="74">
        <v>72178.779607893899</v>
      </c>
      <c r="N60" s="74">
        <v>71369.036015554506</v>
      </c>
      <c r="O60" s="74">
        <v>70559.292423215098</v>
      </c>
      <c r="P60" s="74">
        <v>69749.548830875603</v>
      </c>
      <c r="Q60" s="74">
        <v>68939.805238536195</v>
      </c>
      <c r="R60" s="74">
        <v>68130.061646196802</v>
      </c>
      <c r="S60" s="74">
        <v>67922.795119143106</v>
      </c>
      <c r="T60" s="74">
        <v>67715.528592089395</v>
      </c>
      <c r="U60" s="74">
        <v>67508.262065035698</v>
      </c>
      <c r="V60" s="74">
        <v>67300.995537982002</v>
      </c>
      <c r="W60" s="74">
        <v>67093.729010928306</v>
      </c>
      <c r="X60" s="74">
        <v>67012.204587708999</v>
      </c>
      <c r="Y60" s="74">
        <v>66930.680164489604</v>
      </c>
      <c r="Z60" s="74">
        <v>66849.155741270195</v>
      </c>
      <c r="AA60" s="74">
        <v>66767.6313180508</v>
      </c>
      <c r="AB60" s="74">
        <v>66686.106894831493</v>
      </c>
      <c r="AC60" s="74">
        <v>67204.251713669102</v>
      </c>
      <c r="AD60" s="74">
        <v>67722.396532506697</v>
      </c>
      <c r="AE60" s="74">
        <v>68240.541351344305</v>
      </c>
      <c r="AF60" s="74">
        <v>68758.686170182002</v>
      </c>
      <c r="AG60" s="74">
        <v>69276.830989019596</v>
      </c>
      <c r="AH60" s="74">
        <v>69563.164489717296</v>
      </c>
      <c r="AI60" s="74">
        <v>69849.497990414995</v>
      </c>
      <c r="AJ60" s="74">
        <v>70135.831491112694</v>
      </c>
      <c r="AK60" s="74">
        <v>70422.164991810394</v>
      </c>
      <c r="AL60" s="74">
        <v>70708.498492508093</v>
      </c>
      <c r="AM60" s="74">
        <v>71037.151684264696</v>
      </c>
      <c r="AN60" s="74">
        <v>71365.804876021401</v>
      </c>
      <c r="AO60" s="74">
        <v>71694.458067778003</v>
      </c>
      <c r="AP60" s="74">
        <v>72023.111259534693</v>
      </c>
      <c r="AQ60" s="74">
        <v>72351.764451291296</v>
      </c>
      <c r="AR60" s="74">
        <v>72351.764451291296</v>
      </c>
      <c r="AS60" s="74">
        <v>72351.764451291296</v>
      </c>
      <c r="AT60" s="74">
        <v>72351.764451291296</v>
      </c>
      <c r="AU60" s="74">
        <v>72351.764451291296</v>
      </c>
      <c r="AV60" s="74">
        <v>72351.764451291296</v>
      </c>
      <c r="AW60" s="74">
        <v>72351.764451291296</v>
      </c>
      <c r="AX60" s="74">
        <v>72351.764451291296</v>
      </c>
      <c r="AY60" s="74">
        <v>72351.764451291296</v>
      </c>
      <c r="AZ60" s="74">
        <v>72351.764451291296</v>
      </c>
      <c r="BA60" s="74">
        <v>72351.764451291296</v>
      </c>
      <c r="BC60" s="74">
        <v>78994.790843715484</v>
      </c>
    </row>
    <row r="61" spans="1:55" s="74" customFormat="1" ht="16" x14ac:dyDescent="0.8">
      <c r="A61" s="3" t="s">
        <v>105</v>
      </c>
      <c r="B61" s="74" t="s">
        <v>154</v>
      </c>
      <c r="C61" s="74">
        <v>59019.370874527798</v>
      </c>
      <c r="D61" s="74">
        <v>60182.230590568302</v>
      </c>
      <c r="E61" s="74">
        <v>61345.090306608901</v>
      </c>
      <c r="F61" s="74">
        <v>62507.950022649398</v>
      </c>
      <c r="G61" s="74">
        <v>63670.809738689903</v>
      </c>
      <c r="H61" s="74">
        <v>64833.669454730501</v>
      </c>
      <c r="I61" s="74">
        <v>65335.714840973502</v>
      </c>
      <c r="J61" s="74">
        <v>65837.760227216495</v>
      </c>
      <c r="K61" s="74">
        <v>66339.805613459495</v>
      </c>
      <c r="L61" s="74">
        <v>66841.850999702496</v>
      </c>
      <c r="M61" s="74">
        <v>67343.896385945598</v>
      </c>
      <c r="N61" s="74">
        <v>67811.559032627905</v>
      </c>
      <c r="O61" s="74">
        <v>68279.2216793103</v>
      </c>
      <c r="P61" s="74">
        <v>68746.884325992607</v>
      </c>
      <c r="Q61" s="74">
        <v>69214.546972675002</v>
      </c>
      <c r="R61" s="74">
        <v>69682.209619357396</v>
      </c>
      <c r="S61" s="74">
        <v>70168.452056750495</v>
      </c>
      <c r="T61" s="74">
        <v>70654.694494143696</v>
      </c>
      <c r="U61" s="74">
        <v>71140.936931536897</v>
      </c>
      <c r="V61" s="74">
        <v>71627.179368929996</v>
      </c>
      <c r="W61" s="74">
        <v>72113.421806323197</v>
      </c>
      <c r="X61" s="74">
        <v>72254.578302727299</v>
      </c>
      <c r="Y61" s="74">
        <v>72395.734799131402</v>
      </c>
      <c r="Z61" s="74">
        <v>72536.891295535403</v>
      </c>
      <c r="AA61" s="74">
        <v>72678.047791939505</v>
      </c>
      <c r="AB61" s="74">
        <v>72819.204288343593</v>
      </c>
      <c r="AC61" s="74">
        <v>73076.874988623793</v>
      </c>
      <c r="AD61" s="74">
        <v>73334.545688903905</v>
      </c>
      <c r="AE61" s="74">
        <v>73592.216389184105</v>
      </c>
      <c r="AF61" s="74">
        <v>73849.887089464304</v>
      </c>
      <c r="AG61" s="74">
        <v>74107.557789744504</v>
      </c>
      <c r="AH61" s="74">
        <v>74403.922994788503</v>
      </c>
      <c r="AI61" s="74">
        <v>74700.288199832605</v>
      </c>
      <c r="AJ61" s="74">
        <v>74996.653404876604</v>
      </c>
      <c r="AK61" s="74">
        <v>75293.018609920604</v>
      </c>
      <c r="AL61" s="74">
        <v>75589.383814964604</v>
      </c>
      <c r="AM61" s="74">
        <v>75876.299282349006</v>
      </c>
      <c r="AN61" s="74">
        <v>76163.214749733394</v>
      </c>
      <c r="AO61" s="74">
        <v>76450.130217117694</v>
      </c>
      <c r="AP61" s="74">
        <v>76737.045684502096</v>
      </c>
      <c r="AQ61" s="74">
        <v>77023.961151886499</v>
      </c>
      <c r="AR61" s="74">
        <v>77023.961151886499</v>
      </c>
      <c r="AS61" s="74">
        <v>77023.961151886499</v>
      </c>
      <c r="AT61" s="74">
        <v>77023.961151886499</v>
      </c>
      <c r="AU61" s="74">
        <v>77023.961151886499</v>
      </c>
      <c r="AV61" s="74">
        <v>77023.961151886499</v>
      </c>
      <c r="AW61" s="74">
        <v>77023.961151886499</v>
      </c>
      <c r="AX61" s="74">
        <v>77023.961151886499</v>
      </c>
      <c r="AY61" s="74">
        <v>77023.961151886499</v>
      </c>
      <c r="AZ61" s="74">
        <v>77023.961151886499</v>
      </c>
      <c r="BA61" s="74">
        <v>77023.961151886499</v>
      </c>
      <c r="BC61" s="74">
        <v>68790.444903315016</v>
      </c>
    </row>
    <row r="62" spans="1:55" s="74" customFormat="1" ht="16" x14ac:dyDescent="0.8">
      <c r="A62" s="3" t="s">
        <v>105</v>
      </c>
      <c r="B62" s="74" t="s">
        <v>155</v>
      </c>
      <c r="C62" s="74">
        <v>55872.689100644697</v>
      </c>
      <c r="D62" s="74">
        <v>57397.498968030501</v>
      </c>
      <c r="E62" s="74">
        <v>58922.308835416297</v>
      </c>
      <c r="F62" s="74">
        <v>60447.118702802101</v>
      </c>
      <c r="G62" s="74">
        <v>61971.928570187898</v>
      </c>
      <c r="H62" s="74">
        <v>63496.738437573702</v>
      </c>
      <c r="I62" s="74">
        <v>64360.659543596099</v>
      </c>
      <c r="J62" s="74">
        <v>65224.580649618598</v>
      </c>
      <c r="K62" s="74">
        <v>66088.501755641002</v>
      </c>
      <c r="L62" s="74">
        <v>66952.422861663494</v>
      </c>
      <c r="M62" s="74">
        <v>67816.343967685898</v>
      </c>
      <c r="N62" s="74">
        <v>68250.988822889907</v>
      </c>
      <c r="O62" s="74">
        <v>68685.633678094004</v>
      </c>
      <c r="P62" s="74">
        <v>69120.278533297998</v>
      </c>
      <c r="Q62" s="74">
        <v>69554.923388502095</v>
      </c>
      <c r="R62" s="74">
        <v>69989.568243706104</v>
      </c>
      <c r="S62" s="74">
        <v>70468.787934473003</v>
      </c>
      <c r="T62" s="74">
        <v>70948.007625239901</v>
      </c>
      <c r="U62" s="74">
        <v>71427.2273160068</v>
      </c>
      <c r="V62" s="74">
        <v>71906.4470067738</v>
      </c>
      <c r="W62" s="74">
        <v>72385.666697540699</v>
      </c>
      <c r="X62" s="74">
        <v>72518.591640727798</v>
      </c>
      <c r="Y62" s="74">
        <v>72651.516583914898</v>
      </c>
      <c r="Z62" s="74">
        <v>72784.441527102099</v>
      </c>
      <c r="AA62" s="74">
        <v>72917.366470289198</v>
      </c>
      <c r="AB62" s="74">
        <v>73050.2914134764</v>
      </c>
      <c r="AC62" s="74">
        <v>73295.0666035373</v>
      </c>
      <c r="AD62" s="74">
        <v>73539.8417935982</v>
      </c>
      <c r="AE62" s="74">
        <v>73784.6169836591</v>
      </c>
      <c r="AF62" s="74">
        <v>74029.39217372</v>
      </c>
      <c r="AG62" s="74">
        <v>74274.1673637809</v>
      </c>
      <c r="AH62" s="74">
        <v>74568.931474696903</v>
      </c>
      <c r="AI62" s="74">
        <v>74863.695585612993</v>
      </c>
      <c r="AJ62" s="74">
        <v>75158.459696529098</v>
      </c>
      <c r="AK62" s="74">
        <v>75453.223807445102</v>
      </c>
      <c r="AL62" s="74">
        <v>75747.987918361207</v>
      </c>
      <c r="AM62" s="74">
        <v>76031.667268913705</v>
      </c>
      <c r="AN62" s="74">
        <v>76315.346619466305</v>
      </c>
      <c r="AO62" s="74">
        <v>76599.025970018803</v>
      </c>
      <c r="AP62" s="74">
        <v>76882.705320571404</v>
      </c>
      <c r="AQ62" s="74">
        <v>77166.384671123902</v>
      </c>
      <c r="AR62" s="74">
        <v>77166.384671123902</v>
      </c>
      <c r="AS62" s="74">
        <v>77166.384671123902</v>
      </c>
      <c r="AT62" s="74">
        <v>77166.384671123902</v>
      </c>
      <c r="AU62" s="74">
        <v>77166.384671123902</v>
      </c>
      <c r="AV62" s="74">
        <v>77166.384671123902</v>
      </c>
      <c r="AW62" s="74">
        <v>77166.384671123902</v>
      </c>
      <c r="AX62" s="74">
        <v>77166.384671123902</v>
      </c>
      <c r="AY62" s="74">
        <v>77166.384671123902</v>
      </c>
      <c r="AZ62" s="74">
        <v>77166.384671123902</v>
      </c>
      <c r="BA62" s="74">
        <v>77166.384671123902</v>
      </c>
      <c r="BC62" s="74">
        <v>68126.066685689249</v>
      </c>
    </row>
    <row r="63" spans="1:55" s="74" customFormat="1" ht="16" x14ac:dyDescent="0.8">
      <c r="A63" s="3" t="s">
        <v>107</v>
      </c>
      <c r="B63" s="74" t="s">
        <v>156</v>
      </c>
      <c r="C63" s="74">
        <v>9774.9513045954609</v>
      </c>
      <c r="D63" s="74">
        <v>8876.3608749922205</v>
      </c>
      <c r="E63" s="74">
        <v>7977.7704453889701</v>
      </c>
      <c r="F63" s="74">
        <v>7079.1800157857297</v>
      </c>
      <c r="G63" s="74">
        <v>6180.5895861824802</v>
      </c>
      <c r="H63" s="74">
        <v>5281.9991565792297</v>
      </c>
      <c r="I63" s="74">
        <v>5281.9991565792297</v>
      </c>
      <c r="J63" s="74">
        <v>5281.9991565792297</v>
      </c>
      <c r="K63" s="74">
        <v>5281.9991565792297</v>
      </c>
      <c r="L63" s="74">
        <v>5281.9991565792297</v>
      </c>
      <c r="M63" s="74">
        <v>5281.9991565792297</v>
      </c>
      <c r="N63" s="74">
        <v>5281.9991565792297</v>
      </c>
      <c r="O63" s="74">
        <v>5281.9991565792297</v>
      </c>
      <c r="P63" s="74">
        <v>5281.9991565792297</v>
      </c>
      <c r="Q63" s="74">
        <v>5281.9991565792297</v>
      </c>
      <c r="R63" s="74">
        <v>5281.9991565792297</v>
      </c>
      <c r="S63" s="74">
        <v>5281.9991565792297</v>
      </c>
      <c r="T63" s="74">
        <v>5281.9991565792297</v>
      </c>
      <c r="U63" s="74">
        <v>5281.9991565792297</v>
      </c>
      <c r="V63" s="74">
        <v>5281.9991565792297</v>
      </c>
      <c r="W63" s="74">
        <v>5281.9991565792297</v>
      </c>
      <c r="X63" s="74">
        <v>5281.9991565792297</v>
      </c>
      <c r="Y63" s="74">
        <v>5281.9991565792297</v>
      </c>
      <c r="Z63" s="74">
        <v>5281.9991565792297</v>
      </c>
      <c r="AA63" s="74">
        <v>5281.9991565792297</v>
      </c>
      <c r="AB63" s="74">
        <v>5281.9991565792297</v>
      </c>
      <c r="AC63" s="74">
        <v>5281.9991565792297</v>
      </c>
      <c r="AD63" s="74">
        <v>5281.9991565792297</v>
      </c>
      <c r="AE63" s="74">
        <v>5281.9991565792297</v>
      </c>
      <c r="AF63" s="74">
        <v>5281.9991565792297</v>
      </c>
      <c r="AG63" s="74">
        <v>5281.9991565792297</v>
      </c>
      <c r="AH63" s="74">
        <v>5281.9991565792297</v>
      </c>
      <c r="AI63" s="74">
        <v>5281.9991565792297</v>
      </c>
      <c r="AJ63" s="74">
        <v>5281.9991565792297</v>
      </c>
      <c r="AK63" s="74">
        <v>5281.9991565792297</v>
      </c>
      <c r="AL63" s="74">
        <v>5281.9991565792297</v>
      </c>
      <c r="AM63" s="74">
        <v>5281.9991565792297</v>
      </c>
      <c r="AN63" s="74">
        <v>5281.9991565792297</v>
      </c>
      <c r="AO63" s="74">
        <v>5281.9991565792297</v>
      </c>
      <c r="AP63" s="74">
        <v>5281.9991565792297</v>
      </c>
      <c r="AQ63" s="74">
        <v>5281.9991565792297</v>
      </c>
      <c r="AR63" s="74">
        <v>5281.9991565792297</v>
      </c>
      <c r="AS63" s="74">
        <v>5281.9991565792297</v>
      </c>
      <c r="AT63" s="74">
        <v>5281.9991565792297</v>
      </c>
      <c r="AU63" s="74">
        <v>5281.9991565792297</v>
      </c>
      <c r="AV63" s="74">
        <v>5281.9991565792297</v>
      </c>
      <c r="AW63" s="74">
        <v>5281.9991565792297</v>
      </c>
      <c r="AX63" s="74">
        <v>5281.9991565792297</v>
      </c>
      <c r="AY63" s="74">
        <v>5281.9991565792297</v>
      </c>
      <c r="AZ63" s="74">
        <v>5281.9991565792297</v>
      </c>
      <c r="BA63" s="74">
        <v>5281.9991565792297</v>
      </c>
      <c r="BC63" s="74">
        <v>11871.71555095992</v>
      </c>
    </row>
    <row r="64" spans="1:55" s="74" customFormat="1" ht="16" x14ac:dyDescent="0.8">
      <c r="A64" s="3" t="s">
        <v>107</v>
      </c>
      <c r="B64" s="74" t="s">
        <v>157</v>
      </c>
      <c r="C64" s="74">
        <v>28293.7961012509</v>
      </c>
      <c r="D64" s="74">
        <v>28394.2099718805</v>
      </c>
      <c r="E64" s="74">
        <v>28494.6238425101</v>
      </c>
      <c r="F64" s="74">
        <v>28595.0377131397</v>
      </c>
      <c r="G64" s="74">
        <v>28695.4515837693</v>
      </c>
      <c r="H64" s="74">
        <v>28795.8654543989</v>
      </c>
      <c r="I64" s="74">
        <v>29125.892695095899</v>
      </c>
      <c r="J64" s="74">
        <v>29455.919935793001</v>
      </c>
      <c r="K64" s="74">
        <v>29785.947176490001</v>
      </c>
      <c r="L64" s="74">
        <v>30115.974417187099</v>
      </c>
      <c r="M64" s="74">
        <v>30446.001657884099</v>
      </c>
      <c r="N64" s="74">
        <v>31110.395693909701</v>
      </c>
      <c r="O64" s="74">
        <v>31774.789729935201</v>
      </c>
      <c r="P64" s="74">
        <v>32439.183765960799</v>
      </c>
      <c r="Q64" s="74">
        <v>33103.577801986401</v>
      </c>
      <c r="R64" s="74">
        <v>33767.971838011901</v>
      </c>
      <c r="S64" s="74">
        <v>34108.489276413296</v>
      </c>
      <c r="T64" s="74">
        <v>34449.006714814699</v>
      </c>
      <c r="U64" s="74">
        <v>34789.524153216204</v>
      </c>
      <c r="V64" s="74">
        <v>35130.041591617599</v>
      </c>
      <c r="W64" s="74">
        <v>35470.559030019002</v>
      </c>
      <c r="X64" s="74">
        <v>35553.576702596103</v>
      </c>
      <c r="Y64" s="74">
        <v>35636.594375173197</v>
      </c>
      <c r="Z64" s="74">
        <v>35719.612047750401</v>
      </c>
      <c r="AA64" s="74">
        <v>35802.629720327503</v>
      </c>
      <c r="AB64" s="74">
        <v>35885.647392904597</v>
      </c>
      <c r="AC64" s="74">
        <v>35942.882074081601</v>
      </c>
      <c r="AD64" s="74">
        <v>36000.116755258503</v>
      </c>
      <c r="AE64" s="74">
        <v>36057.3514364355</v>
      </c>
      <c r="AF64" s="74">
        <v>36114.586117612402</v>
      </c>
      <c r="AG64" s="74">
        <v>36171.820798789398</v>
      </c>
      <c r="AH64" s="74">
        <v>36335.919549424703</v>
      </c>
      <c r="AI64" s="74">
        <v>36500.018300060001</v>
      </c>
      <c r="AJ64" s="74">
        <v>36664.117050695299</v>
      </c>
      <c r="AK64" s="74">
        <v>36828.215801330502</v>
      </c>
      <c r="AL64" s="74">
        <v>36992.314551965799</v>
      </c>
      <c r="AM64" s="74">
        <v>37139.883741300997</v>
      </c>
      <c r="AN64" s="74">
        <v>37287.452930636202</v>
      </c>
      <c r="AO64" s="74">
        <v>37435.022119971298</v>
      </c>
      <c r="AP64" s="74">
        <v>37582.591309306503</v>
      </c>
      <c r="AQ64" s="74">
        <v>37730.160498641599</v>
      </c>
      <c r="AR64" s="74">
        <v>37730.160498641599</v>
      </c>
      <c r="AS64" s="74">
        <v>37730.160498641599</v>
      </c>
      <c r="AT64" s="74">
        <v>37730.160498641599</v>
      </c>
      <c r="AU64" s="74">
        <v>37730.160498641599</v>
      </c>
      <c r="AV64" s="74">
        <v>37730.160498641599</v>
      </c>
      <c r="AW64" s="74">
        <v>37730.160498641599</v>
      </c>
      <c r="AX64" s="74">
        <v>37730.160498641599</v>
      </c>
      <c r="AY64" s="74">
        <v>37730.160498641599</v>
      </c>
      <c r="AZ64" s="74">
        <v>37730.160498641599</v>
      </c>
      <c r="BA64" s="74">
        <v>37730.160498641599</v>
      </c>
      <c r="BC64" s="74">
        <v>34354.151463321126</v>
      </c>
    </row>
    <row r="65" spans="1:55" s="74" customFormat="1" ht="16" x14ac:dyDescent="0.8">
      <c r="A65" s="3" t="s">
        <v>107</v>
      </c>
      <c r="B65" s="74" t="s">
        <v>158</v>
      </c>
      <c r="C65" s="74">
        <v>29743.257671373602</v>
      </c>
      <c r="D65" s="74">
        <v>30023.0241217086</v>
      </c>
      <c r="E65" s="74">
        <v>30302.790572043599</v>
      </c>
      <c r="F65" s="74">
        <v>30582.5570223787</v>
      </c>
      <c r="G65" s="74">
        <v>30862.323472713699</v>
      </c>
      <c r="H65" s="74">
        <v>31142.089923048799</v>
      </c>
      <c r="I65" s="74">
        <v>31588.249456296198</v>
      </c>
      <c r="J65" s="74">
        <v>32034.408989543699</v>
      </c>
      <c r="K65" s="74">
        <v>32480.5685227912</v>
      </c>
      <c r="L65" s="74">
        <v>32926.728056038701</v>
      </c>
      <c r="M65" s="74">
        <v>33372.887589286198</v>
      </c>
      <c r="N65" s="74">
        <v>33741.876910819199</v>
      </c>
      <c r="O65" s="74">
        <v>34110.8662323522</v>
      </c>
      <c r="P65" s="74">
        <v>34479.855553885303</v>
      </c>
      <c r="Q65" s="74">
        <v>34848.844875418297</v>
      </c>
      <c r="R65" s="74">
        <v>35217.8341969514</v>
      </c>
      <c r="S65" s="74">
        <v>35407.1533924588</v>
      </c>
      <c r="T65" s="74">
        <v>35596.4725879662</v>
      </c>
      <c r="U65" s="74">
        <v>35785.7917834736</v>
      </c>
      <c r="V65" s="74">
        <v>35975.110978981</v>
      </c>
      <c r="W65" s="74">
        <v>36164.4301744884</v>
      </c>
      <c r="X65" s="74">
        <v>36108.663249625402</v>
      </c>
      <c r="Y65" s="74">
        <v>36052.896324762398</v>
      </c>
      <c r="Z65" s="74">
        <v>35997.129399899401</v>
      </c>
      <c r="AA65" s="74">
        <v>35941.362475036301</v>
      </c>
      <c r="AB65" s="74">
        <v>35885.595550173297</v>
      </c>
      <c r="AC65" s="74">
        <v>35942.827475116297</v>
      </c>
      <c r="AD65" s="74">
        <v>36000.059400059297</v>
      </c>
      <c r="AE65" s="74">
        <v>36057.291325002298</v>
      </c>
      <c r="AF65" s="74">
        <v>36114.523249945298</v>
      </c>
      <c r="AG65" s="74">
        <v>36171.755174888298</v>
      </c>
      <c r="AH65" s="74">
        <v>36335.859731908997</v>
      </c>
      <c r="AI65" s="74">
        <v>36499.964288929703</v>
      </c>
      <c r="AJ65" s="74">
        <v>36664.068845950402</v>
      </c>
      <c r="AK65" s="74">
        <v>36828.173402971101</v>
      </c>
      <c r="AL65" s="74">
        <v>36992.277959991799</v>
      </c>
      <c r="AM65" s="74">
        <v>37139.840213364601</v>
      </c>
      <c r="AN65" s="74">
        <v>37287.402466737301</v>
      </c>
      <c r="AO65" s="74">
        <v>37434.964720110103</v>
      </c>
      <c r="AP65" s="74">
        <v>37582.526973482898</v>
      </c>
      <c r="AQ65" s="74">
        <v>37730.089226855598</v>
      </c>
      <c r="AR65" s="74">
        <v>37730.089226855598</v>
      </c>
      <c r="AS65" s="74">
        <v>37730.089226855598</v>
      </c>
      <c r="AT65" s="74">
        <v>37730.089226855598</v>
      </c>
      <c r="AU65" s="74">
        <v>37730.089226855598</v>
      </c>
      <c r="AV65" s="74">
        <v>37730.089226855598</v>
      </c>
      <c r="AW65" s="74">
        <v>37730.089226855598</v>
      </c>
      <c r="AX65" s="74">
        <v>37730.089226855598</v>
      </c>
      <c r="AY65" s="74">
        <v>37730.089226855598</v>
      </c>
      <c r="AZ65" s="74">
        <v>37730.089226855598</v>
      </c>
      <c r="BA65" s="74">
        <v>37730.089226855598</v>
      </c>
      <c r="BC65" s="74">
        <v>34961.745255937552</v>
      </c>
    </row>
    <row r="66" spans="1:55" s="74" customFormat="1" ht="16" x14ac:dyDescent="0.8">
      <c r="A66" s="3" t="s">
        <v>102</v>
      </c>
      <c r="B66" s="74" t="s">
        <v>159</v>
      </c>
      <c r="C66" s="74">
        <v>33506.174613714997</v>
      </c>
      <c r="D66" s="74">
        <v>33567.945136029201</v>
      </c>
      <c r="E66" s="74">
        <v>33629.715658343302</v>
      </c>
      <c r="F66" s="74">
        <v>33691.486180657499</v>
      </c>
      <c r="G66" s="74">
        <v>33753.256702971601</v>
      </c>
      <c r="H66" s="74">
        <v>33815.027225285798</v>
      </c>
      <c r="I66" s="74">
        <v>33563.849751429203</v>
      </c>
      <c r="J66" s="74">
        <v>33312.672277572601</v>
      </c>
      <c r="K66" s="74">
        <v>33061.494803715999</v>
      </c>
      <c r="L66" s="74">
        <v>32810.317329859499</v>
      </c>
      <c r="M66" s="74">
        <v>32559.139856002901</v>
      </c>
      <c r="N66" s="74">
        <v>32888.823987353098</v>
      </c>
      <c r="O66" s="74">
        <v>33218.508118703401</v>
      </c>
      <c r="P66" s="74">
        <v>33548.192250053602</v>
      </c>
      <c r="Q66" s="74">
        <v>33877.876381403898</v>
      </c>
      <c r="R66" s="74">
        <v>34207.560512754098</v>
      </c>
      <c r="S66" s="74">
        <v>34394.800427427297</v>
      </c>
      <c r="T66" s="74">
        <v>34582.040342100503</v>
      </c>
      <c r="U66" s="74">
        <v>34769.280256773702</v>
      </c>
      <c r="V66" s="74">
        <v>34956.5201714469</v>
      </c>
      <c r="W66" s="74">
        <v>35143.760086119997</v>
      </c>
      <c r="X66" s="74">
        <v>35275.832030121303</v>
      </c>
      <c r="Y66" s="74">
        <v>35407.903974122601</v>
      </c>
      <c r="Z66" s="74">
        <v>35539.975918123899</v>
      </c>
      <c r="AA66" s="74">
        <v>35672.047862125197</v>
      </c>
      <c r="AB66" s="74">
        <v>35804.119806126502</v>
      </c>
      <c r="AC66" s="74">
        <v>35876.0838533231</v>
      </c>
      <c r="AD66" s="74">
        <v>35948.047900519698</v>
      </c>
      <c r="AE66" s="74">
        <v>36020.011947716303</v>
      </c>
      <c r="AF66" s="74">
        <v>36091.9759949129</v>
      </c>
      <c r="AG66" s="74">
        <v>36163.940042109498</v>
      </c>
      <c r="AH66" s="74">
        <v>36287.331365920501</v>
      </c>
      <c r="AI66" s="74">
        <v>36410.722689731498</v>
      </c>
      <c r="AJ66" s="74">
        <v>36534.114013542501</v>
      </c>
      <c r="AK66" s="74">
        <v>36657.505337353497</v>
      </c>
      <c r="AL66" s="74">
        <v>36780.896661164501</v>
      </c>
      <c r="AM66" s="74">
        <v>36913.529601854199</v>
      </c>
      <c r="AN66" s="74">
        <v>37046.162542544</v>
      </c>
      <c r="AO66" s="74">
        <v>37178.795483233698</v>
      </c>
      <c r="AP66" s="74">
        <v>37311.428423923397</v>
      </c>
      <c r="AQ66" s="74">
        <v>37444.061364613197</v>
      </c>
      <c r="AR66" s="74">
        <v>37444.061364613197</v>
      </c>
      <c r="AS66" s="74">
        <v>37444.061364613197</v>
      </c>
      <c r="AT66" s="74">
        <v>37444.061364613197</v>
      </c>
      <c r="AU66" s="74">
        <v>37444.061364613197</v>
      </c>
      <c r="AV66" s="74">
        <v>37444.061364613197</v>
      </c>
      <c r="AW66" s="74">
        <v>37444.061364613197</v>
      </c>
      <c r="AX66" s="74">
        <v>37444.061364613197</v>
      </c>
      <c r="AY66" s="74">
        <v>37444.061364613197</v>
      </c>
      <c r="AZ66" s="74">
        <v>37444.061364613197</v>
      </c>
      <c r="BA66" s="74">
        <v>37444.061364613197</v>
      </c>
      <c r="BC66" s="74">
        <v>38399.901376300746</v>
      </c>
    </row>
    <row r="67" spans="1:55" s="74" customFormat="1" ht="16" x14ac:dyDescent="0.8">
      <c r="A67" s="3" t="s">
        <v>103</v>
      </c>
      <c r="B67" s="74" t="s">
        <v>160</v>
      </c>
      <c r="C67" s="74">
        <v>33346.165253846499</v>
      </c>
      <c r="D67" s="74">
        <v>33196.863402926603</v>
      </c>
      <c r="E67" s="74">
        <v>33047.5615520067</v>
      </c>
      <c r="F67" s="74">
        <v>32898.259701086798</v>
      </c>
      <c r="G67" s="74">
        <v>32748.957850166898</v>
      </c>
      <c r="H67" s="74">
        <v>32599.655999246999</v>
      </c>
      <c r="I67" s="74">
        <v>32842.649489881202</v>
      </c>
      <c r="J67" s="74">
        <v>33085.642980515498</v>
      </c>
      <c r="K67" s="74">
        <v>33328.636471149803</v>
      </c>
      <c r="L67" s="74">
        <v>33571.6299617841</v>
      </c>
      <c r="M67" s="74">
        <v>33814.623452418396</v>
      </c>
      <c r="N67" s="74">
        <v>34018.455779169803</v>
      </c>
      <c r="O67" s="74">
        <v>34222.288105921303</v>
      </c>
      <c r="P67" s="74">
        <v>34426.120432672702</v>
      </c>
      <c r="Q67" s="74">
        <v>34629.952759424203</v>
      </c>
      <c r="R67" s="74">
        <v>34833.785086175601</v>
      </c>
      <c r="S67" s="74">
        <v>35044.833122538897</v>
      </c>
      <c r="T67" s="74">
        <v>35255.881158902099</v>
      </c>
      <c r="U67" s="74">
        <v>35466.9291952653</v>
      </c>
      <c r="V67" s="74">
        <v>35677.977231628502</v>
      </c>
      <c r="W67" s="74">
        <v>35889.025267991703</v>
      </c>
      <c r="X67" s="74">
        <v>35872.046367672701</v>
      </c>
      <c r="Y67" s="74">
        <v>35855.067467353598</v>
      </c>
      <c r="Z67" s="74">
        <v>35838.088567034501</v>
      </c>
      <c r="AA67" s="74">
        <v>35821.1096667155</v>
      </c>
      <c r="AB67" s="74">
        <v>35804.130766396403</v>
      </c>
      <c r="AC67" s="74">
        <v>35876.088240460398</v>
      </c>
      <c r="AD67" s="74">
        <v>35948.045714524298</v>
      </c>
      <c r="AE67" s="74">
        <v>36020.0031885883</v>
      </c>
      <c r="AF67" s="74">
        <v>36091.960662652302</v>
      </c>
      <c r="AG67" s="74">
        <v>36163.918136716296</v>
      </c>
      <c r="AH67" s="74">
        <v>36287.315730036702</v>
      </c>
      <c r="AI67" s="74">
        <v>36410.713323357202</v>
      </c>
      <c r="AJ67" s="74">
        <v>36534.110916677702</v>
      </c>
      <c r="AK67" s="74">
        <v>36657.508509998101</v>
      </c>
      <c r="AL67" s="74">
        <v>36780.906103318601</v>
      </c>
      <c r="AM67" s="74">
        <v>36913.536544001203</v>
      </c>
      <c r="AN67" s="74">
        <v>37046.166984683798</v>
      </c>
      <c r="AO67" s="74">
        <v>37178.7974253664</v>
      </c>
      <c r="AP67" s="74">
        <v>37311.427866049002</v>
      </c>
      <c r="AQ67" s="74">
        <v>37444.058306731597</v>
      </c>
      <c r="AR67" s="74">
        <v>37444.058306731597</v>
      </c>
      <c r="AS67" s="74">
        <v>37444.058306731597</v>
      </c>
      <c r="AT67" s="74">
        <v>37444.058306731597</v>
      </c>
      <c r="AU67" s="74">
        <v>37444.058306731597</v>
      </c>
      <c r="AV67" s="74">
        <v>37444.058306731597</v>
      </c>
      <c r="AW67" s="74">
        <v>37444.058306731597</v>
      </c>
      <c r="AX67" s="74">
        <v>37444.058306731597</v>
      </c>
      <c r="AY67" s="74">
        <v>37444.058306731597</v>
      </c>
      <c r="AZ67" s="74">
        <v>37444.058306731597</v>
      </c>
      <c r="BA67" s="74">
        <v>37444.058306731597</v>
      </c>
      <c r="BC67" s="74">
        <v>33700.276020704143</v>
      </c>
    </row>
    <row r="68" spans="1:55" s="74" customFormat="1" ht="16" x14ac:dyDescent="0.8">
      <c r="A68" s="3" t="s">
        <v>104</v>
      </c>
      <c r="B68" s="74" t="s">
        <v>161</v>
      </c>
      <c r="C68" s="74">
        <v>34768.761814708399</v>
      </c>
      <c r="D68" s="74">
        <v>34874.359196547302</v>
      </c>
      <c r="E68" s="74">
        <v>34979.956578386104</v>
      </c>
      <c r="F68" s="74">
        <v>35085.553960224897</v>
      </c>
      <c r="G68" s="74">
        <v>35191.1513420638</v>
      </c>
      <c r="H68" s="74">
        <v>35296.748723902601</v>
      </c>
      <c r="I68" s="74">
        <v>35258.3694670431</v>
      </c>
      <c r="J68" s="74">
        <v>35219.9902101837</v>
      </c>
      <c r="K68" s="74">
        <v>35181.610953324198</v>
      </c>
      <c r="L68" s="74">
        <v>35143.231696464703</v>
      </c>
      <c r="M68" s="74">
        <v>35104.852439605202</v>
      </c>
      <c r="N68" s="74">
        <v>35196.179680737703</v>
      </c>
      <c r="O68" s="74">
        <v>35287.506921870197</v>
      </c>
      <c r="P68" s="74">
        <v>35378.834163002699</v>
      </c>
      <c r="Q68" s="74">
        <v>35470.161404135099</v>
      </c>
      <c r="R68" s="74">
        <v>35561.4886452676</v>
      </c>
      <c r="S68" s="74">
        <v>35651.631605449198</v>
      </c>
      <c r="T68" s="74">
        <v>35741.774565630702</v>
      </c>
      <c r="U68" s="74">
        <v>35831.9175258123</v>
      </c>
      <c r="V68" s="74">
        <v>35922.060485993898</v>
      </c>
      <c r="W68" s="74">
        <v>36012.203446175503</v>
      </c>
      <c r="X68" s="74">
        <v>35970.592426470401</v>
      </c>
      <c r="Y68" s="74">
        <v>35928.981406765299</v>
      </c>
      <c r="Z68" s="74">
        <v>35887.370387060197</v>
      </c>
      <c r="AA68" s="74">
        <v>35845.759367355102</v>
      </c>
      <c r="AB68" s="74">
        <v>35804.148347650102</v>
      </c>
      <c r="AC68" s="74">
        <v>35876.111654955297</v>
      </c>
      <c r="AD68" s="74">
        <v>35948.074962260602</v>
      </c>
      <c r="AE68" s="74">
        <v>36020.038269565899</v>
      </c>
      <c r="AF68" s="74">
        <v>36092.001576871102</v>
      </c>
      <c r="AG68" s="74">
        <v>36163.964884176399</v>
      </c>
      <c r="AH68" s="74">
        <v>36287.359135307503</v>
      </c>
      <c r="AI68" s="74">
        <v>36410.753386438599</v>
      </c>
      <c r="AJ68" s="74">
        <v>36534.147637569797</v>
      </c>
      <c r="AK68" s="74">
        <v>36657.5418887009</v>
      </c>
      <c r="AL68" s="74">
        <v>36780.936139832003</v>
      </c>
      <c r="AM68" s="74">
        <v>36913.564143494397</v>
      </c>
      <c r="AN68" s="74">
        <v>37046.1921471569</v>
      </c>
      <c r="AO68" s="74">
        <v>37178.820150819301</v>
      </c>
      <c r="AP68" s="74">
        <v>37311.448154481703</v>
      </c>
      <c r="AQ68" s="74">
        <v>37444.076158144198</v>
      </c>
      <c r="AR68" s="74">
        <v>37444.076158144198</v>
      </c>
      <c r="AS68" s="74">
        <v>37444.076158144198</v>
      </c>
      <c r="AT68" s="74">
        <v>37444.076158144198</v>
      </c>
      <c r="AU68" s="74">
        <v>37444.076158144198</v>
      </c>
      <c r="AV68" s="74">
        <v>37444.076158144198</v>
      </c>
      <c r="AW68" s="74">
        <v>37444.076158144198</v>
      </c>
      <c r="AX68" s="74">
        <v>37444.076158144198</v>
      </c>
      <c r="AY68" s="74">
        <v>37444.076158144198</v>
      </c>
      <c r="AZ68" s="74">
        <v>37444.076158144198</v>
      </c>
      <c r="BA68" s="74">
        <v>37444.076158144198</v>
      </c>
      <c r="BC68" s="74">
        <v>35644.527293675485</v>
      </c>
    </row>
    <row r="69" spans="1:55" s="74" customFormat="1" ht="16" x14ac:dyDescent="0.8">
      <c r="A69" s="3" t="s">
        <v>102</v>
      </c>
      <c r="B69" s="74" t="s">
        <v>162</v>
      </c>
      <c r="C69" s="74">
        <v>21091.627394977299</v>
      </c>
      <c r="D69" s="74">
        <v>21037.2655284008</v>
      </c>
      <c r="E69" s="74">
        <v>20982.903661824399</v>
      </c>
      <c r="F69" s="74">
        <v>20928.5417952479</v>
      </c>
      <c r="G69" s="74">
        <v>20874.1799286715</v>
      </c>
      <c r="H69" s="74">
        <v>20819.818062095001</v>
      </c>
      <c r="I69" s="74">
        <v>20953.839773384399</v>
      </c>
      <c r="J69" s="74">
        <v>21087.861484673798</v>
      </c>
      <c r="K69" s="74">
        <v>21221.883195963299</v>
      </c>
      <c r="L69" s="74">
        <v>21355.904907252701</v>
      </c>
      <c r="M69" s="74">
        <v>21489.9266185421</v>
      </c>
      <c r="N69" s="74">
        <v>21724.936820316099</v>
      </c>
      <c r="O69" s="74">
        <v>21959.9470220902</v>
      </c>
      <c r="P69" s="74">
        <v>22194.957223864199</v>
      </c>
      <c r="Q69" s="74">
        <v>22429.967425638199</v>
      </c>
      <c r="R69" s="74">
        <v>22664.9776274123</v>
      </c>
      <c r="S69" s="74">
        <v>22777.3993085865</v>
      </c>
      <c r="T69" s="74">
        <v>22889.820989760701</v>
      </c>
      <c r="U69" s="74">
        <v>23002.2426709348</v>
      </c>
      <c r="V69" s="74">
        <v>23114.664352109001</v>
      </c>
      <c r="W69" s="74">
        <v>23227.086033283202</v>
      </c>
      <c r="X69" s="74">
        <v>23310.4589883958</v>
      </c>
      <c r="Y69" s="74">
        <v>23393.831943508401</v>
      </c>
      <c r="Z69" s="74">
        <v>23477.204898620901</v>
      </c>
      <c r="AA69" s="74">
        <v>23560.577853733499</v>
      </c>
      <c r="AB69" s="74">
        <v>23643.950808846101</v>
      </c>
      <c r="AC69" s="74">
        <v>23696.126683395501</v>
      </c>
      <c r="AD69" s="74">
        <v>23748.302557944899</v>
      </c>
      <c r="AE69" s="74">
        <v>23800.478432494299</v>
      </c>
      <c r="AF69" s="74">
        <v>23852.6543070437</v>
      </c>
      <c r="AG69" s="74">
        <v>23904.830181593101</v>
      </c>
      <c r="AH69" s="74">
        <v>23991.649797753798</v>
      </c>
      <c r="AI69" s="74">
        <v>24078.469413914601</v>
      </c>
      <c r="AJ69" s="74">
        <v>24165.289030075299</v>
      </c>
      <c r="AK69" s="74">
        <v>24252.108646236</v>
      </c>
      <c r="AL69" s="74">
        <v>24338.928262396701</v>
      </c>
      <c r="AM69" s="74">
        <v>24427.7320157084</v>
      </c>
      <c r="AN69" s="74">
        <v>24516.535769020102</v>
      </c>
      <c r="AO69" s="74">
        <v>24605.339522331698</v>
      </c>
      <c r="AP69" s="74">
        <v>24694.143275643401</v>
      </c>
      <c r="AQ69" s="74">
        <v>24782.947028955099</v>
      </c>
      <c r="AR69" s="74">
        <v>24782.947028955099</v>
      </c>
      <c r="AS69" s="74">
        <v>24782.947028955099</v>
      </c>
      <c r="AT69" s="74">
        <v>24782.947028955099</v>
      </c>
      <c r="AU69" s="74">
        <v>24782.947028955099</v>
      </c>
      <c r="AV69" s="74">
        <v>24782.947028955099</v>
      </c>
      <c r="AW69" s="74">
        <v>24782.947028955099</v>
      </c>
      <c r="AX69" s="74">
        <v>24782.947028955099</v>
      </c>
      <c r="AY69" s="74">
        <v>24782.947028955099</v>
      </c>
      <c r="AZ69" s="74">
        <v>24782.947028955099</v>
      </c>
      <c r="BA69" s="74">
        <v>24782.947028955099</v>
      </c>
      <c r="BC69" s="74">
        <v>24778.887723792297</v>
      </c>
    </row>
    <row r="70" spans="1:55" s="74" customFormat="1" ht="16" x14ac:dyDescent="0.8">
      <c r="A70" s="3" t="s">
        <v>103</v>
      </c>
      <c r="B70" s="74" t="s">
        <v>163</v>
      </c>
      <c r="C70" s="74">
        <v>21659.777928002099</v>
      </c>
      <c r="D70" s="74">
        <v>21791.387955775499</v>
      </c>
      <c r="E70" s="74">
        <v>21922.997983548899</v>
      </c>
      <c r="F70" s="74">
        <v>22054.6080113223</v>
      </c>
      <c r="G70" s="74">
        <v>22186.218039095598</v>
      </c>
      <c r="H70" s="74">
        <v>22317.828066868999</v>
      </c>
      <c r="I70" s="74">
        <v>22305.2654963194</v>
      </c>
      <c r="J70" s="74">
        <v>22292.702925769801</v>
      </c>
      <c r="K70" s="74">
        <v>22280.140355220199</v>
      </c>
      <c r="L70" s="74">
        <v>22267.577784670499</v>
      </c>
      <c r="M70" s="74">
        <v>22255.0152141209</v>
      </c>
      <c r="N70" s="74">
        <v>22421.279904337502</v>
      </c>
      <c r="O70" s="74">
        <v>22587.544594554001</v>
      </c>
      <c r="P70" s="74">
        <v>22753.809284770599</v>
      </c>
      <c r="Q70" s="74">
        <v>22920.073974987201</v>
      </c>
      <c r="R70" s="74">
        <v>23086.338665203701</v>
      </c>
      <c r="S70" s="74">
        <v>23225.269035171699</v>
      </c>
      <c r="T70" s="74">
        <v>23364.199405139701</v>
      </c>
      <c r="U70" s="74">
        <v>23503.1297751077</v>
      </c>
      <c r="V70" s="74">
        <v>23642.0601450756</v>
      </c>
      <c r="W70" s="74">
        <v>23780.990515043599</v>
      </c>
      <c r="X70" s="74">
        <v>23753.581778601299</v>
      </c>
      <c r="Y70" s="74">
        <v>23726.173042158902</v>
      </c>
      <c r="Z70" s="74">
        <v>23698.764305716599</v>
      </c>
      <c r="AA70" s="74">
        <v>23671.355569274201</v>
      </c>
      <c r="AB70" s="74">
        <v>23643.946832831902</v>
      </c>
      <c r="AC70" s="74">
        <v>23696.121758489699</v>
      </c>
      <c r="AD70" s="74">
        <v>23748.296684147499</v>
      </c>
      <c r="AE70" s="74">
        <v>23800.4716098053</v>
      </c>
      <c r="AF70" s="74">
        <v>23852.6465354631</v>
      </c>
      <c r="AG70" s="74">
        <v>23904.8214611209</v>
      </c>
      <c r="AH70" s="74">
        <v>23991.640895692701</v>
      </c>
      <c r="AI70" s="74">
        <v>24078.460330264399</v>
      </c>
      <c r="AJ70" s="74">
        <v>24165.279764836199</v>
      </c>
      <c r="AK70" s="74">
        <v>24252.099199408</v>
      </c>
      <c r="AL70" s="74">
        <v>24338.918633979702</v>
      </c>
      <c r="AM70" s="74">
        <v>24427.724380483702</v>
      </c>
      <c r="AN70" s="74">
        <v>24516.5301269878</v>
      </c>
      <c r="AO70" s="74">
        <v>24605.3358734918</v>
      </c>
      <c r="AP70" s="74">
        <v>24694.1416199958</v>
      </c>
      <c r="AQ70" s="74">
        <v>24782.9473664998</v>
      </c>
      <c r="AR70" s="74">
        <v>24782.9473664998</v>
      </c>
      <c r="AS70" s="74">
        <v>24782.9473664998</v>
      </c>
      <c r="AT70" s="74">
        <v>24782.9473664998</v>
      </c>
      <c r="AU70" s="74">
        <v>24782.9473664998</v>
      </c>
      <c r="AV70" s="74">
        <v>24782.9473664998</v>
      </c>
      <c r="AW70" s="74">
        <v>24782.9473664998</v>
      </c>
      <c r="AX70" s="74">
        <v>24782.9473664998</v>
      </c>
      <c r="AY70" s="74">
        <v>24782.9473664998</v>
      </c>
      <c r="AZ70" s="74">
        <v>24782.9473664998</v>
      </c>
      <c r="BA70" s="74">
        <v>24782.9473664998</v>
      </c>
      <c r="BC70" s="74">
        <v>22251.772967826735</v>
      </c>
    </row>
    <row r="71" spans="1:55" s="74" customFormat="1" ht="16" x14ac:dyDescent="0.8">
      <c r="A71" s="3" t="s">
        <v>104</v>
      </c>
      <c r="B71" s="74" t="s">
        <v>164</v>
      </c>
      <c r="C71" s="74">
        <v>22089.612400879501</v>
      </c>
      <c r="D71" s="74">
        <v>22254.830516849201</v>
      </c>
      <c r="E71" s="74">
        <v>22420.048632819002</v>
      </c>
      <c r="F71" s="74">
        <v>22585.266748788701</v>
      </c>
      <c r="G71" s="74">
        <v>22750.484864758499</v>
      </c>
      <c r="H71" s="74">
        <v>22915.702980728202</v>
      </c>
      <c r="I71" s="74">
        <v>22961.0601345865</v>
      </c>
      <c r="J71" s="74">
        <v>23006.4172884447</v>
      </c>
      <c r="K71" s="74">
        <v>23051.7744423029</v>
      </c>
      <c r="L71" s="74">
        <v>23097.1315961611</v>
      </c>
      <c r="M71" s="74">
        <v>23142.488750019402</v>
      </c>
      <c r="N71" s="74">
        <v>23237.1787034726</v>
      </c>
      <c r="O71" s="74">
        <v>23331.868656925799</v>
      </c>
      <c r="P71" s="74">
        <v>23426.558610379001</v>
      </c>
      <c r="Q71" s="74">
        <v>23521.2485638322</v>
      </c>
      <c r="R71" s="74">
        <v>23615.938517285402</v>
      </c>
      <c r="S71" s="74">
        <v>23667.042041819201</v>
      </c>
      <c r="T71" s="74">
        <v>23718.145566353101</v>
      </c>
      <c r="U71" s="74">
        <v>23769.2490908869</v>
      </c>
      <c r="V71" s="74">
        <v>23820.352615420699</v>
      </c>
      <c r="W71" s="74">
        <v>23871.456139954498</v>
      </c>
      <c r="X71" s="74">
        <v>23825.9595253433</v>
      </c>
      <c r="Y71" s="74">
        <v>23780.4629107322</v>
      </c>
      <c r="Z71" s="74">
        <v>23734.966296121002</v>
      </c>
      <c r="AA71" s="74">
        <v>23689.4696815098</v>
      </c>
      <c r="AB71" s="74">
        <v>23643.973066898601</v>
      </c>
      <c r="AC71" s="74">
        <v>23696.145507457801</v>
      </c>
      <c r="AD71" s="74">
        <v>23748.317948017</v>
      </c>
      <c r="AE71" s="74">
        <v>23800.490388576301</v>
      </c>
      <c r="AF71" s="74">
        <v>23852.662829135501</v>
      </c>
      <c r="AG71" s="74">
        <v>23904.8352696947</v>
      </c>
      <c r="AH71" s="74">
        <v>23991.6580708851</v>
      </c>
      <c r="AI71" s="74">
        <v>24078.480872075401</v>
      </c>
      <c r="AJ71" s="74">
        <v>24165.3036732658</v>
      </c>
      <c r="AK71" s="74">
        <v>24252.1264744562</v>
      </c>
      <c r="AL71" s="74">
        <v>24338.949275646501</v>
      </c>
      <c r="AM71" s="74">
        <v>24427.753076080298</v>
      </c>
      <c r="AN71" s="74">
        <v>24516.5568765141</v>
      </c>
      <c r="AO71" s="74">
        <v>24605.360676947999</v>
      </c>
      <c r="AP71" s="74">
        <v>24694.164477381801</v>
      </c>
      <c r="AQ71" s="74">
        <v>24782.968277815598</v>
      </c>
      <c r="AR71" s="74">
        <v>24782.968277815598</v>
      </c>
      <c r="AS71" s="74">
        <v>24782.968277815598</v>
      </c>
      <c r="AT71" s="74">
        <v>24782.968277815598</v>
      </c>
      <c r="AU71" s="74">
        <v>24782.968277815598</v>
      </c>
      <c r="AV71" s="74">
        <v>24782.968277815598</v>
      </c>
      <c r="AW71" s="74">
        <v>24782.968277815598</v>
      </c>
      <c r="AX71" s="74">
        <v>24782.968277815598</v>
      </c>
      <c r="AY71" s="74">
        <v>24782.968277815598</v>
      </c>
      <c r="AZ71" s="74">
        <v>24782.968277815598</v>
      </c>
      <c r="BA71" s="74">
        <v>24782.968277815598</v>
      </c>
      <c r="BC71" s="74">
        <v>23473.477713170843</v>
      </c>
    </row>
    <row r="72" spans="1:55" s="74" customFormat="1" ht="16" x14ac:dyDescent="0.8">
      <c r="B72" s="74" t="s">
        <v>123</v>
      </c>
    </row>
    <row r="73" spans="1:55" s="74" customFormat="1" ht="16" x14ac:dyDescent="0.8">
      <c r="B73" s="74" t="s">
        <v>124</v>
      </c>
      <c r="C73" s="74">
        <v>36212.917622817593</v>
      </c>
      <c r="D73" s="74">
        <v>35995.436443432634</v>
      </c>
      <c r="E73" s="74">
        <v>35777.955264047698</v>
      </c>
      <c r="F73" s="74">
        <v>35560.474084662776</v>
      </c>
      <c r="G73" s="74">
        <v>35342.992905277788</v>
      </c>
      <c r="H73" s="74">
        <v>35125.511725892873</v>
      </c>
      <c r="I73" s="74">
        <v>35092.616355598533</v>
      </c>
      <c r="J73" s="74">
        <v>35059.72098530423</v>
      </c>
      <c r="K73" s="74">
        <v>35026.82561500989</v>
      </c>
      <c r="L73" s="74">
        <v>34993.930244715593</v>
      </c>
      <c r="M73" s="74">
        <v>34961.034874421275</v>
      </c>
      <c r="N73" s="74">
        <v>35044.534078823126</v>
      </c>
      <c r="O73" s="74">
        <v>35128.033283224977</v>
      </c>
      <c r="P73" s="74">
        <v>35211.532487626893</v>
      </c>
      <c r="Q73" s="74">
        <v>35295.031692028722</v>
      </c>
      <c r="R73" s="74">
        <v>35378.53089643058</v>
      </c>
      <c r="S73" s="74">
        <v>35519.507405075063</v>
      </c>
      <c r="T73" s="74">
        <v>35660.483913719538</v>
      </c>
      <c r="U73" s="74">
        <v>35801.460422363969</v>
      </c>
      <c r="V73" s="74">
        <v>35942.436931008444</v>
      </c>
      <c r="W73" s="74">
        <v>36083.413439652904</v>
      </c>
      <c r="X73" s="74">
        <v>36110.468399902995</v>
      </c>
      <c r="Y73" s="74">
        <v>36137.52336015302</v>
      </c>
      <c r="Z73" s="74">
        <v>36164.578320403096</v>
      </c>
      <c r="AA73" s="74">
        <v>36191.633280653135</v>
      </c>
      <c r="AB73" s="74">
        <v>36218.68824090319</v>
      </c>
      <c r="AC73" s="74">
        <v>36304.420718144684</v>
      </c>
      <c r="AD73" s="74">
        <v>36390.153195386178</v>
      </c>
      <c r="AE73" s="74">
        <v>36475.885672627621</v>
      </c>
      <c r="AF73" s="74">
        <v>36561.618149869115</v>
      </c>
      <c r="AG73" s="74">
        <v>36647.350627110602</v>
      </c>
      <c r="AH73" s="74">
        <v>36746.835188994162</v>
      </c>
      <c r="AI73" s="74">
        <v>36846.319750877708</v>
      </c>
      <c r="AJ73" s="74">
        <v>36945.804312761255</v>
      </c>
      <c r="AK73" s="74">
        <v>37045.288874644808</v>
      </c>
      <c r="AL73" s="74">
        <v>37144.773436528369</v>
      </c>
      <c r="AM73" s="74">
        <v>37248.895799007085</v>
      </c>
      <c r="AN73" s="74">
        <v>37353.018161485779</v>
      </c>
      <c r="AO73" s="74">
        <v>37457.140523964496</v>
      </c>
      <c r="AP73" s="74">
        <v>37561.262886443212</v>
      </c>
      <c r="AQ73" s="74">
        <v>37665.385248921906</v>
      </c>
      <c r="AR73" s="74">
        <v>37665.385248921906</v>
      </c>
      <c r="AS73" s="74">
        <v>37665.385248921906</v>
      </c>
      <c r="AT73" s="74">
        <v>37665.385248921906</v>
      </c>
      <c r="AU73" s="74">
        <v>37665.385248921906</v>
      </c>
      <c r="AV73" s="74">
        <v>37665.385248921906</v>
      </c>
      <c r="AW73" s="74">
        <v>37665.385248921906</v>
      </c>
      <c r="AX73" s="74">
        <v>37665.385248921906</v>
      </c>
      <c r="AY73" s="74">
        <v>37665.385248921906</v>
      </c>
      <c r="AZ73" s="74">
        <v>37665.385248921906</v>
      </c>
      <c r="BA73" s="74">
        <v>37665.385248921906</v>
      </c>
      <c r="BC73" s="74">
        <v>36810.263386482577</v>
      </c>
    </row>
    <row r="74" spans="1:55" s="74" customFormat="1" ht="16" x14ac:dyDescent="0.8"/>
    <row r="75" spans="1:55" s="74" customFormat="1" ht="16" x14ac:dyDescent="0.8"/>
    <row r="76" spans="1:55" s="74" customFormat="1" ht="16" x14ac:dyDescent="0.8">
      <c r="A76" s="2" t="s">
        <v>165</v>
      </c>
      <c r="B76" s="74" t="s">
        <v>166</v>
      </c>
      <c r="C76" s="76">
        <v>2020</v>
      </c>
      <c r="D76" s="76">
        <v>2021</v>
      </c>
      <c r="E76" s="76">
        <v>2022</v>
      </c>
      <c r="F76" s="76">
        <v>2023</v>
      </c>
      <c r="G76" s="76">
        <v>2024</v>
      </c>
      <c r="H76" s="76">
        <v>2025</v>
      </c>
      <c r="I76" s="76">
        <v>2026</v>
      </c>
      <c r="J76" s="76">
        <v>2027</v>
      </c>
      <c r="K76" s="76">
        <v>2028</v>
      </c>
      <c r="L76" s="76">
        <v>2029</v>
      </c>
      <c r="M76" s="76">
        <v>2030</v>
      </c>
      <c r="N76" s="76">
        <v>2031</v>
      </c>
      <c r="O76" s="76">
        <v>2032</v>
      </c>
      <c r="P76" s="76">
        <v>2033</v>
      </c>
      <c r="Q76" s="76">
        <v>2034</v>
      </c>
      <c r="R76" s="76">
        <v>2035</v>
      </c>
      <c r="S76" s="76">
        <v>2036</v>
      </c>
      <c r="T76" s="76">
        <v>2037</v>
      </c>
      <c r="U76" s="76">
        <v>2038</v>
      </c>
      <c r="V76" s="76">
        <v>2039</v>
      </c>
      <c r="W76" s="76">
        <v>2040</v>
      </c>
      <c r="X76" s="76">
        <v>2041</v>
      </c>
      <c r="Y76" s="76">
        <v>2042</v>
      </c>
      <c r="Z76" s="76">
        <v>2043</v>
      </c>
      <c r="AA76" s="76">
        <v>2044</v>
      </c>
      <c r="AB76" s="76">
        <v>2045</v>
      </c>
      <c r="AC76" s="76">
        <v>2046</v>
      </c>
      <c r="AD76" s="76">
        <v>2047</v>
      </c>
      <c r="AE76" s="76">
        <v>2048</v>
      </c>
      <c r="AF76" s="76">
        <v>2049</v>
      </c>
      <c r="AG76" s="76">
        <v>2050</v>
      </c>
      <c r="AH76" s="76"/>
      <c r="AI76" s="76"/>
      <c r="AJ76" s="76"/>
    </row>
    <row r="77" spans="1:55" s="74" customFormat="1" ht="16" x14ac:dyDescent="0.8">
      <c r="A77" s="3" t="s">
        <v>102</v>
      </c>
      <c r="B77" s="74" t="str">
        <f t="shared" ref="B77:B86" si="37">INDEX($AJ$17:$AJ$28,MATCH(A77,$A$17:$A$28,0),1)</f>
        <v>Freight LDV</v>
      </c>
      <c r="C77" s="77" cm="1">
        <f t="array" ref="C77">SUMPRODUCT(IF($A$34:$A$71=$A77,C$34:C$71),IF($A$34:$A$71=$A77,C$34:C$71))/SUMIF($A$34:$A$71,$A77,C$34:C$71)</f>
        <v>28710.322132816953</v>
      </c>
      <c r="D77" s="77" cm="1">
        <f t="array" ref="D77">SUMPRODUCT(IF($A$34:$A$71=$A77,D$34:D$71),IF($A$34:$A$71=$A77,D$34:D$71))/SUMIF($A$34:$A$71,$A77,D$34:D$71)</f>
        <v>28740.361267211476</v>
      </c>
      <c r="E77" s="77" cm="1">
        <f t="array" ref="E77">SUMPRODUCT(IF($A$34:$A$71=$A77,E$34:E$71),IF($A$34:$A$71=$A77,E$34:E$71))/SUMIF($A$34:$A$71,$A77,E$34:E$71)</f>
        <v>28770.640209197707</v>
      </c>
      <c r="F77" s="77" cm="1">
        <f t="array" ref="F77">SUMPRODUCT(IF($A$34:$A$71=$A77,F$34:F$71),IF($A$34:$A$71=$A77,F$34:F$71))/SUMIF($A$34:$A$71,$A77,F$34:F$71)</f>
        <v>28801.158861193297</v>
      </c>
      <c r="G77" s="77" cm="1">
        <f t="array" ref="G77">SUMPRODUCT(IF($A$34:$A$71=$A77,G$34:G$71),IF($A$34:$A$71=$A77,G$34:G$71))/SUMIF($A$34:$A$71,$A77,G$34:G$71)</f>
        <v>28831.917125668646</v>
      </c>
      <c r="H77" s="77" cm="1">
        <f t="array" ref="H77">SUMPRODUCT(IF($A$34:$A$71=$A77,H$34:H$71),IF($A$34:$A$71=$A77,H$34:H$71))/SUMIF($A$34:$A$71,$A77,H$34:H$71)</f>
        <v>28862.914905147245</v>
      </c>
      <c r="I77" s="77" cm="1">
        <f t="array" ref="I77">SUMPRODUCT(IF($A$34:$A$71=$A77,I$34:I$71),IF($A$34:$A$71=$A77,I$34:I$71))/SUMIF($A$34:$A$71,$A77,I$34:I$71)</f>
        <v>28717.200325824579</v>
      </c>
      <c r="J77" s="77" cm="1">
        <f t="array" ref="J77">SUMPRODUCT(IF($A$34:$A$71=$A77,J$34:J$71),IF($A$34:$A$71=$A77,J$34:J$71))/SUMIF($A$34:$A$71,$A77,J$34:J$71)</f>
        <v>28573.837952827373</v>
      </c>
      <c r="K77" s="77" cm="1">
        <f t="array" ref="K77">SUMPRODUCT(IF($A$34:$A$71=$A77,K$34:K$71),IF($A$34:$A$71=$A77,K$34:K$71))/SUMIF($A$34:$A$71,$A77,K$34:K$71)</f>
        <v>28432.843015929622</v>
      </c>
      <c r="L77" s="77" cm="1">
        <f t="array" ref="L77">SUMPRODUCT(IF($A$34:$A$71=$A77,L$34:L$71),IF($A$34:$A$71=$A77,L$34:L$71))/SUMIF($A$34:$A$71,$A77,L$34:L$71)</f>
        <v>28294.23087666685</v>
      </c>
      <c r="M77" s="77" cm="1">
        <f t="array" ref="M77">SUMPRODUCT(IF($A$34:$A$71=$A77,M$34:M$71),IF($A$34:$A$71=$A77,M$34:M$71))/SUMIF($A$34:$A$71,$A77,M$34:M$71)</f>
        <v>28158.017029763927</v>
      </c>
      <c r="N77" s="77" cm="1">
        <f t="array" ref="N77">SUMPRODUCT(IF($A$34:$A$71=$A77,N$34:N$71),IF($A$34:$A$71=$A77,N$34:N$71))/SUMIF($A$34:$A$71,$A77,N$34:N$71)</f>
        <v>28447.914960283164</v>
      </c>
      <c r="O77" s="77" cm="1">
        <f t="array" ref="O77">SUMPRODUCT(IF($A$34:$A$71=$A77,O$34:O$71),IF($A$34:$A$71=$A77,O$34:O$71))/SUMIF($A$34:$A$71,$A77,O$34:O$71)</f>
        <v>28737.820781666884</v>
      </c>
      <c r="P77" s="77" cm="1">
        <f t="array" ref="P77">SUMPRODUCT(IF($A$34:$A$71=$A77,P$34:P$71),IF($A$34:$A$71=$A77,P$34:P$71))/SUMIF($A$34:$A$71,$A77,P$34:P$71)</f>
        <v>29027.734254104627</v>
      </c>
      <c r="Q77" s="77" cm="1">
        <f t="array" ref="Q77">SUMPRODUCT(IF($A$34:$A$71=$A77,Q$34:Q$71),IF($A$34:$A$71=$A77,Q$34:Q$71))/SUMIF($A$34:$A$71,$A77,Q$34:Q$71)</f>
        <v>29317.655147406247</v>
      </c>
      <c r="R77" s="77" cm="1">
        <f t="array" ref="R77">SUMPRODUCT(IF($A$34:$A$71=$A77,R$34:R$71),IF($A$34:$A$71=$A77,R$34:R$71))/SUMIF($A$34:$A$71,$A77,R$34:R$71)</f>
        <v>29607.583240523665</v>
      </c>
      <c r="S77" s="77" cm="1">
        <f t="array" ref="S77">SUMPRODUCT(IF($A$34:$A$71=$A77,S$34:S$71),IF($A$34:$A$71=$A77,S$34:S$71))/SUMIF($A$34:$A$71,$A77,S$34:S$71)</f>
        <v>29766.428851142275</v>
      </c>
      <c r="T77" s="77" cm="1">
        <f t="array" ref="T77">SUMPRODUCT(IF($A$34:$A$71=$A77,T$34:T$71),IF($A$34:$A$71=$A77,T$34:T$71))/SUMIF($A$34:$A$71,$A77,T$34:T$71)</f>
        <v>29925.277854408047</v>
      </c>
      <c r="U77" s="77" cm="1">
        <f t="array" ref="U77">SUMPRODUCT(IF($A$34:$A$71=$A77,U$34:U$71),IF($A$34:$A$71=$A77,U$34:U$71))/SUMIF($A$34:$A$71,$A77,U$34:U$71)</f>
        <v>30084.130197527837</v>
      </c>
      <c r="V77" s="77" cm="1">
        <f t="array" ref="V77">SUMPRODUCT(IF($A$34:$A$71=$A77,V$34:V$71),IF($A$34:$A$71=$A77,V$34:V$71))/SUMIF($A$34:$A$71,$A77,V$34:V$71)</f>
        <v>30242.985828798304</v>
      </c>
      <c r="W77" s="77" cm="1">
        <f t="array" ref="W77">SUMPRODUCT(IF($A$34:$A$71=$A77,W$34:W$71),IF($A$34:$A$71=$A77,W$34:W$71))/SUMIF($A$34:$A$71,$A77,W$34:W$71)</f>
        <v>30401.844697577679</v>
      </c>
      <c r="X77" s="77" cm="1">
        <f t="array" ref="X77">SUMPRODUCT(IF($A$34:$A$71=$A77,X$34:X$71),IF($A$34:$A$71=$A77,X$34:X$71))/SUMIF($A$34:$A$71,$A77,X$34:X$71)</f>
        <v>30515.019684416697</v>
      </c>
      <c r="Y77" s="77" cm="1">
        <f t="array" ref="Y77">SUMPRODUCT(IF($A$34:$A$71=$A77,Y$34:Y$71),IF($A$34:$A$71=$A77,Y$34:Y$71))/SUMIF($A$34:$A$71,$A77,Y$34:Y$71)</f>
        <v>30628.195047925372</v>
      </c>
      <c r="Z77" s="77" cm="1">
        <f t="array" ref="Z77">SUMPRODUCT(IF($A$34:$A$71=$A77,Z$34:Z$71),IF($A$34:$A$71=$A77,Z$34:Z$71))/SUMIF($A$34:$A$71,$A77,Z$34:Z$71)</f>
        <v>30741.370783978513</v>
      </c>
      <c r="AA77" s="77" cm="1">
        <f t="array" ref="AA77">SUMPRODUCT(IF($A$34:$A$71=$A77,AA$34:AA$71),IF($A$34:$A$71=$A77,AA$34:AA$71))/SUMIF($A$34:$A$71,$A77,AA$34:AA$71)</f>
        <v>30854.546888511064</v>
      </c>
      <c r="AB77" s="77" cm="1">
        <f t="array" ref="AB77">SUMPRODUCT(IF($A$34:$A$71=$A77,AB$34:AB$71),IF($A$34:$A$71=$A77,AB$34:AB$71))/SUMIF($A$34:$A$71,$A77,AB$34:AB$71)</f>
        <v>30967.723357516781</v>
      </c>
      <c r="AC77" s="77" cm="1">
        <f t="array" ref="AC77">SUMPRODUCT(IF($A$34:$A$71=$A77,AC$34:AC$71),IF($A$34:$A$71=$A77,AC$34:AC$71))/SUMIF($A$34:$A$71,$A77,AC$34:AC$71)</f>
        <v>31031.244195760959</v>
      </c>
      <c r="AD77" s="77" cm="1">
        <f t="array" ref="AD77">SUMPRODUCT(IF($A$34:$A$71=$A77,AD$34:AD$71),IF($A$34:$A$71=$A77,AD$34:AD$71))/SUMIF($A$34:$A$71,$A77,AD$34:AD$71)</f>
        <v>31094.765559132204</v>
      </c>
      <c r="AE77" s="77" cm="1">
        <f t="array" ref="AE77">SUMPRODUCT(IF($A$34:$A$71=$A77,AE$34:AE$71),IF($A$34:$A$71=$A77,AE$34:AE$71))/SUMIF($A$34:$A$71,$A77,AE$34:AE$71)</f>
        <v>31158.287444361296</v>
      </c>
      <c r="AF77" s="77" cm="1">
        <f t="array" ref="AF77">SUMPRODUCT(IF($A$34:$A$71=$A77,AF$34:AF$71),IF($A$34:$A$71=$A77,AF$34:AF$71))/SUMIF($A$34:$A$71,$A77,AF$34:AF$71)</f>
        <v>31221.809848206052</v>
      </c>
      <c r="AG77" s="77" cm="1">
        <f t="array" ref="AG77">SUMPRODUCT(IF($A$34:$A$71=$A77,AG$34:AG$71),IF($A$34:$A$71=$A77,AG$34:AG$71))/SUMIF($A$34:$A$71,$A77,AG$34:AG$71)</f>
        <v>31285.332767451124</v>
      </c>
      <c r="AH77" s="77"/>
      <c r="AI77" s="77"/>
      <c r="AJ77" s="77"/>
    </row>
    <row r="78" spans="1:55" s="74" customFormat="1" ht="16" x14ac:dyDescent="0.8">
      <c r="A78" s="3" t="s">
        <v>103</v>
      </c>
      <c r="B78" s="74" t="str">
        <f t="shared" si="37"/>
        <v>Freight LDV</v>
      </c>
      <c r="C78" s="77" cm="1">
        <f t="array" ref="C78">SUMPRODUCT(IF($A$34:$A$71=$A78,C$34:C$71),IF($A$34:$A$71=$A78,C$34:C$71))/SUMIF($A$34:$A$71,$A78,C$34:C$71)</f>
        <v>28744.397888062351</v>
      </c>
      <c r="D78" s="77" cm="1">
        <f t="array" ref="D78">SUMPRODUCT(IF($A$34:$A$71=$A78,D$34:D$71),IF($A$34:$A$71=$A78,D$34:D$71))/SUMIF($A$34:$A$71,$A78,D$34:D$71)</f>
        <v>28676.968077147903</v>
      </c>
      <c r="E78" s="77" cm="1">
        <f t="array" ref="E78">SUMPRODUCT(IF($A$34:$A$71=$A78,E$34:E$71),IF($A$34:$A$71=$A78,E$34:E$71))/SUMIF($A$34:$A$71,$A78,E$34:E$71)</f>
        <v>28610.93607939504</v>
      </c>
      <c r="F78" s="77" cm="1">
        <f t="array" ref="F78">SUMPRODUCT(IF($A$34:$A$71=$A78,F$34:F$71),IF($A$34:$A$71=$A78,F$34:F$71))/SUMIF($A$34:$A$71,$A78,F$34:F$71)</f>
        <v>28546.303244862313</v>
      </c>
      <c r="G78" s="77" cm="1">
        <f t="array" ref="G78">SUMPRODUCT(IF($A$34:$A$71=$A78,G$34:G$71),IF($A$34:$A$71=$A78,G$34:G$71))/SUMIF($A$34:$A$71,$A78,G$34:G$71)</f>
        <v>28483.07092534742</v>
      </c>
      <c r="H78" s="77" cm="1">
        <f t="array" ref="H78">SUMPRODUCT(IF($A$34:$A$71=$A78,H$34:H$71),IF($A$34:$A$71=$A78,H$34:H$71))/SUMIF($A$34:$A$71,$A78,H$34:H$71)</f>
        <v>28421.240474390048</v>
      </c>
      <c r="I78" s="77" cm="1">
        <f t="array" ref="I78">SUMPRODUCT(IF($A$34:$A$71=$A78,I$34:I$71),IF($A$34:$A$71=$A78,I$34:I$71))/SUMIF($A$34:$A$71,$A78,I$34:I$71)</f>
        <v>28580.672447378776</v>
      </c>
      <c r="J78" s="77" cm="1">
        <f t="array" ref="J78">SUMPRODUCT(IF($A$34:$A$71=$A78,J$34:J$71),IF($A$34:$A$71=$A78,J$34:J$71))/SUMIF($A$34:$A$71,$A78,J$34:J$71)</f>
        <v>28740.915769933003</v>
      </c>
      <c r="K78" s="77" cm="1">
        <f t="array" ref="K78">SUMPRODUCT(IF($A$34:$A$71=$A78,K$34:K$71),IF($A$34:$A$71=$A78,K$34:K$71))/SUMIF($A$34:$A$71,$A78,K$34:K$71)</f>
        <v>28901.960355873602</v>
      </c>
      <c r="L78" s="77" cm="1">
        <f t="array" ref="L78">SUMPRODUCT(IF($A$34:$A$71=$A78,L$34:L$71),IF($A$34:$A$71=$A78,L$34:L$71))/SUMIF($A$34:$A$71,$A78,L$34:L$71)</f>
        <v>29063.796285511478</v>
      </c>
      <c r="M78" s="77" cm="1">
        <f t="array" ref="M78">SUMPRODUCT(IF($A$34:$A$71=$A78,M$34:M$71),IF($A$34:$A$71=$A78,M$34:M$71))/SUMIF($A$34:$A$71,$A78,M$34:M$71)</f>
        <v>29226.413802226503</v>
      </c>
      <c r="N78" s="77" cm="1">
        <f t="array" ref="N78">SUMPRODUCT(IF($A$34:$A$71=$A78,N$34:N$71),IF($A$34:$A$71=$A78,N$34:N$71))/SUMIF($A$34:$A$71,$A78,N$34:N$71)</f>
        <v>29411.355422648674</v>
      </c>
      <c r="O78" s="77" cm="1">
        <f t="array" ref="O78">SUMPRODUCT(IF($A$34:$A$71=$A78,O$34:O$71),IF($A$34:$A$71=$A78,O$34:O$71))/SUMIF($A$34:$A$71,$A78,O$34:O$71)</f>
        <v>29596.323278761934</v>
      </c>
      <c r="P78" s="77" cm="1">
        <f t="array" ref="P78">SUMPRODUCT(IF($A$34:$A$71=$A78,P$34:P$71),IF($A$34:$A$71=$A78,P$34:P$71))/SUMIF($A$34:$A$71,$A78,P$34:P$71)</f>
        <v>29781.316861134808</v>
      </c>
      <c r="Q78" s="77" cm="1">
        <f t="array" ref="Q78">SUMPRODUCT(IF($A$34:$A$71=$A78,Q$34:Q$71),IF($A$34:$A$71=$A78,Q$34:Q$71))/SUMIF($A$34:$A$71,$A78,Q$34:Q$71)</f>
        <v>29966.335673440339</v>
      </c>
      <c r="R78" s="77" cm="1">
        <f t="array" ref="R78">SUMPRODUCT(IF($A$34:$A$71=$A78,R$34:R$71),IF($A$34:$A$71=$A78,R$34:R$71))/SUMIF($A$34:$A$71,$A78,R$34:R$71)</f>
        <v>30151.379232036968</v>
      </c>
      <c r="S78" s="77" cm="1">
        <f t="array" ref="S78">SUMPRODUCT(IF($A$34:$A$71=$A78,S$34:S$71),IF($A$34:$A$71=$A78,S$34:S$71))/SUMIF($A$34:$A$71,$A78,S$34:S$71)</f>
        <v>30333.797005516542</v>
      </c>
      <c r="T78" s="77" cm="1">
        <f t="array" ref="T78">SUMPRODUCT(IF($A$34:$A$71=$A78,T$34:T$71),IF($A$34:$A$71=$A78,T$34:T$71))/SUMIF($A$34:$A$71,$A78,T$34:T$71)</f>
        <v>30516.214800821454</v>
      </c>
      <c r="U78" s="77" cm="1">
        <f t="array" ref="U78">SUMPRODUCT(IF($A$34:$A$71=$A78,U$34:U$71),IF($A$34:$A$71=$A78,U$34:U$71))/SUMIF($A$34:$A$71,$A78,U$34:U$71)</f>
        <v>30698.632617563169</v>
      </c>
      <c r="V78" s="77" cm="1">
        <f t="array" ref="V78">SUMPRODUCT(IF($A$34:$A$71=$A78,V$34:V$71),IF($A$34:$A$71=$A78,V$34:V$71))/SUMIF($A$34:$A$71,$A78,V$34:V$71)</f>
        <v>30881.050455362249</v>
      </c>
      <c r="W78" s="77" cm="1">
        <f t="array" ref="W78">SUMPRODUCT(IF($A$34:$A$71=$A78,W$34:W$71),IF($A$34:$A$71=$A78,W$34:W$71))/SUMIF($A$34:$A$71,$A78,W$34:W$71)</f>
        <v>31063.468313848229</v>
      </c>
      <c r="X78" s="77" cm="1">
        <f t="array" ref="X78">SUMPRODUCT(IF($A$34:$A$71=$A78,X$34:X$71),IF($A$34:$A$71=$A78,X$34:X$71))/SUMIF($A$34:$A$71,$A78,X$34:X$71)</f>
        <v>31044.307883452144</v>
      </c>
      <c r="Y78" s="77" cm="1">
        <f t="array" ref="Y78">SUMPRODUCT(IF($A$34:$A$71=$A78,Y$34:Y$71),IF($A$34:$A$71=$A78,Y$34:Y$71))/SUMIF($A$34:$A$71,$A78,Y$34:Y$71)</f>
        <v>31025.15379853193</v>
      </c>
      <c r="Z78" s="77" cm="1">
        <f t="array" ref="Z78">SUMPRODUCT(IF($A$34:$A$71=$A78,Z$34:Z$71),IF($A$34:$A$71=$A78,Z$34:Z$71))/SUMIF($A$34:$A$71,$A78,Z$34:Z$71)</f>
        <v>31006.006073280296</v>
      </c>
      <c r="AA78" s="77" cm="1">
        <f t="array" ref="AA78">SUMPRODUCT(IF($A$34:$A$71=$A78,AA$34:AA$71),IF($A$34:$A$71=$A78,AA$34:AA$71))/SUMIF($A$34:$A$71,$A78,AA$34:AA$71)</f>
        <v>30986.864721932208</v>
      </c>
      <c r="AB78" s="77" cm="1">
        <f t="array" ref="AB78">SUMPRODUCT(IF($A$34:$A$71=$A78,AB$34:AB$71),IF($A$34:$A$71=$A78,AB$34:AB$71))/SUMIF($A$34:$A$71,$A78,AB$34:AB$71)</f>
        <v>30967.729758765032</v>
      </c>
      <c r="AC78" s="77" cm="1">
        <f t="array" ref="AC78">SUMPRODUCT(IF($A$34:$A$71=$A78,AC$34:AC$71),IF($A$34:$A$71=$A78,AC$34:AC$71))/SUMIF($A$34:$A$71,$A78,AC$34:AC$71)</f>
        <v>31031.245842030195</v>
      </c>
      <c r="AD78" s="77" cm="1">
        <f t="array" ref="AD78">SUMPRODUCT(IF($A$34:$A$71=$A78,AD$34:AD$71),IF($A$34:$A$71=$A78,AD$34:AD$71))/SUMIF($A$34:$A$71,$A78,AD$34:AD$71)</f>
        <v>31094.762451193659</v>
      </c>
      <c r="AE78" s="77" cm="1">
        <f t="array" ref="AE78">SUMPRODUCT(IF($A$34:$A$71=$A78,AE$34:AE$71),IF($A$34:$A$71=$A78,AE$34:AE$71))/SUMIF($A$34:$A$71,$A78,AE$34:AE$71)</f>
        <v>31158.279582981715</v>
      </c>
      <c r="AF78" s="77" cm="1">
        <f t="array" ref="AF78">SUMPRODUCT(IF($A$34:$A$71=$A78,AF$34:AF$71),IF($A$34:$A$71=$A78,AF$34:AF$71))/SUMIF($A$34:$A$71,$A78,AF$34:AF$71)</f>
        <v>31221.797234147554</v>
      </c>
      <c r="AG78" s="77" cm="1">
        <f t="array" ref="AG78">SUMPRODUCT(IF($A$34:$A$71=$A78,AG$34:AG$71),IF($A$34:$A$71=$A78,AG$34:AG$71))/SUMIF($A$34:$A$71,$A78,AG$34:AG$71)</f>
        <v>31285.315401471289</v>
      </c>
      <c r="AH78" s="77"/>
      <c r="AI78" s="77"/>
      <c r="AJ78" s="77"/>
    </row>
    <row r="79" spans="1:55" s="74" customFormat="1" ht="16" x14ac:dyDescent="0.8">
      <c r="A79" s="3" t="s">
        <v>104</v>
      </c>
      <c r="B79" s="74" t="str">
        <f t="shared" si="37"/>
        <v>Freight HDV</v>
      </c>
      <c r="C79" s="77" cm="1">
        <f t="array" ref="C79">SUMPRODUCT(IF($A$34:$A$71=$A79,C$34:C$71),IF($A$34:$A$71=$A79,C$34:C$71))/SUMIF($A$34:$A$71,$A79,C$34:C$71)</f>
        <v>29842.882382026088</v>
      </c>
      <c r="D79" s="77" cm="1">
        <f t="array" ref="D79">SUMPRODUCT(IF($A$34:$A$71=$A79,D$34:D$71),IF($A$34:$A$71=$A79,D$34:D$71))/SUMIF($A$34:$A$71,$A79,D$34:D$71)</f>
        <v>29958.387634931714</v>
      </c>
      <c r="E79" s="77" cm="1">
        <f t="array" ref="E79">SUMPRODUCT(IF($A$34:$A$71=$A79,E$34:E$71),IF($A$34:$A$71=$A79,E$34:E$71))/SUMIF($A$34:$A$71,$A79,E$34:E$71)</f>
        <v>30074.142616746009</v>
      </c>
      <c r="F79" s="77" cm="1">
        <f t="array" ref="F79">SUMPRODUCT(IF($A$34:$A$71=$A79,F$34:F$71),IF($A$34:$A$71=$A79,F$34:F$71))/SUMIF($A$34:$A$71,$A79,F$34:F$71)</f>
        <v>30190.143809374844</v>
      </c>
      <c r="G79" s="77" cm="1">
        <f t="array" ref="G79">SUMPRODUCT(IF($A$34:$A$71=$A79,G$34:G$71),IF($A$34:$A$71=$A79,G$34:G$71))/SUMIF($A$34:$A$71,$A79,G$34:G$71)</f>
        <v>30306.387760497608</v>
      </c>
      <c r="H79" s="77" cm="1">
        <f t="array" ref="H79">SUMPRODUCT(IF($A$34:$A$71=$A79,H$34:H$71),IF($A$34:$A$71=$A79,H$34:H$71))/SUMIF($A$34:$A$71,$A79,H$34:H$71)</f>
        <v>30422.871082036781</v>
      </c>
      <c r="I79" s="77" cm="1">
        <f t="array" ref="I79">SUMPRODUCT(IF($A$34:$A$71=$A79,I$34:I$71),IF($A$34:$A$71=$A79,I$34:I$71))/SUMIF($A$34:$A$71,$A79,I$34:I$71)</f>
        <v>30408.454910885299</v>
      </c>
      <c r="J79" s="77" cm="1">
        <f t="array" ref="J79">SUMPRODUCT(IF($A$34:$A$71=$A79,J$34:J$71),IF($A$34:$A$71=$A79,J$34:J$71))/SUMIF($A$34:$A$71,$A79,J$34:J$71)</f>
        <v>30394.163454050838</v>
      </c>
      <c r="K79" s="77" cm="1">
        <f t="array" ref="K79">SUMPRODUCT(IF($A$34:$A$71=$A79,K$34:K$71),IF($A$34:$A$71=$A79,K$34:K$71))/SUMIF($A$34:$A$71,$A79,K$34:K$71)</f>
        <v>30379.996666701074</v>
      </c>
      <c r="L79" s="77" cm="1">
        <f t="array" ref="L79">SUMPRODUCT(IF($A$34:$A$71=$A79,L$34:L$71),IF($A$34:$A$71=$A79,L$34:L$71))/SUMIF($A$34:$A$71,$A79,L$34:L$71)</f>
        <v>30365.95450402538</v>
      </c>
      <c r="M79" s="77" cm="1">
        <f t="array" ref="M79">SUMPRODUCT(IF($A$34:$A$71=$A79,M$34:M$71),IF($A$34:$A$71=$A79,M$34:M$71))/SUMIF($A$34:$A$71,$A79,M$34:M$71)</f>
        <v>30352.036921234514</v>
      </c>
      <c r="N79" s="77" cm="1">
        <f t="array" ref="N79">SUMPRODUCT(IF($A$34:$A$71=$A79,N$34:N$71),IF($A$34:$A$71=$A79,N$34:N$71))/SUMIF($A$34:$A$71,$A79,N$34:N$71)</f>
        <v>30440.446816702897</v>
      </c>
      <c r="O79" s="77" cm="1">
        <f t="array" ref="O79">SUMPRODUCT(IF($A$34:$A$71=$A79,O$34:O$71),IF($A$34:$A$71=$A79,O$34:O$71))/SUMIF($A$34:$A$71,$A79,O$34:O$71)</f>
        <v>30528.886091246739</v>
      </c>
      <c r="P79" s="77" cm="1">
        <f t="array" ref="P79">SUMPRODUCT(IF($A$34:$A$71=$A79,P$34:P$71),IF($A$34:$A$71=$A79,P$34:P$71))/SUMIF($A$34:$A$71,$A79,P$34:P$71)</f>
        <v>30617.3544660644</v>
      </c>
      <c r="Q79" s="77" cm="1">
        <f t="array" ref="Q79">SUMPRODUCT(IF($A$34:$A$71=$A79,Q$34:Q$71),IF($A$34:$A$71=$A79,Q$34:Q$71))/SUMIF($A$34:$A$71,$A79,Q$34:Q$71)</f>
        <v>30705.851665870759</v>
      </c>
      <c r="R79" s="77" cm="1">
        <f t="array" ref="R79">SUMPRODUCT(IF($A$34:$A$71=$A79,R$34:R$71),IF($A$34:$A$71=$A79,R$34:R$71))/SUMIF($A$34:$A$71,$A79,R$34:R$71)</f>
        <v>30794.377418842192</v>
      </c>
      <c r="S79" s="77" cm="1">
        <f t="array" ref="S79">SUMPRODUCT(IF($A$34:$A$71=$A79,S$34:S$71),IF($A$34:$A$71=$A79,S$34:S$71))/SUMIF($A$34:$A$71,$A79,S$34:S$71)</f>
        <v>30870.004377183614</v>
      </c>
      <c r="T79" s="77" cm="1">
        <f t="array" ref="T79">SUMPRODUCT(IF($A$34:$A$71=$A79,T$34:T$71),IF($A$34:$A$71=$A79,T$34:T$71))/SUMIF($A$34:$A$71,$A79,T$34:T$71)</f>
        <v>30945.633194978374</v>
      </c>
      <c r="U79" s="77" cm="1">
        <f t="array" ref="U79">SUMPRODUCT(IF($A$34:$A$71=$A79,U$34:U$71),IF($A$34:$A$71=$A79,U$34:U$71))/SUMIF($A$34:$A$71,$A79,U$34:U$71)</f>
        <v>31021.263859006613</v>
      </c>
      <c r="V79" s="77" cm="1">
        <f t="array" ref="V79">SUMPRODUCT(IF($A$34:$A$71=$A79,V$34:V$71),IF($A$34:$A$71=$A79,V$34:V$71))/SUMIF($A$34:$A$71,$A79,V$34:V$71)</f>
        <v>31096.896356173373</v>
      </c>
      <c r="W79" s="77" cm="1">
        <f t="array" ref="W79">SUMPRODUCT(IF($A$34:$A$71=$A79,W$34:W$71),IF($A$34:$A$71=$A79,W$34:W$71))/SUMIF($A$34:$A$71,$A79,W$34:W$71)</f>
        <v>31172.530673507281</v>
      </c>
      <c r="X79" s="77" cm="1">
        <f t="array" ref="X79">SUMPRODUCT(IF($A$34:$A$71=$A79,X$34:X$71),IF($A$34:$A$71=$A79,X$34:X$71))/SUMIF($A$34:$A$71,$A79,X$34:X$71)</f>
        <v>31131.558694465555</v>
      </c>
      <c r="Y79" s="77" cm="1">
        <f t="array" ref="Y79">SUMPRODUCT(IF($A$34:$A$71=$A79,Y$34:Y$71),IF($A$34:$A$71=$A79,Y$34:Y$71))/SUMIF($A$34:$A$71,$A79,Y$34:Y$71)</f>
        <v>31090.594501352422</v>
      </c>
      <c r="Z79" s="77" cm="1">
        <f t="array" ref="Z79">SUMPRODUCT(IF($A$34:$A$71=$A79,Z$34:Z$71),IF($A$34:$A$71=$A79,Z$34:Z$71))/SUMIF($A$34:$A$71,$A79,Z$34:Z$71)</f>
        <v>31049.638128293333</v>
      </c>
      <c r="AA79" s="77" cm="1">
        <f t="array" ref="AA79">SUMPRODUCT(IF($A$34:$A$71=$A79,AA$34:AA$71),IF($A$34:$A$71=$A79,AA$34:AA$71))/SUMIF($A$34:$A$71,$A79,AA$34:AA$71)</f>
        <v>31008.689609613521</v>
      </c>
      <c r="AB79" s="77" cm="1">
        <f t="array" ref="AB79">SUMPRODUCT(IF($A$34:$A$71=$A79,AB$34:AB$71),IF($A$34:$A$71=$A79,AB$34:AB$71))/SUMIF($A$34:$A$71,$A79,AB$34:AB$71)</f>
        <v>30967.748979839445</v>
      </c>
      <c r="AC79" s="77" cm="1">
        <f t="array" ref="AC79">SUMPRODUCT(IF($A$34:$A$71=$A79,AC$34:AC$71),IF($A$34:$A$71=$A79,AC$34:AC$71))/SUMIF($A$34:$A$71,$A79,AC$34:AC$71)</f>
        <v>31031.268369596062</v>
      </c>
      <c r="AD79" s="77" cm="1">
        <f t="array" ref="AD79">SUMPRODUCT(IF($A$34:$A$71=$A79,AD$34:AD$71),IF($A$34:$A$71=$A79,AD$34:AD$71))/SUMIF($A$34:$A$71,$A79,AD$34:AD$71)</f>
        <v>31094.788283813279</v>
      </c>
      <c r="AE79" s="77" cm="1">
        <f t="array" ref="AE79">SUMPRODUCT(IF($A$34:$A$71=$A79,AE$34:AE$71),IF($A$34:$A$71=$A79,AE$34:AE$71))/SUMIF($A$34:$A$71,$A79,AE$34:AE$71)</f>
        <v>31158.308719226068</v>
      </c>
      <c r="AF79" s="77" cm="1">
        <f t="array" ref="AF79">SUMPRODUCT(IF($A$34:$A$71=$A79,AF$34:AF$71),IF($A$34:$A$71=$A79,AF$34:AF$71))/SUMIF($A$34:$A$71,$A79,AF$34:AF$71)</f>
        <v>31221.82967259637</v>
      </c>
      <c r="AG79" s="77" cm="1">
        <f t="array" ref="AG79">SUMPRODUCT(IF($A$34:$A$71=$A79,AG$34:AG$71),IF($A$34:$A$71=$A79,AG$34:AG$71))/SUMIF($A$34:$A$71,$A79,AG$34:AG$71)</f>
        <v>31285.351140713188</v>
      </c>
      <c r="AH79" s="77"/>
      <c r="AI79" s="77"/>
      <c r="AJ79" s="77"/>
    </row>
    <row r="80" spans="1:55" s="74" customFormat="1" ht="16" x14ac:dyDescent="0.8">
      <c r="A80" s="3" t="s">
        <v>105</v>
      </c>
      <c r="B80" s="74" t="str">
        <f t="shared" si="37"/>
        <v>Freight HDV</v>
      </c>
      <c r="C80" s="77" cm="1">
        <f t="array" ref="C80">SUMPRODUCT(IF($A$34:$A$71=$A80,C$34:C$71),IF($A$34:$A$71=$A80,C$34:C$71))/SUMIF($A$34:$A$71,$A80,C$34:C$71)</f>
        <v>75846.446604917626</v>
      </c>
      <c r="D80" s="77" cm="1">
        <f t="array" ref="D80">SUMPRODUCT(IF($A$34:$A$71=$A80,D$34:D$71),IF($A$34:$A$71=$A80,D$34:D$71))/SUMIF($A$34:$A$71,$A80,D$34:D$71)</f>
        <v>74745.588157432809</v>
      </c>
      <c r="E80" s="77" cm="1">
        <f t="array" ref="E80">SUMPRODUCT(IF($A$34:$A$71=$A80,E$34:E$71),IF($A$34:$A$71=$A80,E$34:E$71))/SUMIF($A$34:$A$71,$A80,E$34:E$71)</f>
        <v>73758.184901119035</v>
      </c>
      <c r="F80" s="77" cm="1">
        <f t="array" ref="F80">SUMPRODUCT(IF($A$34:$A$71=$A80,F$34:F$71),IF($A$34:$A$71=$A80,F$34:F$71))/SUMIF($A$34:$A$71,$A80,F$34:F$71)</f>
        <v>72884.634676411981</v>
      </c>
      <c r="G80" s="77" cm="1">
        <f t="array" ref="G80">SUMPRODUCT(IF($A$34:$A$71=$A80,G$34:G$71),IF($A$34:$A$71=$A80,G$34:G$71))/SUMIF($A$34:$A$71,$A80,G$34:G$71)</f>
        <v>72125.337186006625</v>
      </c>
      <c r="H80" s="77" cm="1">
        <f t="array" ref="H80">SUMPRODUCT(IF($A$34:$A$71=$A80,H$34:H$71),IF($A$34:$A$71=$A80,H$34:H$71))/SUMIF($A$34:$A$71,$A80,H$34:H$71)</f>
        <v>71480.694005766389</v>
      </c>
      <c r="I80" s="77" cm="1">
        <f t="array" ref="I80">SUMPRODUCT(IF($A$34:$A$71=$A80,I$34:I$71),IF($A$34:$A$71=$A80,I$34:I$71))/SUMIF($A$34:$A$71,$A80,I$34:I$71)</f>
        <v>70922.611425347015</v>
      </c>
      <c r="J80" s="77" cm="1">
        <f t="array" ref="J80">SUMPRODUCT(IF($A$34:$A$71=$A80,J$34:J$71),IF($A$34:$A$71=$A80,J$34:J$71))/SUMIF($A$34:$A$71,$A80,J$34:J$71)</f>
        <v>70413.120806379782</v>
      </c>
      <c r="K80" s="77" cm="1">
        <f t="array" ref="K80">SUMPRODUCT(IF($A$34:$A$71=$A80,K$34:K$71),IF($A$34:$A$71=$A80,K$34:K$71))/SUMIF($A$34:$A$71,$A80,K$34:K$71)</f>
        <v>69952.752390230788</v>
      </c>
      <c r="L80" s="77" cm="1">
        <f t="array" ref="L80">SUMPRODUCT(IF($A$34:$A$71=$A80,L$34:L$71),IF($A$34:$A$71=$A80,L$34:L$71))/SUMIF($A$34:$A$71,$A80,L$34:L$71)</f>
        <v>69542.04416117417</v>
      </c>
      <c r="M80" s="77" cm="1">
        <f t="array" ref="M80">SUMPRODUCT(IF($A$34:$A$71=$A80,M$34:M$71),IF($A$34:$A$71=$A80,M$34:M$71))/SUMIF($A$34:$A$71,$A80,M$34:M$71)</f>
        <v>69181.54198824281</v>
      </c>
      <c r="N80" s="77" cm="1">
        <f t="array" ref="N80">SUMPRODUCT(IF($A$34:$A$71=$A80,N$34:N$71),IF($A$34:$A$71=$A80,N$34:N$71))/SUMIF($A$34:$A$71,$A80,N$34:N$71)</f>
        <v>69180.131818530455</v>
      </c>
      <c r="O80" s="77" cm="1">
        <f t="array" ref="O80">SUMPRODUCT(IF($A$34:$A$71=$A80,O$34:O$71),IF($A$34:$A$71=$A80,O$34:O$71))/SUMIF($A$34:$A$71,$A80,O$34:O$71)</f>
        <v>69188.970477484938</v>
      </c>
      <c r="P80" s="77" cm="1">
        <f t="array" ref="P80">SUMPRODUCT(IF($A$34:$A$71=$A80,P$34:P$71),IF($A$34:$A$71=$A80,P$34:P$71))/SUMIF($A$34:$A$71,$A80,P$34:P$71)</f>
        <v>69208.044257081739</v>
      </c>
      <c r="Q80" s="77" cm="1">
        <f t="array" ref="Q80">SUMPRODUCT(IF($A$34:$A$71=$A80,Q$34:Q$71),IF($A$34:$A$71=$A80,Q$34:Q$71))/SUMIF($A$34:$A$71,$A80,Q$34:Q$71)</f>
        <v>69237.339473732121</v>
      </c>
      <c r="R80" s="77" cm="1">
        <f t="array" ref="R80">SUMPRODUCT(IF($A$34:$A$71=$A80,R$34:R$71),IF($A$34:$A$71=$A80,R$34:R$71))/SUMIF($A$34:$A$71,$A80,R$34:R$71)</f>
        <v>69276.84246822806</v>
      </c>
      <c r="S80" s="77" cm="1">
        <f t="array" ref="S80">SUMPRODUCT(IF($A$34:$A$71=$A80,S$34:S$71),IF($A$34:$A$71=$A80,S$34:S$71))/SUMIF($A$34:$A$71,$A80,S$34:S$71)</f>
        <v>69538.575912286236</v>
      </c>
      <c r="T80" s="77" cm="1">
        <f t="array" ref="T80">SUMPRODUCT(IF($A$34:$A$71=$A80,T$34:T$71),IF($A$34:$A$71=$A80,T$34:T$71))/SUMIF($A$34:$A$71,$A80,T$34:T$71)</f>
        <v>69803.277062369627</v>
      </c>
      <c r="U80" s="77" cm="1">
        <f t="array" ref="U80">SUMPRODUCT(IF($A$34:$A$71=$A80,U$34:U$71),IF($A$34:$A$71=$A80,U$34:U$71))/SUMIF($A$34:$A$71,$A80,U$34:U$71)</f>
        <v>70070.913785863042</v>
      </c>
      <c r="V80" s="77" cm="1">
        <f t="array" ref="V80">SUMPRODUCT(IF($A$34:$A$71=$A80,V$34:V$71),IF($A$34:$A$71=$A80,V$34:V$71))/SUMIF($A$34:$A$71,$A80,V$34:V$71)</f>
        <v>70341.454412367704</v>
      </c>
      <c r="W80" s="77" cm="1">
        <f t="array" ref="W80">SUMPRODUCT(IF($A$34:$A$71=$A80,W$34:W$71),IF($A$34:$A$71=$A80,W$34:W$71))/SUMIF($A$34:$A$71,$A80,W$34:W$71)</f>
        <v>70614.86772542019</v>
      </c>
      <c r="X80" s="77" cm="1">
        <f t="array" ref="X80">SUMPRODUCT(IF($A$34:$A$71=$A80,X$34:X$71),IF($A$34:$A$71=$A80,X$34:X$71))/SUMIF($A$34:$A$71,$A80,X$34:X$71)</f>
        <v>70686.211529501437</v>
      </c>
      <c r="Y80" s="77" cm="1">
        <f t="array" ref="Y80">SUMPRODUCT(IF($A$34:$A$71=$A80,Y$34:Y$71),IF($A$34:$A$71=$A80,Y$34:Y$71))/SUMIF($A$34:$A$71,$A80,Y$34:Y$71)</f>
        <v>70757.843124658903</v>
      </c>
      <c r="Z80" s="77" cm="1">
        <f t="array" ref="Z80">SUMPRODUCT(IF($A$34:$A$71=$A80,Z$34:Z$71),IF($A$34:$A$71=$A80,Z$34:Z$71))/SUMIF($A$34:$A$71,$A80,Z$34:Z$71)</f>
        <v>70829.761727331352</v>
      </c>
      <c r="AA80" s="77" cm="1">
        <f t="array" ref="AA80">SUMPRODUCT(IF($A$34:$A$71=$A80,AA$34:AA$71),IF($A$34:$A$71=$A80,AA$34:AA$71))/SUMIF($A$34:$A$71,$A80,AA$34:AA$71)</f>
        <v>70901.966556799467</v>
      </c>
      <c r="AB80" s="77" cm="1">
        <f t="array" ref="AB80">SUMPRODUCT(IF($A$34:$A$71=$A80,AB$34:AB$71),IF($A$34:$A$71=$A80,AB$34:AB$71))/SUMIF($A$34:$A$71,$A80,AB$34:AB$71)</f>
        <v>70974.456835173027</v>
      </c>
      <c r="AC80" s="77" cm="1">
        <f t="array" ref="AC80">SUMPRODUCT(IF($A$34:$A$71=$A80,AC$34:AC$71),IF($A$34:$A$71=$A80,AC$34:AC$71))/SUMIF($A$34:$A$71,$A80,AC$34:AC$71)</f>
        <v>71303.864251888983</v>
      </c>
      <c r="AD80" s="77" cm="1">
        <f t="array" ref="AD80">SUMPRODUCT(IF($A$34:$A$71=$A80,AD$34:AD$71),IF($A$34:$A$71=$A80,AD$34:AD$71))/SUMIF($A$34:$A$71,$A80,AD$34:AD$71)</f>
        <v>71633.817743775333</v>
      </c>
      <c r="AE80" s="77" cm="1">
        <f t="array" ref="AE80">SUMPRODUCT(IF($A$34:$A$71=$A80,AE$34:AE$71),IF($A$34:$A$71=$A80,AE$34:AE$71))/SUMIF($A$34:$A$71,$A80,AE$34:AE$71)</f>
        <v>71964.309556551074</v>
      </c>
      <c r="AF80" s="77" cm="1">
        <f t="array" ref="AF80">SUMPRODUCT(IF($A$34:$A$71=$A80,AF$34:AF$71),IF($A$34:$A$71=$A80,AF$34:AF$71))/SUMIF($A$34:$A$71,$A80,AF$34:AF$71)</f>
        <v>72295.332082058099</v>
      </c>
      <c r="AG80" s="77" cm="1">
        <f t="array" ref="AG80">SUMPRODUCT(IF($A$34:$A$71=$A80,AG$34:AG$71),IF($A$34:$A$71=$A80,AG$34:AG$71))/SUMIF($A$34:$A$71,$A80,AG$34:AG$71)</f>
        <v>72626.877854835358</v>
      </c>
      <c r="AH80" s="77"/>
      <c r="AI80" s="77"/>
      <c r="AJ80" s="77"/>
    </row>
    <row r="81" spans="1:36" s="74" customFormat="1" ht="16" x14ac:dyDescent="0.8">
      <c r="A81" s="3" t="s">
        <v>106</v>
      </c>
      <c r="B81" s="74" t="str">
        <f t="shared" si="37"/>
        <v>Freight HDV</v>
      </c>
      <c r="C81" s="77" cm="1">
        <f t="array" ref="C81">SUMPRODUCT(IF($A$34:$A$71=$A81,C$34:C$71),IF($A$34:$A$71=$A81,C$34:C$71))/SUMIF($A$34:$A$71,$A81,C$34:C$71)</f>
        <v>157391.05412014163</v>
      </c>
      <c r="D81" s="77" cm="1">
        <f t="array" ref="D81">SUMPRODUCT(IF($A$34:$A$71=$A81,D$34:D$71),IF($A$34:$A$71=$A81,D$34:D$71))/SUMIF($A$34:$A$71,$A81,D$34:D$71)</f>
        <v>155345.28690078575</v>
      </c>
      <c r="E81" s="77" cm="1">
        <f t="array" ref="E81">SUMPRODUCT(IF($A$34:$A$71=$A81,E$34:E$71),IF($A$34:$A$71=$A81,E$34:E$71))/SUMIF($A$34:$A$71,$A81,E$34:E$71)</f>
        <v>153379.80032703816</v>
      </c>
      <c r="F81" s="77" cm="1">
        <f t="array" ref="F81">SUMPRODUCT(IF($A$34:$A$71=$A81,F$34:F$71),IF($A$34:$A$71=$A81,F$34:F$71))/SUMIF($A$34:$A$71,$A81,F$34:F$71)</f>
        <v>151498.63079788405</v>
      </c>
      <c r="G81" s="77" cm="1">
        <f t="array" ref="G81">SUMPRODUCT(IF($A$34:$A$71=$A81,G$34:G$71),IF($A$34:$A$71=$A81,G$34:G$71))/SUMIF($A$34:$A$71,$A81,G$34:G$71)</f>
        <v>149706.08991730609</v>
      </c>
      <c r="H81" s="77" cm="1">
        <f t="array" ref="H81">SUMPRODUCT(IF($A$34:$A$71=$A81,H$34:H$71),IF($A$34:$A$71=$A81,H$34:H$71))/SUMIF($A$34:$A$71,$A81,H$34:H$71)</f>
        <v>148006.78835563437</v>
      </c>
      <c r="I81" s="77" cm="1">
        <f t="array" ref="I81">SUMPRODUCT(IF($A$34:$A$71=$A81,I$34:I$71),IF($A$34:$A$71=$A81,I$34:I$71))/SUMIF($A$34:$A$71,$A81,I$34:I$71)</f>
        <v>146843.95302921996</v>
      </c>
      <c r="J81" s="77" cm="1">
        <f t="array" ref="J81">SUMPRODUCT(IF($A$34:$A$71=$A81,J$34:J$71),IF($A$34:$A$71=$A81,J$34:J$71))/SUMIF($A$34:$A$71,$A81,J$34:J$71)</f>
        <v>145721.6712522204</v>
      </c>
      <c r="K81" s="77" cm="1">
        <f t="array" ref="K81">SUMPRODUCT(IF($A$34:$A$71=$A81,K$34:K$71),IF($A$34:$A$71=$A81,K$34:K$71))/SUMIF($A$34:$A$71,$A81,K$34:K$71)</f>
        <v>144640.78515094591</v>
      </c>
      <c r="L81" s="77" cm="1">
        <f t="array" ref="L81">SUMPRODUCT(IF($A$34:$A$71=$A81,L$34:L$71),IF($A$34:$A$71=$A81,L$34:L$71))/SUMIF($A$34:$A$71,$A81,L$34:L$71)</f>
        <v>143602.16033078023</v>
      </c>
      <c r="M81" s="77" cm="1">
        <f t="array" ref="M81">SUMPRODUCT(IF($A$34:$A$71=$A81,M$34:M$71),IF($A$34:$A$71=$A81,M$34:M$71))/SUMIF($A$34:$A$71,$A81,M$34:M$71)</f>
        <v>142606.686700188</v>
      </c>
      <c r="N81" s="77" cm="1">
        <f t="array" ref="N81">SUMPRODUCT(IF($A$34:$A$71=$A81,N$34:N$71),IF($A$34:$A$71=$A81,N$34:N$71))/SUMIF($A$34:$A$71,$A81,N$34:N$71)</f>
        <v>142731.54725742762</v>
      </c>
      <c r="O81" s="77" cm="1">
        <f t="array" ref="O81">SUMPRODUCT(IF($A$34:$A$71=$A81,O$34:O$71),IF($A$34:$A$71=$A81,O$34:O$71))/SUMIF($A$34:$A$71,$A81,O$34:O$71)</f>
        <v>142868.66164392376</v>
      </c>
      <c r="P81" s="77" cm="1">
        <f t="array" ref="P81">SUMPRODUCT(IF($A$34:$A$71=$A81,P$34:P$71),IF($A$34:$A$71=$A81,P$34:P$71))/SUMIF($A$34:$A$71,$A81,P$34:P$71)</f>
        <v>143018.03910157658</v>
      </c>
      <c r="Q81" s="77" cm="1">
        <f t="array" ref="Q81">SUMPRODUCT(IF($A$34:$A$71=$A81,Q$34:Q$71),IF($A$34:$A$71=$A81,Q$34:Q$71))/SUMIF($A$34:$A$71,$A81,Q$34:Q$71)</f>
        <v>143179.6888815795</v>
      </c>
      <c r="R81" s="77" cm="1">
        <f t="array" ref="R81">SUMPRODUCT(IF($A$34:$A$71=$A81,R$34:R$71),IF($A$34:$A$71=$A81,R$34:R$71))/SUMIF($A$34:$A$71,$A81,R$34:R$71)</f>
        <v>143353.6202444364</v>
      </c>
      <c r="S81" s="77" cm="1">
        <f t="array" ref="S81">SUMPRODUCT(IF($A$34:$A$71=$A81,S$34:S$71),IF($A$34:$A$71=$A81,S$34:S$71))/SUMIF($A$34:$A$71,$A81,S$34:S$71)</f>
        <v>143836.63603812424</v>
      </c>
      <c r="T81" s="77" cm="1">
        <f t="array" ref="T81">SUMPRODUCT(IF($A$34:$A$71=$A81,T$34:T$71),IF($A$34:$A$71=$A81,T$34:T$71))/SUMIF($A$34:$A$71,$A81,T$34:T$71)</f>
        <v>144324.95828991957</v>
      </c>
      <c r="U81" s="77" cm="1">
        <f t="array" ref="U81">SUMPRODUCT(IF($A$34:$A$71=$A81,U$34:U$71),IF($A$34:$A$71=$A81,U$34:U$71))/SUMIF($A$34:$A$71,$A81,U$34:U$71)</f>
        <v>144818.5402464194</v>
      </c>
      <c r="V81" s="77" cm="1">
        <f t="array" ref="V81">SUMPRODUCT(IF($A$34:$A$71=$A81,V$34:V$71),IF($A$34:$A$71=$A81,V$34:V$71))/SUMIF($A$34:$A$71,$A81,V$34:V$71)</f>
        <v>145317.33570185001</v>
      </c>
      <c r="W81" s="77" cm="1">
        <f t="array" ref="W81">SUMPRODUCT(IF($A$34:$A$71=$A81,W$34:W$71),IF($A$34:$A$71=$A81,W$34:W$71))/SUMIF($A$34:$A$71,$A81,W$34:W$71)</f>
        <v>145821.29899007289</v>
      </c>
      <c r="X81" s="77" cm="1">
        <f t="array" ref="X81">SUMPRODUCT(IF($A$34:$A$71=$A81,X$34:X$71),IF($A$34:$A$71=$A81,X$34:X$71))/SUMIF($A$34:$A$71,$A81,X$34:X$71)</f>
        <v>146102.18276683919</v>
      </c>
      <c r="Y81" s="77" cm="1">
        <f t="array" ref="Y81">SUMPRODUCT(IF($A$34:$A$71=$A81,Y$34:Y$71),IF($A$34:$A$71=$A81,Y$34:Y$71))/SUMIF($A$34:$A$71,$A81,Y$34:Y$71)</f>
        <v>146383.29900552621</v>
      </c>
      <c r="Z81" s="77" cm="1">
        <f t="array" ref="Z81">SUMPRODUCT(IF($A$34:$A$71=$A81,Z$34:Z$71),IF($A$34:$A$71=$A81,Z$34:Z$71))/SUMIF($A$34:$A$71,$A81,Z$34:Z$71)</f>
        <v>146664.64652360621</v>
      </c>
      <c r="AA81" s="77" cm="1">
        <f t="array" ref="AA81">SUMPRODUCT(IF($A$34:$A$71=$A81,AA$34:AA$71),IF($A$34:$A$71=$A81,AA$34:AA$71))/SUMIF($A$34:$A$71,$A81,AA$34:AA$71)</f>
        <v>146946.22414655687</v>
      </c>
      <c r="AB81" s="77" cm="1">
        <f t="array" ref="AB81">SUMPRODUCT(IF($A$34:$A$71=$A81,AB$34:AB$71),IF($A$34:$A$71=$A81,AB$34:AB$71))/SUMIF($A$34:$A$71,$A81,AB$34:AB$71)</f>
        <v>147228.03070779666</v>
      </c>
      <c r="AC81" s="77" cm="1">
        <f t="array" ref="AC81">SUMPRODUCT(IF($A$34:$A$71=$A81,AC$34:AC$71),IF($A$34:$A$71=$A81,AC$34:AC$71))/SUMIF($A$34:$A$71,$A81,AC$34:AC$71)</f>
        <v>148034.15848818608</v>
      </c>
      <c r="AD81" s="77" cm="1">
        <f t="array" ref="AD81">SUMPRODUCT(IF($A$34:$A$71=$A81,AD$34:AD$71),IF($A$34:$A$71=$A81,AD$34:AD$71))/SUMIF($A$34:$A$71,$A81,AD$34:AD$71)</f>
        <v>148841.79983870883</v>
      </c>
      <c r="AE81" s="77" cm="1">
        <f t="array" ref="AE81">SUMPRODUCT(IF($A$34:$A$71=$A81,AE$34:AE$71),IF($A$34:$A$71=$A81,AE$34:AE$71))/SUMIF($A$34:$A$71,$A81,AE$34:AE$71)</f>
        <v>149650.93174543077</v>
      </c>
      <c r="AF81" s="77" cm="1">
        <f t="array" ref="AF81">SUMPRODUCT(IF($A$34:$A$71=$A81,AF$34:AF$71),IF($A$34:$A$71=$A81,AF$34:AF$71))/SUMIF($A$34:$A$71,$A81,AF$34:AF$71)</f>
        <v>150461.53165863908</v>
      </c>
      <c r="AG81" s="77" cm="1">
        <f t="array" ref="AG81">SUMPRODUCT(IF($A$34:$A$71=$A81,AG$34:AG$71),IF($A$34:$A$71=$A81,AG$34:AG$71))/SUMIF($A$34:$A$71,$A81,AG$34:AG$71)</f>
        <v>151273.57748119021</v>
      </c>
      <c r="AH81" s="77"/>
      <c r="AI81" s="77"/>
      <c r="AJ81" s="77"/>
    </row>
    <row r="82" spans="1:36" s="74" customFormat="1" ht="16" x14ac:dyDescent="0.8">
      <c r="A82" s="3" t="s">
        <v>107</v>
      </c>
      <c r="B82" s="74" t="str">
        <f t="shared" si="37"/>
        <v>Freight HDV</v>
      </c>
      <c r="C82" s="77" cm="1">
        <f t="array" ref="C82">SUMPRODUCT(IF($A$34:$A$71=$A82,C$34:C$71),IF($A$34:$A$71=$A82,C$34:C$71))/SUMIF($A$34:$A$71,$A82,C$34:C$71)</f>
        <v>26260.098720046608</v>
      </c>
      <c r="D82" s="77" cm="1">
        <f t="array" ref="D82">SUMPRODUCT(IF($A$34:$A$71=$A82,D$34:D$71),IF($A$34:$A$71=$A82,D$34:D$71))/SUMIF($A$34:$A$71,$A82,D$34:D$71)</f>
        <v>26546.403421560106</v>
      </c>
      <c r="E82" s="77" cm="1">
        <f t="array" ref="E82">SUMPRODUCT(IF($A$34:$A$71=$A82,E$34:E$71),IF($A$34:$A$71=$A82,E$34:E$71))/SUMIF($A$34:$A$71,$A82,E$34:E$71)</f>
        <v>26863.984419078723</v>
      </c>
      <c r="F82" s="77" cm="1">
        <f t="array" ref="F82">SUMPRODUCT(IF($A$34:$A$71=$A82,F$34:F$71),IF($A$34:$A$71=$A82,F$34:F$71))/SUMIF($A$34:$A$71,$A82,F$34:F$71)</f>
        <v>27213.575854042556</v>
      </c>
      <c r="G82" s="77" cm="1">
        <f t="array" ref="G82">SUMPRODUCT(IF($A$34:$A$71=$A82,G$34:G$71),IF($A$34:$A$71=$A82,G$34:G$71))/SUMIF($A$34:$A$71,$A82,G$34:G$71)</f>
        <v>27595.935025531449</v>
      </c>
      <c r="H82" s="77" cm="1">
        <f t="array" ref="H82">SUMPRODUCT(IF($A$34:$A$71=$A82,H$34:H$71),IF($A$34:$A$71=$A82,H$34:H$71))/SUMIF($A$34:$A$71,$A82,H$34:H$71)</f>
        <v>28011.843310624336</v>
      </c>
      <c r="I82" s="77" cm="1">
        <f t="array" ref="I82">SUMPRODUCT(IF($A$34:$A$71=$A82,I$34:I$71),IF($A$34:$A$71=$A82,I$34:I$71))/SUMIF($A$34:$A$71,$A82,I$34:I$71)</f>
        <v>28396.124484677814</v>
      </c>
      <c r="J82" s="77" cm="1">
        <f t="array" ref="J82">SUMPRODUCT(IF($A$34:$A$71=$A82,J$34:J$71),IF($A$34:$A$71=$A82,J$34:J$71))/SUMIF($A$34:$A$71,$A82,J$34:J$71)</f>
        <v>28780.696268455875</v>
      </c>
      <c r="K82" s="77" cm="1">
        <f t="array" ref="K82">SUMPRODUCT(IF($A$34:$A$71=$A82,K$34:K$71),IF($A$34:$A$71=$A82,K$34:K$71))/SUMIF($A$34:$A$71,$A82,K$34:K$71)</f>
        <v>29165.548643939848</v>
      </c>
      <c r="L82" s="77" cm="1">
        <f t="array" ref="L82">SUMPRODUCT(IF($A$34:$A$71=$A82,L$34:L$71),IF($A$34:$A$71=$A82,L$34:L$71))/SUMIF($A$34:$A$71,$A82,L$34:L$71)</f>
        <v>29550.672048340701</v>
      </c>
      <c r="M82" s="77" cm="1">
        <f t="array" ref="M82">SUMPRODUCT(IF($A$34:$A$71=$A82,M$34:M$71),IF($A$34:$A$71=$A82,M$34:M$71))/SUMIF($A$34:$A$71,$A82,M$34:M$71)</f>
        <v>29936.057348531449</v>
      </c>
      <c r="N82" s="77" cm="1">
        <f t="array" ref="N82">SUMPRODUCT(IF($A$34:$A$71=$A82,N$34:N$71),IF($A$34:$A$71=$A82,N$34:N$71))/SUMIF($A$34:$A$71,$A82,N$34:N$71)</f>
        <v>30431.20630168221</v>
      </c>
      <c r="O82" s="77" cm="1">
        <f t="array" ref="O82">SUMPRODUCT(IF($A$34:$A$71=$A82,O$34:O$71),IF($A$34:$A$71=$A82,O$34:O$71))/SUMIF($A$34:$A$71,$A82,O$34:O$71)</f>
        <v>30928.207047383996</v>
      </c>
      <c r="P82" s="77" cm="1">
        <f t="array" ref="P82">SUMPRODUCT(IF($A$34:$A$71=$A82,P$34:P$71),IF($A$34:$A$71=$A82,P$34:P$71))/SUMIF($A$34:$A$71,$A82,P$34:P$71)</f>
        <v>31426.980073833067</v>
      </c>
      <c r="Q82" s="77" cm="1">
        <f t="array" ref="Q82">SUMPRODUCT(IF($A$34:$A$71=$A82,Q$34:Q$71),IF($A$34:$A$71=$A82,Q$34:Q$71))/SUMIF($A$34:$A$71,$A82,Q$34:Q$71)</f>
        <v>31927.450357069909</v>
      </c>
      <c r="R82" s="77" cm="1">
        <f t="array" ref="R82">SUMPRODUCT(IF($A$34:$A$71=$A82,R$34:R$71),IF($A$34:$A$71=$A82,R$34:R$71))/SUMIF($A$34:$A$71,$A82,R$34:R$71)</f>
        <v>32429.547048754041</v>
      </c>
      <c r="S82" s="77" cm="1">
        <f t="array" ref="S82">SUMPRODUCT(IF($A$34:$A$71=$A82,S$34:S$71),IF($A$34:$A$71=$A82,S$34:S$71))/SUMIF($A$34:$A$71,$A82,S$34:S$71)</f>
        <v>32687.595591208446</v>
      </c>
      <c r="T82" s="77" cm="1">
        <f t="array" ref="T82">SUMPRODUCT(IF($A$34:$A$71=$A82,T$34:T$71),IF($A$34:$A$71=$A82,T$34:T$71))/SUMIF($A$34:$A$71,$A82,T$34:T$71)</f>
        <v>32946.044261553288</v>
      </c>
      <c r="U82" s="77" cm="1">
        <f t="array" ref="U82">SUMPRODUCT(IF($A$34:$A$71=$A82,U$34:U$71),IF($A$34:$A$71=$A82,U$34:U$71))/SUMIF($A$34:$A$71,$A82,U$34:U$71)</f>
        <v>33204.884675531372</v>
      </c>
      <c r="V82" s="77" cm="1">
        <f t="array" ref="V82">SUMPRODUCT(IF($A$34:$A$71=$A82,V$34:V$71),IF($A$34:$A$71=$A82,V$34:V$71))/SUMIF($A$34:$A$71,$A82,V$34:V$71)</f>
        <v>33464.108681504928</v>
      </c>
      <c r="W82" s="77" cm="1">
        <f t="array" ref="W82">SUMPRODUCT(IF($A$34:$A$71=$A82,W$34:W$71),IF($A$34:$A$71=$A82,W$34:W$71))/SUMIF($A$34:$A$71,$A82,W$34:W$71)</f>
        <v>33723.708352443973</v>
      </c>
      <c r="X82" s="77" cm="1">
        <f t="array" ref="X82">SUMPRODUCT(IF($A$34:$A$71=$A82,X$34:X$71),IF($A$34:$A$71=$A82,X$34:X$71))/SUMIF($A$34:$A$71,$A82,X$34:X$71)</f>
        <v>33736.013549264331</v>
      </c>
      <c r="Y82" s="77" cm="1">
        <f t="array" ref="Y82">SUMPRODUCT(IF($A$34:$A$71=$A82,Y$34:Y$71),IF($A$34:$A$71=$A82,Y$34:Y$71))/SUMIF($A$34:$A$71,$A82,Y$34:Y$71)</f>
        <v>33748.569918514186</v>
      </c>
      <c r="Z82" s="77" cm="1">
        <f t="array" ref="Z82">SUMPRODUCT(IF($A$34:$A$71=$A82,Z$34:Z$71),IF($A$34:$A$71=$A82,Z$34:Z$71))/SUMIF($A$34:$A$71,$A82,Z$34:Z$71)</f>
        <v>33761.377193515073</v>
      </c>
      <c r="AA82" s="77" cm="1">
        <f t="array" ref="AA82">SUMPRODUCT(IF($A$34:$A$71=$A82,AA$34:AA$71),IF($A$34:$A$71=$A82,AA$34:AA$71))/SUMIF($A$34:$A$71,$A82,AA$34:AA$71)</f>
        <v>33774.435107965735</v>
      </c>
      <c r="AB82" s="77" cm="1">
        <f t="array" ref="AB82">SUMPRODUCT(IF($A$34:$A$71=$A82,AB$34:AB$71),IF($A$34:$A$71=$A82,AB$34:AB$71))/SUMIF($A$34:$A$71,$A82,AB$34:AB$71)</f>
        <v>33787.743395941885</v>
      </c>
      <c r="AC82" s="77" cm="1">
        <f t="array" ref="AC82">SUMPRODUCT(IF($A$34:$A$71=$A82,AC$34:AC$71),IF($A$34:$A$71=$A82,AC$34:AC$71))/SUMIF($A$34:$A$71,$A82,AC$34:AC$71)</f>
        <v>33844.171060529276</v>
      </c>
      <c r="AD82" s="77" cm="1">
        <f t="array" ref="AD82">SUMPRODUCT(IF($A$34:$A$71=$A82,AD$34:AD$71),IF($A$34:$A$71=$A82,AD$34:AD$71))/SUMIF($A$34:$A$71,$A82,AD$34:AD$71)</f>
        <v>33900.601111661883</v>
      </c>
      <c r="AE82" s="77" cm="1">
        <f t="array" ref="AE82">SUMPRODUCT(IF($A$34:$A$71=$A82,AE$34:AE$71),IF($A$34:$A$71=$A82,AE$34:AE$71))/SUMIF($A$34:$A$71,$A82,AE$34:AE$71)</f>
        <v>33957.033538751013</v>
      </c>
      <c r="AF82" s="77" cm="1">
        <f t="array" ref="AF82">SUMPRODUCT(IF($A$34:$A$71=$A82,AF$34:AF$71),IF($A$34:$A$71=$A82,AF$34:AF$71))/SUMIF($A$34:$A$71,$A82,AF$34:AF$71)</f>
        <v>34013.468331270284</v>
      </c>
      <c r="AG82" s="77" cm="1">
        <f t="array" ref="AG82">SUMPRODUCT(IF($A$34:$A$71=$A82,AG$34:AG$71),IF($A$34:$A$71=$A82,AG$34:AG$71))/SUMIF($A$34:$A$71,$A82,AG$34:AG$71)</f>
        <v>34069.905478755602</v>
      </c>
      <c r="AH82" s="77"/>
      <c r="AI82" s="77"/>
      <c r="AJ82" s="77"/>
    </row>
    <row r="83" spans="1:36" s="74" customFormat="1" ht="16" x14ac:dyDescent="0.8">
      <c r="A83" s="3" t="s">
        <v>108</v>
      </c>
      <c r="B83" s="74" t="str">
        <f t="shared" si="37"/>
        <v>Passenger HDV</v>
      </c>
      <c r="C83" s="77" cm="1">
        <f t="array" ref="C83">SUMPRODUCT(IF($A$34:$A$71=$A83,C$34:C$71),IF($A$34:$A$71=$A83,C$34:C$71))/SUMIF($A$34:$A$71,$A83,C$34:C$71)</f>
        <v>40527.6497901197</v>
      </c>
      <c r="D83" s="77" cm="1">
        <f t="array" ref="D83">SUMPRODUCT(IF($A$34:$A$71=$A83,D$34:D$71),IF($A$34:$A$71=$A83,D$34:D$71))/SUMIF($A$34:$A$71,$A83,D$34:D$71)</f>
        <v>40405.560395412562</v>
      </c>
      <c r="E83" s="77" cm="1">
        <f t="array" ref="E83">SUMPRODUCT(IF($A$34:$A$71=$A83,E$34:E$71),IF($A$34:$A$71=$A83,E$34:E$71))/SUMIF($A$34:$A$71,$A83,E$34:E$71)</f>
        <v>40283.47726571247</v>
      </c>
      <c r="F83" s="77" cm="1">
        <f t="array" ref="F83">SUMPRODUCT(IF($A$34:$A$71=$A83,F$34:F$71),IF($A$34:$A$71=$A83,F$34:F$71))/SUMIF($A$34:$A$71,$A83,F$34:F$71)</f>
        <v>40161.400462839643</v>
      </c>
      <c r="G83" s="77" cm="1">
        <f t="array" ref="G83">SUMPRODUCT(IF($A$34:$A$71=$A83,G$34:G$71),IF($A$34:$A$71=$A83,G$34:G$71))/SUMIF($A$34:$A$71,$A83,G$34:G$71)</f>
        <v>40039.330049429984</v>
      </c>
      <c r="H83" s="77" cm="1">
        <f t="array" ref="H83">SUMPRODUCT(IF($A$34:$A$71=$A83,H$34:H$71),IF($A$34:$A$71=$A83,H$34:H$71))/SUMIF($A$34:$A$71,$A83,H$34:H$71)</f>
        <v>39917.266088949087</v>
      </c>
      <c r="I83" s="77" cm="1">
        <f t="array" ref="I83">SUMPRODUCT(IF($A$34:$A$71=$A83,I$34:I$71),IF($A$34:$A$71=$A83,I$34:I$71))/SUMIF($A$34:$A$71,$A83,I$34:I$71)</f>
        <v>39908.477740093957</v>
      </c>
      <c r="J83" s="77" cm="1">
        <f t="array" ref="J83">SUMPRODUCT(IF($A$34:$A$71=$A83,J$34:J$71),IF($A$34:$A$71=$A83,J$34:J$71))/SUMIF($A$34:$A$71,$A83,J$34:J$71)</f>
        <v>39899.689402555268</v>
      </c>
      <c r="K83" s="77" cm="1">
        <f t="array" ref="K83">SUMPRODUCT(IF($A$34:$A$71=$A83,K$34:K$71),IF($A$34:$A$71=$A83,K$34:K$71))/SUMIF($A$34:$A$71,$A83,K$34:K$71)</f>
        <v>39890.901076340095</v>
      </c>
      <c r="L83" s="77" cm="1">
        <f t="array" ref="L83">SUMPRODUCT(IF($A$34:$A$71=$A83,L$34:L$71),IF($A$34:$A$71=$A83,L$34:L$71))/SUMIF($A$34:$A$71,$A83,L$34:L$71)</f>
        <v>39882.112761455719</v>
      </c>
      <c r="M83" s="77" cm="1">
        <f t="array" ref="M83">SUMPRODUCT(IF($A$34:$A$71=$A83,M$34:M$71),IF($A$34:$A$71=$A83,M$34:M$71))/SUMIF($A$34:$A$71,$A83,M$34:M$71)</f>
        <v>39873.324457909192</v>
      </c>
      <c r="N83" s="77" cm="1">
        <f t="array" ref="N83">SUMPRODUCT(IF($A$34:$A$71=$A83,N$34:N$71),IF($A$34:$A$71=$A83,N$34:N$71))/SUMIF($A$34:$A$71,$A83,N$34:N$71)</f>
        <v>39939.115919735646</v>
      </c>
      <c r="O83" s="77" cm="1">
        <f t="array" ref="O83">SUMPRODUCT(IF($A$34:$A$71=$A83,O$34:O$71),IF($A$34:$A$71=$A83,O$34:O$71))/SUMIF($A$34:$A$71,$A83,O$34:O$71)</f>
        <v>40004.943383131489</v>
      </c>
      <c r="P83" s="77" cm="1">
        <f t="array" ref="P83">SUMPRODUCT(IF($A$34:$A$71=$A83,P$34:P$71),IF($A$34:$A$71=$A83,P$34:P$71))/SUMIF($A$34:$A$71,$A83,P$34:P$71)</f>
        <v>40070.806607065497</v>
      </c>
      <c r="Q83" s="77" cm="1">
        <f t="array" ref="Q83">SUMPRODUCT(IF($A$34:$A$71=$A83,Q$34:Q$71),IF($A$34:$A$71=$A83,Q$34:Q$71))/SUMIF($A$34:$A$71,$A83,Q$34:Q$71)</f>
        <v>40136.705352653327</v>
      </c>
      <c r="R83" s="77" cm="1">
        <f t="array" ref="R83">SUMPRODUCT(IF($A$34:$A$71=$A83,R$34:R$71),IF($A$34:$A$71=$A83,R$34:R$71))/SUMIF($A$34:$A$71,$A83,R$34:R$71)</f>
        <v>40202.639383133559</v>
      </c>
      <c r="S83" s="77" cm="1">
        <f t="array" ref="S83">SUMPRODUCT(IF($A$34:$A$71=$A83,S$34:S$71),IF($A$34:$A$71=$A83,S$34:S$71))/SUMIF($A$34:$A$71,$A83,S$34:S$71)</f>
        <v>40423.419128575959</v>
      </c>
      <c r="T83" s="77" cm="1">
        <f t="array" ref="T83">SUMPRODUCT(IF($A$34:$A$71=$A83,T$34:T$71),IF($A$34:$A$71=$A83,T$34:T$71))/SUMIF($A$34:$A$71,$A83,T$34:T$71)</f>
        <v>40644.239698878795</v>
      </c>
      <c r="U83" s="77" cm="1">
        <f t="array" ref="U83">SUMPRODUCT(IF($A$34:$A$71=$A83,U$34:U$71),IF($A$34:$A$71=$A83,U$34:U$71))/SUMIF($A$34:$A$71,$A83,U$34:U$71)</f>
        <v>40865.100357508483</v>
      </c>
      <c r="V83" s="77" cm="1">
        <f t="array" ref="V83">SUMPRODUCT(IF($A$34:$A$71=$A83,V$34:V$71),IF($A$34:$A$71=$A83,V$34:V$71))/SUMIF($A$34:$A$71,$A83,V$34:V$71)</f>
        <v>41086.000385542851</v>
      </c>
      <c r="W83" s="77" cm="1">
        <f t="array" ref="W83">SUMPRODUCT(IF($A$34:$A$71=$A83,W$34:W$71),IF($A$34:$A$71=$A83,W$34:W$71))/SUMIF($A$34:$A$71,$A83,W$34:W$71)</f>
        <v>41306.939081147939</v>
      </c>
      <c r="X83" s="77" cm="1">
        <f t="array" ref="X83">SUMPRODUCT(IF($A$34:$A$71=$A83,X$34:X$71),IF($A$34:$A$71=$A83,X$34:X$71))/SUMIF($A$34:$A$71,$A83,X$34:X$71)</f>
        <v>41355.316198315595</v>
      </c>
      <c r="Y83" s="77" cm="1">
        <f t="array" ref="Y83">SUMPRODUCT(IF($A$34:$A$71=$A83,Y$34:Y$71),IF($A$34:$A$71=$A83,Y$34:Y$71))/SUMIF($A$34:$A$71,$A83,Y$34:Y$71)</f>
        <v>41403.730018840441</v>
      </c>
      <c r="Z83" s="77" cm="1">
        <f t="array" ref="Z83">SUMPRODUCT(IF($A$34:$A$71=$A83,Z$34:Z$71),IF($A$34:$A$71=$A83,Z$34:Z$71))/SUMIF($A$34:$A$71,$A83,Z$34:Z$71)</f>
        <v>41452.180350456867</v>
      </c>
      <c r="AA83" s="77" cm="1">
        <f t="array" ref="AA83">SUMPRODUCT(IF($A$34:$A$71=$A83,AA$34:AA$71),IF($A$34:$A$71=$A83,AA$34:AA$71))/SUMIF($A$34:$A$71,$A83,AA$34:AA$71)</f>
        <v>41500.667002239839</v>
      </c>
      <c r="AB83" s="77" cm="1">
        <f t="array" ref="AB83">SUMPRODUCT(IF($A$34:$A$71=$A83,AB$34:AB$71),IF($A$34:$A$71=$A83,AB$34:AB$71))/SUMIF($A$34:$A$71,$A83,AB$34:AB$71)</f>
        <v>41549.189784593145</v>
      </c>
      <c r="AC83" s="77" cm="1">
        <f t="array" ref="AC83">SUMPRODUCT(IF($A$34:$A$71=$A83,AC$34:AC$71),IF($A$34:$A$71=$A83,AC$34:AC$71))/SUMIF($A$34:$A$71,$A83,AC$34:AC$71)</f>
        <v>41489.282064496481</v>
      </c>
      <c r="AD83" s="77" cm="1">
        <f t="array" ref="AD83">SUMPRODUCT(IF($A$34:$A$71=$A83,AD$34:AD$71),IF($A$34:$A$71=$A83,AD$34:AD$71))/SUMIF($A$34:$A$71,$A83,AD$34:AD$71)</f>
        <v>41429.378662825351</v>
      </c>
      <c r="AE83" s="77" cm="1">
        <f t="array" ref="AE83">SUMPRODUCT(IF($A$34:$A$71=$A83,AE$34:AE$71),IF($A$34:$A$71=$A83,AE$34:AE$71))/SUMIF($A$34:$A$71,$A83,AE$34:AE$71)</f>
        <v>41369.479595757468</v>
      </c>
      <c r="AF83" s="77" cm="1">
        <f t="array" ref="AF83">SUMPRODUCT(IF($A$34:$A$71=$A83,AF$34:AF$71),IF($A$34:$A$71=$A83,AF$34:AF$71))/SUMIF($A$34:$A$71,$A83,AF$34:AF$71)</f>
        <v>41309.584879551541</v>
      </c>
      <c r="AG83" s="77" cm="1">
        <f t="array" ref="AG83">SUMPRODUCT(IF($A$34:$A$71=$A83,AG$34:AG$71),IF($A$34:$A$71=$A83,AG$34:AG$71))/SUMIF($A$34:$A$71,$A83,AG$34:AG$71)</f>
        <v>41249.694530547684</v>
      </c>
      <c r="AH83" s="77"/>
      <c r="AI83" s="77"/>
      <c r="AJ83" s="77"/>
    </row>
    <row r="84" spans="1:36" s="74" customFormat="1" ht="16" x14ac:dyDescent="0.8">
      <c r="A84" s="3" t="s">
        <v>109</v>
      </c>
      <c r="B84" s="74" t="str">
        <f t="shared" si="37"/>
        <v>Passenger HDV</v>
      </c>
      <c r="C84" s="77" cm="1">
        <f t="array" ref="C84">SUMPRODUCT(IF($A$34:$A$71=$A84,C$34:C$71),IF($A$34:$A$71=$A84,C$34:C$71))/SUMIF($A$34:$A$71,$A84,C$34:C$71)</f>
        <v>45661.231653064497</v>
      </c>
      <c r="D84" s="77" cm="1">
        <f t="array" ref="D84">SUMPRODUCT(IF($A$34:$A$71=$A84,D$34:D$71),IF($A$34:$A$71=$A84,D$34:D$71))/SUMIF($A$34:$A$71,$A84,D$34:D$71)</f>
        <v>45232.754667082387</v>
      </c>
      <c r="E84" s="77" cm="1">
        <f t="array" ref="E84">SUMPRODUCT(IF($A$34:$A$71=$A84,E$34:E$71),IF($A$34:$A$71=$A84,E$34:E$71))/SUMIF($A$34:$A$71,$A84,E$34:E$71)</f>
        <v>44817.22281168597</v>
      </c>
      <c r="F84" s="77" cm="1">
        <f t="array" ref="F84">SUMPRODUCT(IF($A$34:$A$71=$A84,F$34:F$71),IF($A$34:$A$71=$A84,F$34:F$71))/SUMIF($A$34:$A$71,$A84,F$34:F$71)</f>
        <v>44415.092174538528</v>
      </c>
      <c r="G84" s="77" cm="1">
        <f t="array" ref="G84">SUMPRODUCT(IF($A$34:$A$71=$A84,G$34:G$71),IF($A$34:$A$71=$A84,G$34:G$71))/SUMIF($A$34:$A$71,$A84,G$34:G$71)</f>
        <v>44026.840523316372</v>
      </c>
      <c r="H84" s="77" cm="1">
        <f t="array" ref="H84">SUMPRODUCT(IF($A$34:$A$71=$A84,H$34:H$71),IF($A$34:$A$71=$A84,H$34:H$71))/SUMIF($A$34:$A$71,$A84,H$34:H$71)</f>
        <v>43652.968609394557</v>
      </c>
      <c r="I84" s="77" cm="1">
        <f t="array" ref="I84">SUMPRODUCT(IF($A$34:$A$71=$A84,I$34:I$71),IF($A$34:$A$71=$A84,I$34:I$71))/SUMIF($A$34:$A$71,$A84,I$34:I$71)</f>
        <v>43360.583883054525</v>
      </c>
      <c r="J84" s="77" cm="1">
        <f t="array" ref="J84">SUMPRODUCT(IF($A$34:$A$71=$A84,J$34:J$71),IF($A$34:$A$71=$A84,J$34:J$71))/SUMIF($A$34:$A$71,$A84,J$34:J$71)</f>
        <v>43082.300496240088</v>
      </c>
      <c r="K84" s="77" cm="1">
        <f t="array" ref="K84">SUMPRODUCT(IF($A$34:$A$71=$A84,K$34:K$71),IF($A$34:$A$71=$A84,K$34:K$71))/SUMIF($A$34:$A$71,$A84,K$34:K$71)</f>
        <v>42818.569560229073</v>
      </c>
      <c r="L84" s="77" cm="1">
        <f t="array" ref="L84">SUMPRODUCT(IF($A$34:$A$71=$A84,L$34:L$71),IF($A$34:$A$71=$A84,L$34:L$71))/SUMIF($A$34:$A$71,$A84,L$34:L$71)</f>
        <v>42569.861635498957</v>
      </c>
      <c r="M84" s="77" cm="1">
        <f t="array" ref="M84">SUMPRODUCT(IF($A$34:$A$71=$A84,M$34:M$71),IF($A$34:$A$71=$A84,M$34:M$71))/SUMIF($A$34:$A$71,$A84,M$34:M$71)</f>
        <v>42336.667791312364</v>
      </c>
      <c r="N84" s="77" cm="1">
        <f t="array" ref="N84">SUMPRODUCT(IF($A$34:$A$71=$A84,N$34:N$71),IF($A$34:$A$71=$A84,N$34:N$71))/SUMIF($A$34:$A$71,$A84,N$34:N$71)</f>
        <v>42214.662941461385</v>
      </c>
      <c r="O84" s="77" cm="1">
        <f t="array" ref="O84">SUMPRODUCT(IF($A$34:$A$71=$A84,O$34:O$71),IF($A$34:$A$71=$A84,O$34:O$71))/SUMIF($A$34:$A$71,$A84,O$34:O$71)</f>
        <v>42108.684813611682</v>
      </c>
      <c r="P84" s="77" cm="1">
        <f t="array" ref="P84">SUMPRODUCT(IF($A$34:$A$71=$A84,P$34:P$71),IF($A$34:$A$71=$A84,P$34:P$71))/SUMIF($A$34:$A$71,$A84,P$34:P$71)</f>
        <v>42019.156402106593</v>
      </c>
      <c r="Q84" s="77" cm="1">
        <f t="array" ref="Q84">SUMPRODUCT(IF($A$34:$A$71=$A84,Q$34:Q$71),IF($A$34:$A$71=$A84,Q$34:Q$71))/SUMIF($A$34:$A$71,$A84,Q$34:Q$71)</f>
        <v>41946.515718900526</v>
      </c>
      <c r="R84" s="77" cm="1">
        <f t="array" ref="R84">SUMPRODUCT(IF($A$34:$A$71=$A84,R$34:R$71),IF($A$34:$A$71=$A84,R$34:R$71))/SUMIF($A$34:$A$71,$A84,R$34:R$71)</f>
        <v>41891.216465991711</v>
      </c>
      <c r="S84" s="77" cm="1">
        <f t="array" ref="S84">SUMPRODUCT(IF($A$34:$A$71=$A84,S$34:S$71),IF($A$34:$A$71=$A84,S$34:S$71))/SUMIF($A$34:$A$71,$A84,S$34:S$71)</f>
        <v>42006.901822181761</v>
      </c>
      <c r="T84" s="77" cm="1">
        <f t="array" ref="T84">SUMPRODUCT(IF($A$34:$A$71=$A84,T$34:T$71),IF($A$34:$A$71=$A84,T$34:T$71))/SUMIF($A$34:$A$71,$A84,T$34:T$71)</f>
        <v>42122.749128035808</v>
      </c>
      <c r="U84" s="77" cm="1">
        <f t="array" ref="U84">SUMPRODUCT(IF($A$34:$A$71=$A84,U$34:U$71),IF($A$34:$A$71=$A84,U$34:U$71))/SUMIF($A$34:$A$71,$A84,U$34:U$71)</f>
        <v>42238.757413232794</v>
      </c>
      <c r="V84" s="77" cm="1">
        <f t="array" ref="V84">SUMPRODUCT(IF($A$34:$A$71=$A84,V$34:V$71),IF($A$34:$A$71=$A84,V$34:V$71))/SUMIF($A$34:$A$71,$A84,V$34:V$71)</f>
        <v>42354.925715188001</v>
      </c>
      <c r="W84" s="77" cm="1">
        <f t="array" ref="W84">SUMPRODUCT(IF($A$34:$A$71=$A84,W$34:W$71),IF($A$34:$A$71=$A84,W$34:W$71))/SUMIF($A$34:$A$71,$A84,W$34:W$71)</f>
        <v>42471.253078975809</v>
      </c>
      <c r="X84" s="77" cm="1">
        <f t="array" ref="X84">SUMPRODUCT(IF($A$34:$A$71=$A84,X$34:X$71),IF($A$34:$A$71=$A84,X$34:X$71))/SUMIF($A$34:$A$71,$A84,X$34:X$71)</f>
        <v>42392.079825859619</v>
      </c>
      <c r="Y84" s="77" cm="1">
        <f t="array" ref="Y84">SUMPRODUCT(IF($A$34:$A$71=$A84,Y$34:Y$71),IF($A$34:$A$71=$A84,Y$34:Y$71))/SUMIF($A$34:$A$71,$A84,Y$34:Y$71)</f>
        <v>42312.980081567839</v>
      </c>
      <c r="Z84" s="77" cm="1">
        <f t="array" ref="Z84">SUMPRODUCT(IF($A$34:$A$71=$A84,Z$34:Z$71),IF($A$34:$A$71=$A84,Z$34:Z$71))/SUMIF($A$34:$A$71,$A84,Z$34:Z$71)</f>
        <v>42233.954145818308</v>
      </c>
      <c r="AA84" s="77" cm="1">
        <f t="array" ref="AA84">SUMPRODUCT(IF($A$34:$A$71=$A84,AA$34:AA$71),IF($A$34:$A$71=$A84,AA$34:AA$71))/SUMIF($A$34:$A$71,$A84,AA$34:AA$71)</f>
        <v>42155.002319960666</v>
      </c>
      <c r="AB84" s="77" cm="1">
        <f t="array" ref="AB84">SUMPRODUCT(IF($A$34:$A$71=$A84,AB$34:AB$71),IF($A$34:$A$71=$A84,AB$34:AB$71))/SUMIF($A$34:$A$71,$A84,AB$34:AB$71)</f>
        <v>42076.124906987025</v>
      </c>
      <c r="AC84" s="77" cm="1">
        <f t="array" ref="AC84">SUMPRODUCT(IF($A$34:$A$71=$A84,AC$34:AC$71),IF($A$34:$A$71=$A84,AC$34:AC$71))/SUMIF($A$34:$A$71,$A84,AC$34:AC$71)</f>
        <v>42023.699372280869</v>
      </c>
      <c r="AD84" s="77" cm="1">
        <f t="array" ref="AD84">SUMPRODUCT(IF($A$34:$A$71=$A84,AD$34:AD$71),IF($A$34:$A$71=$A84,AD$34:AD$71))/SUMIF($A$34:$A$71,$A84,AD$34:AD$71)</f>
        <v>41971.306986470678</v>
      </c>
      <c r="AE84" s="77" cm="1">
        <f t="array" ref="AE84">SUMPRODUCT(IF($A$34:$A$71=$A84,AE$34:AE$71),IF($A$34:$A$71=$A84,AE$34:AE$71))/SUMIF($A$34:$A$71,$A84,AE$34:AE$71)</f>
        <v>41918.947839950495</v>
      </c>
      <c r="AF84" s="77" cm="1">
        <f t="array" ref="AF84">SUMPRODUCT(IF($A$34:$A$71=$A84,AF$34:AF$71),IF($A$34:$A$71=$A84,AF$34:AF$71))/SUMIF($A$34:$A$71,$A84,AF$34:AF$71)</f>
        <v>41866.62202344332</v>
      </c>
      <c r="AG84" s="77" cm="1">
        <f t="array" ref="AG84">SUMPRODUCT(IF($A$34:$A$71=$A84,AG$34:AG$71),IF($A$34:$A$71=$A84,AG$34:AG$71))/SUMIF($A$34:$A$71,$A84,AG$34:AG$71)</f>
        <v>41814.329628002539</v>
      </c>
      <c r="AH84" s="77"/>
      <c r="AI84" s="77"/>
      <c r="AJ84" s="77"/>
    </row>
    <row r="85" spans="1:36" s="74" customFormat="1" ht="16" x14ac:dyDescent="0.8">
      <c r="A85" s="3" t="s">
        <v>110</v>
      </c>
      <c r="B85" s="74" t="str">
        <f t="shared" si="37"/>
        <v>Passenger HDV</v>
      </c>
      <c r="C85" s="77" cm="1">
        <f t="array" ref="C85">SUMPRODUCT(IF($A$34:$A$71=$A85,C$34:C$71),IF($A$34:$A$71=$A85,C$34:C$71))/SUMIF($A$34:$A$71,$A85,C$34:C$71)</f>
        <v>16637.917400394021</v>
      </c>
      <c r="D85" s="77" cm="1">
        <f t="array" ref="D85">SUMPRODUCT(IF($A$34:$A$71=$A85,D$34:D$71),IF($A$34:$A$71=$A85,D$34:D$71))/SUMIF($A$34:$A$71,$A85,D$34:D$71)</f>
        <v>16683.593067899001</v>
      </c>
      <c r="E85" s="77" cm="1">
        <f t="array" ref="E85">SUMPRODUCT(IF($A$34:$A$71=$A85,E$34:E$71),IF($A$34:$A$71=$A85,E$34:E$71))/SUMIF($A$34:$A$71,$A85,E$34:E$71)</f>
        <v>16729.273204567955</v>
      </c>
      <c r="F85" s="77" cm="1">
        <f t="array" ref="F85">SUMPRODUCT(IF($A$34:$A$71=$A85,F$34:F$71),IF($A$34:$A$71=$A85,F$34:F$71))/SUMIF($A$34:$A$71,$A85,F$34:F$71)</f>
        <v>16774.957773857088</v>
      </c>
      <c r="G85" s="77" cm="1">
        <f t="array" ref="G85">SUMPRODUCT(IF($A$34:$A$71=$A85,G$34:G$71),IF($A$34:$A$71=$A85,G$34:G$71))/SUMIF($A$34:$A$71,$A85,G$34:G$71)</f>
        <v>16820.646739619948</v>
      </c>
      <c r="H85" s="77" cm="1">
        <f t="array" ref="H85">SUMPRODUCT(IF($A$34:$A$71=$A85,H$34:H$71),IF($A$34:$A$71=$A85,H$34:H$71))/SUMIF($A$34:$A$71,$A85,H$34:H$71)</f>
        <v>16866.34006610182</v>
      </c>
      <c r="I85" s="77" cm="1">
        <f t="array" ref="I85">SUMPRODUCT(IF($A$34:$A$71=$A85,I$34:I$71),IF($A$34:$A$71=$A85,I$34:I$71))/SUMIF($A$34:$A$71,$A85,I$34:I$71)</f>
        <v>16899.446336438043</v>
      </c>
      <c r="J85" s="77" cm="1">
        <f t="array" ref="J85">SUMPRODUCT(IF($A$34:$A$71=$A85,J$34:J$71),IF($A$34:$A$71=$A85,J$34:J$71))/SUMIF($A$34:$A$71,$A85,J$34:J$71)</f>
        <v>16932.557814030009</v>
      </c>
      <c r="K85" s="77" cm="1">
        <f t="array" ref="K85">SUMPRODUCT(IF($A$34:$A$71=$A85,K$34:K$71),IF($A$34:$A$71=$A85,K$34:K$71))/SUMIF($A$34:$A$71,$A85,K$34:K$71)</f>
        <v>16965.674468369391</v>
      </c>
      <c r="L85" s="77" cm="1">
        <f t="array" ref="L85">SUMPRODUCT(IF($A$34:$A$71=$A85,L$34:L$71),IF($A$34:$A$71=$A85,L$34:L$71))/SUMIF($A$34:$A$71,$A85,L$34:L$71)</f>
        <v>16998.796269185848</v>
      </c>
      <c r="M85" s="77" cm="1">
        <f t="array" ref="M85">SUMPRODUCT(IF($A$34:$A$71=$A85,M$34:M$71),IF($A$34:$A$71=$A85,M$34:M$71))/SUMIF($A$34:$A$71,$A85,M$34:M$71)</f>
        <v>17031.923186444455</v>
      </c>
      <c r="N85" s="77" cm="1">
        <f t="array" ref="N85">SUMPRODUCT(IF($A$34:$A$71=$A85,N$34:N$71),IF($A$34:$A$71=$A85,N$34:N$71))/SUMIF($A$34:$A$71,$A85,N$34:N$71)</f>
        <v>17086.493553915836</v>
      </c>
      <c r="O85" s="77" cm="1">
        <f t="array" ref="O85">SUMPRODUCT(IF($A$34:$A$71=$A85,O$34:O$71),IF($A$34:$A$71=$A85,O$34:O$71))/SUMIF($A$34:$A$71,$A85,O$34:O$71)</f>
        <v>17141.064369575903</v>
      </c>
      <c r="P85" s="77" cm="1">
        <f t="array" ref="P85">SUMPRODUCT(IF($A$34:$A$71=$A85,P$34:P$71),IF($A$34:$A$71=$A85,P$34:P$71))/SUMIF($A$34:$A$71,$A85,P$34:P$71)</f>
        <v>17195.63562915786</v>
      </c>
      <c r="Q85" s="77" cm="1">
        <f t="array" ref="Q85">SUMPRODUCT(IF($A$34:$A$71=$A85,Q$34:Q$71),IF($A$34:$A$71=$A85,Q$34:Q$71))/SUMIF($A$34:$A$71,$A85,Q$34:Q$71)</f>
        <v>17250.207328448771</v>
      </c>
      <c r="R85" s="77" cm="1">
        <f t="array" ref="R85">SUMPRODUCT(IF($A$34:$A$71=$A85,R$34:R$71),IF($A$34:$A$71=$A85,R$34:R$71))/SUMIF($A$34:$A$71,$A85,R$34:R$71)</f>
        <v>17304.779463288862</v>
      </c>
      <c r="S85" s="77" cm="1">
        <f t="array" ref="S85">SUMPRODUCT(IF($A$34:$A$71=$A85,S$34:S$71),IF($A$34:$A$71=$A85,S$34:S$71))/SUMIF($A$34:$A$71,$A85,S$34:S$71)</f>
        <v>17351.373813229449</v>
      </c>
      <c r="T85" s="77" cm="1">
        <f t="array" ref="T85">SUMPRODUCT(IF($A$34:$A$71=$A85,T$34:T$71),IF($A$34:$A$71=$A85,T$34:T$71))/SUMIF($A$34:$A$71,$A85,T$34:T$71)</f>
        <v>17397.968376328776</v>
      </c>
      <c r="U85" s="77" cm="1">
        <f t="array" ref="U85">SUMPRODUCT(IF($A$34:$A$71=$A85,U$34:U$71),IF($A$34:$A$71=$A85,U$34:U$71))/SUMIF($A$34:$A$71,$A85,U$34:U$71)</f>
        <v>17444.563150878734</v>
      </c>
      <c r="V85" s="77" cm="1">
        <f t="array" ref="V85">SUMPRODUCT(IF($A$34:$A$71=$A85,V$34:V$71),IF($A$34:$A$71=$A85,V$34:V$71))/SUMIF($A$34:$A$71,$A85,V$34:V$71)</f>
        <v>17491.158135189395</v>
      </c>
      <c r="W85" s="77" cm="1">
        <f t="array" ref="W85">SUMPRODUCT(IF($A$34:$A$71=$A85,W$34:W$71),IF($A$34:$A$71=$A85,W$34:W$71))/SUMIF($A$34:$A$71,$A85,W$34:W$71)</f>
        <v>17537.753327588769</v>
      </c>
      <c r="X85" s="77" cm="1">
        <f t="array" ref="X85">SUMPRODUCT(IF($A$34:$A$71=$A85,X$34:X$71),IF($A$34:$A$71=$A85,X$34:X$71))/SUMIF($A$34:$A$71,$A85,X$34:X$71)</f>
        <v>17516.670483437927</v>
      </c>
      <c r="Y85" s="77" cm="1">
        <f t="array" ref="Y85">SUMPRODUCT(IF($A$34:$A$71=$A85,Y$34:Y$71),IF($A$34:$A$71=$A85,Y$34:Y$71))/SUMIF($A$34:$A$71,$A85,Y$34:Y$71)</f>
        <v>17495.587899831546</v>
      </c>
      <c r="Z85" s="77" cm="1">
        <f t="array" ref="Z85">SUMPRODUCT(IF($A$34:$A$71=$A85,Z$34:Z$71),IF($A$34:$A$71=$A85,Z$34:Z$71))/SUMIF($A$34:$A$71,$A85,Z$34:Z$71)</f>
        <v>17474.505577712698</v>
      </c>
      <c r="AA85" s="77" cm="1">
        <f t="array" ref="AA85">SUMPRODUCT(IF($A$34:$A$71=$A85,AA$34:AA$71),IF($A$34:$A$71=$A85,AA$34:AA$71))/SUMIF($A$34:$A$71,$A85,AA$34:AA$71)</f>
        <v>17453.423518028776</v>
      </c>
      <c r="AB85" s="77" cm="1">
        <f t="array" ref="AB85">SUMPRODUCT(IF($A$34:$A$71=$A85,AB$34:AB$71),IF($A$34:$A$71=$A85,AB$34:AB$71))/SUMIF($A$34:$A$71,$A85,AB$34:AB$71)</f>
        <v>17432.341721732053</v>
      </c>
      <c r="AC85" s="77" cm="1">
        <f t="array" ref="AC85">SUMPRODUCT(IF($A$34:$A$71=$A85,AC$34:AC$71),IF($A$34:$A$71=$A85,AC$34:AC$71))/SUMIF($A$34:$A$71,$A85,AC$34:AC$71)</f>
        <v>17419.16790667842</v>
      </c>
      <c r="AD85" s="77" cm="1">
        <f t="array" ref="AD85">SUMPRODUCT(IF($A$34:$A$71=$A85,AD$34:AD$71),IF($A$34:$A$71=$A85,AD$34:AD$71))/SUMIF($A$34:$A$71,$A85,AD$34:AD$71)</f>
        <v>17405.994091624802</v>
      </c>
      <c r="AE85" s="77" cm="1">
        <f t="array" ref="AE85">SUMPRODUCT(IF($A$34:$A$71=$A85,AE$34:AE$71),IF($A$34:$A$71=$A85,AE$34:AE$71))/SUMIF($A$34:$A$71,$A85,AE$34:AE$71)</f>
        <v>17392.820276571201</v>
      </c>
      <c r="AF85" s="77" cm="1">
        <f t="array" ref="AF85">SUMPRODUCT(IF($A$34:$A$71=$A85,AF$34:AF$71),IF($A$34:$A$71=$A85,AF$34:AF$71))/SUMIF($A$34:$A$71,$A85,AF$34:AF$71)</f>
        <v>17379.646461517576</v>
      </c>
      <c r="AG85" s="77" cm="1">
        <f t="array" ref="AG85">SUMPRODUCT(IF($A$34:$A$71=$A85,AG$34:AG$71),IF($A$34:$A$71=$A85,AG$34:AG$71))/SUMIF($A$34:$A$71,$A85,AG$34:AG$71)</f>
        <v>17366.472646464019</v>
      </c>
      <c r="AH85" s="77"/>
      <c r="AI85" s="77"/>
      <c r="AJ85" s="77"/>
    </row>
    <row r="86" spans="1:36" s="74" customFormat="1" ht="16" x14ac:dyDescent="0.8">
      <c r="A86" s="3" t="s">
        <v>111</v>
      </c>
      <c r="B86" s="74" t="str">
        <f t="shared" si="37"/>
        <v>Passenger HDV</v>
      </c>
      <c r="C86" s="77" cm="1">
        <f t="array" ref="C86">SUMPRODUCT(IF($A$34:$A$71=$A86,C$34:C$71),IF($A$34:$A$71=$A86,C$34:C$71))/SUMIF($A$34:$A$71,$A86,C$34:C$71)</f>
        <v>46814.855092405189</v>
      </c>
      <c r="D86" s="77" cm="1">
        <f t="array" ref="D86">SUMPRODUCT(IF($A$34:$A$71=$A86,D$34:D$71),IF($A$34:$A$71=$A86,D$34:D$71))/SUMIF($A$34:$A$71,$A86,D$34:D$71)</f>
        <v>47052.731789982165</v>
      </c>
      <c r="E86" s="77" cm="1">
        <f t="array" ref="E86">SUMPRODUCT(IF($A$34:$A$71=$A86,E$34:E$71),IF($A$34:$A$71=$A86,E$34:E$71))/SUMIF($A$34:$A$71,$A86,E$34:E$71)</f>
        <v>47290.721360073774</v>
      </c>
      <c r="F86" s="77" cm="1">
        <f t="array" ref="F86">SUMPRODUCT(IF($A$34:$A$71=$A86,F$34:F$71),IF($A$34:$A$71=$A86,F$34:F$71))/SUMIF($A$34:$A$71,$A86,F$34:F$71)</f>
        <v>47528.822115590505</v>
      </c>
      <c r="G86" s="77" cm="1">
        <f t="array" ref="G86">SUMPRODUCT(IF($A$34:$A$71=$A86,G$34:G$71),IF($A$34:$A$71=$A86,G$34:G$71))/SUMIF($A$34:$A$71,$A86,G$34:G$71)</f>
        <v>47767.032402898294</v>
      </c>
      <c r="H86" s="77" cm="1">
        <f t="array" ref="H86">SUMPRODUCT(IF($A$34:$A$71=$A86,H$34:H$71),IF($A$34:$A$71=$A86,H$34:H$71))/SUMIF($A$34:$A$71,$A86,H$34:H$71)</f>
        <v>48005.350600993566</v>
      </c>
      <c r="I86" s="77" cm="1">
        <f t="array" ref="I86">SUMPRODUCT(IF($A$34:$A$71=$A86,I$34:I$71),IF($A$34:$A$71=$A86,I$34:I$71))/SUMIF($A$34:$A$71,$A86,I$34:I$71)</f>
        <v>48233.452151126614</v>
      </c>
      <c r="J86" s="77" cm="1">
        <f t="array" ref="J86">SUMPRODUCT(IF($A$34:$A$71=$A86,J$34:J$71),IF($A$34:$A$71=$A86,J$34:J$71))/SUMIF($A$34:$A$71,$A86,J$34:J$71)</f>
        <v>48461.556341909774</v>
      </c>
      <c r="K86" s="77" cm="1">
        <f t="array" ref="K86">SUMPRODUCT(IF($A$34:$A$71=$A86,K$34:K$71),IF($A$34:$A$71=$A86,K$34:K$71))/SUMIF($A$34:$A$71,$A86,K$34:K$71)</f>
        <v>48689.66313619072</v>
      </c>
      <c r="L86" s="77" cm="1">
        <f t="array" ref="L86">SUMPRODUCT(IF($A$34:$A$71=$A86,L$34:L$71),IF($A$34:$A$71=$A86,L$34:L$71))/SUMIF($A$34:$A$71,$A86,L$34:L$71)</f>
        <v>48917.772497511061</v>
      </c>
      <c r="M86" s="77" cm="1">
        <f t="array" ref="M86">SUMPRODUCT(IF($A$34:$A$71=$A86,M$34:M$71),IF($A$34:$A$71=$A86,M$34:M$71))/SUMIF($A$34:$A$71,$A86,M$34:M$71)</f>
        <v>49145.88439008985</v>
      </c>
      <c r="N86" s="77" cm="1">
        <f t="array" ref="N86">SUMPRODUCT(IF($A$34:$A$71=$A86,N$34:N$71),IF($A$34:$A$71=$A86,N$34:N$71))/SUMIF($A$34:$A$71,$A86,N$34:N$71)</f>
        <v>49353.361891281122</v>
      </c>
      <c r="O86" s="77" cm="1">
        <f t="array" ref="O86">SUMPRODUCT(IF($A$34:$A$71=$A86,O$34:O$71),IF($A$34:$A$71=$A86,O$34:O$71))/SUMIF($A$34:$A$71,$A86,O$34:O$71)</f>
        <v>49561.045168971461</v>
      </c>
      <c r="P86" s="77" cm="1">
        <f t="array" ref="P86">SUMPRODUCT(IF($A$34:$A$71=$A86,P$34:P$71),IF($A$34:$A$71=$A86,P$34:P$71))/SUMIF($A$34:$A$71,$A86,P$34:P$71)</f>
        <v>49768.931625317091</v>
      </c>
      <c r="Q86" s="77" cm="1">
        <f t="array" ref="Q86">SUMPRODUCT(IF($A$34:$A$71=$A86,Q$34:Q$71),IF($A$34:$A$71=$A86,Q$34:Q$71))/SUMIF($A$34:$A$71,$A86,Q$34:Q$71)</f>
        <v>49977.01870602015</v>
      </c>
      <c r="R86" s="77" cm="1">
        <f t="array" ref="R86">SUMPRODUCT(IF($A$34:$A$71=$A86,R$34:R$71),IF($A$34:$A$71=$A86,R$34:R$71))/SUMIF($A$34:$A$71,$A86,R$34:R$71)</f>
        <v>50185.303899419792</v>
      </c>
      <c r="S86" s="77" cm="1">
        <f t="array" ref="S86">SUMPRODUCT(IF($A$34:$A$71=$A86,S$34:S$71),IF($A$34:$A$71=$A86,S$34:S$71))/SUMIF($A$34:$A$71,$A86,S$34:S$71)</f>
        <v>50336.492354801208</v>
      </c>
      <c r="T86" s="77" cm="1">
        <f t="array" ref="T86">SUMPRODUCT(IF($A$34:$A$71=$A86,T$34:T$71),IF($A$34:$A$71=$A86,T$34:T$71))/SUMIF($A$34:$A$71,$A86,T$34:T$71)</f>
        <v>50487.916299809141</v>
      </c>
      <c r="U86" s="77" cm="1">
        <f t="array" ref="U86">SUMPRODUCT(IF($A$34:$A$71=$A86,U$34:U$71),IF($A$34:$A$71=$A86,U$34:U$71))/SUMIF($A$34:$A$71,$A86,U$34:U$71)</f>
        <v>50639.573610932224</v>
      </c>
      <c r="V86" s="77" cm="1">
        <f t="array" ref="V86">SUMPRODUCT(IF($A$34:$A$71=$A86,V$34:V$71),IF($A$34:$A$71=$A86,V$34:V$71))/SUMIF($A$34:$A$71,$A86,V$34:V$71)</f>
        <v>50791.462190114245</v>
      </c>
      <c r="W86" s="77" cm="1">
        <f t="array" ref="W86">SUMPRODUCT(IF($A$34:$A$71=$A86,W$34:W$71),IF($A$34:$A$71=$A86,W$34:W$71))/SUMIF($A$34:$A$71,$A86,W$34:W$71)</f>
        <v>50943.579964373486</v>
      </c>
      <c r="X86" s="77" cm="1">
        <f t="array" ref="X86">SUMPRODUCT(IF($A$34:$A$71=$A86,X$34:X$71),IF($A$34:$A$71=$A86,X$34:X$71))/SUMIF($A$34:$A$71,$A86,X$34:X$71)</f>
        <v>50858.281333529521</v>
      </c>
      <c r="Y86" s="77" cm="1">
        <f t="array" ref="Y86">SUMPRODUCT(IF($A$34:$A$71=$A86,Y$34:Y$71),IF($A$34:$A$71=$A86,Y$34:Y$71))/SUMIF($A$34:$A$71,$A86,Y$34:Y$71)</f>
        <v>50772.982772072261</v>
      </c>
      <c r="Z86" s="77" cm="1">
        <f t="array" ref="Z86">SUMPRODUCT(IF($A$34:$A$71=$A86,Z$34:Z$71),IF($A$34:$A$71=$A86,Z$34:Z$71))/SUMIF($A$34:$A$71,$A86,Z$34:Z$71)</f>
        <v>50687.684280352056</v>
      </c>
      <c r="AA86" s="77" cm="1">
        <f t="array" ref="AA86">SUMPRODUCT(IF($A$34:$A$71=$A86,AA$34:AA$71),IF($A$34:$A$71=$A86,AA$34:AA$71))/SUMIF($A$34:$A$71,$A86,AA$34:AA$71)</f>
        <v>50602.385858721544</v>
      </c>
      <c r="AB86" s="77" cm="1">
        <f t="array" ref="AB86">SUMPRODUCT(IF($A$34:$A$71=$A86,AB$34:AB$71),IF($A$34:$A$71=$A86,AB$34:AB$71))/SUMIF($A$34:$A$71,$A86,AB$34:AB$71)</f>
        <v>50517.087507535754</v>
      </c>
      <c r="AC86" s="77" cm="1">
        <f t="array" ref="AC86">SUMPRODUCT(IF($A$34:$A$71=$A86,AC$34:AC$71),IF($A$34:$A$71=$A86,AC$34:AC$71))/SUMIF($A$34:$A$71,$A86,AC$34:AC$71)</f>
        <v>50482.220861716087</v>
      </c>
      <c r="AD86" s="77" cm="1">
        <f t="array" ref="AD86">SUMPRODUCT(IF($A$34:$A$71=$A86,AD$34:AD$71),IF($A$34:$A$71=$A86,AD$34:AD$71))/SUMIF($A$34:$A$71,$A86,AD$34:AD$71)</f>
        <v>50447.354215896958</v>
      </c>
      <c r="AE86" s="77" cm="1">
        <f t="array" ref="AE86">SUMPRODUCT(IF($A$34:$A$71=$A86,AE$34:AE$71),IF($A$34:$A$71=$A86,AE$34:AE$71))/SUMIF($A$34:$A$71,$A86,AE$34:AE$71)</f>
        <v>50412.487570078396</v>
      </c>
      <c r="AF86" s="77" cm="1">
        <f t="array" ref="AF86">SUMPRODUCT(IF($A$34:$A$71=$A86,AF$34:AF$71),IF($A$34:$A$71=$A86,AF$34:AF$71))/SUMIF($A$34:$A$71,$A86,AF$34:AF$71)</f>
        <v>50377.620924260424</v>
      </c>
      <c r="AG86" s="77" cm="1">
        <f t="array" ref="AG86">SUMPRODUCT(IF($A$34:$A$71=$A86,AG$34:AG$71),IF($A$34:$A$71=$A86,AG$34:AG$71))/SUMIF($A$34:$A$71,$A86,AG$34:AG$71)</f>
        <v>50342.754278442982</v>
      </c>
      <c r="AH86" s="77"/>
      <c r="AI86" s="77"/>
      <c r="AJ86" s="77"/>
    </row>
    <row r="87" spans="1:36" s="74" customFormat="1" ht="16" x14ac:dyDescent="0.8"/>
    <row r="88" spans="1:36" ht="16" x14ac:dyDescent="0.8">
      <c r="A88" s="2" t="s">
        <v>167</v>
      </c>
      <c r="B88" s="74" t="s">
        <v>166</v>
      </c>
      <c r="C88" s="76">
        <v>2020</v>
      </c>
      <c r="D88" s="76">
        <v>2021</v>
      </c>
      <c r="E88" s="76">
        <v>2022</v>
      </c>
      <c r="F88" s="76">
        <v>2023</v>
      </c>
      <c r="G88" s="76">
        <v>2024</v>
      </c>
      <c r="H88" s="76">
        <v>2025</v>
      </c>
      <c r="I88" s="76">
        <v>2026</v>
      </c>
      <c r="J88" s="76">
        <v>2027</v>
      </c>
      <c r="K88" s="76">
        <v>2028</v>
      </c>
      <c r="L88" s="76">
        <v>2029</v>
      </c>
      <c r="M88" s="76">
        <v>2030</v>
      </c>
      <c r="N88" s="76">
        <v>2031</v>
      </c>
      <c r="O88" s="76">
        <v>2032</v>
      </c>
      <c r="P88" s="76">
        <v>2033</v>
      </c>
      <c r="Q88" s="76">
        <v>2034</v>
      </c>
      <c r="R88" s="76">
        <v>2035</v>
      </c>
      <c r="S88" s="76">
        <v>2036</v>
      </c>
      <c r="T88" s="76">
        <v>2037</v>
      </c>
      <c r="U88" s="76">
        <v>2038</v>
      </c>
      <c r="V88" s="76">
        <v>2039</v>
      </c>
      <c r="W88" s="76">
        <v>2040</v>
      </c>
      <c r="X88" s="76">
        <v>2041</v>
      </c>
      <c r="Y88" s="76">
        <v>2042</v>
      </c>
      <c r="Z88" s="76">
        <v>2043</v>
      </c>
      <c r="AA88" s="76">
        <v>2044</v>
      </c>
      <c r="AB88" s="76">
        <v>2045</v>
      </c>
      <c r="AC88" s="76">
        <v>2046</v>
      </c>
      <c r="AD88" s="76">
        <v>2047</v>
      </c>
      <c r="AE88" s="76">
        <v>2048</v>
      </c>
      <c r="AF88" s="76">
        <v>2049</v>
      </c>
      <c r="AG88" s="76">
        <v>2050</v>
      </c>
    </row>
    <row r="89" spans="1:36" ht="16" x14ac:dyDescent="0.8">
      <c r="A89" s="3" t="s">
        <v>102</v>
      </c>
      <c r="B89" s="74" t="str">
        <f t="shared" ref="B89:B98" si="38">INDEX($AJ$17:$AJ$28,MATCH(A89,$A$17:$A$28,0),1)</f>
        <v>Freight LDV</v>
      </c>
      <c r="C89" s="78">
        <f>C77*INDEX(B$17:B$28,MATCH($A89,$A$17:$A$28,0),1)</f>
        <v>3345831749.4821477</v>
      </c>
      <c r="D89" s="78">
        <f t="shared" ref="D89:W97" si="39">D77*INDEX(C$17:C$28,MATCH($A89,$A$17:$A$28,0),1)</f>
        <v>3372520851.0492282</v>
      </c>
      <c r="E89" s="78">
        <f t="shared" si="39"/>
        <v>3399286758.7692885</v>
      </c>
      <c r="F89" s="78">
        <f t="shared" si="39"/>
        <v>3426130041.4816823</v>
      </c>
      <c r="G89" s="78">
        <f t="shared" si="39"/>
        <v>3453051267.717154</v>
      </c>
      <c r="H89" s="78">
        <f t="shared" si="39"/>
        <v>3480051005.6980915</v>
      </c>
      <c r="I89" s="78">
        <f t="shared" si="39"/>
        <v>3512854044.1415472</v>
      </c>
      <c r="J89" s="78">
        <f t="shared" si="39"/>
        <v>3545437755.7018309</v>
      </c>
      <c r="K89" s="78">
        <f t="shared" si="39"/>
        <v>3577816434.6331625</v>
      </c>
      <c r="L89" s="78">
        <f t="shared" si="39"/>
        <v>3610004498.8575549</v>
      </c>
      <c r="M89" s="78">
        <f t="shared" si="39"/>
        <v>3642016491.305088</v>
      </c>
      <c r="N89" s="78">
        <f t="shared" si="39"/>
        <v>3769294453.6157751</v>
      </c>
      <c r="O89" s="78">
        <f t="shared" si="39"/>
        <v>3898403329.0496006</v>
      </c>
      <c r="P89" s="78">
        <f t="shared" si="39"/>
        <v>4029343159.0294361</v>
      </c>
      <c r="Q89" s="78">
        <f t="shared" si="39"/>
        <v>4162113983.3165331</v>
      </c>
      <c r="R89" s="78">
        <f t="shared" si="39"/>
        <v>4296715840.0929298</v>
      </c>
      <c r="S89" s="78">
        <f t="shared" si="39"/>
        <v>4411354751.1790028</v>
      </c>
      <c r="T89" s="78">
        <f t="shared" si="39"/>
        <v>4526971664.3600855</v>
      </c>
      <c r="U89" s="78">
        <f t="shared" si="39"/>
        <v>4643566602.8034334</v>
      </c>
      <c r="V89" s="78">
        <f t="shared" si="39"/>
        <v>4761139589.1981211</v>
      </c>
      <c r="W89" s="78">
        <f t="shared" si="39"/>
        <v>4879690645.7672815</v>
      </c>
      <c r="X89" s="78">
        <f t="shared" ref="X89:AG89" si="40">X77*INDEX(W$17:W$28,MATCH($A89,$A$17:$A$28,0),1)</f>
        <v>4994966913.4318705</v>
      </c>
      <c r="Y89" s="78">
        <f t="shared" si="40"/>
        <v>5108759463.5152884</v>
      </c>
      <c r="Z89" s="78">
        <f t="shared" si="40"/>
        <v>5223256126.1280613</v>
      </c>
      <c r="AA89" s="78">
        <f t="shared" si="40"/>
        <v>5338456904.0431805</v>
      </c>
      <c r="AB89" s="78">
        <f t="shared" si="40"/>
        <v>5454361799.9934177</v>
      </c>
      <c r="AC89" s="78">
        <f t="shared" si="40"/>
        <v>5562070428.4380026</v>
      </c>
      <c r="AD89" s="78">
        <f t="shared" si="40"/>
        <v>5670174307.5211058</v>
      </c>
      <c r="AE89" s="78">
        <f t="shared" si="40"/>
        <v>5778673441.5365334</v>
      </c>
      <c r="AF89" s="78">
        <f t="shared" si="40"/>
        <v>5887567834.7425127</v>
      </c>
      <c r="AG89" s="78">
        <f t="shared" si="40"/>
        <v>5996857491.3620796</v>
      </c>
    </row>
    <row r="90" spans="1:36" ht="16" x14ac:dyDescent="0.8">
      <c r="A90" s="3" t="s">
        <v>103</v>
      </c>
      <c r="B90" s="74" t="str">
        <f t="shared" si="38"/>
        <v>Freight LDV</v>
      </c>
      <c r="C90" s="78">
        <f t="shared" ref="C90:R98" si="41">C78*INDEX(B$17:B$28,MATCH($A90,$A$17:$A$28,0),1)</f>
        <v>3403308310.4814692</v>
      </c>
      <c r="D90" s="78">
        <f t="shared" si="41"/>
        <v>3418830831.1574984</v>
      </c>
      <c r="E90" s="78">
        <f t="shared" si="41"/>
        <v>3434410600.3641229</v>
      </c>
      <c r="F90" s="78">
        <f t="shared" si="41"/>
        <v>3450051218.5754881</v>
      </c>
      <c r="G90" s="78">
        <f t="shared" si="41"/>
        <v>3465756290.9038582</v>
      </c>
      <c r="H90" s="78">
        <f t="shared" si="41"/>
        <v>3481529427.1070905</v>
      </c>
      <c r="I90" s="78">
        <f t="shared" si="41"/>
        <v>3551991252.7139239</v>
      </c>
      <c r="J90" s="78">
        <f t="shared" si="41"/>
        <v>3623123585.631556</v>
      </c>
      <c r="K90" s="78">
        <f t="shared" si="41"/>
        <v>3694929473.9717875</v>
      </c>
      <c r="L90" s="78">
        <f t="shared" si="41"/>
        <v>3767411915.532011</v>
      </c>
      <c r="M90" s="78">
        <f t="shared" si="41"/>
        <v>3840573858.8291149</v>
      </c>
      <c r="N90" s="78">
        <f t="shared" si="41"/>
        <v>3959183575.2880316</v>
      </c>
      <c r="O90" s="78">
        <f t="shared" si="41"/>
        <v>4078982931.4454384</v>
      </c>
      <c r="P90" s="78">
        <f t="shared" si="41"/>
        <v>4199972107.8305016</v>
      </c>
      <c r="Q90" s="78">
        <f t="shared" si="41"/>
        <v>4322151280.3285656</v>
      </c>
      <c r="R90" s="78">
        <f t="shared" si="41"/>
        <v>4445520620.3294582</v>
      </c>
      <c r="S90" s="78">
        <f t="shared" si="39"/>
        <v>4567239923.8213406</v>
      </c>
      <c r="T90" s="78">
        <f t="shared" si="39"/>
        <v>4690099708.6304779</v>
      </c>
      <c r="U90" s="78">
        <f t="shared" si="39"/>
        <v>4814099974.9006186</v>
      </c>
      <c r="V90" s="78">
        <f t="shared" si="39"/>
        <v>4939240722.772109</v>
      </c>
      <c r="W90" s="78">
        <f t="shared" si="39"/>
        <v>5065521952.3820124</v>
      </c>
      <c r="X90" s="78">
        <f t="shared" ref="X90:AG90" si="42">X78*INDEX(W$17:W$28,MATCH($A90,$A$17:$A$28,0),1)</f>
        <v>5162773243.8546753</v>
      </c>
      <c r="Y90" s="78">
        <f t="shared" si="42"/>
        <v>5257631902.1103392</v>
      </c>
      <c r="Z90" s="78">
        <f t="shared" si="42"/>
        <v>5352370598.7466202</v>
      </c>
      <c r="AA90" s="78">
        <f t="shared" si="42"/>
        <v>5446989396.5583134</v>
      </c>
      <c r="AB90" s="78">
        <f t="shared" si="42"/>
        <v>5541488358.5276575</v>
      </c>
      <c r="AC90" s="78">
        <f t="shared" si="42"/>
        <v>5650917477.3438854</v>
      </c>
      <c r="AD90" s="78">
        <f t="shared" si="42"/>
        <v>5760748133.9125175</v>
      </c>
      <c r="AE90" s="78">
        <f t="shared" si="42"/>
        <v>5870980332.6025133</v>
      </c>
      <c r="AF90" s="78">
        <f t="shared" si="42"/>
        <v>5981614077.7465172</v>
      </c>
      <c r="AG90" s="78">
        <f t="shared" si="42"/>
        <v>6092649373.6413736</v>
      </c>
    </row>
    <row r="91" spans="1:36" ht="16" x14ac:dyDescent="0.8">
      <c r="A91" s="3" t="s">
        <v>104</v>
      </c>
      <c r="B91" s="74" t="str">
        <f t="shared" si="38"/>
        <v>Freight HDV</v>
      </c>
      <c r="C91" s="78">
        <f t="shared" si="41"/>
        <v>2854390527.200716</v>
      </c>
      <c r="D91" s="78">
        <f t="shared" si="39"/>
        <v>2885277088.2676773</v>
      </c>
      <c r="E91" s="78">
        <f t="shared" si="39"/>
        <v>2916340843.8552227</v>
      </c>
      <c r="F91" s="78">
        <f t="shared" si="39"/>
        <v>2947581946.5983377</v>
      </c>
      <c r="G91" s="78">
        <f t="shared" si="39"/>
        <v>2979000546.2783966</v>
      </c>
      <c r="H91" s="78">
        <f t="shared" si="39"/>
        <v>3010596789.8894925</v>
      </c>
      <c r="I91" s="78">
        <f t="shared" si="39"/>
        <v>3052946906.7034664</v>
      </c>
      <c r="J91" s="78">
        <f t="shared" si="39"/>
        <v>3095268216.4134612</v>
      </c>
      <c r="K91" s="78">
        <f t="shared" si="39"/>
        <v>3137561253.0141916</v>
      </c>
      <c r="L91" s="78">
        <f t="shared" si="39"/>
        <v>3179826550.2444782</v>
      </c>
      <c r="M91" s="78">
        <f t="shared" si="39"/>
        <v>3222064641.5873704</v>
      </c>
      <c r="N91" s="78">
        <f t="shared" si="39"/>
        <v>3310300201.7042394</v>
      </c>
      <c r="O91" s="78">
        <f t="shared" si="39"/>
        <v>3398997051.3693571</v>
      </c>
      <c r="P91" s="78">
        <f t="shared" si="39"/>
        <v>3488155387.1225657</v>
      </c>
      <c r="Q91" s="78">
        <f t="shared" si="39"/>
        <v>3577775403.0247097</v>
      </c>
      <c r="R91" s="78">
        <f t="shared" si="39"/>
        <v>3667857290.6966267</v>
      </c>
      <c r="S91" s="78">
        <f t="shared" si="39"/>
        <v>3754822238.3055334</v>
      </c>
      <c r="T91" s="78">
        <f t="shared" si="39"/>
        <v>3842169383.9241819</v>
      </c>
      <c r="U91" s="78">
        <f t="shared" si="39"/>
        <v>3929898739.9650674</v>
      </c>
      <c r="V91" s="78">
        <f t="shared" si="39"/>
        <v>4018010318.7232842</v>
      </c>
      <c r="W91" s="78">
        <f t="shared" si="39"/>
        <v>4106504132.3779325</v>
      </c>
      <c r="X91" s="78">
        <f t="shared" ref="X91:AG91" si="43">X79*INDEX(W$17:W$28,MATCH($A91,$A$17:$A$28,0),1)</f>
        <v>4182421439.6775341</v>
      </c>
      <c r="Y91" s="78">
        <f t="shared" si="43"/>
        <v>4256289296.210588</v>
      </c>
      <c r="Z91" s="78">
        <f t="shared" si="43"/>
        <v>4329949088.0788765</v>
      </c>
      <c r="AA91" s="78">
        <f t="shared" si="43"/>
        <v>4403400880.0482769</v>
      </c>
      <c r="AB91" s="78">
        <f t="shared" si="43"/>
        <v>4476644737.2642422</v>
      </c>
      <c r="AC91" s="78">
        <f t="shared" si="43"/>
        <v>4565046797.3134565</v>
      </c>
      <c r="AD91" s="78">
        <f t="shared" si="43"/>
        <v>4653773253.4868813</v>
      </c>
      <c r="AE91" s="78">
        <f t="shared" si="43"/>
        <v>4742824109.3042135</v>
      </c>
      <c r="AF91" s="78">
        <f t="shared" si="43"/>
        <v>4832199368.2559824</v>
      </c>
      <c r="AG91" s="78">
        <f t="shared" si="43"/>
        <v>4921899033.8039122</v>
      </c>
    </row>
    <row r="92" spans="1:36" ht="16" x14ac:dyDescent="0.8">
      <c r="A92" s="3" t="s">
        <v>105</v>
      </c>
      <c r="B92" s="74" t="str">
        <f t="shared" si="38"/>
        <v>Freight HDV</v>
      </c>
      <c r="C92" s="78">
        <f t="shared" si="41"/>
        <v>4243248416.923768</v>
      </c>
      <c r="D92" s="78">
        <f t="shared" si="39"/>
        <v>4135143446.5307212</v>
      </c>
      <c r="E92" s="78">
        <f t="shared" si="39"/>
        <v>4034614756.2566051</v>
      </c>
      <c r="F92" s="78">
        <f t="shared" si="39"/>
        <v>3941472037.4969835</v>
      </c>
      <c r="G92" s="78">
        <f t="shared" si="39"/>
        <v>3855524090.8280807</v>
      </c>
      <c r="H92" s="78">
        <f t="shared" si="39"/>
        <v>3776578820.7883592</v>
      </c>
      <c r="I92" s="78">
        <f t="shared" si="39"/>
        <v>3720801615.5901527</v>
      </c>
      <c r="J92" s="78">
        <f t="shared" si="39"/>
        <v>3667969442.7516408</v>
      </c>
      <c r="K92" s="78">
        <f t="shared" si="39"/>
        <v>3618055686.5311308</v>
      </c>
      <c r="L92" s="78">
        <f t="shared" si="39"/>
        <v>3571033342.5276484</v>
      </c>
      <c r="M92" s="78">
        <f t="shared" si="39"/>
        <v>3526875010.5606184</v>
      </c>
      <c r="N92" s="78">
        <f t="shared" si="39"/>
        <v>3541628699.0779214</v>
      </c>
      <c r="O92" s="78">
        <f t="shared" si="39"/>
        <v>3556908661.2005963</v>
      </c>
      <c r="P92" s="78">
        <f t="shared" si="39"/>
        <v>3572720778.3754368</v>
      </c>
      <c r="Q92" s="78">
        <f t="shared" si="39"/>
        <v>3589070921.5651793</v>
      </c>
      <c r="R92" s="78">
        <f t="shared" si="39"/>
        <v>3605964951.2718225</v>
      </c>
      <c r="S92" s="78">
        <f t="shared" si="39"/>
        <v>3634043836.7990761</v>
      </c>
      <c r="T92" s="78">
        <f t="shared" si="39"/>
        <v>3662387244.9095998</v>
      </c>
      <c r="U92" s="78">
        <f t="shared" si="39"/>
        <v>3690995333.7400928</v>
      </c>
      <c r="V92" s="78">
        <f t="shared" si="39"/>
        <v>3719868259.1525111</v>
      </c>
      <c r="W92" s="78">
        <f t="shared" si="39"/>
        <v>3749006174.7748332</v>
      </c>
      <c r="X92" s="78">
        <f t="shared" ref="X92:AG92" si="44">X80*INDEX(W$17:W$28,MATCH($A92,$A$17:$A$28,0),1)</f>
        <v>3768093722.8184886</v>
      </c>
      <c r="Y92" s="78">
        <f t="shared" si="44"/>
        <v>3786813947.1263022</v>
      </c>
      <c r="Z92" s="78">
        <f t="shared" si="44"/>
        <v>3805579763.426219</v>
      </c>
      <c r="AA92" s="78">
        <f t="shared" si="44"/>
        <v>3824391310.9398789</v>
      </c>
      <c r="AB92" s="78">
        <f t="shared" si="44"/>
        <v>3843248728.3844185</v>
      </c>
      <c r="AC92" s="78">
        <f t="shared" si="44"/>
        <v>3876102783.7270679</v>
      </c>
      <c r="AD92" s="78">
        <f t="shared" si="44"/>
        <v>3909125386.5514746</v>
      </c>
      <c r="AE92" s="78">
        <f t="shared" si="44"/>
        <v>3942316457.079464</v>
      </c>
      <c r="AF92" s="78">
        <f t="shared" si="44"/>
        <v>3975675917.0362225</v>
      </c>
      <c r="AG92" s="78">
        <f t="shared" si="44"/>
        <v>4009203689.6150379</v>
      </c>
    </row>
    <row r="93" spans="1:36" ht="16" x14ac:dyDescent="0.8">
      <c r="A93" s="3" t="s">
        <v>106</v>
      </c>
      <c r="B93" s="74" t="str">
        <f t="shared" si="38"/>
        <v>Freight HDV</v>
      </c>
      <c r="C93" s="78">
        <f t="shared" si="41"/>
        <v>14612799289.625017</v>
      </c>
      <c r="D93" s="78">
        <f t="shared" si="39"/>
        <v>14262424777.082468</v>
      </c>
      <c r="E93" s="78">
        <f t="shared" si="39"/>
        <v>13923563663.21998</v>
      </c>
      <c r="F93" s="78">
        <f t="shared" si="39"/>
        <v>13596329460.18935</v>
      </c>
      <c r="G93" s="78">
        <f t="shared" si="39"/>
        <v>13280843419.494194</v>
      </c>
      <c r="H93" s="78">
        <f t="shared" si="39"/>
        <v>12977235203.022022</v>
      </c>
      <c r="I93" s="78">
        <f t="shared" si="39"/>
        <v>12784933527.940308</v>
      </c>
      <c r="J93" s="78">
        <f t="shared" si="39"/>
        <v>12597568533.352251</v>
      </c>
      <c r="K93" s="78">
        <f t="shared" si="39"/>
        <v>12415137652.066132</v>
      </c>
      <c r="L93" s="78">
        <f t="shared" si="39"/>
        <v>12237638245.31517</v>
      </c>
      <c r="M93" s="78">
        <f t="shared" si="39"/>
        <v>12065067600.245365</v>
      </c>
      <c r="N93" s="78">
        <f t="shared" si="39"/>
        <v>12126392325.324587</v>
      </c>
      <c r="O93" s="78">
        <f t="shared" si="39"/>
        <v>12188851297.644287</v>
      </c>
      <c r="P93" s="78">
        <f t="shared" si="39"/>
        <v>12252458382.820219</v>
      </c>
      <c r="Q93" s="78">
        <f t="shared" si="39"/>
        <v>12317227460.414755</v>
      </c>
      <c r="R93" s="78">
        <f t="shared" si="39"/>
        <v>12383172423.954905</v>
      </c>
      <c r="S93" s="78">
        <f t="shared" si="39"/>
        <v>12474517056.945681</v>
      </c>
      <c r="T93" s="78">
        <f t="shared" si="39"/>
        <v>12566656995.221544</v>
      </c>
      <c r="U93" s="78">
        <f t="shared" si="39"/>
        <v>12659593643.608829</v>
      </c>
      <c r="V93" s="78">
        <f t="shared" si="39"/>
        <v>12753328390.478903</v>
      </c>
      <c r="W93" s="78">
        <f t="shared" si="39"/>
        <v>12847862607.988451</v>
      </c>
      <c r="X93" s="78">
        <f t="shared" ref="X93:AG93" si="45">X81*INDEX(W$17:W$28,MATCH($A93,$A$17:$A$28,0),1)</f>
        <v>12925089336.854912</v>
      </c>
      <c r="Y93" s="78">
        <f t="shared" si="45"/>
        <v>13001119910.135149</v>
      </c>
      <c r="Z93" s="78">
        <f t="shared" si="45"/>
        <v>13077367607.079</v>
      </c>
      <c r="AA93" s="78">
        <f t="shared" si="45"/>
        <v>13153832565.047693</v>
      </c>
      <c r="AB93" s="78">
        <f t="shared" si="45"/>
        <v>13230514920.474039</v>
      </c>
      <c r="AC93" s="78">
        <f t="shared" si="45"/>
        <v>13354695167.648855</v>
      </c>
      <c r="AD93" s="78">
        <f t="shared" si="45"/>
        <v>13479575975.665928</v>
      </c>
      <c r="AE93" s="78">
        <f t="shared" si="45"/>
        <v>13605156839.257725</v>
      </c>
      <c r="AF93" s="78">
        <f t="shared" si="45"/>
        <v>13731437263.348825</v>
      </c>
      <c r="AG93" s="78">
        <f t="shared" si="45"/>
        <v>13858416762.7997</v>
      </c>
    </row>
    <row r="94" spans="1:36" ht="16" x14ac:dyDescent="0.8">
      <c r="A94" s="3" t="s">
        <v>107</v>
      </c>
      <c r="B94" s="74" t="str">
        <f t="shared" si="38"/>
        <v>Freight HDV</v>
      </c>
      <c r="C94" s="78">
        <f t="shared" si="41"/>
        <v>94903996.774248436</v>
      </c>
      <c r="D94" s="78">
        <f t="shared" si="39"/>
        <v>96602362.05105722</v>
      </c>
      <c r="E94" s="78">
        <f t="shared" si="39"/>
        <v>98429638.911504433</v>
      </c>
      <c r="F94" s="78">
        <f t="shared" si="39"/>
        <v>100390881.32556298</v>
      </c>
      <c r="G94" s="78">
        <f t="shared" si="39"/>
        <v>102491302.6848238</v>
      </c>
      <c r="H94" s="78">
        <f t="shared" si="39"/>
        <v>104736282.1384244</v>
      </c>
      <c r="I94" s="78">
        <f t="shared" si="39"/>
        <v>107717858.62017682</v>
      </c>
      <c r="J94" s="78">
        <f t="shared" si="39"/>
        <v>110742363.10176452</v>
      </c>
      <c r="K94" s="78">
        <f t="shared" si="39"/>
        <v>113809803.91838208</v>
      </c>
      <c r="L94" s="78">
        <f t="shared" si="39"/>
        <v>116920189.02646482</v>
      </c>
      <c r="M94" s="78">
        <f t="shared" si="39"/>
        <v>120073526.02495964</v>
      </c>
      <c r="N94" s="78">
        <f t="shared" si="39"/>
        <v>125035740.45235187</v>
      </c>
      <c r="O94" s="78">
        <f t="shared" si="39"/>
        <v>130102595.76552553</v>
      </c>
      <c r="P94" s="78">
        <f t="shared" si="39"/>
        <v>135274293.02980706</v>
      </c>
      <c r="Q94" s="78">
        <f t="shared" si="39"/>
        <v>140551021.96189317</v>
      </c>
      <c r="R94" s="78">
        <f t="shared" si="39"/>
        <v>145932961.71939319</v>
      </c>
      <c r="S94" s="78">
        <f t="shared" si="39"/>
        <v>150212576.77983928</v>
      </c>
      <c r="T94" s="78">
        <f t="shared" si="39"/>
        <v>154543304.42209414</v>
      </c>
      <c r="U94" s="78">
        <f t="shared" si="39"/>
        <v>158925219.0340282</v>
      </c>
      <c r="V94" s="78">
        <f t="shared" si="39"/>
        <v>163358392.93963441</v>
      </c>
      <c r="W94" s="78">
        <f t="shared" si="39"/>
        <v>167842896.47011366</v>
      </c>
      <c r="X94" s="78">
        <f t="shared" ref="X94:AG94" si="46">X82*INDEX(W$17:W$28,MATCH($A94,$A$17:$A$28,0),1)</f>
        <v>171230510.37064525</v>
      </c>
      <c r="Y94" s="78">
        <f t="shared" si="46"/>
        <v>174548217.22891676</v>
      </c>
      <c r="Z94" s="78">
        <f t="shared" si="46"/>
        <v>177869667.29275745</v>
      </c>
      <c r="AA94" s="78">
        <f t="shared" si="46"/>
        <v>181194931.70912883</v>
      </c>
      <c r="AB94" s="78">
        <f t="shared" si="46"/>
        <v>184524081.5243459</v>
      </c>
      <c r="AC94" s="78">
        <f t="shared" si="46"/>
        <v>188095441.8288205</v>
      </c>
      <c r="AD94" s="78">
        <f t="shared" si="46"/>
        <v>191677696.9327296</v>
      </c>
      <c r="AE94" s="78">
        <f t="shared" si="46"/>
        <v>195270847.46550173</v>
      </c>
      <c r="AF94" s="78">
        <f t="shared" si="46"/>
        <v>198874894.0528459</v>
      </c>
      <c r="AG94" s="78">
        <f t="shared" si="46"/>
        <v>202489837.31678164</v>
      </c>
    </row>
    <row r="95" spans="1:36" ht="16" x14ac:dyDescent="0.8">
      <c r="A95" s="3" t="s">
        <v>108</v>
      </c>
      <c r="B95" s="74" t="str">
        <f t="shared" si="38"/>
        <v>Passenger HDV</v>
      </c>
      <c r="C95" s="78">
        <f t="shared" si="41"/>
        <v>192668892.90637672</v>
      </c>
      <c r="D95" s="78">
        <f t="shared" si="39"/>
        <v>192094886.90283436</v>
      </c>
      <c r="E95" s="78">
        <f t="shared" si="39"/>
        <v>191520871.95843565</v>
      </c>
      <c r="F95" s="78">
        <f t="shared" si="39"/>
        <v>190946848.37008491</v>
      </c>
      <c r="G95" s="78">
        <f t="shared" si="39"/>
        <v>190372816.438604</v>
      </c>
      <c r="H95" s="78">
        <f t="shared" si="39"/>
        <v>189798776.46879947</v>
      </c>
      <c r="I95" s="78">
        <f t="shared" si="39"/>
        <v>190934122.07023597</v>
      </c>
      <c r="J95" s="78">
        <f t="shared" si="39"/>
        <v>192068949.28738716</v>
      </c>
      <c r="K95" s="78">
        <f t="shared" si="39"/>
        <v>193203258.12128869</v>
      </c>
      <c r="L95" s="78">
        <f t="shared" si="39"/>
        <v>194337048.57297805</v>
      </c>
      <c r="M95" s="78">
        <f t="shared" si="39"/>
        <v>195470320.64349246</v>
      </c>
      <c r="N95" s="78">
        <f t="shared" si="39"/>
        <v>199159133.36929071</v>
      </c>
      <c r="O95" s="78">
        <f t="shared" si="39"/>
        <v>202859219.17313716</v>
      </c>
      <c r="P95" s="78">
        <f t="shared" si="39"/>
        <v>206570585.91570231</v>
      </c>
      <c r="Q95" s="78">
        <f t="shared" si="39"/>
        <v>210293241.38764349</v>
      </c>
      <c r="R95" s="78">
        <f t="shared" si="39"/>
        <v>214027193.31038192</v>
      </c>
      <c r="S95" s="78">
        <f t="shared" si="39"/>
        <v>218520005.55598357</v>
      </c>
      <c r="T95" s="78">
        <f t="shared" si="39"/>
        <v>223049279.48144552</v>
      </c>
      <c r="U95" s="78">
        <f t="shared" si="39"/>
        <v>227615021.03551081</v>
      </c>
      <c r="V95" s="78">
        <f t="shared" si="39"/>
        <v>232217236.02468029</v>
      </c>
      <c r="W95" s="78">
        <f t="shared" si="39"/>
        <v>236855930.11743909</v>
      </c>
      <c r="X95" s="78">
        <f t="shared" ref="X95:AG95" si="47">X83*INDEX(W$17:W$28,MATCH($A95,$A$17:$A$28,0),1)</f>
        <v>240649551.5126797</v>
      </c>
      <c r="Y95" s="78">
        <f t="shared" si="47"/>
        <v>244368131.13543579</v>
      </c>
      <c r="Z95" s="78">
        <f t="shared" si="47"/>
        <v>248094966.7849316</v>
      </c>
      <c r="AA95" s="78">
        <f t="shared" si="47"/>
        <v>251830066.39479166</v>
      </c>
      <c r="AB95" s="78">
        <f t="shared" si="47"/>
        <v>255573437.84342432</v>
      </c>
      <c r="AC95" s="78">
        <f t="shared" si="47"/>
        <v>258648896.81816289</v>
      </c>
      <c r="AD95" s="78">
        <f t="shared" si="47"/>
        <v>261714437.38856724</v>
      </c>
      <c r="AE95" s="78">
        <f t="shared" si="47"/>
        <v>264770060.7335732</v>
      </c>
      <c r="AF95" s="78">
        <f t="shared" si="47"/>
        <v>267815768.03801328</v>
      </c>
      <c r="AG95" s="78">
        <f t="shared" si="47"/>
        <v>270851560.49265301</v>
      </c>
    </row>
    <row r="96" spans="1:36" ht="16" x14ac:dyDescent="0.8">
      <c r="A96" s="3" t="s">
        <v>109</v>
      </c>
      <c r="B96" s="74" t="str">
        <f t="shared" si="38"/>
        <v>Passenger HDV</v>
      </c>
      <c r="C96" s="78">
        <f t="shared" si="41"/>
        <v>241227556.2434333</v>
      </c>
      <c r="D96" s="78">
        <f t="shared" si="39"/>
        <v>238971789.68143368</v>
      </c>
      <c r="E96" s="78">
        <f t="shared" si="39"/>
        <v>236784267.43211046</v>
      </c>
      <c r="F96" s="78">
        <f t="shared" si="39"/>
        <v>234667405.99472737</v>
      </c>
      <c r="G96" s="78">
        <f t="shared" si="39"/>
        <v>232623736.73623627</v>
      </c>
      <c r="H96" s="78">
        <f t="shared" si="39"/>
        <v>230655912.79862383</v>
      </c>
      <c r="I96" s="78">
        <f t="shared" si="39"/>
        <v>230532259.13921514</v>
      </c>
      <c r="J96" s="78">
        <f t="shared" si="39"/>
        <v>230464871.86467144</v>
      </c>
      <c r="K96" s="78">
        <f t="shared" si="39"/>
        <v>230457565.57308841</v>
      </c>
      <c r="L96" s="78">
        <f t="shared" si="39"/>
        <v>230514319.32504189</v>
      </c>
      <c r="M96" s="78">
        <f t="shared" si="39"/>
        <v>230639285.60344741</v>
      </c>
      <c r="N96" s="78">
        <f t="shared" si="39"/>
        <v>233928442.9819378</v>
      </c>
      <c r="O96" s="78">
        <f t="shared" si="39"/>
        <v>237285058.08489725</v>
      </c>
      <c r="P96" s="78">
        <f t="shared" si="39"/>
        <v>240716057.29835761</v>
      </c>
      <c r="Q96" s="78">
        <f t="shared" si="39"/>
        <v>244228612.91653407</v>
      </c>
      <c r="R96" s="78">
        <f t="shared" si="39"/>
        <v>247830154.15268207</v>
      </c>
      <c r="S96" s="78">
        <f t="shared" si="39"/>
        <v>252345624.91608682</v>
      </c>
      <c r="T96" s="78">
        <f t="shared" si="39"/>
        <v>256883184.56062609</v>
      </c>
      <c r="U96" s="78">
        <f t="shared" si="39"/>
        <v>261442871.3902719</v>
      </c>
      <c r="V96" s="78">
        <f t="shared" si="39"/>
        <v>266024723.40360999</v>
      </c>
      <c r="W96" s="78">
        <f t="shared" si="39"/>
        <v>270628778.29687548</v>
      </c>
      <c r="X96" s="78">
        <f t="shared" ref="X96:AG96" si="48">X84*INDEX(W$17:W$28,MATCH($A96,$A$17:$A$28,0),1)</f>
        <v>274129449.64819461</v>
      </c>
      <c r="Y96" s="78">
        <f t="shared" si="48"/>
        <v>277521069.49343228</v>
      </c>
      <c r="Z96" s="78">
        <f t="shared" si="48"/>
        <v>280898587.27992362</v>
      </c>
      <c r="AA96" s="78">
        <f t="shared" si="48"/>
        <v>284262025.46494055</v>
      </c>
      <c r="AB96" s="78">
        <f t="shared" si="48"/>
        <v>287611406.62817645</v>
      </c>
      <c r="AC96" s="78">
        <f t="shared" si="48"/>
        <v>291129487.72510117</v>
      </c>
      <c r="AD96" s="78">
        <f t="shared" si="48"/>
        <v>294638129.64042747</v>
      </c>
      <c r="AE96" s="78">
        <f t="shared" si="48"/>
        <v>298137342.19042581</v>
      </c>
      <c r="AF96" s="78">
        <f t="shared" si="48"/>
        <v>301627135.22708619</v>
      </c>
      <c r="AG96" s="78">
        <f t="shared" si="48"/>
        <v>305107518.63828403</v>
      </c>
    </row>
    <row r="97" spans="1:33" ht="16" x14ac:dyDescent="0.8">
      <c r="A97" s="3" t="s">
        <v>110</v>
      </c>
      <c r="B97" s="74" t="str">
        <f t="shared" si="38"/>
        <v>Passenger HDV</v>
      </c>
      <c r="C97" s="78">
        <f t="shared" si="41"/>
        <v>449970928.76733804</v>
      </c>
      <c r="D97" s="78">
        <f t="shared" si="39"/>
        <v>451221161.4364062</v>
      </c>
      <c r="E97" s="78">
        <f t="shared" si="39"/>
        <v>452471596.77758712</v>
      </c>
      <c r="F97" s="78">
        <f t="shared" si="39"/>
        <v>453722233.81446415</v>
      </c>
      <c r="G97" s="78">
        <f t="shared" si="39"/>
        <v>454973071.58123738</v>
      </c>
      <c r="H97" s="78">
        <f t="shared" si="39"/>
        <v>456224109.12257355</v>
      </c>
      <c r="I97" s="78">
        <f t="shared" si="39"/>
        <v>459955641.24710494</v>
      </c>
      <c r="J97" s="78">
        <f t="shared" si="39"/>
        <v>463698427.615345</v>
      </c>
      <c r="K97" s="78">
        <f t="shared" si="39"/>
        <v>467452470.0083133</v>
      </c>
      <c r="L97" s="78">
        <f t="shared" si="39"/>
        <v>471217770.19314736</v>
      </c>
      <c r="M97" s="78">
        <f t="shared" si="39"/>
        <v>474994329.92323011</v>
      </c>
      <c r="N97" s="78">
        <f t="shared" si="39"/>
        <v>484708965.67774224</v>
      </c>
      <c r="O97" s="78">
        <f t="shared" si="39"/>
        <v>494475945.92492926</v>
      </c>
      <c r="P97" s="78">
        <f t="shared" si="39"/>
        <v>504295271.18436104</v>
      </c>
      <c r="Q97" s="78">
        <f t="shared" si="39"/>
        <v>514166941.96902937</v>
      </c>
      <c r="R97" s="78">
        <f t="shared" si="39"/>
        <v>524090958.78545582</v>
      </c>
      <c r="S97" s="78">
        <f t="shared" si="39"/>
        <v>533603224.49523973</v>
      </c>
      <c r="T97" s="78">
        <f t="shared" si="39"/>
        <v>543159005.35910404</v>
      </c>
      <c r="U97" s="78">
        <f t="shared" si="39"/>
        <v>552758301.62148702</v>
      </c>
      <c r="V97" s="78">
        <f t="shared" si="39"/>
        <v>562401113.5242219</v>
      </c>
      <c r="W97" s="78">
        <f t="shared" si="39"/>
        <v>572087441.30657041</v>
      </c>
      <c r="X97" s="78">
        <f t="shared" ref="X97:AG97" si="49">X85*INDEX(W$17:W$28,MATCH($A97,$A$17:$A$28,0),1)</f>
        <v>579872303.43938076</v>
      </c>
      <c r="Y97" s="78">
        <f t="shared" si="49"/>
        <v>587436359.40201855</v>
      </c>
      <c r="Z97" s="78">
        <f t="shared" si="49"/>
        <v>594980512.53177953</v>
      </c>
      <c r="AA97" s="78">
        <f t="shared" si="49"/>
        <v>602504763.23181665</v>
      </c>
      <c r="AB97" s="78">
        <f t="shared" si="49"/>
        <v>610009111.90724504</v>
      </c>
      <c r="AC97" s="78">
        <f t="shared" si="49"/>
        <v>617774007.60573053</v>
      </c>
      <c r="AD97" s="78">
        <f t="shared" si="49"/>
        <v>625526461.11334944</v>
      </c>
      <c r="AE97" s="78">
        <f t="shared" si="49"/>
        <v>633266472.43010187</v>
      </c>
      <c r="AF97" s="78">
        <f t="shared" si="49"/>
        <v>640994041.55598617</v>
      </c>
      <c r="AG97" s="78">
        <f t="shared" si="49"/>
        <v>648709168.4910059</v>
      </c>
    </row>
    <row r="98" spans="1:33" ht="16" x14ac:dyDescent="0.8">
      <c r="A98" s="3" t="s">
        <v>111</v>
      </c>
      <c r="B98" s="74" t="str">
        <f t="shared" si="38"/>
        <v>Passenger HDV</v>
      </c>
      <c r="C98" s="78">
        <f t="shared" si="41"/>
        <v>759754210.40225077</v>
      </c>
      <c r="D98" s="78">
        <f t="shared" ref="D98:W98" si="50">D86*INDEX(C$17:C$28,MATCH($A98,$A$17:$A$28,0),1)</f>
        <v>763640193.21258497</v>
      </c>
      <c r="E98" s="78">
        <f t="shared" si="50"/>
        <v>767528265.80183327</v>
      </c>
      <c r="F98" s="78">
        <f t="shared" si="50"/>
        <v>771418400.97115409</v>
      </c>
      <c r="G98" s="78">
        <f t="shared" si="50"/>
        <v>775310572.06106675</v>
      </c>
      <c r="H98" s="78">
        <f t="shared" si="50"/>
        <v>779204752.938151</v>
      </c>
      <c r="I98" s="78">
        <f t="shared" si="50"/>
        <v>787763663.96229541</v>
      </c>
      <c r="J98" s="78">
        <f t="shared" si="50"/>
        <v>796368551.82806671</v>
      </c>
      <c r="K98" s="78">
        <f t="shared" si="50"/>
        <v>805019416.71883261</v>
      </c>
      <c r="L98" s="78">
        <f t="shared" si="50"/>
        <v>813716258.81454146</v>
      </c>
      <c r="M98" s="78">
        <f t="shared" si="50"/>
        <v>822459078.29179513</v>
      </c>
      <c r="N98" s="78">
        <f t="shared" si="50"/>
        <v>840131994.23466039</v>
      </c>
      <c r="O98" s="78">
        <f t="shared" si="50"/>
        <v>857927870.01895428</v>
      </c>
      <c r="P98" s="78">
        <f t="shared" si="50"/>
        <v>875846837.55542457</v>
      </c>
      <c r="Q98" s="78">
        <f t="shared" si="50"/>
        <v>893889026.5437026</v>
      </c>
      <c r="R98" s="78">
        <f t="shared" si="50"/>
        <v>912054564.51843369</v>
      </c>
      <c r="S98" s="78">
        <f t="shared" si="50"/>
        <v>928904394.92029667</v>
      </c>
      <c r="T98" s="78">
        <f t="shared" si="50"/>
        <v>945843350.30810463</v>
      </c>
      <c r="U98" s="78">
        <f t="shared" si="50"/>
        <v>962871588.22787082</v>
      </c>
      <c r="V98" s="78">
        <f t="shared" si="50"/>
        <v>979989264.33707452</v>
      </c>
      <c r="W98" s="78">
        <f t="shared" si="50"/>
        <v>997196532.43286777</v>
      </c>
      <c r="X98" s="78">
        <f t="shared" ref="X98:AG98" si="51">X86*INDEX(W$17:W$28,MATCH($A98,$A$17:$A$28,0),1)</f>
        <v>1010289119.1381128</v>
      </c>
      <c r="Y98" s="78">
        <f t="shared" si="51"/>
        <v>1022982381.8145972</v>
      </c>
      <c r="Z98" s="78">
        <f t="shared" si="51"/>
        <v>1035627303.2694954</v>
      </c>
      <c r="AA98" s="78">
        <f t="shared" si="51"/>
        <v>1048223883.5693848</v>
      </c>
      <c r="AB98" s="78">
        <f t="shared" si="51"/>
        <v>1060772122.7813172</v>
      </c>
      <c r="AC98" s="78">
        <f t="shared" si="51"/>
        <v>1074345289.7022579</v>
      </c>
      <c r="AD98" s="78">
        <f t="shared" si="51"/>
        <v>1087898696.0797536</v>
      </c>
      <c r="AE98" s="78">
        <f t="shared" si="51"/>
        <v>1101432341.9137933</v>
      </c>
      <c r="AF98" s="78">
        <f t="shared" si="51"/>
        <v>1114946227.2043841</v>
      </c>
      <c r="AG98" s="78">
        <f t="shared" si="51"/>
        <v>1128440351.9515312</v>
      </c>
    </row>
    <row r="100" spans="1:33" ht="16" x14ac:dyDescent="0.8">
      <c r="A100" s="2" t="s">
        <v>168</v>
      </c>
      <c r="B100" s="76" t="s">
        <v>166</v>
      </c>
      <c r="C100" s="76">
        <v>2020</v>
      </c>
      <c r="D100" s="76">
        <v>2021</v>
      </c>
      <c r="E100" s="76">
        <v>2022</v>
      </c>
      <c r="F100" s="76">
        <v>2023</v>
      </c>
      <c r="G100" s="76">
        <v>2024</v>
      </c>
      <c r="H100" s="76">
        <v>2025</v>
      </c>
      <c r="I100" s="76">
        <v>2026</v>
      </c>
      <c r="J100" s="76">
        <v>2027</v>
      </c>
      <c r="K100" s="76">
        <v>2028</v>
      </c>
      <c r="L100" s="76">
        <v>2029</v>
      </c>
      <c r="M100" s="76">
        <v>2030</v>
      </c>
      <c r="N100" s="76">
        <v>2031</v>
      </c>
      <c r="O100" s="76">
        <v>2032</v>
      </c>
      <c r="P100" s="76">
        <v>2033</v>
      </c>
      <c r="Q100" s="76">
        <v>2034</v>
      </c>
      <c r="R100" s="76">
        <v>2035</v>
      </c>
      <c r="S100" s="76">
        <v>2036</v>
      </c>
      <c r="T100" s="76">
        <v>2037</v>
      </c>
      <c r="U100" s="76">
        <v>2038</v>
      </c>
      <c r="V100" s="76">
        <v>2039</v>
      </c>
      <c r="W100" s="76">
        <v>2040</v>
      </c>
      <c r="X100" s="76">
        <v>2041</v>
      </c>
      <c r="Y100" s="76">
        <v>2042</v>
      </c>
      <c r="Z100" s="76">
        <v>2043</v>
      </c>
      <c r="AA100" s="76">
        <v>2044</v>
      </c>
      <c r="AB100" s="76">
        <v>2045</v>
      </c>
      <c r="AC100" s="76">
        <v>2046</v>
      </c>
      <c r="AD100" s="76">
        <v>2047</v>
      </c>
      <c r="AE100" s="76">
        <v>2048</v>
      </c>
      <c r="AF100" s="76">
        <v>2049</v>
      </c>
      <c r="AG100" s="76">
        <v>2050</v>
      </c>
    </row>
    <row r="101" spans="1:33" ht="16" x14ac:dyDescent="0.8">
      <c r="A101" s="3" t="s">
        <v>102</v>
      </c>
      <c r="B101" s="74" t="str">
        <f t="shared" ref="B101:B110" si="52">INDEX($AJ$17:$AJ$28,MATCH(A101,$A$17:$A$28,0),1)</f>
        <v>Freight LDV</v>
      </c>
      <c r="C101" s="80">
        <f>C89/SUMIFS(C$89:C$98,$B$89:$B$98,$B101)</f>
        <v>0.49574193449175274</v>
      </c>
      <c r="D101" s="80">
        <f t="shared" ref="D101:AG109" si="53">D89/SUMIFS(D$89:D$98,$B$89:$B$98,$B101)</f>
        <v>0.49659051818582733</v>
      </c>
      <c r="E101" s="80">
        <f t="shared" si="53"/>
        <v>0.49743009971403762</v>
      </c>
      <c r="F101" s="80">
        <f t="shared" si="53"/>
        <v>0.49826057689660092</v>
      </c>
      <c r="G101" s="80">
        <f t="shared" si="53"/>
        <v>0.49908184878108997</v>
      </c>
      <c r="H101" s="80">
        <f t="shared" si="53"/>
        <v>0.49989381567711033</v>
      </c>
      <c r="I101" s="80">
        <f t="shared" si="53"/>
        <v>0.49723014397853865</v>
      </c>
      <c r="J101" s="80">
        <f t="shared" si="53"/>
        <v>0.49458149088564013</v>
      </c>
      <c r="K101" s="80">
        <f t="shared" si="53"/>
        <v>0.49194849917690242</v>
      </c>
      <c r="L101" s="80">
        <f t="shared" si="53"/>
        <v>0.48933180616133887</v>
      </c>
      <c r="M101" s="80">
        <f t="shared" si="53"/>
        <v>0.48673204343463317</v>
      </c>
      <c r="N101" s="80">
        <f t="shared" si="53"/>
        <v>0.4877149730540678</v>
      </c>
      <c r="O101" s="80">
        <f t="shared" si="53"/>
        <v>0.48868178144450086</v>
      </c>
      <c r="P101" s="80">
        <f t="shared" si="53"/>
        <v>0.48963285867244627</v>
      </c>
      <c r="Q101" s="80">
        <f t="shared" si="53"/>
        <v>0.49056858242647194</v>
      </c>
      <c r="R101" s="80">
        <f t="shared" si="53"/>
        <v>0.49148931849932259</v>
      </c>
      <c r="S101" s="80">
        <f t="shared" si="53"/>
        <v>0.49131906616319487</v>
      </c>
      <c r="T101" s="80">
        <f t="shared" si="53"/>
        <v>0.49115076591744655</v>
      </c>
      <c r="U101" s="80">
        <f t="shared" si="53"/>
        <v>0.49098438443055242</v>
      </c>
      <c r="V101" s="80">
        <f t="shared" si="53"/>
        <v>0.49081988912567626</v>
      </c>
      <c r="W101" s="80">
        <f t="shared" si="53"/>
        <v>0.49065724815931477</v>
      </c>
      <c r="X101" s="80">
        <f t="shared" si="53"/>
        <v>0.49173997720829521</v>
      </c>
      <c r="Y101" s="80">
        <f t="shared" si="53"/>
        <v>0.49281946661358439</v>
      </c>
      <c r="Z101" s="80">
        <f t="shared" si="53"/>
        <v>0.49389565857525625</v>
      </c>
      <c r="AA101" s="80">
        <f t="shared" si="53"/>
        <v>0.49496856738746731</v>
      </c>
      <c r="AB101" s="80">
        <f t="shared" si="53"/>
        <v>0.49603820726555087</v>
      </c>
      <c r="AC101" s="80">
        <f t="shared" si="53"/>
        <v>0.49603820811845928</v>
      </c>
      <c r="AD101" s="80">
        <f t="shared" si="53"/>
        <v>0.49603821008954141</v>
      </c>
      <c r="AE101" s="80">
        <f t="shared" si="53"/>
        <v>0.49603821311535928</v>
      </c>
      <c r="AF101" s="80">
        <f t="shared" si="53"/>
        <v>0.49603821713672425</v>
      </c>
      <c r="AG101" s="80">
        <f t="shared" si="53"/>
        <v>0.49603822209834753</v>
      </c>
    </row>
    <row r="102" spans="1:33" ht="16" x14ac:dyDescent="0.8">
      <c r="A102" s="3" t="s">
        <v>103</v>
      </c>
      <c r="B102" s="74" t="str">
        <f t="shared" si="52"/>
        <v>Freight LDV</v>
      </c>
      <c r="C102" s="80">
        <f t="shared" ref="C102:R110" si="54">C90/SUMIFS(C$89:C$98,$B$89:$B$98,$B102)</f>
        <v>0.50425806550824714</v>
      </c>
      <c r="D102" s="80">
        <f t="shared" si="54"/>
        <v>0.50340948181417278</v>
      </c>
      <c r="E102" s="80">
        <f t="shared" si="54"/>
        <v>0.50256990028596238</v>
      </c>
      <c r="F102" s="80">
        <f t="shared" si="54"/>
        <v>0.50173942310339903</v>
      </c>
      <c r="G102" s="80">
        <f t="shared" si="54"/>
        <v>0.50091815121891015</v>
      </c>
      <c r="H102" s="80">
        <f t="shared" si="54"/>
        <v>0.50010618432288967</v>
      </c>
      <c r="I102" s="80">
        <f t="shared" si="54"/>
        <v>0.5027698560214614</v>
      </c>
      <c r="J102" s="80">
        <f t="shared" si="54"/>
        <v>0.50541850911435982</v>
      </c>
      <c r="K102" s="80">
        <f t="shared" si="54"/>
        <v>0.50805150082309758</v>
      </c>
      <c r="L102" s="80">
        <f t="shared" si="54"/>
        <v>0.51066819383866102</v>
      </c>
      <c r="M102" s="80">
        <f t="shared" si="54"/>
        <v>0.51326795656536683</v>
      </c>
      <c r="N102" s="80">
        <f t="shared" si="54"/>
        <v>0.51228502694593225</v>
      </c>
      <c r="O102" s="80">
        <f t="shared" si="54"/>
        <v>0.51131821855549919</v>
      </c>
      <c r="P102" s="80">
        <f t="shared" si="54"/>
        <v>0.51036714132755379</v>
      </c>
      <c r="Q102" s="80">
        <f t="shared" si="54"/>
        <v>0.50943141757352806</v>
      </c>
      <c r="R102" s="80">
        <f t="shared" si="54"/>
        <v>0.50851068150067735</v>
      </c>
      <c r="S102" s="80">
        <f t="shared" si="53"/>
        <v>0.50868093383680513</v>
      </c>
      <c r="T102" s="80">
        <f t="shared" si="53"/>
        <v>0.50884923408255356</v>
      </c>
      <c r="U102" s="80">
        <f t="shared" si="53"/>
        <v>0.50901561556944752</v>
      </c>
      <c r="V102" s="80">
        <f t="shared" si="53"/>
        <v>0.5091801108743238</v>
      </c>
      <c r="W102" s="80">
        <f t="shared" si="53"/>
        <v>0.50934275184068523</v>
      </c>
      <c r="X102" s="80">
        <f t="shared" si="53"/>
        <v>0.5082600227917049</v>
      </c>
      <c r="Y102" s="80">
        <f t="shared" si="53"/>
        <v>0.50718053338641567</v>
      </c>
      <c r="Z102" s="80">
        <f t="shared" si="53"/>
        <v>0.5061043414247437</v>
      </c>
      <c r="AA102" s="80">
        <f t="shared" si="53"/>
        <v>0.50503143261253269</v>
      </c>
      <c r="AB102" s="80">
        <f t="shared" si="53"/>
        <v>0.50396179273444908</v>
      </c>
      <c r="AC102" s="80">
        <f t="shared" si="53"/>
        <v>0.50396179188154078</v>
      </c>
      <c r="AD102" s="80">
        <f t="shared" si="53"/>
        <v>0.50396178991045848</v>
      </c>
      <c r="AE102" s="80">
        <f t="shared" si="53"/>
        <v>0.50396178688464077</v>
      </c>
      <c r="AF102" s="80">
        <f t="shared" si="53"/>
        <v>0.50396178286327586</v>
      </c>
      <c r="AG102" s="80">
        <f t="shared" si="53"/>
        <v>0.50396177790165253</v>
      </c>
    </row>
    <row r="103" spans="1:33" ht="16" x14ac:dyDescent="0.8">
      <c r="A103" s="3" t="s">
        <v>104</v>
      </c>
      <c r="B103" s="74" t="str">
        <f t="shared" si="52"/>
        <v>Freight HDV</v>
      </c>
      <c r="C103" s="80">
        <f t="shared" si="54"/>
        <v>0.1309032665951492</v>
      </c>
      <c r="D103" s="80">
        <f t="shared" si="53"/>
        <v>0.134955642085446</v>
      </c>
      <c r="E103" s="80">
        <f t="shared" si="53"/>
        <v>0.13905249364066702</v>
      </c>
      <c r="F103" s="80">
        <f t="shared" si="53"/>
        <v>0.1431853813208924</v>
      </c>
      <c r="G103" s="80">
        <f t="shared" si="53"/>
        <v>0.14734500291744415</v>
      </c>
      <c r="H103" s="80">
        <f t="shared" si="53"/>
        <v>0.15152118887478963</v>
      </c>
      <c r="I103" s="80">
        <f t="shared" si="53"/>
        <v>0.15523669410022445</v>
      </c>
      <c r="J103" s="80">
        <f t="shared" si="53"/>
        <v>0.15896363905377345</v>
      </c>
      <c r="K103" s="80">
        <f t="shared" si="53"/>
        <v>0.16269806196615355</v>
      </c>
      <c r="L103" s="80">
        <f t="shared" si="53"/>
        <v>0.16643585059489518</v>
      </c>
      <c r="M103" s="80">
        <f t="shared" si="53"/>
        <v>0.17017275247182767</v>
      </c>
      <c r="N103" s="80">
        <f t="shared" si="53"/>
        <v>0.17328369079314188</v>
      </c>
      <c r="O103" s="80">
        <f t="shared" si="53"/>
        <v>0.17634354391431539</v>
      </c>
      <c r="P103" s="80">
        <f t="shared" si="53"/>
        <v>0.1793524367515015</v>
      </c>
      <c r="Q103" s="80">
        <f t="shared" si="53"/>
        <v>0.18231051233930526</v>
      </c>
      <c r="R103" s="80">
        <f t="shared" si="53"/>
        <v>0.18521793139195711</v>
      </c>
      <c r="S103" s="80">
        <f t="shared" si="53"/>
        <v>0.18761357493840458</v>
      </c>
      <c r="T103" s="80">
        <f t="shared" si="53"/>
        <v>0.1899641826761248</v>
      </c>
      <c r="U103" s="80">
        <f t="shared" si="53"/>
        <v>0.19227062695995598</v>
      </c>
      <c r="V103" s="80">
        <f t="shared" si="53"/>
        <v>0.19453376279962023</v>
      </c>
      <c r="W103" s="80">
        <f t="shared" si="53"/>
        <v>0.19675442817726757</v>
      </c>
      <c r="X103" s="80">
        <f t="shared" si="53"/>
        <v>0.1987197332874831</v>
      </c>
      <c r="Y103" s="80">
        <f t="shared" si="53"/>
        <v>0.20059075154972006</v>
      </c>
      <c r="Z103" s="80">
        <f t="shared" si="53"/>
        <v>0.20242141223922069</v>
      </c>
      <c r="AA103" s="80">
        <f t="shared" si="53"/>
        <v>0.20421266531069251</v>
      </c>
      <c r="AB103" s="80">
        <f t="shared" si="53"/>
        <v>0.20596543117526739</v>
      </c>
      <c r="AC103" s="80">
        <f t="shared" si="53"/>
        <v>0.20765371256251813</v>
      </c>
      <c r="AD103" s="80">
        <f t="shared" si="53"/>
        <v>0.20930742886212308</v>
      </c>
      <c r="AE103" s="80">
        <f t="shared" si="53"/>
        <v>0.21092747383197141</v>
      </c>
      <c r="AF103" s="80">
        <f t="shared" si="53"/>
        <v>0.21251471254841123</v>
      </c>
      <c r="AG103" s="80">
        <f t="shared" si="53"/>
        <v>0.21406998251195397</v>
      </c>
    </row>
    <row r="104" spans="1:33" ht="16" x14ac:dyDescent="0.8">
      <c r="A104" s="3" t="s">
        <v>105</v>
      </c>
      <c r="B104" s="74" t="str">
        <f t="shared" si="52"/>
        <v>Freight HDV</v>
      </c>
      <c r="C104" s="80">
        <f t="shared" si="54"/>
        <v>0.19459673561022794</v>
      </c>
      <c r="D104" s="80">
        <f t="shared" si="53"/>
        <v>0.19341675751393353</v>
      </c>
      <c r="E104" s="80">
        <f t="shared" si="53"/>
        <v>0.1923723161231301</v>
      </c>
      <c r="F104" s="80">
        <f t="shared" si="53"/>
        <v>0.19146581397200588</v>
      </c>
      <c r="G104" s="80">
        <f t="shared" si="53"/>
        <v>0.19069892723619858</v>
      </c>
      <c r="H104" s="80">
        <f t="shared" si="53"/>
        <v>0.19007251808908215</v>
      </c>
      <c r="I104" s="80">
        <f t="shared" si="53"/>
        <v>0.18919586873218178</v>
      </c>
      <c r="J104" s="80">
        <f t="shared" si="53"/>
        <v>0.18837584654730169</v>
      </c>
      <c r="K104" s="80">
        <f t="shared" si="53"/>
        <v>0.18761407373919198</v>
      </c>
      <c r="L104" s="80">
        <f t="shared" si="53"/>
        <v>0.1869120728678188</v>
      </c>
      <c r="M104" s="80">
        <f t="shared" si="53"/>
        <v>0.18627125614572565</v>
      </c>
      <c r="N104" s="80">
        <f t="shared" si="53"/>
        <v>0.18539300214499632</v>
      </c>
      <c r="O104" s="80">
        <f t="shared" si="53"/>
        <v>0.18453616440853934</v>
      </c>
      <c r="P104" s="80">
        <f t="shared" si="53"/>
        <v>0.18370058277791981</v>
      </c>
      <c r="Q104" s="80">
        <f t="shared" si="53"/>
        <v>0.18288609116700646</v>
      </c>
      <c r="R104" s="80">
        <f t="shared" si="53"/>
        <v>0.18209251778703087</v>
      </c>
      <c r="S104" s="80">
        <f t="shared" si="53"/>
        <v>0.18157875724429232</v>
      </c>
      <c r="T104" s="80">
        <f t="shared" si="53"/>
        <v>0.1810754108170379</v>
      </c>
      <c r="U104" s="80">
        <f t="shared" si="53"/>
        <v>0.18058225768198491</v>
      </c>
      <c r="V104" s="80">
        <f t="shared" si="53"/>
        <v>0.18009908192613755</v>
      </c>
      <c r="W104" s="80">
        <f t="shared" si="53"/>
        <v>0.17962567243874411</v>
      </c>
      <c r="X104" s="80">
        <f t="shared" si="53"/>
        <v>0.17903374645536954</v>
      </c>
      <c r="Y104" s="80">
        <f t="shared" si="53"/>
        <v>0.17846527873688128</v>
      </c>
      <c r="Z104" s="80">
        <f t="shared" si="53"/>
        <v>0.17790759531621123</v>
      </c>
      <c r="AA104" s="80">
        <f t="shared" si="53"/>
        <v>0.17736044572655935</v>
      </c>
      <c r="AB104" s="80">
        <f t="shared" si="53"/>
        <v>0.17682358728766165</v>
      </c>
      <c r="AC104" s="80">
        <f t="shared" si="53"/>
        <v>0.17631519873761545</v>
      </c>
      <c r="AD104" s="80">
        <f t="shared" si="53"/>
        <v>0.1758162547231307</v>
      </c>
      <c r="AE104" s="80">
        <f t="shared" si="53"/>
        <v>0.17532652111359212</v>
      </c>
      <c r="AF104" s="80">
        <f t="shared" si="53"/>
        <v>0.17484577110888702</v>
      </c>
      <c r="AG104" s="80">
        <f t="shared" si="53"/>
        <v>0.17437378496150294</v>
      </c>
    </row>
    <row r="105" spans="1:33" ht="16" x14ac:dyDescent="0.8">
      <c r="A105" s="3" t="s">
        <v>106</v>
      </c>
      <c r="B105" s="74" t="str">
        <f t="shared" si="52"/>
        <v>Freight HDV</v>
      </c>
      <c r="C105" s="80">
        <f t="shared" si="54"/>
        <v>0.67014767001315834</v>
      </c>
      <c r="D105" s="80">
        <f t="shared" si="53"/>
        <v>0.66710913184500642</v>
      </c>
      <c r="E105" s="80">
        <f t="shared" si="53"/>
        <v>0.66388201907699707</v>
      </c>
      <c r="F105" s="80">
        <f t="shared" si="53"/>
        <v>0.6604720932588144</v>
      </c>
      <c r="G105" s="80">
        <f t="shared" si="53"/>
        <v>0.65688672492395583</v>
      </c>
      <c r="H105" s="80">
        <f t="shared" si="53"/>
        <v>0.65313499066802794</v>
      </c>
      <c r="I105" s="80">
        <f t="shared" si="53"/>
        <v>0.65009018362249116</v>
      </c>
      <c r="J105" s="80">
        <f t="shared" si="53"/>
        <v>0.64697312067235824</v>
      </c>
      <c r="K105" s="80">
        <f t="shared" si="53"/>
        <v>0.64378626332591482</v>
      </c>
      <c r="L105" s="80">
        <f t="shared" si="53"/>
        <v>0.64053233673234622</v>
      </c>
      <c r="M105" s="80">
        <f t="shared" si="53"/>
        <v>0.63721433015103235</v>
      </c>
      <c r="N105" s="80">
        <f t="shared" si="53"/>
        <v>0.63477808358772436</v>
      </c>
      <c r="O105" s="80">
        <f t="shared" si="53"/>
        <v>0.63237043209709598</v>
      </c>
      <c r="P105" s="80">
        <f t="shared" si="53"/>
        <v>0.62999150647584168</v>
      </c>
      <c r="Q105" s="80">
        <f t="shared" si="53"/>
        <v>0.62764142405628387</v>
      </c>
      <c r="R105" s="80">
        <f t="shared" si="53"/>
        <v>0.6253202888379662</v>
      </c>
      <c r="S105" s="80">
        <f t="shared" si="53"/>
        <v>0.62330214112608673</v>
      </c>
      <c r="T105" s="80">
        <f t="shared" si="53"/>
        <v>0.62131949076911763</v>
      </c>
      <c r="U105" s="80">
        <f t="shared" si="53"/>
        <v>0.61937168562683609</v>
      </c>
      <c r="V105" s="80">
        <f t="shared" si="53"/>
        <v>0.61745808577400663</v>
      </c>
      <c r="W105" s="80">
        <f t="shared" si="53"/>
        <v>0.61557806329810327</v>
      </c>
      <c r="X105" s="80">
        <f t="shared" si="53"/>
        <v>0.61411083095794616</v>
      </c>
      <c r="Y105" s="80">
        <f t="shared" si="53"/>
        <v>0.61271784699500542</v>
      </c>
      <c r="Z105" s="80">
        <f t="shared" si="53"/>
        <v>0.61135573780403485</v>
      </c>
      <c r="AA105" s="80">
        <f t="shared" si="53"/>
        <v>0.61002377033851218</v>
      </c>
      <c r="AB105" s="80">
        <f t="shared" si="53"/>
        <v>0.60872123436168801</v>
      </c>
      <c r="AC105" s="80">
        <f t="shared" si="53"/>
        <v>0.60747505005534963</v>
      </c>
      <c r="AD105" s="80">
        <f t="shared" si="53"/>
        <v>0.60625544820094945</v>
      </c>
      <c r="AE105" s="80">
        <f t="shared" si="53"/>
        <v>0.60506173053366608</v>
      </c>
      <c r="AF105" s="80">
        <f t="shared" si="53"/>
        <v>0.60389322139047386</v>
      </c>
      <c r="AG105" s="80">
        <f t="shared" si="53"/>
        <v>0.60274926683392283</v>
      </c>
    </row>
    <row r="106" spans="1:33" ht="16" x14ac:dyDescent="0.8">
      <c r="A106" s="3" t="s">
        <v>107</v>
      </c>
      <c r="B106" s="74" t="str">
        <f t="shared" si="52"/>
        <v>Freight HDV</v>
      </c>
      <c r="C106" s="80">
        <f t="shared" si="54"/>
        <v>4.3523277814644466E-3</v>
      </c>
      <c r="D106" s="80">
        <f t="shared" si="53"/>
        <v>4.5184685556140447E-3</v>
      </c>
      <c r="E106" s="80">
        <f t="shared" si="53"/>
        <v>4.6931711592057609E-3</v>
      </c>
      <c r="F106" s="80">
        <f t="shared" si="53"/>
        <v>4.8767114482873384E-3</v>
      </c>
      <c r="G106" s="80">
        <f t="shared" si="53"/>
        <v>5.0693449224016108E-3</v>
      </c>
      <c r="H106" s="80">
        <f t="shared" si="53"/>
        <v>5.2713023681002381E-3</v>
      </c>
      <c r="I106" s="80">
        <f t="shared" si="53"/>
        <v>5.477253545102612E-3</v>
      </c>
      <c r="J106" s="80">
        <f t="shared" si="53"/>
        <v>5.6873937265665697E-3</v>
      </c>
      <c r="K106" s="80">
        <f t="shared" si="53"/>
        <v>5.9016009687397038E-3</v>
      </c>
      <c r="L106" s="80">
        <f t="shared" si="53"/>
        <v>6.1197398049398196E-3</v>
      </c>
      <c r="M106" s="80">
        <f t="shared" si="53"/>
        <v>6.3416612314141684E-3</v>
      </c>
      <c r="N106" s="80">
        <f t="shared" si="53"/>
        <v>6.5452234741375584E-3</v>
      </c>
      <c r="O106" s="80">
        <f t="shared" si="53"/>
        <v>6.7498595800491818E-3</v>
      </c>
      <c r="P106" s="80">
        <f t="shared" si="53"/>
        <v>6.9554739947369354E-3</v>
      </c>
      <c r="Q106" s="80">
        <f t="shared" si="53"/>
        <v>7.161972437404204E-3</v>
      </c>
      <c r="R106" s="80">
        <f t="shared" si="53"/>
        <v>7.3692619830457049E-3</v>
      </c>
      <c r="S106" s="80">
        <f t="shared" si="53"/>
        <v>7.5055266912164376E-3</v>
      </c>
      <c r="T106" s="80">
        <f t="shared" si="53"/>
        <v>7.6409157377195884E-3</v>
      </c>
      <c r="U106" s="80">
        <f t="shared" si="53"/>
        <v>7.7754297312231883E-3</v>
      </c>
      <c r="V106" s="80">
        <f t="shared" si="53"/>
        <v>7.9090695002355365E-3</v>
      </c>
      <c r="W106" s="80">
        <f t="shared" si="53"/>
        <v>8.0418360858851966E-3</v>
      </c>
      <c r="X106" s="80">
        <f t="shared" si="53"/>
        <v>8.1356892992012105E-3</v>
      </c>
      <c r="Y106" s="80">
        <f t="shared" si="53"/>
        <v>8.2261227183933142E-3</v>
      </c>
      <c r="Z106" s="80">
        <f t="shared" si="53"/>
        <v>8.3152546405331797E-3</v>
      </c>
      <c r="AA106" s="80">
        <f t="shared" si="53"/>
        <v>8.403118624235829E-3</v>
      </c>
      <c r="AB106" s="80">
        <f t="shared" si="53"/>
        <v>8.4897471753829605E-3</v>
      </c>
      <c r="AC106" s="80">
        <f t="shared" si="53"/>
        <v>8.5560386445168342E-3</v>
      </c>
      <c r="AD106" s="80">
        <f t="shared" si="53"/>
        <v>8.620868213796826E-3</v>
      </c>
      <c r="AE106" s="80">
        <f t="shared" si="53"/>
        <v>8.6842745207704741E-3</v>
      </c>
      <c r="AF106" s="80">
        <f t="shared" si="53"/>
        <v>8.7462949522279284E-3</v>
      </c>
      <c r="AG106" s="80">
        <f t="shared" si="53"/>
        <v>8.806965692620258E-3</v>
      </c>
    </row>
    <row r="107" spans="1:33" ht="16" x14ac:dyDescent="0.8">
      <c r="A107" s="3" t="s">
        <v>108</v>
      </c>
      <c r="B107" s="74" t="str">
        <f t="shared" si="52"/>
        <v>Passenger HDV</v>
      </c>
      <c r="C107" s="80">
        <f t="shared" si="54"/>
        <v>0.1172221722296678</v>
      </c>
      <c r="D107" s="80">
        <f t="shared" si="53"/>
        <v>0.11670916544200399</v>
      </c>
      <c r="E107" s="80">
        <f t="shared" si="53"/>
        <v>0.11619261710031827</v>
      </c>
      <c r="F107" s="80">
        <f t="shared" si="53"/>
        <v>0.1156724415145344</v>
      </c>
      <c r="G107" s="80">
        <f t="shared" si="53"/>
        <v>0.1151485494141315</v>
      </c>
      <c r="H107" s="80">
        <f t="shared" si="53"/>
        <v>0.11462084777432932</v>
      </c>
      <c r="I107" s="80">
        <f t="shared" si="53"/>
        <v>0.11438758648828035</v>
      </c>
      <c r="J107" s="80">
        <f t="shared" si="53"/>
        <v>0.11415004035384638</v>
      </c>
      <c r="K107" s="80">
        <f t="shared" si="53"/>
        <v>0.11390810219872111</v>
      </c>
      <c r="L107" s="80">
        <f t="shared" si="53"/>
        <v>0.11366166123811815</v>
      </c>
      <c r="M107" s="80">
        <f t="shared" si="53"/>
        <v>0.11341060292159456</v>
      </c>
      <c r="N107" s="80">
        <f t="shared" si="53"/>
        <v>0.11329193949635244</v>
      </c>
      <c r="O107" s="80">
        <f t="shared" si="53"/>
        <v>0.1131680761829839</v>
      </c>
      <c r="P107" s="80">
        <f t="shared" si="53"/>
        <v>0.11303892734249787</v>
      </c>
      <c r="Q107" s="80">
        <f t="shared" si="53"/>
        <v>0.1129044052879369</v>
      </c>
      <c r="R107" s="80">
        <f t="shared" si="53"/>
        <v>0.11276442022655996</v>
      </c>
      <c r="S107" s="80">
        <f t="shared" si="53"/>
        <v>0.11302525550546788</v>
      </c>
      <c r="T107" s="80">
        <f t="shared" si="53"/>
        <v>0.11328423736971623</v>
      </c>
      <c r="U107" s="80">
        <f t="shared" si="53"/>
        <v>0.11354138187902169</v>
      </c>
      <c r="V107" s="80">
        <f t="shared" si="53"/>
        <v>0.11379670496308826</v>
      </c>
      <c r="W107" s="80">
        <f t="shared" si="53"/>
        <v>0.11405022242140281</v>
      </c>
      <c r="X107" s="80">
        <f t="shared" si="53"/>
        <v>0.11432606300813342</v>
      </c>
      <c r="Y107" s="80">
        <f t="shared" si="53"/>
        <v>0.11460264549028433</v>
      </c>
      <c r="Z107" s="80">
        <f t="shared" si="53"/>
        <v>0.11487998213314272</v>
      </c>
      <c r="AA107" s="80">
        <f t="shared" si="53"/>
        <v>0.11515807489048964</v>
      </c>
      <c r="AB107" s="80">
        <f t="shared" si="53"/>
        <v>0.11543692572759404</v>
      </c>
      <c r="AC107" s="80">
        <f t="shared" si="53"/>
        <v>0.11537051798215114</v>
      </c>
      <c r="AD107" s="80">
        <f t="shared" si="53"/>
        <v>0.11530399412932053</v>
      </c>
      <c r="AE107" s="80">
        <f t="shared" si="53"/>
        <v>0.11523735387886173</v>
      </c>
      <c r="AF107" s="80">
        <f t="shared" si="53"/>
        <v>0.11517059694069202</v>
      </c>
      <c r="AG107" s="80">
        <f t="shared" si="53"/>
        <v>0.11510372302483096</v>
      </c>
    </row>
    <row r="108" spans="1:33" ht="16" x14ac:dyDescent="0.8">
      <c r="A108" s="3" t="s">
        <v>109</v>
      </c>
      <c r="B108" s="74" t="str">
        <f t="shared" si="52"/>
        <v>Passenger HDV</v>
      </c>
      <c r="C108" s="80">
        <f t="shared" si="54"/>
        <v>0.14676587236243849</v>
      </c>
      <c r="D108" s="80">
        <f t="shared" si="53"/>
        <v>0.1451896955071463</v>
      </c>
      <c r="E108" s="80">
        <f t="shared" si="53"/>
        <v>0.14365318745567021</v>
      </c>
      <c r="F108" s="80">
        <f t="shared" si="53"/>
        <v>0.14215763196406472</v>
      </c>
      <c r="G108" s="80">
        <f t="shared" si="53"/>
        <v>0.14070436286848287</v>
      </c>
      <c r="H108" s="80">
        <f t="shared" si="53"/>
        <v>0.13929476659975262</v>
      </c>
      <c r="I108" s="80">
        <f t="shared" si="53"/>
        <v>0.13811061346554546</v>
      </c>
      <c r="J108" s="80">
        <f t="shared" si="53"/>
        <v>0.13696942957777639</v>
      </c>
      <c r="K108" s="80">
        <f t="shared" si="53"/>
        <v>0.13587236668280223</v>
      </c>
      <c r="L108" s="80">
        <f t="shared" si="53"/>
        <v>0.13482061534869588</v>
      </c>
      <c r="M108" s="80">
        <f t="shared" si="53"/>
        <v>0.13381540661305311</v>
      </c>
      <c r="N108" s="80">
        <f t="shared" si="53"/>
        <v>0.13307050779159563</v>
      </c>
      <c r="O108" s="80">
        <f t="shared" si="53"/>
        <v>0.13237304984160822</v>
      </c>
      <c r="P108" s="80">
        <f t="shared" si="53"/>
        <v>0.131723908273299</v>
      </c>
      <c r="Q108" s="80">
        <f t="shared" si="53"/>
        <v>0.13112397770696618</v>
      </c>
      <c r="R108" s="80">
        <f t="shared" si="53"/>
        <v>0.13057417244713532</v>
      </c>
      <c r="S108" s="80">
        <f t="shared" si="53"/>
        <v>0.1305209042955138</v>
      </c>
      <c r="T108" s="80">
        <f t="shared" si="53"/>
        <v>0.13046809980157481</v>
      </c>
      <c r="U108" s="80">
        <f t="shared" si="53"/>
        <v>0.13041575536194355</v>
      </c>
      <c r="V108" s="80">
        <f t="shared" si="53"/>
        <v>0.13036386738678754</v>
      </c>
      <c r="W108" s="80">
        <f t="shared" si="53"/>
        <v>0.13031243230045952</v>
      </c>
      <c r="X108" s="80">
        <f t="shared" si="53"/>
        <v>0.13023145289848229</v>
      </c>
      <c r="Y108" s="80">
        <f t="shared" si="53"/>
        <v>0.13015055848511334</v>
      </c>
      <c r="Z108" s="80">
        <f t="shared" si="53"/>
        <v>0.13006964674102608</v>
      </c>
      <c r="AA108" s="80">
        <f t="shared" si="53"/>
        <v>0.12998871852614866</v>
      </c>
      <c r="AB108" s="80">
        <f t="shared" si="53"/>
        <v>0.12990777471047696</v>
      </c>
      <c r="AC108" s="80">
        <f t="shared" si="53"/>
        <v>0.12985850785335587</v>
      </c>
      <c r="AD108" s="80">
        <f t="shared" si="53"/>
        <v>0.1298092436524402</v>
      </c>
      <c r="AE108" s="80">
        <f t="shared" si="53"/>
        <v>0.12975998234586247</v>
      </c>
      <c r="AF108" s="80">
        <f t="shared" si="53"/>
        <v>0.12971072417470064</v>
      </c>
      <c r="AG108" s="80">
        <f t="shared" si="53"/>
        <v>0.12966146938292097</v>
      </c>
    </row>
    <row r="109" spans="1:33" ht="16" x14ac:dyDescent="0.8">
      <c r="A109" s="3" t="s">
        <v>110</v>
      </c>
      <c r="B109" s="74" t="str">
        <f t="shared" si="52"/>
        <v>Passenger HDV</v>
      </c>
      <c r="C109" s="80">
        <f t="shared" si="54"/>
        <v>0.27376795970867768</v>
      </c>
      <c r="D109" s="80">
        <f t="shared" si="53"/>
        <v>0.27414391934154964</v>
      </c>
      <c r="E109" s="80">
        <f t="shared" si="53"/>
        <v>0.27450720360419772</v>
      </c>
      <c r="F109" s="80">
        <f t="shared" si="53"/>
        <v>0.27485742238084454</v>
      </c>
      <c r="G109" s="80">
        <f t="shared" si="53"/>
        <v>0.27519417002462176</v>
      </c>
      <c r="H109" s="80">
        <f t="shared" si="53"/>
        <v>0.27551702458584493</v>
      </c>
      <c r="I109" s="80">
        <f t="shared" si="53"/>
        <v>0.275556904776673</v>
      </c>
      <c r="J109" s="80">
        <f t="shared" si="53"/>
        <v>0.27558433791975057</v>
      </c>
      <c r="K109" s="80">
        <f t="shared" si="53"/>
        <v>0.27559899478157107</v>
      </c>
      <c r="L109" s="80">
        <f t="shared" si="53"/>
        <v>0.27560053504137749</v>
      </c>
      <c r="M109" s="80">
        <f t="shared" si="53"/>
        <v>0.27558860682068326</v>
      </c>
      <c r="N109" s="80">
        <f t="shared" si="53"/>
        <v>0.27572734367687168</v>
      </c>
      <c r="O109" s="80">
        <f t="shared" si="53"/>
        <v>0.27585086715396151</v>
      </c>
      <c r="P109" s="80">
        <f t="shared" si="53"/>
        <v>0.27595892351216428</v>
      </c>
      <c r="Q109" s="80">
        <f t="shared" si="53"/>
        <v>0.2760512530914912</v>
      </c>
      <c r="R109" s="80">
        <f t="shared" si="53"/>
        <v>0.27612759014093524</v>
      </c>
      <c r="S109" s="80">
        <f t="shared" si="53"/>
        <v>0.27599596949335042</v>
      </c>
      <c r="T109" s="80">
        <f t="shared" si="53"/>
        <v>0.27586439120382017</v>
      </c>
      <c r="U109" s="80">
        <f t="shared" si="53"/>
        <v>0.27573286299682837</v>
      </c>
      <c r="V109" s="80">
        <f t="shared" si="53"/>
        <v>0.27560139239546483</v>
      </c>
      <c r="W109" s="80">
        <f t="shared" si="53"/>
        <v>0.27546998672633882</v>
      </c>
      <c r="X109" s="80">
        <f t="shared" si="53"/>
        <v>0.27548157510773125</v>
      </c>
      <c r="Y109" s="80">
        <f t="shared" si="53"/>
        <v>0.27549320990363158</v>
      </c>
      <c r="Z109" s="80">
        <f t="shared" si="53"/>
        <v>0.27550478566730174</v>
      </c>
      <c r="AA109" s="80">
        <f t="shared" si="53"/>
        <v>0.27551630208187583</v>
      </c>
      <c r="AB109" s="80">
        <f t="shared" si="53"/>
        <v>0.27552775882575559</v>
      </c>
      <c r="AC109" s="80">
        <f t="shared" si="53"/>
        <v>0.27555852017992283</v>
      </c>
      <c r="AD109" s="80">
        <f t="shared" si="53"/>
        <v>0.27558930305729873</v>
      </c>
      <c r="AE109" s="80">
        <f t="shared" si="53"/>
        <v>0.27562010742777548</v>
      </c>
      <c r="AF109" s="80">
        <f t="shared" si="53"/>
        <v>0.27565093326002849</v>
      </c>
      <c r="AG109" s="80">
        <f t="shared" si="53"/>
        <v>0.27568178052155834</v>
      </c>
    </row>
    <row r="110" spans="1:33" ht="16" x14ac:dyDescent="0.8">
      <c r="A110" s="3" t="s">
        <v>111</v>
      </c>
      <c r="B110" s="74" t="str">
        <f t="shared" si="52"/>
        <v>Passenger HDV</v>
      </c>
      <c r="C110" s="80">
        <f t="shared" si="54"/>
        <v>0.46224399569921598</v>
      </c>
      <c r="D110" s="80">
        <f t="shared" ref="D110:AG110" si="55">D98/SUMIFS(D$89:D$98,$B$89:$B$98,$B110)</f>
        <v>0.46395721970930009</v>
      </c>
      <c r="E110" s="80">
        <f t="shared" si="55"/>
        <v>0.46564699183981384</v>
      </c>
      <c r="F110" s="80">
        <f t="shared" si="55"/>
        <v>0.46731250414055625</v>
      </c>
      <c r="G110" s="80">
        <f t="shared" si="55"/>
        <v>0.46895291769276387</v>
      </c>
      <c r="H110" s="80">
        <f t="shared" si="55"/>
        <v>0.47056736104007313</v>
      </c>
      <c r="I110" s="80">
        <f t="shared" si="55"/>
        <v>0.47194489526950129</v>
      </c>
      <c r="J110" s="80">
        <f t="shared" si="55"/>
        <v>0.47329619214862662</v>
      </c>
      <c r="K110" s="80">
        <f t="shared" si="55"/>
        <v>0.47462053633690554</v>
      </c>
      <c r="L110" s="80">
        <f t="shared" si="55"/>
        <v>0.47591718837180841</v>
      </c>
      <c r="M110" s="80">
        <f t="shared" si="55"/>
        <v>0.47718538364466906</v>
      </c>
      <c r="N110" s="80">
        <f t="shared" si="55"/>
        <v>0.47791020903518028</v>
      </c>
      <c r="O110" s="80">
        <f t="shared" si="55"/>
        <v>0.47860800682144639</v>
      </c>
      <c r="P110" s="80">
        <f t="shared" si="55"/>
        <v>0.47927824087203891</v>
      </c>
      <c r="Q110" s="80">
        <f t="shared" si="55"/>
        <v>0.47992036391360571</v>
      </c>
      <c r="R110" s="80">
        <f t="shared" si="55"/>
        <v>0.48053381718536947</v>
      </c>
      <c r="S110" s="80">
        <f t="shared" si="55"/>
        <v>0.48045787070566787</v>
      </c>
      <c r="T110" s="80">
        <f t="shared" si="55"/>
        <v>0.48038327162488881</v>
      </c>
      <c r="U110" s="80">
        <f t="shared" si="55"/>
        <v>0.4803099997622064</v>
      </c>
      <c r="V110" s="80">
        <f t="shared" si="55"/>
        <v>0.48023803525465941</v>
      </c>
      <c r="W110" s="80">
        <f t="shared" si="55"/>
        <v>0.48016735855179882</v>
      </c>
      <c r="X110" s="80">
        <f t="shared" si="55"/>
        <v>0.47996090898565308</v>
      </c>
      <c r="Y110" s="80">
        <f t="shared" si="55"/>
        <v>0.4797535861209708</v>
      </c>
      <c r="Z110" s="80">
        <f t="shared" si="55"/>
        <v>0.47954558545852932</v>
      </c>
      <c r="AA110" s="80">
        <f t="shared" si="55"/>
        <v>0.47933690450148592</v>
      </c>
      <c r="AB110" s="80">
        <f t="shared" si="55"/>
        <v>0.47912754073617347</v>
      </c>
      <c r="AC110" s="80">
        <f t="shared" si="55"/>
        <v>0.47921245398457013</v>
      </c>
      <c r="AD110" s="80">
        <f t="shared" si="55"/>
        <v>0.47929745916094069</v>
      </c>
      <c r="AE110" s="80">
        <f t="shared" si="55"/>
        <v>0.47938255634750027</v>
      </c>
      <c r="AF110" s="80">
        <f t="shared" si="55"/>
        <v>0.47946774562457878</v>
      </c>
      <c r="AG110" s="80">
        <f t="shared" si="55"/>
        <v>0.47955302707068981</v>
      </c>
    </row>
    <row r="111" spans="1:33" ht="16" x14ac:dyDescent="0.8">
      <c r="A111" s="3"/>
      <c r="B111" s="76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</row>
    <row r="112" spans="1:33" ht="16" x14ac:dyDescent="0.8">
      <c r="A112" s="3" t="s">
        <v>215</v>
      </c>
      <c r="B112" s="74"/>
      <c r="C112" s="80">
        <f>D112</f>
        <v>0.51120563293689536</v>
      </c>
      <c r="D112" s="116">
        <f>'AEO by Class'!B13</f>
        <v>0.51120563293689536</v>
      </c>
      <c r="E112" s="116">
        <f>'AEO by Class'!C13</f>
        <v>0.52295652314279961</v>
      </c>
      <c r="F112" s="116">
        <f>'AEO by Class'!D13</f>
        <v>0.53466734525294113</v>
      </c>
      <c r="G112" s="116">
        <f>'AEO by Class'!E13</f>
        <v>0.54549866544358838</v>
      </c>
      <c r="H112" s="116">
        <f>'AEO by Class'!F13</f>
        <v>0.55536196336115251</v>
      </c>
      <c r="I112" s="116">
        <f>'AEO by Class'!G13</f>
        <v>0.56425367596786191</v>
      </c>
      <c r="J112" s="116">
        <f>'AEO by Class'!H13</f>
        <v>0.57199478518048841</v>
      </c>
      <c r="K112" s="116">
        <f>'AEO by Class'!I13</f>
        <v>0.57849775415797156</v>
      </c>
      <c r="L112" s="116">
        <f>'AEO by Class'!J13</f>
        <v>0.58373624031531135</v>
      </c>
      <c r="M112" s="116">
        <f>'AEO by Class'!K13</f>
        <v>0.58807301057758987</v>
      </c>
      <c r="N112" s="116">
        <f>'AEO by Class'!L13</f>
        <v>0.59182210327074847</v>
      </c>
      <c r="O112" s="116">
        <f>'AEO by Class'!M13</f>
        <v>0.59506635854457601</v>
      </c>
      <c r="P112" s="116">
        <f>'AEO by Class'!N13</f>
        <v>0.59790706455410969</v>
      </c>
      <c r="Q112" s="116">
        <f>'AEO by Class'!O13</f>
        <v>0.60029705702759684</v>
      </c>
      <c r="R112" s="116">
        <f>'AEO by Class'!P13</f>
        <v>0.60240922311317824</v>
      </c>
      <c r="S112" s="116">
        <f>'AEO by Class'!Q13</f>
        <v>0.60435903924137735</v>
      </c>
      <c r="T112" s="116">
        <f>'AEO by Class'!R13</f>
        <v>0.60618814594479997</v>
      </c>
      <c r="U112" s="116">
        <f>'AEO by Class'!S13</f>
        <v>0.60789379890442485</v>
      </c>
      <c r="V112" s="116">
        <f>'AEO by Class'!T13</f>
        <v>0.60948461313621516</v>
      </c>
      <c r="W112" s="116">
        <f>'AEO by Class'!U13</f>
        <v>0.61096876892399232</v>
      </c>
      <c r="X112" s="116">
        <f>'AEO by Class'!V13</f>
        <v>0.61223255773241791</v>
      </c>
      <c r="Y112" s="116">
        <f>'AEO by Class'!W13</f>
        <v>0.61340751636931978</v>
      </c>
      <c r="Z112" s="116">
        <f>'AEO by Class'!X13</f>
        <v>0.61452246990332959</v>
      </c>
      <c r="AA112" s="116">
        <f>'AEO by Class'!Y13</f>
        <v>0.61560609532425037</v>
      </c>
      <c r="AB112" s="116">
        <f>'AEO by Class'!Z13</f>
        <v>0.61660634103711232</v>
      </c>
      <c r="AC112" s="116">
        <f>'AEO by Class'!AA13</f>
        <v>0.61755135764093361</v>
      </c>
      <c r="AD112" s="116">
        <f>'AEO by Class'!AB13</f>
        <v>0.61844231623092139</v>
      </c>
      <c r="AE112" s="116">
        <f>'AEO by Class'!AC13</f>
        <v>0.61929556621808968</v>
      </c>
      <c r="AF112" s="116">
        <f>'AEO by Class'!AD13</f>
        <v>0.62005763272185033</v>
      </c>
      <c r="AG112" s="116">
        <f>'AEO by Class'!AE13</f>
        <v>0.62065110897971687</v>
      </c>
    </row>
    <row r="113" spans="1:33" ht="16" x14ac:dyDescent="0.8">
      <c r="A113" s="3" t="s">
        <v>216</v>
      </c>
      <c r="B113" s="74"/>
      <c r="C113" s="80">
        <f>D113</f>
        <v>0.48879436706310464</v>
      </c>
      <c r="D113" s="80">
        <f>1-D112</f>
        <v>0.48879436706310464</v>
      </c>
      <c r="E113" s="80">
        <f t="shared" ref="E113:AG113" si="56">1-E112</f>
        <v>0.47704347685720039</v>
      </c>
      <c r="F113" s="80">
        <f t="shared" si="56"/>
        <v>0.46533265474705887</v>
      </c>
      <c r="G113" s="80">
        <f t="shared" si="56"/>
        <v>0.45450133455641162</v>
      </c>
      <c r="H113" s="80">
        <f t="shared" si="56"/>
        <v>0.44463803663884749</v>
      </c>
      <c r="I113" s="80">
        <f t="shared" si="56"/>
        <v>0.43574632403213809</v>
      </c>
      <c r="J113" s="80">
        <f t="shared" si="56"/>
        <v>0.42800521481951159</v>
      </c>
      <c r="K113" s="80">
        <f t="shared" si="56"/>
        <v>0.42150224584202844</v>
      </c>
      <c r="L113" s="80">
        <f t="shared" si="56"/>
        <v>0.41626375968468865</v>
      </c>
      <c r="M113" s="80">
        <f t="shared" si="56"/>
        <v>0.41192698942241013</v>
      </c>
      <c r="N113" s="80">
        <f t="shared" si="56"/>
        <v>0.40817789672925153</v>
      </c>
      <c r="O113" s="80">
        <f t="shared" si="56"/>
        <v>0.40493364145542399</v>
      </c>
      <c r="P113" s="80">
        <f t="shared" si="56"/>
        <v>0.40209293544589031</v>
      </c>
      <c r="Q113" s="80">
        <f t="shared" si="56"/>
        <v>0.39970294297240316</v>
      </c>
      <c r="R113" s="80">
        <f t="shared" si="56"/>
        <v>0.39759077688682176</v>
      </c>
      <c r="S113" s="80">
        <f t="shared" si="56"/>
        <v>0.39564096075862265</v>
      </c>
      <c r="T113" s="80">
        <f t="shared" si="56"/>
        <v>0.39381185405520003</v>
      </c>
      <c r="U113" s="80">
        <f t="shared" si="56"/>
        <v>0.39210620109557515</v>
      </c>
      <c r="V113" s="80">
        <f t="shared" si="56"/>
        <v>0.39051538686378484</v>
      </c>
      <c r="W113" s="80">
        <f t="shared" si="56"/>
        <v>0.38903123107600768</v>
      </c>
      <c r="X113" s="80">
        <f t="shared" si="56"/>
        <v>0.38776744226758209</v>
      </c>
      <c r="Y113" s="80">
        <f t="shared" si="56"/>
        <v>0.38659248363068022</v>
      </c>
      <c r="Z113" s="80">
        <f t="shared" si="56"/>
        <v>0.38547753009667041</v>
      </c>
      <c r="AA113" s="80">
        <f t="shared" si="56"/>
        <v>0.38439390467574963</v>
      </c>
      <c r="AB113" s="80">
        <f t="shared" si="56"/>
        <v>0.38339365896288768</v>
      </c>
      <c r="AC113" s="80">
        <f t="shared" si="56"/>
        <v>0.38244864235906639</v>
      </c>
      <c r="AD113" s="80">
        <f t="shared" si="56"/>
        <v>0.38155768376907861</v>
      </c>
      <c r="AE113" s="80">
        <f t="shared" si="56"/>
        <v>0.38070443378191032</v>
      </c>
      <c r="AF113" s="80">
        <f t="shared" si="56"/>
        <v>0.37994236727814967</v>
      </c>
      <c r="AG113" s="80">
        <f t="shared" si="56"/>
        <v>0.37934889102028313</v>
      </c>
    </row>
    <row r="114" spans="1:33" ht="16" x14ac:dyDescent="0.8">
      <c r="A114" s="3"/>
      <c r="B114" s="76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  <c r="AA114" s="78"/>
      <c r="AB114" s="78"/>
      <c r="AC114" s="78"/>
      <c r="AD114" s="78"/>
      <c r="AE114" s="78"/>
      <c r="AF114" s="78"/>
      <c r="AG114" s="78"/>
    </row>
    <row r="115" spans="1:33" ht="16" x14ac:dyDescent="0.8">
      <c r="A115" s="3"/>
      <c r="B115" s="76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</row>
    <row r="116" spans="1:33" ht="16" x14ac:dyDescent="0.8">
      <c r="A116" s="2" t="s">
        <v>169</v>
      </c>
      <c r="B116" s="76" t="s">
        <v>166</v>
      </c>
      <c r="C116" s="76">
        <v>2020</v>
      </c>
      <c r="D116" s="76">
        <v>2021</v>
      </c>
      <c r="E116" s="76">
        <v>2022</v>
      </c>
      <c r="F116" s="76">
        <v>2023</v>
      </c>
      <c r="G116" s="76">
        <v>2024</v>
      </c>
      <c r="H116" s="76">
        <v>2025</v>
      </c>
      <c r="I116" s="76">
        <v>2026</v>
      </c>
      <c r="J116" s="76">
        <v>2027</v>
      </c>
      <c r="K116" s="76">
        <v>2028</v>
      </c>
      <c r="L116" s="76">
        <v>2029</v>
      </c>
      <c r="M116" s="76">
        <v>2030</v>
      </c>
      <c r="N116" s="76">
        <v>2031</v>
      </c>
      <c r="O116" s="76">
        <v>2032</v>
      </c>
      <c r="P116" s="76">
        <v>2033</v>
      </c>
      <c r="Q116" s="76">
        <v>2034</v>
      </c>
      <c r="R116" s="76">
        <v>2035</v>
      </c>
      <c r="S116" s="76">
        <v>2036</v>
      </c>
      <c r="T116" s="76">
        <v>2037</v>
      </c>
      <c r="U116" s="76">
        <v>2038</v>
      </c>
      <c r="V116" s="76">
        <v>2039</v>
      </c>
      <c r="W116" s="76">
        <v>2040</v>
      </c>
      <c r="X116" s="76">
        <v>2041</v>
      </c>
      <c r="Y116" s="76">
        <v>2042</v>
      </c>
      <c r="Z116" s="76">
        <v>2043</v>
      </c>
      <c r="AA116" s="76">
        <v>2044</v>
      </c>
      <c r="AB116" s="76">
        <v>2045</v>
      </c>
      <c r="AC116" s="76">
        <v>2046</v>
      </c>
      <c r="AD116" s="76">
        <v>2047</v>
      </c>
      <c r="AE116" s="76">
        <v>2048</v>
      </c>
      <c r="AF116" s="76">
        <v>2049</v>
      </c>
      <c r="AG116" s="76">
        <v>2050</v>
      </c>
    </row>
    <row r="117" spans="1:33" ht="16" x14ac:dyDescent="0.8">
      <c r="A117" s="3" t="s">
        <v>102</v>
      </c>
      <c r="B117" s="74" t="str">
        <f t="shared" ref="B117:B127" si="57">INDEX($AJ$17:$AJ$28,MATCH(A117,$A$17:$A$28,0),1)</f>
        <v>Freight LDV</v>
      </c>
      <c r="C117">
        <f t="shared" ref="C117:AG117" si="58">C101*B2</f>
        <v>69.651741796091258</v>
      </c>
      <c r="D117">
        <f t="shared" si="58"/>
        <v>68.405343880097718</v>
      </c>
      <c r="E117">
        <f t="shared" si="58"/>
        <v>67.153063461395078</v>
      </c>
      <c r="F117">
        <f t="shared" si="58"/>
        <v>65.894961294575467</v>
      </c>
      <c r="G117">
        <f t="shared" si="58"/>
        <v>64.631099417151148</v>
      </c>
      <c r="H117">
        <f t="shared" si="58"/>
        <v>63.361541137073736</v>
      </c>
      <c r="I117">
        <f t="shared" si="58"/>
        <v>61.65653785333879</v>
      </c>
      <c r="J117">
        <f t="shared" si="58"/>
        <v>59.968005769883867</v>
      </c>
      <c r="K117">
        <f t="shared" si="58"/>
        <v>58.295897152462935</v>
      </c>
      <c r="L117">
        <f t="shared" si="58"/>
        <v>56.640156563174976</v>
      </c>
      <c r="M117">
        <f t="shared" si="58"/>
        <v>55.00072090811355</v>
      </c>
      <c r="N117">
        <f t="shared" si="58"/>
        <v>55.111791955109659</v>
      </c>
      <c r="O117">
        <f t="shared" si="58"/>
        <v>55.221041303228596</v>
      </c>
      <c r="P117">
        <f t="shared" si="58"/>
        <v>55.328513029986425</v>
      </c>
      <c r="Q117">
        <f t="shared" si="58"/>
        <v>55.434249814191332</v>
      </c>
      <c r="R117">
        <f t="shared" si="58"/>
        <v>55.53829299042345</v>
      </c>
      <c r="S117">
        <f t="shared" si="58"/>
        <v>55.519054476441021</v>
      </c>
      <c r="T117">
        <f t="shared" si="58"/>
        <v>55.50003654867146</v>
      </c>
      <c r="U117">
        <f t="shared" si="58"/>
        <v>55.481235440652426</v>
      </c>
      <c r="V117">
        <f t="shared" si="58"/>
        <v>55.462647471201414</v>
      </c>
      <c r="W117">
        <f t="shared" si="58"/>
        <v>55.444269042002567</v>
      </c>
      <c r="X117">
        <f t="shared" si="58"/>
        <v>55.566617424537355</v>
      </c>
      <c r="Y117">
        <f t="shared" si="58"/>
        <v>55.688599727335038</v>
      </c>
      <c r="Z117">
        <f t="shared" si="58"/>
        <v>55.810209419003954</v>
      </c>
      <c r="AA117">
        <f t="shared" si="58"/>
        <v>55.931448114783805</v>
      </c>
      <c r="AB117">
        <f t="shared" si="58"/>
        <v>56.052317421007245</v>
      </c>
      <c r="AC117">
        <f t="shared" si="58"/>
        <v>56.052317517385902</v>
      </c>
      <c r="AD117">
        <f t="shared" si="58"/>
        <v>56.052317740118177</v>
      </c>
      <c r="AE117">
        <f t="shared" si="58"/>
        <v>56.052318082035598</v>
      </c>
      <c r="AF117">
        <f t="shared" si="58"/>
        <v>56.052318536449839</v>
      </c>
      <c r="AG117">
        <f t="shared" si="58"/>
        <v>56.052319097113269</v>
      </c>
    </row>
    <row r="118" spans="1:33" s="96" customFormat="1" ht="16" x14ac:dyDescent="0.8">
      <c r="A118" s="94" t="s">
        <v>217</v>
      </c>
      <c r="B118" s="95" t="s">
        <v>119</v>
      </c>
      <c r="C118" s="96">
        <f>B3*C102*C112</f>
        <v>55.035936816148237</v>
      </c>
      <c r="D118" s="96">
        <f>C3*D102*D112</f>
        <v>53.849600861139294</v>
      </c>
      <c r="E118" s="96">
        <f t="shared" ref="E118:AG118" si="59">D3*E102*E112</f>
        <v>53.878552576402925</v>
      </c>
      <c r="F118" s="96">
        <f t="shared" si="59"/>
        <v>53.853934835906891</v>
      </c>
      <c r="G118" s="96">
        <f t="shared" si="59"/>
        <v>53.693660956824665</v>
      </c>
      <c r="H118" s="96">
        <f t="shared" si="59"/>
        <v>53.395505851709629</v>
      </c>
      <c r="I118" s="96">
        <f t="shared" si="59"/>
        <v>53.333671012077147</v>
      </c>
      <c r="J118" s="96">
        <f t="shared" si="59"/>
        <v>53.121528096781645</v>
      </c>
      <c r="K118" s="96">
        <f t="shared" si="59"/>
        <v>52.756244073983403</v>
      </c>
      <c r="L118" s="96">
        <f t="shared" si="59"/>
        <v>52.241241898878364</v>
      </c>
      <c r="M118" s="96">
        <f t="shared" si="59"/>
        <v>51.614474549018894</v>
      </c>
      <c r="N118" s="96">
        <f t="shared" si="59"/>
        <v>51.844053962734385</v>
      </c>
      <c r="O118" s="96">
        <f t="shared" si="59"/>
        <v>52.029874233837816</v>
      </c>
      <c r="P118" s="96">
        <f t="shared" si="59"/>
        <v>52.181012403041152</v>
      </c>
      <c r="Q118" s="96">
        <f t="shared" si="59"/>
        <v>52.293540904280349</v>
      </c>
      <c r="R118" s="96">
        <f t="shared" si="59"/>
        <v>52.382690704475472</v>
      </c>
      <c r="S118" s="96">
        <f t="shared" si="59"/>
        <v>52.569832397637114</v>
      </c>
      <c r="T118" s="96">
        <f t="shared" si="59"/>
        <v>52.746381915342823</v>
      </c>
      <c r="U118" s="96">
        <f t="shared" si="59"/>
        <v>52.912091598781771</v>
      </c>
      <c r="V118" s="96">
        <f t="shared" si="59"/>
        <v>53.067702734684595</v>
      </c>
      <c r="W118" s="96">
        <f t="shared" si="59"/>
        <v>53.213919902971</v>
      </c>
      <c r="X118" s="96">
        <f t="shared" si="59"/>
        <v>53.210640070720331</v>
      </c>
      <c r="Y118" s="96">
        <f t="shared" si="59"/>
        <v>53.199528078358206</v>
      </c>
      <c r="Z118" s="96">
        <f t="shared" si="59"/>
        <v>53.183135776513488</v>
      </c>
      <c r="AA118" s="96">
        <f t="shared" si="59"/>
        <v>53.16397323017091</v>
      </c>
      <c r="AB118" s="96">
        <f t="shared" si="59"/>
        <v>53.137572333924169</v>
      </c>
      <c r="AC118" s="96">
        <f t="shared" si="59"/>
        <v>53.219011380628132</v>
      </c>
      <c r="AD118" s="96">
        <f t="shared" si="59"/>
        <v>53.295791726141942</v>
      </c>
      <c r="AE118" s="96">
        <f t="shared" si="59"/>
        <v>53.369322327531663</v>
      </c>
      <c r="AF118" s="96">
        <f t="shared" si="59"/>
        <v>53.4349948610271</v>
      </c>
      <c r="AG118" s="96">
        <f t="shared" si="59"/>
        <v>53.486138613806624</v>
      </c>
    </row>
    <row r="119" spans="1:33" s="96" customFormat="1" ht="16" x14ac:dyDescent="0.8">
      <c r="A119" s="94" t="s">
        <v>218</v>
      </c>
      <c r="B119" s="95" t="s">
        <v>117</v>
      </c>
      <c r="C119" s="96">
        <f>B3*C102*C113</f>
        <v>52.62316016986253</v>
      </c>
      <c r="D119" s="96">
        <f>C3*D102*D113</f>
        <v>51.488833208476365</v>
      </c>
      <c r="E119" s="96">
        <f t="shared" ref="E119:AG119" si="60">D3*E102*E113</f>
        <v>49.148276982219357</v>
      </c>
      <c r="F119" s="96">
        <f t="shared" si="60"/>
        <v>46.870254352100467</v>
      </c>
      <c r="G119" s="96">
        <f t="shared" si="60"/>
        <v>44.736755757691178</v>
      </c>
      <c r="H119" s="96">
        <f t="shared" si="60"/>
        <v>42.749908084365913</v>
      </c>
      <c r="I119" s="96">
        <f t="shared" si="60"/>
        <v>41.1870619199576</v>
      </c>
      <c r="J119" s="96">
        <f t="shared" si="60"/>
        <v>39.749122952981978</v>
      </c>
      <c r="K119" s="96">
        <f t="shared" si="60"/>
        <v>38.439000323762606</v>
      </c>
      <c r="L119" s="96">
        <f t="shared" si="60"/>
        <v>37.253359071346985</v>
      </c>
      <c r="M119" s="96">
        <f t="shared" si="60"/>
        <v>36.154346023658832</v>
      </c>
      <c r="N119" s="96">
        <f t="shared" si="60"/>
        <v>35.756685645020035</v>
      </c>
      <c r="O119" s="96">
        <f t="shared" si="60"/>
        <v>35.405541139152547</v>
      </c>
      <c r="P119" s="96">
        <f t="shared" si="60"/>
        <v>35.091768763970549</v>
      </c>
      <c r="Q119" s="96">
        <f t="shared" si="60"/>
        <v>34.819231500792952</v>
      </c>
      <c r="R119" s="96">
        <f t="shared" si="60"/>
        <v>34.572635832140357</v>
      </c>
      <c r="S119" s="96">
        <f t="shared" si="60"/>
        <v>34.414607288456565</v>
      </c>
      <c r="T119" s="96">
        <f t="shared" si="60"/>
        <v>34.266837112773828</v>
      </c>
      <c r="U119" s="96">
        <f t="shared" si="60"/>
        <v>34.129578663593762</v>
      </c>
      <c r="V119" s="96">
        <f t="shared" si="60"/>
        <v>34.002096224824776</v>
      </c>
      <c r="W119" s="96">
        <f t="shared" si="60"/>
        <v>33.883690661786176</v>
      </c>
      <c r="X119" s="96">
        <f t="shared" si="60"/>
        <v>33.701823826661212</v>
      </c>
      <c r="Y119" s="96">
        <f t="shared" si="60"/>
        <v>33.528343130718874</v>
      </c>
      <c r="Z119" s="96">
        <f t="shared" si="60"/>
        <v>33.360706607117685</v>
      </c>
      <c r="AA119" s="96">
        <f t="shared" si="60"/>
        <v>33.196401746572178</v>
      </c>
      <c r="AB119" s="96">
        <f t="shared" si="60"/>
        <v>33.039894223666622</v>
      </c>
      <c r="AC119" s="96">
        <f t="shared" si="60"/>
        <v>32.958455031115335</v>
      </c>
      <c r="AD119" s="96">
        <f t="shared" si="60"/>
        <v>32.881674348546454</v>
      </c>
      <c r="AE119" s="96">
        <f t="shared" si="60"/>
        <v>32.808143229741916</v>
      </c>
      <c r="AF119" s="96">
        <f t="shared" si="60"/>
        <v>32.742470008593067</v>
      </c>
      <c r="AG119" s="96">
        <f t="shared" si="60"/>
        <v>32.691325407375963</v>
      </c>
    </row>
    <row r="120" spans="1:33" ht="16" x14ac:dyDescent="0.8">
      <c r="A120" s="3" t="s">
        <v>104</v>
      </c>
      <c r="B120" s="74" t="str">
        <f t="shared" si="57"/>
        <v>Freight HDV</v>
      </c>
      <c r="C120">
        <f t="shared" ref="C120:AG120" si="61">C103*B4</f>
        <v>55.633888302938409</v>
      </c>
      <c r="D120">
        <f t="shared" si="61"/>
        <v>55.669202360246473</v>
      </c>
      <c r="E120">
        <f t="shared" si="61"/>
        <v>55.620997456266807</v>
      </c>
      <c r="F120">
        <f t="shared" si="61"/>
        <v>55.484335261845807</v>
      </c>
      <c r="G120">
        <f t="shared" si="61"/>
        <v>55.254376094041554</v>
      </c>
      <c r="H120">
        <f t="shared" si="61"/>
        <v>54.926430967111244</v>
      </c>
      <c r="I120">
        <f t="shared" si="61"/>
        <v>54.33284293507856</v>
      </c>
      <c r="J120">
        <f t="shared" si="61"/>
        <v>53.65022818064854</v>
      </c>
      <c r="K120">
        <f t="shared" si="61"/>
        <v>52.876870138999905</v>
      </c>
      <c r="L120">
        <f t="shared" si="61"/>
        <v>52.011203310904747</v>
      </c>
      <c r="M120">
        <f t="shared" si="61"/>
        <v>51.051825741548299</v>
      </c>
      <c r="N120">
        <f t="shared" si="61"/>
        <v>51.985107237942564</v>
      </c>
      <c r="O120">
        <f t="shared" si="61"/>
        <v>52.903063174294616</v>
      </c>
      <c r="P120">
        <f t="shared" si="61"/>
        <v>53.805731025450449</v>
      </c>
      <c r="Q120">
        <f t="shared" si="61"/>
        <v>54.69315370179158</v>
      </c>
      <c r="R120">
        <f t="shared" si="61"/>
        <v>55.565379417587131</v>
      </c>
      <c r="S120">
        <f t="shared" si="61"/>
        <v>56.284072481521378</v>
      </c>
      <c r="T120">
        <f t="shared" si="61"/>
        <v>56.989254802837443</v>
      </c>
      <c r="U120">
        <f t="shared" si="61"/>
        <v>57.68118808798679</v>
      </c>
      <c r="V120">
        <f t="shared" si="61"/>
        <v>58.360128839886066</v>
      </c>
      <c r="W120">
        <f t="shared" si="61"/>
        <v>59.02632845318027</v>
      </c>
      <c r="X120">
        <f t="shared" si="61"/>
        <v>59.615919986244933</v>
      </c>
      <c r="Y120">
        <f t="shared" si="61"/>
        <v>60.17722546491602</v>
      </c>
      <c r="Z120">
        <f t="shared" si="61"/>
        <v>60.726423671766206</v>
      </c>
      <c r="AA120">
        <f t="shared" si="61"/>
        <v>61.263799593207757</v>
      </c>
      <c r="AB120">
        <f t="shared" si="61"/>
        <v>61.789629352580214</v>
      </c>
      <c r="AC120">
        <f t="shared" si="61"/>
        <v>62.29611376875544</v>
      </c>
      <c r="AD120">
        <f t="shared" si="61"/>
        <v>62.792228658636922</v>
      </c>
      <c r="AE120">
        <f t="shared" si="61"/>
        <v>63.278242149591421</v>
      </c>
      <c r="AF120">
        <f t="shared" si="61"/>
        <v>63.75441376452337</v>
      </c>
      <c r="AG120">
        <f t="shared" si="61"/>
        <v>64.220994753586197</v>
      </c>
    </row>
    <row r="121" spans="1:33" ht="16" x14ac:dyDescent="0.8">
      <c r="A121" s="3" t="s">
        <v>105</v>
      </c>
      <c r="B121" s="74" t="str">
        <f t="shared" si="57"/>
        <v>Freight HDV</v>
      </c>
      <c r="C121">
        <f t="shared" ref="C121:AG121" si="62">C104*B5</f>
        <v>94.47671513876567</v>
      </c>
      <c r="D121">
        <f t="shared" si="62"/>
        <v>90.954230220927244</v>
      </c>
      <c r="E121">
        <f t="shared" si="62"/>
        <v>87.529403836024201</v>
      </c>
      <c r="F121">
        <f t="shared" si="62"/>
        <v>84.197091694189581</v>
      </c>
      <c r="G121">
        <f t="shared" si="62"/>
        <v>80.9516946117663</v>
      </c>
      <c r="H121">
        <f t="shared" si="62"/>
        <v>77.78717802795687</v>
      </c>
      <c r="I121">
        <f t="shared" si="62"/>
        <v>74.543172280479624</v>
      </c>
      <c r="J121">
        <f t="shared" si="62"/>
        <v>71.347351879790509</v>
      </c>
      <c r="K121">
        <f t="shared" si="62"/>
        <v>68.197715804196278</v>
      </c>
      <c r="L121">
        <f t="shared" si="62"/>
        <v>65.092129376217898</v>
      </c>
      <c r="M121">
        <f t="shared" si="62"/>
        <v>62.028328296526638</v>
      </c>
      <c r="N121">
        <f t="shared" si="62"/>
        <v>61.735869714283773</v>
      </c>
      <c r="O121">
        <f t="shared" si="62"/>
        <v>61.450542748043603</v>
      </c>
      <c r="P121">
        <f t="shared" si="62"/>
        <v>61.172294065047296</v>
      </c>
      <c r="Q121">
        <f t="shared" si="62"/>
        <v>60.901068358613152</v>
      </c>
      <c r="R121">
        <f t="shared" si="62"/>
        <v>60.636808423081277</v>
      </c>
      <c r="S121">
        <f t="shared" si="62"/>
        <v>60.465726162349341</v>
      </c>
      <c r="T121">
        <f t="shared" si="62"/>
        <v>60.29811180207362</v>
      </c>
      <c r="U121">
        <f t="shared" si="62"/>
        <v>60.133891808100977</v>
      </c>
      <c r="V121">
        <f t="shared" si="62"/>
        <v>59.972994281403807</v>
      </c>
      <c r="W121">
        <f t="shared" si="62"/>
        <v>59.815348922101791</v>
      </c>
      <c r="X121">
        <f t="shared" si="62"/>
        <v>59.618237569638055</v>
      </c>
      <c r="Y121">
        <f t="shared" si="62"/>
        <v>59.428937819381467</v>
      </c>
      <c r="Z121">
        <f t="shared" si="62"/>
        <v>59.243229240298341</v>
      </c>
      <c r="AA121">
        <f t="shared" si="62"/>
        <v>59.061028426944262</v>
      </c>
      <c r="AB121">
        <f t="shared" si="62"/>
        <v>58.882254566791332</v>
      </c>
      <c r="AC121">
        <f t="shared" si="62"/>
        <v>58.712961179625943</v>
      </c>
      <c r="AD121">
        <f t="shared" si="62"/>
        <v>58.546812822802522</v>
      </c>
      <c r="AE121">
        <f t="shared" si="62"/>
        <v>58.383731530826175</v>
      </c>
      <c r="AF121">
        <f t="shared" si="62"/>
        <v>58.223641779259381</v>
      </c>
      <c r="AG121">
        <f t="shared" si="62"/>
        <v>58.066470392180477</v>
      </c>
    </row>
    <row r="122" spans="1:33" ht="16" x14ac:dyDescent="0.8">
      <c r="A122" s="3" t="s">
        <v>106</v>
      </c>
      <c r="B122" s="74" t="str">
        <f t="shared" si="57"/>
        <v>Freight HDV</v>
      </c>
      <c r="C122">
        <f t="shared" ref="C122:AG122" si="63">C105*B6</f>
        <v>659.59284421045106</v>
      </c>
      <c r="D122">
        <f t="shared" si="63"/>
        <v>635.17128215792673</v>
      </c>
      <c r="E122">
        <f t="shared" si="63"/>
        <v>610.77145755083734</v>
      </c>
      <c r="F122">
        <f t="shared" si="63"/>
        <v>586.41665980216987</v>
      </c>
      <c r="G122">
        <f t="shared" si="63"/>
        <v>562.13081485367525</v>
      </c>
      <c r="H122">
        <f t="shared" si="63"/>
        <v>537.93830668895453</v>
      </c>
      <c r="I122">
        <f t="shared" si="63"/>
        <v>514.54638033720175</v>
      </c>
      <c r="J122">
        <f t="shared" si="63"/>
        <v>491.29521351057201</v>
      </c>
      <c r="K122">
        <f t="shared" si="63"/>
        <v>468.19356000377155</v>
      </c>
      <c r="L122">
        <f t="shared" si="63"/>
        <v>445.25004057107219</v>
      </c>
      <c r="M122">
        <f t="shared" si="63"/>
        <v>422.47310089013445</v>
      </c>
      <c r="N122">
        <f t="shared" si="63"/>
        <v>420.85786941866127</v>
      </c>
      <c r="O122">
        <f t="shared" si="63"/>
        <v>419.26159648037464</v>
      </c>
      <c r="P122">
        <f t="shared" si="63"/>
        <v>417.68436879348303</v>
      </c>
      <c r="Q122">
        <f t="shared" si="63"/>
        <v>416.12626414931623</v>
      </c>
      <c r="R122">
        <f t="shared" si="63"/>
        <v>414.58735149957158</v>
      </c>
      <c r="S122">
        <f t="shared" si="63"/>
        <v>413.24931956659549</v>
      </c>
      <c r="T122">
        <f t="shared" si="63"/>
        <v>411.93482237992498</v>
      </c>
      <c r="U122">
        <f t="shared" si="63"/>
        <v>410.64342757059234</v>
      </c>
      <c r="V122">
        <f t="shared" si="63"/>
        <v>409.3747108681664</v>
      </c>
      <c r="W122">
        <f t="shared" si="63"/>
        <v>408.12825596664248</v>
      </c>
      <c r="X122">
        <f t="shared" si="63"/>
        <v>407.1554809251183</v>
      </c>
      <c r="Y122">
        <f t="shared" si="63"/>
        <v>406.23193255768859</v>
      </c>
      <c r="Z122">
        <f t="shared" si="63"/>
        <v>405.3288541640751</v>
      </c>
      <c r="AA122">
        <f t="shared" si="63"/>
        <v>404.44575973443358</v>
      </c>
      <c r="AB122">
        <f t="shared" si="63"/>
        <v>403.58217838179917</v>
      </c>
      <c r="AC122">
        <f t="shared" si="63"/>
        <v>402.75595818669683</v>
      </c>
      <c r="AD122">
        <f t="shared" si="63"/>
        <v>401.94736215722946</v>
      </c>
      <c r="AE122">
        <f t="shared" si="63"/>
        <v>401.15592734382062</v>
      </c>
      <c r="AF122">
        <f t="shared" si="63"/>
        <v>400.38120578188415</v>
      </c>
      <c r="AG122">
        <f t="shared" si="63"/>
        <v>399.62276391089085</v>
      </c>
    </row>
    <row r="123" spans="1:33" ht="16" x14ac:dyDescent="0.8">
      <c r="A123" s="3" t="s">
        <v>107</v>
      </c>
      <c r="B123" s="74" t="str">
        <f t="shared" si="57"/>
        <v>Freight HDV</v>
      </c>
      <c r="C123">
        <f t="shared" ref="C123:AG123" si="64">C106*B7</f>
        <v>1.8638843724121492</v>
      </c>
      <c r="D123">
        <f t="shared" si="64"/>
        <v>1.8825069619827013</v>
      </c>
      <c r="E123">
        <f t="shared" si="64"/>
        <v>1.900734319478333</v>
      </c>
      <c r="F123">
        <f t="shared" si="64"/>
        <v>1.9183763659700317</v>
      </c>
      <c r="G123">
        <f t="shared" si="64"/>
        <v>1.935222424126815</v>
      </c>
      <c r="H123">
        <f t="shared" si="64"/>
        <v>1.9510407889931005</v>
      </c>
      <c r="I123">
        <f t="shared" si="64"/>
        <v>1.9635953959192864</v>
      </c>
      <c r="J123">
        <f t="shared" si="64"/>
        <v>1.9728146989027788</v>
      </c>
      <c r="K123">
        <f t="shared" si="64"/>
        <v>1.9785117247699857</v>
      </c>
      <c r="L123">
        <f t="shared" si="64"/>
        <v>1.980500794373649</v>
      </c>
      <c r="M123">
        <f t="shared" si="64"/>
        <v>1.9785983042012205</v>
      </c>
      <c r="N123">
        <f t="shared" si="64"/>
        <v>2.0421097239309183</v>
      </c>
      <c r="O123">
        <f t="shared" si="64"/>
        <v>2.1059561889753446</v>
      </c>
      <c r="P123">
        <f t="shared" si="64"/>
        <v>2.1701078863579237</v>
      </c>
      <c r="Q123">
        <f t="shared" si="64"/>
        <v>2.2345354004701115</v>
      </c>
      <c r="R123">
        <f t="shared" si="64"/>
        <v>2.2992097387102599</v>
      </c>
      <c r="S123">
        <f t="shared" si="64"/>
        <v>2.3417243276595285</v>
      </c>
      <c r="T123">
        <f t="shared" si="64"/>
        <v>2.3839657101685114</v>
      </c>
      <c r="U123">
        <f t="shared" si="64"/>
        <v>2.4259340761416346</v>
      </c>
      <c r="V123">
        <f t="shared" si="64"/>
        <v>2.4676296840734873</v>
      </c>
      <c r="W123">
        <f t="shared" si="64"/>
        <v>2.5090528587961813</v>
      </c>
      <c r="X123">
        <f t="shared" si="64"/>
        <v>2.5383350613507778</v>
      </c>
      <c r="Y123">
        <f t="shared" si="64"/>
        <v>2.5665502881387141</v>
      </c>
      <c r="Z123">
        <f t="shared" si="64"/>
        <v>2.5943594478463519</v>
      </c>
      <c r="AA123">
        <f t="shared" si="64"/>
        <v>2.6217730107615789</v>
      </c>
      <c r="AB123">
        <f t="shared" si="64"/>
        <v>2.6488011187194838</v>
      </c>
      <c r="AC123">
        <f t="shared" si="64"/>
        <v>2.6694840570892522</v>
      </c>
      <c r="AD123">
        <f t="shared" si="64"/>
        <v>2.6897108827046097</v>
      </c>
      <c r="AE123">
        <f t="shared" si="64"/>
        <v>2.7094936504803879</v>
      </c>
      <c r="AF123">
        <f t="shared" si="64"/>
        <v>2.7288440250951136</v>
      </c>
      <c r="AG123">
        <f t="shared" si="64"/>
        <v>2.7477732960975203</v>
      </c>
    </row>
    <row r="124" spans="1:33" ht="16" x14ac:dyDescent="0.8">
      <c r="A124" s="3" t="s">
        <v>108</v>
      </c>
      <c r="B124" s="74" t="str">
        <f t="shared" si="57"/>
        <v>Passenger HDV</v>
      </c>
      <c r="C124">
        <f t="shared" ref="C124:AG124" si="65">C107*B8</f>
        <v>14.213188382847221</v>
      </c>
      <c r="D124">
        <f t="shared" si="65"/>
        <v>14.078043081441731</v>
      </c>
      <c r="E124">
        <f t="shared" si="65"/>
        <v>13.943114052038192</v>
      </c>
      <c r="F124">
        <f t="shared" si="65"/>
        <v>13.808397705797544</v>
      </c>
      <c r="G124">
        <f t="shared" si="65"/>
        <v>13.673890242928115</v>
      </c>
      <c r="H124">
        <f t="shared" si="65"/>
        <v>13.539587643342651</v>
      </c>
      <c r="I124">
        <f t="shared" si="65"/>
        <v>13.440541412372941</v>
      </c>
      <c r="J124">
        <f t="shared" si="65"/>
        <v>13.341285966355795</v>
      </c>
      <c r="K124">
        <f t="shared" si="65"/>
        <v>13.241816880601329</v>
      </c>
      <c r="L124">
        <f t="shared" si="65"/>
        <v>13.142129580657411</v>
      </c>
      <c r="M124">
        <f t="shared" si="65"/>
        <v>13.042219335983376</v>
      </c>
      <c r="N124">
        <f t="shared" si="65"/>
        <v>13.028573042080531</v>
      </c>
      <c r="O124">
        <f t="shared" si="65"/>
        <v>13.014328761043148</v>
      </c>
      <c r="P124">
        <f t="shared" si="65"/>
        <v>12.999476644387256</v>
      </c>
      <c r="Q124">
        <f t="shared" si="65"/>
        <v>12.984006608112743</v>
      </c>
      <c r="R124">
        <f t="shared" si="65"/>
        <v>12.967908326054395</v>
      </c>
      <c r="S124">
        <f t="shared" si="65"/>
        <v>12.997904383128807</v>
      </c>
      <c r="T124">
        <f t="shared" si="65"/>
        <v>13.027687297517366</v>
      </c>
      <c r="U124">
        <f t="shared" si="65"/>
        <v>13.057258916087493</v>
      </c>
      <c r="V124">
        <f t="shared" si="65"/>
        <v>13.08662107075515</v>
      </c>
      <c r="W124">
        <f t="shared" si="65"/>
        <v>13.115775578461323</v>
      </c>
      <c r="X124">
        <f t="shared" si="65"/>
        <v>13.147497245935343</v>
      </c>
      <c r="Y124">
        <f t="shared" si="65"/>
        <v>13.179304231382698</v>
      </c>
      <c r="Z124">
        <f t="shared" si="65"/>
        <v>13.211197945311413</v>
      </c>
      <c r="AA124">
        <f t="shared" si="65"/>
        <v>13.243178612406309</v>
      </c>
      <c r="AB124">
        <f t="shared" si="65"/>
        <v>13.275246458673314</v>
      </c>
      <c r="AC124">
        <f t="shared" si="65"/>
        <v>13.267609567947382</v>
      </c>
      <c r="AD124">
        <f t="shared" si="65"/>
        <v>13.259959324871861</v>
      </c>
      <c r="AE124">
        <f t="shared" si="65"/>
        <v>13.252295696069099</v>
      </c>
      <c r="AF124">
        <f t="shared" si="65"/>
        <v>13.244618648179582</v>
      </c>
      <c r="AG124">
        <f t="shared" si="65"/>
        <v>13.236928147855561</v>
      </c>
    </row>
    <row r="125" spans="1:33" ht="16" x14ac:dyDescent="0.8">
      <c r="A125" s="3" t="s">
        <v>109</v>
      </c>
      <c r="B125" s="74" t="str">
        <f t="shared" si="57"/>
        <v>Passenger HDV</v>
      </c>
      <c r="C125">
        <f t="shared" ref="C125:AG125" si="66">C108*B9</f>
        <v>66.77847192490951</v>
      </c>
      <c r="D125">
        <f t="shared" si="66"/>
        <v>65.698337216983703</v>
      </c>
      <c r="E125">
        <f t="shared" si="66"/>
        <v>64.643934355051599</v>
      </c>
      <c r="F125">
        <f t="shared" si="66"/>
        <v>63.615540303918962</v>
      </c>
      <c r="G125">
        <f t="shared" si="66"/>
        <v>62.613441476474875</v>
      </c>
      <c r="H125">
        <f t="shared" si="66"/>
        <v>61.637934220390534</v>
      </c>
      <c r="I125">
        <f t="shared" si="66"/>
        <v>60.768669924839998</v>
      </c>
      <c r="J125">
        <f t="shared" si="66"/>
        <v>59.924125440277166</v>
      </c>
      <c r="K125">
        <f t="shared" si="66"/>
        <v>59.104479507018965</v>
      </c>
      <c r="L125">
        <f t="shared" si="66"/>
        <v>58.309916138310967</v>
      </c>
      <c r="M125">
        <f t="shared" si="66"/>
        <v>57.540624843612832</v>
      </c>
      <c r="N125">
        <f t="shared" si="66"/>
        <v>57.220318350386123</v>
      </c>
      <c r="O125">
        <f t="shared" si="66"/>
        <v>56.920411431891537</v>
      </c>
      <c r="P125">
        <f t="shared" si="66"/>
        <v>56.64128055751857</v>
      </c>
      <c r="Q125">
        <f t="shared" si="66"/>
        <v>56.38331041399546</v>
      </c>
      <c r="R125">
        <f t="shared" si="66"/>
        <v>56.146894152268189</v>
      </c>
      <c r="S125">
        <f t="shared" si="66"/>
        <v>56.123988847070933</v>
      </c>
      <c r="T125">
        <f t="shared" si="66"/>
        <v>56.101282914677171</v>
      </c>
      <c r="U125">
        <f t="shared" si="66"/>
        <v>56.078774805635724</v>
      </c>
      <c r="V125">
        <f t="shared" si="66"/>
        <v>56.056462976318642</v>
      </c>
      <c r="W125">
        <f t="shared" si="66"/>
        <v>56.034345889197596</v>
      </c>
      <c r="X125">
        <f t="shared" si="66"/>
        <v>55.999524746347383</v>
      </c>
      <c r="Y125">
        <f t="shared" si="66"/>
        <v>55.964740148598736</v>
      </c>
      <c r="Z125">
        <f t="shared" si="66"/>
        <v>55.929948098641219</v>
      </c>
      <c r="AA125">
        <f t="shared" si="66"/>
        <v>55.895148966243923</v>
      </c>
      <c r="AB125">
        <f t="shared" si="66"/>
        <v>55.860343125505089</v>
      </c>
      <c r="AC125">
        <f t="shared" si="66"/>
        <v>55.839158376943026</v>
      </c>
      <c r="AD125">
        <f t="shared" si="66"/>
        <v>55.817974770549284</v>
      </c>
      <c r="AE125">
        <f t="shared" si="66"/>
        <v>55.796792408720862</v>
      </c>
      <c r="AF125">
        <f t="shared" si="66"/>
        <v>55.775611395121274</v>
      </c>
      <c r="AG125">
        <f t="shared" si="66"/>
        <v>55.754431834656017</v>
      </c>
    </row>
    <row r="126" spans="1:33" ht="16" x14ac:dyDescent="0.8">
      <c r="A126" s="3" t="s">
        <v>110</v>
      </c>
      <c r="B126" s="74" t="str">
        <f t="shared" si="57"/>
        <v>Passenger HDV</v>
      </c>
      <c r="C126">
        <f t="shared" ref="C126:AG126" si="67">C109*B10</f>
        <v>49.8257686669794</v>
      </c>
      <c r="D126">
        <f t="shared" si="67"/>
        <v>49.620049400820548</v>
      </c>
      <c r="E126">
        <f t="shared" si="67"/>
        <v>49.411296648755588</v>
      </c>
      <c r="F126">
        <f t="shared" si="67"/>
        <v>49.199478606171169</v>
      </c>
      <c r="G126">
        <f t="shared" si="67"/>
        <v>48.984562264382674</v>
      </c>
      <c r="H126">
        <f t="shared" si="67"/>
        <v>48.766513351694549</v>
      </c>
      <c r="I126">
        <f t="shared" si="67"/>
        <v>48.49801524069445</v>
      </c>
      <c r="J126">
        <f t="shared" si="67"/>
        <v>48.227259135956352</v>
      </c>
      <c r="K126">
        <f t="shared" si="67"/>
        <v>47.954225091993365</v>
      </c>
      <c r="L126">
        <f t="shared" si="67"/>
        <v>47.678892562158303</v>
      </c>
      <c r="M126">
        <f t="shared" si="67"/>
        <v>47.40124037315752</v>
      </c>
      <c r="N126">
        <f t="shared" si="67"/>
        <v>47.42510311242193</v>
      </c>
      <c r="O126">
        <f t="shared" si="67"/>
        <v>47.446349150481382</v>
      </c>
      <c r="P126">
        <f t="shared" si="67"/>
        <v>47.464934844092255</v>
      </c>
      <c r="Q126">
        <f t="shared" si="67"/>
        <v>47.480815531736489</v>
      </c>
      <c r="R126">
        <f t="shared" si="67"/>
        <v>47.493945504240862</v>
      </c>
      <c r="S126">
        <f t="shared" si="67"/>
        <v>47.471306752856272</v>
      </c>
      <c r="T126">
        <f t="shared" si="67"/>
        <v>47.448675287057071</v>
      </c>
      <c r="U126">
        <f t="shared" si="67"/>
        <v>47.42605243545448</v>
      </c>
      <c r="V126">
        <f t="shared" si="67"/>
        <v>47.403439492019949</v>
      </c>
      <c r="W126">
        <f t="shared" si="67"/>
        <v>47.38083771693028</v>
      </c>
      <c r="X126">
        <f t="shared" si="67"/>
        <v>47.382830918529777</v>
      </c>
      <c r="Y126">
        <f t="shared" si="67"/>
        <v>47.384832103424628</v>
      </c>
      <c r="Z126">
        <f t="shared" si="67"/>
        <v>47.386823134775902</v>
      </c>
      <c r="AA126">
        <f t="shared" si="67"/>
        <v>47.38880395808264</v>
      </c>
      <c r="AB126">
        <f t="shared" si="67"/>
        <v>47.390774518029964</v>
      </c>
      <c r="AC126">
        <f t="shared" si="67"/>
        <v>47.396065470946724</v>
      </c>
      <c r="AD126">
        <f t="shared" si="67"/>
        <v>47.401360125855383</v>
      </c>
      <c r="AE126">
        <f t="shared" si="67"/>
        <v>47.40665847757738</v>
      </c>
      <c r="AF126">
        <f t="shared" si="67"/>
        <v>47.411960520724897</v>
      </c>
      <c r="AG126">
        <f t="shared" si="67"/>
        <v>47.417266249708035</v>
      </c>
    </row>
    <row r="127" spans="1:33" ht="16" x14ac:dyDescent="0.8">
      <c r="A127" s="3" t="s">
        <v>111</v>
      </c>
      <c r="B127" s="74" t="str">
        <f t="shared" si="57"/>
        <v>Passenger HDV</v>
      </c>
      <c r="C127">
        <f t="shared" ref="C127:AG127" si="68">C110*B11</f>
        <v>315.94377106041452</v>
      </c>
      <c r="D127">
        <f t="shared" si="68"/>
        <v>315.37492009739714</v>
      </c>
      <c r="E127">
        <f t="shared" si="68"/>
        <v>314.77736648371416</v>
      </c>
      <c r="F127">
        <f t="shared" si="68"/>
        <v>314.15083090848896</v>
      </c>
      <c r="G127">
        <f t="shared" si="68"/>
        <v>313.49502547761267</v>
      </c>
      <c r="H127">
        <f t="shared" si="68"/>
        <v>312.80965325138862</v>
      </c>
      <c r="I127">
        <f t="shared" si="68"/>
        <v>311.95557577314037</v>
      </c>
      <c r="J127">
        <f t="shared" si="68"/>
        <v>311.07392228968484</v>
      </c>
      <c r="K127">
        <f t="shared" si="68"/>
        <v>310.16452049616777</v>
      </c>
      <c r="L127">
        <f t="shared" si="68"/>
        <v>309.22719314458249</v>
      </c>
      <c r="M127">
        <f t="shared" si="68"/>
        <v>308.2617578344562</v>
      </c>
      <c r="N127">
        <f t="shared" si="68"/>
        <v>308.72999503672645</v>
      </c>
      <c r="O127">
        <f t="shared" si="68"/>
        <v>309.18077240665434</v>
      </c>
      <c r="P127">
        <f t="shared" si="68"/>
        <v>309.61374360333713</v>
      </c>
      <c r="Q127">
        <f t="shared" si="68"/>
        <v>310.02855508818931</v>
      </c>
      <c r="R127">
        <f t="shared" si="68"/>
        <v>310.42484590174865</v>
      </c>
      <c r="S127">
        <f t="shared" si="68"/>
        <v>310.37578447586145</v>
      </c>
      <c r="T127">
        <f t="shared" si="68"/>
        <v>310.32759346967816</v>
      </c>
      <c r="U127">
        <f t="shared" si="68"/>
        <v>310.28025984638532</v>
      </c>
      <c r="V127">
        <f t="shared" si="68"/>
        <v>310.23377077450999</v>
      </c>
      <c r="W127">
        <f t="shared" si="68"/>
        <v>310.18811362446206</v>
      </c>
      <c r="X127">
        <f t="shared" si="68"/>
        <v>310.05474720473188</v>
      </c>
      <c r="Y127">
        <f t="shared" si="68"/>
        <v>309.92081663414712</v>
      </c>
      <c r="Z127">
        <f t="shared" si="68"/>
        <v>309.78644820620997</v>
      </c>
      <c r="AA127">
        <f t="shared" si="68"/>
        <v>309.65164030795989</v>
      </c>
      <c r="AB127">
        <f t="shared" si="68"/>
        <v>309.51639131556806</v>
      </c>
      <c r="AC127">
        <f t="shared" si="68"/>
        <v>309.57124527403232</v>
      </c>
      <c r="AD127">
        <f t="shared" si="68"/>
        <v>309.62615861796769</v>
      </c>
      <c r="AE127">
        <f t="shared" si="68"/>
        <v>309.68113140048519</v>
      </c>
      <c r="AF127">
        <f t="shared" si="68"/>
        <v>309.7361636734779</v>
      </c>
      <c r="AG127">
        <f t="shared" si="68"/>
        <v>309.79125548766564</v>
      </c>
    </row>
    <row r="128" spans="1:33" x14ac:dyDescent="0.75">
      <c r="A128" s="2"/>
    </row>
    <row r="129" spans="1:33" ht="16" x14ac:dyDescent="0.8">
      <c r="A129" s="2" t="s">
        <v>170</v>
      </c>
      <c r="C129" s="76">
        <v>2020</v>
      </c>
      <c r="D129" s="76">
        <v>2021</v>
      </c>
      <c r="E129" s="76">
        <v>2022</v>
      </c>
      <c r="F129" s="76">
        <v>2023</v>
      </c>
      <c r="G129" s="76">
        <v>2024</v>
      </c>
      <c r="H129" s="76">
        <v>2025</v>
      </c>
      <c r="I129" s="76">
        <v>2026</v>
      </c>
      <c r="J129" s="76">
        <v>2027</v>
      </c>
      <c r="K129" s="76">
        <v>2028</v>
      </c>
      <c r="L129" s="76">
        <v>2029</v>
      </c>
      <c r="M129" s="76">
        <v>2030</v>
      </c>
      <c r="N129" s="76">
        <v>2031</v>
      </c>
      <c r="O129" s="76">
        <v>2032</v>
      </c>
      <c r="P129" s="76">
        <v>2033</v>
      </c>
      <c r="Q129" s="76">
        <v>2034</v>
      </c>
      <c r="R129" s="76">
        <v>2035</v>
      </c>
      <c r="S129" s="76">
        <v>2036</v>
      </c>
      <c r="T129" s="76">
        <v>2037</v>
      </c>
      <c r="U129" s="76">
        <v>2038</v>
      </c>
      <c r="V129" s="76">
        <v>2039</v>
      </c>
      <c r="W129" s="76">
        <v>2040</v>
      </c>
      <c r="X129" s="76">
        <v>2041</v>
      </c>
      <c r="Y129" s="76">
        <v>2042</v>
      </c>
      <c r="Z129" s="76">
        <v>2043</v>
      </c>
      <c r="AA129" s="76">
        <v>2044</v>
      </c>
      <c r="AB129" s="76">
        <v>2045</v>
      </c>
      <c r="AC129" s="76">
        <v>2046</v>
      </c>
      <c r="AD129" s="76">
        <v>2047</v>
      </c>
      <c r="AE129" s="76">
        <v>2048</v>
      </c>
      <c r="AF129" s="76">
        <v>2049</v>
      </c>
      <c r="AG129" s="76">
        <v>2050</v>
      </c>
    </row>
    <row r="130" spans="1:33" x14ac:dyDescent="0.75">
      <c r="A130" s="3" t="s">
        <v>119</v>
      </c>
      <c r="C130" s="83">
        <f t="shared" ref="C130:L132" si="69">SUMIFS(C$117:C$127,$B$117:$B$127,$A130)</f>
        <v>124.68767861223949</v>
      </c>
      <c r="D130" s="83">
        <f t="shared" si="69"/>
        <v>122.25494474123701</v>
      </c>
      <c r="E130" s="83">
        <f t="shared" si="69"/>
        <v>121.031616037798</v>
      </c>
      <c r="F130" s="83">
        <f t="shared" si="69"/>
        <v>119.74889613048236</v>
      </c>
      <c r="G130" s="83">
        <f t="shared" si="69"/>
        <v>118.32476037397581</v>
      </c>
      <c r="H130" s="83">
        <f t="shared" si="69"/>
        <v>116.75704698878337</v>
      </c>
      <c r="I130" s="83">
        <f t="shared" si="69"/>
        <v>114.99020886541594</v>
      </c>
      <c r="J130" s="83">
        <f t="shared" si="69"/>
        <v>113.08953386666551</v>
      </c>
      <c r="K130" s="83">
        <f t="shared" si="69"/>
        <v>111.05214122644634</v>
      </c>
      <c r="L130" s="83">
        <f t="shared" si="69"/>
        <v>108.88139846205334</v>
      </c>
      <c r="M130" s="83">
        <f t="shared" ref="M130:V132" si="70">SUMIFS(M$117:M$127,$B$117:$B$127,$A130)</f>
        <v>106.61519545713244</v>
      </c>
      <c r="N130" s="83">
        <f t="shared" si="70"/>
        <v>106.95584591784404</v>
      </c>
      <c r="O130" s="83">
        <f t="shared" si="70"/>
        <v>107.25091553706642</v>
      </c>
      <c r="P130" s="83">
        <f t="shared" si="70"/>
        <v>107.50952543302758</v>
      </c>
      <c r="Q130" s="83">
        <f t="shared" si="70"/>
        <v>107.72779071847168</v>
      </c>
      <c r="R130" s="83">
        <f t="shared" si="70"/>
        <v>107.92098369489892</v>
      </c>
      <c r="S130" s="83">
        <f t="shared" si="70"/>
        <v>108.08888687407813</v>
      </c>
      <c r="T130" s="83">
        <f t="shared" si="70"/>
        <v>108.24641846401428</v>
      </c>
      <c r="U130" s="83">
        <f t="shared" si="70"/>
        <v>108.3933270394342</v>
      </c>
      <c r="V130" s="83">
        <f t="shared" si="70"/>
        <v>108.53035020588601</v>
      </c>
      <c r="W130" s="83">
        <f t="shared" ref="W130:AG132" si="71">SUMIFS(W$117:W$127,$B$117:$B$127,$A130)</f>
        <v>108.65818894497357</v>
      </c>
      <c r="X130" s="83">
        <f t="shared" si="71"/>
        <v>108.77725749525769</v>
      </c>
      <c r="Y130" s="83">
        <f t="shared" si="71"/>
        <v>108.88812780569324</v>
      </c>
      <c r="Z130" s="83">
        <f t="shared" si="71"/>
        <v>108.99334519551743</v>
      </c>
      <c r="AA130" s="83">
        <f t="shared" si="71"/>
        <v>109.09542134495472</v>
      </c>
      <c r="AB130" s="83">
        <f t="shared" si="71"/>
        <v>109.18988975493141</v>
      </c>
      <c r="AC130" s="83">
        <f t="shared" si="71"/>
        <v>109.27132889801403</v>
      </c>
      <c r="AD130" s="83">
        <f t="shared" si="71"/>
        <v>109.34810946626013</v>
      </c>
      <c r="AE130" s="83">
        <f t="shared" si="71"/>
        <v>109.42164040956726</v>
      </c>
      <c r="AF130" s="83">
        <f t="shared" si="71"/>
        <v>109.48731339747694</v>
      </c>
      <c r="AG130" s="83">
        <f t="shared" si="71"/>
        <v>109.53845771091989</v>
      </c>
    </row>
    <row r="131" spans="1:33" x14ac:dyDescent="0.75">
      <c r="A131" s="3" t="s">
        <v>117</v>
      </c>
      <c r="C131" s="83">
        <f t="shared" si="69"/>
        <v>864.19049219442979</v>
      </c>
      <c r="D131" s="83">
        <f t="shared" si="69"/>
        <v>835.16605490955953</v>
      </c>
      <c r="E131" s="83">
        <f t="shared" si="69"/>
        <v>804.97087014482611</v>
      </c>
      <c r="F131" s="83">
        <f t="shared" si="69"/>
        <v>774.88671747627586</v>
      </c>
      <c r="G131" s="83">
        <f t="shared" si="69"/>
        <v>745.00886374130107</v>
      </c>
      <c r="H131" s="83">
        <f t="shared" si="69"/>
        <v>715.35286455738162</v>
      </c>
      <c r="I131" s="83">
        <f t="shared" si="69"/>
        <v>686.57305286863675</v>
      </c>
      <c r="J131" s="83">
        <f t="shared" si="69"/>
        <v>658.01473122289576</v>
      </c>
      <c r="K131" s="83">
        <f t="shared" si="69"/>
        <v>629.68565799550038</v>
      </c>
      <c r="L131" s="83">
        <f t="shared" si="69"/>
        <v>601.58723312391544</v>
      </c>
      <c r="M131" s="83">
        <f t="shared" si="70"/>
        <v>573.68619925606947</v>
      </c>
      <c r="N131" s="83">
        <f t="shared" si="70"/>
        <v>572.37764173983851</v>
      </c>
      <c r="O131" s="83">
        <f t="shared" si="70"/>
        <v>571.12669973084076</v>
      </c>
      <c r="P131" s="83">
        <f t="shared" si="70"/>
        <v>569.92427053430913</v>
      </c>
      <c r="Q131" s="83">
        <f t="shared" si="70"/>
        <v>568.77425311098409</v>
      </c>
      <c r="R131" s="83">
        <f t="shared" si="70"/>
        <v>567.66138491109064</v>
      </c>
      <c r="S131" s="83">
        <f t="shared" si="70"/>
        <v>566.75544982658232</v>
      </c>
      <c r="T131" s="83">
        <f t="shared" si="70"/>
        <v>565.87299180777836</v>
      </c>
      <c r="U131" s="83">
        <f t="shared" si="70"/>
        <v>565.01402020641547</v>
      </c>
      <c r="V131" s="83">
        <f t="shared" si="70"/>
        <v>564.1775598983545</v>
      </c>
      <c r="W131" s="83">
        <f t="shared" si="71"/>
        <v>563.36267686250687</v>
      </c>
      <c r="X131" s="83">
        <f t="shared" si="71"/>
        <v>562.6297973690132</v>
      </c>
      <c r="Y131" s="83">
        <f t="shared" si="71"/>
        <v>561.93298926084367</v>
      </c>
      <c r="Z131" s="83">
        <f t="shared" si="71"/>
        <v>561.25357313110374</v>
      </c>
      <c r="AA131" s="83">
        <f t="shared" si="71"/>
        <v>560.5887625119193</v>
      </c>
      <c r="AB131" s="83">
        <f t="shared" si="71"/>
        <v>559.94275764355677</v>
      </c>
      <c r="AC131" s="83">
        <f t="shared" si="71"/>
        <v>559.39297222328275</v>
      </c>
      <c r="AD131" s="83">
        <f t="shared" si="71"/>
        <v>558.85778886992</v>
      </c>
      <c r="AE131" s="83">
        <f t="shared" si="71"/>
        <v>558.33553790446047</v>
      </c>
      <c r="AF131" s="83">
        <f t="shared" si="71"/>
        <v>557.83057535935507</v>
      </c>
      <c r="AG131" s="83">
        <f t="shared" si="71"/>
        <v>557.34932776013102</v>
      </c>
    </row>
    <row r="132" spans="1:33" x14ac:dyDescent="0.75">
      <c r="A132" s="3" t="s">
        <v>118</v>
      </c>
      <c r="C132" s="83">
        <f t="shared" si="69"/>
        <v>446.76120003515064</v>
      </c>
      <c r="D132" s="83">
        <f t="shared" si="69"/>
        <v>444.77134979664311</v>
      </c>
      <c r="E132" s="83">
        <f t="shared" si="69"/>
        <v>442.77571153955955</v>
      </c>
      <c r="F132" s="83">
        <f t="shared" si="69"/>
        <v>440.77424752437662</v>
      </c>
      <c r="G132" s="83">
        <f t="shared" si="69"/>
        <v>438.76691946139834</v>
      </c>
      <c r="H132" s="83">
        <f t="shared" si="69"/>
        <v>436.75368846681636</v>
      </c>
      <c r="I132" s="83">
        <f t="shared" si="69"/>
        <v>434.66280235104773</v>
      </c>
      <c r="J132" s="83">
        <f t="shared" si="69"/>
        <v>432.56659283227418</v>
      </c>
      <c r="K132" s="83">
        <f t="shared" si="69"/>
        <v>430.46504197578145</v>
      </c>
      <c r="L132" s="83">
        <f t="shared" si="69"/>
        <v>428.35813142570919</v>
      </c>
      <c r="M132" s="83">
        <f t="shared" si="70"/>
        <v>426.2458423872099</v>
      </c>
      <c r="N132" s="83">
        <f t="shared" si="70"/>
        <v>426.40398954161503</v>
      </c>
      <c r="O132" s="83">
        <f t="shared" si="70"/>
        <v>426.56186175007042</v>
      </c>
      <c r="P132" s="83">
        <f t="shared" si="70"/>
        <v>426.7194356493352</v>
      </c>
      <c r="Q132" s="83">
        <f t="shared" si="70"/>
        <v>426.87668764203397</v>
      </c>
      <c r="R132" s="83">
        <f t="shared" si="70"/>
        <v>427.0335938843121</v>
      </c>
      <c r="S132" s="83">
        <f t="shared" si="70"/>
        <v>426.96898445891748</v>
      </c>
      <c r="T132" s="83">
        <f t="shared" si="70"/>
        <v>426.90523896892978</v>
      </c>
      <c r="U132" s="83">
        <f t="shared" si="70"/>
        <v>426.84234600356302</v>
      </c>
      <c r="V132" s="83">
        <f t="shared" si="70"/>
        <v>426.78029431360369</v>
      </c>
      <c r="W132" s="83">
        <f t="shared" si="71"/>
        <v>426.71907280905123</v>
      </c>
      <c r="X132" s="83">
        <f t="shared" si="71"/>
        <v>426.58460011554439</v>
      </c>
      <c r="Y132" s="83">
        <f t="shared" si="71"/>
        <v>426.44969311755318</v>
      </c>
      <c r="Z132" s="83">
        <f t="shared" si="71"/>
        <v>426.31441738493851</v>
      </c>
      <c r="AA132" s="83">
        <f t="shared" si="71"/>
        <v>426.17877184469273</v>
      </c>
      <c r="AB132" s="83">
        <f t="shared" si="71"/>
        <v>426.04275541777645</v>
      </c>
      <c r="AC132" s="83">
        <f t="shared" si="71"/>
        <v>426.07407868986945</v>
      </c>
      <c r="AD132" s="83">
        <f t="shared" si="71"/>
        <v>426.10545283924421</v>
      </c>
      <c r="AE132" s="83">
        <f t="shared" si="71"/>
        <v>426.13687798285252</v>
      </c>
      <c r="AF132" s="83">
        <f t="shared" si="71"/>
        <v>426.16835423750365</v>
      </c>
      <c r="AG132" s="83">
        <f t="shared" si="71"/>
        <v>426.19988171988524</v>
      </c>
    </row>
    <row r="134" spans="1:33" ht="16" x14ac:dyDescent="0.8">
      <c r="A134" s="2" t="s">
        <v>171</v>
      </c>
      <c r="C134" s="76">
        <v>2020</v>
      </c>
      <c r="D134" s="76">
        <v>2021</v>
      </c>
      <c r="E134" s="76">
        <v>2022</v>
      </c>
      <c r="F134" s="76">
        <v>2023</v>
      </c>
      <c r="G134" s="76">
        <v>2024</v>
      </c>
      <c r="H134" s="76">
        <v>2025</v>
      </c>
      <c r="I134" s="76">
        <v>2026</v>
      </c>
      <c r="J134" s="76">
        <v>2027</v>
      </c>
      <c r="K134" s="76">
        <v>2028</v>
      </c>
      <c r="L134" s="76">
        <v>2029</v>
      </c>
      <c r="M134" s="76">
        <v>2030</v>
      </c>
      <c r="N134" s="76">
        <v>2031</v>
      </c>
      <c r="O134" s="76">
        <v>2032</v>
      </c>
      <c r="P134" s="76">
        <v>2033</v>
      </c>
      <c r="Q134" s="76">
        <v>2034</v>
      </c>
      <c r="R134" s="76">
        <v>2035</v>
      </c>
      <c r="S134" s="76">
        <v>2036</v>
      </c>
      <c r="T134" s="76">
        <v>2037</v>
      </c>
      <c r="U134" s="76">
        <v>2038</v>
      </c>
      <c r="V134" s="76">
        <v>2039</v>
      </c>
      <c r="W134" s="76">
        <v>2040</v>
      </c>
      <c r="X134" s="76">
        <v>2041</v>
      </c>
      <c r="Y134" s="76">
        <v>2042</v>
      </c>
      <c r="Z134" s="76">
        <v>2043</v>
      </c>
      <c r="AA134" s="76">
        <v>2044</v>
      </c>
      <c r="AB134" s="76">
        <v>2045</v>
      </c>
      <c r="AC134" s="76">
        <v>2046</v>
      </c>
      <c r="AD134" s="76">
        <v>2047</v>
      </c>
      <c r="AE134" s="76">
        <v>2048</v>
      </c>
      <c r="AF134" s="76">
        <v>2049</v>
      </c>
      <c r="AG134" s="76">
        <v>2050</v>
      </c>
    </row>
    <row r="135" spans="1:33" x14ac:dyDescent="0.75">
      <c r="A135" s="3" t="s">
        <v>119</v>
      </c>
      <c r="C135" s="83">
        <v>0</v>
      </c>
      <c r="D135" s="82">
        <f>1-(D130/C130)</f>
        <v>1.9510619638432258E-2</v>
      </c>
      <c r="E135" s="82">
        <f t="shared" ref="E135:AG137" si="72">1-(E130/D130)</f>
        <v>1.0006374024611353E-2</v>
      </c>
      <c r="F135" s="82">
        <f t="shared" si="72"/>
        <v>1.0598221764758109E-2</v>
      </c>
      <c r="G135" s="82">
        <f t="shared" si="72"/>
        <v>1.1892683795220682E-2</v>
      </c>
      <c r="H135" s="82">
        <f t="shared" si="72"/>
        <v>1.324924200342803E-2</v>
      </c>
      <c r="I135" s="82">
        <f t="shared" si="72"/>
        <v>1.5132603718019499E-2</v>
      </c>
      <c r="J135" s="82">
        <f t="shared" si="72"/>
        <v>1.6529015970176864E-2</v>
      </c>
      <c r="K135" s="82">
        <f t="shared" si="72"/>
        <v>1.8015748854542823E-2</v>
      </c>
      <c r="L135" s="82">
        <f t="shared" si="72"/>
        <v>1.9547059069906947E-2</v>
      </c>
      <c r="M135" s="82">
        <f t="shared" si="72"/>
        <v>2.0813500165601795E-2</v>
      </c>
      <c r="N135" s="82">
        <f t="shared" si="72"/>
        <v>-3.1951398602327874E-3</v>
      </c>
      <c r="O135" s="82">
        <f t="shared" si="72"/>
        <v>-2.7587984246231212E-3</v>
      </c>
      <c r="P135" s="82">
        <f t="shared" si="72"/>
        <v>-2.4112604975552454E-3</v>
      </c>
      <c r="Q135" s="82">
        <f t="shared" si="72"/>
        <v>-2.0301948554324323E-3</v>
      </c>
      <c r="R135" s="82">
        <f t="shared" si="72"/>
        <v>-1.7933439007593588E-3</v>
      </c>
      <c r="S135" s="82">
        <f t="shared" si="72"/>
        <v>-1.5557973382995804E-3</v>
      </c>
      <c r="T135" s="82">
        <f t="shared" si="72"/>
        <v>-1.4574263320861203E-3</v>
      </c>
      <c r="U135" s="82">
        <f t="shared" si="72"/>
        <v>-1.3571680015329601E-3</v>
      </c>
      <c r="V135" s="82">
        <f t="shared" si="72"/>
        <v>-1.2641291691504186E-3</v>
      </c>
      <c r="W135" s="82">
        <f t="shared" si="72"/>
        <v>-1.1779077359010959E-3</v>
      </c>
      <c r="X135" s="82">
        <f t="shared" si="72"/>
        <v>-1.0958083457879297E-3</v>
      </c>
      <c r="Y135" s="82">
        <f t="shared" si="72"/>
        <v>-1.0192416410239602E-3</v>
      </c>
      <c r="Z135" s="82">
        <f t="shared" si="72"/>
        <v>-9.6628890536121226E-4</v>
      </c>
      <c r="AA135" s="82">
        <f t="shared" si="72"/>
        <v>-9.3653561374940075E-4</v>
      </c>
      <c r="AB135" s="82">
        <f t="shared" si="72"/>
        <v>-8.6592460812817684E-4</v>
      </c>
      <c r="AC135" s="82">
        <f t="shared" si="72"/>
        <v>-7.4584875271321849E-4</v>
      </c>
      <c r="AD135" s="82">
        <f t="shared" si="72"/>
        <v>-7.0265978294958842E-4</v>
      </c>
      <c r="AE135" s="82">
        <f t="shared" si="72"/>
        <v>-6.7244823587753189E-4</v>
      </c>
      <c r="AF135" s="82">
        <f t="shared" si="72"/>
        <v>-6.0018281268559015E-4</v>
      </c>
      <c r="AG135" s="82">
        <f t="shared" si="72"/>
        <v>-4.6712547651317493E-4</v>
      </c>
    </row>
    <row r="136" spans="1:33" x14ac:dyDescent="0.75">
      <c r="A136" s="3" t="s">
        <v>117</v>
      </c>
      <c r="C136" s="83">
        <v>0</v>
      </c>
      <c r="D136" s="82">
        <f t="shared" ref="D136:S137" si="73">1-(D131/C131)</f>
        <v>3.3585693833738883E-2</v>
      </c>
      <c r="E136" s="82">
        <f t="shared" si="73"/>
        <v>3.6154707901775662E-2</v>
      </c>
      <c r="F136" s="82">
        <f t="shared" si="73"/>
        <v>3.7372970605927258E-2</v>
      </c>
      <c r="G136" s="82">
        <f t="shared" si="73"/>
        <v>3.8557705353737148E-2</v>
      </c>
      <c r="H136" s="82">
        <f t="shared" si="73"/>
        <v>3.9806236713738286E-2</v>
      </c>
      <c r="I136" s="82">
        <f t="shared" si="73"/>
        <v>4.0231629891567033E-2</v>
      </c>
      <c r="J136" s="82">
        <f t="shared" si="73"/>
        <v>4.1595459545664792E-2</v>
      </c>
      <c r="K136" s="82">
        <f t="shared" si="73"/>
        <v>4.305233892673932E-2</v>
      </c>
      <c r="L136" s="82">
        <f t="shared" si="73"/>
        <v>4.462293926311045E-2</v>
      </c>
      <c r="M136" s="82">
        <f t="shared" si="73"/>
        <v>4.6379032551874144E-2</v>
      </c>
      <c r="N136" s="82">
        <f t="shared" si="73"/>
        <v>2.280963910109457E-3</v>
      </c>
      <c r="O136" s="82">
        <f t="shared" si="73"/>
        <v>2.1855186467369947E-3</v>
      </c>
      <c r="P136" s="82">
        <f t="shared" si="73"/>
        <v>2.1053633057223076E-3</v>
      </c>
      <c r="Q136" s="82">
        <f t="shared" si="73"/>
        <v>2.017842514843049E-3</v>
      </c>
      <c r="R136" s="82">
        <f t="shared" si="73"/>
        <v>1.9566079051688279E-3</v>
      </c>
      <c r="S136" s="82">
        <f t="shared" si="73"/>
        <v>1.5959075402851575E-3</v>
      </c>
      <c r="T136" s="82">
        <f t="shared" si="72"/>
        <v>1.5570349064556455E-3</v>
      </c>
      <c r="U136" s="82">
        <f t="shared" si="72"/>
        <v>1.5179582941726721E-3</v>
      </c>
      <c r="V136" s="82">
        <f t="shared" si="72"/>
        <v>1.4804239862142854E-3</v>
      </c>
      <c r="W136" s="82">
        <f t="shared" si="72"/>
        <v>1.4443733564916128E-3</v>
      </c>
      <c r="X136" s="82">
        <f t="shared" si="72"/>
        <v>1.3009017522694899E-3</v>
      </c>
      <c r="Y136" s="82">
        <f t="shared" si="72"/>
        <v>1.2384841887649323E-3</v>
      </c>
      <c r="Z136" s="82">
        <f t="shared" si="72"/>
        <v>1.2090696626186892E-3</v>
      </c>
      <c r="AA136" s="82">
        <f t="shared" si="72"/>
        <v>1.1845102659669982E-3</v>
      </c>
      <c r="AB136" s="82">
        <f t="shared" si="72"/>
        <v>1.1523685659838856E-3</v>
      </c>
      <c r="AC136" s="82">
        <f t="shared" si="72"/>
        <v>9.8186004331535237E-4</v>
      </c>
      <c r="AD136" s="82">
        <f t="shared" si="72"/>
        <v>9.5672162493509738E-4</v>
      </c>
      <c r="AE136" s="82">
        <f t="shared" si="72"/>
        <v>9.3449706859338733E-4</v>
      </c>
      <c r="AF136" s="82">
        <f t="shared" si="72"/>
        <v>9.0440695750915179E-4</v>
      </c>
      <c r="AG136" s="82">
        <f t="shared" si="72"/>
        <v>8.6271283877548122E-4</v>
      </c>
    </row>
    <row r="137" spans="1:33" x14ac:dyDescent="0.75">
      <c r="A137" s="3" t="s">
        <v>118</v>
      </c>
      <c r="C137" s="83">
        <v>0</v>
      </c>
      <c r="D137" s="82">
        <f t="shared" si="73"/>
        <v>4.4539459522244806E-3</v>
      </c>
      <c r="E137" s="82">
        <f t="shared" si="72"/>
        <v>4.4868858077211637E-3</v>
      </c>
      <c r="F137" s="82">
        <f t="shared" si="72"/>
        <v>4.5202660467162925E-3</v>
      </c>
      <c r="G137" s="82">
        <f t="shared" si="72"/>
        <v>4.5540956039344938E-3</v>
      </c>
      <c r="H137" s="82">
        <f t="shared" si="72"/>
        <v>4.588383730143808E-3</v>
      </c>
      <c r="I137" s="82">
        <f t="shared" si="72"/>
        <v>4.7873347632357843E-3</v>
      </c>
      <c r="J137" s="82">
        <f t="shared" si="72"/>
        <v>4.8226107857294309E-3</v>
      </c>
      <c r="K137" s="82">
        <f t="shared" si="72"/>
        <v>4.8583290788422051E-3</v>
      </c>
      <c r="L137" s="82">
        <f t="shared" si="72"/>
        <v>4.8944986110877053E-3</v>
      </c>
      <c r="M137" s="82">
        <f t="shared" si="72"/>
        <v>4.9311286130344634E-3</v>
      </c>
      <c r="N137" s="82">
        <f t="shared" si="72"/>
        <v>-3.7102333601524151E-4</v>
      </c>
      <c r="O137" s="82">
        <f t="shared" si="72"/>
        <v>-3.7024092721349433E-4</v>
      </c>
      <c r="P137" s="82">
        <f t="shared" si="72"/>
        <v>-3.6940456565504043E-4</v>
      </c>
      <c r="Q137" s="82">
        <f t="shared" si="72"/>
        <v>-3.6851378109714616E-4</v>
      </c>
      <c r="R137" s="82">
        <f t="shared" si="72"/>
        <v>-3.6756807485738285E-4</v>
      </c>
      <c r="S137" s="82">
        <f t="shared" si="72"/>
        <v>1.5129822646253732E-4</v>
      </c>
      <c r="T137" s="82">
        <f t="shared" si="72"/>
        <v>1.4929770617522209E-4</v>
      </c>
      <c r="U137" s="82">
        <f t="shared" si="72"/>
        <v>1.4732301135178538E-4</v>
      </c>
      <c r="V137" s="82">
        <f t="shared" si="72"/>
        <v>1.4537379090973079E-4</v>
      </c>
      <c r="W137" s="82">
        <f t="shared" si="72"/>
        <v>1.4344969851742828E-4</v>
      </c>
      <c r="X137" s="82">
        <f t="shared" si="72"/>
        <v>3.1513166876184773E-4</v>
      </c>
      <c r="Y137" s="82">
        <f t="shared" si="72"/>
        <v>3.1624910499505887E-4</v>
      </c>
      <c r="Z137" s="82">
        <f t="shared" si="72"/>
        <v>3.1721381161220474E-4</v>
      </c>
      <c r="AA137" s="82">
        <f t="shared" si="72"/>
        <v>3.1818192093491238E-4</v>
      </c>
      <c r="AB137" s="82">
        <f t="shared" si="72"/>
        <v>3.1915345367283798E-4</v>
      </c>
      <c r="AC137" s="82">
        <f t="shared" si="72"/>
        <v>-7.3521428764378172E-5</v>
      </c>
      <c r="AD137" s="82">
        <f t="shared" si="72"/>
        <v>-7.3635433235574865E-5</v>
      </c>
      <c r="AE137" s="82">
        <f t="shared" si="72"/>
        <v>-7.3749686606783271E-5</v>
      </c>
      <c r="AF137" s="82">
        <f t="shared" si="72"/>
        <v>-7.3864188427252842E-5</v>
      </c>
      <c r="AG137" s="82">
        <f t="shared" si="72"/>
        <v>-7.3978938295304886E-5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2B041-0A8E-4264-B649-B7FD8DBF3D79}">
  <sheetPr>
    <tabColor rgb="FF002060"/>
  </sheetPr>
  <dimension ref="A1:AF7"/>
  <sheetViews>
    <sheetView workbookViewId="0">
      <selection activeCell="C3" sqref="C3"/>
    </sheetView>
  </sheetViews>
  <sheetFormatPr defaultRowHeight="14.75" x14ac:dyDescent="0.75"/>
  <cols>
    <col min="1" max="1" width="21" bestFit="1" customWidth="1"/>
  </cols>
  <sheetData>
    <row r="1" spans="1:32" x14ac:dyDescent="0.75">
      <c r="A1" t="s">
        <v>178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172</v>
      </c>
      <c r="B2" s="85">
        <f>'Pass LDVs'!B186</f>
        <v>0</v>
      </c>
      <c r="C2" s="85">
        <f>'Pass LDVs'!C186</f>
        <v>2.1413177498498803E-2</v>
      </c>
      <c r="D2" s="85">
        <f>'Pass LDVs'!D186</f>
        <v>2.1881734973463018E-2</v>
      </c>
      <c r="E2" s="85">
        <f>'Pass LDVs'!E186</f>
        <v>2.2371256887701918E-2</v>
      </c>
      <c r="F2" s="85">
        <f>'Pass LDVs'!F186</f>
        <v>2.2883182440486149E-2</v>
      </c>
      <c r="G2" s="85">
        <f>'Pass LDVs'!G186</f>
        <v>2.3419085650004612E-2</v>
      </c>
      <c r="H2" s="85">
        <f>'Pass LDVs'!H186</f>
        <v>2.3980691518625585E-2</v>
      </c>
      <c r="I2" s="85">
        <f>'Pass LDVs'!I186</f>
        <v>2.4569894581223051E-2</v>
      </c>
      <c r="J2" s="85">
        <f>'Pass LDVs'!J186</f>
        <v>2.5188780256761301E-2</v>
      </c>
      <c r="K2" s="85">
        <f>'Pass LDVs'!K186</f>
        <v>2.5839649510185136E-2</v>
      </c>
      <c r="L2" s="85">
        <f>'Pass LDVs'!L186</f>
        <v>2.65250474392561E-2</v>
      </c>
      <c r="M2" s="85">
        <f>'Pass LDVs'!M186</f>
        <v>5.0903010937787263E-3</v>
      </c>
      <c r="N2" s="85">
        <f>'Pass LDVs'!N186</f>
        <v>5.1163448294602176E-3</v>
      </c>
      <c r="O2" s="85">
        <f>'Pass LDVs'!O186</f>
        <v>5.1426564331115143E-3</v>
      </c>
      <c r="P2" s="85">
        <f>'Pass LDVs'!P186</f>
        <v>5.1692400587539655E-3</v>
      </c>
      <c r="Q2" s="85">
        <f>'Pass LDVs'!Q186</f>
        <v>5.1960999467479674E-3</v>
      </c>
      <c r="R2" s="85">
        <f>'Pass LDVs'!R186</f>
        <v>5.2222763529401472E-3</v>
      </c>
      <c r="S2" s="85">
        <f>'Pass LDVs'!S186</f>
        <v>5.2487256464633716E-3</v>
      </c>
      <c r="T2" s="85">
        <f>'Pass LDVs'!T186</f>
        <v>5.275174939986596E-3</v>
      </c>
      <c r="U2" s="85">
        <f>'Pass LDVs'!U186</f>
        <v>5.3016242335098204E-3</v>
      </c>
      <c r="V2" s="85">
        <f>'Pass LDVs'!V186</f>
        <v>5.3280735270330448E-3</v>
      </c>
      <c r="W2" s="85">
        <f>'Pass LDVs'!W186</f>
        <v>5.3545228205562623E-3</v>
      </c>
      <c r="X2" s="85">
        <f>'Pass LDVs'!X186</f>
        <v>5.3809721140794867E-3</v>
      </c>
      <c r="Y2" s="85">
        <f>'Pass LDVs'!Y186</f>
        <v>5.4074214076027111E-3</v>
      </c>
      <c r="Z2" s="85">
        <f>'Pass LDVs'!Z186</f>
        <v>5.4338707011259355E-3</v>
      </c>
      <c r="AA2" s="85">
        <f>'Pass LDVs'!AA186</f>
        <v>5.4603199946491598E-3</v>
      </c>
      <c r="AB2" s="85">
        <f>'Pass LDVs'!AB186</f>
        <v>5.4867692881723773E-3</v>
      </c>
      <c r="AC2" s="85">
        <f>'Pass LDVs'!AC186</f>
        <v>5.5132185816956017E-3</v>
      </c>
      <c r="AD2" s="85">
        <f>'Pass LDVs'!AD186</f>
        <v>5.5396678752188261E-3</v>
      </c>
      <c r="AE2" s="85">
        <f>'Pass LDVs'!AE186</f>
        <v>5.5661171687420505E-3</v>
      </c>
      <c r="AF2" s="85">
        <f>'Pass LDVs'!AF186</f>
        <v>5.5925664622652749E-3</v>
      </c>
    </row>
    <row r="3" spans="1:32" x14ac:dyDescent="0.75">
      <c r="A3" t="s">
        <v>173</v>
      </c>
      <c r="B3" s="85">
        <f>'Freight LDVs + HDVs'!C137</f>
        <v>0</v>
      </c>
      <c r="C3" s="85">
        <f>'Freight LDVs + HDVs'!D137</f>
        <v>4.4539459522244806E-3</v>
      </c>
      <c r="D3" s="85">
        <f>'Freight LDVs + HDVs'!E137</f>
        <v>4.4868858077211637E-3</v>
      </c>
      <c r="E3" s="85">
        <f>'Freight LDVs + HDVs'!F137</f>
        <v>4.5202660467162925E-3</v>
      </c>
      <c r="F3" s="85">
        <f>'Freight LDVs + HDVs'!G137</f>
        <v>4.5540956039344938E-3</v>
      </c>
      <c r="G3" s="85">
        <f>'Freight LDVs + HDVs'!H137</f>
        <v>4.588383730143808E-3</v>
      </c>
      <c r="H3" s="85">
        <f>'Freight LDVs + HDVs'!I137</f>
        <v>4.7873347632357843E-3</v>
      </c>
      <c r="I3" s="85">
        <f>'Freight LDVs + HDVs'!J137</f>
        <v>4.8226107857294309E-3</v>
      </c>
      <c r="J3" s="85">
        <f>'Freight LDVs + HDVs'!K137</f>
        <v>4.8583290788422051E-3</v>
      </c>
      <c r="K3" s="85">
        <f>'Freight LDVs + HDVs'!L137</f>
        <v>4.8944986110877053E-3</v>
      </c>
      <c r="L3" s="85">
        <f>'Freight LDVs + HDVs'!M137</f>
        <v>4.9311286130344634E-3</v>
      </c>
      <c r="M3" s="85">
        <f>'Freight LDVs + HDVs'!N137</f>
        <v>-3.7102333601524151E-4</v>
      </c>
      <c r="N3" s="85">
        <f>'Freight LDVs + HDVs'!O137</f>
        <v>-3.7024092721349433E-4</v>
      </c>
      <c r="O3" s="85">
        <f>'Freight LDVs + HDVs'!P137</f>
        <v>-3.6940456565504043E-4</v>
      </c>
      <c r="P3" s="85">
        <f>'Freight LDVs + HDVs'!Q137</f>
        <v>-3.6851378109714616E-4</v>
      </c>
      <c r="Q3" s="85">
        <f>'Freight LDVs + HDVs'!R137</f>
        <v>-3.6756807485738285E-4</v>
      </c>
      <c r="R3" s="85">
        <f>'Freight LDVs + HDVs'!S137</f>
        <v>1.5129822646253732E-4</v>
      </c>
      <c r="S3" s="85">
        <f>'Freight LDVs + HDVs'!T137</f>
        <v>1.4929770617522209E-4</v>
      </c>
      <c r="T3" s="85">
        <f>'Freight LDVs + HDVs'!U137</f>
        <v>1.4732301135178538E-4</v>
      </c>
      <c r="U3" s="85">
        <f>'Freight LDVs + HDVs'!V137</f>
        <v>1.4537379090973079E-4</v>
      </c>
      <c r="V3" s="85">
        <f>'Freight LDVs + HDVs'!W137</f>
        <v>1.4344969851742828E-4</v>
      </c>
      <c r="W3" s="85">
        <f>'Freight LDVs + HDVs'!X137</f>
        <v>3.1513166876184773E-4</v>
      </c>
      <c r="X3" s="85">
        <f>'Freight LDVs + HDVs'!Y137</f>
        <v>3.1624910499505887E-4</v>
      </c>
      <c r="Y3" s="85">
        <f>'Freight LDVs + HDVs'!Z137</f>
        <v>3.1721381161220474E-4</v>
      </c>
      <c r="Z3" s="85">
        <f>'Freight LDVs + HDVs'!AA137</f>
        <v>3.1818192093491238E-4</v>
      </c>
      <c r="AA3" s="85">
        <f>'Freight LDVs + HDVs'!AB137</f>
        <v>3.1915345367283798E-4</v>
      </c>
      <c r="AB3" s="85">
        <f>'Freight LDVs + HDVs'!AC137</f>
        <v>-7.3521428764378172E-5</v>
      </c>
      <c r="AC3" s="85">
        <f>'Freight LDVs + HDVs'!AD137</f>
        <v>-7.3635433235574865E-5</v>
      </c>
      <c r="AD3" s="85">
        <f>'Freight LDVs + HDVs'!AE137</f>
        <v>-7.3749686606783271E-5</v>
      </c>
      <c r="AE3" s="85">
        <f>'Freight LDVs + HDVs'!AF137</f>
        <v>-7.3864188427252842E-5</v>
      </c>
      <c r="AF3" s="85">
        <f>'Freight LDVs + HDVs'!AG137</f>
        <v>-7.3978938295304886E-5</v>
      </c>
    </row>
    <row r="4" spans="1:32" x14ac:dyDescent="0.75">
      <c r="A4" t="s">
        <v>174</v>
      </c>
      <c r="B4" s="86">
        <v>0</v>
      </c>
      <c r="C4" s="86">
        <v>0</v>
      </c>
      <c r="D4" s="86">
        <v>0</v>
      </c>
      <c r="E4" s="86">
        <v>0</v>
      </c>
      <c r="F4" s="86">
        <v>0</v>
      </c>
      <c r="G4" s="86">
        <v>0</v>
      </c>
      <c r="H4" s="86">
        <v>0</v>
      </c>
      <c r="I4" s="86">
        <v>0</v>
      </c>
      <c r="J4" s="86">
        <v>0</v>
      </c>
      <c r="K4" s="86">
        <v>0</v>
      </c>
      <c r="L4" s="86">
        <v>0</v>
      </c>
      <c r="M4" s="86">
        <v>0</v>
      </c>
      <c r="N4" s="86">
        <v>0</v>
      </c>
      <c r="O4" s="86">
        <v>0</v>
      </c>
      <c r="P4" s="86">
        <v>0</v>
      </c>
      <c r="Q4" s="86">
        <v>0</v>
      </c>
      <c r="R4" s="86">
        <v>0</v>
      </c>
      <c r="S4" s="86">
        <v>0</v>
      </c>
      <c r="T4" s="86">
        <v>0</v>
      </c>
      <c r="U4" s="86">
        <v>0</v>
      </c>
      <c r="V4" s="86">
        <v>0</v>
      </c>
      <c r="W4" s="86">
        <v>0</v>
      </c>
      <c r="X4" s="86">
        <v>0</v>
      </c>
      <c r="Y4" s="86">
        <v>0</v>
      </c>
      <c r="Z4" s="86">
        <v>0</v>
      </c>
      <c r="AA4" s="86">
        <v>0</v>
      </c>
      <c r="AB4" s="86">
        <v>0</v>
      </c>
      <c r="AC4" s="86">
        <v>0</v>
      </c>
      <c r="AD4" s="86">
        <v>0</v>
      </c>
      <c r="AE4" s="86">
        <v>0</v>
      </c>
      <c r="AF4" s="86">
        <v>0</v>
      </c>
    </row>
    <row r="5" spans="1:32" x14ac:dyDescent="0.75">
      <c r="A5" t="s">
        <v>175</v>
      </c>
      <c r="B5" s="86">
        <v>0</v>
      </c>
      <c r="C5" s="86">
        <v>0</v>
      </c>
      <c r="D5" s="86">
        <v>0</v>
      </c>
      <c r="E5" s="86">
        <v>0</v>
      </c>
      <c r="F5" s="86">
        <v>0</v>
      </c>
      <c r="G5" s="86">
        <v>0</v>
      </c>
      <c r="H5" s="86">
        <v>0</v>
      </c>
      <c r="I5" s="86">
        <v>0</v>
      </c>
      <c r="J5" s="86">
        <v>0</v>
      </c>
      <c r="K5" s="86">
        <v>0</v>
      </c>
      <c r="L5" s="86">
        <v>0</v>
      </c>
      <c r="M5" s="86">
        <v>0</v>
      </c>
      <c r="N5" s="86">
        <v>0</v>
      </c>
      <c r="O5" s="86">
        <v>0</v>
      </c>
      <c r="P5" s="86">
        <v>0</v>
      </c>
      <c r="Q5" s="86">
        <v>0</v>
      </c>
      <c r="R5" s="86">
        <v>0</v>
      </c>
      <c r="S5" s="86">
        <v>0</v>
      </c>
      <c r="T5" s="86">
        <v>0</v>
      </c>
      <c r="U5" s="86">
        <v>0</v>
      </c>
      <c r="V5" s="86">
        <v>0</v>
      </c>
      <c r="W5" s="86">
        <v>0</v>
      </c>
      <c r="X5" s="86">
        <v>0</v>
      </c>
      <c r="Y5" s="86">
        <v>0</v>
      </c>
      <c r="Z5" s="86">
        <v>0</v>
      </c>
      <c r="AA5" s="86">
        <v>0</v>
      </c>
      <c r="AB5" s="86">
        <v>0</v>
      </c>
      <c r="AC5" s="86">
        <v>0</v>
      </c>
      <c r="AD5" s="86">
        <v>0</v>
      </c>
      <c r="AE5" s="86">
        <v>0</v>
      </c>
      <c r="AF5" s="86">
        <v>0</v>
      </c>
    </row>
    <row r="6" spans="1:32" x14ac:dyDescent="0.75">
      <c r="A6" t="s">
        <v>176</v>
      </c>
      <c r="B6" s="86">
        <v>0</v>
      </c>
      <c r="C6" s="86">
        <v>0</v>
      </c>
      <c r="D6" s="86">
        <v>0</v>
      </c>
      <c r="E6" s="86">
        <v>0</v>
      </c>
      <c r="F6" s="86">
        <v>0</v>
      </c>
      <c r="G6" s="86">
        <v>0</v>
      </c>
      <c r="H6" s="86">
        <v>0</v>
      </c>
      <c r="I6" s="86">
        <v>0</v>
      </c>
      <c r="J6" s="86">
        <v>0</v>
      </c>
      <c r="K6" s="86">
        <v>0</v>
      </c>
      <c r="L6" s="86">
        <v>0</v>
      </c>
      <c r="M6" s="86">
        <v>0</v>
      </c>
      <c r="N6" s="86">
        <v>0</v>
      </c>
      <c r="O6" s="86">
        <v>0</v>
      </c>
      <c r="P6" s="86">
        <v>0</v>
      </c>
      <c r="Q6" s="86">
        <v>0</v>
      </c>
      <c r="R6" s="86">
        <v>0</v>
      </c>
      <c r="S6" s="86">
        <v>0</v>
      </c>
      <c r="T6" s="86">
        <v>0</v>
      </c>
      <c r="U6" s="86">
        <v>0</v>
      </c>
      <c r="V6" s="86">
        <v>0</v>
      </c>
      <c r="W6" s="86">
        <v>0</v>
      </c>
      <c r="X6" s="86">
        <v>0</v>
      </c>
      <c r="Y6" s="86">
        <v>0</v>
      </c>
      <c r="Z6" s="86">
        <v>0</v>
      </c>
      <c r="AA6" s="86">
        <v>0</v>
      </c>
      <c r="AB6" s="86">
        <v>0</v>
      </c>
      <c r="AC6" s="86">
        <v>0</v>
      </c>
      <c r="AD6" s="86">
        <v>0</v>
      </c>
      <c r="AE6" s="86">
        <v>0</v>
      </c>
      <c r="AF6" s="86">
        <v>0</v>
      </c>
    </row>
    <row r="7" spans="1:32" x14ac:dyDescent="0.75">
      <c r="A7" t="s">
        <v>177</v>
      </c>
      <c r="B7" s="86">
        <v>0</v>
      </c>
      <c r="C7" s="86">
        <v>0</v>
      </c>
      <c r="D7" s="86">
        <v>0</v>
      </c>
      <c r="E7" s="86">
        <v>0</v>
      </c>
      <c r="F7" s="86">
        <v>0</v>
      </c>
      <c r="G7" s="86">
        <v>0</v>
      </c>
      <c r="H7" s="86">
        <v>0</v>
      </c>
      <c r="I7" s="86">
        <v>0</v>
      </c>
      <c r="J7" s="86">
        <v>0</v>
      </c>
      <c r="K7" s="86">
        <v>0</v>
      </c>
      <c r="L7" s="86">
        <v>0</v>
      </c>
      <c r="M7" s="86">
        <v>0</v>
      </c>
      <c r="N7" s="86">
        <v>0</v>
      </c>
      <c r="O7" s="86">
        <v>0</v>
      </c>
      <c r="P7" s="86">
        <v>0</v>
      </c>
      <c r="Q7" s="86">
        <v>0</v>
      </c>
      <c r="R7" s="86">
        <v>0</v>
      </c>
      <c r="S7" s="86">
        <v>0</v>
      </c>
      <c r="T7" s="86">
        <v>0</v>
      </c>
      <c r="U7" s="86">
        <v>0</v>
      </c>
      <c r="V7" s="86">
        <v>0</v>
      </c>
      <c r="W7" s="86">
        <v>0</v>
      </c>
      <c r="X7" s="86">
        <v>0</v>
      </c>
      <c r="Y7" s="86">
        <v>0</v>
      </c>
      <c r="Z7" s="86">
        <v>0</v>
      </c>
      <c r="AA7" s="86">
        <v>0</v>
      </c>
      <c r="AB7" s="86">
        <v>0</v>
      </c>
      <c r="AC7" s="86">
        <v>0</v>
      </c>
      <c r="AD7" s="86">
        <v>0</v>
      </c>
      <c r="AE7" s="86">
        <v>0</v>
      </c>
      <c r="AF7" s="8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320B3-2ED3-4BE5-B147-A859242B9566}">
  <sheetPr>
    <tabColor rgb="FF002060"/>
  </sheetPr>
  <dimension ref="A1:AF7"/>
  <sheetViews>
    <sheetView workbookViewId="0"/>
  </sheetViews>
  <sheetFormatPr defaultRowHeight="14.75" x14ac:dyDescent="0.75"/>
  <sheetData>
    <row r="1" spans="1:32" x14ac:dyDescent="0.75">
      <c r="A1" t="s">
        <v>178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172</v>
      </c>
      <c r="B2" s="85">
        <f>'Pass LDVs'!B187</f>
        <v>0</v>
      </c>
      <c r="C2" s="85">
        <f>'Pass LDVs'!C187</f>
        <v>-9.7756972240714557E-3</v>
      </c>
      <c r="D2" s="85">
        <f>'Pass LDVs'!D187</f>
        <v>-9.6810581309800803E-3</v>
      </c>
      <c r="E2" s="85">
        <f>'Pass LDVs'!E187</f>
        <v>-9.5882338813975121E-3</v>
      </c>
      <c r="F2" s="85">
        <f>'Pass LDVs'!F187</f>
        <v>-9.4971727676889106E-3</v>
      </c>
      <c r="G2" s="85">
        <f>'Pass LDVs'!G187</f>
        <v>-9.407825028029615E-3</v>
      </c>
      <c r="H2" s="85">
        <f>'Pass LDVs'!H187</f>
        <v>-9.3201427557472183E-3</v>
      </c>
      <c r="I2" s="85">
        <f>'Pass LDVs'!I187</f>
        <v>-9.2340798136658631E-3</v>
      </c>
      <c r="J2" s="85">
        <f>'Pass LDVs'!J187</f>
        <v>-9.1495917531547732E-3</v>
      </c>
      <c r="K2" s="85">
        <f>'Pass LDVs'!K187</f>
        <v>-9.0666357375814854E-3</v>
      </c>
      <c r="L2" s="85">
        <f>'Pass LDVs'!L187</f>
        <v>-8.9851704698911128E-3</v>
      </c>
      <c r="M2" s="85">
        <f>'Pass LDVs'!M187</f>
        <v>4.918293359303938E-3</v>
      </c>
      <c r="N2" s="85">
        <f>'Pass LDVs'!N187</f>
        <v>4.9426025284975417E-3</v>
      </c>
      <c r="O2" s="85">
        <f>'Pass LDVs'!O187</f>
        <v>4.9671531924259105E-3</v>
      </c>
      <c r="P2" s="85">
        <f>'Pass LDVs'!P187</f>
        <v>4.9919489676770734E-3</v>
      </c>
      <c r="Q2" s="85">
        <f>'Pass LDVs'!Q187</f>
        <v>5.0169935434172253E-3</v>
      </c>
      <c r="R2" s="85">
        <f>'Pass LDVs'!R187</f>
        <v>5.0414223604861655E-3</v>
      </c>
      <c r="S2" s="85">
        <f>'Pass LDVs'!S187</f>
        <v>5.0660970412267775E-3</v>
      </c>
      <c r="T2" s="85">
        <f>'Pass LDVs'!T187</f>
        <v>5.0907717219673895E-3</v>
      </c>
      <c r="U2" s="85">
        <f>'Pass LDVs'!U187</f>
        <v>5.1154464027080015E-3</v>
      </c>
      <c r="V2" s="85">
        <f>'Pass LDVs'!V187</f>
        <v>5.1401210834486136E-3</v>
      </c>
      <c r="W2" s="85">
        <f>'Pass LDVs'!W187</f>
        <v>5.1647957641892187E-3</v>
      </c>
      <c r="X2" s="85">
        <f>'Pass LDVs'!X187</f>
        <v>5.1894704449298307E-3</v>
      </c>
      <c r="Y2" s="85">
        <f>'Pass LDVs'!Y187</f>
        <v>5.2141451256704427E-3</v>
      </c>
      <c r="Z2" s="85">
        <f>'Pass LDVs'!Z187</f>
        <v>5.2388198064110547E-3</v>
      </c>
      <c r="AA2" s="85">
        <f>'Pass LDVs'!AA187</f>
        <v>5.2634944871516667E-3</v>
      </c>
      <c r="AB2" s="85">
        <f>'Pass LDVs'!AB187</f>
        <v>5.2881691678922718E-3</v>
      </c>
      <c r="AC2" s="85">
        <f>'Pass LDVs'!AC187</f>
        <v>5.3128438486328838E-3</v>
      </c>
      <c r="AD2" s="85">
        <f>'Pass LDVs'!AD187</f>
        <v>5.3375185293734959E-3</v>
      </c>
      <c r="AE2" s="85">
        <f>'Pass LDVs'!AE187</f>
        <v>5.3621932101141079E-3</v>
      </c>
      <c r="AF2" s="85">
        <f>'Pass LDVs'!AF187</f>
        <v>5.3868678908547199E-3</v>
      </c>
    </row>
    <row r="3" spans="1:32" x14ac:dyDescent="0.75">
      <c r="A3" t="s">
        <v>173</v>
      </c>
      <c r="B3" s="87">
        <f>0</f>
        <v>0</v>
      </c>
      <c r="C3" s="87">
        <f>0</f>
        <v>0</v>
      </c>
      <c r="D3" s="87">
        <f>0</f>
        <v>0</v>
      </c>
      <c r="E3" s="87">
        <f>0</f>
        <v>0</v>
      </c>
      <c r="F3" s="87">
        <f>0</f>
        <v>0</v>
      </c>
      <c r="G3" s="87">
        <f>0</f>
        <v>0</v>
      </c>
      <c r="H3" s="87">
        <f>0</f>
        <v>0</v>
      </c>
      <c r="I3" s="87">
        <f>0</f>
        <v>0</v>
      </c>
      <c r="J3" s="87">
        <f>0</f>
        <v>0</v>
      </c>
      <c r="K3" s="87">
        <f>0</f>
        <v>0</v>
      </c>
      <c r="L3" s="87">
        <f>0</f>
        <v>0</v>
      </c>
      <c r="M3" s="87">
        <f>0</f>
        <v>0</v>
      </c>
      <c r="N3" s="87">
        <f>0</f>
        <v>0</v>
      </c>
      <c r="O3" s="87">
        <f>0</f>
        <v>0</v>
      </c>
      <c r="P3" s="87">
        <f>0</f>
        <v>0</v>
      </c>
      <c r="Q3" s="87">
        <f>0</f>
        <v>0</v>
      </c>
      <c r="R3" s="87">
        <f>0</f>
        <v>0</v>
      </c>
      <c r="S3" s="87">
        <f>0</f>
        <v>0</v>
      </c>
      <c r="T3" s="87">
        <f>0</f>
        <v>0</v>
      </c>
      <c r="U3" s="87">
        <f>0</f>
        <v>0</v>
      </c>
      <c r="V3" s="87">
        <f>0</f>
        <v>0</v>
      </c>
      <c r="W3" s="87">
        <f>0</f>
        <v>0</v>
      </c>
      <c r="X3" s="87">
        <f>0</f>
        <v>0</v>
      </c>
      <c r="Y3" s="87">
        <f>0</f>
        <v>0</v>
      </c>
      <c r="Z3" s="87">
        <f>0</f>
        <v>0</v>
      </c>
      <c r="AA3" s="87">
        <f>0</f>
        <v>0</v>
      </c>
      <c r="AB3" s="87">
        <f>0</f>
        <v>0</v>
      </c>
      <c r="AC3" s="87">
        <f>0</f>
        <v>0</v>
      </c>
      <c r="AD3" s="87">
        <f>0</f>
        <v>0</v>
      </c>
      <c r="AE3" s="87">
        <f>0</f>
        <v>0</v>
      </c>
      <c r="AF3" s="87">
        <f>0</f>
        <v>0</v>
      </c>
    </row>
    <row r="4" spans="1:32" x14ac:dyDescent="0.75">
      <c r="A4" t="s">
        <v>174</v>
      </c>
      <c r="B4" s="86">
        <v>0</v>
      </c>
      <c r="C4" s="86">
        <v>0</v>
      </c>
      <c r="D4" s="86">
        <v>0</v>
      </c>
      <c r="E4" s="86">
        <v>0</v>
      </c>
      <c r="F4" s="86">
        <v>0</v>
      </c>
      <c r="G4" s="86">
        <v>0</v>
      </c>
      <c r="H4" s="86">
        <v>0</v>
      </c>
      <c r="I4" s="86">
        <v>0</v>
      </c>
      <c r="J4" s="86">
        <v>0</v>
      </c>
      <c r="K4" s="86">
        <v>0</v>
      </c>
      <c r="L4" s="86">
        <v>0</v>
      </c>
      <c r="M4" s="86">
        <v>0</v>
      </c>
      <c r="N4" s="86">
        <v>0</v>
      </c>
      <c r="O4" s="86">
        <v>0</v>
      </c>
      <c r="P4" s="86">
        <v>0</v>
      </c>
      <c r="Q4" s="86">
        <v>0</v>
      </c>
      <c r="R4" s="86">
        <v>0</v>
      </c>
      <c r="S4" s="86">
        <v>0</v>
      </c>
      <c r="T4" s="86">
        <v>0</v>
      </c>
      <c r="U4" s="86">
        <v>0</v>
      </c>
      <c r="V4" s="86">
        <v>0</v>
      </c>
      <c r="W4" s="86">
        <v>0</v>
      </c>
      <c r="X4" s="86">
        <v>0</v>
      </c>
      <c r="Y4" s="86">
        <v>0</v>
      </c>
      <c r="Z4" s="86">
        <v>0</v>
      </c>
      <c r="AA4" s="86">
        <v>0</v>
      </c>
      <c r="AB4" s="86">
        <v>0</v>
      </c>
      <c r="AC4" s="86">
        <v>0</v>
      </c>
      <c r="AD4" s="86">
        <v>0</v>
      </c>
      <c r="AE4" s="86">
        <v>0</v>
      </c>
      <c r="AF4" s="86">
        <v>0</v>
      </c>
    </row>
    <row r="5" spans="1:32" x14ac:dyDescent="0.75">
      <c r="A5" t="s">
        <v>175</v>
      </c>
      <c r="B5" s="86">
        <v>0</v>
      </c>
      <c r="C5" s="86">
        <v>0</v>
      </c>
      <c r="D5" s="86">
        <v>0</v>
      </c>
      <c r="E5" s="86">
        <v>0</v>
      </c>
      <c r="F5" s="86">
        <v>0</v>
      </c>
      <c r="G5" s="86">
        <v>0</v>
      </c>
      <c r="H5" s="86">
        <v>0</v>
      </c>
      <c r="I5" s="86">
        <v>0</v>
      </c>
      <c r="J5" s="86">
        <v>0</v>
      </c>
      <c r="K5" s="86">
        <v>0</v>
      </c>
      <c r="L5" s="86">
        <v>0</v>
      </c>
      <c r="M5" s="86">
        <v>0</v>
      </c>
      <c r="N5" s="86">
        <v>0</v>
      </c>
      <c r="O5" s="86">
        <v>0</v>
      </c>
      <c r="P5" s="86">
        <v>0</v>
      </c>
      <c r="Q5" s="86">
        <v>0</v>
      </c>
      <c r="R5" s="86">
        <v>0</v>
      </c>
      <c r="S5" s="86">
        <v>0</v>
      </c>
      <c r="T5" s="86">
        <v>0</v>
      </c>
      <c r="U5" s="86">
        <v>0</v>
      </c>
      <c r="V5" s="86">
        <v>0</v>
      </c>
      <c r="W5" s="86">
        <v>0</v>
      </c>
      <c r="X5" s="86">
        <v>0</v>
      </c>
      <c r="Y5" s="86">
        <v>0</v>
      </c>
      <c r="Z5" s="86">
        <v>0</v>
      </c>
      <c r="AA5" s="86">
        <v>0</v>
      </c>
      <c r="AB5" s="86">
        <v>0</v>
      </c>
      <c r="AC5" s="86">
        <v>0</v>
      </c>
      <c r="AD5" s="86">
        <v>0</v>
      </c>
      <c r="AE5" s="86">
        <v>0</v>
      </c>
      <c r="AF5" s="86">
        <v>0</v>
      </c>
    </row>
    <row r="6" spans="1:32" x14ac:dyDescent="0.75">
      <c r="A6" t="s">
        <v>176</v>
      </c>
      <c r="B6" s="86">
        <v>0</v>
      </c>
      <c r="C6" s="86">
        <v>0</v>
      </c>
      <c r="D6" s="86">
        <v>0</v>
      </c>
      <c r="E6" s="86">
        <v>0</v>
      </c>
      <c r="F6" s="86">
        <v>0</v>
      </c>
      <c r="G6" s="86">
        <v>0</v>
      </c>
      <c r="H6" s="86">
        <v>0</v>
      </c>
      <c r="I6" s="86">
        <v>0</v>
      </c>
      <c r="J6" s="86">
        <v>0</v>
      </c>
      <c r="K6" s="86">
        <v>0</v>
      </c>
      <c r="L6" s="86">
        <v>0</v>
      </c>
      <c r="M6" s="86">
        <v>0</v>
      </c>
      <c r="N6" s="86">
        <v>0</v>
      </c>
      <c r="O6" s="86">
        <v>0</v>
      </c>
      <c r="P6" s="86">
        <v>0</v>
      </c>
      <c r="Q6" s="86">
        <v>0</v>
      </c>
      <c r="R6" s="86">
        <v>0</v>
      </c>
      <c r="S6" s="86">
        <v>0</v>
      </c>
      <c r="T6" s="86">
        <v>0</v>
      </c>
      <c r="U6" s="86">
        <v>0</v>
      </c>
      <c r="V6" s="86">
        <v>0</v>
      </c>
      <c r="W6" s="86">
        <v>0</v>
      </c>
      <c r="X6" s="86">
        <v>0</v>
      </c>
      <c r="Y6" s="86">
        <v>0</v>
      </c>
      <c r="Z6" s="86">
        <v>0</v>
      </c>
      <c r="AA6" s="86">
        <v>0</v>
      </c>
      <c r="AB6" s="86">
        <v>0</v>
      </c>
      <c r="AC6" s="86">
        <v>0</v>
      </c>
      <c r="AD6" s="86">
        <v>0</v>
      </c>
      <c r="AE6" s="86">
        <v>0</v>
      </c>
      <c r="AF6" s="86">
        <v>0</v>
      </c>
    </row>
    <row r="7" spans="1:32" x14ac:dyDescent="0.75">
      <c r="A7" t="s">
        <v>177</v>
      </c>
      <c r="B7" s="86">
        <v>0</v>
      </c>
      <c r="C7" s="86">
        <v>0</v>
      </c>
      <c r="D7" s="86">
        <v>0</v>
      </c>
      <c r="E7" s="86">
        <v>0</v>
      </c>
      <c r="F7" s="86">
        <v>0</v>
      </c>
      <c r="G7" s="86">
        <v>0</v>
      </c>
      <c r="H7" s="86">
        <v>0</v>
      </c>
      <c r="I7" s="86">
        <v>0</v>
      </c>
      <c r="J7" s="86">
        <v>0</v>
      </c>
      <c r="K7" s="86">
        <v>0</v>
      </c>
      <c r="L7" s="86">
        <v>0</v>
      </c>
      <c r="M7" s="86">
        <v>0</v>
      </c>
      <c r="N7" s="86">
        <v>0</v>
      </c>
      <c r="O7" s="86">
        <v>0</v>
      </c>
      <c r="P7" s="86">
        <v>0</v>
      </c>
      <c r="Q7" s="86">
        <v>0</v>
      </c>
      <c r="R7" s="86">
        <v>0</v>
      </c>
      <c r="S7" s="86">
        <v>0</v>
      </c>
      <c r="T7" s="86">
        <v>0</v>
      </c>
      <c r="U7" s="86">
        <v>0</v>
      </c>
      <c r="V7" s="86">
        <v>0</v>
      </c>
      <c r="W7" s="86">
        <v>0</v>
      </c>
      <c r="X7" s="86">
        <v>0</v>
      </c>
      <c r="Y7" s="86">
        <v>0</v>
      </c>
      <c r="Z7" s="86">
        <v>0</v>
      </c>
      <c r="AA7" s="86">
        <v>0</v>
      </c>
      <c r="AB7" s="86">
        <v>0</v>
      </c>
      <c r="AC7" s="86">
        <v>0</v>
      </c>
      <c r="AD7" s="86">
        <v>0</v>
      </c>
      <c r="AE7" s="86">
        <v>0</v>
      </c>
      <c r="AF7" s="8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46EB7-DFDC-4CE8-8045-5E5A3FAEE695}">
  <sheetPr>
    <tabColor rgb="FF002060"/>
  </sheetPr>
  <dimension ref="A1:AF7"/>
  <sheetViews>
    <sheetView workbookViewId="0"/>
  </sheetViews>
  <sheetFormatPr defaultRowHeight="14.75" x14ac:dyDescent="0.75"/>
  <sheetData>
    <row r="1" spans="1:32" x14ac:dyDescent="0.75">
      <c r="A1" t="s">
        <v>178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172</v>
      </c>
      <c r="B2" s="85">
        <f>'Freight LDVs + HDVs'!C135</f>
        <v>0</v>
      </c>
      <c r="C2" s="85">
        <f>'Freight LDVs + HDVs'!D135</f>
        <v>1.9510619638432258E-2</v>
      </c>
      <c r="D2" s="85">
        <f>'Freight LDVs + HDVs'!E135</f>
        <v>1.0006374024611353E-2</v>
      </c>
      <c r="E2" s="85">
        <f>'Freight LDVs + HDVs'!F135</f>
        <v>1.0598221764758109E-2</v>
      </c>
      <c r="F2" s="85">
        <f>'Freight LDVs + HDVs'!G135</f>
        <v>1.1892683795220682E-2</v>
      </c>
      <c r="G2" s="85">
        <f>'Freight LDVs + HDVs'!H135</f>
        <v>1.324924200342803E-2</v>
      </c>
      <c r="H2" s="85">
        <f>'Freight LDVs + HDVs'!I135</f>
        <v>1.5132603718019499E-2</v>
      </c>
      <c r="I2" s="85">
        <f>'Freight LDVs + HDVs'!J135</f>
        <v>1.6529015970176864E-2</v>
      </c>
      <c r="J2" s="85">
        <f>'Freight LDVs + HDVs'!K135</f>
        <v>1.8015748854542823E-2</v>
      </c>
      <c r="K2" s="85">
        <f>'Freight LDVs + HDVs'!L135</f>
        <v>1.9547059069906947E-2</v>
      </c>
      <c r="L2" s="85">
        <f>'Freight LDVs + HDVs'!M135</f>
        <v>2.0813500165601795E-2</v>
      </c>
      <c r="M2" s="85">
        <f>'Freight LDVs + HDVs'!N135</f>
        <v>-3.1951398602327874E-3</v>
      </c>
      <c r="N2" s="85">
        <f>'Freight LDVs + HDVs'!O135</f>
        <v>-2.7587984246231212E-3</v>
      </c>
      <c r="O2" s="85">
        <f>'Freight LDVs + HDVs'!P135</f>
        <v>-2.4112604975552454E-3</v>
      </c>
      <c r="P2" s="85">
        <f>'Freight LDVs + HDVs'!Q135</f>
        <v>-2.0301948554324323E-3</v>
      </c>
      <c r="Q2" s="85">
        <f>'Freight LDVs + HDVs'!R135</f>
        <v>-1.7933439007593588E-3</v>
      </c>
      <c r="R2" s="85">
        <f>'Freight LDVs + HDVs'!S135</f>
        <v>-1.5557973382995804E-3</v>
      </c>
      <c r="S2" s="85">
        <f>'Freight LDVs + HDVs'!T135</f>
        <v>-1.4574263320861203E-3</v>
      </c>
      <c r="T2" s="85">
        <f>'Freight LDVs + HDVs'!U135</f>
        <v>-1.3571680015329601E-3</v>
      </c>
      <c r="U2" s="85">
        <f>'Freight LDVs + HDVs'!V135</f>
        <v>-1.2641291691504186E-3</v>
      </c>
      <c r="V2" s="85">
        <f>'Freight LDVs + HDVs'!W135</f>
        <v>-1.1779077359010959E-3</v>
      </c>
      <c r="W2" s="85">
        <f>'Freight LDVs + HDVs'!X135</f>
        <v>-1.0958083457879297E-3</v>
      </c>
      <c r="X2" s="85">
        <f>'Freight LDVs + HDVs'!Y135</f>
        <v>-1.0192416410239602E-3</v>
      </c>
      <c r="Y2" s="85">
        <f>'Freight LDVs + HDVs'!Z135</f>
        <v>-9.6628890536121226E-4</v>
      </c>
      <c r="Z2" s="85">
        <f>'Freight LDVs + HDVs'!AA135</f>
        <v>-9.3653561374940075E-4</v>
      </c>
      <c r="AA2" s="85">
        <f>'Freight LDVs + HDVs'!AB135</f>
        <v>-8.6592460812817684E-4</v>
      </c>
      <c r="AB2" s="85">
        <f>'Freight LDVs + HDVs'!AC135</f>
        <v>-7.4584875271321849E-4</v>
      </c>
      <c r="AC2" s="85">
        <f>'Freight LDVs + HDVs'!AD135</f>
        <v>-7.0265978294958842E-4</v>
      </c>
      <c r="AD2" s="85">
        <f>'Freight LDVs + HDVs'!AE135</f>
        <v>-6.7244823587753189E-4</v>
      </c>
      <c r="AE2" s="85">
        <f>'Freight LDVs + HDVs'!AF135</f>
        <v>-6.0018281268559015E-4</v>
      </c>
      <c r="AF2" s="85">
        <f>'Freight LDVs + HDVs'!AG135</f>
        <v>-4.6712547651317493E-4</v>
      </c>
    </row>
    <row r="3" spans="1:32" x14ac:dyDescent="0.75">
      <c r="A3" t="s">
        <v>173</v>
      </c>
      <c r="B3" s="85">
        <f>'Freight LDVs + HDVs'!C136</f>
        <v>0</v>
      </c>
      <c r="C3" s="85">
        <f>'Freight LDVs + HDVs'!D136</f>
        <v>3.3585693833738883E-2</v>
      </c>
      <c r="D3" s="85">
        <f>'Freight LDVs + HDVs'!E136</f>
        <v>3.6154707901775662E-2</v>
      </c>
      <c r="E3" s="85">
        <f>'Freight LDVs + HDVs'!F136</f>
        <v>3.7372970605927258E-2</v>
      </c>
      <c r="F3" s="85">
        <f>'Freight LDVs + HDVs'!G136</f>
        <v>3.8557705353737148E-2</v>
      </c>
      <c r="G3" s="85">
        <f>'Freight LDVs + HDVs'!H136</f>
        <v>3.9806236713738286E-2</v>
      </c>
      <c r="H3" s="85">
        <f>'Freight LDVs + HDVs'!I136</f>
        <v>4.0231629891567033E-2</v>
      </c>
      <c r="I3" s="85">
        <f>'Freight LDVs + HDVs'!J136</f>
        <v>4.1595459545664792E-2</v>
      </c>
      <c r="J3" s="85">
        <f>'Freight LDVs + HDVs'!K136</f>
        <v>4.305233892673932E-2</v>
      </c>
      <c r="K3" s="85">
        <f>'Freight LDVs + HDVs'!L136</f>
        <v>4.462293926311045E-2</v>
      </c>
      <c r="L3" s="85">
        <f>'Freight LDVs + HDVs'!M136</f>
        <v>4.6379032551874144E-2</v>
      </c>
      <c r="M3" s="85">
        <f>'Freight LDVs + HDVs'!N136</f>
        <v>2.280963910109457E-3</v>
      </c>
      <c r="N3" s="85">
        <f>'Freight LDVs + HDVs'!O136</f>
        <v>2.1855186467369947E-3</v>
      </c>
      <c r="O3" s="85">
        <f>'Freight LDVs + HDVs'!P136</f>
        <v>2.1053633057223076E-3</v>
      </c>
      <c r="P3" s="85">
        <f>'Freight LDVs + HDVs'!Q136</f>
        <v>2.017842514843049E-3</v>
      </c>
      <c r="Q3" s="85">
        <f>'Freight LDVs + HDVs'!R136</f>
        <v>1.9566079051688279E-3</v>
      </c>
      <c r="R3" s="85">
        <f>'Freight LDVs + HDVs'!S136</f>
        <v>1.5959075402851575E-3</v>
      </c>
      <c r="S3" s="85">
        <f>'Freight LDVs + HDVs'!T136</f>
        <v>1.5570349064556455E-3</v>
      </c>
      <c r="T3" s="85">
        <f>'Freight LDVs + HDVs'!U136</f>
        <v>1.5179582941726721E-3</v>
      </c>
      <c r="U3" s="85">
        <f>'Freight LDVs + HDVs'!V136</f>
        <v>1.4804239862142854E-3</v>
      </c>
      <c r="V3" s="85">
        <f>'Freight LDVs + HDVs'!W136</f>
        <v>1.4443733564916128E-3</v>
      </c>
      <c r="W3" s="85">
        <f>'Freight LDVs + HDVs'!X136</f>
        <v>1.3009017522694899E-3</v>
      </c>
      <c r="X3" s="85">
        <f>'Freight LDVs + HDVs'!Y136</f>
        <v>1.2384841887649323E-3</v>
      </c>
      <c r="Y3" s="85">
        <f>'Freight LDVs + HDVs'!Z136</f>
        <v>1.2090696626186892E-3</v>
      </c>
      <c r="Z3" s="85">
        <f>'Freight LDVs + HDVs'!AA136</f>
        <v>1.1845102659669982E-3</v>
      </c>
      <c r="AA3" s="85">
        <f>'Freight LDVs + HDVs'!AB136</f>
        <v>1.1523685659838856E-3</v>
      </c>
      <c r="AB3" s="85">
        <f>'Freight LDVs + HDVs'!AC136</f>
        <v>9.8186004331535237E-4</v>
      </c>
      <c r="AC3" s="85">
        <f>'Freight LDVs + HDVs'!AD136</f>
        <v>9.5672162493509738E-4</v>
      </c>
      <c r="AD3" s="85">
        <f>'Freight LDVs + HDVs'!AE136</f>
        <v>9.3449706859338733E-4</v>
      </c>
      <c r="AE3" s="85">
        <f>'Freight LDVs + HDVs'!AF136</f>
        <v>9.0440695750915179E-4</v>
      </c>
      <c r="AF3" s="85">
        <f>'Freight LDVs + HDVs'!AG136</f>
        <v>8.6271283877548122E-4</v>
      </c>
    </row>
    <row r="4" spans="1:32" x14ac:dyDescent="0.75">
      <c r="A4" t="s">
        <v>174</v>
      </c>
      <c r="B4" s="86">
        <v>0</v>
      </c>
      <c r="C4" s="86">
        <v>0</v>
      </c>
      <c r="D4" s="86">
        <v>0</v>
      </c>
      <c r="E4" s="86">
        <v>0</v>
      </c>
      <c r="F4" s="86">
        <v>0</v>
      </c>
      <c r="G4" s="86">
        <v>0</v>
      </c>
      <c r="H4" s="86">
        <v>0</v>
      </c>
      <c r="I4" s="86">
        <v>0</v>
      </c>
      <c r="J4" s="86">
        <v>0</v>
      </c>
      <c r="K4" s="86">
        <v>0</v>
      </c>
      <c r="L4" s="86">
        <v>0</v>
      </c>
      <c r="M4" s="86">
        <v>0</v>
      </c>
      <c r="N4" s="86">
        <v>0</v>
      </c>
      <c r="O4" s="86">
        <v>0</v>
      </c>
      <c r="P4" s="86">
        <v>0</v>
      </c>
      <c r="Q4" s="86">
        <v>0</v>
      </c>
      <c r="R4" s="86">
        <v>0</v>
      </c>
      <c r="S4" s="86">
        <v>0</v>
      </c>
      <c r="T4" s="86">
        <v>0</v>
      </c>
      <c r="U4" s="86">
        <v>0</v>
      </c>
      <c r="V4" s="86">
        <v>0</v>
      </c>
      <c r="W4" s="86">
        <v>0</v>
      </c>
      <c r="X4" s="86">
        <v>0</v>
      </c>
      <c r="Y4" s="86">
        <v>0</v>
      </c>
      <c r="Z4" s="86">
        <v>0</v>
      </c>
      <c r="AA4" s="86">
        <v>0</v>
      </c>
      <c r="AB4" s="86">
        <v>0</v>
      </c>
      <c r="AC4" s="86">
        <v>0</v>
      </c>
      <c r="AD4" s="86">
        <v>0</v>
      </c>
      <c r="AE4" s="86">
        <v>0</v>
      </c>
      <c r="AF4" s="86">
        <v>0</v>
      </c>
    </row>
    <row r="5" spans="1:32" x14ac:dyDescent="0.75">
      <c r="A5" t="s">
        <v>175</v>
      </c>
      <c r="B5" s="86">
        <v>0</v>
      </c>
      <c r="C5" s="86">
        <v>0</v>
      </c>
      <c r="D5" s="86">
        <v>0</v>
      </c>
      <c r="E5" s="86">
        <v>0</v>
      </c>
      <c r="F5" s="86">
        <v>0</v>
      </c>
      <c r="G5" s="86">
        <v>0</v>
      </c>
      <c r="H5" s="86">
        <v>0</v>
      </c>
      <c r="I5" s="86">
        <v>0</v>
      </c>
      <c r="J5" s="86">
        <v>0</v>
      </c>
      <c r="K5" s="86">
        <v>0</v>
      </c>
      <c r="L5" s="86">
        <v>0</v>
      </c>
      <c r="M5" s="86">
        <v>0</v>
      </c>
      <c r="N5" s="86">
        <v>0</v>
      </c>
      <c r="O5" s="86">
        <v>0</v>
      </c>
      <c r="P5" s="86">
        <v>0</v>
      </c>
      <c r="Q5" s="86">
        <v>0</v>
      </c>
      <c r="R5" s="86">
        <v>0</v>
      </c>
      <c r="S5" s="86">
        <v>0</v>
      </c>
      <c r="T5" s="86">
        <v>0</v>
      </c>
      <c r="U5" s="86">
        <v>0</v>
      </c>
      <c r="V5" s="86">
        <v>0</v>
      </c>
      <c r="W5" s="86">
        <v>0</v>
      </c>
      <c r="X5" s="86">
        <v>0</v>
      </c>
      <c r="Y5" s="86">
        <v>0</v>
      </c>
      <c r="Z5" s="86">
        <v>0</v>
      </c>
      <c r="AA5" s="86">
        <v>0</v>
      </c>
      <c r="AB5" s="86">
        <v>0</v>
      </c>
      <c r="AC5" s="86">
        <v>0</v>
      </c>
      <c r="AD5" s="86">
        <v>0</v>
      </c>
      <c r="AE5" s="86">
        <v>0</v>
      </c>
      <c r="AF5" s="86">
        <v>0</v>
      </c>
    </row>
    <row r="6" spans="1:32" x14ac:dyDescent="0.75">
      <c r="A6" t="s">
        <v>176</v>
      </c>
      <c r="B6" s="86">
        <v>0</v>
      </c>
      <c r="C6" s="86">
        <v>0</v>
      </c>
      <c r="D6" s="86">
        <v>0</v>
      </c>
      <c r="E6" s="86">
        <v>0</v>
      </c>
      <c r="F6" s="86">
        <v>0</v>
      </c>
      <c r="G6" s="86">
        <v>0</v>
      </c>
      <c r="H6" s="86">
        <v>0</v>
      </c>
      <c r="I6" s="86">
        <v>0</v>
      </c>
      <c r="J6" s="86">
        <v>0</v>
      </c>
      <c r="K6" s="86">
        <v>0</v>
      </c>
      <c r="L6" s="86">
        <v>0</v>
      </c>
      <c r="M6" s="86">
        <v>0</v>
      </c>
      <c r="N6" s="86">
        <v>0</v>
      </c>
      <c r="O6" s="86">
        <v>0</v>
      </c>
      <c r="P6" s="86">
        <v>0</v>
      </c>
      <c r="Q6" s="86">
        <v>0</v>
      </c>
      <c r="R6" s="86">
        <v>0</v>
      </c>
      <c r="S6" s="86">
        <v>0</v>
      </c>
      <c r="T6" s="86">
        <v>0</v>
      </c>
      <c r="U6" s="86">
        <v>0</v>
      </c>
      <c r="V6" s="86">
        <v>0</v>
      </c>
      <c r="W6" s="86">
        <v>0</v>
      </c>
      <c r="X6" s="86">
        <v>0</v>
      </c>
      <c r="Y6" s="86">
        <v>0</v>
      </c>
      <c r="Z6" s="86">
        <v>0</v>
      </c>
      <c r="AA6" s="86">
        <v>0</v>
      </c>
      <c r="AB6" s="86">
        <v>0</v>
      </c>
      <c r="AC6" s="86">
        <v>0</v>
      </c>
      <c r="AD6" s="86">
        <v>0</v>
      </c>
      <c r="AE6" s="86">
        <v>0</v>
      </c>
      <c r="AF6" s="86">
        <v>0</v>
      </c>
    </row>
    <row r="7" spans="1:32" x14ac:dyDescent="0.75">
      <c r="A7" t="s">
        <v>177</v>
      </c>
      <c r="B7" s="86">
        <v>0</v>
      </c>
      <c r="C7" s="86">
        <v>0</v>
      </c>
      <c r="D7" s="86">
        <v>0</v>
      </c>
      <c r="E7" s="86">
        <v>0</v>
      </c>
      <c r="F7" s="86">
        <v>0</v>
      </c>
      <c r="G7" s="86">
        <v>0</v>
      </c>
      <c r="H7" s="86">
        <v>0</v>
      </c>
      <c r="I7" s="86">
        <v>0</v>
      </c>
      <c r="J7" s="86">
        <v>0</v>
      </c>
      <c r="K7" s="86">
        <v>0</v>
      </c>
      <c r="L7" s="86">
        <v>0</v>
      </c>
      <c r="M7" s="86">
        <v>0</v>
      </c>
      <c r="N7" s="86">
        <v>0</v>
      </c>
      <c r="O7" s="86">
        <v>0</v>
      </c>
      <c r="P7" s="86">
        <v>0</v>
      </c>
      <c r="Q7" s="86">
        <v>0</v>
      </c>
      <c r="R7" s="86">
        <v>0</v>
      </c>
      <c r="S7" s="86">
        <v>0</v>
      </c>
      <c r="T7" s="86">
        <v>0</v>
      </c>
      <c r="U7" s="86">
        <v>0</v>
      </c>
      <c r="V7" s="86">
        <v>0</v>
      </c>
      <c r="W7" s="86">
        <v>0</v>
      </c>
      <c r="X7" s="86">
        <v>0</v>
      </c>
      <c r="Y7" s="86">
        <v>0</v>
      </c>
      <c r="Z7" s="86">
        <v>0</v>
      </c>
      <c r="AA7" s="86">
        <v>0</v>
      </c>
      <c r="AB7" s="86">
        <v>0</v>
      </c>
      <c r="AC7" s="86">
        <v>0</v>
      </c>
      <c r="AD7" s="86">
        <v>0</v>
      </c>
      <c r="AE7" s="86">
        <v>0</v>
      </c>
      <c r="AF7" s="8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B841-53AC-4D84-B47B-8735EB5D9549}">
  <sheetPr>
    <tabColor rgb="FF002060"/>
  </sheetPr>
  <dimension ref="A1:AF7"/>
  <sheetViews>
    <sheetView workbookViewId="0"/>
  </sheetViews>
  <sheetFormatPr defaultRowHeight="14.75" x14ac:dyDescent="0.75"/>
  <sheetData>
    <row r="1" spans="1:32" x14ac:dyDescent="0.75">
      <c r="A1" t="s">
        <v>178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172</v>
      </c>
      <c r="B2" s="86">
        <v>0</v>
      </c>
      <c r="C2" s="86">
        <v>0</v>
      </c>
      <c r="D2" s="86">
        <v>0</v>
      </c>
      <c r="E2" s="86">
        <v>0</v>
      </c>
      <c r="F2" s="86">
        <v>0</v>
      </c>
      <c r="G2" s="86">
        <v>0</v>
      </c>
      <c r="H2" s="86">
        <v>0</v>
      </c>
      <c r="I2" s="86">
        <v>0</v>
      </c>
      <c r="J2" s="86">
        <v>0</v>
      </c>
      <c r="K2" s="86">
        <v>0</v>
      </c>
      <c r="L2" s="86">
        <v>0</v>
      </c>
      <c r="M2" s="86">
        <v>0</v>
      </c>
      <c r="N2" s="86">
        <v>0</v>
      </c>
      <c r="O2" s="86">
        <v>0</v>
      </c>
      <c r="P2" s="86">
        <v>0</v>
      </c>
      <c r="Q2" s="86">
        <v>0</v>
      </c>
      <c r="R2" s="86">
        <v>0</v>
      </c>
      <c r="S2" s="86">
        <v>0</v>
      </c>
      <c r="T2" s="86">
        <v>0</v>
      </c>
      <c r="U2" s="86">
        <v>0</v>
      </c>
      <c r="V2" s="86">
        <v>0</v>
      </c>
      <c r="W2" s="86">
        <v>0</v>
      </c>
      <c r="X2" s="86">
        <v>0</v>
      </c>
      <c r="Y2" s="86">
        <v>0</v>
      </c>
      <c r="Z2" s="86">
        <v>0</v>
      </c>
      <c r="AA2" s="86">
        <v>0</v>
      </c>
      <c r="AB2" s="86">
        <v>0</v>
      </c>
      <c r="AC2" s="86">
        <v>0</v>
      </c>
      <c r="AD2" s="86">
        <v>0</v>
      </c>
      <c r="AE2" s="86">
        <v>0</v>
      </c>
      <c r="AF2" s="86">
        <v>0</v>
      </c>
    </row>
    <row r="3" spans="1:32" x14ac:dyDescent="0.75">
      <c r="A3" t="s">
        <v>173</v>
      </c>
      <c r="B3" s="86">
        <v>0</v>
      </c>
      <c r="C3" s="86">
        <v>0</v>
      </c>
      <c r="D3" s="86">
        <v>0</v>
      </c>
      <c r="E3" s="86">
        <v>0</v>
      </c>
      <c r="F3" s="86">
        <v>0</v>
      </c>
      <c r="G3" s="86">
        <v>0</v>
      </c>
      <c r="H3" s="86">
        <v>0</v>
      </c>
      <c r="I3" s="86">
        <v>0</v>
      </c>
      <c r="J3" s="86">
        <v>0</v>
      </c>
      <c r="K3" s="86">
        <v>0</v>
      </c>
      <c r="L3" s="86">
        <v>0</v>
      </c>
      <c r="M3" s="86">
        <v>0</v>
      </c>
      <c r="N3" s="86">
        <v>0</v>
      </c>
      <c r="O3" s="86">
        <v>0</v>
      </c>
      <c r="P3" s="86">
        <v>0</v>
      </c>
      <c r="Q3" s="86">
        <v>0</v>
      </c>
      <c r="R3" s="86">
        <v>0</v>
      </c>
      <c r="S3" s="86">
        <v>0</v>
      </c>
      <c r="T3" s="86">
        <v>0</v>
      </c>
      <c r="U3" s="86">
        <v>0</v>
      </c>
      <c r="V3" s="86">
        <v>0</v>
      </c>
      <c r="W3" s="86">
        <v>0</v>
      </c>
      <c r="X3" s="86">
        <v>0</v>
      </c>
      <c r="Y3" s="86">
        <v>0</v>
      </c>
      <c r="Z3" s="86">
        <v>0</v>
      </c>
      <c r="AA3" s="86">
        <v>0</v>
      </c>
      <c r="AB3" s="86">
        <v>0</v>
      </c>
      <c r="AC3" s="86">
        <v>0</v>
      </c>
      <c r="AD3" s="86">
        <v>0</v>
      </c>
      <c r="AE3" s="86">
        <v>0</v>
      </c>
      <c r="AF3" s="86">
        <v>0</v>
      </c>
    </row>
    <row r="4" spans="1:32" x14ac:dyDescent="0.75">
      <c r="A4" t="s">
        <v>174</v>
      </c>
      <c r="B4" s="86">
        <v>0</v>
      </c>
      <c r="C4" s="86">
        <v>0</v>
      </c>
      <c r="D4" s="86">
        <v>0</v>
      </c>
      <c r="E4" s="86">
        <v>0</v>
      </c>
      <c r="F4" s="86">
        <v>0</v>
      </c>
      <c r="G4" s="86">
        <v>0</v>
      </c>
      <c r="H4" s="86">
        <v>0</v>
      </c>
      <c r="I4" s="86">
        <v>0</v>
      </c>
      <c r="J4" s="86">
        <v>0</v>
      </c>
      <c r="K4" s="86">
        <v>0</v>
      </c>
      <c r="L4" s="86">
        <v>0</v>
      </c>
      <c r="M4" s="86">
        <v>0</v>
      </c>
      <c r="N4" s="86">
        <v>0</v>
      </c>
      <c r="O4" s="86">
        <v>0</v>
      </c>
      <c r="P4" s="86">
        <v>0</v>
      </c>
      <c r="Q4" s="86">
        <v>0</v>
      </c>
      <c r="R4" s="86">
        <v>0</v>
      </c>
      <c r="S4" s="86">
        <v>0</v>
      </c>
      <c r="T4" s="86">
        <v>0</v>
      </c>
      <c r="U4" s="86">
        <v>0</v>
      </c>
      <c r="V4" s="86">
        <v>0</v>
      </c>
      <c r="W4" s="86">
        <v>0</v>
      </c>
      <c r="X4" s="86">
        <v>0</v>
      </c>
      <c r="Y4" s="86">
        <v>0</v>
      </c>
      <c r="Z4" s="86">
        <v>0</v>
      </c>
      <c r="AA4" s="86">
        <v>0</v>
      </c>
      <c r="AB4" s="86">
        <v>0</v>
      </c>
      <c r="AC4" s="86">
        <v>0</v>
      </c>
      <c r="AD4" s="86">
        <v>0</v>
      </c>
      <c r="AE4" s="86">
        <v>0</v>
      </c>
      <c r="AF4" s="86">
        <v>0</v>
      </c>
    </row>
    <row r="5" spans="1:32" x14ac:dyDescent="0.75">
      <c r="A5" t="s">
        <v>175</v>
      </c>
      <c r="B5" s="86">
        <v>0</v>
      </c>
      <c r="C5" s="86">
        <v>0</v>
      </c>
      <c r="D5" s="86">
        <v>0</v>
      </c>
      <c r="E5" s="86">
        <v>0</v>
      </c>
      <c r="F5" s="86">
        <v>0</v>
      </c>
      <c r="G5" s="86">
        <v>0</v>
      </c>
      <c r="H5" s="86">
        <v>0</v>
      </c>
      <c r="I5" s="86">
        <v>0</v>
      </c>
      <c r="J5" s="86">
        <v>0</v>
      </c>
      <c r="K5" s="86">
        <v>0</v>
      </c>
      <c r="L5" s="86">
        <v>0</v>
      </c>
      <c r="M5" s="86">
        <v>0</v>
      </c>
      <c r="N5" s="86">
        <v>0</v>
      </c>
      <c r="O5" s="86">
        <v>0</v>
      </c>
      <c r="P5" s="86">
        <v>0</v>
      </c>
      <c r="Q5" s="86">
        <v>0</v>
      </c>
      <c r="R5" s="86">
        <v>0</v>
      </c>
      <c r="S5" s="86">
        <v>0</v>
      </c>
      <c r="T5" s="86">
        <v>0</v>
      </c>
      <c r="U5" s="86">
        <v>0</v>
      </c>
      <c r="V5" s="86">
        <v>0</v>
      </c>
      <c r="W5" s="86">
        <v>0</v>
      </c>
      <c r="X5" s="86">
        <v>0</v>
      </c>
      <c r="Y5" s="86">
        <v>0</v>
      </c>
      <c r="Z5" s="86">
        <v>0</v>
      </c>
      <c r="AA5" s="86">
        <v>0</v>
      </c>
      <c r="AB5" s="86">
        <v>0</v>
      </c>
      <c r="AC5" s="86">
        <v>0</v>
      </c>
      <c r="AD5" s="86">
        <v>0</v>
      </c>
      <c r="AE5" s="86">
        <v>0</v>
      </c>
      <c r="AF5" s="86">
        <v>0</v>
      </c>
    </row>
    <row r="6" spans="1:32" x14ac:dyDescent="0.75">
      <c r="A6" t="s">
        <v>176</v>
      </c>
      <c r="B6" s="86">
        <v>0</v>
      </c>
      <c r="C6" s="86">
        <v>0</v>
      </c>
      <c r="D6" s="86">
        <v>0</v>
      </c>
      <c r="E6" s="86">
        <v>0</v>
      </c>
      <c r="F6" s="86">
        <v>0</v>
      </c>
      <c r="G6" s="86">
        <v>0</v>
      </c>
      <c r="H6" s="86">
        <v>0</v>
      </c>
      <c r="I6" s="86">
        <v>0</v>
      </c>
      <c r="J6" s="86">
        <v>0</v>
      </c>
      <c r="K6" s="86">
        <v>0</v>
      </c>
      <c r="L6" s="86">
        <v>0</v>
      </c>
      <c r="M6" s="86">
        <v>0</v>
      </c>
      <c r="N6" s="86">
        <v>0</v>
      </c>
      <c r="O6" s="86">
        <v>0</v>
      </c>
      <c r="P6" s="86">
        <v>0</v>
      </c>
      <c r="Q6" s="86">
        <v>0</v>
      </c>
      <c r="R6" s="86">
        <v>0</v>
      </c>
      <c r="S6" s="86">
        <v>0</v>
      </c>
      <c r="T6" s="86">
        <v>0</v>
      </c>
      <c r="U6" s="86">
        <v>0</v>
      </c>
      <c r="V6" s="86">
        <v>0</v>
      </c>
      <c r="W6" s="86">
        <v>0</v>
      </c>
      <c r="X6" s="86">
        <v>0</v>
      </c>
      <c r="Y6" s="86">
        <v>0</v>
      </c>
      <c r="Z6" s="86">
        <v>0</v>
      </c>
      <c r="AA6" s="86">
        <v>0</v>
      </c>
      <c r="AB6" s="86">
        <v>0</v>
      </c>
      <c r="AC6" s="86">
        <v>0</v>
      </c>
      <c r="AD6" s="86">
        <v>0</v>
      </c>
      <c r="AE6" s="86">
        <v>0</v>
      </c>
      <c r="AF6" s="86">
        <v>0</v>
      </c>
    </row>
    <row r="7" spans="1:32" x14ac:dyDescent="0.75">
      <c r="A7" t="s">
        <v>177</v>
      </c>
      <c r="B7" s="86">
        <v>0</v>
      </c>
      <c r="C7" s="86">
        <v>0</v>
      </c>
      <c r="D7" s="86">
        <v>0</v>
      </c>
      <c r="E7" s="86">
        <v>0</v>
      </c>
      <c r="F7" s="86">
        <v>0</v>
      </c>
      <c r="G7" s="86">
        <v>0</v>
      </c>
      <c r="H7" s="86">
        <v>0</v>
      </c>
      <c r="I7" s="86">
        <v>0</v>
      </c>
      <c r="J7" s="86">
        <v>0</v>
      </c>
      <c r="K7" s="86">
        <v>0</v>
      </c>
      <c r="L7" s="86">
        <v>0</v>
      </c>
      <c r="M7" s="86">
        <v>0</v>
      </c>
      <c r="N7" s="86">
        <v>0</v>
      </c>
      <c r="O7" s="86">
        <v>0</v>
      </c>
      <c r="P7" s="86">
        <v>0</v>
      </c>
      <c r="Q7" s="86">
        <v>0</v>
      </c>
      <c r="R7" s="86">
        <v>0</v>
      </c>
      <c r="S7" s="86">
        <v>0</v>
      </c>
      <c r="T7" s="86">
        <v>0</v>
      </c>
      <c r="U7" s="86">
        <v>0</v>
      </c>
      <c r="V7" s="86">
        <v>0</v>
      </c>
      <c r="W7" s="86">
        <v>0</v>
      </c>
      <c r="X7" s="86">
        <v>0</v>
      </c>
      <c r="Y7" s="86">
        <v>0</v>
      </c>
      <c r="Z7" s="86">
        <v>0</v>
      </c>
      <c r="AA7" s="86">
        <v>0</v>
      </c>
      <c r="AB7" s="86">
        <v>0</v>
      </c>
      <c r="AC7" s="86">
        <v>0</v>
      </c>
      <c r="AD7" s="86">
        <v>0</v>
      </c>
      <c r="AE7" s="86">
        <v>0</v>
      </c>
      <c r="AF7" s="8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Pass LDVs</vt:lpstr>
      <vt:lpstr>AEO by Class</vt:lpstr>
      <vt:lpstr>Freight LDVs + HDVs</vt:lpstr>
      <vt:lpstr>AIiBCbVT-passenger-bev</vt:lpstr>
      <vt:lpstr>AIiBCbVT-passenger-phev</vt:lpstr>
      <vt:lpstr>AIiBCbVT-freight-bev</vt:lpstr>
      <vt:lpstr>AIiBCbVT-freight-phev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2023-05-02T13:53:48Z</dcterms:created>
  <dcterms:modified xsi:type="dcterms:W3CDTF">2025-12-19T22:55:15Z</dcterms:modified>
</cp:coreProperties>
</file>