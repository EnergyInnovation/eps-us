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trans\MPoEFUbVT\"/>
    </mc:Choice>
  </mc:AlternateContent>
  <xr:revisionPtr revIDLastSave="0" documentId="8_{036B868E-71DA-4EB8-BD7B-BEB6F04D77CA}" xr6:coauthVersionLast="47" xr6:coauthVersionMax="47" xr10:uidLastSave="{00000000-0000-0000-0000-000000000000}"/>
  <bookViews>
    <workbookView xWindow="2820" yWindow="1110" windowWidth="23520" windowHeight="15450" firstSheet="1" activeTab="1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6" l="1"/>
  <c r="D7" i="116"/>
  <c r="E7" i="116"/>
  <c r="F7" i="116"/>
  <c r="B7" i="116"/>
  <c r="L17" i="50" a="1"/>
  <c r="L17" i="50" s="1"/>
  <c r="L7" i="116" s="1"/>
  <c r="K17" i="50" a="1"/>
  <c r="K17" i="50" s="1"/>
  <c r="K7" i="116" s="1"/>
  <c r="J17" i="50" a="1"/>
  <c r="J17" i="50" s="1"/>
  <c r="J7" i="116" s="1"/>
  <c r="M17" i="50" a="1"/>
  <c r="M17" i="50" s="1"/>
  <c r="M7" i="116" s="1"/>
  <c r="N17" i="50" a="1"/>
  <c r="N17" i="50" s="1"/>
  <c r="N7" i="116" s="1"/>
  <c r="O17" i="50" a="1"/>
  <c r="O17" i="50" s="1"/>
  <c r="O7" i="116" s="1"/>
  <c r="P17" i="50" a="1"/>
  <c r="P17" i="50" s="1"/>
  <c r="P7" i="116" s="1"/>
  <c r="Q17" i="50" a="1"/>
  <c r="Q17" i="50" s="1"/>
  <c r="Q7" i="116" s="1"/>
  <c r="R17" i="50" a="1"/>
  <c r="R17" i="50" s="1"/>
  <c r="R7" i="116" s="1"/>
  <c r="S17" i="50" a="1"/>
  <c r="S17" i="50" s="1"/>
  <c r="S7" i="116" s="1"/>
  <c r="T17" i="50" a="1"/>
  <c r="T17" i="50"/>
  <c r="T7" i="116" s="1"/>
  <c r="U17" i="50" a="1"/>
  <c r="U17" i="50" s="1"/>
  <c r="U7" i="116" s="1"/>
  <c r="V17" i="50" a="1"/>
  <c r="V17" i="50" s="1"/>
  <c r="V7" i="116" s="1"/>
  <c r="W17" i="50" a="1"/>
  <c r="W17" i="50" s="1"/>
  <c r="W7" i="116" s="1"/>
  <c r="X17" i="50" a="1"/>
  <c r="X17" i="50"/>
  <c r="X7" i="116" s="1"/>
  <c r="Y17" i="50" a="1"/>
  <c r="Y17" i="50" s="1"/>
  <c r="Y7" i="116" s="1"/>
  <c r="Z17" i="50" a="1"/>
  <c r="Z17" i="50" s="1"/>
  <c r="Z7" i="116" s="1"/>
  <c r="AA17" i="50" a="1"/>
  <c r="AA17" i="50" s="1"/>
  <c r="AA7" i="116" s="1"/>
  <c r="AB17" i="50" a="1"/>
  <c r="AB17" i="50" s="1"/>
  <c r="AB7" i="116" s="1"/>
  <c r="AC17" i="50" a="1"/>
  <c r="AC17" i="50" s="1"/>
  <c r="AC7" i="116" s="1"/>
  <c r="AD17" i="50" a="1"/>
  <c r="AD17" i="50" s="1"/>
  <c r="AD7" i="116" s="1"/>
  <c r="AE17" i="50" a="1"/>
  <c r="AE17" i="50" s="1"/>
  <c r="AE7" i="116" s="1"/>
  <c r="AF17" i="50" a="1"/>
  <c r="AF17" i="50" s="1"/>
  <c r="AF7" i="116" s="1"/>
  <c r="AG17" i="50" a="1"/>
  <c r="AG17" i="50" s="1"/>
  <c r="AG7" i="116" s="1"/>
  <c r="AH17" i="50" a="1"/>
  <c r="AH17" i="50" s="1"/>
  <c r="AH7" i="116" s="1"/>
  <c r="AI17" i="50" a="1"/>
  <c r="AI17" i="50" s="1"/>
  <c r="AI7" i="116" s="1"/>
  <c r="I17" i="50" a="1"/>
  <c r="I17" i="50" s="1"/>
  <c r="I7" i="116" s="1"/>
  <c r="H17" i="50" a="1"/>
  <c r="H17" i="50" s="1"/>
  <c r="H7" i="116" s="1"/>
  <c r="G17" i="50" a="1"/>
  <c r="G17" i="50" s="1"/>
  <c r="G7" i="116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<sst xmlns="http://schemas.openxmlformats.org/spreadsheetml/2006/main" count="856" uniqueCount="74">
  <si>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</si>
  <si>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</si>
  <si>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</si>
  <si>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</si>
  <si>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</si>
  <si>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</si>
  <si>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</si>
  <si>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</si>
  <si>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</si>
  <si>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</si>
  <si>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</si>
  <si>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</si>
  <si>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</si>
  <si>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</si>
  <si>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</si>
  <si>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</si>
  <si>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</si>
  <si>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</si>
  <si>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</si>
  <si>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</si>
  <si>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</si>
  <si>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Note that the U.S. blend wall (allowable ethanol mix) today is 15% for new vehicles,</t>
  </si>
  <si>
    <t>Biofuel Gasoline</t>
  </si>
  <si>
    <t>Biofuel Diesel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</si>
  <si>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</si>
  <si>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</si>
  <si>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</si>
  <si>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</si>
  <si>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</si>
  <si>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</si>
  <si>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</si>
  <si>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</si>
  <si>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</si>
  <si>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</si>
  <si>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</si>
  <si>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</si>
  <si>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</si>
  <si>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</si>
  <si>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</si>
  <si>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</si>
  <si>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</si>
  <si>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</si>
  <si>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</si>
  <si>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</si>
  <si>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</si>
  <si>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</si>
  <si>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</si>
  <si>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</si>
  <si>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</si>
  <si>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</si>
  <si>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</si>
  <si>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</si>
  <si>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</si>
  <si>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</si>
  <si>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</si>
  <si>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</si>
  <si>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</si>
  <si>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</si>
  <si>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</si>
  <si>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</si>
  <si>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</si>
  <si>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</si>
  <si>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</si>
  <si>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</si>
  <si>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</si>
  <si>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</si>
  <si>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</si>
  <si>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</si>
  <si>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</si>
  <si>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</si>
  <si>
    <t>For maximum ethanol use in gasoline vehicles, we use 15%, based on the highest ethanol fuel</t>
  </si>
  <si>
    <t>mixture generally available in the US.  Though there exist flex fuel vehicles</t>
  </si>
  <si>
    <t>a higher value to consider a scenario that includes engine modifications.</t>
  </si>
  <si>
    <t>We use a 100% maximum value to represent drop-in biofuel replacements.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</si>
</sst>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workbookViewId="0">
      <selection activeCell="A53" sqref="A53:XFD56"/>
    </sheetView>
  </sheetViews>
  <sheetFormatPr defaultRowHeight="15" x14ac:dyDescent="0.25"/>
  <cols>
    <col min="2" max="2" width="69.28515625" customWidth="1"/>
  </cols>
  <sheetData>
    <row r="1" spans="1:2" x14ac:dyDescent="0.25">
      <c r="A1" s="1" t="s">
        <v>12</v>
      </c>
    </row>
    <row r="3" spans="1:2" x14ac:dyDescent="0.25">
      <c r="A3" s="1" t="s">
        <v>0</v>
      </c>
      <c r="B3" s="2" t="s">
        <v>13</v>
      </c>
    </row>
    <row r="4" spans="1:2" x14ac:dyDescent="0.25">
      <c r="B4" t="s">
        <v>16</v>
      </c>
    </row>
    <row r="5" spans="1:2" x14ac:dyDescent="0.25">
      <c r="B5" s="3">
        <v>2017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B8" t="s">
        <v>19</v>
      </c>
    </row>
    <row r="10" spans="1:2" x14ac:dyDescent="0.25">
      <c r="B10" s="2" t="s">
        <v>45</v>
      </c>
    </row>
    <row r="11" spans="1:2" x14ac:dyDescent="0.25">
      <c r="B11" t="s">
        <v>9</v>
      </c>
    </row>
    <row r="12" spans="1:2" x14ac:dyDescent="0.25">
      <c r="B12" s="3" t="s">
        <v>24</v>
      </c>
    </row>
    <row r="13" spans="1:2" x14ac:dyDescent="0.25">
      <c r="B13" t="s">
        <v>25</v>
      </c>
    </row>
    <row r="14" spans="1:2" x14ac:dyDescent="0.25">
      <c r="B14" t="s">
        <v>26</v>
      </c>
    </row>
    <row r="16" spans="1:2" x14ac:dyDescent="0.25">
      <c r="B16" s="2" t="s">
        <v>46</v>
      </c>
    </row>
    <row r="17" spans="1:2" x14ac:dyDescent="0.25">
      <c r="B17" t="s">
        <v>41</v>
      </c>
    </row>
    <row r="18" spans="1:2" x14ac:dyDescent="0.25">
      <c r="B18" s="7">
        <v>44317</v>
      </c>
    </row>
    <row r="19" spans="1:2" x14ac:dyDescent="0.25">
      <c r="B19" t="s">
        <v>63</v>
      </c>
    </row>
    <row r="20" spans="1:2" x14ac:dyDescent="0.25">
      <c r="B20" s="4" t="s">
        <v>62</v>
      </c>
    </row>
    <row r="21" spans="1:2" x14ac:dyDescent="0.25">
      <c r="B21" t="s">
        <v>64</v>
      </c>
    </row>
    <row r="23" spans="1:2" x14ac:dyDescent="0.25">
      <c r="B23" s="2" t="s">
        <v>47</v>
      </c>
    </row>
    <row r="24" spans="1:2" x14ac:dyDescent="0.25">
      <c r="B24" t="s">
        <v>43</v>
      </c>
    </row>
    <row r="25" spans="1:2" x14ac:dyDescent="0.25">
      <c r="B25" s="3">
        <v>2016</v>
      </c>
    </row>
    <row r="26" spans="1:2" x14ac:dyDescent="0.25">
      <c r="B26" s="4" t="s">
        <v>42</v>
      </c>
    </row>
    <row r="27" spans="1:2" x14ac:dyDescent="0.25">
      <c r="B27" t="s">
        <v>44</v>
      </c>
    </row>
    <row r="29" spans="1:2" x14ac:dyDescent="0.25">
      <c r="B29" s="2" t="s">
        <v>48</v>
      </c>
    </row>
    <row r="30" spans="1:2" x14ac:dyDescent="0.25">
      <c r="B30" t="s">
        <v>30</v>
      </c>
    </row>
    <row r="32" spans="1:2" x14ac:dyDescent="0.25">
      <c r="A32" s="1" t="s">
        <v>1</v>
      </c>
    </row>
    <row r="33" spans="1:1" x14ac:dyDescent="0.25">
      <c r="A33" t="s">
        <v>59</v>
      </c>
    </row>
    <row r="34" spans="1:1" x14ac:dyDescent="0.25">
      <c r="A34" s="1"/>
    </row>
    <row r="35" spans="1:1" x14ac:dyDescent="0.25">
      <c r="A35" t="s">
        <v>27</v>
      </c>
    </row>
    <row r="36" spans="1:1" x14ac:dyDescent="0.25">
      <c r="A36" t="s">
        <v>10</v>
      </c>
    </row>
    <row r="37" spans="1:1" x14ac:dyDescent="0.25">
      <c r="A37" t="s">
        <v>28</v>
      </c>
    </row>
    <row r="38" spans="1:1" x14ac:dyDescent="0.25">
      <c r="A38" t="s">
        <v>11</v>
      </c>
    </row>
    <row r="39" spans="1:1" x14ac:dyDescent="0.25">
      <c r="A39" t="s">
        <v>31</v>
      </c>
    </row>
    <row r="41" spans="1:1" x14ac:dyDescent="0.25">
      <c r="A41" s="1" t="s">
        <v>22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14</v>
      </c>
    </row>
    <row r="45" spans="1:1" x14ac:dyDescent="0.25">
      <c r="A45" t="s">
        <v>15</v>
      </c>
    </row>
    <row r="47" spans="1:1" x14ac:dyDescent="0.25">
      <c r="A47" t="s">
        <v>21</v>
      </c>
    </row>
    <row r="48" spans="1:1" x14ac:dyDescent="0.25">
      <c r="A48" t="s">
        <v>20</v>
      </c>
    </row>
    <row r="49" spans="1:1" x14ac:dyDescent="0.25">
      <c r="A49" t="s">
        <v>72</v>
      </c>
    </row>
    <row r="51" spans="1:1" x14ac:dyDescent="0.25">
      <c r="A51" s="1" t="s">
        <v>23</v>
      </c>
    </row>
    <row r="52" spans="1:1" x14ac:dyDescent="0.25">
      <c r="A52" t="s">
        <v>73</v>
      </c>
    </row>
    <row r="54" spans="1:1" x14ac:dyDescent="0.25">
      <c r="A54" s="1" t="s">
        <v>33</v>
      </c>
    </row>
    <row r="55" spans="1:1" x14ac:dyDescent="0.25">
      <c r="A55" t="s">
        <v>34</v>
      </c>
    </row>
    <row r="56" spans="1:1" x14ac:dyDescent="0.25">
      <c r="A56" t="s">
        <v>36</v>
      </c>
    </row>
    <row r="57" spans="1:1" x14ac:dyDescent="0.25">
      <c r="A57" t="s">
        <v>35</v>
      </c>
    </row>
    <row r="58" spans="1:1" x14ac:dyDescent="0.25">
      <c r="A58" t="s">
        <v>37</v>
      </c>
    </row>
    <row r="59" spans="1:1" x14ac:dyDescent="0.25">
      <c r="A59" t="s">
        <v>38</v>
      </c>
    </row>
    <row r="61" spans="1:1" x14ac:dyDescent="0.25">
      <c r="A61" s="1" t="s">
        <v>29</v>
      </c>
    </row>
    <row r="62" spans="1:1" x14ac:dyDescent="0.25">
      <c r="A62" t="s">
        <v>32</v>
      </c>
    </row>
    <row r="63" spans="1:1" x14ac:dyDescent="0.25">
      <c r="A63" t="s">
        <v>65</v>
      </c>
    </row>
    <row r="64" spans="1:1" x14ac:dyDescent="0.25">
      <c r="A64" t="s">
        <v>67</v>
      </c>
    </row>
    <row r="65" spans="1:1" x14ac:dyDescent="0.25">
      <c r="A65" t="s">
        <v>51</v>
      </c>
    </row>
    <row r="66" spans="1:1" x14ac:dyDescent="0.25">
      <c r="A66" t="s">
        <v>52</v>
      </c>
    </row>
    <row r="68" spans="1:1" x14ac:dyDescent="0.25">
      <c r="A68" s="1" t="s">
        <v>56</v>
      </c>
    </row>
    <row r="69" spans="1:1" x14ac:dyDescent="0.25">
      <c r="A69" t="s">
        <v>57</v>
      </c>
    </row>
    <row r="70" spans="1:1" x14ac:dyDescent="0.25">
      <c r="A70" t="s">
        <v>58</v>
      </c>
    </row>
    <row r="72" spans="1:1" x14ac:dyDescent="0.25">
      <c r="A72" t="s">
        <v>66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tabSelected="1" topLeftCell="A4" workbookViewId="0">
      <selection activeCell="A10" sqref="A10"/>
    </sheetView>
  </sheetViews>
  <sheetFormatPr defaultRowHeight="15" x14ac:dyDescent="0.25"/>
  <cols>
    <col min="1" max="2" width="9.42578125" bestFit="1" customWidth="1"/>
  </cols>
  <sheetData>
    <row r="1" spans="1:35" x14ac:dyDescent="0.25">
      <c r="A1" s="1" t="s">
        <v>40</v>
      </c>
    </row>
    <row r="2" spans="1:35" x14ac:dyDescent="0.25">
      <c r="A2">
        <v>0.15</v>
      </c>
      <c r="B2" t="s">
        <v>6</v>
      </c>
    </row>
    <row r="3" spans="1:35" x14ac:dyDescent="0.25">
      <c r="A3">
        <v>1</v>
      </c>
      <c r="B3" t="s">
        <v>8</v>
      </c>
    </row>
    <row r="5" spans="1:35" x14ac:dyDescent="0.25">
      <c r="A5" s="1" t="s">
        <v>39</v>
      </c>
    </row>
    <row r="6" spans="1:35" x14ac:dyDescent="0.25">
      <c r="A6">
        <v>2020</v>
      </c>
      <c r="B6">
        <v>2050</v>
      </c>
    </row>
    <row r="7" spans="1:35" x14ac:dyDescent="0.25">
      <c r="A7">
        <v>0</v>
      </c>
      <c r="B7">
        <v>1</v>
      </c>
    </row>
    <row r="8" spans="1:35" x14ac:dyDescent="0.25">
      <c r="A8" s="1" t="s">
        <v>69</v>
      </c>
    </row>
    <row r="9" spans="1:35" x14ac:dyDescent="0.25">
      <c r="A9">
        <v>2020</v>
      </c>
      <c r="B9">
        <v>2050</v>
      </c>
    </row>
    <row r="10" spans="1:35" x14ac:dyDescent="0.25">
      <c r="A10">
        <v>0</v>
      </c>
      <c r="B10">
        <v>0.6</v>
      </c>
    </row>
    <row r="12" spans="1:35" x14ac:dyDescent="0.25">
      <c r="A12" s="1" t="s">
        <v>49</v>
      </c>
    </row>
    <row r="13" spans="1:35" x14ac:dyDescent="0.25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25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6.6666666666677088E-2</v>
      </c>
      <c r="H14">
        <f t="shared" ref="H14:AI14" si="0">_xlfn.FORECAST.LINEAR(H13,$A$7:$B$7,$A$6:$B$6)</f>
        <v>0.10000000000000853</v>
      </c>
      <c r="I14">
        <f t="shared" si="0"/>
        <v>0.13333333333333997</v>
      </c>
      <c r="J14">
        <f t="shared" si="0"/>
        <v>0.1666666666666714</v>
      </c>
      <c r="K14">
        <f t="shared" si="0"/>
        <v>0.20000000000000284</v>
      </c>
      <c r="L14">
        <f t="shared" si="0"/>
        <v>0.23333333333333428</v>
      </c>
      <c r="M14">
        <f t="shared" si="0"/>
        <v>0.26666666666666572</v>
      </c>
      <c r="N14">
        <f t="shared" si="0"/>
        <v>0.29999999999999716</v>
      </c>
      <c r="O14">
        <f t="shared" si="0"/>
        <v>0.33333333333334281</v>
      </c>
      <c r="P14">
        <f t="shared" si="0"/>
        <v>0.36666666666667425</v>
      </c>
      <c r="Q14">
        <f t="shared" si="0"/>
        <v>0.40000000000000568</v>
      </c>
      <c r="R14">
        <f t="shared" si="0"/>
        <v>0.43333333333333712</v>
      </c>
      <c r="S14">
        <f t="shared" si="0"/>
        <v>0.46666666666666856</v>
      </c>
      <c r="T14">
        <f t="shared" si="0"/>
        <v>0.5</v>
      </c>
      <c r="U14">
        <f t="shared" si="0"/>
        <v>0.53333333333333144</v>
      </c>
      <c r="V14">
        <f t="shared" si="0"/>
        <v>0.56666666666667709</v>
      </c>
      <c r="W14">
        <f t="shared" si="0"/>
        <v>0.60000000000000853</v>
      </c>
      <c r="X14">
        <f t="shared" si="0"/>
        <v>0.63333333333333997</v>
      </c>
      <c r="Y14">
        <f t="shared" si="0"/>
        <v>0.6666666666666714</v>
      </c>
      <c r="Z14">
        <f t="shared" si="0"/>
        <v>0.70000000000000284</v>
      </c>
      <c r="AA14">
        <f t="shared" si="0"/>
        <v>0.73333333333333428</v>
      </c>
      <c r="AB14">
        <f t="shared" si="0"/>
        <v>0.76666666666666572</v>
      </c>
      <c r="AC14">
        <f t="shared" si="0"/>
        <v>0.79999999999999716</v>
      </c>
      <c r="AD14">
        <f t="shared" si="0"/>
        <v>0.83333333333334281</v>
      </c>
      <c r="AE14">
        <f t="shared" si="0"/>
        <v>0.86666666666667425</v>
      </c>
      <c r="AF14">
        <f t="shared" si="0"/>
        <v>0.90000000000000568</v>
      </c>
      <c r="AG14">
        <f t="shared" si="0"/>
        <v>0.93333333333333712</v>
      </c>
      <c r="AH14">
        <f t="shared" si="0"/>
        <v>0.96666666666666856</v>
      </c>
      <c r="AI14">
        <f t="shared" si="0"/>
        <v>1</v>
      </c>
    </row>
    <row r="15" spans="1:35" x14ac:dyDescent="0.25">
      <c r="E15" s="5"/>
      <c r="F15" s="5"/>
    </row>
    <row r="16" spans="1:35" x14ac:dyDescent="0.25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25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3.9999999999992042E-2</v>
      </c>
      <c r="H17" cm="1">
        <f t="array" ref="H17">TREND($A$10:$B$10,$A$9:$B$9,H16)</f>
        <v>5.9999999999995168E-2</v>
      </c>
      <c r="I17" cm="1">
        <f t="array" ref="I17">TREND($A$10:$B$10,$A$9:$B$9,I16)</f>
        <v>7.9999999999998295E-2</v>
      </c>
      <c r="J17" cm="1">
        <f t="array" ref="J17">TREND($A$10:$B$10,$A$9:$B$9,J16)</f>
        <v>9.9999999999994316E-2</v>
      </c>
      <c r="K17" cm="1">
        <f t="array" ref="K17">TREND($A$10:$B$10,$A$9:$B$9,K16)</f>
        <v>0.11999999999999744</v>
      </c>
      <c r="L17" cm="1">
        <f t="array" ref="L17">TREND($A$10:$B$10,$A$9:$B$9,L16)</f>
        <v>0.13999999999999346</v>
      </c>
      <c r="M17" cm="1">
        <f t="array" ref="M17">TREND($A$10:$B$10,$A$9:$B$9,M16)</f>
        <v>0.15999999999999659</v>
      </c>
      <c r="N17" cm="1">
        <f t="array" ref="N17">TREND($A$10:$B$10,$A$9:$B$9,N16)</f>
        <v>0.17999999999999261</v>
      </c>
      <c r="O17" cm="1">
        <f t="array" ref="O17">TREND($A$10:$B$10,$A$9:$B$9,O16)</f>
        <v>0.19999999999999574</v>
      </c>
      <c r="P17" cm="1">
        <f t="array" ref="P17">TREND($A$10:$B$10,$A$9:$B$9,P16)</f>
        <v>0.21999999999999176</v>
      </c>
      <c r="Q17" cm="1">
        <f t="array" ref="Q17">TREND($A$10:$B$10,$A$9:$B$9,Q16)</f>
        <v>0.23999999999999488</v>
      </c>
      <c r="R17" cm="1">
        <f t="array" ref="R17">TREND($A$10:$B$10,$A$9:$B$9,R16)</f>
        <v>0.25999999999999801</v>
      </c>
      <c r="S17" cm="1">
        <f t="array" ref="S17">TREND($A$10:$B$10,$A$9:$B$9,S16)</f>
        <v>0.27999999999999403</v>
      </c>
      <c r="T17" cm="1">
        <f t="array" ref="T17">TREND($A$10:$B$10,$A$9:$B$9,T16)</f>
        <v>0.29999999999999716</v>
      </c>
      <c r="U17" cm="1">
        <f t="array" ref="U17">TREND($A$10:$B$10,$A$9:$B$9,U16)</f>
        <v>0.31999999999999318</v>
      </c>
      <c r="V17" cm="1">
        <f t="array" ref="V17">TREND($A$10:$B$10,$A$9:$B$9,V16)</f>
        <v>0.33999999999999631</v>
      </c>
      <c r="W17" cm="1">
        <f t="array" ref="W17">TREND($A$10:$B$10,$A$9:$B$9,W16)</f>
        <v>0.35999999999999233</v>
      </c>
      <c r="X17" cm="1">
        <f t="array" ref="X17">TREND($A$10:$B$10,$A$9:$B$9,X16)</f>
        <v>0.37999999999999545</v>
      </c>
      <c r="Y17" cm="1">
        <f t="array" ref="Y17">TREND($A$10:$B$10,$A$9:$B$9,Y16)</f>
        <v>0.39999999999999858</v>
      </c>
      <c r="Z17" cm="1">
        <f t="array" ref="Z17">TREND($A$10:$B$10,$A$9:$B$9,Z16)</f>
        <v>0.4199999999999946</v>
      </c>
      <c r="AA17" cm="1">
        <f t="array" ref="AA17">TREND($A$10:$B$10,$A$9:$B$9,AA16)</f>
        <v>0.43999999999999773</v>
      </c>
      <c r="AB17" cm="1">
        <f t="array" ref="AB17">TREND($A$10:$B$10,$A$9:$B$9,AB16)</f>
        <v>0.45999999999999375</v>
      </c>
      <c r="AC17" cm="1">
        <f t="array" ref="AC17">TREND($A$10:$B$10,$A$9:$B$9,AC16)</f>
        <v>0.47999999999999687</v>
      </c>
      <c r="AD17" cm="1">
        <f t="array" ref="AD17">TREND($A$10:$B$10,$A$9:$B$9,AD16)</f>
        <v>0.49999999999999289</v>
      </c>
      <c r="AE17" cm="1">
        <f t="array" ref="AE17">TREND($A$10:$B$10,$A$9:$B$9,AE16)</f>
        <v>0.51999999999999602</v>
      </c>
      <c r="AF17" cm="1">
        <f t="array" ref="AF17">TREND($A$10:$B$10,$A$9:$B$9,AF16)</f>
        <v>0.53999999999999204</v>
      </c>
      <c r="AG17" cm="1">
        <f t="array" ref="AG17">TREND($A$10:$B$10,$A$9:$B$9,AG16)</f>
        <v>0.55999999999999517</v>
      </c>
      <c r="AH17" cm="1">
        <f t="array" ref="AH17">TREND($A$10:$B$10,$A$9:$B$9,AH16)</f>
        <v>0.57999999999999829</v>
      </c>
      <c r="AI17" cm="1">
        <f t="array" ref="AI17">TREND($A$10:$B$10,$A$9:$B$9,AI16)</f>
        <v>0.59999999999999432</v>
      </c>
    </row>
    <row r="19" spans="1:35" x14ac:dyDescent="0.25">
      <c r="A19" s="1" t="s">
        <v>68</v>
      </c>
    </row>
    <row r="20" spans="1:35" x14ac:dyDescent="0.25">
      <c r="A20" t="s">
        <v>50</v>
      </c>
    </row>
    <row r="25" spans="1:35" x14ac:dyDescent="0.25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11"/>
  <sheetViews>
    <sheetView workbookViewId="0"/>
  </sheetViews>
  <sheetFormatPr defaultRowHeight="15" x14ac:dyDescent="0.25"/>
  <cols>
    <col min="1" max="1" width="23.285156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AJ11"/>
  <sheetViews>
    <sheetView topLeftCell="S1" workbookViewId="0">
      <selection activeCell="AJ7" sqref="AJ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AI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AI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6.6666666666677088E-2</v>
      </c>
      <c r="H7">
        <f>'Max Biofuel Blends'!H$14</f>
        <v>0.10000000000000853</v>
      </c>
      <c r="I7">
        <f>'Max Biofuel Blends'!I$14</f>
        <v>0.13333333333333997</v>
      </c>
      <c r="J7">
        <f>'Max Biofuel Blends'!J$14</f>
        <v>0.1666666666666714</v>
      </c>
      <c r="K7">
        <f>'Max Biofuel Blends'!K$14</f>
        <v>0.20000000000000284</v>
      </c>
      <c r="L7">
        <f>'Max Biofuel Blends'!L$14</f>
        <v>0.23333333333333428</v>
      </c>
      <c r="M7">
        <f>'Max Biofuel Blends'!M$14</f>
        <v>0.26666666666666572</v>
      </c>
      <c r="N7">
        <f>'Max Biofuel Blends'!N$14</f>
        <v>0.29999999999999716</v>
      </c>
      <c r="O7">
        <f>'Max Biofuel Blends'!O$14</f>
        <v>0.33333333333334281</v>
      </c>
      <c r="P7">
        <f>'Max Biofuel Blends'!P$14</f>
        <v>0.36666666666667425</v>
      </c>
      <c r="Q7">
        <f>'Max Biofuel Blends'!Q$14</f>
        <v>0.40000000000000568</v>
      </c>
      <c r="R7">
        <f>'Max Biofuel Blends'!R$14</f>
        <v>0.43333333333333712</v>
      </c>
      <c r="S7">
        <f>'Max Biofuel Blends'!S$14</f>
        <v>0.46666666666666856</v>
      </c>
      <c r="T7">
        <f>'Max Biofuel Blends'!T$14</f>
        <v>0.5</v>
      </c>
      <c r="U7">
        <f>'Max Biofuel Blends'!U$14</f>
        <v>0.53333333333333144</v>
      </c>
      <c r="V7">
        <f>'Max Biofuel Blends'!V$14</f>
        <v>0.56666666666667709</v>
      </c>
      <c r="W7">
        <f>'Max Biofuel Blends'!W$14</f>
        <v>0.60000000000000853</v>
      </c>
      <c r="X7">
        <f>'Max Biofuel Blends'!X$14</f>
        <v>0.63333333333333997</v>
      </c>
      <c r="Y7">
        <f>'Max Biofuel Blends'!Y$14</f>
        <v>0.6666666666666714</v>
      </c>
      <c r="Z7">
        <f>'Max Biofuel Blends'!Z$14</f>
        <v>0.70000000000000284</v>
      </c>
      <c r="AA7">
        <f>'Max Biofuel Blends'!AA$14</f>
        <v>0.73333333333333428</v>
      </c>
      <c r="AB7">
        <f>'Max Biofuel Blends'!AB$14</f>
        <v>0.76666666666666572</v>
      </c>
      <c r="AC7">
        <f>'Max Biofuel Blends'!AC$14</f>
        <v>0.79999999999999716</v>
      </c>
      <c r="AD7">
        <f>'Max Biofuel Blends'!AD$14</f>
        <v>0.83333333333334281</v>
      </c>
      <c r="AE7">
        <f>'Max Biofuel Blends'!AE$14</f>
        <v>0.86666666666667425</v>
      </c>
      <c r="AF7">
        <f>'Max Biofuel Blends'!AF$14</f>
        <v>0.90000000000000568</v>
      </c>
      <c r="AG7">
        <f>'Max Biofuel Blends'!AG$14</f>
        <v>0.93333333333333712</v>
      </c>
      <c r="AH7">
        <f>'Max Biofuel Blends'!AH$14</f>
        <v>0.96666666666666856</v>
      </c>
      <c r="AI7">
        <f>'Max Biofuel Blends'!AI$14</f>
        <v>1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6.6666666666677088E-2</v>
      </c>
      <c r="H6">
        <f>'Max Biofuel Blends'!H$14</f>
        <v>0.10000000000000853</v>
      </c>
      <c r="I6">
        <f>'Max Biofuel Blends'!I$14</f>
        <v>0.13333333333333997</v>
      </c>
      <c r="J6">
        <f>'Max Biofuel Blends'!J$14</f>
        <v>0.1666666666666714</v>
      </c>
      <c r="K6">
        <f>'Max Biofuel Blends'!K$14</f>
        <v>0.20000000000000284</v>
      </c>
      <c r="L6">
        <f>'Max Biofuel Blends'!L$14</f>
        <v>0.23333333333333428</v>
      </c>
      <c r="M6">
        <f>'Max Biofuel Blends'!M$14</f>
        <v>0.26666666666666572</v>
      </c>
      <c r="N6">
        <f>'Max Biofuel Blends'!N$14</f>
        <v>0.29999999999999716</v>
      </c>
      <c r="O6">
        <f>'Max Biofuel Blends'!O$14</f>
        <v>0.33333333333334281</v>
      </c>
      <c r="P6">
        <f>'Max Biofuel Blends'!P$14</f>
        <v>0.36666666666667425</v>
      </c>
      <c r="Q6">
        <f>'Max Biofuel Blends'!Q$14</f>
        <v>0.40000000000000568</v>
      </c>
      <c r="R6">
        <f>'Max Biofuel Blends'!R$14</f>
        <v>0.43333333333333712</v>
      </c>
      <c r="S6">
        <f>'Max Biofuel Blends'!S$14</f>
        <v>0.46666666666666856</v>
      </c>
      <c r="T6">
        <f>'Max Biofuel Blends'!T$14</f>
        <v>0.5</v>
      </c>
      <c r="U6">
        <f>'Max Biofuel Blends'!U$14</f>
        <v>0.53333333333333144</v>
      </c>
      <c r="V6">
        <f>'Max Biofuel Blends'!V$14</f>
        <v>0.56666666666667709</v>
      </c>
      <c r="W6">
        <f>'Max Biofuel Blends'!W$14</f>
        <v>0.60000000000000853</v>
      </c>
      <c r="X6">
        <f>'Max Biofuel Blends'!X$14</f>
        <v>0.63333333333333997</v>
      </c>
      <c r="Y6">
        <f>'Max Biofuel Blends'!Y$14</f>
        <v>0.6666666666666714</v>
      </c>
      <c r="Z6">
        <f>'Max Biofuel Blends'!Z$14</f>
        <v>0.70000000000000284</v>
      </c>
      <c r="AA6">
        <f>'Max Biofuel Blends'!AA$14</f>
        <v>0.73333333333333428</v>
      </c>
      <c r="AB6">
        <f>'Max Biofuel Blends'!AB$14</f>
        <v>0.76666666666666572</v>
      </c>
      <c r="AC6">
        <f>'Max Biofuel Blends'!AC$14</f>
        <v>0.79999999999999716</v>
      </c>
      <c r="AD6">
        <f>'Max Biofuel Blends'!AD$14</f>
        <v>0.83333333333334281</v>
      </c>
      <c r="AE6">
        <f>'Max Biofuel Blends'!AE$14</f>
        <v>0.86666666666667425</v>
      </c>
      <c r="AF6">
        <f>'Max Biofuel Blends'!AF$14</f>
        <v>0.90000000000000568</v>
      </c>
      <c r="AG6">
        <f>'Max Biofuel Blends'!AG$14</f>
        <v>0.93333333333333712</v>
      </c>
      <c r="AH6">
        <f>'Max Biofuel Blends'!AH$14</f>
        <v>0.96666666666666856</v>
      </c>
      <c r="AI6">
        <f>'Max Biofuel Blends'!AI$14</f>
        <v>1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AI11"/>
  <sheetViews>
    <sheetView workbookViewId="0">
      <selection activeCell="H5" sqref="H5"/>
    </sheetView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3.9999999999992042E-2</v>
      </c>
      <c r="H7">
        <f>'Max Biofuel Blends'!H$17</f>
        <v>5.9999999999995168E-2</v>
      </c>
      <c r="I7">
        <f>'Max Biofuel Blends'!I$17</f>
        <v>7.9999999999998295E-2</v>
      </c>
      <c r="J7">
        <f>'Max Biofuel Blends'!J$17</f>
        <v>9.9999999999994316E-2</v>
      </c>
      <c r="K7">
        <f>'Max Biofuel Blends'!K$17</f>
        <v>0.11999999999999744</v>
      </c>
      <c r="L7">
        <f>'Max Biofuel Blends'!L$17</f>
        <v>0.13999999999999346</v>
      </c>
      <c r="M7">
        <f>'Max Biofuel Blends'!M$17</f>
        <v>0.15999999999999659</v>
      </c>
      <c r="N7">
        <f>'Max Biofuel Blends'!N$17</f>
        <v>0.17999999999999261</v>
      </c>
      <c r="O7">
        <f>'Max Biofuel Blends'!O$17</f>
        <v>0.19999999999999574</v>
      </c>
      <c r="P7">
        <f>'Max Biofuel Blends'!P$17</f>
        <v>0.21999999999999176</v>
      </c>
      <c r="Q7">
        <f>'Max Biofuel Blends'!Q$17</f>
        <v>0.23999999999999488</v>
      </c>
      <c r="R7">
        <f>'Max Biofuel Blends'!R$17</f>
        <v>0.25999999999999801</v>
      </c>
      <c r="S7">
        <f>'Max Biofuel Blends'!S$17</f>
        <v>0.27999999999999403</v>
      </c>
      <c r="T7">
        <f>'Max Biofuel Blends'!T$17</f>
        <v>0.29999999999999716</v>
      </c>
      <c r="U7">
        <f>'Max Biofuel Blends'!U$17</f>
        <v>0.31999999999999318</v>
      </c>
      <c r="V7">
        <f>'Max Biofuel Blends'!V$17</f>
        <v>0.33999999999999631</v>
      </c>
      <c r="W7">
        <f>'Max Biofuel Blends'!W$17</f>
        <v>0.35999999999999233</v>
      </c>
      <c r="X7">
        <f>'Max Biofuel Blends'!X$17</f>
        <v>0.37999999999999545</v>
      </c>
      <c r="Y7">
        <f>'Max Biofuel Blends'!Y$17</f>
        <v>0.39999999999999858</v>
      </c>
      <c r="Z7">
        <f>'Max Biofuel Blends'!Z$17</f>
        <v>0.4199999999999946</v>
      </c>
      <c r="AA7">
        <f>'Max Biofuel Blends'!AA$17</f>
        <v>0.43999999999999773</v>
      </c>
      <c r="AB7">
        <f>'Max Biofuel Blends'!AB$17</f>
        <v>0.45999999999999375</v>
      </c>
      <c r="AC7">
        <f>'Max Biofuel Blends'!AC$17</f>
        <v>0.47999999999999687</v>
      </c>
      <c r="AD7">
        <f>'Max Biofuel Blends'!AD$17</f>
        <v>0.49999999999999289</v>
      </c>
      <c r="AE7">
        <f>'Max Biofuel Blends'!AE$17</f>
        <v>0.51999999999999602</v>
      </c>
      <c r="AF7">
        <f>'Max Biofuel Blends'!AF$17</f>
        <v>0.53999999999999204</v>
      </c>
      <c r="AG7">
        <f>'Max Biofuel Blends'!AG$17</f>
        <v>0.55999999999999517</v>
      </c>
      <c r="AH7">
        <f>'Max Biofuel Blends'!AH$17</f>
        <v>0.57999999999999829</v>
      </c>
      <c r="AI7">
        <f>'Max Biofuel Blends'!AI$17</f>
        <v>0.59999999999999432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AI11"/>
  <sheetViews>
    <sheetView workbookViewId="0"/>
  </sheetViews>
  <sheetFormatPr defaultRowHeight="15" x14ac:dyDescent="0.25"/>
  <cols>
    <col min="1" max="1" width="22.5703125" customWidth="1"/>
  </cols>
  <sheetData>
    <row r="1" spans="1:35" ht="30" x14ac:dyDescent="0.25">
      <c r="A1" s="6" t="s">
        <v>61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AJ11"/>
  <sheetViews>
    <sheetView topLeftCell="S1" workbookViewId="0">
      <selection activeCell="B6" sqref="B6:AJ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AJ11"/>
  <sheetViews>
    <sheetView workbookViewId="0">
      <selection activeCell="A7" sqref="A7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f t="shared" ref="B7:AJ7" si="0">max_biodsl</f>
        <v>1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0"/>
        <v>1</v>
      </c>
      <c r="AJ7">
        <f t="shared" si="0"/>
        <v>1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AJ11"/>
  <sheetViews>
    <sheetView workbookViewId="0">
      <selection activeCell="A6" sqref="A6"/>
    </sheetView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f t="shared" ref="B6:AJ6" si="0">max_biogas</f>
        <v>0.15</v>
      </c>
      <c r="C6">
        <f t="shared" si="0"/>
        <v>0.15</v>
      </c>
      <c r="D6">
        <f t="shared" si="0"/>
        <v>0.15</v>
      </c>
      <c r="E6">
        <f t="shared" si="0"/>
        <v>0.15</v>
      </c>
      <c r="F6">
        <f t="shared" si="0"/>
        <v>0.15</v>
      </c>
      <c r="G6">
        <f t="shared" si="0"/>
        <v>0.15</v>
      </c>
      <c r="H6">
        <f t="shared" si="0"/>
        <v>0.15</v>
      </c>
      <c r="I6">
        <f t="shared" si="0"/>
        <v>0.15</v>
      </c>
      <c r="J6">
        <f t="shared" si="0"/>
        <v>0.15</v>
      </c>
      <c r="K6">
        <f t="shared" si="0"/>
        <v>0.15</v>
      </c>
      <c r="L6">
        <f t="shared" si="0"/>
        <v>0.15</v>
      </c>
      <c r="M6">
        <f t="shared" si="0"/>
        <v>0.15</v>
      </c>
      <c r="N6">
        <f t="shared" si="0"/>
        <v>0.15</v>
      </c>
      <c r="O6">
        <f t="shared" si="0"/>
        <v>0.15</v>
      </c>
      <c r="P6">
        <f t="shared" si="0"/>
        <v>0.15</v>
      </c>
      <c r="Q6">
        <f t="shared" si="0"/>
        <v>0.15</v>
      </c>
      <c r="R6">
        <f t="shared" si="0"/>
        <v>0.15</v>
      </c>
      <c r="S6">
        <f t="shared" si="0"/>
        <v>0.15</v>
      </c>
      <c r="T6">
        <f t="shared" si="0"/>
        <v>0.15</v>
      </c>
      <c r="U6">
        <f t="shared" si="0"/>
        <v>0.15</v>
      </c>
      <c r="V6">
        <f t="shared" si="0"/>
        <v>0.15</v>
      </c>
      <c r="W6">
        <f t="shared" si="0"/>
        <v>0.15</v>
      </c>
      <c r="X6">
        <f t="shared" si="0"/>
        <v>0.15</v>
      </c>
      <c r="Y6">
        <f t="shared" si="0"/>
        <v>0.15</v>
      </c>
      <c r="Z6">
        <f t="shared" si="0"/>
        <v>0.15</v>
      </c>
      <c r="AA6">
        <f t="shared" si="0"/>
        <v>0.15</v>
      </c>
      <c r="AB6">
        <f t="shared" si="0"/>
        <v>0.15</v>
      </c>
      <c r="AC6">
        <f t="shared" si="0"/>
        <v>0.15</v>
      </c>
      <c r="AD6">
        <f t="shared" si="0"/>
        <v>0.15</v>
      </c>
      <c r="AE6">
        <f t="shared" si="0"/>
        <v>0.15</v>
      </c>
      <c r="AF6">
        <f t="shared" si="0"/>
        <v>0.15</v>
      </c>
      <c r="AG6">
        <f t="shared" si="0"/>
        <v>0.15</v>
      </c>
      <c r="AH6">
        <f t="shared" si="0"/>
        <v>0.15</v>
      </c>
      <c r="AI6">
        <f t="shared" si="0"/>
        <v>0.15</v>
      </c>
      <c r="AJ6">
        <f t="shared" si="0"/>
        <v>0.15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AJ11"/>
  <sheetViews>
    <sheetView workbookViewId="0"/>
  </sheetViews>
  <sheetFormatPr defaultRowHeight="15" x14ac:dyDescent="0.25"/>
  <cols>
    <col min="1" max="1" width="22.5703125" customWidth="1"/>
  </cols>
  <sheetData>
    <row r="1" spans="1:36" ht="30" x14ac:dyDescent="0.25">
      <c r="A1" s="6" t="s">
        <v>60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t="s">
        <v>55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2017-06-23T20:50:52Z</dcterms:created>
  <dcterms:modified xsi:type="dcterms:W3CDTF">2026-04-20T22:08:52Z</dcterms:modified>
</cp:coreProperties>
</file>