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VRSbRIC\"/>
    </mc:Choice>
  </mc:AlternateContent>
  <xr:revisionPtr revIDLastSave="0" documentId="13_ncr:1_{EF176CE5-A45B-4223-A7CC-90AA7923542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LDV Data" sheetId="2" r:id="rId2"/>
    <sheet name="Checks" sheetId="3" r:id="rId3"/>
    <sheet name="HDV Data" sheetId="4" r:id="rId4"/>
    <sheet name="VRSbR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5" l="1"/>
  <c r="AQ4" i="5" s="1"/>
  <c r="AQ5" i="5" s="1"/>
  <c r="AQ6" i="5" s="1"/>
  <c r="AQ7" i="5" s="1"/>
  <c r="AP3" i="5"/>
  <c r="AP4" i="5" s="1"/>
  <c r="AP5" i="5" s="1"/>
  <c r="AP6" i="5" s="1"/>
  <c r="AP7" i="5" s="1"/>
  <c r="AO3" i="5"/>
  <c r="AO4" i="5" s="1"/>
  <c r="AO5" i="5" s="1"/>
  <c r="AO6" i="5" s="1"/>
  <c r="AO7" i="5" s="1"/>
  <c r="AN3" i="5"/>
  <c r="AN4" i="5" s="1"/>
  <c r="AN5" i="5" s="1"/>
  <c r="AN6" i="5" s="1"/>
  <c r="AN7" i="5" s="1"/>
  <c r="AM3" i="5"/>
  <c r="AM4" i="5" s="1"/>
  <c r="AM5" i="5" s="1"/>
  <c r="AM6" i="5" s="1"/>
  <c r="AM7" i="5" s="1"/>
  <c r="AL3" i="5"/>
  <c r="AL4" i="5" s="1"/>
  <c r="AL5" i="5" s="1"/>
  <c r="AL6" i="5" s="1"/>
  <c r="AL7" i="5" s="1"/>
  <c r="AK3" i="5"/>
  <c r="AK4" i="5" s="1"/>
  <c r="AK5" i="5" s="1"/>
  <c r="AK6" i="5" s="1"/>
  <c r="AK7" i="5" s="1"/>
  <c r="AJ3" i="5"/>
  <c r="AJ4" i="5" s="1"/>
  <c r="AJ5" i="5" s="1"/>
  <c r="AJ6" i="5" s="1"/>
  <c r="AJ7" i="5" s="1"/>
  <c r="AI3" i="5"/>
  <c r="AI4" i="5" s="1"/>
  <c r="AI5" i="5" s="1"/>
  <c r="AI6" i="5" s="1"/>
  <c r="AI7" i="5" s="1"/>
  <c r="AH3" i="5"/>
  <c r="AH4" i="5" s="1"/>
  <c r="AH5" i="5" s="1"/>
  <c r="AH6" i="5" s="1"/>
  <c r="AH7" i="5" s="1"/>
  <c r="AG3" i="5"/>
  <c r="AG4" i="5" s="1"/>
  <c r="AG5" i="5" s="1"/>
  <c r="AG6" i="5" s="1"/>
  <c r="AG7" i="5" s="1"/>
  <c r="AF3" i="5"/>
  <c r="AF4" i="5" s="1"/>
  <c r="AF5" i="5" s="1"/>
  <c r="AF6" i="5" s="1"/>
  <c r="AF7" i="5" s="1"/>
  <c r="AE3" i="5"/>
  <c r="AE4" i="5" s="1"/>
  <c r="AE5" i="5" s="1"/>
  <c r="AE6" i="5" s="1"/>
  <c r="AE7" i="5" s="1"/>
  <c r="AD3" i="5"/>
  <c r="AD4" i="5" s="1"/>
  <c r="AD5" i="5" s="1"/>
  <c r="AD6" i="5" s="1"/>
  <c r="AC3" i="5"/>
  <c r="AC4" i="5" s="1"/>
  <c r="AC5" i="5" s="1"/>
  <c r="AC6" i="5" s="1"/>
  <c r="AC7" i="5" s="1"/>
  <c r="AB3" i="5"/>
  <c r="AB4" i="5" s="1"/>
  <c r="AB5" i="5" s="1"/>
  <c r="AB6" i="5" s="1"/>
  <c r="AB7" i="5" s="1"/>
  <c r="AA3" i="5"/>
  <c r="AA4" i="5" s="1"/>
  <c r="AA5" i="5" s="1"/>
  <c r="AA6" i="5" s="1"/>
  <c r="AA7" i="5" s="1"/>
  <c r="Z3" i="5"/>
  <c r="Z4" i="5" s="1"/>
  <c r="Z5" i="5" s="1"/>
  <c r="Z6" i="5" s="1"/>
  <c r="Z7" i="5" s="1"/>
  <c r="Y3" i="5"/>
  <c r="Y4" i="5" s="1"/>
  <c r="Y5" i="5" s="1"/>
  <c r="Y6" i="5" s="1"/>
  <c r="Y7" i="5" s="1"/>
  <c r="X3" i="5"/>
  <c r="V3" i="5"/>
  <c r="V4" i="5" s="1"/>
  <c r="V5" i="5" s="1"/>
  <c r="V6" i="5" s="1"/>
  <c r="V7" i="5" s="1"/>
  <c r="U3" i="5"/>
  <c r="U4" i="5" s="1"/>
  <c r="U5" i="5" s="1"/>
  <c r="U6" i="5" s="1"/>
  <c r="U7" i="5" s="1"/>
  <c r="T3" i="5"/>
  <c r="T4" i="5" s="1"/>
  <c r="T5" i="5" s="1"/>
  <c r="T6" i="5" s="1"/>
  <c r="T7" i="5" s="1"/>
  <c r="S3" i="5"/>
  <c r="S4" i="5" s="1"/>
  <c r="S5" i="5" s="1"/>
  <c r="S6" i="5" s="1"/>
  <c r="S7" i="5" s="1"/>
  <c r="R3" i="5"/>
  <c r="R4" i="5" s="1"/>
  <c r="R5" i="5" s="1"/>
  <c r="R6" i="5" s="1"/>
  <c r="R7" i="5" s="1"/>
  <c r="Q3" i="5"/>
  <c r="Q4" i="5" s="1"/>
  <c r="Q5" i="5" s="1"/>
  <c r="Q6" i="5" s="1"/>
  <c r="Q7" i="5" s="1"/>
  <c r="P3" i="5"/>
  <c r="P4" i="5" s="1"/>
  <c r="P5" i="5" s="1"/>
  <c r="P6" i="5" s="1"/>
  <c r="P7" i="5" s="1"/>
  <c r="O3" i="5"/>
  <c r="O4" i="5" s="1"/>
  <c r="O5" i="5" s="1"/>
  <c r="O6" i="5" s="1"/>
  <c r="O7" i="5" s="1"/>
  <c r="N3" i="5"/>
  <c r="N4" i="5" s="1"/>
  <c r="N5" i="5" s="1"/>
  <c r="N6" i="5" s="1"/>
  <c r="N7" i="5" s="1"/>
  <c r="M3" i="5"/>
  <c r="M4" i="5" s="1"/>
  <c r="M5" i="5" s="1"/>
  <c r="M6" i="5" s="1"/>
  <c r="M7" i="5" s="1"/>
  <c r="L3" i="5"/>
  <c r="L4" i="5" s="1"/>
  <c r="L5" i="5" s="1"/>
  <c r="L6" i="5" s="1"/>
  <c r="L7" i="5" s="1"/>
  <c r="K3" i="5"/>
  <c r="K4" i="5" s="1"/>
  <c r="K5" i="5" s="1"/>
  <c r="K6" i="5" s="1"/>
  <c r="K7" i="5" s="1"/>
  <c r="J3" i="5"/>
  <c r="J4" i="5" s="1"/>
  <c r="J5" i="5" s="1"/>
  <c r="J6" i="5" s="1"/>
  <c r="J7" i="5" s="1"/>
  <c r="I3" i="5"/>
  <c r="I4" i="5" s="1"/>
  <c r="I5" i="5" s="1"/>
  <c r="I6" i="5" s="1"/>
  <c r="I7" i="5" s="1"/>
  <c r="H3" i="5"/>
  <c r="G3" i="5"/>
  <c r="G4" i="5" s="1"/>
  <c r="G5" i="5" s="1"/>
  <c r="G6" i="5" s="1"/>
  <c r="G7" i="5" s="1"/>
  <c r="F3" i="5"/>
  <c r="F4" i="5" s="1"/>
  <c r="F5" i="5" s="1"/>
  <c r="F6" i="5" s="1"/>
  <c r="F7" i="5" s="1"/>
  <c r="E3" i="5"/>
  <c r="E4" i="5" s="1"/>
  <c r="E5" i="5" s="1"/>
  <c r="E6" i="5" s="1"/>
  <c r="E7" i="5" s="1"/>
  <c r="D3" i="5"/>
  <c r="D4" i="5" s="1"/>
  <c r="D5" i="5" s="1"/>
  <c r="D6" i="5" s="1"/>
  <c r="D7" i="5" s="1"/>
  <c r="C3" i="5"/>
  <c r="C4" i="5" s="1"/>
  <c r="C5" i="5" s="1"/>
  <c r="C6" i="5" s="1"/>
  <c r="C7" i="5" s="1"/>
  <c r="B3" i="5"/>
  <c r="B4" i="5" s="1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C2" i="5"/>
  <c r="AB2" i="5"/>
  <c r="AA2" i="5"/>
  <c r="Z2" i="5"/>
  <c r="Y2" i="5"/>
  <c r="X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C16" i="4"/>
  <c r="D3" i="4" s="1"/>
  <c r="D14" i="4"/>
  <c r="D13" i="4"/>
  <c r="D12" i="4"/>
  <c r="D11" i="4"/>
  <c r="D10" i="4"/>
  <c r="D9" i="4"/>
  <c r="D8" i="4"/>
  <c r="D7" i="4"/>
  <c r="D6" i="4"/>
  <c r="D5" i="4"/>
  <c r="D4" i="4"/>
  <c r="C16" i="2"/>
  <c r="D8" i="2" s="1"/>
  <c r="D14" i="2"/>
  <c r="D13" i="2"/>
  <c r="D9" i="2" l="1"/>
  <c r="W3" i="5"/>
  <c r="X4" i="5" s="1"/>
  <c r="X5" i="5" s="1"/>
  <c r="X6" i="5" s="1"/>
  <c r="D10" i="2"/>
  <c r="D11" i="2"/>
  <c r="D12" i="2"/>
  <c r="B5" i="5"/>
  <c r="D3" i="2"/>
  <c r="W2" i="5" s="1"/>
  <c r="W7" i="5" s="1"/>
  <c r="H4" i="5"/>
  <c r="H5" i="5" s="1"/>
  <c r="H6" i="5" s="1"/>
  <c r="H7" i="5" s="1"/>
  <c r="D5" i="2"/>
  <c r="D4" i="2"/>
  <c r="D6" i="2"/>
  <c r="D7" i="2"/>
  <c r="B7" i="3" l="1"/>
  <c r="C7" i="3" s="1"/>
  <c r="AD7" i="5"/>
  <c r="AD2" i="5"/>
  <c r="B5" i="3" s="1"/>
  <c r="C5" i="3" s="1"/>
  <c r="B6" i="3"/>
  <c r="C6" i="3" s="1"/>
  <c r="B6" i="5"/>
  <c r="B8" i="3"/>
  <c r="C8" i="3" s="1"/>
  <c r="B7" i="5" l="1"/>
  <c r="B10" i="3" s="1"/>
  <c r="C10" i="3" s="1"/>
  <c r="B9" i="3"/>
  <c r="C9" i="3" s="1"/>
</calcChain>
</file>

<file path=xl/sharedStrings.xml><?xml version="1.0" encoding="utf-8"?>
<sst xmlns="http://schemas.openxmlformats.org/spreadsheetml/2006/main" count="338" uniqueCount="149">
  <si>
    <t>VRSbRIC Vehicle Revenue Share by Recipient ISIC Code</t>
  </si>
  <si>
    <t>Sources:</t>
  </si>
  <si>
    <t>Passenger LDVs</t>
  </si>
  <si>
    <t>EPA</t>
  </si>
  <si>
    <t>Automobile Industry Retail Price Equivalent and Indirect Cost Multipliers</t>
  </si>
  <si>
    <t>Link</t>
  </si>
  <si>
    <t>Table 3-3</t>
  </si>
  <si>
    <t>Freight LDVs and HDVs and Passenger HDVs</t>
  </si>
  <si>
    <t>Heavy Duty Truck Retail Price Equivalent and Indirect Cost Multipliers</t>
  </si>
  <si>
    <t>Notes:</t>
  </si>
  <si>
    <t>We assume the same cost breakdowns for all technologies, but assign non-road to non-road vehicle manufacturing</t>
  </si>
  <si>
    <t>The RPEF file also controls whether or not these values are used</t>
  </si>
  <si>
    <t>42-code sibling (build_sector_shares_42):</t>
  </si>
  <si>
    <t>This workbook is the 42-code (un-split) sibling of the 52-code expansion. The 42 scheme is the 52 scheme with the six OECD-native parents</t>
  </si>
  <si>
    <t>left merged (ISIC 01T03, 07T08, 30, 49T53, 69T82, 90T96); the BEA carves ISIC 231/239 and 351/352T353 are retained (present in both</t>
  </si>
  <si>
    <t>schemes).</t>
  </si>
  <si>
    <t>The output tabs are the stock derivation, unchanged and live: the stock workbook is natively 42-code (its output columns already are the</t>
  </si>
  <si>
    <t>42-code ISIC list, in canonical order), so no child split is applied here. The motorbike row is corrected to match LDVs: the stock file</t>
  </si>
  <si>
    <t>(4.0.6 and 4.1) pointed its ISIC 45T47 cell at the HDV dealer share, so the row summed to 0.890 instead of 1 (user decision 2026-07-20).</t>
  </si>
  <si>
    <t>Category</t>
  </si>
  <si>
    <t>Item</t>
  </si>
  <si>
    <t>Industy Average Total</t>
  </si>
  <si>
    <t>Industry Average RPE Only</t>
  </si>
  <si>
    <t>ISIC Code</t>
  </si>
  <si>
    <t>Vehicle Manufacturing</t>
  </si>
  <si>
    <t>Cost of Sales</t>
  </si>
  <si>
    <t>N/A</t>
  </si>
  <si>
    <t>Production Overhead</t>
  </si>
  <si>
    <t>Warranty</t>
  </si>
  <si>
    <t>ISIC 29</t>
  </si>
  <si>
    <t>R&amp;D (product dev)</t>
  </si>
  <si>
    <t>Depreciation and amortization</t>
  </si>
  <si>
    <t>Maintenance, repair, operations cost</t>
  </si>
  <si>
    <t>Corporate Overhead</t>
  </si>
  <si>
    <t>General and aministrative</t>
  </si>
  <si>
    <t>Retirement</t>
  </si>
  <si>
    <t>Health</t>
  </si>
  <si>
    <t>Selling</t>
  </si>
  <si>
    <t>Transportation</t>
  </si>
  <si>
    <t>ISIC 45T47</t>
  </si>
  <si>
    <t>Marketing</t>
  </si>
  <si>
    <t>Dealers</t>
  </si>
  <si>
    <t>New vehicle net profit</t>
  </si>
  <si>
    <t>New vehicle selling cost</t>
  </si>
  <si>
    <t>Other</t>
  </si>
  <si>
    <t>Net income</t>
  </si>
  <si>
    <t>TOTAL</t>
  </si>
  <si>
    <t>ISIC 01T03</t>
  </si>
  <si>
    <t>{Agriculture, forestry and fishing}</t>
  </si>
  <si>
    <t>ISIC 05</t>
  </si>
  <si>
    <t>{Coal mining}</t>
  </si>
  <si>
    <t>ISIC 06</t>
  </si>
  <si>
    <t>{Oil and gas extraction}</t>
  </si>
  <si>
    <t>ISIC 07T08</t>
  </si>
  <si>
    <t>{Mining and quarrying of non-energy producing products}</t>
  </si>
  <si>
    <t>ISIC 09</t>
  </si>
  <si>
    <t>{Mining support service activities}</t>
  </si>
  <si>
    <t>ISIC 10T12</t>
  </si>
  <si>
    <t>{Food products, beverages and tobacco}</t>
  </si>
  <si>
    <t>ISIC 13T15</t>
  </si>
  <si>
    <t>{Textiles, wearing apparel, leather and related products}</t>
  </si>
  <si>
    <t>ISIC 16</t>
  </si>
  <si>
    <t>{Wood and of products of wood and cork (except furniture)}</t>
  </si>
  <si>
    <t>ISIC 17T18</t>
  </si>
  <si>
    <t>{Paper products and printing}</t>
  </si>
  <si>
    <t>ISIC 19</t>
  </si>
  <si>
    <t>{Coke and refined petroleum products}</t>
  </si>
  <si>
    <t>ISIC 20</t>
  </si>
  <si>
    <t>{Chemicals}</t>
  </si>
  <si>
    <t>ISIC 21</t>
  </si>
  <si>
    <t>{Pharmaceuticals}</t>
  </si>
  <si>
    <t>ISIC 22</t>
  </si>
  <si>
    <t>{Rubber and plastics products}</t>
  </si>
  <si>
    <t>ISIC 231</t>
  </si>
  <si>
    <t>{Glass}</t>
  </si>
  <si>
    <t>ISIC 239</t>
  </si>
  <si>
    <t>{Cement and other non-metallic minerals}</t>
  </si>
  <si>
    <t>ISIC 241</t>
  </si>
  <si>
    <t>{Iron and steel}</t>
  </si>
  <si>
    <t>ISIC 242</t>
  </si>
  <si>
    <t>{Other metals}</t>
  </si>
  <si>
    <t>ISIC 25</t>
  </si>
  <si>
    <t>{Fabricated metal products, except machinery and equipment}</t>
  </si>
  <si>
    <t>ISIC 26</t>
  </si>
  <si>
    <t>{Computer, electronic and optical products}</t>
  </si>
  <si>
    <t>ISIC 27</t>
  </si>
  <si>
    <t>{Electrical equipment}</t>
  </si>
  <si>
    <t>ISIC 28</t>
  </si>
  <si>
    <t>{Machinery and equipment n.e.c.}</t>
  </si>
  <si>
    <t>{Motor vehicles, trailers and semi-trailers}</t>
  </si>
  <si>
    <t>ISIC 30</t>
  </si>
  <si>
    <t>{Other transport equipment}</t>
  </si>
  <si>
    <t>ISIC 31T33</t>
  </si>
  <si>
    <t>{Other manufacturing; repair and installation of machinery and equipment}</t>
  </si>
  <si>
    <t>ISIC 351</t>
  </si>
  <si>
    <t>{Electricity generation and distribution}</t>
  </si>
  <si>
    <t>ISIC 352T353</t>
  </si>
  <si>
    <t>{Energy pipelines and gas processing}</t>
  </si>
  <si>
    <t>ISIC 36T39</t>
  </si>
  <si>
    <t>{Water and waste}</t>
  </si>
  <si>
    <t>ISIC 41T43</t>
  </si>
  <si>
    <t>{Construction}</t>
  </si>
  <si>
    <t>{Wholesale and retail trade; repair of motor vehicles}</t>
  </si>
  <si>
    <t>ISIC 49T53</t>
  </si>
  <si>
    <t>{Transportation and storage}</t>
  </si>
  <si>
    <t>ISIC 55T56</t>
  </si>
  <si>
    <t>{Accomodation and food services}</t>
  </si>
  <si>
    <t>ISIC 58T60</t>
  </si>
  <si>
    <t>{Publishing, audiovisual and broadcasting activities}</t>
  </si>
  <si>
    <t>ISIC 61</t>
  </si>
  <si>
    <t>{Telecommunications}</t>
  </si>
  <si>
    <t>ISIC 62T63</t>
  </si>
  <si>
    <t>{IT and other information services}</t>
  </si>
  <si>
    <t>ISIC 64T66</t>
  </si>
  <si>
    <t>{Financial and insurance activities}</t>
  </si>
  <si>
    <t>ISIC 68</t>
  </si>
  <si>
    <t>{Real estate activities}</t>
  </si>
  <si>
    <t>ISIC 69T82</t>
  </si>
  <si>
    <t>{Other business sector services}</t>
  </si>
  <si>
    <t>ISIC 84</t>
  </si>
  <si>
    <t>{Public administration and defence; compulsory social security}</t>
  </si>
  <si>
    <t>ISIC 85</t>
  </si>
  <si>
    <t>{Education}</t>
  </si>
  <si>
    <t>ISIC 86T88</t>
  </si>
  <si>
    <t>{Human health and social work}</t>
  </si>
  <si>
    <t>ISIC 90T96</t>
  </si>
  <si>
    <t>{Arts, entertainment, recreation and other service activities}</t>
  </si>
  <si>
    <t>ISIC 97T98</t>
  </si>
  <si>
    <t>{Private households with employed persons}</t>
  </si>
  <si>
    <t>Validation checks (42-code sibling)</t>
  </si>
  <si>
    <t>Allocation output rows sum to 1 across the 42 ISIC codes (rate files excluded — see note).</t>
  </si>
  <si>
    <t>VRSbRIC.csv</t>
  </si>
  <si>
    <t xml:space="preserve">  LDVs</t>
  </si>
  <si>
    <t xml:space="preserve">  HDVs</t>
  </si>
  <si>
    <t xml:space="preserve">  aircraft</t>
  </si>
  <si>
    <t xml:space="preserve">  rail</t>
  </si>
  <si>
    <t xml:space="preserve">  ships</t>
  </si>
  <si>
    <t xml:space="preserve">  motorbike</t>
  </si>
  <si>
    <t>Trauck Manufacturers Industry Average</t>
  </si>
  <si>
    <t>Manufacturing Cost</t>
  </si>
  <si>
    <t>Dealer new vehicle net income</t>
  </si>
  <si>
    <t>Dealer new vehicle selling expense</t>
  </si>
  <si>
    <t>Vehicle Type</t>
  </si>
  <si>
    <t>LDVs</t>
  </si>
  <si>
    <t>HDVs</t>
  </si>
  <si>
    <t>aircraft</t>
  </si>
  <si>
    <t>rail</t>
  </si>
  <si>
    <t>ships</t>
  </si>
  <si>
    <t>motorbike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</si>
</sst>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0</xdr:rowOff>
    </xdr:from>
    <xdr:to>
      <xdr:col>22</xdr:col>
      <xdr:colOff>102934</xdr:colOff>
      <xdr:row>29</xdr:row>
      <xdr:rowOff>24117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6975" y="0"/>
          <a:ext cx="7913434" cy="55486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0</xdr:row>
      <xdr:rowOff>76200</xdr:rowOff>
    </xdr:from>
    <xdr:to>
      <xdr:col>24</xdr:col>
      <xdr:colOff>541808</xdr:colOff>
      <xdr:row>59</xdr:row>
      <xdr:rowOff>179557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5150" y="76200"/>
          <a:ext cx="8933333" cy="1134285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pis.epa.gov/Exe/ZyPDF.cgi/P100XXR3.PDF?Dockey=P100XXR3.PDF" TargetMode="External"/><Relationship Id="rId1" Type="http://schemas.openxmlformats.org/officeDocument/2006/relationships/hyperlink" Target="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RowHeight="15" x14ac:dyDescent="0.25"/>
  <cols>
    <col min="2" max="2" width="69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5" t="s">
        <v>2</v>
      </c>
    </row>
    <row r="4" spans="1:2" x14ac:dyDescent="0.25">
      <c r="B4" t="s">
        <v>3</v>
      </c>
    </row>
    <row r="5" spans="1:2" x14ac:dyDescent="0.25">
      <c r="B5" s="3">
        <v>2009</v>
      </c>
    </row>
    <row r="6" spans="1:2" x14ac:dyDescent="0.25">
      <c r="B6" t="s">
        <v>4</v>
      </c>
    </row>
    <row r="7" spans="1:2" x14ac:dyDescent="0.25">
      <c r="B7" s="2" t="s">
        <v>5</v>
      </c>
    </row>
    <row r="8" spans="1:2" x14ac:dyDescent="0.25">
      <c r="B8" t="s">
        <v>6</v>
      </c>
    </row>
    <row r="10" spans="1:2" x14ac:dyDescent="0.25">
      <c r="B10" s="5" t="s">
        <v>7</v>
      </c>
    </row>
    <row r="11" spans="1:2" x14ac:dyDescent="0.25">
      <c r="B11" t="s">
        <v>3</v>
      </c>
    </row>
    <row r="12" spans="1:2" x14ac:dyDescent="0.25">
      <c r="B12" s="3">
        <v>2010</v>
      </c>
    </row>
    <row r="13" spans="1:2" x14ac:dyDescent="0.25">
      <c r="B13" t="s">
        <v>8</v>
      </c>
    </row>
    <row r="14" spans="1:2" x14ac:dyDescent="0.25">
      <c r="B14" s="2" t="s">
        <v>5</v>
      </c>
    </row>
    <row r="15" spans="1:2" x14ac:dyDescent="0.25">
      <c r="B15" t="s">
        <v>6</v>
      </c>
    </row>
    <row r="21" spans="1:2" x14ac:dyDescent="0.25">
      <c r="A21" s="1" t="s">
        <v>9</v>
      </c>
      <c r="B21" t="s">
        <v>10</v>
      </c>
    </row>
    <row r="22" spans="1:2" x14ac:dyDescent="0.25">
      <c r="B22" t="s">
        <v>11</v>
      </c>
    </row>
    <row r="24" spans="1:2" x14ac:dyDescent="0.25">
      <c r="A24" s="6" t="s">
        <v>12</v>
      </c>
    </row>
    <row r="25" spans="1:2" ht="30" x14ac:dyDescent="0.25">
      <c r="B25" s="7" t="s">
        <v>13</v>
      </c>
    </row>
    <row r="26" spans="1:2" ht="30" x14ac:dyDescent="0.25">
      <c r="B26" s="7" t="s">
        <v>14</v>
      </c>
    </row>
    <row r="27" spans="1:2" x14ac:dyDescent="0.25">
      <c r="B27" s="7" t="s">
        <v>15</v>
      </c>
    </row>
    <row r="29" spans="1:2" ht="30" x14ac:dyDescent="0.25">
      <c r="B29" s="7" t="s">
        <v>16</v>
      </c>
    </row>
    <row r="30" spans="1:2" ht="30" x14ac:dyDescent="0.25">
      <c r="B30" s="7" t="s">
        <v>17</v>
      </c>
    </row>
    <row r="31" spans="1:2" ht="30" x14ac:dyDescent="0.25">
      <c r="B31" s="7" t="s">
        <v>18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>
      <selection activeCell="B47" sqref="B47"/>
    </sheetView>
  </sheetViews>
  <sheetFormatPr defaultRowHeight="15" x14ac:dyDescent="0.25"/>
  <cols>
    <col min="1" max="2" width="28.7109375" customWidth="1"/>
    <col min="3" max="3" width="20.42578125" bestFit="1" customWidth="1"/>
    <col min="4" max="4" width="26" bestFit="1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 t="s">
        <v>24</v>
      </c>
      <c r="B2" t="s">
        <v>25</v>
      </c>
      <c r="C2">
        <v>1</v>
      </c>
      <c r="D2" t="s">
        <v>26</v>
      </c>
    </row>
    <row r="3" spans="1:5" x14ac:dyDescent="0.25">
      <c r="A3" t="s">
        <v>27</v>
      </c>
      <c r="B3" t="s">
        <v>28</v>
      </c>
      <c r="C3">
        <v>0.03</v>
      </c>
      <c r="D3">
        <f t="shared" ref="D3:D14" si="0">C3/($C$16-$C$2)</f>
        <v>6.5217391304347769E-2</v>
      </c>
      <c r="E3" t="s">
        <v>29</v>
      </c>
    </row>
    <row r="4" spans="1:5" x14ac:dyDescent="0.25">
      <c r="A4" t="s">
        <v>27</v>
      </c>
      <c r="B4" t="s">
        <v>30</v>
      </c>
      <c r="C4">
        <v>0.05</v>
      </c>
      <c r="D4">
        <f t="shared" si="0"/>
        <v>0.10869565217391296</v>
      </c>
      <c r="E4" t="s">
        <v>29</v>
      </c>
    </row>
    <row r="5" spans="1:5" x14ac:dyDescent="0.25">
      <c r="A5" t="s">
        <v>27</v>
      </c>
      <c r="B5" t="s">
        <v>31</v>
      </c>
      <c r="C5">
        <v>7.0000000000000007E-2</v>
      </c>
      <c r="D5">
        <f t="shared" si="0"/>
        <v>0.15217391304347813</v>
      </c>
      <c r="E5" t="s">
        <v>29</v>
      </c>
    </row>
    <row r="6" spans="1:5" x14ac:dyDescent="0.25">
      <c r="A6" t="s">
        <v>27</v>
      </c>
      <c r="B6" t="s">
        <v>32</v>
      </c>
      <c r="C6">
        <v>0.03</v>
      </c>
      <c r="D6">
        <f t="shared" si="0"/>
        <v>6.5217391304347769E-2</v>
      </c>
      <c r="E6" t="s">
        <v>29</v>
      </c>
    </row>
    <row r="7" spans="1:5" x14ac:dyDescent="0.25">
      <c r="A7" t="s">
        <v>33</v>
      </c>
      <c r="B7" t="s">
        <v>34</v>
      </c>
      <c r="C7">
        <v>7.0000000000000007E-2</v>
      </c>
      <c r="D7">
        <f t="shared" si="0"/>
        <v>0.15217391304347813</v>
      </c>
      <c r="E7" t="s">
        <v>29</v>
      </c>
    </row>
    <row r="8" spans="1:5" x14ac:dyDescent="0.25">
      <c r="A8" t="s">
        <v>33</v>
      </c>
      <c r="B8" t="s">
        <v>35</v>
      </c>
      <c r="C8">
        <v>0</v>
      </c>
      <c r="D8">
        <f t="shared" si="0"/>
        <v>0</v>
      </c>
      <c r="E8" t="s">
        <v>29</v>
      </c>
    </row>
    <row r="9" spans="1:5" x14ac:dyDescent="0.25">
      <c r="A9" t="s">
        <v>33</v>
      </c>
      <c r="B9" t="s">
        <v>36</v>
      </c>
      <c r="C9">
        <v>0.01</v>
      </c>
      <c r="D9">
        <f t="shared" si="0"/>
        <v>2.1739130434782591E-2</v>
      </c>
      <c r="E9" t="s">
        <v>29</v>
      </c>
    </row>
    <row r="10" spans="1:5" x14ac:dyDescent="0.25">
      <c r="A10" t="s">
        <v>37</v>
      </c>
      <c r="B10" t="s">
        <v>38</v>
      </c>
      <c r="C10">
        <v>0.04</v>
      </c>
      <c r="D10">
        <f t="shared" si="0"/>
        <v>8.6956521739130363E-2</v>
      </c>
      <c r="E10" t="s">
        <v>39</v>
      </c>
    </row>
    <row r="11" spans="1:5" x14ac:dyDescent="0.25">
      <c r="A11" t="s">
        <v>37</v>
      </c>
      <c r="B11" t="s">
        <v>40</v>
      </c>
      <c r="C11">
        <v>0.04</v>
      </c>
      <c r="D11">
        <f t="shared" si="0"/>
        <v>8.6956521739130363E-2</v>
      </c>
      <c r="E11" t="s">
        <v>39</v>
      </c>
    </row>
    <row r="12" spans="1:5" x14ac:dyDescent="0.25">
      <c r="A12" t="s">
        <v>41</v>
      </c>
      <c r="B12" t="s">
        <v>42</v>
      </c>
      <c r="C12">
        <v>0</v>
      </c>
      <c r="D12">
        <f t="shared" si="0"/>
        <v>0</v>
      </c>
      <c r="E12" t="s">
        <v>39</v>
      </c>
    </row>
    <row r="13" spans="1:5" x14ac:dyDescent="0.25">
      <c r="A13" t="s">
        <v>41</v>
      </c>
      <c r="B13" t="s">
        <v>43</v>
      </c>
      <c r="C13">
        <v>0.06</v>
      </c>
      <c r="D13">
        <f t="shared" si="0"/>
        <v>0.13043478260869554</v>
      </c>
      <c r="E13" t="s">
        <v>39</v>
      </c>
    </row>
    <row r="14" spans="1:5" x14ac:dyDescent="0.25">
      <c r="A14" t="s">
        <v>44</v>
      </c>
      <c r="B14" t="s">
        <v>45</v>
      </c>
      <c r="C14">
        <v>0.06</v>
      </c>
      <c r="D14">
        <f t="shared" si="0"/>
        <v>0.13043478260869554</v>
      </c>
      <c r="E14" t="s">
        <v>29</v>
      </c>
    </row>
    <row r="16" spans="1:5" x14ac:dyDescent="0.25">
      <c r="A16" s="1" t="s">
        <v>46</v>
      </c>
      <c r="C16">
        <f>SUM(C2:C14)</f>
        <v>1.4600000000000004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29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39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cols>
    <col min="1" max="1" width="40" customWidth="1"/>
    <col min="2" max="2" width="14" customWidth="1"/>
  </cols>
  <sheetData>
    <row r="1" spans="1:3" x14ac:dyDescent="0.25">
      <c r="A1" s="6" t="s">
        <v>129</v>
      </c>
    </row>
    <row r="2" spans="1:3" ht="45" x14ac:dyDescent="0.25">
      <c r="A2" s="7" t="s">
        <v>130</v>
      </c>
    </row>
    <row r="4" spans="1:3" x14ac:dyDescent="0.25">
      <c r="A4" s="6" t="s">
        <v>131</v>
      </c>
    </row>
    <row r="5" spans="1:3" x14ac:dyDescent="0.25">
      <c r="A5" t="s">
        <v>132</v>
      </c>
      <c r="B5">
        <f>SUM(VRSbRIC!B2:AQ2)</f>
        <v>0.99999999999999911</v>
      </c>
      <c r="C5" s="6" t="str">
        <f t="shared" ref="C5:C10" si="0">IF(ABS(B5-1)&lt;0.000001,"=1",IF(ABS(B5)&lt;0.000001,"=0","CHECK"))</f>
        <v>=1</v>
      </c>
    </row>
    <row r="6" spans="1:3" x14ac:dyDescent="0.25">
      <c r="A6" t="s">
        <v>133</v>
      </c>
      <c r="B6">
        <f>SUM(VRSbRIC!B3:AQ3)</f>
        <v>0.99999999999999922</v>
      </c>
      <c r="C6" s="6" t="str">
        <f t="shared" si="0"/>
        <v>=1</v>
      </c>
    </row>
    <row r="7" spans="1:3" x14ac:dyDescent="0.25">
      <c r="A7" t="s">
        <v>134</v>
      </c>
      <c r="B7">
        <f>SUM(VRSbRIC!B4:AQ4)</f>
        <v>0.99999999999999922</v>
      </c>
      <c r="C7" s="6" t="str">
        <f t="shared" si="0"/>
        <v>=1</v>
      </c>
    </row>
    <row r="8" spans="1:3" x14ac:dyDescent="0.25">
      <c r="A8" t="s">
        <v>135</v>
      </c>
      <c r="B8">
        <f>SUM(VRSbRIC!B5:AQ5)</f>
        <v>0.99999999999999922</v>
      </c>
      <c r="C8" s="6" t="str">
        <f t="shared" si="0"/>
        <v>=1</v>
      </c>
    </row>
    <row r="9" spans="1:3" x14ac:dyDescent="0.25">
      <c r="A9" t="s">
        <v>136</v>
      </c>
      <c r="B9">
        <f>SUM(VRSbRIC!B6:AQ6)</f>
        <v>0.99999999999999922</v>
      </c>
      <c r="C9" s="6" t="str">
        <f t="shared" si="0"/>
        <v>=1</v>
      </c>
    </row>
    <row r="10" spans="1:3" x14ac:dyDescent="0.25">
      <c r="A10" t="s">
        <v>137</v>
      </c>
      <c r="B10">
        <f>SUM(VRSbRIC!B7:AQ7)</f>
        <v>0.99999999999999911</v>
      </c>
      <c r="C10" s="6" t="str">
        <f t="shared" si="0"/>
        <v>=1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workbookViewId="0">
      <selection activeCell="D6" sqref="D6"/>
    </sheetView>
  </sheetViews>
  <sheetFormatPr defaultRowHeight="15" x14ac:dyDescent="0.25"/>
  <cols>
    <col min="1" max="2" width="28.7109375" customWidth="1"/>
    <col min="3" max="3" width="20.42578125" bestFit="1" customWidth="1"/>
    <col min="4" max="4" width="26" bestFit="1" customWidth="1"/>
  </cols>
  <sheetData>
    <row r="1" spans="1:5" x14ac:dyDescent="0.25">
      <c r="A1" t="s">
        <v>19</v>
      </c>
      <c r="B1" t="s">
        <v>20</v>
      </c>
      <c r="C1" t="s">
        <v>138</v>
      </c>
      <c r="D1" t="s">
        <v>22</v>
      </c>
      <c r="E1" t="s">
        <v>23</v>
      </c>
    </row>
    <row r="2" spans="1:5" x14ac:dyDescent="0.25">
      <c r="A2" t="s">
        <v>24</v>
      </c>
      <c r="B2" t="s">
        <v>139</v>
      </c>
      <c r="C2">
        <v>1</v>
      </c>
      <c r="D2" t="s">
        <v>26</v>
      </c>
    </row>
    <row r="3" spans="1:5" x14ac:dyDescent="0.25">
      <c r="A3" t="s">
        <v>27</v>
      </c>
      <c r="B3" t="s">
        <v>28</v>
      </c>
      <c r="C3">
        <v>0.04</v>
      </c>
      <c r="D3">
        <f t="shared" ref="D3:D14" si="0">C3/($C$16-$C$2)</f>
        <v>0.11111111111111102</v>
      </c>
      <c r="E3" t="s">
        <v>29</v>
      </c>
    </row>
    <row r="4" spans="1:5" x14ac:dyDescent="0.25">
      <c r="A4" t="s">
        <v>27</v>
      </c>
      <c r="B4" t="s">
        <v>30</v>
      </c>
      <c r="C4">
        <v>0.05</v>
      </c>
      <c r="D4">
        <f t="shared" si="0"/>
        <v>0.13888888888888878</v>
      </c>
      <c r="E4" t="s">
        <v>29</v>
      </c>
    </row>
    <row r="5" spans="1:5" x14ac:dyDescent="0.25">
      <c r="A5" t="s">
        <v>27</v>
      </c>
      <c r="B5" t="s">
        <v>31</v>
      </c>
      <c r="C5">
        <v>0.04</v>
      </c>
      <c r="D5">
        <f t="shared" si="0"/>
        <v>0.11111111111111102</v>
      </c>
      <c r="E5" t="s">
        <v>29</v>
      </c>
    </row>
    <row r="6" spans="1:5" x14ac:dyDescent="0.25">
      <c r="A6" t="s">
        <v>27</v>
      </c>
      <c r="B6" t="s">
        <v>32</v>
      </c>
      <c r="C6">
        <v>0.02</v>
      </c>
      <c r="D6">
        <f t="shared" si="0"/>
        <v>5.5555555555555511E-2</v>
      </c>
      <c r="E6" t="s">
        <v>29</v>
      </c>
    </row>
    <row r="7" spans="1:5" x14ac:dyDescent="0.25">
      <c r="A7" t="s">
        <v>33</v>
      </c>
      <c r="B7" t="s">
        <v>34</v>
      </c>
      <c r="C7">
        <v>7.0000000000000007E-2</v>
      </c>
      <c r="D7">
        <f t="shared" si="0"/>
        <v>0.19444444444444428</v>
      </c>
      <c r="E7" t="s">
        <v>29</v>
      </c>
    </row>
    <row r="8" spans="1:5" x14ac:dyDescent="0.25">
      <c r="A8" t="s">
        <v>33</v>
      </c>
      <c r="B8" t="s">
        <v>35</v>
      </c>
      <c r="C8">
        <v>0.01</v>
      </c>
      <c r="D8">
        <f t="shared" si="0"/>
        <v>2.7777777777777755E-2</v>
      </c>
      <c r="E8" t="s">
        <v>29</v>
      </c>
    </row>
    <row r="9" spans="1:5" x14ac:dyDescent="0.25">
      <c r="A9" t="s">
        <v>33</v>
      </c>
      <c r="B9" t="s">
        <v>36</v>
      </c>
      <c r="C9">
        <v>0.01</v>
      </c>
      <c r="D9">
        <f t="shared" si="0"/>
        <v>2.7777777777777755E-2</v>
      </c>
      <c r="E9" t="s">
        <v>29</v>
      </c>
    </row>
    <row r="10" spans="1:5" x14ac:dyDescent="0.25">
      <c r="A10" t="s">
        <v>37</v>
      </c>
      <c r="B10" t="s">
        <v>38</v>
      </c>
      <c r="C10">
        <v>0</v>
      </c>
      <c r="D10">
        <f t="shared" si="0"/>
        <v>0</v>
      </c>
      <c r="E10" t="s">
        <v>39</v>
      </c>
    </row>
    <row r="11" spans="1:5" x14ac:dyDescent="0.25">
      <c r="A11" t="s">
        <v>37</v>
      </c>
      <c r="B11" t="s">
        <v>40</v>
      </c>
      <c r="C11">
        <v>0.01</v>
      </c>
      <c r="D11">
        <f t="shared" si="0"/>
        <v>2.7777777777777755E-2</v>
      </c>
      <c r="E11" t="s">
        <v>39</v>
      </c>
    </row>
    <row r="12" spans="1:5" x14ac:dyDescent="0.25">
      <c r="A12" t="s">
        <v>41</v>
      </c>
      <c r="B12" t="s">
        <v>140</v>
      </c>
      <c r="C12">
        <v>0</v>
      </c>
      <c r="D12">
        <f t="shared" si="0"/>
        <v>0</v>
      </c>
      <c r="E12" t="s">
        <v>39</v>
      </c>
    </row>
    <row r="13" spans="1:5" x14ac:dyDescent="0.25">
      <c r="A13" t="s">
        <v>41</v>
      </c>
      <c r="B13" t="s">
        <v>141</v>
      </c>
      <c r="C13">
        <v>0.06</v>
      </c>
      <c r="D13">
        <f t="shared" si="0"/>
        <v>0.16666666666666652</v>
      </c>
      <c r="E13" t="s">
        <v>39</v>
      </c>
    </row>
    <row r="14" spans="1:5" x14ac:dyDescent="0.25">
      <c r="A14" t="s">
        <v>44</v>
      </c>
      <c r="B14" t="s">
        <v>45</v>
      </c>
      <c r="C14">
        <v>0.05</v>
      </c>
      <c r="D14">
        <f t="shared" si="0"/>
        <v>0.13888888888888878</v>
      </c>
      <c r="E14" t="s">
        <v>29</v>
      </c>
    </row>
    <row r="16" spans="1:5" x14ac:dyDescent="0.25">
      <c r="A16" s="1" t="s">
        <v>46</v>
      </c>
      <c r="C16">
        <f>SUM(C2:C14)</f>
        <v>1.3600000000000003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29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39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AQ7"/>
  <sheetViews>
    <sheetView workbookViewId="0">
      <selection activeCell="W7" sqref="W7"/>
    </sheetView>
  </sheetViews>
  <sheetFormatPr defaultRowHeight="15" x14ac:dyDescent="0.25"/>
  <cols>
    <col min="1" max="1" width="12.42578125" bestFit="1" customWidth="1"/>
  </cols>
  <sheetData>
    <row r="1" spans="1:43" x14ac:dyDescent="0.25">
      <c r="A1" t="s">
        <v>142</v>
      </c>
      <c r="B1" t="s">
        <v>47</v>
      </c>
      <c r="C1" t="s">
        <v>49</v>
      </c>
      <c r="D1" t="s">
        <v>51</v>
      </c>
      <c r="E1" t="s">
        <v>53</v>
      </c>
      <c r="F1" t="s">
        <v>55</v>
      </c>
      <c r="G1" t="s">
        <v>57</v>
      </c>
      <c r="H1" t="s">
        <v>59</v>
      </c>
      <c r="I1" t="s">
        <v>61</v>
      </c>
      <c r="J1" t="s">
        <v>63</v>
      </c>
      <c r="K1" t="s">
        <v>65</v>
      </c>
      <c r="L1" t="s">
        <v>67</v>
      </c>
      <c r="M1" t="s">
        <v>69</v>
      </c>
      <c r="N1" t="s">
        <v>71</v>
      </c>
      <c r="O1" t="s">
        <v>73</v>
      </c>
      <c r="P1" t="s">
        <v>75</v>
      </c>
      <c r="Q1" t="s">
        <v>77</v>
      </c>
      <c r="R1" t="s">
        <v>79</v>
      </c>
      <c r="S1" t="s">
        <v>81</v>
      </c>
      <c r="T1" t="s">
        <v>83</v>
      </c>
      <c r="U1" t="s">
        <v>85</v>
      </c>
      <c r="V1" t="s">
        <v>87</v>
      </c>
      <c r="W1" t="s">
        <v>29</v>
      </c>
      <c r="X1" t="s">
        <v>90</v>
      </c>
      <c r="Y1" t="s">
        <v>92</v>
      </c>
      <c r="Z1" t="s">
        <v>94</v>
      </c>
      <c r="AA1" t="s">
        <v>96</v>
      </c>
      <c r="AB1" t="s">
        <v>98</v>
      </c>
      <c r="AC1" t="s">
        <v>100</v>
      </c>
      <c r="AD1" t="s">
        <v>39</v>
      </c>
      <c r="AE1" t="s">
        <v>103</v>
      </c>
      <c r="AF1" t="s">
        <v>105</v>
      </c>
      <c r="AG1" t="s">
        <v>107</v>
      </c>
      <c r="AH1" t="s">
        <v>109</v>
      </c>
      <c r="AI1" t="s">
        <v>111</v>
      </c>
      <c r="AJ1" t="s">
        <v>113</v>
      </c>
      <c r="AK1" t="s">
        <v>115</v>
      </c>
      <c r="AL1" t="s">
        <v>117</v>
      </c>
      <c r="AM1" t="s">
        <v>119</v>
      </c>
      <c r="AN1" t="s">
        <v>121</v>
      </c>
      <c r="AO1" t="s">
        <v>123</v>
      </c>
      <c r="AP1" t="s">
        <v>125</v>
      </c>
      <c r="AQ1" t="s">
        <v>127</v>
      </c>
    </row>
    <row r="2" spans="1:43" x14ac:dyDescent="0.25">
      <c r="A2" t="s">
        <v>143</v>
      </c>
      <c r="B2">
        <f>SUMIFS('LDV Data'!$D$3:$D$14,'LDV Data'!$E$3:$E$14,B1)</f>
        <v>0</v>
      </c>
      <c r="C2">
        <f>SUMIFS('LDV Data'!$D$3:$D$14,'LDV Data'!$E$3:$E$14,C1)</f>
        <v>0</v>
      </c>
      <c r="D2">
        <f>SUMIFS('LDV Data'!$D$3:$D$14,'LDV Data'!$E$3:$E$14,D1)</f>
        <v>0</v>
      </c>
      <c r="E2">
        <f>SUMIFS('LDV Data'!$D$3:$D$14,'LDV Data'!$E$3:$E$14,E1)</f>
        <v>0</v>
      </c>
      <c r="F2">
        <f>SUMIFS('LDV Data'!$D$3:$D$14,'LDV Data'!$E$3:$E$14,F1)</f>
        <v>0</v>
      </c>
      <c r="G2">
        <f>SUMIFS('LDV Data'!$D$3:$D$14,'LDV Data'!$E$3:$E$14,G1)</f>
        <v>0</v>
      </c>
      <c r="H2">
        <f>SUMIFS('LDV Data'!$D$3:$D$14,'LDV Data'!$E$3:$E$14,H1)</f>
        <v>0</v>
      </c>
      <c r="I2">
        <f>SUMIFS('LDV Data'!$D$3:$D$14,'LDV Data'!$E$3:$E$14,I1)</f>
        <v>0</v>
      </c>
      <c r="J2">
        <f>SUMIFS('LDV Data'!$D$3:$D$14,'LDV Data'!$E$3:$E$14,J1)</f>
        <v>0</v>
      </c>
      <c r="K2">
        <f>SUMIFS('LDV Data'!$D$3:$D$14,'LDV Data'!$E$3:$E$14,K1)</f>
        <v>0</v>
      </c>
      <c r="L2">
        <f>SUMIFS('LDV Data'!$D$3:$D$14,'LDV Data'!$E$3:$E$14,L1)</f>
        <v>0</v>
      </c>
      <c r="M2">
        <f>SUMIFS('LDV Data'!$D$3:$D$14,'LDV Data'!$E$3:$E$14,M1)</f>
        <v>0</v>
      </c>
      <c r="N2">
        <f>SUMIFS('LDV Data'!$D$3:$D$14,'LDV Data'!$E$3:$E$14,N1)</f>
        <v>0</v>
      </c>
      <c r="O2">
        <f>SUMIFS('LDV Data'!$D$3:$D$14,'LDV Data'!$E$3:$E$14,O1)</f>
        <v>0</v>
      </c>
      <c r="P2">
        <f>SUMIFS('LDV Data'!$D$3:$D$14,'LDV Data'!$E$3:$E$14,P1)</f>
        <v>0</v>
      </c>
      <c r="Q2">
        <f>SUMIFS('LDV Data'!$D$3:$D$14,'LDV Data'!$E$3:$E$14,Q1)</f>
        <v>0</v>
      </c>
      <c r="R2">
        <f>SUMIFS('LDV Data'!$D$3:$D$14,'LDV Data'!$E$3:$E$14,R1)</f>
        <v>0</v>
      </c>
      <c r="S2">
        <f>SUMIFS('LDV Data'!$D$3:$D$14,'LDV Data'!$E$3:$E$14,S1)</f>
        <v>0</v>
      </c>
      <c r="T2">
        <f>SUMIFS('LDV Data'!$D$3:$D$14,'LDV Data'!$E$3:$E$14,T1)</f>
        <v>0</v>
      </c>
      <c r="U2">
        <f>SUMIFS('LDV Data'!$D$3:$D$14,'LDV Data'!$E$3:$E$14,U1)</f>
        <v>0</v>
      </c>
      <c r="V2">
        <f>SUMIFS('LDV Data'!$D$3:$D$14,'LDV Data'!$E$3:$E$14,V1)</f>
        <v>0</v>
      </c>
      <c r="W2">
        <f>SUMIFS('LDV Data'!$D$3:$D$14,'LDV Data'!$E$3:$E$14,W1)</f>
        <v>0.6956521739130429</v>
      </c>
      <c r="X2">
        <f>SUMIFS('LDV Data'!$D$3:$D$14,'LDV Data'!$E$3:$E$14,X1)</f>
        <v>0</v>
      </c>
      <c r="Y2">
        <f>SUMIFS('LDV Data'!$D$3:$D$14,'LDV Data'!$E$3:$E$14,Y1)</f>
        <v>0</v>
      </c>
      <c r="Z2">
        <f>SUMIFS('LDV Data'!$D$3:$D$14,'LDV Data'!$E$3:$E$14,Z1)</f>
        <v>0</v>
      </c>
      <c r="AA2">
        <f>SUMIFS('LDV Data'!$D$3:$D$14,'LDV Data'!$E$3:$E$14,AA1)</f>
        <v>0</v>
      </c>
      <c r="AB2">
        <f>SUMIFS('LDV Data'!$D$3:$D$14,'LDV Data'!$E$3:$E$14,AB1)</f>
        <v>0</v>
      </c>
      <c r="AC2">
        <f>SUMIFS('LDV Data'!$D$3:$D$14,'LDV Data'!$E$3:$E$14,AC1)</f>
        <v>0</v>
      </c>
      <c r="AD2">
        <f>SUMIFS('LDV Data'!$D$3:$D$14,'LDV Data'!$E$3:$E$14,AD1)</f>
        <v>0.30434782608695626</v>
      </c>
      <c r="AE2">
        <f>SUMIFS('LDV Data'!$D$3:$D$14,'LDV Data'!$E$3:$E$14,AE1)</f>
        <v>0</v>
      </c>
      <c r="AF2">
        <f>SUMIFS('LDV Data'!$D$3:$D$14,'LDV Data'!$E$3:$E$14,AF1)</f>
        <v>0</v>
      </c>
      <c r="AG2">
        <f>SUMIFS('LDV Data'!$D$3:$D$14,'LDV Data'!$E$3:$E$14,AG1)</f>
        <v>0</v>
      </c>
      <c r="AH2">
        <f>SUMIFS('LDV Data'!$D$3:$D$14,'LDV Data'!$E$3:$E$14,AH1)</f>
        <v>0</v>
      </c>
      <c r="AI2">
        <f>SUMIFS('LDV Data'!$D$3:$D$14,'LDV Data'!$E$3:$E$14,AI1)</f>
        <v>0</v>
      </c>
      <c r="AJ2">
        <f>SUMIFS('LDV Data'!$D$3:$D$14,'LDV Data'!$E$3:$E$14,AJ1)</f>
        <v>0</v>
      </c>
      <c r="AK2">
        <f>SUMIFS('LDV Data'!$D$3:$D$14,'LDV Data'!$E$3:$E$14,AK1)</f>
        <v>0</v>
      </c>
      <c r="AL2">
        <f>SUMIFS('LDV Data'!$D$3:$D$14,'LDV Data'!$E$3:$E$14,AL1)</f>
        <v>0</v>
      </c>
      <c r="AM2">
        <f>SUMIFS('LDV Data'!$D$3:$D$14,'LDV Data'!$E$3:$E$14,AM1)</f>
        <v>0</v>
      </c>
      <c r="AN2">
        <f>SUMIFS('LDV Data'!$D$3:$D$14,'LDV Data'!$E$3:$E$14,AN1)</f>
        <v>0</v>
      </c>
      <c r="AO2">
        <f>SUMIFS('LDV Data'!$D$3:$D$14,'LDV Data'!$E$3:$E$14,AO1)</f>
        <v>0</v>
      </c>
      <c r="AP2">
        <f>SUMIFS('LDV Data'!$D$3:$D$14,'LDV Data'!$E$3:$E$14,AP1)</f>
        <v>0</v>
      </c>
      <c r="AQ2">
        <f>SUMIFS('LDV Data'!$D$3:$D$14,'LDV Data'!$E$3:$E$14,AQ1)</f>
        <v>0</v>
      </c>
    </row>
    <row r="3" spans="1:43" x14ac:dyDescent="0.25">
      <c r="A3" t="s">
        <v>144</v>
      </c>
      <c r="B3">
        <f>SUMIFS('HDV Data'!$D$3:$D$14,'HDV Data'!$E$3:$E$14,B1)</f>
        <v>0</v>
      </c>
      <c r="C3">
        <f>SUMIFS('HDV Data'!$D$3:$D$14,'HDV Data'!$E$3:$E$14,C1)</f>
        <v>0</v>
      </c>
      <c r="D3">
        <f>SUMIFS('HDV Data'!$D$3:$D$14,'HDV Data'!$E$3:$E$14,D1)</f>
        <v>0</v>
      </c>
      <c r="E3">
        <f>SUMIFS('HDV Data'!$D$3:$D$14,'HDV Data'!$E$3:$E$14,E1)</f>
        <v>0</v>
      </c>
      <c r="F3">
        <f>SUMIFS('HDV Data'!$D$3:$D$14,'HDV Data'!$E$3:$E$14,F1)</f>
        <v>0</v>
      </c>
      <c r="G3">
        <f>SUMIFS('HDV Data'!$D$3:$D$14,'HDV Data'!$E$3:$E$14,G1)</f>
        <v>0</v>
      </c>
      <c r="H3">
        <f>SUMIFS('HDV Data'!$D$3:$D$14,'HDV Data'!$E$3:$E$14,H1)</f>
        <v>0</v>
      </c>
      <c r="I3">
        <f>SUMIFS('HDV Data'!$D$3:$D$14,'HDV Data'!$E$3:$E$14,I1)</f>
        <v>0</v>
      </c>
      <c r="J3">
        <f>SUMIFS('HDV Data'!$D$3:$D$14,'HDV Data'!$E$3:$E$14,J1)</f>
        <v>0</v>
      </c>
      <c r="K3">
        <f>SUMIFS('HDV Data'!$D$3:$D$14,'HDV Data'!$E$3:$E$14,K1)</f>
        <v>0</v>
      </c>
      <c r="L3">
        <f>SUMIFS('HDV Data'!$D$3:$D$14,'HDV Data'!$E$3:$E$14,L1)</f>
        <v>0</v>
      </c>
      <c r="M3">
        <f>SUMIFS('HDV Data'!$D$3:$D$14,'HDV Data'!$E$3:$E$14,M1)</f>
        <v>0</v>
      </c>
      <c r="N3">
        <f>SUMIFS('HDV Data'!$D$3:$D$14,'HDV Data'!$E$3:$E$14,N1)</f>
        <v>0</v>
      </c>
      <c r="O3">
        <f>SUMIFS('HDV Data'!$D$3:$D$14,'HDV Data'!$E$3:$E$14,O1)</f>
        <v>0</v>
      </c>
      <c r="P3">
        <f>SUMIFS('HDV Data'!$D$3:$D$14,'HDV Data'!$E$3:$E$14,P1)</f>
        <v>0</v>
      </c>
      <c r="Q3">
        <f>SUMIFS('HDV Data'!$D$3:$D$14,'HDV Data'!$E$3:$E$14,Q1)</f>
        <v>0</v>
      </c>
      <c r="R3">
        <f>SUMIFS('HDV Data'!$D$3:$D$14,'HDV Data'!$E$3:$E$14,R1)</f>
        <v>0</v>
      </c>
      <c r="S3">
        <f>SUMIFS('HDV Data'!$D$3:$D$14,'HDV Data'!$E$3:$E$14,S1)</f>
        <v>0</v>
      </c>
      <c r="T3">
        <f>SUMIFS('HDV Data'!$D$3:$D$14,'HDV Data'!$E$3:$E$14,T1)</f>
        <v>0</v>
      </c>
      <c r="U3">
        <f>SUMIFS('HDV Data'!$D$3:$D$14,'HDV Data'!$E$3:$E$14,U1)</f>
        <v>0</v>
      </c>
      <c r="V3">
        <f>SUMIFS('HDV Data'!$D$3:$D$14,'HDV Data'!$E$3:$E$14,V1)</f>
        <v>0</v>
      </c>
      <c r="W3">
        <f>SUMIFS('HDV Data'!$D$3:$D$14,'HDV Data'!$E$3:$E$14,W1)</f>
        <v>0.80555555555555491</v>
      </c>
      <c r="X3">
        <f>SUMIFS('HDV Data'!$D$3:$D$14,'HDV Data'!$E$3:$E$14,X1)</f>
        <v>0</v>
      </c>
      <c r="Y3">
        <f>SUMIFS('HDV Data'!$D$3:$D$14,'HDV Data'!$E$3:$E$14,Y1)</f>
        <v>0</v>
      </c>
      <c r="Z3">
        <f>SUMIFS('HDV Data'!$D$3:$D$14,'HDV Data'!$E$3:$E$14,Z1)</f>
        <v>0</v>
      </c>
      <c r="AA3">
        <f>SUMIFS('HDV Data'!$D$3:$D$14,'HDV Data'!$E$3:$E$14,AA1)</f>
        <v>0</v>
      </c>
      <c r="AB3">
        <f>SUMIFS('HDV Data'!$D$3:$D$14,'HDV Data'!$E$3:$E$14,AB1)</f>
        <v>0</v>
      </c>
      <c r="AC3">
        <f>SUMIFS('HDV Data'!$D$3:$D$14,'HDV Data'!$E$3:$E$14,AC1)</f>
        <v>0</v>
      </c>
      <c r="AD3">
        <f>SUMIFS('HDV Data'!$D$3:$D$14,'HDV Data'!$E$3:$E$14,AD1)</f>
        <v>0.19444444444444428</v>
      </c>
      <c r="AE3">
        <f>SUMIFS('HDV Data'!$D$3:$D$14,'HDV Data'!$E$3:$E$14,AE1)</f>
        <v>0</v>
      </c>
      <c r="AF3">
        <f>SUMIFS('HDV Data'!$D$3:$D$14,'HDV Data'!$E$3:$E$14,AF1)</f>
        <v>0</v>
      </c>
      <c r="AG3">
        <f>SUMIFS('HDV Data'!$D$3:$D$14,'HDV Data'!$E$3:$E$14,AG1)</f>
        <v>0</v>
      </c>
      <c r="AH3">
        <f>SUMIFS('HDV Data'!$D$3:$D$14,'HDV Data'!$E$3:$E$14,AH1)</f>
        <v>0</v>
      </c>
      <c r="AI3">
        <f>SUMIFS('HDV Data'!$D$3:$D$14,'HDV Data'!$E$3:$E$14,AI1)</f>
        <v>0</v>
      </c>
      <c r="AJ3">
        <f>SUMIFS('HDV Data'!$D$3:$D$14,'HDV Data'!$E$3:$E$14,AJ1)</f>
        <v>0</v>
      </c>
      <c r="AK3">
        <f>SUMIFS('HDV Data'!$D$3:$D$14,'HDV Data'!$E$3:$E$14,AK1)</f>
        <v>0</v>
      </c>
      <c r="AL3">
        <f>SUMIFS('HDV Data'!$D$3:$D$14,'HDV Data'!$E$3:$E$14,AL1)</f>
        <v>0</v>
      </c>
      <c r="AM3">
        <f>SUMIFS('HDV Data'!$D$3:$D$14,'HDV Data'!$E$3:$E$14,AM1)</f>
        <v>0</v>
      </c>
      <c r="AN3">
        <f>SUMIFS('HDV Data'!$D$3:$D$14,'HDV Data'!$E$3:$E$14,AN1)</f>
        <v>0</v>
      </c>
      <c r="AO3">
        <f>SUMIFS('HDV Data'!$D$3:$D$14,'HDV Data'!$E$3:$E$14,AO1)</f>
        <v>0</v>
      </c>
      <c r="AP3">
        <f>SUMIFS('HDV Data'!$D$3:$D$14,'HDV Data'!$E$3:$E$14,AP1)</f>
        <v>0</v>
      </c>
      <c r="AQ3">
        <f>SUMIFS('HDV Data'!$D$3:$D$14,'HDV Data'!$E$3:$E$14,AQ1)</f>
        <v>0</v>
      </c>
    </row>
    <row r="4" spans="1:43" x14ac:dyDescent="0.25">
      <c r="A4" t="s">
        <v>145</v>
      </c>
      <c r="B4">
        <f t="shared" ref="B4:K7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ref="L4:U7" si="1">L3</f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ref="V4:AE7" si="2">V3</f>
        <v>0</v>
      </c>
      <c r="W4" s="4">
        <v>0</v>
      </c>
      <c r="X4">
        <f>W3</f>
        <v>0.80555555555555491</v>
      </c>
      <c r="Y4">
        <f t="shared" ref="Y4:AH6" si="3">Y3</f>
        <v>0</v>
      </c>
      <c r="Z4">
        <f t="shared" si="3"/>
        <v>0</v>
      </c>
      <c r="AA4">
        <f t="shared" si="3"/>
        <v>0</v>
      </c>
      <c r="AB4">
        <f t="shared" si="3"/>
        <v>0</v>
      </c>
      <c r="AC4">
        <f t="shared" si="3"/>
        <v>0</v>
      </c>
      <c r="AD4">
        <f t="shared" si="3"/>
        <v>0.19444444444444428</v>
      </c>
      <c r="AE4">
        <f t="shared" si="3"/>
        <v>0</v>
      </c>
      <c r="AF4">
        <f t="shared" si="3"/>
        <v>0</v>
      </c>
      <c r="AG4">
        <f t="shared" si="3"/>
        <v>0</v>
      </c>
      <c r="AH4">
        <f t="shared" si="3"/>
        <v>0</v>
      </c>
      <c r="AI4">
        <f t="shared" ref="AI4:AR6" si="4">AI3</f>
        <v>0</v>
      </c>
      <c r="AJ4">
        <f t="shared" si="4"/>
        <v>0</v>
      </c>
      <c r="AK4">
        <f t="shared" si="4"/>
        <v>0</v>
      </c>
      <c r="AL4">
        <f t="shared" si="4"/>
        <v>0</v>
      </c>
      <c r="AM4">
        <f t="shared" si="4"/>
        <v>0</v>
      </c>
      <c r="AN4">
        <f t="shared" si="4"/>
        <v>0</v>
      </c>
      <c r="AO4">
        <f t="shared" si="4"/>
        <v>0</v>
      </c>
      <c r="AP4">
        <f t="shared" si="4"/>
        <v>0</v>
      </c>
      <c r="AQ4">
        <f t="shared" si="4"/>
        <v>0</v>
      </c>
    </row>
    <row r="5" spans="1:43" x14ac:dyDescent="0.25">
      <c r="A5" t="s">
        <v>146</v>
      </c>
      <c r="B5">
        <f t="shared" si="0"/>
        <v>0</v>
      </c>
      <c r="C5">
        <f t="shared" si="0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2"/>
        <v>0</v>
      </c>
      <c r="W5" s="4">
        <v>0</v>
      </c>
      <c r="X5">
        <f>X4</f>
        <v>0.80555555555555491</v>
      </c>
      <c r="Y5">
        <f t="shared" si="3"/>
        <v>0</v>
      </c>
      <c r="Z5">
        <f t="shared" si="3"/>
        <v>0</v>
      </c>
      <c r="AA5">
        <f t="shared" si="3"/>
        <v>0</v>
      </c>
      <c r="AB5">
        <f t="shared" si="3"/>
        <v>0</v>
      </c>
      <c r="AC5">
        <f t="shared" si="3"/>
        <v>0</v>
      </c>
      <c r="AD5">
        <f t="shared" si="3"/>
        <v>0.19444444444444428</v>
      </c>
      <c r="AE5">
        <f t="shared" si="3"/>
        <v>0</v>
      </c>
      <c r="AF5">
        <f t="shared" si="3"/>
        <v>0</v>
      </c>
      <c r="AG5">
        <f t="shared" si="3"/>
        <v>0</v>
      </c>
      <c r="AH5">
        <f t="shared" si="3"/>
        <v>0</v>
      </c>
      <c r="AI5">
        <f t="shared" si="4"/>
        <v>0</v>
      </c>
      <c r="AJ5">
        <f t="shared" si="4"/>
        <v>0</v>
      </c>
      <c r="AK5">
        <f t="shared" si="4"/>
        <v>0</v>
      </c>
      <c r="AL5">
        <f t="shared" si="4"/>
        <v>0</v>
      </c>
      <c r="AM5">
        <f t="shared" si="4"/>
        <v>0</v>
      </c>
      <c r="AN5">
        <f t="shared" si="4"/>
        <v>0</v>
      </c>
      <c r="AO5">
        <f t="shared" si="4"/>
        <v>0</v>
      </c>
      <c r="AP5">
        <f t="shared" si="4"/>
        <v>0</v>
      </c>
      <c r="AQ5">
        <f t="shared" si="4"/>
        <v>0</v>
      </c>
    </row>
    <row r="6" spans="1:43" x14ac:dyDescent="0.25">
      <c r="A6" t="s">
        <v>147</v>
      </c>
      <c r="B6">
        <f t="shared" si="0"/>
        <v>0</v>
      </c>
      <c r="C6">
        <f t="shared" si="0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2"/>
        <v>0</v>
      </c>
      <c r="W6" s="4">
        <v>0</v>
      </c>
      <c r="X6">
        <f>X5</f>
        <v>0.80555555555555491</v>
      </c>
      <c r="Y6">
        <f t="shared" si="3"/>
        <v>0</v>
      </c>
      <c r="Z6">
        <f t="shared" si="3"/>
        <v>0</v>
      </c>
      <c r="AA6">
        <f t="shared" si="3"/>
        <v>0</v>
      </c>
      <c r="AB6">
        <f t="shared" si="3"/>
        <v>0</v>
      </c>
      <c r="AC6">
        <f t="shared" si="3"/>
        <v>0</v>
      </c>
      <c r="AD6">
        <f t="shared" si="3"/>
        <v>0.19444444444444428</v>
      </c>
      <c r="AE6">
        <f t="shared" si="3"/>
        <v>0</v>
      </c>
      <c r="AF6">
        <f t="shared" si="3"/>
        <v>0</v>
      </c>
      <c r="AG6">
        <f t="shared" si="3"/>
        <v>0</v>
      </c>
      <c r="AH6">
        <f t="shared" si="3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43" x14ac:dyDescent="0.25">
      <c r="A7" t="s">
        <v>148</v>
      </c>
      <c r="B7">
        <f t="shared" si="0"/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2"/>
        <v>0</v>
      </c>
      <c r="W7">
        <f>W2</f>
        <v>0.6956521739130429</v>
      </c>
      <c r="X7" s="4">
        <v>0</v>
      </c>
      <c r="Y7">
        <f>Y6</f>
        <v>0</v>
      </c>
      <c r="Z7">
        <f>Z6</f>
        <v>0</v>
      </c>
      <c r="AA7">
        <f>AA6</f>
        <v>0</v>
      </c>
      <c r="AB7">
        <f>AB6</f>
        <v>0</v>
      </c>
      <c r="AC7">
        <f>AC6</f>
        <v>0</v>
      </c>
      <c r="AD7">
        <f>SUMIFS('LDV Data'!$D$3:$D$14,'LDV Data'!$E$3:$E$14,AD1)</f>
        <v>0.30434782608695626</v>
      </c>
      <c r="AE7">
        <f t="shared" ref="AE7:AQ7" si="5">AE6</f>
        <v>0</v>
      </c>
      <c r="AF7">
        <f t="shared" si="5"/>
        <v>0</v>
      </c>
      <c r="AG7">
        <f t="shared" si="5"/>
        <v>0</v>
      </c>
      <c r="AH7">
        <f t="shared" si="5"/>
        <v>0</v>
      </c>
      <c r="AI7">
        <f t="shared" si="5"/>
        <v>0</v>
      </c>
      <c r="AJ7">
        <f t="shared" si="5"/>
        <v>0</v>
      </c>
      <c r="AK7">
        <f t="shared" si="5"/>
        <v>0</v>
      </c>
      <c r="AL7">
        <f t="shared" si="5"/>
        <v>0</v>
      </c>
      <c r="AM7">
        <f t="shared" si="5"/>
        <v>0</v>
      </c>
      <c r="AN7">
        <f t="shared" si="5"/>
        <v>0</v>
      </c>
      <c r="AO7">
        <f t="shared" si="5"/>
        <v>0</v>
      </c>
      <c r="AP7">
        <f t="shared" si="5"/>
        <v>0</v>
      </c>
      <c r="AQ7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LDV Data</vt:lpstr>
      <vt:lpstr>Checks</vt:lpstr>
      <vt:lpstr>HDV Data</vt:lpstr>
      <vt:lpstr>VRSbRIC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2023-04-27T20:33:15Z</dcterms:created>
  <dcterms:modified xsi:type="dcterms:W3CDTF">2026-08-25T16:35:43Z</dcterms:modified>
</cp:coreProperties>
</file>