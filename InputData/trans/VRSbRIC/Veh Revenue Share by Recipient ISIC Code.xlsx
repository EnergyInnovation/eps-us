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trans\VRSbRIC\"/>
    </mc:Choice>
  </mc:AlternateContent>
  <xr:revisionPtr revIDLastSave="0" documentId="11_481EB4650A7DD9934C21A1A9ECEE184ADD98FE29" xr6:coauthVersionLast="47" xr6:coauthVersionMax="47" xr10:uidLastSave="{00000000-0000-0000-0000-000000000000}"/>
  <bookViews>
    <workbookView xWindow="0" yWindow="1830" windowWidth="43200" windowHeight="17025" xr2:uid="{00000000-000D-0000-FFFF-FFFF00000000}"/>
  </bookViews>
  <sheets>
    <sheet name="About" sheetId="1" r:id="rId1"/>
    <sheet name="Factors applied" sheetId="2" r:id="rId2"/>
    <sheet name="LDV Data" sheetId="3" r:id="rId3"/>
    <sheet name="HDV Data" sheetId="4" r:id="rId4"/>
    <sheet name="Checks" sheetId="5" r:id="rId5"/>
    <sheet name="VRSbRIC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7" i="6" l="1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E7" i="6"/>
  <c r="AD7" i="6"/>
  <c r="AC7" i="6"/>
  <c r="AB7" i="6"/>
  <c r="AA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E6" i="6"/>
  <c r="AD6" i="6"/>
  <c r="AC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E5" i="6"/>
  <c r="AD5" i="6"/>
  <c r="AC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E4" i="6"/>
  <c r="AD4" i="6"/>
  <c r="AC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E3" i="6"/>
  <c r="AD3" i="6"/>
  <c r="AC3" i="6"/>
  <c r="AB3" i="6"/>
  <c r="AA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G2" i="6"/>
  <c r="AF2" i="6"/>
  <c r="AE2" i="6"/>
  <c r="AD2" i="6"/>
  <c r="AC2" i="6"/>
  <c r="AB2" i="6"/>
  <c r="AA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39" i="5"/>
  <c r="C39" i="5" s="1"/>
  <c r="B38" i="5"/>
  <c r="C38" i="5" s="1"/>
  <c r="B37" i="5"/>
  <c r="C37" i="5" s="1"/>
  <c r="B36" i="5"/>
  <c r="C36" i="5" s="1"/>
  <c r="C35" i="5"/>
  <c r="B35" i="5"/>
  <c r="B34" i="5"/>
  <c r="C34" i="5" s="1"/>
  <c r="B33" i="5"/>
  <c r="C33" i="5" s="1"/>
  <c r="B32" i="5"/>
  <c r="C32" i="5" s="1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C24" i="5"/>
  <c r="B24" i="5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C13" i="5"/>
  <c r="B13" i="5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C16" i="4"/>
  <c r="D12" i="4" s="1"/>
  <c r="D14" i="4"/>
  <c r="D13" i="4"/>
  <c r="C16" i="3"/>
  <c r="D3" i="3" s="1"/>
  <c r="Z7" i="6" l="1"/>
  <c r="Z2" i="6"/>
  <c r="D4" i="3"/>
  <c r="D6" i="3"/>
  <c r="D11" i="3"/>
  <c r="D12" i="3"/>
  <c r="D13" i="3"/>
  <c r="D14" i="3"/>
  <c r="D5" i="3"/>
  <c r="D7" i="3"/>
  <c r="D10" i="3"/>
  <c r="D3" i="4"/>
  <c r="D8" i="3"/>
  <c r="D9" i="3"/>
  <c r="D6" i="4"/>
  <c r="D7" i="4"/>
  <c r="D4" i="4"/>
  <c r="D5" i="4"/>
  <c r="D8" i="4"/>
  <c r="D9" i="4"/>
  <c r="D10" i="4"/>
  <c r="D11" i="4"/>
  <c r="AA4" i="6" l="1"/>
  <c r="AB5" i="6"/>
  <c r="AB4" i="6"/>
  <c r="Z3" i="6"/>
  <c r="AB6" i="6"/>
  <c r="AA6" i="6"/>
  <c r="AA5" i="6"/>
  <c r="AH6" i="6"/>
  <c r="AH4" i="6"/>
  <c r="AH3" i="6"/>
  <c r="AH5" i="6"/>
  <c r="AH7" i="6"/>
  <c r="B47" i="5" s="1"/>
  <c r="C47" i="5" s="1"/>
  <c r="AH2" i="6"/>
  <c r="B42" i="5" s="1"/>
  <c r="C42" i="5" s="1"/>
  <c r="B45" i="5" l="1"/>
  <c r="C45" i="5" s="1"/>
  <c r="B44" i="5"/>
  <c r="C44" i="5" s="1"/>
  <c r="B46" i="5"/>
  <c r="C46" i="5" s="1"/>
  <c r="B43" i="5"/>
  <c r="C43" i="5" s="1"/>
</calcChain>
</file>

<file path=xl/sharedStrings.xml><?xml version="1.0" encoding="utf-8"?>
<sst xmlns="http://schemas.openxmlformats.org/spreadsheetml/2006/main" count="871" uniqueCount="211">
  <si>
    <t>VRSbRIC Vehicle Revenue Share by Recipient ISIC Code</t>
  </si>
  <si>
    <t>Sources:</t>
  </si>
  <si>
    <t>Passenger LDVs</t>
  </si>
  <si>
    <t>EPA</t>
  </si>
  <si>
    <t>Automobile Industry Retail Price Equivalent and Indirect Cost Multipliers</t>
  </si>
  <si>
    <t>Link</t>
  </si>
  <si>
    <t>Table 3-3</t>
  </si>
  <si>
    <t>Freight LDVs and HDVs and Passenger HDVs</t>
  </si>
  <si>
    <t>Heavy Duty Truck Retail Price Equivalent and Indirect Cost Multipliers</t>
  </si>
  <si>
    <t>Notes:</t>
  </si>
  <si>
    <t>We assume the same cost breakdowns for all technologies, but assign non-road to non-road vehicle manufacturing</t>
  </si>
  <si>
    <t>The RPEF file also controls whether or not these values are used</t>
  </si>
  <si>
    <t>52-code expansion (2026-07-17):</t>
  </si>
  <si>
    <t>The output tabs produce the 52-code ISIC list. The derivation above is unchanged and live; output-tab formulas reference the derivation tabs</t>
  </si>
  <si>
    <t>directly, with the original header-label criteria written as literals (the derivation tabs still use the pre-split 42-code labels).</t>
  </si>
  <si>
    <t>Children of split parents multiply the parent's allocation by the factors on the 'Factors applied' tab (editable; defaults = BEA 2024 gross-</t>
  </si>
  <si>
    <t>output shares from io-model/BObIC; semantic overrides documented per row with rationale). Motorbike row corrected to match LDVs: the stock file</t>
  </si>
  <si>
    <t>(4.0.6 and 4.1) pointed its ISIC 45T47 cell at the HDV dealer share, so the row summed to 0.890 instead of 1 (user decision 2026-07-20).</t>
  </si>
  <si>
    <t>Child factors applied inline in the output-tab formulas (editable). Defaults = BEA 2024 output shares; semantic overrides and fuel reroutes noted per row.</t>
  </si>
  <si>
    <t>File</t>
  </si>
  <si>
    <t>Row context</t>
  </si>
  <si>
    <t>Child</t>
  </si>
  <si>
    <t>Parent</t>
  </si>
  <si>
    <t>Factor</t>
  </si>
  <si>
    <t>Rationale</t>
  </si>
  <si>
    <t>BEA 2024 output share</t>
  </si>
  <si>
    <t>VRSbRIC.csv</t>
  </si>
  <si>
    <t>HDVs</t>
  </si>
  <si>
    <t>ISIC 01</t>
  </si>
  <si>
    <t>ISIC 01T03</t>
  </si>
  <si>
    <t>BEA 2024 output share (default)</t>
  </si>
  <si>
    <t>ISIC 02</t>
  </si>
  <si>
    <t>ISIC 03</t>
  </si>
  <si>
    <t>ISIC 07</t>
  </si>
  <si>
    <t>ISIC 07T08</t>
  </si>
  <si>
    <t>ISIC 08</t>
  </si>
  <si>
    <t>ISIC 301</t>
  </si>
  <si>
    <t>ISIC 30</t>
  </si>
  <si>
    <t>semantic override</t>
  </si>
  <si>
    <t>ISIC 302T309</t>
  </si>
  <si>
    <t>ISIC 49</t>
  </si>
  <si>
    <t>ISIC 49T53</t>
  </si>
  <si>
    <t>ISIC 50</t>
  </si>
  <si>
    <t>ISIC 51</t>
  </si>
  <si>
    <t>ISIC 52</t>
  </si>
  <si>
    <t>ISIC 53</t>
  </si>
  <si>
    <t>ISIC 69T75</t>
  </si>
  <si>
    <t>ISIC 69T82</t>
  </si>
  <si>
    <t>ISIC 77T82</t>
  </si>
  <si>
    <t>ISIC 90T93</t>
  </si>
  <si>
    <t>ISIC 90T96</t>
  </si>
  <si>
    <t>ISIC 94T96</t>
  </si>
  <si>
    <t>LDVs</t>
  </si>
  <si>
    <t>aircraft</t>
  </si>
  <si>
    <t>motorbike</t>
  </si>
  <si>
    <t>rail</t>
  </si>
  <si>
    <t>ships</t>
  </si>
  <si>
    <t>Category</t>
  </si>
  <si>
    <t>Item</t>
  </si>
  <si>
    <t>Industy Average Total</t>
  </si>
  <si>
    <t>Industry Average RPE Only</t>
  </si>
  <si>
    <t>ISIC Code</t>
  </si>
  <si>
    <t>Vehicle Manufacturing</t>
  </si>
  <si>
    <t>Cost of Sales</t>
  </si>
  <si>
    <t>N/A</t>
  </si>
  <si>
    <t>Production Overhead</t>
  </si>
  <si>
    <t>Warranty</t>
  </si>
  <si>
    <t>ISIC 29</t>
  </si>
  <si>
    <t>R&amp;D (product dev)</t>
  </si>
  <si>
    <t>Depreciation and amortization</t>
  </si>
  <si>
    <t>Maintenance, repair, operations cost</t>
  </si>
  <si>
    <t>Corporate Overhead</t>
  </si>
  <si>
    <t>General and aministrative</t>
  </si>
  <si>
    <t>Retirement</t>
  </si>
  <si>
    <t>Health</t>
  </si>
  <si>
    <t>Selling</t>
  </si>
  <si>
    <t>Transportation</t>
  </si>
  <si>
    <t>ISIC 45T47</t>
  </si>
  <si>
    <t>Marketing</t>
  </si>
  <si>
    <t>Dealers</t>
  </si>
  <si>
    <t>New vehicle net profit</t>
  </si>
  <si>
    <t>New vehicle selling cost</t>
  </si>
  <si>
    <t>Other</t>
  </si>
  <si>
    <t>Net income</t>
  </si>
  <si>
    <t>TOTAL</t>
  </si>
  <si>
    <t>{Agriculture, forestry and fishing}</t>
  </si>
  <si>
    <t>ISIC 05</t>
  </si>
  <si>
    <t>{Coal mining}</t>
  </si>
  <si>
    <t>ISIC 06</t>
  </si>
  <si>
    <t>{Oil and gas extraction}</t>
  </si>
  <si>
    <t>{Mining and quarrying of non-energy producing products}</t>
  </si>
  <si>
    <t>ISIC 09</t>
  </si>
  <si>
    <t>{Mining support service activities}</t>
  </si>
  <si>
    <t>ISIC 10T12</t>
  </si>
  <si>
    <t>{Food products, beverages and tobacco}</t>
  </si>
  <si>
    <t>ISIC 13T15</t>
  </si>
  <si>
    <t>{Textiles, wearing apparel, leather and related products}</t>
  </si>
  <si>
    <t>ISIC 16</t>
  </si>
  <si>
    <t>{Wood and of products of wood and cork (except furniture)}</t>
  </si>
  <si>
    <t>ISIC 17T18</t>
  </si>
  <si>
    <t>{Paper products and printing}</t>
  </si>
  <si>
    <t>ISIC 19</t>
  </si>
  <si>
    <t>{Coke and refined petroleum products}</t>
  </si>
  <si>
    <t>ISIC 20</t>
  </si>
  <si>
    <t>{Chemicals}</t>
  </si>
  <si>
    <t>ISIC 21</t>
  </si>
  <si>
    <t>{Pharmaceuticals}</t>
  </si>
  <si>
    <t>ISIC 22</t>
  </si>
  <si>
    <t>{Rubber and plastics products}</t>
  </si>
  <si>
    <t>ISIC 231</t>
  </si>
  <si>
    <t>{Glass}</t>
  </si>
  <si>
    <t>ISIC 239</t>
  </si>
  <si>
    <t>{Cement and other non-metallic minerals}</t>
  </si>
  <si>
    <t>ISIC 241</t>
  </si>
  <si>
    <t>{Iron and steel}</t>
  </si>
  <si>
    <t>ISIC 242</t>
  </si>
  <si>
    <t>{Other metals}</t>
  </si>
  <si>
    <t>ISIC 25</t>
  </si>
  <si>
    <t>{Fabricated metal products, except machinery and equipment}</t>
  </si>
  <si>
    <t>ISIC 26</t>
  </si>
  <si>
    <t>{Computer, electronic and optical products}</t>
  </si>
  <si>
    <t>ISIC 27</t>
  </si>
  <si>
    <t>{Electrical equipment}</t>
  </si>
  <si>
    <t>ISIC 28</t>
  </si>
  <si>
    <t>{Machinery and equipment n.e.c.}</t>
  </si>
  <si>
    <t>{Motor vehicles, trailers and semi-trailers}</t>
  </si>
  <si>
    <t>{Other transport equipment}</t>
  </si>
  <si>
    <t>ISIC 31T33</t>
  </si>
  <si>
    <t>{Other manufacturing; repair and installation of machinery and equipment}</t>
  </si>
  <si>
    <t>ISIC 351</t>
  </si>
  <si>
    <t>{Electricity generation and distribution}</t>
  </si>
  <si>
    <t>ISIC 352T353</t>
  </si>
  <si>
    <t>{Energy pipelines and gas processing}</t>
  </si>
  <si>
    <t>ISIC 36T39</t>
  </si>
  <si>
    <t>{Water and waste}</t>
  </si>
  <si>
    <t>ISIC 41T43</t>
  </si>
  <si>
    <t>{Construction}</t>
  </si>
  <si>
    <t>{Wholesale and retail trade; repair of motor vehicles}</t>
  </si>
  <si>
    <t>{Transportation and storage}</t>
  </si>
  <si>
    <t>ISIC 55T56</t>
  </si>
  <si>
    <t>{Accomodation and food services}</t>
  </si>
  <si>
    <t>ISIC 58T60</t>
  </si>
  <si>
    <t>{Publishing, audiovisual and broadcasting activities}</t>
  </si>
  <si>
    <t>ISIC 61</t>
  </si>
  <si>
    <t>{Telecommunications}</t>
  </si>
  <si>
    <t>ISIC 62T63</t>
  </si>
  <si>
    <t>{IT and other information services}</t>
  </si>
  <si>
    <t>ISIC 64T66</t>
  </si>
  <si>
    <t>{Financial and insurance activities}</t>
  </si>
  <si>
    <t>ISIC 68</t>
  </si>
  <si>
    <t>{Real estate activities}</t>
  </si>
  <si>
    <t>{Other business sector services}</t>
  </si>
  <si>
    <t>ISIC 84</t>
  </si>
  <si>
    <t>{Public administration and defence; compulsory social security}</t>
  </si>
  <si>
    <t>ISIC 85</t>
  </si>
  <si>
    <t>{Education}</t>
  </si>
  <si>
    <t>ISIC 86T88</t>
  </si>
  <si>
    <t>{Human health and social work}</t>
  </si>
  <si>
    <t>{Arts, entertainment, recreation and other service activities}</t>
  </si>
  <si>
    <t>ISIC 97T98</t>
  </si>
  <si>
    <t>{Private households with employed persons}</t>
  </si>
  <si>
    <t>Trauck Manufacturers Industry Average</t>
  </si>
  <si>
    <t>Manufacturing Cost</t>
  </si>
  <si>
    <t>Dealer new vehicle net income</t>
  </si>
  <si>
    <t>Dealer new vehicle selling expense</t>
  </si>
  <si>
    <t>Validation checks</t>
  </si>
  <si>
    <t>Child-factor groups sum to 1 (per file/context/parent; rate-file reroutes excluded)</t>
  </si>
  <si>
    <t>VRSbRIC.csv | HDVs | ISIC 01T03</t>
  </si>
  <si>
    <t>VRSbRIC.csv | HDVs | ISIC 07T08</t>
  </si>
  <si>
    <t>VRSbRIC.csv | HDVs | ISIC 30</t>
  </si>
  <si>
    <t>VRSbRIC.csv | HDVs | ISIC 49T53</t>
  </si>
  <si>
    <t>VRSbRIC.csv | HDVs | ISIC 69T82</t>
  </si>
  <si>
    <t>VRSbRIC.csv | HDVs | ISIC 90T96</t>
  </si>
  <si>
    <t>VRSbRIC.csv | LDVs | ISIC 01T03</t>
  </si>
  <si>
    <t>VRSbRIC.csv | LDVs | ISIC 07T08</t>
  </si>
  <si>
    <t>VRSbRIC.csv | LDVs | ISIC 30</t>
  </si>
  <si>
    <t>VRSbRIC.csv | LDVs | ISIC 49T53</t>
  </si>
  <si>
    <t>VRSbRIC.csv | LDVs | ISIC 69T82</t>
  </si>
  <si>
    <t>VRSbRIC.csv | LDVs | ISIC 90T96</t>
  </si>
  <si>
    <t>VRSbRIC.csv | aircraft | ISIC 01T03</t>
  </si>
  <si>
    <t>VRSbRIC.csv | aircraft | ISIC 07T08</t>
  </si>
  <si>
    <t>VRSbRIC.csv | aircraft | ISIC 30</t>
  </si>
  <si>
    <t>VRSbRIC.csv | aircraft | ISIC 49T53</t>
  </si>
  <si>
    <t>VRSbRIC.csv | aircraft | ISIC 69T82</t>
  </si>
  <si>
    <t>VRSbRIC.csv | aircraft | ISIC 90T96</t>
  </si>
  <si>
    <t>VRSbRIC.csv | motorbike | ISIC 01T03</t>
  </si>
  <si>
    <t>VRSbRIC.csv | motorbike | ISIC 07T08</t>
  </si>
  <si>
    <t>VRSbRIC.csv | motorbike | ISIC 30</t>
  </si>
  <si>
    <t>VRSbRIC.csv | motorbike | ISIC 49T53</t>
  </si>
  <si>
    <t>VRSbRIC.csv | motorbike | ISIC 69T82</t>
  </si>
  <si>
    <t>VRSbRIC.csv | motorbike | ISIC 90T96</t>
  </si>
  <si>
    <t>VRSbRIC.csv | rail | ISIC 01T03</t>
  </si>
  <si>
    <t>VRSbRIC.csv | rail | ISIC 07T08</t>
  </si>
  <si>
    <t>VRSbRIC.csv | rail | ISIC 30</t>
  </si>
  <si>
    <t>VRSbRIC.csv | rail | ISIC 49T53</t>
  </si>
  <si>
    <t>VRSbRIC.csv | rail | ISIC 69T82</t>
  </si>
  <si>
    <t>VRSbRIC.csv | rail | ISIC 90T96</t>
  </si>
  <si>
    <t>VRSbRIC.csv | ships | ISIC 01T03</t>
  </si>
  <si>
    <t>VRSbRIC.csv | ships | ISIC 07T08</t>
  </si>
  <si>
    <t>VRSbRIC.csv | ships | ISIC 30</t>
  </si>
  <si>
    <t>VRSbRIC.csv | ships | ISIC 49T53</t>
  </si>
  <si>
    <t>VRSbRIC.csv | ships | ISIC 69T82</t>
  </si>
  <si>
    <t>VRSbRIC.csv | ships | ISIC 90T96</t>
  </si>
  <si>
    <t>Output rows sum to 1 (share files)</t>
  </si>
  <si>
    <t>VRSbRIC.csv | LDVs</t>
  </si>
  <si>
    <t>VRSbRIC.csv | HDVs</t>
  </si>
  <si>
    <t>VRSbRIC.csv | aircraft</t>
  </si>
  <si>
    <t>VRSbRIC.csv | rail</t>
  </si>
  <si>
    <t>VRSbRIC.csv | ships</t>
  </si>
  <si>
    <t>VRSbRIC.csv | motorbike</t>
  </si>
  <si>
    <t>Vehicle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</si>
</sst>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left"/>
    </xf>
    <xf numFmtId="0" fontId="1" fillId="2" borderId="0" xfId="0" applyFont="1" applyFill="1"/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114300</xdr:colOff>
      <xdr:row>0</xdr:row>
      <xdr:rowOff>0</xdr:rowOff>
    </xdr:from>
    <xdr:to>
      <xdr:col>22</xdr:col>
      <xdr:colOff>102934</xdr:colOff>
      <xdr:row>29</xdr:row>
      <xdr:rowOff>24117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6975" y="0"/>
          <a:ext cx="7913434" cy="554861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142875</xdr:colOff>
      <xdr:row>0</xdr:row>
      <xdr:rowOff>76200</xdr:rowOff>
    </xdr:from>
    <xdr:to>
      <xdr:col>24</xdr:col>
      <xdr:colOff>541808</xdr:colOff>
      <xdr:row>59</xdr:row>
      <xdr:rowOff>179557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25150" y="76200"/>
          <a:ext cx="8933333" cy="11342857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nepis.epa.gov/Exe/ZyPDF.cgi/P100XXR3.PDF?Dockey=P100XXR3.PDF" TargetMode="External"/><Relationship Id="rId1" Type="http://schemas.openxmlformats.org/officeDocument/2006/relationships/hyperlink" Target="https://nepis.epa.gov/Exe/ZyNET.exe/P100AGJ1.TXT?ZyActionD=ZyDocument&amp;Client=EPA&amp;Index=2006+Thru+2010&amp;Docs=&amp;Query=&amp;Time=&amp;EndTime=&amp;SearchMethod=1&amp;TocRestrict=n&amp;Toc=&amp;TocEntry=&amp;QField=&amp;QFieldYear=&amp;QFieldMonth=&amp;QFieldDay=&amp;IntQFieldOp=0&amp;ExtQFieldOp=0&amp;XmlQuery=&amp;File=D%3A%5Czyfiles%5CIndex%20Data%5C06thru10%5CTxt%5C00000025%5CP100AGJ1.txt&amp;User=ANONYMOUS&amp;Password=anonymous&amp;SortMethod=h%7C-&amp;MaximumDocuments=1&amp;FuzzyDegree=0&amp;ImageQuality=r75g8/r75g8/x150y150g16/i425&amp;Display=hpfr&amp;DefSeekPage=x&amp;SearchBack=ZyActionL&amp;Back=ZyActionS&amp;BackDesc=Results%20page&amp;MaximumPages=1&amp;ZyEntry=1&amp;SeekPage=x&amp;ZyPUR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/>
  </sheetViews>
  <sheetFormatPr defaultRowHeight="15" x14ac:dyDescent="0.25"/>
  <cols>
    <col min="2" max="2" width="69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4" t="s">
        <v>2</v>
      </c>
    </row>
    <row r="4" spans="1:2" x14ac:dyDescent="0.25">
      <c r="B4" t="s">
        <v>3</v>
      </c>
    </row>
    <row r="5" spans="1:2" x14ac:dyDescent="0.25">
      <c r="B5" s="3">
        <v>2009</v>
      </c>
    </row>
    <row r="6" spans="1:2" x14ac:dyDescent="0.25">
      <c r="B6" t="s">
        <v>4</v>
      </c>
    </row>
    <row r="7" spans="1:2" x14ac:dyDescent="0.25">
      <c r="B7" s="2" t="s">
        <v>5</v>
      </c>
    </row>
    <row r="8" spans="1:2" x14ac:dyDescent="0.25">
      <c r="B8" t="s">
        <v>6</v>
      </c>
    </row>
    <row r="10" spans="1:2" x14ac:dyDescent="0.25">
      <c r="B10" s="4" t="s">
        <v>7</v>
      </c>
    </row>
    <row r="11" spans="1:2" x14ac:dyDescent="0.25">
      <c r="B11" t="s">
        <v>3</v>
      </c>
    </row>
    <row r="12" spans="1:2" x14ac:dyDescent="0.25">
      <c r="B12" s="3">
        <v>2010</v>
      </c>
    </row>
    <row r="13" spans="1:2" x14ac:dyDescent="0.25">
      <c r="B13" t="s">
        <v>8</v>
      </c>
    </row>
    <row r="14" spans="1:2" x14ac:dyDescent="0.25">
      <c r="B14" s="2" t="s">
        <v>5</v>
      </c>
    </row>
    <row r="15" spans="1:2" x14ac:dyDescent="0.25">
      <c r="B15" t="s">
        <v>6</v>
      </c>
    </row>
    <row r="21" spans="1:2" x14ac:dyDescent="0.25">
      <c r="A21" s="1" t="s">
        <v>9</v>
      </c>
      <c r="B21" t="s">
        <v>10</v>
      </c>
    </row>
    <row r="22" spans="1:2" x14ac:dyDescent="0.25">
      <c r="B22" t="s">
        <v>11</v>
      </c>
    </row>
    <row r="24" spans="1:2" x14ac:dyDescent="0.25">
      <c r="A24" s="5" t="s">
        <v>12</v>
      </c>
    </row>
    <row r="25" spans="1:2" x14ac:dyDescent="0.25">
      <c r="B25" t="s">
        <v>13</v>
      </c>
    </row>
    <row r="26" spans="1:2" x14ac:dyDescent="0.25">
      <c r="B26" t="s">
        <v>14</v>
      </c>
    </row>
    <row r="28" spans="1:2" x14ac:dyDescent="0.25">
      <c r="B28" t="s">
        <v>15</v>
      </c>
    </row>
    <row r="29" spans="1:2" x14ac:dyDescent="0.25">
      <c r="B29" t="s">
        <v>16</v>
      </c>
    </row>
    <row r="30" spans="1:2" x14ac:dyDescent="0.25">
      <c r="B30" t="s">
        <v>17</v>
      </c>
    </row>
  </sheetData>
  <hyperlinks>
    <hyperlink ref="B7" r:id="rId1" xr:uid="{00000000-0004-0000-0000-000000000000}"/>
    <hyperlink ref="B14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8"/>
  <sheetViews>
    <sheetView workbookViewId="0"/>
  </sheetViews>
  <sheetFormatPr defaultRowHeight="15" x14ac:dyDescent="0.25"/>
  <cols>
    <col min="1" max="1" width="28" customWidth="1"/>
    <col min="2" max="2" width="30" customWidth="1"/>
    <col min="6" max="6" width="44" customWidth="1"/>
  </cols>
  <sheetData>
    <row r="1" spans="1:7" x14ac:dyDescent="0.25">
      <c r="A1" s="5" t="s">
        <v>18</v>
      </c>
    </row>
    <row r="2" spans="1:7" x14ac:dyDescent="0.25">
      <c r="A2" s="5" t="s">
        <v>19</v>
      </c>
      <c r="B2" s="5" t="s">
        <v>20</v>
      </c>
      <c r="C2" s="5" t="s">
        <v>21</v>
      </c>
      <c r="D2" s="5" t="s">
        <v>22</v>
      </c>
      <c r="E2" s="5" t="s">
        <v>23</v>
      </c>
      <c r="F2" s="5" t="s">
        <v>24</v>
      </c>
      <c r="G2" s="5" t="s">
        <v>25</v>
      </c>
    </row>
    <row r="3" spans="1:7" x14ac:dyDescent="0.25">
      <c r="A3" t="s">
        <v>26</v>
      </c>
      <c r="B3" t="s">
        <v>27</v>
      </c>
      <c r="C3" t="s">
        <v>28</v>
      </c>
      <c r="D3" t="s">
        <v>29</v>
      </c>
      <c r="E3">
        <v>0.94299868264323294</v>
      </c>
      <c r="F3" t="s">
        <v>30</v>
      </c>
      <c r="G3">
        <v>0.94299868264323294</v>
      </c>
    </row>
    <row r="4" spans="1:7" x14ac:dyDescent="0.25">
      <c r="A4" t="s">
        <v>26</v>
      </c>
      <c r="B4" t="s">
        <v>27</v>
      </c>
      <c r="C4" t="s">
        <v>31</v>
      </c>
      <c r="D4" t="s">
        <v>29</v>
      </c>
      <c r="E4">
        <v>4.1765731369656618E-2</v>
      </c>
      <c r="F4" t="s">
        <v>30</v>
      </c>
      <c r="G4">
        <v>4.1765731369656618E-2</v>
      </c>
    </row>
    <row r="5" spans="1:7" x14ac:dyDescent="0.25">
      <c r="A5" t="s">
        <v>26</v>
      </c>
      <c r="B5" t="s">
        <v>27</v>
      </c>
      <c r="C5" t="s">
        <v>32</v>
      </c>
      <c r="D5" t="s">
        <v>29</v>
      </c>
      <c r="E5">
        <v>1.523558598711041E-2</v>
      </c>
      <c r="F5" t="s">
        <v>30</v>
      </c>
      <c r="G5">
        <v>1.523558598711041E-2</v>
      </c>
    </row>
    <row r="6" spans="1:7" x14ac:dyDescent="0.25">
      <c r="A6" t="s">
        <v>26</v>
      </c>
      <c r="B6" t="s">
        <v>27</v>
      </c>
      <c r="C6" t="s">
        <v>33</v>
      </c>
      <c r="D6" t="s">
        <v>34</v>
      </c>
      <c r="E6">
        <v>0.43273688361237522</v>
      </c>
      <c r="F6" t="s">
        <v>30</v>
      </c>
      <c r="G6">
        <v>0.43273688361237522</v>
      </c>
    </row>
    <row r="7" spans="1:7" x14ac:dyDescent="0.25">
      <c r="A7" t="s">
        <v>26</v>
      </c>
      <c r="B7" t="s">
        <v>27</v>
      </c>
      <c r="C7" t="s">
        <v>35</v>
      </c>
      <c r="D7" t="s">
        <v>34</v>
      </c>
      <c r="E7">
        <v>0.56726311638762483</v>
      </c>
      <c r="F7" t="s">
        <v>30</v>
      </c>
      <c r="G7">
        <v>0.56726311638762483</v>
      </c>
    </row>
    <row r="8" spans="1:7" x14ac:dyDescent="0.25">
      <c r="A8" t="s">
        <v>26</v>
      </c>
      <c r="B8" t="s">
        <v>27</v>
      </c>
      <c r="C8" t="s">
        <v>36</v>
      </c>
      <c r="D8" t="s">
        <v>37</v>
      </c>
      <c r="E8">
        <v>0</v>
      </c>
      <c r="F8" t="s">
        <v>38</v>
      </c>
      <c r="G8">
        <v>0.1171368722490322</v>
      </c>
    </row>
    <row r="9" spans="1:7" x14ac:dyDescent="0.25">
      <c r="A9" t="s">
        <v>26</v>
      </c>
      <c r="B9" t="s">
        <v>27</v>
      </c>
      <c r="C9" t="s">
        <v>39</v>
      </c>
      <c r="D9" t="s">
        <v>37</v>
      </c>
      <c r="E9">
        <v>1</v>
      </c>
      <c r="F9" t="s">
        <v>38</v>
      </c>
      <c r="G9">
        <v>0.88286312775096776</v>
      </c>
    </row>
    <row r="10" spans="1:7" x14ac:dyDescent="0.25">
      <c r="A10" t="s">
        <v>26</v>
      </c>
      <c r="B10" t="s">
        <v>27</v>
      </c>
      <c r="C10" t="s">
        <v>40</v>
      </c>
      <c r="D10" t="s">
        <v>41</v>
      </c>
      <c r="E10">
        <v>0.47816430118296149</v>
      </c>
      <c r="F10" t="s">
        <v>30</v>
      </c>
      <c r="G10">
        <v>0.47816430118296149</v>
      </c>
    </row>
    <row r="11" spans="1:7" x14ac:dyDescent="0.25">
      <c r="A11" t="s">
        <v>26</v>
      </c>
      <c r="B11" t="s">
        <v>27</v>
      </c>
      <c r="C11" t="s">
        <v>42</v>
      </c>
      <c r="D11" t="s">
        <v>41</v>
      </c>
      <c r="E11">
        <v>4.2586393966149647E-2</v>
      </c>
      <c r="F11" t="s">
        <v>30</v>
      </c>
      <c r="G11">
        <v>4.2586393966149647E-2</v>
      </c>
    </row>
    <row r="12" spans="1:7" x14ac:dyDescent="0.25">
      <c r="A12" t="s">
        <v>26</v>
      </c>
      <c r="B12" t="s">
        <v>27</v>
      </c>
      <c r="C12" t="s">
        <v>43</v>
      </c>
      <c r="D12" t="s">
        <v>41</v>
      </c>
      <c r="E12">
        <v>0.1808024634415262</v>
      </c>
      <c r="F12" t="s">
        <v>30</v>
      </c>
      <c r="G12">
        <v>0.1808024634415262</v>
      </c>
    </row>
    <row r="13" spans="1:7" x14ac:dyDescent="0.25">
      <c r="A13" t="s">
        <v>26</v>
      </c>
      <c r="B13" t="s">
        <v>27</v>
      </c>
      <c r="C13" t="s">
        <v>44</v>
      </c>
      <c r="D13" t="s">
        <v>41</v>
      </c>
      <c r="E13">
        <v>0.2139060571318126</v>
      </c>
      <c r="F13" t="s">
        <v>30</v>
      </c>
      <c r="G13">
        <v>0.2139060571318126</v>
      </c>
    </row>
    <row r="14" spans="1:7" x14ac:dyDescent="0.25">
      <c r="A14" t="s">
        <v>26</v>
      </c>
      <c r="B14" t="s">
        <v>27</v>
      </c>
      <c r="C14" t="s">
        <v>45</v>
      </c>
      <c r="D14" t="s">
        <v>41</v>
      </c>
      <c r="E14">
        <v>8.4540784277550088E-2</v>
      </c>
      <c r="F14" t="s">
        <v>30</v>
      </c>
      <c r="G14">
        <v>8.4540784277550088E-2</v>
      </c>
    </row>
    <row r="15" spans="1:7" x14ac:dyDescent="0.25">
      <c r="A15" t="s">
        <v>26</v>
      </c>
      <c r="B15" t="s">
        <v>27</v>
      </c>
      <c r="C15" t="s">
        <v>46</v>
      </c>
      <c r="D15" t="s">
        <v>47</v>
      </c>
      <c r="E15">
        <v>1</v>
      </c>
      <c r="F15" t="s">
        <v>38</v>
      </c>
      <c r="G15">
        <v>0.72982194479141249</v>
      </c>
    </row>
    <row r="16" spans="1:7" x14ac:dyDescent="0.25">
      <c r="A16" t="s">
        <v>26</v>
      </c>
      <c r="B16" t="s">
        <v>27</v>
      </c>
      <c r="C16" t="s">
        <v>48</v>
      </c>
      <c r="D16" t="s">
        <v>47</v>
      </c>
      <c r="E16">
        <v>0</v>
      </c>
      <c r="F16" t="s">
        <v>38</v>
      </c>
      <c r="G16">
        <v>0.27017805520858751</v>
      </c>
    </row>
    <row r="17" spans="1:7" x14ac:dyDescent="0.25">
      <c r="A17" t="s">
        <v>26</v>
      </c>
      <c r="B17" t="s">
        <v>27</v>
      </c>
      <c r="C17" t="s">
        <v>49</v>
      </c>
      <c r="D17" t="s">
        <v>50</v>
      </c>
      <c r="E17">
        <v>0.42162495143522749</v>
      </c>
      <c r="F17" t="s">
        <v>30</v>
      </c>
      <c r="G17">
        <v>0.42162495143522749</v>
      </c>
    </row>
    <row r="18" spans="1:7" x14ac:dyDescent="0.25">
      <c r="A18" t="s">
        <v>26</v>
      </c>
      <c r="B18" t="s">
        <v>27</v>
      </c>
      <c r="C18" t="s">
        <v>51</v>
      </c>
      <c r="D18" t="s">
        <v>50</v>
      </c>
      <c r="E18">
        <v>0.57837504856477251</v>
      </c>
      <c r="F18" t="s">
        <v>30</v>
      </c>
      <c r="G18">
        <v>0.57837504856477251</v>
      </c>
    </row>
    <row r="19" spans="1:7" x14ac:dyDescent="0.25">
      <c r="A19" t="s">
        <v>26</v>
      </c>
      <c r="B19" t="s">
        <v>52</v>
      </c>
      <c r="C19" t="s">
        <v>28</v>
      </c>
      <c r="D19" t="s">
        <v>29</v>
      </c>
      <c r="E19">
        <v>0.94299868264323294</v>
      </c>
      <c r="F19" t="s">
        <v>30</v>
      </c>
      <c r="G19">
        <v>0.94299868264323294</v>
      </c>
    </row>
    <row r="20" spans="1:7" x14ac:dyDescent="0.25">
      <c r="A20" t="s">
        <v>26</v>
      </c>
      <c r="B20" t="s">
        <v>52</v>
      </c>
      <c r="C20" t="s">
        <v>31</v>
      </c>
      <c r="D20" t="s">
        <v>29</v>
      </c>
      <c r="E20">
        <v>4.1765731369656618E-2</v>
      </c>
      <c r="F20" t="s">
        <v>30</v>
      </c>
      <c r="G20">
        <v>4.1765731369656618E-2</v>
      </c>
    </row>
    <row r="21" spans="1:7" x14ac:dyDescent="0.25">
      <c r="A21" t="s">
        <v>26</v>
      </c>
      <c r="B21" t="s">
        <v>52</v>
      </c>
      <c r="C21" t="s">
        <v>32</v>
      </c>
      <c r="D21" t="s">
        <v>29</v>
      </c>
      <c r="E21">
        <v>1.523558598711041E-2</v>
      </c>
      <c r="F21" t="s">
        <v>30</v>
      </c>
      <c r="G21">
        <v>1.523558598711041E-2</v>
      </c>
    </row>
    <row r="22" spans="1:7" x14ac:dyDescent="0.25">
      <c r="A22" t="s">
        <v>26</v>
      </c>
      <c r="B22" t="s">
        <v>52</v>
      </c>
      <c r="C22" t="s">
        <v>33</v>
      </c>
      <c r="D22" t="s">
        <v>34</v>
      </c>
      <c r="E22">
        <v>0.43273688361237522</v>
      </c>
      <c r="F22" t="s">
        <v>30</v>
      </c>
      <c r="G22">
        <v>0.43273688361237522</v>
      </c>
    </row>
    <row r="23" spans="1:7" x14ac:dyDescent="0.25">
      <c r="A23" t="s">
        <v>26</v>
      </c>
      <c r="B23" t="s">
        <v>52</v>
      </c>
      <c r="C23" t="s">
        <v>35</v>
      </c>
      <c r="D23" t="s">
        <v>34</v>
      </c>
      <c r="E23">
        <v>0.56726311638762483</v>
      </c>
      <c r="F23" t="s">
        <v>30</v>
      </c>
      <c r="G23">
        <v>0.56726311638762483</v>
      </c>
    </row>
    <row r="24" spans="1:7" x14ac:dyDescent="0.25">
      <c r="A24" t="s">
        <v>26</v>
      </c>
      <c r="B24" t="s">
        <v>52</v>
      </c>
      <c r="C24" t="s">
        <v>36</v>
      </c>
      <c r="D24" t="s">
        <v>37</v>
      </c>
      <c r="E24">
        <v>0</v>
      </c>
      <c r="F24" t="s">
        <v>38</v>
      </c>
      <c r="G24">
        <v>0.1171368722490322</v>
      </c>
    </row>
    <row r="25" spans="1:7" x14ac:dyDescent="0.25">
      <c r="A25" t="s">
        <v>26</v>
      </c>
      <c r="B25" t="s">
        <v>52</v>
      </c>
      <c r="C25" t="s">
        <v>39</v>
      </c>
      <c r="D25" t="s">
        <v>37</v>
      </c>
      <c r="E25">
        <v>1</v>
      </c>
      <c r="F25" t="s">
        <v>38</v>
      </c>
      <c r="G25">
        <v>0.88286312775096776</v>
      </c>
    </row>
    <row r="26" spans="1:7" x14ac:dyDescent="0.25">
      <c r="A26" t="s">
        <v>26</v>
      </c>
      <c r="B26" t="s">
        <v>52</v>
      </c>
      <c r="C26" t="s">
        <v>40</v>
      </c>
      <c r="D26" t="s">
        <v>41</v>
      </c>
      <c r="E26">
        <v>0.47816430118296149</v>
      </c>
      <c r="F26" t="s">
        <v>30</v>
      </c>
      <c r="G26">
        <v>0.47816430118296149</v>
      </c>
    </row>
    <row r="27" spans="1:7" x14ac:dyDescent="0.25">
      <c r="A27" t="s">
        <v>26</v>
      </c>
      <c r="B27" t="s">
        <v>52</v>
      </c>
      <c r="C27" t="s">
        <v>42</v>
      </c>
      <c r="D27" t="s">
        <v>41</v>
      </c>
      <c r="E27">
        <v>4.2586393966149647E-2</v>
      </c>
      <c r="F27" t="s">
        <v>30</v>
      </c>
      <c r="G27">
        <v>4.2586393966149647E-2</v>
      </c>
    </row>
    <row r="28" spans="1:7" x14ac:dyDescent="0.25">
      <c r="A28" t="s">
        <v>26</v>
      </c>
      <c r="B28" t="s">
        <v>52</v>
      </c>
      <c r="C28" t="s">
        <v>43</v>
      </c>
      <c r="D28" t="s">
        <v>41</v>
      </c>
      <c r="E28">
        <v>0.1808024634415262</v>
      </c>
      <c r="F28" t="s">
        <v>30</v>
      </c>
      <c r="G28">
        <v>0.1808024634415262</v>
      </c>
    </row>
    <row r="29" spans="1:7" x14ac:dyDescent="0.25">
      <c r="A29" t="s">
        <v>26</v>
      </c>
      <c r="B29" t="s">
        <v>52</v>
      </c>
      <c r="C29" t="s">
        <v>44</v>
      </c>
      <c r="D29" t="s">
        <v>41</v>
      </c>
      <c r="E29">
        <v>0.2139060571318126</v>
      </c>
      <c r="F29" t="s">
        <v>30</v>
      </c>
      <c r="G29">
        <v>0.2139060571318126</v>
      </c>
    </row>
    <row r="30" spans="1:7" x14ac:dyDescent="0.25">
      <c r="A30" t="s">
        <v>26</v>
      </c>
      <c r="B30" t="s">
        <v>52</v>
      </c>
      <c r="C30" t="s">
        <v>45</v>
      </c>
      <c r="D30" t="s">
        <v>41</v>
      </c>
      <c r="E30">
        <v>8.4540784277550088E-2</v>
      </c>
      <c r="F30" t="s">
        <v>30</v>
      </c>
      <c r="G30">
        <v>8.4540784277550088E-2</v>
      </c>
    </row>
    <row r="31" spans="1:7" x14ac:dyDescent="0.25">
      <c r="A31" t="s">
        <v>26</v>
      </c>
      <c r="B31" t="s">
        <v>52</v>
      </c>
      <c r="C31" t="s">
        <v>46</v>
      </c>
      <c r="D31" t="s">
        <v>47</v>
      </c>
      <c r="E31">
        <v>1</v>
      </c>
      <c r="F31" t="s">
        <v>38</v>
      </c>
      <c r="G31">
        <v>0.72982194479141249</v>
      </c>
    </row>
    <row r="32" spans="1:7" x14ac:dyDescent="0.25">
      <c r="A32" t="s">
        <v>26</v>
      </c>
      <c r="B32" t="s">
        <v>52</v>
      </c>
      <c r="C32" t="s">
        <v>48</v>
      </c>
      <c r="D32" t="s">
        <v>47</v>
      </c>
      <c r="E32">
        <v>0</v>
      </c>
      <c r="F32" t="s">
        <v>38</v>
      </c>
      <c r="G32">
        <v>0.27017805520858751</v>
      </c>
    </row>
    <row r="33" spans="1:7" x14ac:dyDescent="0.25">
      <c r="A33" t="s">
        <v>26</v>
      </c>
      <c r="B33" t="s">
        <v>52</v>
      </c>
      <c r="C33" t="s">
        <v>49</v>
      </c>
      <c r="D33" t="s">
        <v>50</v>
      </c>
      <c r="E33">
        <v>0.42162495143522749</v>
      </c>
      <c r="F33" t="s">
        <v>30</v>
      </c>
      <c r="G33">
        <v>0.42162495143522749</v>
      </c>
    </row>
    <row r="34" spans="1:7" x14ac:dyDescent="0.25">
      <c r="A34" t="s">
        <v>26</v>
      </c>
      <c r="B34" t="s">
        <v>52</v>
      </c>
      <c r="C34" t="s">
        <v>51</v>
      </c>
      <c r="D34" t="s">
        <v>50</v>
      </c>
      <c r="E34">
        <v>0.57837504856477251</v>
      </c>
      <c r="F34" t="s">
        <v>30</v>
      </c>
      <c r="G34">
        <v>0.57837504856477251</v>
      </c>
    </row>
    <row r="35" spans="1:7" x14ac:dyDescent="0.25">
      <c r="A35" t="s">
        <v>26</v>
      </c>
      <c r="B35" t="s">
        <v>53</v>
      </c>
      <c r="C35" t="s">
        <v>28</v>
      </c>
      <c r="D35" t="s">
        <v>29</v>
      </c>
      <c r="E35">
        <v>0.94299868264323294</v>
      </c>
      <c r="F35" t="s">
        <v>30</v>
      </c>
      <c r="G35">
        <v>0.94299868264323294</v>
      </c>
    </row>
    <row r="36" spans="1:7" x14ac:dyDescent="0.25">
      <c r="A36" t="s">
        <v>26</v>
      </c>
      <c r="B36" t="s">
        <v>53</v>
      </c>
      <c r="C36" t="s">
        <v>31</v>
      </c>
      <c r="D36" t="s">
        <v>29</v>
      </c>
      <c r="E36">
        <v>4.1765731369656618E-2</v>
      </c>
      <c r="F36" t="s">
        <v>30</v>
      </c>
      <c r="G36">
        <v>4.1765731369656618E-2</v>
      </c>
    </row>
    <row r="37" spans="1:7" x14ac:dyDescent="0.25">
      <c r="A37" t="s">
        <v>26</v>
      </c>
      <c r="B37" t="s">
        <v>53</v>
      </c>
      <c r="C37" t="s">
        <v>32</v>
      </c>
      <c r="D37" t="s">
        <v>29</v>
      </c>
      <c r="E37">
        <v>1.523558598711041E-2</v>
      </c>
      <c r="F37" t="s">
        <v>30</v>
      </c>
      <c r="G37">
        <v>1.523558598711041E-2</v>
      </c>
    </row>
    <row r="38" spans="1:7" x14ac:dyDescent="0.25">
      <c r="A38" t="s">
        <v>26</v>
      </c>
      <c r="B38" t="s">
        <v>53</v>
      </c>
      <c r="C38" t="s">
        <v>33</v>
      </c>
      <c r="D38" t="s">
        <v>34</v>
      </c>
      <c r="E38">
        <v>0.43273688361237522</v>
      </c>
      <c r="F38" t="s">
        <v>30</v>
      </c>
      <c r="G38">
        <v>0.43273688361237522</v>
      </c>
    </row>
    <row r="39" spans="1:7" x14ac:dyDescent="0.25">
      <c r="A39" t="s">
        <v>26</v>
      </c>
      <c r="B39" t="s">
        <v>53</v>
      </c>
      <c r="C39" t="s">
        <v>35</v>
      </c>
      <c r="D39" t="s">
        <v>34</v>
      </c>
      <c r="E39">
        <v>0.56726311638762483</v>
      </c>
      <c r="F39" t="s">
        <v>30</v>
      </c>
      <c r="G39">
        <v>0.56726311638762483</v>
      </c>
    </row>
    <row r="40" spans="1:7" x14ac:dyDescent="0.25">
      <c r="A40" t="s">
        <v>26</v>
      </c>
      <c r="B40" t="s">
        <v>53</v>
      </c>
      <c r="C40" t="s">
        <v>36</v>
      </c>
      <c r="D40" t="s">
        <v>37</v>
      </c>
      <c r="E40">
        <v>0</v>
      </c>
      <c r="F40" t="s">
        <v>38</v>
      </c>
      <c r="G40">
        <v>0.1171368722490322</v>
      </c>
    </row>
    <row r="41" spans="1:7" x14ac:dyDescent="0.25">
      <c r="A41" t="s">
        <v>26</v>
      </c>
      <c r="B41" t="s">
        <v>53</v>
      </c>
      <c r="C41" t="s">
        <v>39</v>
      </c>
      <c r="D41" t="s">
        <v>37</v>
      </c>
      <c r="E41">
        <v>1</v>
      </c>
      <c r="F41" t="s">
        <v>38</v>
      </c>
      <c r="G41">
        <v>0.88286312775096776</v>
      </c>
    </row>
    <row r="42" spans="1:7" x14ac:dyDescent="0.25">
      <c r="A42" t="s">
        <v>26</v>
      </c>
      <c r="B42" t="s">
        <v>53</v>
      </c>
      <c r="C42" t="s">
        <v>40</v>
      </c>
      <c r="D42" t="s">
        <v>41</v>
      </c>
      <c r="E42">
        <v>0.47816430118296149</v>
      </c>
      <c r="F42" t="s">
        <v>30</v>
      </c>
      <c r="G42">
        <v>0.47816430118296149</v>
      </c>
    </row>
    <row r="43" spans="1:7" x14ac:dyDescent="0.25">
      <c r="A43" t="s">
        <v>26</v>
      </c>
      <c r="B43" t="s">
        <v>53</v>
      </c>
      <c r="C43" t="s">
        <v>42</v>
      </c>
      <c r="D43" t="s">
        <v>41</v>
      </c>
      <c r="E43">
        <v>4.2586393966149647E-2</v>
      </c>
      <c r="F43" t="s">
        <v>30</v>
      </c>
      <c r="G43">
        <v>4.2586393966149647E-2</v>
      </c>
    </row>
    <row r="44" spans="1:7" x14ac:dyDescent="0.25">
      <c r="A44" t="s">
        <v>26</v>
      </c>
      <c r="B44" t="s">
        <v>53</v>
      </c>
      <c r="C44" t="s">
        <v>43</v>
      </c>
      <c r="D44" t="s">
        <v>41</v>
      </c>
      <c r="E44">
        <v>0.1808024634415262</v>
      </c>
      <c r="F44" t="s">
        <v>30</v>
      </c>
      <c r="G44">
        <v>0.1808024634415262</v>
      </c>
    </row>
    <row r="45" spans="1:7" x14ac:dyDescent="0.25">
      <c r="A45" t="s">
        <v>26</v>
      </c>
      <c r="B45" t="s">
        <v>53</v>
      </c>
      <c r="C45" t="s">
        <v>44</v>
      </c>
      <c r="D45" t="s">
        <v>41</v>
      </c>
      <c r="E45">
        <v>0.2139060571318126</v>
      </c>
      <c r="F45" t="s">
        <v>30</v>
      </c>
      <c r="G45">
        <v>0.2139060571318126</v>
      </c>
    </row>
    <row r="46" spans="1:7" x14ac:dyDescent="0.25">
      <c r="A46" t="s">
        <v>26</v>
      </c>
      <c r="B46" t="s">
        <v>53</v>
      </c>
      <c r="C46" t="s">
        <v>45</v>
      </c>
      <c r="D46" t="s">
        <v>41</v>
      </c>
      <c r="E46">
        <v>8.4540784277550088E-2</v>
      </c>
      <c r="F46" t="s">
        <v>30</v>
      </c>
      <c r="G46">
        <v>8.4540784277550088E-2</v>
      </c>
    </row>
    <row r="47" spans="1:7" x14ac:dyDescent="0.25">
      <c r="A47" t="s">
        <v>26</v>
      </c>
      <c r="B47" t="s">
        <v>53</v>
      </c>
      <c r="C47" t="s">
        <v>46</v>
      </c>
      <c r="D47" t="s">
        <v>47</v>
      </c>
      <c r="E47">
        <v>1</v>
      </c>
      <c r="F47" t="s">
        <v>38</v>
      </c>
      <c r="G47">
        <v>0.72982194479141249</v>
      </c>
    </row>
    <row r="48" spans="1:7" x14ac:dyDescent="0.25">
      <c r="A48" t="s">
        <v>26</v>
      </c>
      <c r="B48" t="s">
        <v>53</v>
      </c>
      <c r="C48" t="s">
        <v>48</v>
      </c>
      <c r="D48" t="s">
        <v>47</v>
      </c>
      <c r="E48">
        <v>0</v>
      </c>
      <c r="F48" t="s">
        <v>38</v>
      </c>
      <c r="G48">
        <v>0.27017805520858751</v>
      </c>
    </row>
    <row r="49" spans="1:7" x14ac:dyDescent="0.25">
      <c r="A49" t="s">
        <v>26</v>
      </c>
      <c r="B49" t="s">
        <v>53</v>
      </c>
      <c r="C49" t="s">
        <v>49</v>
      </c>
      <c r="D49" t="s">
        <v>50</v>
      </c>
      <c r="E49">
        <v>0.42162495143522749</v>
      </c>
      <c r="F49" t="s">
        <v>30</v>
      </c>
      <c r="G49">
        <v>0.42162495143522749</v>
      </c>
    </row>
    <row r="50" spans="1:7" x14ac:dyDescent="0.25">
      <c r="A50" t="s">
        <v>26</v>
      </c>
      <c r="B50" t="s">
        <v>53</v>
      </c>
      <c r="C50" t="s">
        <v>51</v>
      </c>
      <c r="D50" t="s">
        <v>50</v>
      </c>
      <c r="E50">
        <v>0.57837504856477251</v>
      </c>
      <c r="F50" t="s">
        <v>30</v>
      </c>
      <c r="G50">
        <v>0.57837504856477251</v>
      </c>
    </row>
    <row r="51" spans="1:7" x14ac:dyDescent="0.25">
      <c r="A51" t="s">
        <v>26</v>
      </c>
      <c r="B51" t="s">
        <v>54</v>
      </c>
      <c r="C51" t="s">
        <v>28</v>
      </c>
      <c r="D51" t="s">
        <v>29</v>
      </c>
      <c r="E51">
        <v>0.94299868264323294</v>
      </c>
      <c r="F51" t="s">
        <v>30</v>
      </c>
      <c r="G51">
        <v>0.94299868264323294</v>
      </c>
    </row>
    <row r="52" spans="1:7" x14ac:dyDescent="0.25">
      <c r="A52" t="s">
        <v>26</v>
      </c>
      <c r="B52" t="s">
        <v>54</v>
      </c>
      <c r="C52" t="s">
        <v>31</v>
      </c>
      <c r="D52" t="s">
        <v>29</v>
      </c>
      <c r="E52">
        <v>4.1765731369656618E-2</v>
      </c>
      <c r="F52" t="s">
        <v>30</v>
      </c>
      <c r="G52">
        <v>4.1765731369656618E-2</v>
      </c>
    </row>
    <row r="53" spans="1:7" x14ac:dyDescent="0.25">
      <c r="A53" t="s">
        <v>26</v>
      </c>
      <c r="B53" t="s">
        <v>54</v>
      </c>
      <c r="C53" t="s">
        <v>32</v>
      </c>
      <c r="D53" t="s">
        <v>29</v>
      </c>
      <c r="E53">
        <v>1.523558598711041E-2</v>
      </c>
      <c r="F53" t="s">
        <v>30</v>
      </c>
      <c r="G53">
        <v>1.523558598711041E-2</v>
      </c>
    </row>
    <row r="54" spans="1:7" x14ac:dyDescent="0.25">
      <c r="A54" t="s">
        <v>26</v>
      </c>
      <c r="B54" t="s">
        <v>54</v>
      </c>
      <c r="C54" t="s">
        <v>33</v>
      </c>
      <c r="D54" t="s">
        <v>34</v>
      </c>
      <c r="E54">
        <v>0.43273688361237522</v>
      </c>
      <c r="F54" t="s">
        <v>30</v>
      </c>
      <c r="G54">
        <v>0.43273688361237522</v>
      </c>
    </row>
    <row r="55" spans="1:7" x14ac:dyDescent="0.25">
      <c r="A55" t="s">
        <v>26</v>
      </c>
      <c r="B55" t="s">
        <v>54</v>
      </c>
      <c r="C55" t="s">
        <v>35</v>
      </c>
      <c r="D55" t="s">
        <v>34</v>
      </c>
      <c r="E55">
        <v>0.56726311638762483</v>
      </c>
      <c r="F55" t="s">
        <v>30</v>
      </c>
      <c r="G55">
        <v>0.56726311638762483</v>
      </c>
    </row>
    <row r="56" spans="1:7" x14ac:dyDescent="0.25">
      <c r="A56" t="s">
        <v>26</v>
      </c>
      <c r="B56" t="s">
        <v>54</v>
      </c>
      <c r="C56" t="s">
        <v>36</v>
      </c>
      <c r="D56" t="s">
        <v>37</v>
      </c>
      <c r="E56">
        <v>0</v>
      </c>
      <c r="F56" t="s">
        <v>38</v>
      </c>
      <c r="G56">
        <v>0.1171368722490322</v>
      </c>
    </row>
    <row r="57" spans="1:7" x14ac:dyDescent="0.25">
      <c r="A57" t="s">
        <v>26</v>
      </c>
      <c r="B57" t="s">
        <v>54</v>
      </c>
      <c r="C57" t="s">
        <v>39</v>
      </c>
      <c r="D57" t="s">
        <v>37</v>
      </c>
      <c r="E57">
        <v>1</v>
      </c>
      <c r="F57" t="s">
        <v>38</v>
      </c>
      <c r="G57">
        <v>0.88286312775096776</v>
      </c>
    </row>
    <row r="58" spans="1:7" x14ac:dyDescent="0.25">
      <c r="A58" t="s">
        <v>26</v>
      </c>
      <c r="B58" t="s">
        <v>54</v>
      </c>
      <c r="C58" t="s">
        <v>40</v>
      </c>
      <c r="D58" t="s">
        <v>41</v>
      </c>
      <c r="E58">
        <v>0.47816430118296149</v>
      </c>
      <c r="F58" t="s">
        <v>30</v>
      </c>
      <c r="G58">
        <v>0.47816430118296149</v>
      </c>
    </row>
    <row r="59" spans="1:7" x14ac:dyDescent="0.25">
      <c r="A59" t="s">
        <v>26</v>
      </c>
      <c r="B59" t="s">
        <v>54</v>
      </c>
      <c r="C59" t="s">
        <v>42</v>
      </c>
      <c r="D59" t="s">
        <v>41</v>
      </c>
      <c r="E59">
        <v>4.2586393966149647E-2</v>
      </c>
      <c r="F59" t="s">
        <v>30</v>
      </c>
      <c r="G59">
        <v>4.2586393966149647E-2</v>
      </c>
    </row>
    <row r="60" spans="1:7" x14ac:dyDescent="0.25">
      <c r="A60" t="s">
        <v>26</v>
      </c>
      <c r="B60" t="s">
        <v>54</v>
      </c>
      <c r="C60" t="s">
        <v>43</v>
      </c>
      <c r="D60" t="s">
        <v>41</v>
      </c>
      <c r="E60">
        <v>0.1808024634415262</v>
      </c>
      <c r="F60" t="s">
        <v>30</v>
      </c>
      <c r="G60">
        <v>0.1808024634415262</v>
      </c>
    </row>
    <row r="61" spans="1:7" x14ac:dyDescent="0.25">
      <c r="A61" t="s">
        <v>26</v>
      </c>
      <c r="B61" t="s">
        <v>54</v>
      </c>
      <c r="C61" t="s">
        <v>44</v>
      </c>
      <c r="D61" t="s">
        <v>41</v>
      </c>
      <c r="E61">
        <v>0.2139060571318126</v>
      </c>
      <c r="F61" t="s">
        <v>30</v>
      </c>
      <c r="G61">
        <v>0.2139060571318126</v>
      </c>
    </row>
    <row r="62" spans="1:7" x14ac:dyDescent="0.25">
      <c r="A62" t="s">
        <v>26</v>
      </c>
      <c r="B62" t="s">
        <v>54</v>
      </c>
      <c r="C62" t="s">
        <v>45</v>
      </c>
      <c r="D62" t="s">
        <v>41</v>
      </c>
      <c r="E62">
        <v>8.4540784277550088E-2</v>
      </c>
      <c r="F62" t="s">
        <v>30</v>
      </c>
      <c r="G62">
        <v>8.4540784277550088E-2</v>
      </c>
    </row>
    <row r="63" spans="1:7" x14ac:dyDescent="0.25">
      <c r="A63" t="s">
        <v>26</v>
      </c>
      <c r="B63" t="s">
        <v>54</v>
      </c>
      <c r="C63" t="s">
        <v>46</v>
      </c>
      <c r="D63" t="s">
        <v>47</v>
      </c>
      <c r="E63">
        <v>1</v>
      </c>
      <c r="F63" t="s">
        <v>38</v>
      </c>
      <c r="G63">
        <v>0.72982194479141249</v>
      </c>
    </row>
    <row r="64" spans="1:7" x14ac:dyDescent="0.25">
      <c r="A64" t="s">
        <v>26</v>
      </c>
      <c r="B64" t="s">
        <v>54</v>
      </c>
      <c r="C64" t="s">
        <v>48</v>
      </c>
      <c r="D64" t="s">
        <v>47</v>
      </c>
      <c r="E64">
        <v>0</v>
      </c>
      <c r="F64" t="s">
        <v>38</v>
      </c>
      <c r="G64">
        <v>0.27017805520858751</v>
      </c>
    </row>
    <row r="65" spans="1:7" x14ac:dyDescent="0.25">
      <c r="A65" t="s">
        <v>26</v>
      </c>
      <c r="B65" t="s">
        <v>54</v>
      </c>
      <c r="C65" t="s">
        <v>49</v>
      </c>
      <c r="D65" t="s">
        <v>50</v>
      </c>
      <c r="E65">
        <v>0.42162495143522749</v>
      </c>
      <c r="F65" t="s">
        <v>30</v>
      </c>
      <c r="G65">
        <v>0.42162495143522749</v>
      </c>
    </row>
    <row r="66" spans="1:7" x14ac:dyDescent="0.25">
      <c r="A66" t="s">
        <v>26</v>
      </c>
      <c r="B66" t="s">
        <v>54</v>
      </c>
      <c r="C66" t="s">
        <v>51</v>
      </c>
      <c r="D66" t="s">
        <v>50</v>
      </c>
      <c r="E66">
        <v>0.57837504856477251</v>
      </c>
      <c r="F66" t="s">
        <v>30</v>
      </c>
      <c r="G66">
        <v>0.57837504856477251</v>
      </c>
    </row>
    <row r="67" spans="1:7" x14ac:dyDescent="0.25">
      <c r="A67" t="s">
        <v>26</v>
      </c>
      <c r="B67" t="s">
        <v>55</v>
      </c>
      <c r="C67" t="s">
        <v>28</v>
      </c>
      <c r="D67" t="s">
        <v>29</v>
      </c>
      <c r="E67">
        <v>0.94299868264323294</v>
      </c>
      <c r="F67" t="s">
        <v>30</v>
      </c>
      <c r="G67">
        <v>0.94299868264323294</v>
      </c>
    </row>
    <row r="68" spans="1:7" x14ac:dyDescent="0.25">
      <c r="A68" t="s">
        <v>26</v>
      </c>
      <c r="B68" t="s">
        <v>55</v>
      </c>
      <c r="C68" t="s">
        <v>31</v>
      </c>
      <c r="D68" t="s">
        <v>29</v>
      </c>
      <c r="E68">
        <v>4.1765731369656618E-2</v>
      </c>
      <c r="F68" t="s">
        <v>30</v>
      </c>
      <c r="G68">
        <v>4.1765731369656618E-2</v>
      </c>
    </row>
    <row r="69" spans="1:7" x14ac:dyDescent="0.25">
      <c r="A69" t="s">
        <v>26</v>
      </c>
      <c r="B69" t="s">
        <v>55</v>
      </c>
      <c r="C69" t="s">
        <v>32</v>
      </c>
      <c r="D69" t="s">
        <v>29</v>
      </c>
      <c r="E69">
        <v>1.523558598711041E-2</v>
      </c>
      <c r="F69" t="s">
        <v>30</v>
      </c>
      <c r="G69">
        <v>1.523558598711041E-2</v>
      </c>
    </row>
    <row r="70" spans="1:7" x14ac:dyDescent="0.25">
      <c r="A70" t="s">
        <v>26</v>
      </c>
      <c r="B70" t="s">
        <v>55</v>
      </c>
      <c r="C70" t="s">
        <v>33</v>
      </c>
      <c r="D70" t="s">
        <v>34</v>
      </c>
      <c r="E70">
        <v>0.43273688361237522</v>
      </c>
      <c r="F70" t="s">
        <v>30</v>
      </c>
      <c r="G70">
        <v>0.43273688361237522</v>
      </c>
    </row>
    <row r="71" spans="1:7" x14ac:dyDescent="0.25">
      <c r="A71" t="s">
        <v>26</v>
      </c>
      <c r="B71" t="s">
        <v>55</v>
      </c>
      <c r="C71" t="s">
        <v>35</v>
      </c>
      <c r="D71" t="s">
        <v>34</v>
      </c>
      <c r="E71">
        <v>0.56726311638762483</v>
      </c>
      <c r="F71" t="s">
        <v>30</v>
      </c>
      <c r="G71">
        <v>0.56726311638762483</v>
      </c>
    </row>
    <row r="72" spans="1:7" x14ac:dyDescent="0.25">
      <c r="A72" t="s">
        <v>26</v>
      </c>
      <c r="B72" t="s">
        <v>55</v>
      </c>
      <c r="C72" t="s">
        <v>36</v>
      </c>
      <c r="D72" t="s">
        <v>37</v>
      </c>
      <c r="E72">
        <v>0</v>
      </c>
      <c r="F72" t="s">
        <v>38</v>
      </c>
      <c r="G72">
        <v>0.1171368722490322</v>
      </c>
    </row>
    <row r="73" spans="1:7" x14ac:dyDescent="0.25">
      <c r="A73" t="s">
        <v>26</v>
      </c>
      <c r="B73" t="s">
        <v>55</v>
      </c>
      <c r="C73" t="s">
        <v>39</v>
      </c>
      <c r="D73" t="s">
        <v>37</v>
      </c>
      <c r="E73">
        <v>1</v>
      </c>
      <c r="F73" t="s">
        <v>38</v>
      </c>
      <c r="G73">
        <v>0.88286312775096776</v>
      </c>
    </row>
    <row r="74" spans="1:7" x14ac:dyDescent="0.25">
      <c r="A74" t="s">
        <v>26</v>
      </c>
      <c r="B74" t="s">
        <v>55</v>
      </c>
      <c r="C74" t="s">
        <v>40</v>
      </c>
      <c r="D74" t="s">
        <v>41</v>
      </c>
      <c r="E74">
        <v>0.47816430118296149</v>
      </c>
      <c r="F74" t="s">
        <v>30</v>
      </c>
      <c r="G74">
        <v>0.47816430118296149</v>
      </c>
    </row>
    <row r="75" spans="1:7" x14ac:dyDescent="0.25">
      <c r="A75" t="s">
        <v>26</v>
      </c>
      <c r="B75" t="s">
        <v>55</v>
      </c>
      <c r="C75" t="s">
        <v>42</v>
      </c>
      <c r="D75" t="s">
        <v>41</v>
      </c>
      <c r="E75">
        <v>4.2586393966149647E-2</v>
      </c>
      <c r="F75" t="s">
        <v>30</v>
      </c>
      <c r="G75">
        <v>4.2586393966149647E-2</v>
      </c>
    </row>
    <row r="76" spans="1:7" x14ac:dyDescent="0.25">
      <c r="A76" t="s">
        <v>26</v>
      </c>
      <c r="B76" t="s">
        <v>55</v>
      </c>
      <c r="C76" t="s">
        <v>43</v>
      </c>
      <c r="D76" t="s">
        <v>41</v>
      </c>
      <c r="E76">
        <v>0.1808024634415262</v>
      </c>
      <c r="F76" t="s">
        <v>30</v>
      </c>
      <c r="G76">
        <v>0.1808024634415262</v>
      </c>
    </row>
    <row r="77" spans="1:7" x14ac:dyDescent="0.25">
      <c r="A77" t="s">
        <v>26</v>
      </c>
      <c r="B77" t="s">
        <v>55</v>
      </c>
      <c r="C77" t="s">
        <v>44</v>
      </c>
      <c r="D77" t="s">
        <v>41</v>
      </c>
      <c r="E77">
        <v>0.2139060571318126</v>
      </c>
      <c r="F77" t="s">
        <v>30</v>
      </c>
      <c r="G77">
        <v>0.2139060571318126</v>
      </c>
    </row>
    <row r="78" spans="1:7" x14ac:dyDescent="0.25">
      <c r="A78" t="s">
        <v>26</v>
      </c>
      <c r="B78" t="s">
        <v>55</v>
      </c>
      <c r="C78" t="s">
        <v>45</v>
      </c>
      <c r="D78" t="s">
        <v>41</v>
      </c>
      <c r="E78">
        <v>8.4540784277550088E-2</v>
      </c>
      <c r="F78" t="s">
        <v>30</v>
      </c>
      <c r="G78">
        <v>8.4540784277550088E-2</v>
      </c>
    </row>
    <row r="79" spans="1:7" x14ac:dyDescent="0.25">
      <c r="A79" t="s">
        <v>26</v>
      </c>
      <c r="B79" t="s">
        <v>55</v>
      </c>
      <c r="C79" t="s">
        <v>46</v>
      </c>
      <c r="D79" t="s">
        <v>47</v>
      </c>
      <c r="E79">
        <v>1</v>
      </c>
      <c r="F79" t="s">
        <v>38</v>
      </c>
      <c r="G79">
        <v>0.72982194479141249</v>
      </c>
    </row>
    <row r="80" spans="1:7" x14ac:dyDescent="0.25">
      <c r="A80" t="s">
        <v>26</v>
      </c>
      <c r="B80" t="s">
        <v>55</v>
      </c>
      <c r="C80" t="s">
        <v>48</v>
      </c>
      <c r="D80" t="s">
        <v>47</v>
      </c>
      <c r="E80">
        <v>0</v>
      </c>
      <c r="F80" t="s">
        <v>38</v>
      </c>
      <c r="G80">
        <v>0.27017805520858751</v>
      </c>
    </row>
    <row r="81" spans="1:7" x14ac:dyDescent="0.25">
      <c r="A81" t="s">
        <v>26</v>
      </c>
      <c r="B81" t="s">
        <v>55</v>
      </c>
      <c r="C81" t="s">
        <v>49</v>
      </c>
      <c r="D81" t="s">
        <v>50</v>
      </c>
      <c r="E81">
        <v>0.42162495143522749</v>
      </c>
      <c r="F81" t="s">
        <v>30</v>
      </c>
      <c r="G81">
        <v>0.42162495143522749</v>
      </c>
    </row>
    <row r="82" spans="1:7" x14ac:dyDescent="0.25">
      <c r="A82" t="s">
        <v>26</v>
      </c>
      <c r="B82" t="s">
        <v>55</v>
      </c>
      <c r="C82" t="s">
        <v>51</v>
      </c>
      <c r="D82" t="s">
        <v>50</v>
      </c>
      <c r="E82">
        <v>0.57837504856477251</v>
      </c>
      <c r="F82" t="s">
        <v>30</v>
      </c>
      <c r="G82">
        <v>0.57837504856477251</v>
      </c>
    </row>
    <row r="83" spans="1:7" x14ac:dyDescent="0.25">
      <c r="A83" t="s">
        <v>26</v>
      </c>
      <c r="B83" t="s">
        <v>56</v>
      </c>
      <c r="C83" t="s">
        <v>28</v>
      </c>
      <c r="D83" t="s">
        <v>29</v>
      </c>
      <c r="E83">
        <v>0.94299868264323294</v>
      </c>
      <c r="F83" t="s">
        <v>30</v>
      </c>
      <c r="G83">
        <v>0.94299868264323294</v>
      </c>
    </row>
    <row r="84" spans="1:7" x14ac:dyDescent="0.25">
      <c r="A84" t="s">
        <v>26</v>
      </c>
      <c r="B84" t="s">
        <v>56</v>
      </c>
      <c r="C84" t="s">
        <v>31</v>
      </c>
      <c r="D84" t="s">
        <v>29</v>
      </c>
      <c r="E84">
        <v>4.1765731369656618E-2</v>
      </c>
      <c r="F84" t="s">
        <v>30</v>
      </c>
      <c r="G84">
        <v>4.1765731369656618E-2</v>
      </c>
    </row>
    <row r="85" spans="1:7" x14ac:dyDescent="0.25">
      <c r="A85" t="s">
        <v>26</v>
      </c>
      <c r="B85" t="s">
        <v>56</v>
      </c>
      <c r="C85" t="s">
        <v>32</v>
      </c>
      <c r="D85" t="s">
        <v>29</v>
      </c>
      <c r="E85">
        <v>1.523558598711041E-2</v>
      </c>
      <c r="F85" t="s">
        <v>30</v>
      </c>
      <c r="G85">
        <v>1.523558598711041E-2</v>
      </c>
    </row>
    <row r="86" spans="1:7" x14ac:dyDescent="0.25">
      <c r="A86" t="s">
        <v>26</v>
      </c>
      <c r="B86" t="s">
        <v>56</v>
      </c>
      <c r="C86" t="s">
        <v>33</v>
      </c>
      <c r="D86" t="s">
        <v>34</v>
      </c>
      <c r="E86">
        <v>0.43273688361237522</v>
      </c>
      <c r="F86" t="s">
        <v>30</v>
      </c>
      <c r="G86">
        <v>0.43273688361237522</v>
      </c>
    </row>
    <row r="87" spans="1:7" x14ac:dyDescent="0.25">
      <c r="A87" t="s">
        <v>26</v>
      </c>
      <c r="B87" t="s">
        <v>56</v>
      </c>
      <c r="C87" t="s">
        <v>35</v>
      </c>
      <c r="D87" t="s">
        <v>34</v>
      </c>
      <c r="E87">
        <v>0.56726311638762483</v>
      </c>
      <c r="F87" t="s">
        <v>30</v>
      </c>
      <c r="G87">
        <v>0.56726311638762483</v>
      </c>
    </row>
    <row r="88" spans="1:7" x14ac:dyDescent="0.25">
      <c r="A88" t="s">
        <v>26</v>
      </c>
      <c r="B88" t="s">
        <v>56</v>
      </c>
      <c r="C88" t="s">
        <v>36</v>
      </c>
      <c r="D88" t="s">
        <v>37</v>
      </c>
      <c r="E88">
        <v>1</v>
      </c>
      <c r="F88" t="s">
        <v>38</v>
      </c>
      <c r="G88">
        <v>0.1171368722490322</v>
      </c>
    </row>
    <row r="89" spans="1:7" x14ac:dyDescent="0.25">
      <c r="A89" t="s">
        <v>26</v>
      </c>
      <c r="B89" t="s">
        <v>56</v>
      </c>
      <c r="C89" t="s">
        <v>39</v>
      </c>
      <c r="D89" t="s">
        <v>37</v>
      </c>
      <c r="E89">
        <v>0</v>
      </c>
      <c r="F89" t="s">
        <v>38</v>
      </c>
      <c r="G89">
        <v>0.88286312775096776</v>
      </c>
    </row>
    <row r="90" spans="1:7" x14ac:dyDescent="0.25">
      <c r="A90" t="s">
        <v>26</v>
      </c>
      <c r="B90" t="s">
        <v>56</v>
      </c>
      <c r="C90" t="s">
        <v>40</v>
      </c>
      <c r="D90" t="s">
        <v>41</v>
      </c>
      <c r="E90">
        <v>0.47816430118296149</v>
      </c>
      <c r="F90" t="s">
        <v>30</v>
      </c>
      <c r="G90">
        <v>0.47816430118296149</v>
      </c>
    </row>
    <row r="91" spans="1:7" x14ac:dyDescent="0.25">
      <c r="A91" t="s">
        <v>26</v>
      </c>
      <c r="B91" t="s">
        <v>56</v>
      </c>
      <c r="C91" t="s">
        <v>42</v>
      </c>
      <c r="D91" t="s">
        <v>41</v>
      </c>
      <c r="E91">
        <v>4.2586393966149647E-2</v>
      </c>
      <c r="F91" t="s">
        <v>30</v>
      </c>
      <c r="G91">
        <v>4.2586393966149647E-2</v>
      </c>
    </row>
    <row r="92" spans="1:7" x14ac:dyDescent="0.25">
      <c r="A92" t="s">
        <v>26</v>
      </c>
      <c r="B92" t="s">
        <v>56</v>
      </c>
      <c r="C92" t="s">
        <v>43</v>
      </c>
      <c r="D92" t="s">
        <v>41</v>
      </c>
      <c r="E92">
        <v>0.1808024634415262</v>
      </c>
      <c r="F92" t="s">
        <v>30</v>
      </c>
      <c r="G92">
        <v>0.1808024634415262</v>
      </c>
    </row>
    <row r="93" spans="1:7" x14ac:dyDescent="0.25">
      <c r="A93" t="s">
        <v>26</v>
      </c>
      <c r="B93" t="s">
        <v>56</v>
      </c>
      <c r="C93" t="s">
        <v>44</v>
      </c>
      <c r="D93" t="s">
        <v>41</v>
      </c>
      <c r="E93">
        <v>0.2139060571318126</v>
      </c>
      <c r="F93" t="s">
        <v>30</v>
      </c>
      <c r="G93">
        <v>0.2139060571318126</v>
      </c>
    </row>
    <row r="94" spans="1:7" x14ac:dyDescent="0.25">
      <c r="A94" t="s">
        <v>26</v>
      </c>
      <c r="B94" t="s">
        <v>56</v>
      </c>
      <c r="C94" t="s">
        <v>45</v>
      </c>
      <c r="D94" t="s">
        <v>41</v>
      </c>
      <c r="E94">
        <v>8.4540784277550088E-2</v>
      </c>
      <c r="F94" t="s">
        <v>30</v>
      </c>
      <c r="G94">
        <v>8.4540784277550088E-2</v>
      </c>
    </row>
    <row r="95" spans="1:7" x14ac:dyDescent="0.25">
      <c r="A95" t="s">
        <v>26</v>
      </c>
      <c r="B95" t="s">
        <v>56</v>
      </c>
      <c r="C95" t="s">
        <v>46</v>
      </c>
      <c r="D95" t="s">
        <v>47</v>
      </c>
      <c r="E95">
        <v>1</v>
      </c>
      <c r="F95" t="s">
        <v>38</v>
      </c>
      <c r="G95">
        <v>0.72982194479141249</v>
      </c>
    </row>
    <row r="96" spans="1:7" x14ac:dyDescent="0.25">
      <c r="A96" t="s">
        <v>26</v>
      </c>
      <c r="B96" t="s">
        <v>56</v>
      </c>
      <c r="C96" t="s">
        <v>48</v>
      </c>
      <c r="D96" t="s">
        <v>47</v>
      </c>
      <c r="E96">
        <v>0</v>
      </c>
      <c r="F96" t="s">
        <v>38</v>
      </c>
      <c r="G96">
        <v>0.27017805520858751</v>
      </c>
    </row>
    <row r="97" spans="1:7" x14ac:dyDescent="0.25">
      <c r="A97" t="s">
        <v>26</v>
      </c>
      <c r="B97" t="s">
        <v>56</v>
      </c>
      <c r="C97" t="s">
        <v>49</v>
      </c>
      <c r="D97" t="s">
        <v>50</v>
      </c>
      <c r="E97">
        <v>0.42162495143522749</v>
      </c>
      <c r="F97" t="s">
        <v>30</v>
      </c>
      <c r="G97">
        <v>0.42162495143522749</v>
      </c>
    </row>
    <row r="98" spans="1:7" x14ac:dyDescent="0.25">
      <c r="A98" t="s">
        <v>26</v>
      </c>
      <c r="B98" t="s">
        <v>56</v>
      </c>
      <c r="C98" t="s">
        <v>51</v>
      </c>
      <c r="D98" t="s">
        <v>50</v>
      </c>
      <c r="E98">
        <v>0.57837504856477251</v>
      </c>
      <c r="F98" t="s">
        <v>30</v>
      </c>
      <c r="G98">
        <v>0.57837504856477251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workbookViewId="0">
      <selection activeCell="B47" sqref="B47"/>
    </sheetView>
  </sheetViews>
  <sheetFormatPr defaultRowHeight="15" x14ac:dyDescent="0.25"/>
  <cols>
    <col min="1" max="2" width="28.7109375" customWidth="1"/>
    <col min="3" max="3" width="20.42578125" bestFit="1" customWidth="1"/>
    <col min="4" max="4" width="26" bestFit="1" customWidth="1"/>
  </cols>
  <sheetData>
    <row r="1" spans="1:5" x14ac:dyDescent="0.25">
      <c r="A1" t="s">
        <v>57</v>
      </c>
      <c r="B1" t="s">
        <v>58</v>
      </c>
      <c r="C1" t="s">
        <v>59</v>
      </c>
      <c r="D1" t="s">
        <v>60</v>
      </c>
      <c r="E1" t="s">
        <v>61</v>
      </c>
    </row>
    <row r="2" spans="1:5" x14ac:dyDescent="0.25">
      <c r="A2" t="s">
        <v>62</v>
      </c>
      <c r="B2" t="s">
        <v>63</v>
      </c>
      <c r="C2">
        <v>1</v>
      </c>
      <c r="D2" t="s">
        <v>64</v>
      </c>
    </row>
    <row r="3" spans="1:5" x14ac:dyDescent="0.25">
      <c r="A3" t="s">
        <v>65</v>
      </c>
      <c r="B3" t="s">
        <v>66</v>
      </c>
      <c r="C3">
        <v>0.03</v>
      </c>
      <c r="D3">
        <f t="shared" ref="D3:D14" si="0">C3/($C$16-$C$2)</f>
        <v>6.5217391304347769E-2</v>
      </c>
      <c r="E3" t="s">
        <v>67</v>
      </c>
    </row>
    <row r="4" spans="1:5" x14ac:dyDescent="0.25">
      <c r="A4" t="s">
        <v>65</v>
      </c>
      <c r="B4" t="s">
        <v>68</v>
      </c>
      <c r="C4">
        <v>0.05</v>
      </c>
      <c r="D4">
        <f t="shared" si="0"/>
        <v>0.10869565217391296</v>
      </c>
      <c r="E4" t="s">
        <v>67</v>
      </c>
    </row>
    <row r="5" spans="1:5" x14ac:dyDescent="0.25">
      <c r="A5" t="s">
        <v>65</v>
      </c>
      <c r="B5" t="s">
        <v>69</v>
      </c>
      <c r="C5">
        <v>7.0000000000000007E-2</v>
      </c>
      <c r="D5">
        <f t="shared" si="0"/>
        <v>0.15217391304347813</v>
      </c>
      <c r="E5" t="s">
        <v>67</v>
      </c>
    </row>
    <row r="6" spans="1:5" x14ac:dyDescent="0.25">
      <c r="A6" t="s">
        <v>65</v>
      </c>
      <c r="B6" t="s">
        <v>70</v>
      </c>
      <c r="C6">
        <v>0.03</v>
      </c>
      <c r="D6">
        <f t="shared" si="0"/>
        <v>6.5217391304347769E-2</v>
      </c>
      <c r="E6" t="s">
        <v>67</v>
      </c>
    </row>
    <row r="7" spans="1:5" x14ac:dyDescent="0.25">
      <c r="A7" t="s">
        <v>71</v>
      </c>
      <c r="B7" t="s">
        <v>72</v>
      </c>
      <c r="C7">
        <v>7.0000000000000007E-2</v>
      </c>
      <c r="D7">
        <f t="shared" si="0"/>
        <v>0.15217391304347813</v>
      </c>
      <c r="E7" t="s">
        <v>67</v>
      </c>
    </row>
    <row r="8" spans="1:5" x14ac:dyDescent="0.25">
      <c r="A8" t="s">
        <v>71</v>
      </c>
      <c r="B8" t="s">
        <v>73</v>
      </c>
      <c r="C8">
        <v>0</v>
      </c>
      <c r="D8">
        <f t="shared" si="0"/>
        <v>0</v>
      </c>
      <c r="E8" t="s">
        <v>67</v>
      </c>
    </row>
    <row r="9" spans="1:5" x14ac:dyDescent="0.25">
      <c r="A9" t="s">
        <v>71</v>
      </c>
      <c r="B9" t="s">
        <v>74</v>
      </c>
      <c r="C9">
        <v>0.01</v>
      </c>
      <c r="D9">
        <f t="shared" si="0"/>
        <v>2.1739130434782591E-2</v>
      </c>
      <c r="E9" t="s">
        <v>67</v>
      </c>
    </row>
    <row r="10" spans="1:5" x14ac:dyDescent="0.25">
      <c r="A10" t="s">
        <v>75</v>
      </c>
      <c r="B10" t="s">
        <v>76</v>
      </c>
      <c r="C10">
        <v>0.04</v>
      </c>
      <c r="D10">
        <f t="shared" si="0"/>
        <v>8.6956521739130363E-2</v>
      </c>
      <c r="E10" t="s">
        <v>77</v>
      </c>
    </row>
    <row r="11" spans="1:5" x14ac:dyDescent="0.25">
      <c r="A11" t="s">
        <v>75</v>
      </c>
      <c r="B11" t="s">
        <v>78</v>
      </c>
      <c r="C11">
        <v>0.04</v>
      </c>
      <c r="D11">
        <f t="shared" si="0"/>
        <v>8.6956521739130363E-2</v>
      </c>
      <c r="E11" t="s">
        <v>77</v>
      </c>
    </row>
    <row r="12" spans="1:5" x14ac:dyDescent="0.25">
      <c r="A12" t="s">
        <v>79</v>
      </c>
      <c r="B12" t="s">
        <v>80</v>
      </c>
      <c r="C12">
        <v>0</v>
      </c>
      <c r="D12">
        <f t="shared" si="0"/>
        <v>0</v>
      </c>
      <c r="E12" t="s">
        <v>77</v>
      </c>
    </row>
    <row r="13" spans="1:5" x14ac:dyDescent="0.25">
      <c r="A13" t="s">
        <v>79</v>
      </c>
      <c r="B13" t="s">
        <v>81</v>
      </c>
      <c r="C13">
        <v>0.06</v>
      </c>
      <c r="D13">
        <f t="shared" si="0"/>
        <v>0.13043478260869554</v>
      </c>
      <c r="E13" t="s">
        <v>77</v>
      </c>
    </row>
    <row r="14" spans="1:5" x14ac:dyDescent="0.25">
      <c r="A14" t="s">
        <v>82</v>
      </c>
      <c r="B14" t="s">
        <v>83</v>
      </c>
      <c r="C14">
        <v>0.06</v>
      </c>
      <c r="D14">
        <f t="shared" si="0"/>
        <v>0.13043478260869554</v>
      </c>
      <c r="E14" t="s">
        <v>67</v>
      </c>
    </row>
    <row r="16" spans="1:5" x14ac:dyDescent="0.25">
      <c r="A16" s="1" t="s">
        <v>84</v>
      </c>
      <c r="C16">
        <f>SUM(C2:C14)</f>
        <v>1.4600000000000004</v>
      </c>
    </row>
    <row r="25" spans="1:2" x14ac:dyDescent="0.25">
      <c r="A25" t="s">
        <v>29</v>
      </c>
      <c r="B25" t="s">
        <v>85</v>
      </c>
    </row>
    <row r="26" spans="1:2" x14ac:dyDescent="0.25">
      <c r="A26" t="s">
        <v>86</v>
      </c>
      <c r="B26" t="s">
        <v>87</v>
      </c>
    </row>
    <row r="27" spans="1:2" x14ac:dyDescent="0.25">
      <c r="A27" t="s">
        <v>88</v>
      </c>
      <c r="B27" t="s">
        <v>89</v>
      </c>
    </row>
    <row r="28" spans="1:2" x14ac:dyDescent="0.25">
      <c r="A28" t="s">
        <v>34</v>
      </c>
      <c r="B28" t="s">
        <v>90</v>
      </c>
    </row>
    <row r="29" spans="1:2" x14ac:dyDescent="0.25">
      <c r="A29" t="s">
        <v>91</v>
      </c>
      <c r="B29" t="s">
        <v>92</v>
      </c>
    </row>
    <row r="30" spans="1:2" x14ac:dyDescent="0.25">
      <c r="A30" t="s">
        <v>93</v>
      </c>
      <c r="B30" t="s">
        <v>94</v>
      </c>
    </row>
    <row r="31" spans="1:2" x14ac:dyDescent="0.25">
      <c r="A31" t="s">
        <v>95</v>
      </c>
      <c r="B31" t="s">
        <v>96</v>
      </c>
    </row>
    <row r="32" spans="1:2" x14ac:dyDescent="0.25">
      <c r="A32" t="s">
        <v>97</v>
      </c>
      <c r="B32" t="s">
        <v>98</v>
      </c>
    </row>
    <row r="33" spans="1:2" x14ac:dyDescent="0.25">
      <c r="A33" t="s">
        <v>99</v>
      </c>
      <c r="B33" t="s">
        <v>100</v>
      </c>
    </row>
    <row r="34" spans="1:2" x14ac:dyDescent="0.25">
      <c r="A34" t="s">
        <v>101</v>
      </c>
      <c r="B34" t="s">
        <v>102</v>
      </c>
    </row>
    <row r="35" spans="1:2" x14ac:dyDescent="0.25">
      <c r="A35" t="s">
        <v>103</v>
      </c>
      <c r="B35" t="s">
        <v>104</v>
      </c>
    </row>
    <row r="36" spans="1:2" x14ac:dyDescent="0.25">
      <c r="A36" t="s">
        <v>105</v>
      </c>
      <c r="B36" t="s">
        <v>106</v>
      </c>
    </row>
    <row r="37" spans="1:2" x14ac:dyDescent="0.25">
      <c r="A37" t="s">
        <v>107</v>
      </c>
      <c r="B37" t="s">
        <v>108</v>
      </c>
    </row>
    <row r="38" spans="1:2" x14ac:dyDescent="0.25">
      <c r="A38" t="s">
        <v>109</v>
      </c>
      <c r="B38" t="s">
        <v>110</v>
      </c>
    </row>
    <row r="39" spans="1:2" x14ac:dyDescent="0.25">
      <c r="A39" t="s">
        <v>111</v>
      </c>
      <c r="B39" t="s">
        <v>112</v>
      </c>
    </row>
    <row r="40" spans="1:2" x14ac:dyDescent="0.25">
      <c r="A40" t="s">
        <v>113</v>
      </c>
      <c r="B40" t="s">
        <v>114</v>
      </c>
    </row>
    <row r="41" spans="1:2" x14ac:dyDescent="0.25">
      <c r="A41" t="s">
        <v>115</v>
      </c>
      <c r="B41" t="s">
        <v>116</v>
      </c>
    </row>
    <row r="42" spans="1:2" x14ac:dyDescent="0.25">
      <c r="A42" t="s">
        <v>117</v>
      </c>
      <c r="B42" t="s">
        <v>118</v>
      </c>
    </row>
    <row r="43" spans="1:2" x14ac:dyDescent="0.25">
      <c r="A43" t="s">
        <v>119</v>
      </c>
      <c r="B43" t="s">
        <v>120</v>
      </c>
    </row>
    <row r="44" spans="1:2" x14ac:dyDescent="0.25">
      <c r="A44" t="s">
        <v>121</v>
      </c>
      <c r="B44" t="s">
        <v>122</v>
      </c>
    </row>
    <row r="45" spans="1:2" x14ac:dyDescent="0.25">
      <c r="A45" t="s">
        <v>123</v>
      </c>
      <c r="B45" t="s">
        <v>124</v>
      </c>
    </row>
    <row r="46" spans="1:2" x14ac:dyDescent="0.25">
      <c r="A46" t="s">
        <v>67</v>
      </c>
      <c r="B46" t="s">
        <v>125</v>
      </c>
    </row>
    <row r="47" spans="1:2" x14ac:dyDescent="0.25">
      <c r="A47" t="s">
        <v>37</v>
      </c>
      <c r="B47" t="s">
        <v>126</v>
      </c>
    </row>
    <row r="48" spans="1:2" x14ac:dyDescent="0.25">
      <c r="A48" t="s">
        <v>127</v>
      </c>
      <c r="B48" t="s">
        <v>128</v>
      </c>
    </row>
    <row r="49" spans="1:2" x14ac:dyDescent="0.25">
      <c r="A49" t="s">
        <v>129</v>
      </c>
      <c r="B49" t="s">
        <v>130</v>
      </c>
    </row>
    <row r="50" spans="1:2" x14ac:dyDescent="0.25">
      <c r="A50" t="s">
        <v>131</v>
      </c>
      <c r="B50" t="s">
        <v>132</v>
      </c>
    </row>
    <row r="51" spans="1:2" x14ac:dyDescent="0.25">
      <c r="A51" t="s">
        <v>133</v>
      </c>
      <c r="B51" t="s">
        <v>134</v>
      </c>
    </row>
    <row r="52" spans="1:2" x14ac:dyDescent="0.25">
      <c r="A52" t="s">
        <v>135</v>
      </c>
      <c r="B52" t="s">
        <v>136</v>
      </c>
    </row>
    <row r="53" spans="1:2" x14ac:dyDescent="0.25">
      <c r="A53" t="s">
        <v>77</v>
      </c>
      <c r="B53" t="s">
        <v>137</v>
      </c>
    </row>
    <row r="54" spans="1:2" x14ac:dyDescent="0.25">
      <c r="A54" t="s">
        <v>41</v>
      </c>
      <c r="B54" t="s">
        <v>138</v>
      </c>
    </row>
    <row r="55" spans="1:2" x14ac:dyDescent="0.25">
      <c r="A55" t="s">
        <v>139</v>
      </c>
      <c r="B55" t="s">
        <v>140</v>
      </c>
    </row>
    <row r="56" spans="1:2" x14ac:dyDescent="0.25">
      <c r="A56" t="s">
        <v>141</v>
      </c>
      <c r="B56" t="s">
        <v>142</v>
      </c>
    </row>
    <row r="57" spans="1:2" x14ac:dyDescent="0.25">
      <c r="A57" t="s">
        <v>143</v>
      </c>
      <c r="B57" t="s">
        <v>144</v>
      </c>
    </row>
    <row r="58" spans="1:2" x14ac:dyDescent="0.25">
      <c r="A58" t="s">
        <v>145</v>
      </c>
      <c r="B58" t="s">
        <v>146</v>
      </c>
    </row>
    <row r="59" spans="1:2" x14ac:dyDescent="0.25">
      <c r="A59" t="s">
        <v>147</v>
      </c>
      <c r="B59" t="s">
        <v>148</v>
      </c>
    </row>
    <row r="60" spans="1:2" x14ac:dyDescent="0.25">
      <c r="A60" t="s">
        <v>149</v>
      </c>
      <c r="B60" t="s">
        <v>150</v>
      </c>
    </row>
    <row r="61" spans="1:2" x14ac:dyDescent="0.25">
      <c r="A61" t="s">
        <v>47</v>
      </c>
      <c r="B61" t="s">
        <v>151</v>
      </c>
    </row>
    <row r="62" spans="1:2" x14ac:dyDescent="0.25">
      <c r="A62" t="s">
        <v>152</v>
      </c>
      <c r="B62" t="s">
        <v>153</v>
      </c>
    </row>
    <row r="63" spans="1:2" x14ac:dyDescent="0.25">
      <c r="A63" t="s">
        <v>154</v>
      </c>
      <c r="B63" t="s">
        <v>155</v>
      </c>
    </row>
    <row r="64" spans="1:2" x14ac:dyDescent="0.25">
      <c r="A64" t="s">
        <v>156</v>
      </c>
      <c r="B64" t="s">
        <v>157</v>
      </c>
    </row>
    <row r="65" spans="1:2" x14ac:dyDescent="0.25">
      <c r="A65" t="s">
        <v>50</v>
      </c>
      <c r="B65" t="s">
        <v>158</v>
      </c>
    </row>
    <row r="66" spans="1:2" x14ac:dyDescent="0.25">
      <c r="A66" t="s">
        <v>159</v>
      </c>
      <c r="B66" t="s">
        <v>160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workbookViewId="0">
      <selection activeCell="D6" sqref="D6"/>
    </sheetView>
  </sheetViews>
  <sheetFormatPr defaultRowHeight="15" x14ac:dyDescent="0.25"/>
  <cols>
    <col min="1" max="2" width="28.7109375" customWidth="1"/>
    <col min="3" max="3" width="20.42578125" bestFit="1" customWidth="1"/>
    <col min="4" max="4" width="26" bestFit="1" customWidth="1"/>
  </cols>
  <sheetData>
    <row r="1" spans="1:5" x14ac:dyDescent="0.25">
      <c r="A1" t="s">
        <v>57</v>
      </c>
      <c r="B1" t="s">
        <v>58</v>
      </c>
      <c r="C1" t="s">
        <v>161</v>
      </c>
      <c r="D1" t="s">
        <v>60</v>
      </c>
      <c r="E1" t="s">
        <v>61</v>
      </c>
    </row>
    <row r="2" spans="1:5" x14ac:dyDescent="0.25">
      <c r="A2" t="s">
        <v>62</v>
      </c>
      <c r="B2" t="s">
        <v>162</v>
      </c>
      <c r="C2">
        <v>1</v>
      </c>
      <c r="D2" t="s">
        <v>64</v>
      </c>
    </row>
    <row r="3" spans="1:5" x14ac:dyDescent="0.25">
      <c r="A3" t="s">
        <v>65</v>
      </c>
      <c r="B3" t="s">
        <v>66</v>
      </c>
      <c r="C3">
        <v>0.04</v>
      </c>
      <c r="D3">
        <f t="shared" ref="D3:D14" si="0">C3/($C$16-$C$2)</f>
        <v>0.11111111111111102</v>
      </c>
      <c r="E3" t="s">
        <v>67</v>
      </c>
    </row>
    <row r="4" spans="1:5" x14ac:dyDescent="0.25">
      <c r="A4" t="s">
        <v>65</v>
      </c>
      <c r="B4" t="s">
        <v>68</v>
      </c>
      <c r="C4">
        <v>0.05</v>
      </c>
      <c r="D4">
        <f t="shared" si="0"/>
        <v>0.13888888888888878</v>
      </c>
      <c r="E4" t="s">
        <v>67</v>
      </c>
    </row>
    <row r="5" spans="1:5" x14ac:dyDescent="0.25">
      <c r="A5" t="s">
        <v>65</v>
      </c>
      <c r="B5" t="s">
        <v>69</v>
      </c>
      <c r="C5">
        <v>0.04</v>
      </c>
      <c r="D5">
        <f t="shared" si="0"/>
        <v>0.11111111111111102</v>
      </c>
      <c r="E5" t="s">
        <v>67</v>
      </c>
    </row>
    <row r="6" spans="1:5" x14ac:dyDescent="0.25">
      <c r="A6" t="s">
        <v>65</v>
      </c>
      <c r="B6" t="s">
        <v>70</v>
      </c>
      <c r="C6">
        <v>0.02</v>
      </c>
      <c r="D6">
        <f t="shared" si="0"/>
        <v>5.5555555555555511E-2</v>
      </c>
      <c r="E6" t="s">
        <v>67</v>
      </c>
    </row>
    <row r="7" spans="1:5" x14ac:dyDescent="0.25">
      <c r="A7" t="s">
        <v>71</v>
      </c>
      <c r="B7" t="s">
        <v>72</v>
      </c>
      <c r="C7">
        <v>7.0000000000000007E-2</v>
      </c>
      <c r="D7">
        <f t="shared" si="0"/>
        <v>0.19444444444444428</v>
      </c>
      <c r="E7" t="s">
        <v>67</v>
      </c>
    </row>
    <row r="8" spans="1:5" x14ac:dyDescent="0.25">
      <c r="A8" t="s">
        <v>71</v>
      </c>
      <c r="B8" t="s">
        <v>73</v>
      </c>
      <c r="C8">
        <v>0.01</v>
      </c>
      <c r="D8">
        <f t="shared" si="0"/>
        <v>2.7777777777777755E-2</v>
      </c>
      <c r="E8" t="s">
        <v>67</v>
      </c>
    </row>
    <row r="9" spans="1:5" x14ac:dyDescent="0.25">
      <c r="A9" t="s">
        <v>71</v>
      </c>
      <c r="B9" t="s">
        <v>74</v>
      </c>
      <c r="C9">
        <v>0.01</v>
      </c>
      <c r="D9">
        <f t="shared" si="0"/>
        <v>2.7777777777777755E-2</v>
      </c>
      <c r="E9" t="s">
        <v>67</v>
      </c>
    </row>
    <row r="10" spans="1:5" x14ac:dyDescent="0.25">
      <c r="A10" t="s">
        <v>75</v>
      </c>
      <c r="B10" t="s">
        <v>76</v>
      </c>
      <c r="C10">
        <v>0</v>
      </c>
      <c r="D10">
        <f t="shared" si="0"/>
        <v>0</v>
      </c>
      <c r="E10" t="s">
        <v>77</v>
      </c>
    </row>
    <row r="11" spans="1:5" x14ac:dyDescent="0.25">
      <c r="A11" t="s">
        <v>75</v>
      </c>
      <c r="B11" t="s">
        <v>78</v>
      </c>
      <c r="C11">
        <v>0.01</v>
      </c>
      <c r="D11">
        <f t="shared" si="0"/>
        <v>2.7777777777777755E-2</v>
      </c>
      <c r="E11" t="s">
        <v>77</v>
      </c>
    </row>
    <row r="12" spans="1:5" x14ac:dyDescent="0.25">
      <c r="A12" t="s">
        <v>79</v>
      </c>
      <c r="B12" t="s">
        <v>163</v>
      </c>
      <c r="C12">
        <v>0</v>
      </c>
      <c r="D12">
        <f t="shared" si="0"/>
        <v>0</v>
      </c>
      <c r="E12" t="s">
        <v>77</v>
      </c>
    </row>
    <row r="13" spans="1:5" x14ac:dyDescent="0.25">
      <c r="A13" t="s">
        <v>79</v>
      </c>
      <c r="B13" t="s">
        <v>164</v>
      </c>
      <c r="C13">
        <v>0.06</v>
      </c>
      <c r="D13">
        <f t="shared" si="0"/>
        <v>0.16666666666666652</v>
      </c>
      <c r="E13" t="s">
        <v>77</v>
      </c>
    </row>
    <row r="14" spans="1:5" x14ac:dyDescent="0.25">
      <c r="A14" t="s">
        <v>82</v>
      </c>
      <c r="B14" t="s">
        <v>83</v>
      </c>
      <c r="C14">
        <v>0.05</v>
      </c>
      <c r="D14">
        <f t="shared" si="0"/>
        <v>0.13888888888888878</v>
      </c>
      <c r="E14" t="s">
        <v>67</v>
      </c>
    </row>
    <row r="16" spans="1:5" x14ac:dyDescent="0.25">
      <c r="A16" s="1" t="s">
        <v>84</v>
      </c>
      <c r="C16">
        <f>SUM(C2:C14)</f>
        <v>1.3600000000000003</v>
      </c>
    </row>
    <row r="25" spans="1:2" x14ac:dyDescent="0.25">
      <c r="A25" t="s">
        <v>29</v>
      </c>
      <c r="B25" t="s">
        <v>85</v>
      </c>
    </row>
    <row r="26" spans="1:2" x14ac:dyDescent="0.25">
      <c r="A26" t="s">
        <v>86</v>
      </c>
      <c r="B26" t="s">
        <v>87</v>
      </c>
    </row>
    <row r="27" spans="1:2" x14ac:dyDescent="0.25">
      <c r="A27" t="s">
        <v>88</v>
      </c>
      <c r="B27" t="s">
        <v>89</v>
      </c>
    </row>
    <row r="28" spans="1:2" x14ac:dyDescent="0.25">
      <c r="A28" t="s">
        <v>34</v>
      </c>
      <c r="B28" t="s">
        <v>90</v>
      </c>
    </row>
    <row r="29" spans="1:2" x14ac:dyDescent="0.25">
      <c r="A29" t="s">
        <v>91</v>
      </c>
      <c r="B29" t="s">
        <v>92</v>
      </c>
    </row>
    <row r="30" spans="1:2" x14ac:dyDescent="0.25">
      <c r="A30" t="s">
        <v>93</v>
      </c>
      <c r="B30" t="s">
        <v>94</v>
      </c>
    </row>
    <row r="31" spans="1:2" x14ac:dyDescent="0.25">
      <c r="A31" t="s">
        <v>95</v>
      </c>
      <c r="B31" t="s">
        <v>96</v>
      </c>
    </row>
    <row r="32" spans="1:2" x14ac:dyDescent="0.25">
      <c r="A32" t="s">
        <v>97</v>
      </c>
      <c r="B32" t="s">
        <v>98</v>
      </c>
    </row>
    <row r="33" spans="1:2" x14ac:dyDescent="0.25">
      <c r="A33" t="s">
        <v>99</v>
      </c>
      <c r="B33" t="s">
        <v>100</v>
      </c>
    </row>
    <row r="34" spans="1:2" x14ac:dyDescent="0.25">
      <c r="A34" t="s">
        <v>101</v>
      </c>
      <c r="B34" t="s">
        <v>102</v>
      </c>
    </row>
    <row r="35" spans="1:2" x14ac:dyDescent="0.25">
      <c r="A35" t="s">
        <v>103</v>
      </c>
      <c r="B35" t="s">
        <v>104</v>
      </c>
    </row>
    <row r="36" spans="1:2" x14ac:dyDescent="0.25">
      <c r="A36" t="s">
        <v>105</v>
      </c>
      <c r="B36" t="s">
        <v>106</v>
      </c>
    </row>
    <row r="37" spans="1:2" x14ac:dyDescent="0.25">
      <c r="A37" t="s">
        <v>107</v>
      </c>
      <c r="B37" t="s">
        <v>108</v>
      </c>
    </row>
    <row r="38" spans="1:2" x14ac:dyDescent="0.25">
      <c r="A38" t="s">
        <v>109</v>
      </c>
      <c r="B38" t="s">
        <v>110</v>
      </c>
    </row>
    <row r="39" spans="1:2" x14ac:dyDescent="0.25">
      <c r="A39" t="s">
        <v>111</v>
      </c>
      <c r="B39" t="s">
        <v>112</v>
      </c>
    </row>
    <row r="40" spans="1:2" x14ac:dyDescent="0.25">
      <c r="A40" t="s">
        <v>113</v>
      </c>
      <c r="B40" t="s">
        <v>114</v>
      </c>
    </row>
    <row r="41" spans="1:2" x14ac:dyDescent="0.25">
      <c r="A41" t="s">
        <v>115</v>
      </c>
      <c r="B41" t="s">
        <v>116</v>
      </c>
    </row>
    <row r="42" spans="1:2" x14ac:dyDescent="0.25">
      <c r="A42" t="s">
        <v>117</v>
      </c>
      <c r="B42" t="s">
        <v>118</v>
      </c>
    </row>
    <row r="43" spans="1:2" x14ac:dyDescent="0.25">
      <c r="A43" t="s">
        <v>119</v>
      </c>
      <c r="B43" t="s">
        <v>120</v>
      </c>
    </row>
    <row r="44" spans="1:2" x14ac:dyDescent="0.25">
      <c r="A44" t="s">
        <v>121</v>
      </c>
      <c r="B44" t="s">
        <v>122</v>
      </c>
    </row>
    <row r="45" spans="1:2" x14ac:dyDescent="0.25">
      <c r="A45" t="s">
        <v>123</v>
      </c>
      <c r="B45" t="s">
        <v>124</v>
      </c>
    </row>
    <row r="46" spans="1:2" x14ac:dyDescent="0.25">
      <c r="A46" t="s">
        <v>67</v>
      </c>
      <c r="B46" t="s">
        <v>125</v>
      </c>
    </row>
    <row r="47" spans="1:2" x14ac:dyDescent="0.25">
      <c r="A47" t="s">
        <v>37</v>
      </c>
      <c r="B47" t="s">
        <v>126</v>
      </c>
    </row>
    <row r="48" spans="1:2" x14ac:dyDescent="0.25">
      <c r="A48" t="s">
        <v>127</v>
      </c>
      <c r="B48" t="s">
        <v>128</v>
      </c>
    </row>
    <row r="49" spans="1:2" x14ac:dyDescent="0.25">
      <c r="A49" t="s">
        <v>129</v>
      </c>
      <c r="B49" t="s">
        <v>130</v>
      </c>
    </row>
    <row r="50" spans="1:2" x14ac:dyDescent="0.25">
      <c r="A50" t="s">
        <v>131</v>
      </c>
      <c r="B50" t="s">
        <v>132</v>
      </c>
    </row>
    <row r="51" spans="1:2" x14ac:dyDescent="0.25">
      <c r="A51" t="s">
        <v>133</v>
      </c>
      <c r="B51" t="s">
        <v>134</v>
      </c>
    </row>
    <row r="52" spans="1:2" x14ac:dyDescent="0.25">
      <c r="A52" t="s">
        <v>135</v>
      </c>
      <c r="B52" t="s">
        <v>136</v>
      </c>
    </row>
    <row r="53" spans="1:2" x14ac:dyDescent="0.25">
      <c r="A53" t="s">
        <v>77</v>
      </c>
      <c r="B53" t="s">
        <v>137</v>
      </c>
    </row>
    <row r="54" spans="1:2" x14ac:dyDescent="0.25">
      <c r="A54" t="s">
        <v>41</v>
      </c>
      <c r="B54" t="s">
        <v>138</v>
      </c>
    </row>
    <row r="55" spans="1:2" x14ac:dyDescent="0.25">
      <c r="A55" t="s">
        <v>139</v>
      </c>
      <c r="B55" t="s">
        <v>140</v>
      </c>
    </row>
    <row r="56" spans="1:2" x14ac:dyDescent="0.25">
      <c r="A56" t="s">
        <v>141</v>
      </c>
      <c r="B56" t="s">
        <v>142</v>
      </c>
    </row>
    <row r="57" spans="1:2" x14ac:dyDescent="0.25">
      <c r="A57" t="s">
        <v>143</v>
      </c>
      <c r="B57" t="s">
        <v>144</v>
      </c>
    </row>
    <row r="58" spans="1:2" x14ac:dyDescent="0.25">
      <c r="A58" t="s">
        <v>145</v>
      </c>
      <c r="B58" t="s">
        <v>146</v>
      </c>
    </row>
    <row r="59" spans="1:2" x14ac:dyDescent="0.25">
      <c r="A59" t="s">
        <v>147</v>
      </c>
      <c r="B59" t="s">
        <v>148</v>
      </c>
    </row>
    <row r="60" spans="1:2" x14ac:dyDescent="0.25">
      <c r="A60" t="s">
        <v>149</v>
      </c>
      <c r="B60" t="s">
        <v>150</v>
      </c>
    </row>
    <row r="61" spans="1:2" x14ac:dyDescent="0.25">
      <c r="A61" t="s">
        <v>47</v>
      </c>
      <c r="B61" t="s">
        <v>151</v>
      </c>
    </row>
    <row r="62" spans="1:2" x14ac:dyDescent="0.25">
      <c r="A62" t="s">
        <v>152</v>
      </c>
      <c r="B62" t="s">
        <v>153</v>
      </c>
    </row>
    <row r="63" spans="1:2" x14ac:dyDescent="0.25">
      <c r="A63" t="s">
        <v>154</v>
      </c>
      <c r="B63" t="s">
        <v>155</v>
      </c>
    </row>
    <row r="64" spans="1:2" x14ac:dyDescent="0.25">
      <c r="A64" t="s">
        <v>156</v>
      </c>
      <c r="B64" t="s">
        <v>157</v>
      </c>
    </row>
    <row r="65" spans="1:2" x14ac:dyDescent="0.25">
      <c r="A65" t="s">
        <v>50</v>
      </c>
      <c r="B65" t="s">
        <v>158</v>
      </c>
    </row>
    <row r="66" spans="1:2" x14ac:dyDescent="0.25">
      <c r="A66" t="s">
        <v>159</v>
      </c>
      <c r="B66" t="s">
        <v>160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7"/>
  <sheetViews>
    <sheetView topLeftCell="A22" workbookViewId="0"/>
  </sheetViews>
  <sheetFormatPr defaultRowHeight="15" x14ac:dyDescent="0.25"/>
  <cols>
    <col min="1" max="1" width="60" customWidth="1"/>
  </cols>
  <sheetData>
    <row r="1" spans="1:3" x14ac:dyDescent="0.25">
      <c r="A1" s="5" t="s">
        <v>165</v>
      </c>
    </row>
    <row r="3" spans="1:3" x14ac:dyDescent="0.25">
      <c r="A3" s="5" t="s">
        <v>166</v>
      </c>
    </row>
    <row r="4" spans="1:3" x14ac:dyDescent="0.25">
      <c r="A4" t="s">
        <v>167</v>
      </c>
      <c r="B4">
        <f>('Factors applied'!$E$3+'Factors applied'!$E$4+'Factors applied'!$E$5)</f>
        <v>1</v>
      </c>
      <c r="C4" s="5" t="str">
        <f t="shared" ref="C4:C39" si="0">IF(ABS(B4-1)&lt;0.000000001,"PASS","FAIL")</f>
        <v>PASS</v>
      </c>
    </row>
    <row r="5" spans="1:3" x14ac:dyDescent="0.25">
      <c r="A5" t="s">
        <v>168</v>
      </c>
      <c r="B5">
        <f>('Factors applied'!$E$6+'Factors applied'!$E$7)</f>
        <v>1</v>
      </c>
      <c r="C5" s="5" t="str">
        <f t="shared" si="0"/>
        <v>PASS</v>
      </c>
    </row>
    <row r="6" spans="1:3" x14ac:dyDescent="0.25">
      <c r="A6" t="s">
        <v>169</v>
      </c>
      <c r="B6">
        <f>('Factors applied'!$E$8+'Factors applied'!$E$9)</f>
        <v>1</v>
      </c>
      <c r="C6" s="5" t="str">
        <f t="shared" si="0"/>
        <v>PASS</v>
      </c>
    </row>
    <row r="7" spans="1:3" x14ac:dyDescent="0.25">
      <c r="A7" t="s">
        <v>170</v>
      </c>
      <c r="B7">
        <f>('Factors applied'!$E$10+'Factors applied'!$E$11+'Factors applied'!$E$12+'Factors applied'!$E$13+'Factors applied'!$E$14)</f>
        <v>1</v>
      </c>
      <c r="C7" s="5" t="str">
        <f t="shared" si="0"/>
        <v>PASS</v>
      </c>
    </row>
    <row r="8" spans="1:3" x14ac:dyDescent="0.25">
      <c r="A8" t="s">
        <v>171</v>
      </c>
      <c r="B8">
        <f>('Factors applied'!$E$15+'Factors applied'!$E$16)</f>
        <v>1</v>
      </c>
      <c r="C8" s="5" t="str">
        <f t="shared" si="0"/>
        <v>PASS</v>
      </c>
    </row>
    <row r="9" spans="1:3" x14ac:dyDescent="0.25">
      <c r="A9" t="s">
        <v>172</v>
      </c>
      <c r="B9">
        <f>('Factors applied'!$E$17+'Factors applied'!$E$18)</f>
        <v>1</v>
      </c>
      <c r="C9" s="5" t="str">
        <f t="shared" si="0"/>
        <v>PASS</v>
      </c>
    </row>
    <row r="10" spans="1:3" x14ac:dyDescent="0.25">
      <c r="A10" t="s">
        <v>173</v>
      </c>
      <c r="B10">
        <f>('Factors applied'!$E$19+'Factors applied'!$E$20+'Factors applied'!$E$21)</f>
        <v>1</v>
      </c>
      <c r="C10" s="5" t="str">
        <f t="shared" si="0"/>
        <v>PASS</v>
      </c>
    </row>
    <row r="11" spans="1:3" x14ac:dyDescent="0.25">
      <c r="A11" t="s">
        <v>174</v>
      </c>
      <c r="B11">
        <f>('Factors applied'!$E$22+'Factors applied'!$E$23)</f>
        <v>1</v>
      </c>
      <c r="C11" s="5" t="str">
        <f t="shared" si="0"/>
        <v>PASS</v>
      </c>
    </row>
    <row r="12" spans="1:3" x14ac:dyDescent="0.25">
      <c r="A12" t="s">
        <v>175</v>
      </c>
      <c r="B12">
        <f>('Factors applied'!$E$24+'Factors applied'!$E$25)</f>
        <v>1</v>
      </c>
      <c r="C12" s="5" t="str">
        <f t="shared" si="0"/>
        <v>PASS</v>
      </c>
    </row>
    <row r="13" spans="1:3" x14ac:dyDescent="0.25">
      <c r="A13" t="s">
        <v>176</v>
      </c>
      <c r="B13">
        <f>('Factors applied'!$E$26+'Factors applied'!$E$27+'Factors applied'!$E$28+'Factors applied'!$E$29+'Factors applied'!$E$30)</f>
        <v>1</v>
      </c>
      <c r="C13" s="5" t="str">
        <f t="shared" si="0"/>
        <v>PASS</v>
      </c>
    </row>
    <row r="14" spans="1:3" x14ac:dyDescent="0.25">
      <c r="A14" t="s">
        <v>177</v>
      </c>
      <c r="B14">
        <f>('Factors applied'!$E$31+'Factors applied'!$E$32)</f>
        <v>1</v>
      </c>
      <c r="C14" s="5" t="str">
        <f t="shared" si="0"/>
        <v>PASS</v>
      </c>
    </row>
    <row r="15" spans="1:3" x14ac:dyDescent="0.25">
      <c r="A15" t="s">
        <v>178</v>
      </c>
      <c r="B15">
        <f>('Factors applied'!$E$33+'Factors applied'!$E$34)</f>
        <v>1</v>
      </c>
      <c r="C15" s="5" t="str">
        <f t="shared" si="0"/>
        <v>PASS</v>
      </c>
    </row>
    <row r="16" spans="1:3" x14ac:dyDescent="0.25">
      <c r="A16" t="s">
        <v>179</v>
      </c>
      <c r="B16">
        <f>('Factors applied'!$E$35+'Factors applied'!$E$36+'Factors applied'!$E$37)</f>
        <v>1</v>
      </c>
      <c r="C16" s="5" t="str">
        <f t="shared" si="0"/>
        <v>PASS</v>
      </c>
    </row>
    <row r="17" spans="1:3" x14ac:dyDescent="0.25">
      <c r="A17" t="s">
        <v>180</v>
      </c>
      <c r="B17">
        <f>('Factors applied'!$E$38+'Factors applied'!$E$39)</f>
        <v>1</v>
      </c>
      <c r="C17" s="5" t="str">
        <f t="shared" si="0"/>
        <v>PASS</v>
      </c>
    </row>
    <row r="18" spans="1:3" x14ac:dyDescent="0.25">
      <c r="A18" t="s">
        <v>181</v>
      </c>
      <c r="B18">
        <f>('Factors applied'!$E$40+'Factors applied'!$E$41)</f>
        <v>1</v>
      </c>
      <c r="C18" s="5" t="str">
        <f t="shared" si="0"/>
        <v>PASS</v>
      </c>
    </row>
    <row r="19" spans="1:3" x14ac:dyDescent="0.25">
      <c r="A19" t="s">
        <v>182</v>
      </c>
      <c r="B19">
        <f>('Factors applied'!$E$42+'Factors applied'!$E$43+'Factors applied'!$E$44+'Factors applied'!$E$45+'Factors applied'!$E$46)</f>
        <v>1</v>
      </c>
      <c r="C19" s="5" t="str">
        <f t="shared" si="0"/>
        <v>PASS</v>
      </c>
    </row>
    <row r="20" spans="1:3" x14ac:dyDescent="0.25">
      <c r="A20" t="s">
        <v>183</v>
      </c>
      <c r="B20">
        <f>('Factors applied'!$E$47+'Factors applied'!$E$48)</f>
        <v>1</v>
      </c>
      <c r="C20" s="5" t="str">
        <f t="shared" si="0"/>
        <v>PASS</v>
      </c>
    </row>
    <row r="21" spans="1:3" x14ac:dyDescent="0.25">
      <c r="A21" t="s">
        <v>184</v>
      </c>
      <c r="B21">
        <f>('Factors applied'!$E$49+'Factors applied'!$E$50)</f>
        <v>1</v>
      </c>
      <c r="C21" s="5" t="str">
        <f t="shared" si="0"/>
        <v>PASS</v>
      </c>
    </row>
    <row r="22" spans="1:3" x14ac:dyDescent="0.25">
      <c r="A22" t="s">
        <v>185</v>
      </c>
      <c r="B22">
        <f>('Factors applied'!$E$51+'Factors applied'!$E$52+'Factors applied'!$E$53)</f>
        <v>1</v>
      </c>
      <c r="C22" s="5" t="str">
        <f t="shared" si="0"/>
        <v>PASS</v>
      </c>
    </row>
    <row r="23" spans="1:3" x14ac:dyDescent="0.25">
      <c r="A23" t="s">
        <v>186</v>
      </c>
      <c r="B23">
        <f>('Factors applied'!$E$54+'Factors applied'!$E$55)</f>
        <v>1</v>
      </c>
      <c r="C23" s="5" t="str">
        <f t="shared" si="0"/>
        <v>PASS</v>
      </c>
    </row>
    <row r="24" spans="1:3" x14ac:dyDescent="0.25">
      <c r="A24" t="s">
        <v>187</v>
      </c>
      <c r="B24">
        <f>('Factors applied'!$E$56+'Factors applied'!$E$57)</f>
        <v>1</v>
      </c>
      <c r="C24" s="5" t="str">
        <f t="shared" si="0"/>
        <v>PASS</v>
      </c>
    </row>
    <row r="25" spans="1:3" x14ac:dyDescent="0.25">
      <c r="A25" t="s">
        <v>188</v>
      </c>
      <c r="B25">
        <f>('Factors applied'!$E$58+'Factors applied'!$E$59+'Factors applied'!$E$60+'Factors applied'!$E$61+'Factors applied'!$E$62)</f>
        <v>1</v>
      </c>
      <c r="C25" s="5" t="str">
        <f t="shared" si="0"/>
        <v>PASS</v>
      </c>
    </row>
    <row r="26" spans="1:3" x14ac:dyDescent="0.25">
      <c r="A26" t="s">
        <v>189</v>
      </c>
      <c r="B26">
        <f>('Factors applied'!$E$63+'Factors applied'!$E$64)</f>
        <v>1</v>
      </c>
      <c r="C26" s="5" t="str">
        <f t="shared" si="0"/>
        <v>PASS</v>
      </c>
    </row>
    <row r="27" spans="1:3" x14ac:dyDescent="0.25">
      <c r="A27" t="s">
        <v>190</v>
      </c>
      <c r="B27">
        <f>('Factors applied'!$E$65+'Factors applied'!$E$66)</f>
        <v>1</v>
      </c>
      <c r="C27" s="5" t="str">
        <f t="shared" si="0"/>
        <v>PASS</v>
      </c>
    </row>
    <row r="28" spans="1:3" x14ac:dyDescent="0.25">
      <c r="A28" t="s">
        <v>191</v>
      </c>
      <c r="B28">
        <f>('Factors applied'!$E$67+'Factors applied'!$E$68+'Factors applied'!$E$69)</f>
        <v>1</v>
      </c>
      <c r="C28" s="5" t="str">
        <f t="shared" si="0"/>
        <v>PASS</v>
      </c>
    </row>
    <row r="29" spans="1:3" x14ac:dyDescent="0.25">
      <c r="A29" t="s">
        <v>192</v>
      </c>
      <c r="B29">
        <f>('Factors applied'!$E$70+'Factors applied'!$E$71)</f>
        <v>1</v>
      </c>
      <c r="C29" s="5" t="str">
        <f t="shared" si="0"/>
        <v>PASS</v>
      </c>
    </row>
    <row r="30" spans="1:3" x14ac:dyDescent="0.25">
      <c r="A30" t="s">
        <v>193</v>
      </c>
      <c r="B30">
        <f>('Factors applied'!$E$72+'Factors applied'!$E$73)</f>
        <v>1</v>
      </c>
      <c r="C30" s="5" t="str">
        <f t="shared" si="0"/>
        <v>PASS</v>
      </c>
    </row>
    <row r="31" spans="1:3" x14ac:dyDescent="0.25">
      <c r="A31" t="s">
        <v>194</v>
      </c>
      <c r="B31">
        <f>('Factors applied'!$E$74+'Factors applied'!$E$75+'Factors applied'!$E$76+'Factors applied'!$E$77+'Factors applied'!$E$78)</f>
        <v>1</v>
      </c>
      <c r="C31" s="5" t="str">
        <f t="shared" si="0"/>
        <v>PASS</v>
      </c>
    </row>
    <row r="32" spans="1:3" x14ac:dyDescent="0.25">
      <c r="A32" t="s">
        <v>195</v>
      </c>
      <c r="B32">
        <f>('Factors applied'!$E$79+'Factors applied'!$E$80)</f>
        <v>1</v>
      </c>
      <c r="C32" s="5" t="str">
        <f t="shared" si="0"/>
        <v>PASS</v>
      </c>
    </row>
    <row r="33" spans="1:3" x14ac:dyDescent="0.25">
      <c r="A33" t="s">
        <v>196</v>
      </c>
      <c r="B33">
        <f>('Factors applied'!$E$81+'Factors applied'!$E$82)</f>
        <v>1</v>
      </c>
      <c r="C33" s="5" t="str">
        <f t="shared" si="0"/>
        <v>PASS</v>
      </c>
    </row>
    <row r="34" spans="1:3" x14ac:dyDescent="0.25">
      <c r="A34" t="s">
        <v>197</v>
      </c>
      <c r="B34">
        <f>('Factors applied'!$E$83+'Factors applied'!$E$84+'Factors applied'!$E$85)</f>
        <v>1</v>
      </c>
      <c r="C34" s="5" t="str">
        <f t="shared" si="0"/>
        <v>PASS</v>
      </c>
    </row>
    <row r="35" spans="1:3" x14ac:dyDescent="0.25">
      <c r="A35" t="s">
        <v>198</v>
      </c>
      <c r="B35">
        <f>('Factors applied'!$E$86+'Factors applied'!$E$87)</f>
        <v>1</v>
      </c>
      <c r="C35" s="5" t="str">
        <f t="shared" si="0"/>
        <v>PASS</v>
      </c>
    </row>
    <row r="36" spans="1:3" x14ac:dyDescent="0.25">
      <c r="A36" t="s">
        <v>199</v>
      </c>
      <c r="B36">
        <f>('Factors applied'!$E$88+'Factors applied'!$E$89)</f>
        <v>1</v>
      </c>
      <c r="C36" s="5" t="str">
        <f t="shared" si="0"/>
        <v>PASS</v>
      </c>
    </row>
    <row r="37" spans="1:3" x14ac:dyDescent="0.25">
      <c r="A37" t="s">
        <v>200</v>
      </c>
      <c r="B37">
        <f>('Factors applied'!$E$90+'Factors applied'!$E$91+'Factors applied'!$E$92+'Factors applied'!$E$93+'Factors applied'!$E$94)</f>
        <v>1</v>
      </c>
      <c r="C37" s="5" t="str">
        <f t="shared" si="0"/>
        <v>PASS</v>
      </c>
    </row>
    <row r="38" spans="1:3" x14ac:dyDescent="0.25">
      <c r="A38" t="s">
        <v>201</v>
      </c>
      <c r="B38">
        <f>('Factors applied'!$E$95+'Factors applied'!$E$96)</f>
        <v>1</v>
      </c>
      <c r="C38" s="5" t="str">
        <f t="shared" si="0"/>
        <v>PASS</v>
      </c>
    </row>
    <row r="39" spans="1:3" x14ac:dyDescent="0.25">
      <c r="A39" t="s">
        <v>202</v>
      </c>
      <c r="B39">
        <f>('Factors applied'!$E$97+'Factors applied'!$E$98)</f>
        <v>1</v>
      </c>
      <c r="C39" s="5" t="str">
        <f t="shared" si="0"/>
        <v>PASS</v>
      </c>
    </row>
    <row r="41" spans="1:3" x14ac:dyDescent="0.25">
      <c r="A41" s="5" t="s">
        <v>203</v>
      </c>
    </row>
    <row r="42" spans="1:3" x14ac:dyDescent="0.25">
      <c r="A42" t="s">
        <v>204</v>
      </c>
      <c r="B42">
        <f>SUM(VRSbRIC!B2:BA2)</f>
        <v>0.99999999999999911</v>
      </c>
      <c r="C42" s="5" t="str">
        <f t="shared" ref="C42:C47" si="1">IF(ABS(B42-1)&lt;0.000000001,"PASS","FAIL")</f>
        <v>PASS</v>
      </c>
    </row>
    <row r="43" spans="1:3" x14ac:dyDescent="0.25">
      <c r="A43" t="s">
        <v>205</v>
      </c>
      <c r="B43">
        <f>SUM(VRSbRIC!B3:BA3)</f>
        <v>0.99999999999999922</v>
      </c>
      <c r="C43" s="5" t="str">
        <f t="shared" si="1"/>
        <v>PASS</v>
      </c>
    </row>
    <row r="44" spans="1:3" x14ac:dyDescent="0.25">
      <c r="A44" t="s">
        <v>206</v>
      </c>
      <c r="B44">
        <f>SUM(VRSbRIC!B4:BA4)</f>
        <v>0.99999999999999922</v>
      </c>
      <c r="C44" s="5" t="str">
        <f t="shared" si="1"/>
        <v>PASS</v>
      </c>
    </row>
    <row r="45" spans="1:3" x14ac:dyDescent="0.25">
      <c r="A45" t="s">
        <v>207</v>
      </c>
      <c r="B45">
        <f>SUM(VRSbRIC!B5:BA5)</f>
        <v>0.99999999999999922</v>
      </c>
      <c r="C45" s="5" t="str">
        <f t="shared" si="1"/>
        <v>PASS</v>
      </c>
    </row>
    <row r="46" spans="1:3" x14ac:dyDescent="0.25">
      <c r="A46" t="s">
        <v>208</v>
      </c>
      <c r="B46">
        <f>SUM(VRSbRIC!B6:BA6)</f>
        <v>0.99999999999999922</v>
      </c>
      <c r="C46" s="5" t="str">
        <f t="shared" si="1"/>
        <v>PASS</v>
      </c>
    </row>
    <row r="47" spans="1:3" x14ac:dyDescent="0.25">
      <c r="A47" t="s">
        <v>209</v>
      </c>
      <c r="B47">
        <f>SUM(VRSbRIC!B7:BA7)</f>
        <v>0.99999999999999911</v>
      </c>
      <c r="C47" s="5" t="str">
        <f t="shared" si="1"/>
        <v>PASS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</sheetPr>
  <dimension ref="A1:BA7"/>
  <sheetViews>
    <sheetView workbookViewId="0">
      <selection activeCell="Y7" sqref="Y7"/>
    </sheetView>
  </sheetViews>
  <sheetFormatPr defaultRowHeight="15" x14ac:dyDescent="0.25"/>
  <cols>
    <col min="1" max="1" width="12.42578125" bestFit="1" customWidth="1"/>
  </cols>
  <sheetData>
    <row r="1" spans="1:53" x14ac:dyDescent="0.25">
      <c r="A1" s="6" t="s">
        <v>210</v>
      </c>
      <c r="B1" s="5" t="s">
        <v>28</v>
      </c>
      <c r="C1" s="5" t="s">
        <v>31</v>
      </c>
      <c r="D1" s="5" t="s">
        <v>32</v>
      </c>
      <c r="E1" s="5" t="s">
        <v>86</v>
      </c>
      <c r="F1" s="5" t="s">
        <v>88</v>
      </c>
      <c r="G1" s="5" t="s">
        <v>33</v>
      </c>
      <c r="H1" s="5" t="s">
        <v>35</v>
      </c>
      <c r="I1" s="5" t="s">
        <v>91</v>
      </c>
      <c r="J1" s="5" t="s">
        <v>93</v>
      </c>
      <c r="K1" s="5" t="s">
        <v>95</v>
      </c>
      <c r="L1" s="5" t="s">
        <v>97</v>
      </c>
      <c r="M1" s="5" t="s">
        <v>99</v>
      </c>
      <c r="N1" s="5" t="s">
        <v>101</v>
      </c>
      <c r="O1" s="5" t="s">
        <v>103</v>
      </c>
      <c r="P1" s="5" t="s">
        <v>105</v>
      </c>
      <c r="Q1" s="5" t="s">
        <v>107</v>
      </c>
      <c r="R1" s="5" t="s">
        <v>109</v>
      </c>
      <c r="S1" s="5" t="s">
        <v>111</v>
      </c>
      <c r="T1" s="5" t="s">
        <v>113</v>
      </c>
      <c r="U1" s="5" t="s">
        <v>115</v>
      </c>
      <c r="V1" s="5" t="s">
        <v>117</v>
      </c>
      <c r="W1" s="5" t="s">
        <v>119</v>
      </c>
      <c r="X1" s="5" t="s">
        <v>121</v>
      </c>
      <c r="Y1" s="5" t="s">
        <v>123</v>
      </c>
      <c r="Z1" s="5" t="s">
        <v>67</v>
      </c>
      <c r="AA1" s="5" t="s">
        <v>36</v>
      </c>
      <c r="AB1" s="5" t="s">
        <v>39</v>
      </c>
      <c r="AC1" s="5" t="s">
        <v>127</v>
      </c>
      <c r="AD1" s="5" t="s">
        <v>129</v>
      </c>
      <c r="AE1" s="5" t="s">
        <v>131</v>
      </c>
      <c r="AF1" s="5" t="s">
        <v>133</v>
      </c>
      <c r="AG1" s="5" t="s">
        <v>135</v>
      </c>
      <c r="AH1" s="5" t="s">
        <v>77</v>
      </c>
      <c r="AI1" s="5" t="s">
        <v>40</v>
      </c>
      <c r="AJ1" s="5" t="s">
        <v>42</v>
      </c>
      <c r="AK1" s="5" t="s">
        <v>43</v>
      </c>
      <c r="AL1" s="5" t="s">
        <v>44</v>
      </c>
      <c r="AM1" s="5" t="s">
        <v>45</v>
      </c>
      <c r="AN1" s="5" t="s">
        <v>139</v>
      </c>
      <c r="AO1" s="5" t="s">
        <v>141</v>
      </c>
      <c r="AP1" s="5" t="s">
        <v>143</v>
      </c>
      <c r="AQ1" s="5" t="s">
        <v>145</v>
      </c>
      <c r="AR1" s="5" t="s">
        <v>147</v>
      </c>
      <c r="AS1" s="5" t="s">
        <v>149</v>
      </c>
      <c r="AT1" s="5" t="s">
        <v>46</v>
      </c>
      <c r="AU1" s="5" t="s">
        <v>48</v>
      </c>
      <c r="AV1" s="5" t="s">
        <v>152</v>
      </c>
      <c r="AW1" s="5" t="s">
        <v>154</v>
      </c>
      <c r="AX1" s="5" t="s">
        <v>156</v>
      </c>
      <c r="AY1" s="5" t="s">
        <v>49</v>
      </c>
      <c r="AZ1" s="5" t="s">
        <v>51</v>
      </c>
      <c r="BA1" s="5" t="s">
        <v>159</v>
      </c>
    </row>
    <row r="2" spans="1:53" x14ac:dyDescent="0.25">
      <c r="A2" t="s">
        <v>52</v>
      </c>
      <c r="B2">
        <f>(SUMIFS('LDV Data'!$D$3:$D$14,'LDV Data'!$E$3:$E$14,"ISIC 01T03"))*'Factors applied'!$E$19</f>
        <v>0</v>
      </c>
      <c r="C2">
        <f>(SUMIFS('LDV Data'!$D$3:$D$14,'LDV Data'!$E$3:$E$14,"ISIC 01T03"))*'Factors applied'!$E$20</f>
        <v>0</v>
      </c>
      <c r="D2">
        <f>(SUMIFS('LDV Data'!$D$3:$D$14,'LDV Data'!$E$3:$E$14,"ISIC 01T03"))*'Factors applied'!$E$21</f>
        <v>0</v>
      </c>
      <c r="E2">
        <f>(SUMIFS('LDV Data'!$D$3:$D$14,'LDV Data'!$E$3:$E$14,"ISIC 05"))</f>
        <v>0</v>
      </c>
      <c r="F2">
        <f>(SUMIFS('LDV Data'!$D$3:$D$14,'LDV Data'!$E$3:$E$14,"ISIC 06"))</f>
        <v>0</v>
      </c>
      <c r="G2">
        <f>(SUMIFS('LDV Data'!$D$3:$D$14,'LDV Data'!$E$3:$E$14,"ISIC 07T08"))*'Factors applied'!$E$22</f>
        <v>0</v>
      </c>
      <c r="H2">
        <f>(SUMIFS('LDV Data'!$D$3:$D$14,'LDV Data'!$E$3:$E$14,"ISIC 07T08"))*'Factors applied'!$E$23</f>
        <v>0</v>
      </c>
      <c r="I2">
        <f>(SUMIFS('LDV Data'!$D$3:$D$14,'LDV Data'!$E$3:$E$14,"ISIC 09"))</f>
        <v>0</v>
      </c>
      <c r="J2">
        <f>(SUMIFS('LDV Data'!$D$3:$D$14,'LDV Data'!$E$3:$E$14,"ISIC 10T12"))</f>
        <v>0</v>
      </c>
      <c r="K2">
        <f>(SUMIFS('LDV Data'!$D$3:$D$14,'LDV Data'!$E$3:$E$14,"ISIC 13T15"))</f>
        <v>0</v>
      </c>
      <c r="L2">
        <f>(SUMIFS('LDV Data'!$D$3:$D$14,'LDV Data'!$E$3:$E$14,"ISIC 16"))</f>
        <v>0</v>
      </c>
      <c r="M2">
        <f>(SUMIFS('LDV Data'!$D$3:$D$14,'LDV Data'!$E$3:$E$14,"ISIC 17T18"))</f>
        <v>0</v>
      </c>
      <c r="N2">
        <f>(SUMIFS('LDV Data'!$D$3:$D$14,'LDV Data'!$E$3:$E$14,"ISIC 19"))</f>
        <v>0</v>
      </c>
      <c r="O2">
        <f>(SUMIFS('LDV Data'!$D$3:$D$14,'LDV Data'!$E$3:$E$14,"ISIC 20"))</f>
        <v>0</v>
      </c>
      <c r="P2">
        <f>(SUMIFS('LDV Data'!$D$3:$D$14,'LDV Data'!$E$3:$E$14,"ISIC 21"))</f>
        <v>0</v>
      </c>
      <c r="Q2">
        <f>(SUMIFS('LDV Data'!$D$3:$D$14,'LDV Data'!$E$3:$E$14,"ISIC 22"))</f>
        <v>0</v>
      </c>
      <c r="R2">
        <f>(SUMIFS('LDV Data'!$D$3:$D$14,'LDV Data'!$E$3:$E$14,"ISIC 231"))</f>
        <v>0</v>
      </c>
      <c r="S2">
        <f>(SUMIFS('LDV Data'!$D$3:$D$14,'LDV Data'!$E$3:$E$14,"ISIC 239"))</f>
        <v>0</v>
      </c>
      <c r="T2">
        <f>(SUMIFS('LDV Data'!$D$3:$D$14,'LDV Data'!$E$3:$E$14,"ISIC 241"))</f>
        <v>0</v>
      </c>
      <c r="U2">
        <f>(SUMIFS('LDV Data'!$D$3:$D$14,'LDV Data'!$E$3:$E$14,"ISIC 242"))</f>
        <v>0</v>
      </c>
      <c r="V2">
        <f>(SUMIFS('LDV Data'!$D$3:$D$14,'LDV Data'!$E$3:$E$14,"ISIC 25"))</f>
        <v>0</v>
      </c>
      <c r="W2">
        <f>(SUMIFS('LDV Data'!$D$3:$D$14,'LDV Data'!$E$3:$E$14,"ISIC 26"))</f>
        <v>0</v>
      </c>
      <c r="X2">
        <f>(SUMIFS('LDV Data'!$D$3:$D$14,'LDV Data'!$E$3:$E$14,"ISIC 27"))</f>
        <v>0</v>
      </c>
      <c r="Y2">
        <f>(SUMIFS('LDV Data'!$D$3:$D$14,'LDV Data'!$E$3:$E$14,"ISIC 28"))</f>
        <v>0</v>
      </c>
      <c r="Z2">
        <f>(SUMIFS('LDV Data'!$D$3:$D$14,'LDV Data'!$E$3:$E$14,"ISIC 29"))</f>
        <v>0.6956521739130429</v>
      </c>
      <c r="AA2">
        <f>(SUMIFS('LDV Data'!$D$3:$D$14,'LDV Data'!$E$3:$E$14,"ISIC 30"))*'Factors applied'!$E$24</f>
        <v>0</v>
      </c>
      <c r="AB2">
        <f>(SUMIFS('LDV Data'!$D$3:$D$14,'LDV Data'!$E$3:$E$14,"ISIC 30"))*'Factors applied'!$E$25</f>
        <v>0</v>
      </c>
      <c r="AC2">
        <f>(SUMIFS('LDV Data'!$D$3:$D$14,'LDV Data'!$E$3:$E$14,"ISIC 31T33"))</f>
        <v>0</v>
      </c>
      <c r="AD2">
        <f>(SUMIFS('LDV Data'!$D$3:$D$14,'LDV Data'!$E$3:$E$14,"ISIC 351"))</f>
        <v>0</v>
      </c>
      <c r="AE2">
        <f>(SUMIFS('LDV Data'!$D$3:$D$14,'LDV Data'!$E$3:$E$14,"ISIC 352T353"))</f>
        <v>0</v>
      </c>
      <c r="AF2">
        <f>(SUMIFS('LDV Data'!$D$3:$D$14,'LDV Data'!$E$3:$E$14,"ISIC 36T39"))</f>
        <v>0</v>
      </c>
      <c r="AG2">
        <f>(SUMIFS('LDV Data'!$D$3:$D$14,'LDV Data'!$E$3:$E$14,"ISIC 41T43"))</f>
        <v>0</v>
      </c>
      <c r="AH2">
        <f>(SUMIFS('LDV Data'!$D$3:$D$14,'LDV Data'!$E$3:$E$14,"ISIC 45T47"))</f>
        <v>0.30434782608695626</v>
      </c>
      <c r="AI2">
        <f>(SUMIFS('LDV Data'!$D$3:$D$14,'LDV Data'!$E$3:$E$14,"ISIC 49T53"))*'Factors applied'!$E$26</f>
        <v>0</v>
      </c>
      <c r="AJ2">
        <f>(SUMIFS('LDV Data'!$D$3:$D$14,'LDV Data'!$E$3:$E$14,"ISIC 49T53"))*'Factors applied'!$E$27</f>
        <v>0</v>
      </c>
      <c r="AK2">
        <f>(SUMIFS('LDV Data'!$D$3:$D$14,'LDV Data'!$E$3:$E$14,"ISIC 49T53"))*'Factors applied'!$E$28</f>
        <v>0</v>
      </c>
      <c r="AL2">
        <f>(SUMIFS('LDV Data'!$D$3:$D$14,'LDV Data'!$E$3:$E$14,"ISIC 49T53"))*'Factors applied'!$E$29</f>
        <v>0</v>
      </c>
      <c r="AM2">
        <f>(SUMIFS('LDV Data'!$D$3:$D$14,'LDV Data'!$E$3:$E$14,"ISIC 49T53"))*'Factors applied'!$E$30</f>
        <v>0</v>
      </c>
      <c r="AN2">
        <f>(SUMIFS('LDV Data'!$D$3:$D$14,'LDV Data'!$E$3:$E$14,"ISIC 55T56"))</f>
        <v>0</v>
      </c>
      <c r="AO2">
        <f>(SUMIFS('LDV Data'!$D$3:$D$14,'LDV Data'!$E$3:$E$14,"ISIC 58T60"))</f>
        <v>0</v>
      </c>
      <c r="AP2">
        <f>(SUMIFS('LDV Data'!$D$3:$D$14,'LDV Data'!$E$3:$E$14,"ISIC 61"))</f>
        <v>0</v>
      </c>
      <c r="AQ2">
        <f>(SUMIFS('LDV Data'!$D$3:$D$14,'LDV Data'!$E$3:$E$14,"ISIC 62T63"))</f>
        <v>0</v>
      </c>
      <c r="AR2">
        <f>(SUMIFS('LDV Data'!$D$3:$D$14,'LDV Data'!$E$3:$E$14,"ISIC 64T66"))</f>
        <v>0</v>
      </c>
      <c r="AS2">
        <f>(SUMIFS('LDV Data'!$D$3:$D$14,'LDV Data'!$E$3:$E$14,"ISIC 68"))</f>
        <v>0</v>
      </c>
      <c r="AT2">
        <f>(SUMIFS('LDV Data'!$D$3:$D$14,'LDV Data'!$E$3:$E$14,"ISIC 69T82"))*'Factors applied'!$E$31</f>
        <v>0</v>
      </c>
      <c r="AU2">
        <f>(SUMIFS('LDV Data'!$D$3:$D$14,'LDV Data'!$E$3:$E$14,"ISIC 69T82"))*'Factors applied'!$E$32</f>
        <v>0</v>
      </c>
      <c r="AV2">
        <f>(SUMIFS('LDV Data'!$D$3:$D$14,'LDV Data'!$E$3:$E$14,"ISIC 84"))</f>
        <v>0</v>
      </c>
      <c r="AW2">
        <f>(SUMIFS('LDV Data'!$D$3:$D$14,'LDV Data'!$E$3:$E$14,"ISIC 85"))</f>
        <v>0</v>
      </c>
      <c r="AX2">
        <f>(SUMIFS('LDV Data'!$D$3:$D$14,'LDV Data'!$E$3:$E$14,"ISIC 86T88"))</f>
        <v>0</v>
      </c>
      <c r="AY2">
        <f>(SUMIFS('LDV Data'!$D$3:$D$14,'LDV Data'!$E$3:$E$14,"ISIC 90T96"))*'Factors applied'!$E$33</f>
        <v>0</v>
      </c>
      <c r="AZ2">
        <f>(SUMIFS('LDV Data'!$D$3:$D$14,'LDV Data'!$E$3:$E$14,"ISIC 90T96"))*'Factors applied'!$E$34</f>
        <v>0</v>
      </c>
      <c r="BA2">
        <f>(SUMIFS('LDV Data'!$D$3:$D$14,'LDV Data'!$E$3:$E$14,"ISIC 97T98"))</f>
        <v>0</v>
      </c>
    </row>
    <row r="3" spans="1:53" x14ac:dyDescent="0.25">
      <c r="A3" t="s">
        <v>27</v>
      </c>
      <c r="B3">
        <f>(SUMIFS('HDV Data'!$D$3:$D$14,'HDV Data'!$E$3:$E$14,"ISIC 01T03"))*'Factors applied'!$E$3</f>
        <v>0</v>
      </c>
      <c r="C3">
        <f>(SUMIFS('HDV Data'!$D$3:$D$14,'HDV Data'!$E$3:$E$14,"ISIC 01T03"))*'Factors applied'!$E$4</f>
        <v>0</v>
      </c>
      <c r="D3">
        <f>(SUMIFS('HDV Data'!$D$3:$D$14,'HDV Data'!$E$3:$E$14,"ISIC 01T03"))*'Factors applied'!$E$5</f>
        <v>0</v>
      </c>
      <c r="E3">
        <f>(SUMIFS('HDV Data'!$D$3:$D$14,'HDV Data'!$E$3:$E$14,"ISIC 05"))</f>
        <v>0</v>
      </c>
      <c r="F3">
        <f>(SUMIFS('HDV Data'!$D$3:$D$14,'HDV Data'!$E$3:$E$14,"ISIC 06"))</f>
        <v>0</v>
      </c>
      <c r="G3">
        <f>(SUMIFS('HDV Data'!$D$3:$D$14,'HDV Data'!$E$3:$E$14,"ISIC 07T08"))*'Factors applied'!$E$6</f>
        <v>0</v>
      </c>
      <c r="H3">
        <f>(SUMIFS('HDV Data'!$D$3:$D$14,'HDV Data'!$E$3:$E$14,"ISIC 07T08"))*'Factors applied'!$E$7</f>
        <v>0</v>
      </c>
      <c r="I3">
        <f>(SUMIFS('HDV Data'!$D$3:$D$14,'HDV Data'!$E$3:$E$14,"ISIC 09"))</f>
        <v>0</v>
      </c>
      <c r="J3">
        <f>(SUMIFS('HDV Data'!$D$3:$D$14,'HDV Data'!$E$3:$E$14,"ISIC 10T12"))</f>
        <v>0</v>
      </c>
      <c r="K3">
        <f>(SUMIFS('HDV Data'!$D$3:$D$14,'HDV Data'!$E$3:$E$14,"ISIC 13T15"))</f>
        <v>0</v>
      </c>
      <c r="L3">
        <f>(SUMIFS('HDV Data'!$D$3:$D$14,'HDV Data'!$E$3:$E$14,"ISIC 16"))</f>
        <v>0</v>
      </c>
      <c r="M3">
        <f>(SUMIFS('HDV Data'!$D$3:$D$14,'HDV Data'!$E$3:$E$14,"ISIC 17T18"))</f>
        <v>0</v>
      </c>
      <c r="N3">
        <f>(SUMIFS('HDV Data'!$D$3:$D$14,'HDV Data'!$E$3:$E$14,"ISIC 19"))</f>
        <v>0</v>
      </c>
      <c r="O3">
        <f>(SUMIFS('HDV Data'!$D$3:$D$14,'HDV Data'!$E$3:$E$14,"ISIC 20"))</f>
        <v>0</v>
      </c>
      <c r="P3">
        <f>(SUMIFS('HDV Data'!$D$3:$D$14,'HDV Data'!$E$3:$E$14,"ISIC 21"))</f>
        <v>0</v>
      </c>
      <c r="Q3">
        <f>(SUMIFS('HDV Data'!$D$3:$D$14,'HDV Data'!$E$3:$E$14,"ISIC 22"))</f>
        <v>0</v>
      </c>
      <c r="R3">
        <f>(SUMIFS('HDV Data'!$D$3:$D$14,'HDV Data'!$E$3:$E$14,"ISIC 231"))</f>
        <v>0</v>
      </c>
      <c r="S3">
        <f>(SUMIFS('HDV Data'!$D$3:$D$14,'HDV Data'!$E$3:$E$14,"ISIC 239"))</f>
        <v>0</v>
      </c>
      <c r="T3">
        <f>(SUMIFS('HDV Data'!$D$3:$D$14,'HDV Data'!$E$3:$E$14,"ISIC 241"))</f>
        <v>0</v>
      </c>
      <c r="U3">
        <f>(SUMIFS('HDV Data'!$D$3:$D$14,'HDV Data'!$E$3:$E$14,"ISIC 242"))</f>
        <v>0</v>
      </c>
      <c r="V3">
        <f>(SUMIFS('HDV Data'!$D$3:$D$14,'HDV Data'!$E$3:$E$14,"ISIC 25"))</f>
        <v>0</v>
      </c>
      <c r="W3">
        <f>(SUMIFS('HDV Data'!$D$3:$D$14,'HDV Data'!$E$3:$E$14,"ISIC 26"))</f>
        <v>0</v>
      </c>
      <c r="X3">
        <f>(SUMIFS('HDV Data'!$D$3:$D$14,'HDV Data'!$E$3:$E$14,"ISIC 27"))</f>
        <v>0</v>
      </c>
      <c r="Y3">
        <f>(SUMIFS('HDV Data'!$D$3:$D$14,'HDV Data'!$E$3:$E$14,"ISIC 28"))</f>
        <v>0</v>
      </c>
      <c r="Z3">
        <f>(SUMIFS('HDV Data'!$D$3:$D$14,'HDV Data'!$E$3:$E$14,"ISIC 29"))</f>
        <v>0.80555555555555491</v>
      </c>
      <c r="AA3">
        <f>(SUMIFS('HDV Data'!$D$3:$D$14,'HDV Data'!$E$3:$E$14,"ISIC 30"))*'Factors applied'!$E$8</f>
        <v>0</v>
      </c>
      <c r="AB3">
        <f>(SUMIFS('HDV Data'!$D$3:$D$14,'HDV Data'!$E$3:$E$14,"ISIC 30"))*'Factors applied'!$E$9</f>
        <v>0</v>
      </c>
      <c r="AC3">
        <f>(SUMIFS('HDV Data'!$D$3:$D$14,'HDV Data'!$E$3:$E$14,"ISIC 31T33"))</f>
        <v>0</v>
      </c>
      <c r="AD3">
        <f>(SUMIFS('HDV Data'!$D$3:$D$14,'HDV Data'!$E$3:$E$14,"ISIC 351"))</f>
        <v>0</v>
      </c>
      <c r="AE3">
        <f>(SUMIFS('HDV Data'!$D$3:$D$14,'HDV Data'!$E$3:$E$14,"ISIC 352T353"))</f>
        <v>0</v>
      </c>
      <c r="AF3">
        <f>(SUMIFS('HDV Data'!$D$3:$D$14,'HDV Data'!$E$3:$E$14,"ISIC 36T39"))</f>
        <v>0</v>
      </c>
      <c r="AG3">
        <f>(SUMIFS('HDV Data'!$D$3:$D$14,'HDV Data'!$E$3:$E$14,"ISIC 41T43"))</f>
        <v>0</v>
      </c>
      <c r="AH3">
        <f>(SUMIFS('HDV Data'!$D$3:$D$14,'HDV Data'!$E$3:$E$14,"ISIC 45T47"))</f>
        <v>0.19444444444444428</v>
      </c>
      <c r="AI3">
        <f>(SUMIFS('HDV Data'!$D$3:$D$14,'HDV Data'!$E$3:$E$14,"ISIC 49T53"))*'Factors applied'!$E$10</f>
        <v>0</v>
      </c>
      <c r="AJ3">
        <f>(SUMIFS('HDV Data'!$D$3:$D$14,'HDV Data'!$E$3:$E$14,"ISIC 49T53"))*'Factors applied'!$E$11</f>
        <v>0</v>
      </c>
      <c r="AK3">
        <f>(SUMIFS('HDV Data'!$D$3:$D$14,'HDV Data'!$E$3:$E$14,"ISIC 49T53"))*'Factors applied'!$E$12</f>
        <v>0</v>
      </c>
      <c r="AL3">
        <f>(SUMIFS('HDV Data'!$D$3:$D$14,'HDV Data'!$E$3:$E$14,"ISIC 49T53"))*'Factors applied'!$E$13</f>
        <v>0</v>
      </c>
      <c r="AM3">
        <f>(SUMIFS('HDV Data'!$D$3:$D$14,'HDV Data'!$E$3:$E$14,"ISIC 49T53"))*'Factors applied'!$E$14</f>
        <v>0</v>
      </c>
      <c r="AN3">
        <f>(SUMIFS('HDV Data'!$D$3:$D$14,'HDV Data'!$E$3:$E$14,"ISIC 55T56"))</f>
        <v>0</v>
      </c>
      <c r="AO3">
        <f>(SUMIFS('HDV Data'!$D$3:$D$14,'HDV Data'!$E$3:$E$14,"ISIC 58T60"))</f>
        <v>0</v>
      </c>
      <c r="AP3">
        <f>(SUMIFS('HDV Data'!$D$3:$D$14,'HDV Data'!$E$3:$E$14,"ISIC 61"))</f>
        <v>0</v>
      </c>
      <c r="AQ3">
        <f>(SUMIFS('HDV Data'!$D$3:$D$14,'HDV Data'!$E$3:$E$14,"ISIC 62T63"))</f>
        <v>0</v>
      </c>
      <c r="AR3">
        <f>(SUMIFS('HDV Data'!$D$3:$D$14,'HDV Data'!$E$3:$E$14,"ISIC 64T66"))</f>
        <v>0</v>
      </c>
      <c r="AS3">
        <f>(SUMIFS('HDV Data'!$D$3:$D$14,'HDV Data'!$E$3:$E$14,"ISIC 68"))</f>
        <v>0</v>
      </c>
      <c r="AT3">
        <f>(SUMIFS('HDV Data'!$D$3:$D$14,'HDV Data'!$E$3:$E$14,"ISIC 69T82"))*'Factors applied'!$E$15</f>
        <v>0</v>
      </c>
      <c r="AU3">
        <f>(SUMIFS('HDV Data'!$D$3:$D$14,'HDV Data'!$E$3:$E$14,"ISIC 69T82"))*'Factors applied'!$E$16</f>
        <v>0</v>
      </c>
      <c r="AV3">
        <f>(SUMIFS('HDV Data'!$D$3:$D$14,'HDV Data'!$E$3:$E$14,"ISIC 84"))</f>
        <v>0</v>
      </c>
      <c r="AW3">
        <f>(SUMIFS('HDV Data'!$D$3:$D$14,'HDV Data'!$E$3:$E$14,"ISIC 85"))</f>
        <v>0</v>
      </c>
      <c r="AX3">
        <f>(SUMIFS('HDV Data'!$D$3:$D$14,'HDV Data'!$E$3:$E$14,"ISIC 86T88"))</f>
        <v>0</v>
      </c>
      <c r="AY3">
        <f>(SUMIFS('HDV Data'!$D$3:$D$14,'HDV Data'!$E$3:$E$14,"ISIC 90T96"))*'Factors applied'!$E$17</f>
        <v>0</v>
      </c>
      <c r="AZ3">
        <f>(SUMIFS('HDV Data'!$D$3:$D$14,'HDV Data'!$E$3:$E$14,"ISIC 90T96"))*'Factors applied'!$E$18</f>
        <v>0</v>
      </c>
      <c r="BA3">
        <f>(SUMIFS('HDV Data'!$D$3:$D$14,'HDV Data'!$E$3:$E$14,"ISIC 97T98"))</f>
        <v>0</v>
      </c>
    </row>
    <row r="4" spans="1:53" x14ac:dyDescent="0.25">
      <c r="A4" t="s">
        <v>53</v>
      </c>
      <c r="B4">
        <f>((SUMIFS('HDV Data'!$D$3:$D$14,'HDV Data'!$E$3:$E$14,"ISIC 01T03")))*'Factors applied'!$E$35</f>
        <v>0</v>
      </c>
      <c r="C4">
        <f>((SUMIFS('HDV Data'!$D$3:$D$14,'HDV Data'!$E$3:$E$14,"ISIC 01T03")))*'Factors applied'!$E$36</f>
        <v>0</v>
      </c>
      <c r="D4">
        <f>((SUMIFS('HDV Data'!$D$3:$D$14,'HDV Data'!$E$3:$E$14,"ISIC 01T03")))*'Factors applied'!$E$37</f>
        <v>0</v>
      </c>
      <c r="E4">
        <f>((SUMIFS('HDV Data'!$D$3:$D$14,'HDV Data'!$E$3:$E$14,"ISIC 05")))</f>
        <v>0</v>
      </c>
      <c r="F4">
        <f>((SUMIFS('HDV Data'!$D$3:$D$14,'HDV Data'!$E$3:$E$14,"ISIC 06")))</f>
        <v>0</v>
      </c>
      <c r="G4">
        <f>((SUMIFS('HDV Data'!$D$3:$D$14,'HDV Data'!$E$3:$E$14,"ISIC 07T08")))*'Factors applied'!$E$38</f>
        <v>0</v>
      </c>
      <c r="H4">
        <f>((SUMIFS('HDV Data'!$D$3:$D$14,'HDV Data'!$E$3:$E$14,"ISIC 07T08")))*'Factors applied'!$E$39</f>
        <v>0</v>
      </c>
      <c r="I4">
        <f>((SUMIFS('HDV Data'!$D$3:$D$14,'HDV Data'!$E$3:$E$14,"ISIC 09")))</f>
        <v>0</v>
      </c>
      <c r="J4">
        <f>((SUMIFS('HDV Data'!$D$3:$D$14,'HDV Data'!$E$3:$E$14,"ISIC 10T12")))</f>
        <v>0</v>
      </c>
      <c r="K4">
        <f>((SUMIFS('HDV Data'!$D$3:$D$14,'HDV Data'!$E$3:$E$14,"ISIC 13T15")))</f>
        <v>0</v>
      </c>
      <c r="L4">
        <f>((SUMIFS('HDV Data'!$D$3:$D$14,'HDV Data'!$E$3:$E$14,"ISIC 16")))</f>
        <v>0</v>
      </c>
      <c r="M4">
        <f>((SUMIFS('HDV Data'!$D$3:$D$14,'HDV Data'!$E$3:$E$14,"ISIC 17T18")))</f>
        <v>0</v>
      </c>
      <c r="N4">
        <f>((SUMIFS('HDV Data'!$D$3:$D$14,'HDV Data'!$E$3:$E$14,"ISIC 19")))</f>
        <v>0</v>
      </c>
      <c r="O4">
        <f>((SUMIFS('HDV Data'!$D$3:$D$14,'HDV Data'!$E$3:$E$14,"ISIC 20")))</f>
        <v>0</v>
      </c>
      <c r="P4">
        <f>((SUMIFS('HDV Data'!$D$3:$D$14,'HDV Data'!$E$3:$E$14,"ISIC 21")))</f>
        <v>0</v>
      </c>
      <c r="Q4">
        <f>((SUMIFS('HDV Data'!$D$3:$D$14,'HDV Data'!$E$3:$E$14,"ISIC 22")))</f>
        <v>0</v>
      </c>
      <c r="R4">
        <f>((SUMIFS('HDV Data'!$D$3:$D$14,'HDV Data'!$E$3:$E$14,"ISIC 231")))</f>
        <v>0</v>
      </c>
      <c r="S4">
        <f>((SUMIFS('HDV Data'!$D$3:$D$14,'HDV Data'!$E$3:$E$14,"ISIC 239")))</f>
        <v>0</v>
      </c>
      <c r="T4">
        <f>((SUMIFS('HDV Data'!$D$3:$D$14,'HDV Data'!$E$3:$E$14,"ISIC 241")))</f>
        <v>0</v>
      </c>
      <c r="U4">
        <f>((SUMIFS('HDV Data'!$D$3:$D$14,'HDV Data'!$E$3:$E$14,"ISIC 242")))</f>
        <v>0</v>
      </c>
      <c r="V4">
        <f>((SUMIFS('HDV Data'!$D$3:$D$14,'HDV Data'!$E$3:$E$14,"ISIC 25")))</f>
        <v>0</v>
      </c>
      <c r="W4">
        <f>((SUMIFS('HDV Data'!$D$3:$D$14,'HDV Data'!$E$3:$E$14,"ISIC 26")))</f>
        <v>0</v>
      </c>
      <c r="X4">
        <f>((SUMIFS('HDV Data'!$D$3:$D$14,'HDV Data'!$E$3:$E$14,"ISIC 27")))</f>
        <v>0</v>
      </c>
      <c r="Y4">
        <f>((SUMIFS('HDV Data'!$D$3:$D$14,'HDV Data'!$E$3:$E$14,"ISIC 28")))</f>
        <v>0</v>
      </c>
      <c r="Z4">
        <v>0</v>
      </c>
      <c r="AA4">
        <f>((SUMIFS('HDV Data'!$D$3:$D$14,'HDV Data'!$E$3:$E$14,"ISIC 29")))*'Factors applied'!$E$40</f>
        <v>0</v>
      </c>
      <c r="AB4">
        <f>((SUMIFS('HDV Data'!$D$3:$D$14,'HDV Data'!$E$3:$E$14,"ISIC 29")))*'Factors applied'!$E$41</f>
        <v>0.80555555555555491</v>
      </c>
      <c r="AC4">
        <f>((SUMIFS('HDV Data'!$D$3:$D$14,'HDV Data'!$E$3:$E$14,"ISIC 31T33")))</f>
        <v>0</v>
      </c>
      <c r="AD4">
        <f>((SUMIFS('HDV Data'!$D$3:$D$14,'HDV Data'!$E$3:$E$14,"ISIC 351")))</f>
        <v>0</v>
      </c>
      <c r="AE4">
        <f>((SUMIFS('HDV Data'!$D$3:$D$14,'HDV Data'!$E$3:$E$14,"ISIC 352T353")))</f>
        <v>0</v>
      </c>
      <c r="AF4">
        <f>((SUMIFS('HDV Data'!$D$3:$D$14,'HDV Data'!$E$3:$E$14,"ISIC 36T39")))</f>
        <v>0</v>
      </c>
      <c r="AG4">
        <f>((SUMIFS('HDV Data'!$D$3:$D$14,'HDV Data'!$E$3:$E$14,"ISIC 41T43")))</f>
        <v>0</v>
      </c>
      <c r="AH4">
        <f>((SUMIFS('HDV Data'!$D$3:$D$14,'HDV Data'!$E$3:$E$14,"ISIC 45T47")))</f>
        <v>0.19444444444444428</v>
      </c>
      <c r="AI4">
        <f>((SUMIFS('HDV Data'!$D$3:$D$14,'HDV Data'!$E$3:$E$14,"ISIC 49T53")))*'Factors applied'!$E$42</f>
        <v>0</v>
      </c>
      <c r="AJ4">
        <f>((SUMIFS('HDV Data'!$D$3:$D$14,'HDV Data'!$E$3:$E$14,"ISIC 49T53")))*'Factors applied'!$E$43</f>
        <v>0</v>
      </c>
      <c r="AK4">
        <f>((SUMIFS('HDV Data'!$D$3:$D$14,'HDV Data'!$E$3:$E$14,"ISIC 49T53")))*'Factors applied'!$E$44</f>
        <v>0</v>
      </c>
      <c r="AL4">
        <f>((SUMIFS('HDV Data'!$D$3:$D$14,'HDV Data'!$E$3:$E$14,"ISIC 49T53")))*'Factors applied'!$E$45</f>
        <v>0</v>
      </c>
      <c r="AM4">
        <f>((SUMIFS('HDV Data'!$D$3:$D$14,'HDV Data'!$E$3:$E$14,"ISIC 49T53")))*'Factors applied'!$E$46</f>
        <v>0</v>
      </c>
      <c r="AN4">
        <f>((SUMIFS('HDV Data'!$D$3:$D$14,'HDV Data'!$E$3:$E$14,"ISIC 55T56")))</f>
        <v>0</v>
      </c>
      <c r="AO4">
        <f>((SUMIFS('HDV Data'!$D$3:$D$14,'HDV Data'!$E$3:$E$14,"ISIC 58T60")))</f>
        <v>0</v>
      </c>
      <c r="AP4">
        <f>((SUMIFS('HDV Data'!$D$3:$D$14,'HDV Data'!$E$3:$E$14,"ISIC 61")))</f>
        <v>0</v>
      </c>
      <c r="AQ4">
        <f>((SUMIFS('HDV Data'!$D$3:$D$14,'HDV Data'!$E$3:$E$14,"ISIC 62T63")))</f>
        <v>0</v>
      </c>
      <c r="AR4">
        <f>((SUMIFS('HDV Data'!$D$3:$D$14,'HDV Data'!$E$3:$E$14,"ISIC 64T66")))</f>
        <v>0</v>
      </c>
      <c r="AS4">
        <f>((SUMIFS('HDV Data'!$D$3:$D$14,'HDV Data'!$E$3:$E$14,"ISIC 68")))</f>
        <v>0</v>
      </c>
      <c r="AT4">
        <f>((SUMIFS('HDV Data'!$D$3:$D$14,'HDV Data'!$E$3:$E$14,"ISIC 69T82")))*'Factors applied'!$E$47</f>
        <v>0</v>
      </c>
      <c r="AU4">
        <f>((SUMIFS('HDV Data'!$D$3:$D$14,'HDV Data'!$E$3:$E$14,"ISIC 69T82")))*'Factors applied'!$E$48</f>
        <v>0</v>
      </c>
      <c r="AV4">
        <f>((SUMIFS('HDV Data'!$D$3:$D$14,'HDV Data'!$E$3:$E$14,"ISIC 84")))</f>
        <v>0</v>
      </c>
      <c r="AW4">
        <f>((SUMIFS('HDV Data'!$D$3:$D$14,'HDV Data'!$E$3:$E$14,"ISIC 85")))</f>
        <v>0</v>
      </c>
      <c r="AX4">
        <f>((SUMIFS('HDV Data'!$D$3:$D$14,'HDV Data'!$E$3:$E$14,"ISIC 86T88")))</f>
        <v>0</v>
      </c>
      <c r="AY4">
        <f>((SUMIFS('HDV Data'!$D$3:$D$14,'HDV Data'!$E$3:$E$14,"ISIC 90T96")))*'Factors applied'!$E$49</f>
        <v>0</v>
      </c>
      <c r="AZ4">
        <f>((SUMIFS('HDV Data'!$D$3:$D$14,'HDV Data'!$E$3:$E$14,"ISIC 90T96")))*'Factors applied'!$E$50</f>
        <v>0</v>
      </c>
      <c r="BA4">
        <f>((SUMIFS('HDV Data'!$D$3:$D$14,'HDV Data'!$E$3:$E$14,"ISIC 97T98")))</f>
        <v>0</v>
      </c>
    </row>
    <row r="5" spans="1:53" x14ac:dyDescent="0.25">
      <c r="A5" t="s">
        <v>55</v>
      </c>
      <c r="B5">
        <f>(((SUMIFS('HDV Data'!$D$3:$D$14,'HDV Data'!$E$3:$E$14,"ISIC 01T03"))))*'Factors applied'!$E$67</f>
        <v>0</v>
      </c>
      <c r="C5">
        <f>(((SUMIFS('HDV Data'!$D$3:$D$14,'HDV Data'!$E$3:$E$14,"ISIC 01T03"))))*'Factors applied'!$E$68</f>
        <v>0</v>
      </c>
      <c r="D5">
        <f>(((SUMIFS('HDV Data'!$D$3:$D$14,'HDV Data'!$E$3:$E$14,"ISIC 01T03"))))*'Factors applied'!$E$69</f>
        <v>0</v>
      </c>
      <c r="E5">
        <f>(((SUMIFS('HDV Data'!$D$3:$D$14,'HDV Data'!$E$3:$E$14,"ISIC 05"))))</f>
        <v>0</v>
      </c>
      <c r="F5">
        <f>(((SUMIFS('HDV Data'!$D$3:$D$14,'HDV Data'!$E$3:$E$14,"ISIC 06"))))</f>
        <v>0</v>
      </c>
      <c r="G5">
        <f>(((SUMIFS('HDV Data'!$D$3:$D$14,'HDV Data'!$E$3:$E$14,"ISIC 07T08"))))*'Factors applied'!$E$70</f>
        <v>0</v>
      </c>
      <c r="H5">
        <f>(((SUMIFS('HDV Data'!$D$3:$D$14,'HDV Data'!$E$3:$E$14,"ISIC 07T08"))))*'Factors applied'!$E$71</f>
        <v>0</v>
      </c>
      <c r="I5">
        <f>(((SUMIFS('HDV Data'!$D$3:$D$14,'HDV Data'!$E$3:$E$14,"ISIC 09"))))</f>
        <v>0</v>
      </c>
      <c r="J5">
        <f>(((SUMIFS('HDV Data'!$D$3:$D$14,'HDV Data'!$E$3:$E$14,"ISIC 10T12"))))</f>
        <v>0</v>
      </c>
      <c r="K5">
        <f>(((SUMIFS('HDV Data'!$D$3:$D$14,'HDV Data'!$E$3:$E$14,"ISIC 13T15"))))</f>
        <v>0</v>
      </c>
      <c r="L5">
        <f>(((SUMIFS('HDV Data'!$D$3:$D$14,'HDV Data'!$E$3:$E$14,"ISIC 16"))))</f>
        <v>0</v>
      </c>
      <c r="M5">
        <f>(((SUMIFS('HDV Data'!$D$3:$D$14,'HDV Data'!$E$3:$E$14,"ISIC 17T18"))))</f>
        <v>0</v>
      </c>
      <c r="N5">
        <f>(((SUMIFS('HDV Data'!$D$3:$D$14,'HDV Data'!$E$3:$E$14,"ISIC 19"))))</f>
        <v>0</v>
      </c>
      <c r="O5">
        <f>(((SUMIFS('HDV Data'!$D$3:$D$14,'HDV Data'!$E$3:$E$14,"ISIC 20"))))</f>
        <v>0</v>
      </c>
      <c r="P5">
        <f>(((SUMIFS('HDV Data'!$D$3:$D$14,'HDV Data'!$E$3:$E$14,"ISIC 21"))))</f>
        <v>0</v>
      </c>
      <c r="Q5">
        <f>(((SUMIFS('HDV Data'!$D$3:$D$14,'HDV Data'!$E$3:$E$14,"ISIC 22"))))</f>
        <v>0</v>
      </c>
      <c r="R5">
        <f>(((SUMIFS('HDV Data'!$D$3:$D$14,'HDV Data'!$E$3:$E$14,"ISIC 231"))))</f>
        <v>0</v>
      </c>
      <c r="S5">
        <f>(((SUMIFS('HDV Data'!$D$3:$D$14,'HDV Data'!$E$3:$E$14,"ISIC 239"))))</f>
        <v>0</v>
      </c>
      <c r="T5">
        <f>(((SUMIFS('HDV Data'!$D$3:$D$14,'HDV Data'!$E$3:$E$14,"ISIC 241"))))</f>
        <v>0</v>
      </c>
      <c r="U5">
        <f>(((SUMIFS('HDV Data'!$D$3:$D$14,'HDV Data'!$E$3:$E$14,"ISIC 242"))))</f>
        <v>0</v>
      </c>
      <c r="V5">
        <f>(((SUMIFS('HDV Data'!$D$3:$D$14,'HDV Data'!$E$3:$E$14,"ISIC 25"))))</f>
        <v>0</v>
      </c>
      <c r="W5">
        <f>(((SUMIFS('HDV Data'!$D$3:$D$14,'HDV Data'!$E$3:$E$14,"ISIC 26"))))</f>
        <v>0</v>
      </c>
      <c r="X5">
        <f>(((SUMIFS('HDV Data'!$D$3:$D$14,'HDV Data'!$E$3:$E$14,"ISIC 27"))))</f>
        <v>0</v>
      </c>
      <c r="Y5">
        <f>(((SUMIFS('HDV Data'!$D$3:$D$14,'HDV Data'!$E$3:$E$14,"ISIC 28"))))</f>
        <v>0</v>
      </c>
      <c r="Z5">
        <v>0</v>
      </c>
      <c r="AA5">
        <f>(((SUMIFS('HDV Data'!$D$3:$D$14,'HDV Data'!$E$3:$E$14,"ISIC 29"))))*'Factors applied'!$E$72</f>
        <v>0</v>
      </c>
      <c r="AB5">
        <f>(((SUMIFS('HDV Data'!$D$3:$D$14,'HDV Data'!$E$3:$E$14,"ISIC 29"))))*'Factors applied'!$E$73</f>
        <v>0.80555555555555491</v>
      </c>
      <c r="AC5">
        <f>(((SUMIFS('HDV Data'!$D$3:$D$14,'HDV Data'!$E$3:$E$14,"ISIC 31T33"))))</f>
        <v>0</v>
      </c>
      <c r="AD5">
        <f>(((SUMIFS('HDV Data'!$D$3:$D$14,'HDV Data'!$E$3:$E$14,"ISIC 351"))))</f>
        <v>0</v>
      </c>
      <c r="AE5">
        <f>(((SUMIFS('HDV Data'!$D$3:$D$14,'HDV Data'!$E$3:$E$14,"ISIC 352T353"))))</f>
        <v>0</v>
      </c>
      <c r="AF5">
        <f>(((SUMIFS('HDV Data'!$D$3:$D$14,'HDV Data'!$E$3:$E$14,"ISIC 36T39"))))</f>
        <v>0</v>
      </c>
      <c r="AG5">
        <f>(((SUMIFS('HDV Data'!$D$3:$D$14,'HDV Data'!$E$3:$E$14,"ISIC 41T43"))))</f>
        <v>0</v>
      </c>
      <c r="AH5">
        <f>(((SUMIFS('HDV Data'!$D$3:$D$14,'HDV Data'!$E$3:$E$14,"ISIC 45T47"))))</f>
        <v>0.19444444444444428</v>
      </c>
      <c r="AI5">
        <f>(((SUMIFS('HDV Data'!$D$3:$D$14,'HDV Data'!$E$3:$E$14,"ISIC 49T53"))))*'Factors applied'!$E$74</f>
        <v>0</v>
      </c>
      <c r="AJ5">
        <f>(((SUMIFS('HDV Data'!$D$3:$D$14,'HDV Data'!$E$3:$E$14,"ISIC 49T53"))))*'Factors applied'!$E$75</f>
        <v>0</v>
      </c>
      <c r="AK5">
        <f>(((SUMIFS('HDV Data'!$D$3:$D$14,'HDV Data'!$E$3:$E$14,"ISIC 49T53"))))*'Factors applied'!$E$76</f>
        <v>0</v>
      </c>
      <c r="AL5">
        <f>(((SUMIFS('HDV Data'!$D$3:$D$14,'HDV Data'!$E$3:$E$14,"ISIC 49T53"))))*'Factors applied'!$E$77</f>
        <v>0</v>
      </c>
      <c r="AM5">
        <f>(((SUMIFS('HDV Data'!$D$3:$D$14,'HDV Data'!$E$3:$E$14,"ISIC 49T53"))))*'Factors applied'!$E$78</f>
        <v>0</v>
      </c>
      <c r="AN5">
        <f>(((SUMIFS('HDV Data'!$D$3:$D$14,'HDV Data'!$E$3:$E$14,"ISIC 55T56"))))</f>
        <v>0</v>
      </c>
      <c r="AO5">
        <f>(((SUMIFS('HDV Data'!$D$3:$D$14,'HDV Data'!$E$3:$E$14,"ISIC 58T60"))))</f>
        <v>0</v>
      </c>
      <c r="AP5">
        <f>(((SUMIFS('HDV Data'!$D$3:$D$14,'HDV Data'!$E$3:$E$14,"ISIC 61"))))</f>
        <v>0</v>
      </c>
      <c r="AQ5">
        <f>(((SUMIFS('HDV Data'!$D$3:$D$14,'HDV Data'!$E$3:$E$14,"ISIC 62T63"))))</f>
        <v>0</v>
      </c>
      <c r="AR5">
        <f>(((SUMIFS('HDV Data'!$D$3:$D$14,'HDV Data'!$E$3:$E$14,"ISIC 64T66"))))</f>
        <v>0</v>
      </c>
      <c r="AS5">
        <f>(((SUMIFS('HDV Data'!$D$3:$D$14,'HDV Data'!$E$3:$E$14,"ISIC 68"))))</f>
        <v>0</v>
      </c>
      <c r="AT5">
        <f>(((SUMIFS('HDV Data'!$D$3:$D$14,'HDV Data'!$E$3:$E$14,"ISIC 69T82"))))*'Factors applied'!$E$79</f>
        <v>0</v>
      </c>
      <c r="AU5">
        <f>(((SUMIFS('HDV Data'!$D$3:$D$14,'HDV Data'!$E$3:$E$14,"ISIC 69T82"))))*'Factors applied'!$E$80</f>
        <v>0</v>
      </c>
      <c r="AV5">
        <f>(((SUMIFS('HDV Data'!$D$3:$D$14,'HDV Data'!$E$3:$E$14,"ISIC 84"))))</f>
        <v>0</v>
      </c>
      <c r="AW5">
        <f>(((SUMIFS('HDV Data'!$D$3:$D$14,'HDV Data'!$E$3:$E$14,"ISIC 85"))))</f>
        <v>0</v>
      </c>
      <c r="AX5">
        <f>(((SUMIFS('HDV Data'!$D$3:$D$14,'HDV Data'!$E$3:$E$14,"ISIC 86T88"))))</f>
        <v>0</v>
      </c>
      <c r="AY5">
        <f>(((SUMIFS('HDV Data'!$D$3:$D$14,'HDV Data'!$E$3:$E$14,"ISIC 90T96"))))*'Factors applied'!$E$81</f>
        <v>0</v>
      </c>
      <c r="AZ5">
        <f>(((SUMIFS('HDV Data'!$D$3:$D$14,'HDV Data'!$E$3:$E$14,"ISIC 90T96"))))*'Factors applied'!$E$82</f>
        <v>0</v>
      </c>
      <c r="BA5">
        <f>(((SUMIFS('HDV Data'!$D$3:$D$14,'HDV Data'!$E$3:$E$14,"ISIC 97T98"))))</f>
        <v>0</v>
      </c>
    </row>
    <row r="6" spans="1:53" x14ac:dyDescent="0.25">
      <c r="A6" t="s">
        <v>56</v>
      </c>
      <c r="B6">
        <f>((((SUMIFS('HDV Data'!$D$3:$D$14,'HDV Data'!$E$3:$E$14,"ISIC 01T03")))))*'Factors applied'!$E$83</f>
        <v>0</v>
      </c>
      <c r="C6">
        <f>((((SUMIFS('HDV Data'!$D$3:$D$14,'HDV Data'!$E$3:$E$14,"ISIC 01T03")))))*'Factors applied'!$E$84</f>
        <v>0</v>
      </c>
      <c r="D6">
        <f>((((SUMIFS('HDV Data'!$D$3:$D$14,'HDV Data'!$E$3:$E$14,"ISIC 01T03")))))*'Factors applied'!$E$85</f>
        <v>0</v>
      </c>
      <c r="E6">
        <f>((((SUMIFS('HDV Data'!$D$3:$D$14,'HDV Data'!$E$3:$E$14,"ISIC 05")))))</f>
        <v>0</v>
      </c>
      <c r="F6">
        <f>((((SUMIFS('HDV Data'!$D$3:$D$14,'HDV Data'!$E$3:$E$14,"ISIC 06")))))</f>
        <v>0</v>
      </c>
      <c r="G6">
        <f>((((SUMIFS('HDV Data'!$D$3:$D$14,'HDV Data'!$E$3:$E$14,"ISIC 07T08")))))*'Factors applied'!$E$86</f>
        <v>0</v>
      </c>
      <c r="H6">
        <f>((((SUMIFS('HDV Data'!$D$3:$D$14,'HDV Data'!$E$3:$E$14,"ISIC 07T08")))))*'Factors applied'!$E$87</f>
        <v>0</v>
      </c>
      <c r="I6">
        <f>((((SUMIFS('HDV Data'!$D$3:$D$14,'HDV Data'!$E$3:$E$14,"ISIC 09")))))</f>
        <v>0</v>
      </c>
      <c r="J6">
        <f>((((SUMIFS('HDV Data'!$D$3:$D$14,'HDV Data'!$E$3:$E$14,"ISIC 10T12")))))</f>
        <v>0</v>
      </c>
      <c r="K6">
        <f>((((SUMIFS('HDV Data'!$D$3:$D$14,'HDV Data'!$E$3:$E$14,"ISIC 13T15")))))</f>
        <v>0</v>
      </c>
      <c r="L6">
        <f>((((SUMIFS('HDV Data'!$D$3:$D$14,'HDV Data'!$E$3:$E$14,"ISIC 16")))))</f>
        <v>0</v>
      </c>
      <c r="M6">
        <f>((((SUMIFS('HDV Data'!$D$3:$D$14,'HDV Data'!$E$3:$E$14,"ISIC 17T18")))))</f>
        <v>0</v>
      </c>
      <c r="N6">
        <f>((((SUMIFS('HDV Data'!$D$3:$D$14,'HDV Data'!$E$3:$E$14,"ISIC 19")))))</f>
        <v>0</v>
      </c>
      <c r="O6">
        <f>((((SUMIFS('HDV Data'!$D$3:$D$14,'HDV Data'!$E$3:$E$14,"ISIC 20")))))</f>
        <v>0</v>
      </c>
      <c r="P6">
        <f>((((SUMIFS('HDV Data'!$D$3:$D$14,'HDV Data'!$E$3:$E$14,"ISIC 21")))))</f>
        <v>0</v>
      </c>
      <c r="Q6">
        <f>((((SUMIFS('HDV Data'!$D$3:$D$14,'HDV Data'!$E$3:$E$14,"ISIC 22")))))</f>
        <v>0</v>
      </c>
      <c r="R6">
        <f>((((SUMIFS('HDV Data'!$D$3:$D$14,'HDV Data'!$E$3:$E$14,"ISIC 231")))))</f>
        <v>0</v>
      </c>
      <c r="S6">
        <f>((((SUMIFS('HDV Data'!$D$3:$D$14,'HDV Data'!$E$3:$E$14,"ISIC 239")))))</f>
        <v>0</v>
      </c>
      <c r="T6">
        <f>((((SUMIFS('HDV Data'!$D$3:$D$14,'HDV Data'!$E$3:$E$14,"ISIC 241")))))</f>
        <v>0</v>
      </c>
      <c r="U6">
        <f>((((SUMIFS('HDV Data'!$D$3:$D$14,'HDV Data'!$E$3:$E$14,"ISIC 242")))))</f>
        <v>0</v>
      </c>
      <c r="V6">
        <f>((((SUMIFS('HDV Data'!$D$3:$D$14,'HDV Data'!$E$3:$E$14,"ISIC 25")))))</f>
        <v>0</v>
      </c>
      <c r="W6">
        <f>((((SUMIFS('HDV Data'!$D$3:$D$14,'HDV Data'!$E$3:$E$14,"ISIC 26")))))</f>
        <v>0</v>
      </c>
      <c r="X6">
        <f>((((SUMIFS('HDV Data'!$D$3:$D$14,'HDV Data'!$E$3:$E$14,"ISIC 27")))))</f>
        <v>0</v>
      </c>
      <c r="Y6">
        <f>((((SUMIFS('HDV Data'!$D$3:$D$14,'HDV Data'!$E$3:$E$14,"ISIC 28")))))</f>
        <v>0</v>
      </c>
      <c r="Z6">
        <v>0</v>
      </c>
      <c r="AA6">
        <f>((((SUMIFS('HDV Data'!$D$3:$D$14,'HDV Data'!$E$3:$E$14,"ISIC 29")))))*'Factors applied'!$E$88</f>
        <v>0.80555555555555491</v>
      </c>
      <c r="AB6">
        <f>((((SUMIFS('HDV Data'!$D$3:$D$14,'HDV Data'!$E$3:$E$14,"ISIC 29")))))*'Factors applied'!$E$89</f>
        <v>0</v>
      </c>
      <c r="AC6">
        <f>((((SUMIFS('HDV Data'!$D$3:$D$14,'HDV Data'!$E$3:$E$14,"ISIC 31T33")))))</f>
        <v>0</v>
      </c>
      <c r="AD6">
        <f>((((SUMIFS('HDV Data'!$D$3:$D$14,'HDV Data'!$E$3:$E$14,"ISIC 351")))))</f>
        <v>0</v>
      </c>
      <c r="AE6">
        <f>((((SUMIFS('HDV Data'!$D$3:$D$14,'HDV Data'!$E$3:$E$14,"ISIC 352T353")))))</f>
        <v>0</v>
      </c>
      <c r="AF6">
        <f>((((SUMIFS('HDV Data'!$D$3:$D$14,'HDV Data'!$E$3:$E$14,"ISIC 36T39")))))</f>
        <v>0</v>
      </c>
      <c r="AG6">
        <f>((((SUMIFS('HDV Data'!$D$3:$D$14,'HDV Data'!$E$3:$E$14,"ISIC 41T43")))))</f>
        <v>0</v>
      </c>
      <c r="AH6">
        <f>((((SUMIFS('HDV Data'!$D$3:$D$14,'HDV Data'!$E$3:$E$14,"ISIC 45T47")))))</f>
        <v>0.19444444444444428</v>
      </c>
      <c r="AI6">
        <f>((((SUMIFS('HDV Data'!$D$3:$D$14,'HDV Data'!$E$3:$E$14,"ISIC 49T53")))))*'Factors applied'!$E$90</f>
        <v>0</v>
      </c>
      <c r="AJ6">
        <f>((((SUMIFS('HDV Data'!$D$3:$D$14,'HDV Data'!$E$3:$E$14,"ISIC 49T53")))))*'Factors applied'!$E$91</f>
        <v>0</v>
      </c>
      <c r="AK6">
        <f>((((SUMIFS('HDV Data'!$D$3:$D$14,'HDV Data'!$E$3:$E$14,"ISIC 49T53")))))*'Factors applied'!$E$92</f>
        <v>0</v>
      </c>
      <c r="AL6">
        <f>((((SUMIFS('HDV Data'!$D$3:$D$14,'HDV Data'!$E$3:$E$14,"ISIC 49T53")))))*'Factors applied'!$E$93</f>
        <v>0</v>
      </c>
      <c r="AM6">
        <f>((((SUMIFS('HDV Data'!$D$3:$D$14,'HDV Data'!$E$3:$E$14,"ISIC 49T53")))))*'Factors applied'!$E$94</f>
        <v>0</v>
      </c>
      <c r="AN6">
        <f>((((SUMIFS('HDV Data'!$D$3:$D$14,'HDV Data'!$E$3:$E$14,"ISIC 55T56")))))</f>
        <v>0</v>
      </c>
      <c r="AO6">
        <f>((((SUMIFS('HDV Data'!$D$3:$D$14,'HDV Data'!$E$3:$E$14,"ISIC 58T60")))))</f>
        <v>0</v>
      </c>
      <c r="AP6">
        <f>((((SUMIFS('HDV Data'!$D$3:$D$14,'HDV Data'!$E$3:$E$14,"ISIC 61")))))</f>
        <v>0</v>
      </c>
      <c r="AQ6">
        <f>((((SUMIFS('HDV Data'!$D$3:$D$14,'HDV Data'!$E$3:$E$14,"ISIC 62T63")))))</f>
        <v>0</v>
      </c>
      <c r="AR6">
        <f>((((SUMIFS('HDV Data'!$D$3:$D$14,'HDV Data'!$E$3:$E$14,"ISIC 64T66")))))</f>
        <v>0</v>
      </c>
      <c r="AS6">
        <f>((((SUMIFS('HDV Data'!$D$3:$D$14,'HDV Data'!$E$3:$E$14,"ISIC 68")))))</f>
        <v>0</v>
      </c>
      <c r="AT6">
        <f>((((SUMIFS('HDV Data'!$D$3:$D$14,'HDV Data'!$E$3:$E$14,"ISIC 69T82")))))*'Factors applied'!$E$95</f>
        <v>0</v>
      </c>
      <c r="AU6">
        <f>((((SUMIFS('HDV Data'!$D$3:$D$14,'HDV Data'!$E$3:$E$14,"ISIC 69T82")))))*'Factors applied'!$E$96</f>
        <v>0</v>
      </c>
      <c r="AV6">
        <f>((((SUMIFS('HDV Data'!$D$3:$D$14,'HDV Data'!$E$3:$E$14,"ISIC 84")))))</f>
        <v>0</v>
      </c>
      <c r="AW6">
        <f>((((SUMIFS('HDV Data'!$D$3:$D$14,'HDV Data'!$E$3:$E$14,"ISIC 85")))))</f>
        <v>0</v>
      </c>
      <c r="AX6">
        <f>((((SUMIFS('HDV Data'!$D$3:$D$14,'HDV Data'!$E$3:$E$14,"ISIC 86T88")))))</f>
        <v>0</v>
      </c>
      <c r="AY6">
        <f>((((SUMIFS('HDV Data'!$D$3:$D$14,'HDV Data'!$E$3:$E$14,"ISIC 90T96")))))*'Factors applied'!$E$97</f>
        <v>0</v>
      </c>
      <c r="AZ6">
        <f>((((SUMIFS('HDV Data'!$D$3:$D$14,'HDV Data'!$E$3:$E$14,"ISIC 90T96")))))*'Factors applied'!$E$98</f>
        <v>0</v>
      </c>
      <c r="BA6">
        <f>((((SUMIFS('HDV Data'!$D$3:$D$14,'HDV Data'!$E$3:$E$14,"ISIC 97T98")))))</f>
        <v>0</v>
      </c>
    </row>
    <row r="7" spans="1:53" x14ac:dyDescent="0.25">
      <c r="A7" t="s">
        <v>54</v>
      </c>
      <c r="B7">
        <f>(((((SUMIFS('HDV Data'!$D$3:$D$14,'HDV Data'!$E$3:$E$14,"ISIC 01T03"))))))*'Factors applied'!$E$51</f>
        <v>0</v>
      </c>
      <c r="C7">
        <f>(((((SUMIFS('HDV Data'!$D$3:$D$14,'HDV Data'!$E$3:$E$14,"ISIC 01T03"))))))*'Factors applied'!$E$52</f>
        <v>0</v>
      </c>
      <c r="D7">
        <f>(((((SUMIFS('HDV Data'!$D$3:$D$14,'HDV Data'!$E$3:$E$14,"ISIC 01T03"))))))*'Factors applied'!$E$53</f>
        <v>0</v>
      </c>
      <c r="E7">
        <f>(((((SUMIFS('HDV Data'!$D$3:$D$14,'HDV Data'!$E$3:$E$14,"ISIC 05"))))))</f>
        <v>0</v>
      </c>
      <c r="F7">
        <f>(((((SUMIFS('HDV Data'!$D$3:$D$14,'HDV Data'!$E$3:$E$14,"ISIC 06"))))))</f>
        <v>0</v>
      </c>
      <c r="G7">
        <f>(((((SUMIFS('HDV Data'!$D$3:$D$14,'HDV Data'!$E$3:$E$14,"ISIC 07T08"))))))*'Factors applied'!$E$54</f>
        <v>0</v>
      </c>
      <c r="H7">
        <f>(((((SUMIFS('HDV Data'!$D$3:$D$14,'HDV Data'!$E$3:$E$14,"ISIC 07T08"))))))*'Factors applied'!$E$55</f>
        <v>0</v>
      </c>
      <c r="I7">
        <f>(((((SUMIFS('HDV Data'!$D$3:$D$14,'HDV Data'!$E$3:$E$14,"ISIC 09"))))))</f>
        <v>0</v>
      </c>
      <c r="J7">
        <f>(((((SUMIFS('HDV Data'!$D$3:$D$14,'HDV Data'!$E$3:$E$14,"ISIC 10T12"))))))</f>
        <v>0</v>
      </c>
      <c r="K7">
        <f>(((((SUMIFS('HDV Data'!$D$3:$D$14,'HDV Data'!$E$3:$E$14,"ISIC 13T15"))))))</f>
        <v>0</v>
      </c>
      <c r="L7">
        <f>(((((SUMIFS('HDV Data'!$D$3:$D$14,'HDV Data'!$E$3:$E$14,"ISIC 16"))))))</f>
        <v>0</v>
      </c>
      <c r="M7">
        <f>(((((SUMIFS('HDV Data'!$D$3:$D$14,'HDV Data'!$E$3:$E$14,"ISIC 17T18"))))))</f>
        <v>0</v>
      </c>
      <c r="N7">
        <f>(((((SUMIFS('HDV Data'!$D$3:$D$14,'HDV Data'!$E$3:$E$14,"ISIC 19"))))))</f>
        <v>0</v>
      </c>
      <c r="O7">
        <f>(((((SUMIFS('HDV Data'!$D$3:$D$14,'HDV Data'!$E$3:$E$14,"ISIC 20"))))))</f>
        <v>0</v>
      </c>
      <c r="P7">
        <f>(((((SUMIFS('HDV Data'!$D$3:$D$14,'HDV Data'!$E$3:$E$14,"ISIC 21"))))))</f>
        <v>0</v>
      </c>
      <c r="Q7">
        <f>(((((SUMIFS('HDV Data'!$D$3:$D$14,'HDV Data'!$E$3:$E$14,"ISIC 22"))))))</f>
        <v>0</v>
      </c>
      <c r="R7">
        <f>(((((SUMIFS('HDV Data'!$D$3:$D$14,'HDV Data'!$E$3:$E$14,"ISIC 231"))))))</f>
        <v>0</v>
      </c>
      <c r="S7">
        <f>(((((SUMIFS('HDV Data'!$D$3:$D$14,'HDV Data'!$E$3:$E$14,"ISIC 239"))))))</f>
        <v>0</v>
      </c>
      <c r="T7">
        <f>(((((SUMIFS('HDV Data'!$D$3:$D$14,'HDV Data'!$E$3:$E$14,"ISIC 241"))))))</f>
        <v>0</v>
      </c>
      <c r="U7">
        <f>(((((SUMIFS('HDV Data'!$D$3:$D$14,'HDV Data'!$E$3:$E$14,"ISIC 242"))))))</f>
        <v>0</v>
      </c>
      <c r="V7">
        <f>(((((SUMIFS('HDV Data'!$D$3:$D$14,'HDV Data'!$E$3:$E$14,"ISIC 25"))))))</f>
        <v>0</v>
      </c>
      <c r="W7">
        <f>(((((SUMIFS('HDV Data'!$D$3:$D$14,'HDV Data'!$E$3:$E$14,"ISIC 26"))))))</f>
        <v>0</v>
      </c>
      <c r="X7">
        <f>(((((SUMIFS('HDV Data'!$D$3:$D$14,'HDV Data'!$E$3:$E$14,"ISIC 27"))))))</f>
        <v>0</v>
      </c>
      <c r="Y7">
        <f>(((((SUMIFS('HDV Data'!$D$3:$D$14,'HDV Data'!$E$3:$E$14,"ISIC 28"))))))</f>
        <v>0</v>
      </c>
      <c r="Z7">
        <f>((SUMIFS('LDV Data'!$D$3:$D$14,'LDV Data'!$E$3:$E$14,"ISIC 29")))</f>
        <v>0.6956521739130429</v>
      </c>
      <c r="AA7">
        <f>0*'Factors applied'!$E$56</f>
        <v>0</v>
      </c>
      <c r="AB7">
        <f>0*'Factors applied'!$E$57</f>
        <v>0</v>
      </c>
      <c r="AC7">
        <f>(((((SUMIFS('HDV Data'!$D$3:$D$14,'HDV Data'!$E$3:$E$14,"ISIC 31T33"))))))</f>
        <v>0</v>
      </c>
      <c r="AD7">
        <f>(((((SUMIFS('HDV Data'!$D$3:$D$14,'HDV Data'!$E$3:$E$14,"ISIC 351"))))))</f>
        <v>0</v>
      </c>
      <c r="AE7">
        <f>(((((SUMIFS('HDV Data'!$D$3:$D$14,'HDV Data'!$E$3:$E$14,"ISIC 352T353"))))))</f>
        <v>0</v>
      </c>
      <c r="AF7">
        <f>(((((SUMIFS('HDV Data'!$D$3:$D$14,'HDV Data'!$E$3:$E$14,"ISIC 36T39"))))))</f>
        <v>0</v>
      </c>
      <c r="AG7">
        <f>(((((SUMIFS('HDV Data'!$D$3:$D$14,'HDV Data'!$E$3:$E$14,"ISIC 41T43"))))))</f>
        <v>0</v>
      </c>
      <c r="AH7">
        <f>(SUMIFS('LDV Data'!$D$3:$D$14,'LDV Data'!$E$3:$E$14,"ISIC 45T47"))</f>
        <v>0.30434782608695626</v>
      </c>
      <c r="AI7">
        <f>(((((SUMIFS('HDV Data'!$D$3:$D$14,'HDV Data'!$E$3:$E$14,"ISIC 49T53"))))))*'Factors applied'!$E$58</f>
        <v>0</v>
      </c>
      <c r="AJ7">
        <f>(((((SUMIFS('HDV Data'!$D$3:$D$14,'HDV Data'!$E$3:$E$14,"ISIC 49T53"))))))*'Factors applied'!$E$59</f>
        <v>0</v>
      </c>
      <c r="AK7">
        <f>(((((SUMIFS('HDV Data'!$D$3:$D$14,'HDV Data'!$E$3:$E$14,"ISIC 49T53"))))))*'Factors applied'!$E$60</f>
        <v>0</v>
      </c>
      <c r="AL7">
        <f>(((((SUMIFS('HDV Data'!$D$3:$D$14,'HDV Data'!$E$3:$E$14,"ISIC 49T53"))))))*'Factors applied'!$E$61</f>
        <v>0</v>
      </c>
      <c r="AM7">
        <f>(((((SUMIFS('HDV Data'!$D$3:$D$14,'HDV Data'!$E$3:$E$14,"ISIC 49T53"))))))*'Factors applied'!$E$62</f>
        <v>0</v>
      </c>
      <c r="AN7">
        <f>(((((SUMIFS('HDV Data'!$D$3:$D$14,'HDV Data'!$E$3:$E$14,"ISIC 55T56"))))))</f>
        <v>0</v>
      </c>
      <c r="AO7">
        <f>(((((SUMIFS('HDV Data'!$D$3:$D$14,'HDV Data'!$E$3:$E$14,"ISIC 58T60"))))))</f>
        <v>0</v>
      </c>
      <c r="AP7">
        <f>(((((SUMIFS('HDV Data'!$D$3:$D$14,'HDV Data'!$E$3:$E$14,"ISIC 61"))))))</f>
        <v>0</v>
      </c>
      <c r="AQ7">
        <f>(((((SUMIFS('HDV Data'!$D$3:$D$14,'HDV Data'!$E$3:$E$14,"ISIC 62T63"))))))</f>
        <v>0</v>
      </c>
      <c r="AR7">
        <f>(((((SUMIFS('HDV Data'!$D$3:$D$14,'HDV Data'!$E$3:$E$14,"ISIC 64T66"))))))</f>
        <v>0</v>
      </c>
      <c r="AS7">
        <f>(((((SUMIFS('HDV Data'!$D$3:$D$14,'HDV Data'!$E$3:$E$14,"ISIC 68"))))))</f>
        <v>0</v>
      </c>
      <c r="AT7">
        <f>(((((SUMIFS('HDV Data'!$D$3:$D$14,'HDV Data'!$E$3:$E$14,"ISIC 69T82"))))))*'Factors applied'!$E$63</f>
        <v>0</v>
      </c>
      <c r="AU7">
        <f>(((((SUMIFS('HDV Data'!$D$3:$D$14,'HDV Data'!$E$3:$E$14,"ISIC 69T82"))))))*'Factors applied'!$E$64</f>
        <v>0</v>
      </c>
      <c r="AV7">
        <f>(((((SUMIFS('HDV Data'!$D$3:$D$14,'HDV Data'!$E$3:$E$14,"ISIC 84"))))))</f>
        <v>0</v>
      </c>
      <c r="AW7">
        <f>(((((SUMIFS('HDV Data'!$D$3:$D$14,'HDV Data'!$E$3:$E$14,"ISIC 85"))))))</f>
        <v>0</v>
      </c>
      <c r="AX7">
        <f>(((((SUMIFS('HDV Data'!$D$3:$D$14,'HDV Data'!$E$3:$E$14,"ISIC 86T88"))))))</f>
        <v>0</v>
      </c>
      <c r="AY7">
        <f>(((((SUMIFS('HDV Data'!$D$3:$D$14,'HDV Data'!$E$3:$E$14,"ISIC 90T96"))))))*'Factors applied'!$E$65</f>
        <v>0</v>
      </c>
      <c r="AZ7">
        <f>(((((SUMIFS('HDV Data'!$D$3:$D$14,'HDV Data'!$E$3:$E$14,"ISIC 90T96"))))))*'Factors applied'!$E$66</f>
        <v>0</v>
      </c>
      <c r="BA7">
        <f>(((((SUMIFS('HDV Data'!$D$3:$D$14,'HDV Data'!$E$3:$E$14,"ISIC 97T98"))))))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Factors applied</vt:lpstr>
      <vt:lpstr>LDV Data</vt:lpstr>
      <vt:lpstr>HDV Data</vt:lpstr>
      <vt:lpstr>Checks</vt:lpstr>
      <vt:lpstr>VRSbRIC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2023-04-27T20:33:15Z</dcterms:created>
  <dcterms:modified xsi:type="dcterms:W3CDTF">2026-07-20T17:29:53Z</dcterms:modified>
</cp:coreProperties>
</file>