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7840" windowHeight="2364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LDV Data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HDV Data" sheetId="4" state="visible" r:id="rId4"/>
    <sheet xmlns:r="http://schemas.openxmlformats.org/officeDocument/2006/relationships" name="VRSbRI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0" borderId="0" applyAlignment="1" pivotButton="0" quotePrefix="0" xfId="0">
      <alignment horizontal="left"/>
    </xf>
    <xf numFmtId="0" fontId="0" fillId="2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 vertical="top"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9</col>
      <colOff>114300</colOff>
      <row>0</row>
      <rowOff>0</rowOff>
    </from>
    <to>
      <col>22</col>
      <colOff>102934</colOff>
      <row>29</row>
      <rowOff>24117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86975" y="0"/>
          <a:ext cx="7913434" cy="554861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142875</colOff>
      <row>0</row>
      <rowOff>76200</rowOff>
    </from>
    <to>
      <col>24</col>
      <colOff>541808</colOff>
      <row>59</row>
      <rowOff>179557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725150" y="76200"/>
          <a:ext cx="8933333" cy="113428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nepis.epa.gov/Exe/ZyNET.exe/P100AGJ1.TXT?ZyActionD=ZyDocument&amp;Client=EPA&amp;Index=2006+Thru+2010&amp;Docs=&amp;Query=&amp;Time=&amp;EndTime=&amp;SearchMethod=1&amp;TocRestrict=n&amp;Toc=&amp;TocEntry=&amp;QField=&amp;QFieldYear=&amp;QFieldMonth=&amp;QFieldDay=&amp;IntQFieldOp=0&amp;ExtQFieldOp=0&amp;XmlQuery=&amp;File=D%3A%5Czyfiles%5CIndex%20Data%5C06thru10%5CTxt%5C00000025%5CP100AGJ1.txt&amp;User=ANONYMOUS&amp;Password=anonymous&amp;SortMethod=h%7C-&amp;MaximumDocuments=1&amp;FuzzyDegree=0&amp;ImageQuality=r75g8/r75g8/x150y150g16/i425&amp;Display=hpfr&amp;DefSeekPage=x&amp;SearchBack=ZyActionL&amp;Back=ZyActionS&amp;BackDesc=Results%20page&amp;MaximumPages=1&amp;ZyEntry=1&amp;SeekPage=x&amp;ZyPURL" TargetMode="External" Id="rId1"/><Relationship Type="http://schemas.openxmlformats.org/officeDocument/2006/relationships/hyperlink" Target="https://nepis.epa.gov/Exe/ZyPDF.cgi/P100XXR3.PDF?Dockey=P100XXR3.PDF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tabSelected="1" topLeftCell="A1" workbookViewId="0">
      <selection activeCell="A1" sqref="A1"/>
    </sheetView>
  </sheetViews>
  <sheetFormatPr baseColWidth="8" defaultRowHeight="15"/>
  <cols>
    <col width="69" customWidth="1" min="2" max="2"/>
  </cols>
  <sheetData>
    <row r="1">
      <c r="A1" s="1" t="inlineStr">
        <is>
          <t>VRSbRIC Vehicle Revenue Share by Recipient ISIC Code</t>
        </is>
      </c>
    </row>
    <row r="2"/>
    <row r="3">
      <c r="A3" s="1" t="inlineStr">
        <is>
          <t>Sources:</t>
        </is>
      </c>
      <c r="B3" s="5" t="inlineStr">
        <is>
          <t>Passenger LDVs</t>
        </is>
      </c>
    </row>
    <row r="4">
      <c r="B4" t="inlineStr">
        <is>
          <t>EPA</t>
        </is>
      </c>
    </row>
    <row r="5">
      <c r="B5" s="3" t="n">
        <v>2009</v>
      </c>
    </row>
    <row r="6">
      <c r="B6" t="inlineStr">
        <is>
          <t>Automobile Industry Retail Price Equivalent and Indirect Cost Multipliers</t>
        </is>
      </c>
    </row>
    <row r="7">
      <c r="B7" s="2" t="inlineStr">
        <is>
          <t>Link</t>
        </is>
      </c>
    </row>
    <row r="8">
      <c r="B8" t="inlineStr">
        <is>
          <t>Table 3-3</t>
        </is>
      </c>
    </row>
    <row r="9"/>
    <row r="10">
      <c r="B10" s="5" t="inlineStr">
        <is>
          <t>Freight LDVs and HDVs and Passenger HDVs</t>
        </is>
      </c>
    </row>
    <row r="11">
      <c r="B11" t="inlineStr">
        <is>
          <t>EPA</t>
        </is>
      </c>
    </row>
    <row r="12">
      <c r="B12" s="3" t="n">
        <v>2010</v>
      </c>
    </row>
    <row r="13">
      <c r="B13" t="inlineStr">
        <is>
          <t>Heavy Duty Truck Retail Price Equivalent and Indirect Cost Multipliers</t>
        </is>
      </c>
    </row>
    <row r="14">
      <c r="B14" s="2" t="inlineStr">
        <is>
          <t>Link</t>
        </is>
      </c>
    </row>
    <row r="15">
      <c r="B15" t="inlineStr">
        <is>
          <t>Table 3-3</t>
        </is>
      </c>
    </row>
    <row r="16"/>
    <row r="17"/>
    <row r="18"/>
    <row r="19"/>
    <row r="20"/>
    <row r="21">
      <c r="A21" s="1" t="inlineStr">
        <is>
          <t>Notes:</t>
        </is>
      </c>
      <c r="B21" t="inlineStr">
        <is>
          <t>We assume the same cost breakdowns for all technologies, but assign non-road to non-road vehicle manufacturing</t>
        </is>
      </c>
    </row>
    <row r="22">
      <c r="B22" t="inlineStr">
        <is>
          <t>The RPEF file also controls whether or not these values are used</t>
        </is>
      </c>
    </row>
    <row r="24">
      <c r="A24" s="6" t="inlineStr">
        <is>
          <t>42-code sibling (build_sector_shares_42):</t>
        </is>
      </c>
    </row>
    <row r="25">
      <c r="B25" s="7" t="inlineStr">
        <is>
          <t>This workbook is the 42-code (un-split) sibling of the 52-code expansion. The 42 scheme is the 52 scheme with the six OECD-native parents</t>
        </is>
      </c>
    </row>
    <row r="26">
      <c r="B26" s="7" t="inlineStr">
        <is>
          <t>left merged (ISIC 01T03, 07T08, 30, 49T53, 69T82, 90T96); the BEA carves ISIC 231/239 and 351/352T353 are retained (present in both</t>
        </is>
      </c>
    </row>
    <row r="27">
      <c r="B27" s="7" t="inlineStr">
        <is>
          <t>schemes).</t>
        </is>
      </c>
    </row>
    <row r="29">
      <c r="B29" s="7" t="inlineStr">
        <is>
          <t>The output tabs are the stock derivation, unchanged and live: the stock workbook is natively 42-code (its output columns already are the</t>
        </is>
      </c>
    </row>
    <row r="30">
      <c r="B30" s="7" t="inlineStr">
        <is>
          <t>42-code ISIC list, in canonical order), so no child split is applied here. The motorbike row is corrected to match LDVs: the stock file</t>
        </is>
      </c>
    </row>
    <row r="31">
      <c r="B31" s="7" t="inlineStr">
        <is>
          <t>(4.0.6 and 4.1) pointed its ISIC 45T47 cell at the HDV dealer share, so the row summed to 0.890 instead of 1 (user decision 2026-07-20).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B47" sqref="B47"/>
    </sheetView>
  </sheetViews>
  <sheetFormatPr baseColWidth="8" defaultRowHeight="15"/>
  <cols>
    <col width="28.7109375" customWidth="1" min="1" max="2"/>
    <col width="20.42578125" bestFit="1" customWidth="1" min="3" max="3"/>
    <col width="26" bestFit="1" customWidth="1" min="4" max="4"/>
  </cols>
  <sheetData>
    <row r="1">
      <c r="A1" t="inlineStr">
        <is>
          <t>Category</t>
        </is>
      </c>
      <c r="B1" t="inlineStr">
        <is>
          <t>Item</t>
        </is>
      </c>
      <c r="C1" t="inlineStr">
        <is>
          <t>Industy Average Total</t>
        </is>
      </c>
      <c r="D1" t="inlineStr">
        <is>
          <t>Industry Average RPE Only</t>
        </is>
      </c>
      <c r="E1" t="inlineStr">
        <is>
          <t>ISIC Code</t>
        </is>
      </c>
    </row>
    <row r="2">
      <c r="A2" t="inlineStr">
        <is>
          <t>Vehicle Manufacturing</t>
        </is>
      </c>
      <c r="B2" t="inlineStr">
        <is>
          <t>Cost of Sales</t>
        </is>
      </c>
      <c r="C2" t="n">
        <v>1</v>
      </c>
      <c r="D2" t="inlineStr">
        <is>
          <t>N/A</t>
        </is>
      </c>
    </row>
    <row r="3">
      <c r="A3" t="inlineStr">
        <is>
          <t>Production Overhead</t>
        </is>
      </c>
      <c r="B3" t="inlineStr">
        <is>
          <t>Warranty</t>
        </is>
      </c>
      <c r="C3" t="n">
        <v>0.03</v>
      </c>
      <c r="D3">
        <f>C3/($C$16-$C$2)</f>
        <v/>
      </c>
      <c r="E3" t="inlineStr">
        <is>
          <t>ISIC 29</t>
        </is>
      </c>
    </row>
    <row r="4">
      <c r="A4" t="inlineStr">
        <is>
          <t>Production Overhead</t>
        </is>
      </c>
      <c r="B4" t="inlineStr">
        <is>
          <t>R&amp;D (product dev)</t>
        </is>
      </c>
      <c r="C4" t="n">
        <v>0.05</v>
      </c>
      <c r="D4">
        <f>C4/($C$16-$C$2)</f>
        <v/>
      </c>
      <c r="E4" t="inlineStr">
        <is>
          <t>ISIC 29</t>
        </is>
      </c>
    </row>
    <row r="5">
      <c r="A5" t="inlineStr">
        <is>
          <t>Production Overhead</t>
        </is>
      </c>
      <c r="B5" t="inlineStr">
        <is>
          <t>Depreciation and amortization</t>
        </is>
      </c>
      <c r="C5" t="n">
        <v>0.07000000000000001</v>
      </c>
      <c r="D5">
        <f>C5/($C$16-$C$2)</f>
        <v/>
      </c>
      <c r="E5" t="inlineStr">
        <is>
          <t>ISIC 29</t>
        </is>
      </c>
    </row>
    <row r="6">
      <c r="A6" t="inlineStr">
        <is>
          <t>Production Overhead</t>
        </is>
      </c>
      <c r="B6" t="inlineStr">
        <is>
          <t>Maintenance, repair, operations cost</t>
        </is>
      </c>
      <c r="C6" t="n">
        <v>0.03</v>
      </c>
      <c r="D6">
        <f>C6/($C$16-$C$2)</f>
        <v/>
      </c>
      <c r="E6" t="inlineStr">
        <is>
          <t>ISIC 29</t>
        </is>
      </c>
    </row>
    <row r="7">
      <c r="A7" t="inlineStr">
        <is>
          <t>Corporate Overhead</t>
        </is>
      </c>
      <c r="B7" t="inlineStr">
        <is>
          <t>General and aministrative</t>
        </is>
      </c>
      <c r="C7" t="n">
        <v>0.07000000000000001</v>
      </c>
      <c r="D7">
        <f>C7/($C$16-$C$2)</f>
        <v/>
      </c>
      <c r="E7" t="inlineStr">
        <is>
          <t>ISIC 29</t>
        </is>
      </c>
    </row>
    <row r="8">
      <c r="A8" t="inlineStr">
        <is>
          <t>Corporate Overhead</t>
        </is>
      </c>
      <c r="B8" t="inlineStr">
        <is>
          <t>Retirement</t>
        </is>
      </c>
      <c r="C8" t="n">
        <v>0</v>
      </c>
      <c r="D8">
        <f>C8/($C$16-$C$2)</f>
        <v/>
      </c>
      <c r="E8" t="inlineStr">
        <is>
          <t>ISIC 29</t>
        </is>
      </c>
    </row>
    <row r="9">
      <c r="A9" t="inlineStr">
        <is>
          <t>Corporate Overhead</t>
        </is>
      </c>
      <c r="B9" t="inlineStr">
        <is>
          <t>Health</t>
        </is>
      </c>
      <c r="C9" t="n">
        <v>0.01</v>
      </c>
      <c r="D9">
        <f>C9/($C$16-$C$2)</f>
        <v/>
      </c>
      <c r="E9" t="inlineStr">
        <is>
          <t>ISIC 29</t>
        </is>
      </c>
    </row>
    <row r="10">
      <c r="A10" t="inlineStr">
        <is>
          <t>Selling</t>
        </is>
      </c>
      <c r="B10" t="inlineStr">
        <is>
          <t>Transportation</t>
        </is>
      </c>
      <c r="C10" t="n">
        <v>0.04</v>
      </c>
      <c r="D10">
        <f>C10/($C$16-$C$2)</f>
        <v/>
      </c>
      <c r="E10" t="inlineStr">
        <is>
          <t>ISIC 45T47</t>
        </is>
      </c>
    </row>
    <row r="11">
      <c r="A11" t="inlineStr">
        <is>
          <t>Selling</t>
        </is>
      </c>
      <c r="B11" t="inlineStr">
        <is>
          <t>Marketing</t>
        </is>
      </c>
      <c r="C11" t="n">
        <v>0.04</v>
      </c>
      <c r="D11">
        <f>C11/($C$16-$C$2)</f>
        <v/>
      </c>
      <c r="E11" t="inlineStr">
        <is>
          <t>ISIC 45T47</t>
        </is>
      </c>
    </row>
    <row r="12">
      <c r="A12" t="inlineStr">
        <is>
          <t>Dealers</t>
        </is>
      </c>
      <c r="B12" t="inlineStr">
        <is>
          <t>New vehicle net profit</t>
        </is>
      </c>
      <c r="C12" t="n">
        <v>0</v>
      </c>
      <c r="D12">
        <f>C12/($C$16-$C$2)</f>
        <v/>
      </c>
      <c r="E12" t="inlineStr">
        <is>
          <t>ISIC 45T47</t>
        </is>
      </c>
    </row>
    <row r="13">
      <c r="A13" t="inlineStr">
        <is>
          <t>Dealers</t>
        </is>
      </c>
      <c r="B13" t="inlineStr">
        <is>
          <t>New vehicle selling cost</t>
        </is>
      </c>
      <c r="C13" t="n">
        <v>0.06</v>
      </c>
      <c r="D13">
        <f>C13/($C$16-$C$2)</f>
        <v/>
      </c>
      <c r="E13" t="inlineStr">
        <is>
          <t>ISIC 45T47</t>
        </is>
      </c>
    </row>
    <row r="14">
      <c r="A14" t="inlineStr">
        <is>
          <t>Other</t>
        </is>
      </c>
      <c r="B14" t="inlineStr">
        <is>
          <t>Net income</t>
        </is>
      </c>
      <c r="C14" t="n">
        <v>0.06</v>
      </c>
      <c r="D14">
        <f>C14/($C$16-$C$2)</f>
        <v/>
      </c>
      <c r="E14" t="inlineStr">
        <is>
          <t>ISIC 29</t>
        </is>
      </c>
    </row>
    <row r="16">
      <c r="A16" s="1" t="inlineStr">
        <is>
          <t>TOTAL</t>
        </is>
      </c>
      <c r="C16">
        <f>SUM(C2:C14)</f>
        <v/>
      </c>
    </row>
    <row r="25">
      <c r="A25" t="inlineStr">
        <is>
          <t>ISIC 01T03</t>
        </is>
      </c>
      <c r="B25" t="inlineStr">
        <is>
          <t>{Agriculture, forestry and fishing}</t>
        </is>
      </c>
    </row>
    <row r="26">
      <c r="A26" t="inlineStr">
        <is>
          <t>ISIC 05</t>
        </is>
      </c>
      <c r="B26" t="inlineStr">
        <is>
          <t>{Coal mining}</t>
        </is>
      </c>
    </row>
    <row r="27">
      <c r="A27" t="inlineStr">
        <is>
          <t>ISIC 06</t>
        </is>
      </c>
      <c r="B27" t="inlineStr">
        <is>
          <t>{Oil and gas extraction}</t>
        </is>
      </c>
    </row>
    <row r="28">
      <c r="A28" t="inlineStr">
        <is>
          <t>ISIC 07T08</t>
        </is>
      </c>
      <c r="B28" t="inlineStr">
        <is>
          <t>{Mining and quarrying of non-energy producing products}</t>
        </is>
      </c>
    </row>
    <row r="29">
      <c r="A29" t="inlineStr">
        <is>
          <t>ISIC 09</t>
        </is>
      </c>
      <c r="B29" t="inlineStr">
        <is>
          <t>{Mining support service activities}</t>
        </is>
      </c>
    </row>
    <row r="30">
      <c r="A30" t="inlineStr">
        <is>
          <t>ISIC 10T12</t>
        </is>
      </c>
      <c r="B30" t="inlineStr">
        <is>
          <t>{Food products, beverages and tobacco}</t>
        </is>
      </c>
    </row>
    <row r="31">
      <c r="A31" t="inlineStr">
        <is>
          <t>ISIC 13T15</t>
        </is>
      </c>
      <c r="B31" t="inlineStr">
        <is>
          <t>{Textiles, wearing apparel, leather and related products}</t>
        </is>
      </c>
    </row>
    <row r="32">
      <c r="A32" t="inlineStr">
        <is>
          <t>ISIC 16</t>
        </is>
      </c>
      <c r="B32" t="inlineStr">
        <is>
          <t>{Wood and of products of wood and cork (except furniture)}</t>
        </is>
      </c>
    </row>
    <row r="33">
      <c r="A33" t="inlineStr">
        <is>
          <t>ISIC 17T18</t>
        </is>
      </c>
      <c r="B33" t="inlineStr">
        <is>
          <t>{Paper products and printing}</t>
        </is>
      </c>
    </row>
    <row r="34">
      <c r="A34" t="inlineStr">
        <is>
          <t>ISIC 19</t>
        </is>
      </c>
      <c r="B34" t="inlineStr">
        <is>
          <t>{Coke and refined petroleum products}</t>
        </is>
      </c>
    </row>
    <row r="35">
      <c r="A35" t="inlineStr">
        <is>
          <t>ISIC 20</t>
        </is>
      </c>
      <c r="B35" t="inlineStr">
        <is>
          <t>{Chemicals}</t>
        </is>
      </c>
    </row>
    <row r="36">
      <c r="A36" t="inlineStr">
        <is>
          <t>ISIC 21</t>
        </is>
      </c>
      <c r="B36" t="inlineStr">
        <is>
          <t>{Pharmaceuticals}</t>
        </is>
      </c>
    </row>
    <row r="37">
      <c r="A37" t="inlineStr">
        <is>
          <t>ISIC 22</t>
        </is>
      </c>
      <c r="B37" t="inlineStr">
        <is>
          <t>{Rubber and plastics products}</t>
        </is>
      </c>
    </row>
    <row r="38">
      <c r="A38" t="inlineStr">
        <is>
          <t>ISIC 231</t>
        </is>
      </c>
      <c r="B38" t="inlineStr">
        <is>
          <t>{Glass}</t>
        </is>
      </c>
    </row>
    <row r="39">
      <c r="A39" t="inlineStr">
        <is>
          <t>ISIC 239</t>
        </is>
      </c>
      <c r="B39" t="inlineStr">
        <is>
          <t>{Cement and other non-metallic minerals}</t>
        </is>
      </c>
    </row>
    <row r="40">
      <c r="A40" t="inlineStr">
        <is>
          <t>ISIC 241</t>
        </is>
      </c>
      <c r="B40" t="inlineStr">
        <is>
          <t>{Iron and steel}</t>
        </is>
      </c>
    </row>
    <row r="41">
      <c r="A41" t="inlineStr">
        <is>
          <t>ISIC 242</t>
        </is>
      </c>
      <c r="B41" t="inlineStr">
        <is>
          <t>{Other metals}</t>
        </is>
      </c>
    </row>
    <row r="42">
      <c r="A42" t="inlineStr">
        <is>
          <t>ISIC 25</t>
        </is>
      </c>
      <c r="B42" t="inlineStr">
        <is>
          <t>{Fabricated metal products, except machinery and equipment}</t>
        </is>
      </c>
    </row>
    <row r="43">
      <c r="A43" t="inlineStr">
        <is>
          <t>ISIC 26</t>
        </is>
      </c>
      <c r="B43" t="inlineStr">
        <is>
          <t>{Computer, electronic and optical products}</t>
        </is>
      </c>
    </row>
    <row r="44">
      <c r="A44" t="inlineStr">
        <is>
          <t>ISIC 27</t>
        </is>
      </c>
      <c r="B44" t="inlineStr">
        <is>
          <t>{Electrical equipment}</t>
        </is>
      </c>
    </row>
    <row r="45">
      <c r="A45" t="inlineStr">
        <is>
          <t>ISIC 28</t>
        </is>
      </c>
      <c r="B45" t="inlineStr">
        <is>
          <t>{Machinery and equipment n.e.c.}</t>
        </is>
      </c>
    </row>
    <row r="46">
      <c r="A46" t="inlineStr">
        <is>
          <t>ISIC 29</t>
        </is>
      </c>
      <c r="B46" t="inlineStr">
        <is>
          <t>{Motor vehicles, trailers and semi-trailers}</t>
        </is>
      </c>
    </row>
    <row r="47">
      <c r="A47" t="inlineStr">
        <is>
          <t>ISIC 30</t>
        </is>
      </c>
      <c r="B47" t="inlineStr">
        <is>
          <t>{Other transport equipment}</t>
        </is>
      </c>
    </row>
    <row r="48">
      <c r="A48" t="inlineStr">
        <is>
          <t>ISIC 31T33</t>
        </is>
      </c>
      <c r="B48" t="inlineStr">
        <is>
          <t>{Other manufacturing; repair and installation of machinery and equipment}</t>
        </is>
      </c>
    </row>
    <row r="49">
      <c r="A49" t="inlineStr">
        <is>
          <t>ISIC 351</t>
        </is>
      </c>
      <c r="B49" t="inlineStr">
        <is>
          <t>{Electricity generation and distribution}</t>
        </is>
      </c>
    </row>
    <row r="50">
      <c r="A50" t="inlineStr">
        <is>
          <t>ISIC 352T353</t>
        </is>
      </c>
      <c r="B50" t="inlineStr">
        <is>
          <t>{Energy pipelines and gas processing}</t>
        </is>
      </c>
    </row>
    <row r="51">
      <c r="A51" t="inlineStr">
        <is>
          <t>ISIC 36T39</t>
        </is>
      </c>
      <c r="B51" t="inlineStr">
        <is>
          <t>{Water and waste}</t>
        </is>
      </c>
    </row>
    <row r="52">
      <c r="A52" t="inlineStr">
        <is>
          <t>ISIC 41T43</t>
        </is>
      </c>
      <c r="B52" t="inlineStr">
        <is>
          <t>{Construction}</t>
        </is>
      </c>
    </row>
    <row r="53">
      <c r="A53" t="inlineStr">
        <is>
          <t>ISIC 45T47</t>
        </is>
      </c>
      <c r="B53" t="inlineStr">
        <is>
          <t>{Wholesale and retail trade; repair of motor vehicles}</t>
        </is>
      </c>
    </row>
    <row r="54">
      <c r="A54" t="inlineStr">
        <is>
          <t>ISIC 49T53</t>
        </is>
      </c>
      <c r="B54" t="inlineStr">
        <is>
          <t>{Transportation and storage}</t>
        </is>
      </c>
    </row>
    <row r="55">
      <c r="A55" t="inlineStr">
        <is>
          <t>ISIC 55T56</t>
        </is>
      </c>
      <c r="B55" t="inlineStr">
        <is>
          <t>{Accomodation and food services}</t>
        </is>
      </c>
    </row>
    <row r="56">
      <c r="A56" t="inlineStr">
        <is>
          <t>ISIC 58T60</t>
        </is>
      </c>
      <c r="B56" t="inlineStr">
        <is>
          <t>{Publishing, audiovisual and broadcasting activities}</t>
        </is>
      </c>
    </row>
    <row r="57">
      <c r="A57" t="inlineStr">
        <is>
          <t>ISIC 61</t>
        </is>
      </c>
      <c r="B57" t="inlineStr">
        <is>
          <t>{Telecommunications}</t>
        </is>
      </c>
    </row>
    <row r="58">
      <c r="A58" t="inlineStr">
        <is>
          <t>ISIC 62T63</t>
        </is>
      </c>
      <c r="B58" t="inlineStr">
        <is>
          <t>{IT and other information services}</t>
        </is>
      </c>
    </row>
    <row r="59">
      <c r="A59" t="inlineStr">
        <is>
          <t>ISIC 64T66</t>
        </is>
      </c>
      <c r="B59" t="inlineStr">
        <is>
          <t>{Financial and insurance activities}</t>
        </is>
      </c>
    </row>
    <row r="60">
      <c r="A60" t="inlineStr">
        <is>
          <t>ISIC 68</t>
        </is>
      </c>
      <c r="B60" t="inlineStr">
        <is>
          <t>{Real estate activities}</t>
        </is>
      </c>
    </row>
    <row r="61">
      <c r="A61" t="inlineStr">
        <is>
          <t>ISIC 69T82</t>
        </is>
      </c>
      <c r="B61" t="inlineStr">
        <is>
          <t>{Other business sector services}</t>
        </is>
      </c>
    </row>
    <row r="62">
      <c r="A62" t="inlineStr">
        <is>
          <t>ISIC 84</t>
        </is>
      </c>
      <c r="B62" t="inlineStr">
        <is>
          <t>{Public administration and defence; compulsory social security}</t>
        </is>
      </c>
    </row>
    <row r="63">
      <c r="A63" t="inlineStr">
        <is>
          <t>ISIC 85</t>
        </is>
      </c>
      <c r="B63" t="inlineStr">
        <is>
          <t>{Education}</t>
        </is>
      </c>
    </row>
    <row r="64">
      <c r="A64" t="inlineStr">
        <is>
          <t>ISIC 86T88</t>
        </is>
      </c>
      <c r="B64" t="inlineStr">
        <is>
          <t>{Human health and social work}</t>
        </is>
      </c>
    </row>
    <row r="65">
      <c r="A65" t="inlineStr">
        <is>
          <t>ISIC 90T96</t>
        </is>
      </c>
      <c r="B65" t="inlineStr">
        <is>
          <t>{Arts, entertainment, recreation and other service activities}</t>
        </is>
      </c>
    </row>
    <row r="66">
      <c r="A66" t="inlineStr">
        <is>
          <t>ISIC 97T98</t>
        </is>
      </c>
      <c r="B66" t="inlineStr">
        <is>
          <t>{Private households with employed persons}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6" t="inlineStr">
        <is>
          <t>Validation checks (42-code sibling)</t>
        </is>
      </c>
    </row>
    <row r="2">
      <c r="A2" s="7" t="inlineStr">
        <is>
          <t>Allocation output rows sum to 1 across the 42 ISIC codes (rate files excluded — see note).</t>
        </is>
      </c>
    </row>
    <row r="4">
      <c r="A4" s="6" t="inlineStr">
        <is>
          <t>VRSbRIC.csv</t>
        </is>
      </c>
    </row>
    <row r="5">
      <c r="A5" t="inlineStr">
        <is>
          <t xml:space="preserve">  LDVs</t>
        </is>
      </c>
      <c r="B5">
        <f>SUM('VRSbRIC'!B2:AQ2)</f>
        <v/>
      </c>
      <c r="C5" s="6">
        <f>IF(ABS(B5-1)&lt;0.000001,"=1",IF(ABS(B5)&lt;0.000001,"=0","CHECK"))</f>
        <v/>
      </c>
    </row>
    <row r="6">
      <c r="A6" t="inlineStr">
        <is>
          <t xml:space="preserve">  HDVs</t>
        </is>
      </c>
      <c r="B6">
        <f>SUM('VRSbRIC'!B3:AQ3)</f>
        <v/>
      </c>
      <c r="C6" s="6">
        <f>IF(ABS(B6-1)&lt;0.000001,"=1",IF(ABS(B6)&lt;0.000001,"=0","CHECK"))</f>
        <v/>
      </c>
    </row>
    <row r="7">
      <c r="A7" t="inlineStr">
        <is>
          <t xml:space="preserve">  aircraft</t>
        </is>
      </c>
      <c r="B7">
        <f>SUM('VRSbRIC'!B4:AQ4)</f>
        <v/>
      </c>
      <c r="C7" s="6">
        <f>IF(ABS(B7-1)&lt;0.000001,"=1",IF(ABS(B7)&lt;0.000001,"=0","CHECK"))</f>
        <v/>
      </c>
    </row>
    <row r="8">
      <c r="A8" t="inlineStr">
        <is>
          <t xml:space="preserve">  rail</t>
        </is>
      </c>
      <c r="B8">
        <f>SUM('VRSbRIC'!B5:AQ5)</f>
        <v/>
      </c>
      <c r="C8" s="6">
        <f>IF(ABS(B8-1)&lt;0.000001,"=1",IF(ABS(B8)&lt;0.000001,"=0","CHECK"))</f>
        <v/>
      </c>
    </row>
    <row r="9">
      <c r="A9" t="inlineStr">
        <is>
          <t xml:space="preserve">  ships</t>
        </is>
      </c>
      <c r="B9">
        <f>SUM('VRSbRIC'!B6:AQ6)</f>
        <v/>
      </c>
      <c r="C9" s="6">
        <f>IF(ABS(B9-1)&lt;0.000001,"=1",IF(ABS(B9)&lt;0.000001,"=0","CHECK"))</f>
        <v/>
      </c>
    </row>
    <row r="10">
      <c r="A10" t="inlineStr">
        <is>
          <t xml:space="preserve">  motorbike</t>
        </is>
      </c>
      <c r="B10">
        <f>SUM('VRSbRIC'!B7:AQ7)</f>
        <v/>
      </c>
      <c r="C10" s="6">
        <f>IF(ABS(B10-1)&lt;0.000001,"=1",IF(ABS(B10)&lt;0.000001,"=0","CHECK"))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D6" sqref="D6"/>
    </sheetView>
  </sheetViews>
  <sheetFormatPr baseColWidth="8" defaultRowHeight="15"/>
  <cols>
    <col width="28.7109375" customWidth="1" min="1" max="2"/>
    <col width="20.42578125" bestFit="1" customWidth="1" min="3" max="3"/>
    <col width="26" bestFit="1" customWidth="1" min="4" max="4"/>
  </cols>
  <sheetData>
    <row r="1">
      <c r="A1" t="inlineStr">
        <is>
          <t>Category</t>
        </is>
      </c>
      <c r="B1" t="inlineStr">
        <is>
          <t>Item</t>
        </is>
      </c>
      <c r="C1" t="inlineStr">
        <is>
          <t>Trauck Manufacturers Industry Average</t>
        </is>
      </c>
      <c r="D1" t="inlineStr">
        <is>
          <t>Industry Average RPE Only</t>
        </is>
      </c>
      <c r="E1" t="inlineStr">
        <is>
          <t>ISIC Code</t>
        </is>
      </c>
    </row>
    <row r="2">
      <c r="A2" t="inlineStr">
        <is>
          <t>Vehicle Manufacturing</t>
        </is>
      </c>
      <c r="B2" t="inlineStr">
        <is>
          <t>Manufacturing Cost</t>
        </is>
      </c>
      <c r="C2" t="n">
        <v>1</v>
      </c>
      <c r="D2" t="inlineStr">
        <is>
          <t>N/A</t>
        </is>
      </c>
    </row>
    <row r="3">
      <c r="A3" t="inlineStr">
        <is>
          <t>Production Overhead</t>
        </is>
      </c>
      <c r="B3" t="inlineStr">
        <is>
          <t>Warranty</t>
        </is>
      </c>
      <c r="C3" t="n">
        <v>0.04</v>
      </c>
      <c r="D3">
        <f>C3/($C$16-$C$2)</f>
        <v/>
      </c>
      <c r="E3" t="inlineStr">
        <is>
          <t>ISIC 29</t>
        </is>
      </c>
    </row>
    <row r="4">
      <c r="A4" t="inlineStr">
        <is>
          <t>Production Overhead</t>
        </is>
      </c>
      <c r="B4" t="inlineStr">
        <is>
          <t>R&amp;D (product dev)</t>
        </is>
      </c>
      <c r="C4" t="n">
        <v>0.05</v>
      </c>
      <c r="D4">
        <f>C4/($C$16-$C$2)</f>
        <v/>
      </c>
      <c r="E4" t="inlineStr">
        <is>
          <t>ISIC 29</t>
        </is>
      </c>
    </row>
    <row r="5">
      <c r="A5" t="inlineStr">
        <is>
          <t>Production Overhead</t>
        </is>
      </c>
      <c r="B5" t="inlineStr">
        <is>
          <t>Depreciation and amortization</t>
        </is>
      </c>
      <c r="C5" t="n">
        <v>0.04</v>
      </c>
      <c r="D5">
        <f>C5/($C$16-$C$2)</f>
        <v/>
      </c>
      <c r="E5" t="inlineStr">
        <is>
          <t>ISIC 29</t>
        </is>
      </c>
    </row>
    <row r="6">
      <c r="A6" t="inlineStr">
        <is>
          <t>Production Overhead</t>
        </is>
      </c>
      <c r="B6" t="inlineStr">
        <is>
          <t>Maintenance, repair, operations cost</t>
        </is>
      </c>
      <c r="C6" t="n">
        <v>0.02</v>
      </c>
      <c r="D6">
        <f>C6/($C$16-$C$2)</f>
        <v/>
      </c>
      <c r="E6" t="inlineStr">
        <is>
          <t>ISIC 29</t>
        </is>
      </c>
    </row>
    <row r="7">
      <c r="A7" t="inlineStr">
        <is>
          <t>Corporate Overhead</t>
        </is>
      </c>
      <c r="B7" t="inlineStr">
        <is>
          <t>General and aministrative</t>
        </is>
      </c>
      <c r="C7" t="n">
        <v>0.07000000000000001</v>
      </c>
      <c r="D7">
        <f>C7/($C$16-$C$2)</f>
        <v/>
      </c>
      <c r="E7" t="inlineStr">
        <is>
          <t>ISIC 29</t>
        </is>
      </c>
    </row>
    <row r="8">
      <c r="A8" t="inlineStr">
        <is>
          <t>Corporate Overhead</t>
        </is>
      </c>
      <c r="B8" t="inlineStr">
        <is>
          <t>Retirement</t>
        </is>
      </c>
      <c r="C8" t="n">
        <v>0.01</v>
      </c>
      <c r="D8">
        <f>C8/($C$16-$C$2)</f>
        <v/>
      </c>
      <c r="E8" t="inlineStr">
        <is>
          <t>ISIC 29</t>
        </is>
      </c>
    </row>
    <row r="9">
      <c r="A9" t="inlineStr">
        <is>
          <t>Corporate Overhead</t>
        </is>
      </c>
      <c r="B9" t="inlineStr">
        <is>
          <t>Health</t>
        </is>
      </c>
      <c r="C9" t="n">
        <v>0.01</v>
      </c>
      <c r="D9">
        <f>C9/($C$16-$C$2)</f>
        <v/>
      </c>
      <c r="E9" t="inlineStr">
        <is>
          <t>ISIC 29</t>
        </is>
      </c>
    </row>
    <row r="10">
      <c r="A10" t="inlineStr">
        <is>
          <t>Selling</t>
        </is>
      </c>
      <c r="B10" t="inlineStr">
        <is>
          <t>Transportation</t>
        </is>
      </c>
      <c r="C10" t="n">
        <v>0</v>
      </c>
      <c r="D10">
        <f>C10/($C$16-$C$2)</f>
        <v/>
      </c>
      <c r="E10" t="inlineStr">
        <is>
          <t>ISIC 45T47</t>
        </is>
      </c>
    </row>
    <row r="11">
      <c r="A11" t="inlineStr">
        <is>
          <t>Selling</t>
        </is>
      </c>
      <c r="B11" t="inlineStr">
        <is>
          <t>Marketing</t>
        </is>
      </c>
      <c r="C11" t="n">
        <v>0.01</v>
      </c>
      <c r="D11">
        <f>C11/($C$16-$C$2)</f>
        <v/>
      </c>
      <c r="E11" t="inlineStr">
        <is>
          <t>ISIC 45T47</t>
        </is>
      </c>
    </row>
    <row r="12">
      <c r="A12" t="inlineStr">
        <is>
          <t>Dealers</t>
        </is>
      </c>
      <c r="B12" t="inlineStr">
        <is>
          <t>Dealer new vehicle net income</t>
        </is>
      </c>
      <c r="C12" t="n">
        <v>0</v>
      </c>
      <c r="D12">
        <f>C12/($C$16-$C$2)</f>
        <v/>
      </c>
      <c r="E12" t="inlineStr">
        <is>
          <t>ISIC 45T47</t>
        </is>
      </c>
    </row>
    <row r="13">
      <c r="A13" t="inlineStr">
        <is>
          <t>Dealers</t>
        </is>
      </c>
      <c r="B13" t="inlineStr">
        <is>
          <t>Dealer new vehicle selling expense</t>
        </is>
      </c>
      <c r="C13" t="n">
        <v>0.06</v>
      </c>
      <c r="D13">
        <f>C13/($C$16-$C$2)</f>
        <v/>
      </c>
      <c r="E13" t="inlineStr">
        <is>
          <t>ISIC 45T47</t>
        </is>
      </c>
    </row>
    <row r="14">
      <c r="A14" t="inlineStr">
        <is>
          <t>Other</t>
        </is>
      </c>
      <c r="B14" t="inlineStr">
        <is>
          <t>Net income</t>
        </is>
      </c>
      <c r="C14" t="n">
        <v>0.05</v>
      </c>
      <c r="D14">
        <f>C14/($C$16-$C$2)</f>
        <v/>
      </c>
      <c r="E14" t="inlineStr">
        <is>
          <t>ISIC 29</t>
        </is>
      </c>
    </row>
    <row r="16">
      <c r="A16" s="1" t="inlineStr">
        <is>
          <t>TOTAL</t>
        </is>
      </c>
      <c r="C16">
        <f>SUM(C2:C14)</f>
        <v/>
      </c>
    </row>
    <row r="25">
      <c r="A25" t="inlineStr">
        <is>
          <t>ISIC 01T03</t>
        </is>
      </c>
      <c r="B25" t="inlineStr">
        <is>
          <t>{Agriculture, forestry and fishing}</t>
        </is>
      </c>
    </row>
    <row r="26">
      <c r="A26" t="inlineStr">
        <is>
          <t>ISIC 05</t>
        </is>
      </c>
      <c r="B26" t="inlineStr">
        <is>
          <t>{Coal mining}</t>
        </is>
      </c>
    </row>
    <row r="27">
      <c r="A27" t="inlineStr">
        <is>
          <t>ISIC 06</t>
        </is>
      </c>
      <c r="B27" t="inlineStr">
        <is>
          <t>{Oil and gas extraction}</t>
        </is>
      </c>
    </row>
    <row r="28">
      <c r="A28" t="inlineStr">
        <is>
          <t>ISIC 07T08</t>
        </is>
      </c>
      <c r="B28" t="inlineStr">
        <is>
          <t>{Mining and quarrying of non-energy producing products}</t>
        </is>
      </c>
    </row>
    <row r="29">
      <c r="A29" t="inlineStr">
        <is>
          <t>ISIC 09</t>
        </is>
      </c>
      <c r="B29" t="inlineStr">
        <is>
          <t>{Mining support service activities}</t>
        </is>
      </c>
    </row>
    <row r="30">
      <c r="A30" t="inlineStr">
        <is>
          <t>ISIC 10T12</t>
        </is>
      </c>
      <c r="B30" t="inlineStr">
        <is>
          <t>{Food products, beverages and tobacco}</t>
        </is>
      </c>
    </row>
    <row r="31">
      <c r="A31" t="inlineStr">
        <is>
          <t>ISIC 13T15</t>
        </is>
      </c>
      <c r="B31" t="inlineStr">
        <is>
          <t>{Textiles, wearing apparel, leather and related products}</t>
        </is>
      </c>
    </row>
    <row r="32">
      <c r="A32" t="inlineStr">
        <is>
          <t>ISIC 16</t>
        </is>
      </c>
      <c r="B32" t="inlineStr">
        <is>
          <t>{Wood and of products of wood and cork (except furniture)}</t>
        </is>
      </c>
    </row>
    <row r="33">
      <c r="A33" t="inlineStr">
        <is>
          <t>ISIC 17T18</t>
        </is>
      </c>
      <c r="B33" t="inlineStr">
        <is>
          <t>{Paper products and printing}</t>
        </is>
      </c>
    </row>
    <row r="34">
      <c r="A34" t="inlineStr">
        <is>
          <t>ISIC 19</t>
        </is>
      </c>
      <c r="B34" t="inlineStr">
        <is>
          <t>{Coke and refined petroleum products}</t>
        </is>
      </c>
    </row>
    <row r="35">
      <c r="A35" t="inlineStr">
        <is>
          <t>ISIC 20</t>
        </is>
      </c>
      <c r="B35" t="inlineStr">
        <is>
          <t>{Chemicals}</t>
        </is>
      </c>
    </row>
    <row r="36">
      <c r="A36" t="inlineStr">
        <is>
          <t>ISIC 21</t>
        </is>
      </c>
      <c r="B36" t="inlineStr">
        <is>
          <t>{Pharmaceuticals}</t>
        </is>
      </c>
    </row>
    <row r="37">
      <c r="A37" t="inlineStr">
        <is>
          <t>ISIC 22</t>
        </is>
      </c>
      <c r="B37" t="inlineStr">
        <is>
          <t>{Rubber and plastics products}</t>
        </is>
      </c>
    </row>
    <row r="38">
      <c r="A38" t="inlineStr">
        <is>
          <t>ISIC 231</t>
        </is>
      </c>
      <c r="B38" t="inlineStr">
        <is>
          <t>{Glass}</t>
        </is>
      </c>
    </row>
    <row r="39">
      <c r="A39" t="inlineStr">
        <is>
          <t>ISIC 239</t>
        </is>
      </c>
      <c r="B39" t="inlineStr">
        <is>
          <t>{Cement and other non-metallic minerals}</t>
        </is>
      </c>
    </row>
    <row r="40">
      <c r="A40" t="inlineStr">
        <is>
          <t>ISIC 241</t>
        </is>
      </c>
      <c r="B40" t="inlineStr">
        <is>
          <t>{Iron and steel}</t>
        </is>
      </c>
    </row>
    <row r="41">
      <c r="A41" t="inlineStr">
        <is>
          <t>ISIC 242</t>
        </is>
      </c>
      <c r="B41" t="inlineStr">
        <is>
          <t>{Other metals}</t>
        </is>
      </c>
    </row>
    <row r="42">
      <c r="A42" t="inlineStr">
        <is>
          <t>ISIC 25</t>
        </is>
      </c>
      <c r="B42" t="inlineStr">
        <is>
          <t>{Fabricated metal products, except machinery and equipment}</t>
        </is>
      </c>
    </row>
    <row r="43">
      <c r="A43" t="inlineStr">
        <is>
          <t>ISIC 26</t>
        </is>
      </c>
      <c r="B43" t="inlineStr">
        <is>
          <t>{Computer, electronic and optical products}</t>
        </is>
      </c>
    </row>
    <row r="44">
      <c r="A44" t="inlineStr">
        <is>
          <t>ISIC 27</t>
        </is>
      </c>
      <c r="B44" t="inlineStr">
        <is>
          <t>{Electrical equipment}</t>
        </is>
      </c>
    </row>
    <row r="45">
      <c r="A45" t="inlineStr">
        <is>
          <t>ISIC 28</t>
        </is>
      </c>
      <c r="B45" t="inlineStr">
        <is>
          <t>{Machinery and equipment n.e.c.}</t>
        </is>
      </c>
    </row>
    <row r="46">
      <c r="A46" t="inlineStr">
        <is>
          <t>ISIC 29</t>
        </is>
      </c>
      <c r="B46" t="inlineStr">
        <is>
          <t>{Motor vehicles, trailers and semi-trailers}</t>
        </is>
      </c>
    </row>
    <row r="47">
      <c r="A47" t="inlineStr">
        <is>
          <t>ISIC 30</t>
        </is>
      </c>
      <c r="B47" t="inlineStr">
        <is>
          <t>{Other transport equipment}</t>
        </is>
      </c>
    </row>
    <row r="48">
      <c r="A48" t="inlineStr">
        <is>
          <t>ISIC 31T33</t>
        </is>
      </c>
      <c r="B48" t="inlineStr">
        <is>
          <t>{Other manufacturing; repair and installation of machinery and equipment}</t>
        </is>
      </c>
    </row>
    <row r="49">
      <c r="A49" t="inlineStr">
        <is>
          <t>ISIC 351</t>
        </is>
      </c>
      <c r="B49" t="inlineStr">
        <is>
          <t>{Electricity generation and distribution}</t>
        </is>
      </c>
    </row>
    <row r="50">
      <c r="A50" t="inlineStr">
        <is>
          <t>ISIC 352T353</t>
        </is>
      </c>
      <c r="B50" t="inlineStr">
        <is>
          <t>{Energy pipelines and gas processing}</t>
        </is>
      </c>
    </row>
    <row r="51">
      <c r="A51" t="inlineStr">
        <is>
          <t>ISIC 36T39</t>
        </is>
      </c>
      <c r="B51" t="inlineStr">
        <is>
          <t>{Water and waste}</t>
        </is>
      </c>
    </row>
    <row r="52">
      <c r="A52" t="inlineStr">
        <is>
          <t>ISIC 41T43</t>
        </is>
      </c>
      <c r="B52" t="inlineStr">
        <is>
          <t>{Construction}</t>
        </is>
      </c>
    </row>
    <row r="53">
      <c r="A53" t="inlineStr">
        <is>
          <t>ISIC 45T47</t>
        </is>
      </c>
      <c r="B53" t="inlineStr">
        <is>
          <t>{Wholesale and retail trade; repair of motor vehicles}</t>
        </is>
      </c>
    </row>
    <row r="54">
      <c r="A54" t="inlineStr">
        <is>
          <t>ISIC 49T53</t>
        </is>
      </c>
      <c r="B54" t="inlineStr">
        <is>
          <t>{Transportation and storage}</t>
        </is>
      </c>
    </row>
    <row r="55">
      <c r="A55" t="inlineStr">
        <is>
          <t>ISIC 55T56</t>
        </is>
      </c>
      <c r="B55" t="inlineStr">
        <is>
          <t>{Accomodation and food services}</t>
        </is>
      </c>
    </row>
    <row r="56">
      <c r="A56" t="inlineStr">
        <is>
          <t>ISIC 58T60</t>
        </is>
      </c>
      <c r="B56" t="inlineStr">
        <is>
          <t>{Publishing, audiovisual and broadcasting activities}</t>
        </is>
      </c>
    </row>
    <row r="57">
      <c r="A57" t="inlineStr">
        <is>
          <t>ISIC 61</t>
        </is>
      </c>
      <c r="B57" t="inlineStr">
        <is>
          <t>{Telecommunications}</t>
        </is>
      </c>
    </row>
    <row r="58">
      <c r="A58" t="inlineStr">
        <is>
          <t>ISIC 62T63</t>
        </is>
      </c>
      <c r="B58" t="inlineStr">
        <is>
          <t>{IT and other information services}</t>
        </is>
      </c>
    </row>
    <row r="59">
      <c r="A59" t="inlineStr">
        <is>
          <t>ISIC 64T66</t>
        </is>
      </c>
      <c r="B59" t="inlineStr">
        <is>
          <t>{Financial and insurance activities}</t>
        </is>
      </c>
    </row>
    <row r="60">
      <c r="A60" t="inlineStr">
        <is>
          <t>ISIC 68</t>
        </is>
      </c>
      <c r="B60" t="inlineStr">
        <is>
          <t>{Real estate activities}</t>
        </is>
      </c>
    </row>
    <row r="61">
      <c r="A61" t="inlineStr">
        <is>
          <t>ISIC 69T82</t>
        </is>
      </c>
      <c r="B61" t="inlineStr">
        <is>
          <t>{Other business sector services}</t>
        </is>
      </c>
    </row>
    <row r="62">
      <c r="A62" t="inlineStr">
        <is>
          <t>ISIC 84</t>
        </is>
      </c>
      <c r="B62" t="inlineStr">
        <is>
          <t>{Public administration and defence; compulsory social security}</t>
        </is>
      </c>
    </row>
    <row r="63">
      <c r="A63" t="inlineStr">
        <is>
          <t>ISIC 85</t>
        </is>
      </c>
      <c r="B63" t="inlineStr">
        <is>
          <t>{Education}</t>
        </is>
      </c>
    </row>
    <row r="64">
      <c r="A64" t="inlineStr">
        <is>
          <t>ISIC 86T88</t>
        </is>
      </c>
      <c r="B64" t="inlineStr">
        <is>
          <t>{Human health and social work}</t>
        </is>
      </c>
    </row>
    <row r="65">
      <c r="A65" t="inlineStr">
        <is>
          <t>ISIC 90T96</t>
        </is>
      </c>
      <c r="B65" t="inlineStr">
        <is>
          <t>{Arts, entertainment, recreation and other service activities}</t>
        </is>
      </c>
    </row>
    <row r="66">
      <c r="A66" t="inlineStr">
        <is>
          <t>ISIC 97T98</t>
        </is>
      </c>
      <c r="B66" t="inlineStr">
        <is>
          <t>{Private households with employed persons}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Q7"/>
  <sheetViews>
    <sheetView workbookViewId="0">
      <selection activeCell="W7" sqref="W7"/>
    </sheetView>
  </sheetViews>
  <sheetFormatPr baseColWidth="8" defaultRowHeight="15"/>
  <cols>
    <col width="12.42578125" bestFit="1" customWidth="1" min="1" max="1"/>
  </cols>
  <sheetData>
    <row r="1">
      <c r="A1" t="inlineStr">
        <is>
          <t>Vehicle Type</t>
        </is>
      </c>
      <c r="B1" t="inlineStr">
        <is>
          <t>ISIC 01T03</t>
        </is>
      </c>
      <c r="C1" t="inlineStr">
        <is>
          <t>ISIC 05</t>
        </is>
      </c>
      <c r="D1" t="inlineStr">
        <is>
          <t>ISIC 06</t>
        </is>
      </c>
      <c r="E1" t="inlineStr">
        <is>
          <t>ISIC 07T08</t>
        </is>
      </c>
      <c r="F1" t="inlineStr">
        <is>
          <t>ISIC 09</t>
        </is>
      </c>
      <c r="G1" t="inlineStr">
        <is>
          <t>ISIC 10T12</t>
        </is>
      </c>
      <c r="H1" t="inlineStr">
        <is>
          <t>ISIC 13T15</t>
        </is>
      </c>
      <c r="I1" t="inlineStr">
        <is>
          <t>ISIC 16</t>
        </is>
      </c>
      <c r="J1" t="inlineStr">
        <is>
          <t>ISIC 17T18</t>
        </is>
      </c>
      <c r="K1" t="inlineStr">
        <is>
          <t>ISIC 19</t>
        </is>
      </c>
      <c r="L1" t="inlineStr">
        <is>
          <t>ISIC 20</t>
        </is>
      </c>
      <c r="M1" t="inlineStr">
        <is>
          <t>ISIC 21</t>
        </is>
      </c>
      <c r="N1" t="inlineStr">
        <is>
          <t>ISIC 22</t>
        </is>
      </c>
      <c r="O1" t="inlineStr">
        <is>
          <t>ISIC 231</t>
        </is>
      </c>
      <c r="P1" t="inlineStr">
        <is>
          <t>ISIC 239</t>
        </is>
      </c>
      <c r="Q1" t="inlineStr">
        <is>
          <t>ISIC 241</t>
        </is>
      </c>
      <c r="R1" t="inlineStr">
        <is>
          <t>ISIC 242</t>
        </is>
      </c>
      <c r="S1" t="inlineStr">
        <is>
          <t>ISIC 25</t>
        </is>
      </c>
      <c r="T1" t="inlineStr">
        <is>
          <t>ISIC 26</t>
        </is>
      </c>
      <c r="U1" t="inlineStr">
        <is>
          <t>ISIC 27</t>
        </is>
      </c>
      <c r="V1" t="inlineStr">
        <is>
          <t>ISIC 28</t>
        </is>
      </c>
      <c r="W1" t="inlineStr">
        <is>
          <t>ISIC 29</t>
        </is>
      </c>
      <c r="X1" t="inlineStr">
        <is>
          <t>ISIC 30</t>
        </is>
      </c>
      <c r="Y1" t="inlineStr">
        <is>
          <t>ISIC 31T33</t>
        </is>
      </c>
      <c r="Z1" t="inlineStr">
        <is>
          <t>ISIC 351</t>
        </is>
      </c>
      <c r="AA1" t="inlineStr">
        <is>
          <t>ISIC 352T353</t>
        </is>
      </c>
      <c r="AB1" t="inlineStr">
        <is>
          <t>ISIC 36T39</t>
        </is>
      </c>
      <c r="AC1" t="inlineStr">
        <is>
          <t>ISIC 41T43</t>
        </is>
      </c>
      <c r="AD1" t="inlineStr">
        <is>
          <t>ISIC 45T47</t>
        </is>
      </c>
      <c r="AE1" t="inlineStr">
        <is>
          <t>ISIC 49T53</t>
        </is>
      </c>
      <c r="AF1" t="inlineStr">
        <is>
          <t>ISIC 55T56</t>
        </is>
      </c>
      <c r="AG1" t="inlineStr">
        <is>
          <t>ISIC 58T60</t>
        </is>
      </c>
      <c r="AH1" t="inlineStr">
        <is>
          <t>ISIC 61</t>
        </is>
      </c>
      <c r="AI1" t="inlineStr">
        <is>
          <t>ISIC 62T63</t>
        </is>
      </c>
      <c r="AJ1" t="inlineStr">
        <is>
          <t>ISIC 64T66</t>
        </is>
      </c>
      <c r="AK1" t="inlineStr">
        <is>
          <t>ISIC 68</t>
        </is>
      </c>
      <c r="AL1" t="inlineStr">
        <is>
          <t>ISIC 69T82</t>
        </is>
      </c>
      <c r="AM1" t="inlineStr">
        <is>
          <t>ISIC 84</t>
        </is>
      </c>
      <c r="AN1" t="inlineStr">
        <is>
          <t>ISIC 85</t>
        </is>
      </c>
      <c r="AO1" t="inlineStr">
        <is>
          <t>ISIC 86T88</t>
        </is>
      </c>
      <c r="AP1" t="inlineStr">
        <is>
          <t>ISIC 90T96</t>
        </is>
      </c>
      <c r="AQ1" t="inlineStr">
        <is>
          <t>ISIC 97T98</t>
        </is>
      </c>
    </row>
    <row r="2">
      <c r="A2" t="inlineStr">
        <is>
          <t>LDVs</t>
        </is>
      </c>
      <c r="B2">
        <f>SUMIFS('LDV Data'!$D$3:$D$14,'LDV Data'!$E$3:$E$14,B1)</f>
        <v/>
      </c>
      <c r="C2">
        <f>SUMIFS('LDV Data'!$D$3:$D$14,'LDV Data'!$E$3:$E$14,C1)</f>
        <v/>
      </c>
      <c r="D2">
        <f>SUMIFS('LDV Data'!$D$3:$D$14,'LDV Data'!$E$3:$E$14,D1)</f>
        <v/>
      </c>
      <c r="E2">
        <f>SUMIFS('LDV Data'!$D$3:$D$14,'LDV Data'!$E$3:$E$14,E1)</f>
        <v/>
      </c>
      <c r="F2">
        <f>SUMIFS('LDV Data'!$D$3:$D$14,'LDV Data'!$E$3:$E$14,F1)</f>
        <v/>
      </c>
      <c r="G2">
        <f>SUMIFS('LDV Data'!$D$3:$D$14,'LDV Data'!$E$3:$E$14,G1)</f>
        <v/>
      </c>
      <c r="H2">
        <f>SUMIFS('LDV Data'!$D$3:$D$14,'LDV Data'!$E$3:$E$14,H1)</f>
        <v/>
      </c>
      <c r="I2">
        <f>SUMIFS('LDV Data'!$D$3:$D$14,'LDV Data'!$E$3:$E$14,I1)</f>
        <v/>
      </c>
      <c r="J2">
        <f>SUMIFS('LDV Data'!$D$3:$D$14,'LDV Data'!$E$3:$E$14,J1)</f>
        <v/>
      </c>
      <c r="K2">
        <f>SUMIFS('LDV Data'!$D$3:$D$14,'LDV Data'!$E$3:$E$14,K1)</f>
        <v/>
      </c>
      <c r="L2">
        <f>SUMIFS('LDV Data'!$D$3:$D$14,'LDV Data'!$E$3:$E$14,L1)</f>
        <v/>
      </c>
      <c r="M2">
        <f>SUMIFS('LDV Data'!$D$3:$D$14,'LDV Data'!$E$3:$E$14,M1)</f>
        <v/>
      </c>
      <c r="N2">
        <f>SUMIFS('LDV Data'!$D$3:$D$14,'LDV Data'!$E$3:$E$14,N1)</f>
        <v/>
      </c>
      <c r="O2">
        <f>SUMIFS('LDV Data'!$D$3:$D$14,'LDV Data'!$E$3:$E$14,O1)</f>
        <v/>
      </c>
      <c r="P2">
        <f>SUMIFS('LDV Data'!$D$3:$D$14,'LDV Data'!$E$3:$E$14,P1)</f>
        <v/>
      </c>
      <c r="Q2">
        <f>SUMIFS('LDV Data'!$D$3:$D$14,'LDV Data'!$E$3:$E$14,Q1)</f>
        <v/>
      </c>
      <c r="R2">
        <f>SUMIFS('LDV Data'!$D$3:$D$14,'LDV Data'!$E$3:$E$14,R1)</f>
        <v/>
      </c>
      <c r="S2">
        <f>SUMIFS('LDV Data'!$D$3:$D$14,'LDV Data'!$E$3:$E$14,S1)</f>
        <v/>
      </c>
      <c r="T2">
        <f>SUMIFS('LDV Data'!$D$3:$D$14,'LDV Data'!$E$3:$E$14,T1)</f>
        <v/>
      </c>
      <c r="U2">
        <f>SUMIFS('LDV Data'!$D$3:$D$14,'LDV Data'!$E$3:$E$14,U1)</f>
        <v/>
      </c>
      <c r="V2">
        <f>SUMIFS('LDV Data'!$D$3:$D$14,'LDV Data'!$E$3:$E$14,V1)</f>
        <v/>
      </c>
      <c r="W2">
        <f>SUMIFS('LDV Data'!$D$3:$D$14,'LDV Data'!$E$3:$E$14,W1)</f>
        <v/>
      </c>
      <c r="X2">
        <f>SUMIFS('LDV Data'!$D$3:$D$14,'LDV Data'!$E$3:$E$14,X1)</f>
        <v/>
      </c>
      <c r="Y2">
        <f>SUMIFS('LDV Data'!$D$3:$D$14,'LDV Data'!$E$3:$E$14,Y1)</f>
        <v/>
      </c>
      <c r="Z2">
        <f>SUMIFS('LDV Data'!$D$3:$D$14,'LDV Data'!$E$3:$E$14,Z1)</f>
        <v/>
      </c>
      <c r="AA2">
        <f>SUMIFS('LDV Data'!$D$3:$D$14,'LDV Data'!$E$3:$E$14,AA1)</f>
        <v/>
      </c>
      <c r="AB2">
        <f>SUMIFS('LDV Data'!$D$3:$D$14,'LDV Data'!$E$3:$E$14,AB1)</f>
        <v/>
      </c>
      <c r="AC2">
        <f>SUMIFS('LDV Data'!$D$3:$D$14,'LDV Data'!$E$3:$E$14,AC1)</f>
        <v/>
      </c>
      <c r="AD2">
        <f>SUMIFS('LDV Data'!$D$3:$D$14,'LDV Data'!$E$3:$E$14,AD1)</f>
        <v/>
      </c>
      <c r="AE2">
        <f>SUMIFS('LDV Data'!$D$3:$D$14,'LDV Data'!$E$3:$E$14,AE1)</f>
        <v/>
      </c>
      <c r="AF2">
        <f>SUMIFS('LDV Data'!$D$3:$D$14,'LDV Data'!$E$3:$E$14,AF1)</f>
        <v/>
      </c>
      <c r="AG2">
        <f>SUMIFS('LDV Data'!$D$3:$D$14,'LDV Data'!$E$3:$E$14,AG1)</f>
        <v/>
      </c>
      <c r="AH2">
        <f>SUMIFS('LDV Data'!$D$3:$D$14,'LDV Data'!$E$3:$E$14,AH1)</f>
        <v/>
      </c>
      <c r="AI2">
        <f>SUMIFS('LDV Data'!$D$3:$D$14,'LDV Data'!$E$3:$E$14,AI1)</f>
        <v/>
      </c>
      <c r="AJ2">
        <f>SUMIFS('LDV Data'!$D$3:$D$14,'LDV Data'!$E$3:$E$14,AJ1)</f>
        <v/>
      </c>
      <c r="AK2">
        <f>SUMIFS('LDV Data'!$D$3:$D$14,'LDV Data'!$E$3:$E$14,AK1)</f>
        <v/>
      </c>
      <c r="AL2">
        <f>SUMIFS('LDV Data'!$D$3:$D$14,'LDV Data'!$E$3:$E$14,AL1)</f>
        <v/>
      </c>
      <c r="AM2">
        <f>SUMIFS('LDV Data'!$D$3:$D$14,'LDV Data'!$E$3:$E$14,AM1)</f>
        <v/>
      </c>
      <c r="AN2">
        <f>SUMIFS('LDV Data'!$D$3:$D$14,'LDV Data'!$E$3:$E$14,AN1)</f>
        <v/>
      </c>
      <c r="AO2">
        <f>SUMIFS('LDV Data'!$D$3:$D$14,'LDV Data'!$E$3:$E$14,AO1)</f>
        <v/>
      </c>
      <c r="AP2">
        <f>SUMIFS('LDV Data'!$D$3:$D$14,'LDV Data'!$E$3:$E$14,AP1)</f>
        <v/>
      </c>
      <c r="AQ2">
        <f>SUMIFS('LDV Data'!$D$3:$D$14,'LDV Data'!$E$3:$E$14,AQ1)</f>
        <v/>
      </c>
    </row>
    <row r="3">
      <c r="A3" t="inlineStr">
        <is>
          <t>HDVs</t>
        </is>
      </c>
      <c r="B3">
        <f>SUMIFS('HDV Data'!$D$3:$D$14,'HDV Data'!$E$3:$E$14,B1)</f>
        <v/>
      </c>
      <c r="C3">
        <f>SUMIFS('HDV Data'!$D$3:$D$14,'HDV Data'!$E$3:$E$14,C1)</f>
        <v/>
      </c>
      <c r="D3">
        <f>SUMIFS('HDV Data'!$D$3:$D$14,'HDV Data'!$E$3:$E$14,D1)</f>
        <v/>
      </c>
      <c r="E3">
        <f>SUMIFS('HDV Data'!$D$3:$D$14,'HDV Data'!$E$3:$E$14,E1)</f>
        <v/>
      </c>
      <c r="F3">
        <f>SUMIFS('HDV Data'!$D$3:$D$14,'HDV Data'!$E$3:$E$14,F1)</f>
        <v/>
      </c>
      <c r="G3">
        <f>SUMIFS('HDV Data'!$D$3:$D$14,'HDV Data'!$E$3:$E$14,G1)</f>
        <v/>
      </c>
      <c r="H3">
        <f>SUMIFS('HDV Data'!$D$3:$D$14,'HDV Data'!$E$3:$E$14,H1)</f>
        <v/>
      </c>
      <c r="I3">
        <f>SUMIFS('HDV Data'!$D$3:$D$14,'HDV Data'!$E$3:$E$14,I1)</f>
        <v/>
      </c>
      <c r="J3">
        <f>SUMIFS('HDV Data'!$D$3:$D$14,'HDV Data'!$E$3:$E$14,J1)</f>
        <v/>
      </c>
      <c r="K3">
        <f>SUMIFS('HDV Data'!$D$3:$D$14,'HDV Data'!$E$3:$E$14,K1)</f>
        <v/>
      </c>
      <c r="L3">
        <f>SUMIFS('HDV Data'!$D$3:$D$14,'HDV Data'!$E$3:$E$14,L1)</f>
        <v/>
      </c>
      <c r="M3">
        <f>SUMIFS('HDV Data'!$D$3:$D$14,'HDV Data'!$E$3:$E$14,M1)</f>
        <v/>
      </c>
      <c r="N3">
        <f>SUMIFS('HDV Data'!$D$3:$D$14,'HDV Data'!$E$3:$E$14,N1)</f>
        <v/>
      </c>
      <c r="O3">
        <f>SUMIFS('HDV Data'!$D$3:$D$14,'HDV Data'!$E$3:$E$14,O1)</f>
        <v/>
      </c>
      <c r="P3">
        <f>SUMIFS('HDV Data'!$D$3:$D$14,'HDV Data'!$E$3:$E$14,P1)</f>
        <v/>
      </c>
      <c r="Q3">
        <f>SUMIFS('HDV Data'!$D$3:$D$14,'HDV Data'!$E$3:$E$14,Q1)</f>
        <v/>
      </c>
      <c r="R3">
        <f>SUMIFS('HDV Data'!$D$3:$D$14,'HDV Data'!$E$3:$E$14,R1)</f>
        <v/>
      </c>
      <c r="S3">
        <f>SUMIFS('HDV Data'!$D$3:$D$14,'HDV Data'!$E$3:$E$14,S1)</f>
        <v/>
      </c>
      <c r="T3">
        <f>SUMIFS('HDV Data'!$D$3:$D$14,'HDV Data'!$E$3:$E$14,T1)</f>
        <v/>
      </c>
      <c r="U3">
        <f>SUMIFS('HDV Data'!$D$3:$D$14,'HDV Data'!$E$3:$E$14,U1)</f>
        <v/>
      </c>
      <c r="V3">
        <f>SUMIFS('HDV Data'!$D$3:$D$14,'HDV Data'!$E$3:$E$14,V1)</f>
        <v/>
      </c>
      <c r="W3">
        <f>SUMIFS('HDV Data'!$D$3:$D$14,'HDV Data'!$E$3:$E$14,W1)</f>
        <v/>
      </c>
      <c r="X3">
        <f>SUMIFS('HDV Data'!$D$3:$D$14,'HDV Data'!$E$3:$E$14,X1)</f>
        <v/>
      </c>
      <c r="Y3">
        <f>SUMIFS('HDV Data'!$D$3:$D$14,'HDV Data'!$E$3:$E$14,Y1)</f>
        <v/>
      </c>
      <c r="Z3">
        <f>SUMIFS('HDV Data'!$D$3:$D$14,'HDV Data'!$E$3:$E$14,Z1)</f>
        <v/>
      </c>
      <c r="AA3">
        <f>SUMIFS('HDV Data'!$D$3:$D$14,'HDV Data'!$E$3:$E$14,AA1)</f>
        <v/>
      </c>
      <c r="AB3">
        <f>SUMIFS('HDV Data'!$D$3:$D$14,'HDV Data'!$E$3:$E$14,AB1)</f>
        <v/>
      </c>
      <c r="AC3">
        <f>SUMIFS('HDV Data'!$D$3:$D$14,'HDV Data'!$E$3:$E$14,AC1)</f>
        <v/>
      </c>
      <c r="AD3">
        <f>SUMIFS('HDV Data'!$D$3:$D$14,'HDV Data'!$E$3:$E$14,AD1)</f>
        <v/>
      </c>
      <c r="AE3">
        <f>SUMIFS('HDV Data'!$D$3:$D$14,'HDV Data'!$E$3:$E$14,AE1)</f>
        <v/>
      </c>
      <c r="AF3">
        <f>SUMIFS('HDV Data'!$D$3:$D$14,'HDV Data'!$E$3:$E$14,AF1)</f>
        <v/>
      </c>
      <c r="AG3">
        <f>SUMIFS('HDV Data'!$D$3:$D$14,'HDV Data'!$E$3:$E$14,AG1)</f>
        <v/>
      </c>
      <c r="AH3">
        <f>SUMIFS('HDV Data'!$D$3:$D$14,'HDV Data'!$E$3:$E$14,AH1)</f>
        <v/>
      </c>
      <c r="AI3">
        <f>SUMIFS('HDV Data'!$D$3:$D$14,'HDV Data'!$E$3:$E$14,AI1)</f>
        <v/>
      </c>
      <c r="AJ3">
        <f>SUMIFS('HDV Data'!$D$3:$D$14,'HDV Data'!$E$3:$E$14,AJ1)</f>
        <v/>
      </c>
      <c r="AK3">
        <f>SUMIFS('HDV Data'!$D$3:$D$14,'HDV Data'!$E$3:$E$14,AK1)</f>
        <v/>
      </c>
      <c r="AL3">
        <f>SUMIFS('HDV Data'!$D$3:$D$14,'HDV Data'!$E$3:$E$14,AL1)</f>
        <v/>
      </c>
      <c r="AM3">
        <f>SUMIFS('HDV Data'!$D$3:$D$14,'HDV Data'!$E$3:$E$14,AM1)</f>
        <v/>
      </c>
      <c r="AN3">
        <f>SUMIFS('HDV Data'!$D$3:$D$14,'HDV Data'!$E$3:$E$14,AN1)</f>
        <v/>
      </c>
      <c r="AO3">
        <f>SUMIFS('HDV Data'!$D$3:$D$14,'HDV Data'!$E$3:$E$14,AO1)</f>
        <v/>
      </c>
      <c r="AP3">
        <f>SUMIFS('HDV Data'!$D$3:$D$14,'HDV Data'!$E$3:$E$14,AP1)</f>
        <v/>
      </c>
      <c r="AQ3">
        <f>SUMIFS('HDV Data'!$D$3:$D$14,'HDV Data'!$E$3:$E$14,AQ1)</f>
        <v/>
      </c>
    </row>
    <row r="4">
      <c r="A4" t="inlineStr">
        <is>
          <t>aircraft</t>
        </is>
      </c>
      <c r="B4">
        <f>B3</f>
        <v/>
      </c>
      <c r="C4">
        <f>C3</f>
        <v/>
      </c>
      <c r="D4">
        <f>D3</f>
        <v/>
      </c>
      <c r="E4">
        <f>E3</f>
        <v/>
      </c>
      <c r="F4">
        <f>F3</f>
        <v/>
      </c>
      <c r="G4">
        <f>G3</f>
        <v/>
      </c>
      <c r="H4">
        <f>H3</f>
        <v/>
      </c>
      <c r="I4">
        <f>I3</f>
        <v/>
      </c>
      <c r="J4">
        <f>J3</f>
        <v/>
      </c>
      <c r="K4">
        <f>K3</f>
        <v/>
      </c>
      <c r="L4">
        <f>L3</f>
        <v/>
      </c>
      <c r="M4">
        <f>M3</f>
        <v/>
      </c>
      <c r="N4">
        <f>N3</f>
        <v/>
      </c>
      <c r="O4">
        <f>O3</f>
        <v/>
      </c>
      <c r="P4">
        <f>P3</f>
        <v/>
      </c>
      <c r="Q4">
        <f>Q3</f>
        <v/>
      </c>
      <c r="R4">
        <f>R3</f>
        <v/>
      </c>
      <c r="S4">
        <f>S3</f>
        <v/>
      </c>
      <c r="T4">
        <f>T3</f>
        <v/>
      </c>
      <c r="U4">
        <f>U3</f>
        <v/>
      </c>
      <c r="V4">
        <f>V3</f>
        <v/>
      </c>
      <c r="W4" s="4" t="n">
        <v>0</v>
      </c>
      <c r="X4">
        <f>W3</f>
        <v/>
      </c>
      <c r="Y4">
        <f>Y3</f>
        <v/>
      </c>
      <c r="Z4">
        <f>Z3</f>
        <v/>
      </c>
      <c r="AA4">
        <f>AA3</f>
        <v/>
      </c>
      <c r="AB4">
        <f>AB3</f>
        <v/>
      </c>
      <c r="AC4">
        <f>AC3</f>
        <v/>
      </c>
      <c r="AD4">
        <f>AD3</f>
        <v/>
      </c>
      <c r="AE4">
        <f>AE3</f>
        <v/>
      </c>
      <c r="AF4">
        <f>AF3</f>
        <v/>
      </c>
      <c r="AG4">
        <f>AG3</f>
        <v/>
      </c>
      <c r="AH4">
        <f>AH3</f>
        <v/>
      </c>
      <c r="AI4">
        <f>AI3</f>
        <v/>
      </c>
      <c r="AJ4">
        <f>AJ3</f>
        <v/>
      </c>
      <c r="AK4">
        <f>AK3</f>
        <v/>
      </c>
      <c r="AL4">
        <f>AL3</f>
        <v/>
      </c>
      <c r="AM4">
        <f>AM3</f>
        <v/>
      </c>
      <c r="AN4">
        <f>AN3</f>
        <v/>
      </c>
      <c r="AO4">
        <f>AO3</f>
        <v/>
      </c>
      <c r="AP4">
        <f>AP3</f>
        <v/>
      </c>
      <c r="AQ4">
        <f>AQ3</f>
        <v/>
      </c>
    </row>
    <row r="5">
      <c r="A5" t="inlineStr">
        <is>
          <t>rail</t>
        </is>
      </c>
      <c r="B5">
        <f>B4</f>
        <v/>
      </c>
      <c r="C5">
        <f>C4</f>
        <v/>
      </c>
      <c r="D5">
        <f>D4</f>
        <v/>
      </c>
      <c r="E5">
        <f>E4</f>
        <v/>
      </c>
      <c r="F5">
        <f>F4</f>
        <v/>
      </c>
      <c r="G5">
        <f>G4</f>
        <v/>
      </c>
      <c r="H5">
        <f>H4</f>
        <v/>
      </c>
      <c r="I5">
        <f>I4</f>
        <v/>
      </c>
      <c r="J5">
        <f>J4</f>
        <v/>
      </c>
      <c r="K5">
        <f>K4</f>
        <v/>
      </c>
      <c r="L5">
        <f>L4</f>
        <v/>
      </c>
      <c r="M5">
        <f>M4</f>
        <v/>
      </c>
      <c r="N5">
        <f>N4</f>
        <v/>
      </c>
      <c r="O5">
        <f>O4</f>
        <v/>
      </c>
      <c r="P5">
        <f>P4</f>
        <v/>
      </c>
      <c r="Q5">
        <f>Q4</f>
        <v/>
      </c>
      <c r="R5">
        <f>R4</f>
        <v/>
      </c>
      <c r="S5">
        <f>S4</f>
        <v/>
      </c>
      <c r="T5">
        <f>T4</f>
        <v/>
      </c>
      <c r="U5">
        <f>U4</f>
        <v/>
      </c>
      <c r="V5">
        <f>V4</f>
        <v/>
      </c>
      <c r="W5" s="4" t="n">
        <v>0</v>
      </c>
      <c r="X5">
        <f>X4</f>
        <v/>
      </c>
      <c r="Y5">
        <f>Y4</f>
        <v/>
      </c>
      <c r="Z5">
        <f>Z4</f>
        <v/>
      </c>
      <c r="AA5">
        <f>AA4</f>
        <v/>
      </c>
      <c r="AB5">
        <f>AB4</f>
        <v/>
      </c>
      <c r="AC5">
        <f>AC4</f>
        <v/>
      </c>
      <c r="AD5">
        <f>AD4</f>
        <v/>
      </c>
      <c r="AE5">
        <f>AE4</f>
        <v/>
      </c>
      <c r="AF5">
        <f>AF4</f>
        <v/>
      </c>
      <c r="AG5">
        <f>AG4</f>
        <v/>
      </c>
      <c r="AH5">
        <f>AH4</f>
        <v/>
      </c>
      <c r="AI5">
        <f>AI4</f>
        <v/>
      </c>
      <c r="AJ5">
        <f>AJ4</f>
        <v/>
      </c>
      <c r="AK5">
        <f>AK4</f>
        <v/>
      </c>
      <c r="AL5">
        <f>AL4</f>
        <v/>
      </c>
      <c r="AM5">
        <f>AM4</f>
        <v/>
      </c>
      <c r="AN5">
        <f>AN4</f>
        <v/>
      </c>
      <c r="AO5">
        <f>AO4</f>
        <v/>
      </c>
      <c r="AP5">
        <f>AP4</f>
        <v/>
      </c>
      <c r="AQ5">
        <f>AQ4</f>
        <v/>
      </c>
    </row>
    <row r="6">
      <c r="A6" t="inlineStr">
        <is>
          <t>ships</t>
        </is>
      </c>
      <c r="B6">
        <f>B5</f>
        <v/>
      </c>
      <c r="C6">
        <f>C5</f>
        <v/>
      </c>
      <c r="D6">
        <f>D5</f>
        <v/>
      </c>
      <c r="E6">
        <f>E5</f>
        <v/>
      </c>
      <c r="F6">
        <f>F5</f>
        <v/>
      </c>
      <c r="G6">
        <f>G5</f>
        <v/>
      </c>
      <c r="H6">
        <f>H5</f>
        <v/>
      </c>
      <c r="I6">
        <f>I5</f>
        <v/>
      </c>
      <c r="J6">
        <f>J5</f>
        <v/>
      </c>
      <c r="K6">
        <f>K5</f>
        <v/>
      </c>
      <c r="L6">
        <f>L5</f>
        <v/>
      </c>
      <c r="M6">
        <f>M5</f>
        <v/>
      </c>
      <c r="N6">
        <f>N5</f>
        <v/>
      </c>
      <c r="O6">
        <f>O5</f>
        <v/>
      </c>
      <c r="P6">
        <f>P5</f>
        <v/>
      </c>
      <c r="Q6">
        <f>Q5</f>
        <v/>
      </c>
      <c r="R6">
        <f>R5</f>
        <v/>
      </c>
      <c r="S6">
        <f>S5</f>
        <v/>
      </c>
      <c r="T6">
        <f>T5</f>
        <v/>
      </c>
      <c r="U6">
        <f>U5</f>
        <v/>
      </c>
      <c r="V6">
        <f>V5</f>
        <v/>
      </c>
      <c r="W6" s="4" t="n">
        <v>0</v>
      </c>
      <c r="X6">
        <f>X5</f>
        <v/>
      </c>
      <c r="Y6">
        <f>Y5</f>
        <v/>
      </c>
      <c r="Z6">
        <f>Z5</f>
        <v/>
      </c>
      <c r="AA6">
        <f>AA5</f>
        <v/>
      </c>
      <c r="AB6">
        <f>AB5</f>
        <v/>
      </c>
      <c r="AC6">
        <f>AC5</f>
        <v/>
      </c>
      <c r="AD6">
        <f>AD5</f>
        <v/>
      </c>
      <c r="AE6">
        <f>AE5</f>
        <v/>
      </c>
      <c r="AF6">
        <f>AF5</f>
        <v/>
      </c>
      <c r="AG6">
        <f>AG5</f>
        <v/>
      </c>
      <c r="AH6">
        <f>AH5</f>
        <v/>
      </c>
      <c r="AI6">
        <f>AI5</f>
        <v/>
      </c>
      <c r="AJ6">
        <f>AJ5</f>
        <v/>
      </c>
      <c r="AK6">
        <f>AK5</f>
        <v/>
      </c>
      <c r="AL6">
        <f>AL5</f>
        <v/>
      </c>
      <c r="AM6">
        <f>AM5</f>
        <v/>
      </c>
      <c r="AN6">
        <f>AN5</f>
        <v/>
      </c>
      <c r="AO6">
        <f>AO5</f>
        <v/>
      </c>
      <c r="AP6">
        <f>AP5</f>
        <v/>
      </c>
      <c r="AQ6">
        <f>AQ5</f>
        <v/>
      </c>
    </row>
    <row r="7">
      <c r="A7" t="inlineStr">
        <is>
          <t>motorbike</t>
        </is>
      </c>
      <c r="B7">
        <f>B6</f>
        <v/>
      </c>
      <c r="C7">
        <f>C6</f>
        <v/>
      </c>
      <c r="D7">
        <f>D6</f>
        <v/>
      </c>
      <c r="E7">
        <f>E6</f>
        <v/>
      </c>
      <c r="F7">
        <f>F6</f>
        <v/>
      </c>
      <c r="G7">
        <f>G6</f>
        <v/>
      </c>
      <c r="H7">
        <f>H6</f>
        <v/>
      </c>
      <c r="I7">
        <f>I6</f>
        <v/>
      </c>
      <c r="J7">
        <f>J6</f>
        <v/>
      </c>
      <c r="K7">
        <f>K6</f>
        <v/>
      </c>
      <c r="L7">
        <f>L6</f>
        <v/>
      </c>
      <c r="M7">
        <f>M6</f>
        <v/>
      </c>
      <c r="N7">
        <f>N6</f>
        <v/>
      </c>
      <c r="O7">
        <f>O6</f>
        <v/>
      </c>
      <c r="P7">
        <f>P6</f>
        <v/>
      </c>
      <c r="Q7">
        <f>Q6</f>
        <v/>
      </c>
      <c r="R7">
        <f>R6</f>
        <v/>
      </c>
      <c r="S7">
        <f>S6</f>
        <v/>
      </c>
      <c r="T7">
        <f>T6</f>
        <v/>
      </c>
      <c r="U7">
        <f>U6</f>
        <v/>
      </c>
      <c r="V7">
        <f>V6</f>
        <v/>
      </c>
      <c r="W7">
        <f>W2</f>
        <v/>
      </c>
      <c r="X7" s="4" t="n">
        <v>0</v>
      </c>
      <c r="Y7">
        <f>Y6</f>
        <v/>
      </c>
      <c r="Z7">
        <f>Z6</f>
        <v/>
      </c>
      <c r="AA7">
        <f>AA6</f>
        <v/>
      </c>
      <c r="AB7">
        <f>AB6</f>
        <v/>
      </c>
      <c r="AC7">
        <f>AC6</f>
        <v/>
      </c>
      <c r="AD7">
        <f>SUMIFS('LDV Data'!$D$3:$D$14,'LDV Data'!$E$3:$E$14,AD1)</f>
        <v/>
      </c>
      <c r="AE7">
        <f>AE6</f>
        <v/>
      </c>
      <c r="AF7">
        <f>AF6</f>
        <v/>
      </c>
      <c r="AG7">
        <f>AG6</f>
        <v/>
      </c>
      <c r="AH7">
        <f>AH6</f>
        <v/>
      </c>
      <c r="AI7">
        <f>AI6</f>
        <v/>
      </c>
      <c r="AJ7">
        <f>AJ6</f>
        <v/>
      </c>
      <c r="AK7">
        <f>AK6</f>
        <v/>
      </c>
      <c r="AL7">
        <f>AL6</f>
        <v/>
      </c>
      <c r="AM7">
        <f>AM6</f>
        <v/>
      </c>
      <c r="AN7">
        <f>AN6</f>
        <v/>
      </c>
      <c r="AO7">
        <f>AO6</f>
        <v/>
      </c>
      <c r="AP7">
        <f>AP6</f>
        <v/>
      </c>
      <c r="AQ7">
        <f>AQ6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2023-04-27T20:33:15Z</dcterms:created>
  <dcterms:modified xmlns:dcterms="http://purl.org/dc/terms/" xmlns:xsi="http://www.w3.org/2001/XMLSchema-instance" xsi:type="dcterms:W3CDTF">2026-07-21T20:48:47Z</dcterms:modified>
  <cp:lastModifiedBy>Robbie Orvis</cp:lastModifiedBy>
</cp:coreProperties>
</file>