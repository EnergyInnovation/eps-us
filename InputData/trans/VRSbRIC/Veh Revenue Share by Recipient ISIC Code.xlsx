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7840" windowHeight="23640" tabRatio="6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Factors applied" sheetId="2" state="visible" r:id="rId2"/>
    <sheet xmlns:r="http://schemas.openxmlformats.org/officeDocument/2006/relationships" name="LDV Data" sheetId="3" state="visible" r:id="rId3"/>
    <sheet xmlns:r="http://schemas.openxmlformats.org/officeDocument/2006/relationships" name="HDV Data" sheetId="4" state="visible" r:id="rId4"/>
    <sheet xmlns:r="http://schemas.openxmlformats.org/officeDocument/2006/relationships" name="Checks" sheetId="5" state="visible" r:id="rId5"/>
    <sheet xmlns:r="http://schemas.openxmlformats.org/officeDocument/2006/relationships" name="VRSbRIC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1"/>
    <xf numFmtId="0" fontId="0" fillId="0" borderId="0" applyAlignment="1" pivotButton="0" quotePrefix="0" xfId="0">
      <alignment horizontal="left"/>
    </xf>
    <xf numFmtId="0" fontId="0" fillId="2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twoCellAnchor editAs="oneCell">
    <from>
      <col>9</col>
      <colOff>114300</colOff>
      <row>0</row>
      <rowOff>0</rowOff>
    </from>
    <to>
      <col>22</col>
      <colOff>102934</colOff>
      <row>29</row>
      <rowOff>24117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086975" y="0"/>
          <a:ext cx="7913434" cy="5548617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10</col>
      <colOff>142875</colOff>
      <row>0</row>
      <rowOff>76200</rowOff>
    </from>
    <to>
      <col>24</col>
      <colOff>541808</colOff>
      <row>59</row>
      <rowOff>179557</rowOff>
    </to>
    <pic>
      <nvPicPr>
        <cNvPr id="3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725150" y="76200"/>
          <a:ext cx="8933333" cy="11342857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nepis.epa.gov/Exe/ZyNET.exe/P100AGJ1.TXT?ZyActionD=ZyDocument&amp;Client=EPA&amp;Index=2006+Thru+2010&amp;Docs=&amp;Query=&amp;Time=&amp;EndTime=&amp;SearchMethod=1&amp;TocRestrict=n&amp;Toc=&amp;TocEntry=&amp;QField=&amp;QFieldYear=&amp;QFieldMonth=&amp;QFieldDay=&amp;IntQFieldOp=0&amp;ExtQFieldOp=0&amp;XmlQuery=&amp;File=D%3A%5Czyfiles%5CIndex%20Data%5C06thru10%5CTxt%5C00000025%5CP100AGJ1.txt&amp;User=ANONYMOUS&amp;Password=anonymous&amp;SortMethod=h%7C-&amp;MaximumDocuments=1&amp;FuzzyDegree=0&amp;ImageQuality=r75g8/r75g8/x150y150g16/i425&amp;Display=hpfr&amp;DefSeekPage=x&amp;SearchBack=ZyActionL&amp;Back=ZyActionS&amp;BackDesc=Results%20page&amp;MaximumPages=1&amp;ZyEntry=1&amp;SeekPage=x&amp;ZyPURL" TargetMode="External" Id="rId1"/><Relationship Type="http://schemas.openxmlformats.org/officeDocument/2006/relationships/hyperlink" Target="https://nepis.epa.gov/Exe/ZyPDF.cgi/P100XXR3.PDF?Dockey=P100XXR3.PDF" TargetMode="External" Id="rId2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tabSelected="1" topLeftCell="A1" workbookViewId="0">
      <selection activeCell="A1" sqref="A1"/>
    </sheetView>
  </sheetViews>
  <sheetFormatPr baseColWidth="8" defaultRowHeight="15"/>
  <cols>
    <col width="69" customWidth="1" min="2" max="2"/>
  </cols>
  <sheetData>
    <row r="1">
      <c r="A1" s="1" t="inlineStr">
        <is>
          <t>VRSbRIC Vehicle Revenue Share by Recipient ISIC Code</t>
        </is>
      </c>
    </row>
    <row r="2"/>
    <row r="3">
      <c r="A3" s="1" t="inlineStr">
        <is>
          <t>Sources:</t>
        </is>
      </c>
      <c r="B3" s="5" t="inlineStr">
        <is>
          <t>Passenger LDVs</t>
        </is>
      </c>
    </row>
    <row r="4">
      <c r="B4" t="inlineStr">
        <is>
          <t>EPA</t>
        </is>
      </c>
    </row>
    <row r="5">
      <c r="B5" s="3" t="n">
        <v>2009</v>
      </c>
    </row>
    <row r="6">
      <c r="B6" t="inlineStr">
        <is>
          <t>Automobile Industry Retail Price Equivalent and Indirect Cost Multipliers</t>
        </is>
      </c>
    </row>
    <row r="7">
      <c r="B7" s="2" t="inlineStr">
        <is>
          <t>Link</t>
        </is>
      </c>
    </row>
    <row r="8">
      <c r="B8" t="inlineStr">
        <is>
          <t>Table 3-3</t>
        </is>
      </c>
    </row>
    <row r="9"/>
    <row r="10">
      <c r="B10" s="5" t="inlineStr">
        <is>
          <t>Freight LDVs and HDVs and Passenger HDVs</t>
        </is>
      </c>
    </row>
    <row r="11">
      <c r="B11" t="inlineStr">
        <is>
          <t>EPA</t>
        </is>
      </c>
    </row>
    <row r="12">
      <c r="B12" s="3" t="n">
        <v>2010</v>
      </c>
    </row>
    <row r="13">
      <c r="B13" t="inlineStr">
        <is>
          <t>Heavy Duty Truck Retail Price Equivalent and Indirect Cost Multipliers</t>
        </is>
      </c>
    </row>
    <row r="14">
      <c r="B14" s="2" t="inlineStr">
        <is>
          <t>Link</t>
        </is>
      </c>
    </row>
    <row r="15">
      <c r="B15" t="inlineStr">
        <is>
          <t>Table 3-3</t>
        </is>
      </c>
    </row>
    <row r="16"/>
    <row r="17"/>
    <row r="18"/>
    <row r="19"/>
    <row r="20"/>
    <row r="21">
      <c r="A21" s="1" t="inlineStr">
        <is>
          <t>Notes:</t>
        </is>
      </c>
      <c r="B21" t="inlineStr">
        <is>
          <t>We assume the same cost breakdowns for all technologies, but assign non-road to non-road vehicle manufacturing</t>
        </is>
      </c>
    </row>
    <row r="22">
      <c r="B22" t="inlineStr">
        <is>
          <t>The RPEF file also controls whether or not these values are used</t>
        </is>
      </c>
    </row>
    <row r="24">
      <c r="A24" s="6" t="inlineStr">
        <is>
          <t>52-code expansion (2026-07-17):</t>
        </is>
      </c>
    </row>
    <row r="25">
      <c r="B25" t="inlineStr">
        <is>
          <t>The output tabs produce the 52-code ISIC list. The derivation above is unchanged and live; output-tab formulas reference the derivation tabs</t>
        </is>
      </c>
    </row>
    <row r="26">
      <c r="B26" t="inlineStr">
        <is>
          <t>directly, with the original header-label criteria written as literals (the derivation tabs still use the pre-split 42-code labels).</t>
        </is>
      </c>
    </row>
    <row r="28">
      <c r="B28" t="inlineStr">
        <is>
          <t>Children of split parents multiply the parent's allocation by the factors on the 'Factors applied' tab (editable; defaults = BEA 2024 gross-</t>
        </is>
      </c>
    </row>
    <row r="29">
      <c r="B29" t="inlineStr">
        <is>
          <t>output shares from io-model/BObIC; semantic overrides documented per row with rationale). Motorbike row corrected to match LDVs: the stock file</t>
        </is>
      </c>
    </row>
    <row r="30">
      <c r="B30" t="inlineStr">
        <is>
          <t>(4.0.6 and 4.1) pointed its ISIC 45T47 cell at the HDV dealer share, so the row summed to 0.890 instead of 1 (user decision 2026-07-20).</t>
        </is>
      </c>
    </row>
  </sheetData>
  <hyperlinks>
    <hyperlink xmlns:r="http://schemas.openxmlformats.org/officeDocument/2006/relationships" ref="B7" r:id="rId1"/>
    <hyperlink xmlns:r="http://schemas.openxmlformats.org/officeDocument/2006/relationships" ref="B14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8"/>
  <sheetViews>
    <sheetView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44" customWidth="1" min="6" max="6"/>
  </cols>
  <sheetData>
    <row r="1">
      <c r="A1" s="6" t="inlineStr">
        <is>
          <t>Child factors applied inline in the output-tab formulas (editable). Defaults = BEA 2024 output shares; semantic overrides and fuel reroutes noted per row.</t>
        </is>
      </c>
    </row>
    <row r="2">
      <c r="A2" s="6" t="inlineStr">
        <is>
          <t>File</t>
        </is>
      </c>
      <c r="B2" s="6" t="inlineStr">
        <is>
          <t>Row context</t>
        </is>
      </c>
      <c r="C2" s="6" t="inlineStr">
        <is>
          <t>Child</t>
        </is>
      </c>
      <c r="D2" s="6" t="inlineStr">
        <is>
          <t>Parent</t>
        </is>
      </c>
      <c r="E2" s="6" t="inlineStr">
        <is>
          <t>Factor</t>
        </is>
      </c>
      <c r="F2" s="6" t="inlineStr">
        <is>
          <t>Rationale</t>
        </is>
      </c>
      <c r="G2" s="6" t="inlineStr">
        <is>
          <t>BEA 2024 output share</t>
        </is>
      </c>
    </row>
    <row r="3">
      <c r="A3" t="inlineStr">
        <is>
          <t>VRSbRIC.csv</t>
        </is>
      </c>
      <c r="B3" t="inlineStr">
        <is>
          <t>HDVs</t>
        </is>
      </c>
      <c r="C3" t="inlineStr">
        <is>
          <t>ISIC 01</t>
        </is>
      </c>
      <c r="D3" t="inlineStr">
        <is>
          <t>ISIC 01T03</t>
        </is>
      </c>
      <c r="E3" t="n">
        <v>0.9429986826432329</v>
      </c>
      <c r="F3" t="inlineStr">
        <is>
          <t>BEA 2024 output share (default)</t>
        </is>
      </c>
      <c r="G3" t="n">
        <v>0.9429986826432329</v>
      </c>
    </row>
    <row r="4">
      <c r="A4" t="inlineStr">
        <is>
          <t>VRSbRIC.csv</t>
        </is>
      </c>
      <c r="B4" t="inlineStr">
        <is>
          <t>HDVs</t>
        </is>
      </c>
      <c r="C4" t="inlineStr">
        <is>
          <t>ISIC 02</t>
        </is>
      </c>
      <c r="D4" t="inlineStr">
        <is>
          <t>ISIC 01T03</t>
        </is>
      </c>
      <c r="E4" t="n">
        <v>0.04176573136965662</v>
      </c>
      <c r="F4" t="inlineStr">
        <is>
          <t>BEA 2024 output share (default)</t>
        </is>
      </c>
      <c r="G4" t="n">
        <v>0.04176573136965662</v>
      </c>
    </row>
    <row r="5">
      <c r="A5" t="inlineStr">
        <is>
          <t>VRSbRIC.csv</t>
        </is>
      </c>
      <c r="B5" t="inlineStr">
        <is>
          <t>HDVs</t>
        </is>
      </c>
      <c r="C5" t="inlineStr">
        <is>
          <t>ISIC 03</t>
        </is>
      </c>
      <c r="D5" t="inlineStr">
        <is>
          <t>ISIC 01T03</t>
        </is>
      </c>
      <c r="E5" t="n">
        <v>0.01523558598711041</v>
      </c>
      <c r="F5" t="inlineStr">
        <is>
          <t>BEA 2024 output share (default)</t>
        </is>
      </c>
      <c r="G5" t="n">
        <v>0.01523558598711041</v>
      </c>
    </row>
    <row r="6">
      <c r="A6" t="inlineStr">
        <is>
          <t>VRSbRIC.csv</t>
        </is>
      </c>
      <c r="B6" t="inlineStr">
        <is>
          <t>HDVs</t>
        </is>
      </c>
      <c r="C6" t="inlineStr">
        <is>
          <t>ISIC 07</t>
        </is>
      </c>
      <c r="D6" t="inlineStr">
        <is>
          <t>ISIC 07T08</t>
        </is>
      </c>
      <c r="E6" t="n">
        <v>0.4327368836123752</v>
      </c>
      <c r="F6" t="inlineStr">
        <is>
          <t>BEA 2024 output share (default)</t>
        </is>
      </c>
      <c r="G6" t="n">
        <v>0.4327368836123752</v>
      </c>
    </row>
    <row r="7">
      <c r="A7" t="inlineStr">
        <is>
          <t>VRSbRIC.csv</t>
        </is>
      </c>
      <c r="B7" t="inlineStr">
        <is>
          <t>HDVs</t>
        </is>
      </c>
      <c r="C7" t="inlineStr">
        <is>
          <t>ISIC 08</t>
        </is>
      </c>
      <c r="D7" t="inlineStr">
        <is>
          <t>ISIC 07T08</t>
        </is>
      </c>
      <c r="E7" t="n">
        <v>0.5672631163876248</v>
      </c>
      <c r="F7" t="inlineStr">
        <is>
          <t>BEA 2024 output share (default)</t>
        </is>
      </c>
      <c r="G7" t="n">
        <v>0.5672631163876248</v>
      </c>
    </row>
    <row r="8">
      <c r="A8" t="inlineStr">
        <is>
          <t>VRSbRIC.csv</t>
        </is>
      </c>
      <c r="B8" t="inlineStr">
        <is>
          <t>HDVs</t>
        </is>
      </c>
      <c r="C8" t="inlineStr">
        <is>
          <t>ISIC 301</t>
        </is>
      </c>
      <c r="D8" t="inlineStr">
        <is>
          <t>ISIC 30</t>
        </is>
      </c>
      <c r="E8" t="n">
        <v>0</v>
      </c>
      <c r="F8" t="inlineStr">
        <is>
          <t>semantic override</t>
        </is>
      </c>
      <c r="G8" t="n">
        <v>0.1171368722490322</v>
      </c>
    </row>
    <row r="9">
      <c r="A9" t="inlineStr">
        <is>
          <t>VRSbRIC.csv</t>
        </is>
      </c>
      <c r="B9" t="inlineStr">
        <is>
          <t>HDVs</t>
        </is>
      </c>
      <c r="C9" t="inlineStr">
        <is>
          <t>ISIC 302T309</t>
        </is>
      </c>
      <c r="D9" t="inlineStr">
        <is>
          <t>ISIC 30</t>
        </is>
      </c>
      <c r="E9" t="n">
        <v>1</v>
      </c>
      <c r="F9" t="inlineStr">
        <is>
          <t>semantic override</t>
        </is>
      </c>
      <c r="G9" t="n">
        <v>0.8828631277509678</v>
      </c>
    </row>
    <row r="10">
      <c r="A10" t="inlineStr">
        <is>
          <t>VRSbRIC.csv</t>
        </is>
      </c>
      <c r="B10" t="inlineStr">
        <is>
          <t>HDVs</t>
        </is>
      </c>
      <c r="C10" t="inlineStr">
        <is>
          <t>ISIC 49</t>
        </is>
      </c>
      <c r="D10" t="inlineStr">
        <is>
          <t>ISIC 49T53</t>
        </is>
      </c>
      <c r="E10" t="n">
        <v>0.45630816353267</v>
      </c>
      <c r="F10" t="inlineStr">
        <is>
          <t>BEA 2024 output share (default)</t>
        </is>
      </c>
      <c r="G10" t="n">
        <v>0.45630816353267</v>
      </c>
    </row>
    <row r="11">
      <c r="A11" t="inlineStr">
        <is>
          <t>VRSbRIC.csv</t>
        </is>
      </c>
      <c r="B11" t="inlineStr">
        <is>
          <t>HDVs</t>
        </is>
      </c>
      <c r="C11" t="inlineStr">
        <is>
          <t>ISIC 50</t>
        </is>
      </c>
      <c r="D11" t="inlineStr">
        <is>
          <t>ISIC 49T53</t>
        </is>
      </c>
      <c r="E11" t="n">
        <v>0.04437004750051631</v>
      </c>
      <c r="F11" t="inlineStr">
        <is>
          <t>BEA 2024 output share (default)</t>
        </is>
      </c>
      <c r="G11" t="n">
        <v>0.04437004750051631</v>
      </c>
    </row>
    <row r="12">
      <c r="A12" t="inlineStr">
        <is>
          <t>VRSbRIC.csv</t>
        </is>
      </c>
      <c r="B12" t="inlineStr">
        <is>
          <t>HDVs</t>
        </is>
      </c>
      <c r="C12" t="inlineStr">
        <is>
          <t>ISIC 51</t>
        </is>
      </c>
      <c r="D12" t="inlineStr">
        <is>
          <t>ISIC 49T53</t>
        </is>
      </c>
      <c r="E12" t="n">
        <v>0.1883750452665103</v>
      </c>
      <c r="F12" t="inlineStr">
        <is>
          <t>BEA 2024 output share (default)</t>
        </is>
      </c>
      <c r="G12" t="n">
        <v>0.1883750452665103</v>
      </c>
    </row>
    <row r="13">
      <c r="A13" t="inlineStr">
        <is>
          <t>VRSbRIC.csv</t>
        </is>
      </c>
      <c r="B13" t="inlineStr">
        <is>
          <t>HDVs</t>
        </is>
      </c>
      <c r="C13" t="inlineStr">
        <is>
          <t>ISIC 52</t>
        </is>
      </c>
      <c r="D13" t="inlineStr">
        <is>
          <t>ISIC 49T53</t>
        </is>
      </c>
      <c r="E13" t="n">
        <v>0.2228651226758185</v>
      </c>
      <c r="F13" t="inlineStr">
        <is>
          <t>BEA 2024 output share (default)</t>
        </is>
      </c>
      <c r="G13" t="n">
        <v>0.2228651226758185</v>
      </c>
    </row>
    <row r="14">
      <c r="A14" t="inlineStr">
        <is>
          <t>VRSbRIC.csv</t>
        </is>
      </c>
      <c r="B14" t="inlineStr">
        <is>
          <t>HDVs</t>
        </is>
      </c>
      <c r="C14" t="inlineStr">
        <is>
          <t>ISIC 53</t>
        </is>
      </c>
      <c r="D14" t="inlineStr">
        <is>
          <t>ISIC 49T53</t>
        </is>
      </c>
      <c r="E14" t="n">
        <v>0.08808162102448482</v>
      </c>
      <c r="F14" t="inlineStr">
        <is>
          <t>BEA 2024 output share (default)</t>
        </is>
      </c>
      <c r="G14" t="n">
        <v>0.08808162102448482</v>
      </c>
    </row>
    <row r="15">
      <c r="A15" t="inlineStr">
        <is>
          <t>VRSbRIC.csv</t>
        </is>
      </c>
      <c r="B15" t="inlineStr">
        <is>
          <t>HDVs</t>
        </is>
      </c>
      <c r="C15" t="inlineStr">
        <is>
          <t>ISIC 69T75</t>
        </is>
      </c>
      <c r="D15" t="inlineStr">
        <is>
          <t>ISIC 69T82</t>
        </is>
      </c>
      <c r="E15" t="n">
        <v>1</v>
      </c>
      <c r="F15" t="inlineStr">
        <is>
          <t>semantic override</t>
        </is>
      </c>
      <c r="G15" t="n">
        <v>0.7298219447914125</v>
      </c>
    </row>
    <row r="16">
      <c r="A16" t="inlineStr">
        <is>
          <t>VRSbRIC.csv</t>
        </is>
      </c>
      <c r="B16" t="inlineStr">
        <is>
          <t>HDVs</t>
        </is>
      </c>
      <c r="C16" t="inlineStr">
        <is>
          <t>ISIC 77T82</t>
        </is>
      </c>
      <c r="D16" t="inlineStr">
        <is>
          <t>ISIC 69T82</t>
        </is>
      </c>
      <c r="E16" t="n">
        <v>0</v>
      </c>
      <c r="F16" t="inlineStr">
        <is>
          <t>semantic override</t>
        </is>
      </c>
      <c r="G16" t="n">
        <v>0.2701780552085875</v>
      </c>
    </row>
    <row r="17">
      <c r="A17" t="inlineStr">
        <is>
          <t>VRSbRIC.csv</t>
        </is>
      </c>
      <c r="B17" t="inlineStr">
        <is>
          <t>HDVs</t>
        </is>
      </c>
      <c r="C17" t="inlineStr">
        <is>
          <t>ISIC 90T93</t>
        </is>
      </c>
      <c r="D17" t="inlineStr">
        <is>
          <t>ISIC 90T96</t>
        </is>
      </c>
      <c r="E17" t="n">
        <v>0.4216249514352275</v>
      </c>
      <c r="F17" t="inlineStr">
        <is>
          <t>BEA 2024 output share (default)</t>
        </is>
      </c>
      <c r="G17" t="n">
        <v>0.4216249514352275</v>
      </c>
    </row>
    <row r="18">
      <c r="A18" t="inlineStr">
        <is>
          <t>VRSbRIC.csv</t>
        </is>
      </c>
      <c r="B18" t="inlineStr">
        <is>
          <t>HDVs</t>
        </is>
      </c>
      <c r="C18" t="inlineStr">
        <is>
          <t>ISIC 94T96</t>
        </is>
      </c>
      <c r="D18" t="inlineStr">
        <is>
          <t>ISIC 90T96</t>
        </is>
      </c>
      <c r="E18" t="n">
        <v>0.5783750485647725</v>
      </c>
      <c r="F18" t="inlineStr">
        <is>
          <t>BEA 2024 output share (default)</t>
        </is>
      </c>
      <c r="G18" t="n">
        <v>0.5783750485647725</v>
      </c>
    </row>
    <row r="19">
      <c r="A19" t="inlineStr">
        <is>
          <t>VRSbRIC.csv</t>
        </is>
      </c>
      <c r="B19" t="inlineStr">
        <is>
          <t>LDVs</t>
        </is>
      </c>
      <c r="C19" t="inlineStr">
        <is>
          <t>ISIC 01</t>
        </is>
      </c>
      <c r="D19" t="inlineStr">
        <is>
          <t>ISIC 01T03</t>
        </is>
      </c>
      <c r="E19" t="n">
        <v>0.9429986826432329</v>
      </c>
      <c r="F19" t="inlineStr">
        <is>
          <t>BEA 2024 output share (default)</t>
        </is>
      </c>
      <c r="G19" t="n">
        <v>0.9429986826432329</v>
      </c>
    </row>
    <row r="20">
      <c r="A20" t="inlineStr">
        <is>
          <t>VRSbRIC.csv</t>
        </is>
      </c>
      <c r="B20" t="inlineStr">
        <is>
          <t>LDVs</t>
        </is>
      </c>
      <c r="C20" t="inlineStr">
        <is>
          <t>ISIC 02</t>
        </is>
      </c>
      <c r="D20" t="inlineStr">
        <is>
          <t>ISIC 01T03</t>
        </is>
      </c>
      <c r="E20" t="n">
        <v>0.04176573136965662</v>
      </c>
      <c r="F20" t="inlineStr">
        <is>
          <t>BEA 2024 output share (default)</t>
        </is>
      </c>
      <c r="G20" t="n">
        <v>0.04176573136965662</v>
      </c>
    </row>
    <row r="21">
      <c r="A21" t="inlineStr">
        <is>
          <t>VRSbRIC.csv</t>
        </is>
      </c>
      <c r="B21" t="inlineStr">
        <is>
          <t>LDVs</t>
        </is>
      </c>
      <c r="C21" t="inlineStr">
        <is>
          <t>ISIC 03</t>
        </is>
      </c>
      <c r="D21" t="inlineStr">
        <is>
          <t>ISIC 01T03</t>
        </is>
      </c>
      <c r="E21" t="n">
        <v>0.01523558598711041</v>
      </c>
      <c r="F21" t="inlineStr">
        <is>
          <t>BEA 2024 output share (default)</t>
        </is>
      </c>
      <c r="G21" t="n">
        <v>0.01523558598711041</v>
      </c>
    </row>
    <row r="22">
      <c r="A22" t="inlineStr">
        <is>
          <t>VRSbRIC.csv</t>
        </is>
      </c>
      <c r="B22" t="inlineStr">
        <is>
          <t>LDVs</t>
        </is>
      </c>
      <c r="C22" t="inlineStr">
        <is>
          <t>ISIC 07</t>
        </is>
      </c>
      <c r="D22" t="inlineStr">
        <is>
          <t>ISIC 07T08</t>
        </is>
      </c>
      <c r="E22" t="n">
        <v>0.4327368836123752</v>
      </c>
      <c r="F22" t="inlineStr">
        <is>
          <t>BEA 2024 output share (default)</t>
        </is>
      </c>
      <c r="G22" t="n">
        <v>0.4327368836123752</v>
      </c>
    </row>
    <row r="23">
      <c r="A23" t="inlineStr">
        <is>
          <t>VRSbRIC.csv</t>
        </is>
      </c>
      <c r="B23" t="inlineStr">
        <is>
          <t>LDVs</t>
        </is>
      </c>
      <c r="C23" t="inlineStr">
        <is>
          <t>ISIC 08</t>
        </is>
      </c>
      <c r="D23" t="inlineStr">
        <is>
          <t>ISIC 07T08</t>
        </is>
      </c>
      <c r="E23" t="n">
        <v>0.5672631163876248</v>
      </c>
      <c r="F23" t="inlineStr">
        <is>
          <t>BEA 2024 output share (default)</t>
        </is>
      </c>
      <c r="G23" t="n">
        <v>0.5672631163876248</v>
      </c>
    </row>
    <row r="24">
      <c r="A24" t="inlineStr">
        <is>
          <t>VRSbRIC.csv</t>
        </is>
      </c>
      <c r="B24" t="inlineStr">
        <is>
          <t>LDVs</t>
        </is>
      </c>
      <c r="C24" t="inlineStr">
        <is>
          <t>ISIC 301</t>
        </is>
      </c>
      <c r="D24" t="inlineStr">
        <is>
          <t>ISIC 30</t>
        </is>
      </c>
      <c r="E24" t="n">
        <v>0</v>
      </c>
      <c r="F24" t="inlineStr">
        <is>
          <t>semantic override</t>
        </is>
      </c>
      <c r="G24" t="n">
        <v>0.1171368722490322</v>
      </c>
    </row>
    <row r="25">
      <c r="A25" t="inlineStr">
        <is>
          <t>VRSbRIC.csv</t>
        </is>
      </c>
      <c r="B25" t="inlineStr">
        <is>
          <t>LDVs</t>
        </is>
      </c>
      <c r="C25" t="inlineStr">
        <is>
          <t>ISIC 302T309</t>
        </is>
      </c>
      <c r="D25" t="inlineStr">
        <is>
          <t>ISIC 30</t>
        </is>
      </c>
      <c r="E25" t="n">
        <v>1</v>
      </c>
      <c r="F25" t="inlineStr">
        <is>
          <t>semantic override</t>
        </is>
      </c>
      <c r="G25" t="n">
        <v>0.8828631277509678</v>
      </c>
    </row>
    <row r="26">
      <c r="A26" t="inlineStr">
        <is>
          <t>VRSbRIC.csv</t>
        </is>
      </c>
      <c r="B26" t="inlineStr">
        <is>
          <t>LDVs</t>
        </is>
      </c>
      <c r="C26" t="inlineStr">
        <is>
          <t>ISIC 49</t>
        </is>
      </c>
      <c r="D26" t="inlineStr">
        <is>
          <t>ISIC 49T53</t>
        </is>
      </c>
      <c r="E26" t="n">
        <v>0.45630816353267</v>
      </c>
      <c r="F26" t="inlineStr">
        <is>
          <t>BEA 2024 output share (default)</t>
        </is>
      </c>
      <c r="G26" t="n">
        <v>0.45630816353267</v>
      </c>
    </row>
    <row r="27">
      <c r="A27" t="inlineStr">
        <is>
          <t>VRSbRIC.csv</t>
        </is>
      </c>
      <c r="B27" t="inlineStr">
        <is>
          <t>LDVs</t>
        </is>
      </c>
      <c r="C27" t="inlineStr">
        <is>
          <t>ISIC 50</t>
        </is>
      </c>
      <c r="D27" t="inlineStr">
        <is>
          <t>ISIC 49T53</t>
        </is>
      </c>
      <c r="E27" t="n">
        <v>0.04437004750051631</v>
      </c>
      <c r="F27" t="inlineStr">
        <is>
          <t>BEA 2024 output share (default)</t>
        </is>
      </c>
      <c r="G27" t="n">
        <v>0.04437004750051631</v>
      </c>
    </row>
    <row r="28">
      <c r="A28" t="inlineStr">
        <is>
          <t>VRSbRIC.csv</t>
        </is>
      </c>
      <c r="B28" t="inlineStr">
        <is>
          <t>LDVs</t>
        </is>
      </c>
      <c r="C28" t="inlineStr">
        <is>
          <t>ISIC 51</t>
        </is>
      </c>
      <c r="D28" t="inlineStr">
        <is>
          <t>ISIC 49T53</t>
        </is>
      </c>
      <c r="E28" t="n">
        <v>0.1883750452665103</v>
      </c>
      <c r="F28" t="inlineStr">
        <is>
          <t>BEA 2024 output share (default)</t>
        </is>
      </c>
      <c r="G28" t="n">
        <v>0.1883750452665103</v>
      </c>
    </row>
    <row r="29">
      <c r="A29" t="inlineStr">
        <is>
          <t>VRSbRIC.csv</t>
        </is>
      </c>
      <c r="B29" t="inlineStr">
        <is>
          <t>LDVs</t>
        </is>
      </c>
      <c r="C29" t="inlineStr">
        <is>
          <t>ISIC 52</t>
        </is>
      </c>
      <c r="D29" t="inlineStr">
        <is>
          <t>ISIC 49T53</t>
        </is>
      </c>
      <c r="E29" t="n">
        <v>0.2228651226758185</v>
      </c>
      <c r="F29" t="inlineStr">
        <is>
          <t>BEA 2024 output share (default)</t>
        </is>
      </c>
      <c r="G29" t="n">
        <v>0.2228651226758185</v>
      </c>
    </row>
    <row r="30">
      <c r="A30" t="inlineStr">
        <is>
          <t>VRSbRIC.csv</t>
        </is>
      </c>
      <c r="B30" t="inlineStr">
        <is>
          <t>LDVs</t>
        </is>
      </c>
      <c r="C30" t="inlineStr">
        <is>
          <t>ISIC 53</t>
        </is>
      </c>
      <c r="D30" t="inlineStr">
        <is>
          <t>ISIC 49T53</t>
        </is>
      </c>
      <c r="E30" t="n">
        <v>0.08808162102448482</v>
      </c>
      <c r="F30" t="inlineStr">
        <is>
          <t>BEA 2024 output share (default)</t>
        </is>
      </c>
      <c r="G30" t="n">
        <v>0.08808162102448482</v>
      </c>
    </row>
    <row r="31">
      <c r="A31" t="inlineStr">
        <is>
          <t>VRSbRIC.csv</t>
        </is>
      </c>
      <c r="B31" t="inlineStr">
        <is>
          <t>LDVs</t>
        </is>
      </c>
      <c r="C31" t="inlineStr">
        <is>
          <t>ISIC 69T75</t>
        </is>
      </c>
      <c r="D31" t="inlineStr">
        <is>
          <t>ISIC 69T82</t>
        </is>
      </c>
      <c r="E31" t="n">
        <v>1</v>
      </c>
      <c r="F31" t="inlineStr">
        <is>
          <t>semantic override</t>
        </is>
      </c>
      <c r="G31" t="n">
        <v>0.7298219447914125</v>
      </c>
    </row>
    <row r="32">
      <c r="A32" t="inlineStr">
        <is>
          <t>VRSbRIC.csv</t>
        </is>
      </c>
      <c r="B32" t="inlineStr">
        <is>
          <t>LDVs</t>
        </is>
      </c>
      <c r="C32" t="inlineStr">
        <is>
          <t>ISIC 77T82</t>
        </is>
      </c>
      <c r="D32" t="inlineStr">
        <is>
          <t>ISIC 69T82</t>
        </is>
      </c>
      <c r="E32" t="n">
        <v>0</v>
      </c>
      <c r="F32" t="inlineStr">
        <is>
          <t>semantic override</t>
        </is>
      </c>
      <c r="G32" t="n">
        <v>0.2701780552085875</v>
      </c>
    </row>
    <row r="33">
      <c r="A33" t="inlineStr">
        <is>
          <t>VRSbRIC.csv</t>
        </is>
      </c>
      <c r="B33" t="inlineStr">
        <is>
          <t>LDVs</t>
        </is>
      </c>
      <c r="C33" t="inlineStr">
        <is>
          <t>ISIC 90T93</t>
        </is>
      </c>
      <c r="D33" t="inlineStr">
        <is>
          <t>ISIC 90T96</t>
        </is>
      </c>
      <c r="E33" t="n">
        <v>0.4216249514352275</v>
      </c>
      <c r="F33" t="inlineStr">
        <is>
          <t>BEA 2024 output share (default)</t>
        </is>
      </c>
      <c r="G33" t="n">
        <v>0.4216249514352275</v>
      </c>
    </row>
    <row r="34">
      <c r="A34" t="inlineStr">
        <is>
          <t>VRSbRIC.csv</t>
        </is>
      </c>
      <c r="B34" t="inlineStr">
        <is>
          <t>LDVs</t>
        </is>
      </c>
      <c r="C34" t="inlineStr">
        <is>
          <t>ISIC 94T96</t>
        </is>
      </c>
      <c r="D34" t="inlineStr">
        <is>
          <t>ISIC 90T96</t>
        </is>
      </c>
      <c r="E34" t="n">
        <v>0.5783750485647725</v>
      </c>
      <c r="F34" t="inlineStr">
        <is>
          <t>BEA 2024 output share (default)</t>
        </is>
      </c>
      <c r="G34" t="n">
        <v>0.5783750485647725</v>
      </c>
    </row>
    <row r="35">
      <c r="A35" t="inlineStr">
        <is>
          <t>VRSbRIC.csv</t>
        </is>
      </c>
      <c r="B35" t="inlineStr">
        <is>
          <t>aircraft</t>
        </is>
      </c>
      <c r="C35" t="inlineStr">
        <is>
          <t>ISIC 01</t>
        </is>
      </c>
      <c r="D35" t="inlineStr">
        <is>
          <t>ISIC 01T03</t>
        </is>
      </c>
      <c r="E35" t="n">
        <v>0.9429986826432329</v>
      </c>
      <c r="F35" t="inlineStr">
        <is>
          <t>BEA 2024 output share (default)</t>
        </is>
      </c>
      <c r="G35" t="n">
        <v>0.9429986826432329</v>
      </c>
    </row>
    <row r="36">
      <c r="A36" t="inlineStr">
        <is>
          <t>VRSbRIC.csv</t>
        </is>
      </c>
      <c r="B36" t="inlineStr">
        <is>
          <t>aircraft</t>
        </is>
      </c>
      <c r="C36" t="inlineStr">
        <is>
          <t>ISIC 02</t>
        </is>
      </c>
      <c r="D36" t="inlineStr">
        <is>
          <t>ISIC 01T03</t>
        </is>
      </c>
      <c r="E36" t="n">
        <v>0.04176573136965662</v>
      </c>
      <c r="F36" t="inlineStr">
        <is>
          <t>BEA 2024 output share (default)</t>
        </is>
      </c>
      <c r="G36" t="n">
        <v>0.04176573136965662</v>
      </c>
    </row>
    <row r="37">
      <c r="A37" t="inlineStr">
        <is>
          <t>VRSbRIC.csv</t>
        </is>
      </c>
      <c r="B37" t="inlineStr">
        <is>
          <t>aircraft</t>
        </is>
      </c>
      <c r="C37" t="inlineStr">
        <is>
          <t>ISIC 03</t>
        </is>
      </c>
      <c r="D37" t="inlineStr">
        <is>
          <t>ISIC 01T03</t>
        </is>
      </c>
      <c r="E37" t="n">
        <v>0.01523558598711041</v>
      </c>
      <c r="F37" t="inlineStr">
        <is>
          <t>BEA 2024 output share (default)</t>
        </is>
      </c>
      <c r="G37" t="n">
        <v>0.01523558598711041</v>
      </c>
    </row>
    <row r="38">
      <c r="A38" t="inlineStr">
        <is>
          <t>VRSbRIC.csv</t>
        </is>
      </c>
      <c r="B38" t="inlineStr">
        <is>
          <t>aircraft</t>
        </is>
      </c>
      <c r="C38" t="inlineStr">
        <is>
          <t>ISIC 07</t>
        </is>
      </c>
      <c r="D38" t="inlineStr">
        <is>
          <t>ISIC 07T08</t>
        </is>
      </c>
      <c r="E38" t="n">
        <v>0.4327368836123752</v>
      </c>
      <c r="F38" t="inlineStr">
        <is>
          <t>BEA 2024 output share (default)</t>
        </is>
      </c>
      <c r="G38" t="n">
        <v>0.4327368836123752</v>
      </c>
    </row>
    <row r="39">
      <c r="A39" t="inlineStr">
        <is>
          <t>VRSbRIC.csv</t>
        </is>
      </c>
      <c r="B39" t="inlineStr">
        <is>
          <t>aircraft</t>
        </is>
      </c>
      <c r="C39" t="inlineStr">
        <is>
          <t>ISIC 08</t>
        </is>
      </c>
      <c r="D39" t="inlineStr">
        <is>
          <t>ISIC 07T08</t>
        </is>
      </c>
      <c r="E39" t="n">
        <v>0.5672631163876248</v>
      </c>
      <c r="F39" t="inlineStr">
        <is>
          <t>BEA 2024 output share (default)</t>
        </is>
      </c>
      <c r="G39" t="n">
        <v>0.5672631163876248</v>
      </c>
    </row>
    <row r="40">
      <c r="A40" t="inlineStr">
        <is>
          <t>VRSbRIC.csv</t>
        </is>
      </c>
      <c r="B40" t="inlineStr">
        <is>
          <t>aircraft</t>
        </is>
      </c>
      <c r="C40" t="inlineStr">
        <is>
          <t>ISIC 301</t>
        </is>
      </c>
      <c r="D40" t="inlineStr">
        <is>
          <t>ISIC 30</t>
        </is>
      </c>
      <c r="E40" t="n">
        <v>0</v>
      </c>
      <c r="F40" t="inlineStr">
        <is>
          <t>semantic override</t>
        </is>
      </c>
      <c r="G40" t="n">
        <v>0.1171368722490322</v>
      </c>
    </row>
    <row r="41">
      <c r="A41" t="inlineStr">
        <is>
          <t>VRSbRIC.csv</t>
        </is>
      </c>
      <c r="B41" t="inlineStr">
        <is>
          <t>aircraft</t>
        </is>
      </c>
      <c r="C41" t="inlineStr">
        <is>
          <t>ISIC 302T309</t>
        </is>
      </c>
      <c r="D41" t="inlineStr">
        <is>
          <t>ISIC 30</t>
        </is>
      </c>
      <c r="E41" t="n">
        <v>1</v>
      </c>
      <c r="F41" t="inlineStr">
        <is>
          <t>semantic override</t>
        </is>
      </c>
      <c r="G41" t="n">
        <v>0.8828631277509678</v>
      </c>
    </row>
    <row r="42">
      <c r="A42" t="inlineStr">
        <is>
          <t>VRSbRIC.csv</t>
        </is>
      </c>
      <c r="B42" t="inlineStr">
        <is>
          <t>aircraft</t>
        </is>
      </c>
      <c r="C42" t="inlineStr">
        <is>
          <t>ISIC 49</t>
        </is>
      </c>
      <c r="D42" t="inlineStr">
        <is>
          <t>ISIC 49T53</t>
        </is>
      </c>
      <c r="E42" t="n">
        <v>0.45630816353267</v>
      </c>
      <c r="F42" t="inlineStr">
        <is>
          <t>BEA 2024 output share (default)</t>
        </is>
      </c>
      <c r="G42" t="n">
        <v>0.45630816353267</v>
      </c>
    </row>
    <row r="43">
      <c r="A43" t="inlineStr">
        <is>
          <t>VRSbRIC.csv</t>
        </is>
      </c>
      <c r="B43" t="inlineStr">
        <is>
          <t>aircraft</t>
        </is>
      </c>
      <c r="C43" t="inlineStr">
        <is>
          <t>ISIC 50</t>
        </is>
      </c>
      <c r="D43" t="inlineStr">
        <is>
          <t>ISIC 49T53</t>
        </is>
      </c>
      <c r="E43" t="n">
        <v>0.04437004750051631</v>
      </c>
      <c r="F43" t="inlineStr">
        <is>
          <t>BEA 2024 output share (default)</t>
        </is>
      </c>
      <c r="G43" t="n">
        <v>0.04437004750051631</v>
      </c>
    </row>
    <row r="44">
      <c r="A44" t="inlineStr">
        <is>
          <t>VRSbRIC.csv</t>
        </is>
      </c>
      <c r="B44" t="inlineStr">
        <is>
          <t>aircraft</t>
        </is>
      </c>
      <c r="C44" t="inlineStr">
        <is>
          <t>ISIC 51</t>
        </is>
      </c>
      <c r="D44" t="inlineStr">
        <is>
          <t>ISIC 49T53</t>
        </is>
      </c>
      <c r="E44" t="n">
        <v>0.1883750452665103</v>
      </c>
      <c r="F44" t="inlineStr">
        <is>
          <t>BEA 2024 output share (default)</t>
        </is>
      </c>
      <c r="G44" t="n">
        <v>0.1883750452665103</v>
      </c>
    </row>
    <row r="45">
      <c r="A45" t="inlineStr">
        <is>
          <t>VRSbRIC.csv</t>
        </is>
      </c>
      <c r="B45" t="inlineStr">
        <is>
          <t>aircraft</t>
        </is>
      </c>
      <c r="C45" t="inlineStr">
        <is>
          <t>ISIC 52</t>
        </is>
      </c>
      <c r="D45" t="inlineStr">
        <is>
          <t>ISIC 49T53</t>
        </is>
      </c>
      <c r="E45" t="n">
        <v>0.2228651226758185</v>
      </c>
      <c r="F45" t="inlineStr">
        <is>
          <t>BEA 2024 output share (default)</t>
        </is>
      </c>
      <c r="G45" t="n">
        <v>0.2228651226758185</v>
      </c>
    </row>
    <row r="46">
      <c r="A46" t="inlineStr">
        <is>
          <t>VRSbRIC.csv</t>
        </is>
      </c>
      <c r="B46" t="inlineStr">
        <is>
          <t>aircraft</t>
        </is>
      </c>
      <c r="C46" t="inlineStr">
        <is>
          <t>ISIC 53</t>
        </is>
      </c>
      <c r="D46" t="inlineStr">
        <is>
          <t>ISIC 49T53</t>
        </is>
      </c>
      <c r="E46" t="n">
        <v>0.08808162102448482</v>
      </c>
      <c r="F46" t="inlineStr">
        <is>
          <t>BEA 2024 output share (default)</t>
        </is>
      </c>
      <c r="G46" t="n">
        <v>0.08808162102448482</v>
      </c>
    </row>
    <row r="47">
      <c r="A47" t="inlineStr">
        <is>
          <t>VRSbRIC.csv</t>
        </is>
      </c>
      <c r="B47" t="inlineStr">
        <is>
          <t>aircraft</t>
        </is>
      </c>
      <c r="C47" t="inlineStr">
        <is>
          <t>ISIC 69T75</t>
        </is>
      </c>
      <c r="D47" t="inlineStr">
        <is>
          <t>ISIC 69T82</t>
        </is>
      </c>
      <c r="E47" t="n">
        <v>1</v>
      </c>
      <c r="F47" t="inlineStr">
        <is>
          <t>semantic override</t>
        </is>
      </c>
      <c r="G47" t="n">
        <v>0.7298219447914125</v>
      </c>
    </row>
    <row r="48">
      <c r="A48" t="inlineStr">
        <is>
          <t>VRSbRIC.csv</t>
        </is>
      </c>
      <c r="B48" t="inlineStr">
        <is>
          <t>aircraft</t>
        </is>
      </c>
      <c r="C48" t="inlineStr">
        <is>
          <t>ISIC 77T82</t>
        </is>
      </c>
      <c r="D48" t="inlineStr">
        <is>
          <t>ISIC 69T82</t>
        </is>
      </c>
      <c r="E48" t="n">
        <v>0</v>
      </c>
      <c r="F48" t="inlineStr">
        <is>
          <t>semantic override</t>
        </is>
      </c>
      <c r="G48" t="n">
        <v>0.2701780552085875</v>
      </c>
    </row>
    <row r="49">
      <c r="A49" t="inlineStr">
        <is>
          <t>VRSbRIC.csv</t>
        </is>
      </c>
      <c r="B49" t="inlineStr">
        <is>
          <t>aircraft</t>
        </is>
      </c>
      <c r="C49" t="inlineStr">
        <is>
          <t>ISIC 90T93</t>
        </is>
      </c>
      <c r="D49" t="inlineStr">
        <is>
          <t>ISIC 90T96</t>
        </is>
      </c>
      <c r="E49" t="n">
        <v>0.4216249514352275</v>
      </c>
      <c r="F49" t="inlineStr">
        <is>
          <t>BEA 2024 output share (default)</t>
        </is>
      </c>
      <c r="G49" t="n">
        <v>0.4216249514352275</v>
      </c>
    </row>
    <row r="50">
      <c r="A50" t="inlineStr">
        <is>
          <t>VRSbRIC.csv</t>
        </is>
      </c>
      <c r="B50" t="inlineStr">
        <is>
          <t>aircraft</t>
        </is>
      </c>
      <c r="C50" t="inlineStr">
        <is>
          <t>ISIC 94T96</t>
        </is>
      </c>
      <c r="D50" t="inlineStr">
        <is>
          <t>ISIC 90T96</t>
        </is>
      </c>
      <c r="E50" t="n">
        <v>0.5783750485647725</v>
      </c>
      <c r="F50" t="inlineStr">
        <is>
          <t>BEA 2024 output share (default)</t>
        </is>
      </c>
      <c r="G50" t="n">
        <v>0.5783750485647725</v>
      </c>
    </row>
    <row r="51">
      <c r="A51" t="inlineStr">
        <is>
          <t>VRSbRIC.csv</t>
        </is>
      </c>
      <c r="B51" t="inlineStr">
        <is>
          <t>motorbike</t>
        </is>
      </c>
      <c r="C51" t="inlineStr">
        <is>
          <t>ISIC 01</t>
        </is>
      </c>
      <c r="D51" t="inlineStr">
        <is>
          <t>ISIC 01T03</t>
        </is>
      </c>
      <c r="E51" t="n">
        <v>0.9429986826432329</v>
      </c>
      <c r="F51" t="inlineStr">
        <is>
          <t>BEA 2024 output share (default)</t>
        </is>
      </c>
      <c r="G51" t="n">
        <v>0.9429986826432329</v>
      </c>
    </row>
    <row r="52">
      <c r="A52" t="inlineStr">
        <is>
          <t>VRSbRIC.csv</t>
        </is>
      </c>
      <c r="B52" t="inlineStr">
        <is>
          <t>motorbike</t>
        </is>
      </c>
      <c r="C52" t="inlineStr">
        <is>
          <t>ISIC 02</t>
        </is>
      </c>
      <c r="D52" t="inlineStr">
        <is>
          <t>ISIC 01T03</t>
        </is>
      </c>
      <c r="E52" t="n">
        <v>0.04176573136965662</v>
      </c>
      <c r="F52" t="inlineStr">
        <is>
          <t>BEA 2024 output share (default)</t>
        </is>
      </c>
      <c r="G52" t="n">
        <v>0.04176573136965662</v>
      </c>
    </row>
    <row r="53">
      <c r="A53" t="inlineStr">
        <is>
          <t>VRSbRIC.csv</t>
        </is>
      </c>
      <c r="B53" t="inlineStr">
        <is>
          <t>motorbike</t>
        </is>
      </c>
      <c r="C53" t="inlineStr">
        <is>
          <t>ISIC 03</t>
        </is>
      </c>
      <c r="D53" t="inlineStr">
        <is>
          <t>ISIC 01T03</t>
        </is>
      </c>
      <c r="E53" t="n">
        <v>0.01523558598711041</v>
      </c>
      <c r="F53" t="inlineStr">
        <is>
          <t>BEA 2024 output share (default)</t>
        </is>
      </c>
      <c r="G53" t="n">
        <v>0.01523558598711041</v>
      </c>
    </row>
    <row r="54">
      <c r="A54" t="inlineStr">
        <is>
          <t>VRSbRIC.csv</t>
        </is>
      </c>
      <c r="B54" t="inlineStr">
        <is>
          <t>motorbike</t>
        </is>
      </c>
      <c r="C54" t="inlineStr">
        <is>
          <t>ISIC 07</t>
        </is>
      </c>
      <c r="D54" t="inlineStr">
        <is>
          <t>ISIC 07T08</t>
        </is>
      </c>
      <c r="E54" t="n">
        <v>0.4327368836123752</v>
      </c>
      <c r="F54" t="inlineStr">
        <is>
          <t>BEA 2024 output share (default)</t>
        </is>
      </c>
      <c r="G54" t="n">
        <v>0.4327368836123752</v>
      </c>
    </row>
    <row r="55">
      <c r="A55" t="inlineStr">
        <is>
          <t>VRSbRIC.csv</t>
        </is>
      </c>
      <c r="B55" t="inlineStr">
        <is>
          <t>motorbike</t>
        </is>
      </c>
      <c r="C55" t="inlineStr">
        <is>
          <t>ISIC 08</t>
        </is>
      </c>
      <c r="D55" t="inlineStr">
        <is>
          <t>ISIC 07T08</t>
        </is>
      </c>
      <c r="E55" t="n">
        <v>0.5672631163876248</v>
      </c>
      <c r="F55" t="inlineStr">
        <is>
          <t>BEA 2024 output share (default)</t>
        </is>
      </c>
      <c r="G55" t="n">
        <v>0.5672631163876248</v>
      </c>
    </row>
    <row r="56">
      <c r="A56" t="inlineStr">
        <is>
          <t>VRSbRIC.csv</t>
        </is>
      </c>
      <c r="B56" t="inlineStr">
        <is>
          <t>motorbike</t>
        </is>
      </c>
      <c r="C56" t="inlineStr">
        <is>
          <t>ISIC 301</t>
        </is>
      </c>
      <c r="D56" t="inlineStr">
        <is>
          <t>ISIC 30</t>
        </is>
      </c>
      <c r="E56" t="n">
        <v>0</v>
      </c>
      <c r="F56" t="inlineStr">
        <is>
          <t>semantic override</t>
        </is>
      </c>
      <c r="G56" t="n">
        <v>0.1171368722490322</v>
      </c>
    </row>
    <row r="57">
      <c r="A57" t="inlineStr">
        <is>
          <t>VRSbRIC.csv</t>
        </is>
      </c>
      <c r="B57" t="inlineStr">
        <is>
          <t>motorbike</t>
        </is>
      </c>
      <c r="C57" t="inlineStr">
        <is>
          <t>ISIC 302T309</t>
        </is>
      </c>
      <c r="D57" t="inlineStr">
        <is>
          <t>ISIC 30</t>
        </is>
      </c>
      <c r="E57" t="n">
        <v>1</v>
      </c>
      <c r="F57" t="inlineStr">
        <is>
          <t>semantic override</t>
        </is>
      </c>
      <c r="G57" t="n">
        <v>0.8828631277509678</v>
      </c>
    </row>
    <row r="58">
      <c r="A58" t="inlineStr">
        <is>
          <t>VRSbRIC.csv</t>
        </is>
      </c>
      <c r="B58" t="inlineStr">
        <is>
          <t>motorbike</t>
        </is>
      </c>
      <c r="C58" t="inlineStr">
        <is>
          <t>ISIC 49</t>
        </is>
      </c>
      <c r="D58" t="inlineStr">
        <is>
          <t>ISIC 49T53</t>
        </is>
      </c>
      <c r="E58" t="n">
        <v>0.45630816353267</v>
      </c>
      <c r="F58" t="inlineStr">
        <is>
          <t>BEA 2024 output share (default)</t>
        </is>
      </c>
      <c r="G58" t="n">
        <v>0.45630816353267</v>
      </c>
    </row>
    <row r="59">
      <c r="A59" t="inlineStr">
        <is>
          <t>VRSbRIC.csv</t>
        </is>
      </c>
      <c r="B59" t="inlineStr">
        <is>
          <t>motorbike</t>
        </is>
      </c>
      <c r="C59" t="inlineStr">
        <is>
          <t>ISIC 50</t>
        </is>
      </c>
      <c r="D59" t="inlineStr">
        <is>
          <t>ISIC 49T53</t>
        </is>
      </c>
      <c r="E59" t="n">
        <v>0.04437004750051631</v>
      </c>
      <c r="F59" t="inlineStr">
        <is>
          <t>BEA 2024 output share (default)</t>
        </is>
      </c>
      <c r="G59" t="n">
        <v>0.04437004750051631</v>
      </c>
    </row>
    <row r="60">
      <c r="A60" t="inlineStr">
        <is>
          <t>VRSbRIC.csv</t>
        </is>
      </c>
      <c r="B60" t="inlineStr">
        <is>
          <t>motorbike</t>
        </is>
      </c>
      <c r="C60" t="inlineStr">
        <is>
          <t>ISIC 51</t>
        </is>
      </c>
      <c r="D60" t="inlineStr">
        <is>
          <t>ISIC 49T53</t>
        </is>
      </c>
      <c r="E60" t="n">
        <v>0.1883750452665103</v>
      </c>
      <c r="F60" t="inlineStr">
        <is>
          <t>BEA 2024 output share (default)</t>
        </is>
      </c>
      <c r="G60" t="n">
        <v>0.1883750452665103</v>
      </c>
    </row>
    <row r="61">
      <c r="A61" t="inlineStr">
        <is>
          <t>VRSbRIC.csv</t>
        </is>
      </c>
      <c r="B61" t="inlineStr">
        <is>
          <t>motorbike</t>
        </is>
      </c>
      <c r="C61" t="inlineStr">
        <is>
          <t>ISIC 52</t>
        </is>
      </c>
      <c r="D61" t="inlineStr">
        <is>
          <t>ISIC 49T53</t>
        </is>
      </c>
      <c r="E61" t="n">
        <v>0.2228651226758185</v>
      </c>
      <c r="F61" t="inlineStr">
        <is>
          <t>BEA 2024 output share (default)</t>
        </is>
      </c>
      <c r="G61" t="n">
        <v>0.2228651226758185</v>
      </c>
    </row>
    <row r="62">
      <c r="A62" t="inlineStr">
        <is>
          <t>VRSbRIC.csv</t>
        </is>
      </c>
      <c r="B62" t="inlineStr">
        <is>
          <t>motorbike</t>
        </is>
      </c>
      <c r="C62" t="inlineStr">
        <is>
          <t>ISIC 53</t>
        </is>
      </c>
      <c r="D62" t="inlineStr">
        <is>
          <t>ISIC 49T53</t>
        </is>
      </c>
      <c r="E62" t="n">
        <v>0.08808162102448482</v>
      </c>
      <c r="F62" t="inlineStr">
        <is>
          <t>BEA 2024 output share (default)</t>
        </is>
      </c>
      <c r="G62" t="n">
        <v>0.08808162102448482</v>
      </c>
    </row>
    <row r="63">
      <c r="A63" t="inlineStr">
        <is>
          <t>VRSbRIC.csv</t>
        </is>
      </c>
      <c r="B63" t="inlineStr">
        <is>
          <t>motorbike</t>
        </is>
      </c>
      <c r="C63" t="inlineStr">
        <is>
          <t>ISIC 69T75</t>
        </is>
      </c>
      <c r="D63" t="inlineStr">
        <is>
          <t>ISIC 69T82</t>
        </is>
      </c>
      <c r="E63" t="n">
        <v>1</v>
      </c>
      <c r="F63" t="inlineStr">
        <is>
          <t>semantic override</t>
        </is>
      </c>
      <c r="G63" t="n">
        <v>0.7298219447914125</v>
      </c>
    </row>
    <row r="64">
      <c r="A64" t="inlineStr">
        <is>
          <t>VRSbRIC.csv</t>
        </is>
      </c>
      <c r="B64" t="inlineStr">
        <is>
          <t>motorbike</t>
        </is>
      </c>
      <c r="C64" t="inlineStr">
        <is>
          <t>ISIC 77T82</t>
        </is>
      </c>
      <c r="D64" t="inlineStr">
        <is>
          <t>ISIC 69T82</t>
        </is>
      </c>
      <c r="E64" t="n">
        <v>0</v>
      </c>
      <c r="F64" t="inlineStr">
        <is>
          <t>semantic override</t>
        </is>
      </c>
      <c r="G64" t="n">
        <v>0.2701780552085875</v>
      </c>
    </row>
    <row r="65">
      <c r="A65" t="inlineStr">
        <is>
          <t>VRSbRIC.csv</t>
        </is>
      </c>
      <c r="B65" t="inlineStr">
        <is>
          <t>motorbike</t>
        </is>
      </c>
      <c r="C65" t="inlineStr">
        <is>
          <t>ISIC 90T93</t>
        </is>
      </c>
      <c r="D65" t="inlineStr">
        <is>
          <t>ISIC 90T96</t>
        </is>
      </c>
      <c r="E65" t="n">
        <v>0.4216249514352275</v>
      </c>
      <c r="F65" t="inlineStr">
        <is>
          <t>BEA 2024 output share (default)</t>
        </is>
      </c>
      <c r="G65" t="n">
        <v>0.4216249514352275</v>
      </c>
    </row>
    <row r="66">
      <c r="A66" t="inlineStr">
        <is>
          <t>VRSbRIC.csv</t>
        </is>
      </c>
      <c r="B66" t="inlineStr">
        <is>
          <t>motorbike</t>
        </is>
      </c>
      <c r="C66" t="inlineStr">
        <is>
          <t>ISIC 94T96</t>
        </is>
      </c>
      <c r="D66" t="inlineStr">
        <is>
          <t>ISIC 90T96</t>
        </is>
      </c>
      <c r="E66" t="n">
        <v>0.5783750485647725</v>
      </c>
      <c r="F66" t="inlineStr">
        <is>
          <t>BEA 2024 output share (default)</t>
        </is>
      </c>
      <c r="G66" t="n">
        <v>0.5783750485647725</v>
      </c>
    </row>
    <row r="67">
      <c r="A67" t="inlineStr">
        <is>
          <t>VRSbRIC.csv</t>
        </is>
      </c>
      <c r="B67" t="inlineStr">
        <is>
          <t>rail</t>
        </is>
      </c>
      <c r="C67" t="inlineStr">
        <is>
          <t>ISIC 01</t>
        </is>
      </c>
      <c r="D67" t="inlineStr">
        <is>
          <t>ISIC 01T03</t>
        </is>
      </c>
      <c r="E67" t="n">
        <v>0.9429986826432329</v>
      </c>
      <c r="F67" t="inlineStr">
        <is>
          <t>BEA 2024 output share (default)</t>
        </is>
      </c>
      <c r="G67" t="n">
        <v>0.9429986826432329</v>
      </c>
    </row>
    <row r="68">
      <c r="A68" t="inlineStr">
        <is>
          <t>VRSbRIC.csv</t>
        </is>
      </c>
      <c r="B68" t="inlineStr">
        <is>
          <t>rail</t>
        </is>
      </c>
      <c r="C68" t="inlineStr">
        <is>
          <t>ISIC 02</t>
        </is>
      </c>
      <c r="D68" t="inlineStr">
        <is>
          <t>ISIC 01T03</t>
        </is>
      </c>
      <c r="E68" t="n">
        <v>0.04176573136965662</v>
      </c>
      <c r="F68" t="inlineStr">
        <is>
          <t>BEA 2024 output share (default)</t>
        </is>
      </c>
      <c r="G68" t="n">
        <v>0.04176573136965662</v>
      </c>
    </row>
    <row r="69">
      <c r="A69" t="inlineStr">
        <is>
          <t>VRSbRIC.csv</t>
        </is>
      </c>
      <c r="B69" t="inlineStr">
        <is>
          <t>rail</t>
        </is>
      </c>
      <c r="C69" t="inlineStr">
        <is>
          <t>ISIC 03</t>
        </is>
      </c>
      <c r="D69" t="inlineStr">
        <is>
          <t>ISIC 01T03</t>
        </is>
      </c>
      <c r="E69" t="n">
        <v>0.01523558598711041</v>
      </c>
      <c r="F69" t="inlineStr">
        <is>
          <t>BEA 2024 output share (default)</t>
        </is>
      </c>
      <c r="G69" t="n">
        <v>0.01523558598711041</v>
      </c>
    </row>
    <row r="70">
      <c r="A70" t="inlineStr">
        <is>
          <t>VRSbRIC.csv</t>
        </is>
      </c>
      <c r="B70" t="inlineStr">
        <is>
          <t>rail</t>
        </is>
      </c>
      <c r="C70" t="inlineStr">
        <is>
          <t>ISIC 07</t>
        </is>
      </c>
      <c r="D70" t="inlineStr">
        <is>
          <t>ISIC 07T08</t>
        </is>
      </c>
      <c r="E70" t="n">
        <v>0.4327368836123752</v>
      </c>
      <c r="F70" t="inlineStr">
        <is>
          <t>BEA 2024 output share (default)</t>
        </is>
      </c>
      <c r="G70" t="n">
        <v>0.4327368836123752</v>
      </c>
    </row>
    <row r="71">
      <c r="A71" t="inlineStr">
        <is>
          <t>VRSbRIC.csv</t>
        </is>
      </c>
      <c r="B71" t="inlineStr">
        <is>
          <t>rail</t>
        </is>
      </c>
      <c r="C71" t="inlineStr">
        <is>
          <t>ISIC 08</t>
        </is>
      </c>
      <c r="D71" t="inlineStr">
        <is>
          <t>ISIC 07T08</t>
        </is>
      </c>
      <c r="E71" t="n">
        <v>0.5672631163876248</v>
      </c>
      <c r="F71" t="inlineStr">
        <is>
          <t>BEA 2024 output share (default)</t>
        </is>
      </c>
      <c r="G71" t="n">
        <v>0.5672631163876248</v>
      </c>
    </row>
    <row r="72">
      <c r="A72" t="inlineStr">
        <is>
          <t>VRSbRIC.csv</t>
        </is>
      </c>
      <c r="B72" t="inlineStr">
        <is>
          <t>rail</t>
        </is>
      </c>
      <c r="C72" t="inlineStr">
        <is>
          <t>ISIC 301</t>
        </is>
      </c>
      <c r="D72" t="inlineStr">
        <is>
          <t>ISIC 30</t>
        </is>
      </c>
      <c r="E72" t="n">
        <v>0</v>
      </c>
      <c r="F72" t="inlineStr">
        <is>
          <t>semantic override</t>
        </is>
      </c>
      <c r="G72" t="n">
        <v>0.1171368722490322</v>
      </c>
    </row>
    <row r="73">
      <c r="A73" t="inlineStr">
        <is>
          <t>VRSbRIC.csv</t>
        </is>
      </c>
      <c r="B73" t="inlineStr">
        <is>
          <t>rail</t>
        </is>
      </c>
      <c r="C73" t="inlineStr">
        <is>
          <t>ISIC 302T309</t>
        </is>
      </c>
      <c r="D73" t="inlineStr">
        <is>
          <t>ISIC 30</t>
        </is>
      </c>
      <c r="E73" t="n">
        <v>1</v>
      </c>
      <c r="F73" t="inlineStr">
        <is>
          <t>semantic override</t>
        </is>
      </c>
      <c r="G73" t="n">
        <v>0.8828631277509678</v>
      </c>
    </row>
    <row r="74">
      <c r="A74" t="inlineStr">
        <is>
          <t>VRSbRIC.csv</t>
        </is>
      </c>
      <c r="B74" t="inlineStr">
        <is>
          <t>rail</t>
        </is>
      </c>
      <c r="C74" t="inlineStr">
        <is>
          <t>ISIC 49</t>
        </is>
      </c>
      <c r="D74" t="inlineStr">
        <is>
          <t>ISIC 49T53</t>
        </is>
      </c>
      <c r="E74" t="n">
        <v>0.45630816353267</v>
      </c>
      <c r="F74" t="inlineStr">
        <is>
          <t>BEA 2024 output share (default)</t>
        </is>
      </c>
      <c r="G74" t="n">
        <v>0.45630816353267</v>
      </c>
    </row>
    <row r="75">
      <c r="A75" t="inlineStr">
        <is>
          <t>VRSbRIC.csv</t>
        </is>
      </c>
      <c r="B75" t="inlineStr">
        <is>
          <t>rail</t>
        </is>
      </c>
      <c r="C75" t="inlineStr">
        <is>
          <t>ISIC 50</t>
        </is>
      </c>
      <c r="D75" t="inlineStr">
        <is>
          <t>ISIC 49T53</t>
        </is>
      </c>
      <c r="E75" t="n">
        <v>0.04437004750051631</v>
      </c>
      <c r="F75" t="inlineStr">
        <is>
          <t>BEA 2024 output share (default)</t>
        </is>
      </c>
      <c r="G75" t="n">
        <v>0.04437004750051631</v>
      </c>
    </row>
    <row r="76">
      <c r="A76" t="inlineStr">
        <is>
          <t>VRSbRIC.csv</t>
        </is>
      </c>
      <c r="B76" t="inlineStr">
        <is>
          <t>rail</t>
        </is>
      </c>
      <c r="C76" t="inlineStr">
        <is>
          <t>ISIC 51</t>
        </is>
      </c>
      <c r="D76" t="inlineStr">
        <is>
          <t>ISIC 49T53</t>
        </is>
      </c>
      <c r="E76" t="n">
        <v>0.1883750452665103</v>
      </c>
      <c r="F76" t="inlineStr">
        <is>
          <t>BEA 2024 output share (default)</t>
        </is>
      </c>
      <c r="G76" t="n">
        <v>0.1883750452665103</v>
      </c>
    </row>
    <row r="77">
      <c r="A77" t="inlineStr">
        <is>
          <t>VRSbRIC.csv</t>
        </is>
      </c>
      <c r="B77" t="inlineStr">
        <is>
          <t>rail</t>
        </is>
      </c>
      <c r="C77" t="inlineStr">
        <is>
          <t>ISIC 52</t>
        </is>
      </c>
      <c r="D77" t="inlineStr">
        <is>
          <t>ISIC 49T53</t>
        </is>
      </c>
      <c r="E77" t="n">
        <v>0.2228651226758185</v>
      </c>
      <c r="F77" t="inlineStr">
        <is>
          <t>BEA 2024 output share (default)</t>
        </is>
      </c>
      <c r="G77" t="n">
        <v>0.2228651226758185</v>
      </c>
    </row>
    <row r="78">
      <c r="A78" t="inlineStr">
        <is>
          <t>VRSbRIC.csv</t>
        </is>
      </c>
      <c r="B78" t="inlineStr">
        <is>
          <t>rail</t>
        </is>
      </c>
      <c r="C78" t="inlineStr">
        <is>
          <t>ISIC 53</t>
        </is>
      </c>
      <c r="D78" t="inlineStr">
        <is>
          <t>ISIC 49T53</t>
        </is>
      </c>
      <c r="E78" t="n">
        <v>0.08808162102448482</v>
      </c>
      <c r="F78" t="inlineStr">
        <is>
          <t>BEA 2024 output share (default)</t>
        </is>
      </c>
      <c r="G78" t="n">
        <v>0.08808162102448482</v>
      </c>
    </row>
    <row r="79">
      <c r="A79" t="inlineStr">
        <is>
          <t>VRSbRIC.csv</t>
        </is>
      </c>
      <c r="B79" t="inlineStr">
        <is>
          <t>rail</t>
        </is>
      </c>
      <c r="C79" t="inlineStr">
        <is>
          <t>ISIC 69T75</t>
        </is>
      </c>
      <c r="D79" t="inlineStr">
        <is>
          <t>ISIC 69T82</t>
        </is>
      </c>
      <c r="E79" t="n">
        <v>1</v>
      </c>
      <c r="F79" t="inlineStr">
        <is>
          <t>semantic override</t>
        </is>
      </c>
      <c r="G79" t="n">
        <v>0.7298219447914125</v>
      </c>
    </row>
    <row r="80">
      <c r="A80" t="inlineStr">
        <is>
          <t>VRSbRIC.csv</t>
        </is>
      </c>
      <c r="B80" t="inlineStr">
        <is>
          <t>rail</t>
        </is>
      </c>
      <c r="C80" t="inlineStr">
        <is>
          <t>ISIC 77T82</t>
        </is>
      </c>
      <c r="D80" t="inlineStr">
        <is>
          <t>ISIC 69T82</t>
        </is>
      </c>
      <c r="E80" t="n">
        <v>0</v>
      </c>
      <c r="F80" t="inlineStr">
        <is>
          <t>semantic override</t>
        </is>
      </c>
      <c r="G80" t="n">
        <v>0.2701780552085875</v>
      </c>
    </row>
    <row r="81">
      <c r="A81" t="inlineStr">
        <is>
          <t>VRSbRIC.csv</t>
        </is>
      </c>
      <c r="B81" t="inlineStr">
        <is>
          <t>rail</t>
        </is>
      </c>
      <c r="C81" t="inlineStr">
        <is>
          <t>ISIC 90T93</t>
        </is>
      </c>
      <c r="D81" t="inlineStr">
        <is>
          <t>ISIC 90T96</t>
        </is>
      </c>
      <c r="E81" t="n">
        <v>0.4216249514352275</v>
      </c>
      <c r="F81" t="inlineStr">
        <is>
          <t>BEA 2024 output share (default)</t>
        </is>
      </c>
      <c r="G81" t="n">
        <v>0.4216249514352275</v>
      </c>
    </row>
    <row r="82">
      <c r="A82" t="inlineStr">
        <is>
          <t>VRSbRIC.csv</t>
        </is>
      </c>
      <c r="B82" t="inlineStr">
        <is>
          <t>rail</t>
        </is>
      </c>
      <c r="C82" t="inlineStr">
        <is>
          <t>ISIC 94T96</t>
        </is>
      </c>
      <c r="D82" t="inlineStr">
        <is>
          <t>ISIC 90T96</t>
        </is>
      </c>
      <c r="E82" t="n">
        <v>0.5783750485647725</v>
      </c>
      <c r="F82" t="inlineStr">
        <is>
          <t>BEA 2024 output share (default)</t>
        </is>
      </c>
      <c r="G82" t="n">
        <v>0.5783750485647725</v>
      </c>
    </row>
    <row r="83">
      <c r="A83" t="inlineStr">
        <is>
          <t>VRSbRIC.csv</t>
        </is>
      </c>
      <c r="B83" t="inlineStr">
        <is>
          <t>ships</t>
        </is>
      </c>
      <c r="C83" t="inlineStr">
        <is>
          <t>ISIC 01</t>
        </is>
      </c>
      <c r="D83" t="inlineStr">
        <is>
          <t>ISIC 01T03</t>
        </is>
      </c>
      <c r="E83" t="n">
        <v>0.9429986826432329</v>
      </c>
      <c r="F83" t="inlineStr">
        <is>
          <t>BEA 2024 output share (default)</t>
        </is>
      </c>
      <c r="G83" t="n">
        <v>0.9429986826432329</v>
      </c>
    </row>
    <row r="84">
      <c r="A84" t="inlineStr">
        <is>
          <t>VRSbRIC.csv</t>
        </is>
      </c>
      <c r="B84" t="inlineStr">
        <is>
          <t>ships</t>
        </is>
      </c>
      <c r="C84" t="inlineStr">
        <is>
          <t>ISIC 02</t>
        </is>
      </c>
      <c r="D84" t="inlineStr">
        <is>
          <t>ISIC 01T03</t>
        </is>
      </c>
      <c r="E84" t="n">
        <v>0.04176573136965662</v>
      </c>
      <c r="F84" t="inlineStr">
        <is>
          <t>BEA 2024 output share (default)</t>
        </is>
      </c>
      <c r="G84" t="n">
        <v>0.04176573136965662</v>
      </c>
    </row>
    <row r="85">
      <c r="A85" t="inlineStr">
        <is>
          <t>VRSbRIC.csv</t>
        </is>
      </c>
      <c r="B85" t="inlineStr">
        <is>
          <t>ships</t>
        </is>
      </c>
      <c r="C85" t="inlineStr">
        <is>
          <t>ISIC 03</t>
        </is>
      </c>
      <c r="D85" t="inlineStr">
        <is>
          <t>ISIC 01T03</t>
        </is>
      </c>
      <c r="E85" t="n">
        <v>0.01523558598711041</v>
      </c>
      <c r="F85" t="inlineStr">
        <is>
          <t>BEA 2024 output share (default)</t>
        </is>
      </c>
      <c r="G85" t="n">
        <v>0.01523558598711041</v>
      </c>
    </row>
    <row r="86">
      <c r="A86" t="inlineStr">
        <is>
          <t>VRSbRIC.csv</t>
        </is>
      </c>
      <c r="B86" t="inlineStr">
        <is>
          <t>ships</t>
        </is>
      </c>
      <c r="C86" t="inlineStr">
        <is>
          <t>ISIC 07</t>
        </is>
      </c>
      <c r="D86" t="inlineStr">
        <is>
          <t>ISIC 07T08</t>
        </is>
      </c>
      <c r="E86" t="n">
        <v>0.4327368836123752</v>
      </c>
      <c r="F86" t="inlineStr">
        <is>
          <t>BEA 2024 output share (default)</t>
        </is>
      </c>
      <c r="G86" t="n">
        <v>0.4327368836123752</v>
      </c>
    </row>
    <row r="87">
      <c r="A87" t="inlineStr">
        <is>
          <t>VRSbRIC.csv</t>
        </is>
      </c>
      <c r="B87" t="inlineStr">
        <is>
          <t>ships</t>
        </is>
      </c>
      <c r="C87" t="inlineStr">
        <is>
          <t>ISIC 08</t>
        </is>
      </c>
      <c r="D87" t="inlineStr">
        <is>
          <t>ISIC 07T08</t>
        </is>
      </c>
      <c r="E87" t="n">
        <v>0.5672631163876248</v>
      </c>
      <c r="F87" t="inlineStr">
        <is>
          <t>BEA 2024 output share (default)</t>
        </is>
      </c>
      <c r="G87" t="n">
        <v>0.5672631163876248</v>
      </c>
    </row>
    <row r="88">
      <c r="A88" t="inlineStr">
        <is>
          <t>VRSbRIC.csv</t>
        </is>
      </c>
      <c r="B88" t="inlineStr">
        <is>
          <t>ships</t>
        </is>
      </c>
      <c r="C88" t="inlineStr">
        <is>
          <t>ISIC 301</t>
        </is>
      </c>
      <c r="D88" t="inlineStr">
        <is>
          <t>ISIC 30</t>
        </is>
      </c>
      <c r="E88" t="n">
        <v>1</v>
      </c>
      <c r="F88" t="inlineStr">
        <is>
          <t>semantic override</t>
        </is>
      </c>
      <c r="G88" t="n">
        <v>0.1171368722490322</v>
      </c>
    </row>
    <row r="89">
      <c r="A89" t="inlineStr">
        <is>
          <t>VRSbRIC.csv</t>
        </is>
      </c>
      <c r="B89" t="inlineStr">
        <is>
          <t>ships</t>
        </is>
      </c>
      <c r="C89" t="inlineStr">
        <is>
          <t>ISIC 302T309</t>
        </is>
      </c>
      <c r="D89" t="inlineStr">
        <is>
          <t>ISIC 30</t>
        </is>
      </c>
      <c r="E89" t="n">
        <v>0</v>
      </c>
      <c r="F89" t="inlineStr">
        <is>
          <t>semantic override</t>
        </is>
      </c>
      <c r="G89" t="n">
        <v>0.8828631277509678</v>
      </c>
    </row>
    <row r="90">
      <c r="A90" t="inlineStr">
        <is>
          <t>VRSbRIC.csv</t>
        </is>
      </c>
      <c r="B90" t="inlineStr">
        <is>
          <t>ships</t>
        </is>
      </c>
      <c r="C90" t="inlineStr">
        <is>
          <t>ISIC 49</t>
        </is>
      </c>
      <c r="D90" t="inlineStr">
        <is>
          <t>ISIC 49T53</t>
        </is>
      </c>
      <c r="E90" t="n">
        <v>0.45630816353267</v>
      </c>
      <c r="F90" t="inlineStr">
        <is>
          <t>BEA 2024 output share (default)</t>
        </is>
      </c>
      <c r="G90" t="n">
        <v>0.45630816353267</v>
      </c>
    </row>
    <row r="91">
      <c r="A91" t="inlineStr">
        <is>
          <t>VRSbRIC.csv</t>
        </is>
      </c>
      <c r="B91" t="inlineStr">
        <is>
          <t>ships</t>
        </is>
      </c>
      <c r="C91" t="inlineStr">
        <is>
          <t>ISIC 50</t>
        </is>
      </c>
      <c r="D91" t="inlineStr">
        <is>
          <t>ISIC 49T53</t>
        </is>
      </c>
      <c r="E91" t="n">
        <v>0.04437004750051631</v>
      </c>
      <c r="F91" t="inlineStr">
        <is>
          <t>BEA 2024 output share (default)</t>
        </is>
      </c>
      <c r="G91" t="n">
        <v>0.04437004750051631</v>
      </c>
    </row>
    <row r="92">
      <c r="A92" t="inlineStr">
        <is>
          <t>VRSbRIC.csv</t>
        </is>
      </c>
      <c r="B92" t="inlineStr">
        <is>
          <t>ships</t>
        </is>
      </c>
      <c r="C92" t="inlineStr">
        <is>
          <t>ISIC 51</t>
        </is>
      </c>
      <c r="D92" t="inlineStr">
        <is>
          <t>ISIC 49T53</t>
        </is>
      </c>
      <c r="E92" t="n">
        <v>0.1883750452665103</v>
      </c>
      <c r="F92" t="inlineStr">
        <is>
          <t>BEA 2024 output share (default)</t>
        </is>
      </c>
      <c r="G92" t="n">
        <v>0.1883750452665103</v>
      </c>
    </row>
    <row r="93">
      <c r="A93" t="inlineStr">
        <is>
          <t>VRSbRIC.csv</t>
        </is>
      </c>
      <c r="B93" t="inlineStr">
        <is>
          <t>ships</t>
        </is>
      </c>
      <c r="C93" t="inlineStr">
        <is>
          <t>ISIC 52</t>
        </is>
      </c>
      <c r="D93" t="inlineStr">
        <is>
          <t>ISIC 49T53</t>
        </is>
      </c>
      <c r="E93" t="n">
        <v>0.2228651226758185</v>
      </c>
      <c r="F93" t="inlineStr">
        <is>
          <t>BEA 2024 output share (default)</t>
        </is>
      </c>
      <c r="G93" t="n">
        <v>0.2228651226758185</v>
      </c>
    </row>
    <row r="94">
      <c r="A94" t="inlineStr">
        <is>
          <t>VRSbRIC.csv</t>
        </is>
      </c>
      <c r="B94" t="inlineStr">
        <is>
          <t>ships</t>
        </is>
      </c>
      <c r="C94" t="inlineStr">
        <is>
          <t>ISIC 53</t>
        </is>
      </c>
      <c r="D94" t="inlineStr">
        <is>
          <t>ISIC 49T53</t>
        </is>
      </c>
      <c r="E94" t="n">
        <v>0.08808162102448482</v>
      </c>
      <c r="F94" t="inlineStr">
        <is>
          <t>BEA 2024 output share (default)</t>
        </is>
      </c>
      <c r="G94" t="n">
        <v>0.08808162102448482</v>
      </c>
    </row>
    <row r="95">
      <c r="A95" t="inlineStr">
        <is>
          <t>VRSbRIC.csv</t>
        </is>
      </c>
      <c r="B95" t="inlineStr">
        <is>
          <t>ships</t>
        </is>
      </c>
      <c r="C95" t="inlineStr">
        <is>
          <t>ISIC 69T75</t>
        </is>
      </c>
      <c r="D95" t="inlineStr">
        <is>
          <t>ISIC 69T82</t>
        </is>
      </c>
      <c r="E95" t="n">
        <v>1</v>
      </c>
      <c r="F95" t="inlineStr">
        <is>
          <t>semantic override</t>
        </is>
      </c>
      <c r="G95" t="n">
        <v>0.7298219447914125</v>
      </c>
    </row>
    <row r="96">
      <c r="A96" t="inlineStr">
        <is>
          <t>VRSbRIC.csv</t>
        </is>
      </c>
      <c r="B96" t="inlineStr">
        <is>
          <t>ships</t>
        </is>
      </c>
      <c r="C96" t="inlineStr">
        <is>
          <t>ISIC 77T82</t>
        </is>
      </c>
      <c r="D96" t="inlineStr">
        <is>
          <t>ISIC 69T82</t>
        </is>
      </c>
      <c r="E96" t="n">
        <v>0</v>
      </c>
      <c r="F96" t="inlineStr">
        <is>
          <t>semantic override</t>
        </is>
      </c>
      <c r="G96" t="n">
        <v>0.2701780552085875</v>
      </c>
    </row>
    <row r="97">
      <c r="A97" t="inlineStr">
        <is>
          <t>VRSbRIC.csv</t>
        </is>
      </c>
      <c r="B97" t="inlineStr">
        <is>
          <t>ships</t>
        </is>
      </c>
      <c r="C97" t="inlineStr">
        <is>
          <t>ISIC 90T93</t>
        </is>
      </c>
      <c r="D97" t="inlineStr">
        <is>
          <t>ISIC 90T96</t>
        </is>
      </c>
      <c r="E97" t="n">
        <v>0.4216249514352275</v>
      </c>
      <c r="F97" t="inlineStr">
        <is>
          <t>BEA 2024 output share (default)</t>
        </is>
      </c>
      <c r="G97" t="n">
        <v>0.4216249514352275</v>
      </c>
    </row>
    <row r="98">
      <c r="A98" t="inlineStr">
        <is>
          <t>VRSbRIC.csv</t>
        </is>
      </c>
      <c r="B98" t="inlineStr">
        <is>
          <t>ships</t>
        </is>
      </c>
      <c r="C98" t="inlineStr">
        <is>
          <t>ISIC 94T96</t>
        </is>
      </c>
      <c r="D98" t="inlineStr">
        <is>
          <t>ISIC 90T96</t>
        </is>
      </c>
      <c r="E98" t="n">
        <v>0.5783750485647725</v>
      </c>
      <c r="F98" t="inlineStr">
        <is>
          <t>BEA 2024 output share (default)</t>
        </is>
      </c>
      <c r="G98" t="n">
        <v>0.5783750485647725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selection activeCell="B47" sqref="B47"/>
    </sheetView>
  </sheetViews>
  <sheetFormatPr baseColWidth="8" defaultRowHeight="15"/>
  <cols>
    <col width="28.7109375" customWidth="1" min="1" max="2"/>
    <col width="20.42578125" bestFit="1" customWidth="1" min="3" max="3"/>
    <col width="26" bestFit="1" customWidth="1" min="4" max="4"/>
  </cols>
  <sheetData>
    <row r="1">
      <c r="A1" t="inlineStr">
        <is>
          <t>Category</t>
        </is>
      </c>
      <c r="B1" t="inlineStr">
        <is>
          <t>Item</t>
        </is>
      </c>
      <c r="C1" t="inlineStr">
        <is>
          <t>Industy Average Total</t>
        </is>
      </c>
      <c r="D1" t="inlineStr">
        <is>
          <t>Industry Average RPE Only</t>
        </is>
      </c>
      <c r="E1" t="inlineStr">
        <is>
          <t>ISIC Code</t>
        </is>
      </c>
    </row>
    <row r="2">
      <c r="A2" t="inlineStr">
        <is>
          <t>Vehicle Manufacturing</t>
        </is>
      </c>
      <c r="B2" t="inlineStr">
        <is>
          <t>Cost of Sales</t>
        </is>
      </c>
      <c r="C2" t="n">
        <v>1</v>
      </c>
      <c r="D2" t="inlineStr">
        <is>
          <t>N/A</t>
        </is>
      </c>
    </row>
    <row r="3">
      <c r="A3" t="inlineStr">
        <is>
          <t>Production Overhead</t>
        </is>
      </c>
      <c r="B3" t="inlineStr">
        <is>
          <t>Warranty</t>
        </is>
      </c>
      <c r="C3" t="n">
        <v>0.03</v>
      </c>
      <c r="D3">
        <f>C3/($C$16-$C$2)</f>
        <v/>
      </c>
      <c r="E3" t="inlineStr">
        <is>
          <t>ISIC 29</t>
        </is>
      </c>
    </row>
    <row r="4">
      <c r="A4" t="inlineStr">
        <is>
          <t>Production Overhead</t>
        </is>
      </c>
      <c r="B4" t="inlineStr">
        <is>
          <t>R&amp;D (product dev)</t>
        </is>
      </c>
      <c r="C4" t="n">
        <v>0.05</v>
      </c>
      <c r="D4">
        <f>C4/($C$16-$C$2)</f>
        <v/>
      </c>
      <c r="E4" t="inlineStr">
        <is>
          <t>ISIC 29</t>
        </is>
      </c>
    </row>
    <row r="5">
      <c r="A5" t="inlineStr">
        <is>
          <t>Production Overhead</t>
        </is>
      </c>
      <c r="B5" t="inlineStr">
        <is>
          <t>Depreciation and amortization</t>
        </is>
      </c>
      <c r="C5" t="n">
        <v>0.07000000000000001</v>
      </c>
      <c r="D5">
        <f>C5/($C$16-$C$2)</f>
        <v/>
      </c>
      <c r="E5" t="inlineStr">
        <is>
          <t>ISIC 29</t>
        </is>
      </c>
    </row>
    <row r="6">
      <c r="A6" t="inlineStr">
        <is>
          <t>Production Overhead</t>
        </is>
      </c>
      <c r="B6" t="inlineStr">
        <is>
          <t>Maintenance, repair, operations cost</t>
        </is>
      </c>
      <c r="C6" t="n">
        <v>0.03</v>
      </c>
      <c r="D6">
        <f>C6/($C$16-$C$2)</f>
        <v/>
      </c>
      <c r="E6" t="inlineStr">
        <is>
          <t>ISIC 29</t>
        </is>
      </c>
    </row>
    <row r="7">
      <c r="A7" t="inlineStr">
        <is>
          <t>Corporate Overhead</t>
        </is>
      </c>
      <c r="B7" t="inlineStr">
        <is>
          <t>General and aministrative</t>
        </is>
      </c>
      <c r="C7" t="n">
        <v>0.07000000000000001</v>
      </c>
      <c r="D7">
        <f>C7/($C$16-$C$2)</f>
        <v/>
      </c>
      <c r="E7" t="inlineStr">
        <is>
          <t>ISIC 29</t>
        </is>
      </c>
    </row>
    <row r="8">
      <c r="A8" t="inlineStr">
        <is>
          <t>Corporate Overhead</t>
        </is>
      </c>
      <c r="B8" t="inlineStr">
        <is>
          <t>Retirement</t>
        </is>
      </c>
      <c r="C8" t="n">
        <v>0</v>
      </c>
      <c r="D8">
        <f>C8/($C$16-$C$2)</f>
        <v/>
      </c>
      <c r="E8" t="inlineStr">
        <is>
          <t>ISIC 29</t>
        </is>
      </c>
    </row>
    <row r="9">
      <c r="A9" t="inlineStr">
        <is>
          <t>Corporate Overhead</t>
        </is>
      </c>
      <c r="B9" t="inlineStr">
        <is>
          <t>Health</t>
        </is>
      </c>
      <c r="C9" t="n">
        <v>0.01</v>
      </c>
      <c r="D9">
        <f>C9/($C$16-$C$2)</f>
        <v/>
      </c>
      <c r="E9" t="inlineStr">
        <is>
          <t>ISIC 29</t>
        </is>
      </c>
    </row>
    <row r="10">
      <c r="A10" t="inlineStr">
        <is>
          <t>Selling</t>
        </is>
      </c>
      <c r="B10" t="inlineStr">
        <is>
          <t>Transportation</t>
        </is>
      </c>
      <c r="C10" t="n">
        <v>0.04</v>
      </c>
      <c r="D10">
        <f>C10/($C$16-$C$2)</f>
        <v/>
      </c>
      <c r="E10" t="inlineStr">
        <is>
          <t>ISIC 45T47</t>
        </is>
      </c>
    </row>
    <row r="11">
      <c r="A11" t="inlineStr">
        <is>
          <t>Selling</t>
        </is>
      </c>
      <c r="B11" t="inlineStr">
        <is>
          <t>Marketing</t>
        </is>
      </c>
      <c r="C11" t="n">
        <v>0.04</v>
      </c>
      <c r="D11">
        <f>C11/($C$16-$C$2)</f>
        <v/>
      </c>
      <c r="E11" t="inlineStr">
        <is>
          <t>ISIC 45T47</t>
        </is>
      </c>
    </row>
    <row r="12">
      <c r="A12" t="inlineStr">
        <is>
          <t>Dealers</t>
        </is>
      </c>
      <c r="B12" t="inlineStr">
        <is>
          <t>New vehicle net profit</t>
        </is>
      </c>
      <c r="C12" t="n">
        <v>0</v>
      </c>
      <c r="D12">
        <f>C12/($C$16-$C$2)</f>
        <v/>
      </c>
      <c r="E12" t="inlineStr">
        <is>
          <t>ISIC 45T47</t>
        </is>
      </c>
    </row>
    <row r="13">
      <c r="A13" t="inlineStr">
        <is>
          <t>Dealers</t>
        </is>
      </c>
      <c r="B13" t="inlineStr">
        <is>
          <t>New vehicle selling cost</t>
        </is>
      </c>
      <c r="C13" t="n">
        <v>0.06</v>
      </c>
      <c r="D13">
        <f>C13/($C$16-$C$2)</f>
        <v/>
      </c>
      <c r="E13" t="inlineStr">
        <is>
          <t>ISIC 45T47</t>
        </is>
      </c>
    </row>
    <row r="14">
      <c r="A14" t="inlineStr">
        <is>
          <t>Other</t>
        </is>
      </c>
      <c r="B14" t="inlineStr">
        <is>
          <t>Net income</t>
        </is>
      </c>
      <c r="C14" t="n">
        <v>0.06</v>
      </c>
      <c r="D14">
        <f>C14/($C$16-$C$2)</f>
        <v/>
      </c>
      <c r="E14" t="inlineStr">
        <is>
          <t>ISIC 29</t>
        </is>
      </c>
    </row>
    <row r="16">
      <c r="A16" s="1" t="inlineStr">
        <is>
          <t>TOTAL</t>
        </is>
      </c>
      <c r="C16">
        <f>SUM(C2:C14)</f>
        <v/>
      </c>
    </row>
    <row r="25">
      <c r="A25" t="inlineStr">
        <is>
          <t>ISIC 01T03</t>
        </is>
      </c>
      <c r="B25" t="inlineStr">
        <is>
          <t>{Agriculture, forestry and fishing}</t>
        </is>
      </c>
    </row>
    <row r="26">
      <c r="A26" t="inlineStr">
        <is>
          <t>ISIC 05</t>
        </is>
      </c>
      <c r="B26" t="inlineStr">
        <is>
          <t>{Coal mining}</t>
        </is>
      </c>
    </row>
    <row r="27">
      <c r="A27" t="inlineStr">
        <is>
          <t>ISIC 06</t>
        </is>
      </c>
      <c r="B27" t="inlineStr">
        <is>
          <t>{Oil and gas extraction}</t>
        </is>
      </c>
    </row>
    <row r="28">
      <c r="A28" t="inlineStr">
        <is>
          <t>ISIC 07T08</t>
        </is>
      </c>
      <c r="B28" t="inlineStr">
        <is>
          <t>{Mining and quarrying of non-energy producing products}</t>
        </is>
      </c>
    </row>
    <row r="29">
      <c r="A29" t="inlineStr">
        <is>
          <t>ISIC 09</t>
        </is>
      </c>
      <c r="B29" t="inlineStr">
        <is>
          <t>{Mining support service activities}</t>
        </is>
      </c>
    </row>
    <row r="30">
      <c r="A30" t="inlineStr">
        <is>
          <t>ISIC 10T12</t>
        </is>
      </c>
      <c r="B30" t="inlineStr">
        <is>
          <t>{Food products, beverages and tobacco}</t>
        </is>
      </c>
    </row>
    <row r="31">
      <c r="A31" t="inlineStr">
        <is>
          <t>ISIC 13T15</t>
        </is>
      </c>
      <c r="B31" t="inlineStr">
        <is>
          <t>{Textiles, wearing apparel, leather and related products}</t>
        </is>
      </c>
    </row>
    <row r="32">
      <c r="A32" t="inlineStr">
        <is>
          <t>ISIC 16</t>
        </is>
      </c>
      <c r="B32" t="inlineStr">
        <is>
          <t>{Wood and of products of wood and cork (except furniture)}</t>
        </is>
      </c>
    </row>
    <row r="33">
      <c r="A33" t="inlineStr">
        <is>
          <t>ISIC 17T18</t>
        </is>
      </c>
      <c r="B33" t="inlineStr">
        <is>
          <t>{Paper products and printing}</t>
        </is>
      </c>
    </row>
    <row r="34">
      <c r="A34" t="inlineStr">
        <is>
          <t>ISIC 19</t>
        </is>
      </c>
      <c r="B34" t="inlineStr">
        <is>
          <t>{Coke and refined petroleum products}</t>
        </is>
      </c>
    </row>
    <row r="35">
      <c r="A35" t="inlineStr">
        <is>
          <t>ISIC 20</t>
        </is>
      </c>
      <c r="B35" t="inlineStr">
        <is>
          <t>{Chemicals}</t>
        </is>
      </c>
    </row>
    <row r="36">
      <c r="A36" t="inlineStr">
        <is>
          <t>ISIC 21</t>
        </is>
      </c>
      <c r="B36" t="inlineStr">
        <is>
          <t>{Pharmaceuticals}</t>
        </is>
      </c>
    </row>
    <row r="37">
      <c r="A37" t="inlineStr">
        <is>
          <t>ISIC 22</t>
        </is>
      </c>
      <c r="B37" t="inlineStr">
        <is>
          <t>{Rubber and plastics products}</t>
        </is>
      </c>
    </row>
    <row r="38">
      <c r="A38" t="inlineStr">
        <is>
          <t>ISIC 231</t>
        </is>
      </c>
      <c r="B38" t="inlineStr">
        <is>
          <t>{Glass}</t>
        </is>
      </c>
    </row>
    <row r="39">
      <c r="A39" t="inlineStr">
        <is>
          <t>ISIC 239</t>
        </is>
      </c>
      <c r="B39" t="inlineStr">
        <is>
          <t>{Cement and other non-metallic minerals}</t>
        </is>
      </c>
    </row>
    <row r="40">
      <c r="A40" t="inlineStr">
        <is>
          <t>ISIC 241</t>
        </is>
      </c>
      <c r="B40" t="inlineStr">
        <is>
          <t>{Iron and steel}</t>
        </is>
      </c>
    </row>
    <row r="41">
      <c r="A41" t="inlineStr">
        <is>
          <t>ISIC 242</t>
        </is>
      </c>
      <c r="B41" t="inlineStr">
        <is>
          <t>{Other metals}</t>
        </is>
      </c>
    </row>
    <row r="42">
      <c r="A42" t="inlineStr">
        <is>
          <t>ISIC 25</t>
        </is>
      </c>
      <c r="B42" t="inlineStr">
        <is>
          <t>{Fabricated metal products, except machinery and equipment}</t>
        </is>
      </c>
    </row>
    <row r="43">
      <c r="A43" t="inlineStr">
        <is>
          <t>ISIC 26</t>
        </is>
      </c>
      <c r="B43" t="inlineStr">
        <is>
          <t>{Computer, electronic and optical products}</t>
        </is>
      </c>
    </row>
    <row r="44">
      <c r="A44" t="inlineStr">
        <is>
          <t>ISIC 27</t>
        </is>
      </c>
      <c r="B44" t="inlineStr">
        <is>
          <t>{Electrical equipment}</t>
        </is>
      </c>
    </row>
    <row r="45">
      <c r="A45" t="inlineStr">
        <is>
          <t>ISIC 28</t>
        </is>
      </c>
      <c r="B45" t="inlineStr">
        <is>
          <t>{Machinery and equipment n.e.c.}</t>
        </is>
      </c>
    </row>
    <row r="46">
      <c r="A46" t="inlineStr">
        <is>
          <t>ISIC 29</t>
        </is>
      </c>
      <c r="B46" t="inlineStr">
        <is>
          <t>{Motor vehicles, trailers and semi-trailers}</t>
        </is>
      </c>
    </row>
    <row r="47">
      <c r="A47" t="inlineStr">
        <is>
          <t>ISIC 30</t>
        </is>
      </c>
      <c r="B47" t="inlineStr">
        <is>
          <t>{Other transport equipment}</t>
        </is>
      </c>
    </row>
    <row r="48">
      <c r="A48" t="inlineStr">
        <is>
          <t>ISIC 31T33</t>
        </is>
      </c>
      <c r="B48" t="inlineStr">
        <is>
          <t>{Other manufacturing; repair and installation of machinery and equipment}</t>
        </is>
      </c>
    </row>
    <row r="49">
      <c r="A49" t="inlineStr">
        <is>
          <t>ISIC 351</t>
        </is>
      </c>
      <c r="B49" t="inlineStr">
        <is>
          <t>{Electricity generation and distribution}</t>
        </is>
      </c>
    </row>
    <row r="50">
      <c r="A50" t="inlineStr">
        <is>
          <t>ISIC 352T353</t>
        </is>
      </c>
      <c r="B50" t="inlineStr">
        <is>
          <t>{Energy pipelines and gas processing}</t>
        </is>
      </c>
    </row>
    <row r="51">
      <c r="A51" t="inlineStr">
        <is>
          <t>ISIC 36T39</t>
        </is>
      </c>
      <c r="B51" t="inlineStr">
        <is>
          <t>{Water and waste}</t>
        </is>
      </c>
    </row>
    <row r="52">
      <c r="A52" t="inlineStr">
        <is>
          <t>ISIC 41T43</t>
        </is>
      </c>
      <c r="B52" t="inlineStr">
        <is>
          <t>{Construction}</t>
        </is>
      </c>
    </row>
    <row r="53">
      <c r="A53" t="inlineStr">
        <is>
          <t>ISIC 45T47</t>
        </is>
      </c>
      <c r="B53" t="inlineStr">
        <is>
          <t>{Wholesale and retail trade; repair of motor vehicles}</t>
        </is>
      </c>
    </row>
    <row r="54">
      <c r="A54" t="inlineStr">
        <is>
          <t>ISIC 49T53</t>
        </is>
      </c>
      <c r="B54" t="inlineStr">
        <is>
          <t>{Transportation and storage}</t>
        </is>
      </c>
    </row>
    <row r="55">
      <c r="A55" t="inlineStr">
        <is>
          <t>ISIC 55T56</t>
        </is>
      </c>
      <c r="B55" t="inlineStr">
        <is>
          <t>{Accomodation and food services}</t>
        </is>
      </c>
    </row>
    <row r="56">
      <c r="A56" t="inlineStr">
        <is>
          <t>ISIC 58T60</t>
        </is>
      </c>
      <c r="B56" t="inlineStr">
        <is>
          <t>{Publishing, audiovisual and broadcasting activities}</t>
        </is>
      </c>
    </row>
    <row r="57">
      <c r="A57" t="inlineStr">
        <is>
          <t>ISIC 61</t>
        </is>
      </c>
      <c r="B57" t="inlineStr">
        <is>
          <t>{Telecommunications}</t>
        </is>
      </c>
    </row>
    <row r="58">
      <c r="A58" t="inlineStr">
        <is>
          <t>ISIC 62T63</t>
        </is>
      </c>
      <c r="B58" t="inlineStr">
        <is>
          <t>{IT and other information services}</t>
        </is>
      </c>
    </row>
    <row r="59">
      <c r="A59" t="inlineStr">
        <is>
          <t>ISIC 64T66</t>
        </is>
      </c>
      <c r="B59" t="inlineStr">
        <is>
          <t>{Financial and insurance activities}</t>
        </is>
      </c>
    </row>
    <row r="60">
      <c r="A60" t="inlineStr">
        <is>
          <t>ISIC 68</t>
        </is>
      </c>
      <c r="B60" t="inlineStr">
        <is>
          <t>{Real estate activities}</t>
        </is>
      </c>
    </row>
    <row r="61">
      <c r="A61" t="inlineStr">
        <is>
          <t>ISIC 69T82</t>
        </is>
      </c>
      <c r="B61" t="inlineStr">
        <is>
          <t>{Other business sector services}</t>
        </is>
      </c>
    </row>
    <row r="62">
      <c r="A62" t="inlineStr">
        <is>
          <t>ISIC 84</t>
        </is>
      </c>
      <c r="B62" t="inlineStr">
        <is>
          <t>{Public administration and defence; compulsory social security}</t>
        </is>
      </c>
    </row>
    <row r="63">
      <c r="A63" t="inlineStr">
        <is>
          <t>ISIC 85</t>
        </is>
      </c>
      <c r="B63" t="inlineStr">
        <is>
          <t>{Education}</t>
        </is>
      </c>
    </row>
    <row r="64">
      <c r="A64" t="inlineStr">
        <is>
          <t>ISIC 86T88</t>
        </is>
      </c>
      <c r="B64" t="inlineStr">
        <is>
          <t>{Human health and social work}</t>
        </is>
      </c>
    </row>
    <row r="65">
      <c r="A65" t="inlineStr">
        <is>
          <t>ISIC 90T96</t>
        </is>
      </c>
      <c r="B65" t="inlineStr">
        <is>
          <t>{Arts, entertainment, recreation and other service activities}</t>
        </is>
      </c>
    </row>
    <row r="66">
      <c r="A66" t="inlineStr">
        <is>
          <t>ISIC 97T98</t>
        </is>
      </c>
      <c r="B66" t="inlineStr">
        <is>
          <t>{Private households with employed persons}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selection activeCell="D6" sqref="D6"/>
    </sheetView>
  </sheetViews>
  <sheetFormatPr baseColWidth="8" defaultRowHeight="15"/>
  <cols>
    <col width="28.7109375" customWidth="1" min="1" max="2"/>
    <col width="20.42578125" bestFit="1" customWidth="1" min="3" max="3"/>
    <col width="26" bestFit="1" customWidth="1" min="4" max="4"/>
  </cols>
  <sheetData>
    <row r="1">
      <c r="A1" t="inlineStr">
        <is>
          <t>Category</t>
        </is>
      </c>
      <c r="B1" t="inlineStr">
        <is>
          <t>Item</t>
        </is>
      </c>
      <c r="C1" t="inlineStr">
        <is>
          <t>Trauck Manufacturers Industry Average</t>
        </is>
      </c>
      <c r="D1" t="inlineStr">
        <is>
          <t>Industry Average RPE Only</t>
        </is>
      </c>
      <c r="E1" t="inlineStr">
        <is>
          <t>ISIC Code</t>
        </is>
      </c>
    </row>
    <row r="2">
      <c r="A2" t="inlineStr">
        <is>
          <t>Vehicle Manufacturing</t>
        </is>
      </c>
      <c r="B2" t="inlineStr">
        <is>
          <t>Manufacturing Cost</t>
        </is>
      </c>
      <c r="C2" t="n">
        <v>1</v>
      </c>
      <c r="D2" t="inlineStr">
        <is>
          <t>N/A</t>
        </is>
      </c>
    </row>
    <row r="3">
      <c r="A3" t="inlineStr">
        <is>
          <t>Production Overhead</t>
        </is>
      </c>
      <c r="B3" t="inlineStr">
        <is>
          <t>Warranty</t>
        </is>
      </c>
      <c r="C3" t="n">
        <v>0.04</v>
      </c>
      <c r="D3">
        <f>C3/($C$16-$C$2)</f>
        <v/>
      </c>
      <c r="E3" t="inlineStr">
        <is>
          <t>ISIC 29</t>
        </is>
      </c>
    </row>
    <row r="4">
      <c r="A4" t="inlineStr">
        <is>
          <t>Production Overhead</t>
        </is>
      </c>
      <c r="B4" t="inlineStr">
        <is>
          <t>R&amp;D (product dev)</t>
        </is>
      </c>
      <c r="C4" t="n">
        <v>0.05</v>
      </c>
      <c r="D4">
        <f>C4/($C$16-$C$2)</f>
        <v/>
      </c>
      <c r="E4" t="inlineStr">
        <is>
          <t>ISIC 29</t>
        </is>
      </c>
    </row>
    <row r="5">
      <c r="A5" t="inlineStr">
        <is>
          <t>Production Overhead</t>
        </is>
      </c>
      <c r="B5" t="inlineStr">
        <is>
          <t>Depreciation and amortization</t>
        </is>
      </c>
      <c r="C5" t="n">
        <v>0.04</v>
      </c>
      <c r="D5">
        <f>C5/($C$16-$C$2)</f>
        <v/>
      </c>
      <c r="E5" t="inlineStr">
        <is>
          <t>ISIC 29</t>
        </is>
      </c>
    </row>
    <row r="6">
      <c r="A6" t="inlineStr">
        <is>
          <t>Production Overhead</t>
        </is>
      </c>
      <c r="B6" t="inlineStr">
        <is>
          <t>Maintenance, repair, operations cost</t>
        </is>
      </c>
      <c r="C6" t="n">
        <v>0.02</v>
      </c>
      <c r="D6">
        <f>C6/($C$16-$C$2)</f>
        <v/>
      </c>
      <c r="E6" t="inlineStr">
        <is>
          <t>ISIC 29</t>
        </is>
      </c>
    </row>
    <row r="7">
      <c r="A7" t="inlineStr">
        <is>
          <t>Corporate Overhead</t>
        </is>
      </c>
      <c r="B7" t="inlineStr">
        <is>
          <t>General and aministrative</t>
        </is>
      </c>
      <c r="C7" t="n">
        <v>0.07000000000000001</v>
      </c>
      <c r="D7">
        <f>C7/($C$16-$C$2)</f>
        <v/>
      </c>
      <c r="E7" t="inlineStr">
        <is>
          <t>ISIC 29</t>
        </is>
      </c>
    </row>
    <row r="8">
      <c r="A8" t="inlineStr">
        <is>
          <t>Corporate Overhead</t>
        </is>
      </c>
      <c r="B8" t="inlineStr">
        <is>
          <t>Retirement</t>
        </is>
      </c>
      <c r="C8" t="n">
        <v>0.01</v>
      </c>
      <c r="D8">
        <f>C8/($C$16-$C$2)</f>
        <v/>
      </c>
      <c r="E8" t="inlineStr">
        <is>
          <t>ISIC 29</t>
        </is>
      </c>
    </row>
    <row r="9">
      <c r="A9" t="inlineStr">
        <is>
          <t>Corporate Overhead</t>
        </is>
      </c>
      <c r="B9" t="inlineStr">
        <is>
          <t>Health</t>
        </is>
      </c>
      <c r="C9" t="n">
        <v>0.01</v>
      </c>
      <c r="D9">
        <f>C9/($C$16-$C$2)</f>
        <v/>
      </c>
      <c r="E9" t="inlineStr">
        <is>
          <t>ISIC 29</t>
        </is>
      </c>
    </row>
    <row r="10">
      <c r="A10" t="inlineStr">
        <is>
          <t>Selling</t>
        </is>
      </c>
      <c r="B10" t="inlineStr">
        <is>
          <t>Transportation</t>
        </is>
      </c>
      <c r="C10" t="n">
        <v>0</v>
      </c>
      <c r="D10">
        <f>C10/($C$16-$C$2)</f>
        <v/>
      </c>
      <c r="E10" t="inlineStr">
        <is>
          <t>ISIC 45T47</t>
        </is>
      </c>
    </row>
    <row r="11">
      <c r="A11" t="inlineStr">
        <is>
          <t>Selling</t>
        </is>
      </c>
      <c r="B11" t="inlineStr">
        <is>
          <t>Marketing</t>
        </is>
      </c>
      <c r="C11" t="n">
        <v>0.01</v>
      </c>
      <c r="D11">
        <f>C11/($C$16-$C$2)</f>
        <v/>
      </c>
      <c r="E11" t="inlineStr">
        <is>
          <t>ISIC 45T47</t>
        </is>
      </c>
    </row>
    <row r="12">
      <c r="A12" t="inlineStr">
        <is>
          <t>Dealers</t>
        </is>
      </c>
      <c r="B12" t="inlineStr">
        <is>
          <t>Dealer new vehicle net income</t>
        </is>
      </c>
      <c r="C12" t="n">
        <v>0</v>
      </c>
      <c r="D12">
        <f>C12/($C$16-$C$2)</f>
        <v/>
      </c>
      <c r="E12" t="inlineStr">
        <is>
          <t>ISIC 45T47</t>
        </is>
      </c>
    </row>
    <row r="13">
      <c r="A13" t="inlineStr">
        <is>
          <t>Dealers</t>
        </is>
      </c>
      <c r="B13" t="inlineStr">
        <is>
          <t>Dealer new vehicle selling expense</t>
        </is>
      </c>
      <c r="C13" t="n">
        <v>0.06</v>
      </c>
      <c r="D13">
        <f>C13/($C$16-$C$2)</f>
        <v/>
      </c>
      <c r="E13" t="inlineStr">
        <is>
          <t>ISIC 45T47</t>
        </is>
      </c>
    </row>
    <row r="14">
      <c r="A14" t="inlineStr">
        <is>
          <t>Other</t>
        </is>
      </c>
      <c r="B14" t="inlineStr">
        <is>
          <t>Net income</t>
        </is>
      </c>
      <c r="C14" t="n">
        <v>0.05</v>
      </c>
      <c r="D14">
        <f>C14/($C$16-$C$2)</f>
        <v/>
      </c>
      <c r="E14" t="inlineStr">
        <is>
          <t>ISIC 29</t>
        </is>
      </c>
    </row>
    <row r="16">
      <c r="A16" s="1" t="inlineStr">
        <is>
          <t>TOTAL</t>
        </is>
      </c>
      <c r="C16">
        <f>SUM(C2:C14)</f>
        <v/>
      </c>
    </row>
    <row r="25">
      <c r="A25" t="inlineStr">
        <is>
          <t>ISIC 01T03</t>
        </is>
      </c>
      <c r="B25" t="inlineStr">
        <is>
          <t>{Agriculture, forestry and fishing}</t>
        </is>
      </c>
    </row>
    <row r="26">
      <c r="A26" t="inlineStr">
        <is>
          <t>ISIC 05</t>
        </is>
      </c>
      <c r="B26" t="inlineStr">
        <is>
          <t>{Coal mining}</t>
        </is>
      </c>
    </row>
    <row r="27">
      <c r="A27" t="inlineStr">
        <is>
          <t>ISIC 06</t>
        </is>
      </c>
      <c r="B27" t="inlineStr">
        <is>
          <t>{Oil and gas extraction}</t>
        </is>
      </c>
    </row>
    <row r="28">
      <c r="A28" t="inlineStr">
        <is>
          <t>ISIC 07T08</t>
        </is>
      </c>
      <c r="B28" t="inlineStr">
        <is>
          <t>{Mining and quarrying of non-energy producing products}</t>
        </is>
      </c>
    </row>
    <row r="29">
      <c r="A29" t="inlineStr">
        <is>
          <t>ISIC 09</t>
        </is>
      </c>
      <c r="B29" t="inlineStr">
        <is>
          <t>{Mining support service activities}</t>
        </is>
      </c>
    </row>
    <row r="30">
      <c r="A30" t="inlineStr">
        <is>
          <t>ISIC 10T12</t>
        </is>
      </c>
      <c r="B30" t="inlineStr">
        <is>
          <t>{Food products, beverages and tobacco}</t>
        </is>
      </c>
    </row>
    <row r="31">
      <c r="A31" t="inlineStr">
        <is>
          <t>ISIC 13T15</t>
        </is>
      </c>
      <c r="B31" t="inlineStr">
        <is>
          <t>{Textiles, wearing apparel, leather and related products}</t>
        </is>
      </c>
    </row>
    <row r="32">
      <c r="A32" t="inlineStr">
        <is>
          <t>ISIC 16</t>
        </is>
      </c>
      <c r="B32" t="inlineStr">
        <is>
          <t>{Wood and of products of wood and cork (except furniture)}</t>
        </is>
      </c>
    </row>
    <row r="33">
      <c r="A33" t="inlineStr">
        <is>
          <t>ISIC 17T18</t>
        </is>
      </c>
      <c r="B33" t="inlineStr">
        <is>
          <t>{Paper products and printing}</t>
        </is>
      </c>
    </row>
    <row r="34">
      <c r="A34" t="inlineStr">
        <is>
          <t>ISIC 19</t>
        </is>
      </c>
      <c r="B34" t="inlineStr">
        <is>
          <t>{Coke and refined petroleum products}</t>
        </is>
      </c>
    </row>
    <row r="35">
      <c r="A35" t="inlineStr">
        <is>
          <t>ISIC 20</t>
        </is>
      </c>
      <c r="B35" t="inlineStr">
        <is>
          <t>{Chemicals}</t>
        </is>
      </c>
    </row>
    <row r="36">
      <c r="A36" t="inlineStr">
        <is>
          <t>ISIC 21</t>
        </is>
      </c>
      <c r="B36" t="inlineStr">
        <is>
          <t>{Pharmaceuticals}</t>
        </is>
      </c>
    </row>
    <row r="37">
      <c r="A37" t="inlineStr">
        <is>
          <t>ISIC 22</t>
        </is>
      </c>
      <c r="B37" t="inlineStr">
        <is>
          <t>{Rubber and plastics products}</t>
        </is>
      </c>
    </row>
    <row r="38">
      <c r="A38" t="inlineStr">
        <is>
          <t>ISIC 231</t>
        </is>
      </c>
      <c r="B38" t="inlineStr">
        <is>
          <t>{Glass}</t>
        </is>
      </c>
    </row>
    <row r="39">
      <c r="A39" t="inlineStr">
        <is>
          <t>ISIC 239</t>
        </is>
      </c>
      <c r="B39" t="inlineStr">
        <is>
          <t>{Cement and other non-metallic minerals}</t>
        </is>
      </c>
    </row>
    <row r="40">
      <c r="A40" t="inlineStr">
        <is>
          <t>ISIC 241</t>
        </is>
      </c>
      <c r="B40" t="inlineStr">
        <is>
          <t>{Iron and steel}</t>
        </is>
      </c>
    </row>
    <row r="41">
      <c r="A41" t="inlineStr">
        <is>
          <t>ISIC 242</t>
        </is>
      </c>
      <c r="B41" t="inlineStr">
        <is>
          <t>{Other metals}</t>
        </is>
      </c>
    </row>
    <row r="42">
      <c r="A42" t="inlineStr">
        <is>
          <t>ISIC 25</t>
        </is>
      </c>
      <c r="B42" t="inlineStr">
        <is>
          <t>{Fabricated metal products, except machinery and equipment}</t>
        </is>
      </c>
    </row>
    <row r="43">
      <c r="A43" t="inlineStr">
        <is>
          <t>ISIC 26</t>
        </is>
      </c>
      <c r="B43" t="inlineStr">
        <is>
          <t>{Computer, electronic and optical products}</t>
        </is>
      </c>
    </row>
    <row r="44">
      <c r="A44" t="inlineStr">
        <is>
          <t>ISIC 27</t>
        </is>
      </c>
      <c r="B44" t="inlineStr">
        <is>
          <t>{Electrical equipment}</t>
        </is>
      </c>
    </row>
    <row r="45">
      <c r="A45" t="inlineStr">
        <is>
          <t>ISIC 28</t>
        </is>
      </c>
      <c r="B45" t="inlineStr">
        <is>
          <t>{Machinery and equipment n.e.c.}</t>
        </is>
      </c>
    </row>
    <row r="46">
      <c r="A46" t="inlineStr">
        <is>
          <t>ISIC 29</t>
        </is>
      </c>
      <c r="B46" t="inlineStr">
        <is>
          <t>{Motor vehicles, trailers and semi-trailers}</t>
        </is>
      </c>
    </row>
    <row r="47">
      <c r="A47" t="inlineStr">
        <is>
          <t>ISIC 30</t>
        </is>
      </c>
      <c r="B47" t="inlineStr">
        <is>
          <t>{Other transport equipment}</t>
        </is>
      </c>
    </row>
    <row r="48">
      <c r="A48" t="inlineStr">
        <is>
          <t>ISIC 31T33</t>
        </is>
      </c>
      <c r="B48" t="inlineStr">
        <is>
          <t>{Other manufacturing; repair and installation of machinery and equipment}</t>
        </is>
      </c>
    </row>
    <row r="49">
      <c r="A49" t="inlineStr">
        <is>
          <t>ISIC 351</t>
        </is>
      </c>
      <c r="B49" t="inlineStr">
        <is>
          <t>{Electricity generation and distribution}</t>
        </is>
      </c>
    </row>
    <row r="50">
      <c r="A50" t="inlineStr">
        <is>
          <t>ISIC 352T353</t>
        </is>
      </c>
      <c r="B50" t="inlineStr">
        <is>
          <t>{Energy pipelines and gas processing}</t>
        </is>
      </c>
    </row>
    <row r="51">
      <c r="A51" t="inlineStr">
        <is>
          <t>ISIC 36T39</t>
        </is>
      </c>
      <c r="B51" t="inlineStr">
        <is>
          <t>{Water and waste}</t>
        </is>
      </c>
    </row>
    <row r="52">
      <c r="A52" t="inlineStr">
        <is>
          <t>ISIC 41T43</t>
        </is>
      </c>
      <c r="B52" t="inlineStr">
        <is>
          <t>{Construction}</t>
        </is>
      </c>
    </row>
    <row r="53">
      <c r="A53" t="inlineStr">
        <is>
          <t>ISIC 45T47</t>
        </is>
      </c>
      <c r="B53" t="inlineStr">
        <is>
          <t>{Wholesale and retail trade; repair of motor vehicles}</t>
        </is>
      </c>
    </row>
    <row r="54">
      <c r="A54" t="inlineStr">
        <is>
          <t>ISIC 49T53</t>
        </is>
      </c>
      <c r="B54" t="inlineStr">
        <is>
          <t>{Transportation and storage}</t>
        </is>
      </c>
    </row>
    <row r="55">
      <c r="A55" t="inlineStr">
        <is>
          <t>ISIC 55T56</t>
        </is>
      </c>
      <c r="B55" t="inlineStr">
        <is>
          <t>{Accomodation and food services}</t>
        </is>
      </c>
    </row>
    <row r="56">
      <c r="A56" t="inlineStr">
        <is>
          <t>ISIC 58T60</t>
        </is>
      </c>
      <c r="B56" t="inlineStr">
        <is>
          <t>{Publishing, audiovisual and broadcasting activities}</t>
        </is>
      </c>
    </row>
    <row r="57">
      <c r="A57" t="inlineStr">
        <is>
          <t>ISIC 61</t>
        </is>
      </c>
      <c r="B57" t="inlineStr">
        <is>
          <t>{Telecommunications}</t>
        </is>
      </c>
    </row>
    <row r="58">
      <c r="A58" t="inlineStr">
        <is>
          <t>ISIC 62T63</t>
        </is>
      </c>
      <c r="B58" t="inlineStr">
        <is>
          <t>{IT and other information services}</t>
        </is>
      </c>
    </row>
    <row r="59">
      <c r="A59" t="inlineStr">
        <is>
          <t>ISIC 64T66</t>
        </is>
      </c>
      <c r="B59" t="inlineStr">
        <is>
          <t>{Financial and insurance activities}</t>
        </is>
      </c>
    </row>
    <row r="60">
      <c r="A60" t="inlineStr">
        <is>
          <t>ISIC 68</t>
        </is>
      </c>
      <c r="B60" t="inlineStr">
        <is>
          <t>{Real estate activities}</t>
        </is>
      </c>
    </row>
    <row r="61">
      <c r="A61" t="inlineStr">
        <is>
          <t>ISIC 69T82</t>
        </is>
      </c>
      <c r="B61" t="inlineStr">
        <is>
          <t>{Other business sector services}</t>
        </is>
      </c>
    </row>
    <row r="62">
      <c r="A62" t="inlineStr">
        <is>
          <t>ISIC 84</t>
        </is>
      </c>
      <c r="B62" t="inlineStr">
        <is>
          <t>{Public administration and defence; compulsory social security}</t>
        </is>
      </c>
    </row>
    <row r="63">
      <c r="A63" t="inlineStr">
        <is>
          <t>ISIC 85</t>
        </is>
      </c>
      <c r="B63" t="inlineStr">
        <is>
          <t>{Education}</t>
        </is>
      </c>
    </row>
    <row r="64">
      <c r="A64" t="inlineStr">
        <is>
          <t>ISIC 86T88</t>
        </is>
      </c>
      <c r="B64" t="inlineStr">
        <is>
          <t>{Human health and social work}</t>
        </is>
      </c>
    </row>
    <row r="65">
      <c r="A65" t="inlineStr">
        <is>
          <t>ISIC 90T96</t>
        </is>
      </c>
      <c r="B65" t="inlineStr">
        <is>
          <t>{Arts, entertainment, recreation and other service activities}</t>
        </is>
      </c>
    </row>
    <row r="66">
      <c r="A66" t="inlineStr">
        <is>
          <t>ISIC 97T98</t>
        </is>
      </c>
      <c r="B66" t="inlineStr">
        <is>
          <t>{Private households with employed persons}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6" t="inlineStr">
        <is>
          <t>Validation checks</t>
        </is>
      </c>
    </row>
    <row r="3">
      <c r="A3" s="6" t="inlineStr">
        <is>
          <t>Child-factor groups sum to 1 (per file/context/parent; rate-file reroutes excluded)</t>
        </is>
      </c>
    </row>
    <row r="4">
      <c r="A4" t="inlineStr">
        <is>
          <t>VRSbRIC.csv | HDVs | ISIC 01T03</t>
        </is>
      </c>
      <c r="B4">
        <f>('Factors applied'!$E$3+'Factors applied'!$E$4+'Factors applied'!$E$5)</f>
        <v/>
      </c>
      <c r="C4" s="6">
        <f>IF(ABS(B4-1)&lt;0.000000001,"PASS","FAIL")</f>
        <v/>
      </c>
    </row>
    <row r="5">
      <c r="A5" t="inlineStr">
        <is>
          <t>VRSbRIC.csv | HDVs | ISIC 07T08</t>
        </is>
      </c>
      <c r="B5">
        <f>('Factors applied'!$E$6+'Factors applied'!$E$7)</f>
        <v/>
      </c>
      <c r="C5" s="6">
        <f>IF(ABS(B5-1)&lt;0.000000001,"PASS","FAIL")</f>
        <v/>
      </c>
    </row>
    <row r="6">
      <c r="A6" t="inlineStr">
        <is>
          <t>VRSbRIC.csv | HDVs | ISIC 30</t>
        </is>
      </c>
      <c r="B6">
        <f>('Factors applied'!$E$8+'Factors applied'!$E$9)</f>
        <v/>
      </c>
      <c r="C6" s="6">
        <f>IF(ABS(B6-1)&lt;0.000000001,"PASS","FAIL")</f>
        <v/>
      </c>
    </row>
    <row r="7">
      <c r="A7" t="inlineStr">
        <is>
          <t>VRSbRIC.csv | HDVs | ISIC 49T53</t>
        </is>
      </c>
      <c r="B7">
        <f>('Factors applied'!$E$10+'Factors applied'!$E$11+'Factors applied'!$E$12+'Factors applied'!$E$13+'Factors applied'!$E$14)</f>
        <v/>
      </c>
      <c r="C7" s="6">
        <f>IF(ABS(B7-1)&lt;0.000000001,"PASS","FAIL")</f>
        <v/>
      </c>
    </row>
    <row r="8">
      <c r="A8" t="inlineStr">
        <is>
          <t>VRSbRIC.csv | HDVs | ISIC 69T82</t>
        </is>
      </c>
      <c r="B8">
        <f>('Factors applied'!$E$15+'Factors applied'!$E$16)</f>
        <v/>
      </c>
      <c r="C8" s="6">
        <f>IF(ABS(B8-1)&lt;0.000000001,"PASS","FAIL")</f>
        <v/>
      </c>
    </row>
    <row r="9">
      <c r="A9" t="inlineStr">
        <is>
          <t>VRSbRIC.csv | HDVs | ISIC 90T96</t>
        </is>
      </c>
      <c r="B9">
        <f>('Factors applied'!$E$17+'Factors applied'!$E$18)</f>
        <v/>
      </c>
      <c r="C9" s="6">
        <f>IF(ABS(B9-1)&lt;0.000000001,"PASS","FAIL")</f>
        <v/>
      </c>
    </row>
    <row r="10">
      <c r="A10" t="inlineStr">
        <is>
          <t>VRSbRIC.csv | LDVs | ISIC 01T03</t>
        </is>
      </c>
      <c r="B10">
        <f>('Factors applied'!$E$19+'Factors applied'!$E$20+'Factors applied'!$E$21)</f>
        <v/>
      </c>
      <c r="C10" s="6">
        <f>IF(ABS(B10-1)&lt;0.000000001,"PASS","FAIL")</f>
        <v/>
      </c>
    </row>
    <row r="11">
      <c r="A11" t="inlineStr">
        <is>
          <t>VRSbRIC.csv | LDVs | ISIC 07T08</t>
        </is>
      </c>
      <c r="B11">
        <f>('Factors applied'!$E$22+'Factors applied'!$E$23)</f>
        <v/>
      </c>
      <c r="C11" s="6">
        <f>IF(ABS(B11-1)&lt;0.000000001,"PASS","FAIL")</f>
        <v/>
      </c>
    </row>
    <row r="12">
      <c r="A12" t="inlineStr">
        <is>
          <t>VRSbRIC.csv | LDVs | ISIC 30</t>
        </is>
      </c>
      <c r="B12">
        <f>('Factors applied'!$E$24+'Factors applied'!$E$25)</f>
        <v/>
      </c>
      <c r="C12" s="6">
        <f>IF(ABS(B12-1)&lt;0.000000001,"PASS","FAIL")</f>
        <v/>
      </c>
    </row>
    <row r="13">
      <c r="A13" t="inlineStr">
        <is>
          <t>VRSbRIC.csv | LDVs | ISIC 49T53</t>
        </is>
      </c>
      <c r="B13">
        <f>('Factors applied'!$E$26+'Factors applied'!$E$27+'Factors applied'!$E$28+'Factors applied'!$E$29+'Factors applied'!$E$30)</f>
        <v/>
      </c>
      <c r="C13" s="6">
        <f>IF(ABS(B13-1)&lt;0.000000001,"PASS","FAIL")</f>
        <v/>
      </c>
    </row>
    <row r="14">
      <c r="A14" t="inlineStr">
        <is>
          <t>VRSbRIC.csv | LDVs | ISIC 69T82</t>
        </is>
      </c>
      <c r="B14">
        <f>('Factors applied'!$E$31+'Factors applied'!$E$32)</f>
        <v/>
      </c>
      <c r="C14" s="6">
        <f>IF(ABS(B14-1)&lt;0.000000001,"PASS","FAIL")</f>
        <v/>
      </c>
    </row>
    <row r="15">
      <c r="A15" t="inlineStr">
        <is>
          <t>VRSbRIC.csv | LDVs | ISIC 90T96</t>
        </is>
      </c>
      <c r="B15">
        <f>('Factors applied'!$E$33+'Factors applied'!$E$34)</f>
        <v/>
      </c>
      <c r="C15" s="6">
        <f>IF(ABS(B15-1)&lt;0.000000001,"PASS","FAIL")</f>
        <v/>
      </c>
    </row>
    <row r="16">
      <c r="A16" t="inlineStr">
        <is>
          <t>VRSbRIC.csv | aircraft | ISIC 01T03</t>
        </is>
      </c>
      <c r="B16">
        <f>('Factors applied'!$E$35+'Factors applied'!$E$36+'Factors applied'!$E$37)</f>
        <v/>
      </c>
      <c r="C16" s="6">
        <f>IF(ABS(B16-1)&lt;0.000000001,"PASS","FAIL")</f>
        <v/>
      </c>
    </row>
    <row r="17">
      <c r="A17" t="inlineStr">
        <is>
          <t>VRSbRIC.csv | aircraft | ISIC 07T08</t>
        </is>
      </c>
      <c r="B17">
        <f>('Factors applied'!$E$38+'Factors applied'!$E$39)</f>
        <v/>
      </c>
      <c r="C17" s="6">
        <f>IF(ABS(B17-1)&lt;0.000000001,"PASS","FAIL")</f>
        <v/>
      </c>
    </row>
    <row r="18">
      <c r="A18" t="inlineStr">
        <is>
          <t>VRSbRIC.csv | aircraft | ISIC 30</t>
        </is>
      </c>
      <c r="B18">
        <f>('Factors applied'!$E$40+'Factors applied'!$E$41)</f>
        <v/>
      </c>
      <c r="C18" s="6">
        <f>IF(ABS(B18-1)&lt;0.000000001,"PASS","FAIL")</f>
        <v/>
      </c>
    </row>
    <row r="19">
      <c r="A19" t="inlineStr">
        <is>
          <t>VRSbRIC.csv | aircraft | ISIC 49T53</t>
        </is>
      </c>
      <c r="B19">
        <f>('Factors applied'!$E$42+'Factors applied'!$E$43+'Factors applied'!$E$44+'Factors applied'!$E$45+'Factors applied'!$E$46)</f>
        <v/>
      </c>
      <c r="C19" s="6">
        <f>IF(ABS(B19-1)&lt;0.000000001,"PASS","FAIL")</f>
        <v/>
      </c>
    </row>
    <row r="20">
      <c r="A20" t="inlineStr">
        <is>
          <t>VRSbRIC.csv | aircraft | ISIC 69T82</t>
        </is>
      </c>
      <c r="B20">
        <f>('Factors applied'!$E$47+'Factors applied'!$E$48)</f>
        <v/>
      </c>
      <c r="C20" s="6">
        <f>IF(ABS(B20-1)&lt;0.000000001,"PASS","FAIL")</f>
        <v/>
      </c>
    </row>
    <row r="21">
      <c r="A21" t="inlineStr">
        <is>
          <t>VRSbRIC.csv | aircraft | ISIC 90T96</t>
        </is>
      </c>
      <c r="B21">
        <f>('Factors applied'!$E$49+'Factors applied'!$E$50)</f>
        <v/>
      </c>
      <c r="C21" s="6">
        <f>IF(ABS(B21-1)&lt;0.000000001,"PASS","FAIL")</f>
        <v/>
      </c>
    </row>
    <row r="22">
      <c r="A22" t="inlineStr">
        <is>
          <t>VRSbRIC.csv | motorbike | ISIC 01T03</t>
        </is>
      </c>
      <c r="B22">
        <f>('Factors applied'!$E$51+'Factors applied'!$E$52+'Factors applied'!$E$53)</f>
        <v/>
      </c>
      <c r="C22" s="6">
        <f>IF(ABS(B22-1)&lt;0.000000001,"PASS","FAIL")</f>
        <v/>
      </c>
    </row>
    <row r="23">
      <c r="A23" t="inlineStr">
        <is>
          <t>VRSbRIC.csv | motorbike | ISIC 07T08</t>
        </is>
      </c>
      <c r="B23">
        <f>('Factors applied'!$E$54+'Factors applied'!$E$55)</f>
        <v/>
      </c>
      <c r="C23" s="6">
        <f>IF(ABS(B23-1)&lt;0.000000001,"PASS","FAIL")</f>
        <v/>
      </c>
    </row>
    <row r="24">
      <c r="A24" t="inlineStr">
        <is>
          <t>VRSbRIC.csv | motorbike | ISIC 30</t>
        </is>
      </c>
      <c r="B24">
        <f>('Factors applied'!$E$56+'Factors applied'!$E$57)</f>
        <v/>
      </c>
      <c r="C24" s="6">
        <f>IF(ABS(B24-1)&lt;0.000000001,"PASS","FAIL")</f>
        <v/>
      </c>
    </row>
    <row r="25">
      <c r="A25" t="inlineStr">
        <is>
          <t>VRSbRIC.csv | motorbike | ISIC 49T53</t>
        </is>
      </c>
      <c r="B25">
        <f>('Factors applied'!$E$58+'Factors applied'!$E$59+'Factors applied'!$E$60+'Factors applied'!$E$61+'Factors applied'!$E$62)</f>
        <v/>
      </c>
      <c r="C25" s="6">
        <f>IF(ABS(B25-1)&lt;0.000000001,"PASS","FAIL")</f>
        <v/>
      </c>
    </row>
    <row r="26">
      <c r="A26" t="inlineStr">
        <is>
          <t>VRSbRIC.csv | motorbike | ISIC 69T82</t>
        </is>
      </c>
      <c r="B26">
        <f>('Factors applied'!$E$63+'Factors applied'!$E$64)</f>
        <v/>
      </c>
      <c r="C26" s="6">
        <f>IF(ABS(B26-1)&lt;0.000000001,"PASS","FAIL")</f>
        <v/>
      </c>
    </row>
    <row r="27">
      <c r="A27" t="inlineStr">
        <is>
          <t>VRSbRIC.csv | motorbike | ISIC 90T96</t>
        </is>
      </c>
      <c r="B27">
        <f>('Factors applied'!$E$65+'Factors applied'!$E$66)</f>
        <v/>
      </c>
      <c r="C27" s="6">
        <f>IF(ABS(B27-1)&lt;0.000000001,"PASS","FAIL")</f>
        <v/>
      </c>
    </row>
    <row r="28">
      <c r="A28" t="inlineStr">
        <is>
          <t>VRSbRIC.csv | rail | ISIC 01T03</t>
        </is>
      </c>
      <c r="B28">
        <f>('Factors applied'!$E$67+'Factors applied'!$E$68+'Factors applied'!$E$69)</f>
        <v/>
      </c>
      <c r="C28" s="6">
        <f>IF(ABS(B28-1)&lt;0.000000001,"PASS","FAIL")</f>
        <v/>
      </c>
    </row>
    <row r="29">
      <c r="A29" t="inlineStr">
        <is>
          <t>VRSbRIC.csv | rail | ISIC 07T08</t>
        </is>
      </c>
      <c r="B29">
        <f>('Factors applied'!$E$70+'Factors applied'!$E$71)</f>
        <v/>
      </c>
      <c r="C29" s="6">
        <f>IF(ABS(B29-1)&lt;0.000000001,"PASS","FAIL")</f>
        <v/>
      </c>
    </row>
    <row r="30">
      <c r="A30" t="inlineStr">
        <is>
          <t>VRSbRIC.csv | rail | ISIC 30</t>
        </is>
      </c>
      <c r="B30">
        <f>('Factors applied'!$E$72+'Factors applied'!$E$73)</f>
        <v/>
      </c>
      <c r="C30" s="6">
        <f>IF(ABS(B30-1)&lt;0.000000001,"PASS","FAIL")</f>
        <v/>
      </c>
    </row>
    <row r="31">
      <c r="A31" t="inlineStr">
        <is>
          <t>VRSbRIC.csv | rail | ISIC 49T53</t>
        </is>
      </c>
      <c r="B31">
        <f>('Factors applied'!$E$74+'Factors applied'!$E$75+'Factors applied'!$E$76+'Factors applied'!$E$77+'Factors applied'!$E$78)</f>
        <v/>
      </c>
      <c r="C31" s="6">
        <f>IF(ABS(B31-1)&lt;0.000000001,"PASS","FAIL")</f>
        <v/>
      </c>
    </row>
    <row r="32">
      <c r="A32" t="inlineStr">
        <is>
          <t>VRSbRIC.csv | rail | ISIC 69T82</t>
        </is>
      </c>
      <c r="B32">
        <f>('Factors applied'!$E$79+'Factors applied'!$E$80)</f>
        <v/>
      </c>
      <c r="C32" s="6">
        <f>IF(ABS(B32-1)&lt;0.000000001,"PASS","FAIL")</f>
        <v/>
      </c>
    </row>
    <row r="33">
      <c r="A33" t="inlineStr">
        <is>
          <t>VRSbRIC.csv | rail | ISIC 90T96</t>
        </is>
      </c>
      <c r="B33">
        <f>('Factors applied'!$E$81+'Factors applied'!$E$82)</f>
        <v/>
      </c>
      <c r="C33" s="6">
        <f>IF(ABS(B33-1)&lt;0.000000001,"PASS","FAIL")</f>
        <v/>
      </c>
    </row>
    <row r="34">
      <c r="A34" t="inlineStr">
        <is>
          <t>VRSbRIC.csv | ships | ISIC 01T03</t>
        </is>
      </c>
      <c r="B34">
        <f>('Factors applied'!$E$83+'Factors applied'!$E$84+'Factors applied'!$E$85)</f>
        <v/>
      </c>
      <c r="C34" s="6">
        <f>IF(ABS(B34-1)&lt;0.000000001,"PASS","FAIL")</f>
        <v/>
      </c>
    </row>
    <row r="35">
      <c r="A35" t="inlineStr">
        <is>
          <t>VRSbRIC.csv | ships | ISIC 07T08</t>
        </is>
      </c>
      <c r="B35">
        <f>('Factors applied'!$E$86+'Factors applied'!$E$87)</f>
        <v/>
      </c>
      <c r="C35" s="6">
        <f>IF(ABS(B35-1)&lt;0.000000001,"PASS","FAIL")</f>
        <v/>
      </c>
    </row>
    <row r="36">
      <c r="A36" t="inlineStr">
        <is>
          <t>VRSbRIC.csv | ships | ISIC 30</t>
        </is>
      </c>
      <c r="B36">
        <f>('Factors applied'!$E$88+'Factors applied'!$E$89)</f>
        <v/>
      </c>
      <c r="C36" s="6">
        <f>IF(ABS(B36-1)&lt;0.000000001,"PASS","FAIL")</f>
        <v/>
      </c>
    </row>
    <row r="37">
      <c r="A37" t="inlineStr">
        <is>
          <t>VRSbRIC.csv | ships | ISIC 49T53</t>
        </is>
      </c>
      <c r="B37">
        <f>('Factors applied'!$E$90+'Factors applied'!$E$91+'Factors applied'!$E$92+'Factors applied'!$E$93+'Factors applied'!$E$94)</f>
        <v/>
      </c>
      <c r="C37" s="6">
        <f>IF(ABS(B37-1)&lt;0.000000001,"PASS","FAIL")</f>
        <v/>
      </c>
    </row>
    <row r="38">
      <c r="A38" t="inlineStr">
        <is>
          <t>VRSbRIC.csv | ships | ISIC 69T82</t>
        </is>
      </c>
      <c r="B38">
        <f>('Factors applied'!$E$95+'Factors applied'!$E$96)</f>
        <v/>
      </c>
      <c r="C38" s="6">
        <f>IF(ABS(B38-1)&lt;0.000000001,"PASS","FAIL")</f>
        <v/>
      </c>
    </row>
    <row r="39">
      <c r="A39" t="inlineStr">
        <is>
          <t>VRSbRIC.csv | ships | ISIC 90T96</t>
        </is>
      </c>
      <c r="B39">
        <f>('Factors applied'!$E$97+'Factors applied'!$E$98)</f>
        <v/>
      </c>
      <c r="C39" s="6">
        <f>IF(ABS(B39-1)&lt;0.000000001,"PASS","FAIL")</f>
        <v/>
      </c>
    </row>
    <row r="41">
      <c r="A41" s="6" t="inlineStr">
        <is>
          <t>Output rows sum to 1 (share files)</t>
        </is>
      </c>
    </row>
    <row r="42">
      <c r="A42" t="inlineStr">
        <is>
          <t>VRSbRIC.csv | LDVs</t>
        </is>
      </c>
      <c r="B42">
        <f>SUM('VRSbRIC'!B2:BA2)</f>
        <v/>
      </c>
      <c r="C42" s="6">
        <f>IF(ABS(B42-1)&lt;0.000000001,"PASS","FAIL")</f>
        <v/>
      </c>
    </row>
    <row r="43">
      <c r="A43" t="inlineStr">
        <is>
          <t>VRSbRIC.csv | HDVs</t>
        </is>
      </c>
      <c r="B43">
        <f>SUM('VRSbRIC'!B3:BA3)</f>
        <v/>
      </c>
      <c r="C43" s="6">
        <f>IF(ABS(B43-1)&lt;0.000000001,"PASS","FAIL")</f>
        <v/>
      </c>
    </row>
    <row r="44">
      <c r="A44" t="inlineStr">
        <is>
          <t>VRSbRIC.csv | aircraft</t>
        </is>
      </c>
      <c r="B44">
        <f>SUM('VRSbRIC'!B4:BA4)</f>
        <v/>
      </c>
      <c r="C44" s="6">
        <f>IF(ABS(B44-1)&lt;0.000000001,"PASS","FAIL")</f>
        <v/>
      </c>
    </row>
    <row r="45">
      <c r="A45" t="inlineStr">
        <is>
          <t>VRSbRIC.csv | rail</t>
        </is>
      </c>
      <c r="B45">
        <f>SUM('VRSbRIC'!B5:BA5)</f>
        <v/>
      </c>
      <c r="C45" s="6">
        <f>IF(ABS(B45-1)&lt;0.000000001,"PASS","FAIL")</f>
        <v/>
      </c>
    </row>
    <row r="46">
      <c r="A46" t="inlineStr">
        <is>
          <t>VRSbRIC.csv | ships</t>
        </is>
      </c>
      <c r="B46">
        <f>SUM('VRSbRIC'!B6:BA6)</f>
        <v/>
      </c>
      <c r="C46" s="6">
        <f>IF(ABS(B46-1)&lt;0.000000001,"PASS","FAIL")</f>
        <v/>
      </c>
    </row>
    <row r="47">
      <c r="A47" t="inlineStr">
        <is>
          <t>VRSbRIC.csv | motorbike</t>
        </is>
      </c>
      <c r="B47">
        <f>SUM('VRSbRIC'!B7:BA7)</f>
        <v/>
      </c>
      <c r="C47" s="6">
        <f>IF(ABS(B47-1)&lt;0.000000001,"PASS","FAIL")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BA7"/>
  <sheetViews>
    <sheetView workbookViewId="0">
      <selection activeCell="W7" sqref="W7"/>
    </sheetView>
  </sheetViews>
  <sheetFormatPr baseColWidth="8" defaultRowHeight="15"/>
  <cols>
    <col width="12.42578125" bestFit="1" customWidth="1" min="1" max="1"/>
  </cols>
  <sheetData>
    <row r="1">
      <c r="A1" s="7" t="inlineStr">
        <is>
          <t>Vehicle Type</t>
        </is>
      </c>
      <c r="B1" s="6" t="inlineStr">
        <is>
          <t>ISIC 01</t>
        </is>
      </c>
      <c r="C1" s="6" t="inlineStr">
        <is>
          <t>ISIC 02</t>
        </is>
      </c>
      <c r="D1" s="6" t="inlineStr">
        <is>
          <t>ISIC 03</t>
        </is>
      </c>
      <c r="E1" s="6" t="inlineStr">
        <is>
          <t>ISIC 05</t>
        </is>
      </c>
      <c r="F1" s="6" t="inlineStr">
        <is>
          <t>ISIC 06</t>
        </is>
      </c>
      <c r="G1" s="6" t="inlineStr">
        <is>
          <t>ISIC 07</t>
        </is>
      </c>
      <c r="H1" s="6" t="inlineStr">
        <is>
          <t>ISIC 08</t>
        </is>
      </c>
      <c r="I1" s="6" t="inlineStr">
        <is>
          <t>ISIC 09</t>
        </is>
      </c>
      <c r="J1" s="6" t="inlineStr">
        <is>
          <t>ISIC 10T12</t>
        </is>
      </c>
      <c r="K1" s="6" t="inlineStr">
        <is>
          <t>ISIC 13T15</t>
        </is>
      </c>
      <c r="L1" s="6" t="inlineStr">
        <is>
          <t>ISIC 16</t>
        </is>
      </c>
      <c r="M1" s="6" t="inlineStr">
        <is>
          <t>ISIC 17T18</t>
        </is>
      </c>
      <c r="N1" s="6" t="inlineStr">
        <is>
          <t>ISIC 19</t>
        </is>
      </c>
      <c r="O1" s="6" t="inlineStr">
        <is>
          <t>ISIC 20</t>
        </is>
      </c>
      <c r="P1" s="6" t="inlineStr">
        <is>
          <t>ISIC 21</t>
        </is>
      </c>
      <c r="Q1" s="6" t="inlineStr">
        <is>
          <t>ISIC 22</t>
        </is>
      </c>
      <c r="R1" s="6" t="inlineStr">
        <is>
          <t>ISIC 231</t>
        </is>
      </c>
      <c r="S1" s="6" t="inlineStr">
        <is>
          <t>ISIC 239</t>
        </is>
      </c>
      <c r="T1" s="6" t="inlineStr">
        <is>
          <t>ISIC 241</t>
        </is>
      </c>
      <c r="U1" s="6" t="inlineStr">
        <is>
          <t>ISIC 242</t>
        </is>
      </c>
      <c r="V1" s="6" t="inlineStr">
        <is>
          <t>ISIC 25</t>
        </is>
      </c>
      <c r="W1" s="6" t="inlineStr">
        <is>
          <t>ISIC 26</t>
        </is>
      </c>
      <c r="X1" s="6" t="inlineStr">
        <is>
          <t>ISIC 27</t>
        </is>
      </c>
      <c r="Y1" s="6" t="inlineStr">
        <is>
          <t>ISIC 28</t>
        </is>
      </c>
      <c r="Z1" s="6" t="inlineStr">
        <is>
          <t>ISIC 29</t>
        </is>
      </c>
      <c r="AA1" s="6" t="inlineStr">
        <is>
          <t>ISIC 301</t>
        </is>
      </c>
      <c r="AB1" s="6" t="inlineStr">
        <is>
          <t>ISIC 302T309</t>
        </is>
      </c>
      <c r="AC1" s="6" t="inlineStr">
        <is>
          <t>ISIC 31T33</t>
        </is>
      </c>
      <c r="AD1" s="6" t="inlineStr">
        <is>
          <t>ISIC 351</t>
        </is>
      </c>
      <c r="AE1" s="6" t="inlineStr">
        <is>
          <t>ISIC 352T353</t>
        </is>
      </c>
      <c r="AF1" s="6" t="inlineStr">
        <is>
          <t>ISIC 36T39</t>
        </is>
      </c>
      <c r="AG1" s="6" t="inlineStr">
        <is>
          <t>ISIC 41T43</t>
        </is>
      </c>
      <c r="AH1" s="6" t="inlineStr">
        <is>
          <t>ISIC 45T47</t>
        </is>
      </c>
      <c r="AI1" s="6" t="inlineStr">
        <is>
          <t>ISIC 49</t>
        </is>
      </c>
      <c r="AJ1" s="6" t="inlineStr">
        <is>
          <t>ISIC 50</t>
        </is>
      </c>
      <c r="AK1" s="6" t="inlineStr">
        <is>
          <t>ISIC 51</t>
        </is>
      </c>
      <c r="AL1" s="6" t="inlineStr">
        <is>
          <t>ISIC 52</t>
        </is>
      </c>
      <c r="AM1" s="6" t="inlineStr">
        <is>
          <t>ISIC 53</t>
        </is>
      </c>
      <c r="AN1" s="6" t="inlineStr">
        <is>
          <t>ISIC 55T56</t>
        </is>
      </c>
      <c r="AO1" s="6" t="inlineStr">
        <is>
          <t>ISIC 58T60</t>
        </is>
      </c>
      <c r="AP1" s="6" t="inlineStr">
        <is>
          <t>ISIC 61</t>
        </is>
      </c>
      <c r="AQ1" s="6" t="inlineStr">
        <is>
          <t>ISIC 62T63</t>
        </is>
      </c>
      <c r="AR1" s="6" t="inlineStr">
        <is>
          <t>ISIC 64T66</t>
        </is>
      </c>
      <c r="AS1" s="6" t="inlineStr">
        <is>
          <t>ISIC 68</t>
        </is>
      </c>
      <c r="AT1" s="6" t="inlineStr">
        <is>
          <t>ISIC 69T75</t>
        </is>
      </c>
      <c r="AU1" s="6" t="inlineStr">
        <is>
          <t>ISIC 77T82</t>
        </is>
      </c>
      <c r="AV1" s="6" t="inlineStr">
        <is>
          <t>ISIC 84</t>
        </is>
      </c>
      <c r="AW1" s="6" t="inlineStr">
        <is>
          <t>ISIC 85</t>
        </is>
      </c>
      <c r="AX1" s="6" t="inlineStr">
        <is>
          <t>ISIC 86T88</t>
        </is>
      </c>
      <c r="AY1" s="6" t="inlineStr">
        <is>
          <t>ISIC 90T93</t>
        </is>
      </c>
      <c r="AZ1" s="6" t="inlineStr">
        <is>
          <t>ISIC 94T96</t>
        </is>
      </c>
      <c r="BA1" s="6" t="inlineStr">
        <is>
          <t>ISIC 97T98</t>
        </is>
      </c>
    </row>
    <row r="2">
      <c r="A2" t="inlineStr">
        <is>
          <t>LDVs</t>
        </is>
      </c>
      <c r="B2">
        <f>(SUMIFS('LDV Data'!$D$3:$D$14,'LDV Data'!$E$3:$E$14,"ISIC 01T03"))*'Factors applied'!$E$19</f>
        <v/>
      </c>
      <c r="C2">
        <f>(SUMIFS('LDV Data'!$D$3:$D$14,'LDV Data'!$E$3:$E$14,"ISIC 01T03"))*'Factors applied'!$E$20</f>
        <v/>
      </c>
      <c r="D2">
        <f>(SUMIFS('LDV Data'!$D$3:$D$14,'LDV Data'!$E$3:$E$14,"ISIC 01T03"))*'Factors applied'!$E$21</f>
        <v/>
      </c>
      <c r="E2">
        <f>(SUMIFS('LDV Data'!$D$3:$D$14,'LDV Data'!$E$3:$E$14,"ISIC 05"))</f>
        <v/>
      </c>
      <c r="F2">
        <f>(SUMIFS('LDV Data'!$D$3:$D$14,'LDV Data'!$E$3:$E$14,"ISIC 06"))</f>
        <v/>
      </c>
      <c r="G2">
        <f>(SUMIFS('LDV Data'!$D$3:$D$14,'LDV Data'!$E$3:$E$14,"ISIC 07T08"))*'Factors applied'!$E$22</f>
        <v/>
      </c>
      <c r="H2">
        <f>(SUMIFS('LDV Data'!$D$3:$D$14,'LDV Data'!$E$3:$E$14,"ISIC 07T08"))*'Factors applied'!$E$23</f>
        <v/>
      </c>
      <c r="I2">
        <f>(SUMIFS('LDV Data'!$D$3:$D$14,'LDV Data'!$E$3:$E$14,"ISIC 09"))</f>
        <v/>
      </c>
      <c r="J2">
        <f>(SUMIFS('LDV Data'!$D$3:$D$14,'LDV Data'!$E$3:$E$14,"ISIC 10T12"))</f>
        <v/>
      </c>
      <c r="K2">
        <f>(SUMIFS('LDV Data'!$D$3:$D$14,'LDV Data'!$E$3:$E$14,"ISIC 13T15"))</f>
        <v/>
      </c>
      <c r="L2">
        <f>(SUMIFS('LDV Data'!$D$3:$D$14,'LDV Data'!$E$3:$E$14,"ISIC 16"))</f>
        <v/>
      </c>
      <c r="M2">
        <f>(SUMIFS('LDV Data'!$D$3:$D$14,'LDV Data'!$E$3:$E$14,"ISIC 17T18"))</f>
        <v/>
      </c>
      <c r="N2">
        <f>(SUMIFS('LDV Data'!$D$3:$D$14,'LDV Data'!$E$3:$E$14,"ISIC 19"))</f>
        <v/>
      </c>
      <c r="O2">
        <f>(SUMIFS('LDV Data'!$D$3:$D$14,'LDV Data'!$E$3:$E$14,"ISIC 20"))</f>
        <v/>
      </c>
      <c r="P2">
        <f>(SUMIFS('LDV Data'!$D$3:$D$14,'LDV Data'!$E$3:$E$14,"ISIC 21"))</f>
        <v/>
      </c>
      <c r="Q2">
        <f>(SUMIFS('LDV Data'!$D$3:$D$14,'LDV Data'!$E$3:$E$14,"ISIC 22"))</f>
        <v/>
      </c>
      <c r="R2">
        <f>(SUMIFS('LDV Data'!$D$3:$D$14,'LDV Data'!$E$3:$E$14,"ISIC 231"))</f>
        <v/>
      </c>
      <c r="S2">
        <f>(SUMIFS('LDV Data'!$D$3:$D$14,'LDV Data'!$E$3:$E$14,"ISIC 239"))</f>
        <v/>
      </c>
      <c r="T2">
        <f>(SUMIFS('LDV Data'!$D$3:$D$14,'LDV Data'!$E$3:$E$14,"ISIC 241"))</f>
        <v/>
      </c>
      <c r="U2">
        <f>(SUMIFS('LDV Data'!$D$3:$D$14,'LDV Data'!$E$3:$E$14,"ISIC 242"))</f>
        <v/>
      </c>
      <c r="V2">
        <f>(SUMIFS('LDV Data'!$D$3:$D$14,'LDV Data'!$E$3:$E$14,"ISIC 25"))</f>
        <v/>
      </c>
      <c r="W2">
        <f>(SUMIFS('LDV Data'!$D$3:$D$14,'LDV Data'!$E$3:$E$14,"ISIC 26"))</f>
        <v/>
      </c>
      <c r="X2">
        <f>(SUMIFS('LDV Data'!$D$3:$D$14,'LDV Data'!$E$3:$E$14,"ISIC 27"))</f>
        <v/>
      </c>
      <c r="Y2">
        <f>(SUMIFS('LDV Data'!$D$3:$D$14,'LDV Data'!$E$3:$E$14,"ISIC 28"))</f>
        <v/>
      </c>
      <c r="Z2">
        <f>(SUMIFS('LDV Data'!$D$3:$D$14,'LDV Data'!$E$3:$E$14,"ISIC 29"))</f>
        <v/>
      </c>
      <c r="AA2">
        <f>(SUMIFS('LDV Data'!$D$3:$D$14,'LDV Data'!$E$3:$E$14,"ISIC 30"))*'Factors applied'!$E$24</f>
        <v/>
      </c>
      <c r="AB2">
        <f>(SUMIFS('LDV Data'!$D$3:$D$14,'LDV Data'!$E$3:$E$14,"ISIC 30"))*'Factors applied'!$E$25</f>
        <v/>
      </c>
      <c r="AC2">
        <f>(SUMIFS('LDV Data'!$D$3:$D$14,'LDV Data'!$E$3:$E$14,"ISIC 31T33"))</f>
        <v/>
      </c>
      <c r="AD2">
        <f>(SUMIFS('LDV Data'!$D$3:$D$14,'LDV Data'!$E$3:$E$14,"ISIC 351"))</f>
        <v/>
      </c>
      <c r="AE2">
        <f>(SUMIFS('LDV Data'!$D$3:$D$14,'LDV Data'!$E$3:$E$14,"ISIC 352T353"))</f>
        <v/>
      </c>
      <c r="AF2">
        <f>(SUMIFS('LDV Data'!$D$3:$D$14,'LDV Data'!$E$3:$E$14,"ISIC 36T39"))</f>
        <v/>
      </c>
      <c r="AG2">
        <f>(SUMIFS('LDV Data'!$D$3:$D$14,'LDV Data'!$E$3:$E$14,"ISIC 41T43"))</f>
        <v/>
      </c>
      <c r="AH2">
        <f>(SUMIFS('LDV Data'!$D$3:$D$14,'LDV Data'!$E$3:$E$14,"ISIC 45T47"))</f>
        <v/>
      </c>
      <c r="AI2">
        <f>(SUMIFS('LDV Data'!$D$3:$D$14,'LDV Data'!$E$3:$E$14,"ISIC 49T53"))*'Factors applied'!$E$26</f>
        <v/>
      </c>
      <c r="AJ2">
        <f>(SUMIFS('LDV Data'!$D$3:$D$14,'LDV Data'!$E$3:$E$14,"ISIC 49T53"))*'Factors applied'!$E$27</f>
        <v/>
      </c>
      <c r="AK2">
        <f>(SUMIFS('LDV Data'!$D$3:$D$14,'LDV Data'!$E$3:$E$14,"ISIC 49T53"))*'Factors applied'!$E$28</f>
        <v/>
      </c>
      <c r="AL2">
        <f>(SUMIFS('LDV Data'!$D$3:$D$14,'LDV Data'!$E$3:$E$14,"ISIC 49T53"))*'Factors applied'!$E$29</f>
        <v/>
      </c>
      <c r="AM2">
        <f>(SUMIFS('LDV Data'!$D$3:$D$14,'LDV Data'!$E$3:$E$14,"ISIC 49T53"))*'Factors applied'!$E$30</f>
        <v/>
      </c>
      <c r="AN2">
        <f>(SUMIFS('LDV Data'!$D$3:$D$14,'LDV Data'!$E$3:$E$14,"ISIC 55T56"))</f>
        <v/>
      </c>
      <c r="AO2">
        <f>(SUMIFS('LDV Data'!$D$3:$D$14,'LDV Data'!$E$3:$E$14,"ISIC 58T60"))</f>
        <v/>
      </c>
      <c r="AP2">
        <f>(SUMIFS('LDV Data'!$D$3:$D$14,'LDV Data'!$E$3:$E$14,"ISIC 61"))</f>
        <v/>
      </c>
      <c r="AQ2">
        <f>(SUMIFS('LDV Data'!$D$3:$D$14,'LDV Data'!$E$3:$E$14,"ISIC 62T63"))</f>
        <v/>
      </c>
      <c r="AR2">
        <f>(SUMIFS('LDV Data'!$D$3:$D$14,'LDV Data'!$E$3:$E$14,"ISIC 64T66"))</f>
        <v/>
      </c>
      <c r="AS2">
        <f>(SUMIFS('LDV Data'!$D$3:$D$14,'LDV Data'!$E$3:$E$14,"ISIC 68"))</f>
        <v/>
      </c>
      <c r="AT2">
        <f>(SUMIFS('LDV Data'!$D$3:$D$14,'LDV Data'!$E$3:$E$14,"ISIC 69T82"))*'Factors applied'!$E$31</f>
        <v/>
      </c>
      <c r="AU2">
        <f>(SUMIFS('LDV Data'!$D$3:$D$14,'LDV Data'!$E$3:$E$14,"ISIC 69T82"))*'Factors applied'!$E$32</f>
        <v/>
      </c>
      <c r="AV2">
        <f>(SUMIFS('LDV Data'!$D$3:$D$14,'LDV Data'!$E$3:$E$14,"ISIC 84"))</f>
        <v/>
      </c>
      <c r="AW2">
        <f>(SUMIFS('LDV Data'!$D$3:$D$14,'LDV Data'!$E$3:$E$14,"ISIC 85"))</f>
        <v/>
      </c>
      <c r="AX2">
        <f>(SUMIFS('LDV Data'!$D$3:$D$14,'LDV Data'!$E$3:$E$14,"ISIC 86T88"))</f>
        <v/>
      </c>
      <c r="AY2">
        <f>(SUMIFS('LDV Data'!$D$3:$D$14,'LDV Data'!$E$3:$E$14,"ISIC 90T96"))*'Factors applied'!$E$33</f>
        <v/>
      </c>
      <c r="AZ2">
        <f>(SUMIFS('LDV Data'!$D$3:$D$14,'LDV Data'!$E$3:$E$14,"ISIC 90T96"))*'Factors applied'!$E$34</f>
        <v/>
      </c>
      <c r="BA2">
        <f>(SUMIFS('LDV Data'!$D$3:$D$14,'LDV Data'!$E$3:$E$14,"ISIC 97T98"))</f>
        <v/>
      </c>
    </row>
    <row r="3">
      <c r="A3" t="inlineStr">
        <is>
          <t>HDVs</t>
        </is>
      </c>
      <c r="B3">
        <f>(SUMIFS('HDV Data'!$D$3:$D$14,'HDV Data'!$E$3:$E$14,"ISIC 01T03"))*'Factors applied'!$E$3</f>
        <v/>
      </c>
      <c r="C3">
        <f>(SUMIFS('HDV Data'!$D$3:$D$14,'HDV Data'!$E$3:$E$14,"ISIC 01T03"))*'Factors applied'!$E$4</f>
        <v/>
      </c>
      <c r="D3">
        <f>(SUMIFS('HDV Data'!$D$3:$D$14,'HDV Data'!$E$3:$E$14,"ISIC 01T03"))*'Factors applied'!$E$5</f>
        <v/>
      </c>
      <c r="E3">
        <f>(SUMIFS('HDV Data'!$D$3:$D$14,'HDV Data'!$E$3:$E$14,"ISIC 05"))</f>
        <v/>
      </c>
      <c r="F3">
        <f>(SUMIFS('HDV Data'!$D$3:$D$14,'HDV Data'!$E$3:$E$14,"ISIC 06"))</f>
        <v/>
      </c>
      <c r="G3">
        <f>(SUMIFS('HDV Data'!$D$3:$D$14,'HDV Data'!$E$3:$E$14,"ISIC 07T08"))*'Factors applied'!$E$6</f>
        <v/>
      </c>
      <c r="H3">
        <f>(SUMIFS('HDV Data'!$D$3:$D$14,'HDV Data'!$E$3:$E$14,"ISIC 07T08"))*'Factors applied'!$E$7</f>
        <v/>
      </c>
      <c r="I3">
        <f>(SUMIFS('HDV Data'!$D$3:$D$14,'HDV Data'!$E$3:$E$14,"ISIC 09"))</f>
        <v/>
      </c>
      <c r="J3">
        <f>(SUMIFS('HDV Data'!$D$3:$D$14,'HDV Data'!$E$3:$E$14,"ISIC 10T12"))</f>
        <v/>
      </c>
      <c r="K3">
        <f>(SUMIFS('HDV Data'!$D$3:$D$14,'HDV Data'!$E$3:$E$14,"ISIC 13T15"))</f>
        <v/>
      </c>
      <c r="L3">
        <f>(SUMIFS('HDV Data'!$D$3:$D$14,'HDV Data'!$E$3:$E$14,"ISIC 16"))</f>
        <v/>
      </c>
      <c r="M3">
        <f>(SUMIFS('HDV Data'!$D$3:$D$14,'HDV Data'!$E$3:$E$14,"ISIC 17T18"))</f>
        <v/>
      </c>
      <c r="N3">
        <f>(SUMIFS('HDV Data'!$D$3:$D$14,'HDV Data'!$E$3:$E$14,"ISIC 19"))</f>
        <v/>
      </c>
      <c r="O3">
        <f>(SUMIFS('HDV Data'!$D$3:$D$14,'HDV Data'!$E$3:$E$14,"ISIC 20"))</f>
        <v/>
      </c>
      <c r="P3">
        <f>(SUMIFS('HDV Data'!$D$3:$D$14,'HDV Data'!$E$3:$E$14,"ISIC 21"))</f>
        <v/>
      </c>
      <c r="Q3">
        <f>(SUMIFS('HDV Data'!$D$3:$D$14,'HDV Data'!$E$3:$E$14,"ISIC 22"))</f>
        <v/>
      </c>
      <c r="R3">
        <f>(SUMIFS('HDV Data'!$D$3:$D$14,'HDV Data'!$E$3:$E$14,"ISIC 231"))</f>
        <v/>
      </c>
      <c r="S3">
        <f>(SUMIFS('HDV Data'!$D$3:$D$14,'HDV Data'!$E$3:$E$14,"ISIC 239"))</f>
        <v/>
      </c>
      <c r="T3">
        <f>(SUMIFS('HDV Data'!$D$3:$D$14,'HDV Data'!$E$3:$E$14,"ISIC 241"))</f>
        <v/>
      </c>
      <c r="U3">
        <f>(SUMIFS('HDV Data'!$D$3:$D$14,'HDV Data'!$E$3:$E$14,"ISIC 242"))</f>
        <v/>
      </c>
      <c r="V3">
        <f>(SUMIFS('HDV Data'!$D$3:$D$14,'HDV Data'!$E$3:$E$14,"ISIC 25"))</f>
        <v/>
      </c>
      <c r="W3">
        <f>(SUMIFS('HDV Data'!$D$3:$D$14,'HDV Data'!$E$3:$E$14,"ISIC 26"))</f>
        <v/>
      </c>
      <c r="X3">
        <f>(SUMIFS('HDV Data'!$D$3:$D$14,'HDV Data'!$E$3:$E$14,"ISIC 27"))</f>
        <v/>
      </c>
      <c r="Y3">
        <f>(SUMIFS('HDV Data'!$D$3:$D$14,'HDV Data'!$E$3:$E$14,"ISIC 28"))</f>
        <v/>
      </c>
      <c r="Z3">
        <f>(SUMIFS('HDV Data'!$D$3:$D$14,'HDV Data'!$E$3:$E$14,"ISIC 29"))</f>
        <v/>
      </c>
      <c r="AA3">
        <f>(SUMIFS('HDV Data'!$D$3:$D$14,'HDV Data'!$E$3:$E$14,"ISIC 30"))*'Factors applied'!$E$8</f>
        <v/>
      </c>
      <c r="AB3">
        <f>(SUMIFS('HDV Data'!$D$3:$D$14,'HDV Data'!$E$3:$E$14,"ISIC 30"))*'Factors applied'!$E$9</f>
        <v/>
      </c>
      <c r="AC3">
        <f>(SUMIFS('HDV Data'!$D$3:$D$14,'HDV Data'!$E$3:$E$14,"ISIC 31T33"))</f>
        <v/>
      </c>
      <c r="AD3">
        <f>(SUMIFS('HDV Data'!$D$3:$D$14,'HDV Data'!$E$3:$E$14,"ISIC 351"))</f>
        <v/>
      </c>
      <c r="AE3">
        <f>(SUMIFS('HDV Data'!$D$3:$D$14,'HDV Data'!$E$3:$E$14,"ISIC 352T353"))</f>
        <v/>
      </c>
      <c r="AF3">
        <f>(SUMIFS('HDV Data'!$D$3:$D$14,'HDV Data'!$E$3:$E$14,"ISIC 36T39"))</f>
        <v/>
      </c>
      <c r="AG3">
        <f>(SUMIFS('HDV Data'!$D$3:$D$14,'HDV Data'!$E$3:$E$14,"ISIC 41T43"))</f>
        <v/>
      </c>
      <c r="AH3">
        <f>(SUMIFS('HDV Data'!$D$3:$D$14,'HDV Data'!$E$3:$E$14,"ISIC 45T47"))</f>
        <v/>
      </c>
      <c r="AI3">
        <f>(SUMIFS('HDV Data'!$D$3:$D$14,'HDV Data'!$E$3:$E$14,"ISIC 49T53"))*'Factors applied'!$E$10</f>
        <v/>
      </c>
      <c r="AJ3">
        <f>(SUMIFS('HDV Data'!$D$3:$D$14,'HDV Data'!$E$3:$E$14,"ISIC 49T53"))*'Factors applied'!$E$11</f>
        <v/>
      </c>
      <c r="AK3">
        <f>(SUMIFS('HDV Data'!$D$3:$D$14,'HDV Data'!$E$3:$E$14,"ISIC 49T53"))*'Factors applied'!$E$12</f>
        <v/>
      </c>
      <c r="AL3">
        <f>(SUMIFS('HDV Data'!$D$3:$D$14,'HDV Data'!$E$3:$E$14,"ISIC 49T53"))*'Factors applied'!$E$13</f>
        <v/>
      </c>
      <c r="AM3">
        <f>(SUMIFS('HDV Data'!$D$3:$D$14,'HDV Data'!$E$3:$E$14,"ISIC 49T53"))*'Factors applied'!$E$14</f>
        <v/>
      </c>
      <c r="AN3">
        <f>(SUMIFS('HDV Data'!$D$3:$D$14,'HDV Data'!$E$3:$E$14,"ISIC 55T56"))</f>
        <v/>
      </c>
      <c r="AO3">
        <f>(SUMIFS('HDV Data'!$D$3:$D$14,'HDV Data'!$E$3:$E$14,"ISIC 58T60"))</f>
        <v/>
      </c>
      <c r="AP3">
        <f>(SUMIFS('HDV Data'!$D$3:$D$14,'HDV Data'!$E$3:$E$14,"ISIC 61"))</f>
        <v/>
      </c>
      <c r="AQ3">
        <f>(SUMIFS('HDV Data'!$D$3:$D$14,'HDV Data'!$E$3:$E$14,"ISIC 62T63"))</f>
        <v/>
      </c>
      <c r="AR3">
        <f>(SUMIFS('HDV Data'!$D$3:$D$14,'HDV Data'!$E$3:$E$14,"ISIC 64T66"))</f>
        <v/>
      </c>
      <c r="AS3">
        <f>(SUMIFS('HDV Data'!$D$3:$D$14,'HDV Data'!$E$3:$E$14,"ISIC 68"))</f>
        <v/>
      </c>
      <c r="AT3">
        <f>(SUMIFS('HDV Data'!$D$3:$D$14,'HDV Data'!$E$3:$E$14,"ISIC 69T82"))*'Factors applied'!$E$15</f>
        <v/>
      </c>
      <c r="AU3">
        <f>(SUMIFS('HDV Data'!$D$3:$D$14,'HDV Data'!$E$3:$E$14,"ISIC 69T82"))*'Factors applied'!$E$16</f>
        <v/>
      </c>
      <c r="AV3">
        <f>(SUMIFS('HDV Data'!$D$3:$D$14,'HDV Data'!$E$3:$E$14,"ISIC 84"))</f>
        <v/>
      </c>
      <c r="AW3">
        <f>(SUMIFS('HDV Data'!$D$3:$D$14,'HDV Data'!$E$3:$E$14,"ISIC 85"))</f>
        <v/>
      </c>
      <c r="AX3">
        <f>(SUMIFS('HDV Data'!$D$3:$D$14,'HDV Data'!$E$3:$E$14,"ISIC 86T88"))</f>
        <v/>
      </c>
      <c r="AY3">
        <f>(SUMIFS('HDV Data'!$D$3:$D$14,'HDV Data'!$E$3:$E$14,"ISIC 90T96"))*'Factors applied'!$E$17</f>
        <v/>
      </c>
      <c r="AZ3">
        <f>(SUMIFS('HDV Data'!$D$3:$D$14,'HDV Data'!$E$3:$E$14,"ISIC 90T96"))*'Factors applied'!$E$18</f>
        <v/>
      </c>
      <c r="BA3">
        <f>(SUMIFS('HDV Data'!$D$3:$D$14,'HDV Data'!$E$3:$E$14,"ISIC 97T98"))</f>
        <v/>
      </c>
    </row>
    <row r="4">
      <c r="A4" t="inlineStr">
        <is>
          <t>aircraft</t>
        </is>
      </c>
      <c r="B4">
        <f>((SUMIFS('HDV Data'!$D$3:$D$14,'HDV Data'!$E$3:$E$14,"ISIC 01T03")))*'Factors applied'!$E$35</f>
        <v/>
      </c>
      <c r="C4">
        <f>((SUMIFS('HDV Data'!$D$3:$D$14,'HDV Data'!$E$3:$E$14,"ISIC 01T03")))*'Factors applied'!$E$36</f>
        <v/>
      </c>
      <c r="D4">
        <f>((SUMIFS('HDV Data'!$D$3:$D$14,'HDV Data'!$E$3:$E$14,"ISIC 01T03")))*'Factors applied'!$E$37</f>
        <v/>
      </c>
      <c r="E4">
        <f>((SUMIFS('HDV Data'!$D$3:$D$14,'HDV Data'!$E$3:$E$14,"ISIC 05")))</f>
        <v/>
      </c>
      <c r="F4">
        <f>((SUMIFS('HDV Data'!$D$3:$D$14,'HDV Data'!$E$3:$E$14,"ISIC 06")))</f>
        <v/>
      </c>
      <c r="G4">
        <f>((SUMIFS('HDV Data'!$D$3:$D$14,'HDV Data'!$E$3:$E$14,"ISIC 07T08")))*'Factors applied'!$E$38</f>
        <v/>
      </c>
      <c r="H4">
        <f>((SUMIFS('HDV Data'!$D$3:$D$14,'HDV Data'!$E$3:$E$14,"ISIC 07T08")))*'Factors applied'!$E$39</f>
        <v/>
      </c>
      <c r="I4">
        <f>((SUMIFS('HDV Data'!$D$3:$D$14,'HDV Data'!$E$3:$E$14,"ISIC 09")))</f>
        <v/>
      </c>
      <c r="J4">
        <f>((SUMIFS('HDV Data'!$D$3:$D$14,'HDV Data'!$E$3:$E$14,"ISIC 10T12")))</f>
        <v/>
      </c>
      <c r="K4">
        <f>((SUMIFS('HDV Data'!$D$3:$D$14,'HDV Data'!$E$3:$E$14,"ISIC 13T15")))</f>
        <v/>
      </c>
      <c r="L4">
        <f>((SUMIFS('HDV Data'!$D$3:$D$14,'HDV Data'!$E$3:$E$14,"ISIC 16")))</f>
        <v/>
      </c>
      <c r="M4">
        <f>((SUMIFS('HDV Data'!$D$3:$D$14,'HDV Data'!$E$3:$E$14,"ISIC 17T18")))</f>
        <v/>
      </c>
      <c r="N4">
        <f>((SUMIFS('HDV Data'!$D$3:$D$14,'HDV Data'!$E$3:$E$14,"ISIC 19")))</f>
        <v/>
      </c>
      <c r="O4">
        <f>((SUMIFS('HDV Data'!$D$3:$D$14,'HDV Data'!$E$3:$E$14,"ISIC 20")))</f>
        <v/>
      </c>
      <c r="P4">
        <f>((SUMIFS('HDV Data'!$D$3:$D$14,'HDV Data'!$E$3:$E$14,"ISIC 21")))</f>
        <v/>
      </c>
      <c r="Q4">
        <f>((SUMIFS('HDV Data'!$D$3:$D$14,'HDV Data'!$E$3:$E$14,"ISIC 22")))</f>
        <v/>
      </c>
      <c r="R4">
        <f>((SUMIFS('HDV Data'!$D$3:$D$14,'HDV Data'!$E$3:$E$14,"ISIC 231")))</f>
        <v/>
      </c>
      <c r="S4">
        <f>((SUMIFS('HDV Data'!$D$3:$D$14,'HDV Data'!$E$3:$E$14,"ISIC 239")))</f>
        <v/>
      </c>
      <c r="T4">
        <f>((SUMIFS('HDV Data'!$D$3:$D$14,'HDV Data'!$E$3:$E$14,"ISIC 241")))</f>
        <v/>
      </c>
      <c r="U4">
        <f>((SUMIFS('HDV Data'!$D$3:$D$14,'HDV Data'!$E$3:$E$14,"ISIC 242")))</f>
        <v/>
      </c>
      <c r="V4">
        <f>((SUMIFS('HDV Data'!$D$3:$D$14,'HDV Data'!$E$3:$E$14,"ISIC 25")))</f>
        <v/>
      </c>
      <c r="W4">
        <f>((SUMIFS('HDV Data'!$D$3:$D$14,'HDV Data'!$E$3:$E$14,"ISIC 26")))</f>
        <v/>
      </c>
      <c r="X4">
        <f>((SUMIFS('HDV Data'!$D$3:$D$14,'HDV Data'!$E$3:$E$14,"ISIC 27")))</f>
        <v/>
      </c>
      <c r="Y4">
        <f>((SUMIFS('HDV Data'!$D$3:$D$14,'HDV Data'!$E$3:$E$14,"ISIC 28")))</f>
        <v/>
      </c>
      <c r="Z4" t="n">
        <v>0</v>
      </c>
      <c r="AA4">
        <f>((SUMIFS('HDV Data'!$D$3:$D$14,'HDV Data'!$E$3:$E$14,"ISIC 29")))*'Factors applied'!$E$40</f>
        <v/>
      </c>
      <c r="AB4">
        <f>((SUMIFS('HDV Data'!$D$3:$D$14,'HDV Data'!$E$3:$E$14,"ISIC 29")))*'Factors applied'!$E$41</f>
        <v/>
      </c>
      <c r="AC4">
        <f>((SUMIFS('HDV Data'!$D$3:$D$14,'HDV Data'!$E$3:$E$14,"ISIC 31T33")))</f>
        <v/>
      </c>
      <c r="AD4">
        <f>((SUMIFS('HDV Data'!$D$3:$D$14,'HDV Data'!$E$3:$E$14,"ISIC 351")))</f>
        <v/>
      </c>
      <c r="AE4">
        <f>((SUMIFS('HDV Data'!$D$3:$D$14,'HDV Data'!$E$3:$E$14,"ISIC 352T353")))</f>
        <v/>
      </c>
      <c r="AF4">
        <f>((SUMIFS('HDV Data'!$D$3:$D$14,'HDV Data'!$E$3:$E$14,"ISIC 36T39")))</f>
        <v/>
      </c>
      <c r="AG4">
        <f>((SUMIFS('HDV Data'!$D$3:$D$14,'HDV Data'!$E$3:$E$14,"ISIC 41T43")))</f>
        <v/>
      </c>
      <c r="AH4">
        <f>((SUMIFS('HDV Data'!$D$3:$D$14,'HDV Data'!$E$3:$E$14,"ISIC 45T47")))</f>
        <v/>
      </c>
      <c r="AI4">
        <f>((SUMIFS('HDV Data'!$D$3:$D$14,'HDV Data'!$E$3:$E$14,"ISIC 49T53")))*'Factors applied'!$E$42</f>
        <v/>
      </c>
      <c r="AJ4">
        <f>((SUMIFS('HDV Data'!$D$3:$D$14,'HDV Data'!$E$3:$E$14,"ISIC 49T53")))*'Factors applied'!$E$43</f>
        <v/>
      </c>
      <c r="AK4">
        <f>((SUMIFS('HDV Data'!$D$3:$D$14,'HDV Data'!$E$3:$E$14,"ISIC 49T53")))*'Factors applied'!$E$44</f>
        <v/>
      </c>
      <c r="AL4">
        <f>((SUMIFS('HDV Data'!$D$3:$D$14,'HDV Data'!$E$3:$E$14,"ISIC 49T53")))*'Factors applied'!$E$45</f>
        <v/>
      </c>
      <c r="AM4">
        <f>((SUMIFS('HDV Data'!$D$3:$D$14,'HDV Data'!$E$3:$E$14,"ISIC 49T53")))*'Factors applied'!$E$46</f>
        <v/>
      </c>
      <c r="AN4">
        <f>((SUMIFS('HDV Data'!$D$3:$D$14,'HDV Data'!$E$3:$E$14,"ISIC 55T56")))</f>
        <v/>
      </c>
      <c r="AO4">
        <f>((SUMIFS('HDV Data'!$D$3:$D$14,'HDV Data'!$E$3:$E$14,"ISIC 58T60")))</f>
        <v/>
      </c>
      <c r="AP4">
        <f>((SUMIFS('HDV Data'!$D$3:$D$14,'HDV Data'!$E$3:$E$14,"ISIC 61")))</f>
        <v/>
      </c>
      <c r="AQ4">
        <f>((SUMIFS('HDV Data'!$D$3:$D$14,'HDV Data'!$E$3:$E$14,"ISIC 62T63")))</f>
        <v/>
      </c>
      <c r="AR4">
        <f>((SUMIFS('HDV Data'!$D$3:$D$14,'HDV Data'!$E$3:$E$14,"ISIC 64T66")))</f>
        <v/>
      </c>
      <c r="AS4">
        <f>((SUMIFS('HDV Data'!$D$3:$D$14,'HDV Data'!$E$3:$E$14,"ISIC 68")))</f>
        <v/>
      </c>
      <c r="AT4">
        <f>((SUMIFS('HDV Data'!$D$3:$D$14,'HDV Data'!$E$3:$E$14,"ISIC 69T82")))*'Factors applied'!$E$47</f>
        <v/>
      </c>
      <c r="AU4">
        <f>((SUMIFS('HDV Data'!$D$3:$D$14,'HDV Data'!$E$3:$E$14,"ISIC 69T82")))*'Factors applied'!$E$48</f>
        <v/>
      </c>
      <c r="AV4">
        <f>((SUMIFS('HDV Data'!$D$3:$D$14,'HDV Data'!$E$3:$E$14,"ISIC 84")))</f>
        <v/>
      </c>
      <c r="AW4">
        <f>((SUMIFS('HDV Data'!$D$3:$D$14,'HDV Data'!$E$3:$E$14,"ISIC 85")))</f>
        <v/>
      </c>
      <c r="AX4">
        <f>((SUMIFS('HDV Data'!$D$3:$D$14,'HDV Data'!$E$3:$E$14,"ISIC 86T88")))</f>
        <v/>
      </c>
      <c r="AY4">
        <f>((SUMIFS('HDV Data'!$D$3:$D$14,'HDV Data'!$E$3:$E$14,"ISIC 90T96")))*'Factors applied'!$E$49</f>
        <v/>
      </c>
      <c r="AZ4">
        <f>((SUMIFS('HDV Data'!$D$3:$D$14,'HDV Data'!$E$3:$E$14,"ISIC 90T96")))*'Factors applied'!$E$50</f>
        <v/>
      </c>
      <c r="BA4">
        <f>((SUMIFS('HDV Data'!$D$3:$D$14,'HDV Data'!$E$3:$E$14,"ISIC 97T98")))</f>
        <v/>
      </c>
    </row>
    <row r="5">
      <c r="A5" t="inlineStr">
        <is>
          <t>rail</t>
        </is>
      </c>
      <c r="B5">
        <f>(((SUMIFS('HDV Data'!$D$3:$D$14,'HDV Data'!$E$3:$E$14,"ISIC 01T03"))))*'Factors applied'!$E$67</f>
        <v/>
      </c>
      <c r="C5">
        <f>(((SUMIFS('HDV Data'!$D$3:$D$14,'HDV Data'!$E$3:$E$14,"ISIC 01T03"))))*'Factors applied'!$E$68</f>
        <v/>
      </c>
      <c r="D5">
        <f>(((SUMIFS('HDV Data'!$D$3:$D$14,'HDV Data'!$E$3:$E$14,"ISIC 01T03"))))*'Factors applied'!$E$69</f>
        <v/>
      </c>
      <c r="E5">
        <f>(((SUMIFS('HDV Data'!$D$3:$D$14,'HDV Data'!$E$3:$E$14,"ISIC 05"))))</f>
        <v/>
      </c>
      <c r="F5">
        <f>(((SUMIFS('HDV Data'!$D$3:$D$14,'HDV Data'!$E$3:$E$14,"ISIC 06"))))</f>
        <v/>
      </c>
      <c r="G5">
        <f>(((SUMIFS('HDV Data'!$D$3:$D$14,'HDV Data'!$E$3:$E$14,"ISIC 07T08"))))*'Factors applied'!$E$70</f>
        <v/>
      </c>
      <c r="H5">
        <f>(((SUMIFS('HDV Data'!$D$3:$D$14,'HDV Data'!$E$3:$E$14,"ISIC 07T08"))))*'Factors applied'!$E$71</f>
        <v/>
      </c>
      <c r="I5">
        <f>(((SUMIFS('HDV Data'!$D$3:$D$14,'HDV Data'!$E$3:$E$14,"ISIC 09"))))</f>
        <v/>
      </c>
      <c r="J5">
        <f>(((SUMIFS('HDV Data'!$D$3:$D$14,'HDV Data'!$E$3:$E$14,"ISIC 10T12"))))</f>
        <v/>
      </c>
      <c r="K5">
        <f>(((SUMIFS('HDV Data'!$D$3:$D$14,'HDV Data'!$E$3:$E$14,"ISIC 13T15"))))</f>
        <v/>
      </c>
      <c r="L5">
        <f>(((SUMIFS('HDV Data'!$D$3:$D$14,'HDV Data'!$E$3:$E$14,"ISIC 16"))))</f>
        <v/>
      </c>
      <c r="M5">
        <f>(((SUMIFS('HDV Data'!$D$3:$D$14,'HDV Data'!$E$3:$E$14,"ISIC 17T18"))))</f>
        <v/>
      </c>
      <c r="N5">
        <f>(((SUMIFS('HDV Data'!$D$3:$D$14,'HDV Data'!$E$3:$E$14,"ISIC 19"))))</f>
        <v/>
      </c>
      <c r="O5">
        <f>(((SUMIFS('HDV Data'!$D$3:$D$14,'HDV Data'!$E$3:$E$14,"ISIC 20"))))</f>
        <v/>
      </c>
      <c r="P5">
        <f>(((SUMIFS('HDV Data'!$D$3:$D$14,'HDV Data'!$E$3:$E$14,"ISIC 21"))))</f>
        <v/>
      </c>
      <c r="Q5">
        <f>(((SUMIFS('HDV Data'!$D$3:$D$14,'HDV Data'!$E$3:$E$14,"ISIC 22"))))</f>
        <v/>
      </c>
      <c r="R5">
        <f>(((SUMIFS('HDV Data'!$D$3:$D$14,'HDV Data'!$E$3:$E$14,"ISIC 231"))))</f>
        <v/>
      </c>
      <c r="S5">
        <f>(((SUMIFS('HDV Data'!$D$3:$D$14,'HDV Data'!$E$3:$E$14,"ISIC 239"))))</f>
        <v/>
      </c>
      <c r="T5">
        <f>(((SUMIFS('HDV Data'!$D$3:$D$14,'HDV Data'!$E$3:$E$14,"ISIC 241"))))</f>
        <v/>
      </c>
      <c r="U5">
        <f>(((SUMIFS('HDV Data'!$D$3:$D$14,'HDV Data'!$E$3:$E$14,"ISIC 242"))))</f>
        <v/>
      </c>
      <c r="V5">
        <f>(((SUMIFS('HDV Data'!$D$3:$D$14,'HDV Data'!$E$3:$E$14,"ISIC 25"))))</f>
        <v/>
      </c>
      <c r="W5">
        <f>(((SUMIFS('HDV Data'!$D$3:$D$14,'HDV Data'!$E$3:$E$14,"ISIC 26"))))</f>
        <v/>
      </c>
      <c r="X5">
        <f>(((SUMIFS('HDV Data'!$D$3:$D$14,'HDV Data'!$E$3:$E$14,"ISIC 27"))))</f>
        <v/>
      </c>
      <c r="Y5">
        <f>(((SUMIFS('HDV Data'!$D$3:$D$14,'HDV Data'!$E$3:$E$14,"ISIC 28"))))</f>
        <v/>
      </c>
      <c r="Z5" t="n">
        <v>0</v>
      </c>
      <c r="AA5">
        <f>(((SUMIFS('HDV Data'!$D$3:$D$14,'HDV Data'!$E$3:$E$14,"ISIC 29"))))*'Factors applied'!$E$72</f>
        <v/>
      </c>
      <c r="AB5">
        <f>(((SUMIFS('HDV Data'!$D$3:$D$14,'HDV Data'!$E$3:$E$14,"ISIC 29"))))*'Factors applied'!$E$73</f>
        <v/>
      </c>
      <c r="AC5">
        <f>(((SUMIFS('HDV Data'!$D$3:$D$14,'HDV Data'!$E$3:$E$14,"ISIC 31T33"))))</f>
        <v/>
      </c>
      <c r="AD5">
        <f>(((SUMIFS('HDV Data'!$D$3:$D$14,'HDV Data'!$E$3:$E$14,"ISIC 351"))))</f>
        <v/>
      </c>
      <c r="AE5">
        <f>(((SUMIFS('HDV Data'!$D$3:$D$14,'HDV Data'!$E$3:$E$14,"ISIC 352T353"))))</f>
        <v/>
      </c>
      <c r="AF5">
        <f>(((SUMIFS('HDV Data'!$D$3:$D$14,'HDV Data'!$E$3:$E$14,"ISIC 36T39"))))</f>
        <v/>
      </c>
      <c r="AG5">
        <f>(((SUMIFS('HDV Data'!$D$3:$D$14,'HDV Data'!$E$3:$E$14,"ISIC 41T43"))))</f>
        <v/>
      </c>
      <c r="AH5">
        <f>(((SUMIFS('HDV Data'!$D$3:$D$14,'HDV Data'!$E$3:$E$14,"ISIC 45T47"))))</f>
        <v/>
      </c>
      <c r="AI5">
        <f>(((SUMIFS('HDV Data'!$D$3:$D$14,'HDV Data'!$E$3:$E$14,"ISIC 49T53"))))*'Factors applied'!$E$74</f>
        <v/>
      </c>
      <c r="AJ5">
        <f>(((SUMIFS('HDV Data'!$D$3:$D$14,'HDV Data'!$E$3:$E$14,"ISIC 49T53"))))*'Factors applied'!$E$75</f>
        <v/>
      </c>
      <c r="AK5">
        <f>(((SUMIFS('HDV Data'!$D$3:$D$14,'HDV Data'!$E$3:$E$14,"ISIC 49T53"))))*'Factors applied'!$E$76</f>
        <v/>
      </c>
      <c r="AL5">
        <f>(((SUMIFS('HDV Data'!$D$3:$D$14,'HDV Data'!$E$3:$E$14,"ISIC 49T53"))))*'Factors applied'!$E$77</f>
        <v/>
      </c>
      <c r="AM5">
        <f>(((SUMIFS('HDV Data'!$D$3:$D$14,'HDV Data'!$E$3:$E$14,"ISIC 49T53"))))*'Factors applied'!$E$78</f>
        <v/>
      </c>
      <c r="AN5">
        <f>(((SUMIFS('HDV Data'!$D$3:$D$14,'HDV Data'!$E$3:$E$14,"ISIC 55T56"))))</f>
        <v/>
      </c>
      <c r="AO5">
        <f>(((SUMIFS('HDV Data'!$D$3:$D$14,'HDV Data'!$E$3:$E$14,"ISIC 58T60"))))</f>
        <v/>
      </c>
      <c r="AP5">
        <f>(((SUMIFS('HDV Data'!$D$3:$D$14,'HDV Data'!$E$3:$E$14,"ISIC 61"))))</f>
        <v/>
      </c>
      <c r="AQ5">
        <f>(((SUMIFS('HDV Data'!$D$3:$D$14,'HDV Data'!$E$3:$E$14,"ISIC 62T63"))))</f>
        <v/>
      </c>
      <c r="AR5">
        <f>(((SUMIFS('HDV Data'!$D$3:$D$14,'HDV Data'!$E$3:$E$14,"ISIC 64T66"))))</f>
        <v/>
      </c>
      <c r="AS5">
        <f>(((SUMIFS('HDV Data'!$D$3:$D$14,'HDV Data'!$E$3:$E$14,"ISIC 68"))))</f>
        <v/>
      </c>
      <c r="AT5">
        <f>(((SUMIFS('HDV Data'!$D$3:$D$14,'HDV Data'!$E$3:$E$14,"ISIC 69T82"))))*'Factors applied'!$E$79</f>
        <v/>
      </c>
      <c r="AU5">
        <f>(((SUMIFS('HDV Data'!$D$3:$D$14,'HDV Data'!$E$3:$E$14,"ISIC 69T82"))))*'Factors applied'!$E$80</f>
        <v/>
      </c>
      <c r="AV5">
        <f>(((SUMIFS('HDV Data'!$D$3:$D$14,'HDV Data'!$E$3:$E$14,"ISIC 84"))))</f>
        <v/>
      </c>
      <c r="AW5">
        <f>(((SUMIFS('HDV Data'!$D$3:$D$14,'HDV Data'!$E$3:$E$14,"ISIC 85"))))</f>
        <v/>
      </c>
      <c r="AX5">
        <f>(((SUMIFS('HDV Data'!$D$3:$D$14,'HDV Data'!$E$3:$E$14,"ISIC 86T88"))))</f>
        <v/>
      </c>
      <c r="AY5">
        <f>(((SUMIFS('HDV Data'!$D$3:$D$14,'HDV Data'!$E$3:$E$14,"ISIC 90T96"))))*'Factors applied'!$E$81</f>
        <v/>
      </c>
      <c r="AZ5">
        <f>(((SUMIFS('HDV Data'!$D$3:$D$14,'HDV Data'!$E$3:$E$14,"ISIC 90T96"))))*'Factors applied'!$E$82</f>
        <v/>
      </c>
      <c r="BA5">
        <f>(((SUMIFS('HDV Data'!$D$3:$D$14,'HDV Data'!$E$3:$E$14,"ISIC 97T98"))))</f>
        <v/>
      </c>
    </row>
    <row r="6">
      <c r="A6" t="inlineStr">
        <is>
          <t>ships</t>
        </is>
      </c>
      <c r="B6">
        <f>((((SUMIFS('HDV Data'!$D$3:$D$14,'HDV Data'!$E$3:$E$14,"ISIC 01T03")))))*'Factors applied'!$E$83</f>
        <v/>
      </c>
      <c r="C6">
        <f>((((SUMIFS('HDV Data'!$D$3:$D$14,'HDV Data'!$E$3:$E$14,"ISIC 01T03")))))*'Factors applied'!$E$84</f>
        <v/>
      </c>
      <c r="D6">
        <f>((((SUMIFS('HDV Data'!$D$3:$D$14,'HDV Data'!$E$3:$E$14,"ISIC 01T03")))))*'Factors applied'!$E$85</f>
        <v/>
      </c>
      <c r="E6">
        <f>((((SUMIFS('HDV Data'!$D$3:$D$14,'HDV Data'!$E$3:$E$14,"ISIC 05")))))</f>
        <v/>
      </c>
      <c r="F6">
        <f>((((SUMIFS('HDV Data'!$D$3:$D$14,'HDV Data'!$E$3:$E$14,"ISIC 06")))))</f>
        <v/>
      </c>
      <c r="G6">
        <f>((((SUMIFS('HDV Data'!$D$3:$D$14,'HDV Data'!$E$3:$E$14,"ISIC 07T08")))))*'Factors applied'!$E$86</f>
        <v/>
      </c>
      <c r="H6">
        <f>((((SUMIFS('HDV Data'!$D$3:$D$14,'HDV Data'!$E$3:$E$14,"ISIC 07T08")))))*'Factors applied'!$E$87</f>
        <v/>
      </c>
      <c r="I6">
        <f>((((SUMIFS('HDV Data'!$D$3:$D$14,'HDV Data'!$E$3:$E$14,"ISIC 09")))))</f>
        <v/>
      </c>
      <c r="J6">
        <f>((((SUMIFS('HDV Data'!$D$3:$D$14,'HDV Data'!$E$3:$E$14,"ISIC 10T12")))))</f>
        <v/>
      </c>
      <c r="K6">
        <f>((((SUMIFS('HDV Data'!$D$3:$D$14,'HDV Data'!$E$3:$E$14,"ISIC 13T15")))))</f>
        <v/>
      </c>
      <c r="L6">
        <f>((((SUMIFS('HDV Data'!$D$3:$D$14,'HDV Data'!$E$3:$E$14,"ISIC 16")))))</f>
        <v/>
      </c>
      <c r="M6">
        <f>((((SUMIFS('HDV Data'!$D$3:$D$14,'HDV Data'!$E$3:$E$14,"ISIC 17T18")))))</f>
        <v/>
      </c>
      <c r="N6">
        <f>((((SUMIFS('HDV Data'!$D$3:$D$14,'HDV Data'!$E$3:$E$14,"ISIC 19")))))</f>
        <v/>
      </c>
      <c r="O6">
        <f>((((SUMIFS('HDV Data'!$D$3:$D$14,'HDV Data'!$E$3:$E$14,"ISIC 20")))))</f>
        <v/>
      </c>
      <c r="P6">
        <f>((((SUMIFS('HDV Data'!$D$3:$D$14,'HDV Data'!$E$3:$E$14,"ISIC 21")))))</f>
        <v/>
      </c>
      <c r="Q6">
        <f>((((SUMIFS('HDV Data'!$D$3:$D$14,'HDV Data'!$E$3:$E$14,"ISIC 22")))))</f>
        <v/>
      </c>
      <c r="R6">
        <f>((((SUMIFS('HDV Data'!$D$3:$D$14,'HDV Data'!$E$3:$E$14,"ISIC 231")))))</f>
        <v/>
      </c>
      <c r="S6">
        <f>((((SUMIFS('HDV Data'!$D$3:$D$14,'HDV Data'!$E$3:$E$14,"ISIC 239")))))</f>
        <v/>
      </c>
      <c r="T6">
        <f>((((SUMIFS('HDV Data'!$D$3:$D$14,'HDV Data'!$E$3:$E$14,"ISIC 241")))))</f>
        <v/>
      </c>
      <c r="U6">
        <f>((((SUMIFS('HDV Data'!$D$3:$D$14,'HDV Data'!$E$3:$E$14,"ISIC 242")))))</f>
        <v/>
      </c>
      <c r="V6">
        <f>((((SUMIFS('HDV Data'!$D$3:$D$14,'HDV Data'!$E$3:$E$14,"ISIC 25")))))</f>
        <v/>
      </c>
      <c r="W6">
        <f>((((SUMIFS('HDV Data'!$D$3:$D$14,'HDV Data'!$E$3:$E$14,"ISIC 26")))))</f>
        <v/>
      </c>
      <c r="X6">
        <f>((((SUMIFS('HDV Data'!$D$3:$D$14,'HDV Data'!$E$3:$E$14,"ISIC 27")))))</f>
        <v/>
      </c>
      <c r="Y6">
        <f>((((SUMIFS('HDV Data'!$D$3:$D$14,'HDV Data'!$E$3:$E$14,"ISIC 28")))))</f>
        <v/>
      </c>
      <c r="Z6" t="n">
        <v>0</v>
      </c>
      <c r="AA6">
        <f>((((SUMIFS('HDV Data'!$D$3:$D$14,'HDV Data'!$E$3:$E$14,"ISIC 29")))))*'Factors applied'!$E$88</f>
        <v/>
      </c>
      <c r="AB6">
        <f>((((SUMIFS('HDV Data'!$D$3:$D$14,'HDV Data'!$E$3:$E$14,"ISIC 29")))))*'Factors applied'!$E$89</f>
        <v/>
      </c>
      <c r="AC6">
        <f>((((SUMIFS('HDV Data'!$D$3:$D$14,'HDV Data'!$E$3:$E$14,"ISIC 31T33")))))</f>
        <v/>
      </c>
      <c r="AD6">
        <f>((((SUMIFS('HDV Data'!$D$3:$D$14,'HDV Data'!$E$3:$E$14,"ISIC 351")))))</f>
        <v/>
      </c>
      <c r="AE6">
        <f>((((SUMIFS('HDV Data'!$D$3:$D$14,'HDV Data'!$E$3:$E$14,"ISIC 352T353")))))</f>
        <v/>
      </c>
      <c r="AF6">
        <f>((((SUMIFS('HDV Data'!$D$3:$D$14,'HDV Data'!$E$3:$E$14,"ISIC 36T39")))))</f>
        <v/>
      </c>
      <c r="AG6">
        <f>((((SUMIFS('HDV Data'!$D$3:$D$14,'HDV Data'!$E$3:$E$14,"ISIC 41T43")))))</f>
        <v/>
      </c>
      <c r="AH6">
        <f>((((SUMIFS('HDV Data'!$D$3:$D$14,'HDV Data'!$E$3:$E$14,"ISIC 45T47")))))</f>
        <v/>
      </c>
      <c r="AI6">
        <f>((((SUMIFS('HDV Data'!$D$3:$D$14,'HDV Data'!$E$3:$E$14,"ISIC 49T53")))))*'Factors applied'!$E$90</f>
        <v/>
      </c>
      <c r="AJ6">
        <f>((((SUMIFS('HDV Data'!$D$3:$D$14,'HDV Data'!$E$3:$E$14,"ISIC 49T53")))))*'Factors applied'!$E$91</f>
        <v/>
      </c>
      <c r="AK6">
        <f>((((SUMIFS('HDV Data'!$D$3:$D$14,'HDV Data'!$E$3:$E$14,"ISIC 49T53")))))*'Factors applied'!$E$92</f>
        <v/>
      </c>
      <c r="AL6">
        <f>((((SUMIFS('HDV Data'!$D$3:$D$14,'HDV Data'!$E$3:$E$14,"ISIC 49T53")))))*'Factors applied'!$E$93</f>
        <v/>
      </c>
      <c r="AM6">
        <f>((((SUMIFS('HDV Data'!$D$3:$D$14,'HDV Data'!$E$3:$E$14,"ISIC 49T53")))))*'Factors applied'!$E$94</f>
        <v/>
      </c>
      <c r="AN6">
        <f>((((SUMIFS('HDV Data'!$D$3:$D$14,'HDV Data'!$E$3:$E$14,"ISIC 55T56")))))</f>
        <v/>
      </c>
      <c r="AO6">
        <f>((((SUMIFS('HDV Data'!$D$3:$D$14,'HDV Data'!$E$3:$E$14,"ISIC 58T60")))))</f>
        <v/>
      </c>
      <c r="AP6">
        <f>((((SUMIFS('HDV Data'!$D$3:$D$14,'HDV Data'!$E$3:$E$14,"ISIC 61")))))</f>
        <v/>
      </c>
      <c r="AQ6">
        <f>((((SUMIFS('HDV Data'!$D$3:$D$14,'HDV Data'!$E$3:$E$14,"ISIC 62T63")))))</f>
        <v/>
      </c>
      <c r="AR6">
        <f>((((SUMIFS('HDV Data'!$D$3:$D$14,'HDV Data'!$E$3:$E$14,"ISIC 64T66")))))</f>
        <v/>
      </c>
      <c r="AS6">
        <f>((((SUMIFS('HDV Data'!$D$3:$D$14,'HDV Data'!$E$3:$E$14,"ISIC 68")))))</f>
        <v/>
      </c>
      <c r="AT6">
        <f>((((SUMIFS('HDV Data'!$D$3:$D$14,'HDV Data'!$E$3:$E$14,"ISIC 69T82")))))*'Factors applied'!$E$95</f>
        <v/>
      </c>
      <c r="AU6">
        <f>((((SUMIFS('HDV Data'!$D$3:$D$14,'HDV Data'!$E$3:$E$14,"ISIC 69T82")))))*'Factors applied'!$E$96</f>
        <v/>
      </c>
      <c r="AV6">
        <f>((((SUMIFS('HDV Data'!$D$3:$D$14,'HDV Data'!$E$3:$E$14,"ISIC 84")))))</f>
        <v/>
      </c>
      <c r="AW6">
        <f>((((SUMIFS('HDV Data'!$D$3:$D$14,'HDV Data'!$E$3:$E$14,"ISIC 85")))))</f>
        <v/>
      </c>
      <c r="AX6">
        <f>((((SUMIFS('HDV Data'!$D$3:$D$14,'HDV Data'!$E$3:$E$14,"ISIC 86T88")))))</f>
        <v/>
      </c>
      <c r="AY6">
        <f>((((SUMIFS('HDV Data'!$D$3:$D$14,'HDV Data'!$E$3:$E$14,"ISIC 90T96")))))*'Factors applied'!$E$97</f>
        <v/>
      </c>
      <c r="AZ6">
        <f>((((SUMIFS('HDV Data'!$D$3:$D$14,'HDV Data'!$E$3:$E$14,"ISIC 90T96")))))*'Factors applied'!$E$98</f>
        <v/>
      </c>
      <c r="BA6">
        <f>((((SUMIFS('HDV Data'!$D$3:$D$14,'HDV Data'!$E$3:$E$14,"ISIC 97T98")))))</f>
        <v/>
      </c>
    </row>
    <row r="7">
      <c r="A7" t="inlineStr">
        <is>
          <t>motorbike</t>
        </is>
      </c>
      <c r="B7">
        <f>(((((SUMIFS('HDV Data'!$D$3:$D$14,'HDV Data'!$E$3:$E$14,"ISIC 01T03"))))))*'Factors applied'!$E$51</f>
        <v/>
      </c>
      <c r="C7">
        <f>(((((SUMIFS('HDV Data'!$D$3:$D$14,'HDV Data'!$E$3:$E$14,"ISIC 01T03"))))))*'Factors applied'!$E$52</f>
        <v/>
      </c>
      <c r="D7">
        <f>(((((SUMIFS('HDV Data'!$D$3:$D$14,'HDV Data'!$E$3:$E$14,"ISIC 01T03"))))))*'Factors applied'!$E$53</f>
        <v/>
      </c>
      <c r="E7">
        <f>(((((SUMIFS('HDV Data'!$D$3:$D$14,'HDV Data'!$E$3:$E$14,"ISIC 05"))))))</f>
        <v/>
      </c>
      <c r="F7">
        <f>(((((SUMIFS('HDV Data'!$D$3:$D$14,'HDV Data'!$E$3:$E$14,"ISIC 06"))))))</f>
        <v/>
      </c>
      <c r="G7">
        <f>(((((SUMIFS('HDV Data'!$D$3:$D$14,'HDV Data'!$E$3:$E$14,"ISIC 07T08"))))))*'Factors applied'!$E$54</f>
        <v/>
      </c>
      <c r="H7">
        <f>(((((SUMIFS('HDV Data'!$D$3:$D$14,'HDV Data'!$E$3:$E$14,"ISIC 07T08"))))))*'Factors applied'!$E$55</f>
        <v/>
      </c>
      <c r="I7">
        <f>(((((SUMIFS('HDV Data'!$D$3:$D$14,'HDV Data'!$E$3:$E$14,"ISIC 09"))))))</f>
        <v/>
      </c>
      <c r="J7">
        <f>(((((SUMIFS('HDV Data'!$D$3:$D$14,'HDV Data'!$E$3:$E$14,"ISIC 10T12"))))))</f>
        <v/>
      </c>
      <c r="K7">
        <f>(((((SUMIFS('HDV Data'!$D$3:$D$14,'HDV Data'!$E$3:$E$14,"ISIC 13T15"))))))</f>
        <v/>
      </c>
      <c r="L7">
        <f>(((((SUMIFS('HDV Data'!$D$3:$D$14,'HDV Data'!$E$3:$E$14,"ISIC 16"))))))</f>
        <v/>
      </c>
      <c r="M7">
        <f>(((((SUMIFS('HDV Data'!$D$3:$D$14,'HDV Data'!$E$3:$E$14,"ISIC 17T18"))))))</f>
        <v/>
      </c>
      <c r="N7">
        <f>(((((SUMIFS('HDV Data'!$D$3:$D$14,'HDV Data'!$E$3:$E$14,"ISIC 19"))))))</f>
        <v/>
      </c>
      <c r="O7">
        <f>(((((SUMIFS('HDV Data'!$D$3:$D$14,'HDV Data'!$E$3:$E$14,"ISIC 20"))))))</f>
        <v/>
      </c>
      <c r="P7">
        <f>(((((SUMIFS('HDV Data'!$D$3:$D$14,'HDV Data'!$E$3:$E$14,"ISIC 21"))))))</f>
        <v/>
      </c>
      <c r="Q7">
        <f>(((((SUMIFS('HDV Data'!$D$3:$D$14,'HDV Data'!$E$3:$E$14,"ISIC 22"))))))</f>
        <v/>
      </c>
      <c r="R7">
        <f>(((((SUMIFS('HDV Data'!$D$3:$D$14,'HDV Data'!$E$3:$E$14,"ISIC 231"))))))</f>
        <v/>
      </c>
      <c r="S7">
        <f>(((((SUMIFS('HDV Data'!$D$3:$D$14,'HDV Data'!$E$3:$E$14,"ISIC 239"))))))</f>
        <v/>
      </c>
      <c r="T7">
        <f>(((((SUMIFS('HDV Data'!$D$3:$D$14,'HDV Data'!$E$3:$E$14,"ISIC 241"))))))</f>
        <v/>
      </c>
      <c r="U7">
        <f>(((((SUMIFS('HDV Data'!$D$3:$D$14,'HDV Data'!$E$3:$E$14,"ISIC 242"))))))</f>
        <v/>
      </c>
      <c r="V7">
        <f>(((((SUMIFS('HDV Data'!$D$3:$D$14,'HDV Data'!$E$3:$E$14,"ISIC 25"))))))</f>
        <v/>
      </c>
      <c r="W7">
        <f>(((((SUMIFS('HDV Data'!$D$3:$D$14,'HDV Data'!$E$3:$E$14,"ISIC 26"))))))</f>
        <v/>
      </c>
      <c r="X7">
        <f>(((((SUMIFS('HDV Data'!$D$3:$D$14,'HDV Data'!$E$3:$E$14,"ISIC 27"))))))</f>
        <v/>
      </c>
      <c r="Y7">
        <f>(((((SUMIFS('HDV Data'!$D$3:$D$14,'HDV Data'!$E$3:$E$14,"ISIC 28"))))))</f>
        <v/>
      </c>
      <c r="Z7">
        <f>((SUMIFS('LDV Data'!$D$3:$D$14,'LDV Data'!$E$3:$E$14,"ISIC 29")))</f>
        <v/>
      </c>
      <c r="AA7">
        <f>0*'Factors applied'!$E$56</f>
        <v/>
      </c>
      <c r="AB7">
        <f>0*'Factors applied'!$E$57</f>
        <v/>
      </c>
      <c r="AC7">
        <f>(((((SUMIFS('HDV Data'!$D$3:$D$14,'HDV Data'!$E$3:$E$14,"ISIC 31T33"))))))</f>
        <v/>
      </c>
      <c r="AD7">
        <f>(((((SUMIFS('HDV Data'!$D$3:$D$14,'HDV Data'!$E$3:$E$14,"ISIC 351"))))))</f>
        <v/>
      </c>
      <c r="AE7">
        <f>(((((SUMIFS('HDV Data'!$D$3:$D$14,'HDV Data'!$E$3:$E$14,"ISIC 352T353"))))))</f>
        <v/>
      </c>
      <c r="AF7">
        <f>(((((SUMIFS('HDV Data'!$D$3:$D$14,'HDV Data'!$E$3:$E$14,"ISIC 36T39"))))))</f>
        <v/>
      </c>
      <c r="AG7">
        <f>(((((SUMIFS('HDV Data'!$D$3:$D$14,'HDV Data'!$E$3:$E$14,"ISIC 41T43"))))))</f>
        <v/>
      </c>
      <c r="AH7">
        <f>(SUMIFS('LDV Data'!$D$3:$D$14,'LDV Data'!$E$3:$E$14,"ISIC 45T47"))</f>
        <v/>
      </c>
      <c r="AI7">
        <f>(((((SUMIFS('HDV Data'!$D$3:$D$14,'HDV Data'!$E$3:$E$14,"ISIC 49T53"))))))*'Factors applied'!$E$58</f>
        <v/>
      </c>
      <c r="AJ7">
        <f>(((((SUMIFS('HDV Data'!$D$3:$D$14,'HDV Data'!$E$3:$E$14,"ISIC 49T53"))))))*'Factors applied'!$E$59</f>
        <v/>
      </c>
      <c r="AK7">
        <f>(((((SUMIFS('HDV Data'!$D$3:$D$14,'HDV Data'!$E$3:$E$14,"ISIC 49T53"))))))*'Factors applied'!$E$60</f>
        <v/>
      </c>
      <c r="AL7">
        <f>(((((SUMIFS('HDV Data'!$D$3:$D$14,'HDV Data'!$E$3:$E$14,"ISIC 49T53"))))))*'Factors applied'!$E$61</f>
        <v/>
      </c>
      <c r="AM7">
        <f>(((((SUMIFS('HDV Data'!$D$3:$D$14,'HDV Data'!$E$3:$E$14,"ISIC 49T53"))))))*'Factors applied'!$E$62</f>
        <v/>
      </c>
      <c r="AN7">
        <f>(((((SUMIFS('HDV Data'!$D$3:$D$14,'HDV Data'!$E$3:$E$14,"ISIC 55T56"))))))</f>
        <v/>
      </c>
      <c r="AO7">
        <f>(((((SUMIFS('HDV Data'!$D$3:$D$14,'HDV Data'!$E$3:$E$14,"ISIC 58T60"))))))</f>
        <v/>
      </c>
      <c r="AP7">
        <f>(((((SUMIFS('HDV Data'!$D$3:$D$14,'HDV Data'!$E$3:$E$14,"ISIC 61"))))))</f>
        <v/>
      </c>
      <c r="AQ7">
        <f>(((((SUMIFS('HDV Data'!$D$3:$D$14,'HDV Data'!$E$3:$E$14,"ISIC 62T63"))))))</f>
        <v/>
      </c>
      <c r="AR7">
        <f>(((((SUMIFS('HDV Data'!$D$3:$D$14,'HDV Data'!$E$3:$E$14,"ISIC 64T66"))))))</f>
        <v/>
      </c>
      <c r="AS7">
        <f>(((((SUMIFS('HDV Data'!$D$3:$D$14,'HDV Data'!$E$3:$E$14,"ISIC 68"))))))</f>
        <v/>
      </c>
      <c r="AT7">
        <f>(((((SUMIFS('HDV Data'!$D$3:$D$14,'HDV Data'!$E$3:$E$14,"ISIC 69T82"))))))*'Factors applied'!$E$63</f>
        <v/>
      </c>
      <c r="AU7">
        <f>(((((SUMIFS('HDV Data'!$D$3:$D$14,'HDV Data'!$E$3:$E$14,"ISIC 69T82"))))))*'Factors applied'!$E$64</f>
        <v/>
      </c>
      <c r="AV7">
        <f>(((((SUMIFS('HDV Data'!$D$3:$D$14,'HDV Data'!$E$3:$E$14,"ISIC 84"))))))</f>
        <v/>
      </c>
      <c r="AW7">
        <f>(((((SUMIFS('HDV Data'!$D$3:$D$14,'HDV Data'!$E$3:$E$14,"ISIC 85"))))))</f>
        <v/>
      </c>
      <c r="AX7">
        <f>(((((SUMIFS('HDV Data'!$D$3:$D$14,'HDV Data'!$E$3:$E$14,"ISIC 86T88"))))))</f>
        <v/>
      </c>
      <c r="AY7">
        <f>(((((SUMIFS('HDV Data'!$D$3:$D$14,'HDV Data'!$E$3:$E$14,"ISIC 90T96"))))))*'Factors applied'!$E$65</f>
        <v/>
      </c>
      <c r="AZ7">
        <f>(((((SUMIFS('HDV Data'!$D$3:$D$14,'HDV Data'!$E$3:$E$14,"ISIC 90T96"))))))*'Factors applied'!$E$66</f>
        <v/>
      </c>
      <c r="BA7">
        <f>(((((SUMIFS('HDV Data'!$D$3:$D$14,'HDV Data'!$E$3:$E$14,"ISIC 97T98"))))))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Robbie Orvis</dc:creator>
  <dcterms:created xmlns:dcterms="http://purl.org/dc/terms/" xmlns:xsi="http://www.w3.org/2001/XMLSchema-instance" xsi:type="dcterms:W3CDTF">2023-04-27T20:33:15Z</dcterms:created>
  <dcterms:modified xmlns:dcterms="http://purl.org/dc/terms/" xmlns:xsi="http://www.w3.org/2001/XMLSchema-instance" xsi:type="dcterms:W3CDTF">2026-07-21T14:41:47Z</dcterms:modified>
  <cp:lastModifiedBy>Robbie Orvis</cp:lastModifiedBy>
</cp:coreProperties>
</file>