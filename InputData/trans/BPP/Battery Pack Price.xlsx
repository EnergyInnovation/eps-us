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PP\"/>
    </mc:Choice>
  </mc:AlternateContent>
  <xr:revisionPtr revIDLastSave="0" documentId="13_ncr:1_{98B72860-0494-4188-8985-8F96BBF57E48}" xr6:coauthVersionLast="47" xr6:coauthVersionMax="47" xr10:uidLastSave="{00000000-0000-0000-0000-000000000000}"/>
  <bookViews>
    <workbookView xWindow="38280" yWindow="-120" windowWidth="29040" windowHeight="17520" xr2:uid="{DC12087C-9A27-4A43-B4A9-6B3F1E517F08}"/>
  </bookViews>
  <sheets>
    <sheet name="About" sheetId="1" r:id="rId1"/>
    <sheet name="BPP" sheetId="2" r:id="rId2"/>
    <sheet name="SYBP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B2" i="3"/>
</calcChain>
</file>

<file path=xl/sharedStrings.xml><?xml version="1.0" encoding="utf-8"?>
<sst xmlns="http://schemas.openxmlformats.org/spreadsheetml/2006/main" count="13" uniqueCount="11">
  <si>
    <t>Sources:</t>
  </si>
  <si>
    <t>BNEF</t>
  </si>
  <si>
    <t>Price</t>
  </si>
  <si>
    <t>$/kWh</t>
  </si>
  <si>
    <t>BPP Battery Pack Price</t>
  </si>
  <si>
    <t>Notes:</t>
  </si>
  <si>
    <t>The EPS applies endogenous learning for battery pack prices in years where the battery pack price is listed as 0.</t>
  </si>
  <si>
    <t>2025 to 2012</t>
  </si>
  <si>
    <t>https://www.usinflationcalculator.com/</t>
  </si>
  <si>
    <t>https://about.bnef.com/insights/clean-transport/lithium-ion-battery-pack-prices-fall-to-108-per-kilowatt-hour-despite-rising-metal-prices-bloombergnef/</t>
  </si>
  <si>
    <t>Lithium-Ion Battery Pack Prices Fall to $108 Per Kilowatt-Hour, Despite Rising Metal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</si>
</sst>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C11"/>
  <sheetViews>
    <sheetView tabSelected="1" workbookViewId="0">
      <selection activeCell="B5" sqref="B5"/>
    </sheetView>
  </sheetViews>
  <sheetFormatPr defaultRowHeight="14.5" x14ac:dyDescent="0.35"/>
  <cols>
    <col min="1" max="1" width="19.453125" customWidth="1"/>
    <col min="2" max="2" width="101.26953125" customWidth="1"/>
  </cols>
  <sheetData>
    <row r="1" spans="1:3" x14ac:dyDescent="0.35">
      <c r="A1" s="1" t="s">
        <v>4</v>
      </c>
    </row>
    <row r="3" spans="1:3" x14ac:dyDescent="0.35">
      <c r="A3" s="1" t="s">
        <v>0</v>
      </c>
      <c r="B3" t="s">
        <v>1</v>
      </c>
    </row>
    <row r="4" spans="1:3" x14ac:dyDescent="0.35">
      <c r="B4" t="s">
        <v>10</v>
      </c>
    </row>
    <row r="5" spans="1:3" x14ac:dyDescent="0.35">
      <c r="B5" s="2">
        <v>2025</v>
      </c>
    </row>
    <row r="6" spans="1:3" x14ac:dyDescent="0.35">
      <c r="B6" s="3" t="s">
        <v>9</v>
      </c>
    </row>
    <row r="8" spans="1:3" x14ac:dyDescent="0.35">
      <c r="A8" s="1" t="s">
        <v>5</v>
      </c>
    </row>
    <row r="9" spans="1:3" x14ac:dyDescent="0.35">
      <c r="A9" t="s">
        <v>6</v>
      </c>
    </row>
    <row r="11" spans="1:3" x14ac:dyDescent="0.35">
      <c r="A11" t="s">
        <v>7</v>
      </c>
      <c r="B11" s="2">
        <v>0.71</v>
      </c>
      <c r="C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B2"/>
  <sheetViews>
    <sheetView workbookViewId="0">
      <selection activeCell="C3" sqref="C3"/>
    </sheetView>
  </sheetViews>
  <sheetFormatPr defaultRowHeight="14.5" x14ac:dyDescent="0.35"/>
  <sheetData>
    <row r="1" spans="1:28" x14ac:dyDescent="0.35">
      <c r="A1" t="s">
        <v>3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35">
      <c r="A2" t="s">
        <v>2</v>
      </c>
      <c r="B2">
        <f>118*About!B11</f>
        <v>83.78</v>
      </c>
      <c r="C2">
        <f>108*About!B11</f>
        <v>76.679999999999993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C966-6AEE-455B-8285-F6B514229E67}">
  <sheetPr>
    <tabColor theme="4" tint="-0.249977111117893"/>
  </sheetPr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3</v>
      </c>
      <c r="B1">
        <v>2023</v>
      </c>
    </row>
    <row r="2" spans="1:2" x14ac:dyDescent="0.35">
      <c r="A2" t="s">
        <v>2</v>
      </c>
      <c r="B2">
        <f>148*About!B11</f>
        <v>105.08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BPP</vt:lpstr>
      <vt:lpstr>SYBPP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2023-05-03T18:24:38Z</dcterms:created>
  <dcterms:modified xsi:type="dcterms:W3CDTF">2026-01-05T19:53:27Z</dcterms:modified>
</cp:coreProperties>
</file>