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defaultThemeVersion="124226"/>
  <mc:AlternateContent xmlns:mc="http://schemas.openxmlformats.org/markup-compatibility/2006">
    <mc:Choice Requires="x15">
      <x15ac:absPath xmlns:x15ac="http://schemas.microsoft.com/office/spreadsheetml/2010/11/ac" url="C:\Users\RobbieOrvis\Models\EPS Structure Research\eps-us-develop\InputData\trans\AVLo\"/>
    </mc:Choice>
  </mc:AlternateContent>
  <xr:revisionPtr revIDLastSave="0" documentId="13_ncr:1_{8761E455-D943-458A-A8FE-FA68E464DA56}" xr6:coauthVersionLast="47" xr6:coauthVersionMax="47" xr10:uidLastSave="{00000000-0000-0000-0000-000000000000}"/>
  <bookViews>
    <workbookView xWindow="-120" yWindow="-120" windowWidth="57840" windowHeight="23520" firstSheet="2" activeTab="6" xr2:uid="{00000000-000D-0000-FFFF-FFFF00000000}"/>
  </bookViews>
  <sheets>
    <sheet name="About" sheetId="1" r:id="rId1"/>
    <sheet name="BTS NTS Modal Profile Data" sheetId="3" r:id="rId2"/>
    <sheet name="Annual Service Data_rail only" sheetId="7" r:id="rId3"/>
    <sheet name="Fuel and Energy_rail only" sheetId="8" r:id="rId4"/>
    <sheet name="NEMS bus covid" sheetId="10" r:id="rId5"/>
    <sheet name="NEMS rail covid" sheetId="12" r:id="rId6"/>
    <sheet name="rail loading" sheetId="13" r:id="rId7"/>
    <sheet name="bus loading" sheetId="11" r:id="rId8"/>
    <sheet name="psgr rail calcs" sheetId="9" r:id="rId9"/>
    <sheet name="SYAVLo-passengers" sheetId="2" r:id="rId10"/>
    <sheet name="SYAVLo-freight" sheetId="4" r:id="rId11"/>
    <sheet name="AVLo-passengers" sheetId="5" r:id="rId12"/>
    <sheet name="AVLo-freight" sheetId="6" r:id="rId13"/>
  </sheets>
  <definedNames>
    <definedName name="_xlnm._FilterDatabase" localSheetId="2" hidden="1">'Annual Service Data_rail only'!$A$1:$AX$1</definedName>
    <definedName name="Eno_TM">#REF!</definedName>
    <definedName name="Eno_Tons">#REF!</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um_T2">#REF!</definedName>
    <definedName name="Sum_TTM">#REF!</definedName>
    <definedName name="ti_tbl_50">#REF!</definedName>
    <definedName name="ti_tbl_69">#REF!</definedName>
    <definedName name="TitleRegion1.f2.y3.5">#REF!</definedName>
    <definedName name="TitleRegion1.f3.n4.5">#REF!</definedName>
    <definedName name="TitleRegion2.e6.y15.5">#REF!</definedName>
    <definedName name="TitleRegion2.e8.n17.5">#REF!</definedName>
    <definedName name="TitleRegion3.c19.y51.5">#REF!</definedName>
    <definedName name="TitleRegion3.c24.n53.5">#REF!</definedName>
    <definedName name="TitleRegion4.e54.y63.5">#REF!</definedName>
    <definedName name="TitleRegion4.e57.n66.5">#REF!</definedName>
    <definedName name="TitleRegion5.d68.y124.5">#REF!</definedName>
    <definedName name="TitleRegion5.d73.n129.5">#REF!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F3" i="13" l="1"/>
  <c r="BE3" i="13"/>
  <c r="BD3" i="13"/>
  <c r="BC3" i="13"/>
  <c r="BB3" i="13"/>
  <c r="BA3" i="13"/>
  <c r="AZ3" i="13"/>
  <c r="AY3" i="13"/>
  <c r="AX3" i="13"/>
  <c r="AW3" i="13"/>
  <c r="AV3" i="13"/>
  <c r="AU3" i="13"/>
  <c r="AT3" i="13"/>
  <c r="AS3" i="13"/>
  <c r="AR3" i="13"/>
  <c r="AQ3" i="13"/>
  <c r="AP3" i="13"/>
  <c r="AO3" i="13"/>
  <c r="AN3" i="13"/>
  <c r="AM3" i="13"/>
  <c r="AL3" i="13"/>
  <c r="AK3" i="13"/>
  <c r="AJ3" i="13"/>
  <c r="AI3" i="13"/>
  <c r="AH3" i="13"/>
  <c r="AG3" i="13"/>
  <c r="AF3" i="13"/>
  <c r="AE3" i="13"/>
  <c r="AD3" i="13"/>
  <c r="AC3" i="13"/>
  <c r="AB3" i="13"/>
  <c r="AA3" i="13"/>
  <c r="Z3" i="13"/>
  <c r="Y3" i="13"/>
  <c r="X3" i="13"/>
  <c r="W3" i="13"/>
  <c r="V3" i="13"/>
  <c r="U3" i="13"/>
  <c r="T3" i="13"/>
  <c r="S3" i="13"/>
  <c r="R3" i="13"/>
  <c r="Q3" i="13"/>
  <c r="P3" i="13"/>
  <c r="O3" i="13"/>
  <c r="N3" i="13"/>
  <c r="M3" i="13"/>
  <c r="L3" i="13"/>
  <c r="K3" i="13"/>
  <c r="J3" i="13"/>
  <c r="I3" i="13"/>
  <c r="H3" i="13"/>
  <c r="G3" i="13"/>
  <c r="F3" i="13"/>
  <c r="E3" i="13"/>
  <c r="D3" i="13"/>
  <c r="C5" i="13"/>
  <c r="C4" i="13"/>
  <c r="C3" i="13"/>
  <c r="C47" i="12"/>
  <c r="B47" i="12"/>
  <c r="BF6" i="11"/>
  <c r="BF5" i="11"/>
  <c r="BF4" i="11"/>
  <c r="BF7" i="11" s="1"/>
  <c r="BE6" i="11"/>
  <c r="BE5" i="11"/>
  <c r="BE4" i="11"/>
  <c r="BE7" i="11" s="1"/>
  <c r="BD6" i="11"/>
  <c r="BD5" i="11"/>
  <c r="BD4" i="11"/>
  <c r="BD7" i="11" s="1"/>
  <c r="BC6" i="11"/>
  <c r="BC5" i="11"/>
  <c r="BC4" i="11"/>
  <c r="BC7" i="11" s="1"/>
  <c r="BB6" i="11"/>
  <c r="BB5" i="11"/>
  <c r="BB4" i="11"/>
  <c r="BB7" i="11" s="1"/>
  <c r="BA6" i="11"/>
  <c r="BA5" i="11"/>
  <c r="BA4" i="11"/>
  <c r="BA7" i="11" s="1"/>
  <c r="AZ6" i="11"/>
  <c r="AZ5" i="11"/>
  <c r="AZ4" i="11"/>
  <c r="AZ7" i="11" s="1"/>
  <c r="AY6" i="11"/>
  <c r="AY5" i="11"/>
  <c r="AY4" i="11"/>
  <c r="AY7" i="11" s="1"/>
  <c r="AX6" i="11"/>
  <c r="AX5" i="11"/>
  <c r="AX4" i="11"/>
  <c r="AX7" i="11" s="1"/>
  <c r="AW6" i="11"/>
  <c r="AW5" i="11"/>
  <c r="AW4" i="11"/>
  <c r="AW7" i="11" s="1"/>
  <c r="AV6" i="11"/>
  <c r="AV5" i="11"/>
  <c r="AV4" i="11"/>
  <c r="AV7" i="11" s="1"/>
  <c r="AU6" i="11"/>
  <c r="AU5" i="11"/>
  <c r="AU4" i="11"/>
  <c r="AU7" i="11" s="1"/>
  <c r="AT6" i="11"/>
  <c r="AT5" i="11"/>
  <c r="AT4" i="11"/>
  <c r="AT7" i="11" s="1"/>
  <c r="AS6" i="11"/>
  <c r="AS5" i="11"/>
  <c r="AS4" i="11"/>
  <c r="AS7" i="11" s="1"/>
  <c r="AR6" i="11"/>
  <c r="AR5" i="11"/>
  <c r="AR4" i="11"/>
  <c r="AR7" i="11" s="1"/>
  <c r="AQ6" i="11"/>
  <c r="AQ5" i="11"/>
  <c r="AQ4" i="11"/>
  <c r="AQ7" i="11" s="1"/>
  <c r="AP6" i="11"/>
  <c r="AP5" i="11"/>
  <c r="AP4" i="11"/>
  <c r="AP7" i="11" s="1"/>
  <c r="AO6" i="11"/>
  <c r="AO5" i="11"/>
  <c r="AO4" i="11"/>
  <c r="AO7" i="11" s="1"/>
  <c r="AN6" i="11"/>
  <c r="AN5" i="11"/>
  <c r="AN4" i="11"/>
  <c r="AN7" i="11" s="1"/>
  <c r="AM6" i="11"/>
  <c r="AM5" i="11"/>
  <c r="AM4" i="11"/>
  <c r="AM7" i="11" s="1"/>
  <c r="AL6" i="11"/>
  <c r="AL5" i="11"/>
  <c r="AL4" i="11"/>
  <c r="AL7" i="11" s="1"/>
  <c r="AK6" i="11"/>
  <c r="AK5" i="11"/>
  <c r="AK4" i="11"/>
  <c r="AK7" i="11" s="1"/>
  <c r="AJ6" i="11"/>
  <c r="AJ5" i="11"/>
  <c r="AJ4" i="11"/>
  <c r="AI6" i="11"/>
  <c r="AI5" i="11"/>
  <c r="AI4" i="11"/>
  <c r="AI7" i="11" s="1"/>
  <c r="AH6" i="11"/>
  <c r="AH5" i="11"/>
  <c r="AH4" i="11"/>
  <c r="AH7" i="11" s="1"/>
  <c r="AG6" i="11"/>
  <c r="AG5" i="11"/>
  <c r="AG4" i="11"/>
  <c r="AG7" i="11" s="1"/>
  <c r="AF6" i="11"/>
  <c r="AF5" i="11"/>
  <c r="AF4" i="11"/>
  <c r="AF7" i="11" s="1"/>
  <c r="AF8" i="11" s="1"/>
  <c r="AE6" i="11"/>
  <c r="AE5" i="11"/>
  <c r="AE4" i="11"/>
  <c r="AE7" i="11" s="1"/>
  <c r="AE8" i="11" s="1"/>
  <c r="AD6" i="11"/>
  <c r="AD5" i="11"/>
  <c r="AD4" i="11"/>
  <c r="AD7" i="11" s="1"/>
  <c r="AD8" i="11" s="1"/>
  <c r="AC6" i="11"/>
  <c r="AC5" i="11"/>
  <c r="AC4" i="11"/>
  <c r="AC7" i="11" s="1"/>
  <c r="AC8" i="11" s="1"/>
  <c r="AB6" i="11"/>
  <c r="AB5" i="11"/>
  <c r="AB4" i="11"/>
  <c r="AB7" i="11" s="1"/>
  <c r="AB8" i="11" s="1"/>
  <c r="AA6" i="11"/>
  <c r="AA5" i="11"/>
  <c r="AA4" i="11"/>
  <c r="AA7" i="11" s="1"/>
  <c r="AA8" i="11" s="1"/>
  <c r="Z6" i="11"/>
  <c r="Z5" i="11"/>
  <c r="Z4" i="11"/>
  <c r="Z7" i="11" s="1"/>
  <c r="Z8" i="11" s="1"/>
  <c r="Y6" i="11"/>
  <c r="Y5" i="11"/>
  <c r="Y4" i="11"/>
  <c r="Y7" i="11" s="1"/>
  <c r="Y8" i="11" s="1"/>
  <c r="X6" i="11"/>
  <c r="X5" i="11"/>
  <c r="X4" i="11"/>
  <c r="X7" i="11" s="1"/>
  <c r="X8" i="11" s="1"/>
  <c r="W6" i="11"/>
  <c r="W5" i="11"/>
  <c r="W4" i="11"/>
  <c r="W7" i="11" s="1"/>
  <c r="W8" i="11" s="1"/>
  <c r="V6" i="11"/>
  <c r="V5" i="11"/>
  <c r="V4" i="11"/>
  <c r="U6" i="11"/>
  <c r="U5" i="11"/>
  <c r="U4" i="11"/>
  <c r="U7" i="11" s="1"/>
  <c r="T6" i="11"/>
  <c r="T5" i="11"/>
  <c r="T4" i="11"/>
  <c r="T7" i="11" s="1"/>
  <c r="S6" i="11"/>
  <c r="S5" i="11"/>
  <c r="S4" i="11"/>
  <c r="S7" i="11" s="1"/>
  <c r="R6" i="11"/>
  <c r="R5" i="11"/>
  <c r="R4" i="11"/>
  <c r="R7" i="11" s="1"/>
  <c r="R8" i="11" s="1"/>
  <c r="Q6" i="11"/>
  <c r="Q5" i="11"/>
  <c r="Q4" i="11"/>
  <c r="Q7" i="11" s="1"/>
  <c r="Q8" i="11" s="1"/>
  <c r="P6" i="11"/>
  <c r="P5" i="11"/>
  <c r="P4" i="11"/>
  <c r="P7" i="11" s="1"/>
  <c r="P8" i="11" s="1"/>
  <c r="O6" i="11"/>
  <c r="O5" i="11"/>
  <c r="O4" i="11"/>
  <c r="O7" i="11" s="1"/>
  <c r="O8" i="11" s="1"/>
  <c r="N6" i="11"/>
  <c r="N5" i="11"/>
  <c r="N4" i="11"/>
  <c r="N7" i="11" s="1"/>
  <c r="N8" i="11" s="1"/>
  <c r="M6" i="11"/>
  <c r="M5" i="11"/>
  <c r="M4" i="11"/>
  <c r="M7" i="11" s="1"/>
  <c r="M8" i="11" s="1"/>
  <c r="L6" i="11"/>
  <c r="L5" i="11"/>
  <c r="L4" i="11"/>
  <c r="L7" i="11" s="1"/>
  <c r="L8" i="11" s="1"/>
  <c r="K6" i="11"/>
  <c r="K5" i="11"/>
  <c r="K4" i="11"/>
  <c r="K7" i="11" s="1"/>
  <c r="K8" i="11" s="1"/>
  <c r="J6" i="11"/>
  <c r="J5" i="11"/>
  <c r="J4" i="11"/>
  <c r="J7" i="11" s="1"/>
  <c r="J8" i="11" s="1"/>
  <c r="I6" i="11"/>
  <c r="I5" i="11"/>
  <c r="I4" i="11"/>
  <c r="H6" i="11"/>
  <c r="H5" i="11"/>
  <c r="H4" i="11"/>
  <c r="H7" i="11" s="1"/>
  <c r="G6" i="11"/>
  <c r="G5" i="11"/>
  <c r="G4" i="11"/>
  <c r="G7" i="11" s="1"/>
  <c r="F6" i="11"/>
  <c r="F5" i="11"/>
  <c r="F4" i="11"/>
  <c r="F7" i="11" s="1"/>
  <c r="E6" i="11"/>
  <c r="E5" i="11"/>
  <c r="E4" i="11"/>
  <c r="E7" i="11" s="1"/>
  <c r="E8" i="11" s="1"/>
  <c r="D6" i="11"/>
  <c r="D5" i="11"/>
  <c r="D4" i="11"/>
  <c r="D7" i="11" s="1"/>
  <c r="C6" i="11"/>
  <c r="C5" i="11"/>
  <c r="C4" i="11"/>
  <c r="C7" i="11" s="1"/>
  <c r="C3" i="11"/>
  <c r="D3" i="11"/>
  <c r="E3" i="11"/>
  <c r="F3" i="11"/>
  <c r="G3" i="11"/>
  <c r="H3" i="11"/>
  <c r="I3" i="11"/>
  <c r="J3" i="11"/>
  <c r="K3" i="11"/>
  <c r="L3" i="11"/>
  <c r="M3" i="11"/>
  <c r="N3" i="11"/>
  <c r="O3" i="11"/>
  <c r="P3" i="11"/>
  <c r="Q3" i="11"/>
  <c r="R3" i="11"/>
  <c r="S3" i="11"/>
  <c r="T3" i="11"/>
  <c r="U3" i="11"/>
  <c r="V3" i="11"/>
  <c r="W3" i="11"/>
  <c r="X3" i="11"/>
  <c r="Y3" i="11"/>
  <c r="Z3" i="11"/>
  <c r="AA3" i="11"/>
  <c r="AB3" i="11"/>
  <c r="AC3" i="11"/>
  <c r="AD3" i="11"/>
  <c r="AE3" i="11"/>
  <c r="AF3" i="11"/>
  <c r="AG3" i="11"/>
  <c r="AH3" i="11"/>
  <c r="AI3" i="11"/>
  <c r="AJ3" i="11"/>
  <c r="AK3" i="11"/>
  <c r="AL3" i="11"/>
  <c r="AM3" i="11"/>
  <c r="AN3" i="11"/>
  <c r="AO3" i="11"/>
  <c r="AP3" i="11"/>
  <c r="AQ3" i="11"/>
  <c r="AR3" i="11"/>
  <c r="AS3" i="11"/>
  <c r="AT3" i="11"/>
  <c r="AU3" i="11"/>
  <c r="AV3" i="11"/>
  <c r="AW3" i="11"/>
  <c r="AX3" i="11"/>
  <c r="AY3" i="11"/>
  <c r="AZ3" i="11"/>
  <c r="BA3" i="11"/>
  <c r="BB3" i="11"/>
  <c r="BC3" i="11"/>
  <c r="BD3" i="11"/>
  <c r="BE3" i="11"/>
  <c r="BF3" i="11"/>
  <c r="R59" i="9"/>
  <c r="Q59" i="9"/>
  <c r="P59" i="9"/>
  <c r="S59" i="9" s="1"/>
  <c r="I59" i="9"/>
  <c r="H59" i="9"/>
  <c r="G59" i="9"/>
  <c r="F59" i="9"/>
  <c r="E59" i="9"/>
  <c r="R58" i="9"/>
  <c r="Q58" i="9"/>
  <c r="P58" i="9"/>
  <c r="I58" i="9"/>
  <c r="H58" i="9"/>
  <c r="G58" i="9"/>
  <c r="F58" i="9"/>
  <c r="E58" i="9"/>
  <c r="R57" i="9"/>
  <c r="Q57" i="9"/>
  <c r="P57" i="9"/>
  <c r="I57" i="9"/>
  <c r="H57" i="9"/>
  <c r="G57" i="9"/>
  <c r="F57" i="9"/>
  <c r="E57" i="9"/>
  <c r="R56" i="9"/>
  <c r="Q56" i="9"/>
  <c r="P56" i="9"/>
  <c r="I56" i="9"/>
  <c r="H56" i="9"/>
  <c r="G56" i="9"/>
  <c r="F56" i="9"/>
  <c r="E56" i="9"/>
  <c r="M56" i="9" s="1"/>
  <c r="R55" i="9"/>
  <c r="Q55" i="9"/>
  <c r="P55" i="9"/>
  <c r="I55" i="9"/>
  <c r="H55" i="9"/>
  <c r="G55" i="9"/>
  <c r="F55" i="9"/>
  <c r="E55" i="9"/>
  <c r="R54" i="9"/>
  <c r="Q54" i="9"/>
  <c r="P54" i="9"/>
  <c r="I54" i="9"/>
  <c r="H54" i="9"/>
  <c r="G54" i="9"/>
  <c r="F54" i="9"/>
  <c r="E54" i="9"/>
  <c r="R53" i="9"/>
  <c r="Q53" i="9"/>
  <c r="P53" i="9"/>
  <c r="I53" i="9"/>
  <c r="H53" i="9"/>
  <c r="G53" i="9"/>
  <c r="F53" i="9"/>
  <c r="E53" i="9"/>
  <c r="R52" i="9"/>
  <c r="Q52" i="9"/>
  <c r="P52" i="9"/>
  <c r="I52" i="9"/>
  <c r="H52" i="9"/>
  <c r="G52" i="9"/>
  <c r="F52" i="9"/>
  <c r="E52" i="9"/>
  <c r="R51" i="9"/>
  <c r="Q51" i="9"/>
  <c r="P51" i="9"/>
  <c r="I51" i="9"/>
  <c r="H51" i="9"/>
  <c r="G51" i="9"/>
  <c r="F51" i="9"/>
  <c r="E51" i="9"/>
  <c r="R50" i="9"/>
  <c r="Q50" i="9"/>
  <c r="P50" i="9"/>
  <c r="I50" i="9"/>
  <c r="H50" i="9"/>
  <c r="G50" i="9"/>
  <c r="F50" i="9"/>
  <c r="E50" i="9"/>
  <c r="R49" i="9"/>
  <c r="Q49" i="9"/>
  <c r="P49" i="9"/>
  <c r="I49" i="9"/>
  <c r="H49" i="9"/>
  <c r="G49" i="9"/>
  <c r="F49" i="9"/>
  <c r="E49" i="9"/>
  <c r="R48" i="9"/>
  <c r="Q48" i="9"/>
  <c r="P48" i="9"/>
  <c r="I48" i="9"/>
  <c r="H48" i="9"/>
  <c r="G48" i="9"/>
  <c r="F48" i="9"/>
  <c r="E48" i="9"/>
  <c r="M48" i="9" s="1"/>
  <c r="R47" i="9"/>
  <c r="Q47" i="9"/>
  <c r="P47" i="9"/>
  <c r="I47" i="9"/>
  <c r="H47" i="9"/>
  <c r="G47" i="9"/>
  <c r="F47" i="9"/>
  <c r="E47" i="9"/>
  <c r="R46" i="9"/>
  <c r="Q46" i="9"/>
  <c r="P46" i="9"/>
  <c r="I46" i="9"/>
  <c r="H46" i="9"/>
  <c r="G46" i="9"/>
  <c r="F46" i="9"/>
  <c r="E46" i="9"/>
  <c r="R45" i="9"/>
  <c r="Q45" i="9"/>
  <c r="P45" i="9"/>
  <c r="I45" i="9"/>
  <c r="H45" i="9"/>
  <c r="G45" i="9"/>
  <c r="F45" i="9"/>
  <c r="E45" i="9"/>
  <c r="R44" i="9"/>
  <c r="Q44" i="9"/>
  <c r="P44" i="9"/>
  <c r="I44" i="9"/>
  <c r="H44" i="9"/>
  <c r="G44" i="9"/>
  <c r="F44" i="9"/>
  <c r="E44" i="9"/>
  <c r="R43" i="9"/>
  <c r="Q43" i="9"/>
  <c r="P43" i="9"/>
  <c r="I43" i="9"/>
  <c r="H43" i="9"/>
  <c r="G43" i="9"/>
  <c r="F43" i="9"/>
  <c r="E43" i="9"/>
  <c r="R42" i="9"/>
  <c r="Q42" i="9"/>
  <c r="P42" i="9"/>
  <c r="I42" i="9"/>
  <c r="H42" i="9"/>
  <c r="G42" i="9"/>
  <c r="F42" i="9"/>
  <c r="E42" i="9"/>
  <c r="R41" i="9"/>
  <c r="Q41" i="9"/>
  <c r="P41" i="9"/>
  <c r="I41" i="9"/>
  <c r="H41" i="9"/>
  <c r="G41" i="9"/>
  <c r="F41" i="9"/>
  <c r="E41" i="9"/>
  <c r="R40" i="9"/>
  <c r="Q40" i="9"/>
  <c r="P40" i="9"/>
  <c r="I40" i="9"/>
  <c r="H40" i="9"/>
  <c r="G40" i="9"/>
  <c r="F40" i="9"/>
  <c r="E40" i="9"/>
  <c r="M40" i="9" s="1"/>
  <c r="R39" i="9"/>
  <c r="Q39" i="9"/>
  <c r="P39" i="9"/>
  <c r="I39" i="9"/>
  <c r="H39" i="9"/>
  <c r="G39" i="9"/>
  <c r="F39" i="9"/>
  <c r="E39" i="9"/>
  <c r="R38" i="9"/>
  <c r="Q38" i="9"/>
  <c r="P38" i="9"/>
  <c r="I38" i="9"/>
  <c r="H38" i="9"/>
  <c r="G38" i="9"/>
  <c r="F38" i="9"/>
  <c r="E38" i="9"/>
  <c r="M38" i="9" s="1"/>
  <c r="R37" i="9"/>
  <c r="Q37" i="9"/>
  <c r="P37" i="9"/>
  <c r="I37" i="9"/>
  <c r="H37" i="9"/>
  <c r="G37" i="9"/>
  <c r="F37" i="9"/>
  <c r="E37" i="9"/>
  <c r="M37" i="9" s="1"/>
  <c r="R36" i="9"/>
  <c r="Q36" i="9"/>
  <c r="P36" i="9"/>
  <c r="I36" i="9"/>
  <c r="H36" i="9"/>
  <c r="G36" i="9"/>
  <c r="F36" i="9"/>
  <c r="E36" i="9"/>
  <c r="R35" i="9"/>
  <c r="Q35" i="9"/>
  <c r="P35" i="9"/>
  <c r="I35" i="9"/>
  <c r="H35" i="9"/>
  <c r="G35" i="9"/>
  <c r="F35" i="9"/>
  <c r="E35" i="9"/>
  <c r="R34" i="9"/>
  <c r="Q34" i="9"/>
  <c r="P34" i="9"/>
  <c r="I34" i="9"/>
  <c r="H34" i="9"/>
  <c r="G34" i="9"/>
  <c r="F34" i="9"/>
  <c r="E34" i="9"/>
  <c r="R33" i="9"/>
  <c r="Q33" i="9"/>
  <c r="P33" i="9"/>
  <c r="I33" i="9"/>
  <c r="H33" i="9"/>
  <c r="G33" i="9"/>
  <c r="F33" i="9"/>
  <c r="E33" i="9"/>
  <c r="R32" i="9"/>
  <c r="Q32" i="9"/>
  <c r="P32" i="9"/>
  <c r="I32" i="9"/>
  <c r="H32" i="9"/>
  <c r="G32" i="9"/>
  <c r="F32" i="9"/>
  <c r="E32" i="9"/>
  <c r="R31" i="9"/>
  <c r="Q31" i="9"/>
  <c r="P31" i="9"/>
  <c r="I31" i="9"/>
  <c r="H31" i="9"/>
  <c r="G31" i="9"/>
  <c r="F31" i="9"/>
  <c r="E31" i="9"/>
  <c r="M31" i="9" s="1"/>
  <c r="R30" i="9"/>
  <c r="Q30" i="9"/>
  <c r="P30" i="9"/>
  <c r="I30" i="9"/>
  <c r="H30" i="9"/>
  <c r="G30" i="9"/>
  <c r="F30" i="9"/>
  <c r="E30" i="9"/>
  <c r="M30" i="9" s="1"/>
  <c r="R29" i="9"/>
  <c r="Q29" i="9"/>
  <c r="P29" i="9"/>
  <c r="I29" i="9"/>
  <c r="H29" i="9"/>
  <c r="G29" i="9"/>
  <c r="F29" i="9"/>
  <c r="E29" i="9"/>
  <c r="R28" i="9"/>
  <c r="Q28" i="9"/>
  <c r="P28" i="9"/>
  <c r="I28" i="9"/>
  <c r="H28" i="9"/>
  <c r="G28" i="9"/>
  <c r="F28" i="9"/>
  <c r="E28" i="9"/>
  <c r="M28" i="9" s="1"/>
  <c r="R27" i="9"/>
  <c r="Q27" i="9"/>
  <c r="P27" i="9"/>
  <c r="I27" i="9"/>
  <c r="H27" i="9"/>
  <c r="G27" i="9"/>
  <c r="F27" i="9"/>
  <c r="E27" i="9"/>
  <c r="R26" i="9"/>
  <c r="Q26" i="9"/>
  <c r="P26" i="9"/>
  <c r="I26" i="9"/>
  <c r="H26" i="9"/>
  <c r="G26" i="9"/>
  <c r="F26" i="9"/>
  <c r="E26" i="9"/>
  <c r="R25" i="9"/>
  <c r="Q25" i="9"/>
  <c r="P25" i="9"/>
  <c r="I25" i="9"/>
  <c r="H25" i="9"/>
  <c r="G25" i="9"/>
  <c r="F25" i="9"/>
  <c r="E25" i="9"/>
  <c r="R24" i="9"/>
  <c r="Q24" i="9"/>
  <c r="P24" i="9"/>
  <c r="I24" i="9"/>
  <c r="H24" i="9"/>
  <c r="G24" i="9"/>
  <c r="F24" i="9"/>
  <c r="E24" i="9"/>
  <c r="R23" i="9"/>
  <c r="Q23" i="9"/>
  <c r="P23" i="9"/>
  <c r="I23" i="9"/>
  <c r="H23" i="9"/>
  <c r="G23" i="9"/>
  <c r="F23" i="9"/>
  <c r="E23" i="9"/>
  <c r="R22" i="9"/>
  <c r="Q22" i="9"/>
  <c r="P22" i="9"/>
  <c r="I22" i="9"/>
  <c r="H22" i="9"/>
  <c r="G22" i="9"/>
  <c r="F22" i="9"/>
  <c r="E22" i="9"/>
  <c r="R21" i="9"/>
  <c r="Q21" i="9"/>
  <c r="P21" i="9"/>
  <c r="I21" i="9"/>
  <c r="H21" i="9"/>
  <c r="G21" i="9"/>
  <c r="F21" i="9"/>
  <c r="E21" i="9"/>
  <c r="R20" i="9"/>
  <c r="Q20" i="9"/>
  <c r="P20" i="9"/>
  <c r="I20" i="9"/>
  <c r="H20" i="9"/>
  <c r="G20" i="9"/>
  <c r="F20" i="9"/>
  <c r="E20" i="9"/>
  <c r="R19" i="9"/>
  <c r="Q19" i="9"/>
  <c r="P19" i="9"/>
  <c r="I19" i="9"/>
  <c r="H19" i="9"/>
  <c r="G19" i="9"/>
  <c r="F19" i="9"/>
  <c r="E19" i="9"/>
  <c r="R18" i="9"/>
  <c r="Q18" i="9"/>
  <c r="P18" i="9"/>
  <c r="I18" i="9"/>
  <c r="H18" i="9"/>
  <c r="G18" i="9"/>
  <c r="F18" i="9"/>
  <c r="E18" i="9"/>
  <c r="R17" i="9"/>
  <c r="Q17" i="9"/>
  <c r="P17" i="9"/>
  <c r="I17" i="9"/>
  <c r="H17" i="9"/>
  <c r="G17" i="9"/>
  <c r="F17" i="9"/>
  <c r="E17" i="9"/>
  <c r="R16" i="9"/>
  <c r="Q16" i="9"/>
  <c r="P16" i="9"/>
  <c r="I16" i="9"/>
  <c r="H16" i="9"/>
  <c r="G16" i="9"/>
  <c r="F16" i="9"/>
  <c r="E16" i="9"/>
  <c r="R15" i="9"/>
  <c r="Q15" i="9"/>
  <c r="P15" i="9"/>
  <c r="I15" i="9"/>
  <c r="H15" i="9"/>
  <c r="G15" i="9"/>
  <c r="F15" i="9"/>
  <c r="E15" i="9"/>
  <c r="R14" i="9"/>
  <c r="Q14" i="9"/>
  <c r="P14" i="9"/>
  <c r="I14" i="9"/>
  <c r="H14" i="9"/>
  <c r="G14" i="9"/>
  <c r="F14" i="9"/>
  <c r="E14" i="9"/>
  <c r="R13" i="9"/>
  <c r="Q13" i="9"/>
  <c r="P13" i="9"/>
  <c r="I13" i="9"/>
  <c r="H13" i="9"/>
  <c r="G13" i="9"/>
  <c r="F13" i="9"/>
  <c r="E13" i="9"/>
  <c r="R12" i="9"/>
  <c r="Q12" i="9"/>
  <c r="P12" i="9"/>
  <c r="I12" i="9"/>
  <c r="H12" i="9"/>
  <c r="G12" i="9"/>
  <c r="F12" i="9"/>
  <c r="E12" i="9"/>
  <c r="R11" i="9"/>
  <c r="Q11" i="9"/>
  <c r="P11" i="9"/>
  <c r="I11" i="9"/>
  <c r="H11" i="9"/>
  <c r="G11" i="9"/>
  <c r="F11" i="9"/>
  <c r="E11" i="9"/>
  <c r="R10" i="9"/>
  <c r="T10" i="9" s="1"/>
  <c r="Q10" i="9"/>
  <c r="P10" i="9"/>
  <c r="I10" i="9"/>
  <c r="H10" i="9"/>
  <c r="G10" i="9"/>
  <c r="F10" i="9"/>
  <c r="E10" i="9"/>
  <c r="R9" i="9"/>
  <c r="Q9" i="9"/>
  <c r="P9" i="9"/>
  <c r="I9" i="9"/>
  <c r="H9" i="9"/>
  <c r="G9" i="9"/>
  <c r="F9" i="9"/>
  <c r="E9" i="9"/>
  <c r="V61" i="9"/>
  <c r="U61" i="9"/>
  <c r="T61" i="9"/>
  <c r="S61" i="9"/>
  <c r="O61" i="9"/>
  <c r="N61" i="9"/>
  <c r="M61" i="9"/>
  <c r="L61" i="9"/>
  <c r="G61" i="9"/>
  <c r="F61" i="9"/>
  <c r="E61" i="9"/>
  <c r="T59" i="9"/>
  <c r="K59" i="9"/>
  <c r="J59" i="9"/>
  <c r="S58" i="9"/>
  <c r="T58" i="9"/>
  <c r="K58" i="9"/>
  <c r="J58" i="9"/>
  <c r="T57" i="9"/>
  <c r="S57" i="9"/>
  <c r="J57" i="9"/>
  <c r="L57" i="9"/>
  <c r="T56" i="9"/>
  <c r="K56" i="9"/>
  <c r="T55" i="9"/>
  <c r="K55" i="9"/>
  <c r="T54" i="9"/>
  <c r="S54" i="9"/>
  <c r="J54" i="9"/>
  <c r="S53" i="9"/>
  <c r="T53" i="9"/>
  <c r="K53" i="9"/>
  <c r="T52" i="9"/>
  <c r="J52" i="9"/>
  <c r="N52" i="9"/>
  <c r="T51" i="9"/>
  <c r="J51" i="9"/>
  <c r="T50" i="9"/>
  <c r="S50" i="9"/>
  <c r="K50" i="9"/>
  <c r="J50" i="9"/>
  <c r="L50" i="9"/>
  <c r="T49" i="9"/>
  <c r="S49" i="9"/>
  <c r="T48" i="9"/>
  <c r="K48" i="9"/>
  <c r="T47" i="9"/>
  <c r="K47" i="9"/>
  <c r="O47" i="9" s="1"/>
  <c r="T46" i="9"/>
  <c r="S46" i="9"/>
  <c r="L46" i="9"/>
  <c r="S45" i="9"/>
  <c r="T45" i="9"/>
  <c r="K45" i="9"/>
  <c r="T44" i="9"/>
  <c r="K44" i="9"/>
  <c r="T43" i="9"/>
  <c r="K43" i="9"/>
  <c r="T42" i="9"/>
  <c r="S42" i="9"/>
  <c r="L42" i="9"/>
  <c r="M42" i="9"/>
  <c r="T41" i="9"/>
  <c r="S41" i="9"/>
  <c r="T40" i="9"/>
  <c r="K40" i="9"/>
  <c r="L40" i="9"/>
  <c r="T39" i="9"/>
  <c r="K39" i="9"/>
  <c r="O39" i="9" s="1"/>
  <c r="L39" i="9"/>
  <c r="T38" i="9"/>
  <c r="S38" i="9"/>
  <c r="J38" i="9"/>
  <c r="L38" i="9"/>
  <c r="S37" i="9"/>
  <c r="T37" i="9"/>
  <c r="K37" i="9"/>
  <c r="T36" i="9"/>
  <c r="S36" i="9"/>
  <c r="K36" i="9"/>
  <c r="T35" i="9"/>
  <c r="S35" i="9"/>
  <c r="K35" i="9"/>
  <c r="T34" i="9"/>
  <c r="S34" i="9"/>
  <c r="L34" i="9"/>
  <c r="T33" i="9"/>
  <c r="S33" i="9"/>
  <c r="T32" i="9"/>
  <c r="K32" i="9"/>
  <c r="L32" i="9"/>
  <c r="T31" i="9"/>
  <c r="K31" i="9"/>
  <c r="L31" i="9"/>
  <c r="T30" i="9"/>
  <c r="S30" i="9"/>
  <c r="J30" i="9"/>
  <c r="L30" i="9"/>
  <c r="T29" i="9"/>
  <c r="S29" i="9"/>
  <c r="K29" i="9"/>
  <c r="T28" i="9"/>
  <c r="S28" i="9"/>
  <c r="J28" i="9"/>
  <c r="T27" i="9"/>
  <c r="S27" i="9"/>
  <c r="J27" i="9"/>
  <c r="S26" i="9"/>
  <c r="T26" i="9"/>
  <c r="K26" i="9"/>
  <c r="T25" i="9"/>
  <c r="S25" i="9"/>
  <c r="L25" i="9"/>
  <c r="T24" i="9"/>
  <c r="S24" i="9"/>
  <c r="K24" i="9"/>
  <c r="L24" i="9"/>
  <c r="T23" i="9"/>
  <c r="S23" i="9"/>
  <c r="K23" i="9"/>
  <c r="L23" i="9"/>
  <c r="S22" i="9"/>
  <c r="T22" i="9"/>
  <c r="K22" i="9"/>
  <c r="J22" i="9"/>
  <c r="T21" i="9"/>
  <c r="S21" i="9"/>
  <c r="J21" i="9"/>
  <c r="L21" i="9"/>
  <c r="T20" i="9"/>
  <c r="J20" i="9"/>
  <c r="M20" i="9"/>
  <c r="T19" i="9"/>
  <c r="J19" i="9"/>
  <c r="T18" i="9"/>
  <c r="S18" i="9"/>
  <c r="K18" i="9"/>
  <c r="J18" i="9"/>
  <c r="L18" i="9"/>
  <c r="T17" i="9"/>
  <c r="S17" i="9"/>
  <c r="J17" i="9"/>
  <c r="K17" i="9"/>
  <c r="T16" i="9"/>
  <c r="S16" i="9"/>
  <c r="K16" i="9"/>
  <c r="T15" i="9"/>
  <c r="S15" i="9"/>
  <c r="K15" i="9"/>
  <c r="T14" i="9"/>
  <c r="S14" i="9"/>
  <c r="K14" i="9"/>
  <c r="J14" i="9"/>
  <c r="L14" i="9"/>
  <c r="T13" i="9"/>
  <c r="S13" i="9"/>
  <c r="K13" i="9"/>
  <c r="L13" i="9"/>
  <c r="T12" i="9"/>
  <c r="J12" i="9"/>
  <c r="L12" i="9"/>
  <c r="T11" i="9"/>
  <c r="J11" i="9"/>
  <c r="L11" i="9"/>
  <c r="S10" i="9"/>
  <c r="K10" i="9"/>
  <c r="J10" i="9"/>
  <c r="S9" i="9"/>
  <c r="T9" i="9"/>
  <c r="J9" i="9"/>
  <c r="AB70" i="8"/>
  <c r="AA70" i="8"/>
  <c r="Z70" i="8"/>
  <c r="Y70" i="8"/>
  <c r="X70" i="8"/>
  <c r="W70" i="8"/>
  <c r="V70" i="8"/>
  <c r="U70" i="8"/>
  <c r="T70" i="8"/>
  <c r="S70" i="8"/>
  <c r="R70" i="8"/>
  <c r="Q70" i="8"/>
  <c r="P70" i="8"/>
  <c r="O70" i="8"/>
  <c r="N70" i="8"/>
  <c r="M70" i="8"/>
  <c r="N71" i="7"/>
  <c r="C2" i="6"/>
  <c r="D2" i="6"/>
  <c r="E2" i="6"/>
  <c r="F2" i="6"/>
  <c r="C3" i="6"/>
  <c r="D3" i="6"/>
  <c r="E3" i="6"/>
  <c r="F3" i="6"/>
  <c r="C7" i="6"/>
  <c r="D7" i="6"/>
  <c r="E7" i="6"/>
  <c r="F7" i="6"/>
  <c r="AE7" i="6"/>
  <c r="AD7" i="6"/>
  <c r="AC7" i="6"/>
  <c r="AB7" i="6"/>
  <c r="AA7" i="6"/>
  <c r="Z7" i="6"/>
  <c r="Y7" i="6"/>
  <c r="X7" i="6"/>
  <c r="W7" i="6"/>
  <c r="V7" i="6"/>
  <c r="U7" i="6"/>
  <c r="T7" i="6"/>
  <c r="S7" i="6"/>
  <c r="R7" i="6"/>
  <c r="Q7" i="6"/>
  <c r="P7" i="6"/>
  <c r="O7" i="6"/>
  <c r="N7" i="6"/>
  <c r="M7" i="6"/>
  <c r="L7" i="6"/>
  <c r="K7" i="6"/>
  <c r="J7" i="6"/>
  <c r="I7" i="6"/>
  <c r="H7" i="6"/>
  <c r="G7" i="6"/>
  <c r="AE3" i="6"/>
  <c r="AD3" i="6"/>
  <c r="AC3" i="6"/>
  <c r="AB3" i="6"/>
  <c r="AA3" i="6"/>
  <c r="Z3" i="6"/>
  <c r="Y3" i="6"/>
  <c r="X3" i="6"/>
  <c r="W3" i="6"/>
  <c r="V3" i="6"/>
  <c r="U3" i="6"/>
  <c r="T3" i="6"/>
  <c r="S3" i="6"/>
  <c r="R3" i="6"/>
  <c r="Q3" i="6"/>
  <c r="P3" i="6"/>
  <c r="O3" i="6"/>
  <c r="N3" i="6"/>
  <c r="M3" i="6"/>
  <c r="L3" i="6"/>
  <c r="K3" i="6"/>
  <c r="J3" i="6"/>
  <c r="I3" i="6"/>
  <c r="H3" i="6"/>
  <c r="G3" i="6"/>
  <c r="AE2" i="6"/>
  <c r="AD2" i="6"/>
  <c r="AC2" i="6"/>
  <c r="AB2" i="6"/>
  <c r="AA2" i="6"/>
  <c r="Z2" i="6"/>
  <c r="Y2" i="6"/>
  <c r="X2" i="6"/>
  <c r="W2" i="6"/>
  <c r="V2" i="6"/>
  <c r="U2" i="6"/>
  <c r="T2" i="6"/>
  <c r="S2" i="6"/>
  <c r="R2" i="6"/>
  <c r="Q2" i="6"/>
  <c r="P2" i="6"/>
  <c r="O2" i="6"/>
  <c r="N2" i="6"/>
  <c r="M2" i="6"/>
  <c r="L2" i="6"/>
  <c r="K2" i="6"/>
  <c r="J2" i="6"/>
  <c r="I2" i="6"/>
  <c r="H2" i="6"/>
  <c r="G2" i="6"/>
  <c r="AE6" i="5"/>
  <c r="AD6" i="5"/>
  <c r="AC6" i="5"/>
  <c r="AB6" i="5"/>
  <c r="AA6" i="5"/>
  <c r="Z6" i="5"/>
  <c r="Y6" i="5"/>
  <c r="X6" i="5"/>
  <c r="W6" i="5"/>
  <c r="V6" i="5"/>
  <c r="U6" i="5"/>
  <c r="T6" i="5"/>
  <c r="S6" i="5"/>
  <c r="R6" i="5"/>
  <c r="Q6" i="5"/>
  <c r="P6" i="5"/>
  <c r="O6" i="5"/>
  <c r="N6" i="5"/>
  <c r="M6" i="5"/>
  <c r="L6" i="5"/>
  <c r="K6" i="5"/>
  <c r="J6" i="5"/>
  <c r="I6" i="5"/>
  <c r="H6" i="5"/>
  <c r="G6" i="5"/>
  <c r="F6" i="5"/>
  <c r="E6" i="5"/>
  <c r="D6" i="5"/>
  <c r="C6" i="5"/>
  <c r="AE2" i="5"/>
  <c r="AD2" i="5"/>
  <c r="AC2" i="5"/>
  <c r="AB2" i="5"/>
  <c r="AA2" i="5"/>
  <c r="Z2" i="5"/>
  <c r="Y2" i="5"/>
  <c r="X2" i="5"/>
  <c r="W2" i="5"/>
  <c r="V2" i="5"/>
  <c r="U2" i="5"/>
  <c r="T2" i="5"/>
  <c r="S2" i="5"/>
  <c r="R2" i="5"/>
  <c r="Q2" i="5"/>
  <c r="P2" i="5"/>
  <c r="O2" i="5"/>
  <c r="N2" i="5"/>
  <c r="M2" i="5"/>
  <c r="L2" i="5"/>
  <c r="K2" i="5"/>
  <c r="J2" i="5"/>
  <c r="I2" i="5"/>
  <c r="H2" i="5"/>
  <c r="G2" i="5"/>
  <c r="F2" i="5"/>
  <c r="E2" i="5"/>
  <c r="D2" i="5"/>
  <c r="C2" i="5"/>
  <c r="B52" i="3"/>
  <c r="B53" i="3"/>
  <c r="B51" i="3"/>
  <c r="B50" i="3"/>
  <c r="B55" i="3" s="1"/>
  <c r="AJ7" i="11" l="1"/>
  <c r="AJ8" i="11" s="1"/>
  <c r="M14" i="9"/>
  <c r="V14" i="9" s="1"/>
  <c r="V7" i="11"/>
  <c r="V8" i="11" s="1"/>
  <c r="U8" i="11"/>
  <c r="T8" i="11"/>
  <c r="S8" i="11"/>
  <c r="M32" i="9"/>
  <c r="V32" i="9" s="1"/>
  <c r="I7" i="11"/>
  <c r="I8" i="11" s="1"/>
  <c r="H8" i="11"/>
  <c r="G8" i="11"/>
  <c r="F8" i="11"/>
  <c r="L59" i="9"/>
  <c r="M55" i="9"/>
  <c r="V55" i="9" s="1"/>
  <c r="M11" i="9"/>
  <c r="M47" i="9"/>
  <c r="V47" i="9" s="1"/>
  <c r="AM5" i="13"/>
  <c r="BF5" i="13"/>
  <c r="AL5" i="13"/>
  <c r="AK5" i="13"/>
  <c r="BE5" i="13"/>
  <c r="AT5" i="13"/>
  <c r="AJ5" i="13"/>
  <c r="BD5" i="13"/>
  <c r="AI5" i="13"/>
  <c r="AH5" i="13"/>
  <c r="BC5" i="13"/>
  <c r="AG5" i="13"/>
  <c r="AG6" i="13" s="1"/>
  <c r="AF5" i="13"/>
  <c r="BB5" i="13"/>
  <c r="U5" i="13"/>
  <c r="U6" i="13" s="1"/>
  <c r="N5" i="13"/>
  <c r="BA5" i="13"/>
  <c r="AE5" i="13"/>
  <c r="AD5" i="13"/>
  <c r="AC5" i="13"/>
  <c r="AB5" i="13"/>
  <c r="AB6" i="13" s="1"/>
  <c r="Z5" i="13"/>
  <c r="Z6" i="13" s="1"/>
  <c r="X5" i="13"/>
  <c r="M5" i="13"/>
  <c r="J5" i="13"/>
  <c r="J6" i="13" s="1"/>
  <c r="T5" i="13"/>
  <c r="S5" i="13"/>
  <c r="AP5" i="13"/>
  <c r="R5" i="13"/>
  <c r="Q5" i="13"/>
  <c r="P5" i="13"/>
  <c r="O5" i="13"/>
  <c r="K5" i="13"/>
  <c r="V5" i="13"/>
  <c r="V6" i="13" s="1"/>
  <c r="I5" i="13"/>
  <c r="H5" i="13"/>
  <c r="G5" i="13"/>
  <c r="F5" i="13"/>
  <c r="AZ5" i="13"/>
  <c r="E5" i="13"/>
  <c r="D5" i="13"/>
  <c r="AY5" i="13"/>
  <c r="AX5" i="13"/>
  <c r="AW5" i="13"/>
  <c r="AV5" i="13"/>
  <c r="AU5" i="13"/>
  <c r="AS5" i="13"/>
  <c r="AR5" i="13"/>
  <c r="AQ5" i="13"/>
  <c r="AA5" i="13"/>
  <c r="Y5" i="13"/>
  <c r="W5" i="13"/>
  <c r="L5" i="13"/>
  <c r="AO5" i="13"/>
  <c r="AO6" i="13" s="1"/>
  <c r="AN5" i="13"/>
  <c r="AN6" i="13" s="1"/>
  <c r="BF4" i="13"/>
  <c r="BF6" i="13" s="1"/>
  <c r="BE6" i="13"/>
  <c r="BE4" i="13"/>
  <c r="BD4" i="13"/>
  <c r="BD6" i="13" s="1"/>
  <c r="BC4" i="13"/>
  <c r="BC6" i="13" s="1"/>
  <c r="BB4" i="13"/>
  <c r="BB6" i="13" s="1"/>
  <c r="BA4" i="13"/>
  <c r="BA6" i="13" s="1"/>
  <c r="AV4" i="13"/>
  <c r="AV6" i="13" s="1"/>
  <c r="AU4" i="13"/>
  <c r="AU6" i="13" s="1"/>
  <c r="AS4" i="13"/>
  <c r="AS6" i="13" s="1"/>
  <c r="AR4" i="13"/>
  <c r="AR6" i="13" s="1"/>
  <c r="AQ4" i="13"/>
  <c r="AQ6" i="13" s="1"/>
  <c r="AP6" i="13"/>
  <c r="AB4" i="13"/>
  <c r="Z4" i="13"/>
  <c r="X4" i="13"/>
  <c r="X6" i="13" s="1"/>
  <c r="K4" i="13"/>
  <c r="K6" i="13" s="1"/>
  <c r="AZ4" i="13"/>
  <c r="AZ6" i="13" s="1"/>
  <c r="L4" i="13"/>
  <c r="L6" i="13" s="1"/>
  <c r="J4" i="13"/>
  <c r="AE4" i="13"/>
  <c r="AE6" i="13" s="1"/>
  <c r="AN4" i="13"/>
  <c r="AD4" i="13"/>
  <c r="AD6" i="13" s="1"/>
  <c r="AJ4" i="13"/>
  <c r="AC4" i="13"/>
  <c r="AC6" i="13" s="1"/>
  <c r="AO4" i="13"/>
  <c r="AH4" i="13"/>
  <c r="AH6" i="13" s="1"/>
  <c r="AL4" i="13"/>
  <c r="AL6" i="13" s="1"/>
  <c r="AP4" i="13"/>
  <c r="N4" i="13"/>
  <c r="N6" i="13" s="1"/>
  <c r="V4" i="13"/>
  <c r="AK4" i="13"/>
  <c r="AK6" i="13" s="1"/>
  <c r="U4" i="13"/>
  <c r="AG4" i="13"/>
  <c r="T4" i="13"/>
  <c r="T6" i="13" s="1"/>
  <c r="T7" i="13" s="1"/>
  <c r="S4" i="13"/>
  <c r="S6" i="13" s="1"/>
  <c r="S7" i="13" s="1"/>
  <c r="AF4" i="13"/>
  <c r="AF6" i="13" s="1"/>
  <c r="AI6" i="13"/>
  <c r="R4" i="13"/>
  <c r="R6" i="13" s="1"/>
  <c r="R7" i="13" s="1"/>
  <c r="Q4" i="13"/>
  <c r="Q6" i="13" s="1"/>
  <c r="Q7" i="13" s="1"/>
  <c r="AT4" i="13"/>
  <c r="AA4" i="13"/>
  <c r="AA6" i="13" s="1"/>
  <c r="AA7" i="13" s="1"/>
  <c r="P4" i="13"/>
  <c r="P6" i="13" s="1"/>
  <c r="P7" i="13" s="1"/>
  <c r="AT6" i="13"/>
  <c r="O4" i="13"/>
  <c r="O6" i="13" s="1"/>
  <c r="O7" i="13" s="1"/>
  <c r="M4" i="13"/>
  <c r="M6" i="13" s="1"/>
  <c r="Y4" i="13"/>
  <c r="Y6" i="13" s="1"/>
  <c r="Y7" i="13" s="1"/>
  <c r="AM4" i="13"/>
  <c r="AM6" i="13" s="1"/>
  <c r="AM7" i="13" s="1"/>
  <c r="I4" i="13"/>
  <c r="I6" i="13" s="1"/>
  <c r="I7" i="13" s="1"/>
  <c r="H4" i="13"/>
  <c r="H6" i="13" s="1"/>
  <c r="H7" i="13" s="1"/>
  <c r="AW4" i="13"/>
  <c r="W4" i="13"/>
  <c r="W6" i="13" s="1"/>
  <c r="W7" i="13" s="1"/>
  <c r="G4" i="13"/>
  <c r="G6" i="13" s="1"/>
  <c r="G7" i="13" s="1"/>
  <c r="AW6" i="13"/>
  <c r="AJ6" i="13"/>
  <c r="F4" i="13"/>
  <c r="F6" i="13" s="1"/>
  <c r="AX4" i="13"/>
  <c r="E4" i="13"/>
  <c r="E6" i="13" s="1"/>
  <c r="AX6" i="13"/>
  <c r="AI4" i="13"/>
  <c r="D4" i="13"/>
  <c r="D6" i="13" s="1"/>
  <c r="AY4" i="13"/>
  <c r="AY6" i="13" s="1"/>
  <c r="C6" i="13"/>
  <c r="N58" i="9"/>
  <c r="N51" i="9"/>
  <c r="M50" i="9"/>
  <c r="V50" i="9" s="1"/>
  <c r="M46" i="9"/>
  <c r="V46" i="9" s="1"/>
  <c r="M39" i="9"/>
  <c r="V39" i="9" s="1"/>
  <c r="M34" i="9"/>
  <c r="M22" i="9"/>
  <c r="M19" i="9"/>
  <c r="M10" i="9"/>
  <c r="N17" i="9"/>
  <c r="B6" i="4"/>
  <c r="B6" i="6"/>
  <c r="BF8" i="11"/>
  <c r="BE8" i="11"/>
  <c r="BD8" i="11"/>
  <c r="BC8" i="11"/>
  <c r="BB8" i="11"/>
  <c r="BA8" i="11"/>
  <c r="AZ8" i="11"/>
  <c r="AY8" i="11"/>
  <c r="AX8" i="11"/>
  <c r="AW8" i="11"/>
  <c r="AV8" i="11"/>
  <c r="AL8" i="11"/>
  <c r="AH8" i="11"/>
  <c r="AU8" i="11"/>
  <c r="AT8" i="11"/>
  <c r="AS8" i="11"/>
  <c r="AR8" i="11"/>
  <c r="AQ8" i="11"/>
  <c r="AP8" i="11"/>
  <c r="AO8" i="11"/>
  <c r="AN8" i="11"/>
  <c r="AM8" i="11"/>
  <c r="AK8" i="11"/>
  <c r="AI8" i="11"/>
  <c r="AG8" i="11"/>
  <c r="D8" i="11"/>
  <c r="C8" i="11"/>
  <c r="O14" i="9"/>
  <c r="O18" i="9"/>
  <c r="V18" i="9" s="1"/>
  <c r="O50" i="9"/>
  <c r="O55" i="9"/>
  <c r="O31" i="9"/>
  <c r="V31" i="9" s="1"/>
  <c r="O48" i="9"/>
  <c r="O40" i="9"/>
  <c r="O56" i="9"/>
  <c r="O58" i="9"/>
  <c r="N11" i="9"/>
  <c r="N19" i="9"/>
  <c r="O26" i="9"/>
  <c r="O32" i="9"/>
  <c r="L9" i="9"/>
  <c r="M15" i="9"/>
  <c r="K20" i="9"/>
  <c r="O20" i="9" s="1"/>
  <c r="L27" i="9"/>
  <c r="M44" i="9"/>
  <c r="M52" i="9"/>
  <c r="N21" i="9"/>
  <c r="O23" i="9"/>
  <c r="O24" i="9"/>
  <c r="S43" i="9"/>
  <c r="S44" i="9"/>
  <c r="J46" i="9"/>
  <c r="L47" i="9"/>
  <c r="L48" i="9"/>
  <c r="S51" i="9"/>
  <c r="S52" i="9"/>
  <c r="L55" i="9"/>
  <c r="L56" i="9"/>
  <c r="K19" i="9"/>
  <c r="O19" i="9" s="1"/>
  <c r="M36" i="9"/>
  <c r="K49" i="9"/>
  <c r="O49" i="9" s="1"/>
  <c r="K57" i="9"/>
  <c r="O57" i="9" s="1"/>
  <c r="O10" i="9"/>
  <c r="K11" i="9"/>
  <c r="O11" i="9" s="1"/>
  <c r="K12" i="9"/>
  <c r="O12" i="9" s="1"/>
  <c r="L19" i="9"/>
  <c r="L20" i="9"/>
  <c r="V20" i="9" s="1"/>
  <c r="K25" i="9"/>
  <c r="L26" i="9"/>
  <c r="K30" i="9"/>
  <c r="O30" i="9" s="1"/>
  <c r="J31" i="9"/>
  <c r="N31" i="9" s="1"/>
  <c r="J32" i="9"/>
  <c r="L33" i="9"/>
  <c r="K38" i="9"/>
  <c r="O38" i="9" s="1"/>
  <c r="J39" i="9"/>
  <c r="N39" i="9" s="1"/>
  <c r="J40" i="9"/>
  <c r="N40" i="9" s="1"/>
  <c r="L41" i="9"/>
  <c r="V41" i="9" s="1"/>
  <c r="K46" i="9"/>
  <c r="O46" i="9" s="1"/>
  <c r="J47" i="9"/>
  <c r="N47" i="9" s="1"/>
  <c r="J48" i="9"/>
  <c r="N48" i="9" s="1"/>
  <c r="L49" i="9"/>
  <c r="K54" i="9"/>
  <c r="O54" i="9" s="1"/>
  <c r="J55" i="9"/>
  <c r="N55" i="9" s="1"/>
  <c r="J56" i="9"/>
  <c r="N56" i="9" s="1"/>
  <c r="S12" i="9"/>
  <c r="J13" i="9"/>
  <c r="N13" i="9" s="1"/>
  <c r="M43" i="9"/>
  <c r="L15" i="9"/>
  <c r="L16" i="9"/>
  <c r="K21" i="9"/>
  <c r="O21" i="9" s="1"/>
  <c r="L22" i="9"/>
  <c r="L29" i="9"/>
  <c r="S31" i="9"/>
  <c r="S32" i="9"/>
  <c r="J34" i="9"/>
  <c r="L35" i="9"/>
  <c r="V35" i="9" s="1"/>
  <c r="L36" i="9"/>
  <c r="S39" i="9"/>
  <c r="S40" i="9"/>
  <c r="J42" i="9"/>
  <c r="N42" i="9" s="1"/>
  <c r="U42" i="9" s="1"/>
  <c r="L43" i="9"/>
  <c r="V43" i="9" s="1"/>
  <c r="L44" i="9"/>
  <c r="S47" i="9"/>
  <c r="S48" i="9"/>
  <c r="L51" i="9"/>
  <c r="U51" i="9" s="1"/>
  <c r="L52" i="9"/>
  <c r="S55" i="9"/>
  <c r="S56" i="9"/>
  <c r="M59" i="9"/>
  <c r="M16" i="9"/>
  <c r="J26" i="9"/>
  <c r="N26" i="9" s="1"/>
  <c r="K33" i="9"/>
  <c r="O33" i="9" s="1"/>
  <c r="L58" i="9"/>
  <c r="K9" i="9"/>
  <c r="O9" i="9" s="1"/>
  <c r="L10" i="9"/>
  <c r="J15" i="9"/>
  <c r="N15" i="9" s="1"/>
  <c r="J16" i="9"/>
  <c r="N16" i="9" s="1"/>
  <c r="L17" i="9"/>
  <c r="M18" i="9"/>
  <c r="S19" i="9"/>
  <c r="S20" i="9"/>
  <c r="M24" i="9"/>
  <c r="K27" i="9"/>
  <c r="O27" i="9" s="1"/>
  <c r="K28" i="9"/>
  <c r="O28" i="9" s="1"/>
  <c r="K34" i="9"/>
  <c r="O34" i="9" s="1"/>
  <c r="J35" i="9"/>
  <c r="J36" i="9"/>
  <c r="N36" i="9" s="1"/>
  <c r="L37" i="9"/>
  <c r="K42" i="9"/>
  <c r="O42" i="9" s="1"/>
  <c r="J43" i="9"/>
  <c r="N43" i="9" s="1"/>
  <c r="J44" i="9"/>
  <c r="N44" i="9" s="1"/>
  <c r="L45" i="9"/>
  <c r="L53" i="9"/>
  <c r="L28" i="9"/>
  <c r="M35" i="9"/>
  <c r="M51" i="9"/>
  <c r="O15" i="9"/>
  <c r="O16" i="9"/>
  <c r="O35" i="9"/>
  <c r="O36" i="9"/>
  <c r="O43" i="9"/>
  <c r="O44" i="9"/>
  <c r="K51" i="9"/>
  <c r="O51" i="9" s="1"/>
  <c r="K52" i="9"/>
  <c r="O52" i="9" s="1"/>
  <c r="L54" i="9"/>
  <c r="N35" i="9"/>
  <c r="S11" i="9"/>
  <c r="K41" i="9"/>
  <c r="O41" i="9" s="1"/>
  <c r="O22" i="9"/>
  <c r="J23" i="9"/>
  <c r="N23" i="9" s="1"/>
  <c r="J24" i="9"/>
  <c r="N24" i="9" s="1"/>
  <c r="U24" i="9" s="1"/>
  <c r="M26" i="9"/>
  <c r="O37" i="9"/>
  <c r="M41" i="9"/>
  <c r="O45" i="9"/>
  <c r="O53" i="9"/>
  <c r="N57" i="9"/>
  <c r="O59" i="9"/>
  <c r="V28" i="9"/>
  <c r="M33" i="9"/>
  <c r="V42" i="9"/>
  <c r="E62" i="9"/>
  <c r="N9" i="9"/>
  <c r="T62" i="9"/>
  <c r="N59" i="9"/>
  <c r="O25" i="9"/>
  <c r="O29" i="9"/>
  <c r="M25" i="9"/>
  <c r="M29" i="9"/>
  <c r="N54" i="9"/>
  <c r="V38" i="9"/>
  <c r="V40" i="9"/>
  <c r="V25" i="9"/>
  <c r="O13" i="9"/>
  <c r="O17" i="9"/>
  <c r="M9" i="9"/>
  <c r="N12" i="9"/>
  <c r="M13" i="9"/>
  <c r="M17" i="9"/>
  <c r="N20" i="9"/>
  <c r="M21" i="9"/>
  <c r="U21" i="9" s="1"/>
  <c r="N27" i="9"/>
  <c r="N28" i="9"/>
  <c r="U28" i="9" s="1"/>
  <c r="V30" i="9"/>
  <c r="N32" i="9"/>
  <c r="M45" i="9"/>
  <c r="V45" i="9" s="1"/>
  <c r="M49" i="9"/>
  <c r="M53" i="9"/>
  <c r="M57" i="9"/>
  <c r="U57" i="9" s="1"/>
  <c r="M54" i="9"/>
  <c r="M58" i="9"/>
  <c r="F62" i="9"/>
  <c r="M62" i="9" s="1"/>
  <c r="N10" i="9"/>
  <c r="N14" i="9"/>
  <c r="N18" i="9"/>
  <c r="N22" i="9"/>
  <c r="N30" i="9"/>
  <c r="U30" i="9" s="1"/>
  <c r="N34" i="9"/>
  <c r="N38" i="9"/>
  <c r="U38" i="9" s="1"/>
  <c r="N46" i="9"/>
  <c r="N50" i="9"/>
  <c r="G62" i="9"/>
  <c r="M23" i="9"/>
  <c r="M27" i="9"/>
  <c r="V27" i="9" s="1"/>
  <c r="J25" i="9"/>
  <c r="N25" i="9" s="1"/>
  <c r="J29" i="9"/>
  <c r="N29" i="9" s="1"/>
  <c r="J33" i="9"/>
  <c r="N33" i="9" s="1"/>
  <c r="J37" i="9"/>
  <c r="N37" i="9" s="1"/>
  <c r="J41" i="9"/>
  <c r="N41" i="9" s="1"/>
  <c r="J45" i="9"/>
  <c r="N45" i="9" s="1"/>
  <c r="J49" i="9"/>
  <c r="N49" i="9" s="1"/>
  <c r="J53" i="9"/>
  <c r="N53" i="9" s="1"/>
  <c r="M12" i="9"/>
  <c r="AF7" i="13" l="1"/>
  <c r="M7" i="13"/>
  <c r="AI7" i="13"/>
  <c r="V10" i="9"/>
  <c r="U19" i="9"/>
  <c r="V24" i="9"/>
  <c r="V34" i="9"/>
  <c r="U43" i="9"/>
  <c r="V16" i="9"/>
  <c r="U35" i="9"/>
  <c r="V59" i="9"/>
  <c r="U32" i="9"/>
  <c r="U14" i="9"/>
  <c r="U34" i="9"/>
  <c r="U50" i="9"/>
  <c r="U59" i="9"/>
  <c r="V58" i="9"/>
  <c r="U46" i="9"/>
  <c r="U17" i="9"/>
  <c r="V11" i="9"/>
  <c r="U11" i="9"/>
  <c r="BE7" i="13"/>
  <c r="AX7" i="13"/>
  <c r="AP7" i="13"/>
  <c r="C7" i="13"/>
  <c r="AJ7" i="13"/>
  <c r="AW7" i="13"/>
  <c r="AT7" i="13"/>
  <c r="AD6" i="6"/>
  <c r="I6" i="6"/>
  <c r="E6" i="6"/>
  <c r="F6" i="6"/>
  <c r="AB6" i="6"/>
  <c r="C6" i="6"/>
  <c r="G6" i="6"/>
  <c r="Y6" i="6"/>
  <c r="D6" i="6"/>
  <c r="L6" i="6"/>
  <c r="P6" i="6"/>
  <c r="T6" i="6"/>
  <c r="V15" i="9"/>
  <c r="U15" i="9"/>
  <c r="AG7" i="13"/>
  <c r="U7" i="13"/>
  <c r="AB7" i="13"/>
  <c r="Z7" i="13"/>
  <c r="J7" i="13"/>
  <c r="V7" i="13"/>
  <c r="AO7" i="13"/>
  <c r="AN7" i="13"/>
  <c r="BF7" i="13"/>
  <c r="BD7" i="13"/>
  <c r="BC7" i="13"/>
  <c r="BB7" i="13"/>
  <c r="BA7" i="13"/>
  <c r="AV7" i="13"/>
  <c r="AU7" i="13"/>
  <c r="AS7" i="13"/>
  <c r="AR7" i="13"/>
  <c r="AQ7" i="13"/>
  <c r="X7" i="13"/>
  <c r="K7" i="13"/>
  <c r="AZ7" i="13"/>
  <c r="L7" i="13"/>
  <c r="AE7" i="13"/>
  <c r="AD7" i="13"/>
  <c r="AC7" i="13"/>
  <c r="AH7" i="13"/>
  <c r="N7" i="13"/>
  <c r="AK7" i="13"/>
  <c r="F7" i="13"/>
  <c r="E7" i="13"/>
  <c r="D7" i="13"/>
  <c r="AY7" i="13"/>
  <c r="AL7" i="13"/>
  <c r="Q6" i="6"/>
  <c r="H6" i="6"/>
  <c r="X6" i="6"/>
  <c r="AE6" i="6"/>
  <c r="O6" i="6"/>
  <c r="W6" i="6"/>
  <c r="V56" i="9"/>
  <c r="V19" i="9"/>
  <c r="U39" i="9"/>
  <c r="V51" i="9"/>
  <c r="V37" i="9"/>
  <c r="U18" i="9"/>
  <c r="L62" i="9"/>
  <c r="U45" i="9"/>
  <c r="U53" i="9"/>
  <c r="V22" i="9"/>
  <c r="J6" i="6"/>
  <c r="R6" i="6"/>
  <c r="Z6" i="6"/>
  <c r="V6" i="6"/>
  <c r="K6" i="6"/>
  <c r="S6" i="6"/>
  <c r="AA6" i="6"/>
  <c r="M6" i="6"/>
  <c r="U6" i="6"/>
  <c r="AC6" i="6"/>
  <c r="N6" i="6"/>
  <c r="U55" i="9"/>
  <c r="V12" i="9"/>
  <c r="V54" i="9"/>
  <c r="V33" i="9"/>
  <c r="U22" i="9"/>
  <c r="U36" i="9"/>
  <c r="U12" i="9"/>
  <c r="U47" i="9"/>
  <c r="U31" i="9"/>
  <c r="U9" i="9"/>
  <c r="V53" i="9"/>
  <c r="U16" i="9"/>
  <c r="V44" i="9"/>
  <c r="S62" i="9"/>
  <c r="V48" i="9"/>
  <c r="V52" i="9"/>
  <c r="U37" i="9"/>
  <c r="V36" i="9"/>
  <c r="V26" i="9"/>
  <c r="U33" i="9"/>
  <c r="U20" i="9"/>
  <c r="U44" i="9"/>
  <c r="U56" i="9"/>
  <c r="V29" i="9"/>
  <c r="U40" i="9"/>
  <c r="V23" i="9"/>
  <c r="U26" i="9"/>
  <c r="V9" i="9"/>
  <c r="U41" i="9"/>
  <c r="U48" i="9"/>
  <c r="U25" i="9"/>
  <c r="U13" i="9"/>
  <c r="V49" i="9"/>
  <c r="U10" i="9"/>
  <c r="U29" i="9"/>
  <c r="V17" i="9"/>
  <c r="U52" i="9"/>
  <c r="N62" i="9"/>
  <c r="U27" i="9"/>
  <c r="U58" i="9"/>
  <c r="V13" i="9"/>
  <c r="V57" i="9"/>
  <c r="U54" i="9"/>
  <c r="U49" i="9"/>
  <c r="U23" i="9"/>
  <c r="O62" i="9"/>
  <c r="V21" i="9"/>
  <c r="B65" i="3"/>
  <c r="B60" i="3"/>
  <c r="B7" i="3"/>
  <c r="B9" i="3" s="1"/>
  <c r="B35" i="3"/>
  <c r="B36" i="3"/>
  <c r="B34" i="3"/>
  <c r="B26" i="3"/>
  <c r="B37" i="3" s="1"/>
  <c r="B19" i="3"/>
  <c r="B14" i="3"/>
  <c r="B3" i="2" s="1"/>
  <c r="U62" i="9" l="1"/>
  <c r="S64" i="9" s="1"/>
  <c r="B5" i="2"/>
  <c r="B7" i="2"/>
  <c r="B7" i="5"/>
  <c r="B4" i="4"/>
  <c r="B4" i="6"/>
  <c r="B5" i="4"/>
  <c r="B5" i="6"/>
  <c r="C9" i="11"/>
  <c r="D9" i="11"/>
  <c r="E9" i="11"/>
  <c r="F9" i="11"/>
  <c r="G9" i="11"/>
  <c r="H9" i="11"/>
  <c r="I9" i="11"/>
  <c r="J9" i="11"/>
  <c r="K9" i="11"/>
  <c r="L9" i="11"/>
  <c r="M9" i="11"/>
  <c r="N9" i="11"/>
  <c r="O9" i="11"/>
  <c r="P9" i="11"/>
  <c r="Q9" i="11"/>
  <c r="R9" i="11"/>
  <c r="S9" i="11"/>
  <c r="T9" i="11"/>
  <c r="U9" i="11"/>
  <c r="V9" i="11"/>
  <c r="W9" i="11"/>
  <c r="X9" i="11"/>
  <c r="Y9" i="11"/>
  <c r="Z9" i="11"/>
  <c r="AA9" i="11"/>
  <c r="AB9" i="11"/>
  <c r="AC9" i="11"/>
  <c r="B3" i="5" s="1"/>
  <c r="AD9" i="11"/>
  <c r="C3" i="5" s="1"/>
  <c r="AE9" i="11"/>
  <c r="D3" i="5" s="1"/>
  <c r="AF9" i="11"/>
  <c r="E3" i="5" s="1"/>
  <c r="AG9" i="11"/>
  <c r="F3" i="5" s="1"/>
  <c r="AH9" i="11"/>
  <c r="G3" i="5" s="1"/>
  <c r="AI9" i="11"/>
  <c r="H3" i="5" s="1"/>
  <c r="AJ9" i="11"/>
  <c r="I3" i="5" s="1"/>
  <c r="AK9" i="11"/>
  <c r="J3" i="5" s="1"/>
  <c r="AL9" i="11"/>
  <c r="K3" i="5" s="1"/>
  <c r="AM9" i="11"/>
  <c r="L3" i="5" s="1"/>
  <c r="AN9" i="11"/>
  <c r="M3" i="5" s="1"/>
  <c r="AO9" i="11"/>
  <c r="N3" i="5" s="1"/>
  <c r="AP9" i="11"/>
  <c r="O3" i="5" s="1"/>
  <c r="AQ9" i="11"/>
  <c r="P3" i="5" s="1"/>
  <c r="AR9" i="11"/>
  <c r="Q3" i="5" s="1"/>
  <c r="AS9" i="11"/>
  <c r="R3" i="5" s="1"/>
  <c r="AT9" i="11"/>
  <c r="S3" i="5" s="1"/>
  <c r="AU9" i="11"/>
  <c r="T3" i="5" s="1"/>
  <c r="AV9" i="11"/>
  <c r="U3" i="5" s="1"/>
  <c r="AW9" i="11"/>
  <c r="V3" i="5" s="1"/>
  <c r="AX9" i="11"/>
  <c r="W3" i="5" s="1"/>
  <c r="AY9" i="11"/>
  <c r="X3" i="5" s="1"/>
  <c r="AZ9" i="11"/>
  <c r="Y3" i="5" s="1"/>
  <c r="BA9" i="11"/>
  <c r="Z3" i="5" s="1"/>
  <c r="BB9" i="11"/>
  <c r="AA3" i="5" s="1"/>
  <c r="BC9" i="11"/>
  <c r="AB3" i="5" s="1"/>
  <c r="BD9" i="11"/>
  <c r="AC3" i="5" s="1"/>
  <c r="BE9" i="11"/>
  <c r="AD3" i="5" s="1"/>
  <c r="BF9" i="11"/>
  <c r="AE3" i="5" s="1"/>
  <c r="V62" i="9"/>
  <c r="T64" i="9" s="1"/>
  <c r="E64" i="9"/>
  <c r="G64" i="9"/>
  <c r="B8" i="3"/>
  <c r="BA8" i="13" l="1"/>
  <c r="Z5" i="5" s="1"/>
  <c r="AP8" i="13"/>
  <c r="O5" i="5" s="1"/>
  <c r="I8" i="13"/>
  <c r="AE8" i="13"/>
  <c r="D5" i="5" s="1"/>
  <c r="T8" i="13"/>
  <c r="AW8" i="13"/>
  <c r="V5" i="5" s="1"/>
  <c r="AK8" i="13"/>
  <c r="J5" i="5" s="1"/>
  <c r="AH8" i="13"/>
  <c r="G5" i="5" s="1"/>
  <c r="AF8" i="13"/>
  <c r="E5" i="5" s="1"/>
  <c r="AB8" i="13"/>
  <c r="Z8" i="13"/>
  <c r="X8" i="13"/>
  <c r="V8" i="13"/>
  <c r="S8" i="13"/>
  <c r="Q8" i="13"/>
  <c r="O8" i="13"/>
  <c r="M8" i="13"/>
  <c r="K8" i="13"/>
  <c r="H8" i="13"/>
  <c r="F8" i="13"/>
  <c r="D8" i="13"/>
  <c r="BF8" i="13"/>
  <c r="AE5" i="5" s="1"/>
  <c r="BE8" i="13"/>
  <c r="AD5" i="5" s="1"/>
  <c r="BD8" i="13"/>
  <c r="AC5" i="5" s="1"/>
  <c r="BC8" i="13"/>
  <c r="AB5" i="5" s="1"/>
  <c r="BB8" i="13"/>
  <c r="AA5" i="5" s="1"/>
  <c r="AZ8" i="13"/>
  <c r="Y5" i="5" s="1"/>
  <c r="AY8" i="13"/>
  <c r="X5" i="5" s="1"/>
  <c r="AX8" i="13"/>
  <c r="W5" i="5" s="1"/>
  <c r="AV8" i="13"/>
  <c r="U5" i="5" s="1"/>
  <c r="AU8" i="13"/>
  <c r="T5" i="5" s="1"/>
  <c r="AT8" i="13"/>
  <c r="S5" i="5" s="1"/>
  <c r="AS8" i="13"/>
  <c r="R5" i="5" s="1"/>
  <c r="AR8" i="13"/>
  <c r="Q5" i="5" s="1"/>
  <c r="AQ8" i="13"/>
  <c r="P5" i="5" s="1"/>
  <c r="AO8" i="13"/>
  <c r="N5" i="5" s="1"/>
  <c r="AN8" i="13"/>
  <c r="M5" i="5" s="1"/>
  <c r="AM8" i="13"/>
  <c r="L5" i="5" s="1"/>
  <c r="AL8" i="13"/>
  <c r="K5" i="5" s="1"/>
  <c r="AJ8" i="13"/>
  <c r="I5" i="5" s="1"/>
  <c r="AI8" i="13"/>
  <c r="H5" i="5" s="1"/>
  <c r="AG8" i="13"/>
  <c r="F5" i="5" s="1"/>
  <c r="AD8" i="13"/>
  <c r="C5" i="5" s="1"/>
  <c r="AC8" i="13"/>
  <c r="B5" i="5" s="1"/>
  <c r="AA8" i="13"/>
  <c r="Y8" i="13"/>
  <c r="W8" i="13"/>
  <c r="U8" i="13"/>
  <c r="R8" i="13"/>
  <c r="P8" i="13"/>
  <c r="N8" i="13"/>
  <c r="L8" i="13"/>
  <c r="J8" i="13"/>
  <c r="G8" i="13"/>
  <c r="E8" i="13"/>
  <c r="C8" i="13"/>
  <c r="AB7" i="5"/>
  <c r="L7" i="5"/>
  <c r="AA7" i="5"/>
  <c r="S7" i="5"/>
  <c r="K7" i="5"/>
  <c r="C7" i="5"/>
  <c r="Z7" i="5"/>
  <c r="R7" i="5"/>
  <c r="J7" i="5"/>
  <c r="Y7" i="5"/>
  <c r="Q7" i="5"/>
  <c r="I7" i="5"/>
  <c r="T7" i="5"/>
  <c r="D7" i="5"/>
  <c r="X7" i="5"/>
  <c r="P7" i="5"/>
  <c r="H7" i="5"/>
  <c r="AE7" i="5"/>
  <c r="M7" i="5"/>
  <c r="AD7" i="5"/>
  <c r="G7" i="5"/>
  <c r="AC7" i="5"/>
  <c r="F7" i="5"/>
  <c r="W7" i="5"/>
  <c r="E7" i="5"/>
  <c r="V7" i="5"/>
  <c r="O7" i="5"/>
  <c r="U7" i="5"/>
  <c r="N7" i="5"/>
  <c r="AB4" i="6"/>
  <c r="L4" i="6"/>
  <c r="AA4" i="6"/>
  <c r="S4" i="6"/>
  <c r="K4" i="6"/>
  <c r="Z4" i="6"/>
  <c r="R4" i="6"/>
  <c r="J4" i="6"/>
  <c r="Y4" i="6"/>
  <c r="Q4" i="6"/>
  <c r="I4" i="6"/>
  <c r="T4" i="6"/>
  <c r="X4" i="6"/>
  <c r="P4" i="6"/>
  <c r="H4" i="6"/>
  <c r="D4" i="6"/>
  <c r="E4" i="6"/>
  <c r="F4" i="6"/>
  <c r="U4" i="6"/>
  <c r="W4" i="6"/>
  <c r="M4" i="6"/>
  <c r="O4" i="6"/>
  <c r="V4" i="6"/>
  <c r="AE4" i="6"/>
  <c r="N4" i="6"/>
  <c r="AC4" i="6"/>
  <c r="G4" i="6"/>
  <c r="AD4" i="6"/>
  <c r="C4" i="6"/>
  <c r="Q5" i="6"/>
  <c r="X5" i="6"/>
  <c r="P5" i="6"/>
  <c r="H5" i="6"/>
  <c r="AE5" i="6"/>
  <c r="W5" i="6"/>
  <c r="O5" i="6"/>
  <c r="G5" i="6"/>
  <c r="AD5" i="6"/>
  <c r="V5" i="6"/>
  <c r="N5" i="6"/>
  <c r="Y5" i="6"/>
  <c r="I5" i="6"/>
  <c r="AC5" i="6"/>
  <c r="U5" i="6"/>
  <c r="M5" i="6"/>
  <c r="AB5" i="6"/>
  <c r="T5" i="6"/>
  <c r="L5" i="6"/>
  <c r="AA5" i="6"/>
  <c r="S5" i="6"/>
  <c r="K5" i="6"/>
  <c r="Z5" i="6"/>
  <c r="R5" i="6"/>
  <c r="J5" i="6"/>
  <c r="D5" i="6"/>
  <c r="E5" i="6"/>
  <c r="F5" i="6"/>
  <c r="C5" i="6"/>
  <c r="B4" i="2"/>
  <c r="B4" i="5"/>
  <c r="W4" i="5" l="1"/>
  <c r="G4" i="5"/>
  <c r="AD4" i="5"/>
  <c r="V4" i="5"/>
  <c r="N4" i="5"/>
  <c r="F4" i="5"/>
  <c r="AC4" i="5"/>
  <c r="U4" i="5"/>
  <c r="M4" i="5"/>
  <c r="E4" i="5"/>
  <c r="Z4" i="5"/>
  <c r="R4" i="5"/>
  <c r="J4" i="5"/>
  <c r="O4" i="5"/>
  <c r="AB4" i="5"/>
  <c r="T4" i="5"/>
  <c r="L4" i="5"/>
  <c r="D4" i="5"/>
  <c r="AA4" i="5"/>
  <c r="S4" i="5"/>
  <c r="K4" i="5"/>
  <c r="C4" i="5"/>
  <c r="X4" i="5"/>
  <c r="Q4" i="5"/>
  <c r="P4" i="5"/>
  <c r="I4" i="5"/>
  <c r="H4" i="5"/>
  <c r="Y4" i="5"/>
  <c r="AE4" i="5"/>
</calcChain>
</file>

<file path=xl/sharedStrings.xml><?xml version="1.0" encoding="utf-8"?>
<sst xmlns="http://schemas.openxmlformats.org/spreadsheetml/2006/main" count="1663" uniqueCount="552">
  <si>
    <t>AVLo Average Vehicle Loading</t>
  </si>
  <si>
    <t>passenger LDVs</t>
  </si>
  <si>
    <t>U.S. Federal Highway Administration</t>
  </si>
  <si>
    <t>2009 National Household Travel Survey</t>
  </si>
  <si>
    <t>http://nhts.ornl.gov/2009/pub/stt.pdf</t>
  </si>
  <si>
    <t>Page 33, Table 16</t>
  </si>
  <si>
    <t>Sources:</t>
  </si>
  <si>
    <t>freight HDVs</t>
  </si>
  <si>
    <t>U.S. DOT FHA Office of Freight Management and Operations</t>
  </si>
  <si>
    <t>Major Freight Corridors</t>
  </si>
  <si>
    <t>http://ops.fhwa.dot.gov/freight/freight_analysis/freight_story/major.htm</t>
  </si>
  <si>
    <t>Second bullet point on webpage (and Fig. 8 image caption)</t>
  </si>
  <si>
    <t>LDVs</t>
  </si>
  <si>
    <t>HDVs</t>
  </si>
  <si>
    <t>aircraft</t>
  </si>
  <si>
    <t>rail</t>
  </si>
  <si>
    <t>ships</t>
  </si>
  <si>
    <t>motorbikes</t>
  </si>
  <si>
    <t>Notes:</t>
  </si>
  <si>
    <t>Passenger-miles, all buses (millions)</t>
  </si>
  <si>
    <t>Vehicle-miles, all buses (millions)</t>
  </si>
  <si>
    <t>Distance-weighted avg. passengers/bus</t>
  </si>
  <si>
    <t>Distance-weighted avg. passengers / aircraft</t>
  </si>
  <si>
    <t>Aircraft revenue-miles (thousands), total certified</t>
  </si>
  <si>
    <t>Revenue passenger-miles (thousands), total certified</t>
  </si>
  <si>
    <t>Passenger HDVs (buses)</t>
  </si>
  <si>
    <t>Freight Rail</t>
  </si>
  <si>
    <t>Train mileage, freight (thousands)</t>
  </si>
  <si>
    <t>Revenue ton-miles of freight (millions)</t>
  </si>
  <si>
    <t>Distance-weighted avg. freight tons/train</t>
  </si>
  <si>
    <t>This is per train, not per rail car.  Rail car mileage is also available in the source document, should it be needed.</t>
  </si>
  <si>
    <t>Passenger Rail</t>
  </si>
  <si>
    <t>Amtrak passenger train-miles (millions)</t>
  </si>
  <si>
    <t>Amtrak revenue passenger-miles (millions)</t>
  </si>
  <si>
    <t>Distance-weighted avg. passengers/Amtrak train</t>
  </si>
  <si>
    <t>Freight Ships</t>
  </si>
  <si>
    <t>passenger-miles, heavy rail (millions)</t>
  </si>
  <si>
    <t>passenger-miles, light rail (millions)</t>
  </si>
  <si>
    <t>passenger-miles, commuter rail (millions)</t>
  </si>
  <si>
    <t>vehicle-miles, heavy rail (millions)</t>
  </si>
  <si>
    <t>vehicle-miles, light rail (millions)</t>
  </si>
  <si>
    <t>vehicle-miles, commuter rail (millions)</t>
  </si>
  <si>
    <t>Distance-weighted avg. passengers/heavy rail vehicle</t>
  </si>
  <si>
    <t>Distance-weighted avg. passengers/light rail vehicle</t>
  </si>
  <si>
    <t>Distance-weighted avg. passengers/commuter rail vehicle</t>
  </si>
  <si>
    <t>Intercity (Amtrak)</t>
  </si>
  <si>
    <t>Transit</t>
  </si>
  <si>
    <t>passenger-mile-weighted distance-weighted avg. passengers/vehicle</t>
  </si>
  <si>
    <t>Revenue ton-miles of freight (thousands), total certified</t>
  </si>
  <si>
    <t>share of aircraft-miles devoted to freight</t>
  </si>
  <si>
    <t>Assumes passenger and freight aircraft fly similar numbers of miles per year</t>
  </si>
  <si>
    <t>Distance-weighted avg. freight tons / aircraft</t>
  </si>
  <si>
    <t>total aircraft stock (U.S., 2014, EIA AEO 2016, Table 49)</t>
  </si>
  <si>
    <t>cargo aircraft stock (U.S., 2014, EIA AEO 2016, Table 49)</t>
  </si>
  <si>
    <t>Passenger motorbikes</t>
  </si>
  <si>
    <t>vehicle-miles, total (millions)</t>
  </si>
  <si>
    <t>passenger-miles, total (millions)</t>
  </si>
  <si>
    <t>distance-weighted avg. passengers/motorbike</t>
  </si>
  <si>
    <t>Passenger LDVs</t>
  </si>
  <si>
    <t>vehicle-miles, passenger car, total (millions)</t>
  </si>
  <si>
    <t>passenger-miles, passenger car, total (millions)</t>
  </si>
  <si>
    <t>distance-weighted avg. passengers/LDV</t>
  </si>
  <si>
    <t>Not currently used, but could be used instead of the figure from the National Household Travel Survey if desired.</t>
  </si>
  <si>
    <t>Passenger aircraft and freight aircraft</t>
  </si>
  <si>
    <t>U.S. Bureau of Transportation Statistics</t>
  </si>
  <si>
    <t>Appendix D - Modal Profiles</t>
  </si>
  <si>
    <t>http://www.rita.dot.gov/bts/sites/rita.dot.gov.bts/files/publications/national_transportation_statistics/index.html#appendix_d</t>
  </si>
  <si>
    <t>Air Carrier Profile</t>
  </si>
  <si>
    <t>Bus Profile</t>
  </si>
  <si>
    <t>Transit Profile</t>
  </si>
  <si>
    <t>Rail Profile</t>
  </si>
  <si>
    <t>Water Transport Profile</t>
  </si>
  <si>
    <t>Automobile Profile</t>
  </si>
  <si>
    <t>National Transportation Statistics (most recently updated tables updated in October 2016)</t>
  </si>
  <si>
    <t>passenger ships</t>
  </si>
  <si>
    <t>U.S. Coast Guard</t>
  </si>
  <si>
    <t>National Recreational Boating Survey 2012</t>
  </si>
  <si>
    <t>http://www.uscgboating.org/library/recreational-boating-servey/2012survey%20report.pdf</t>
  </si>
  <si>
    <t>Page 63, Table 40</t>
  </si>
  <si>
    <t>number of self-propelled dry cargo barges</t>
  </si>
  <si>
    <t>number of self-propelled tankers</t>
  </si>
  <si>
    <t>total cargo capacity of all self-propelled dry cargo barges (short tons)</t>
  </si>
  <si>
    <t>total cargo capacity of all self-propelled tankers (short tons)</t>
  </si>
  <si>
    <t>average cargo capacity per self-propelled dry cargo barge</t>
  </si>
  <si>
    <t>average cargo capacity per self-propelled tanker</t>
  </si>
  <si>
    <t>number of non-self-propelled dry cargo barges</t>
  </si>
  <si>
    <t>number of non-self-propelled tankers</t>
  </si>
  <si>
    <t>total cargo capacity of all non-self-propelled dry cargo barges (short tons)</t>
  </si>
  <si>
    <t>total cargo capacity of all non-self-propelled tankers (short tons)</t>
  </si>
  <si>
    <t>average cargo capacity per non-self-propelled dry cargo barge</t>
  </si>
  <si>
    <t>average cargo capacity per non-self-propelled tanker</t>
  </si>
  <si>
    <t>weighted average cargo capacity (short tons)</t>
  </si>
  <si>
    <t>We include non-self-propelled vessels in our weighted average, because our freight ship vehicle count includes</t>
  </si>
  <si>
    <t>pusher ships (tugs / towboats) that propel these vessels, and we want their average capacity to be factored in,</t>
  </si>
  <si>
    <t>so the towboats are properly represented.</t>
  </si>
  <si>
    <t>Vehicle Loading (passengers)</t>
  </si>
  <si>
    <t>Vehicle Loading (tons)</t>
  </si>
  <si>
    <t>Assumption - train cars per locomotive</t>
  </si>
  <si>
    <t>Passenger HDVs, both types of aircraft, freigt rail, freight ships, passenger motorbikes</t>
  </si>
  <si>
    <t>Rail-passenger data</t>
  </si>
  <si>
    <t>National Transit Database Tables</t>
  </si>
  <si>
    <t>American Public Transportation Association</t>
  </si>
  <si>
    <t>https://www.apta.com/research-technical-resources/transit-statistics/ntd-data-tables/</t>
  </si>
  <si>
    <t>Agency</t>
  </si>
  <si>
    <t>City</t>
  </si>
  <si>
    <t>State</t>
  </si>
  <si>
    <t>Legacy NTD ID</t>
  </si>
  <si>
    <t>NTD ID</t>
  </si>
  <si>
    <t>Organization Type</t>
  </si>
  <si>
    <t>NTD Reporter Type</t>
  </si>
  <si>
    <t>Primary UZA Population</t>
  </si>
  <si>
    <t>Agency VOMS</t>
  </si>
  <si>
    <t>Mode</t>
  </si>
  <si>
    <t>Type of Service</t>
  </si>
  <si>
    <t>Mode VOMS</t>
  </si>
  <si>
    <t>Mode VOMS Questionable</t>
  </si>
  <si>
    <t>Max Trains in Operation</t>
  </si>
  <si>
    <t>Max Trains in Operation Questionable</t>
  </si>
  <si>
    <t>Average Speed (mi/hr)</t>
  </si>
  <si>
    <t>Average Speed (mi/hr) Questionable</t>
  </si>
  <si>
    <t>Average Passenger Trip Length (mi)</t>
  </si>
  <si>
    <t>Average Passenger Trip Length (mi) Questionable</t>
  </si>
  <si>
    <t>Passengers per Hour</t>
  </si>
  <si>
    <t>Passengers per Hour Questionable</t>
  </si>
  <si>
    <t>Scheduled Vehicle Revenue Miles</t>
  </si>
  <si>
    <t>Scheduled Vehicle Revenue Miles Questionable</t>
  </si>
  <si>
    <t>Vehicle Miles</t>
  </si>
  <si>
    <t>Vehicle Miles Questionable</t>
  </si>
  <si>
    <t>Vehicle Revenue Miles</t>
  </si>
  <si>
    <t>Vehicle Revenue Miles Questionable</t>
  </si>
  <si>
    <t>Deadhead Miles</t>
  </si>
  <si>
    <t>Deadhead Miles Questionable</t>
  </si>
  <si>
    <t>Vehicle Hours</t>
  </si>
  <si>
    <t>Vehicle Hours Questionable</t>
  </si>
  <si>
    <t>Vehicle 
Revenue 
Hours</t>
  </si>
  <si>
    <t>Vehicle Revenue Hours Questionable</t>
  </si>
  <si>
    <t>Deadhead Hours</t>
  </si>
  <si>
    <t>Deadhead Hours Questionable</t>
  </si>
  <si>
    <t>Train Miles</t>
  </si>
  <si>
    <t>Train Miles Questionable</t>
  </si>
  <si>
    <t>Train 
Revenue
Miles</t>
  </si>
  <si>
    <t>Train Revenue Miles Questionable</t>
  </si>
  <si>
    <t>Train Hours</t>
  </si>
  <si>
    <t>Train Hours Questionable</t>
  </si>
  <si>
    <t>Train 
Revenue 
Hours</t>
  </si>
  <si>
    <t>Train Revenue Hours Questionable</t>
  </si>
  <si>
    <t>Unlinked Passenger Trips</t>
  </si>
  <si>
    <t>Unlinked Passenger Trips Questionable</t>
  </si>
  <si>
    <t>Passenger Miles</t>
  </si>
  <si>
    <t>Passenger Miles Questionable</t>
  </si>
  <si>
    <t>Directional Route Miles</t>
  </si>
  <si>
    <t>Directional Route Miles Questionable</t>
  </si>
  <si>
    <t>Any data questionable</t>
  </si>
  <si>
    <t>MTA New York City Transit</t>
  </si>
  <si>
    <t>Brooklyn</t>
  </si>
  <si>
    <t>NY</t>
  </si>
  <si>
    <t>Subsidiary Unit of a Transit Agency, Reporting Separately</t>
  </si>
  <si>
    <t>Full Reporter</t>
  </si>
  <si>
    <t>HR</t>
  </si>
  <si>
    <t>DO</t>
  </si>
  <si>
    <t/>
  </si>
  <si>
    <t>No</t>
  </si>
  <si>
    <t>New Jersey Transit Corporation</t>
  </si>
  <si>
    <t>Newark</t>
  </si>
  <si>
    <t>NJ</t>
  </si>
  <si>
    <t>Other Publicly-Owned or Privately Chartered Corporation</t>
  </si>
  <si>
    <t>LR</t>
  </si>
  <si>
    <t>PT</t>
  </si>
  <si>
    <t>CR</t>
  </si>
  <si>
    <t>Los Angeles County Metropolitan Transportation Authority, dba: Metro</t>
  </si>
  <si>
    <t>Los Angeles</t>
  </si>
  <si>
    <t>CA</t>
  </si>
  <si>
    <t>Independent Public Agency or Authority of Transit Service</t>
  </si>
  <si>
    <t>Washington Metropolitan Area Transit Authority</t>
  </si>
  <si>
    <t>Washington</t>
  </si>
  <si>
    <t>DC</t>
  </si>
  <si>
    <t>Chicago Transit Authority</t>
  </si>
  <si>
    <t>Chicago</t>
  </si>
  <si>
    <t>IL</t>
  </si>
  <si>
    <t>W</t>
  </si>
  <si>
    <t>Yes</t>
  </si>
  <si>
    <t>Massachusetts Bay Transportation Authority</t>
  </si>
  <si>
    <t>Boston</t>
  </si>
  <si>
    <t>MA</t>
  </si>
  <si>
    <t>Q</t>
  </si>
  <si>
    <t>Southeastern Pennsylvania Transportation Authority</t>
  </si>
  <si>
    <t>Philadelphia</t>
  </si>
  <si>
    <t>PA</t>
  </si>
  <si>
    <t>Metropolitan Transit Authority of Harris County, Texas, dba: Metro</t>
  </si>
  <si>
    <t>Houston</t>
  </si>
  <si>
    <t>TX</t>
  </si>
  <si>
    <t>Maryland Transit Administration</t>
  </si>
  <si>
    <t>Baltimore</t>
  </si>
  <si>
    <t>MD</t>
  </si>
  <si>
    <t>State Government Unit or Department of Transportation</t>
  </si>
  <si>
    <t>County of Miami-Dade, dba: Transportation &amp; Public Work</t>
  </si>
  <si>
    <t>Miami</t>
  </si>
  <si>
    <t>FL</t>
  </si>
  <si>
    <t>City, County or Local Government Unit or Department of Transportation</t>
  </si>
  <si>
    <t>Denver Regional Transportation District</t>
  </si>
  <si>
    <t>Denver</t>
  </si>
  <si>
    <t>CO</t>
  </si>
  <si>
    <t>Metro-North Commuter Railroad Company, dba: MTA Metro-North Railroad</t>
  </si>
  <si>
    <t>New York</t>
  </si>
  <si>
    <t>Dallas Area Rapid Transit</t>
  </si>
  <si>
    <t>Dallas</t>
  </si>
  <si>
    <t>Utah Transit Authority</t>
  </si>
  <si>
    <t>Salt Lake City</t>
  </si>
  <si>
    <t>UT</t>
  </si>
  <si>
    <t>Northeast Illinois Regional Commuter Railroad Corporation, dba: Metra</t>
  </si>
  <si>
    <t>MTA Long Island Rail Road</t>
  </si>
  <si>
    <t>Jamaica</t>
  </si>
  <si>
    <t>City and County of San Francisco, dba: San Francisco Municipal Transportation Agency (MUNI)</t>
  </si>
  <si>
    <t>San Francisco</t>
  </si>
  <si>
    <t>Tri-County Metropolitan Transportation District of Oregon, dba: TriMet</t>
  </si>
  <si>
    <t>Portland</t>
  </si>
  <si>
    <t>OR</t>
  </si>
  <si>
    <t>Metropolitan Atlanta Rapid Transit Authority</t>
  </si>
  <si>
    <t>Atlanta</t>
  </si>
  <si>
    <t>GA</t>
  </si>
  <si>
    <t>Port Authority of Allegheny County</t>
  </si>
  <si>
    <t>Pittsburgh</t>
  </si>
  <si>
    <t>San Diego Metropolitan Transit System</t>
  </si>
  <si>
    <t>San Diego</t>
  </si>
  <si>
    <t>Metro Transit, dba: Metro Transit</t>
  </si>
  <si>
    <t>Minneapolis</t>
  </si>
  <si>
    <t>MN</t>
  </si>
  <si>
    <t>Santa Clara Valley Transportation Authority</t>
  </si>
  <si>
    <t>San Jose</t>
  </si>
  <si>
    <t>San Francisco Bay Area Rapid Transit District</t>
  </si>
  <si>
    <t>Oakland</t>
  </si>
  <si>
    <t>Bi-State Development Agency of the Missouri-Illinois Metropolitan District, dba: St. Louis Metro</t>
  </si>
  <si>
    <t>Saint Louis</t>
  </si>
  <si>
    <t>MO</t>
  </si>
  <si>
    <t>The Greater Cleveland Regional Transit Authority</t>
  </si>
  <si>
    <t>Cleveland</t>
  </si>
  <si>
    <t>OH</t>
  </si>
  <si>
    <t>Transportation District Commission of Hampton Roads, dba: Hampton Roads Transit</t>
  </si>
  <si>
    <t>Hampton</t>
  </si>
  <si>
    <t>VA</t>
  </si>
  <si>
    <t>City of Charlotte North Carolina, dba: Charlotte Area Transit System</t>
  </si>
  <si>
    <t>Charlotte</t>
  </si>
  <si>
    <t>NC</t>
  </si>
  <si>
    <t>Central Puget Sound Regional Transit Authority, dba: Sound Transit</t>
  </si>
  <si>
    <t>Seattle</t>
  </si>
  <si>
    <t>WA</t>
  </si>
  <si>
    <t>Niagara Frontier Transportation Authority</t>
  </si>
  <si>
    <t>Buffalo</t>
  </si>
  <si>
    <t>Sacramento Regional Transit District, dba: Sacramento RT</t>
  </si>
  <si>
    <t>Sacramento</t>
  </si>
  <si>
    <t>Fort Worth Transportation Authority, dba: Trinity Metro</t>
  </si>
  <si>
    <t>Fort Worth</t>
  </si>
  <si>
    <t>Port Authority Trans-Hudson Corporation</t>
  </si>
  <si>
    <t>North County Transit District</t>
  </si>
  <si>
    <t>Oceanside</t>
  </si>
  <si>
    <t>Southern California Regional Rail Authority, dba: Metrolink</t>
  </si>
  <si>
    <t>Peninsula Corridor Joint Powers Board, dba: Caltrain</t>
  </si>
  <si>
    <t>San Carlos</t>
  </si>
  <si>
    <t>Virginia Railway Express</t>
  </si>
  <si>
    <t>Alexandria</t>
  </si>
  <si>
    <t>Port Authority Transit Corporation</t>
  </si>
  <si>
    <t>Lindenwold</t>
  </si>
  <si>
    <t>Northern Indiana Commuter Transportation District</t>
  </si>
  <si>
    <t>Chesterton</t>
  </si>
  <si>
    <t>IN</t>
  </si>
  <si>
    <t>South Florida Regional Transportation Authority, dba: TRI-Rail</t>
  </si>
  <si>
    <t>Pompano Beach</t>
  </si>
  <si>
    <t>Rio Metro Regional Transit District</t>
  </si>
  <si>
    <t>Albuquerque</t>
  </si>
  <si>
    <t>NM</t>
  </si>
  <si>
    <t>Alternativa de Transporte Integrado -ATI</t>
  </si>
  <si>
    <t>San Juan</t>
  </si>
  <si>
    <t>PR</t>
  </si>
  <si>
    <t>Regional Transportation Authority</t>
  </si>
  <si>
    <t>Madison</t>
  </si>
  <si>
    <t>TN</t>
  </si>
  <si>
    <t>Staten Island Rapid Transit Operating Authority, dba: MTA Staten Island Railway</t>
  </si>
  <si>
    <t>Staten Island</t>
  </si>
  <si>
    <t>Connecticut Department of Transportation</t>
  </si>
  <si>
    <t>Newington</t>
  </si>
  <si>
    <t>CT</t>
  </si>
  <si>
    <t>Valley Metro Rail, Inc.</t>
  </si>
  <si>
    <t>Phoenix</t>
  </si>
  <si>
    <t>AZ</t>
  </si>
  <si>
    <t>Altamont Corridor Express</t>
  </si>
  <si>
    <t>Stockton</t>
  </si>
  <si>
    <t>Central Florida Commuter Rail, dba: SunRail</t>
  </si>
  <si>
    <t>Tallahassee</t>
  </si>
  <si>
    <t>Northern New England Passenger Rail Authority</t>
  </si>
  <si>
    <t>ME</t>
  </si>
  <si>
    <t>Pennsylvania Department of Transportation</t>
  </si>
  <si>
    <t>Harrisburg</t>
  </si>
  <si>
    <t>Sonoma-Marin Area Rail Transit District</t>
  </si>
  <si>
    <t>Petaluma</t>
  </si>
  <si>
    <t>TOS</t>
  </si>
  <si>
    <t>Fuel/Energy Used:</t>
  </si>
  <si>
    <t>Diesel (gal)</t>
  </si>
  <si>
    <t>Diesel (gal) Questionable</t>
  </si>
  <si>
    <t>Gasoline (gal)</t>
  </si>
  <si>
    <t>Gasoline (gal) Questionable</t>
  </si>
  <si>
    <t>Liquefied Petroleum Gas (gal equivalent)</t>
  </si>
  <si>
    <t>Liquefied Petroleum Gas (gal equivalent) Questionable</t>
  </si>
  <si>
    <t>Compressed Natural Gas (gal equivalent)</t>
  </si>
  <si>
    <t>Compressed Natural Gas (gal equivalent) Questionable</t>
  </si>
  <si>
    <t>Bio-Diesel (gal)</t>
  </si>
  <si>
    <t>Bio-Diesel (gal) Questionable</t>
  </si>
  <si>
    <t>Other Fuel (gal/gal equivalent)</t>
  </si>
  <si>
    <t>Other Fuel (gal/gal equivalent) Questionable</t>
  </si>
  <si>
    <t>Electric Propulsion (kwh)</t>
  </si>
  <si>
    <t>Electric Propulsion (kwh) Questionable</t>
  </si>
  <si>
    <t>Electric Battery (kwh)</t>
  </si>
  <si>
    <t>Electric Battery (kwh) Questionable</t>
  </si>
  <si>
    <t>Miles Traveled by Vehicles Fueled by:</t>
  </si>
  <si>
    <t>Diesel</t>
  </si>
  <si>
    <t>Diesel Questionable</t>
  </si>
  <si>
    <t>Gasoline</t>
  </si>
  <si>
    <t>Gasoline Questionable</t>
  </si>
  <si>
    <t>Liquefied Petroleum Gas</t>
  </si>
  <si>
    <t>Liquefied Petroleum Gas Questionable</t>
  </si>
  <si>
    <t>Compressed Natural Gas</t>
  </si>
  <si>
    <t>Compressed Natural Gas Questionable</t>
  </si>
  <si>
    <t>Other Fuel</t>
  </si>
  <si>
    <t>Other Fuel Questionable</t>
  </si>
  <si>
    <t>Electric Propulsion</t>
  </si>
  <si>
    <t>Electric Propulsion Questionable</t>
  </si>
  <si>
    <t>Electric Battery</t>
  </si>
  <si>
    <t>Electric Battery Questionable</t>
  </si>
  <si>
    <t>Miles per Gallon/KwH:</t>
  </si>
  <si>
    <t>Diesel (mpg)</t>
  </si>
  <si>
    <t>Diesel (mpg) Questionable</t>
  </si>
  <si>
    <t>Gasoline (mpg)</t>
  </si>
  <si>
    <t>Gasoline (mpg) Questionable</t>
  </si>
  <si>
    <t>Liquefied Petroleum Gas (mpg)</t>
  </si>
  <si>
    <t>Liquefied Petroleum Gas (mpg) Questionable</t>
  </si>
  <si>
    <t>Compressed Natural Gas (mpg)</t>
  </si>
  <si>
    <t>Compressed Natural Gas (mpg) Questionable</t>
  </si>
  <si>
    <t>Other Fuel (mpg)</t>
  </si>
  <si>
    <t>Other Fuel (mpg) Questionable</t>
  </si>
  <si>
    <t>Electric Propulsion (mi/kwh)</t>
  </si>
  <si>
    <t>Electric Propulsion (mi/kwh) Questionable</t>
  </si>
  <si>
    <t>Electric Battery (mi/kwh)</t>
  </si>
  <si>
    <t>Electric Battery (mi/kwh) Questionable</t>
  </si>
  <si>
    <t>Any data questionable?</t>
  </si>
  <si>
    <t>btu/gallon diesel</t>
  </si>
  <si>
    <t>btu/kwh</t>
  </si>
  <si>
    <t>Rail types</t>
  </si>
  <si>
    <t>Number of Vehicles and Miles</t>
  </si>
  <si>
    <t>Vehicle Fuel Use</t>
  </si>
  <si>
    <t>subregion</t>
  </si>
  <si>
    <t>% of miles diesel</t>
  </si>
  <si>
    <t>% of miles electric</t>
  </si>
  <si>
    <t>calc AVLO</t>
  </si>
  <si>
    <t>calc BAADTVBT</t>
  </si>
  <si>
    <t>SYVBT-diesel</t>
  </si>
  <si>
    <t>SYVBT-electric</t>
  </si>
  <si>
    <t>diesel (btus)</t>
  </si>
  <si>
    <t>electric (btu)</t>
  </si>
  <si>
    <t>calc SYFAFE-diesel</t>
  </si>
  <si>
    <t>calc SYFAFE-electric</t>
  </si>
  <si>
    <t>Alabama</t>
  </si>
  <si>
    <t>AL</t>
  </si>
  <si>
    <t>subregion1</t>
  </si>
  <si>
    <t>Alaska</t>
  </si>
  <si>
    <t>AK</t>
  </si>
  <si>
    <t>subregion2</t>
  </si>
  <si>
    <t>Arizona</t>
  </si>
  <si>
    <t>subregion3</t>
  </si>
  <si>
    <t>Arkansas</t>
  </si>
  <si>
    <t>AR</t>
  </si>
  <si>
    <t>subregion4</t>
  </si>
  <si>
    <t>California</t>
  </si>
  <si>
    <t>subregion5</t>
  </si>
  <si>
    <t>Colorado</t>
  </si>
  <si>
    <t>subregion6</t>
  </si>
  <si>
    <t>Connecticut</t>
  </si>
  <si>
    <t>subregion7</t>
  </si>
  <si>
    <t>Delaware</t>
  </si>
  <si>
    <t>DE</t>
  </si>
  <si>
    <t>subregion8</t>
  </si>
  <si>
    <t>NA</t>
  </si>
  <si>
    <t>Florida</t>
  </si>
  <si>
    <t>subregion9</t>
  </si>
  <si>
    <t>Georgia</t>
  </si>
  <si>
    <t>subregion10</t>
  </si>
  <si>
    <t>Hawaii</t>
  </si>
  <si>
    <t>HI</t>
  </si>
  <si>
    <t>subregion11</t>
  </si>
  <si>
    <t>Idaho</t>
  </si>
  <si>
    <t>ID</t>
  </si>
  <si>
    <t>subregion12</t>
  </si>
  <si>
    <t>Illinois</t>
  </si>
  <si>
    <t>subregion13</t>
  </si>
  <si>
    <t>Indiana</t>
  </si>
  <si>
    <t>subregion14</t>
  </si>
  <si>
    <t>Iowa</t>
  </si>
  <si>
    <t>IA</t>
  </si>
  <si>
    <t>subregion15</t>
  </si>
  <si>
    <t>Kansas</t>
  </si>
  <si>
    <t>KS</t>
  </si>
  <si>
    <t>subregion16</t>
  </si>
  <si>
    <t>Kentucky</t>
  </si>
  <si>
    <t>KY</t>
  </si>
  <si>
    <t>subregion17</t>
  </si>
  <si>
    <t>Louisiana</t>
  </si>
  <si>
    <t>LA</t>
  </si>
  <si>
    <t>subregion18</t>
  </si>
  <si>
    <t>Maine</t>
  </si>
  <si>
    <t>subregion19</t>
  </si>
  <si>
    <t>Maryland</t>
  </si>
  <si>
    <t>subregion20</t>
  </si>
  <si>
    <t>Massachusetts</t>
  </si>
  <si>
    <t>subregion21</t>
  </si>
  <si>
    <t>Michigan</t>
  </si>
  <si>
    <t>MI</t>
  </si>
  <si>
    <t>subregion22</t>
  </si>
  <si>
    <t>Minnesota</t>
  </si>
  <si>
    <t>subregion23</t>
  </si>
  <si>
    <t>Mississippi</t>
  </si>
  <si>
    <t>MS</t>
  </si>
  <si>
    <t>subregion24</t>
  </si>
  <si>
    <t>Missouri</t>
  </si>
  <si>
    <t>subregion25</t>
  </si>
  <si>
    <t>Montana</t>
  </si>
  <si>
    <t>MT</t>
  </si>
  <si>
    <t>subregion26</t>
  </si>
  <si>
    <t>Nebraska</t>
  </si>
  <si>
    <t>NE</t>
  </si>
  <si>
    <t>subregion27</t>
  </si>
  <si>
    <t>Nevada</t>
  </si>
  <si>
    <t>NV</t>
  </si>
  <si>
    <t>subregion28</t>
  </si>
  <si>
    <t>New Hampshire</t>
  </si>
  <si>
    <t>NH</t>
  </si>
  <si>
    <t>subregion29</t>
  </si>
  <si>
    <t>New Jersey</t>
  </si>
  <si>
    <t>subregion30</t>
  </si>
  <si>
    <t>New Mexico</t>
  </si>
  <si>
    <t>subregion31</t>
  </si>
  <si>
    <t>subregion32</t>
  </si>
  <si>
    <t>North Carolina</t>
  </si>
  <si>
    <t>subregion33</t>
  </si>
  <si>
    <t>North Dakota</t>
  </si>
  <si>
    <t>ND</t>
  </si>
  <si>
    <t>subregion34</t>
  </si>
  <si>
    <t>Ohio</t>
  </si>
  <si>
    <t>subregion35</t>
  </si>
  <si>
    <t>Oklahoma</t>
  </si>
  <si>
    <t>OK</t>
  </si>
  <si>
    <t>subregion36</t>
  </si>
  <si>
    <t>Oregon</t>
  </si>
  <si>
    <t>subregion37</t>
  </si>
  <si>
    <t>Pennsylvania</t>
  </si>
  <si>
    <t>subregion38</t>
  </si>
  <si>
    <t>Rhode Island</t>
  </si>
  <si>
    <t>RI</t>
  </si>
  <si>
    <t>subregion39</t>
  </si>
  <si>
    <t>South Carolina</t>
  </si>
  <si>
    <t>SC</t>
  </si>
  <si>
    <t>subregion40</t>
  </si>
  <si>
    <t>South Dakota</t>
  </si>
  <si>
    <t>SD</t>
  </si>
  <si>
    <t>subregion41</t>
  </si>
  <si>
    <t>Tennessee</t>
  </si>
  <si>
    <t>subregion42</t>
  </si>
  <si>
    <t>Texas</t>
  </si>
  <si>
    <t>subregion43</t>
  </si>
  <si>
    <t>Utah</t>
  </si>
  <si>
    <t>subregion44</t>
  </si>
  <si>
    <t>Vermont</t>
  </si>
  <si>
    <t>VT</t>
  </si>
  <si>
    <t>subregion45</t>
  </si>
  <si>
    <t>Virginia</t>
  </si>
  <si>
    <t>subregion46</t>
  </si>
  <si>
    <t>subregion47</t>
  </si>
  <si>
    <t>West Virginia</t>
  </si>
  <si>
    <t>WV</t>
  </si>
  <si>
    <t>subregion48</t>
  </si>
  <si>
    <t>Wisconsin</t>
  </si>
  <si>
    <t>WI</t>
  </si>
  <si>
    <t>subregion49</t>
  </si>
  <si>
    <t>Wyoming</t>
  </si>
  <si>
    <t>WY</t>
  </si>
  <si>
    <t>subregion50</t>
  </si>
  <si>
    <t>totals</t>
  </si>
  <si>
    <t>CHECK</t>
  </si>
  <si>
    <t>NEMS AEO2026 Public Release, input/tdm/trnldvx.xlsx (https://github.com/EIAgov/NEMS/tree/AEO2026-Public-Release), named ranges TBCOVID (transit bus COVID travel impact by census division), TB_COEF (transit bus per-capita travel equation: constant, ln GDP per capita, ln fuel price, COVID term), TMCOVID (COVID travel impact, row 1 intercity bus, row 2 school bus; travel x (1 - TMCOVID)), TBPMTHIST (transit bus passenger-miles, millions), TMODINIT (intercity and school bus passenger-miles, millions). Used by tran.f lines ~8251-8309. Pasted 2026-10-13.</t>
  </si>
  <si>
    <t>year</t>
  </si>
  <si>
    <t>TBCOVID by census division 1-9</t>
  </si>
  <si>
    <t>division 1</t>
  </si>
  <si>
    <t>division 2</t>
  </si>
  <si>
    <t>division 3</t>
  </si>
  <si>
    <t>division 4</t>
  </si>
  <si>
    <t>division 5</t>
  </si>
  <si>
    <t>division 6</t>
  </si>
  <si>
    <t>division 7</t>
  </si>
  <si>
    <t>division 8</t>
  </si>
  <si>
    <t>division 9</t>
  </si>
  <si>
    <t>TB_COEF: constant, coef_gdp, coef_gas$, coef_covid</t>
  </si>
  <si>
    <t>TMCOVID (row 27 intercity, row 28 school)</t>
  </si>
  <si>
    <t>intercity</t>
  </si>
  <si>
    <t>school</t>
  </si>
  <si>
    <t>TBPMTHIST transit passenger-miles (millions) by division, 2023 (last history year), used as regional weights</t>
  </si>
  <si>
    <t>TMODINIT 2019 passenger-miles (millions), pre-COVID weights</t>
  </si>
  <si>
    <t>intercity 2019</t>
  </si>
  <si>
    <t>school 2019</t>
  </si>
  <si>
    <t>transit 2019</t>
  </si>
  <si>
    <t>R transit = sum_r w_r exp(coef_covid_r x TBCOVID_r) / sum_r w_r</t>
  </si>
  <si>
    <t>R intercity = 1 - TMCOVID intercity</t>
  </si>
  <si>
    <t>R school = 1 - TMCOVID school</t>
  </si>
  <si>
    <t>R weighted by 2019 passenger-miles (transit, intercity, school)</t>
  </si>
  <si>
    <t>Loading multiplier = R(y) / R(2024)</t>
  </si>
  <si>
    <t>AVLo buses (passengers per bus) = SYAVLo x multiplier, from 2025</t>
  </si>
  <si>
    <t>NEMS AEO2026 Public Release, input/tdm/trnldvx.xlsx (sheet trnldv): TRCOVID, CRCOVID, TR_COEF, CR_COEF, TRRPMHIST, CRRPMHIST. Read 2026-10-14.</t>
  </si>
  <si>
    <t>TRCOVID (transit rail) by census division 1-9</t>
  </si>
  <si>
    <t>CRCOVID (commuter rail) by census division 1-9</t>
  </si>
  <si>
    <t>coef_covid: TR_COEF (col B) and CR_COEF (col C) by division; NEMS tran.f: RPM per capita = exp(const + coef_gdp ln(GDP/cap) + coef_gas$ ln(fuel price) + coef_covid x COVID)</t>
  </si>
  <si>
    <t>2019 passenger-miles (millions), pre-COVID weights: TRRPMHIST (col B) and CRRPMHIST (col C) by division</t>
  </si>
  <si>
    <t>R transit rail = sum_r w_r exp(coef_covid_r x TRCOVID_r) / sum_r w_r</t>
  </si>
  <si>
    <t>R commuter rail = sum_r w_r exp(coef_covid_r x CRCOVID_r) / sum_r w_r</t>
  </si>
  <si>
    <t>R weighted by 2019 passenger-miles (transit, commuter)</t>
  </si>
  <si>
    <t>AVLo rail (passengers per car) = SYAVLo x multiplier, from 2025</t>
  </si>
  <si>
    <t>Bus and rail ridership recovery (loading paths)</t>
  </si>
  <si>
    <t>U.S. Energy Information Administration</t>
  </si>
  <si>
    <t>National Energy Modeling System, AEO 2026 public release, input/tdm/trnldvx.xlsx (TBCOVID, TMCOVID, TRCOVID, CRCOVID and their coefficients; TBPMTHIST, TRRPMHIST, CRRPMHIST) and tran.f</t>
  </si>
  <si>
    <t>https://github.com/EIAgov/NEMS/tree/AEO2026-Public-Release/input/tdm</t>
  </si>
  <si>
    <t>Pasted on tabs 'NEMS bus covid' and 'NEMS rail covid'. NEMS projects transit, intercity and school bus travel and transit and commuter rail travel with recovery terms that fade through the 2030s; the ratio of the recovery factor in each year to its 2024 value is the loading multiplier. Use only for the post-2020 recovery, not as a general ridership forecast.</t>
  </si>
  <si>
    <t>Rail passengers per car-mile (check on the start-year value)</t>
  </si>
  <si>
    <t>Federal Transit Administration, National Transit Database</t>
  </si>
  <si>
    <t>NTD Annual Data, Service Data and Operating Expenses by Mode, Time Series 2.1</t>
  </si>
  <si>
    <t>https://data.transportation.gov/Public-Transit/2024-NTD-Annual-Data-Service-Data-and-Operating-Exp/npsm-38gk</t>
  </si>
  <si>
    <t>Passenger-miles over car revenue miles across the rail modes: 27.6 in 2019, 19.1 in 2024, with car-miles back to 97% of 2019. Supports treating the recovery as riders per car. The start-year loading itself comes from the NTD agency tables pasted here.</t>
  </si>
  <si>
    <t>What this file is</t>
  </si>
  <si>
    <t>Average load per vehicle: passengers per vehicle for passenger types and tons per vehicle for freight types, in the start year (SYAVLo) and along the model run (AVLo). With the fleet and the miles per vehicle it converts AEO's passenger-miles and ton-miles into vehicles. The values are constant over time except where the notes below say otherwise; the 'bus loading' and 'rail loading' tabs hold the two paths that change. The dark-blue tabs are exported.</t>
  </si>
  <si>
    <t>1.67 passengers per vehicle from the 2009 National Household Travel Survey, constant.</t>
  </si>
  <si>
    <t>Buses</t>
  </si>
  <si>
    <t>Distance-weighted passengers per bus from the BTS bus profile for the start year, then rising with NEMS's recovery terms for transit, intercity and school bus travel, weighted by their 2019 passenger-miles: about 10% higher by 2035. NEMS treats the return of bus ridership after 2020 as more riders on the existing fleet; carrying it in loading keeps the model from turning that recovery into bus purchases that no sales statistic shows.</t>
  </si>
  <si>
    <t>Passenger and freight aircraft</t>
  </si>
  <si>
    <t>Distance-weighted passengers per aircraft, and tons per freight aircraft, from the BTS air carrier profile, constant.</t>
  </si>
  <si>
    <t>Passenger rail</t>
  </si>
  <si>
    <t>Passenger-miles per car-mile from the NTD agency tables, 15.3 in the start year, then rising with NEMS's transit-rail and commuter-rail recovery terms weighted by 2019 passenger-miles: about 37% higher by 2030 and 48% by 2050. NTD shows passengers per car-mile a third below 2019 while car-miles are back near 2019, so most of AEO's rail passenger-mile growth is riders returning to existing cars; putting it in loading keeps the model from buying cars for it.</t>
  </si>
  <si>
    <t>Recreational boats (passenger ships)</t>
  </si>
  <si>
    <t>1, because the distance file carries hours of use per boat rather than passenger-miles.</t>
  </si>
  <si>
    <t>Motorbikes</t>
  </si>
  <si>
    <t>Distance-weighted passengers per motorcycle from the BTS profile, constant.</t>
  </si>
  <si>
    <t>Freight LDVs (class 2b-6)</t>
  </si>
  <si>
    <t>1 ton per truck, an assumption; no survey reports the average load of commercial light trucks. Any error here is absorbed in the miles per truck, which is derived from the same travel statistic.</t>
  </si>
  <si>
    <t>Heavy trucks (class 7-8)</t>
  </si>
  <si>
    <t>16 tons per truck from FHWA's freight corridor analysis, constant.</t>
  </si>
  <si>
    <t>Freight rail and freight ships</t>
  </si>
  <si>
    <t>Tons per locomotive and per vessel from the BTS rail and water profiles. For ships this is cargo capacity rather than the actual load; the miles per vessel is derived from the same ton-mile statistic, so the product is right even if the split between loading and distance is approximate. The BTS rail figures are taken as train-car-miles rather than locomotive-miles, judged from their scale.</t>
  </si>
  <si>
    <t>Bus loading path: NEMS projects bus travel with COVID-recovery terms; the recovery is treated as more riders per bus (loading), not as bus purchases. R is NEMS's recovery factor; the multiplier is R in each year over R in 2024.</t>
  </si>
  <si>
    <t>Passenger-rail loading path: NEMS projects transit- and commuter-rail travel with COVID-recovery terms; NTD shows passengers per car-mile at 19.1 in 2024 against 27.6 in 2019 with car-miles back to 97% of 2019. The recovery is treated as riders per car, as for buses, so it lands in loading, not vehicles.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</si>
</sst>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_(&quot;$&quot;* \(#,##0.00\);_(&quot;$&quot;* &quot;-&quot;??_);_(@_)"/>
    <numFmt numFmtId="43" formatCode="_(* #,##0.00_);_(* \(#,##0.00\);_(* &quot;-&quot;??_);_(@_)"/>
    <numFmt numFmtId="164" formatCode="0.000"/>
    <numFmt numFmtId="165" formatCode="0.0"/>
    <numFmt numFmtId="166" formatCode="###0.00_)"/>
    <numFmt numFmtId="167" formatCode="#,##0_)"/>
    <numFmt numFmtId="168" formatCode="_(* #,##0_);_(* \(#,##0\);_(* &quot;-&quot;??_);_(@_)"/>
    <numFmt numFmtId="169" formatCode="#,##0.0"/>
    <numFmt numFmtId="170" formatCode="000#"/>
    <numFmt numFmtId="171" formatCode="0000#"/>
    <numFmt numFmtId="172" formatCode="_(* #,##0.0_);_(* \(#,##0.0\);_(* &quot;-&quot;??_);_(@_)"/>
  </numFmts>
  <fonts count="48">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1"/>
      <color indexed="8"/>
      <name val="Calibri"/>
      <family val="2"/>
    </font>
    <font>
      <sz val="11"/>
      <color indexed="9"/>
      <name val="Calibri"/>
      <family val="2"/>
    </font>
    <font>
      <sz val="11"/>
      <color indexed="20"/>
      <name val="Calibri"/>
      <family val="2"/>
    </font>
    <font>
      <sz val="9"/>
      <color indexed="8"/>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9"/>
      <color indexed="8"/>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2"/>
      <color indexed="30"/>
      <name val="Calibri"/>
      <family val="2"/>
    </font>
    <font>
      <b/>
      <sz val="18"/>
      <color indexed="56"/>
      <name val="Cambria"/>
      <family val="2"/>
    </font>
    <font>
      <b/>
      <sz val="14"/>
      <name val="Helv"/>
    </font>
    <font>
      <b/>
      <sz val="11"/>
      <color indexed="8"/>
      <name val="Calibri"/>
      <family val="2"/>
    </font>
    <font>
      <sz val="11"/>
      <color indexed="10"/>
      <name val="Calibri"/>
      <family val="2"/>
    </font>
    <font>
      <b/>
      <sz val="8"/>
      <color theme="0"/>
      <name val="Arial"/>
      <family val="2"/>
    </font>
    <font>
      <sz val="8"/>
      <color theme="1"/>
      <name val="Arial"/>
      <family val="2"/>
    </font>
    <font>
      <b/>
      <sz val="8"/>
      <name val="Arial"/>
      <family val="2"/>
    </font>
    <font>
      <sz val="8"/>
      <name val="Arial"/>
      <family val="2"/>
    </font>
    <font>
      <b/>
      <sz val="11"/>
      <color rgb="FF403F41"/>
      <name val="Calibri"/>
      <family val="2"/>
      <scheme val="minor"/>
    </font>
    <font>
      <sz val="11"/>
      <color rgb="FF403F41"/>
      <name val="Calibri"/>
      <family val="2"/>
      <scheme val="minor"/>
    </font>
    <font>
      <u/>
      <sz val="11"/>
      <color rgb="FF0556C1"/>
      <name val="Calibri"/>
      <family val="2"/>
      <scheme val="minor"/>
    </font>
  </fonts>
  <fills count="37">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rgb="FFFFFF00"/>
        <bgColor indexed="64"/>
      </patternFill>
    </fill>
    <fill>
      <patternFill patternType="solid">
        <fgColor rgb="FFFFFFC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7" tint="-0.249977111117893"/>
        <bgColor indexed="64"/>
      </patternFill>
    </fill>
    <fill>
      <patternFill patternType="solid">
        <fgColor rgb="FFFFCC66"/>
        <bgColor indexed="64"/>
      </patternFill>
    </fill>
    <fill>
      <patternFill patternType="solid">
        <fgColor theme="3"/>
        <bgColor indexed="64"/>
      </patternFill>
    </fill>
    <fill>
      <patternFill patternType="solid">
        <fgColor theme="9" tint="0.39997558519241921"/>
        <bgColor indexed="64"/>
      </patternFill>
    </fill>
    <fill>
      <patternFill patternType="solid">
        <fgColor theme="3" tint="0.499984740745262"/>
        <bgColor indexed="64"/>
      </patternFill>
    </fill>
    <fill>
      <patternFill patternType="solid">
        <fgColor theme="5" tint="0.59999389629810485"/>
        <bgColor indexed="64"/>
      </patternFill>
    </fill>
    <fill>
      <patternFill patternType="solid">
        <fgColor rgb="FFD9D9D9"/>
        <bgColor indexed="64"/>
      </patternFill>
    </fill>
  </fills>
  <borders count="20">
    <border>
      <left/>
      <right/>
      <top/>
      <bottom/>
      <diagonal/>
    </border>
    <border>
      <left style="thin">
        <color rgb="FFB2B2B2"/>
      </left>
      <right style="thin">
        <color rgb="FFB2B2B2"/>
      </right>
      <top style="thin">
        <color rgb="FFB2B2B2"/>
      </top>
      <bottom style="thin">
        <color rgb="FFB2B2B2"/>
      </bottom>
      <diagonal/>
    </border>
    <border>
      <left/>
      <right/>
      <top/>
      <bottom style="dashed">
        <color rgb="FFBFBFBF"/>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style="medium">
        <color rgb="FF0096D7"/>
      </top>
      <bottom/>
      <diagonal/>
    </border>
    <border>
      <left/>
      <right/>
      <top/>
      <bottom style="thick">
        <color rgb="FF0096D7"/>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rgb="FFBFBFBF"/>
      </bottom>
      <diagonal/>
    </border>
    <border>
      <left/>
      <right/>
      <top/>
      <bottom style="hair">
        <color indexed="8"/>
      </bottom>
      <diagonal/>
    </border>
    <border>
      <left/>
      <right/>
      <top style="thin">
        <color indexed="62"/>
      </top>
      <bottom style="double">
        <color indexed="62"/>
      </bottom>
      <diagonal/>
    </border>
    <border>
      <left style="thin">
        <color auto="1"/>
      </left>
      <right/>
      <top/>
      <bottom/>
      <diagonal/>
    </border>
  </borders>
  <cellStyleXfs count="157">
    <xf numFmtId="0" fontId="0" fillId="0" borderId="0"/>
    <xf numFmtId="0" fontId="2" fillId="0" borderId="0" applyNumberFormat="0" applyFill="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9"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5" fillId="16"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23" borderId="0" applyNumberFormat="0" applyBorder="0" applyAlignment="0" applyProtection="0"/>
    <xf numFmtId="0" fontId="6" fillId="7" borderId="0" applyNumberFormat="0" applyBorder="0" applyAlignment="0" applyProtection="0"/>
    <xf numFmtId="0" fontId="7" fillId="0" borderId="2" applyNumberFormat="0" applyFont="0" applyProtection="0">
      <alignment wrapText="1"/>
    </xf>
    <xf numFmtId="0" fontId="7" fillId="0" borderId="2" applyNumberFormat="0" applyFont="0" applyProtection="0">
      <alignment wrapText="1"/>
    </xf>
    <xf numFmtId="0" fontId="8" fillId="24" borderId="3" applyNumberFormat="0" applyAlignment="0" applyProtection="0"/>
    <xf numFmtId="0" fontId="9" fillId="25" borderId="4" applyNumberFormat="0" applyAlignment="0" applyProtection="0"/>
    <xf numFmtId="0" fontId="10" fillId="0" borderId="0">
      <alignment horizontal="center" vertical="center" wrapText="1"/>
    </xf>
    <xf numFmtId="43" fontId="11"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1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12" fillId="0" borderId="0">
      <alignment horizontal="left" vertical="center" wrapText="1"/>
    </xf>
    <xf numFmtId="44" fontId="3" fillId="0" borderId="0" applyFont="0" applyFill="0" applyBorder="0" applyAlignment="0" applyProtection="0"/>
    <xf numFmtId="44" fontId="3" fillId="0" borderId="0" applyFont="0" applyFill="0" applyBorder="0" applyAlignment="0" applyProtection="0"/>
    <xf numFmtId="44" fontId="11" fillId="0" borderId="0" applyFont="0" applyFill="0" applyBorder="0" applyAlignment="0" applyProtection="0"/>
    <xf numFmtId="166" fontId="13" fillId="0" borderId="5" applyNumberFormat="0" applyFill="0">
      <alignment horizontal="right"/>
    </xf>
    <xf numFmtId="166" fontId="14" fillId="0" borderId="5" applyNumberFormat="0" applyFill="0">
      <alignment horizontal="right"/>
    </xf>
    <xf numFmtId="167" fontId="15" fillId="0" borderId="5">
      <alignment horizontal="right" vertical="center"/>
    </xf>
    <xf numFmtId="49" fontId="16" fillId="0" borderId="5">
      <alignment horizontal="left" vertical="center"/>
    </xf>
    <xf numFmtId="166" fontId="13" fillId="0" borderId="5" applyNumberFormat="0" applyFill="0">
      <alignment horizontal="right"/>
    </xf>
    <xf numFmtId="0" fontId="1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6" applyNumberFormat="0" applyProtection="0">
      <alignment wrapText="1"/>
    </xf>
    <xf numFmtId="0" fontId="7" fillId="0" borderId="6" applyNumberFormat="0" applyProtection="0">
      <alignment wrapText="1"/>
    </xf>
    <xf numFmtId="0" fontId="18" fillId="8" borderId="0" applyNumberFormat="0" applyBorder="0" applyAlignment="0" applyProtection="0"/>
    <xf numFmtId="0" fontId="19" fillId="0" borderId="7" applyNumberFormat="0" applyProtection="0">
      <alignment wrapText="1"/>
    </xf>
    <xf numFmtId="0" fontId="19" fillId="0" borderId="7" applyNumberFormat="0" applyProtection="0">
      <alignment wrapText="1"/>
    </xf>
    <xf numFmtId="0" fontId="20" fillId="0" borderId="8" applyNumberFormat="0" applyFill="0" applyAlignment="0" applyProtection="0"/>
    <xf numFmtId="0" fontId="21" fillId="0" borderId="9" applyNumberFormat="0" applyFill="0" applyAlignment="0" applyProtection="0"/>
    <xf numFmtId="0" fontId="22" fillId="0" borderId="10" applyNumberFormat="0" applyFill="0" applyAlignment="0" applyProtection="0"/>
    <xf numFmtId="0" fontId="22" fillId="0" borderId="0" applyNumberFormat="0" applyFill="0" applyBorder="0" applyAlignment="0" applyProtection="0"/>
    <xf numFmtId="0" fontId="23" fillId="0" borderId="5">
      <alignment horizontal="left"/>
    </xf>
    <xf numFmtId="0" fontId="24" fillId="0" borderId="5">
      <alignment horizontal="left"/>
    </xf>
    <xf numFmtId="0" fontId="25" fillId="0" borderId="11">
      <alignment horizontal="right" vertical="center"/>
    </xf>
    <xf numFmtId="0" fontId="26" fillId="0" borderId="5">
      <alignment horizontal="left" vertical="center"/>
    </xf>
    <xf numFmtId="0" fontId="13" fillId="0" borderId="5">
      <alignment horizontal="left" vertical="center"/>
    </xf>
    <xf numFmtId="0" fontId="23" fillId="0" borderId="5">
      <alignment horizontal="left"/>
    </xf>
    <xf numFmtId="0" fontId="23" fillId="26" borderId="0">
      <alignment horizontal="centerContinuous" wrapText="1"/>
    </xf>
    <xf numFmtId="49" fontId="23" fillId="26" borderId="12">
      <alignment horizontal="left" vertical="center"/>
    </xf>
    <xf numFmtId="0" fontId="23" fillId="26" borderId="0">
      <alignment horizontal="centerContinuous" vertical="center" wrapText="1"/>
    </xf>
    <xf numFmtId="0" fontId="27" fillId="0" borderId="0" applyNumberFormat="0" applyFill="0" applyBorder="0" applyAlignment="0" applyProtection="0">
      <alignment vertical="top"/>
      <protection locked="0"/>
    </xf>
    <xf numFmtId="0" fontId="28" fillId="11" borderId="3" applyNumberFormat="0" applyAlignment="0" applyProtection="0"/>
    <xf numFmtId="0" fontId="29" fillId="0" borderId="13" applyNumberFormat="0" applyFill="0" applyAlignment="0" applyProtection="0"/>
    <xf numFmtId="0" fontId="30" fillId="27" borderId="0" applyNumberFormat="0" applyBorder="0" applyAlignment="0" applyProtection="0"/>
    <xf numFmtId="0" fontId="3" fillId="0" borderId="0"/>
    <xf numFmtId="0" fontId="3" fillId="0" borderId="0"/>
    <xf numFmtId="0" fontId="7" fillId="0" borderId="0"/>
    <xf numFmtId="0" fontId="11" fillId="0" borderId="0"/>
    <xf numFmtId="0" fontId="31" fillId="0" borderId="0"/>
    <xf numFmtId="0" fontId="11"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xf numFmtId="0" fontId="11" fillId="0" borderId="0"/>
    <xf numFmtId="0" fontId="3" fillId="0" borderId="0"/>
    <xf numFmtId="0" fontId="3" fillId="0" borderId="0"/>
    <xf numFmtId="0" fontId="3" fillId="0" borderId="0"/>
    <xf numFmtId="0" fontId="11" fillId="0" borderId="0"/>
    <xf numFmtId="0" fontId="3" fillId="5" borderId="1" applyNumberFormat="0" applyFont="0" applyAlignment="0" applyProtection="0"/>
    <xf numFmtId="0" fontId="11" fillId="28" borderId="14" applyNumberFormat="0" applyFont="0" applyAlignment="0" applyProtection="0"/>
    <xf numFmtId="0" fontId="32" fillId="24" borderId="15" applyNumberFormat="0" applyAlignment="0" applyProtection="0"/>
    <xf numFmtId="0" fontId="19" fillId="0" borderId="16" applyNumberFormat="0" applyProtection="0">
      <alignment wrapText="1"/>
    </xf>
    <xf numFmtId="0" fontId="19" fillId="0" borderId="16" applyNumberFormat="0" applyProtection="0">
      <alignment wrapText="1"/>
    </xf>
    <xf numFmtId="9" fontId="3" fillId="0" borderId="0" applyFont="0" applyFill="0" applyBorder="0" applyAlignment="0" applyProtection="0"/>
    <xf numFmtId="9" fontId="3"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3" fillId="0" borderId="0" applyFont="0" applyFill="0" applyBorder="0" applyAlignment="0" applyProtection="0"/>
    <xf numFmtId="3" fontId="15" fillId="0" borderId="0">
      <alignment horizontal="left" vertical="center"/>
    </xf>
    <xf numFmtId="0" fontId="10" fillId="0" borderId="0">
      <alignment horizontal="left" vertical="center"/>
    </xf>
    <xf numFmtId="0" fontId="33" fillId="0" borderId="0">
      <alignment horizontal="right"/>
    </xf>
    <xf numFmtId="49" fontId="33" fillId="0" borderId="0">
      <alignment horizontal="center"/>
    </xf>
    <xf numFmtId="0" fontId="16" fillId="0" borderId="0">
      <alignment horizontal="right"/>
    </xf>
    <xf numFmtId="0" fontId="34" fillId="0" borderId="0">
      <alignment horizontal="right"/>
    </xf>
    <xf numFmtId="0" fontId="33" fillId="0" borderId="0">
      <alignment horizontal="left"/>
    </xf>
    <xf numFmtId="0" fontId="35" fillId="0" borderId="0">
      <alignment horizontal="left"/>
    </xf>
    <xf numFmtId="49" fontId="15" fillId="0" borderId="0">
      <alignment horizontal="left" vertical="center"/>
    </xf>
    <xf numFmtId="49" fontId="16" fillId="0" borderId="5">
      <alignment horizontal="left"/>
    </xf>
    <xf numFmtId="166" fontId="15" fillId="0" borderId="0" applyNumberFormat="0">
      <alignment horizontal="right"/>
    </xf>
    <xf numFmtId="0" fontId="25" fillId="29" borderId="0">
      <alignment horizontal="centerContinuous" vertical="center" wrapText="1"/>
    </xf>
    <xf numFmtId="0" fontId="25" fillId="0" borderId="17">
      <alignment horizontal="left" vertical="center"/>
    </xf>
    <xf numFmtId="0" fontId="36" fillId="0" borderId="0" applyNumberFormat="0" applyProtection="0">
      <alignment horizontal="left"/>
    </xf>
    <xf numFmtId="0" fontId="36" fillId="0" borderId="0" applyNumberFormat="0" applyProtection="0">
      <alignment horizontal="left"/>
    </xf>
    <xf numFmtId="0" fontId="37" fillId="0" borderId="0" applyNumberFormat="0" applyFill="0" applyBorder="0" applyAlignment="0" applyProtection="0"/>
    <xf numFmtId="0" fontId="23" fillId="0" borderId="0">
      <alignment horizontal="left"/>
    </xf>
    <xf numFmtId="0" fontId="12" fillId="0" borderId="0">
      <alignment horizontal="left"/>
    </xf>
    <xf numFmtId="0" fontId="13" fillId="0" borderId="0">
      <alignment horizontal="left"/>
    </xf>
    <xf numFmtId="0" fontId="38" fillId="0" borderId="0">
      <alignment horizontal="left" vertical="top"/>
    </xf>
    <xf numFmtId="0" fontId="12" fillId="0" borderId="0">
      <alignment horizontal="left"/>
    </xf>
    <xf numFmtId="0" fontId="13" fillId="0" borderId="0">
      <alignment horizontal="left"/>
    </xf>
    <xf numFmtId="0" fontId="39" fillId="0" borderId="18" applyNumberFormat="0" applyFill="0" applyAlignment="0" applyProtection="0"/>
    <xf numFmtId="0" fontId="40" fillId="0" borderId="0" applyNumberFormat="0" applyFill="0" applyBorder="0" applyAlignment="0" applyProtection="0"/>
    <xf numFmtId="49" fontId="15" fillId="0" borderId="5">
      <alignment horizontal="left"/>
    </xf>
    <xf numFmtId="0" fontId="25" fillId="0" borderId="11">
      <alignment horizontal="left"/>
    </xf>
    <xf numFmtId="0" fontId="23" fillId="0" borderId="0">
      <alignment horizontal="left" vertical="center"/>
    </xf>
    <xf numFmtId="49" fontId="33" fillId="0" borderId="5">
      <alignment horizontal="left"/>
    </xf>
    <xf numFmtId="43" fontId="3" fillId="0" borderId="0" applyFont="0" applyFill="0" applyBorder="0" applyAlignment="0" applyProtection="0"/>
    <xf numFmtId="9" fontId="3" fillId="0" borderId="0" applyFont="0" applyFill="0" applyBorder="0" applyAlignment="0" applyProtection="0"/>
    <xf numFmtId="43" fontId="11" fillId="0" borderId="0"/>
  </cellStyleXfs>
  <cellXfs count="88">
    <xf numFmtId="0" fontId="0" fillId="0" borderId="0" xfId="0"/>
    <xf numFmtId="0" fontId="1" fillId="0" borderId="0" xfId="0" applyFont="1"/>
    <xf numFmtId="0" fontId="0" fillId="0" borderId="0" xfId="0" applyAlignment="1">
      <alignment horizontal="left"/>
    </xf>
    <xf numFmtId="0" fontId="2" fillId="0" borderId="0" xfId="1"/>
    <xf numFmtId="0" fontId="1" fillId="2" borderId="0" xfId="0" applyFont="1" applyFill="1"/>
    <xf numFmtId="0" fontId="1" fillId="0" borderId="0" xfId="0" applyFont="1" applyAlignment="1">
      <alignment horizontal="right"/>
    </xf>
    <xf numFmtId="1" fontId="0" fillId="0" borderId="0" xfId="0" applyNumberFormat="1"/>
    <xf numFmtId="2" fontId="0" fillId="0" borderId="0" xfId="0" applyNumberFormat="1"/>
    <xf numFmtId="164" fontId="0" fillId="0" borderId="0" xfId="0" applyNumberFormat="1"/>
    <xf numFmtId="165" fontId="0" fillId="0" borderId="0" xfId="0" applyNumberFormat="1"/>
    <xf numFmtId="0" fontId="0" fillId="0" borderId="0" xfId="0" applyAlignment="1">
      <alignment wrapText="1"/>
    </xf>
    <xf numFmtId="0" fontId="1" fillId="3" borderId="0" xfId="0" applyFont="1" applyFill="1"/>
    <xf numFmtId="1" fontId="1" fillId="2" borderId="0" xfId="0" applyNumberFormat="1" applyFont="1" applyFill="1"/>
    <xf numFmtId="0" fontId="0" fillId="0" borderId="0" xfId="0" applyAlignment="1">
      <alignment horizontal="left" indent="2"/>
    </xf>
    <xf numFmtId="1" fontId="0" fillId="4" borderId="0" xfId="0" applyNumberFormat="1" applyFill="1"/>
    <xf numFmtId="0" fontId="1" fillId="2" borderId="0" xfId="0" applyFont="1" applyFill="1" applyAlignment="1">
      <alignment horizontal="left"/>
    </xf>
    <xf numFmtId="0" fontId="1" fillId="0" borderId="0" xfId="0" applyFont="1" applyAlignment="1">
      <alignment wrapText="1"/>
    </xf>
    <xf numFmtId="0" fontId="41" fillId="30" borderId="0" xfId="0" applyFont="1" applyFill="1" applyAlignment="1">
      <alignment wrapText="1"/>
    </xf>
    <xf numFmtId="3" fontId="41" fillId="31" borderId="0" xfId="0" applyNumberFormat="1" applyFont="1" applyFill="1" applyAlignment="1">
      <alignment wrapText="1"/>
    </xf>
    <xf numFmtId="0" fontId="41" fillId="31" borderId="0" xfId="0" applyFont="1" applyFill="1" applyAlignment="1">
      <alignment wrapText="1"/>
    </xf>
    <xf numFmtId="168" fontId="41" fillId="30" borderId="0" xfId="154" applyNumberFormat="1" applyFont="1" applyFill="1" applyBorder="1" applyAlignment="1">
      <alignment wrapText="1"/>
    </xf>
    <xf numFmtId="37" fontId="41" fillId="30" borderId="0" xfId="154" applyNumberFormat="1" applyFont="1" applyFill="1" applyBorder="1" applyAlignment="1">
      <alignment wrapText="1"/>
    </xf>
    <xf numFmtId="37" fontId="41" fillId="31" borderId="0" xfId="154" applyNumberFormat="1" applyFont="1" applyFill="1" applyBorder="1" applyAlignment="1">
      <alignment wrapText="1"/>
    </xf>
    <xf numFmtId="3" fontId="41" fillId="30" borderId="0" xfId="0" applyNumberFormat="1" applyFont="1" applyFill="1" applyAlignment="1">
      <alignment wrapText="1"/>
    </xf>
    <xf numFmtId="169" fontId="41" fillId="30" borderId="0" xfId="0" applyNumberFormat="1" applyFont="1" applyFill="1" applyAlignment="1">
      <alignment wrapText="1"/>
    </xf>
    <xf numFmtId="0" fontId="42" fillId="0" borderId="0" xfId="0" applyFont="1"/>
    <xf numFmtId="170" fontId="42" fillId="0" borderId="0" xfId="0" applyNumberFormat="1" applyFont="1" applyAlignment="1">
      <alignment horizontal="left"/>
    </xf>
    <xf numFmtId="171" fontId="42" fillId="0" borderId="0" xfId="0" applyNumberFormat="1" applyFont="1" applyAlignment="1">
      <alignment horizontal="left"/>
    </xf>
    <xf numFmtId="37" fontId="42" fillId="0" borderId="0" xfId="154" applyNumberFormat="1" applyFont="1"/>
    <xf numFmtId="168" fontId="42" fillId="0" borderId="0" xfId="154" applyNumberFormat="1" applyFont="1"/>
    <xf numFmtId="3" fontId="42" fillId="0" borderId="0" xfId="0" applyNumberFormat="1" applyFont="1"/>
    <xf numFmtId="3" fontId="42" fillId="31" borderId="0" xfId="154" applyNumberFormat="1" applyFont="1" applyFill="1"/>
    <xf numFmtId="43" fontId="42" fillId="0" borderId="0" xfId="154" applyFont="1"/>
    <xf numFmtId="37" fontId="42" fillId="31" borderId="0" xfId="154" applyNumberFormat="1" applyFont="1" applyFill="1"/>
    <xf numFmtId="37" fontId="42" fillId="0" borderId="0" xfId="154" applyNumberFormat="1" applyFont="1" applyBorder="1"/>
    <xf numFmtId="169" fontId="42" fillId="0" borderId="0" xfId="0" applyNumberFormat="1" applyFont="1"/>
    <xf numFmtId="3" fontId="0" fillId="31" borderId="0" xfId="0" applyNumberFormat="1" applyFill="1"/>
    <xf numFmtId="0" fontId="0" fillId="31" borderId="0" xfId="0" applyFill="1"/>
    <xf numFmtId="0" fontId="41" fillId="32" borderId="0" xfId="77" applyFont="1" applyFill="1"/>
    <xf numFmtId="0" fontId="41" fillId="32" borderId="0" xfId="77" applyFont="1" applyFill="1" applyAlignment="1">
      <alignment horizontal="left" wrapText="1"/>
    </xf>
    <xf numFmtId="170" fontId="41" fillId="32" borderId="0" xfId="77" applyNumberFormat="1" applyFont="1" applyFill="1" applyAlignment="1">
      <alignment horizontal="left" wrapText="1"/>
    </xf>
    <xf numFmtId="171" fontId="41" fillId="32" borderId="0" xfId="77" applyNumberFormat="1" applyFont="1" applyFill="1" applyAlignment="1">
      <alignment horizontal="left" wrapText="1"/>
    </xf>
    <xf numFmtId="0" fontId="41" fillId="32" borderId="0" xfId="77" applyFont="1" applyFill="1" applyAlignment="1">
      <alignment wrapText="1"/>
    </xf>
    <xf numFmtId="3" fontId="41" fillId="32" borderId="0" xfId="77" applyNumberFormat="1" applyFont="1" applyFill="1" applyAlignment="1">
      <alignment wrapText="1"/>
    </xf>
    <xf numFmtId="3" fontId="43" fillId="4" borderId="19" xfId="77" applyNumberFormat="1" applyFont="1" applyFill="1" applyBorder="1" applyAlignment="1">
      <alignment wrapText="1"/>
    </xf>
    <xf numFmtId="3" fontId="43" fillId="4" borderId="0" xfId="77" applyNumberFormat="1" applyFont="1" applyFill="1" applyAlignment="1">
      <alignment wrapText="1"/>
    </xf>
    <xf numFmtId="0" fontId="41" fillId="32" borderId="19" xfId="77" applyFont="1" applyFill="1" applyBorder="1" applyAlignment="1">
      <alignment wrapText="1"/>
    </xf>
    <xf numFmtId="2" fontId="41" fillId="32" borderId="0" xfId="77" applyNumberFormat="1" applyFont="1" applyFill="1" applyAlignment="1">
      <alignment wrapText="1"/>
    </xf>
    <xf numFmtId="0" fontId="44" fillId="0" borderId="0" xfId="77" applyFont="1"/>
    <xf numFmtId="0" fontId="44" fillId="0" borderId="0" xfId="77" applyFont="1" applyAlignment="1">
      <alignment horizontal="left"/>
    </xf>
    <xf numFmtId="170" fontId="44" fillId="0" borderId="0" xfId="77" quotePrefix="1" applyNumberFormat="1" applyFont="1" applyAlignment="1">
      <alignment horizontal="left"/>
    </xf>
    <xf numFmtId="171" fontId="44" fillId="0" borderId="0" xfId="77" quotePrefix="1" applyNumberFormat="1" applyFont="1" applyAlignment="1">
      <alignment horizontal="left"/>
    </xf>
    <xf numFmtId="3" fontId="44" fillId="0" borderId="0" xfId="77" applyNumberFormat="1" applyFont="1" applyAlignment="1">
      <alignment horizontal="right" wrapText="1"/>
    </xf>
    <xf numFmtId="3" fontId="44" fillId="0" borderId="0" xfId="77" applyNumberFormat="1" applyFont="1" applyAlignment="1">
      <alignment horizontal="right"/>
    </xf>
    <xf numFmtId="168" fontId="44" fillId="0" borderId="0" xfId="156" applyNumberFormat="1" applyFont="1"/>
    <xf numFmtId="169" fontId="44" fillId="0" borderId="0" xfId="156" applyNumberFormat="1" applyFont="1"/>
    <xf numFmtId="3" fontId="44" fillId="0" borderId="0" xfId="156" applyNumberFormat="1" applyFont="1" applyAlignment="1">
      <alignment horizontal="right"/>
    </xf>
    <xf numFmtId="3" fontId="44" fillId="0" borderId="0" xfId="77" applyNumberFormat="1" applyFont="1"/>
    <xf numFmtId="3" fontId="44" fillId="0" borderId="19" xfId="77" applyNumberFormat="1" applyFont="1" applyBorder="1"/>
    <xf numFmtId="0" fontId="44" fillId="0" borderId="19" xfId="77" applyFont="1" applyBorder="1"/>
    <xf numFmtId="2" fontId="44" fillId="0" borderId="0" xfId="77" applyNumberFormat="1" applyFont="1"/>
    <xf numFmtId="3" fontId="0" fillId="0" borderId="0" xfId="0" applyNumberFormat="1"/>
    <xf numFmtId="9" fontId="0" fillId="0" borderId="0" xfId="155" applyFont="1"/>
    <xf numFmtId="0" fontId="1" fillId="31" borderId="0" xfId="0" applyFont="1" applyFill="1"/>
    <xf numFmtId="0" fontId="1" fillId="33" borderId="0" xfId="0" applyFont="1" applyFill="1"/>
    <xf numFmtId="0" fontId="0" fillId="33" borderId="0" xfId="0" applyFill="1"/>
    <xf numFmtId="0" fontId="1" fillId="34" borderId="0" xfId="0" applyFont="1" applyFill="1"/>
    <xf numFmtId="0" fontId="0" fillId="34" borderId="0" xfId="0" applyFill="1"/>
    <xf numFmtId="168" fontId="0" fillId="0" borderId="0" xfId="154" applyNumberFormat="1" applyFont="1"/>
    <xf numFmtId="0" fontId="45" fillId="0" borderId="0" xfId="0" applyFont="1" applyAlignment="1">
      <alignment vertical="center"/>
    </xf>
    <xf numFmtId="0" fontId="1" fillId="35" borderId="0" xfId="0" applyFont="1" applyFill="1"/>
    <xf numFmtId="0" fontId="46" fillId="0" borderId="0" xfId="0" applyFont="1"/>
    <xf numFmtId="172" fontId="0" fillId="35" borderId="0" xfId="154" applyNumberFormat="1" applyFont="1" applyFill="1"/>
    <xf numFmtId="168" fontId="0" fillId="35" borderId="0" xfId="154" applyNumberFormat="1" applyFont="1" applyFill="1"/>
    <xf numFmtId="0" fontId="0" fillId="35" borderId="0" xfId="0" applyFill="1"/>
    <xf numFmtId="172" fontId="1" fillId="2" borderId="0" xfId="154" applyNumberFormat="1" applyFont="1" applyFill="1"/>
    <xf numFmtId="168" fontId="1" fillId="2" borderId="0" xfId="154" applyNumberFormat="1" applyFont="1" applyFill="1"/>
    <xf numFmtId="168" fontId="3" fillId="2" borderId="0" xfId="154" applyNumberFormat="1" applyFont="1" applyFill="1"/>
    <xf numFmtId="11" fontId="1" fillId="2" borderId="0" xfId="0" applyNumberFormat="1" applyFont="1" applyFill="1"/>
    <xf numFmtId="0" fontId="0" fillId="2" borderId="0" xfId="0" applyFill="1"/>
    <xf numFmtId="43" fontId="0" fillId="0" borderId="0" xfId="154" applyFont="1"/>
    <xf numFmtId="0" fontId="0" fillId="0" borderId="0" xfId="0" applyFont="1" applyFill="1" applyAlignment="1"/>
    <xf numFmtId="0" fontId="1" fillId="0" borderId="0" xfId="0" applyFont="1" applyFill="1" applyAlignment="1"/>
    <xf numFmtId="0" fontId="1" fillId="36" borderId="0" xfId="0" applyFont="1" applyFill="1" applyAlignment="1">
      <alignment vertical="top" wrapText="1"/>
    </xf>
    <xf numFmtId="0" fontId="0" fillId="0" borderId="0" xfId="0" applyFont="1" applyFill="1" applyAlignment="1">
      <alignment horizontal="left" vertical="top" wrapText="1"/>
    </xf>
    <xf numFmtId="0" fontId="0" fillId="0" borderId="0" xfId="0" applyFont="1" applyFill="1" applyAlignment="1">
      <alignment horizontal="left" vertical="top"/>
    </xf>
    <xf numFmtId="0" fontId="47" fillId="0" borderId="0" xfId="1" applyFont="1" applyFill="1" applyAlignment="1">
      <alignment horizontal="left" vertical="top"/>
    </xf>
    <xf numFmtId="0" fontId="1" fillId="0" borderId="0" xfId="0" applyFont="1" applyFill="1" applyAlignment="1">
      <alignment vertical="top"/>
    </xf>
  </cellXfs>
  <cellStyles count="157">
    <cellStyle name="20% - Accent1 2" xfId="2" xr:uid="{00000000-0005-0000-0000-000000000000}"/>
    <cellStyle name="20% - Accent2 2" xfId="3" xr:uid="{00000000-0005-0000-0000-000001000000}"/>
    <cellStyle name="20% - Accent3 2" xfId="4" xr:uid="{00000000-0005-0000-0000-000002000000}"/>
    <cellStyle name="20% - Accent4 2" xfId="5" xr:uid="{00000000-0005-0000-0000-000003000000}"/>
    <cellStyle name="20% - Accent5 2" xfId="6" xr:uid="{00000000-0005-0000-0000-000004000000}"/>
    <cellStyle name="20% - Accent6 2" xfId="7" xr:uid="{00000000-0005-0000-0000-000005000000}"/>
    <cellStyle name="40% - Accent1 2" xfId="8" xr:uid="{00000000-0005-0000-0000-000006000000}"/>
    <cellStyle name="40% - Accent2 2" xfId="9" xr:uid="{00000000-0005-0000-0000-000007000000}"/>
    <cellStyle name="40% - Accent3 2" xfId="10" xr:uid="{00000000-0005-0000-0000-000008000000}"/>
    <cellStyle name="40% - Accent4 2" xfId="11" xr:uid="{00000000-0005-0000-0000-000009000000}"/>
    <cellStyle name="40% - Accent5 2" xfId="12" xr:uid="{00000000-0005-0000-0000-00000A000000}"/>
    <cellStyle name="40% - Accent6 2" xfId="13" xr:uid="{00000000-0005-0000-0000-00000B000000}"/>
    <cellStyle name="60% - Accent1 2" xfId="14" xr:uid="{00000000-0005-0000-0000-00000C000000}"/>
    <cellStyle name="60% - Accent2 2" xfId="15" xr:uid="{00000000-0005-0000-0000-00000D000000}"/>
    <cellStyle name="60% - Accent3 2" xfId="16" xr:uid="{00000000-0005-0000-0000-00000E000000}"/>
    <cellStyle name="60% - Accent4 2" xfId="17" xr:uid="{00000000-0005-0000-0000-00000F000000}"/>
    <cellStyle name="60% - Accent5 2" xfId="18" xr:uid="{00000000-0005-0000-0000-000010000000}"/>
    <cellStyle name="60% - Accent6 2" xfId="19" xr:uid="{00000000-0005-0000-0000-000011000000}"/>
    <cellStyle name="Accent1 2" xfId="20" xr:uid="{00000000-0005-0000-0000-000012000000}"/>
    <cellStyle name="Accent2 2" xfId="21" xr:uid="{00000000-0005-0000-0000-000013000000}"/>
    <cellStyle name="Accent3 2" xfId="22" xr:uid="{00000000-0005-0000-0000-000014000000}"/>
    <cellStyle name="Accent4 2" xfId="23" xr:uid="{00000000-0005-0000-0000-000015000000}"/>
    <cellStyle name="Accent5 2" xfId="24" xr:uid="{00000000-0005-0000-0000-000016000000}"/>
    <cellStyle name="Accent6 2" xfId="25" xr:uid="{00000000-0005-0000-0000-000017000000}"/>
    <cellStyle name="Bad 2" xfId="26" xr:uid="{00000000-0005-0000-0000-000018000000}"/>
    <cellStyle name="Body: normal cell" xfId="27" xr:uid="{00000000-0005-0000-0000-000019000000}"/>
    <cellStyle name="Body: normal cell 2" xfId="28" xr:uid="{00000000-0005-0000-0000-00001A000000}"/>
    <cellStyle name="Calculation 2" xfId="29" xr:uid="{00000000-0005-0000-0000-00001B000000}"/>
    <cellStyle name="Check Cell 2" xfId="30" xr:uid="{00000000-0005-0000-0000-00001C000000}"/>
    <cellStyle name="Column heading" xfId="31" xr:uid="{00000000-0005-0000-0000-00001D000000}"/>
    <cellStyle name="Comma" xfId="154" builtinId="3"/>
    <cellStyle name="Comma 2" xfId="32" xr:uid="{00000000-0005-0000-0000-00001E000000}"/>
    <cellStyle name="Comma 2 2" xfId="33" xr:uid="{00000000-0005-0000-0000-00001F000000}"/>
    <cellStyle name="Comma 2 3" xfId="156" xr:uid="{F51FC19E-4EAF-4071-9F29-F9F4A72863A2}"/>
    <cellStyle name="Comma 3" xfId="34" xr:uid="{00000000-0005-0000-0000-000020000000}"/>
    <cellStyle name="Comma 4" xfId="35" xr:uid="{00000000-0005-0000-0000-000021000000}"/>
    <cellStyle name="Comma 5" xfId="36" xr:uid="{00000000-0005-0000-0000-000022000000}"/>
    <cellStyle name="Comma 6" xfId="37" xr:uid="{00000000-0005-0000-0000-000023000000}"/>
    <cellStyle name="Comma 7" xfId="38" xr:uid="{00000000-0005-0000-0000-000024000000}"/>
    <cellStyle name="Comma 8" xfId="39" xr:uid="{00000000-0005-0000-0000-000025000000}"/>
    <cellStyle name="Corner heading" xfId="40" xr:uid="{00000000-0005-0000-0000-000026000000}"/>
    <cellStyle name="Currency 2" xfId="41" xr:uid="{00000000-0005-0000-0000-000027000000}"/>
    <cellStyle name="Currency 3" xfId="42" xr:uid="{00000000-0005-0000-0000-000028000000}"/>
    <cellStyle name="Currency 3 2" xfId="43" xr:uid="{00000000-0005-0000-0000-000029000000}"/>
    <cellStyle name="Data" xfId="44" xr:uid="{00000000-0005-0000-0000-00002A000000}"/>
    <cellStyle name="Data 2" xfId="45" xr:uid="{00000000-0005-0000-0000-00002B000000}"/>
    <cellStyle name="Data no deci" xfId="46" xr:uid="{00000000-0005-0000-0000-00002C000000}"/>
    <cellStyle name="Data Superscript" xfId="47" xr:uid="{00000000-0005-0000-0000-00002D000000}"/>
    <cellStyle name="Data_1-1A-Regular" xfId="48" xr:uid="{00000000-0005-0000-0000-00002E000000}"/>
    <cellStyle name="Explanatory Text 2" xfId="49" xr:uid="{00000000-0005-0000-0000-00002F000000}"/>
    <cellStyle name="Font: Calibri, 9pt regular" xfId="50" xr:uid="{00000000-0005-0000-0000-000030000000}"/>
    <cellStyle name="Font: Calibri, 9pt regular 2" xfId="51" xr:uid="{00000000-0005-0000-0000-000031000000}"/>
    <cellStyle name="Footnotes: top row" xfId="52" xr:uid="{00000000-0005-0000-0000-000032000000}"/>
    <cellStyle name="Footnotes: top row 2" xfId="53" xr:uid="{00000000-0005-0000-0000-000033000000}"/>
    <cellStyle name="Good 2" xfId="54" xr:uid="{00000000-0005-0000-0000-000034000000}"/>
    <cellStyle name="Header: bottom row" xfId="55" xr:uid="{00000000-0005-0000-0000-000035000000}"/>
    <cellStyle name="Header: bottom row 2" xfId="56" xr:uid="{00000000-0005-0000-0000-000036000000}"/>
    <cellStyle name="Heading 1 2" xfId="57" xr:uid="{00000000-0005-0000-0000-000037000000}"/>
    <cellStyle name="Heading 2 2" xfId="58" xr:uid="{00000000-0005-0000-0000-000038000000}"/>
    <cellStyle name="Heading 3 2" xfId="59" xr:uid="{00000000-0005-0000-0000-000039000000}"/>
    <cellStyle name="Heading 4 2" xfId="60" xr:uid="{00000000-0005-0000-0000-00003A000000}"/>
    <cellStyle name="Hed Side" xfId="61" xr:uid="{00000000-0005-0000-0000-00003B000000}"/>
    <cellStyle name="Hed Side 2" xfId="62" xr:uid="{00000000-0005-0000-0000-00003C000000}"/>
    <cellStyle name="Hed Side bold" xfId="63" xr:uid="{00000000-0005-0000-0000-00003D000000}"/>
    <cellStyle name="Hed Side Indent" xfId="64" xr:uid="{00000000-0005-0000-0000-00003E000000}"/>
    <cellStyle name="Hed Side Regular" xfId="65" xr:uid="{00000000-0005-0000-0000-00003F000000}"/>
    <cellStyle name="Hed Side_1-1A-Regular" xfId="66" xr:uid="{00000000-0005-0000-0000-000040000000}"/>
    <cellStyle name="Hed Top" xfId="67" xr:uid="{00000000-0005-0000-0000-000041000000}"/>
    <cellStyle name="Hed Top - SECTION" xfId="68" xr:uid="{00000000-0005-0000-0000-000042000000}"/>
    <cellStyle name="Hed Top_3-new4" xfId="69" xr:uid="{00000000-0005-0000-0000-000043000000}"/>
    <cellStyle name="Hyperlink" xfId="1" builtinId="8"/>
    <cellStyle name="Hyperlink 2" xfId="70" xr:uid="{00000000-0005-0000-0000-000045000000}"/>
    <cellStyle name="Input 2" xfId="71" xr:uid="{00000000-0005-0000-0000-000046000000}"/>
    <cellStyle name="Linked Cell 2" xfId="72" xr:uid="{00000000-0005-0000-0000-000047000000}"/>
    <cellStyle name="Neutral 2" xfId="73" xr:uid="{00000000-0005-0000-0000-000048000000}"/>
    <cellStyle name="Normal" xfId="0" builtinId="0"/>
    <cellStyle name="Normal 10" xfId="74" xr:uid="{00000000-0005-0000-0000-00004A000000}"/>
    <cellStyle name="Normal 11" xfId="75" xr:uid="{00000000-0005-0000-0000-00004B000000}"/>
    <cellStyle name="Normal 2" xfId="76" xr:uid="{00000000-0005-0000-0000-00004C000000}"/>
    <cellStyle name="Normal 2 2" xfId="77" xr:uid="{00000000-0005-0000-0000-00004D000000}"/>
    <cellStyle name="Normal 2 3" xfId="78" xr:uid="{00000000-0005-0000-0000-00004E000000}"/>
    <cellStyle name="Normal 3" xfId="79" xr:uid="{00000000-0005-0000-0000-00004F000000}"/>
    <cellStyle name="Normal 3 2" xfId="80" xr:uid="{00000000-0005-0000-0000-000050000000}"/>
    <cellStyle name="Normal 3 2 2" xfId="81" xr:uid="{00000000-0005-0000-0000-000051000000}"/>
    <cellStyle name="Normal 3 2 2 2" xfId="82" xr:uid="{00000000-0005-0000-0000-000052000000}"/>
    <cellStyle name="Normal 3 2 3" xfId="83" xr:uid="{00000000-0005-0000-0000-000053000000}"/>
    <cellStyle name="Normal 3 3" xfId="84" xr:uid="{00000000-0005-0000-0000-000054000000}"/>
    <cellStyle name="Normal 3 3 2" xfId="85" xr:uid="{00000000-0005-0000-0000-000055000000}"/>
    <cellStyle name="Normal 3 3 2 2" xfId="86" xr:uid="{00000000-0005-0000-0000-000056000000}"/>
    <cellStyle name="Normal 3 3 3" xfId="87" xr:uid="{00000000-0005-0000-0000-000057000000}"/>
    <cellStyle name="Normal 3 4" xfId="88" xr:uid="{00000000-0005-0000-0000-000058000000}"/>
    <cellStyle name="Normal 3 4 2" xfId="89" xr:uid="{00000000-0005-0000-0000-000059000000}"/>
    <cellStyle name="Normal 3 5" xfId="90" xr:uid="{00000000-0005-0000-0000-00005A000000}"/>
    <cellStyle name="Normal 3 6" xfId="91" xr:uid="{00000000-0005-0000-0000-00005B000000}"/>
    <cellStyle name="Normal 3 7" xfId="92" xr:uid="{00000000-0005-0000-0000-00005C000000}"/>
    <cellStyle name="Normal 4" xfId="93" xr:uid="{00000000-0005-0000-0000-00005D000000}"/>
    <cellStyle name="Normal 4 2" xfId="94" xr:uid="{00000000-0005-0000-0000-00005E000000}"/>
    <cellStyle name="Normal 4 2 2" xfId="95" xr:uid="{00000000-0005-0000-0000-00005F000000}"/>
    <cellStyle name="Normal 4 2 2 2" xfId="96" xr:uid="{00000000-0005-0000-0000-000060000000}"/>
    <cellStyle name="Normal 4 2 3" xfId="97" xr:uid="{00000000-0005-0000-0000-000061000000}"/>
    <cellStyle name="Normal 4 3" xfId="98" xr:uid="{00000000-0005-0000-0000-000062000000}"/>
    <cellStyle name="Normal 4 3 2" xfId="99" xr:uid="{00000000-0005-0000-0000-000063000000}"/>
    <cellStyle name="Normal 4 3 2 2" xfId="100" xr:uid="{00000000-0005-0000-0000-000064000000}"/>
    <cellStyle name="Normal 4 3 3" xfId="101" xr:uid="{00000000-0005-0000-0000-000065000000}"/>
    <cellStyle name="Normal 4 4" xfId="102" xr:uid="{00000000-0005-0000-0000-000066000000}"/>
    <cellStyle name="Normal 4 4 2" xfId="103" xr:uid="{00000000-0005-0000-0000-000067000000}"/>
    <cellStyle name="Normal 4 5" xfId="104" xr:uid="{00000000-0005-0000-0000-000068000000}"/>
    <cellStyle name="Normal 4 6" xfId="105" xr:uid="{00000000-0005-0000-0000-000069000000}"/>
    <cellStyle name="Normal 4 7" xfId="106" xr:uid="{00000000-0005-0000-0000-00006A000000}"/>
    <cellStyle name="Normal 5" xfId="107" xr:uid="{00000000-0005-0000-0000-00006B000000}"/>
    <cellStyle name="Normal 5 2" xfId="108" xr:uid="{00000000-0005-0000-0000-00006C000000}"/>
    <cellStyle name="Normal 5 3" xfId="109" xr:uid="{00000000-0005-0000-0000-00006D000000}"/>
    <cellStyle name="Normal 6" xfId="110" xr:uid="{00000000-0005-0000-0000-00006E000000}"/>
    <cellStyle name="Normal 6 2" xfId="111" xr:uid="{00000000-0005-0000-0000-00006F000000}"/>
    <cellStyle name="Normal 7" xfId="112" xr:uid="{00000000-0005-0000-0000-000070000000}"/>
    <cellStyle name="Normal 7 2" xfId="113" xr:uid="{00000000-0005-0000-0000-000071000000}"/>
    <cellStyle name="Normal 8" xfId="114" xr:uid="{00000000-0005-0000-0000-000072000000}"/>
    <cellStyle name="Normal 9" xfId="115" xr:uid="{00000000-0005-0000-0000-000073000000}"/>
    <cellStyle name="Note 2" xfId="116" xr:uid="{00000000-0005-0000-0000-000074000000}"/>
    <cellStyle name="Note 2 2" xfId="117" xr:uid="{00000000-0005-0000-0000-000075000000}"/>
    <cellStyle name="Output 2" xfId="118" xr:uid="{00000000-0005-0000-0000-000076000000}"/>
    <cellStyle name="Parent row" xfId="119" xr:uid="{00000000-0005-0000-0000-000077000000}"/>
    <cellStyle name="Parent row 2" xfId="120" xr:uid="{00000000-0005-0000-0000-000078000000}"/>
    <cellStyle name="Percent" xfId="155"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139" xr:uid="{00000000-0005-0000-0000-00008B000000}"/>
    <cellStyle name="Table title 2" xfId="140" xr:uid="{00000000-0005-0000-0000-00008C000000}"/>
    <cellStyle name="Title 2" xfId="141" xr:uid="{00000000-0005-0000-0000-00008D000000}"/>
    <cellStyle name="Title Text" xfId="142" xr:uid="{00000000-0005-0000-0000-00008E000000}"/>
    <cellStyle name="Title Text 1" xfId="143" xr:uid="{00000000-0005-0000-0000-00008F000000}"/>
    <cellStyle name="Title Text 2" xfId="144" xr:uid="{00000000-0005-0000-0000-000090000000}"/>
    <cellStyle name="Title-1" xfId="145" xr:uid="{00000000-0005-0000-0000-000091000000}"/>
    <cellStyle name="Title-2" xfId="146" xr:uid="{00000000-0005-0000-0000-000092000000}"/>
    <cellStyle name="Title-3" xfId="147" xr:uid="{00000000-0005-0000-0000-000093000000}"/>
    <cellStyle name="Total 2" xfId="148" xr:uid="{00000000-0005-0000-0000-000094000000}"/>
    <cellStyle name="Warning Text 2" xfId="149" xr:uid="{00000000-0005-0000-0000-000095000000}"/>
    <cellStyle name="Wrap" xfId="150" xr:uid="{00000000-0005-0000-0000-000096000000}"/>
    <cellStyle name="Wrap Bold" xfId="151" xr:uid="{00000000-0005-0000-0000-000097000000}"/>
    <cellStyle name="Wrap Title" xfId="152" xr:uid="{00000000-0005-0000-0000-000098000000}"/>
    <cellStyle name="Wrap_NTS99-~11" xfId="153" xr:uid="{00000000-0005-0000-0000-000099000000}"/>
  </cellStyles>
  <dxfs count="4">
    <dxf>
      <font>
        <color rgb="FF9C0006"/>
      </font>
      <fill>
        <patternFill>
          <bgColor rgb="FFFFC7CE"/>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apta.com/research-technical-resources/transit-statistics/ntd-data-tables/" TargetMode="External"/><Relationship Id="rId2" Type="http://schemas.openxmlformats.org/officeDocument/2006/relationships/hyperlink" Target="http://ops.fhwa.dot.gov/freight/freight_analysis/freight_story/major.htm" TargetMode="External"/><Relationship Id="rId1" Type="http://schemas.openxmlformats.org/officeDocument/2006/relationships/hyperlink" Target="http://nhts.ornl.gov/2009/pub/stt.pdf" TargetMode="External"/><Relationship Id="rId6" Type="http://schemas.openxmlformats.org/officeDocument/2006/relationships/printerSettings" Target="../printerSettings/printerSettings1.bin"/><Relationship Id="rId5" Type="http://schemas.openxmlformats.org/officeDocument/2006/relationships/hyperlink" Target="https://data.transportation.gov/Public-Transit/2024-NTD-Annual-Data-Service-Data-and-Operating-Exp/npsm-38gk" TargetMode="External"/><Relationship Id="rId4" Type="http://schemas.openxmlformats.org/officeDocument/2006/relationships/hyperlink" Target="https://github.com/EIAgov/NEMS/tree/AEO2026-Public-Release/input/td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
  <sheetViews>
    <sheetView topLeftCell="A28" workbookViewId="0">
      <selection activeCell="B37" sqref="B37"/>
    </sheetView>
  </sheetViews>
  <sheetFormatPr defaultRowHeight="15"/>
  <cols>
    <col min="1" max="1" width="16.7109375" customWidth="1"/>
    <col min="2" max="2" width="100.7109375" customWidth="1"/>
    <col min="3" max="3" width="3.7109375" customWidth="1"/>
    <col min="4" max="4" width="100.7109375" customWidth="1"/>
  </cols>
  <sheetData>
    <row r="1" spans="1:4">
      <c r="A1" s="1" t="s">
        <v>0</v>
      </c>
    </row>
    <row r="3" spans="1:4">
      <c r="A3" s="1" t="s">
        <v>6</v>
      </c>
      <c r="B3" s="4" t="s">
        <v>1</v>
      </c>
      <c r="C3" s="81"/>
      <c r="D3" s="83" t="s">
        <v>521</v>
      </c>
    </row>
    <row r="4" spans="1:4">
      <c r="B4" t="s">
        <v>2</v>
      </c>
      <c r="C4" s="81"/>
      <c r="D4" s="85" t="s">
        <v>522</v>
      </c>
    </row>
    <row r="5" spans="1:4">
      <c r="B5" s="2">
        <v>2009</v>
      </c>
      <c r="C5" s="81"/>
      <c r="D5" s="85" t="s">
        <v>523</v>
      </c>
    </row>
    <row r="6" spans="1:4">
      <c r="B6" t="s">
        <v>3</v>
      </c>
      <c r="C6" s="81"/>
      <c r="D6" s="85">
        <v>2026</v>
      </c>
    </row>
    <row r="7" spans="1:4">
      <c r="B7" s="3" t="s">
        <v>4</v>
      </c>
      <c r="C7" s="81"/>
      <c r="D7" s="86" t="s">
        <v>524</v>
      </c>
    </row>
    <row r="8" spans="1:4" ht="60">
      <c r="B8" t="s">
        <v>5</v>
      </c>
      <c r="C8" s="81"/>
      <c r="D8" s="84" t="s">
        <v>525</v>
      </c>
    </row>
    <row r="9" spans="1:4">
      <c r="C9" s="81"/>
      <c r="D9" s="81"/>
    </row>
    <row r="10" spans="1:4">
      <c r="B10" s="4" t="s">
        <v>7</v>
      </c>
      <c r="C10" s="81"/>
      <c r="D10" s="83" t="s">
        <v>526</v>
      </c>
    </row>
    <row r="11" spans="1:4">
      <c r="B11" t="s">
        <v>8</v>
      </c>
      <c r="C11" s="81"/>
      <c r="D11" s="85" t="s">
        <v>527</v>
      </c>
    </row>
    <row r="12" spans="1:4">
      <c r="B12" s="2">
        <v>2008</v>
      </c>
      <c r="C12" s="81"/>
      <c r="D12" s="85" t="s">
        <v>528</v>
      </c>
    </row>
    <row r="13" spans="1:4">
      <c r="B13" t="s">
        <v>9</v>
      </c>
      <c r="C13" s="81"/>
      <c r="D13" s="85">
        <v>2025</v>
      </c>
    </row>
    <row r="14" spans="1:4">
      <c r="B14" s="3" t="s">
        <v>10</v>
      </c>
      <c r="C14" s="81"/>
      <c r="D14" s="86" t="s">
        <v>529</v>
      </c>
    </row>
    <row r="15" spans="1:4" ht="45">
      <c r="B15" t="s">
        <v>11</v>
      </c>
      <c r="C15" s="81"/>
      <c r="D15" s="84" t="s">
        <v>530</v>
      </c>
    </row>
    <row r="16" spans="1:4">
      <c r="C16" s="81"/>
      <c r="D16" s="81"/>
    </row>
    <row r="17" spans="2:4">
      <c r="B17" s="4" t="s">
        <v>98</v>
      </c>
      <c r="C17" s="81"/>
      <c r="D17" s="81"/>
    </row>
    <row r="18" spans="2:4">
      <c r="B18" t="s">
        <v>64</v>
      </c>
      <c r="C18" s="81"/>
      <c r="D18" s="81"/>
    </row>
    <row r="19" spans="2:4">
      <c r="B19" s="2">
        <v>2016</v>
      </c>
      <c r="C19" s="81"/>
      <c r="D19" s="81"/>
    </row>
    <row r="20" spans="2:4">
      <c r="B20" t="s">
        <v>73</v>
      </c>
      <c r="C20" s="81"/>
      <c r="D20" s="81"/>
    </row>
    <row r="21" spans="2:4">
      <c r="B21" t="s">
        <v>66</v>
      </c>
      <c r="C21" s="81"/>
      <c r="D21" s="81"/>
    </row>
    <row r="22" spans="2:4">
      <c r="B22" t="s">
        <v>65</v>
      </c>
      <c r="C22" s="81"/>
      <c r="D22" s="81"/>
    </row>
    <row r="23" spans="2:4">
      <c r="B23" s="13" t="s">
        <v>67</v>
      </c>
      <c r="C23" s="81"/>
      <c r="D23" s="81"/>
    </row>
    <row r="24" spans="2:4">
      <c r="B24" s="13" t="s">
        <v>68</v>
      </c>
      <c r="C24" s="81"/>
      <c r="D24" s="81"/>
    </row>
    <row r="25" spans="2:4">
      <c r="B25" s="13" t="s">
        <v>69</v>
      </c>
      <c r="C25" s="81"/>
      <c r="D25" s="81"/>
    </row>
    <row r="26" spans="2:4">
      <c r="B26" s="13" t="s">
        <v>70</v>
      </c>
      <c r="C26" s="81"/>
      <c r="D26" s="81"/>
    </row>
    <row r="27" spans="2:4">
      <c r="B27" s="13" t="s">
        <v>71</v>
      </c>
      <c r="C27" s="81"/>
      <c r="D27" s="81"/>
    </row>
    <row r="28" spans="2:4">
      <c r="B28" s="13" t="s">
        <v>72</v>
      </c>
      <c r="C28" s="81"/>
      <c r="D28" s="81"/>
    </row>
    <row r="29" spans="2:4">
      <c r="B29" s="13"/>
      <c r="C29" s="81"/>
      <c r="D29" s="81"/>
    </row>
    <row r="30" spans="2:4">
      <c r="B30" s="15" t="s">
        <v>74</v>
      </c>
      <c r="C30" s="81"/>
      <c r="D30" s="81"/>
    </row>
    <row r="31" spans="2:4">
      <c r="B31" t="s">
        <v>75</v>
      </c>
      <c r="C31" s="81"/>
      <c r="D31" s="81"/>
    </row>
    <row r="32" spans="2:4">
      <c r="B32" s="2">
        <v>2013</v>
      </c>
      <c r="C32" s="81"/>
      <c r="D32" s="81"/>
    </row>
    <row r="33" spans="1:4">
      <c r="B33" t="s">
        <v>76</v>
      </c>
      <c r="C33" s="81"/>
      <c r="D33" s="81"/>
    </row>
    <row r="34" spans="1:4">
      <c r="B34" t="s">
        <v>77</v>
      </c>
      <c r="C34" s="81"/>
      <c r="D34" s="81"/>
    </row>
    <row r="35" spans="1:4">
      <c r="B35" t="s">
        <v>78</v>
      </c>
      <c r="C35" s="81"/>
      <c r="D35" s="81"/>
    </row>
    <row r="36" spans="1:4">
      <c r="C36" s="81"/>
      <c r="D36" s="81"/>
    </row>
    <row r="37" spans="1:4">
      <c r="B37" s="4" t="s">
        <v>99</v>
      </c>
      <c r="C37" s="81"/>
      <c r="D37" s="81"/>
    </row>
    <row r="38" spans="1:4">
      <c r="B38" t="s">
        <v>100</v>
      </c>
      <c r="C38" s="81"/>
      <c r="D38" s="81"/>
    </row>
    <row r="39" spans="1:4">
      <c r="B39" t="s">
        <v>101</v>
      </c>
      <c r="C39" s="81"/>
      <c r="D39" s="81"/>
    </row>
    <row r="40" spans="1:4">
      <c r="B40">
        <v>2020</v>
      </c>
      <c r="C40" s="81"/>
      <c r="D40" s="81"/>
    </row>
    <row r="41" spans="1:4">
      <c r="B41" s="3" t="s">
        <v>102</v>
      </c>
      <c r="C41" s="81"/>
      <c r="D41" s="81"/>
    </row>
    <row r="42" spans="1:4">
      <c r="C42" s="81"/>
      <c r="D42" s="81"/>
    </row>
    <row r="44" spans="1:4">
      <c r="A44" s="82" t="s">
        <v>18</v>
      </c>
      <c r="B44" s="81"/>
      <c r="C44" s="81"/>
      <c r="D44" s="81"/>
    </row>
    <row r="45" spans="1:4" ht="75">
      <c r="A45" s="87" t="s">
        <v>531</v>
      </c>
      <c r="B45" s="84" t="s">
        <v>532</v>
      </c>
      <c r="C45" s="81"/>
      <c r="D45" s="81"/>
    </row>
    <row r="46" spans="1:4">
      <c r="A46" s="87" t="s">
        <v>58</v>
      </c>
      <c r="B46" s="84" t="s">
        <v>533</v>
      </c>
      <c r="C46" s="81"/>
      <c r="D46" s="81"/>
    </row>
    <row r="47" spans="1:4" ht="60">
      <c r="A47" s="87" t="s">
        <v>534</v>
      </c>
      <c r="B47" s="84" t="s">
        <v>535</v>
      </c>
      <c r="C47" s="81"/>
      <c r="D47" s="81"/>
    </row>
    <row r="48" spans="1:4" ht="30">
      <c r="A48" s="87" t="s">
        <v>536</v>
      </c>
      <c r="B48" s="84" t="s">
        <v>537</v>
      </c>
      <c r="C48" s="81"/>
      <c r="D48" s="81"/>
    </row>
    <row r="49" spans="1:4" ht="75">
      <c r="A49" s="87" t="s">
        <v>538</v>
      </c>
      <c r="B49" s="84" t="s">
        <v>539</v>
      </c>
      <c r="C49" s="81"/>
      <c r="D49" s="81"/>
    </row>
    <row r="50" spans="1:4">
      <c r="A50" s="87" t="s">
        <v>540</v>
      </c>
      <c r="B50" s="84" t="s">
        <v>541</v>
      </c>
      <c r="C50" s="81"/>
      <c r="D50" s="81"/>
    </row>
    <row r="51" spans="1:4">
      <c r="A51" s="87" t="s">
        <v>542</v>
      </c>
      <c r="B51" s="84" t="s">
        <v>543</v>
      </c>
      <c r="C51" s="81"/>
      <c r="D51" s="81"/>
    </row>
    <row r="52" spans="1:4" ht="30">
      <c r="A52" s="87" t="s">
        <v>544</v>
      </c>
      <c r="B52" s="84" t="s">
        <v>545</v>
      </c>
      <c r="C52" s="81"/>
      <c r="D52" s="81"/>
    </row>
    <row r="53" spans="1:4">
      <c r="A53" s="87" t="s">
        <v>546</v>
      </c>
      <c r="B53" s="84" t="s">
        <v>547</v>
      </c>
      <c r="C53" s="81"/>
      <c r="D53" s="81"/>
    </row>
    <row r="54" spans="1:4" ht="60">
      <c r="A54" s="87" t="s">
        <v>548</v>
      </c>
      <c r="B54" s="84" t="s">
        <v>549</v>
      </c>
      <c r="C54" s="81"/>
      <c r="D54" s="81"/>
    </row>
    <row r="55" spans="1:4">
      <c r="A55" s="81"/>
      <c r="B55" s="81"/>
      <c r="C55" s="81"/>
      <c r="D55" s="81"/>
    </row>
    <row r="56" spans="1:4">
      <c r="A56" s="81"/>
      <c r="B56" s="81"/>
      <c r="C56" s="81"/>
      <c r="D56" s="81"/>
    </row>
    <row r="57" spans="1:4">
      <c r="A57" s="81"/>
      <c r="B57" s="81"/>
      <c r="C57" s="81"/>
      <c r="D57" s="81"/>
    </row>
    <row r="58" spans="1:4">
      <c r="A58" s="81"/>
      <c r="B58" s="81"/>
      <c r="C58" s="81"/>
      <c r="D58" s="81"/>
    </row>
    <row r="59" spans="1:4">
      <c r="A59" s="81"/>
      <c r="B59" s="81"/>
      <c r="C59" s="81"/>
      <c r="D59" s="81"/>
    </row>
    <row r="60" spans="1:4">
      <c r="A60" s="81"/>
      <c r="B60" s="81"/>
      <c r="C60" s="81"/>
      <c r="D60" s="81"/>
    </row>
    <row r="61" spans="1:4">
      <c r="A61" s="81"/>
      <c r="B61" s="81"/>
      <c r="C61" s="81"/>
      <c r="D61" s="81"/>
    </row>
    <row r="62" spans="1:4">
      <c r="A62" s="81"/>
      <c r="B62" s="81"/>
      <c r="C62" s="81"/>
      <c r="D62" s="81"/>
    </row>
    <row r="63" spans="1:4">
      <c r="A63" s="81"/>
      <c r="B63" s="81"/>
      <c r="C63" s="81"/>
      <c r="D63" s="81"/>
    </row>
    <row r="64" spans="1:4">
      <c r="A64" s="81"/>
      <c r="B64" s="81"/>
      <c r="C64" s="81"/>
      <c r="D64" s="81"/>
    </row>
    <row r="65" spans="1:4">
      <c r="A65" s="81"/>
      <c r="B65" s="81"/>
      <c r="C65" s="81"/>
      <c r="D65" s="81"/>
    </row>
    <row r="66" spans="1:4">
      <c r="A66" s="81"/>
      <c r="B66" s="81"/>
      <c r="C66" s="81"/>
      <c r="D66" s="81"/>
    </row>
    <row r="67" spans="1:4">
      <c r="A67" s="81"/>
      <c r="B67" s="81"/>
      <c r="C67" s="81"/>
      <c r="D67" s="81"/>
    </row>
    <row r="68" spans="1:4">
      <c r="A68" s="81"/>
      <c r="B68" s="81"/>
      <c r="C68" s="81"/>
      <c r="D68" s="81"/>
    </row>
    <row r="69" spans="1:4">
      <c r="A69" s="81"/>
      <c r="B69" s="81"/>
      <c r="C69" s="81"/>
      <c r="D69" s="81"/>
    </row>
    <row r="70" spans="1:4">
      <c r="A70" s="81"/>
      <c r="B70" s="81"/>
      <c r="C70" s="81"/>
      <c r="D70" s="81"/>
    </row>
    <row r="71" spans="1:4">
      <c r="A71" s="81"/>
      <c r="B71" s="81"/>
      <c r="C71" s="81"/>
      <c r="D71" s="81"/>
    </row>
    <row r="72" spans="1:4">
      <c r="A72" s="81"/>
      <c r="B72" s="81"/>
      <c r="C72" s="81"/>
      <c r="D72" s="81"/>
    </row>
    <row r="73" spans="1:4">
      <c r="A73" s="81"/>
      <c r="B73" s="81"/>
      <c r="C73" s="81"/>
      <c r="D73" s="81"/>
    </row>
    <row r="74" spans="1:4">
      <c r="A74" s="81"/>
      <c r="B74" s="81"/>
      <c r="C74" s="81"/>
      <c r="D74" s="81"/>
    </row>
    <row r="75" spans="1:4">
      <c r="A75" s="81"/>
      <c r="B75" s="81"/>
      <c r="C75" s="81"/>
      <c r="D75" s="81"/>
    </row>
    <row r="76" spans="1:4">
      <c r="A76" s="81"/>
      <c r="B76" s="81"/>
      <c r="C76" s="81"/>
      <c r="D76" s="81"/>
    </row>
    <row r="77" spans="1:4">
      <c r="A77" s="81"/>
      <c r="B77" s="81"/>
      <c r="C77" s="81"/>
      <c r="D77" s="81"/>
    </row>
    <row r="78" spans="1:4">
      <c r="A78" s="81"/>
      <c r="B78" s="81"/>
      <c r="C78" s="81"/>
      <c r="D78" s="81"/>
    </row>
    <row r="79" spans="1:4">
      <c r="A79" s="81"/>
      <c r="B79" s="81"/>
      <c r="C79" s="81"/>
      <c r="D79" s="81"/>
    </row>
    <row r="80" spans="1:4">
      <c r="A80" s="81"/>
      <c r="B80" s="81"/>
      <c r="C80" s="81"/>
      <c r="D80" s="81"/>
    </row>
    <row r="81" spans="1:4">
      <c r="A81" s="81"/>
      <c r="B81" s="81"/>
      <c r="C81" s="81"/>
      <c r="D81" s="81"/>
    </row>
    <row r="82" spans="1:4">
      <c r="A82" s="81"/>
      <c r="B82" s="81"/>
      <c r="C82" s="81"/>
      <c r="D82" s="81"/>
    </row>
    <row r="83" spans="1:4">
      <c r="A83" s="81"/>
      <c r="B83" s="81"/>
      <c r="C83" s="81"/>
      <c r="D83" s="81"/>
    </row>
    <row r="84" spans="1:4">
      <c r="A84" s="81"/>
      <c r="B84" s="81"/>
      <c r="C84" s="81"/>
      <c r="D84" s="81"/>
    </row>
    <row r="85" spans="1:4">
      <c r="A85" s="81"/>
      <c r="B85" s="81"/>
      <c r="C85" s="81"/>
      <c r="D85" s="81"/>
    </row>
    <row r="86" spans="1:4">
      <c r="A86" s="81"/>
      <c r="B86" s="81"/>
      <c r="C86" s="81"/>
      <c r="D86" s="81"/>
    </row>
    <row r="87" spans="1:4">
      <c r="A87" s="81"/>
      <c r="B87" s="81"/>
      <c r="C87" s="81"/>
      <c r="D87" s="81"/>
    </row>
    <row r="88" spans="1:4">
      <c r="A88" s="81"/>
      <c r="B88" s="81"/>
      <c r="C88" s="81"/>
      <c r="D88" s="81"/>
    </row>
    <row r="89" spans="1:4">
      <c r="A89" s="81"/>
      <c r="B89" s="81"/>
      <c r="C89" s="81"/>
      <c r="D89" s="81"/>
    </row>
    <row r="90" spans="1:4">
      <c r="A90" s="81"/>
      <c r="B90" s="81"/>
      <c r="C90" s="81"/>
      <c r="D90" s="81"/>
    </row>
    <row r="91" spans="1:4">
      <c r="A91" s="81"/>
      <c r="B91" s="81"/>
      <c r="C91" s="81"/>
      <c r="D91" s="81"/>
    </row>
    <row r="92" spans="1:4">
      <c r="A92" s="81"/>
      <c r="B92" s="81"/>
      <c r="C92" s="81"/>
      <c r="D92" s="81"/>
    </row>
    <row r="93" spans="1:4">
      <c r="A93" s="81"/>
      <c r="B93" s="81"/>
      <c r="C93" s="81"/>
      <c r="D93" s="81"/>
    </row>
    <row r="94" spans="1:4">
      <c r="A94" s="81"/>
      <c r="B94" s="81"/>
      <c r="C94" s="81"/>
      <c r="D94" s="81"/>
    </row>
    <row r="95" spans="1:4">
      <c r="A95" s="81"/>
      <c r="B95" s="81"/>
      <c r="C95" s="81"/>
      <c r="D95" s="81"/>
    </row>
    <row r="96" spans="1:4">
      <c r="A96" s="81"/>
      <c r="B96" s="81"/>
      <c r="C96" s="81"/>
      <c r="D96" s="81"/>
    </row>
    <row r="97" spans="1:4">
      <c r="A97" s="81"/>
      <c r="B97" s="81"/>
      <c r="C97" s="81"/>
      <c r="D97" s="81"/>
    </row>
    <row r="98" spans="1:4">
      <c r="A98" s="81"/>
      <c r="B98" s="81"/>
      <c r="C98" s="81"/>
      <c r="D98" s="81"/>
    </row>
    <row r="99" spans="1:4">
      <c r="A99" s="81"/>
      <c r="B99" s="81"/>
      <c r="C99" s="81"/>
      <c r="D99" s="81"/>
    </row>
    <row r="100" spans="1:4">
      <c r="A100" s="81"/>
      <c r="B100" s="81"/>
      <c r="C100" s="81"/>
      <c r="D100" s="81"/>
    </row>
  </sheetData>
  <hyperlinks>
    <hyperlink ref="B7" r:id="rId1" xr:uid="{00000000-0004-0000-0000-000000000000}"/>
    <hyperlink ref="B14" r:id="rId2" xr:uid="{00000000-0004-0000-0000-000001000000}"/>
    <hyperlink ref="B41" r:id="rId3" xr:uid="{3989E21F-8D19-4BF1-AA7C-40A548451F94}"/>
    <hyperlink ref="D7" r:id="rId4" xr:uid="{A0338CA9-9A24-49E4-844A-2C0B60EBCB49}"/>
    <hyperlink ref="D14" r:id="rId5" xr:uid="{02AB1137-AAA5-450C-8F17-444671F890CD}"/>
  </hyperlinks>
  <pageMargins left="0.7" right="0.7" top="0.75" bottom="0.75" header="0.3" footer="0.3"/>
  <pageSetup orientation="portrait" horizontalDpi="1200" verticalDpi="120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9"/>
  <sheetViews>
    <sheetView topLeftCell="A40" workbookViewId="0">
      <selection activeCell="B38" sqref="B38"/>
    </sheetView>
  </sheetViews>
  <sheetFormatPr defaultRowHeight="15"/>
  <cols>
    <col min="1" max="1" width="73.5703125" customWidth="1"/>
    <col min="2" max="2" width="12" customWidth="1"/>
    <col min="3" max="3" width="102.28515625" customWidth="1"/>
  </cols>
  <sheetData>
    <row r="1" spans="1:3">
      <c r="A1" s="4" t="s">
        <v>63</v>
      </c>
      <c r="B1" s="4">
        <v>2006</v>
      </c>
    </row>
    <row r="2" spans="1:3">
      <c r="A2" t="s">
        <v>23</v>
      </c>
      <c r="B2">
        <v>8218378</v>
      </c>
    </row>
    <row r="3" spans="1:3">
      <c r="A3" t="s">
        <v>24</v>
      </c>
      <c r="B3">
        <v>810106273</v>
      </c>
    </row>
    <row r="4" spans="1:3">
      <c r="A4" t="s">
        <v>48</v>
      </c>
      <c r="B4">
        <v>39719513</v>
      </c>
    </row>
    <row r="5" spans="1:3">
      <c r="A5" t="s">
        <v>52</v>
      </c>
      <c r="B5">
        <v>7880</v>
      </c>
    </row>
    <row r="6" spans="1:3">
      <c r="A6" t="s">
        <v>53</v>
      </c>
      <c r="B6">
        <v>907</v>
      </c>
    </row>
    <row r="7" spans="1:3">
      <c r="A7" t="s">
        <v>49</v>
      </c>
      <c r="B7" s="8">
        <f>B6/B5</f>
        <v>0.11510152284263959</v>
      </c>
      <c r="C7" t="s">
        <v>50</v>
      </c>
    </row>
    <row r="8" spans="1:3">
      <c r="A8" t="s">
        <v>22</v>
      </c>
      <c r="B8" s="9">
        <f>B3/(B2*(1-B7))</f>
        <v>111.39416306433705</v>
      </c>
    </row>
    <row r="9" spans="1:3">
      <c r="A9" t="s">
        <v>51</v>
      </c>
      <c r="B9" s="9">
        <f>B4/(B2*B7)</f>
        <v>41.989116133258747</v>
      </c>
    </row>
    <row r="11" spans="1:3">
      <c r="A11" s="4" t="s">
        <v>25</v>
      </c>
      <c r="B11" s="4">
        <v>2014</v>
      </c>
    </row>
    <row r="12" spans="1:3">
      <c r="A12" t="s">
        <v>20</v>
      </c>
      <c r="B12">
        <v>15999</v>
      </c>
    </row>
    <row r="13" spans="1:3">
      <c r="A13" t="s">
        <v>19</v>
      </c>
      <c r="B13">
        <v>339117</v>
      </c>
    </row>
    <row r="14" spans="1:3">
      <c r="A14" t="s">
        <v>21</v>
      </c>
      <c r="B14" s="9">
        <f>B13/B12</f>
        <v>21.196137258578663</v>
      </c>
    </row>
    <row r="16" spans="1:3">
      <c r="A16" s="4" t="s">
        <v>26</v>
      </c>
      <c r="B16" s="4">
        <v>2009</v>
      </c>
    </row>
    <row r="17" spans="1:3">
      <c r="A17" t="s">
        <v>27</v>
      </c>
      <c r="B17">
        <v>436235</v>
      </c>
    </row>
    <row r="18" spans="1:3">
      <c r="A18" t="s">
        <v>28</v>
      </c>
      <c r="B18">
        <v>1532214</v>
      </c>
    </row>
    <row r="19" spans="1:3">
      <c r="A19" t="s">
        <v>29</v>
      </c>
      <c r="B19" s="6">
        <f>B18*10^3/B17</f>
        <v>3512.35916421195</v>
      </c>
      <c r="C19" t="s">
        <v>30</v>
      </c>
    </row>
    <row r="21" spans="1:3">
      <c r="A21" s="4" t="s">
        <v>31</v>
      </c>
      <c r="B21" s="4"/>
    </row>
    <row r="22" spans="1:3">
      <c r="A22" s="1" t="s">
        <v>97</v>
      </c>
      <c r="B22" s="1">
        <v>10</v>
      </c>
    </row>
    <row r="23" spans="1:3">
      <c r="A23" s="11" t="s">
        <v>45</v>
      </c>
      <c r="B23" s="11">
        <v>2009</v>
      </c>
    </row>
    <row r="24" spans="1:3">
      <c r="A24" t="s">
        <v>32</v>
      </c>
      <c r="B24">
        <v>38</v>
      </c>
    </row>
    <row r="25" spans="1:3">
      <c r="A25" t="s">
        <v>33</v>
      </c>
      <c r="B25">
        <v>5914</v>
      </c>
    </row>
    <row r="26" spans="1:3">
      <c r="A26" t="s">
        <v>34</v>
      </c>
      <c r="B26" s="6">
        <f>B25/B24</f>
        <v>155.63157894736841</v>
      </c>
    </row>
    <row r="27" spans="1:3">
      <c r="A27" s="11" t="s">
        <v>46</v>
      </c>
      <c r="B27" s="11">
        <v>2009</v>
      </c>
    </row>
    <row r="28" spans="1:3">
      <c r="A28" t="s">
        <v>36</v>
      </c>
      <c r="B28" s="6">
        <v>16805</v>
      </c>
    </row>
    <row r="29" spans="1:3">
      <c r="A29" t="s">
        <v>37</v>
      </c>
      <c r="B29" s="6">
        <v>2196</v>
      </c>
    </row>
    <row r="30" spans="1:3">
      <c r="A30" t="s">
        <v>38</v>
      </c>
      <c r="B30" s="6">
        <v>11129</v>
      </c>
    </row>
    <row r="31" spans="1:3">
      <c r="A31" t="s">
        <v>39</v>
      </c>
      <c r="B31" s="6">
        <v>685</v>
      </c>
    </row>
    <row r="32" spans="1:3">
      <c r="A32" t="s">
        <v>40</v>
      </c>
      <c r="B32" s="6">
        <v>90</v>
      </c>
    </row>
    <row r="33" spans="1:3">
      <c r="A33" t="s">
        <v>41</v>
      </c>
      <c r="B33" s="6">
        <v>337</v>
      </c>
    </row>
    <row r="34" spans="1:3">
      <c r="A34" t="s">
        <v>42</v>
      </c>
      <c r="B34" s="6">
        <f>B28/B31</f>
        <v>24.532846715328468</v>
      </c>
    </row>
    <row r="35" spans="1:3">
      <c r="A35" t="s">
        <v>43</v>
      </c>
      <c r="B35" s="6">
        <f t="shared" ref="B35:B36" si="0">B29/B32</f>
        <v>24.4</v>
      </c>
    </row>
    <row r="36" spans="1:3">
      <c r="A36" t="s">
        <v>44</v>
      </c>
      <c r="B36" s="6">
        <f t="shared" si="0"/>
        <v>33.023738872403563</v>
      </c>
    </row>
    <row r="37" spans="1:3">
      <c r="A37" s="10" t="s">
        <v>47</v>
      </c>
      <c r="B37" s="6">
        <f>(B26*B25+B34*B28+B35*B29+B36*B30)/SUM(B25,B28:B30)*B22</f>
        <v>486.56731685074101</v>
      </c>
    </row>
    <row r="39" spans="1:3">
      <c r="A39" s="4" t="s">
        <v>35</v>
      </c>
      <c r="B39" s="4">
        <v>2005</v>
      </c>
    </row>
    <row r="40" spans="1:3">
      <c r="A40" t="s">
        <v>79</v>
      </c>
      <c r="B40" s="6">
        <v>2967</v>
      </c>
    </row>
    <row r="41" spans="1:3">
      <c r="A41" t="s">
        <v>80</v>
      </c>
      <c r="B41" s="6">
        <v>100</v>
      </c>
    </row>
    <row r="42" spans="1:3">
      <c r="A42" t="s">
        <v>85</v>
      </c>
      <c r="B42" s="6">
        <v>27876</v>
      </c>
      <c r="C42" t="s">
        <v>92</v>
      </c>
    </row>
    <row r="43" spans="1:3">
      <c r="A43" t="s">
        <v>86</v>
      </c>
      <c r="B43" s="6">
        <v>4151</v>
      </c>
      <c r="C43" t="s">
        <v>93</v>
      </c>
    </row>
    <row r="44" spans="1:3">
      <c r="B44" s="6"/>
      <c r="C44" t="s">
        <v>94</v>
      </c>
    </row>
    <row r="45" spans="1:3">
      <c r="A45" t="s">
        <v>81</v>
      </c>
      <c r="B45" s="6">
        <v>6614973</v>
      </c>
    </row>
    <row r="46" spans="1:3">
      <c r="A46" t="s">
        <v>82</v>
      </c>
      <c r="B46" s="6">
        <v>5727512</v>
      </c>
    </row>
    <row r="47" spans="1:3">
      <c r="A47" t="s">
        <v>87</v>
      </c>
      <c r="B47" s="6">
        <v>44777151</v>
      </c>
    </row>
    <row r="48" spans="1:3">
      <c r="A48" t="s">
        <v>88</v>
      </c>
      <c r="B48" s="6">
        <v>12172542</v>
      </c>
    </row>
    <row r="49" spans="1:2">
      <c r="B49" s="6"/>
    </row>
    <row r="50" spans="1:2">
      <c r="A50" t="s">
        <v>83</v>
      </c>
      <c r="B50" s="6">
        <f>B45/B40</f>
        <v>2229.5156723963601</v>
      </c>
    </row>
    <row r="51" spans="1:2">
      <c r="A51" t="s">
        <v>84</v>
      </c>
      <c r="B51" s="6">
        <f>B46/B41</f>
        <v>57275.12</v>
      </c>
    </row>
    <row r="52" spans="1:2">
      <c r="A52" t="s">
        <v>89</v>
      </c>
      <c r="B52" s="6">
        <f t="shared" ref="B52:B53" si="1">B47/B42</f>
        <v>1606.2975678002583</v>
      </c>
    </row>
    <row r="53" spans="1:2">
      <c r="A53" t="s">
        <v>90</v>
      </c>
      <c r="B53" s="6">
        <f t="shared" si="1"/>
        <v>2932.4360395085523</v>
      </c>
    </row>
    <row r="54" spans="1:2">
      <c r="B54" s="6"/>
    </row>
    <row r="55" spans="1:2">
      <c r="A55" t="s">
        <v>91</v>
      </c>
      <c r="B55" s="6">
        <f>SUMPRODUCT(B40:B43,B50:B53)/SUM(B40:B43)</f>
        <v>1974.4736422180429</v>
      </c>
    </row>
    <row r="56" spans="1:2">
      <c r="B56" s="6"/>
    </row>
    <row r="57" spans="1:2">
      <c r="A57" s="4" t="s">
        <v>54</v>
      </c>
      <c r="B57" s="12">
        <v>2007</v>
      </c>
    </row>
    <row r="58" spans="1:2">
      <c r="A58" t="s">
        <v>55</v>
      </c>
      <c r="B58">
        <v>13611</v>
      </c>
    </row>
    <row r="59" spans="1:2">
      <c r="A59" t="s">
        <v>56</v>
      </c>
      <c r="B59">
        <v>17287</v>
      </c>
    </row>
    <row r="60" spans="1:2">
      <c r="A60" s="10" t="s">
        <v>57</v>
      </c>
      <c r="B60" s="7">
        <f>B59/B58</f>
        <v>1.2700756740871355</v>
      </c>
    </row>
    <row r="61" spans="1:2">
      <c r="A61" s="10"/>
    </row>
    <row r="62" spans="1:2">
      <c r="A62" s="4" t="s">
        <v>58</v>
      </c>
      <c r="B62" s="4">
        <v>2007</v>
      </c>
    </row>
    <row r="63" spans="1:2">
      <c r="A63" t="s">
        <v>59</v>
      </c>
      <c r="B63">
        <v>1670994</v>
      </c>
    </row>
    <row r="64" spans="1:2">
      <c r="A64" t="s">
        <v>60</v>
      </c>
      <c r="B64" s="6">
        <v>2640170</v>
      </c>
    </row>
    <row r="65" spans="1:3">
      <c r="A65" t="s">
        <v>61</v>
      </c>
      <c r="B65" s="7">
        <f>B64/B63</f>
        <v>1.579999688807979</v>
      </c>
      <c r="C65" t="s">
        <v>62</v>
      </c>
    </row>
    <row r="66" spans="1:3">
      <c r="B66" s="6"/>
    </row>
    <row r="67" spans="1:3">
      <c r="B67" s="6"/>
    </row>
    <row r="69" spans="1:3">
      <c r="B69" s="9"/>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1947A-6C1C-43CC-935A-F2AA06F299CA}">
  <dimension ref="A1:AX71"/>
  <sheetViews>
    <sheetView workbookViewId="0">
      <selection activeCell="N71" sqref="N71"/>
    </sheetView>
  </sheetViews>
  <sheetFormatPr defaultRowHeight="15"/>
  <cols>
    <col min="14" max="14" width="9.140625" style="37"/>
    <col min="15" max="23" width="0" hidden="1" customWidth="1"/>
    <col min="24" max="24" width="11.42578125" style="37" customWidth="1"/>
    <col min="25" max="45" width="0" hidden="1" customWidth="1"/>
    <col min="46" max="46" width="13.5703125" style="37" customWidth="1"/>
  </cols>
  <sheetData>
    <row r="1" spans="1:50" ht="79.5">
      <c r="A1" s="17" t="s">
        <v>103</v>
      </c>
      <c r="B1" s="17" t="s">
        <v>104</v>
      </c>
      <c r="C1" s="17" t="s">
        <v>105</v>
      </c>
      <c r="D1" s="17" t="s">
        <v>106</v>
      </c>
      <c r="E1" s="17" t="s">
        <v>107</v>
      </c>
      <c r="F1" s="17" t="s">
        <v>108</v>
      </c>
      <c r="G1" s="17" t="s">
        <v>109</v>
      </c>
      <c r="H1" s="17" t="s">
        <v>110</v>
      </c>
      <c r="I1" s="17" t="s">
        <v>111</v>
      </c>
      <c r="J1" s="17" t="s">
        <v>112</v>
      </c>
      <c r="K1" s="17" t="s">
        <v>113</v>
      </c>
      <c r="L1" s="17" t="s">
        <v>114</v>
      </c>
      <c r="M1" s="17" t="s">
        <v>115</v>
      </c>
      <c r="N1" s="18" t="s">
        <v>116</v>
      </c>
      <c r="O1" s="17" t="s">
        <v>117</v>
      </c>
      <c r="P1" s="17" t="s">
        <v>118</v>
      </c>
      <c r="Q1" s="17" t="s">
        <v>119</v>
      </c>
      <c r="R1" s="17" t="s">
        <v>120</v>
      </c>
      <c r="S1" s="17" t="s">
        <v>121</v>
      </c>
      <c r="T1" s="17" t="s">
        <v>122</v>
      </c>
      <c r="U1" s="17" t="s">
        <v>123</v>
      </c>
      <c r="V1" s="17" t="s">
        <v>124</v>
      </c>
      <c r="W1" s="17" t="s">
        <v>125</v>
      </c>
      <c r="X1" s="19" t="s">
        <v>126</v>
      </c>
      <c r="Y1" s="17" t="s">
        <v>127</v>
      </c>
      <c r="Z1" s="17" t="s">
        <v>128</v>
      </c>
      <c r="AA1" s="17" t="s">
        <v>129</v>
      </c>
      <c r="AB1" s="17" t="s">
        <v>130</v>
      </c>
      <c r="AC1" s="20" t="s">
        <v>131</v>
      </c>
      <c r="AD1" s="21" t="s">
        <v>132</v>
      </c>
      <c r="AE1" s="20" t="s">
        <v>133</v>
      </c>
      <c r="AF1" s="21" t="s">
        <v>134</v>
      </c>
      <c r="AG1" s="20" t="s">
        <v>135</v>
      </c>
      <c r="AH1" s="21" t="s">
        <v>136</v>
      </c>
      <c r="AI1" s="20" t="s">
        <v>137</v>
      </c>
      <c r="AJ1" s="21" t="s">
        <v>138</v>
      </c>
      <c r="AK1" s="20" t="s">
        <v>139</v>
      </c>
      <c r="AL1" s="21" t="s">
        <v>140</v>
      </c>
      <c r="AM1" s="20" t="s">
        <v>141</v>
      </c>
      <c r="AN1" s="21" t="s">
        <v>142</v>
      </c>
      <c r="AO1" s="20" t="s">
        <v>143</v>
      </c>
      <c r="AP1" s="21" t="s">
        <v>144</v>
      </c>
      <c r="AQ1" s="20" t="s">
        <v>145</v>
      </c>
      <c r="AR1" s="21" t="s">
        <v>146</v>
      </c>
      <c r="AS1" s="20" t="s">
        <v>147</v>
      </c>
      <c r="AT1" s="22" t="s">
        <v>148</v>
      </c>
      <c r="AU1" s="23" t="s">
        <v>149</v>
      </c>
      <c r="AV1" s="24" t="s">
        <v>150</v>
      </c>
      <c r="AW1" s="23" t="s">
        <v>151</v>
      </c>
      <c r="AX1" s="17" t="s">
        <v>152</v>
      </c>
    </row>
    <row r="2" spans="1:50">
      <c r="A2" s="25" t="s">
        <v>153</v>
      </c>
      <c r="B2" s="25" t="s">
        <v>154</v>
      </c>
      <c r="C2" s="25" t="s">
        <v>155</v>
      </c>
      <c r="D2" s="26">
        <v>2008</v>
      </c>
      <c r="E2" s="27">
        <v>20008</v>
      </c>
      <c r="F2" s="25" t="s">
        <v>156</v>
      </c>
      <c r="G2" s="25" t="s">
        <v>157</v>
      </c>
      <c r="H2" s="28">
        <v>18351295</v>
      </c>
      <c r="I2" s="29">
        <v>10427</v>
      </c>
      <c r="J2" s="25" t="s">
        <v>158</v>
      </c>
      <c r="K2" s="25" t="s">
        <v>159</v>
      </c>
      <c r="L2" s="30">
        <v>5413</v>
      </c>
      <c r="M2" s="25"/>
      <c r="N2" s="31">
        <v>527</v>
      </c>
      <c r="O2" s="29"/>
      <c r="P2" s="32">
        <v>18.215599999999998</v>
      </c>
      <c r="Q2" s="29"/>
      <c r="R2" s="32">
        <v>4.2031999999999998</v>
      </c>
      <c r="S2" s="29"/>
      <c r="T2" s="32">
        <v>62.403700000000001</v>
      </c>
      <c r="U2" s="29"/>
      <c r="V2" s="28">
        <v>376401985</v>
      </c>
      <c r="W2" s="29"/>
      <c r="X2" s="33">
        <v>334949157</v>
      </c>
      <c r="Y2" s="29"/>
      <c r="Z2" s="28">
        <v>324782077</v>
      </c>
      <c r="AA2" s="29"/>
      <c r="AB2" s="28">
        <v>10167080</v>
      </c>
      <c r="AC2" s="29"/>
      <c r="AD2" s="28">
        <v>18782357</v>
      </c>
      <c r="AE2" s="29"/>
      <c r="AF2" s="28">
        <v>17829918</v>
      </c>
      <c r="AG2" s="29"/>
      <c r="AH2" s="28">
        <v>952439</v>
      </c>
      <c r="AI2" s="29"/>
      <c r="AJ2" s="28">
        <v>36770774</v>
      </c>
      <c r="AK2" s="29"/>
      <c r="AL2" s="28">
        <v>35625281</v>
      </c>
      <c r="AM2" s="29"/>
      <c r="AN2" s="28">
        <v>2060234</v>
      </c>
      <c r="AO2" s="29"/>
      <c r="AP2" s="34">
        <v>1955760</v>
      </c>
      <c r="AQ2" s="29"/>
      <c r="AR2" s="28">
        <v>1112653405</v>
      </c>
      <c r="AS2" s="29"/>
      <c r="AT2" s="33">
        <v>4676670633</v>
      </c>
      <c r="AU2" s="25"/>
      <c r="AV2" s="35">
        <v>493.68</v>
      </c>
      <c r="AW2" s="25" t="s">
        <v>160</v>
      </c>
      <c r="AX2" s="25" t="s">
        <v>161</v>
      </c>
    </row>
    <row r="3" spans="1:50">
      <c r="A3" s="25" t="s">
        <v>162</v>
      </c>
      <c r="B3" s="25" t="s">
        <v>163</v>
      </c>
      <c r="C3" s="25" t="s">
        <v>164</v>
      </c>
      <c r="D3" s="26">
        <v>2080</v>
      </c>
      <c r="E3" s="27">
        <v>20080</v>
      </c>
      <c r="F3" s="25" t="s">
        <v>165</v>
      </c>
      <c r="G3" s="25" t="s">
        <v>157</v>
      </c>
      <c r="H3" s="28">
        <v>18351295</v>
      </c>
      <c r="I3" s="29">
        <v>3646</v>
      </c>
      <c r="J3" s="25" t="s">
        <v>166</v>
      </c>
      <c r="K3" s="25" t="s">
        <v>167</v>
      </c>
      <c r="L3" s="30">
        <v>42</v>
      </c>
      <c r="M3" s="25"/>
      <c r="N3" s="31">
        <v>20</v>
      </c>
      <c r="O3" s="29"/>
      <c r="P3" s="32">
        <v>16.576499999999999</v>
      </c>
      <c r="Q3" s="29"/>
      <c r="R3" s="32">
        <v>3.7544</v>
      </c>
      <c r="S3" s="29"/>
      <c r="T3" s="32">
        <v>104.70910000000001</v>
      </c>
      <c r="U3" s="29"/>
      <c r="V3" s="28">
        <v>1809860</v>
      </c>
      <c r="W3" s="29"/>
      <c r="X3" s="33">
        <v>1929113</v>
      </c>
      <c r="Y3" s="29"/>
      <c r="Z3" s="28">
        <v>1893039</v>
      </c>
      <c r="AA3" s="29"/>
      <c r="AB3" s="28">
        <v>36074</v>
      </c>
      <c r="AC3" s="29"/>
      <c r="AD3" s="28">
        <v>115699</v>
      </c>
      <c r="AE3" s="29"/>
      <c r="AF3" s="28">
        <v>114200</v>
      </c>
      <c r="AG3" s="29"/>
      <c r="AH3" s="28">
        <v>1499</v>
      </c>
      <c r="AI3" s="29"/>
      <c r="AJ3" s="28">
        <v>1096779</v>
      </c>
      <c r="AK3" s="29"/>
      <c r="AL3" s="28">
        <v>1076347</v>
      </c>
      <c r="AM3" s="29"/>
      <c r="AN3" s="28">
        <v>64689</v>
      </c>
      <c r="AO3" s="29"/>
      <c r="AP3" s="34">
        <v>63804</v>
      </c>
      <c r="AQ3" s="29"/>
      <c r="AR3" s="28">
        <v>11957780</v>
      </c>
      <c r="AS3" s="29"/>
      <c r="AT3" s="33">
        <v>44894834</v>
      </c>
      <c r="AU3" s="25"/>
      <c r="AV3" s="35">
        <v>34.08</v>
      </c>
      <c r="AW3" s="25" t="s">
        <v>160</v>
      </c>
      <c r="AX3" s="25" t="s">
        <v>161</v>
      </c>
    </row>
    <row r="4" spans="1:50">
      <c r="A4" s="25" t="s">
        <v>162</v>
      </c>
      <c r="B4" s="25" t="s">
        <v>163</v>
      </c>
      <c r="C4" s="25" t="s">
        <v>164</v>
      </c>
      <c r="D4" s="26">
        <v>2080</v>
      </c>
      <c r="E4" s="27">
        <v>20080</v>
      </c>
      <c r="F4" s="25" t="s">
        <v>165</v>
      </c>
      <c r="G4" s="25" t="s">
        <v>157</v>
      </c>
      <c r="H4" s="28">
        <v>18351295</v>
      </c>
      <c r="I4" s="29">
        <v>3646</v>
      </c>
      <c r="J4" s="25" t="s">
        <v>166</v>
      </c>
      <c r="K4" s="25" t="s">
        <v>159</v>
      </c>
      <c r="L4" s="30">
        <v>15</v>
      </c>
      <c r="M4" s="25"/>
      <c r="N4" s="31">
        <v>15</v>
      </c>
      <c r="O4" s="29"/>
      <c r="P4" s="32">
        <v>9.3912999999999993</v>
      </c>
      <c r="Q4" s="29"/>
      <c r="R4" s="32">
        <v>2.2517</v>
      </c>
      <c r="S4" s="29"/>
      <c r="T4" s="32">
        <v>88.662099999999995</v>
      </c>
      <c r="U4" s="29"/>
      <c r="V4" s="28">
        <v>458806</v>
      </c>
      <c r="W4" s="29"/>
      <c r="X4" s="33">
        <v>481308</v>
      </c>
      <c r="Y4" s="29"/>
      <c r="Z4" s="28">
        <v>470004</v>
      </c>
      <c r="AA4" s="29"/>
      <c r="AB4" s="28">
        <v>11304</v>
      </c>
      <c r="AC4" s="29"/>
      <c r="AD4" s="28">
        <v>55608</v>
      </c>
      <c r="AE4" s="29"/>
      <c r="AF4" s="28">
        <v>50047</v>
      </c>
      <c r="AG4" s="29"/>
      <c r="AH4" s="28">
        <v>5561</v>
      </c>
      <c r="AI4" s="29"/>
      <c r="AJ4" s="28">
        <v>481308</v>
      </c>
      <c r="AK4" s="29"/>
      <c r="AL4" s="28">
        <v>470004</v>
      </c>
      <c r="AM4" s="29"/>
      <c r="AN4" s="28">
        <v>55608</v>
      </c>
      <c r="AO4" s="29"/>
      <c r="AP4" s="34">
        <v>50047</v>
      </c>
      <c r="AQ4" s="29"/>
      <c r="AR4" s="28">
        <v>4437270</v>
      </c>
      <c r="AS4" s="29"/>
      <c r="AT4" s="33">
        <v>9991369</v>
      </c>
      <c r="AU4" s="25"/>
      <c r="AV4" s="35">
        <v>12.42</v>
      </c>
      <c r="AW4" s="25" t="s">
        <v>160</v>
      </c>
      <c r="AX4" s="25" t="s">
        <v>161</v>
      </c>
    </row>
    <row r="5" spans="1:50">
      <c r="A5" s="25" t="s">
        <v>162</v>
      </c>
      <c r="B5" s="25" t="s">
        <v>163</v>
      </c>
      <c r="C5" s="25" t="s">
        <v>164</v>
      </c>
      <c r="D5" s="26">
        <v>2080</v>
      </c>
      <c r="E5" s="27">
        <v>20080</v>
      </c>
      <c r="F5" s="25" t="s">
        <v>165</v>
      </c>
      <c r="G5" s="25" t="s">
        <v>157</v>
      </c>
      <c r="H5" s="28">
        <v>18351295</v>
      </c>
      <c r="I5" s="29">
        <v>3646</v>
      </c>
      <c r="J5" s="25" t="s">
        <v>168</v>
      </c>
      <c r="K5" s="25" t="s">
        <v>159</v>
      </c>
      <c r="L5" s="30">
        <v>904</v>
      </c>
      <c r="M5" s="25"/>
      <c r="N5" s="31">
        <v>105</v>
      </c>
      <c r="O5" s="29"/>
      <c r="P5" s="32">
        <v>32.758000000000003</v>
      </c>
      <c r="Q5" s="29"/>
      <c r="R5" s="32">
        <v>22.010100000000001</v>
      </c>
      <c r="S5" s="29"/>
      <c r="T5" s="32">
        <v>40.014699999999998</v>
      </c>
      <c r="U5" s="29"/>
      <c r="V5" s="28">
        <v>54847772</v>
      </c>
      <c r="W5" s="29"/>
      <c r="X5" s="33">
        <v>57155030</v>
      </c>
      <c r="Y5" s="29"/>
      <c r="Z5" s="28">
        <v>54301350</v>
      </c>
      <c r="AA5" s="29"/>
      <c r="AB5" s="28">
        <v>2853680</v>
      </c>
      <c r="AC5" s="29"/>
      <c r="AD5" s="28">
        <v>1953118</v>
      </c>
      <c r="AE5" s="29"/>
      <c r="AF5" s="28">
        <v>1657653</v>
      </c>
      <c r="AG5" s="29"/>
      <c r="AH5" s="28">
        <v>295465</v>
      </c>
      <c r="AI5" s="29"/>
      <c r="AJ5" s="28">
        <v>8422625</v>
      </c>
      <c r="AK5" s="29"/>
      <c r="AL5" s="28">
        <v>7942892</v>
      </c>
      <c r="AM5" s="29"/>
      <c r="AN5" s="28">
        <v>287491</v>
      </c>
      <c r="AO5" s="29"/>
      <c r="AP5" s="34">
        <v>248272</v>
      </c>
      <c r="AQ5" s="29"/>
      <c r="AR5" s="28">
        <v>66330426</v>
      </c>
      <c r="AS5" s="29"/>
      <c r="AT5" s="33">
        <v>1459936301</v>
      </c>
      <c r="AU5" s="25"/>
      <c r="AV5" s="35">
        <v>920.4</v>
      </c>
      <c r="AW5" s="25" t="s">
        <v>160</v>
      </c>
      <c r="AX5" s="25" t="s">
        <v>161</v>
      </c>
    </row>
    <row r="6" spans="1:50">
      <c r="A6" s="25" t="s">
        <v>169</v>
      </c>
      <c r="B6" s="25" t="s">
        <v>170</v>
      </c>
      <c r="C6" s="25" t="s">
        <v>171</v>
      </c>
      <c r="D6" s="26">
        <v>9154</v>
      </c>
      <c r="E6" s="27">
        <v>90154</v>
      </c>
      <c r="F6" s="25" t="s">
        <v>172</v>
      </c>
      <c r="G6" s="25" t="s">
        <v>157</v>
      </c>
      <c r="H6" s="28">
        <v>12150996</v>
      </c>
      <c r="I6" s="29">
        <v>3482</v>
      </c>
      <c r="J6" s="25" t="s">
        <v>166</v>
      </c>
      <c r="K6" s="25" t="s">
        <v>159</v>
      </c>
      <c r="L6" s="30">
        <v>203</v>
      </c>
      <c r="M6" s="25"/>
      <c r="N6" s="31">
        <v>74</v>
      </c>
      <c r="O6" s="29"/>
      <c r="P6" s="32">
        <v>20.558</v>
      </c>
      <c r="Q6" s="29"/>
      <c r="R6" s="32">
        <v>7.5712999999999999</v>
      </c>
      <c r="S6" s="29"/>
      <c r="T6" s="32">
        <v>55.704000000000001</v>
      </c>
      <c r="U6" s="29"/>
      <c r="V6" s="28">
        <v>15592469</v>
      </c>
      <c r="W6" s="29"/>
      <c r="X6" s="33">
        <v>16090545</v>
      </c>
      <c r="Y6" s="29"/>
      <c r="Z6" s="28">
        <v>15536688</v>
      </c>
      <c r="AA6" s="29"/>
      <c r="AB6" s="28">
        <v>553857</v>
      </c>
      <c r="AC6" s="29"/>
      <c r="AD6" s="28">
        <v>792734</v>
      </c>
      <c r="AE6" s="29"/>
      <c r="AF6" s="28">
        <v>755749</v>
      </c>
      <c r="AG6" s="29"/>
      <c r="AH6" s="28">
        <v>36985</v>
      </c>
      <c r="AI6" s="29"/>
      <c r="AJ6" s="28">
        <v>6384468</v>
      </c>
      <c r="AK6" s="29"/>
      <c r="AL6" s="28">
        <v>6156417</v>
      </c>
      <c r="AM6" s="29"/>
      <c r="AN6" s="28">
        <v>309440</v>
      </c>
      <c r="AO6" s="29"/>
      <c r="AP6" s="34">
        <v>294220</v>
      </c>
      <c r="AQ6" s="29"/>
      <c r="AR6" s="28">
        <v>42098255</v>
      </c>
      <c r="AS6" s="29"/>
      <c r="AT6" s="33">
        <v>318737668</v>
      </c>
      <c r="AU6" s="25"/>
      <c r="AV6" s="35">
        <v>171.92</v>
      </c>
      <c r="AW6" s="25" t="s">
        <v>160</v>
      </c>
      <c r="AX6" s="25" t="s">
        <v>161</v>
      </c>
    </row>
    <row r="7" spans="1:50">
      <c r="A7" s="25" t="s">
        <v>169</v>
      </c>
      <c r="B7" s="25" t="s">
        <v>170</v>
      </c>
      <c r="C7" s="25" t="s">
        <v>171</v>
      </c>
      <c r="D7" s="26">
        <v>9154</v>
      </c>
      <c r="E7" s="27">
        <v>90154</v>
      </c>
      <c r="F7" s="25" t="s">
        <v>172</v>
      </c>
      <c r="G7" s="25" t="s">
        <v>157</v>
      </c>
      <c r="H7" s="28">
        <v>12150996</v>
      </c>
      <c r="I7" s="29">
        <v>3482</v>
      </c>
      <c r="J7" s="25" t="s">
        <v>158</v>
      </c>
      <c r="K7" s="25" t="s">
        <v>159</v>
      </c>
      <c r="L7" s="30">
        <v>68</v>
      </c>
      <c r="M7" s="25"/>
      <c r="N7" s="31">
        <v>13</v>
      </c>
      <c r="O7" s="29"/>
      <c r="P7" s="32">
        <v>21.8993</v>
      </c>
      <c r="Q7" s="29"/>
      <c r="R7" s="32">
        <v>4.8391999999999999</v>
      </c>
      <c r="S7" s="29"/>
      <c r="T7" s="32">
        <v>108.40730000000001</v>
      </c>
      <c r="U7" s="29"/>
      <c r="V7" s="28">
        <v>6821561</v>
      </c>
      <c r="W7" s="29"/>
      <c r="X7" s="33">
        <v>6973555</v>
      </c>
      <c r="Y7" s="29"/>
      <c r="Z7" s="28">
        <v>6801301</v>
      </c>
      <c r="AA7" s="29"/>
      <c r="AB7" s="28">
        <v>172254</v>
      </c>
      <c r="AC7" s="29"/>
      <c r="AD7" s="28">
        <v>327668</v>
      </c>
      <c r="AE7" s="29"/>
      <c r="AF7" s="28">
        <v>310572</v>
      </c>
      <c r="AG7" s="29"/>
      <c r="AH7" s="28">
        <v>17096</v>
      </c>
      <c r="AI7" s="29"/>
      <c r="AJ7" s="28">
        <v>1383514</v>
      </c>
      <c r="AK7" s="29"/>
      <c r="AL7" s="28">
        <v>1350454</v>
      </c>
      <c r="AM7" s="29"/>
      <c r="AN7" s="28">
        <v>66480</v>
      </c>
      <c r="AO7" s="29"/>
      <c r="AP7" s="34">
        <v>63158</v>
      </c>
      <c r="AQ7" s="29"/>
      <c r="AR7" s="28">
        <v>33668265</v>
      </c>
      <c r="AS7" s="29"/>
      <c r="AT7" s="33">
        <v>162927528</v>
      </c>
      <c r="AU7" s="25"/>
      <c r="AV7" s="35">
        <v>31.9</v>
      </c>
      <c r="AW7" s="25" t="s">
        <v>160</v>
      </c>
      <c r="AX7" s="25" t="s">
        <v>161</v>
      </c>
    </row>
    <row r="8" spans="1:50">
      <c r="A8" s="25" t="s">
        <v>173</v>
      </c>
      <c r="B8" s="25" t="s">
        <v>174</v>
      </c>
      <c r="C8" s="25" t="s">
        <v>175</v>
      </c>
      <c r="D8" s="26">
        <v>3030</v>
      </c>
      <c r="E8" s="27">
        <v>30030</v>
      </c>
      <c r="F8" s="25" t="s">
        <v>172</v>
      </c>
      <c r="G8" s="25" t="s">
        <v>157</v>
      </c>
      <c r="H8" s="28">
        <v>4586770</v>
      </c>
      <c r="I8" s="29">
        <v>3304</v>
      </c>
      <c r="J8" s="25" t="s">
        <v>158</v>
      </c>
      <c r="K8" s="25" t="s">
        <v>159</v>
      </c>
      <c r="L8" s="30">
        <v>998</v>
      </c>
      <c r="M8" s="25"/>
      <c r="N8" s="31">
        <v>129</v>
      </c>
      <c r="O8" s="29"/>
      <c r="P8" s="32">
        <v>23.3386</v>
      </c>
      <c r="Q8" s="29"/>
      <c r="R8" s="32">
        <v>5.6486999999999998</v>
      </c>
      <c r="S8" s="29"/>
      <c r="T8" s="32">
        <v>51.016399999999997</v>
      </c>
      <c r="U8" s="29"/>
      <c r="V8" s="28">
        <v>81860566</v>
      </c>
      <c r="W8" s="29"/>
      <c r="X8" s="33">
        <v>82234530</v>
      </c>
      <c r="Y8" s="29"/>
      <c r="Z8" s="28">
        <v>79847615</v>
      </c>
      <c r="AA8" s="29"/>
      <c r="AB8" s="28">
        <v>2386915</v>
      </c>
      <c r="AC8" s="29"/>
      <c r="AD8" s="28">
        <v>3524685</v>
      </c>
      <c r="AE8" s="29"/>
      <c r="AF8" s="28">
        <v>3421264</v>
      </c>
      <c r="AG8" s="29"/>
      <c r="AH8" s="28">
        <v>103421</v>
      </c>
      <c r="AI8" s="29"/>
      <c r="AJ8" s="28">
        <v>11770449</v>
      </c>
      <c r="AK8" s="29"/>
      <c r="AL8" s="28">
        <v>11432619</v>
      </c>
      <c r="AM8" s="29"/>
      <c r="AN8" s="28">
        <v>505929</v>
      </c>
      <c r="AO8" s="29"/>
      <c r="AP8" s="34">
        <v>489793</v>
      </c>
      <c r="AQ8" s="29"/>
      <c r="AR8" s="28">
        <v>174540714</v>
      </c>
      <c r="AS8" s="29"/>
      <c r="AT8" s="33">
        <v>985922295</v>
      </c>
      <c r="AU8" s="25"/>
      <c r="AV8" s="35">
        <v>234.2</v>
      </c>
      <c r="AW8" s="25" t="s">
        <v>160</v>
      </c>
      <c r="AX8" s="25" t="s">
        <v>161</v>
      </c>
    </row>
    <row r="9" spans="1:50">
      <c r="A9" s="25" t="s">
        <v>176</v>
      </c>
      <c r="B9" s="25" t="s">
        <v>177</v>
      </c>
      <c r="C9" s="25" t="s">
        <v>178</v>
      </c>
      <c r="D9" s="26">
        <v>5066</v>
      </c>
      <c r="E9" s="27">
        <v>50066</v>
      </c>
      <c r="F9" s="25" t="s">
        <v>172</v>
      </c>
      <c r="G9" s="25" t="s">
        <v>157</v>
      </c>
      <c r="H9" s="28">
        <v>8608208</v>
      </c>
      <c r="I9" s="29">
        <v>2703</v>
      </c>
      <c r="J9" s="25" t="s">
        <v>158</v>
      </c>
      <c r="K9" s="25" t="s">
        <v>159</v>
      </c>
      <c r="L9" s="30">
        <v>1148</v>
      </c>
      <c r="M9" s="25"/>
      <c r="N9" s="31">
        <v>158</v>
      </c>
      <c r="O9" s="29"/>
      <c r="P9" s="32">
        <v>18.0276</v>
      </c>
      <c r="Q9" s="29"/>
      <c r="R9" s="32">
        <v>6.3144</v>
      </c>
      <c r="S9" s="29" t="s">
        <v>179</v>
      </c>
      <c r="T9" s="32">
        <v>19.723500000000001</v>
      </c>
      <c r="U9" s="29"/>
      <c r="V9" s="28">
        <v>82996946</v>
      </c>
      <c r="W9" s="29"/>
      <c r="X9" s="33">
        <v>70519745</v>
      </c>
      <c r="Y9" s="29"/>
      <c r="Z9" s="28">
        <v>69510641</v>
      </c>
      <c r="AA9" s="29"/>
      <c r="AB9" s="28">
        <v>1009104</v>
      </c>
      <c r="AC9" s="29"/>
      <c r="AD9" s="28">
        <v>4177041</v>
      </c>
      <c r="AE9" s="29"/>
      <c r="AF9" s="28">
        <v>3855798</v>
      </c>
      <c r="AG9" s="29"/>
      <c r="AH9" s="28">
        <v>321243</v>
      </c>
      <c r="AI9" s="29"/>
      <c r="AJ9" s="28">
        <v>10533049</v>
      </c>
      <c r="AK9" s="29"/>
      <c r="AL9" s="28">
        <v>10388783</v>
      </c>
      <c r="AM9" s="29"/>
      <c r="AN9" s="28">
        <v>631507</v>
      </c>
      <c r="AO9" s="29"/>
      <c r="AP9" s="34">
        <v>582079</v>
      </c>
      <c r="AQ9" s="29"/>
      <c r="AR9" s="28">
        <v>76049871</v>
      </c>
      <c r="AS9" s="29"/>
      <c r="AT9" s="33">
        <v>480210760</v>
      </c>
      <c r="AU9" s="25" t="s">
        <v>179</v>
      </c>
      <c r="AV9" s="35">
        <v>207.84</v>
      </c>
      <c r="AW9" s="25" t="s">
        <v>160</v>
      </c>
      <c r="AX9" s="25" t="s">
        <v>180</v>
      </c>
    </row>
    <row r="10" spans="1:50">
      <c r="A10" s="25" t="s">
        <v>181</v>
      </c>
      <c r="B10" s="25" t="s">
        <v>182</v>
      </c>
      <c r="C10" s="25" t="s">
        <v>183</v>
      </c>
      <c r="D10" s="26">
        <v>1003</v>
      </c>
      <c r="E10" s="27">
        <v>10003</v>
      </c>
      <c r="F10" s="25" t="s">
        <v>172</v>
      </c>
      <c r="G10" s="25" t="s">
        <v>157</v>
      </c>
      <c r="H10" s="28">
        <v>4181019</v>
      </c>
      <c r="I10" s="29">
        <v>2428</v>
      </c>
      <c r="J10" s="25" t="s">
        <v>166</v>
      </c>
      <c r="K10" s="25" t="s">
        <v>159</v>
      </c>
      <c r="L10" s="30">
        <v>154</v>
      </c>
      <c r="M10" s="25"/>
      <c r="N10" s="31">
        <v>86</v>
      </c>
      <c r="O10" s="29"/>
      <c r="P10" s="32">
        <v>7.3029000000000002</v>
      </c>
      <c r="Q10" s="29"/>
      <c r="R10" s="32">
        <v>2.3538000000000001</v>
      </c>
      <c r="S10" s="29"/>
      <c r="T10" s="32">
        <v>57.774500000000003</v>
      </c>
      <c r="U10" s="29"/>
      <c r="V10" s="28">
        <v>5714964</v>
      </c>
      <c r="W10" s="29"/>
      <c r="X10" s="33">
        <v>5260506</v>
      </c>
      <c r="Y10" s="29"/>
      <c r="Z10" s="28">
        <v>5241369</v>
      </c>
      <c r="AA10" s="29"/>
      <c r="AB10" s="28">
        <v>19137</v>
      </c>
      <c r="AC10" s="29"/>
      <c r="AD10" s="28">
        <v>726323</v>
      </c>
      <c r="AE10" s="29"/>
      <c r="AF10" s="28">
        <v>717709</v>
      </c>
      <c r="AG10" s="29"/>
      <c r="AH10" s="28">
        <v>8614</v>
      </c>
      <c r="AI10" s="29" t="s">
        <v>184</v>
      </c>
      <c r="AJ10" s="28">
        <v>2876932</v>
      </c>
      <c r="AK10" s="29"/>
      <c r="AL10" s="28">
        <v>2870560</v>
      </c>
      <c r="AM10" s="29"/>
      <c r="AN10" s="28">
        <v>321018</v>
      </c>
      <c r="AO10" s="29"/>
      <c r="AP10" s="34">
        <v>315916</v>
      </c>
      <c r="AQ10" s="29"/>
      <c r="AR10" s="28">
        <v>41465243</v>
      </c>
      <c r="AS10" s="29"/>
      <c r="AT10" s="33">
        <v>97602251</v>
      </c>
      <c r="AU10" s="25"/>
      <c r="AV10" s="35">
        <v>51</v>
      </c>
      <c r="AW10" s="25" t="s">
        <v>160</v>
      </c>
      <c r="AX10" s="25" t="s">
        <v>180</v>
      </c>
    </row>
    <row r="11" spans="1:50">
      <c r="A11" s="25" t="s">
        <v>181</v>
      </c>
      <c r="B11" s="25" t="s">
        <v>182</v>
      </c>
      <c r="C11" s="25" t="s">
        <v>183</v>
      </c>
      <c r="D11" s="26">
        <v>1003</v>
      </c>
      <c r="E11" s="27">
        <v>10003</v>
      </c>
      <c r="F11" s="25" t="s">
        <v>172</v>
      </c>
      <c r="G11" s="25" t="s">
        <v>157</v>
      </c>
      <c r="H11" s="28">
        <v>4181019</v>
      </c>
      <c r="I11" s="29">
        <v>2428</v>
      </c>
      <c r="J11" s="25" t="s">
        <v>158</v>
      </c>
      <c r="K11" s="25" t="s">
        <v>159</v>
      </c>
      <c r="L11" s="30">
        <v>338</v>
      </c>
      <c r="M11" s="25"/>
      <c r="N11" s="31">
        <v>56</v>
      </c>
      <c r="O11" s="29"/>
      <c r="P11" s="32">
        <v>16.707100000000001</v>
      </c>
      <c r="Q11" s="29"/>
      <c r="R11" s="32">
        <v>3.5198</v>
      </c>
      <c r="S11" s="29"/>
      <c r="T11" s="32">
        <v>87.046400000000006</v>
      </c>
      <c r="U11" s="29"/>
      <c r="V11" s="28">
        <v>23317516</v>
      </c>
      <c r="W11" s="29"/>
      <c r="X11" s="33">
        <v>22746421</v>
      </c>
      <c r="Y11" s="29"/>
      <c r="Z11" s="28">
        <v>22203578</v>
      </c>
      <c r="AA11" s="29"/>
      <c r="AB11" s="28">
        <v>542843</v>
      </c>
      <c r="AC11" s="29"/>
      <c r="AD11" s="28">
        <v>1393950</v>
      </c>
      <c r="AE11" s="29"/>
      <c r="AF11" s="28">
        <v>1328990</v>
      </c>
      <c r="AG11" s="29"/>
      <c r="AH11" s="28">
        <v>64960</v>
      </c>
      <c r="AI11" s="29"/>
      <c r="AJ11" s="28">
        <v>3791070</v>
      </c>
      <c r="AK11" s="29"/>
      <c r="AL11" s="28">
        <v>3700596</v>
      </c>
      <c r="AM11" s="29"/>
      <c r="AN11" s="28">
        <v>253575</v>
      </c>
      <c r="AO11" s="29"/>
      <c r="AP11" s="34">
        <v>242748</v>
      </c>
      <c r="AQ11" s="29"/>
      <c r="AR11" s="28">
        <v>115683733</v>
      </c>
      <c r="AS11" s="29"/>
      <c r="AT11" s="33">
        <v>407181618</v>
      </c>
      <c r="AU11" s="25"/>
      <c r="AV11" s="35">
        <v>76.3</v>
      </c>
      <c r="AW11" s="25" t="s">
        <v>160</v>
      </c>
      <c r="AX11" s="25" t="s">
        <v>161</v>
      </c>
    </row>
    <row r="12" spans="1:50">
      <c r="A12" s="25" t="s">
        <v>181</v>
      </c>
      <c r="B12" s="25" t="s">
        <v>182</v>
      </c>
      <c r="C12" s="25" t="s">
        <v>183</v>
      </c>
      <c r="D12" s="26">
        <v>1003</v>
      </c>
      <c r="E12" s="27">
        <v>10003</v>
      </c>
      <c r="F12" s="25" t="s">
        <v>172</v>
      </c>
      <c r="G12" s="25" t="s">
        <v>157</v>
      </c>
      <c r="H12" s="28">
        <v>4181019</v>
      </c>
      <c r="I12" s="29">
        <v>2428</v>
      </c>
      <c r="J12" s="25" t="s">
        <v>168</v>
      </c>
      <c r="K12" s="25" t="s">
        <v>167</v>
      </c>
      <c r="L12" s="30">
        <v>436</v>
      </c>
      <c r="M12" s="25"/>
      <c r="N12" s="31">
        <v>67</v>
      </c>
      <c r="O12" s="29"/>
      <c r="P12" s="32">
        <v>29.729199999999999</v>
      </c>
      <c r="Q12" s="29"/>
      <c r="R12" s="32">
        <v>20.751000000000001</v>
      </c>
      <c r="S12" s="29"/>
      <c r="T12" s="32">
        <v>33.01</v>
      </c>
      <c r="U12" s="29"/>
      <c r="V12" s="28">
        <v>22195183</v>
      </c>
      <c r="W12" s="29"/>
      <c r="X12" s="33">
        <v>22810502</v>
      </c>
      <c r="Y12" s="29"/>
      <c r="Z12" s="28">
        <v>22300695</v>
      </c>
      <c r="AA12" s="29"/>
      <c r="AB12" s="28">
        <v>509807</v>
      </c>
      <c r="AC12" s="29"/>
      <c r="AD12" s="28">
        <v>768699</v>
      </c>
      <c r="AE12" s="29"/>
      <c r="AF12" s="28">
        <v>750128</v>
      </c>
      <c r="AG12" s="29"/>
      <c r="AH12" s="28">
        <v>18571</v>
      </c>
      <c r="AI12" s="29"/>
      <c r="AJ12" s="28">
        <v>4189947</v>
      </c>
      <c r="AK12" s="29"/>
      <c r="AL12" s="28">
        <v>4093393</v>
      </c>
      <c r="AM12" s="29"/>
      <c r="AN12" s="28">
        <v>141215</v>
      </c>
      <c r="AO12" s="29"/>
      <c r="AP12" s="34">
        <v>137738</v>
      </c>
      <c r="AQ12" s="29"/>
      <c r="AR12" s="28">
        <v>24761705</v>
      </c>
      <c r="AS12" s="29"/>
      <c r="AT12" s="33">
        <v>513830968</v>
      </c>
      <c r="AU12" s="25"/>
      <c r="AV12" s="35">
        <v>776.08</v>
      </c>
      <c r="AW12" s="25" t="s">
        <v>160</v>
      </c>
      <c r="AX12" s="25" t="s">
        <v>161</v>
      </c>
    </row>
    <row r="13" spans="1:50">
      <c r="A13" s="25" t="s">
        <v>185</v>
      </c>
      <c r="B13" s="25" t="s">
        <v>186</v>
      </c>
      <c r="C13" s="25" t="s">
        <v>187</v>
      </c>
      <c r="D13" s="26">
        <v>3019</v>
      </c>
      <c r="E13" s="27">
        <v>30019</v>
      </c>
      <c r="F13" s="25" t="s">
        <v>172</v>
      </c>
      <c r="G13" s="25" t="s">
        <v>157</v>
      </c>
      <c r="H13" s="28">
        <v>5441567</v>
      </c>
      <c r="I13" s="29">
        <v>2406</v>
      </c>
      <c r="J13" s="25" t="s">
        <v>158</v>
      </c>
      <c r="K13" s="25" t="s">
        <v>159</v>
      </c>
      <c r="L13" s="30">
        <v>286</v>
      </c>
      <c r="M13" s="25"/>
      <c r="N13" s="31">
        <v>61</v>
      </c>
      <c r="O13" s="29"/>
      <c r="P13" s="32">
        <v>17.097100000000001</v>
      </c>
      <c r="Q13" s="29"/>
      <c r="R13" s="32">
        <v>4.4253999999999998</v>
      </c>
      <c r="S13" s="29" t="s">
        <v>179</v>
      </c>
      <c r="T13" s="32">
        <v>75.514099999999999</v>
      </c>
      <c r="U13" s="29" t="s">
        <v>179</v>
      </c>
      <c r="V13" s="28">
        <v>16431036</v>
      </c>
      <c r="W13" s="29"/>
      <c r="X13" s="33">
        <v>16168711</v>
      </c>
      <c r="Y13" s="29"/>
      <c r="Z13" s="28">
        <v>16089713</v>
      </c>
      <c r="AA13" s="29"/>
      <c r="AB13" s="28">
        <v>78998</v>
      </c>
      <c r="AC13" s="29"/>
      <c r="AD13" s="28">
        <v>945947</v>
      </c>
      <c r="AE13" s="29"/>
      <c r="AF13" s="28">
        <v>941080</v>
      </c>
      <c r="AG13" s="29"/>
      <c r="AH13" s="28">
        <v>4867</v>
      </c>
      <c r="AI13" s="29"/>
      <c r="AJ13" s="28">
        <v>3121305</v>
      </c>
      <c r="AK13" s="29"/>
      <c r="AL13" s="28">
        <v>3101700</v>
      </c>
      <c r="AM13" s="29"/>
      <c r="AN13" s="28">
        <v>182557</v>
      </c>
      <c r="AO13" s="29"/>
      <c r="AP13" s="34">
        <v>181391</v>
      </c>
      <c r="AQ13" s="29"/>
      <c r="AR13" s="28">
        <v>71064786</v>
      </c>
      <c r="AS13" s="29" t="s">
        <v>179</v>
      </c>
      <c r="AT13" s="33">
        <v>314489396</v>
      </c>
      <c r="AU13" s="25" t="s">
        <v>179</v>
      </c>
      <c r="AV13" s="35">
        <v>74.900000000000006</v>
      </c>
      <c r="AW13" s="25" t="s">
        <v>160</v>
      </c>
      <c r="AX13" s="25" t="s">
        <v>180</v>
      </c>
    </row>
    <row r="14" spans="1:50">
      <c r="A14" s="25" t="s">
        <v>185</v>
      </c>
      <c r="B14" s="25" t="s">
        <v>186</v>
      </c>
      <c r="C14" s="25" t="s">
        <v>187</v>
      </c>
      <c r="D14" s="26">
        <v>3019</v>
      </c>
      <c r="E14" s="27">
        <v>30019</v>
      </c>
      <c r="F14" s="25" t="s">
        <v>172</v>
      </c>
      <c r="G14" s="25" t="s">
        <v>157</v>
      </c>
      <c r="H14" s="28">
        <v>5441567</v>
      </c>
      <c r="I14" s="29">
        <v>2406</v>
      </c>
      <c r="J14" s="25" t="s">
        <v>168</v>
      </c>
      <c r="K14" s="25" t="s">
        <v>159</v>
      </c>
      <c r="L14" s="30">
        <v>357</v>
      </c>
      <c r="M14" s="25"/>
      <c r="N14" s="31">
        <v>84</v>
      </c>
      <c r="O14" s="29"/>
      <c r="P14" s="32">
        <v>19.690899999999999</v>
      </c>
      <c r="Q14" s="29"/>
      <c r="R14" s="32">
        <v>13.449400000000001</v>
      </c>
      <c r="S14" s="29" t="s">
        <v>179</v>
      </c>
      <c r="T14" s="32">
        <v>29.793900000000001</v>
      </c>
      <c r="U14" s="29" t="s">
        <v>179</v>
      </c>
      <c r="V14" s="28">
        <v>16896038</v>
      </c>
      <c r="W14" s="29"/>
      <c r="X14" s="33">
        <v>17498310</v>
      </c>
      <c r="Y14" s="29"/>
      <c r="Z14" s="28">
        <v>16621821</v>
      </c>
      <c r="AA14" s="29"/>
      <c r="AB14" s="28">
        <v>876489</v>
      </c>
      <c r="AC14" s="29"/>
      <c r="AD14" s="28">
        <v>882766</v>
      </c>
      <c r="AE14" s="29"/>
      <c r="AF14" s="28">
        <v>844136</v>
      </c>
      <c r="AG14" s="29"/>
      <c r="AH14" s="28">
        <v>38630</v>
      </c>
      <c r="AI14" s="29"/>
      <c r="AJ14" s="28">
        <v>4453116</v>
      </c>
      <c r="AK14" s="29"/>
      <c r="AL14" s="28">
        <v>4225898</v>
      </c>
      <c r="AM14" s="29"/>
      <c r="AN14" s="28">
        <v>224140</v>
      </c>
      <c r="AO14" s="29"/>
      <c r="AP14" s="34">
        <v>214329</v>
      </c>
      <c r="AQ14" s="29"/>
      <c r="AR14" s="28">
        <v>25150117</v>
      </c>
      <c r="AS14" s="29" t="s">
        <v>179</v>
      </c>
      <c r="AT14" s="33">
        <v>338253606</v>
      </c>
      <c r="AU14" s="25" t="s">
        <v>179</v>
      </c>
      <c r="AV14" s="35">
        <v>446.94</v>
      </c>
      <c r="AW14" s="25" t="s">
        <v>160</v>
      </c>
      <c r="AX14" s="25" t="s">
        <v>180</v>
      </c>
    </row>
    <row r="15" spans="1:50">
      <c r="A15" s="25" t="s">
        <v>188</v>
      </c>
      <c r="B15" s="25" t="s">
        <v>189</v>
      </c>
      <c r="C15" s="25" t="s">
        <v>190</v>
      </c>
      <c r="D15" s="26">
        <v>6008</v>
      </c>
      <c r="E15" s="27">
        <v>60008</v>
      </c>
      <c r="F15" s="25" t="s">
        <v>172</v>
      </c>
      <c r="G15" s="25" t="s">
        <v>157</v>
      </c>
      <c r="H15" s="28">
        <v>4944332</v>
      </c>
      <c r="I15" s="29">
        <v>2157</v>
      </c>
      <c r="J15" s="25" t="s">
        <v>166</v>
      </c>
      <c r="K15" s="25" t="s">
        <v>159</v>
      </c>
      <c r="L15" s="30">
        <v>56</v>
      </c>
      <c r="M15" s="25"/>
      <c r="N15" s="31">
        <v>29</v>
      </c>
      <c r="O15" s="29"/>
      <c r="P15" s="32">
        <v>12.147399999999999</v>
      </c>
      <c r="Q15" s="29"/>
      <c r="R15" s="32">
        <v>2.9095</v>
      </c>
      <c r="S15" s="29"/>
      <c r="T15" s="32">
        <v>48.3795</v>
      </c>
      <c r="U15" s="29"/>
      <c r="V15" s="28">
        <v>3257209</v>
      </c>
      <c r="W15" s="29"/>
      <c r="X15" s="33">
        <v>3247125</v>
      </c>
      <c r="Y15" s="29"/>
      <c r="Z15" s="28">
        <v>3236011</v>
      </c>
      <c r="AA15" s="29"/>
      <c r="AB15" s="28">
        <v>11114</v>
      </c>
      <c r="AC15" s="29"/>
      <c r="AD15" s="28">
        <v>268268</v>
      </c>
      <c r="AE15" s="29"/>
      <c r="AF15" s="28">
        <v>266396</v>
      </c>
      <c r="AG15" s="29"/>
      <c r="AH15" s="28">
        <v>1872</v>
      </c>
      <c r="AI15" s="29"/>
      <c r="AJ15" s="28">
        <v>1940638</v>
      </c>
      <c r="AK15" s="29"/>
      <c r="AL15" s="28">
        <v>1929524</v>
      </c>
      <c r="AM15" s="29"/>
      <c r="AN15" s="28">
        <v>176143</v>
      </c>
      <c r="AO15" s="29"/>
      <c r="AP15" s="34">
        <v>174271</v>
      </c>
      <c r="AQ15" s="29"/>
      <c r="AR15" s="28">
        <v>12888105</v>
      </c>
      <c r="AS15" s="29"/>
      <c r="AT15" s="33">
        <v>37497523</v>
      </c>
      <c r="AU15" s="25"/>
      <c r="AV15" s="35">
        <v>43.59</v>
      </c>
      <c r="AW15" s="25" t="s">
        <v>160</v>
      </c>
      <c r="AX15" s="25" t="s">
        <v>161</v>
      </c>
    </row>
    <row r="16" spans="1:50">
      <c r="A16" s="25" t="s">
        <v>191</v>
      </c>
      <c r="B16" s="25" t="s">
        <v>192</v>
      </c>
      <c r="C16" s="25" t="s">
        <v>193</v>
      </c>
      <c r="D16" s="26">
        <v>3034</v>
      </c>
      <c r="E16" s="27">
        <v>30034</v>
      </c>
      <c r="F16" s="25" t="s">
        <v>194</v>
      </c>
      <c r="G16" s="25" t="s">
        <v>157</v>
      </c>
      <c r="H16" s="28">
        <v>2203663</v>
      </c>
      <c r="I16" s="29">
        <v>1888</v>
      </c>
      <c r="J16" s="25" t="s">
        <v>166</v>
      </c>
      <c r="K16" s="25" t="s">
        <v>159</v>
      </c>
      <c r="L16" s="30">
        <v>38</v>
      </c>
      <c r="M16" s="25"/>
      <c r="N16" s="31">
        <v>18</v>
      </c>
      <c r="O16" s="29"/>
      <c r="P16" s="32">
        <v>19.6769</v>
      </c>
      <c r="Q16" s="29"/>
      <c r="R16" s="32">
        <v>5.7127999999999997</v>
      </c>
      <c r="S16" s="29" t="s">
        <v>179</v>
      </c>
      <c r="T16" s="32">
        <v>35.373800000000003</v>
      </c>
      <c r="U16" s="29"/>
      <c r="V16" s="28">
        <v>2774375</v>
      </c>
      <c r="W16" s="29"/>
      <c r="X16" s="33">
        <v>2676810</v>
      </c>
      <c r="Y16" s="29"/>
      <c r="Z16" s="28">
        <v>2588105</v>
      </c>
      <c r="AA16" s="29"/>
      <c r="AB16" s="28">
        <v>88705</v>
      </c>
      <c r="AC16" s="29"/>
      <c r="AD16" s="28">
        <v>138492</v>
      </c>
      <c r="AE16" s="29"/>
      <c r="AF16" s="28">
        <v>131530</v>
      </c>
      <c r="AG16" s="29"/>
      <c r="AH16" s="28">
        <v>6962</v>
      </c>
      <c r="AI16" s="29"/>
      <c r="AJ16" s="28">
        <v>1046361</v>
      </c>
      <c r="AK16" s="29"/>
      <c r="AL16" s="28">
        <v>1044905</v>
      </c>
      <c r="AM16" s="29"/>
      <c r="AN16" s="28">
        <v>58730</v>
      </c>
      <c r="AO16" s="29"/>
      <c r="AP16" s="34">
        <v>58193</v>
      </c>
      <c r="AQ16" s="29"/>
      <c r="AR16" s="28">
        <v>4652718</v>
      </c>
      <c r="AS16" s="29"/>
      <c r="AT16" s="33">
        <v>26579844</v>
      </c>
      <c r="AU16" s="25" t="s">
        <v>179</v>
      </c>
      <c r="AV16" s="35">
        <v>57.6</v>
      </c>
      <c r="AW16" s="25" t="s">
        <v>160</v>
      </c>
      <c r="AX16" s="25" t="s">
        <v>180</v>
      </c>
    </row>
    <row r="17" spans="1:50">
      <c r="A17" s="25" t="s">
        <v>191</v>
      </c>
      <c r="B17" s="25" t="s">
        <v>192</v>
      </c>
      <c r="C17" s="25" t="s">
        <v>193</v>
      </c>
      <c r="D17" s="26">
        <v>3034</v>
      </c>
      <c r="E17" s="27">
        <v>30034</v>
      </c>
      <c r="F17" s="25" t="s">
        <v>194</v>
      </c>
      <c r="G17" s="25" t="s">
        <v>157</v>
      </c>
      <c r="H17" s="28">
        <v>2203663</v>
      </c>
      <c r="I17" s="29">
        <v>1888</v>
      </c>
      <c r="J17" s="25" t="s">
        <v>158</v>
      </c>
      <c r="K17" s="25" t="s">
        <v>159</v>
      </c>
      <c r="L17" s="30">
        <v>54</v>
      </c>
      <c r="M17" s="25"/>
      <c r="N17" s="31">
        <v>9</v>
      </c>
      <c r="O17" s="29"/>
      <c r="P17" s="32">
        <v>26.092600000000001</v>
      </c>
      <c r="Q17" s="29"/>
      <c r="R17" s="32">
        <v>4.7674000000000003</v>
      </c>
      <c r="S17" s="29" t="s">
        <v>179</v>
      </c>
      <c r="T17" s="32">
        <v>36.698</v>
      </c>
      <c r="U17" s="29"/>
      <c r="V17" s="28">
        <v>4289979</v>
      </c>
      <c r="W17" s="29"/>
      <c r="X17" s="33">
        <v>4659371</v>
      </c>
      <c r="Y17" s="29"/>
      <c r="Z17" s="28">
        <v>4169492</v>
      </c>
      <c r="AA17" s="29"/>
      <c r="AB17" s="28">
        <v>489879</v>
      </c>
      <c r="AC17" s="29"/>
      <c r="AD17" s="28">
        <v>180401</v>
      </c>
      <c r="AE17" s="29"/>
      <c r="AF17" s="28">
        <v>159796</v>
      </c>
      <c r="AG17" s="29"/>
      <c r="AH17" s="28">
        <v>20605</v>
      </c>
      <c r="AI17" s="29"/>
      <c r="AJ17" s="28">
        <v>845652</v>
      </c>
      <c r="AK17" s="29"/>
      <c r="AL17" s="28">
        <v>734915</v>
      </c>
      <c r="AM17" s="29"/>
      <c r="AN17" s="28">
        <v>32887</v>
      </c>
      <c r="AO17" s="29"/>
      <c r="AP17" s="34">
        <v>28462</v>
      </c>
      <c r="AQ17" s="29"/>
      <c r="AR17" s="28">
        <v>5864191</v>
      </c>
      <c r="AS17" s="29"/>
      <c r="AT17" s="33">
        <v>27957087</v>
      </c>
      <c r="AU17" s="25" t="s">
        <v>179</v>
      </c>
      <c r="AV17" s="35">
        <v>29.4</v>
      </c>
      <c r="AW17" s="25" t="s">
        <v>160</v>
      </c>
      <c r="AX17" s="25" t="s">
        <v>180</v>
      </c>
    </row>
    <row r="18" spans="1:50">
      <c r="A18" s="25" t="s">
        <v>191</v>
      </c>
      <c r="B18" s="25" t="s">
        <v>192</v>
      </c>
      <c r="C18" s="25" t="s">
        <v>193</v>
      </c>
      <c r="D18" s="26">
        <v>3034</v>
      </c>
      <c r="E18" s="27">
        <v>30034</v>
      </c>
      <c r="F18" s="25" t="s">
        <v>194</v>
      </c>
      <c r="G18" s="25" t="s">
        <v>157</v>
      </c>
      <c r="H18" s="28">
        <v>2203663</v>
      </c>
      <c r="I18" s="29">
        <v>1888</v>
      </c>
      <c r="J18" s="25" t="s">
        <v>168</v>
      </c>
      <c r="K18" s="25" t="s">
        <v>167</v>
      </c>
      <c r="L18" s="30">
        <v>149</v>
      </c>
      <c r="M18" s="25"/>
      <c r="N18" s="31">
        <v>28</v>
      </c>
      <c r="O18" s="29"/>
      <c r="P18" s="32">
        <v>38.328299999999999</v>
      </c>
      <c r="Q18" s="29"/>
      <c r="R18" s="32">
        <v>29.584599999999998</v>
      </c>
      <c r="S18" s="29" t="s">
        <v>179</v>
      </c>
      <c r="T18" s="32">
        <v>45.747900000000001</v>
      </c>
      <c r="U18" s="29"/>
      <c r="V18" s="28">
        <v>6001808</v>
      </c>
      <c r="W18" s="29"/>
      <c r="X18" s="33">
        <v>5996542</v>
      </c>
      <c r="Y18" s="29"/>
      <c r="Z18" s="28">
        <v>5596811</v>
      </c>
      <c r="AA18" s="29"/>
      <c r="AB18" s="28">
        <v>399731</v>
      </c>
      <c r="AC18" s="29"/>
      <c r="AD18" s="28">
        <v>155174</v>
      </c>
      <c r="AE18" s="29"/>
      <c r="AF18" s="28">
        <v>146023</v>
      </c>
      <c r="AG18" s="29"/>
      <c r="AH18" s="28">
        <v>9151</v>
      </c>
      <c r="AI18" s="29"/>
      <c r="AJ18" s="28">
        <v>1094365</v>
      </c>
      <c r="AK18" s="29"/>
      <c r="AL18" s="28">
        <v>1036558</v>
      </c>
      <c r="AM18" s="29"/>
      <c r="AN18" s="28">
        <v>30902</v>
      </c>
      <c r="AO18" s="29"/>
      <c r="AP18" s="34">
        <v>28513</v>
      </c>
      <c r="AQ18" s="29"/>
      <c r="AR18" s="28">
        <v>6680248</v>
      </c>
      <c r="AS18" s="29"/>
      <c r="AT18" s="33">
        <v>197632189</v>
      </c>
      <c r="AU18" s="25" t="s">
        <v>179</v>
      </c>
      <c r="AV18" s="35">
        <v>400.4</v>
      </c>
      <c r="AW18" s="25" t="s">
        <v>160</v>
      </c>
      <c r="AX18" s="25" t="s">
        <v>180</v>
      </c>
    </row>
    <row r="19" spans="1:50">
      <c r="A19" s="25" t="s">
        <v>195</v>
      </c>
      <c r="B19" s="25" t="s">
        <v>196</v>
      </c>
      <c r="C19" s="25" t="s">
        <v>197</v>
      </c>
      <c r="D19" s="26">
        <v>4034</v>
      </c>
      <c r="E19" s="27">
        <v>40034</v>
      </c>
      <c r="F19" s="25" t="s">
        <v>198</v>
      </c>
      <c r="G19" s="25" t="s">
        <v>157</v>
      </c>
      <c r="H19" s="28">
        <v>5502379</v>
      </c>
      <c r="I19" s="29">
        <v>1452</v>
      </c>
      <c r="J19" s="25" t="s">
        <v>158</v>
      </c>
      <c r="K19" s="25" t="s">
        <v>159</v>
      </c>
      <c r="L19" s="30">
        <v>76</v>
      </c>
      <c r="M19" s="25"/>
      <c r="N19" s="31">
        <v>18</v>
      </c>
      <c r="O19" s="29"/>
      <c r="P19" s="32">
        <v>21.7622</v>
      </c>
      <c r="Q19" s="29"/>
      <c r="R19" s="32">
        <v>7.3830999999999998</v>
      </c>
      <c r="S19" s="29" t="s">
        <v>179</v>
      </c>
      <c r="T19" s="32">
        <v>35.960099999999997</v>
      </c>
      <c r="U19" s="29"/>
      <c r="V19" s="28">
        <v>7212362</v>
      </c>
      <c r="W19" s="29"/>
      <c r="X19" s="33">
        <v>7598157</v>
      </c>
      <c r="Y19" s="29"/>
      <c r="Z19" s="28">
        <v>7178627</v>
      </c>
      <c r="AA19" s="29"/>
      <c r="AB19" s="28">
        <v>419530</v>
      </c>
      <c r="AC19" s="29"/>
      <c r="AD19" s="28">
        <v>362201</v>
      </c>
      <c r="AE19" s="29"/>
      <c r="AF19" s="28">
        <v>329867</v>
      </c>
      <c r="AG19" s="29"/>
      <c r="AH19" s="28">
        <v>32334</v>
      </c>
      <c r="AI19" s="29"/>
      <c r="AJ19" s="28">
        <v>1899556</v>
      </c>
      <c r="AK19" s="29"/>
      <c r="AL19" s="28">
        <v>1794673</v>
      </c>
      <c r="AM19" s="29"/>
      <c r="AN19" s="28">
        <v>90549</v>
      </c>
      <c r="AO19" s="29"/>
      <c r="AP19" s="34">
        <v>82465</v>
      </c>
      <c r="AQ19" s="29"/>
      <c r="AR19" s="28">
        <v>11862059</v>
      </c>
      <c r="AS19" s="29"/>
      <c r="AT19" s="33">
        <v>87578321</v>
      </c>
      <c r="AU19" s="25" t="s">
        <v>179</v>
      </c>
      <c r="AV19" s="35">
        <v>49.84</v>
      </c>
      <c r="AW19" s="25" t="s">
        <v>160</v>
      </c>
      <c r="AX19" s="25" t="s">
        <v>180</v>
      </c>
    </row>
    <row r="20" spans="1:50">
      <c r="A20" s="25" t="s">
        <v>199</v>
      </c>
      <c r="B20" s="25" t="s">
        <v>200</v>
      </c>
      <c r="C20" s="25" t="s">
        <v>201</v>
      </c>
      <c r="D20" s="26">
        <v>8006</v>
      </c>
      <c r="E20" s="27">
        <v>80006</v>
      </c>
      <c r="F20" s="25" t="s">
        <v>172</v>
      </c>
      <c r="G20" s="25" t="s">
        <v>157</v>
      </c>
      <c r="H20" s="28">
        <v>2374203</v>
      </c>
      <c r="I20" s="29">
        <v>1431</v>
      </c>
      <c r="J20" s="25" t="s">
        <v>166</v>
      </c>
      <c r="K20" s="25" t="s">
        <v>159</v>
      </c>
      <c r="L20" s="30">
        <v>156</v>
      </c>
      <c r="M20" s="25"/>
      <c r="N20" s="31">
        <v>41</v>
      </c>
      <c r="O20" s="29"/>
      <c r="P20" s="32">
        <v>17.200199999999999</v>
      </c>
      <c r="Q20" s="29"/>
      <c r="R20" s="32">
        <v>6.9672999999999998</v>
      </c>
      <c r="S20" s="29"/>
      <c r="T20" s="32">
        <v>19.858599999999999</v>
      </c>
      <c r="U20" s="29"/>
      <c r="V20" s="28">
        <v>9004264</v>
      </c>
      <c r="W20" s="29"/>
      <c r="X20" s="33">
        <v>9327859</v>
      </c>
      <c r="Y20" s="29"/>
      <c r="Z20" s="28">
        <v>9063803</v>
      </c>
      <c r="AA20" s="29"/>
      <c r="AB20" s="28">
        <v>264056</v>
      </c>
      <c r="AC20" s="29"/>
      <c r="AD20" s="28">
        <v>590892</v>
      </c>
      <c r="AE20" s="29"/>
      <c r="AF20" s="28">
        <v>526960</v>
      </c>
      <c r="AG20" s="29"/>
      <c r="AH20" s="28">
        <v>63932</v>
      </c>
      <c r="AI20" s="29"/>
      <c r="AJ20" s="28">
        <v>3900081</v>
      </c>
      <c r="AK20" s="29"/>
      <c r="AL20" s="28">
        <v>3745938</v>
      </c>
      <c r="AM20" s="29"/>
      <c r="AN20" s="28">
        <v>267096</v>
      </c>
      <c r="AO20" s="29"/>
      <c r="AP20" s="34">
        <v>226007</v>
      </c>
      <c r="AQ20" s="29"/>
      <c r="AR20" s="28">
        <v>10464678</v>
      </c>
      <c r="AS20" s="29"/>
      <c r="AT20" s="33">
        <v>72910951</v>
      </c>
      <c r="AU20" s="25"/>
      <c r="AV20" s="35">
        <v>119.78</v>
      </c>
      <c r="AW20" s="25" t="s">
        <v>160</v>
      </c>
      <c r="AX20" s="25" t="s">
        <v>161</v>
      </c>
    </row>
    <row r="21" spans="1:50">
      <c r="A21" s="25" t="s">
        <v>199</v>
      </c>
      <c r="B21" s="25" t="s">
        <v>200</v>
      </c>
      <c r="C21" s="25" t="s">
        <v>201</v>
      </c>
      <c r="D21" s="26">
        <v>8006</v>
      </c>
      <c r="E21" s="27">
        <v>80006</v>
      </c>
      <c r="F21" s="25" t="s">
        <v>172</v>
      </c>
      <c r="G21" s="25" t="s">
        <v>157</v>
      </c>
      <c r="H21" s="28">
        <v>2374203</v>
      </c>
      <c r="I21" s="29">
        <v>1431</v>
      </c>
      <c r="J21" s="25" t="s">
        <v>168</v>
      </c>
      <c r="K21" s="25" t="s">
        <v>167</v>
      </c>
      <c r="L21" s="30">
        <v>44</v>
      </c>
      <c r="M21" s="25"/>
      <c r="N21" s="31">
        <v>12</v>
      </c>
      <c r="O21" s="29"/>
      <c r="P21" s="32">
        <v>27.563099999999999</v>
      </c>
      <c r="Q21" s="29"/>
      <c r="R21" s="32">
        <v>11.5166</v>
      </c>
      <c r="S21" s="29"/>
      <c r="T21" s="32">
        <v>21.7837</v>
      </c>
      <c r="U21" s="29"/>
      <c r="V21" s="28">
        <v>6222945</v>
      </c>
      <c r="W21" s="29"/>
      <c r="X21" s="33">
        <v>6197643</v>
      </c>
      <c r="Y21" s="29"/>
      <c r="Z21" s="28">
        <v>6048702</v>
      </c>
      <c r="AA21" s="29"/>
      <c r="AB21" s="28">
        <v>148941</v>
      </c>
      <c r="AC21" s="29"/>
      <c r="AD21" s="28">
        <v>228257</v>
      </c>
      <c r="AE21" s="29"/>
      <c r="AF21" s="28">
        <v>219449</v>
      </c>
      <c r="AG21" s="29"/>
      <c r="AH21" s="28">
        <v>8808</v>
      </c>
      <c r="AI21" s="29"/>
      <c r="AJ21" s="28">
        <v>2010537</v>
      </c>
      <c r="AK21" s="29"/>
      <c r="AL21" s="28">
        <v>1917204</v>
      </c>
      <c r="AM21" s="29"/>
      <c r="AN21" s="28">
        <v>74540</v>
      </c>
      <c r="AO21" s="29"/>
      <c r="AP21" s="34">
        <v>70293</v>
      </c>
      <c r="AQ21" s="29"/>
      <c r="AR21" s="28">
        <v>4780402</v>
      </c>
      <c r="AS21" s="29"/>
      <c r="AT21" s="33">
        <v>55053882</v>
      </c>
      <c r="AU21" s="25"/>
      <c r="AV21" s="35">
        <v>72.760000000000005</v>
      </c>
      <c r="AW21" s="25" t="s">
        <v>160</v>
      </c>
      <c r="AX21" s="25" t="s">
        <v>161</v>
      </c>
    </row>
    <row r="22" spans="1:50">
      <c r="A22" s="25" t="s">
        <v>199</v>
      </c>
      <c r="B22" s="25" t="s">
        <v>200</v>
      </c>
      <c r="C22" s="25" t="s">
        <v>201</v>
      </c>
      <c r="D22" s="26">
        <v>8006</v>
      </c>
      <c r="E22" s="27">
        <v>80006</v>
      </c>
      <c r="F22" s="25" t="s">
        <v>172</v>
      </c>
      <c r="G22" s="25" t="s">
        <v>157</v>
      </c>
      <c r="H22" s="28">
        <v>2374203</v>
      </c>
      <c r="I22" s="29">
        <v>1431</v>
      </c>
      <c r="J22" s="25" t="s">
        <v>168</v>
      </c>
      <c r="K22" s="25" t="s">
        <v>159</v>
      </c>
      <c r="L22" s="30">
        <v>8</v>
      </c>
      <c r="M22" s="25"/>
      <c r="N22" s="31">
        <v>3</v>
      </c>
      <c r="O22" s="29"/>
      <c r="P22" s="32">
        <v>20.484200000000001</v>
      </c>
      <c r="Q22" s="29"/>
      <c r="R22" s="32">
        <v>8.6130999999999993</v>
      </c>
      <c r="S22" s="29"/>
      <c r="T22" s="32">
        <v>18.016100000000002</v>
      </c>
      <c r="U22" s="29"/>
      <c r="V22" s="28">
        <v>203262</v>
      </c>
      <c r="W22" s="29"/>
      <c r="X22" s="33">
        <v>223786</v>
      </c>
      <c r="Y22" s="29"/>
      <c r="Z22" s="28">
        <v>197570</v>
      </c>
      <c r="AA22" s="29"/>
      <c r="AB22" s="28">
        <v>26216</v>
      </c>
      <c r="AC22" s="29"/>
      <c r="AD22" s="28">
        <v>12511</v>
      </c>
      <c r="AE22" s="29"/>
      <c r="AF22" s="28">
        <v>9645</v>
      </c>
      <c r="AG22" s="29"/>
      <c r="AH22" s="28">
        <v>2866</v>
      </c>
      <c r="AI22" s="29"/>
      <c r="AJ22" s="28">
        <v>115030</v>
      </c>
      <c r="AK22" s="29"/>
      <c r="AL22" s="28">
        <v>98743</v>
      </c>
      <c r="AM22" s="29"/>
      <c r="AN22" s="28">
        <v>6243</v>
      </c>
      <c r="AO22" s="29"/>
      <c r="AP22" s="34">
        <v>4937</v>
      </c>
      <c r="AQ22" s="29"/>
      <c r="AR22" s="28">
        <v>173765</v>
      </c>
      <c r="AS22" s="29"/>
      <c r="AT22" s="33">
        <v>1496661</v>
      </c>
      <c r="AU22" s="25"/>
      <c r="AV22" s="35">
        <v>26.32</v>
      </c>
      <c r="AW22" s="25" t="s">
        <v>160</v>
      </c>
      <c r="AX22" s="25" t="s">
        <v>161</v>
      </c>
    </row>
    <row r="23" spans="1:50">
      <c r="A23" s="25" t="s">
        <v>202</v>
      </c>
      <c r="B23" s="25" t="s">
        <v>203</v>
      </c>
      <c r="C23" s="25" t="s">
        <v>155</v>
      </c>
      <c r="D23" s="26">
        <v>2078</v>
      </c>
      <c r="E23" s="27">
        <v>20078</v>
      </c>
      <c r="F23" s="25" t="s">
        <v>156</v>
      </c>
      <c r="G23" s="25" t="s">
        <v>157</v>
      </c>
      <c r="H23" s="28">
        <v>18351295</v>
      </c>
      <c r="I23" s="29">
        <v>1133</v>
      </c>
      <c r="J23" s="25" t="s">
        <v>168</v>
      </c>
      <c r="K23" s="25" t="s">
        <v>159</v>
      </c>
      <c r="L23" s="30">
        <v>1122</v>
      </c>
      <c r="M23" s="25"/>
      <c r="N23" s="31">
        <v>135</v>
      </c>
      <c r="O23" s="29"/>
      <c r="P23" s="32">
        <v>31.299700000000001</v>
      </c>
      <c r="Q23" s="29"/>
      <c r="R23" s="32">
        <v>22.852399999999999</v>
      </c>
      <c r="S23" s="29" t="s">
        <v>179</v>
      </c>
      <c r="T23" s="32">
        <v>18.882400000000001</v>
      </c>
      <c r="U23" s="29"/>
      <c r="V23" s="28">
        <v>47488237</v>
      </c>
      <c r="W23" s="29"/>
      <c r="X23" s="33">
        <v>53139671</v>
      </c>
      <c r="Y23" s="29"/>
      <c r="Z23" s="28">
        <v>48719168</v>
      </c>
      <c r="AA23" s="29"/>
      <c r="AB23" s="28">
        <v>4420503</v>
      </c>
      <c r="AC23" s="29"/>
      <c r="AD23" s="28">
        <v>1709469</v>
      </c>
      <c r="AE23" s="29"/>
      <c r="AF23" s="28">
        <v>1556539</v>
      </c>
      <c r="AG23" s="29"/>
      <c r="AH23" s="28">
        <v>152930</v>
      </c>
      <c r="AI23" s="29"/>
      <c r="AJ23" s="28">
        <v>7201726</v>
      </c>
      <c r="AK23" s="29"/>
      <c r="AL23" s="28">
        <v>6564652</v>
      </c>
      <c r="AM23" s="29"/>
      <c r="AN23" s="28">
        <v>225218</v>
      </c>
      <c r="AO23" s="29"/>
      <c r="AP23" s="34">
        <v>203440</v>
      </c>
      <c r="AQ23" s="29"/>
      <c r="AR23" s="28">
        <v>29391259</v>
      </c>
      <c r="AS23" s="29"/>
      <c r="AT23" s="33">
        <v>671661254</v>
      </c>
      <c r="AU23" s="25" t="s">
        <v>179</v>
      </c>
      <c r="AV23" s="35">
        <v>545.74</v>
      </c>
      <c r="AW23" s="25" t="s">
        <v>160</v>
      </c>
      <c r="AX23" s="25" t="s">
        <v>180</v>
      </c>
    </row>
    <row r="24" spans="1:50">
      <c r="A24" s="25" t="s">
        <v>204</v>
      </c>
      <c r="B24" s="25" t="s">
        <v>205</v>
      </c>
      <c r="C24" s="25" t="s">
        <v>190</v>
      </c>
      <c r="D24" s="26">
        <v>6056</v>
      </c>
      <c r="E24" s="27">
        <v>60056</v>
      </c>
      <c r="F24" s="25" t="s">
        <v>172</v>
      </c>
      <c r="G24" s="25" t="s">
        <v>157</v>
      </c>
      <c r="H24" s="28">
        <v>5121892</v>
      </c>
      <c r="I24" s="29">
        <v>1082</v>
      </c>
      <c r="J24" s="25" t="s">
        <v>166</v>
      </c>
      <c r="K24" s="25" t="s">
        <v>159</v>
      </c>
      <c r="L24" s="30">
        <v>117</v>
      </c>
      <c r="M24" s="25"/>
      <c r="N24" s="31">
        <v>44</v>
      </c>
      <c r="O24" s="29"/>
      <c r="P24" s="32">
        <v>20.510100000000001</v>
      </c>
      <c r="Q24" s="29"/>
      <c r="R24" s="32">
        <v>8.1821999999999999</v>
      </c>
      <c r="S24" s="29"/>
      <c r="T24" s="32">
        <v>41.742400000000004</v>
      </c>
      <c r="U24" s="29"/>
      <c r="V24" s="28">
        <v>9953657</v>
      </c>
      <c r="W24" s="29"/>
      <c r="X24" s="33">
        <v>9937246</v>
      </c>
      <c r="Y24" s="29"/>
      <c r="Z24" s="28">
        <v>9866803</v>
      </c>
      <c r="AA24" s="29"/>
      <c r="AB24" s="28">
        <v>70443</v>
      </c>
      <c r="AC24" s="29"/>
      <c r="AD24" s="28">
        <v>486886</v>
      </c>
      <c r="AE24" s="29"/>
      <c r="AF24" s="28">
        <v>481071</v>
      </c>
      <c r="AG24" s="29"/>
      <c r="AH24" s="28">
        <v>5815</v>
      </c>
      <c r="AI24" s="29"/>
      <c r="AJ24" s="28">
        <v>5348975</v>
      </c>
      <c r="AK24" s="29"/>
      <c r="AL24" s="28">
        <v>5310292</v>
      </c>
      <c r="AM24" s="29"/>
      <c r="AN24" s="28">
        <v>261692</v>
      </c>
      <c r="AO24" s="29"/>
      <c r="AP24" s="34">
        <v>258495</v>
      </c>
      <c r="AQ24" s="29"/>
      <c r="AR24" s="28">
        <v>20081036</v>
      </c>
      <c r="AS24" s="29"/>
      <c r="AT24" s="33">
        <v>164306746</v>
      </c>
      <c r="AU24" s="25"/>
      <c r="AV24" s="35">
        <v>182.44</v>
      </c>
      <c r="AW24" s="25" t="s">
        <v>160</v>
      </c>
      <c r="AX24" s="25" t="s">
        <v>161</v>
      </c>
    </row>
    <row r="25" spans="1:50">
      <c r="A25" s="25" t="s">
        <v>204</v>
      </c>
      <c r="B25" s="25" t="s">
        <v>205</v>
      </c>
      <c r="C25" s="25" t="s">
        <v>190</v>
      </c>
      <c r="D25" s="26">
        <v>6056</v>
      </c>
      <c r="E25" s="27">
        <v>60056</v>
      </c>
      <c r="F25" s="25" t="s">
        <v>172</v>
      </c>
      <c r="G25" s="25" t="s">
        <v>157</v>
      </c>
      <c r="H25" s="28">
        <v>5121892</v>
      </c>
      <c r="I25" s="29">
        <v>1082</v>
      </c>
      <c r="J25" s="25" t="s">
        <v>168</v>
      </c>
      <c r="K25" s="25" t="s">
        <v>167</v>
      </c>
      <c r="L25" s="30">
        <v>23</v>
      </c>
      <c r="M25" s="25"/>
      <c r="N25" s="31">
        <v>3</v>
      </c>
      <c r="O25" s="29"/>
      <c r="P25" s="32">
        <v>22.474</v>
      </c>
      <c r="Q25" s="29"/>
      <c r="R25" s="32">
        <v>17.300799999999999</v>
      </c>
      <c r="S25" s="29"/>
      <c r="T25" s="32">
        <v>20.252400000000002</v>
      </c>
      <c r="U25" s="29"/>
      <c r="V25" s="28">
        <v>1390207</v>
      </c>
      <c r="W25" s="29"/>
      <c r="X25" s="33">
        <v>1437340</v>
      </c>
      <c r="Y25" s="29"/>
      <c r="Z25" s="28">
        <v>1404961</v>
      </c>
      <c r="AA25" s="29"/>
      <c r="AB25" s="28">
        <v>32379</v>
      </c>
      <c r="AC25" s="29"/>
      <c r="AD25" s="28">
        <v>63773</v>
      </c>
      <c r="AE25" s="29"/>
      <c r="AF25" s="28">
        <v>62515</v>
      </c>
      <c r="AG25" s="29"/>
      <c r="AH25" s="28">
        <v>1258</v>
      </c>
      <c r="AI25" s="29"/>
      <c r="AJ25" s="28">
        <v>506768</v>
      </c>
      <c r="AK25" s="29"/>
      <c r="AL25" s="28">
        <v>495677</v>
      </c>
      <c r="AM25" s="29"/>
      <c r="AN25" s="28">
        <v>22535</v>
      </c>
      <c r="AO25" s="29"/>
      <c r="AP25" s="34">
        <v>22090</v>
      </c>
      <c r="AQ25" s="29"/>
      <c r="AR25" s="28">
        <v>1266076</v>
      </c>
      <c r="AS25" s="29"/>
      <c r="AT25" s="33">
        <v>21904126</v>
      </c>
      <c r="AU25" s="25"/>
      <c r="AV25" s="35">
        <v>72.3</v>
      </c>
      <c r="AW25" s="25" t="s">
        <v>160</v>
      </c>
      <c r="AX25" s="25" t="s">
        <v>161</v>
      </c>
    </row>
    <row r="26" spans="1:50">
      <c r="A26" s="25" t="s">
        <v>206</v>
      </c>
      <c r="B26" s="25" t="s">
        <v>207</v>
      </c>
      <c r="C26" s="25" t="s">
        <v>208</v>
      </c>
      <c r="D26" s="26">
        <v>8001</v>
      </c>
      <c r="E26" s="27">
        <v>80001</v>
      </c>
      <c r="F26" s="25" t="s">
        <v>172</v>
      </c>
      <c r="G26" s="25" t="s">
        <v>157</v>
      </c>
      <c r="H26" s="28">
        <v>1021243</v>
      </c>
      <c r="I26" s="29">
        <v>1081</v>
      </c>
      <c r="J26" s="25" t="s">
        <v>166</v>
      </c>
      <c r="K26" s="25" t="s">
        <v>159</v>
      </c>
      <c r="L26" s="30">
        <v>89</v>
      </c>
      <c r="M26" s="25"/>
      <c r="N26" s="31">
        <v>22</v>
      </c>
      <c r="O26" s="29"/>
      <c r="P26" s="32">
        <v>17.192799999999998</v>
      </c>
      <c r="Q26" s="29"/>
      <c r="R26" s="32">
        <v>4.7436999999999996</v>
      </c>
      <c r="S26" s="29"/>
      <c r="T26" s="32">
        <v>23.191400000000002</v>
      </c>
      <c r="U26" s="29"/>
      <c r="V26" s="28">
        <v>6112222</v>
      </c>
      <c r="W26" s="29"/>
      <c r="X26" s="33">
        <v>6204641</v>
      </c>
      <c r="Y26" s="29"/>
      <c r="Z26" s="28">
        <v>6114108</v>
      </c>
      <c r="AA26" s="29"/>
      <c r="AB26" s="28">
        <v>90533</v>
      </c>
      <c r="AC26" s="29"/>
      <c r="AD26" s="28">
        <v>367255</v>
      </c>
      <c r="AE26" s="29"/>
      <c r="AF26" s="28">
        <v>355621</v>
      </c>
      <c r="AG26" s="29"/>
      <c r="AH26" s="28">
        <v>11634</v>
      </c>
      <c r="AI26" s="29"/>
      <c r="AJ26" s="28">
        <v>2255583</v>
      </c>
      <c r="AK26" s="29"/>
      <c r="AL26" s="28">
        <v>2223959</v>
      </c>
      <c r="AM26" s="29"/>
      <c r="AN26" s="28">
        <v>136213</v>
      </c>
      <c r="AO26" s="29"/>
      <c r="AP26" s="34">
        <v>131989</v>
      </c>
      <c r="AQ26" s="29"/>
      <c r="AR26" s="28">
        <v>8247364</v>
      </c>
      <c r="AS26" s="29"/>
      <c r="AT26" s="33">
        <v>39122864</v>
      </c>
      <c r="AU26" s="25"/>
      <c r="AV26" s="35">
        <v>93.91</v>
      </c>
      <c r="AW26" s="25" t="s">
        <v>160</v>
      </c>
      <c r="AX26" s="25" t="s">
        <v>161</v>
      </c>
    </row>
    <row r="27" spans="1:50">
      <c r="A27" s="25" t="s">
        <v>206</v>
      </c>
      <c r="B27" s="25" t="s">
        <v>207</v>
      </c>
      <c r="C27" s="25" t="s">
        <v>208</v>
      </c>
      <c r="D27" s="26">
        <v>8001</v>
      </c>
      <c r="E27" s="27">
        <v>80001</v>
      </c>
      <c r="F27" s="25" t="s">
        <v>172</v>
      </c>
      <c r="G27" s="25" t="s">
        <v>157</v>
      </c>
      <c r="H27" s="28">
        <v>1021243</v>
      </c>
      <c r="I27" s="29">
        <v>1081</v>
      </c>
      <c r="J27" s="25" t="s">
        <v>168</v>
      </c>
      <c r="K27" s="25" t="s">
        <v>159</v>
      </c>
      <c r="L27" s="30">
        <v>50</v>
      </c>
      <c r="M27" s="25"/>
      <c r="N27" s="31">
        <v>9</v>
      </c>
      <c r="O27" s="29"/>
      <c r="P27" s="32">
        <v>32.473599999999998</v>
      </c>
      <c r="Q27" s="29"/>
      <c r="R27" s="32">
        <v>25.643899999999999</v>
      </c>
      <c r="S27" s="29"/>
      <c r="T27" s="32">
        <v>16.274799999999999</v>
      </c>
      <c r="U27" s="29"/>
      <c r="V27" s="28">
        <v>4053946</v>
      </c>
      <c r="W27" s="29"/>
      <c r="X27" s="33">
        <v>4051779</v>
      </c>
      <c r="Y27" s="29"/>
      <c r="Z27" s="28">
        <v>4039581</v>
      </c>
      <c r="AA27" s="29"/>
      <c r="AB27" s="28">
        <v>12198</v>
      </c>
      <c r="AC27" s="29"/>
      <c r="AD27" s="28">
        <v>128674</v>
      </c>
      <c r="AE27" s="29"/>
      <c r="AF27" s="28">
        <v>124396</v>
      </c>
      <c r="AG27" s="29"/>
      <c r="AH27" s="28">
        <v>4278</v>
      </c>
      <c r="AI27" s="29"/>
      <c r="AJ27" s="28">
        <v>1067699</v>
      </c>
      <c r="AK27" s="29"/>
      <c r="AL27" s="28">
        <v>1064546</v>
      </c>
      <c r="AM27" s="29"/>
      <c r="AN27" s="28">
        <v>33846</v>
      </c>
      <c r="AO27" s="29"/>
      <c r="AP27" s="34">
        <v>32741</v>
      </c>
      <c r="AQ27" s="29"/>
      <c r="AR27" s="28">
        <v>2024524</v>
      </c>
      <c r="AS27" s="29"/>
      <c r="AT27" s="33">
        <v>51916777</v>
      </c>
      <c r="AU27" s="25"/>
      <c r="AV27" s="35">
        <v>174.46</v>
      </c>
      <c r="AW27" s="25" t="s">
        <v>160</v>
      </c>
      <c r="AX27" s="25" t="s">
        <v>161</v>
      </c>
    </row>
    <row r="28" spans="1:50">
      <c r="A28" s="25" t="s">
        <v>209</v>
      </c>
      <c r="B28" s="25" t="s">
        <v>177</v>
      </c>
      <c r="C28" s="25" t="s">
        <v>178</v>
      </c>
      <c r="D28" s="26">
        <v>5118</v>
      </c>
      <c r="E28" s="27">
        <v>50118</v>
      </c>
      <c r="F28" s="25" t="s">
        <v>172</v>
      </c>
      <c r="G28" s="25" t="s">
        <v>157</v>
      </c>
      <c r="H28" s="28">
        <v>8608208</v>
      </c>
      <c r="I28" s="29">
        <v>1066</v>
      </c>
      <c r="J28" s="25" t="s">
        <v>168</v>
      </c>
      <c r="K28" s="25" t="s">
        <v>167</v>
      </c>
      <c r="L28" s="30">
        <v>527</v>
      </c>
      <c r="M28" s="25"/>
      <c r="N28" s="31">
        <v>40</v>
      </c>
      <c r="O28" s="29"/>
      <c r="P28" s="32">
        <v>30.932500000000001</v>
      </c>
      <c r="Q28" s="29"/>
      <c r="R28" s="32">
        <v>21.712499999999999</v>
      </c>
      <c r="S28" s="29"/>
      <c r="T28" s="32">
        <v>18.979099999999999</v>
      </c>
      <c r="U28" s="29"/>
      <c r="V28" s="28">
        <v>16284231</v>
      </c>
      <c r="W28" s="29"/>
      <c r="X28" s="33">
        <v>16302662</v>
      </c>
      <c r="Y28" s="29"/>
      <c r="Z28" s="28">
        <v>15388572</v>
      </c>
      <c r="AA28" s="29"/>
      <c r="AB28" s="28">
        <v>914090</v>
      </c>
      <c r="AC28" s="29"/>
      <c r="AD28" s="28">
        <v>520340</v>
      </c>
      <c r="AE28" s="29"/>
      <c r="AF28" s="28">
        <v>497488</v>
      </c>
      <c r="AG28" s="29"/>
      <c r="AH28" s="28">
        <v>22852</v>
      </c>
      <c r="AI28" s="29"/>
      <c r="AJ28" s="28">
        <v>2394714</v>
      </c>
      <c r="AK28" s="29"/>
      <c r="AL28" s="28">
        <v>2258067</v>
      </c>
      <c r="AM28" s="29"/>
      <c r="AN28" s="28">
        <v>76862</v>
      </c>
      <c r="AO28" s="29"/>
      <c r="AP28" s="34">
        <v>73504</v>
      </c>
      <c r="AQ28" s="29"/>
      <c r="AR28" s="28">
        <v>9441882</v>
      </c>
      <c r="AS28" s="29"/>
      <c r="AT28" s="33">
        <v>205006670</v>
      </c>
      <c r="AU28" s="25"/>
      <c r="AV28" s="35">
        <v>399.6</v>
      </c>
      <c r="AW28" s="25" t="s">
        <v>160</v>
      </c>
      <c r="AX28" s="25" t="s">
        <v>161</v>
      </c>
    </row>
    <row r="29" spans="1:50">
      <c r="A29" s="25" t="s">
        <v>209</v>
      </c>
      <c r="B29" s="25" t="s">
        <v>177</v>
      </c>
      <c r="C29" s="25" t="s">
        <v>178</v>
      </c>
      <c r="D29" s="26">
        <v>5118</v>
      </c>
      <c r="E29" s="27">
        <v>50118</v>
      </c>
      <c r="F29" s="25" t="s">
        <v>172</v>
      </c>
      <c r="G29" s="25" t="s">
        <v>157</v>
      </c>
      <c r="H29" s="28">
        <v>8608208</v>
      </c>
      <c r="I29" s="29">
        <v>1066</v>
      </c>
      <c r="J29" s="25" t="s">
        <v>168</v>
      </c>
      <c r="K29" s="25" t="s">
        <v>159</v>
      </c>
      <c r="L29" s="30">
        <v>539</v>
      </c>
      <c r="M29" s="25"/>
      <c r="N29" s="31">
        <v>53</v>
      </c>
      <c r="O29" s="29"/>
      <c r="P29" s="32">
        <v>29.0824</v>
      </c>
      <c r="Q29" s="29"/>
      <c r="R29" s="32">
        <v>21.172499999999999</v>
      </c>
      <c r="S29" s="29"/>
      <c r="T29" s="32">
        <v>13.8796</v>
      </c>
      <c r="U29" s="29"/>
      <c r="V29" s="28">
        <v>16028080</v>
      </c>
      <c r="W29" s="29"/>
      <c r="X29" s="33">
        <v>15585872</v>
      </c>
      <c r="Y29" s="29"/>
      <c r="Z29" s="28">
        <v>15273179</v>
      </c>
      <c r="AA29" s="29"/>
      <c r="AB29" s="28">
        <v>312693</v>
      </c>
      <c r="AC29" s="29"/>
      <c r="AD29" s="28">
        <v>535954</v>
      </c>
      <c r="AE29" s="29"/>
      <c r="AF29" s="28">
        <v>525169</v>
      </c>
      <c r="AG29" s="29"/>
      <c r="AH29" s="28">
        <v>10785</v>
      </c>
      <c r="AI29" s="29"/>
      <c r="AJ29" s="28">
        <v>2545102</v>
      </c>
      <c r="AK29" s="29"/>
      <c r="AL29" s="28">
        <v>2494601</v>
      </c>
      <c r="AM29" s="29"/>
      <c r="AN29" s="28">
        <v>89035</v>
      </c>
      <c r="AO29" s="29"/>
      <c r="AP29" s="34">
        <v>87312</v>
      </c>
      <c r="AQ29" s="29"/>
      <c r="AR29" s="28">
        <v>7289149</v>
      </c>
      <c r="AS29" s="29"/>
      <c r="AT29" s="33">
        <v>154329520</v>
      </c>
      <c r="AU29" s="25"/>
      <c r="AV29" s="35">
        <v>575.4</v>
      </c>
      <c r="AW29" s="25" t="s">
        <v>160</v>
      </c>
      <c r="AX29" s="25" t="s">
        <v>161</v>
      </c>
    </row>
    <row r="30" spans="1:50">
      <c r="A30" s="25" t="s">
        <v>210</v>
      </c>
      <c r="B30" s="25" t="s">
        <v>211</v>
      </c>
      <c r="C30" s="25" t="s">
        <v>155</v>
      </c>
      <c r="D30" s="26">
        <v>2100</v>
      </c>
      <c r="E30" s="27">
        <v>20100</v>
      </c>
      <c r="F30" s="25" t="s">
        <v>156</v>
      </c>
      <c r="G30" s="25" t="s">
        <v>157</v>
      </c>
      <c r="H30" s="28">
        <v>18351295</v>
      </c>
      <c r="I30" s="29">
        <v>1022</v>
      </c>
      <c r="J30" s="25" t="s">
        <v>168</v>
      </c>
      <c r="K30" s="25" t="s">
        <v>159</v>
      </c>
      <c r="L30" s="30">
        <v>1022</v>
      </c>
      <c r="M30" s="25"/>
      <c r="N30" s="31">
        <v>107</v>
      </c>
      <c r="O30" s="29"/>
      <c r="P30" s="32">
        <v>29.212299999999999</v>
      </c>
      <c r="Q30" s="29"/>
      <c r="R30" s="32">
        <v>28.269200000000001</v>
      </c>
      <c r="S30" s="29" t="s">
        <v>179</v>
      </c>
      <c r="T30" s="32">
        <v>20.565999999999999</v>
      </c>
      <c r="U30" s="29" t="s">
        <v>179</v>
      </c>
      <c r="V30" s="28">
        <v>61301708</v>
      </c>
      <c r="W30" s="29"/>
      <c r="X30" s="33">
        <v>68469245</v>
      </c>
      <c r="Y30" s="29"/>
      <c r="Z30" s="28">
        <v>61766650</v>
      </c>
      <c r="AA30" s="29"/>
      <c r="AB30" s="28">
        <v>6702595</v>
      </c>
      <c r="AC30" s="29"/>
      <c r="AD30" s="28">
        <v>2305899</v>
      </c>
      <c r="AE30" s="29"/>
      <c r="AF30" s="28">
        <v>2114409</v>
      </c>
      <c r="AG30" s="29"/>
      <c r="AH30" s="28">
        <v>191490</v>
      </c>
      <c r="AI30" s="29"/>
      <c r="AJ30" s="28">
        <v>7765181</v>
      </c>
      <c r="AK30" s="29"/>
      <c r="AL30" s="28">
        <v>6968685</v>
      </c>
      <c r="AM30" s="29"/>
      <c r="AN30" s="28">
        <v>266731</v>
      </c>
      <c r="AO30" s="29"/>
      <c r="AP30" s="34">
        <v>199752</v>
      </c>
      <c r="AQ30" s="29"/>
      <c r="AR30" s="28">
        <v>43484907</v>
      </c>
      <c r="AS30" s="29" t="s">
        <v>179</v>
      </c>
      <c r="AT30" s="33">
        <v>1229284540</v>
      </c>
      <c r="AU30" s="25" t="s">
        <v>179</v>
      </c>
      <c r="AV30" s="35">
        <v>638.20000000000005</v>
      </c>
      <c r="AW30" s="25" t="s">
        <v>160</v>
      </c>
      <c r="AX30" s="25" t="s">
        <v>180</v>
      </c>
    </row>
    <row r="31" spans="1:50">
      <c r="A31" s="25" t="s">
        <v>212</v>
      </c>
      <c r="B31" s="25" t="s">
        <v>213</v>
      </c>
      <c r="C31" s="25" t="s">
        <v>171</v>
      </c>
      <c r="D31" s="26">
        <v>9015</v>
      </c>
      <c r="E31" s="27">
        <v>90015</v>
      </c>
      <c r="F31" s="25" t="s">
        <v>198</v>
      </c>
      <c r="G31" s="25" t="s">
        <v>157</v>
      </c>
      <c r="H31" s="28">
        <v>3281212</v>
      </c>
      <c r="I31" s="29">
        <v>996</v>
      </c>
      <c r="J31" s="25" t="s">
        <v>166</v>
      </c>
      <c r="K31" s="25" t="s">
        <v>159</v>
      </c>
      <c r="L31" s="30">
        <v>149</v>
      </c>
      <c r="M31" s="25"/>
      <c r="N31" s="31">
        <v>141</v>
      </c>
      <c r="O31" s="29"/>
      <c r="P31" s="32">
        <v>9.4969999999999999</v>
      </c>
      <c r="Q31" s="29"/>
      <c r="R31" s="32">
        <v>2.7421000000000002</v>
      </c>
      <c r="S31" s="29"/>
      <c r="T31" s="32">
        <v>76.584800000000001</v>
      </c>
      <c r="U31" s="29"/>
      <c r="V31" s="28">
        <v>4944335</v>
      </c>
      <c r="W31" s="29"/>
      <c r="X31" s="33">
        <v>4660934</v>
      </c>
      <c r="Y31" s="29"/>
      <c r="Z31" s="28">
        <v>4640244</v>
      </c>
      <c r="AA31" s="29"/>
      <c r="AB31" s="28">
        <v>20690</v>
      </c>
      <c r="AC31" s="29"/>
      <c r="AD31" s="28">
        <v>491748</v>
      </c>
      <c r="AE31" s="29"/>
      <c r="AF31" s="28">
        <v>488601</v>
      </c>
      <c r="AG31" s="29"/>
      <c r="AH31" s="28">
        <v>3147</v>
      </c>
      <c r="AI31" s="29"/>
      <c r="AJ31" s="28">
        <v>3097363</v>
      </c>
      <c r="AK31" s="29"/>
      <c r="AL31" s="28">
        <v>3084167</v>
      </c>
      <c r="AM31" s="29"/>
      <c r="AN31" s="28">
        <v>326422</v>
      </c>
      <c r="AO31" s="29"/>
      <c r="AP31" s="34">
        <v>324323</v>
      </c>
      <c r="AQ31" s="29"/>
      <c r="AR31" s="28">
        <v>37419416</v>
      </c>
      <c r="AS31" s="29"/>
      <c r="AT31" s="33">
        <v>102607757</v>
      </c>
      <c r="AU31" s="25"/>
      <c r="AV31" s="35">
        <v>64.400000000000006</v>
      </c>
      <c r="AW31" s="25" t="s">
        <v>160</v>
      </c>
      <c r="AX31" s="25" t="s">
        <v>161</v>
      </c>
    </row>
    <row r="32" spans="1:50">
      <c r="A32" s="25" t="s">
        <v>214</v>
      </c>
      <c r="B32" s="25" t="s">
        <v>215</v>
      </c>
      <c r="C32" s="25" t="s">
        <v>216</v>
      </c>
      <c r="D32" s="26">
        <v>8</v>
      </c>
      <c r="E32" s="27">
        <v>8</v>
      </c>
      <c r="F32" s="25" t="s">
        <v>172</v>
      </c>
      <c r="G32" s="25" t="s">
        <v>157</v>
      </c>
      <c r="H32" s="28">
        <v>1849898</v>
      </c>
      <c r="I32" s="29">
        <v>982</v>
      </c>
      <c r="J32" s="25" t="s">
        <v>166</v>
      </c>
      <c r="K32" s="25" t="s">
        <v>159</v>
      </c>
      <c r="L32" s="30">
        <v>116</v>
      </c>
      <c r="M32" s="25"/>
      <c r="N32" s="31">
        <v>55</v>
      </c>
      <c r="O32" s="29"/>
      <c r="P32" s="32">
        <v>14.136900000000001</v>
      </c>
      <c r="Q32" s="29"/>
      <c r="R32" s="32">
        <v>5.2552000000000003</v>
      </c>
      <c r="S32" s="29"/>
      <c r="T32" s="32">
        <v>48.392400000000002</v>
      </c>
      <c r="U32" s="29"/>
      <c r="V32" s="28">
        <v>8977599</v>
      </c>
      <c r="W32" s="29"/>
      <c r="X32" s="33">
        <v>8981104</v>
      </c>
      <c r="Y32" s="29"/>
      <c r="Z32" s="28">
        <v>8864217</v>
      </c>
      <c r="AA32" s="29"/>
      <c r="AB32" s="28">
        <v>116887</v>
      </c>
      <c r="AC32" s="29"/>
      <c r="AD32" s="28">
        <v>636882</v>
      </c>
      <c r="AE32" s="29"/>
      <c r="AF32" s="28">
        <v>627025</v>
      </c>
      <c r="AG32" s="29"/>
      <c r="AH32" s="28">
        <v>9857</v>
      </c>
      <c r="AI32" s="29"/>
      <c r="AJ32" s="28">
        <v>4501055</v>
      </c>
      <c r="AK32" s="29"/>
      <c r="AL32" s="28">
        <v>4442373</v>
      </c>
      <c r="AM32" s="29"/>
      <c r="AN32" s="28">
        <v>319090</v>
      </c>
      <c r="AO32" s="29"/>
      <c r="AP32" s="34">
        <v>314140</v>
      </c>
      <c r="AQ32" s="29"/>
      <c r="AR32" s="28">
        <v>30343267</v>
      </c>
      <c r="AS32" s="29"/>
      <c r="AT32" s="33">
        <v>159458488</v>
      </c>
      <c r="AU32" s="25"/>
      <c r="AV32" s="35">
        <v>118.91</v>
      </c>
      <c r="AW32" s="25" t="s">
        <v>160</v>
      </c>
      <c r="AX32" s="25" t="s">
        <v>161</v>
      </c>
    </row>
    <row r="33" spans="1:50">
      <c r="A33" s="25" t="s">
        <v>217</v>
      </c>
      <c r="B33" s="25" t="s">
        <v>218</v>
      </c>
      <c r="C33" s="25" t="s">
        <v>219</v>
      </c>
      <c r="D33" s="26">
        <v>4022</v>
      </c>
      <c r="E33" s="27">
        <v>40022</v>
      </c>
      <c r="F33" s="25" t="s">
        <v>172</v>
      </c>
      <c r="G33" s="25" t="s">
        <v>157</v>
      </c>
      <c r="H33" s="28">
        <v>4515419</v>
      </c>
      <c r="I33" s="29">
        <v>943</v>
      </c>
      <c r="J33" s="25" t="s">
        <v>158</v>
      </c>
      <c r="K33" s="25" t="s">
        <v>159</v>
      </c>
      <c r="L33" s="30">
        <v>212</v>
      </c>
      <c r="M33" s="25"/>
      <c r="N33" s="31">
        <v>39</v>
      </c>
      <c r="O33" s="29"/>
      <c r="P33" s="32">
        <v>26.494</v>
      </c>
      <c r="Q33" s="29"/>
      <c r="R33" s="32">
        <v>7.2762000000000002</v>
      </c>
      <c r="S33" s="29"/>
      <c r="T33" s="32">
        <v>58.747300000000003</v>
      </c>
      <c r="U33" s="29"/>
      <c r="V33" s="28">
        <v>20499724</v>
      </c>
      <c r="W33" s="29"/>
      <c r="X33" s="33">
        <v>21145309</v>
      </c>
      <c r="Y33" s="29"/>
      <c r="Z33" s="28">
        <v>20430752</v>
      </c>
      <c r="AA33" s="29"/>
      <c r="AB33" s="28">
        <v>714557</v>
      </c>
      <c r="AC33" s="29"/>
      <c r="AD33" s="28">
        <v>794602</v>
      </c>
      <c r="AE33" s="29"/>
      <c r="AF33" s="28">
        <v>771146</v>
      </c>
      <c r="AG33" s="29"/>
      <c r="AH33" s="28">
        <v>23456</v>
      </c>
      <c r="AI33" s="29"/>
      <c r="AJ33" s="28">
        <v>3715370</v>
      </c>
      <c r="AK33" s="29"/>
      <c r="AL33" s="28">
        <v>3628801</v>
      </c>
      <c r="AM33" s="29"/>
      <c r="AN33" s="28">
        <v>143614</v>
      </c>
      <c r="AO33" s="29"/>
      <c r="AP33" s="34">
        <v>139086</v>
      </c>
      <c r="AQ33" s="29"/>
      <c r="AR33" s="28">
        <v>45302714</v>
      </c>
      <c r="AS33" s="29"/>
      <c r="AT33" s="33">
        <v>329631085</v>
      </c>
      <c r="AU33" s="25"/>
      <c r="AV33" s="35">
        <v>96.06</v>
      </c>
      <c r="AW33" s="25" t="s">
        <v>160</v>
      </c>
      <c r="AX33" s="25" t="s">
        <v>161</v>
      </c>
    </row>
    <row r="34" spans="1:50">
      <c r="A34" s="25" t="s">
        <v>220</v>
      </c>
      <c r="B34" s="25" t="s">
        <v>221</v>
      </c>
      <c r="C34" s="25" t="s">
        <v>187</v>
      </c>
      <c r="D34" s="26">
        <v>3022</v>
      </c>
      <c r="E34" s="27">
        <v>30022</v>
      </c>
      <c r="F34" s="25" t="s">
        <v>172</v>
      </c>
      <c r="G34" s="25" t="s">
        <v>157</v>
      </c>
      <c r="H34" s="28">
        <v>1733853</v>
      </c>
      <c r="I34" s="29">
        <v>930</v>
      </c>
      <c r="J34" s="25" t="s">
        <v>166</v>
      </c>
      <c r="K34" s="25" t="s">
        <v>159</v>
      </c>
      <c r="L34" s="30">
        <v>58</v>
      </c>
      <c r="M34" s="25"/>
      <c r="N34" s="31">
        <v>29</v>
      </c>
      <c r="O34" s="29"/>
      <c r="P34" s="32">
        <v>12.909700000000001</v>
      </c>
      <c r="Q34" s="29"/>
      <c r="R34" s="32">
        <v>4.0317999999999996</v>
      </c>
      <c r="S34" s="29"/>
      <c r="T34" s="32">
        <v>37.530500000000004</v>
      </c>
      <c r="U34" s="29"/>
      <c r="V34" s="28">
        <v>2027777</v>
      </c>
      <c r="W34" s="29"/>
      <c r="X34" s="33">
        <v>1999310</v>
      </c>
      <c r="Y34" s="29"/>
      <c r="Z34" s="28">
        <v>1916792</v>
      </c>
      <c r="AA34" s="29"/>
      <c r="AB34" s="28">
        <v>82518</v>
      </c>
      <c r="AC34" s="29"/>
      <c r="AD34" s="28">
        <v>155486</v>
      </c>
      <c r="AE34" s="29"/>
      <c r="AF34" s="28">
        <v>148477</v>
      </c>
      <c r="AG34" s="29"/>
      <c r="AH34" s="28">
        <v>7009</v>
      </c>
      <c r="AI34" s="29"/>
      <c r="AJ34" s="28">
        <v>1497766</v>
      </c>
      <c r="AK34" s="29"/>
      <c r="AL34" s="28">
        <v>1442245</v>
      </c>
      <c r="AM34" s="29"/>
      <c r="AN34" s="28">
        <v>116738</v>
      </c>
      <c r="AO34" s="29"/>
      <c r="AP34" s="34">
        <v>112071</v>
      </c>
      <c r="AQ34" s="29"/>
      <c r="AR34" s="28">
        <v>5572417</v>
      </c>
      <c r="AS34" s="29"/>
      <c r="AT34" s="33">
        <v>22466673</v>
      </c>
      <c r="AU34" s="25"/>
      <c r="AV34" s="35">
        <v>49.64</v>
      </c>
      <c r="AW34" s="25" t="s">
        <v>160</v>
      </c>
      <c r="AX34" s="25" t="s">
        <v>161</v>
      </c>
    </row>
    <row r="35" spans="1:50">
      <c r="A35" s="25" t="s">
        <v>222</v>
      </c>
      <c r="B35" s="25" t="s">
        <v>223</v>
      </c>
      <c r="C35" s="25" t="s">
        <v>171</v>
      </c>
      <c r="D35" s="26">
        <v>9026</v>
      </c>
      <c r="E35" s="27">
        <v>90026</v>
      </c>
      <c r="F35" s="25" t="s">
        <v>172</v>
      </c>
      <c r="G35" s="25" t="s">
        <v>157</v>
      </c>
      <c r="H35" s="28">
        <v>2956746</v>
      </c>
      <c r="I35" s="29">
        <v>906</v>
      </c>
      <c r="J35" s="25" t="s">
        <v>166</v>
      </c>
      <c r="K35" s="25" t="s">
        <v>159</v>
      </c>
      <c r="L35" s="30">
        <v>103</v>
      </c>
      <c r="M35" s="25"/>
      <c r="N35" s="31">
        <v>35</v>
      </c>
      <c r="O35" s="29"/>
      <c r="P35" s="32">
        <v>18.120799999999999</v>
      </c>
      <c r="Q35" s="29"/>
      <c r="R35" s="32">
        <v>6.0708000000000002</v>
      </c>
      <c r="S35" s="29"/>
      <c r="T35" s="32">
        <v>62.966000000000001</v>
      </c>
      <c r="U35" s="29"/>
      <c r="V35" s="28">
        <v>9662505</v>
      </c>
      <c r="W35" s="29"/>
      <c r="X35" s="33">
        <v>9410942</v>
      </c>
      <c r="Y35" s="29"/>
      <c r="Z35" s="28">
        <v>9210076</v>
      </c>
      <c r="AA35" s="29"/>
      <c r="AB35" s="28">
        <v>200866</v>
      </c>
      <c r="AC35" s="29"/>
      <c r="AD35" s="28">
        <v>527144</v>
      </c>
      <c r="AE35" s="29"/>
      <c r="AF35" s="28">
        <v>508259</v>
      </c>
      <c r="AG35" s="29"/>
      <c r="AH35" s="28">
        <v>18885</v>
      </c>
      <c r="AI35" s="29"/>
      <c r="AJ35" s="28">
        <v>3279625</v>
      </c>
      <c r="AK35" s="29"/>
      <c r="AL35" s="28">
        <v>3207856</v>
      </c>
      <c r="AM35" s="29"/>
      <c r="AN35" s="28">
        <v>183992</v>
      </c>
      <c r="AO35" s="29"/>
      <c r="AP35" s="34">
        <v>177429</v>
      </c>
      <c r="AQ35" s="29"/>
      <c r="AR35" s="28">
        <v>32003027</v>
      </c>
      <c r="AS35" s="29"/>
      <c r="AT35" s="33">
        <v>194284885</v>
      </c>
      <c r="AU35" s="25"/>
      <c r="AV35" s="35">
        <v>108.4</v>
      </c>
      <c r="AW35" s="25" t="s">
        <v>160</v>
      </c>
      <c r="AX35" s="25" t="s">
        <v>161</v>
      </c>
    </row>
    <row r="36" spans="1:50">
      <c r="A36" s="25" t="s">
        <v>224</v>
      </c>
      <c r="B36" s="25" t="s">
        <v>225</v>
      </c>
      <c r="C36" s="25" t="s">
        <v>226</v>
      </c>
      <c r="D36" s="26">
        <v>5027</v>
      </c>
      <c r="E36" s="27">
        <v>50027</v>
      </c>
      <c r="F36" s="25" t="s">
        <v>156</v>
      </c>
      <c r="G36" s="25" t="s">
        <v>157</v>
      </c>
      <c r="H36" s="28">
        <v>2650890</v>
      </c>
      <c r="I36" s="29">
        <v>823</v>
      </c>
      <c r="J36" s="25" t="s">
        <v>166</v>
      </c>
      <c r="K36" s="25" t="s">
        <v>159</v>
      </c>
      <c r="L36" s="30">
        <v>76</v>
      </c>
      <c r="M36" s="25"/>
      <c r="N36" s="31">
        <v>23</v>
      </c>
      <c r="O36" s="29"/>
      <c r="P36" s="32">
        <v>11.985900000000001</v>
      </c>
      <c r="Q36" s="29"/>
      <c r="R36" s="32">
        <v>3.9723999999999999</v>
      </c>
      <c r="S36" s="29" t="s">
        <v>179</v>
      </c>
      <c r="T36" s="32">
        <v>30.465299999999999</v>
      </c>
      <c r="U36" s="29"/>
      <c r="V36" s="28">
        <v>4237895</v>
      </c>
      <c r="W36" s="29"/>
      <c r="X36" s="33">
        <v>4129925</v>
      </c>
      <c r="Y36" s="29"/>
      <c r="Z36" s="28">
        <v>4034814</v>
      </c>
      <c r="AA36" s="29"/>
      <c r="AB36" s="28">
        <v>95111</v>
      </c>
      <c r="AC36" s="29"/>
      <c r="AD36" s="28">
        <v>354913</v>
      </c>
      <c r="AE36" s="29"/>
      <c r="AF36" s="28">
        <v>336629</v>
      </c>
      <c r="AG36" s="29"/>
      <c r="AH36" s="28">
        <v>18284</v>
      </c>
      <c r="AI36" s="29"/>
      <c r="AJ36" s="28">
        <v>1500026</v>
      </c>
      <c r="AK36" s="29"/>
      <c r="AL36" s="28">
        <v>1436691</v>
      </c>
      <c r="AM36" s="29"/>
      <c r="AN36" s="28">
        <v>125192</v>
      </c>
      <c r="AO36" s="29"/>
      <c r="AP36" s="34">
        <v>118274</v>
      </c>
      <c r="AQ36" s="29"/>
      <c r="AR36" s="28">
        <v>10255520</v>
      </c>
      <c r="AS36" s="29"/>
      <c r="AT36" s="33">
        <v>40738989</v>
      </c>
      <c r="AU36" s="25" t="s">
        <v>179</v>
      </c>
      <c r="AV36" s="35">
        <v>44.26</v>
      </c>
      <c r="AW36" s="25" t="s">
        <v>160</v>
      </c>
      <c r="AX36" s="25" t="s">
        <v>180</v>
      </c>
    </row>
    <row r="37" spans="1:50">
      <c r="A37" s="25" t="s">
        <v>224</v>
      </c>
      <c r="B37" s="25" t="s">
        <v>225</v>
      </c>
      <c r="C37" s="25" t="s">
        <v>226</v>
      </c>
      <c r="D37" s="26">
        <v>5027</v>
      </c>
      <c r="E37" s="27">
        <v>50027</v>
      </c>
      <c r="F37" s="25" t="s">
        <v>156</v>
      </c>
      <c r="G37" s="25" t="s">
        <v>157</v>
      </c>
      <c r="H37" s="28">
        <v>2650890</v>
      </c>
      <c r="I37" s="29">
        <v>823</v>
      </c>
      <c r="J37" s="25" t="s">
        <v>168</v>
      </c>
      <c r="K37" s="25" t="s">
        <v>167</v>
      </c>
      <c r="L37" s="30">
        <v>20</v>
      </c>
      <c r="M37" s="25"/>
      <c r="N37" s="31">
        <v>4</v>
      </c>
      <c r="O37" s="29"/>
      <c r="P37" s="32">
        <v>43.768999999999998</v>
      </c>
      <c r="Q37" s="29"/>
      <c r="R37" s="32">
        <v>24.702500000000001</v>
      </c>
      <c r="S37" s="29" t="s">
        <v>179</v>
      </c>
      <c r="T37" s="32">
        <v>26.3444</v>
      </c>
      <c r="U37" s="29"/>
      <c r="V37" s="28">
        <v>253487</v>
      </c>
      <c r="W37" s="29"/>
      <c r="X37" s="33">
        <v>256360</v>
      </c>
      <c r="Y37" s="29"/>
      <c r="Z37" s="28">
        <v>253291</v>
      </c>
      <c r="AA37" s="29"/>
      <c r="AB37" s="28">
        <v>3069</v>
      </c>
      <c r="AC37" s="29"/>
      <c r="AD37" s="28">
        <v>6199</v>
      </c>
      <c r="AE37" s="29"/>
      <c r="AF37" s="28">
        <v>5787</v>
      </c>
      <c r="AG37" s="29"/>
      <c r="AH37" s="28">
        <v>412</v>
      </c>
      <c r="AI37" s="29"/>
      <c r="AJ37" s="28">
        <v>64139</v>
      </c>
      <c r="AK37" s="29"/>
      <c r="AL37" s="28">
        <v>63372</v>
      </c>
      <c r="AM37" s="29"/>
      <c r="AN37" s="28">
        <v>1552</v>
      </c>
      <c r="AO37" s="29"/>
      <c r="AP37" s="34">
        <v>1448</v>
      </c>
      <c r="AQ37" s="29"/>
      <c r="AR37" s="28">
        <v>152455</v>
      </c>
      <c r="AS37" s="29"/>
      <c r="AT37" s="33">
        <v>3766017</v>
      </c>
      <c r="AU37" s="25" t="s">
        <v>179</v>
      </c>
      <c r="AV37" s="35">
        <v>77.900000000000006</v>
      </c>
      <c r="AW37" s="25" t="s">
        <v>160</v>
      </c>
      <c r="AX37" s="25" t="s">
        <v>180</v>
      </c>
    </row>
    <row r="38" spans="1:50">
      <c r="A38" s="25" t="s">
        <v>227</v>
      </c>
      <c r="B38" s="25" t="s">
        <v>228</v>
      </c>
      <c r="C38" s="25" t="s">
        <v>171</v>
      </c>
      <c r="D38" s="26">
        <v>9013</v>
      </c>
      <c r="E38" s="27">
        <v>90013</v>
      </c>
      <c r="F38" s="25" t="s">
        <v>172</v>
      </c>
      <c r="G38" s="25" t="s">
        <v>157</v>
      </c>
      <c r="H38" s="28">
        <v>1664496</v>
      </c>
      <c r="I38" s="29">
        <v>635</v>
      </c>
      <c r="J38" s="25" t="s">
        <v>166</v>
      </c>
      <c r="K38" s="25" t="s">
        <v>159</v>
      </c>
      <c r="L38" s="30">
        <v>61</v>
      </c>
      <c r="M38" s="25"/>
      <c r="N38" s="31">
        <v>29</v>
      </c>
      <c r="O38" s="29"/>
      <c r="P38" s="32">
        <v>14.6876</v>
      </c>
      <c r="Q38" s="29"/>
      <c r="R38" s="32">
        <v>5.3385999999999996</v>
      </c>
      <c r="S38" s="29"/>
      <c r="T38" s="32">
        <v>31.957599999999999</v>
      </c>
      <c r="U38" s="29"/>
      <c r="V38" s="28">
        <v>3049391</v>
      </c>
      <c r="W38" s="29"/>
      <c r="X38" s="33">
        <v>3045104</v>
      </c>
      <c r="Y38" s="29"/>
      <c r="Z38" s="28">
        <v>2886997</v>
      </c>
      <c r="AA38" s="29"/>
      <c r="AB38" s="28">
        <v>158107</v>
      </c>
      <c r="AC38" s="29"/>
      <c r="AD38" s="28">
        <v>208938</v>
      </c>
      <c r="AE38" s="29"/>
      <c r="AF38" s="28">
        <v>196560</v>
      </c>
      <c r="AG38" s="29"/>
      <c r="AH38" s="28">
        <v>12378</v>
      </c>
      <c r="AI38" s="29"/>
      <c r="AJ38" s="28">
        <v>1824324</v>
      </c>
      <c r="AK38" s="29"/>
      <c r="AL38" s="28">
        <v>1733696</v>
      </c>
      <c r="AM38" s="29"/>
      <c r="AN38" s="28">
        <v>131172</v>
      </c>
      <c r="AO38" s="29"/>
      <c r="AP38" s="34">
        <v>123509</v>
      </c>
      <c r="AQ38" s="29"/>
      <c r="AR38" s="28">
        <v>6281578</v>
      </c>
      <c r="AS38" s="29"/>
      <c r="AT38" s="33">
        <v>33535077</v>
      </c>
      <c r="AU38" s="25"/>
      <c r="AV38" s="35">
        <v>80.959999999999994</v>
      </c>
      <c r="AW38" s="25" t="s">
        <v>160</v>
      </c>
      <c r="AX38" s="25" t="s">
        <v>161</v>
      </c>
    </row>
    <row r="39" spans="1:50">
      <c r="A39" s="25" t="s">
        <v>229</v>
      </c>
      <c r="B39" s="25" t="s">
        <v>230</v>
      </c>
      <c r="C39" s="25" t="s">
        <v>171</v>
      </c>
      <c r="D39" s="26">
        <v>9003</v>
      </c>
      <c r="E39" s="27">
        <v>90003</v>
      </c>
      <c r="F39" s="25" t="s">
        <v>172</v>
      </c>
      <c r="G39" s="25" t="s">
        <v>157</v>
      </c>
      <c r="H39" s="28">
        <v>3281212</v>
      </c>
      <c r="I39" s="29">
        <v>616</v>
      </c>
      <c r="J39" s="25" t="s">
        <v>158</v>
      </c>
      <c r="K39" s="25" t="s">
        <v>159</v>
      </c>
      <c r="L39" s="30">
        <v>599</v>
      </c>
      <c r="M39" s="25"/>
      <c r="N39" s="31">
        <v>56</v>
      </c>
      <c r="O39" s="29"/>
      <c r="P39" s="32">
        <v>34.829900000000002</v>
      </c>
      <c r="Q39" s="29" t="s">
        <v>179</v>
      </c>
      <c r="R39" s="32">
        <v>13.962999999999999</v>
      </c>
      <c r="S39" s="29"/>
      <c r="T39" s="32">
        <v>44.260899999999999</v>
      </c>
      <c r="U39" s="29" t="s">
        <v>179</v>
      </c>
      <c r="V39" s="28">
        <v>69597595</v>
      </c>
      <c r="W39" s="29"/>
      <c r="X39" s="33">
        <v>72050709</v>
      </c>
      <c r="Y39" s="29"/>
      <c r="Z39" s="28">
        <v>69799195</v>
      </c>
      <c r="AA39" s="29"/>
      <c r="AB39" s="28">
        <v>2251514</v>
      </c>
      <c r="AC39" s="29"/>
      <c r="AD39" s="28">
        <v>2377255</v>
      </c>
      <c r="AE39" s="29"/>
      <c r="AF39" s="28">
        <v>2004002</v>
      </c>
      <c r="AG39" s="29" t="s">
        <v>179</v>
      </c>
      <c r="AH39" s="28">
        <v>373253</v>
      </c>
      <c r="AI39" s="29"/>
      <c r="AJ39" s="28">
        <v>8255518</v>
      </c>
      <c r="AK39" s="29"/>
      <c r="AL39" s="28">
        <v>7973519</v>
      </c>
      <c r="AM39" s="29"/>
      <c r="AN39" s="28">
        <v>277276</v>
      </c>
      <c r="AO39" s="29"/>
      <c r="AP39" s="34">
        <v>229211</v>
      </c>
      <c r="AQ39" s="29"/>
      <c r="AR39" s="28">
        <v>88698878</v>
      </c>
      <c r="AS39" s="29"/>
      <c r="AT39" s="33">
        <v>1238506222</v>
      </c>
      <c r="AU39" s="25"/>
      <c r="AV39" s="35">
        <v>239.42</v>
      </c>
      <c r="AW39" s="25" t="s">
        <v>160</v>
      </c>
      <c r="AX39" s="25" t="s">
        <v>180</v>
      </c>
    </row>
    <row r="40" spans="1:50">
      <c r="A40" s="25" t="s">
        <v>231</v>
      </c>
      <c r="B40" s="25" t="s">
        <v>232</v>
      </c>
      <c r="C40" s="25" t="s">
        <v>233</v>
      </c>
      <c r="D40" s="26">
        <v>7006</v>
      </c>
      <c r="E40" s="27">
        <v>70006</v>
      </c>
      <c r="F40" s="25" t="s">
        <v>172</v>
      </c>
      <c r="G40" s="25" t="s">
        <v>157</v>
      </c>
      <c r="H40" s="28">
        <v>2150706</v>
      </c>
      <c r="I40" s="29">
        <v>493</v>
      </c>
      <c r="J40" s="25" t="s">
        <v>166</v>
      </c>
      <c r="K40" s="25" t="s">
        <v>159</v>
      </c>
      <c r="L40" s="30">
        <v>50</v>
      </c>
      <c r="M40" s="25"/>
      <c r="N40" s="31">
        <v>25</v>
      </c>
      <c r="O40" s="29"/>
      <c r="P40" s="32">
        <v>23.1905</v>
      </c>
      <c r="Q40" s="29"/>
      <c r="R40" s="32">
        <v>6.7489999999999997</v>
      </c>
      <c r="S40" s="29"/>
      <c r="T40" s="32">
        <v>41.739400000000003</v>
      </c>
      <c r="U40" s="29"/>
      <c r="V40" s="28">
        <v>5954691</v>
      </c>
      <c r="W40" s="29"/>
      <c r="X40" s="33">
        <v>5905439</v>
      </c>
      <c r="Y40" s="29"/>
      <c r="Z40" s="28">
        <v>5839491</v>
      </c>
      <c r="AA40" s="29"/>
      <c r="AB40" s="28">
        <v>65948</v>
      </c>
      <c r="AC40" s="29"/>
      <c r="AD40" s="28">
        <v>256119</v>
      </c>
      <c r="AE40" s="29"/>
      <c r="AF40" s="28">
        <v>251805</v>
      </c>
      <c r="AG40" s="29"/>
      <c r="AH40" s="28">
        <v>4314</v>
      </c>
      <c r="AI40" s="29"/>
      <c r="AJ40" s="28">
        <v>2952712</v>
      </c>
      <c r="AK40" s="29"/>
      <c r="AL40" s="28">
        <v>2919745</v>
      </c>
      <c r="AM40" s="29"/>
      <c r="AN40" s="28">
        <v>128060</v>
      </c>
      <c r="AO40" s="29"/>
      <c r="AP40" s="34">
        <v>125902</v>
      </c>
      <c r="AQ40" s="29"/>
      <c r="AR40" s="28">
        <v>10510179</v>
      </c>
      <c r="AS40" s="29"/>
      <c r="AT40" s="33">
        <v>70933375</v>
      </c>
      <c r="AU40" s="25"/>
      <c r="AV40" s="35">
        <v>91.06</v>
      </c>
      <c r="AW40" s="25" t="s">
        <v>160</v>
      </c>
      <c r="AX40" s="25" t="s">
        <v>161</v>
      </c>
    </row>
    <row r="41" spans="1:50">
      <c r="A41" s="25" t="s">
        <v>234</v>
      </c>
      <c r="B41" s="25" t="s">
        <v>235</v>
      </c>
      <c r="C41" s="25" t="s">
        <v>236</v>
      </c>
      <c r="D41" s="26">
        <v>5015</v>
      </c>
      <c r="E41" s="27">
        <v>50015</v>
      </c>
      <c r="F41" s="25" t="s">
        <v>172</v>
      </c>
      <c r="G41" s="25" t="s">
        <v>157</v>
      </c>
      <c r="H41" s="28">
        <v>1780673</v>
      </c>
      <c r="I41" s="29">
        <v>418</v>
      </c>
      <c r="J41" s="25" t="s">
        <v>166</v>
      </c>
      <c r="K41" s="25" t="s">
        <v>159</v>
      </c>
      <c r="L41" s="30">
        <v>6</v>
      </c>
      <c r="M41" s="25"/>
      <c r="N41" s="31">
        <v>6</v>
      </c>
      <c r="O41" s="29"/>
      <c r="P41" s="32">
        <v>14.0802</v>
      </c>
      <c r="Q41" s="29"/>
      <c r="R41" s="32">
        <v>3.5057</v>
      </c>
      <c r="S41" s="29" t="s">
        <v>179</v>
      </c>
      <c r="T41" s="32">
        <v>14.4611</v>
      </c>
      <c r="U41" s="29"/>
      <c r="V41" s="28">
        <v>559327</v>
      </c>
      <c r="W41" s="29"/>
      <c r="X41" s="33">
        <v>577077</v>
      </c>
      <c r="Y41" s="29"/>
      <c r="Z41" s="28">
        <v>573726</v>
      </c>
      <c r="AA41" s="29"/>
      <c r="AB41" s="28">
        <v>3351</v>
      </c>
      <c r="AC41" s="29"/>
      <c r="AD41" s="28">
        <v>41389</v>
      </c>
      <c r="AE41" s="29"/>
      <c r="AF41" s="28">
        <v>40747</v>
      </c>
      <c r="AG41" s="29"/>
      <c r="AH41" s="28">
        <v>642</v>
      </c>
      <c r="AI41" s="29"/>
      <c r="AJ41" s="28">
        <v>562513</v>
      </c>
      <c r="AK41" s="29"/>
      <c r="AL41" s="28">
        <v>559161</v>
      </c>
      <c r="AM41" s="29"/>
      <c r="AN41" s="28">
        <v>40336</v>
      </c>
      <c r="AO41" s="29"/>
      <c r="AP41" s="34">
        <v>39693</v>
      </c>
      <c r="AQ41" s="29"/>
      <c r="AR41" s="28">
        <v>589245</v>
      </c>
      <c r="AS41" s="29"/>
      <c r="AT41" s="33">
        <v>2065735</v>
      </c>
      <c r="AU41" s="25" t="s">
        <v>179</v>
      </c>
      <c r="AV41" s="35">
        <v>30.38</v>
      </c>
      <c r="AW41" s="25" t="s">
        <v>160</v>
      </c>
      <c r="AX41" s="25" t="s">
        <v>180</v>
      </c>
    </row>
    <row r="42" spans="1:50">
      <c r="A42" s="25" t="s">
        <v>234</v>
      </c>
      <c r="B42" s="25" t="s">
        <v>235</v>
      </c>
      <c r="C42" s="25" t="s">
        <v>236</v>
      </c>
      <c r="D42" s="26">
        <v>5015</v>
      </c>
      <c r="E42" s="27">
        <v>50015</v>
      </c>
      <c r="F42" s="25" t="s">
        <v>172</v>
      </c>
      <c r="G42" s="25" t="s">
        <v>157</v>
      </c>
      <c r="H42" s="28">
        <v>1780673</v>
      </c>
      <c r="I42" s="29">
        <v>418</v>
      </c>
      <c r="J42" s="25" t="s">
        <v>158</v>
      </c>
      <c r="K42" s="25" t="s">
        <v>159</v>
      </c>
      <c r="L42" s="30">
        <v>16</v>
      </c>
      <c r="M42" s="25"/>
      <c r="N42" s="31">
        <v>8</v>
      </c>
      <c r="O42" s="29"/>
      <c r="P42" s="32">
        <v>19.014700000000001</v>
      </c>
      <c r="Q42" s="29"/>
      <c r="R42" s="32">
        <v>6.9599000000000002</v>
      </c>
      <c r="S42" s="29" t="s">
        <v>179</v>
      </c>
      <c r="T42" s="32">
        <v>20.605499999999999</v>
      </c>
      <c r="U42" s="29"/>
      <c r="V42" s="28">
        <v>2472057</v>
      </c>
      <c r="W42" s="29"/>
      <c r="X42" s="33">
        <v>2440418</v>
      </c>
      <c r="Y42" s="29"/>
      <c r="Z42" s="28">
        <v>2434523</v>
      </c>
      <c r="AA42" s="29"/>
      <c r="AB42" s="28">
        <v>5895</v>
      </c>
      <c r="AC42" s="29"/>
      <c r="AD42" s="28">
        <v>129302</v>
      </c>
      <c r="AE42" s="29"/>
      <c r="AF42" s="28">
        <v>128034</v>
      </c>
      <c r="AG42" s="29"/>
      <c r="AH42" s="28">
        <v>1268</v>
      </c>
      <c r="AI42" s="29"/>
      <c r="AJ42" s="28">
        <v>1238321</v>
      </c>
      <c r="AK42" s="29"/>
      <c r="AL42" s="28">
        <v>1235375</v>
      </c>
      <c r="AM42" s="29"/>
      <c r="AN42" s="28">
        <v>65610</v>
      </c>
      <c r="AO42" s="29"/>
      <c r="AP42" s="34">
        <v>64976</v>
      </c>
      <c r="AQ42" s="29"/>
      <c r="AR42" s="28">
        <v>2638201</v>
      </c>
      <c r="AS42" s="29"/>
      <c r="AT42" s="33">
        <v>18361515</v>
      </c>
      <c r="AU42" s="25" t="s">
        <v>179</v>
      </c>
      <c r="AV42" s="35">
        <v>38.08</v>
      </c>
      <c r="AW42" s="25" t="s">
        <v>160</v>
      </c>
      <c r="AX42" s="25" t="s">
        <v>180</v>
      </c>
    </row>
    <row r="43" spans="1:50">
      <c r="A43" s="25" t="s">
        <v>237</v>
      </c>
      <c r="B43" s="25" t="s">
        <v>238</v>
      </c>
      <c r="C43" s="25" t="s">
        <v>239</v>
      </c>
      <c r="D43" s="26">
        <v>3083</v>
      </c>
      <c r="E43" s="27">
        <v>30083</v>
      </c>
      <c r="F43" s="25" t="s">
        <v>172</v>
      </c>
      <c r="G43" s="25" t="s">
        <v>157</v>
      </c>
      <c r="H43" s="28">
        <v>1439666</v>
      </c>
      <c r="I43" s="29">
        <v>417</v>
      </c>
      <c r="J43" s="25" t="s">
        <v>166</v>
      </c>
      <c r="K43" s="25" t="s">
        <v>159</v>
      </c>
      <c r="L43" s="30">
        <v>6</v>
      </c>
      <c r="M43" s="25"/>
      <c r="N43" s="31">
        <v>6</v>
      </c>
      <c r="O43" s="29"/>
      <c r="P43" s="32">
        <v>13.267099999999999</v>
      </c>
      <c r="Q43" s="29"/>
      <c r="R43" s="32">
        <v>3.2271999999999998</v>
      </c>
      <c r="S43" s="29"/>
      <c r="T43" s="32">
        <v>40.308999999999997</v>
      </c>
      <c r="U43" s="29"/>
      <c r="V43" s="28">
        <v>344336</v>
      </c>
      <c r="W43" s="29"/>
      <c r="X43" s="33">
        <v>344847</v>
      </c>
      <c r="Y43" s="29"/>
      <c r="Z43" s="28">
        <v>343618</v>
      </c>
      <c r="AA43" s="29"/>
      <c r="AB43" s="28">
        <v>1229</v>
      </c>
      <c r="AC43" s="29"/>
      <c r="AD43" s="28">
        <v>26101</v>
      </c>
      <c r="AE43" s="29"/>
      <c r="AF43" s="28">
        <v>25900</v>
      </c>
      <c r="AG43" s="29"/>
      <c r="AH43" s="28">
        <v>201</v>
      </c>
      <c r="AI43" s="29"/>
      <c r="AJ43" s="28">
        <v>344847</v>
      </c>
      <c r="AK43" s="29"/>
      <c r="AL43" s="28">
        <v>343618</v>
      </c>
      <c r="AM43" s="29"/>
      <c r="AN43" s="28">
        <v>26101</v>
      </c>
      <c r="AO43" s="29"/>
      <c r="AP43" s="34">
        <v>25900</v>
      </c>
      <c r="AQ43" s="29"/>
      <c r="AR43" s="28">
        <v>1044002</v>
      </c>
      <c r="AS43" s="29"/>
      <c r="AT43" s="33">
        <v>3369249</v>
      </c>
      <c r="AU43" s="25"/>
      <c r="AV43" s="35">
        <v>14.8</v>
      </c>
      <c r="AW43" s="25" t="s">
        <v>160</v>
      </c>
      <c r="AX43" s="25" t="s">
        <v>161</v>
      </c>
    </row>
    <row r="44" spans="1:50">
      <c r="A44" s="25" t="s">
        <v>240</v>
      </c>
      <c r="B44" s="25" t="s">
        <v>241</v>
      </c>
      <c r="C44" s="25" t="s">
        <v>242</v>
      </c>
      <c r="D44" s="26">
        <v>4008</v>
      </c>
      <c r="E44" s="27">
        <v>40008</v>
      </c>
      <c r="F44" s="25" t="s">
        <v>198</v>
      </c>
      <c r="G44" s="25" t="s">
        <v>157</v>
      </c>
      <c r="H44" s="28">
        <v>1249442</v>
      </c>
      <c r="I44" s="29">
        <v>409</v>
      </c>
      <c r="J44" s="25" t="s">
        <v>166</v>
      </c>
      <c r="K44" s="25" t="s">
        <v>159</v>
      </c>
      <c r="L44" s="30">
        <v>36</v>
      </c>
      <c r="M44" s="25"/>
      <c r="N44" s="31">
        <v>16</v>
      </c>
      <c r="O44" s="29"/>
      <c r="P44" s="32">
        <v>16.140799999999999</v>
      </c>
      <c r="Q44" s="29"/>
      <c r="R44" s="32">
        <v>5.1829999999999998</v>
      </c>
      <c r="S44" s="29"/>
      <c r="T44" s="32">
        <v>55.526200000000003</v>
      </c>
      <c r="U44" s="29"/>
      <c r="V44" s="28">
        <v>2178959</v>
      </c>
      <c r="W44" s="29"/>
      <c r="X44" s="33">
        <v>2267166</v>
      </c>
      <c r="Y44" s="29"/>
      <c r="Z44" s="28">
        <v>2110955</v>
      </c>
      <c r="AA44" s="29"/>
      <c r="AB44" s="28">
        <v>156211</v>
      </c>
      <c r="AC44" s="29"/>
      <c r="AD44" s="28">
        <v>138754</v>
      </c>
      <c r="AE44" s="29"/>
      <c r="AF44" s="28">
        <v>130784</v>
      </c>
      <c r="AG44" s="29"/>
      <c r="AH44" s="28">
        <v>7970</v>
      </c>
      <c r="AI44" s="29"/>
      <c r="AJ44" s="28">
        <v>1141671</v>
      </c>
      <c r="AK44" s="29"/>
      <c r="AL44" s="28">
        <v>1059265</v>
      </c>
      <c r="AM44" s="29"/>
      <c r="AN44" s="28">
        <v>69828</v>
      </c>
      <c r="AO44" s="29"/>
      <c r="AP44" s="34">
        <v>65622</v>
      </c>
      <c r="AQ44" s="29"/>
      <c r="AR44" s="28">
        <v>7261944</v>
      </c>
      <c r="AS44" s="29"/>
      <c r="AT44" s="33">
        <v>37638865</v>
      </c>
      <c r="AU44" s="25"/>
      <c r="AV44" s="35">
        <v>37.299999999999997</v>
      </c>
      <c r="AW44" s="25" t="s">
        <v>160</v>
      </c>
      <c r="AX44" s="25" t="s">
        <v>161</v>
      </c>
    </row>
    <row r="45" spans="1:50">
      <c r="A45" s="25" t="s">
        <v>243</v>
      </c>
      <c r="B45" s="25" t="s">
        <v>244</v>
      </c>
      <c r="C45" s="25" t="s">
        <v>245</v>
      </c>
      <c r="D45" s="26">
        <v>40</v>
      </c>
      <c r="E45" s="27">
        <v>40</v>
      </c>
      <c r="F45" s="25" t="s">
        <v>172</v>
      </c>
      <c r="G45" s="25" t="s">
        <v>157</v>
      </c>
      <c r="H45" s="28">
        <v>3059393</v>
      </c>
      <c r="I45" s="29">
        <v>381</v>
      </c>
      <c r="J45" s="25" t="s">
        <v>166</v>
      </c>
      <c r="K45" s="25" t="s">
        <v>159</v>
      </c>
      <c r="L45" s="30">
        <v>48</v>
      </c>
      <c r="M45" s="25"/>
      <c r="N45" s="31">
        <v>17</v>
      </c>
      <c r="O45" s="29"/>
      <c r="P45" s="32">
        <v>18.259</v>
      </c>
      <c r="Q45" s="29"/>
      <c r="R45" s="32">
        <v>6.3029999999999999</v>
      </c>
      <c r="S45" s="29"/>
      <c r="T45" s="32">
        <v>35.367199999999997</v>
      </c>
      <c r="U45" s="29"/>
      <c r="V45" s="28">
        <v>3994837</v>
      </c>
      <c r="W45" s="29"/>
      <c r="X45" s="33">
        <v>4168064</v>
      </c>
      <c r="Y45" s="29"/>
      <c r="Z45" s="28">
        <v>4078592</v>
      </c>
      <c r="AA45" s="29"/>
      <c r="AB45" s="28">
        <v>89472</v>
      </c>
      <c r="AC45" s="29"/>
      <c r="AD45" s="28">
        <v>233843</v>
      </c>
      <c r="AE45" s="29"/>
      <c r="AF45" s="28">
        <v>223374</v>
      </c>
      <c r="AG45" s="29"/>
      <c r="AH45" s="28">
        <v>10469</v>
      </c>
      <c r="AI45" s="29"/>
      <c r="AJ45" s="28">
        <v>1165448</v>
      </c>
      <c r="AK45" s="29"/>
      <c r="AL45" s="28">
        <v>1140397</v>
      </c>
      <c r="AM45" s="29"/>
      <c r="AN45" s="28">
        <v>65104</v>
      </c>
      <c r="AO45" s="29"/>
      <c r="AP45" s="34">
        <v>61879</v>
      </c>
      <c r="AQ45" s="29"/>
      <c r="AR45" s="28">
        <v>7900122</v>
      </c>
      <c r="AS45" s="29"/>
      <c r="AT45" s="33">
        <v>49794569</v>
      </c>
      <c r="AU45" s="25"/>
      <c r="AV45" s="35">
        <v>40.4</v>
      </c>
      <c r="AW45" s="25" t="s">
        <v>160</v>
      </c>
      <c r="AX45" s="25" t="s">
        <v>161</v>
      </c>
    </row>
    <row r="46" spans="1:50">
      <c r="A46" s="25" t="s">
        <v>243</v>
      </c>
      <c r="B46" s="25" t="s">
        <v>244</v>
      </c>
      <c r="C46" s="25" t="s">
        <v>245</v>
      </c>
      <c r="D46" s="26">
        <v>40</v>
      </c>
      <c r="E46" s="27">
        <v>40</v>
      </c>
      <c r="F46" s="25" t="s">
        <v>172</v>
      </c>
      <c r="G46" s="25" t="s">
        <v>157</v>
      </c>
      <c r="H46" s="28">
        <v>3059393</v>
      </c>
      <c r="I46" s="29">
        <v>381</v>
      </c>
      <c r="J46" s="25" t="s">
        <v>168</v>
      </c>
      <c r="K46" s="25" t="s">
        <v>167</v>
      </c>
      <c r="L46" s="30">
        <v>70</v>
      </c>
      <c r="M46" s="25"/>
      <c r="N46" s="31">
        <v>23</v>
      </c>
      <c r="O46" s="29"/>
      <c r="P46" s="32">
        <v>30.116700000000002</v>
      </c>
      <c r="Q46" s="29"/>
      <c r="R46" s="32">
        <v>25.192499999999999</v>
      </c>
      <c r="S46" s="29"/>
      <c r="T46" s="32">
        <v>24.971</v>
      </c>
      <c r="U46" s="29"/>
      <c r="V46" s="28">
        <v>1617729</v>
      </c>
      <c r="W46" s="29"/>
      <c r="X46" s="33">
        <v>1562310</v>
      </c>
      <c r="Y46" s="29"/>
      <c r="Z46" s="28">
        <v>1526737</v>
      </c>
      <c r="AA46" s="29"/>
      <c r="AB46" s="28">
        <v>35573</v>
      </c>
      <c r="AC46" s="29"/>
      <c r="AD46" s="28">
        <v>54020</v>
      </c>
      <c r="AE46" s="29"/>
      <c r="AF46" s="28">
        <v>50694</v>
      </c>
      <c r="AG46" s="29"/>
      <c r="AH46" s="28">
        <v>3326</v>
      </c>
      <c r="AI46" s="29"/>
      <c r="AJ46" s="28">
        <v>250453</v>
      </c>
      <c r="AK46" s="29"/>
      <c r="AL46" s="28">
        <v>244746</v>
      </c>
      <c r="AM46" s="29"/>
      <c r="AN46" s="28">
        <v>8818</v>
      </c>
      <c r="AO46" s="29"/>
      <c r="AP46" s="34">
        <v>8281</v>
      </c>
      <c r="AQ46" s="29"/>
      <c r="AR46" s="28">
        <v>1265882</v>
      </c>
      <c r="AS46" s="29"/>
      <c r="AT46" s="33">
        <v>31890678</v>
      </c>
      <c r="AU46" s="25"/>
      <c r="AV46" s="35">
        <v>163.84</v>
      </c>
      <c r="AW46" s="25" t="s">
        <v>160</v>
      </c>
      <c r="AX46" s="25" t="s">
        <v>161</v>
      </c>
    </row>
    <row r="47" spans="1:50">
      <c r="A47" s="25" t="s">
        <v>246</v>
      </c>
      <c r="B47" s="25" t="s">
        <v>247</v>
      </c>
      <c r="C47" s="25" t="s">
        <v>155</v>
      </c>
      <c r="D47" s="26">
        <v>2004</v>
      </c>
      <c r="E47" s="27">
        <v>20004</v>
      </c>
      <c r="F47" s="25" t="s">
        <v>172</v>
      </c>
      <c r="G47" s="25" t="s">
        <v>157</v>
      </c>
      <c r="H47" s="28">
        <v>935906</v>
      </c>
      <c r="I47" s="29">
        <v>359</v>
      </c>
      <c r="J47" s="25" t="s">
        <v>166</v>
      </c>
      <c r="K47" s="25" t="s">
        <v>159</v>
      </c>
      <c r="L47" s="30">
        <v>23</v>
      </c>
      <c r="M47" s="25"/>
      <c r="N47" s="31">
        <v>7</v>
      </c>
      <c r="O47" s="29"/>
      <c r="P47" s="32">
        <v>11.1447</v>
      </c>
      <c r="Q47" s="29"/>
      <c r="R47" s="32">
        <v>2.6665000000000001</v>
      </c>
      <c r="S47" s="29"/>
      <c r="T47" s="32">
        <v>48.610100000000003</v>
      </c>
      <c r="U47" s="29"/>
      <c r="V47" s="28">
        <v>962940</v>
      </c>
      <c r="W47" s="29"/>
      <c r="X47" s="33">
        <v>984827</v>
      </c>
      <c r="Y47" s="29"/>
      <c r="Z47" s="28">
        <v>968353</v>
      </c>
      <c r="AA47" s="29"/>
      <c r="AB47" s="28">
        <v>16474</v>
      </c>
      <c r="AC47" s="29"/>
      <c r="AD47" s="28">
        <v>91599</v>
      </c>
      <c r="AE47" s="29"/>
      <c r="AF47" s="28">
        <v>86889</v>
      </c>
      <c r="AG47" s="29"/>
      <c r="AH47" s="28">
        <v>4710</v>
      </c>
      <c r="AI47" s="29"/>
      <c r="AJ47" s="28">
        <v>347313</v>
      </c>
      <c r="AK47" s="29"/>
      <c r="AL47" s="28">
        <v>341503</v>
      </c>
      <c r="AM47" s="29"/>
      <c r="AN47" s="28">
        <v>32115</v>
      </c>
      <c r="AO47" s="29"/>
      <c r="AP47" s="34">
        <v>30462</v>
      </c>
      <c r="AQ47" s="29"/>
      <c r="AR47" s="28">
        <v>4223681</v>
      </c>
      <c r="AS47" s="29"/>
      <c r="AT47" s="33">
        <v>11262397</v>
      </c>
      <c r="AU47" s="25"/>
      <c r="AV47" s="35">
        <v>12.4</v>
      </c>
      <c r="AW47" s="25" t="s">
        <v>160</v>
      </c>
      <c r="AX47" s="25" t="s">
        <v>161</v>
      </c>
    </row>
    <row r="48" spans="1:50">
      <c r="A48" s="25" t="s">
        <v>248</v>
      </c>
      <c r="B48" s="25" t="s">
        <v>249</v>
      </c>
      <c r="C48" s="25" t="s">
        <v>171</v>
      </c>
      <c r="D48" s="26">
        <v>9019</v>
      </c>
      <c r="E48" s="27">
        <v>90019</v>
      </c>
      <c r="F48" s="25" t="s">
        <v>172</v>
      </c>
      <c r="G48" s="25" t="s">
        <v>157</v>
      </c>
      <c r="H48" s="28">
        <v>1723634</v>
      </c>
      <c r="I48" s="29">
        <v>331</v>
      </c>
      <c r="J48" s="25" t="s">
        <v>166</v>
      </c>
      <c r="K48" s="25" t="s">
        <v>159</v>
      </c>
      <c r="L48" s="30">
        <v>69</v>
      </c>
      <c r="M48" s="25"/>
      <c r="N48" s="31">
        <v>18</v>
      </c>
      <c r="O48" s="29"/>
      <c r="P48" s="32">
        <v>17.4438</v>
      </c>
      <c r="Q48" s="29"/>
      <c r="R48" s="32">
        <v>5.9108000000000001</v>
      </c>
      <c r="S48" s="29"/>
      <c r="T48" s="32">
        <v>43.433199999999999</v>
      </c>
      <c r="U48" s="29"/>
      <c r="V48" s="28">
        <v>3637080</v>
      </c>
      <c r="W48" s="29"/>
      <c r="X48" s="33">
        <v>3765256</v>
      </c>
      <c r="Y48" s="29"/>
      <c r="Z48" s="28">
        <v>3610107</v>
      </c>
      <c r="AA48" s="29"/>
      <c r="AB48" s="28">
        <v>155149</v>
      </c>
      <c r="AC48" s="29"/>
      <c r="AD48" s="28">
        <v>213385</v>
      </c>
      <c r="AE48" s="29"/>
      <c r="AF48" s="28">
        <v>206957</v>
      </c>
      <c r="AG48" s="29"/>
      <c r="AH48" s="28">
        <v>6428</v>
      </c>
      <c r="AI48" s="29"/>
      <c r="AJ48" s="28">
        <v>1757466</v>
      </c>
      <c r="AK48" s="29"/>
      <c r="AL48" s="28">
        <v>1710343</v>
      </c>
      <c r="AM48" s="29"/>
      <c r="AN48" s="28">
        <v>101083</v>
      </c>
      <c r="AO48" s="29"/>
      <c r="AP48" s="34">
        <v>98064</v>
      </c>
      <c r="AQ48" s="29"/>
      <c r="AR48" s="28">
        <v>8988806</v>
      </c>
      <c r="AS48" s="29"/>
      <c r="AT48" s="33">
        <v>53131252</v>
      </c>
      <c r="AU48" s="25"/>
      <c r="AV48" s="35">
        <v>84.92</v>
      </c>
      <c r="AW48" s="25" t="s">
        <v>160</v>
      </c>
      <c r="AX48" s="25" t="s">
        <v>161</v>
      </c>
    </row>
    <row r="49" spans="1:50">
      <c r="A49" s="25" t="s">
        <v>250</v>
      </c>
      <c r="B49" s="25" t="s">
        <v>251</v>
      </c>
      <c r="C49" s="25" t="s">
        <v>190</v>
      </c>
      <c r="D49" s="26">
        <v>6007</v>
      </c>
      <c r="E49" s="27">
        <v>60007</v>
      </c>
      <c r="F49" s="25" t="s">
        <v>172</v>
      </c>
      <c r="G49" s="25" t="s">
        <v>157</v>
      </c>
      <c r="H49" s="28">
        <v>5121892</v>
      </c>
      <c r="I49" s="29">
        <v>312</v>
      </c>
      <c r="J49" s="25" t="s">
        <v>168</v>
      </c>
      <c r="K49" s="25" t="s">
        <v>167</v>
      </c>
      <c r="L49" s="30">
        <v>20</v>
      </c>
      <c r="M49" s="25"/>
      <c r="N49" s="31">
        <v>5</v>
      </c>
      <c r="O49" s="29"/>
      <c r="P49" s="32">
        <v>19.5091</v>
      </c>
      <c r="Q49" s="29"/>
      <c r="R49" s="32">
        <v>15.8208</v>
      </c>
      <c r="S49" s="29" t="s">
        <v>184</v>
      </c>
      <c r="T49" s="32">
        <v>2.8578999999999999</v>
      </c>
      <c r="U49" s="29" t="s">
        <v>184</v>
      </c>
      <c r="V49" s="28">
        <v>2417541</v>
      </c>
      <c r="W49" s="29"/>
      <c r="X49" s="33">
        <v>2349671</v>
      </c>
      <c r="Y49" s="29"/>
      <c r="Z49" s="28">
        <v>2320998</v>
      </c>
      <c r="AA49" s="29"/>
      <c r="AB49" s="28">
        <v>28673</v>
      </c>
      <c r="AC49" s="29"/>
      <c r="AD49" s="28">
        <v>120510</v>
      </c>
      <c r="AE49" s="29"/>
      <c r="AF49" s="28">
        <v>118970</v>
      </c>
      <c r="AG49" s="29"/>
      <c r="AH49" s="28">
        <v>1540</v>
      </c>
      <c r="AI49" s="29"/>
      <c r="AJ49" s="28">
        <v>587418</v>
      </c>
      <c r="AK49" s="29"/>
      <c r="AL49" s="28">
        <v>580250</v>
      </c>
      <c r="AM49" s="29" t="s">
        <v>184</v>
      </c>
      <c r="AN49" s="28">
        <v>30128</v>
      </c>
      <c r="AO49" s="29"/>
      <c r="AP49" s="34">
        <v>29743</v>
      </c>
      <c r="AQ49" s="29" t="s">
        <v>184</v>
      </c>
      <c r="AR49" s="28">
        <v>340008</v>
      </c>
      <c r="AS49" s="29" t="s">
        <v>184</v>
      </c>
      <c r="AT49" s="33">
        <v>5379214</v>
      </c>
      <c r="AU49" s="25" t="s">
        <v>184</v>
      </c>
      <c r="AV49" s="35">
        <v>52.34</v>
      </c>
      <c r="AW49" s="25" t="s">
        <v>160</v>
      </c>
      <c r="AX49" s="25" t="s">
        <v>180</v>
      </c>
    </row>
    <row r="50" spans="1:50">
      <c r="A50" s="25" t="s">
        <v>252</v>
      </c>
      <c r="B50" s="25" t="s">
        <v>203</v>
      </c>
      <c r="C50" s="25" t="s">
        <v>164</v>
      </c>
      <c r="D50" s="26">
        <v>2098</v>
      </c>
      <c r="E50" s="27">
        <v>20098</v>
      </c>
      <c r="F50" s="25" t="s">
        <v>172</v>
      </c>
      <c r="G50" s="25" t="s">
        <v>157</v>
      </c>
      <c r="H50" s="28">
        <v>18351295</v>
      </c>
      <c r="I50" s="29">
        <v>310</v>
      </c>
      <c r="J50" s="25" t="s">
        <v>158</v>
      </c>
      <c r="K50" s="25" t="s">
        <v>159</v>
      </c>
      <c r="L50" s="30">
        <v>304</v>
      </c>
      <c r="M50" s="25"/>
      <c r="N50" s="31">
        <v>33</v>
      </c>
      <c r="O50" s="29"/>
      <c r="P50" s="32">
        <v>13.624599999999999</v>
      </c>
      <c r="Q50" s="29"/>
      <c r="R50" s="32">
        <v>5.0683999999999996</v>
      </c>
      <c r="S50" s="29"/>
      <c r="T50" s="32">
        <v>31.703499999999998</v>
      </c>
      <c r="U50" s="29"/>
      <c r="V50" s="28">
        <v>12823047</v>
      </c>
      <c r="W50" s="29"/>
      <c r="X50" s="33">
        <v>13103345</v>
      </c>
      <c r="Y50" s="29"/>
      <c r="Z50" s="28">
        <v>12744198</v>
      </c>
      <c r="AA50" s="29"/>
      <c r="AB50" s="28">
        <v>359147</v>
      </c>
      <c r="AC50" s="29"/>
      <c r="AD50" s="28">
        <v>954091</v>
      </c>
      <c r="AE50" s="29"/>
      <c r="AF50" s="28">
        <v>935379</v>
      </c>
      <c r="AG50" s="29"/>
      <c r="AH50" s="28">
        <v>18712</v>
      </c>
      <c r="AI50" s="29"/>
      <c r="AJ50" s="28">
        <v>1753804</v>
      </c>
      <c r="AK50" s="29"/>
      <c r="AL50" s="28">
        <v>1705415</v>
      </c>
      <c r="AM50" s="29"/>
      <c r="AN50" s="28">
        <v>129406</v>
      </c>
      <c r="AO50" s="29"/>
      <c r="AP50" s="34">
        <v>126903</v>
      </c>
      <c r="AQ50" s="29"/>
      <c r="AR50" s="28">
        <v>29654770</v>
      </c>
      <c r="AS50" s="29"/>
      <c r="AT50" s="33">
        <v>150302485</v>
      </c>
      <c r="AU50" s="25"/>
      <c r="AV50" s="35">
        <v>28.6</v>
      </c>
      <c r="AW50" s="25" t="s">
        <v>160</v>
      </c>
      <c r="AX50" s="25" t="s">
        <v>161</v>
      </c>
    </row>
    <row r="51" spans="1:50">
      <c r="A51" s="25" t="s">
        <v>253</v>
      </c>
      <c r="B51" s="25" t="s">
        <v>254</v>
      </c>
      <c r="C51" s="25" t="s">
        <v>171</v>
      </c>
      <c r="D51" s="26">
        <v>9030</v>
      </c>
      <c r="E51" s="27">
        <v>90030</v>
      </c>
      <c r="F51" s="25" t="s">
        <v>172</v>
      </c>
      <c r="G51" s="25" t="s">
        <v>157</v>
      </c>
      <c r="H51" s="28">
        <v>2956746</v>
      </c>
      <c r="I51" s="29">
        <v>205</v>
      </c>
      <c r="J51" s="25" t="s">
        <v>168</v>
      </c>
      <c r="K51" s="25" t="s">
        <v>167</v>
      </c>
      <c r="L51" s="30">
        <v>24</v>
      </c>
      <c r="M51" s="25"/>
      <c r="N51" s="31">
        <v>4</v>
      </c>
      <c r="O51" s="29"/>
      <c r="P51" s="32">
        <v>31.677499999999998</v>
      </c>
      <c r="Q51" s="29"/>
      <c r="R51" s="32">
        <v>26.441199999999998</v>
      </c>
      <c r="S51" s="29"/>
      <c r="T51" s="32">
        <v>25.204499999999999</v>
      </c>
      <c r="U51" s="29"/>
      <c r="V51" s="28">
        <v>1181583</v>
      </c>
      <c r="W51" s="29"/>
      <c r="X51" s="33">
        <v>1254334</v>
      </c>
      <c r="Y51" s="29"/>
      <c r="Z51" s="28">
        <v>1186577</v>
      </c>
      <c r="AA51" s="29"/>
      <c r="AB51" s="28">
        <v>67757</v>
      </c>
      <c r="AC51" s="29"/>
      <c r="AD51" s="28">
        <v>42212</v>
      </c>
      <c r="AE51" s="29"/>
      <c r="AF51" s="28">
        <v>37458</v>
      </c>
      <c r="AG51" s="29"/>
      <c r="AH51" s="28">
        <v>4754</v>
      </c>
      <c r="AI51" s="29"/>
      <c r="AJ51" s="28">
        <v>243076</v>
      </c>
      <c r="AK51" s="29"/>
      <c r="AL51" s="28">
        <v>230008</v>
      </c>
      <c r="AM51" s="29"/>
      <c r="AN51" s="28">
        <v>7881</v>
      </c>
      <c r="AO51" s="29"/>
      <c r="AP51" s="34">
        <v>7305</v>
      </c>
      <c r="AQ51" s="29"/>
      <c r="AR51" s="28">
        <v>944109</v>
      </c>
      <c r="AS51" s="29"/>
      <c r="AT51" s="33">
        <v>24963395</v>
      </c>
      <c r="AU51" s="25"/>
      <c r="AV51" s="35">
        <v>82.2</v>
      </c>
      <c r="AW51" s="25" t="s">
        <v>160</v>
      </c>
      <c r="AX51" s="25" t="s">
        <v>161</v>
      </c>
    </row>
    <row r="52" spans="1:50">
      <c r="A52" s="25" t="s">
        <v>255</v>
      </c>
      <c r="B52" s="25" t="s">
        <v>170</v>
      </c>
      <c r="C52" s="25" t="s">
        <v>171</v>
      </c>
      <c r="D52" s="26">
        <v>9151</v>
      </c>
      <c r="E52" s="27">
        <v>90151</v>
      </c>
      <c r="F52" s="25" t="s">
        <v>172</v>
      </c>
      <c r="G52" s="25" t="s">
        <v>157</v>
      </c>
      <c r="H52" s="28">
        <v>12150996</v>
      </c>
      <c r="I52" s="29">
        <v>195</v>
      </c>
      <c r="J52" s="25" t="s">
        <v>168</v>
      </c>
      <c r="K52" s="25" t="s">
        <v>167</v>
      </c>
      <c r="L52" s="30">
        <v>195</v>
      </c>
      <c r="M52" s="25"/>
      <c r="N52" s="31">
        <v>40</v>
      </c>
      <c r="O52" s="29"/>
      <c r="P52" s="32">
        <v>36.3401</v>
      </c>
      <c r="Q52" s="29"/>
      <c r="R52" s="32">
        <v>34.358199999999997</v>
      </c>
      <c r="S52" s="29" t="s">
        <v>179</v>
      </c>
      <c r="T52" s="32">
        <v>26.057400000000001</v>
      </c>
      <c r="U52" s="29" t="s">
        <v>179</v>
      </c>
      <c r="V52" s="28">
        <v>13061501</v>
      </c>
      <c r="W52" s="29"/>
      <c r="X52" s="33">
        <v>13618637</v>
      </c>
      <c r="Y52" s="29"/>
      <c r="Z52" s="28">
        <v>13049429</v>
      </c>
      <c r="AA52" s="29"/>
      <c r="AB52" s="28">
        <v>569208</v>
      </c>
      <c r="AC52" s="29"/>
      <c r="AD52" s="28">
        <v>387165</v>
      </c>
      <c r="AE52" s="29"/>
      <c r="AF52" s="28">
        <v>359092</v>
      </c>
      <c r="AG52" s="29"/>
      <c r="AH52" s="28">
        <v>28073</v>
      </c>
      <c r="AI52" s="29"/>
      <c r="AJ52" s="28">
        <v>2786037</v>
      </c>
      <c r="AK52" s="29"/>
      <c r="AL52" s="28">
        <v>2674879</v>
      </c>
      <c r="AM52" s="29"/>
      <c r="AN52" s="28">
        <v>80963</v>
      </c>
      <c r="AO52" s="29"/>
      <c r="AP52" s="34">
        <v>73871</v>
      </c>
      <c r="AQ52" s="29"/>
      <c r="AR52" s="28">
        <v>9357013</v>
      </c>
      <c r="AS52" s="29" t="s">
        <v>179</v>
      </c>
      <c r="AT52" s="33">
        <v>321490316</v>
      </c>
      <c r="AU52" s="25" t="s">
        <v>179</v>
      </c>
      <c r="AV52" s="35">
        <v>826.8</v>
      </c>
      <c r="AW52" s="25" t="s">
        <v>160</v>
      </c>
      <c r="AX52" s="25" t="s">
        <v>180</v>
      </c>
    </row>
    <row r="53" spans="1:50">
      <c r="A53" s="25" t="s">
        <v>256</v>
      </c>
      <c r="B53" s="25" t="s">
        <v>257</v>
      </c>
      <c r="C53" s="25" t="s">
        <v>171</v>
      </c>
      <c r="D53" s="26">
        <v>9134</v>
      </c>
      <c r="E53" s="27">
        <v>90134</v>
      </c>
      <c r="F53" s="25" t="s">
        <v>172</v>
      </c>
      <c r="G53" s="25" t="s">
        <v>157</v>
      </c>
      <c r="H53" s="28">
        <v>3281212</v>
      </c>
      <c r="I53" s="29">
        <v>141</v>
      </c>
      <c r="J53" s="25" t="s">
        <v>168</v>
      </c>
      <c r="K53" s="25" t="s">
        <v>167</v>
      </c>
      <c r="L53" s="30">
        <v>111</v>
      </c>
      <c r="M53" s="25"/>
      <c r="N53" s="31">
        <v>20</v>
      </c>
      <c r="O53" s="29"/>
      <c r="P53" s="32">
        <v>32.338700000000003</v>
      </c>
      <c r="Q53" s="29"/>
      <c r="R53" s="32">
        <v>22.0776</v>
      </c>
      <c r="S53" s="29"/>
      <c r="T53" s="32">
        <v>68.261899999999997</v>
      </c>
      <c r="U53" s="29"/>
      <c r="V53" s="28">
        <v>6469218</v>
      </c>
      <c r="W53" s="29"/>
      <c r="X53" s="33">
        <v>6644705</v>
      </c>
      <c r="Y53" s="29"/>
      <c r="Z53" s="28">
        <v>6486852</v>
      </c>
      <c r="AA53" s="29"/>
      <c r="AB53" s="28">
        <v>157853</v>
      </c>
      <c r="AC53" s="29"/>
      <c r="AD53" s="28">
        <v>216487</v>
      </c>
      <c r="AE53" s="29"/>
      <c r="AF53" s="28">
        <v>200591</v>
      </c>
      <c r="AG53" s="29"/>
      <c r="AH53" s="28">
        <v>15896</v>
      </c>
      <c r="AI53" s="29"/>
      <c r="AJ53" s="28">
        <v>1179829</v>
      </c>
      <c r="AK53" s="29"/>
      <c r="AL53" s="28">
        <v>1151035</v>
      </c>
      <c r="AM53" s="29"/>
      <c r="AN53" s="28">
        <v>38509</v>
      </c>
      <c r="AO53" s="29"/>
      <c r="AP53" s="34">
        <v>35662</v>
      </c>
      <c r="AQ53" s="29"/>
      <c r="AR53" s="28">
        <v>13692716</v>
      </c>
      <c r="AS53" s="29"/>
      <c r="AT53" s="33">
        <v>302302869</v>
      </c>
      <c r="AU53" s="25"/>
      <c r="AV53" s="35">
        <v>153.68</v>
      </c>
      <c r="AW53" s="25" t="s">
        <v>160</v>
      </c>
      <c r="AX53" s="25" t="s">
        <v>161</v>
      </c>
    </row>
    <row r="54" spans="1:50">
      <c r="A54" s="25" t="s">
        <v>258</v>
      </c>
      <c r="B54" s="25" t="s">
        <v>259</v>
      </c>
      <c r="C54" s="25" t="s">
        <v>239</v>
      </c>
      <c r="D54" s="26">
        <v>3073</v>
      </c>
      <c r="E54" s="27">
        <v>30073</v>
      </c>
      <c r="F54" s="25" t="s">
        <v>172</v>
      </c>
      <c r="G54" s="25" t="s">
        <v>157</v>
      </c>
      <c r="H54" s="28">
        <v>4586770</v>
      </c>
      <c r="I54" s="29">
        <v>99</v>
      </c>
      <c r="J54" s="25" t="s">
        <v>168</v>
      </c>
      <c r="K54" s="25" t="s">
        <v>167</v>
      </c>
      <c r="L54" s="30">
        <v>99</v>
      </c>
      <c r="M54" s="25"/>
      <c r="N54" s="31">
        <v>32</v>
      </c>
      <c r="O54" s="29"/>
      <c r="P54" s="32">
        <v>30.826899999999998</v>
      </c>
      <c r="Q54" s="29"/>
      <c r="R54" s="32">
        <v>30.3917</v>
      </c>
      <c r="S54" s="29"/>
      <c r="T54" s="32">
        <v>46.2879</v>
      </c>
      <c r="U54" s="29"/>
      <c r="V54" s="28">
        <v>2148620</v>
      </c>
      <c r="W54" s="29"/>
      <c r="X54" s="33">
        <v>2234620</v>
      </c>
      <c r="Y54" s="29"/>
      <c r="Z54" s="28">
        <v>2146074</v>
      </c>
      <c r="AA54" s="29"/>
      <c r="AB54" s="28">
        <v>88546</v>
      </c>
      <c r="AC54" s="29"/>
      <c r="AD54" s="28">
        <v>76838</v>
      </c>
      <c r="AE54" s="29"/>
      <c r="AF54" s="28">
        <v>69617</v>
      </c>
      <c r="AG54" s="29"/>
      <c r="AH54" s="28">
        <v>7221</v>
      </c>
      <c r="AI54" s="29"/>
      <c r="AJ54" s="28">
        <v>333795</v>
      </c>
      <c r="AK54" s="29"/>
      <c r="AL54" s="28">
        <v>320541</v>
      </c>
      <c r="AM54" s="29"/>
      <c r="AN54" s="28">
        <v>11411</v>
      </c>
      <c r="AO54" s="29"/>
      <c r="AP54" s="34">
        <v>10330</v>
      </c>
      <c r="AQ54" s="29"/>
      <c r="AR54" s="28">
        <v>3222428</v>
      </c>
      <c r="AS54" s="29"/>
      <c r="AT54" s="33">
        <v>97935058</v>
      </c>
      <c r="AU54" s="25"/>
      <c r="AV54" s="35">
        <v>173.62</v>
      </c>
      <c r="AW54" s="25" t="s">
        <v>160</v>
      </c>
      <c r="AX54" s="25" t="s">
        <v>161</v>
      </c>
    </row>
    <row r="55" spans="1:50">
      <c r="A55" s="25" t="s">
        <v>260</v>
      </c>
      <c r="B55" s="25" t="s">
        <v>261</v>
      </c>
      <c r="C55" s="25" t="s">
        <v>164</v>
      </c>
      <c r="D55" s="26">
        <v>2075</v>
      </c>
      <c r="E55" s="27">
        <v>20075</v>
      </c>
      <c r="F55" s="25" t="s">
        <v>172</v>
      </c>
      <c r="G55" s="25" t="s">
        <v>157</v>
      </c>
      <c r="H55" s="28">
        <v>5441567</v>
      </c>
      <c r="I55" s="29">
        <v>78</v>
      </c>
      <c r="J55" s="25" t="s">
        <v>158</v>
      </c>
      <c r="K55" s="25" t="s">
        <v>159</v>
      </c>
      <c r="L55" s="30">
        <v>78</v>
      </c>
      <c r="M55" s="25"/>
      <c r="N55" s="31">
        <v>11</v>
      </c>
      <c r="O55" s="29"/>
      <c r="P55" s="32">
        <v>31.0718</v>
      </c>
      <c r="Q55" s="29"/>
      <c r="R55" s="32">
        <v>8.5806000000000004</v>
      </c>
      <c r="S55" s="29"/>
      <c r="T55" s="32">
        <v>27.423500000000001</v>
      </c>
      <c r="U55" s="29"/>
      <c r="V55" s="28">
        <v>5618718</v>
      </c>
      <c r="W55" s="29"/>
      <c r="X55" s="33">
        <v>4662890</v>
      </c>
      <c r="Y55" s="29"/>
      <c r="Z55" s="28">
        <v>4474868</v>
      </c>
      <c r="AA55" s="29"/>
      <c r="AB55" s="28">
        <v>188022</v>
      </c>
      <c r="AC55" s="29"/>
      <c r="AD55" s="28">
        <v>154306</v>
      </c>
      <c r="AE55" s="29"/>
      <c r="AF55" s="28">
        <v>144017</v>
      </c>
      <c r="AG55" s="29"/>
      <c r="AH55" s="28">
        <v>10289</v>
      </c>
      <c r="AI55" s="29"/>
      <c r="AJ55" s="28">
        <v>899973</v>
      </c>
      <c r="AK55" s="29"/>
      <c r="AL55" s="28">
        <v>836001</v>
      </c>
      <c r="AM55" s="29"/>
      <c r="AN55" s="28">
        <v>31034</v>
      </c>
      <c r="AO55" s="29"/>
      <c r="AP55" s="34">
        <v>28828</v>
      </c>
      <c r="AQ55" s="29"/>
      <c r="AR55" s="28">
        <v>3949450</v>
      </c>
      <c r="AS55" s="29"/>
      <c r="AT55" s="33">
        <v>33888694</v>
      </c>
      <c r="AU55" s="25"/>
      <c r="AV55" s="35">
        <v>31.5</v>
      </c>
      <c r="AW55" s="25" t="s">
        <v>160</v>
      </c>
      <c r="AX55" s="25" t="s">
        <v>161</v>
      </c>
    </row>
    <row r="56" spans="1:50">
      <c r="A56" s="25" t="s">
        <v>262</v>
      </c>
      <c r="B56" s="25" t="s">
        <v>263</v>
      </c>
      <c r="C56" s="25" t="s">
        <v>264</v>
      </c>
      <c r="D56" s="26">
        <v>5104</v>
      </c>
      <c r="E56" s="27">
        <v>50104</v>
      </c>
      <c r="F56" s="25" t="s">
        <v>172</v>
      </c>
      <c r="G56" s="25" t="s">
        <v>157</v>
      </c>
      <c r="H56" s="28">
        <v>8608208</v>
      </c>
      <c r="I56" s="29">
        <v>70</v>
      </c>
      <c r="J56" s="25" t="s">
        <v>168</v>
      </c>
      <c r="K56" s="25" t="s">
        <v>159</v>
      </c>
      <c r="L56" s="30">
        <v>70</v>
      </c>
      <c r="M56" s="25"/>
      <c r="N56" s="31">
        <v>17</v>
      </c>
      <c r="O56" s="29"/>
      <c r="P56" s="32">
        <v>34.768900000000002</v>
      </c>
      <c r="Q56" s="29"/>
      <c r="R56" s="32">
        <v>33</v>
      </c>
      <c r="S56" s="29"/>
      <c r="T56" s="32">
        <v>8.8186</v>
      </c>
      <c r="U56" s="29"/>
      <c r="V56" s="28">
        <v>4013838</v>
      </c>
      <c r="W56" s="29"/>
      <c r="X56" s="33">
        <v>3988838</v>
      </c>
      <c r="Y56" s="29"/>
      <c r="Z56" s="28">
        <v>3923145</v>
      </c>
      <c r="AA56" s="29"/>
      <c r="AB56" s="28">
        <v>65693</v>
      </c>
      <c r="AC56" s="29"/>
      <c r="AD56" s="28">
        <v>114811</v>
      </c>
      <c r="AE56" s="29"/>
      <c r="AF56" s="28">
        <v>112835</v>
      </c>
      <c r="AG56" s="29"/>
      <c r="AH56" s="28">
        <v>1976</v>
      </c>
      <c r="AI56" s="29"/>
      <c r="AJ56" s="28">
        <v>739801</v>
      </c>
      <c r="AK56" s="29"/>
      <c r="AL56" s="28">
        <v>724288</v>
      </c>
      <c r="AM56" s="29"/>
      <c r="AN56" s="28">
        <v>21331</v>
      </c>
      <c r="AO56" s="29"/>
      <c r="AP56" s="34">
        <v>20981</v>
      </c>
      <c r="AQ56" s="29"/>
      <c r="AR56" s="28">
        <v>995049</v>
      </c>
      <c r="AS56" s="29"/>
      <c r="AT56" s="33">
        <v>32836617</v>
      </c>
      <c r="AU56" s="25"/>
      <c r="AV56" s="35">
        <v>179.8</v>
      </c>
      <c r="AW56" s="25" t="s">
        <v>160</v>
      </c>
      <c r="AX56" s="25" t="s">
        <v>161</v>
      </c>
    </row>
    <row r="57" spans="1:50">
      <c r="A57" s="25" t="s">
        <v>265</v>
      </c>
      <c r="B57" s="25" t="s">
        <v>266</v>
      </c>
      <c r="C57" s="25" t="s">
        <v>197</v>
      </c>
      <c r="D57" s="26">
        <v>4077</v>
      </c>
      <c r="E57" s="27">
        <v>40077</v>
      </c>
      <c r="F57" s="25" t="s">
        <v>172</v>
      </c>
      <c r="G57" s="25" t="s">
        <v>157</v>
      </c>
      <c r="H57" s="28">
        <v>5502379</v>
      </c>
      <c r="I57" s="29">
        <v>65</v>
      </c>
      <c r="J57" s="25" t="s">
        <v>168</v>
      </c>
      <c r="K57" s="25" t="s">
        <v>167</v>
      </c>
      <c r="L57" s="30">
        <v>43</v>
      </c>
      <c r="M57" s="25"/>
      <c r="N57" s="31">
        <v>10</v>
      </c>
      <c r="O57" s="29"/>
      <c r="P57" s="32">
        <v>27.9588</v>
      </c>
      <c r="Q57" s="29"/>
      <c r="R57" s="32">
        <v>27.164899999999999</v>
      </c>
      <c r="S57" s="29"/>
      <c r="T57" s="32">
        <v>31.171099999999999</v>
      </c>
      <c r="U57" s="29"/>
      <c r="V57" s="28">
        <v>3327000</v>
      </c>
      <c r="W57" s="29"/>
      <c r="X57" s="33">
        <v>3379135</v>
      </c>
      <c r="Y57" s="29"/>
      <c r="Z57" s="28">
        <v>3159070</v>
      </c>
      <c r="AA57" s="29"/>
      <c r="AB57" s="28">
        <v>220065</v>
      </c>
      <c r="AC57" s="29"/>
      <c r="AD57" s="28">
        <v>125765</v>
      </c>
      <c r="AE57" s="29"/>
      <c r="AF57" s="28">
        <v>112990</v>
      </c>
      <c r="AG57" s="29"/>
      <c r="AH57" s="28">
        <v>12775</v>
      </c>
      <c r="AI57" s="29"/>
      <c r="AJ57" s="28">
        <v>1016844</v>
      </c>
      <c r="AK57" s="29"/>
      <c r="AL57" s="28">
        <v>958905</v>
      </c>
      <c r="AM57" s="29"/>
      <c r="AN57" s="28">
        <v>37346</v>
      </c>
      <c r="AO57" s="29"/>
      <c r="AP57" s="34">
        <v>33681</v>
      </c>
      <c r="AQ57" s="29"/>
      <c r="AR57" s="28">
        <v>3522017</v>
      </c>
      <c r="AS57" s="29"/>
      <c r="AT57" s="33">
        <v>95675095</v>
      </c>
      <c r="AU57" s="25"/>
      <c r="AV57" s="35">
        <v>142.24</v>
      </c>
      <c r="AW57" s="25" t="s">
        <v>160</v>
      </c>
      <c r="AX57" s="25" t="s">
        <v>161</v>
      </c>
    </row>
    <row r="58" spans="1:50">
      <c r="A58" s="25" t="s">
        <v>267</v>
      </c>
      <c r="B58" s="25" t="s">
        <v>268</v>
      </c>
      <c r="C58" s="25" t="s">
        <v>269</v>
      </c>
      <c r="D58" s="26">
        <v>6111</v>
      </c>
      <c r="E58" s="27">
        <v>60111</v>
      </c>
      <c r="F58" s="25" t="s">
        <v>172</v>
      </c>
      <c r="G58" s="25" t="s">
        <v>157</v>
      </c>
      <c r="H58" s="28">
        <v>741318</v>
      </c>
      <c r="I58" s="29">
        <v>58</v>
      </c>
      <c r="J58" s="25" t="s">
        <v>168</v>
      </c>
      <c r="K58" s="25" t="s">
        <v>167</v>
      </c>
      <c r="L58" s="30">
        <v>25</v>
      </c>
      <c r="M58" s="25"/>
      <c r="N58" s="31">
        <v>7</v>
      </c>
      <c r="O58" s="29"/>
      <c r="P58" s="32">
        <v>37.376199999999997</v>
      </c>
      <c r="Q58" s="29"/>
      <c r="R58" s="32">
        <v>46.606200000000001</v>
      </c>
      <c r="S58" s="29"/>
      <c r="T58" s="32">
        <v>20.342199999999998</v>
      </c>
      <c r="U58" s="29"/>
      <c r="V58" s="28">
        <v>949106</v>
      </c>
      <c r="W58" s="29"/>
      <c r="X58" s="33">
        <v>965030</v>
      </c>
      <c r="Y58" s="29"/>
      <c r="Z58" s="28">
        <v>948235</v>
      </c>
      <c r="AA58" s="29"/>
      <c r="AB58" s="28">
        <v>16795</v>
      </c>
      <c r="AC58" s="29"/>
      <c r="AD58" s="28">
        <v>26411</v>
      </c>
      <c r="AE58" s="29"/>
      <c r="AF58" s="28">
        <v>25370</v>
      </c>
      <c r="AG58" s="29"/>
      <c r="AH58" s="28">
        <v>1041</v>
      </c>
      <c r="AI58" s="29"/>
      <c r="AJ58" s="28">
        <v>350454</v>
      </c>
      <c r="AK58" s="29"/>
      <c r="AL58" s="28">
        <v>318879</v>
      </c>
      <c r="AM58" s="29"/>
      <c r="AN58" s="28">
        <v>8899</v>
      </c>
      <c r="AO58" s="29"/>
      <c r="AP58" s="34">
        <v>8580</v>
      </c>
      <c r="AQ58" s="29"/>
      <c r="AR58" s="28">
        <v>516082</v>
      </c>
      <c r="AS58" s="29"/>
      <c r="AT58" s="33">
        <v>24052625</v>
      </c>
      <c r="AU58" s="25"/>
      <c r="AV58" s="35">
        <v>193.1</v>
      </c>
      <c r="AW58" s="25" t="s">
        <v>160</v>
      </c>
      <c r="AX58" s="25" t="s">
        <v>161</v>
      </c>
    </row>
    <row r="59" spans="1:50">
      <c r="A59" s="25" t="s">
        <v>270</v>
      </c>
      <c r="B59" s="25" t="s">
        <v>271</v>
      </c>
      <c r="C59" s="25" t="s">
        <v>272</v>
      </c>
      <c r="D59" s="26">
        <v>4094</v>
      </c>
      <c r="E59" s="27">
        <v>40094</v>
      </c>
      <c r="F59" s="25" t="s">
        <v>194</v>
      </c>
      <c r="G59" s="25" t="s">
        <v>157</v>
      </c>
      <c r="H59" s="28">
        <v>2148346</v>
      </c>
      <c r="I59" s="29">
        <v>54</v>
      </c>
      <c r="J59" s="25" t="s">
        <v>158</v>
      </c>
      <c r="K59" s="25" t="s">
        <v>167</v>
      </c>
      <c r="L59" s="30">
        <v>32</v>
      </c>
      <c r="M59" s="25"/>
      <c r="N59" s="31">
        <v>8</v>
      </c>
      <c r="O59" s="29"/>
      <c r="P59" s="32">
        <v>18.242100000000001</v>
      </c>
      <c r="Q59" s="29"/>
      <c r="R59" s="32">
        <v>4.7439</v>
      </c>
      <c r="S59" s="29"/>
      <c r="T59" s="32">
        <v>48.951300000000003</v>
      </c>
      <c r="U59" s="29"/>
      <c r="V59" s="28">
        <v>1280494</v>
      </c>
      <c r="W59" s="29"/>
      <c r="X59" s="33">
        <v>1388955</v>
      </c>
      <c r="Y59" s="29"/>
      <c r="Z59" s="28">
        <v>1315913</v>
      </c>
      <c r="AA59" s="29"/>
      <c r="AB59" s="28">
        <v>73042</v>
      </c>
      <c r="AC59" s="29"/>
      <c r="AD59" s="28">
        <v>75239</v>
      </c>
      <c r="AE59" s="29"/>
      <c r="AF59" s="28">
        <v>72136</v>
      </c>
      <c r="AG59" s="29"/>
      <c r="AH59" s="28">
        <v>3103</v>
      </c>
      <c r="AI59" s="29"/>
      <c r="AJ59" s="28">
        <v>434149</v>
      </c>
      <c r="AK59" s="29"/>
      <c r="AL59" s="28">
        <v>411208</v>
      </c>
      <c r="AM59" s="29"/>
      <c r="AN59" s="28">
        <v>23224</v>
      </c>
      <c r="AO59" s="29"/>
      <c r="AP59" s="34">
        <v>22380</v>
      </c>
      <c r="AQ59" s="29"/>
      <c r="AR59" s="28">
        <v>3531150</v>
      </c>
      <c r="AS59" s="29"/>
      <c r="AT59" s="33">
        <v>16751299</v>
      </c>
      <c r="AU59" s="25"/>
      <c r="AV59" s="35">
        <v>20.62</v>
      </c>
      <c r="AW59" s="25" t="s">
        <v>160</v>
      </c>
      <c r="AX59" s="25" t="s">
        <v>161</v>
      </c>
    </row>
    <row r="60" spans="1:50">
      <c r="A60" s="25" t="s">
        <v>273</v>
      </c>
      <c r="B60" s="25" t="s">
        <v>274</v>
      </c>
      <c r="C60" s="25" t="s">
        <v>275</v>
      </c>
      <c r="D60" s="26">
        <v>4159</v>
      </c>
      <c r="E60" s="27">
        <v>40159</v>
      </c>
      <c r="F60" s="25" t="s">
        <v>172</v>
      </c>
      <c r="G60" s="25" t="s">
        <v>157</v>
      </c>
      <c r="H60" s="28">
        <v>969587</v>
      </c>
      <c r="I60" s="29">
        <v>46</v>
      </c>
      <c r="J60" s="25" t="s">
        <v>168</v>
      </c>
      <c r="K60" s="25" t="s">
        <v>167</v>
      </c>
      <c r="L60" s="30">
        <v>8</v>
      </c>
      <c r="M60" s="25"/>
      <c r="N60" s="31">
        <v>2</v>
      </c>
      <c r="O60" s="29"/>
      <c r="P60" s="32">
        <v>27.200099999999999</v>
      </c>
      <c r="Q60" s="29"/>
      <c r="R60" s="32">
        <v>15.894600000000001</v>
      </c>
      <c r="S60" s="29"/>
      <c r="T60" s="32">
        <v>31.578299999999999</v>
      </c>
      <c r="U60" s="29"/>
      <c r="V60" s="28">
        <v>185032</v>
      </c>
      <c r="W60" s="29"/>
      <c r="X60" s="33">
        <v>208873</v>
      </c>
      <c r="Y60" s="29"/>
      <c r="Z60" s="28">
        <v>184417</v>
      </c>
      <c r="AA60" s="29"/>
      <c r="AB60" s="28">
        <v>24456</v>
      </c>
      <c r="AC60" s="29"/>
      <c r="AD60" s="28">
        <v>9329</v>
      </c>
      <c r="AE60" s="29"/>
      <c r="AF60" s="28">
        <v>6780</v>
      </c>
      <c r="AG60" s="29"/>
      <c r="AH60" s="28">
        <v>2549</v>
      </c>
      <c r="AI60" s="29"/>
      <c r="AJ60" s="28">
        <v>80763</v>
      </c>
      <c r="AK60" s="29"/>
      <c r="AL60" s="28">
        <v>75873</v>
      </c>
      <c r="AM60" s="29"/>
      <c r="AN60" s="28">
        <v>3127</v>
      </c>
      <c r="AO60" s="29"/>
      <c r="AP60" s="34">
        <v>2616</v>
      </c>
      <c r="AQ60" s="29"/>
      <c r="AR60" s="28">
        <v>214101</v>
      </c>
      <c r="AS60" s="29"/>
      <c r="AT60" s="33">
        <v>3403059</v>
      </c>
      <c r="AU60" s="25"/>
      <c r="AV60" s="35">
        <v>62.8</v>
      </c>
      <c r="AW60" s="25" t="s">
        <v>160</v>
      </c>
      <c r="AX60" s="25" t="s">
        <v>161</v>
      </c>
    </row>
    <row r="61" spans="1:50">
      <c r="A61" s="25" t="s">
        <v>276</v>
      </c>
      <c r="B61" s="25" t="s">
        <v>277</v>
      </c>
      <c r="C61" s="25" t="s">
        <v>155</v>
      </c>
      <c r="D61" s="26">
        <v>2099</v>
      </c>
      <c r="E61" s="27">
        <v>20099</v>
      </c>
      <c r="F61" s="25" t="s">
        <v>156</v>
      </c>
      <c r="G61" s="25" t="s">
        <v>157</v>
      </c>
      <c r="H61" s="28">
        <v>18351295</v>
      </c>
      <c r="I61" s="29">
        <v>44</v>
      </c>
      <c r="J61" s="25" t="s">
        <v>158</v>
      </c>
      <c r="K61" s="25" t="s">
        <v>159</v>
      </c>
      <c r="L61" s="30">
        <v>44</v>
      </c>
      <c r="M61" s="25"/>
      <c r="N61" s="31">
        <v>11</v>
      </c>
      <c r="O61" s="29"/>
      <c r="P61" s="32">
        <v>14.9787</v>
      </c>
      <c r="Q61" s="29"/>
      <c r="R61" s="32">
        <v>6.2369000000000003</v>
      </c>
      <c r="S61" s="29"/>
      <c r="T61" s="32">
        <v>20.2651</v>
      </c>
      <c r="U61" s="29"/>
      <c r="V61" s="28">
        <v>2119585</v>
      </c>
      <c r="W61" s="29"/>
      <c r="X61" s="33">
        <v>2255067</v>
      </c>
      <c r="Y61" s="29"/>
      <c r="Z61" s="28">
        <v>2005981</v>
      </c>
      <c r="AA61" s="29"/>
      <c r="AB61" s="28">
        <v>249086</v>
      </c>
      <c r="AC61" s="29"/>
      <c r="AD61" s="28">
        <v>144198</v>
      </c>
      <c r="AE61" s="29"/>
      <c r="AF61" s="28">
        <v>133922</v>
      </c>
      <c r="AG61" s="29"/>
      <c r="AH61" s="28">
        <v>10276</v>
      </c>
      <c r="AI61" s="29"/>
      <c r="AJ61" s="28">
        <v>563767</v>
      </c>
      <c r="AK61" s="29"/>
      <c r="AL61" s="28">
        <v>501496</v>
      </c>
      <c r="AM61" s="29"/>
      <c r="AN61" s="28">
        <v>36049</v>
      </c>
      <c r="AO61" s="29"/>
      <c r="AP61" s="34">
        <v>33480</v>
      </c>
      <c r="AQ61" s="29"/>
      <c r="AR61" s="28">
        <v>2713941</v>
      </c>
      <c r="AS61" s="29"/>
      <c r="AT61" s="33">
        <v>16926538</v>
      </c>
      <c r="AU61" s="25"/>
      <c r="AV61" s="35">
        <v>28.6</v>
      </c>
      <c r="AW61" s="25" t="s">
        <v>160</v>
      </c>
      <c r="AX61" s="25" t="s">
        <v>161</v>
      </c>
    </row>
    <row r="62" spans="1:50">
      <c r="A62" s="25" t="s">
        <v>278</v>
      </c>
      <c r="B62" s="25" t="s">
        <v>279</v>
      </c>
      <c r="C62" s="25" t="s">
        <v>280</v>
      </c>
      <c r="D62" s="26">
        <v>1102</v>
      </c>
      <c r="E62" s="27">
        <v>10102</v>
      </c>
      <c r="F62" s="25" t="s">
        <v>194</v>
      </c>
      <c r="G62" s="25" t="s">
        <v>157</v>
      </c>
      <c r="H62" s="28">
        <v>924859</v>
      </c>
      <c r="I62" s="29">
        <v>43</v>
      </c>
      <c r="J62" s="25" t="s">
        <v>168</v>
      </c>
      <c r="K62" s="25" t="s">
        <v>167</v>
      </c>
      <c r="L62" s="30">
        <v>28</v>
      </c>
      <c r="M62" s="25"/>
      <c r="N62" s="31">
        <v>5</v>
      </c>
      <c r="O62" s="29"/>
      <c r="P62" s="32">
        <v>41.5304</v>
      </c>
      <c r="Q62" s="29"/>
      <c r="R62" s="32">
        <v>26.974699999999999</v>
      </c>
      <c r="S62" s="29"/>
      <c r="T62" s="32">
        <v>14.137</v>
      </c>
      <c r="U62" s="29"/>
      <c r="V62" s="28">
        <v>1532134</v>
      </c>
      <c r="W62" s="29"/>
      <c r="X62" s="33">
        <v>1717047</v>
      </c>
      <c r="Y62" s="29"/>
      <c r="Z62" s="28">
        <v>1403229</v>
      </c>
      <c r="AA62" s="29"/>
      <c r="AB62" s="28">
        <v>313818</v>
      </c>
      <c r="AC62" s="29"/>
      <c r="AD62" s="28">
        <v>40817</v>
      </c>
      <c r="AE62" s="29"/>
      <c r="AF62" s="28">
        <v>33788</v>
      </c>
      <c r="AG62" s="29"/>
      <c r="AH62" s="28">
        <v>7029</v>
      </c>
      <c r="AI62" s="29"/>
      <c r="AJ62" s="28">
        <v>501997</v>
      </c>
      <c r="AK62" s="29"/>
      <c r="AL62" s="28">
        <v>418641</v>
      </c>
      <c r="AM62" s="29"/>
      <c r="AN62" s="28">
        <v>11906</v>
      </c>
      <c r="AO62" s="29"/>
      <c r="AP62" s="34">
        <v>9943</v>
      </c>
      <c r="AQ62" s="29"/>
      <c r="AR62" s="28">
        <v>477660</v>
      </c>
      <c r="AS62" s="29"/>
      <c r="AT62" s="33">
        <v>12884750</v>
      </c>
      <c r="AU62" s="25"/>
      <c r="AV62" s="35">
        <v>101.2</v>
      </c>
      <c r="AW62" s="25" t="s">
        <v>160</v>
      </c>
      <c r="AX62" s="25" t="s">
        <v>161</v>
      </c>
    </row>
    <row r="63" spans="1:50">
      <c r="A63" s="25" t="s">
        <v>281</v>
      </c>
      <c r="B63" s="25" t="s">
        <v>282</v>
      </c>
      <c r="C63" s="25" t="s">
        <v>283</v>
      </c>
      <c r="D63" s="26">
        <v>9209</v>
      </c>
      <c r="E63" s="27">
        <v>90209</v>
      </c>
      <c r="F63" s="25" t="s">
        <v>165</v>
      </c>
      <c r="G63" s="25" t="s">
        <v>157</v>
      </c>
      <c r="H63" s="28">
        <v>3629114</v>
      </c>
      <c r="I63" s="29">
        <v>38</v>
      </c>
      <c r="J63" s="25" t="s">
        <v>166</v>
      </c>
      <c r="K63" s="25" t="s">
        <v>167</v>
      </c>
      <c r="L63" s="30">
        <v>38</v>
      </c>
      <c r="M63" s="25"/>
      <c r="N63" s="31">
        <v>17</v>
      </c>
      <c r="O63" s="29"/>
      <c r="P63" s="32">
        <v>15.732699999999999</v>
      </c>
      <c r="Q63" s="29"/>
      <c r="R63" s="32">
        <v>7.0598999999999998</v>
      </c>
      <c r="S63" s="29"/>
      <c r="T63" s="32">
        <v>59.326099999999997</v>
      </c>
      <c r="U63" s="29"/>
      <c r="V63" s="28">
        <v>3379368</v>
      </c>
      <c r="W63" s="29"/>
      <c r="X63" s="33">
        <v>3435184</v>
      </c>
      <c r="Y63" s="29"/>
      <c r="Z63" s="28">
        <v>3401452</v>
      </c>
      <c r="AA63" s="29"/>
      <c r="AB63" s="28">
        <v>33732</v>
      </c>
      <c r="AC63" s="29"/>
      <c r="AD63" s="28">
        <v>220467</v>
      </c>
      <c r="AE63" s="29"/>
      <c r="AF63" s="28">
        <v>216203</v>
      </c>
      <c r="AG63" s="29"/>
      <c r="AH63" s="28">
        <v>4264</v>
      </c>
      <c r="AI63" s="29"/>
      <c r="AJ63" s="28">
        <v>1639416</v>
      </c>
      <c r="AK63" s="29"/>
      <c r="AL63" s="28">
        <v>1623906</v>
      </c>
      <c r="AM63" s="29"/>
      <c r="AN63" s="28">
        <v>105253</v>
      </c>
      <c r="AO63" s="29"/>
      <c r="AP63" s="34">
        <v>103186</v>
      </c>
      <c r="AQ63" s="29"/>
      <c r="AR63" s="28">
        <v>12826471</v>
      </c>
      <c r="AS63" s="29"/>
      <c r="AT63" s="33">
        <v>90553779</v>
      </c>
      <c r="AU63" s="25"/>
      <c r="AV63" s="35">
        <v>54.48</v>
      </c>
      <c r="AW63" s="25" t="s">
        <v>160</v>
      </c>
      <c r="AX63" s="25" t="s">
        <v>161</v>
      </c>
    </row>
    <row r="64" spans="1:50">
      <c r="A64" s="25" t="s">
        <v>284</v>
      </c>
      <c r="B64" s="25" t="s">
        <v>285</v>
      </c>
      <c r="C64" s="25" t="s">
        <v>171</v>
      </c>
      <c r="D64" s="26">
        <v>9182</v>
      </c>
      <c r="E64" s="27">
        <v>90182</v>
      </c>
      <c r="F64" s="25" t="s">
        <v>172</v>
      </c>
      <c r="G64" s="25" t="s">
        <v>157</v>
      </c>
      <c r="H64" s="28">
        <v>370583</v>
      </c>
      <c r="I64" s="29">
        <v>35</v>
      </c>
      <c r="J64" s="25" t="s">
        <v>168</v>
      </c>
      <c r="K64" s="25" t="s">
        <v>167</v>
      </c>
      <c r="L64" s="30">
        <v>35</v>
      </c>
      <c r="M64" s="25"/>
      <c r="N64" s="31">
        <v>7</v>
      </c>
      <c r="O64" s="29"/>
      <c r="P64" s="32">
        <v>39.364699999999999</v>
      </c>
      <c r="Q64" s="29"/>
      <c r="R64" s="32">
        <v>43.7104</v>
      </c>
      <c r="S64" s="29"/>
      <c r="T64" s="32">
        <v>41.436999999999998</v>
      </c>
      <c r="U64" s="29"/>
      <c r="V64" s="28">
        <v>1050950</v>
      </c>
      <c r="W64" s="29"/>
      <c r="X64" s="33">
        <v>1050950</v>
      </c>
      <c r="Y64" s="29"/>
      <c r="Z64" s="28">
        <v>1008877</v>
      </c>
      <c r="AA64" s="29"/>
      <c r="AB64" s="28">
        <v>42073</v>
      </c>
      <c r="AC64" s="29"/>
      <c r="AD64" s="28">
        <v>31545</v>
      </c>
      <c r="AE64" s="29"/>
      <c r="AF64" s="28">
        <v>25629</v>
      </c>
      <c r="AG64" s="29"/>
      <c r="AH64" s="28">
        <v>5916</v>
      </c>
      <c r="AI64" s="29"/>
      <c r="AJ64" s="28">
        <v>168072</v>
      </c>
      <c r="AK64" s="29"/>
      <c r="AL64" s="28">
        <v>158131</v>
      </c>
      <c r="AM64" s="29"/>
      <c r="AN64" s="28">
        <v>4801</v>
      </c>
      <c r="AO64" s="29"/>
      <c r="AP64" s="34">
        <v>4126</v>
      </c>
      <c r="AQ64" s="29"/>
      <c r="AR64" s="28">
        <v>1061990</v>
      </c>
      <c r="AS64" s="29"/>
      <c r="AT64" s="33">
        <v>46419957</v>
      </c>
      <c r="AU64" s="25"/>
      <c r="AV64" s="35">
        <v>172</v>
      </c>
      <c r="AW64" s="25" t="s">
        <v>160</v>
      </c>
      <c r="AX64" s="25" t="s">
        <v>161</v>
      </c>
    </row>
    <row r="65" spans="1:50">
      <c r="A65" s="25" t="s">
        <v>286</v>
      </c>
      <c r="B65" s="25" t="s">
        <v>287</v>
      </c>
      <c r="C65" s="25" t="s">
        <v>197</v>
      </c>
      <c r="D65" s="26">
        <v>4232</v>
      </c>
      <c r="E65" s="27">
        <v>40232</v>
      </c>
      <c r="F65" s="25" t="s">
        <v>194</v>
      </c>
      <c r="G65" s="25" t="s">
        <v>157</v>
      </c>
      <c r="H65" s="28">
        <v>1510516</v>
      </c>
      <c r="I65" s="29">
        <v>25</v>
      </c>
      <c r="J65" s="25" t="s">
        <v>168</v>
      </c>
      <c r="K65" s="25" t="s">
        <v>167</v>
      </c>
      <c r="L65" s="30">
        <v>25</v>
      </c>
      <c r="M65" s="25"/>
      <c r="N65" s="31">
        <v>7</v>
      </c>
      <c r="O65" s="29"/>
      <c r="P65" s="32">
        <v>27.875299999999999</v>
      </c>
      <c r="Q65" s="29"/>
      <c r="R65" s="32">
        <v>16.655999999999999</v>
      </c>
      <c r="S65" s="29"/>
      <c r="T65" s="32">
        <v>36.110199999999999</v>
      </c>
      <c r="U65" s="29"/>
      <c r="V65" s="28">
        <v>961119</v>
      </c>
      <c r="W65" s="29"/>
      <c r="X65" s="33">
        <v>987220</v>
      </c>
      <c r="Y65" s="29"/>
      <c r="Z65" s="28">
        <v>959969</v>
      </c>
      <c r="AA65" s="29"/>
      <c r="AB65" s="28">
        <v>27251</v>
      </c>
      <c r="AC65" s="29"/>
      <c r="AD65" s="28">
        <v>35457</v>
      </c>
      <c r="AE65" s="29"/>
      <c r="AF65" s="28">
        <v>34438</v>
      </c>
      <c r="AG65" s="29"/>
      <c r="AH65" s="28">
        <v>1019</v>
      </c>
      <c r="AI65" s="29"/>
      <c r="AJ65" s="28">
        <v>486222</v>
      </c>
      <c r="AK65" s="29"/>
      <c r="AL65" s="28">
        <v>472840</v>
      </c>
      <c r="AM65" s="29"/>
      <c r="AN65" s="28">
        <v>17449</v>
      </c>
      <c r="AO65" s="29"/>
      <c r="AP65" s="34">
        <v>16961</v>
      </c>
      <c r="AQ65" s="29"/>
      <c r="AR65" s="28">
        <v>1243563</v>
      </c>
      <c r="AS65" s="29"/>
      <c r="AT65" s="33">
        <v>20712830</v>
      </c>
      <c r="AU65" s="25"/>
      <c r="AV65" s="35">
        <v>97.94</v>
      </c>
      <c r="AW65" s="25" t="s">
        <v>160</v>
      </c>
      <c r="AX65" s="25" t="s">
        <v>161</v>
      </c>
    </row>
    <row r="66" spans="1:50">
      <c r="A66" s="25" t="s">
        <v>288</v>
      </c>
      <c r="B66" s="25" t="s">
        <v>215</v>
      </c>
      <c r="C66" s="25" t="s">
        <v>289</v>
      </c>
      <c r="D66" s="26">
        <v>1115</v>
      </c>
      <c r="E66" s="27">
        <v>10115</v>
      </c>
      <c r="F66" s="25" t="s">
        <v>172</v>
      </c>
      <c r="G66" s="25" t="s">
        <v>157</v>
      </c>
      <c r="H66" s="28">
        <v>203914</v>
      </c>
      <c r="I66" s="29">
        <v>21</v>
      </c>
      <c r="J66" s="25" t="s">
        <v>168</v>
      </c>
      <c r="K66" s="25" t="s">
        <v>167</v>
      </c>
      <c r="L66" s="30">
        <v>21</v>
      </c>
      <c r="M66" s="25"/>
      <c r="N66" s="31">
        <v>3</v>
      </c>
      <c r="O66" s="29"/>
      <c r="P66" s="32">
        <v>31.0428</v>
      </c>
      <c r="Q66" s="29"/>
      <c r="R66" s="32">
        <v>80.967200000000005</v>
      </c>
      <c r="S66" s="29"/>
      <c r="T66" s="32">
        <v>6.5294999999999996</v>
      </c>
      <c r="U66" s="29"/>
      <c r="V66" s="28">
        <v>2681492</v>
      </c>
      <c r="W66" s="29"/>
      <c r="X66" s="33">
        <v>1974842</v>
      </c>
      <c r="Y66" s="29"/>
      <c r="Z66" s="28">
        <v>1962156</v>
      </c>
      <c r="AA66" s="29"/>
      <c r="AB66" s="28">
        <v>12686</v>
      </c>
      <c r="AC66" s="29"/>
      <c r="AD66" s="28">
        <v>64602</v>
      </c>
      <c r="AE66" s="29"/>
      <c r="AF66" s="28">
        <v>63208</v>
      </c>
      <c r="AG66" s="29"/>
      <c r="AH66" s="28">
        <v>1394</v>
      </c>
      <c r="AI66" s="29"/>
      <c r="AJ66" s="28">
        <v>394968</v>
      </c>
      <c r="AK66" s="29"/>
      <c r="AL66" s="28">
        <v>392431</v>
      </c>
      <c r="AM66" s="29"/>
      <c r="AN66" s="28">
        <v>12909</v>
      </c>
      <c r="AO66" s="29"/>
      <c r="AP66" s="34">
        <v>12630</v>
      </c>
      <c r="AQ66" s="29"/>
      <c r="AR66" s="28">
        <v>412718</v>
      </c>
      <c r="AS66" s="29"/>
      <c r="AT66" s="33">
        <v>33416609</v>
      </c>
      <c r="AU66" s="25"/>
      <c r="AV66" s="35">
        <v>287.60000000000002</v>
      </c>
      <c r="AW66" s="25" t="s">
        <v>160</v>
      </c>
      <c r="AX66" s="25" t="s">
        <v>161</v>
      </c>
    </row>
    <row r="67" spans="1:50">
      <c r="A67" s="25" t="s">
        <v>290</v>
      </c>
      <c r="B67" s="25" t="s">
        <v>291</v>
      </c>
      <c r="C67" s="25" t="s">
        <v>187</v>
      </c>
      <c r="D67" s="26">
        <v>3057</v>
      </c>
      <c r="E67" s="27">
        <v>30057</v>
      </c>
      <c r="F67" s="25" t="s">
        <v>194</v>
      </c>
      <c r="G67" s="25" t="s">
        <v>157</v>
      </c>
      <c r="H67" s="28">
        <v>5441567</v>
      </c>
      <c r="I67" s="29">
        <v>20</v>
      </c>
      <c r="J67" s="25" t="s">
        <v>168</v>
      </c>
      <c r="K67" s="25" t="s">
        <v>167</v>
      </c>
      <c r="L67" s="30">
        <v>20</v>
      </c>
      <c r="M67" s="25"/>
      <c r="N67" s="31">
        <v>2</v>
      </c>
      <c r="O67" s="29"/>
      <c r="P67" s="32">
        <v>56.726300000000002</v>
      </c>
      <c r="Q67" s="29"/>
      <c r="R67" s="32">
        <v>86.293899999999994</v>
      </c>
      <c r="S67" s="29"/>
      <c r="T67" s="32">
        <v>20.154699999999998</v>
      </c>
      <c r="U67" s="29"/>
      <c r="V67" s="28">
        <v>2195188</v>
      </c>
      <c r="W67" s="29"/>
      <c r="X67" s="33">
        <v>1628329</v>
      </c>
      <c r="Y67" s="29"/>
      <c r="Z67" s="28">
        <v>1628329</v>
      </c>
      <c r="AA67" s="29"/>
      <c r="AB67" s="28">
        <v>0</v>
      </c>
      <c r="AC67" s="29"/>
      <c r="AD67" s="28">
        <v>28705</v>
      </c>
      <c r="AE67" s="29"/>
      <c r="AF67" s="28">
        <v>28705</v>
      </c>
      <c r="AG67" s="29"/>
      <c r="AH67" s="28">
        <v>0</v>
      </c>
      <c r="AI67" s="29"/>
      <c r="AJ67" s="28">
        <v>325666</v>
      </c>
      <c r="AK67" s="29"/>
      <c r="AL67" s="28">
        <v>325666</v>
      </c>
      <c r="AM67" s="29"/>
      <c r="AN67" s="28">
        <v>5741</v>
      </c>
      <c r="AO67" s="29"/>
      <c r="AP67" s="34">
        <v>5741</v>
      </c>
      <c r="AQ67" s="29"/>
      <c r="AR67" s="28">
        <v>578541</v>
      </c>
      <c r="AS67" s="29"/>
      <c r="AT67" s="33">
        <v>49924566</v>
      </c>
      <c r="AU67" s="25"/>
      <c r="AV67" s="35">
        <v>144.4</v>
      </c>
      <c r="AW67" s="25" t="s">
        <v>160</v>
      </c>
      <c r="AX67" s="25" t="s">
        <v>161</v>
      </c>
    </row>
    <row r="68" spans="1:50">
      <c r="A68" s="25" t="s">
        <v>292</v>
      </c>
      <c r="B68" s="25" t="s">
        <v>293</v>
      </c>
      <c r="C68" s="25" t="s">
        <v>171</v>
      </c>
      <c r="D68" s="26"/>
      <c r="E68" s="27">
        <v>90299</v>
      </c>
      <c r="F68" s="25" t="s">
        <v>172</v>
      </c>
      <c r="G68" s="25" t="s">
        <v>157</v>
      </c>
      <c r="H68" s="28">
        <v>308231</v>
      </c>
      <c r="I68" s="29">
        <v>12</v>
      </c>
      <c r="J68" s="25" t="s">
        <v>168</v>
      </c>
      <c r="K68" s="25" t="s">
        <v>159</v>
      </c>
      <c r="L68" s="30">
        <v>12</v>
      </c>
      <c r="M68" s="25"/>
      <c r="N68" s="31">
        <v>4</v>
      </c>
      <c r="O68" s="29"/>
      <c r="P68" s="32">
        <v>28.331499999999998</v>
      </c>
      <c r="Q68" s="29"/>
      <c r="R68" s="32">
        <v>23.8338</v>
      </c>
      <c r="S68" s="29"/>
      <c r="T68" s="32">
        <v>19.559999999999999</v>
      </c>
      <c r="U68" s="29"/>
      <c r="V68" s="28">
        <v>857003</v>
      </c>
      <c r="W68" s="29"/>
      <c r="X68" s="33">
        <v>833350</v>
      </c>
      <c r="Y68" s="29"/>
      <c r="Z68" s="28">
        <v>821415</v>
      </c>
      <c r="AA68" s="29"/>
      <c r="AB68" s="28">
        <v>11935</v>
      </c>
      <c r="AC68" s="29"/>
      <c r="AD68" s="28">
        <v>30370</v>
      </c>
      <c r="AE68" s="29"/>
      <c r="AF68" s="28">
        <v>28993</v>
      </c>
      <c r="AG68" s="29"/>
      <c r="AH68" s="28">
        <v>1377</v>
      </c>
      <c r="AI68" s="29"/>
      <c r="AJ68" s="28">
        <v>389580</v>
      </c>
      <c r="AK68" s="29"/>
      <c r="AL68" s="28">
        <v>384000</v>
      </c>
      <c r="AM68" s="29"/>
      <c r="AN68" s="28">
        <v>14198</v>
      </c>
      <c r="AO68" s="29"/>
      <c r="AP68" s="34">
        <v>13554</v>
      </c>
      <c r="AQ68" s="29"/>
      <c r="AR68" s="28">
        <v>567103</v>
      </c>
      <c r="AS68" s="29"/>
      <c r="AT68" s="33">
        <v>13516234</v>
      </c>
      <c r="AU68" s="25"/>
      <c r="AV68" s="35">
        <v>90.1</v>
      </c>
      <c r="AW68" s="25" t="s">
        <v>160</v>
      </c>
      <c r="AX68" s="25" t="s">
        <v>161</v>
      </c>
    </row>
    <row r="71" spans="1:50">
      <c r="N71" s="36">
        <f>SUM(N2:N68)</f>
        <v>2748</v>
      </c>
    </row>
  </sheetData>
  <autoFilter ref="A1:AX1" xr:uid="{50A8C45A-5858-4D09-AFE0-B39F437E1794}"/>
  <conditionalFormatting sqref="A2:AX68">
    <cfRule type="expression" dxfId="3" priority="1">
      <formula>MOD(ROW(),2)=0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BE35E-A64A-47AA-8B99-250F6A5F2C34}">
  <dimension ref="A1:BG70"/>
  <sheetViews>
    <sheetView topLeftCell="C1" workbookViewId="0">
      <selection activeCell="AL23" sqref="AL23"/>
    </sheetView>
  </sheetViews>
  <sheetFormatPr defaultRowHeight="15"/>
  <cols>
    <col min="12" max="12" width="11.28515625" customWidth="1"/>
    <col min="13" max="13" width="11.140625" bestFit="1" customWidth="1"/>
    <col min="14" max="14" width="11.7109375" customWidth="1"/>
    <col min="25" max="25" width="12.7109375" customWidth="1"/>
    <col min="29" max="29" width="11.140625" customWidth="1"/>
    <col min="40" max="40" width="11.140625" customWidth="1"/>
  </cols>
  <sheetData>
    <row r="1" spans="1:59" ht="90.75">
      <c r="A1" s="38" t="s">
        <v>103</v>
      </c>
      <c r="B1" s="38" t="s">
        <v>104</v>
      </c>
      <c r="C1" s="39" t="s">
        <v>105</v>
      </c>
      <c r="D1" s="40" t="s">
        <v>106</v>
      </c>
      <c r="E1" s="41" t="s">
        <v>107</v>
      </c>
      <c r="F1" s="42" t="s">
        <v>108</v>
      </c>
      <c r="G1" s="43" t="s">
        <v>110</v>
      </c>
      <c r="H1" s="43" t="s">
        <v>111</v>
      </c>
      <c r="I1" s="42" t="s">
        <v>112</v>
      </c>
      <c r="J1" s="42" t="s">
        <v>294</v>
      </c>
      <c r="K1" s="42" t="s">
        <v>114</v>
      </c>
      <c r="L1" s="42" t="s">
        <v>295</v>
      </c>
      <c r="M1" s="43" t="s">
        <v>296</v>
      </c>
      <c r="N1" s="43" t="s">
        <v>297</v>
      </c>
      <c r="O1" s="43" t="s">
        <v>298</v>
      </c>
      <c r="P1" s="43" t="s">
        <v>299</v>
      </c>
      <c r="Q1" s="43" t="s">
        <v>300</v>
      </c>
      <c r="R1" s="43" t="s">
        <v>301</v>
      </c>
      <c r="S1" s="43" t="s">
        <v>302</v>
      </c>
      <c r="T1" s="43" t="s">
        <v>303</v>
      </c>
      <c r="U1" s="43" t="s">
        <v>304</v>
      </c>
      <c r="V1" s="43" t="s">
        <v>305</v>
      </c>
      <c r="W1" s="43" t="s">
        <v>306</v>
      </c>
      <c r="X1" s="43" t="s">
        <v>307</v>
      </c>
      <c r="Y1" s="43" t="s">
        <v>308</v>
      </c>
      <c r="Z1" s="43" t="s">
        <v>309</v>
      </c>
      <c r="AA1" s="43" t="s">
        <v>310</v>
      </c>
      <c r="AB1" s="43" t="s">
        <v>311</v>
      </c>
      <c r="AC1" s="44" t="s">
        <v>312</v>
      </c>
      <c r="AD1" s="45" t="s">
        <v>313</v>
      </c>
      <c r="AE1" s="45" t="s">
        <v>314</v>
      </c>
      <c r="AF1" s="45" t="s">
        <v>315</v>
      </c>
      <c r="AG1" s="45" t="s">
        <v>316</v>
      </c>
      <c r="AH1" s="45" t="s">
        <v>317</v>
      </c>
      <c r="AI1" s="45" t="s">
        <v>318</v>
      </c>
      <c r="AJ1" s="45" t="s">
        <v>319</v>
      </c>
      <c r="AK1" s="45" t="s">
        <v>320</v>
      </c>
      <c r="AL1" s="45" t="s">
        <v>321</v>
      </c>
      <c r="AM1" s="45" t="s">
        <v>322</v>
      </c>
      <c r="AN1" s="45" t="s">
        <v>323</v>
      </c>
      <c r="AO1" s="45" t="s">
        <v>324</v>
      </c>
      <c r="AP1" s="45" t="s">
        <v>325</v>
      </c>
      <c r="AQ1" s="45" t="s">
        <v>326</v>
      </c>
      <c r="AR1" s="46" t="s">
        <v>327</v>
      </c>
      <c r="AS1" s="47" t="s">
        <v>328</v>
      </c>
      <c r="AT1" s="47" t="s">
        <v>329</v>
      </c>
      <c r="AU1" s="47" t="s">
        <v>330</v>
      </c>
      <c r="AV1" s="47" t="s">
        <v>331</v>
      </c>
      <c r="AW1" s="47" t="s">
        <v>332</v>
      </c>
      <c r="AX1" s="47" t="s">
        <v>333</v>
      </c>
      <c r="AY1" s="47" t="s">
        <v>334</v>
      </c>
      <c r="AZ1" s="47" t="s">
        <v>335</v>
      </c>
      <c r="BA1" s="47" t="s">
        <v>336</v>
      </c>
      <c r="BB1" s="47" t="s">
        <v>337</v>
      </c>
      <c r="BC1" s="47" t="s">
        <v>338</v>
      </c>
      <c r="BD1" s="47" t="s">
        <v>339</v>
      </c>
      <c r="BE1" s="47" t="s">
        <v>340</v>
      </c>
      <c r="BF1" s="47" t="s">
        <v>341</v>
      </c>
      <c r="BG1" s="42" t="s">
        <v>342</v>
      </c>
    </row>
    <row r="2" spans="1:59">
      <c r="A2" s="48" t="s">
        <v>153</v>
      </c>
      <c r="B2" s="48" t="s">
        <v>154</v>
      </c>
      <c r="C2" s="49" t="s">
        <v>155</v>
      </c>
      <c r="D2" s="50">
        <v>2008</v>
      </c>
      <c r="E2" s="51">
        <v>20008</v>
      </c>
      <c r="F2" s="49" t="s">
        <v>156</v>
      </c>
      <c r="G2" s="52">
        <v>18351295</v>
      </c>
      <c r="H2" s="53">
        <v>10427</v>
      </c>
      <c r="I2" s="49" t="s">
        <v>158</v>
      </c>
      <c r="J2" s="54" t="s">
        <v>159</v>
      </c>
      <c r="K2" s="54">
        <v>5413</v>
      </c>
      <c r="L2" s="55"/>
      <c r="M2" s="56">
        <v>0</v>
      </c>
      <c r="N2" s="56"/>
      <c r="O2" s="56">
        <v>0</v>
      </c>
      <c r="P2" s="56"/>
      <c r="Q2" s="56">
        <v>0</v>
      </c>
      <c r="R2" s="56"/>
      <c r="S2" s="56">
        <v>0</v>
      </c>
      <c r="T2" s="56"/>
      <c r="U2" s="56">
        <v>0</v>
      </c>
      <c r="V2" s="56"/>
      <c r="W2" s="56">
        <v>0</v>
      </c>
      <c r="X2" s="56"/>
      <c r="Y2" s="56">
        <v>1596235000</v>
      </c>
      <c r="Z2" s="56"/>
      <c r="AA2" s="53">
        <v>0</v>
      </c>
      <c r="AB2" s="57"/>
      <c r="AC2" s="58"/>
      <c r="AD2" s="57">
        <v>0</v>
      </c>
      <c r="AE2" s="57"/>
      <c r="AF2" s="57">
        <v>0</v>
      </c>
      <c r="AG2" s="57"/>
      <c r="AH2" s="57">
        <v>0</v>
      </c>
      <c r="AI2" s="57"/>
      <c r="AJ2" s="57">
        <v>0</v>
      </c>
      <c r="AK2" s="57"/>
      <c r="AL2" s="57">
        <v>0</v>
      </c>
      <c r="AM2" s="57"/>
      <c r="AN2" s="57">
        <v>335497633</v>
      </c>
      <c r="AO2" s="57"/>
      <c r="AP2" s="57">
        <v>0</v>
      </c>
      <c r="AQ2" s="48"/>
      <c r="AR2" s="59"/>
      <c r="AS2" s="60"/>
      <c r="AT2" s="60"/>
      <c r="AU2" s="60"/>
      <c r="AV2" s="60"/>
      <c r="AW2" s="60"/>
      <c r="AX2" s="60"/>
      <c r="AY2" s="60"/>
      <c r="AZ2" s="60"/>
      <c r="BA2" s="60"/>
      <c r="BB2" s="60"/>
      <c r="BC2" s="60">
        <v>0.2102</v>
      </c>
      <c r="BD2" s="60"/>
      <c r="BE2" s="60"/>
      <c r="BF2" s="48"/>
      <c r="BG2" s="48" t="s">
        <v>161</v>
      </c>
    </row>
    <row r="3" spans="1:59">
      <c r="A3" s="48" t="s">
        <v>162</v>
      </c>
      <c r="B3" s="48" t="s">
        <v>163</v>
      </c>
      <c r="C3" s="49" t="s">
        <v>164</v>
      </c>
      <c r="D3" s="50">
        <v>2080</v>
      </c>
      <c r="E3" s="51">
        <v>20080</v>
      </c>
      <c r="F3" s="49" t="s">
        <v>165</v>
      </c>
      <c r="G3" s="52">
        <v>18351295</v>
      </c>
      <c r="H3" s="53">
        <v>3646</v>
      </c>
      <c r="I3" s="49" t="s">
        <v>168</v>
      </c>
      <c r="J3" s="54" t="s">
        <v>159</v>
      </c>
      <c r="K3" s="54">
        <v>904</v>
      </c>
      <c r="L3" s="55"/>
      <c r="M3" s="56">
        <v>13166567</v>
      </c>
      <c r="N3" s="56"/>
      <c r="O3" s="56">
        <v>0</v>
      </c>
      <c r="P3" s="56"/>
      <c r="Q3" s="56">
        <v>0</v>
      </c>
      <c r="R3" s="56"/>
      <c r="S3" s="56">
        <v>0</v>
      </c>
      <c r="T3" s="56"/>
      <c r="U3" s="56">
        <v>0</v>
      </c>
      <c r="V3" s="56"/>
      <c r="W3" s="56">
        <v>0</v>
      </c>
      <c r="X3" s="56"/>
      <c r="Y3" s="56">
        <v>359673989</v>
      </c>
      <c r="Z3" s="56"/>
      <c r="AA3" s="53">
        <v>0</v>
      </c>
      <c r="AB3" s="57"/>
      <c r="AC3" s="58"/>
      <c r="AD3" s="57">
        <v>2485889</v>
      </c>
      <c r="AE3" s="57"/>
      <c r="AF3" s="57">
        <v>0</v>
      </c>
      <c r="AG3" s="57"/>
      <c r="AH3" s="57">
        <v>0</v>
      </c>
      <c r="AI3" s="57"/>
      <c r="AJ3" s="57">
        <v>0</v>
      </c>
      <c r="AK3" s="57"/>
      <c r="AL3" s="57">
        <v>1663636</v>
      </c>
      <c r="AM3" s="57"/>
      <c r="AN3" s="57">
        <v>8381067</v>
      </c>
      <c r="AO3" s="57"/>
      <c r="AP3" s="57">
        <v>0</v>
      </c>
      <c r="AQ3" s="48"/>
      <c r="AR3" s="59"/>
      <c r="AS3" s="60">
        <v>0.1888</v>
      </c>
      <c r="AT3" s="60"/>
      <c r="AU3" s="60"/>
      <c r="AV3" s="60"/>
      <c r="AW3" s="60"/>
      <c r="AX3" s="60"/>
      <c r="AY3" s="60"/>
      <c r="AZ3" s="60"/>
      <c r="BA3" s="60"/>
      <c r="BB3" s="60"/>
      <c r="BC3" s="60">
        <v>2.3300000000000001E-2</v>
      </c>
      <c r="BD3" s="60"/>
      <c r="BE3" s="60"/>
      <c r="BF3" s="48"/>
      <c r="BG3" s="48" t="s">
        <v>161</v>
      </c>
    </row>
    <row r="4" spans="1:59">
      <c r="A4" s="48" t="s">
        <v>162</v>
      </c>
      <c r="B4" s="48" t="s">
        <v>163</v>
      </c>
      <c r="C4" s="49" t="s">
        <v>164</v>
      </c>
      <c r="D4" s="50">
        <v>2080</v>
      </c>
      <c r="E4" s="51">
        <v>20080</v>
      </c>
      <c r="F4" s="49" t="s">
        <v>165</v>
      </c>
      <c r="G4" s="52">
        <v>18351295</v>
      </c>
      <c r="H4" s="53">
        <v>3646</v>
      </c>
      <c r="I4" s="49" t="s">
        <v>166</v>
      </c>
      <c r="J4" s="54" t="s">
        <v>167</v>
      </c>
      <c r="K4" s="54">
        <v>42</v>
      </c>
      <c r="L4" s="55"/>
      <c r="M4" s="56">
        <v>0</v>
      </c>
      <c r="N4" s="56"/>
      <c r="O4" s="56">
        <v>0</v>
      </c>
      <c r="P4" s="56"/>
      <c r="Q4" s="56">
        <v>0</v>
      </c>
      <c r="R4" s="56"/>
      <c r="S4" s="56">
        <v>0</v>
      </c>
      <c r="T4" s="56"/>
      <c r="U4" s="56">
        <v>0</v>
      </c>
      <c r="V4" s="56"/>
      <c r="W4" s="56">
        <v>0</v>
      </c>
      <c r="X4" s="56"/>
      <c r="Y4" s="56">
        <v>27163871</v>
      </c>
      <c r="Z4" s="56"/>
      <c r="AA4" s="53">
        <v>0</v>
      </c>
      <c r="AB4" s="57"/>
      <c r="AC4" s="58"/>
      <c r="AD4" s="57">
        <v>0</v>
      </c>
      <c r="AE4" s="57"/>
      <c r="AF4" s="57">
        <v>0</v>
      </c>
      <c r="AG4" s="57"/>
      <c r="AH4" s="57">
        <v>0</v>
      </c>
      <c r="AI4" s="57"/>
      <c r="AJ4" s="57">
        <v>0</v>
      </c>
      <c r="AK4" s="57"/>
      <c r="AL4" s="57">
        <v>0</v>
      </c>
      <c r="AM4" s="57"/>
      <c r="AN4" s="57">
        <v>2073346</v>
      </c>
      <c r="AO4" s="57"/>
      <c r="AP4" s="57">
        <v>0</v>
      </c>
      <c r="AQ4" s="48"/>
      <c r="AR4" s="59"/>
      <c r="AS4" s="60"/>
      <c r="AT4" s="60"/>
      <c r="AU4" s="60"/>
      <c r="AV4" s="60"/>
      <c r="AW4" s="60"/>
      <c r="AX4" s="60"/>
      <c r="AY4" s="60"/>
      <c r="AZ4" s="60"/>
      <c r="BA4" s="60"/>
      <c r="BB4" s="60"/>
      <c r="BC4" s="60">
        <v>7.6300000000000007E-2</v>
      </c>
      <c r="BD4" s="60"/>
      <c r="BE4" s="60"/>
      <c r="BF4" s="48"/>
      <c r="BG4" s="48" t="s">
        <v>161</v>
      </c>
    </row>
    <row r="5" spans="1:59">
      <c r="A5" s="48" t="s">
        <v>162</v>
      </c>
      <c r="B5" s="48" t="s">
        <v>163</v>
      </c>
      <c r="C5" s="49" t="s">
        <v>164</v>
      </c>
      <c r="D5" s="50">
        <v>2080</v>
      </c>
      <c r="E5" s="51">
        <v>20080</v>
      </c>
      <c r="F5" s="49" t="s">
        <v>165</v>
      </c>
      <c r="G5" s="52">
        <v>18351295</v>
      </c>
      <c r="H5" s="53">
        <v>3646</v>
      </c>
      <c r="I5" s="49" t="s">
        <v>166</v>
      </c>
      <c r="J5" s="54" t="s">
        <v>159</v>
      </c>
      <c r="K5" s="54">
        <v>15</v>
      </c>
      <c r="L5" s="55"/>
      <c r="M5" s="56">
        <v>0</v>
      </c>
      <c r="N5" s="56"/>
      <c r="O5" s="56">
        <v>0</v>
      </c>
      <c r="P5" s="56"/>
      <c r="Q5" s="56">
        <v>0</v>
      </c>
      <c r="R5" s="56"/>
      <c r="S5" s="56">
        <v>0</v>
      </c>
      <c r="T5" s="56"/>
      <c r="U5" s="56">
        <v>0</v>
      </c>
      <c r="V5" s="56"/>
      <c r="W5" s="56">
        <v>0</v>
      </c>
      <c r="X5" s="56"/>
      <c r="Y5" s="56">
        <v>6694675</v>
      </c>
      <c r="Z5" s="56"/>
      <c r="AA5" s="53">
        <v>0</v>
      </c>
      <c r="AB5" s="57"/>
      <c r="AC5" s="58"/>
      <c r="AD5" s="57">
        <v>0</v>
      </c>
      <c r="AE5" s="57"/>
      <c r="AF5" s="57">
        <v>0</v>
      </c>
      <c r="AG5" s="57"/>
      <c r="AH5" s="57">
        <v>0</v>
      </c>
      <c r="AI5" s="57"/>
      <c r="AJ5" s="57">
        <v>0</v>
      </c>
      <c r="AK5" s="57"/>
      <c r="AL5" s="57">
        <v>0</v>
      </c>
      <c r="AM5" s="57"/>
      <c r="AN5" s="57">
        <v>492775</v>
      </c>
      <c r="AO5" s="57"/>
      <c r="AP5" s="57">
        <v>0</v>
      </c>
      <c r="AQ5" s="48"/>
      <c r="AR5" s="59"/>
      <c r="AS5" s="60"/>
      <c r="AT5" s="60"/>
      <c r="AU5" s="60"/>
      <c r="AV5" s="60"/>
      <c r="AW5" s="60"/>
      <c r="AX5" s="60"/>
      <c r="AY5" s="60"/>
      <c r="AZ5" s="60"/>
      <c r="BA5" s="60"/>
      <c r="BB5" s="60"/>
      <c r="BC5" s="60">
        <v>7.3599999999999999E-2</v>
      </c>
      <c r="BD5" s="60"/>
      <c r="BE5" s="60"/>
      <c r="BF5" s="48"/>
      <c r="BG5" s="48" t="s">
        <v>161</v>
      </c>
    </row>
    <row r="6" spans="1:59">
      <c r="A6" s="48" t="s">
        <v>169</v>
      </c>
      <c r="B6" s="48" t="s">
        <v>170</v>
      </c>
      <c r="C6" s="49" t="s">
        <v>171</v>
      </c>
      <c r="D6" s="50">
        <v>9154</v>
      </c>
      <c r="E6" s="51">
        <v>90154</v>
      </c>
      <c r="F6" s="49" t="s">
        <v>172</v>
      </c>
      <c r="G6" s="52">
        <v>12150996</v>
      </c>
      <c r="H6" s="53">
        <v>3482</v>
      </c>
      <c r="I6" s="49" t="s">
        <v>158</v>
      </c>
      <c r="J6" s="54" t="s">
        <v>159</v>
      </c>
      <c r="K6" s="54">
        <v>68</v>
      </c>
      <c r="L6" s="55"/>
      <c r="M6" s="56">
        <v>0</v>
      </c>
      <c r="N6" s="56"/>
      <c r="O6" s="56">
        <v>0</v>
      </c>
      <c r="P6" s="56"/>
      <c r="Q6" s="56">
        <v>0</v>
      </c>
      <c r="R6" s="56"/>
      <c r="S6" s="56">
        <v>0</v>
      </c>
      <c r="T6" s="56"/>
      <c r="U6" s="56">
        <v>0</v>
      </c>
      <c r="V6" s="56"/>
      <c r="W6" s="56">
        <v>0</v>
      </c>
      <c r="X6" s="56"/>
      <c r="Y6" s="56">
        <v>82163176</v>
      </c>
      <c r="Z6" s="56"/>
      <c r="AA6" s="53">
        <v>0</v>
      </c>
      <c r="AB6" s="57"/>
      <c r="AC6" s="58"/>
      <c r="AD6" s="57">
        <v>0</v>
      </c>
      <c r="AE6" s="57"/>
      <c r="AF6" s="57">
        <v>0</v>
      </c>
      <c r="AG6" s="57"/>
      <c r="AH6" s="57">
        <v>0</v>
      </c>
      <c r="AI6" s="57"/>
      <c r="AJ6" s="57">
        <v>0</v>
      </c>
      <c r="AK6" s="57"/>
      <c r="AL6" s="57">
        <v>0</v>
      </c>
      <c r="AM6" s="57"/>
      <c r="AN6" s="57">
        <v>6909214</v>
      </c>
      <c r="AO6" s="57"/>
      <c r="AP6" s="57">
        <v>0</v>
      </c>
      <c r="AQ6" s="48"/>
      <c r="AR6" s="59"/>
      <c r="AS6" s="60"/>
      <c r="AT6" s="60"/>
      <c r="AU6" s="60"/>
      <c r="AV6" s="60"/>
      <c r="AW6" s="60"/>
      <c r="AX6" s="60"/>
      <c r="AY6" s="60"/>
      <c r="AZ6" s="60"/>
      <c r="BA6" s="60"/>
      <c r="BB6" s="60"/>
      <c r="BC6" s="60">
        <v>8.4099999999999994E-2</v>
      </c>
      <c r="BD6" s="60"/>
      <c r="BE6" s="60"/>
      <c r="BF6" s="48"/>
      <c r="BG6" s="48" t="s">
        <v>161</v>
      </c>
    </row>
    <row r="7" spans="1:59">
      <c r="A7" s="48" t="s">
        <v>169</v>
      </c>
      <c r="B7" s="48" t="s">
        <v>170</v>
      </c>
      <c r="C7" s="49" t="s">
        <v>171</v>
      </c>
      <c r="D7" s="50">
        <v>9154</v>
      </c>
      <c r="E7" s="51">
        <v>90154</v>
      </c>
      <c r="F7" s="49" t="s">
        <v>172</v>
      </c>
      <c r="G7" s="52">
        <v>12150996</v>
      </c>
      <c r="H7" s="53">
        <v>3482</v>
      </c>
      <c r="I7" s="49" t="s">
        <v>166</v>
      </c>
      <c r="J7" s="54" t="s">
        <v>159</v>
      </c>
      <c r="K7" s="54">
        <v>203</v>
      </c>
      <c r="L7" s="55"/>
      <c r="M7" s="56">
        <v>0</v>
      </c>
      <c r="N7" s="56"/>
      <c r="O7" s="56">
        <v>0</v>
      </c>
      <c r="P7" s="56"/>
      <c r="Q7" s="56">
        <v>0</v>
      </c>
      <c r="R7" s="56"/>
      <c r="S7" s="56">
        <v>0</v>
      </c>
      <c r="T7" s="56"/>
      <c r="U7" s="56">
        <v>0</v>
      </c>
      <c r="V7" s="56"/>
      <c r="W7" s="56">
        <v>0</v>
      </c>
      <c r="X7" s="56"/>
      <c r="Y7" s="56">
        <v>144995154</v>
      </c>
      <c r="Z7" s="56"/>
      <c r="AA7" s="53">
        <v>0</v>
      </c>
      <c r="AB7" s="57"/>
      <c r="AC7" s="58"/>
      <c r="AD7" s="57">
        <v>0</v>
      </c>
      <c r="AE7" s="57"/>
      <c r="AF7" s="57">
        <v>0</v>
      </c>
      <c r="AG7" s="57"/>
      <c r="AH7" s="57">
        <v>0</v>
      </c>
      <c r="AI7" s="57"/>
      <c r="AJ7" s="57">
        <v>0</v>
      </c>
      <c r="AK7" s="57"/>
      <c r="AL7" s="57">
        <v>0</v>
      </c>
      <c r="AM7" s="57"/>
      <c r="AN7" s="57">
        <v>16469107</v>
      </c>
      <c r="AO7" s="57"/>
      <c r="AP7" s="57">
        <v>0</v>
      </c>
      <c r="AQ7" s="48"/>
      <c r="AR7" s="59"/>
      <c r="AS7" s="60"/>
      <c r="AT7" s="60"/>
      <c r="AU7" s="60"/>
      <c r="AV7" s="60"/>
      <c r="AW7" s="60"/>
      <c r="AX7" s="60"/>
      <c r="AY7" s="60"/>
      <c r="AZ7" s="60"/>
      <c r="BA7" s="60"/>
      <c r="BB7" s="60"/>
      <c r="BC7" s="60">
        <v>0.11360000000000001</v>
      </c>
      <c r="BD7" s="60"/>
      <c r="BE7" s="60"/>
      <c r="BF7" s="48"/>
      <c r="BG7" s="48" t="s">
        <v>161</v>
      </c>
    </row>
    <row r="8" spans="1:59">
      <c r="A8" s="48" t="s">
        <v>173</v>
      </c>
      <c r="B8" s="48" t="s">
        <v>174</v>
      </c>
      <c r="C8" s="49" t="s">
        <v>175</v>
      </c>
      <c r="D8" s="50">
        <v>3030</v>
      </c>
      <c r="E8" s="51">
        <v>30030</v>
      </c>
      <c r="F8" s="49" t="s">
        <v>172</v>
      </c>
      <c r="G8" s="52">
        <v>4586770</v>
      </c>
      <c r="H8" s="53">
        <v>3304</v>
      </c>
      <c r="I8" s="49" t="s">
        <v>158</v>
      </c>
      <c r="J8" s="54" t="s">
        <v>159</v>
      </c>
      <c r="K8" s="54">
        <v>998</v>
      </c>
      <c r="L8" s="55"/>
      <c r="M8" s="56">
        <v>0</v>
      </c>
      <c r="N8" s="56"/>
      <c r="O8" s="56">
        <v>0</v>
      </c>
      <c r="P8" s="56"/>
      <c r="Q8" s="56">
        <v>0</v>
      </c>
      <c r="R8" s="56"/>
      <c r="S8" s="56">
        <v>0</v>
      </c>
      <c r="T8" s="56"/>
      <c r="U8" s="56">
        <v>0</v>
      </c>
      <c r="V8" s="56"/>
      <c r="W8" s="56">
        <v>0</v>
      </c>
      <c r="X8" s="56"/>
      <c r="Y8" s="56">
        <v>576455528</v>
      </c>
      <c r="Z8" s="56"/>
      <c r="AA8" s="53">
        <v>0</v>
      </c>
      <c r="AB8" s="57"/>
      <c r="AC8" s="58"/>
      <c r="AD8" s="57">
        <v>0</v>
      </c>
      <c r="AE8" s="57"/>
      <c r="AF8" s="57">
        <v>0</v>
      </c>
      <c r="AG8" s="57"/>
      <c r="AH8" s="57">
        <v>0</v>
      </c>
      <c r="AI8" s="57"/>
      <c r="AJ8" s="57">
        <v>0</v>
      </c>
      <c r="AK8" s="57"/>
      <c r="AL8" s="57">
        <v>0</v>
      </c>
      <c r="AM8" s="57"/>
      <c r="AN8" s="57">
        <v>64920984</v>
      </c>
      <c r="AO8" s="57"/>
      <c r="AP8" s="57">
        <v>0</v>
      </c>
      <c r="AQ8" s="48"/>
      <c r="AR8" s="59"/>
      <c r="AS8" s="60"/>
      <c r="AT8" s="60"/>
      <c r="AU8" s="60"/>
      <c r="AV8" s="60"/>
      <c r="AW8" s="60"/>
      <c r="AX8" s="60"/>
      <c r="AY8" s="60"/>
      <c r="AZ8" s="60"/>
      <c r="BA8" s="60"/>
      <c r="BB8" s="60"/>
      <c r="BC8" s="60">
        <v>0.11260000000000001</v>
      </c>
      <c r="BD8" s="60"/>
      <c r="BE8" s="60"/>
      <c r="BF8" s="48"/>
      <c r="BG8" s="48" t="s">
        <v>161</v>
      </c>
    </row>
    <row r="9" spans="1:59">
      <c r="A9" s="48" t="s">
        <v>176</v>
      </c>
      <c r="B9" s="48" t="s">
        <v>177</v>
      </c>
      <c r="C9" s="49" t="s">
        <v>178</v>
      </c>
      <c r="D9" s="50">
        <v>5066</v>
      </c>
      <c r="E9" s="51">
        <v>50066</v>
      </c>
      <c r="F9" s="49" t="s">
        <v>172</v>
      </c>
      <c r="G9" s="52">
        <v>8608208</v>
      </c>
      <c r="H9" s="53">
        <v>2703</v>
      </c>
      <c r="I9" s="49" t="s">
        <v>158</v>
      </c>
      <c r="J9" s="54" t="s">
        <v>159</v>
      </c>
      <c r="K9" s="54">
        <v>1148</v>
      </c>
      <c r="L9" s="55"/>
      <c r="M9" s="56">
        <v>0</v>
      </c>
      <c r="N9" s="56"/>
      <c r="O9" s="56">
        <v>0</v>
      </c>
      <c r="P9" s="56"/>
      <c r="Q9" s="56">
        <v>0</v>
      </c>
      <c r="R9" s="56"/>
      <c r="S9" s="56">
        <v>0</v>
      </c>
      <c r="T9" s="56"/>
      <c r="U9" s="56">
        <v>0</v>
      </c>
      <c r="V9" s="56"/>
      <c r="W9" s="56">
        <v>0</v>
      </c>
      <c r="X9" s="56"/>
      <c r="Y9" s="56">
        <v>366545522</v>
      </c>
      <c r="Z9" s="56"/>
      <c r="AA9" s="53">
        <v>0</v>
      </c>
      <c r="AB9" s="57"/>
      <c r="AC9" s="58"/>
      <c r="AD9" s="57">
        <v>0</v>
      </c>
      <c r="AE9" s="57"/>
      <c r="AF9" s="57">
        <v>0</v>
      </c>
      <c r="AG9" s="57"/>
      <c r="AH9" s="57">
        <v>0</v>
      </c>
      <c r="AI9" s="57"/>
      <c r="AJ9" s="57">
        <v>0</v>
      </c>
      <c r="AK9" s="57"/>
      <c r="AL9" s="57">
        <v>0</v>
      </c>
      <c r="AM9" s="57"/>
      <c r="AN9" s="57">
        <v>63157258</v>
      </c>
      <c r="AO9" s="57"/>
      <c r="AP9" s="57">
        <v>0</v>
      </c>
      <c r="AQ9" s="48"/>
      <c r="AR9" s="59"/>
      <c r="AS9" s="60"/>
      <c r="AT9" s="60"/>
      <c r="AU9" s="60"/>
      <c r="AV9" s="60"/>
      <c r="AW9" s="60"/>
      <c r="AX9" s="60"/>
      <c r="AY9" s="60"/>
      <c r="AZ9" s="60"/>
      <c r="BA9" s="60"/>
      <c r="BB9" s="60"/>
      <c r="BC9" s="60">
        <v>0.17230000000000001</v>
      </c>
      <c r="BD9" s="60"/>
      <c r="BE9" s="60"/>
      <c r="BF9" s="48"/>
      <c r="BG9" s="48" t="s">
        <v>161</v>
      </c>
    </row>
    <row r="10" spans="1:59">
      <c r="A10" s="48" t="s">
        <v>181</v>
      </c>
      <c r="B10" s="48" t="s">
        <v>182</v>
      </c>
      <c r="C10" s="49" t="s">
        <v>183</v>
      </c>
      <c r="D10" s="50">
        <v>1003</v>
      </c>
      <c r="E10" s="51">
        <v>10003</v>
      </c>
      <c r="F10" s="49" t="s">
        <v>172</v>
      </c>
      <c r="G10" s="52">
        <v>4181019</v>
      </c>
      <c r="H10" s="53">
        <v>2428</v>
      </c>
      <c r="I10" s="49" t="s">
        <v>168</v>
      </c>
      <c r="J10" s="54" t="s">
        <v>167</v>
      </c>
      <c r="K10" s="54">
        <v>436</v>
      </c>
      <c r="L10" s="55"/>
      <c r="M10" s="56">
        <v>13360985</v>
      </c>
      <c r="N10" s="56"/>
      <c r="O10" s="56">
        <v>0</v>
      </c>
      <c r="P10" s="56"/>
      <c r="Q10" s="56">
        <v>0</v>
      </c>
      <c r="R10" s="56"/>
      <c r="S10" s="56">
        <v>0</v>
      </c>
      <c r="T10" s="56"/>
      <c r="U10" s="56">
        <v>0</v>
      </c>
      <c r="V10" s="56"/>
      <c r="W10" s="56">
        <v>0</v>
      </c>
      <c r="X10" s="56"/>
      <c r="Y10" s="56">
        <v>0</v>
      </c>
      <c r="Z10" s="56"/>
      <c r="AA10" s="53">
        <v>0</v>
      </c>
      <c r="AB10" s="57"/>
      <c r="AC10" s="58"/>
      <c r="AD10" s="57">
        <v>4339139</v>
      </c>
      <c r="AE10" s="57"/>
      <c r="AF10" s="57">
        <v>0</v>
      </c>
      <c r="AG10" s="57"/>
      <c r="AH10" s="57">
        <v>0</v>
      </c>
      <c r="AI10" s="57"/>
      <c r="AJ10" s="57">
        <v>0</v>
      </c>
      <c r="AK10" s="57"/>
      <c r="AL10" s="57">
        <v>0</v>
      </c>
      <c r="AM10" s="57"/>
      <c r="AN10" s="57">
        <v>0</v>
      </c>
      <c r="AO10" s="57"/>
      <c r="AP10" s="57">
        <v>0</v>
      </c>
      <c r="AQ10" s="48"/>
      <c r="AR10" s="59"/>
      <c r="AS10" s="60">
        <v>0.32479999999999998</v>
      </c>
      <c r="AT10" s="60"/>
      <c r="AU10" s="60"/>
      <c r="AV10" s="60"/>
      <c r="AW10" s="60"/>
      <c r="AX10" s="60"/>
      <c r="AY10" s="60"/>
      <c r="AZ10" s="60"/>
      <c r="BA10" s="60"/>
      <c r="BB10" s="60"/>
      <c r="BC10" s="60"/>
      <c r="BD10" s="60"/>
      <c r="BE10" s="60"/>
      <c r="BF10" s="48"/>
      <c r="BG10" s="48" t="s">
        <v>161</v>
      </c>
    </row>
    <row r="11" spans="1:59">
      <c r="A11" s="48" t="s">
        <v>181</v>
      </c>
      <c r="B11" s="48" t="s">
        <v>182</v>
      </c>
      <c r="C11" s="49" t="s">
        <v>183</v>
      </c>
      <c r="D11" s="50">
        <v>1003</v>
      </c>
      <c r="E11" s="51">
        <v>10003</v>
      </c>
      <c r="F11" s="49" t="s">
        <v>172</v>
      </c>
      <c r="G11" s="52">
        <v>4181019</v>
      </c>
      <c r="H11" s="53">
        <v>2428</v>
      </c>
      <c r="I11" s="49" t="s">
        <v>158</v>
      </c>
      <c r="J11" s="54" t="s">
        <v>159</v>
      </c>
      <c r="K11" s="54">
        <v>338</v>
      </c>
      <c r="L11" s="55"/>
      <c r="M11" s="56">
        <v>0</v>
      </c>
      <c r="N11" s="56"/>
      <c r="O11" s="56">
        <v>0</v>
      </c>
      <c r="P11" s="56"/>
      <c r="Q11" s="56">
        <v>0</v>
      </c>
      <c r="R11" s="56"/>
      <c r="S11" s="56">
        <v>0</v>
      </c>
      <c r="T11" s="56"/>
      <c r="U11" s="56">
        <v>0</v>
      </c>
      <c r="V11" s="56"/>
      <c r="W11" s="56">
        <v>0</v>
      </c>
      <c r="X11" s="56"/>
      <c r="Y11" s="56">
        <v>178406868</v>
      </c>
      <c r="Z11" s="56"/>
      <c r="AA11" s="53">
        <v>0</v>
      </c>
      <c r="AB11" s="57"/>
      <c r="AC11" s="58"/>
      <c r="AD11" s="57">
        <v>0</v>
      </c>
      <c r="AE11" s="57"/>
      <c r="AF11" s="57">
        <v>0</v>
      </c>
      <c r="AG11" s="57"/>
      <c r="AH11" s="57">
        <v>0</v>
      </c>
      <c r="AI11" s="57"/>
      <c r="AJ11" s="57">
        <v>0</v>
      </c>
      <c r="AK11" s="57"/>
      <c r="AL11" s="57">
        <v>0</v>
      </c>
      <c r="AM11" s="57"/>
      <c r="AN11" s="57">
        <v>22078161</v>
      </c>
      <c r="AO11" s="57"/>
      <c r="AP11" s="57">
        <v>0</v>
      </c>
      <c r="AQ11" s="48"/>
      <c r="AR11" s="59"/>
      <c r="AS11" s="60"/>
      <c r="AT11" s="60"/>
      <c r="AU11" s="60"/>
      <c r="AV11" s="60"/>
      <c r="AW11" s="60"/>
      <c r="AX11" s="60"/>
      <c r="AY11" s="60"/>
      <c r="AZ11" s="60"/>
      <c r="BA11" s="60"/>
      <c r="BB11" s="60"/>
      <c r="BC11" s="60">
        <v>0.12379999999999999</v>
      </c>
      <c r="BD11" s="60"/>
      <c r="BE11" s="60"/>
      <c r="BF11" s="48"/>
      <c r="BG11" s="48" t="s">
        <v>161</v>
      </c>
    </row>
    <row r="12" spans="1:59">
      <c r="A12" s="48" t="s">
        <v>181</v>
      </c>
      <c r="B12" s="48" t="s">
        <v>182</v>
      </c>
      <c r="C12" s="49" t="s">
        <v>183</v>
      </c>
      <c r="D12" s="50">
        <v>1003</v>
      </c>
      <c r="E12" s="51">
        <v>10003</v>
      </c>
      <c r="F12" s="49" t="s">
        <v>172</v>
      </c>
      <c r="G12" s="52">
        <v>4181019</v>
      </c>
      <c r="H12" s="53">
        <v>2428</v>
      </c>
      <c r="I12" s="49" t="s">
        <v>166</v>
      </c>
      <c r="J12" s="54" t="s">
        <v>159</v>
      </c>
      <c r="K12" s="54">
        <v>154</v>
      </c>
      <c r="L12" s="55"/>
      <c r="M12" s="56">
        <v>0</v>
      </c>
      <c r="N12" s="56"/>
      <c r="O12" s="56">
        <v>0</v>
      </c>
      <c r="P12" s="56"/>
      <c r="Q12" s="56">
        <v>0</v>
      </c>
      <c r="R12" s="56"/>
      <c r="S12" s="56">
        <v>0</v>
      </c>
      <c r="T12" s="56"/>
      <c r="U12" s="56">
        <v>0</v>
      </c>
      <c r="V12" s="56"/>
      <c r="W12" s="56">
        <v>0</v>
      </c>
      <c r="X12" s="56"/>
      <c r="Y12" s="56">
        <v>46803331</v>
      </c>
      <c r="Z12" s="56"/>
      <c r="AA12" s="53">
        <v>0</v>
      </c>
      <c r="AB12" s="57"/>
      <c r="AC12" s="58"/>
      <c r="AD12" s="57">
        <v>0</v>
      </c>
      <c r="AE12" s="57"/>
      <c r="AF12" s="57">
        <v>0</v>
      </c>
      <c r="AG12" s="57"/>
      <c r="AH12" s="57">
        <v>0</v>
      </c>
      <c r="AI12" s="57"/>
      <c r="AJ12" s="57">
        <v>0</v>
      </c>
      <c r="AK12" s="57"/>
      <c r="AL12" s="57">
        <v>0</v>
      </c>
      <c r="AM12" s="57"/>
      <c r="AN12" s="57">
        <v>5523588</v>
      </c>
      <c r="AO12" s="57"/>
      <c r="AP12" s="57">
        <v>0</v>
      </c>
      <c r="AQ12" s="48"/>
      <c r="AR12" s="59"/>
      <c r="AS12" s="60"/>
      <c r="AT12" s="60"/>
      <c r="AU12" s="60"/>
      <c r="AV12" s="60"/>
      <c r="AW12" s="60"/>
      <c r="AX12" s="60"/>
      <c r="AY12" s="60"/>
      <c r="AZ12" s="60"/>
      <c r="BA12" s="60"/>
      <c r="BB12" s="60"/>
      <c r="BC12" s="60">
        <v>0.11799999999999999</v>
      </c>
      <c r="BD12" s="60"/>
      <c r="BE12" s="60"/>
      <c r="BF12" s="48"/>
      <c r="BG12" s="48" t="s">
        <v>161</v>
      </c>
    </row>
    <row r="13" spans="1:59">
      <c r="A13" s="48" t="s">
        <v>185</v>
      </c>
      <c r="B13" s="48" t="s">
        <v>186</v>
      </c>
      <c r="C13" s="49" t="s">
        <v>187</v>
      </c>
      <c r="D13" s="50">
        <v>3019</v>
      </c>
      <c r="E13" s="51">
        <v>30019</v>
      </c>
      <c r="F13" s="49" t="s">
        <v>172</v>
      </c>
      <c r="G13" s="52">
        <v>5441567</v>
      </c>
      <c r="H13" s="53">
        <v>2406</v>
      </c>
      <c r="I13" s="49" t="s">
        <v>168</v>
      </c>
      <c r="J13" s="54" t="s">
        <v>159</v>
      </c>
      <c r="K13" s="54">
        <v>357</v>
      </c>
      <c r="L13" s="55"/>
      <c r="M13" s="56">
        <v>0</v>
      </c>
      <c r="N13" s="56"/>
      <c r="O13" s="56">
        <v>0</v>
      </c>
      <c r="P13" s="56"/>
      <c r="Q13" s="56">
        <v>0</v>
      </c>
      <c r="R13" s="56"/>
      <c r="S13" s="56">
        <v>0</v>
      </c>
      <c r="T13" s="56"/>
      <c r="U13" s="56">
        <v>0</v>
      </c>
      <c r="V13" s="56"/>
      <c r="W13" s="56">
        <v>0</v>
      </c>
      <c r="X13" s="56"/>
      <c r="Y13" s="56">
        <v>190958248</v>
      </c>
      <c r="Z13" s="56"/>
      <c r="AA13" s="53">
        <v>0</v>
      </c>
      <c r="AB13" s="57"/>
      <c r="AC13" s="58"/>
      <c r="AD13" s="57">
        <v>0</v>
      </c>
      <c r="AE13" s="57"/>
      <c r="AF13" s="57">
        <v>0</v>
      </c>
      <c r="AG13" s="57"/>
      <c r="AH13" s="57">
        <v>0</v>
      </c>
      <c r="AI13" s="57"/>
      <c r="AJ13" s="57">
        <v>0</v>
      </c>
      <c r="AK13" s="57"/>
      <c r="AL13" s="57">
        <v>0</v>
      </c>
      <c r="AM13" s="57"/>
      <c r="AN13" s="57">
        <v>15598066</v>
      </c>
      <c r="AO13" s="57"/>
      <c r="AP13" s="57">
        <v>0</v>
      </c>
      <c r="AQ13" s="48"/>
      <c r="AR13" s="59"/>
      <c r="AS13" s="60"/>
      <c r="AT13" s="60"/>
      <c r="AU13" s="60"/>
      <c r="AV13" s="60"/>
      <c r="AW13" s="60"/>
      <c r="AX13" s="60"/>
      <c r="AY13" s="60"/>
      <c r="AZ13" s="60"/>
      <c r="BA13" s="60"/>
      <c r="BB13" s="60"/>
      <c r="BC13" s="60">
        <v>8.1699999999999995E-2</v>
      </c>
      <c r="BD13" s="60"/>
      <c r="BE13" s="60"/>
      <c r="BF13" s="48"/>
      <c r="BG13" s="48" t="s">
        <v>161</v>
      </c>
    </row>
    <row r="14" spans="1:59">
      <c r="A14" s="48" t="s">
        <v>185</v>
      </c>
      <c r="B14" s="48" t="s">
        <v>186</v>
      </c>
      <c r="C14" s="49" t="s">
        <v>187</v>
      </c>
      <c r="D14" s="50">
        <v>3019</v>
      </c>
      <c r="E14" s="51">
        <v>30019</v>
      </c>
      <c r="F14" s="49" t="s">
        <v>172</v>
      </c>
      <c r="G14" s="52">
        <v>5441567</v>
      </c>
      <c r="H14" s="53">
        <v>2406</v>
      </c>
      <c r="I14" s="49" t="s">
        <v>158</v>
      </c>
      <c r="J14" s="54" t="s">
        <v>159</v>
      </c>
      <c r="K14" s="54">
        <v>286</v>
      </c>
      <c r="L14" s="55"/>
      <c r="M14" s="56">
        <v>0</v>
      </c>
      <c r="N14" s="56"/>
      <c r="O14" s="56">
        <v>0</v>
      </c>
      <c r="P14" s="56"/>
      <c r="Q14" s="56">
        <v>0</v>
      </c>
      <c r="R14" s="56"/>
      <c r="S14" s="56">
        <v>0</v>
      </c>
      <c r="T14" s="56"/>
      <c r="U14" s="56">
        <v>0</v>
      </c>
      <c r="V14" s="56"/>
      <c r="W14" s="56">
        <v>0</v>
      </c>
      <c r="X14" s="56"/>
      <c r="Y14" s="56">
        <v>125067726</v>
      </c>
      <c r="Z14" s="56"/>
      <c r="AA14" s="53">
        <v>0</v>
      </c>
      <c r="AB14" s="57"/>
      <c r="AC14" s="58"/>
      <c r="AD14" s="57">
        <v>0</v>
      </c>
      <c r="AE14" s="57"/>
      <c r="AF14" s="57">
        <v>0</v>
      </c>
      <c r="AG14" s="57"/>
      <c r="AH14" s="57">
        <v>0</v>
      </c>
      <c r="AI14" s="57"/>
      <c r="AJ14" s="57">
        <v>0</v>
      </c>
      <c r="AK14" s="57"/>
      <c r="AL14" s="57">
        <v>0</v>
      </c>
      <c r="AM14" s="57"/>
      <c r="AN14" s="57">
        <v>14000061</v>
      </c>
      <c r="AO14" s="57"/>
      <c r="AP14" s="57">
        <v>0</v>
      </c>
      <c r="AQ14" s="48"/>
      <c r="AR14" s="59"/>
      <c r="AS14" s="60"/>
      <c r="AT14" s="60"/>
      <c r="AU14" s="60"/>
      <c r="AV14" s="60"/>
      <c r="AW14" s="60"/>
      <c r="AX14" s="60"/>
      <c r="AY14" s="60"/>
      <c r="AZ14" s="60"/>
      <c r="BA14" s="60"/>
      <c r="BB14" s="60"/>
      <c r="BC14" s="60">
        <v>0.1119</v>
      </c>
      <c r="BD14" s="60"/>
      <c r="BE14" s="60"/>
      <c r="BF14" s="48"/>
      <c r="BG14" s="48" t="s">
        <v>161</v>
      </c>
    </row>
    <row r="15" spans="1:59">
      <c r="A15" s="48" t="s">
        <v>188</v>
      </c>
      <c r="B15" s="48" t="s">
        <v>189</v>
      </c>
      <c r="C15" s="49" t="s">
        <v>190</v>
      </c>
      <c r="D15" s="50">
        <v>6008</v>
      </c>
      <c r="E15" s="51">
        <v>60008</v>
      </c>
      <c r="F15" s="49" t="s">
        <v>172</v>
      </c>
      <c r="G15" s="52">
        <v>4944332</v>
      </c>
      <c r="H15" s="53">
        <v>2157</v>
      </c>
      <c r="I15" s="49" t="s">
        <v>166</v>
      </c>
      <c r="J15" s="54" t="s">
        <v>159</v>
      </c>
      <c r="K15" s="54">
        <v>56</v>
      </c>
      <c r="L15" s="55"/>
      <c r="M15" s="56">
        <v>0</v>
      </c>
      <c r="N15" s="56"/>
      <c r="O15" s="56">
        <v>0</v>
      </c>
      <c r="P15" s="56"/>
      <c r="Q15" s="56">
        <v>0</v>
      </c>
      <c r="R15" s="56"/>
      <c r="S15" s="56">
        <v>0</v>
      </c>
      <c r="T15" s="56"/>
      <c r="U15" s="56">
        <v>0</v>
      </c>
      <c r="V15" s="56"/>
      <c r="W15" s="56">
        <v>0</v>
      </c>
      <c r="X15" s="56"/>
      <c r="Y15" s="56">
        <v>20764234</v>
      </c>
      <c r="Z15" s="56"/>
      <c r="AA15" s="53">
        <v>0</v>
      </c>
      <c r="AB15" s="57"/>
      <c r="AC15" s="58"/>
      <c r="AD15" s="57">
        <v>0</v>
      </c>
      <c r="AE15" s="57"/>
      <c r="AF15" s="57">
        <v>0</v>
      </c>
      <c r="AG15" s="57"/>
      <c r="AH15" s="57">
        <v>0</v>
      </c>
      <c r="AI15" s="57"/>
      <c r="AJ15" s="57">
        <v>0</v>
      </c>
      <c r="AK15" s="57"/>
      <c r="AL15" s="57">
        <v>0</v>
      </c>
      <c r="AM15" s="57"/>
      <c r="AN15" s="57">
        <v>3420524</v>
      </c>
      <c r="AO15" s="57"/>
      <c r="AP15" s="57">
        <v>0</v>
      </c>
      <c r="AQ15" s="48"/>
      <c r="AR15" s="59"/>
      <c r="AS15" s="60"/>
      <c r="AT15" s="60"/>
      <c r="AU15" s="60"/>
      <c r="AV15" s="60"/>
      <c r="AW15" s="60"/>
      <c r="AX15" s="60"/>
      <c r="AY15" s="60"/>
      <c r="AZ15" s="60"/>
      <c r="BA15" s="60"/>
      <c r="BB15" s="60"/>
      <c r="BC15" s="60">
        <v>0.16470000000000001</v>
      </c>
      <c r="BD15" s="60"/>
      <c r="BE15" s="60"/>
      <c r="BF15" s="48"/>
      <c r="BG15" s="48" t="s">
        <v>161</v>
      </c>
    </row>
    <row r="16" spans="1:59">
      <c r="A16" s="48" t="s">
        <v>191</v>
      </c>
      <c r="B16" s="48" t="s">
        <v>192</v>
      </c>
      <c r="C16" s="49" t="s">
        <v>193</v>
      </c>
      <c r="D16" s="50">
        <v>3034</v>
      </c>
      <c r="E16" s="51">
        <v>30034</v>
      </c>
      <c r="F16" s="49" t="s">
        <v>194</v>
      </c>
      <c r="G16" s="52">
        <v>2203663</v>
      </c>
      <c r="H16" s="53">
        <v>1888</v>
      </c>
      <c r="I16" s="49" t="s">
        <v>158</v>
      </c>
      <c r="J16" s="54" t="s">
        <v>159</v>
      </c>
      <c r="K16" s="54">
        <v>54</v>
      </c>
      <c r="L16" s="55"/>
      <c r="M16" s="56">
        <v>0</v>
      </c>
      <c r="N16" s="56"/>
      <c r="O16" s="56">
        <v>0</v>
      </c>
      <c r="P16" s="56"/>
      <c r="Q16" s="56">
        <v>0</v>
      </c>
      <c r="R16" s="56"/>
      <c r="S16" s="56">
        <v>0</v>
      </c>
      <c r="T16" s="56"/>
      <c r="U16" s="56">
        <v>0</v>
      </c>
      <c r="V16" s="56"/>
      <c r="W16" s="56">
        <v>0</v>
      </c>
      <c r="X16" s="56"/>
      <c r="Y16" s="56">
        <v>44465246</v>
      </c>
      <c r="Z16" s="56"/>
      <c r="AA16" s="53">
        <v>0</v>
      </c>
      <c r="AB16" s="57"/>
      <c r="AC16" s="58"/>
      <c r="AD16" s="57">
        <v>0</v>
      </c>
      <c r="AE16" s="57"/>
      <c r="AF16" s="57">
        <v>0</v>
      </c>
      <c r="AG16" s="57"/>
      <c r="AH16" s="57">
        <v>0</v>
      </c>
      <c r="AI16" s="57"/>
      <c r="AJ16" s="57">
        <v>0</v>
      </c>
      <c r="AK16" s="57"/>
      <c r="AL16" s="57">
        <v>0</v>
      </c>
      <c r="AM16" s="57"/>
      <c r="AN16" s="57">
        <v>0</v>
      </c>
      <c r="AO16" s="57"/>
      <c r="AP16" s="57">
        <v>0</v>
      </c>
      <c r="AQ16" s="48"/>
      <c r="AR16" s="59"/>
      <c r="AS16" s="60"/>
      <c r="AT16" s="60"/>
      <c r="AU16" s="60"/>
      <c r="AV16" s="60"/>
      <c r="AW16" s="60"/>
      <c r="AX16" s="60"/>
      <c r="AY16" s="60"/>
      <c r="AZ16" s="60"/>
      <c r="BA16" s="60"/>
      <c r="BB16" s="60"/>
      <c r="BC16" s="60">
        <v>0</v>
      </c>
      <c r="BD16" s="60"/>
      <c r="BE16" s="60"/>
      <c r="BF16" s="48"/>
      <c r="BG16" s="48" t="s">
        <v>161</v>
      </c>
    </row>
    <row r="17" spans="1:59">
      <c r="A17" s="48" t="s">
        <v>191</v>
      </c>
      <c r="B17" s="48" t="s">
        <v>192</v>
      </c>
      <c r="C17" s="49" t="s">
        <v>193</v>
      </c>
      <c r="D17" s="50">
        <v>3034</v>
      </c>
      <c r="E17" s="51">
        <v>30034</v>
      </c>
      <c r="F17" s="49" t="s">
        <v>194</v>
      </c>
      <c r="G17" s="52">
        <v>2203663</v>
      </c>
      <c r="H17" s="53">
        <v>1888</v>
      </c>
      <c r="I17" s="49" t="s">
        <v>166</v>
      </c>
      <c r="J17" s="54" t="s">
        <v>159</v>
      </c>
      <c r="K17" s="54">
        <v>38</v>
      </c>
      <c r="L17" s="55"/>
      <c r="M17" s="56">
        <v>0</v>
      </c>
      <c r="N17" s="56"/>
      <c r="O17" s="56">
        <v>0</v>
      </c>
      <c r="P17" s="56"/>
      <c r="Q17" s="56">
        <v>0</v>
      </c>
      <c r="R17" s="56"/>
      <c r="S17" s="56">
        <v>0</v>
      </c>
      <c r="T17" s="56"/>
      <c r="U17" s="56">
        <v>0</v>
      </c>
      <c r="V17" s="56"/>
      <c r="W17" s="56">
        <v>0</v>
      </c>
      <c r="X17" s="56"/>
      <c r="Y17" s="56">
        <v>25044315</v>
      </c>
      <c r="Z17" s="56"/>
      <c r="AA17" s="53">
        <v>0</v>
      </c>
      <c r="AB17" s="57"/>
      <c r="AC17" s="58"/>
      <c r="AD17" s="57">
        <v>0</v>
      </c>
      <c r="AE17" s="57"/>
      <c r="AF17" s="57">
        <v>0</v>
      </c>
      <c r="AG17" s="57"/>
      <c r="AH17" s="57">
        <v>0</v>
      </c>
      <c r="AI17" s="57"/>
      <c r="AJ17" s="57">
        <v>0</v>
      </c>
      <c r="AK17" s="57"/>
      <c r="AL17" s="57">
        <v>0</v>
      </c>
      <c r="AM17" s="57"/>
      <c r="AN17" s="57">
        <v>2679810</v>
      </c>
      <c r="AO17" s="57"/>
      <c r="AP17" s="57">
        <v>0</v>
      </c>
      <c r="AQ17" s="48"/>
      <c r="AR17" s="59"/>
      <c r="AS17" s="60"/>
      <c r="AT17" s="60"/>
      <c r="AU17" s="60"/>
      <c r="AV17" s="60"/>
      <c r="AW17" s="60"/>
      <c r="AX17" s="60"/>
      <c r="AY17" s="60"/>
      <c r="AZ17" s="60"/>
      <c r="BA17" s="60"/>
      <c r="BB17" s="60"/>
      <c r="BC17" s="60">
        <v>0.107</v>
      </c>
      <c r="BD17" s="60"/>
      <c r="BE17" s="60"/>
      <c r="BF17" s="48"/>
      <c r="BG17" s="48" t="s">
        <v>161</v>
      </c>
    </row>
    <row r="18" spans="1:59">
      <c r="A18" s="48" t="s">
        <v>191</v>
      </c>
      <c r="B18" s="48" t="s">
        <v>192</v>
      </c>
      <c r="C18" s="49" t="s">
        <v>193</v>
      </c>
      <c r="D18" s="50">
        <v>3034</v>
      </c>
      <c r="E18" s="51">
        <v>30034</v>
      </c>
      <c r="F18" s="49" t="s">
        <v>194</v>
      </c>
      <c r="G18" s="52">
        <v>2203663</v>
      </c>
      <c r="H18" s="53">
        <v>1888</v>
      </c>
      <c r="I18" s="49" t="s">
        <v>168</v>
      </c>
      <c r="J18" s="54" t="s">
        <v>167</v>
      </c>
      <c r="K18" s="54">
        <v>149</v>
      </c>
      <c r="L18" s="55"/>
      <c r="M18" s="56">
        <v>3709703</v>
      </c>
      <c r="N18" s="56"/>
      <c r="O18" s="56">
        <v>0</v>
      </c>
      <c r="P18" s="56"/>
      <c r="Q18" s="56">
        <v>0</v>
      </c>
      <c r="R18" s="56"/>
      <c r="S18" s="56">
        <v>0</v>
      </c>
      <c r="T18" s="56"/>
      <c r="U18" s="56">
        <v>0</v>
      </c>
      <c r="V18" s="56"/>
      <c r="W18" s="56">
        <v>0</v>
      </c>
      <c r="X18" s="56"/>
      <c r="Y18" s="56">
        <v>21715405</v>
      </c>
      <c r="Z18" s="56"/>
      <c r="AA18" s="53">
        <v>0</v>
      </c>
      <c r="AB18" s="57"/>
      <c r="AC18" s="58"/>
      <c r="AD18" s="57">
        <v>764117</v>
      </c>
      <c r="AE18" s="57"/>
      <c r="AF18" s="57">
        <v>0</v>
      </c>
      <c r="AG18" s="57"/>
      <c r="AH18" s="57">
        <v>0</v>
      </c>
      <c r="AI18" s="57"/>
      <c r="AJ18" s="57">
        <v>0</v>
      </c>
      <c r="AK18" s="57"/>
      <c r="AL18" s="57">
        <v>0</v>
      </c>
      <c r="AM18" s="57"/>
      <c r="AN18" s="57">
        <v>163832</v>
      </c>
      <c r="AO18" s="57"/>
      <c r="AP18" s="57">
        <v>0</v>
      </c>
      <c r="AQ18" s="48"/>
      <c r="AR18" s="59"/>
      <c r="AS18" s="60">
        <v>0.20599999999999999</v>
      </c>
      <c r="AT18" s="60"/>
      <c r="AU18" s="60"/>
      <c r="AV18" s="60"/>
      <c r="AW18" s="60"/>
      <c r="AX18" s="60"/>
      <c r="AY18" s="60"/>
      <c r="AZ18" s="60"/>
      <c r="BA18" s="60"/>
      <c r="BB18" s="60"/>
      <c r="BC18" s="60">
        <v>7.4999999999999997E-3</v>
      </c>
      <c r="BD18" s="60"/>
      <c r="BE18" s="60"/>
      <c r="BF18" s="48"/>
      <c r="BG18" s="48" t="s">
        <v>161</v>
      </c>
    </row>
    <row r="19" spans="1:59">
      <c r="A19" s="48" t="s">
        <v>195</v>
      </c>
      <c r="B19" s="48" t="s">
        <v>196</v>
      </c>
      <c r="C19" s="49" t="s">
        <v>197</v>
      </c>
      <c r="D19" s="50">
        <v>4034</v>
      </c>
      <c r="E19" s="51">
        <v>40034</v>
      </c>
      <c r="F19" s="49" t="s">
        <v>198</v>
      </c>
      <c r="G19" s="52">
        <v>5502379</v>
      </c>
      <c r="H19" s="53">
        <v>1452</v>
      </c>
      <c r="I19" s="49" t="s">
        <v>158</v>
      </c>
      <c r="J19" s="54" t="s">
        <v>159</v>
      </c>
      <c r="K19" s="54">
        <v>76</v>
      </c>
      <c r="L19" s="55"/>
      <c r="M19" s="56">
        <v>0</v>
      </c>
      <c r="N19" s="56"/>
      <c r="O19" s="56">
        <v>0</v>
      </c>
      <c r="P19" s="56"/>
      <c r="Q19" s="56">
        <v>0</v>
      </c>
      <c r="R19" s="56"/>
      <c r="S19" s="56">
        <v>0</v>
      </c>
      <c r="T19" s="56"/>
      <c r="U19" s="56">
        <v>0</v>
      </c>
      <c r="V19" s="56"/>
      <c r="W19" s="56">
        <v>0</v>
      </c>
      <c r="X19" s="56"/>
      <c r="Y19" s="56">
        <v>66954261</v>
      </c>
      <c r="Z19" s="56"/>
      <c r="AA19" s="53">
        <v>0</v>
      </c>
      <c r="AB19" s="57"/>
      <c r="AC19" s="58"/>
      <c r="AD19" s="57">
        <v>0</v>
      </c>
      <c r="AE19" s="57"/>
      <c r="AF19" s="57">
        <v>0</v>
      </c>
      <c r="AG19" s="57"/>
      <c r="AH19" s="57">
        <v>0</v>
      </c>
      <c r="AI19" s="57"/>
      <c r="AJ19" s="57">
        <v>0</v>
      </c>
      <c r="AK19" s="57"/>
      <c r="AL19" s="57">
        <v>0</v>
      </c>
      <c r="AM19" s="57"/>
      <c r="AN19" s="57">
        <v>559892</v>
      </c>
      <c r="AO19" s="57"/>
      <c r="AP19" s="57">
        <v>0</v>
      </c>
      <c r="AQ19" s="48"/>
      <c r="AR19" s="59"/>
      <c r="AS19" s="60"/>
      <c r="AT19" s="60"/>
      <c r="AU19" s="60"/>
      <c r="AV19" s="60"/>
      <c r="AW19" s="60"/>
      <c r="AX19" s="60"/>
      <c r="AY19" s="60"/>
      <c r="AZ19" s="60"/>
      <c r="BA19" s="60"/>
      <c r="BB19" s="60"/>
      <c r="BC19" s="60">
        <v>8.3999999999999995E-3</v>
      </c>
      <c r="BD19" s="60"/>
      <c r="BE19" s="60"/>
      <c r="BF19" s="48"/>
      <c r="BG19" s="48" t="s">
        <v>161</v>
      </c>
    </row>
    <row r="20" spans="1:59">
      <c r="A20" s="48" t="s">
        <v>199</v>
      </c>
      <c r="B20" s="48" t="s">
        <v>200</v>
      </c>
      <c r="C20" s="49" t="s">
        <v>201</v>
      </c>
      <c r="D20" s="50">
        <v>8006</v>
      </c>
      <c r="E20" s="51">
        <v>80006</v>
      </c>
      <c r="F20" s="49" t="s">
        <v>172</v>
      </c>
      <c r="G20" s="52">
        <v>2374203</v>
      </c>
      <c r="H20" s="53">
        <v>1431</v>
      </c>
      <c r="I20" s="49" t="s">
        <v>168</v>
      </c>
      <c r="J20" s="54" t="s">
        <v>159</v>
      </c>
      <c r="K20" s="54">
        <v>8</v>
      </c>
      <c r="L20" s="55"/>
      <c r="M20" s="56">
        <v>0</v>
      </c>
      <c r="N20" s="56"/>
      <c r="O20" s="56">
        <v>0</v>
      </c>
      <c r="P20" s="56"/>
      <c r="Q20" s="56">
        <v>0</v>
      </c>
      <c r="R20" s="56"/>
      <c r="S20" s="56">
        <v>0</v>
      </c>
      <c r="T20" s="56"/>
      <c r="U20" s="56">
        <v>0</v>
      </c>
      <c r="V20" s="56"/>
      <c r="W20" s="56">
        <v>0</v>
      </c>
      <c r="X20" s="56"/>
      <c r="Y20" s="56">
        <v>688983</v>
      </c>
      <c r="Z20" s="56"/>
      <c r="AA20" s="53">
        <v>0</v>
      </c>
      <c r="AB20" s="57"/>
      <c r="AC20" s="58"/>
      <c r="AD20" s="57">
        <v>0</v>
      </c>
      <c r="AE20" s="57"/>
      <c r="AF20" s="57">
        <v>0</v>
      </c>
      <c r="AG20" s="57"/>
      <c r="AH20" s="57">
        <v>0</v>
      </c>
      <c r="AI20" s="57"/>
      <c r="AJ20" s="57">
        <v>0</v>
      </c>
      <c r="AK20" s="57"/>
      <c r="AL20" s="57">
        <v>0</v>
      </c>
      <c r="AM20" s="57"/>
      <c r="AN20" s="57">
        <v>0</v>
      </c>
      <c r="AO20" s="57"/>
      <c r="AP20" s="57">
        <v>0</v>
      </c>
      <c r="AQ20" s="48"/>
      <c r="AR20" s="59"/>
      <c r="AS20" s="60"/>
      <c r="AT20" s="60"/>
      <c r="AU20" s="60"/>
      <c r="AV20" s="60"/>
      <c r="AW20" s="60"/>
      <c r="AX20" s="60"/>
      <c r="AY20" s="60"/>
      <c r="AZ20" s="60"/>
      <c r="BA20" s="60"/>
      <c r="BB20" s="60"/>
      <c r="BC20" s="60">
        <v>0</v>
      </c>
      <c r="BD20" s="60"/>
      <c r="BE20" s="60"/>
      <c r="BF20" s="48"/>
      <c r="BG20" s="48" t="s">
        <v>161</v>
      </c>
    </row>
    <row r="21" spans="1:59">
      <c r="A21" s="48" t="s">
        <v>199</v>
      </c>
      <c r="B21" s="48" t="s">
        <v>200</v>
      </c>
      <c r="C21" s="49" t="s">
        <v>201</v>
      </c>
      <c r="D21" s="50">
        <v>8006</v>
      </c>
      <c r="E21" s="51">
        <v>80006</v>
      </c>
      <c r="F21" s="49" t="s">
        <v>172</v>
      </c>
      <c r="G21" s="52">
        <v>2374203</v>
      </c>
      <c r="H21" s="53">
        <v>1431</v>
      </c>
      <c r="I21" s="49" t="s">
        <v>168</v>
      </c>
      <c r="J21" s="54" t="s">
        <v>167</v>
      </c>
      <c r="K21" s="54">
        <v>44</v>
      </c>
      <c r="L21" s="55"/>
      <c r="M21" s="56">
        <v>0</v>
      </c>
      <c r="N21" s="56"/>
      <c r="O21" s="56">
        <v>0</v>
      </c>
      <c r="P21" s="56"/>
      <c r="Q21" s="56">
        <v>0</v>
      </c>
      <c r="R21" s="56"/>
      <c r="S21" s="56">
        <v>0</v>
      </c>
      <c r="T21" s="56"/>
      <c r="U21" s="56">
        <v>0</v>
      </c>
      <c r="V21" s="56"/>
      <c r="W21" s="56">
        <v>0</v>
      </c>
      <c r="X21" s="56"/>
      <c r="Y21" s="56">
        <v>40149051</v>
      </c>
      <c r="Z21" s="56"/>
      <c r="AA21" s="53">
        <v>0</v>
      </c>
      <c r="AB21" s="57"/>
      <c r="AC21" s="58"/>
      <c r="AD21" s="57">
        <v>0</v>
      </c>
      <c r="AE21" s="57"/>
      <c r="AF21" s="57">
        <v>0</v>
      </c>
      <c r="AG21" s="57"/>
      <c r="AH21" s="57">
        <v>0</v>
      </c>
      <c r="AI21" s="57"/>
      <c r="AJ21" s="57">
        <v>0</v>
      </c>
      <c r="AK21" s="57"/>
      <c r="AL21" s="57">
        <v>0</v>
      </c>
      <c r="AM21" s="57"/>
      <c r="AN21" s="57">
        <v>6311542</v>
      </c>
      <c r="AO21" s="57"/>
      <c r="AP21" s="57">
        <v>0</v>
      </c>
      <c r="AQ21" s="48"/>
      <c r="AR21" s="59"/>
      <c r="AS21" s="60"/>
      <c r="AT21" s="60"/>
      <c r="AU21" s="60"/>
      <c r="AV21" s="60"/>
      <c r="AW21" s="60"/>
      <c r="AX21" s="60"/>
      <c r="AY21" s="60"/>
      <c r="AZ21" s="60"/>
      <c r="BA21" s="60"/>
      <c r="BB21" s="60"/>
      <c r="BC21" s="60">
        <v>0.15720000000000001</v>
      </c>
      <c r="BD21" s="60"/>
      <c r="BE21" s="60"/>
      <c r="BF21" s="48"/>
      <c r="BG21" s="48" t="s">
        <v>161</v>
      </c>
    </row>
    <row r="22" spans="1:59">
      <c r="A22" s="48" t="s">
        <v>199</v>
      </c>
      <c r="B22" s="48" t="s">
        <v>200</v>
      </c>
      <c r="C22" s="49" t="s">
        <v>201</v>
      </c>
      <c r="D22" s="50">
        <v>8006</v>
      </c>
      <c r="E22" s="51">
        <v>80006</v>
      </c>
      <c r="F22" s="49" t="s">
        <v>172</v>
      </c>
      <c r="G22" s="52">
        <v>2374203</v>
      </c>
      <c r="H22" s="53">
        <v>1431</v>
      </c>
      <c r="I22" s="49" t="s">
        <v>166</v>
      </c>
      <c r="J22" s="54" t="s">
        <v>159</v>
      </c>
      <c r="K22" s="54">
        <v>156</v>
      </c>
      <c r="L22" s="55"/>
      <c r="M22" s="56">
        <v>0</v>
      </c>
      <c r="N22" s="56"/>
      <c r="O22" s="56">
        <v>0</v>
      </c>
      <c r="P22" s="56"/>
      <c r="Q22" s="56">
        <v>0</v>
      </c>
      <c r="R22" s="56"/>
      <c r="S22" s="56">
        <v>0</v>
      </c>
      <c r="T22" s="56"/>
      <c r="U22" s="56">
        <v>0</v>
      </c>
      <c r="V22" s="56"/>
      <c r="W22" s="56">
        <v>0</v>
      </c>
      <c r="X22" s="56"/>
      <c r="Y22" s="56">
        <v>60630772</v>
      </c>
      <c r="Z22" s="56"/>
      <c r="AA22" s="53">
        <v>0</v>
      </c>
      <c r="AB22" s="57"/>
      <c r="AC22" s="58"/>
      <c r="AD22" s="57">
        <v>0</v>
      </c>
      <c r="AE22" s="57"/>
      <c r="AF22" s="57">
        <v>0</v>
      </c>
      <c r="AG22" s="57"/>
      <c r="AH22" s="57">
        <v>0</v>
      </c>
      <c r="AI22" s="57"/>
      <c r="AJ22" s="57">
        <v>0</v>
      </c>
      <c r="AK22" s="57"/>
      <c r="AL22" s="57">
        <v>0</v>
      </c>
      <c r="AM22" s="57"/>
      <c r="AN22" s="57">
        <v>9327859</v>
      </c>
      <c r="AO22" s="57"/>
      <c r="AP22" s="57">
        <v>0</v>
      </c>
      <c r="AQ22" s="48"/>
      <c r="AR22" s="59"/>
      <c r="AS22" s="60"/>
      <c r="AT22" s="60"/>
      <c r="AU22" s="60"/>
      <c r="AV22" s="60"/>
      <c r="AW22" s="60"/>
      <c r="AX22" s="60"/>
      <c r="AY22" s="60"/>
      <c r="AZ22" s="60"/>
      <c r="BA22" s="60"/>
      <c r="BB22" s="60"/>
      <c r="BC22" s="60">
        <v>0.15379999999999999</v>
      </c>
      <c r="BD22" s="60"/>
      <c r="BE22" s="60"/>
      <c r="BF22" s="48"/>
      <c r="BG22" s="48" t="s">
        <v>161</v>
      </c>
    </row>
    <row r="23" spans="1:59">
      <c r="A23" s="48" t="s">
        <v>202</v>
      </c>
      <c r="B23" s="48" t="s">
        <v>203</v>
      </c>
      <c r="C23" s="49" t="s">
        <v>155</v>
      </c>
      <c r="D23" s="50">
        <v>2078</v>
      </c>
      <c r="E23" s="51">
        <v>20078</v>
      </c>
      <c r="F23" s="49" t="s">
        <v>156</v>
      </c>
      <c r="G23" s="52">
        <v>18351295</v>
      </c>
      <c r="H23" s="53">
        <v>1133</v>
      </c>
      <c r="I23" s="49" t="s">
        <v>168</v>
      </c>
      <c r="J23" s="54" t="s">
        <v>159</v>
      </c>
      <c r="K23" s="54">
        <v>1122</v>
      </c>
      <c r="L23" s="55"/>
      <c r="M23" s="56">
        <v>5697351</v>
      </c>
      <c r="N23" s="56"/>
      <c r="O23" s="56">
        <v>0</v>
      </c>
      <c r="P23" s="56"/>
      <c r="Q23" s="56">
        <v>0</v>
      </c>
      <c r="R23" s="56"/>
      <c r="S23" s="56">
        <v>0</v>
      </c>
      <c r="T23" s="56"/>
      <c r="U23" s="56">
        <v>0</v>
      </c>
      <c r="V23" s="56"/>
      <c r="W23" s="56">
        <v>0</v>
      </c>
      <c r="X23" s="56"/>
      <c r="Y23" s="56">
        <v>367362724</v>
      </c>
      <c r="Z23" s="56"/>
      <c r="AA23" s="53">
        <v>0</v>
      </c>
      <c r="AB23" s="57"/>
      <c r="AC23" s="58"/>
      <c r="AD23" s="57">
        <v>0</v>
      </c>
      <c r="AE23" s="57"/>
      <c r="AF23" s="57">
        <v>0</v>
      </c>
      <c r="AG23" s="57"/>
      <c r="AH23" s="57">
        <v>0</v>
      </c>
      <c r="AI23" s="57"/>
      <c r="AJ23" s="57">
        <v>0</v>
      </c>
      <c r="AK23" s="57"/>
      <c r="AL23" s="57">
        <v>2002432</v>
      </c>
      <c r="AM23" s="57"/>
      <c r="AN23" s="57">
        <v>40070882</v>
      </c>
      <c r="AO23" s="57"/>
      <c r="AP23" s="57">
        <v>0</v>
      </c>
      <c r="AQ23" s="48"/>
      <c r="AR23" s="59"/>
      <c r="AS23" s="60">
        <v>0</v>
      </c>
      <c r="AT23" s="60"/>
      <c r="AU23" s="60"/>
      <c r="AV23" s="60"/>
      <c r="AW23" s="60"/>
      <c r="AX23" s="60"/>
      <c r="AY23" s="60"/>
      <c r="AZ23" s="60"/>
      <c r="BA23" s="60"/>
      <c r="BB23" s="60"/>
      <c r="BC23" s="60">
        <v>0.1091</v>
      </c>
      <c r="BD23" s="60"/>
      <c r="BE23" s="60"/>
      <c r="BF23" s="48"/>
      <c r="BG23" s="48" t="s">
        <v>161</v>
      </c>
    </row>
    <row r="24" spans="1:59">
      <c r="A24" s="48" t="s">
        <v>204</v>
      </c>
      <c r="B24" s="48" t="s">
        <v>205</v>
      </c>
      <c r="C24" s="49" t="s">
        <v>190</v>
      </c>
      <c r="D24" s="50">
        <v>6056</v>
      </c>
      <c r="E24" s="51">
        <v>60056</v>
      </c>
      <c r="F24" s="49" t="s">
        <v>172</v>
      </c>
      <c r="G24" s="52">
        <v>5121892</v>
      </c>
      <c r="H24" s="53">
        <v>1082</v>
      </c>
      <c r="I24" s="49" t="s">
        <v>168</v>
      </c>
      <c r="J24" s="54" t="s">
        <v>167</v>
      </c>
      <c r="K24" s="54">
        <v>23</v>
      </c>
      <c r="L24" s="55"/>
      <c r="M24" s="56">
        <v>1375987</v>
      </c>
      <c r="N24" s="56"/>
      <c r="O24" s="56">
        <v>0</v>
      </c>
      <c r="P24" s="56"/>
      <c r="Q24" s="56">
        <v>0</v>
      </c>
      <c r="R24" s="56"/>
      <c r="S24" s="56">
        <v>0</v>
      </c>
      <c r="T24" s="56"/>
      <c r="U24" s="56">
        <v>0</v>
      </c>
      <c r="V24" s="56"/>
      <c r="W24" s="56">
        <v>0</v>
      </c>
      <c r="X24" s="56"/>
      <c r="Y24" s="56">
        <v>0</v>
      </c>
      <c r="Z24" s="56"/>
      <c r="AA24" s="53">
        <v>0</v>
      </c>
      <c r="AB24" s="57"/>
      <c r="AC24" s="58"/>
      <c r="AD24" s="57">
        <v>460806</v>
      </c>
      <c r="AE24" s="57"/>
      <c r="AF24" s="57">
        <v>0</v>
      </c>
      <c r="AG24" s="57"/>
      <c r="AH24" s="57">
        <v>0</v>
      </c>
      <c r="AI24" s="57"/>
      <c r="AJ24" s="57">
        <v>0</v>
      </c>
      <c r="AK24" s="57"/>
      <c r="AL24" s="57">
        <v>0</v>
      </c>
      <c r="AM24" s="57"/>
      <c r="AN24" s="57">
        <v>0</v>
      </c>
      <c r="AO24" s="57"/>
      <c r="AP24" s="57">
        <v>0</v>
      </c>
      <c r="AQ24" s="48"/>
      <c r="AR24" s="59"/>
      <c r="AS24" s="60">
        <v>0.33489999999999998</v>
      </c>
      <c r="AT24" s="60"/>
      <c r="AU24" s="60"/>
      <c r="AV24" s="60"/>
      <c r="AW24" s="60"/>
      <c r="AX24" s="60"/>
      <c r="AY24" s="60"/>
      <c r="AZ24" s="60"/>
      <c r="BA24" s="60"/>
      <c r="BB24" s="60"/>
      <c r="BC24" s="60"/>
      <c r="BD24" s="60"/>
      <c r="BE24" s="60"/>
      <c r="BF24" s="48"/>
      <c r="BG24" s="48" t="s">
        <v>161</v>
      </c>
    </row>
    <row r="25" spans="1:59">
      <c r="A25" s="48" t="s">
        <v>204</v>
      </c>
      <c r="B25" s="48" t="s">
        <v>205</v>
      </c>
      <c r="C25" s="49" t="s">
        <v>190</v>
      </c>
      <c r="D25" s="50">
        <v>6056</v>
      </c>
      <c r="E25" s="51">
        <v>60056</v>
      </c>
      <c r="F25" s="49" t="s">
        <v>172</v>
      </c>
      <c r="G25" s="52">
        <v>5121892</v>
      </c>
      <c r="H25" s="53">
        <v>1082</v>
      </c>
      <c r="I25" s="49" t="s">
        <v>166</v>
      </c>
      <c r="J25" s="54" t="s">
        <v>159</v>
      </c>
      <c r="K25" s="54">
        <v>117</v>
      </c>
      <c r="L25" s="55"/>
      <c r="M25" s="56">
        <v>0</v>
      </c>
      <c r="N25" s="56"/>
      <c r="O25" s="56">
        <v>0</v>
      </c>
      <c r="P25" s="56"/>
      <c r="Q25" s="56">
        <v>0</v>
      </c>
      <c r="R25" s="56"/>
      <c r="S25" s="56">
        <v>0</v>
      </c>
      <c r="T25" s="56"/>
      <c r="U25" s="56">
        <v>0</v>
      </c>
      <c r="V25" s="56"/>
      <c r="W25" s="56">
        <v>0</v>
      </c>
      <c r="X25" s="56"/>
      <c r="Y25" s="56">
        <v>116183770</v>
      </c>
      <c r="Z25" s="56"/>
      <c r="AA25" s="53">
        <v>0</v>
      </c>
      <c r="AB25" s="57"/>
      <c r="AC25" s="58"/>
      <c r="AD25" s="57">
        <v>0</v>
      </c>
      <c r="AE25" s="57"/>
      <c r="AF25" s="57">
        <v>0</v>
      </c>
      <c r="AG25" s="57"/>
      <c r="AH25" s="57">
        <v>0</v>
      </c>
      <c r="AI25" s="57"/>
      <c r="AJ25" s="57">
        <v>0</v>
      </c>
      <c r="AK25" s="57"/>
      <c r="AL25" s="57">
        <v>0</v>
      </c>
      <c r="AM25" s="57"/>
      <c r="AN25" s="57">
        <v>9894309</v>
      </c>
      <c r="AO25" s="57"/>
      <c r="AP25" s="57">
        <v>0</v>
      </c>
      <c r="AQ25" s="48"/>
      <c r="AR25" s="59"/>
      <c r="AS25" s="60"/>
      <c r="AT25" s="60"/>
      <c r="AU25" s="60"/>
      <c r="AV25" s="60"/>
      <c r="AW25" s="60"/>
      <c r="AX25" s="60"/>
      <c r="AY25" s="60"/>
      <c r="AZ25" s="60"/>
      <c r="BA25" s="60"/>
      <c r="BB25" s="60"/>
      <c r="BC25" s="60">
        <v>8.5199999999999998E-2</v>
      </c>
      <c r="BD25" s="60"/>
      <c r="BE25" s="60"/>
      <c r="BF25" s="48"/>
      <c r="BG25" s="48" t="s">
        <v>161</v>
      </c>
    </row>
    <row r="26" spans="1:59">
      <c r="A26" s="48" t="s">
        <v>206</v>
      </c>
      <c r="B26" s="48" t="s">
        <v>207</v>
      </c>
      <c r="C26" s="49" t="s">
        <v>208</v>
      </c>
      <c r="D26" s="50">
        <v>8001</v>
      </c>
      <c r="E26" s="51">
        <v>80001</v>
      </c>
      <c r="F26" s="49" t="s">
        <v>172</v>
      </c>
      <c r="G26" s="52">
        <v>1021243</v>
      </c>
      <c r="H26" s="53">
        <v>1081</v>
      </c>
      <c r="I26" s="49" t="s">
        <v>166</v>
      </c>
      <c r="J26" s="54" t="s">
        <v>159</v>
      </c>
      <c r="K26" s="54">
        <v>89</v>
      </c>
      <c r="L26" s="55"/>
      <c r="M26" s="56">
        <v>0</v>
      </c>
      <c r="N26" s="56"/>
      <c r="O26" s="56">
        <v>0</v>
      </c>
      <c r="P26" s="56"/>
      <c r="Q26" s="56">
        <v>0</v>
      </c>
      <c r="R26" s="56"/>
      <c r="S26" s="56">
        <v>0</v>
      </c>
      <c r="T26" s="56"/>
      <c r="U26" s="56">
        <v>0</v>
      </c>
      <c r="V26" s="56"/>
      <c r="W26" s="56">
        <v>0</v>
      </c>
      <c r="X26" s="56"/>
      <c r="Y26" s="56">
        <v>39602347</v>
      </c>
      <c r="Z26" s="56"/>
      <c r="AA26" s="53">
        <v>0</v>
      </c>
      <c r="AB26" s="57"/>
      <c r="AC26" s="58"/>
      <c r="AD26" s="57">
        <v>0</v>
      </c>
      <c r="AE26" s="57"/>
      <c r="AF26" s="57">
        <v>0</v>
      </c>
      <c r="AG26" s="57"/>
      <c r="AH26" s="57">
        <v>0</v>
      </c>
      <c r="AI26" s="57"/>
      <c r="AJ26" s="57">
        <v>0</v>
      </c>
      <c r="AK26" s="57"/>
      <c r="AL26" s="57">
        <v>0</v>
      </c>
      <c r="AM26" s="57"/>
      <c r="AN26" s="57">
        <v>6307169</v>
      </c>
      <c r="AO26" s="57"/>
      <c r="AP26" s="57">
        <v>0</v>
      </c>
      <c r="AQ26" s="48"/>
      <c r="AR26" s="59"/>
      <c r="AS26" s="60"/>
      <c r="AT26" s="60"/>
      <c r="AU26" s="60"/>
      <c r="AV26" s="60"/>
      <c r="AW26" s="60"/>
      <c r="AX26" s="60"/>
      <c r="AY26" s="60"/>
      <c r="AZ26" s="60"/>
      <c r="BA26" s="60"/>
      <c r="BB26" s="60"/>
      <c r="BC26" s="60">
        <v>0.1593</v>
      </c>
      <c r="BD26" s="60"/>
      <c r="BE26" s="60"/>
      <c r="BF26" s="48"/>
      <c r="BG26" s="48" t="s">
        <v>161</v>
      </c>
    </row>
    <row r="27" spans="1:59">
      <c r="A27" s="48" t="s">
        <v>206</v>
      </c>
      <c r="B27" s="48" t="s">
        <v>207</v>
      </c>
      <c r="C27" s="49" t="s">
        <v>208</v>
      </c>
      <c r="D27" s="50">
        <v>8001</v>
      </c>
      <c r="E27" s="51">
        <v>80001</v>
      </c>
      <c r="F27" s="49" t="s">
        <v>172</v>
      </c>
      <c r="G27" s="52">
        <v>1021243</v>
      </c>
      <c r="H27" s="53">
        <v>1081</v>
      </c>
      <c r="I27" s="49" t="s">
        <v>168</v>
      </c>
      <c r="J27" s="54" t="s">
        <v>159</v>
      </c>
      <c r="K27" s="54">
        <v>50</v>
      </c>
      <c r="L27" s="55"/>
      <c r="M27" s="56">
        <v>1921417</v>
      </c>
      <c r="N27" s="56"/>
      <c r="O27" s="56">
        <v>0</v>
      </c>
      <c r="P27" s="56"/>
      <c r="Q27" s="56">
        <v>0</v>
      </c>
      <c r="R27" s="56"/>
      <c r="S27" s="56">
        <v>0</v>
      </c>
      <c r="T27" s="56"/>
      <c r="U27" s="56">
        <v>0</v>
      </c>
      <c r="V27" s="56"/>
      <c r="W27" s="56">
        <v>0</v>
      </c>
      <c r="X27" s="56"/>
      <c r="Y27" s="56">
        <v>0</v>
      </c>
      <c r="Z27" s="56"/>
      <c r="AA27" s="53">
        <v>0</v>
      </c>
      <c r="AB27" s="57"/>
      <c r="AC27" s="58"/>
      <c r="AD27" s="57">
        <v>850933</v>
      </c>
      <c r="AE27" s="57"/>
      <c r="AF27" s="57">
        <v>0</v>
      </c>
      <c r="AG27" s="57"/>
      <c r="AH27" s="57">
        <v>0</v>
      </c>
      <c r="AI27" s="57"/>
      <c r="AJ27" s="57">
        <v>0</v>
      </c>
      <c r="AK27" s="57"/>
      <c r="AL27" s="57">
        <v>0</v>
      </c>
      <c r="AM27" s="57"/>
      <c r="AN27" s="57">
        <v>0</v>
      </c>
      <c r="AO27" s="57"/>
      <c r="AP27" s="57">
        <v>0</v>
      </c>
      <c r="AQ27" s="48"/>
      <c r="AR27" s="59"/>
      <c r="AS27" s="60">
        <v>0.44290000000000002</v>
      </c>
      <c r="AT27" s="60"/>
      <c r="AU27" s="60"/>
      <c r="AV27" s="60"/>
      <c r="AW27" s="60"/>
      <c r="AX27" s="60"/>
      <c r="AY27" s="60"/>
      <c r="AZ27" s="60"/>
      <c r="BA27" s="60"/>
      <c r="BB27" s="60"/>
      <c r="BC27" s="60"/>
      <c r="BD27" s="60"/>
      <c r="BE27" s="60"/>
      <c r="BF27" s="48"/>
      <c r="BG27" s="48" t="s">
        <v>161</v>
      </c>
    </row>
    <row r="28" spans="1:59">
      <c r="A28" s="48" t="s">
        <v>209</v>
      </c>
      <c r="B28" s="48" t="s">
        <v>177</v>
      </c>
      <c r="C28" s="49" t="s">
        <v>178</v>
      </c>
      <c r="D28" s="50">
        <v>5118</v>
      </c>
      <c r="E28" s="51">
        <v>50118</v>
      </c>
      <c r="F28" s="49" t="s">
        <v>172</v>
      </c>
      <c r="G28" s="52">
        <v>8608208</v>
      </c>
      <c r="H28" s="53">
        <v>1066</v>
      </c>
      <c r="I28" s="49" t="s">
        <v>168</v>
      </c>
      <c r="J28" s="54" t="s">
        <v>159</v>
      </c>
      <c r="K28" s="54">
        <v>539</v>
      </c>
      <c r="L28" s="55"/>
      <c r="M28" s="56">
        <v>18100043</v>
      </c>
      <c r="N28" s="56"/>
      <c r="O28" s="56">
        <v>0</v>
      </c>
      <c r="P28" s="56"/>
      <c r="Q28" s="56">
        <v>0</v>
      </c>
      <c r="R28" s="56"/>
      <c r="S28" s="56">
        <v>0</v>
      </c>
      <c r="T28" s="56"/>
      <c r="U28" s="56">
        <v>0</v>
      </c>
      <c r="V28" s="56"/>
      <c r="W28" s="56">
        <v>0</v>
      </c>
      <c r="X28" s="56"/>
      <c r="Y28" s="56">
        <v>56262281</v>
      </c>
      <c r="Z28" s="56"/>
      <c r="AA28" s="53">
        <v>0</v>
      </c>
      <c r="AB28" s="57"/>
      <c r="AC28" s="58"/>
      <c r="AD28" s="57">
        <v>5202961</v>
      </c>
      <c r="AE28" s="57"/>
      <c r="AF28" s="57">
        <v>0</v>
      </c>
      <c r="AG28" s="57"/>
      <c r="AH28" s="57">
        <v>0</v>
      </c>
      <c r="AI28" s="57"/>
      <c r="AJ28" s="57">
        <v>0</v>
      </c>
      <c r="AK28" s="57"/>
      <c r="AL28" s="57">
        <v>0</v>
      </c>
      <c r="AM28" s="57"/>
      <c r="AN28" s="57">
        <v>3759786</v>
      </c>
      <c r="AO28" s="57"/>
      <c r="AP28" s="57">
        <v>0</v>
      </c>
      <c r="AQ28" s="48"/>
      <c r="AR28" s="59"/>
      <c r="AS28" s="60">
        <v>0.28749999999999998</v>
      </c>
      <c r="AT28" s="60"/>
      <c r="AU28" s="60"/>
      <c r="AV28" s="60"/>
      <c r="AW28" s="60"/>
      <c r="AX28" s="60"/>
      <c r="AY28" s="60"/>
      <c r="AZ28" s="60"/>
      <c r="BA28" s="60"/>
      <c r="BB28" s="60"/>
      <c r="BC28" s="60">
        <v>6.6799999999999998E-2</v>
      </c>
      <c r="BD28" s="60"/>
      <c r="BE28" s="60"/>
      <c r="BF28" s="48"/>
      <c r="BG28" s="48" t="s">
        <v>161</v>
      </c>
    </row>
    <row r="29" spans="1:59">
      <c r="A29" s="48" t="s">
        <v>209</v>
      </c>
      <c r="B29" s="48" t="s">
        <v>177</v>
      </c>
      <c r="C29" s="49" t="s">
        <v>178</v>
      </c>
      <c r="D29" s="50">
        <v>5118</v>
      </c>
      <c r="E29" s="51">
        <v>50118</v>
      </c>
      <c r="F29" s="49" t="s">
        <v>172</v>
      </c>
      <c r="G29" s="52">
        <v>8608208</v>
      </c>
      <c r="H29" s="53">
        <v>1066</v>
      </c>
      <c r="I29" s="49" t="s">
        <v>168</v>
      </c>
      <c r="J29" s="54" t="s">
        <v>167</v>
      </c>
      <c r="K29" s="54">
        <v>527</v>
      </c>
      <c r="L29" s="55"/>
      <c r="M29" s="56">
        <v>18100043</v>
      </c>
      <c r="N29" s="56"/>
      <c r="O29" s="56">
        <v>0</v>
      </c>
      <c r="P29" s="56"/>
      <c r="Q29" s="56">
        <v>0</v>
      </c>
      <c r="R29" s="56"/>
      <c r="S29" s="56">
        <v>0</v>
      </c>
      <c r="T29" s="56"/>
      <c r="U29" s="56">
        <v>0</v>
      </c>
      <c r="V29" s="56"/>
      <c r="W29" s="56">
        <v>0</v>
      </c>
      <c r="X29" s="56"/>
      <c r="Y29" s="56">
        <v>0</v>
      </c>
      <c r="Z29" s="56"/>
      <c r="AA29" s="53">
        <v>0</v>
      </c>
      <c r="AB29" s="57"/>
      <c r="AC29" s="58"/>
      <c r="AD29" s="57">
        <v>0</v>
      </c>
      <c r="AE29" s="57"/>
      <c r="AF29" s="57">
        <v>0</v>
      </c>
      <c r="AG29" s="57"/>
      <c r="AH29" s="57">
        <v>0</v>
      </c>
      <c r="AI29" s="57"/>
      <c r="AJ29" s="57">
        <v>0</v>
      </c>
      <c r="AK29" s="57"/>
      <c r="AL29" s="57">
        <v>0</v>
      </c>
      <c r="AM29" s="57"/>
      <c r="AN29" s="57">
        <v>0</v>
      </c>
      <c r="AO29" s="57"/>
      <c r="AP29" s="57">
        <v>0</v>
      </c>
      <c r="AQ29" s="48"/>
      <c r="AR29" s="59"/>
      <c r="AS29" s="60">
        <v>0</v>
      </c>
      <c r="AT29" s="60"/>
      <c r="AU29" s="60"/>
      <c r="AV29" s="60"/>
      <c r="AW29" s="60"/>
      <c r="AX29" s="60"/>
      <c r="AY29" s="60"/>
      <c r="AZ29" s="60"/>
      <c r="BA29" s="60"/>
      <c r="BB29" s="60"/>
      <c r="BC29" s="60"/>
      <c r="BD29" s="60"/>
      <c r="BE29" s="60"/>
      <c r="BF29" s="48"/>
      <c r="BG29" s="48" t="s">
        <v>161</v>
      </c>
    </row>
    <row r="30" spans="1:59">
      <c r="A30" s="48" t="s">
        <v>210</v>
      </c>
      <c r="B30" s="48" t="s">
        <v>211</v>
      </c>
      <c r="C30" s="49" t="s">
        <v>155</v>
      </c>
      <c r="D30" s="50">
        <v>2100</v>
      </c>
      <c r="E30" s="51">
        <v>20100</v>
      </c>
      <c r="F30" s="49" t="s">
        <v>156</v>
      </c>
      <c r="G30" s="52">
        <v>18351295</v>
      </c>
      <c r="H30" s="53">
        <v>1022</v>
      </c>
      <c r="I30" s="49" t="s">
        <v>168</v>
      </c>
      <c r="J30" s="54" t="s">
        <v>159</v>
      </c>
      <c r="K30" s="54">
        <v>1022</v>
      </c>
      <c r="L30" s="55"/>
      <c r="M30" s="56">
        <v>7034074</v>
      </c>
      <c r="N30" s="56"/>
      <c r="O30" s="56">
        <v>0</v>
      </c>
      <c r="P30" s="56"/>
      <c r="Q30" s="56">
        <v>0</v>
      </c>
      <c r="R30" s="56"/>
      <c r="S30" s="56">
        <v>0</v>
      </c>
      <c r="T30" s="56"/>
      <c r="U30" s="56">
        <v>0</v>
      </c>
      <c r="V30" s="56"/>
      <c r="W30" s="56">
        <v>0</v>
      </c>
      <c r="X30" s="56"/>
      <c r="Y30" s="56">
        <v>471350200</v>
      </c>
      <c r="Z30" s="56"/>
      <c r="AA30" s="53">
        <v>0</v>
      </c>
      <c r="AB30" s="57"/>
      <c r="AC30" s="58"/>
      <c r="AD30" s="57">
        <v>757533</v>
      </c>
      <c r="AE30" s="57"/>
      <c r="AF30" s="57">
        <v>0</v>
      </c>
      <c r="AG30" s="57"/>
      <c r="AH30" s="57">
        <v>0</v>
      </c>
      <c r="AI30" s="57"/>
      <c r="AJ30" s="57">
        <v>0</v>
      </c>
      <c r="AK30" s="57"/>
      <c r="AL30" s="57">
        <v>757533</v>
      </c>
      <c r="AM30" s="57"/>
      <c r="AN30" s="57">
        <v>54919600</v>
      </c>
      <c r="AO30" s="57"/>
      <c r="AP30" s="57">
        <v>0</v>
      </c>
      <c r="AQ30" s="48"/>
      <c r="AR30" s="59"/>
      <c r="AS30" s="60">
        <v>0.1077</v>
      </c>
      <c r="AT30" s="60"/>
      <c r="AU30" s="60"/>
      <c r="AV30" s="60"/>
      <c r="AW30" s="60"/>
      <c r="AX30" s="60"/>
      <c r="AY30" s="60"/>
      <c r="AZ30" s="60"/>
      <c r="BA30" s="60"/>
      <c r="BB30" s="60"/>
      <c r="BC30" s="60">
        <v>0.11650000000000001</v>
      </c>
      <c r="BD30" s="60"/>
      <c r="BE30" s="60"/>
      <c r="BF30" s="48"/>
      <c r="BG30" s="48" t="s">
        <v>161</v>
      </c>
    </row>
    <row r="31" spans="1:59">
      <c r="A31" s="48" t="s">
        <v>212</v>
      </c>
      <c r="B31" s="48" t="s">
        <v>213</v>
      </c>
      <c r="C31" s="49" t="s">
        <v>171</v>
      </c>
      <c r="D31" s="50">
        <v>9015</v>
      </c>
      <c r="E31" s="51">
        <v>90015</v>
      </c>
      <c r="F31" s="49" t="s">
        <v>198</v>
      </c>
      <c r="G31" s="52">
        <v>3281212</v>
      </c>
      <c r="H31" s="53">
        <v>996</v>
      </c>
      <c r="I31" s="49" t="s">
        <v>166</v>
      </c>
      <c r="J31" s="54" t="s">
        <v>159</v>
      </c>
      <c r="K31" s="54">
        <v>149</v>
      </c>
      <c r="L31" s="55"/>
      <c r="M31" s="56">
        <v>0</v>
      </c>
      <c r="N31" s="56"/>
      <c r="O31" s="56">
        <v>0</v>
      </c>
      <c r="P31" s="56"/>
      <c r="Q31" s="56">
        <v>0</v>
      </c>
      <c r="R31" s="56"/>
      <c r="S31" s="56">
        <v>0</v>
      </c>
      <c r="T31" s="56"/>
      <c r="U31" s="56">
        <v>0</v>
      </c>
      <c r="V31" s="56"/>
      <c r="W31" s="56">
        <v>0</v>
      </c>
      <c r="X31" s="56"/>
      <c r="Y31" s="56">
        <v>51453351</v>
      </c>
      <c r="Z31" s="56"/>
      <c r="AA31" s="53">
        <v>0</v>
      </c>
      <c r="AB31" s="57"/>
      <c r="AC31" s="58"/>
      <c r="AD31" s="57">
        <v>0</v>
      </c>
      <c r="AE31" s="57"/>
      <c r="AF31" s="57">
        <v>0</v>
      </c>
      <c r="AG31" s="57"/>
      <c r="AH31" s="57">
        <v>0</v>
      </c>
      <c r="AI31" s="57"/>
      <c r="AJ31" s="57">
        <v>0</v>
      </c>
      <c r="AK31" s="57"/>
      <c r="AL31" s="57">
        <v>0</v>
      </c>
      <c r="AM31" s="57"/>
      <c r="AN31" s="57">
        <v>5286597</v>
      </c>
      <c r="AO31" s="57"/>
      <c r="AP31" s="57">
        <v>0</v>
      </c>
      <c r="AQ31" s="48"/>
      <c r="AR31" s="59"/>
      <c r="AS31" s="60"/>
      <c r="AT31" s="60"/>
      <c r="AU31" s="60"/>
      <c r="AV31" s="60"/>
      <c r="AW31" s="60"/>
      <c r="AX31" s="60"/>
      <c r="AY31" s="60"/>
      <c r="AZ31" s="60"/>
      <c r="BA31" s="60"/>
      <c r="BB31" s="60"/>
      <c r="BC31" s="60">
        <v>0.1027</v>
      </c>
      <c r="BD31" s="60"/>
      <c r="BE31" s="60"/>
      <c r="BF31" s="48"/>
      <c r="BG31" s="48" t="s">
        <v>161</v>
      </c>
    </row>
    <row r="32" spans="1:59">
      <c r="A32" s="48" t="s">
        <v>214</v>
      </c>
      <c r="B32" s="48" t="s">
        <v>215</v>
      </c>
      <c r="C32" s="49" t="s">
        <v>216</v>
      </c>
      <c r="D32" s="50">
        <v>8</v>
      </c>
      <c r="E32" s="51">
        <v>8</v>
      </c>
      <c r="F32" s="49" t="s">
        <v>172</v>
      </c>
      <c r="G32" s="52">
        <v>1849898</v>
      </c>
      <c r="H32" s="53">
        <v>982</v>
      </c>
      <c r="I32" s="49" t="s">
        <v>166</v>
      </c>
      <c r="J32" s="54" t="s">
        <v>159</v>
      </c>
      <c r="K32" s="54">
        <v>116</v>
      </c>
      <c r="L32" s="55"/>
      <c r="M32" s="56">
        <v>0</v>
      </c>
      <c r="N32" s="56"/>
      <c r="O32" s="56">
        <v>0</v>
      </c>
      <c r="P32" s="56"/>
      <c r="Q32" s="56">
        <v>0</v>
      </c>
      <c r="R32" s="56"/>
      <c r="S32" s="56">
        <v>0</v>
      </c>
      <c r="T32" s="56"/>
      <c r="U32" s="56">
        <v>0</v>
      </c>
      <c r="V32" s="56"/>
      <c r="W32" s="56">
        <v>0</v>
      </c>
      <c r="X32" s="56"/>
      <c r="Y32" s="56">
        <v>54389715</v>
      </c>
      <c r="Z32" s="56"/>
      <c r="AA32" s="53">
        <v>0</v>
      </c>
      <c r="AB32" s="57"/>
      <c r="AC32" s="58"/>
      <c r="AD32" s="57">
        <v>0</v>
      </c>
      <c r="AE32" s="57"/>
      <c r="AF32" s="57">
        <v>0</v>
      </c>
      <c r="AG32" s="57"/>
      <c r="AH32" s="57">
        <v>0</v>
      </c>
      <c r="AI32" s="57"/>
      <c r="AJ32" s="57">
        <v>0</v>
      </c>
      <c r="AK32" s="57"/>
      <c r="AL32" s="57">
        <v>0</v>
      </c>
      <c r="AM32" s="57"/>
      <c r="AN32" s="57">
        <v>9045741</v>
      </c>
      <c r="AO32" s="57"/>
      <c r="AP32" s="57">
        <v>0</v>
      </c>
      <c r="AQ32" s="48"/>
      <c r="AR32" s="59"/>
      <c r="AS32" s="60"/>
      <c r="AT32" s="60"/>
      <c r="AU32" s="60"/>
      <c r="AV32" s="60"/>
      <c r="AW32" s="60"/>
      <c r="AX32" s="60"/>
      <c r="AY32" s="60"/>
      <c r="AZ32" s="60"/>
      <c r="BA32" s="60"/>
      <c r="BB32" s="60"/>
      <c r="BC32" s="60">
        <v>0.1663</v>
      </c>
      <c r="BD32" s="60"/>
      <c r="BE32" s="60"/>
      <c r="BF32" s="48"/>
      <c r="BG32" s="48" t="s">
        <v>161</v>
      </c>
    </row>
    <row r="33" spans="1:59">
      <c r="A33" s="48" t="s">
        <v>217</v>
      </c>
      <c r="B33" s="48" t="s">
        <v>218</v>
      </c>
      <c r="C33" s="49" t="s">
        <v>219</v>
      </c>
      <c r="D33" s="50">
        <v>4022</v>
      </c>
      <c r="E33" s="51">
        <v>40022</v>
      </c>
      <c r="F33" s="49" t="s">
        <v>172</v>
      </c>
      <c r="G33" s="52">
        <v>4515419</v>
      </c>
      <c r="H33" s="53">
        <v>943</v>
      </c>
      <c r="I33" s="49" t="s">
        <v>158</v>
      </c>
      <c r="J33" s="54" t="s">
        <v>159</v>
      </c>
      <c r="K33" s="54">
        <v>212</v>
      </c>
      <c r="L33" s="55"/>
      <c r="M33" s="56">
        <v>0</v>
      </c>
      <c r="N33" s="56"/>
      <c r="O33" s="56">
        <v>0</v>
      </c>
      <c r="P33" s="56"/>
      <c r="Q33" s="56">
        <v>0</v>
      </c>
      <c r="R33" s="56"/>
      <c r="S33" s="56">
        <v>0</v>
      </c>
      <c r="T33" s="56"/>
      <c r="U33" s="56">
        <v>0</v>
      </c>
      <c r="V33" s="56"/>
      <c r="W33" s="56">
        <v>0</v>
      </c>
      <c r="X33" s="56"/>
      <c r="Y33" s="56">
        <v>83566447</v>
      </c>
      <c r="Z33" s="56"/>
      <c r="AA33" s="53">
        <v>0</v>
      </c>
      <c r="AB33" s="57"/>
      <c r="AC33" s="58"/>
      <c r="AD33" s="57">
        <v>0</v>
      </c>
      <c r="AE33" s="57"/>
      <c r="AF33" s="57">
        <v>0</v>
      </c>
      <c r="AG33" s="57"/>
      <c r="AH33" s="57">
        <v>0</v>
      </c>
      <c r="AI33" s="57"/>
      <c r="AJ33" s="57">
        <v>0</v>
      </c>
      <c r="AK33" s="57"/>
      <c r="AL33" s="57">
        <v>0</v>
      </c>
      <c r="AM33" s="57"/>
      <c r="AN33" s="57">
        <v>19692749</v>
      </c>
      <c r="AO33" s="57"/>
      <c r="AP33" s="57">
        <v>0</v>
      </c>
      <c r="AQ33" s="48"/>
      <c r="AR33" s="59"/>
      <c r="AS33" s="60"/>
      <c r="AT33" s="60"/>
      <c r="AU33" s="60"/>
      <c r="AV33" s="60"/>
      <c r="AW33" s="60"/>
      <c r="AX33" s="60"/>
      <c r="AY33" s="60"/>
      <c r="AZ33" s="60"/>
      <c r="BA33" s="60"/>
      <c r="BB33" s="60"/>
      <c r="BC33" s="60">
        <v>0.23569999999999999</v>
      </c>
      <c r="BD33" s="60"/>
      <c r="BE33" s="60"/>
      <c r="BF33" s="48"/>
      <c r="BG33" s="48" t="s">
        <v>161</v>
      </c>
    </row>
    <row r="34" spans="1:59">
      <c r="A34" s="48" t="s">
        <v>220</v>
      </c>
      <c r="B34" s="48" t="s">
        <v>221</v>
      </c>
      <c r="C34" s="49" t="s">
        <v>187</v>
      </c>
      <c r="D34" s="50">
        <v>3022</v>
      </c>
      <c r="E34" s="51">
        <v>30022</v>
      </c>
      <c r="F34" s="49" t="s">
        <v>172</v>
      </c>
      <c r="G34" s="52">
        <v>1733853</v>
      </c>
      <c r="H34" s="53">
        <v>930</v>
      </c>
      <c r="I34" s="49" t="s">
        <v>166</v>
      </c>
      <c r="J34" s="54" t="s">
        <v>159</v>
      </c>
      <c r="K34" s="54">
        <v>58</v>
      </c>
      <c r="L34" s="55"/>
      <c r="M34" s="56">
        <v>0</v>
      </c>
      <c r="N34" s="56"/>
      <c r="O34" s="56">
        <v>0</v>
      </c>
      <c r="P34" s="56"/>
      <c r="Q34" s="56">
        <v>0</v>
      </c>
      <c r="R34" s="56"/>
      <c r="S34" s="56">
        <v>0</v>
      </c>
      <c r="T34" s="56"/>
      <c r="U34" s="56">
        <v>0</v>
      </c>
      <c r="V34" s="56"/>
      <c r="W34" s="56">
        <v>0</v>
      </c>
      <c r="X34" s="56"/>
      <c r="Y34" s="56">
        <v>30547053</v>
      </c>
      <c r="Z34" s="56"/>
      <c r="AA34" s="53">
        <v>0</v>
      </c>
      <c r="AB34" s="57"/>
      <c r="AC34" s="58"/>
      <c r="AD34" s="57">
        <v>0</v>
      </c>
      <c r="AE34" s="57"/>
      <c r="AF34" s="57">
        <v>0</v>
      </c>
      <c r="AG34" s="57"/>
      <c r="AH34" s="57">
        <v>0</v>
      </c>
      <c r="AI34" s="57"/>
      <c r="AJ34" s="57">
        <v>0</v>
      </c>
      <c r="AK34" s="57"/>
      <c r="AL34" s="57">
        <v>0</v>
      </c>
      <c r="AM34" s="57"/>
      <c r="AN34" s="57">
        <v>2154526</v>
      </c>
      <c r="AO34" s="57"/>
      <c r="AP34" s="57">
        <v>0</v>
      </c>
      <c r="AQ34" s="48"/>
      <c r="AR34" s="59"/>
      <c r="AS34" s="60"/>
      <c r="AT34" s="60"/>
      <c r="AU34" s="60"/>
      <c r="AV34" s="60"/>
      <c r="AW34" s="60"/>
      <c r="AX34" s="60"/>
      <c r="AY34" s="60"/>
      <c r="AZ34" s="60"/>
      <c r="BA34" s="60"/>
      <c r="BB34" s="60"/>
      <c r="BC34" s="60">
        <v>7.0499999999999993E-2</v>
      </c>
      <c r="BD34" s="60"/>
      <c r="BE34" s="60"/>
      <c r="BF34" s="48"/>
      <c r="BG34" s="48" t="s">
        <v>161</v>
      </c>
    </row>
    <row r="35" spans="1:59">
      <c r="A35" s="48" t="s">
        <v>222</v>
      </c>
      <c r="B35" s="48" t="s">
        <v>223</v>
      </c>
      <c r="C35" s="49" t="s">
        <v>171</v>
      </c>
      <c r="D35" s="50">
        <v>9026</v>
      </c>
      <c r="E35" s="51">
        <v>90026</v>
      </c>
      <c r="F35" s="49" t="s">
        <v>172</v>
      </c>
      <c r="G35" s="52">
        <v>2956746</v>
      </c>
      <c r="H35" s="53">
        <v>906</v>
      </c>
      <c r="I35" s="49" t="s">
        <v>166</v>
      </c>
      <c r="J35" s="54" t="s">
        <v>159</v>
      </c>
      <c r="K35" s="54">
        <v>103</v>
      </c>
      <c r="L35" s="55"/>
      <c r="M35" s="56">
        <v>0</v>
      </c>
      <c r="N35" s="56"/>
      <c r="O35" s="56">
        <v>0</v>
      </c>
      <c r="P35" s="56"/>
      <c r="Q35" s="56">
        <v>0</v>
      </c>
      <c r="R35" s="56"/>
      <c r="S35" s="56">
        <v>0</v>
      </c>
      <c r="T35" s="56"/>
      <c r="U35" s="56">
        <v>0</v>
      </c>
      <c r="V35" s="56"/>
      <c r="W35" s="56">
        <v>0</v>
      </c>
      <c r="X35" s="56"/>
      <c r="Y35" s="56">
        <v>52502166</v>
      </c>
      <c r="Z35" s="56"/>
      <c r="AA35" s="53">
        <v>0</v>
      </c>
      <c r="AB35" s="57"/>
      <c r="AC35" s="58"/>
      <c r="AD35" s="57">
        <v>0</v>
      </c>
      <c r="AE35" s="57"/>
      <c r="AF35" s="57">
        <v>0</v>
      </c>
      <c r="AG35" s="57"/>
      <c r="AH35" s="57">
        <v>0</v>
      </c>
      <c r="AI35" s="57"/>
      <c r="AJ35" s="57">
        <v>0</v>
      </c>
      <c r="AK35" s="57"/>
      <c r="AL35" s="57">
        <v>0</v>
      </c>
      <c r="AM35" s="57"/>
      <c r="AN35" s="57">
        <v>9579691</v>
      </c>
      <c r="AO35" s="57"/>
      <c r="AP35" s="57">
        <v>0</v>
      </c>
      <c r="AQ35" s="48"/>
      <c r="AR35" s="59"/>
      <c r="AS35" s="60"/>
      <c r="AT35" s="60"/>
      <c r="AU35" s="60"/>
      <c r="AV35" s="60"/>
      <c r="AW35" s="60"/>
      <c r="AX35" s="60"/>
      <c r="AY35" s="60"/>
      <c r="AZ35" s="60"/>
      <c r="BA35" s="60"/>
      <c r="BB35" s="60"/>
      <c r="BC35" s="60">
        <v>0.1825</v>
      </c>
      <c r="BD35" s="60"/>
      <c r="BE35" s="60"/>
      <c r="BF35" s="48"/>
      <c r="BG35" s="48" t="s">
        <v>161</v>
      </c>
    </row>
    <row r="36" spans="1:59">
      <c r="A36" s="48" t="s">
        <v>224</v>
      </c>
      <c r="B36" s="48" t="s">
        <v>225</v>
      </c>
      <c r="C36" s="49" t="s">
        <v>226</v>
      </c>
      <c r="D36" s="50">
        <v>5027</v>
      </c>
      <c r="E36" s="51">
        <v>50027</v>
      </c>
      <c r="F36" s="49" t="s">
        <v>156</v>
      </c>
      <c r="G36" s="52">
        <v>2650890</v>
      </c>
      <c r="H36" s="53">
        <v>823</v>
      </c>
      <c r="I36" s="49" t="s">
        <v>166</v>
      </c>
      <c r="J36" s="54" t="s">
        <v>159</v>
      </c>
      <c r="K36" s="54">
        <v>76</v>
      </c>
      <c r="L36" s="55"/>
      <c r="M36" s="56">
        <v>0</v>
      </c>
      <c r="N36" s="56"/>
      <c r="O36" s="56">
        <v>0</v>
      </c>
      <c r="P36" s="56"/>
      <c r="Q36" s="56">
        <v>0</v>
      </c>
      <c r="R36" s="56"/>
      <c r="S36" s="56">
        <v>0</v>
      </c>
      <c r="T36" s="56"/>
      <c r="U36" s="56">
        <v>0</v>
      </c>
      <c r="V36" s="56"/>
      <c r="W36" s="56">
        <v>0</v>
      </c>
      <c r="X36" s="56"/>
      <c r="Y36" s="56">
        <v>31871652</v>
      </c>
      <c r="Z36" s="56"/>
      <c r="AA36" s="53">
        <v>0</v>
      </c>
      <c r="AB36" s="57"/>
      <c r="AC36" s="58"/>
      <c r="AD36" s="57">
        <v>0</v>
      </c>
      <c r="AE36" s="57"/>
      <c r="AF36" s="57">
        <v>0</v>
      </c>
      <c r="AG36" s="57"/>
      <c r="AH36" s="57">
        <v>0</v>
      </c>
      <c r="AI36" s="57"/>
      <c r="AJ36" s="57">
        <v>0</v>
      </c>
      <c r="AK36" s="57"/>
      <c r="AL36" s="57">
        <v>0</v>
      </c>
      <c r="AM36" s="57"/>
      <c r="AN36" s="57">
        <v>4153269</v>
      </c>
      <c r="AO36" s="57"/>
      <c r="AP36" s="57">
        <v>0</v>
      </c>
      <c r="AQ36" s="48"/>
      <c r="AR36" s="59"/>
      <c r="AS36" s="60"/>
      <c r="AT36" s="60"/>
      <c r="AU36" s="60"/>
      <c r="AV36" s="60"/>
      <c r="AW36" s="60"/>
      <c r="AX36" s="60"/>
      <c r="AY36" s="60"/>
      <c r="AZ36" s="60"/>
      <c r="BA36" s="60"/>
      <c r="BB36" s="60"/>
      <c r="BC36" s="60">
        <v>0.1303</v>
      </c>
      <c r="BD36" s="60"/>
      <c r="BE36" s="60"/>
      <c r="BF36" s="48"/>
      <c r="BG36" s="48" t="s">
        <v>161</v>
      </c>
    </row>
    <row r="37" spans="1:59">
      <c r="A37" s="48" t="s">
        <v>224</v>
      </c>
      <c r="B37" s="48" t="s">
        <v>225</v>
      </c>
      <c r="C37" s="49" t="s">
        <v>226</v>
      </c>
      <c r="D37" s="50">
        <v>5027</v>
      </c>
      <c r="E37" s="51">
        <v>50027</v>
      </c>
      <c r="F37" s="49" t="s">
        <v>156</v>
      </c>
      <c r="G37" s="52">
        <v>2650890</v>
      </c>
      <c r="H37" s="53">
        <v>823</v>
      </c>
      <c r="I37" s="49" t="s">
        <v>168</v>
      </c>
      <c r="J37" s="54" t="s">
        <v>167</v>
      </c>
      <c r="K37" s="54">
        <v>20</v>
      </c>
      <c r="L37" s="55"/>
      <c r="M37" s="56">
        <v>213780</v>
      </c>
      <c r="N37" s="56"/>
      <c r="O37" s="56">
        <v>0</v>
      </c>
      <c r="P37" s="56"/>
      <c r="Q37" s="56">
        <v>0</v>
      </c>
      <c r="R37" s="56"/>
      <c r="S37" s="56">
        <v>0</v>
      </c>
      <c r="T37" s="56"/>
      <c r="U37" s="56">
        <v>0</v>
      </c>
      <c r="V37" s="56"/>
      <c r="W37" s="56">
        <v>0</v>
      </c>
      <c r="X37" s="56"/>
      <c r="Y37" s="56">
        <v>0</v>
      </c>
      <c r="Z37" s="56"/>
      <c r="AA37" s="53">
        <v>0</v>
      </c>
      <c r="AB37" s="57"/>
      <c r="AC37" s="58"/>
      <c r="AD37" s="57">
        <v>63438</v>
      </c>
      <c r="AE37" s="57"/>
      <c r="AF37" s="57">
        <v>0</v>
      </c>
      <c r="AG37" s="57"/>
      <c r="AH37" s="57">
        <v>0</v>
      </c>
      <c r="AI37" s="57"/>
      <c r="AJ37" s="57">
        <v>0</v>
      </c>
      <c r="AK37" s="57"/>
      <c r="AL37" s="57">
        <v>0</v>
      </c>
      <c r="AM37" s="57"/>
      <c r="AN37" s="57">
        <v>0</v>
      </c>
      <c r="AO37" s="57"/>
      <c r="AP37" s="57">
        <v>0</v>
      </c>
      <c r="AQ37" s="48"/>
      <c r="AR37" s="59"/>
      <c r="AS37" s="60">
        <v>0.29670000000000002</v>
      </c>
      <c r="AT37" s="60"/>
      <c r="AU37" s="60"/>
      <c r="AV37" s="60"/>
      <c r="AW37" s="60"/>
      <c r="AX37" s="60"/>
      <c r="AY37" s="60"/>
      <c r="AZ37" s="60"/>
      <c r="BA37" s="60"/>
      <c r="BB37" s="60"/>
      <c r="BC37" s="60"/>
      <c r="BD37" s="60"/>
      <c r="BE37" s="60"/>
      <c r="BF37" s="48"/>
      <c r="BG37" s="48" t="s">
        <v>161</v>
      </c>
    </row>
    <row r="38" spans="1:59">
      <c r="A38" s="48" t="s">
        <v>227</v>
      </c>
      <c r="B38" s="48" t="s">
        <v>228</v>
      </c>
      <c r="C38" s="49" t="s">
        <v>171</v>
      </c>
      <c r="D38" s="50">
        <v>9013</v>
      </c>
      <c r="E38" s="51">
        <v>90013</v>
      </c>
      <c r="F38" s="49" t="s">
        <v>172</v>
      </c>
      <c r="G38" s="52">
        <v>1664496</v>
      </c>
      <c r="H38" s="53">
        <v>635</v>
      </c>
      <c r="I38" s="49" t="s">
        <v>166</v>
      </c>
      <c r="J38" s="54" t="s">
        <v>159</v>
      </c>
      <c r="K38" s="54">
        <v>61</v>
      </c>
      <c r="L38" s="55"/>
      <c r="M38" s="56">
        <v>0</v>
      </c>
      <c r="N38" s="56"/>
      <c r="O38" s="56">
        <v>0</v>
      </c>
      <c r="P38" s="56"/>
      <c r="Q38" s="56">
        <v>0</v>
      </c>
      <c r="R38" s="56"/>
      <c r="S38" s="56">
        <v>0</v>
      </c>
      <c r="T38" s="56"/>
      <c r="U38" s="56">
        <v>0</v>
      </c>
      <c r="V38" s="56"/>
      <c r="W38" s="56">
        <v>0</v>
      </c>
      <c r="X38" s="56"/>
      <c r="Y38" s="56">
        <v>22062611</v>
      </c>
      <c r="Z38" s="56"/>
      <c r="AA38" s="53">
        <v>0</v>
      </c>
      <c r="AB38" s="57"/>
      <c r="AC38" s="58"/>
      <c r="AD38" s="57">
        <v>0</v>
      </c>
      <c r="AE38" s="57"/>
      <c r="AF38" s="57">
        <v>0</v>
      </c>
      <c r="AG38" s="57"/>
      <c r="AH38" s="57">
        <v>0</v>
      </c>
      <c r="AI38" s="57"/>
      <c r="AJ38" s="57">
        <v>0</v>
      </c>
      <c r="AK38" s="57"/>
      <c r="AL38" s="57">
        <v>0</v>
      </c>
      <c r="AM38" s="57"/>
      <c r="AN38" s="57">
        <v>3093884</v>
      </c>
      <c r="AO38" s="57"/>
      <c r="AP38" s="57">
        <v>0</v>
      </c>
      <c r="AQ38" s="48"/>
      <c r="AR38" s="59"/>
      <c r="AS38" s="60"/>
      <c r="AT38" s="60"/>
      <c r="AU38" s="60"/>
      <c r="AV38" s="60"/>
      <c r="AW38" s="60"/>
      <c r="AX38" s="60"/>
      <c r="AY38" s="60"/>
      <c r="AZ38" s="60"/>
      <c r="BA38" s="60"/>
      <c r="BB38" s="60"/>
      <c r="BC38" s="60">
        <v>0.14019999999999999</v>
      </c>
      <c r="BD38" s="60"/>
      <c r="BE38" s="60"/>
      <c r="BF38" s="48"/>
      <c r="BG38" s="48" t="s">
        <v>161</v>
      </c>
    </row>
    <row r="39" spans="1:59">
      <c r="A39" s="48" t="s">
        <v>229</v>
      </c>
      <c r="B39" s="48" t="s">
        <v>230</v>
      </c>
      <c r="C39" s="49" t="s">
        <v>171</v>
      </c>
      <c r="D39" s="50">
        <v>9003</v>
      </c>
      <c r="E39" s="51">
        <v>90003</v>
      </c>
      <c r="F39" s="49" t="s">
        <v>172</v>
      </c>
      <c r="G39" s="52">
        <v>3281212</v>
      </c>
      <c r="H39" s="53">
        <v>616</v>
      </c>
      <c r="I39" s="49" t="s">
        <v>158</v>
      </c>
      <c r="J39" s="54" t="s">
        <v>159</v>
      </c>
      <c r="K39" s="54">
        <v>599</v>
      </c>
      <c r="L39" s="55"/>
      <c r="M39" s="56">
        <v>0</v>
      </c>
      <c r="N39" s="56"/>
      <c r="O39" s="56">
        <v>0</v>
      </c>
      <c r="P39" s="56"/>
      <c r="Q39" s="56">
        <v>0</v>
      </c>
      <c r="R39" s="56"/>
      <c r="S39" s="56">
        <v>0</v>
      </c>
      <c r="T39" s="56"/>
      <c r="U39" s="56">
        <v>0</v>
      </c>
      <c r="V39" s="56"/>
      <c r="W39" s="56">
        <v>0</v>
      </c>
      <c r="X39" s="56"/>
      <c r="Y39" s="56">
        <v>298200780</v>
      </c>
      <c r="Z39" s="56"/>
      <c r="AA39" s="53">
        <v>0</v>
      </c>
      <c r="AB39" s="57"/>
      <c r="AC39" s="58"/>
      <c r="AD39" s="57">
        <v>0</v>
      </c>
      <c r="AE39" s="57"/>
      <c r="AF39" s="57">
        <v>0</v>
      </c>
      <c r="AG39" s="57"/>
      <c r="AH39" s="57">
        <v>0</v>
      </c>
      <c r="AI39" s="57"/>
      <c r="AJ39" s="57">
        <v>0</v>
      </c>
      <c r="AK39" s="57"/>
      <c r="AL39" s="57">
        <v>0</v>
      </c>
      <c r="AM39" s="57"/>
      <c r="AN39" s="57">
        <v>61097126</v>
      </c>
      <c r="AO39" s="57"/>
      <c r="AP39" s="57">
        <v>0</v>
      </c>
      <c r="AQ39" s="48"/>
      <c r="AR39" s="59"/>
      <c r="AS39" s="60"/>
      <c r="AT39" s="60"/>
      <c r="AU39" s="60"/>
      <c r="AV39" s="60"/>
      <c r="AW39" s="60"/>
      <c r="AX39" s="60"/>
      <c r="AY39" s="60"/>
      <c r="AZ39" s="60"/>
      <c r="BA39" s="60"/>
      <c r="BB39" s="60"/>
      <c r="BC39" s="60">
        <v>0.2049</v>
      </c>
      <c r="BD39" s="60"/>
      <c r="BE39" s="60"/>
      <c r="BF39" s="48"/>
      <c r="BG39" s="48" t="s">
        <v>161</v>
      </c>
    </row>
    <row r="40" spans="1:59">
      <c r="A40" s="48" t="s">
        <v>231</v>
      </c>
      <c r="B40" s="48" t="s">
        <v>232</v>
      </c>
      <c r="C40" s="49" t="s">
        <v>233</v>
      </c>
      <c r="D40" s="50">
        <v>7006</v>
      </c>
      <c r="E40" s="51">
        <v>70006</v>
      </c>
      <c r="F40" s="49" t="s">
        <v>172</v>
      </c>
      <c r="G40" s="52">
        <v>2150706</v>
      </c>
      <c r="H40" s="53">
        <v>493</v>
      </c>
      <c r="I40" s="49" t="s">
        <v>166</v>
      </c>
      <c r="J40" s="54" t="s">
        <v>159</v>
      </c>
      <c r="K40" s="54">
        <v>50</v>
      </c>
      <c r="L40" s="55"/>
      <c r="M40" s="56">
        <v>0</v>
      </c>
      <c r="N40" s="56"/>
      <c r="O40" s="56">
        <v>0</v>
      </c>
      <c r="P40" s="56"/>
      <c r="Q40" s="56">
        <v>0</v>
      </c>
      <c r="R40" s="56"/>
      <c r="S40" s="56">
        <v>0</v>
      </c>
      <c r="T40" s="56"/>
      <c r="U40" s="56">
        <v>0</v>
      </c>
      <c r="V40" s="56"/>
      <c r="W40" s="56">
        <v>0</v>
      </c>
      <c r="X40" s="56"/>
      <c r="Y40" s="56">
        <v>36496148</v>
      </c>
      <c r="Z40" s="56"/>
      <c r="AA40" s="53">
        <v>0</v>
      </c>
      <c r="AB40" s="57"/>
      <c r="AC40" s="58"/>
      <c r="AD40" s="57">
        <v>0</v>
      </c>
      <c r="AE40" s="57"/>
      <c r="AF40" s="57">
        <v>0</v>
      </c>
      <c r="AG40" s="57"/>
      <c r="AH40" s="57">
        <v>0</v>
      </c>
      <c r="AI40" s="57"/>
      <c r="AJ40" s="57">
        <v>0</v>
      </c>
      <c r="AK40" s="57"/>
      <c r="AL40" s="57">
        <v>0</v>
      </c>
      <c r="AM40" s="57"/>
      <c r="AN40" s="57">
        <v>5934378</v>
      </c>
      <c r="AO40" s="57"/>
      <c r="AP40" s="57">
        <v>0</v>
      </c>
      <c r="AQ40" s="48"/>
      <c r="AR40" s="59"/>
      <c r="AS40" s="60"/>
      <c r="AT40" s="60"/>
      <c r="AU40" s="60"/>
      <c r="AV40" s="60"/>
      <c r="AW40" s="60"/>
      <c r="AX40" s="60"/>
      <c r="AY40" s="60"/>
      <c r="AZ40" s="60"/>
      <c r="BA40" s="60"/>
      <c r="BB40" s="60"/>
      <c r="BC40" s="60">
        <v>0.16259999999999999</v>
      </c>
      <c r="BD40" s="60"/>
      <c r="BE40" s="60"/>
      <c r="BF40" s="48"/>
      <c r="BG40" s="48" t="s">
        <v>161</v>
      </c>
    </row>
    <row r="41" spans="1:59">
      <c r="A41" s="48" t="s">
        <v>234</v>
      </c>
      <c r="B41" s="48" t="s">
        <v>235</v>
      </c>
      <c r="C41" s="49" t="s">
        <v>236</v>
      </c>
      <c r="D41" s="50">
        <v>5015</v>
      </c>
      <c r="E41" s="51">
        <v>50015</v>
      </c>
      <c r="F41" s="49" t="s">
        <v>172</v>
      </c>
      <c r="G41" s="52">
        <v>1780673</v>
      </c>
      <c r="H41" s="53">
        <v>418</v>
      </c>
      <c r="I41" s="49" t="s">
        <v>166</v>
      </c>
      <c r="J41" s="54" t="s">
        <v>159</v>
      </c>
      <c r="K41" s="54">
        <v>6</v>
      </c>
      <c r="L41" s="55"/>
      <c r="M41" s="56">
        <v>0</v>
      </c>
      <c r="N41" s="56"/>
      <c r="O41" s="56">
        <v>0</v>
      </c>
      <c r="P41" s="56"/>
      <c r="Q41" s="56">
        <v>0</v>
      </c>
      <c r="R41" s="56"/>
      <c r="S41" s="56">
        <v>0</v>
      </c>
      <c r="T41" s="56"/>
      <c r="U41" s="56">
        <v>0</v>
      </c>
      <c r="V41" s="56"/>
      <c r="W41" s="56">
        <v>0</v>
      </c>
      <c r="X41" s="56"/>
      <c r="Y41" s="56">
        <v>11321758</v>
      </c>
      <c r="Z41" s="56"/>
      <c r="AA41" s="53">
        <v>0</v>
      </c>
      <c r="AB41" s="57"/>
      <c r="AC41" s="58"/>
      <c r="AD41" s="57">
        <v>0</v>
      </c>
      <c r="AE41" s="57"/>
      <c r="AF41" s="57">
        <v>0</v>
      </c>
      <c r="AG41" s="57"/>
      <c r="AH41" s="57">
        <v>0</v>
      </c>
      <c r="AI41" s="57"/>
      <c r="AJ41" s="57">
        <v>0</v>
      </c>
      <c r="AK41" s="57"/>
      <c r="AL41" s="57">
        <v>0</v>
      </c>
      <c r="AM41" s="57"/>
      <c r="AN41" s="57">
        <v>625941</v>
      </c>
      <c r="AO41" s="57"/>
      <c r="AP41" s="57">
        <v>0</v>
      </c>
      <c r="AQ41" s="48"/>
      <c r="AR41" s="59"/>
      <c r="AS41" s="60"/>
      <c r="AT41" s="60"/>
      <c r="AU41" s="60"/>
      <c r="AV41" s="60"/>
      <c r="AW41" s="60"/>
      <c r="AX41" s="60"/>
      <c r="AY41" s="60"/>
      <c r="AZ41" s="60"/>
      <c r="BA41" s="60"/>
      <c r="BB41" s="60"/>
      <c r="BC41" s="60">
        <v>5.5300000000000002E-2</v>
      </c>
      <c r="BD41" s="60"/>
      <c r="BE41" s="60"/>
      <c r="BF41" s="48"/>
      <c r="BG41" s="48" t="s">
        <v>161</v>
      </c>
    </row>
    <row r="42" spans="1:59">
      <c r="A42" s="48" t="s">
        <v>234</v>
      </c>
      <c r="B42" s="48" t="s">
        <v>235</v>
      </c>
      <c r="C42" s="49" t="s">
        <v>236</v>
      </c>
      <c r="D42" s="50">
        <v>5015</v>
      </c>
      <c r="E42" s="51">
        <v>50015</v>
      </c>
      <c r="F42" s="49" t="s">
        <v>172</v>
      </c>
      <c r="G42" s="52">
        <v>1780673</v>
      </c>
      <c r="H42" s="53">
        <v>418</v>
      </c>
      <c r="I42" s="49" t="s">
        <v>158</v>
      </c>
      <c r="J42" s="54" t="s">
        <v>159</v>
      </c>
      <c r="K42" s="54">
        <v>16</v>
      </c>
      <c r="L42" s="55"/>
      <c r="M42" s="56">
        <v>0</v>
      </c>
      <c r="N42" s="56"/>
      <c r="O42" s="56">
        <v>0</v>
      </c>
      <c r="P42" s="56"/>
      <c r="Q42" s="56">
        <v>0</v>
      </c>
      <c r="R42" s="56"/>
      <c r="S42" s="56">
        <v>0</v>
      </c>
      <c r="T42" s="56"/>
      <c r="U42" s="56">
        <v>0</v>
      </c>
      <c r="V42" s="56"/>
      <c r="W42" s="56">
        <v>0</v>
      </c>
      <c r="X42" s="56"/>
      <c r="Y42" s="56">
        <v>20768378</v>
      </c>
      <c r="Z42" s="56"/>
      <c r="AA42" s="53">
        <v>0</v>
      </c>
      <c r="AB42" s="57"/>
      <c r="AC42" s="58"/>
      <c r="AD42" s="57">
        <v>0</v>
      </c>
      <c r="AE42" s="57"/>
      <c r="AF42" s="57">
        <v>0</v>
      </c>
      <c r="AG42" s="57"/>
      <c r="AH42" s="57">
        <v>0</v>
      </c>
      <c r="AI42" s="57"/>
      <c r="AJ42" s="57">
        <v>0</v>
      </c>
      <c r="AK42" s="57"/>
      <c r="AL42" s="57">
        <v>0</v>
      </c>
      <c r="AM42" s="57"/>
      <c r="AN42" s="57">
        <v>2295631</v>
      </c>
      <c r="AO42" s="57"/>
      <c r="AP42" s="57">
        <v>0</v>
      </c>
      <c r="AQ42" s="48"/>
      <c r="AR42" s="59"/>
      <c r="AS42" s="60"/>
      <c r="AT42" s="60"/>
      <c r="AU42" s="60"/>
      <c r="AV42" s="60"/>
      <c r="AW42" s="60"/>
      <c r="AX42" s="60"/>
      <c r="AY42" s="60"/>
      <c r="AZ42" s="60"/>
      <c r="BA42" s="60"/>
      <c r="BB42" s="60"/>
      <c r="BC42" s="60">
        <v>0.1105</v>
      </c>
      <c r="BD42" s="60"/>
      <c r="BE42" s="60"/>
      <c r="BF42" s="48"/>
      <c r="BG42" s="48" t="s">
        <v>161</v>
      </c>
    </row>
    <row r="43" spans="1:59">
      <c r="A43" s="48" t="s">
        <v>237</v>
      </c>
      <c r="B43" s="48" t="s">
        <v>238</v>
      </c>
      <c r="C43" s="49" t="s">
        <v>239</v>
      </c>
      <c r="D43" s="50">
        <v>3083</v>
      </c>
      <c r="E43" s="51">
        <v>30083</v>
      </c>
      <c r="F43" s="49" t="s">
        <v>172</v>
      </c>
      <c r="G43" s="52">
        <v>1439666</v>
      </c>
      <c r="H43" s="53">
        <v>417</v>
      </c>
      <c r="I43" s="49" t="s">
        <v>166</v>
      </c>
      <c r="J43" s="54" t="s">
        <v>159</v>
      </c>
      <c r="K43" s="54">
        <v>6</v>
      </c>
      <c r="L43" s="55"/>
      <c r="M43" s="56">
        <v>0</v>
      </c>
      <c r="N43" s="56"/>
      <c r="O43" s="56">
        <v>0</v>
      </c>
      <c r="P43" s="56"/>
      <c r="Q43" s="56">
        <v>0</v>
      </c>
      <c r="R43" s="56"/>
      <c r="S43" s="56">
        <v>0</v>
      </c>
      <c r="T43" s="56"/>
      <c r="U43" s="56">
        <v>0</v>
      </c>
      <c r="V43" s="56"/>
      <c r="W43" s="56">
        <v>0</v>
      </c>
      <c r="X43" s="56"/>
      <c r="Y43" s="56">
        <v>3318000</v>
      </c>
      <c r="Z43" s="56"/>
      <c r="AA43" s="53">
        <v>0</v>
      </c>
      <c r="AB43" s="57"/>
      <c r="AC43" s="58"/>
      <c r="AD43" s="57">
        <v>0</v>
      </c>
      <c r="AE43" s="57"/>
      <c r="AF43" s="57">
        <v>0</v>
      </c>
      <c r="AG43" s="57"/>
      <c r="AH43" s="57">
        <v>0</v>
      </c>
      <c r="AI43" s="57"/>
      <c r="AJ43" s="57">
        <v>0</v>
      </c>
      <c r="AK43" s="57"/>
      <c r="AL43" s="57">
        <v>0</v>
      </c>
      <c r="AM43" s="57"/>
      <c r="AN43" s="57">
        <v>345837</v>
      </c>
      <c r="AO43" s="57"/>
      <c r="AP43" s="57">
        <v>0</v>
      </c>
      <c r="AQ43" s="48"/>
      <c r="AR43" s="59"/>
      <c r="AS43" s="60"/>
      <c r="AT43" s="60"/>
      <c r="AU43" s="60"/>
      <c r="AV43" s="60"/>
      <c r="AW43" s="60"/>
      <c r="AX43" s="60"/>
      <c r="AY43" s="60"/>
      <c r="AZ43" s="60"/>
      <c r="BA43" s="60"/>
      <c r="BB43" s="60"/>
      <c r="BC43" s="60">
        <v>0.1042</v>
      </c>
      <c r="BD43" s="60"/>
      <c r="BE43" s="60"/>
      <c r="BF43" s="48"/>
      <c r="BG43" s="48" t="s">
        <v>161</v>
      </c>
    </row>
    <row r="44" spans="1:59">
      <c r="A44" s="48" t="s">
        <v>240</v>
      </c>
      <c r="B44" s="48" t="s">
        <v>241</v>
      </c>
      <c r="C44" s="49" t="s">
        <v>242</v>
      </c>
      <c r="D44" s="50">
        <v>4008</v>
      </c>
      <c r="E44" s="51">
        <v>40008</v>
      </c>
      <c r="F44" s="49" t="s">
        <v>198</v>
      </c>
      <c r="G44" s="52">
        <v>1249442</v>
      </c>
      <c r="H44" s="53">
        <v>409</v>
      </c>
      <c r="I44" s="49" t="s">
        <v>166</v>
      </c>
      <c r="J44" s="54" t="s">
        <v>159</v>
      </c>
      <c r="K44" s="54">
        <v>36</v>
      </c>
      <c r="L44" s="55"/>
      <c r="M44" s="56">
        <v>0</v>
      </c>
      <c r="N44" s="56"/>
      <c r="O44" s="56">
        <v>0</v>
      </c>
      <c r="P44" s="56"/>
      <c r="Q44" s="56">
        <v>0</v>
      </c>
      <c r="R44" s="56"/>
      <c r="S44" s="56">
        <v>0</v>
      </c>
      <c r="T44" s="56"/>
      <c r="U44" s="56">
        <v>0</v>
      </c>
      <c r="V44" s="56"/>
      <c r="W44" s="56">
        <v>0</v>
      </c>
      <c r="X44" s="56"/>
      <c r="Y44" s="56">
        <v>16786660</v>
      </c>
      <c r="Z44" s="56"/>
      <c r="AA44" s="53">
        <v>0</v>
      </c>
      <c r="AB44" s="57"/>
      <c r="AC44" s="58"/>
      <c r="AD44" s="57">
        <v>0</v>
      </c>
      <c r="AE44" s="57"/>
      <c r="AF44" s="57">
        <v>0</v>
      </c>
      <c r="AG44" s="57"/>
      <c r="AH44" s="57">
        <v>0</v>
      </c>
      <c r="AI44" s="57"/>
      <c r="AJ44" s="57">
        <v>0</v>
      </c>
      <c r="AK44" s="57"/>
      <c r="AL44" s="57">
        <v>0</v>
      </c>
      <c r="AM44" s="57"/>
      <c r="AN44" s="57">
        <v>2267804</v>
      </c>
      <c r="AO44" s="57"/>
      <c r="AP44" s="57">
        <v>0</v>
      </c>
      <c r="AQ44" s="48"/>
      <c r="AR44" s="59"/>
      <c r="AS44" s="60"/>
      <c r="AT44" s="60"/>
      <c r="AU44" s="60"/>
      <c r="AV44" s="60"/>
      <c r="AW44" s="60"/>
      <c r="AX44" s="60"/>
      <c r="AY44" s="60"/>
      <c r="AZ44" s="60"/>
      <c r="BA44" s="60"/>
      <c r="BB44" s="60"/>
      <c r="BC44" s="60">
        <v>0.1351</v>
      </c>
      <c r="BD44" s="60"/>
      <c r="BE44" s="60"/>
      <c r="BF44" s="48"/>
      <c r="BG44" s="48" t="s">
        <v>161</v>
      </c>
    </row>
    <row r="45" spans="1:59">
      <c r="A45" s="48" t="s">
        <v>243</v>
      </c>
      <c r="B45" s="48" t="s">
        <v>244</v>
      </c>
      <c r="C45" s="49" t="s">
        <v>245</v>
      </c>
      <c r="D45" s="50">
        <v>40</v>
      </c>
      <c r="E45" s="51">
        <v>40</v>
      </c>
      <c r="F45" s="49" t="s">
        <v>172</v>
      </c>
      <c r="G45" s="52">
        <v>3059393</v>
      </c>
      <c r="H45" s="53">
        <v>381</v>
      </c>
      <c r="I45" s="49" t="s">
        <v>168</v>
      </c>
      <c r="J45" s="54" t="s">
        <v>167</v>
      </c>
      <c r="K45" s="54">
        <v>70</v>
      </c>
      <c r="L45" s="55"/>
      <c r="M45" s="56">
        <v>625305</v>
      </c>
      <c r="N45" s="56"/>
      <c r="O45" s="56">
        <v>0</v>
      </c>
      <c r="P45" s="56"/>
      <c r="Q45" s="56">
        <v>0</v>
      </c>
      <c r="R45" s="56"/>
      <c r="S45" s="56">
        <v>0</v>
      </c>
      <c r="T45" s="56"/>
      <c r="U45" s="56">
        <v>0</v>
      </c>
      <c r="V45" s="56"/>
      <c r="W45" s="56">
        <v>0</v>
      </c>
      <c r="X45" s="56"/>
      <c r="Y45" s="56">
        <v>0</v>
      </c>
      <c r="Z45" s="56"/>
      <c r="AA45" s="53">
        <v>0</v>
      </c>
      <c r="AB45" s="57"/>
      <c r="AC45" s="58"/>
      <c r="AD45" s="57">
        <v>335545</v>
      </c>
      <c r="AE45" s="57"/>
      <c r="AF45" s="57">
        <v>0</v>
      </c>
      <c r="AG45" s="57"/>
      <c r="AH45" s="57">
        <v>0</v>
      </c>
      <c r="AI45" s="57"/>
      <c r="AJ45" s="57">
        <v>0</v>
      </c>
      <c r="AK45" s="57"/>
      <c r="AL45" s="57">
        <v>0</v>
      </c>
      <c r="AM45" s="57"/>
      <c r="AN45" s="57">
        <v>0</v>
      </c>
      <c r="AO45" s="57"/>
      <c r="AP45" s="57">
        <v>0</v>
      </c>
      <c r="AQ45" s="48"/>
      <c r="AR45" s="59"/>
      <c r="AS45" s="60">
        <v>0.53659999999999997</v>
      </c>
      <c r="AT45" s="60"/>
      <c r="AU45" s="60"/>
      <c r="AV45" s="60"/>
      <c r="AW45" s="60"/>
      <c r="AX45" s="60"/>
      <c r="AY45" s="60"/>
      <c r="AZ45" s="60"/>
      <c r="BA45" s="60"/>
      <c r="BB45" s="60"/>
      <c r="BC45" s="60"/>
      <c r="BD45" s="60"/>
      <c r="BE45" s="60"/>
      <c r="BF45" s="48"/>
      <c r="BG45" s="48" t="s">
        <v>161</v>
      </c>
    </row>
    <row r="46" spans="1:59">
      <c r="A46" s="48" t="s">
        <v>243</v>
      </c>
      <c r="B46" s="48" t="s">
        <v>244</v>
      </c>
      <c r="C46" s="49" t="s">
        <v>245</v>
      </c>
      <c r="D46" s="50">
        <v>40</v>
      </c>
      <c r="E46" s="51">
        <v>40</v>
      </c>
      <c r="F46" s="49" t="s">
        <v>172</v>
      </c>
      <c r="G46" s="52">
        <v>3059393</v>
      </c>
      <c r="H46" s="53">
        <v>381</v>
      </c>
      <c r="I46" s="49" t="s">
        <v>166</v>
      </c>
      <c r="J46" s="54" t="s">
        <v>159</v>
      </c>
      <c r="K46" s="54">
        <v>48</v>
      </c>
      <c r="L46" s="55"/>
      <c r="M46" s="56">
        <v>0</v>
      </c>
      <c r="N46" s="56"/>
      <c r="O46" s="56">
        <v>0</v>
      </c>
      <c r="P46" s="56"/>
      <c r="Q46" s="56">
        <v>0</v>
      </c>
      <c r="R46" s="56"/>
      <c r="S46" s="56">
        <v>0</v>
      </c>
      <c r="T46" s="56"/>
      <c r="U46" s="56">
        <v>0</v>
      </c>
      <c r="V46" s="56"/>
      <c r="W46" s="56">
        <v>0</v>
      </c>
      <c r="X46" s="56"/>
      <c r="Y46" s="56">
        <v>20355203</v>
      </c>
      <c r="Z46" s="56"/>
      <c r="AA46" s="53">
        <v>0</v>
      </c>
      <c r="AB46" s="57"/>
      <c r="AC46" s="58"/>
      <c r="AD46" s="57">
        <v>0</v>
      </c>
      <c r="AE46" s="57"/>
      <c r="AF46" s="57">
        <v>0</v>
      </c>
      <c r="AG46" s="57"/>
      <c r="AH46" s="57">
        <v>0</v>
      </c>
      <c r="AI46" s="57"/>
      <c r="AJ46" s="57">
        <v>0</v>
      </c>
      <c r="AK46" s="57"/>
      <c r="AL46" s="57">
        <v>0</v>
      </c>
      <c r="AM46" s="57"/>
      <c r="AN46" s="57">
        <v>4232555</v>
      </c>
      <c r="AO46" s="57"/>
      <c r="AP46" s="57">
        <v>0</v>
      </c>
      <c r="AQ46" s="48"/>
      <c r="AR46" s="59"/>
      <c r="AS46" s="60"/>
      <c r="AT46" s="60"/>
      <c r="AU46" s="60"/>
      <c r="AV46" s="60"/>
      <c r="AW46" s="60"/>
      <c r="AX46" s="60"/>
      <c r="AY46" s="60"/>
      <c r="AZ46" s="60"/>
      <c r="BA46" s="60"/>
      <c r="BB46" s="60"/>
      <c r="BC46" s="60">
        <v>0.2079</v>
      </c>
      <c r="BD46" s="60"/>
      <c r="BE46" s="60"/>
      <c r="BF46" s="48"/>
      <c r="BG46" s="48" t="s">
        <v>161</v>
      </c>
    </row>
    <row r="47" spans="1:59">
      <c r="A47" s="48" t="s">
        <v>246</v>
      </c>
      <c r="B47" s="48" t="s">
        <v>247</v>
      </c>
      <c r="C47" s="49" t="s">
        <v>155</v>
      </c>
      <c r="D47" s="50">
        <v>2004</v>
      </c>
      <c r="E47" s="51">
        <v>20004</v>
      </c>
      <c r="F47" s="49" t="s">
        <v>172</v>
      </c>
      <c r="G47" s="52">
        <v>935906</v>
      </c>
      <c r="H47" s="53">
        <v>359</v>
      </c>
      <c r="I47" s="49" t="s">
        <v>166</v>
      </c>
      <c r="J47" s="54" t="s">
        <v>159</v>
      </c>
      <c r="K47" s="54">
        <v>23</v>
      </c>
      <c r="L47" s="55"/>
      <c r="M47" s="56">
        <v>0</v>
      </c>
      <c r="N47" s="56"/>
      <c r="O47" s="56">
        <v>0</v>
      </c>
      <c r="P47" s="56"/>
      <c r="Q47" s="56">
        <v>0</v>
      </c>
      <c r="R47" s="56"/>
      <c r="S47" s="56">
        <v>0</v>
      </c>
      <c r="T47" s="56"/>
      <c r="U47" s="56">
        <v>0</v>
      </c>
      <c r="V47" s="56"/>
      <c r="W47" s="56">
        <v>0</v>
      </c>
      <c r="X47" s="56"/>
      <c r="Y47" s="56">
        <v>7920559</v>
      </c>
      <c r="Z47" s="56"/>
      <c r="AA47" s="53">
        <v>0</v>
      </c>
      <c r="AB47" s="57"/>
      <c r="AC47" s="58"/>
      <c r="AD47" s="57">
        <v>0</v>
      </c>
      <c r="AE47" s="57"/>
      <c r="AF47" s="57">
        <v>0</v>
      </c>
      <c r="AG47" s="57"/>
      <c r="AH47" s="57">
        <v>0</v>
      </c>
      <c r="AI47" s="57"/>
      <c r="AJ47" s="57">
        <v>0</v>
      </c>
      <c r="AK47" s="57"/>
      <c r="AL47" s="57">
        <v>0</v>
      </c>
      <c r="AM47" s="57"/>
      <c r="AN47" s="57">
        <v>990450</v>
      </c>
      <c r="AO47" s="57"/>
      <c r="AP47" s="57">
        <v>0</v>
      </c>
      <c r="AQ47" s="48"/>
      <c r="AR47" s="59"/>
      <c r="AS47" s="60"/>
      <c r="AT47" s="60"/>
      <c r="AU47" s="60"/>
      <c r="AV47" s="60"/>
      <c r="AW47" s="60"/>
      <c r="AX47" s="60"/>
      <c r="AY47" s="60"/>
      <c r="AZ47" s="60"/>
      <c r="BA47" s="60"/>
      <c r="BB47" s="60"/>
      <c r="BC47" s="60">
        <v>0.125</v>
      </c>
      <c r="BD47" s="60"/>
      <c r="BE47" s="60"/>
      <c r="BF47" s="48"/>
      <c r="BG47" s="48" t="s">
        <v>161</v>
      </c>
    </row>
    <row r="48" spans="1:59">
      <c r="A48" s="48" t="s">
        <v>248</v>
      </c>
      <c r="B48" s="48" t="s">
        <v>249</v>
      </c>
      <c r="C48" s="49" t="s">
        <v>171</v>
      </c>
      <c r="D48" s="50">
        <v>9019</v>
      </c>
      <c r="E48" s="51">
        <v>90019</v>
      </c>
      <c r="F48" s="49" t="s">
        <v>172</v>
      </c>
      <c r="G48" s="52">
        <v>1723634</v>
      </c>
      <c r="H48" s="53">
        <v>331</v>
      </c>
      <c r="I48" s="49" t="s">
        <v>166</v>
      </c>
      <c r="J48" s="54" t="s">
        <v>159</v>
      </c>
      <c r="K48" s="54">
        <v>69</v>
      </c>
      <c r="L48" s="55"/>
      <c r="M48" s="56">
        <v>0</v>
      </c>
      <c r="N48" s="56"/>
      <c r="O48" s="56">
        <v>0</v>
      </c>
      <c r="P48" s="56"/>
      <c r="Q48" s="56">
        <v>0</v>
      </c>
      <c r="R48" s="56"/>
      <c r="S48" s="56">
        <v>0</v>
      </c>
      <c r="T48" s="56"/>
      <c r="U48" s="56">
        <v>0</v>
      </c>
      <c r="V48" s="56"/>
      <c r="W48" s="56">
        <v>0</v>
      </c>
      <c r="X48" s="56"/>
      <c r="Y48" s="56">
        <v>30089655</v>
      </c>
      <c r="Z48" s="56"/>
      <c r="AA48" s="53">
        <v>0</v>
      </c>
      <c r="AB48" s="57"/>
      <c r="AC48" s="58"/>
      <c r="AD48" s="57">
        <v>0</v>
      </c>
      <c r="AE48" s="57"/>
      <c r="AF48" s="57">
        <v>0</v>
      </c>
      <c r="AG48" s="57"/>
      <c r="AH48" s="57">
        <v>0</v>
      </c>
      <c r="AI48" s="57"/>
      <c r="AJ48" s="57">
        <v>0</v>
      </c>
      <c r="AK48" s="57"/>
      <c r="AL48" s="57">
        <v>0</v>
      </c>
      <c r="AM48" s="57"/>
      <c r="AN48" s="57">
        <v>3768892</v>
      </c>
      <c r="AO48" s="57"/>
      <c r="AP48" s="57">
        <v>0</v>
      </c>
      <c r="AQ48" s="48"/>
      <c r="AR48" s="59"/>
      <c r="AS48" s="60"/>
      <c r="AT48" s="60"/>
      <c r="AU48" s="60"/>
      <c r="AV48" s="60"/>
      <c r="AW48" s="60"/>
      <c r="AX48" s="60"/>
      <c r="AY48" s="60"/>
      <c r="AZ48" s="60"/>
      <c r="BA48" s="60"/>
      <c r="BB48" s="60"/>
      <c r="BC48" s="60">
        <v>0.12529999999999999</v>
      </c>
      <c r="BD48" s="60"/>
      <c r="BE48" s="60"/>
      <c r="BF48" s="48"/>
      <c r="BG48" s="48" t="s">
        <v>161</v>
      </c>
    </row>
    <row r="49" spans="1:59">
      <c r="A49" s="48" t="s">
        <v>250</v>
      </c>
      <c r="B49" s="48" t="s">
        <v>251</v>
      </c>
      <c r="C49" s="49" t="s">
        <v>190</v>
      </c>
      <c r="D49" s="50">
        <v>6007</v>
      </c>
      <c r="E49" s="51">
        <v>60007</v>
      </c>
      <c r="F49" s="49" t="s">
        <v>172</v>
      </c>
      <c r="G49" s="52">
        <v>5121892</v>
      </c>
      <c r="H49" s="53">
        <v>312</v>
      </c>
      <c r="I49" s="49" t="s">
        <v>168</v>
      </c>
      <c r="J49" s="54" t="s">
        <v>167</v>
      </c>
      <c r="K49" s="54">
        <v>20</v>
      </c>
      <c r="L49" s="55"/>
      <c r="M49" s="56">
        <v>442412</v>
      </c>
      <c r="N49" s="56"/>
      <c r="O49" s="56">
        <v>0</v>
      </c>
      <c r="P49" s="56"/>
      <c r="Q49" s="56">
        <v>0</v>
      </c>
      <c r="R49" s="56"/>
      <c r="S49" s="56">
        <v>0</v>
      </c>
      <c r="T49" s="56"/>
      <c r="U49" s="56">
        <v>0</v>
      </c>
      <c r="V49" s="56"/>
      <c r="W49" s="56">
        <v>0</v>
      </c>
      <c r="X49" s="56"/>
      <c r="Y49" s="56">
        <v>0</v>
      </c>
      <c r="Z49" s="56"/>
      <c r="AA49" s="53">
        <v>0</v>
      </c>
      <c r="AB49" s="57"/>
      <c r="AC49" s="58"/>
      <c r="AD49" s="57">
        <v>2349673</v>
      </c>
      <c r="AE49" s="57"/>
      <c r="AF49" s="57">
        <v>0</v>
      </c>
      <c r="AG49" s="57"/>
      <c r="AH49" s="57">
        <v>0</v>
      </c>
      <c r="AI49" s="57"/>
      <c r="AJ49" s="57">
        <v>0</v>
      </c>
      <c r="AK49" s="57"/>
      <c r="AL49" s="57">
        <v>0</v>
      </c>
      <c r="AM49" s="57"/>
      <c r="AN49" s="57">
        <v>0</v>
      </c>
      <c r="AO49" s="57"/>
      <c r="AP49" s="57">
        <v>0</v>
      </c>
      <c r="AQ49" s="48"/>
      <c r="AR49" s="59"/>
      <c r="AS49" s="60">
        <v>5.3110999999999997</v>
      </c>
      <c r="AT49" s="60"/>
      <c r="AU49" s="60"/>
      <c r="AV49" s="60"/>
      <c r="AW49" s="60"/>
      <c r="AX49" s="60"/>
      <c r="AY49" s="60"/>
      <c r="AZ49" s="60"/>
      <c r="BA49" s="60"/>
      <c r="BB49" s="60"/>
      <c r="BC49" s="60"/>
      <c r="BD49" s="60"/>
      <c r="BE49" s="60"/>
      <c r="BF49" s="48"/>
      <c r="BG49" s="48" t="s">
        <v>161</v>
      </c>
    </row>
    <row r="50" spans="1:59">
      <c r="A50" s="48" t="s">
        <v>252</v>
      </c>
      <c r="B50" s="48" t="s">
        <v>203</v>
      </c>
      <c r="C50" s="49" t="s">
        <v>164</v>
      </c>
      <c r="D50" s="50">
        <v>2098</v>
      </c>
      <c r="E50" s="51">
        <v>20098</v>
      </c>
      <c r="F50" s="49" t="s">
        <v>172</v>
      </c>
      <c r="G50" s="52">
        <v>18351295</v>
      </c>
      <c r="H50" s="53">
        <v>310</v>
      </c>
      <c r="I50" s="49" t="s">
        <v>158</v>
      </c>
      <c r="J50" s="54" t="s">
        <v>159</v>
      </c>
      <c r="K50" s="54">
        <v>304</v>
      </c>
      <c r="L50" s="55"/>
      <c r="M50" s="56">
        <v>0</v>
      </c>
      <c r="N50" s="56"/>
      <c r="O50" s="56">
        <v>0</v>
      </c>
      <c r="P50" s="56"/>
      <c r="Q50" s="56">
        <v>0</v>
      </c>
      <c r="R50" s="56"/>
      <c r="S50" s="56">
        <v>0</v>
      </c>
      <c r="T50" s="56"/>
      <c r="U50" s="56">
        <v>0</v>
      </c>
      <c r="V50" s="56"/>
      <c r="W50" s="56">
        <v>0</v>
      </c>
      <c r="X50" s="56"/>
      <c r="Y50" s="56">
        <v>93567629</v>
      </c>
      <c r="Z50" s="56"/>
      <c r="AA50" s="53">
        <v>0</v>
      </c>
      <c r="AB50" s="57"/>
      <c r="AC50" s="58"/>
      <c r="AD50" s="57">
        <v>0</v>
      </c>
      <c r="AE50" s="57"/>
      <c r="AF50" s="57">
        <v>0</v>
      </c>
      <c r="AG50" s="57"/>
      <c r="AH50" s="57">
        <v>0</v>
      </c>
      <c r="AI50" s="57"/>
      <c r="AJ50" s="57">
        <v>0</v>
      </c>
      <c r="AK50" s="57"/>
      <c r="AL50" s="57">
        <v>0</v>
      </c>
      <c r="AM50" s="57"/>
      <c r="AN50" s="57">
        <v>13256385</v>
      </c>
      <c r="AO50" s="57"/>
      <c r="AP50" s="57">
        <v>0</v>
      </c>
      <c r="AQ50" s="48"/>
      <c r="AR50" s="59"/>
      <c r="AS50" s="60"/>
      <c r="AT50" s="60"/>
      <c r="AU50" s="60"/>
      <c r="AV50" s="60"/>
      <c r="AW50" s="60"/>
      <c r="AX50" s="60"/>
      <c r="AY50" s="60"/>
      <c r="AZ50" s="60"/>
      <c r="BA50" s="60"/>
      <c r="BB50" s="60"/>
      <c r="BC50" s="60">
        <v>0.14169999999999999</v>
      </c>
      <c r="BD50" s="60"/>
      <c r="BE50" s="60"/>
      <c r="BF50" s="48"/>
      <c r="BG50" s="48" t="s">
        <v>161</v>
      </c>
    </row>
    <row r="51" spans="1:59">
      <c r="A51" s="48" t="s">
        <v>253</v>
      </c>
      <c r="B51" s="48" t="s">
        <v>254</v>
      </c>
      <c r="C51" s="49" t="s">
        <v>171</v>
      </c>
      <c r="D51" s="50">
        <v>9030</v>
      </c>
      <c r="E51" s="51">
        <v>90030</v>
      </c>
      <c r="F51" s="49" t="s">
        <v>172</v>
      </c>
      <c r="G51" s="52">
        <v>2956746</v>
      </c>
      <c r="H51" s="53">
        <v>205</v>
      </c>
      <c r="I51" s="49" t="s">
        <v>168</v>
      </c>
      <c r="J51" s="54" t="s">
        <v>167</v>
      </c>
      <c r="K51" s="54">
        <v>24</v>
      </c>
      <c r="L51" s="55"/>
      <c r="M51" s="56">
        <v>766773</v>
      </c>
      <c r="N51" s="56"/>
      <c r="O51" s="56">
        <v>0</v>
      </c>
      <c r="P51" s="56"/>
      <c r="Q51" s="56">
        <v>0</v>
      </c>
      <c r="R51" s="56"/>
      <c r="S51" s="56">
        <v>0</v>
      </c>
      <c r="T51" s="56"/>
      <c r="U51" s="56">
        <v>0</v>
      </c>
      <c r="V51" s="56"/>
      <c r="W51" s="56">
        <v>0</v>
      </c>
      <c r="X51" s="56"/>
      <c r="Y51" s="56">
        <v>0</v>
      </c>
      <c r="Z51" s="56"/>
      <c r="AA51" s="53">
        <v>0</v>
      </c>
      <c r="AB51" s="57"/>
      <c r="AC51" s="58"/>
      <c r="AD51" s="57">
        <v>253519</v>
      </c>
      <c r="AE51" s="57"/>
      <c r="AF51" s="57">
        <v>0</v>
      </c>
      <c r="AG51" s="57"/>
      <c r="AH51" s="57">
        <v>0</v>
      </c>
      <c r="AI51" s="57"/>
      <c r="AJ51" s="57">
        <v>0</v>
      </c>
      <c r="AK51" s="57"/>
      <c r="AL51" s="57">
        <v>0</v>
      </c>
      <c r="AM51" s="57"/>
      <c r="AN51" s="57">
        <v>0</v>
      </c>
      <c r="AO51" s="57"/>
      <c r="AP51" s="57">
        <v>0</v>
      </c>
      <c r="AQ51" s="48"/>
      <c r="AR51" s="59"/>
      <c r="AS51" s="60">
        <v>0.3306</v>
      </c>
      <c r="AT51" s="60"/>
      <c r="AU51" s="60"/>
      <c r="AV51" s="60"/>
      <c r="AW51" s="60"/>
      <c r="AX51" s="60"/>
      <c r="AY51" s="60"/>
      <c r="AZ51" s="60"/>
      <c r="BA51" s="60"/>
      <c r="BB51" s="60"/>
      <c r="BC51" s="60"/>
      <c r="BD51" s="60"/>
      <c r="BE51" s="60"/>
      <c r="BF51" s="48"/>
      <c r="BG51" s="48" t="s">
        <v>161</v>
      </c>
    </row>
    <row r="52" spans="1:59">
      <c r="A52" s="48" t="s">
        <v>255</v>
      </c>
      <c r="B52" s="48" t="s">
        <v>170</v>
      </c>
      <c r="C52" s="49" t="s">
        <v>171</v>
      </c>
      <c r="D52" s="50">
        <v>9151</v>
      </c>
      <c r="E52" s="51">
        <v>90151</v>
      </c>
      <c r="F52" s="49" t="s">
        <v>172</v>
      </c>
      <c r="G52" s="52">
        <v>12150996</v>
      </c>
      <c r="H52" s="53">
        <v>195</v>
      </c>
      <c r="I52" s="49" t="s">
        <v>168</v>
      </c>
      <c r="J52" s="54" t="s">
        <v>167</v>
      </c>
      <c r="K52" s="54">
        <v>195</v>
      </c>
      <c r="L52" s="55"/>
      <c r="M52" s="56">
        <v>8293151</v>
      </c>
      <c r="N52" s="56"/>
      <c r="O52" s="56">
        <v>0</v>
      </c>
      <c r="P52" s="56"/>
      <c r="Q52" s="56">
        <v>0</v>
      </c>
      <c r="R52" s="56"/>
      <c r="S52" s="56">
        <v>0</v>
      </c>
      <c r="T52" s="56"/>
      <c r="U52" s="56">
        <v>0</v>
      </c>
      <c r="V52" s="56"/>
      <c r="W52" s="56">
        <v>0</v>
      </c>
      <c r="X52" s="56"/>
      <c r="Y52" s="56">
        <v>0</v>
      </c>
      <c r="Z52" s="56"/>
      <c r="AA52" s="53">
        <v>0</v>
      </c>
      <c r="AB52" s="57"/>
      <c r="AC52" s="58"/>
      <c r="AD52" s="57">
        <v>2539026</v>
      </c>
      <c r="AE52" s="57"/>
      <c r="AF52" s="57">
        <v>0</v>
      </c>
      <c r="AG52" s="57"/>
      <c r="AH52" s="57">
        <v>0</v>
      </c>
      <c r="AI52" s="57"/>
      <c r="AJ52" s="57">
        <v>0</v>
      </c>
      <c r="AK52" s="57"/>
      <c r="AL52" s="57">
        <v>0</v>
      </c>
      <c r="AM52" s="57"/>
      <c r="AN52" s="57">
        <v>0</v>
      </c>
      <c r="AO52" s="57"/>
      <c r="AP52" s="57">
        <v>0</v>
      </c>
      <c r="AQ52" s="48"/>
      <c r="AR52" s="59"/>
      <c r="AS52" s="60">
        <v>0.30620000000000003</v>
      </c>
      <c r="AT52" s="60"/>
      <c r="AU52" s="60"/>
      <c r="AV52" s="60"/>
      <c r="AW52" s="60"/>
      <c r="AX52" s="60"/>
      <c r="AY52" s="60"/>
      <c r="AZ52" s="60"/>
      <c r="BA52" s="60"/>
      <c r="BB52" s="60"/>
      <c r="BC52" s="60"/>
      <c r="BD52" s="60"/>
      <c r="BE52" s="60"/>
      <c r="BF52" s="48"/>
      <c r="BG52" s="48" t="s">
        <v>161</v>
      </c>
    </row>
    <row r="53" spans="1:59">
      <c r="A53" s="48" t="s">
        <v>256</v>
      </c>
      <c r="B53" s="48" t="s">
        <v>257</v>
      </c>
      <c r="C53" s="49" t="s">
        <v>171</v>
      </c>
      <c r="D53" s="50">
        <v>9134</v>
      </c>
      <c r="E53" s="51">
        <v>90134</v>
      </c>
      <c r="F53" s="49" t="s">
        <v>172</v>
      </c>
      <c r="G53" s="52">
        <v>3281212</v>
      </c>
      <c r="H53" s="53">
        <v>141</v>
      </c>
      <c r="I53" s="49" t="s">
        <v>168</v>
      </c>
      <c r="J53" s="54" t="s">
        <v>167</v>
      </c>
      <c r="K53" s="54">
        <v>111</v>
      </c>
      <c r="L53" s="55"/>
      <c r="M53" s="56">
        <v>3805923</v>
      </c>
      <c r="N53" s="56"/>
      <c r="O53" s="56">
        <v>0</v>
      </c>
      <c r="P53" s="56"/>
      <c r="Q53" s="56">
        <v>0</v>
      </c>
      <c r="R53" s="56"/>
      <c r="S53" s="56">
        <v>0</v>
      </c>
      <c r="T53" s="56"/>
      <c r="U53" s="56">
        <v>0</v>
      </c>
      <c r="V53" s="56"/>
      <c r="W53" s="56">
        <v>0</v>
      </c>
      <c r="X53" s="56"/>
      <c r="Y53" s="56">
        <v>0</v>
      </c>
      <c r="Z53" s="56"/>
      <c r="AA53" s="53">
        <v>0</v>
      </c>
      <c r="AB53" s="57"/>
      <c r="AC53" s="58"/>
      <c r="AD53" s="57">
        <v>1179829</v>
      </c>
      <c r="AE53" s="57"/>
      <c r="AF53" s="57">
        <v>0</v>
      </c>
      <c r="AG53" s="57"/>
      <c r="AH53" s="57">
        <v>0</v>
      </c>
      <c r="AI53" s="57"/>
      <c r="AJ53" s="57">
        <v>0</v>
      </c>
      <c r="AK53" s="57"/>
      <c r="AL53" s="57">
        <v>0</v>
      </c>
      <c r="AM53" s="57"/>
      <c r="AN53" s="57">
        <v>0</v>
      </c>
      <c r="AO53" s="57"/>
      <c r="AP53" s="57">
        <v>0</v>
      </c>
      <c r="AQ53" s="48"/>
      <c r="AR53" s="59"/>
      <c r="AS53" s="60">
        <v>0.31</v>
      </c>
      <c r="AT53" s="60"/>
      <c r="AU53" s="60"/>
      <c r="AV53" s="60"/>
      <c r="AW53" s="60"/>
      <c r="AX53" s="60"/>
      <c r="AY53" s="60"/>
      <c r="AZ53" s="60"/>
      <c r="BA53" s="60"/>
      <c r="BB53" s="60"/>
      <c r="BC53" s="60"/>
      <c r="BD53" s="60"/>
      <c r="BE53" s="60"/>
      <c r="BF53" s="48"/>
      <c r="BG53" s="48" t="s">
        <v>161</v>
      </c>
    </row>
    <row r="54" spans="1:59">
      <c r="A54" s="48" t="s">
        <v>258</v>
      </c>
      <c r="B54" s="48" t="s">
        <v>259</v>
      </c>
      <c r="C54" s="49" t="s">
        <v>239</v>
      </c>
      <c r="D54" s="50">
        <v>3073</v>
      </c>
      <c r="E54" s="51">
        <v>30073</v>
      </c>
      <c r="F54" s="49" t="s">
        <v>172</v>
      </c>
      <c r="G54" s="52">
        <v>4586770</v>
      </c>
      <c r="H54" s="53">
        <v>99</v>
      </c>
      <c r="I54" s="49" t="s">
        <v>168</v>
      </c>
      <c r="J54" s="54" t="s">
        <v>167</v>
      </c>
      <c r="K54" s="54">
        <v>99</v>
      </c>
      <c r="L54" s="55"/>
      <c r="M54" s="56">
        <v>1430638</v>
      </c>
      <c r="N54" s="56"/>
      <c r="O54" s="56">
        <v>0</v>
      </c>
      <c r="P54" s="56"/>
      <c r="Q54" s="56">
        <v>0</v>
      </c>
      <c r="R54" s="56"/>
      <c r="S54" s="56">
        <v>0</v>
      </c>
      <c r="T54" s="56"/>
      <c r="U54" s="56">
        <v>0</v>
      </c>
      <c r="V54" s="56"/>
      <c r="W54" s="56">
        <v>0</v>
      </c>
      <c r="X54" s="56"/>
      <c r="Y54" s="56">
        <v>0</v>
      </c>
      <c r="Z54" s="56"/>
      <c r="AA54" s="53">
        <v>0</v>
      </c>
      <c r="AB54" s="57"/>
      <c r="AC54" s="58"/>
      <c r="AD54" s="57">
        <v>333956</v>
      </c>
      <c r="AE54" s="57"/>
      <c r="AF54" s="57">
        <v>0</v>
      </c>
      <c r="AG54" s="57"/>
      <c r="AH54" s="57">
        <v>0</v>
      </c>
      <c r="AI54" s="57"/>
      <c r="AJ54" s="57">
        <v>0</v>
      </c>
      <c r="AK54" s="57"/>
      <c r="AL54" s="57">
        <v>0</v>
      </c>
      <c r="AM54" s="57"/>
      <c r="AN54" s="57">
        <v>0</v>
      </c>
      <c r="AO54" s="57"/>
      <c r="AP54" s="57">
        <v>0</v>
      </c>
      <c r="AQ54" s="48"/>
      <c r="AR54" s="59"/>
      <c r="AS54" s="60">
        <v>0.2334</v>
      </c>
      <c r="AT54" s="60"/>
      <c r="AU54" s="60"/>
      <c r="AV54" s="60"/>
      <c r="AW54" s="60"/>
      <c r="AX54" s="60"/>
      <c r="AY54" s="60"/>
      <c r="AZ54" s="60"/>
      <c r="BA54" s="60"/>
      <c r="BB54" s="60"/>
      <c r="BC54" s="60"/>
      <c r="BD54" s="60"/>
      <c r="BE54" s="60"/>
      <c r="BF54" s="48"/>
      <c r="BG54" s="48" t="s">
        <v>161</v>
      </c>
    </row>
    <row r="55" spans="1:59">
      <c r="A55" s="48" t="s">
        <v>260</v>
      </c>
      <c r="B55" s="48" t="s">
        <v>261</v>
      </c>
      <c r="C55" s="49" t="s">
        <v>164</v>
      </c>
      <c r="D55" s="50">
        <v>2075</v>
      </c>
      <c r="E55" s="51">
        <v>20075</v>
      </c>
      <c r="F55" s="49" t="s">
        <v>172</v>
      </c>
      <c r="G55" s="52">
        <v>5441567</v>
      </c>
      <c r="H55" s="53">
        <v>78</v>
      </c>
      <c r="I55" s="49" t="s">
        <v>158</v>
      </c>
      <c r="J55" s="54" t="s">
        <v>159</v>
      </c>
      <c r="K55" s="54">
        <v>78</v>
      </c>
      <c r="L55" s="55"/>
      <c r="M55" s="56">
        <v>0</v>
      </c>
      <c r="N55" s="56"/>
      <c r="O55" s="56">
        <v>0</v>
      </c>
      <c r="P55" s="56"/>
      <c r="Q55" s="56">
        <v>0</v>
      </c>
      <c r="R55" s="56"/>
      <c r="S55" s="56">
        <v>0</v>
      </c>
      <c r="T55" s="56"/>
      <c r="U55" s="56">
        <v>0</v>
      </c>
      <c r="V55" s="56"/>
      <c r="W55" s="56">
        <v>0</v>
      </c>
      <c r="X55" s="56"/>
      <c r="Y55" s="56">
        <v>32179173</v>
      </c>
      <c r="Z55" s="56"/>
      <c r="AA55" s="53">
        <v>0</v>
      </c>
      <c r="AB55" s="57"/>
      <c r="AC55" s="58"/>
      <c r="AD55" s="57">
        <v>0</v>
      </c>
      <c r="AE55" s="57"/>
      <c r="AF55" s="57">
        <v>0</v>
      </c>
      <c r="AG55" s="57"/>
      <c r="AH55" s="57">
        <v>0</v>
      </c>
      <c r="AI55" s="57"/>
      <c r="AJ55" s="57">
        <v>0</v>
      </c>
      <c r="AK55" s="57"/>
      <c r="AL55" s="57">
        <v>0</v>
      </c>
      <c r="AM55" s="57"/>
      <c r="AN55" s="57">
        <v>4661254</v>
      </c>
      <c r="AO55" s="57"/>
      <c r="AP55" s="57">
        <v>0</v>
      </c>
      <c r="AQ55" s="48"/>
      <c r="AR55" s="59"/>
      <c r="AS55" s="60"/>
      <c r="AT55" s="60"/>
      <c r="AU55" s="60"/>
      <c r="AV55" s="60"/>
      <c r="AW55" s="60"/>
      <c r="AX55" s="60"/>
      <c r="AY55" s="60"/>
      <c r="AZ55" s="60"/>
      <c r="BA55" s="60"/>
      <c r="BB55" s="60"/>
      <c r="BC55" s="60">
        <v>0.1449</v>
      </c>
      <c r="BD55" s="60"/>
      <c r="BE55" s="60"/>
      <c r="BF55" s="48"/>
      <c r="BG55" s="48" t="s">
        <v>161</v>
      </c>
    </row>
    <row r="56" spans="1:59">
      <c r="A56" s="48" t="s">
        <v>262</v>
      </c>
      <c r="B56" s="48" t="s">
        <v>263</v>
      </c>
      <c r="C56" s="49" t="s">
        <v>264</v>
      </c>
      <c r="D56" s="50">
        <v>5104</v>
      </c>
      <c r="E56" s="51">
        <v>50104</v>
      </c>
      <c r="F56" s="49" t="s">
        <v>172</v>
      </c>
      <c r="G56" s="52">
        <v>8608208</v>
      </c>
      <c r="H56" s="53">
        <v>70</v>
      </c>
      <c r="I56" s="49" t="s">
        <v>168</v>
      </c>
      <c r="J56" s="54" t="s">
        <v>159</v>
      </c>
      <c r="K56" s="54">
        <v>70</v>
      </c>
      <c r="L56" s="55"/>
      <c r="M56" s="56">
        <v>0</v>
      </c>
      <c r="N56" s="56"/>
      <c r="O56" s="56">
        <v>0</v>
      </c>
      <c r="P56" s="56"/>
      <c r="Q56" s="56">
        <v>0</v>
      </c>
      <c r="R56" s="56"/>
      <c r="S56" s="56">
        <v>0</v>
      </c>
      <c r="T56" s="56"/>
      <c r="U56" s="56">
        <v>0</v>
      </c>
      <c r="V56" s="56"/>
      <c r="W56" s="56">
        <v>0</v>
      </c>
      <c r="X56" s="56"/>
      <c r="Y56" s="56">
        <v>18158000</v>
      </c>
      <c r="Z56" s="56"/>
      <c r="AA56" s="53">
        <v>0</v>
      </c>
      <c r="AB56" s="57"/>
      <c r="AC56" s="58"/>
      <c r="AD56" s="57">
        <v>0</v>
      </c>
      <c r="AE56" s="57"/>
      <c r="AF56" s="57">
        <v>0</v>
      </c>
      <c r="AG56" s="57"/>
      <c r="AH56" s="57">
        <v>0</v>
      </c>
      <c r="AI56" s="57"/>
      <c r="AJ56" s="57">
        <v>0</v>
      </c>
      <c r="AK56" s="57"/>
      <c r="AL56" s="57">
        <v>0</v>
      </c>
      <c r="AM56" s="57"/>
      <c r="AN56" s="57">
        <v>3510093</v>
      </c>
      <c r="AO56" s="57"/>
      <c r="AP56" s="57">
        <v>0</v>
      </c>
      <c r="AQ56" s="48"/>
      <c r="AR56" s="59"/>
      <c r="AS56" s="60"/>
      <c r="AT56" s="60"/>
      <c r="AU56" s="60"/>
      <c r="AV56" s="60"/>
      <c r="AW56" s="60"/>
      <c r="AX56" s="60"/>
      <c r="AY56" s="60"/>
      <c r="AZ56" s="60"/>
      <c r="BA56" s="60"/>
      <c r="BB56" s="60"/>
      <c r="BC56" s="60">
        <v>0.1933</v>
      </c>
      <c r="BD56" s="60"/>
      <c r="BE56" s="60"/>
      <c r="BF56" s="48"/>
      <c r="BG56" s="48" t="s">
        <v>161</v>
      </c>
    </row>
    <row r="57" spans="1:59">
      <c r="A57" s="48" t="s">
        <v>265</v>
      </c>
      <c r="B57" s="48" t="s">
        <v>266</v>
      </c>
      <c r="C57" s="49" t="s">
        <v>197</v>
      </c>
      <c r="D57" s="50">
        <v>4077</v>
      </c>
      <c r="E57" s="51">
        <v>40077</v>
      </c>
      <c r="F57" s="49" t="s">
        <v>172</v>
      </c>
      <c r="G57" s="52">
        <v>5502379</v>
      </c>
      <c r="H57" s="53">
        <v>65</v>
      </c>
      <c r="I57" s="49" t="s">
        <v>168</v>
      </c>
      <c r="J57" s="54" t="s">
        <v>167</v>
      </c>
      <c r="K57" s="54">
        <v>43</v>
      </c>
      <c r="L57" s="55"/>
      <c r="M57" s="56">
        <v>2838234</v>
      </c>
      <c r="N57" s="56"/>
      <c r="O57" s="56">
        <v>0</v>
      </c>
      <c r="P57" s="56"/>
      <c r="Q57" s="56">
        <v>0</v>
      </c>
      <c r="R57" s="56"/>
      <c r="S57" s="56">
        <v>0</v>
      </c>
      <c r="T57" s="56"/>
      <c r="U57" s="56">
        <v>0</v>
      </c>
      <c r="V57" s="56"/>
      <c r="W57" s="56">
        <v>0</v>
      </c>
      <c r="X57" s="56"/>
      <c r="Y57" s="56">
        <v>0</v>
      </c>
      <c r="Z57" s="56"/>
      <c r="AA57" s="53">
        <v>0</v>
      </c>
      <c r="AB57" s="57"/>
      <c r="AC57" s="58"/>
      <c r="AD57" s="57">
        <v>1018267</v>
      </c>
      <c r="AE57" s="57"/>
      <c r="AF57" s="57">
        <v>0</v>
      </c>
      <c r="AG57" s="57"/>
      <c r="AH57" s="57">
        <v>0</v>
      </c>
      <c r="AI57" s="57"/>
      <c r="AJ57" s="57">
        <v>0</v>
      </c>
      <c r="AK57" s="57"/>
      <c r="AL57" s="57">
        <v>0</v>
      </c>
      <c r="AM57" s="57"/>
      <c r="AN57" s="57">
        <v>0</v>
      </c>
      <c r="AO57" s="57"/>
      <c r="AP57" s="57">
        <v>0</v>
      </c>
      <c r="AQ57" s="48"/>
      <c r="AR57" s="59"/>
      <c r="AS57" s="60">
        <v>0.35880000000000001</v>
      </c>
      <c r="AT57" s="60"/>
      <c r="AU57" s="60"/>
      <c r="AV57" s="60"/>
      <c r="AW57" s="60"/>
      <c r="AX57" s="60"/>
      <c r="AY57" s="60"/>
      <c r="AZ57" s="60"/>
      <c r="BA57" s="60"/>
      <c r="BB57" s="60"/>
      <c r="BC57" s="60"/>
      <c r="BD57" s="60"/>
      <c r="BE57" s="60"/>
      <c r="BF57" s="48"/>
      <c r="BG57" s="48" t="s">
        <v>161</v>
      </c>
    </row>
    <row r="58" spans="1:59">
      <c r="A58" s="48" t="s">
        <v>267</v>
      </c>
      <c r="B58" s="48" t="s">
        <v>268</v>
      </c>
      <c r="C58" s="49" t="s">
        <v>269</v>
      </c>
      <c r="D58" s="50">
        <v>6111</v>
      </c>
      <c r="E58" s="51">
        <v>60111</v>
      </c>
      <c r="F58" s="49" t="s">
        <v>172</v>
      </c>
      <c r="G58" s="52">
        <v>741318</v>
      </c>
      <c r="H58" s="53">
        <v>58</v>
      </c>
      <c r="I58" s="49" t="s">
        <v>168</v>
      </c>
      <c r="J58" s="54" t="s">
        <v>167</v>
      </c>
      <c r="K58" s="54">
        <v>25</v>
      </c>
      <c r="L58" s="55"/>
      <c r="M58" s="56">
        <v>0</v>
      </c>
      <c r="N58" s="56"/>
      <c r="O58" s="56">
        <v>0</v>
      </c>
      <c r="P58" s="56"/>
      <c r="Q58" s="56">
        <v>0</v>
      </c>
      <c r="R58" s="56"/>
      <c r="S58" s="56">
        <v>0</v>
      </c>
      <c r="T58" s="56"/>
      <c r="U58" s="56">
        <v>792273</v>
      </c>
      <c r="V58" s="56"/>
      <c r="W58" s="56">
        <v>0</v>
      </c>
      <c r="X58" s="56"/>
      <c r="Y58" s="56">
        <v>0</v>
      </c>
      <c r="Z58" s="56"/>
      <c r="AA58" s="53">
        <v>0</v>
      </c>
      <c r="AB58" s="57"/>
      <c r="AC58" s="58"/>
      <c r="AD58" s="57">
        <v>350453</v>
      </c>
      <c r="AE58" s="57"/>
      <c r="AF58" s="57">
        <v>0</v>
      </c>
      <c r="AG58" s="57"/>
      <c r="AH58" s="57">
        <v>0</v>
      </c>
      <c r="AI58" s="57"/>
      <c r="AJ58" s="57">
        <v>0</v>
      </c>
      <c r="AK58" s="57"/>
      <c r="AL58" s="57">
        <v>0</v>
      </c>
      <c r="AM58" s="57"/>
      <c r="AN58" s="57">
        <v>0</v>
      </c>
      <c r="AO58" s="57"/>
      <c r="AP58" s="57">
        <v>0</v>
      </c>
      <c r="AQ58" s="48"/>
      <c r="AR58" s="59"/>
      <c r="AS58" s="60"/>
      <c r="AT58" s="60"/>
      <c r="AU58" s="60"/>
      <c r="AV58" s="60"/>
      <c r="AW58" s="60"/>
      <c r="AX58" s="60"/>
      <c r="AY58" s="60"/>
      <c r="AZ58" s="60"/>
      <c r="BA58" s="60"/>
      <c r="BB58" s="60"/>
      <c r="BC58" s="60"/>
      <c r="BD58" s="60"/>
      <c r="BE58" s="60"/>
      <c r="BF58" s="48"/>
      <c r="BG58" s="48" t="s">
        <v>161</v>
      </c>
    </row>
    <row r="59" spans="1:59">
      <c r="A59" s="48" t="s">
        <v>270</v>
      </c>
      <c r="B59" s="48" t="s">
        <v>271</v>
      </c>
      <c r="C59" s="49" t="s">
        <v>272</v>
      </c>
      <c r="D59" s="50">
        <v>4094</v>
      </c>
      <c r="E59" s="51">
        <v>40094</v>
      </c>
      <c r="F59" s="49" t="s">
        <v>194</v>
      </c>
      <c r="G59" s="52">
        <v>2148346</v>
      </c>
      <c r="H59" s="53">
        <v>54</v>
      </c>
      <c r="I59" s="49" t="s">
        <v>158</v>
      </c>
      <c r="J59" s="54" t="s">
        <v>167</v>
      </c>
      <c r="K59" s="54">
        <v>32</v>
      </c>
      <c r="L59" s="55"/>
      <c r="M59" s="56">
        <v>0</v>
      </c>
      <c r="N59" s="56"/>
      <c r="O59" s="56">
        <v>0</v>
      </c>
      <c r="P59" s="56"/>
      <c r="Q59" s="56">
        <v>0</v>
      </c>
      <c r="R59" s="56"/>
      <c r="S59" s="56">
        <v>0</v>
      </c>
      <c r="T59" s="56"/>
      <c r="U59" s="56">
        <v>0</v>
      </c>
      <c r="V59" s="56"/>
      <c r="W59" s="56">
        <v>0</v>
      </c>
      <c r="X59" s="56"/>
      <c r="Y59" s="56">
        <v>4009792</v>
      </c>
      <c r="Z59" s="56"/>
      <c r="AA59" s="53">
        <v>0</v>
      </c>
      <c r="AB59" s="57"/>
      <c r="AC59" s="58"/>
      <c r="AD59" s="57">
        <v>0</v>
      </c>
      <c r="AE59" s="57"/>
      <c r="AF59" s="57">
        <v>0</v>
      </c>
      <c r="AG59" s="57"/>
      <c r="AH59" s="57">
        <v>0</v>
      </c>
      <c r="AI59" s="57"/>
      <c r="AJ59" s="57">
        <v>0</v>
      </c>
      <c r="AK59" s="57"/>
      <c r="AL59" s="57">
        <v>0</v>
      </c>
      <c r="AM59" s="57"/>
      <c r="AN59" s="57">
        <v>1432878</v>
      </c>
      <c r="AO59" s="57"/>
      <c r="AP59" s="57">
        <v>0</v>
      </c>
      <c r="AQ59" s="48"/>
      <c r="AR59" s="59"/>
      <c r="AS59" s="60"/>
      <c r="AT59" s="60"/>
      <c r="AU59" s="60"/>
      <c r="AV59" s="60"/>
      <c r="AW59" s="60"/>
      <c r="AX59" s="60"/>
      <c r="AY59" s="60"/>
      <c r="AZ59" s="60"/>
      <c r="BA59" s="60"/>
      <c r="BB59" s="60"/>
      <c r="BC59" s="60">
        <v>0.35730000000000001</v>
      </c>
      <c r="BD59" s="60"/>
      <c r="BE59" s="60"/>
      <c r="BF59" s="48"/>
      <c r="BG59" s="48" t="s">
        <v>161</v>
      </c>
    </row>
    <row r="60" spans="1:59">
      <c r="A60" s="48" t="s">
        <v>273</v>
      </c>
      <c r="B60" s="48" t="s">
        <v>274</v>
      </c>
      <c r="C60" s="49" t="s">
        <v>275</v>
      </c>
      <c r="D60" s="50">
        <v>4159</v>
      </c>
      <c r="E60" s="51">
        <v>40159</v>
      </c>
      <c r="F60" s="49" t="s">
        <v>172</v>
      </c>
      <c r="G60" s="52">
        <v>969587</v>
      </c>
      <c r="H60" s="53">
        <v>46</v>
      </c>
      <c r="I60" s="49" t="s">
        <v>168</v>
      </c>
      <c r="J60" s="54" t="s">
        <v>167</v>
      </c>
      <c r="K60" s="54">
        <v>8</v>
      </c>
      <c r="L60" s="55"/>
      <c r="M60" s="56">
        <v>195054</v>
      </c>
      <c r="N60" s="56"/>
      <c r="O60" s="56">
        <v>0</v>
      </c>
      <c r="P60" s="56"/>
      <c r="Q60" s="56">
        <v>0</v>
      </c>
      <c r="R60" s="56"/>
      <c r="S60" s="56">
        <v>0</v>
      </c>
      <c r="T60" s="56"/>
      <c r="U60" s="56">
        <v>0</v>
      </c>
      <c r="V60" s="56"/>
      <c r="W60" s="56">
        <v>0</v>
      </c>
      <c r="X60" s="56"/>
      <c r="Y60" s="56">
        <v>0</v>
      </c>
      <c r="Z60" s="56"/>
      <c r="AA60" s="53">
        <v>0</v>
      </c>
      <c r="AB60" s="57"/>
      <c r="AC60" s="58"/>
      <c r="AD60" s="57">
        <v>71832</v>
      </c>
      <c r="AE60" s="57"/>
      <c r="AF60" s="57">
        <v>0</v>
      </c>
      <c r="AG60" s="57"/>
      <c r="AH60" s="57">
        <v>0</v>
      </c>
      <c r="AI60" s="57"/>
      <c r="AJ60" s="57">
        <v>0</v>
      </c>
      <c r="AK60" s="57"/>
      <c r="AL60" s="57">
        <v>0</v>
      </c>
      <c r="AM60" s="57"/>
      <c r="AN60" s="57">
        <v>0</v>
      </c>
      <c r="AO60" s="57"/>
      <c r="AP60" s="57">
        <v>0</v>
      </c>
      <c r="AQ60" s="48"/>
      <c r="AR60" s="59"/>
      <c r="AS60" s="60">
        <v>0.36830000000000002</v>
      </c>
      <c r="AT60" s="60"/>
      <c r="AU60" s="60"/>
      <c r="AV60" s="60"/>
      <c r="AW60" s="60"/>
      <c r="AX60" s="60"/>
      <c r="AY60" s="60"/>
      <c r="AZ60" s="60"/>
      <c r="BA60" s="60"/>
      <c r="BB60" s="60"/>
      <c r="BC60" s="60"/>
      <c r="BD60" s="60"/>
      <c r="BE60" s="60"/>
      <c r="BF60" s="48"/>
      <c r="BG60" s="48" t="s">
        <v>161</v>
      </c>
    </row>
    <row r="61" spans="1:59">
      <c r="A61" s="48" t="s">
        <v>276</v>
      </c>
      <c r="B61" s="48" t="s">
        <v>277</v>
      </c>
      <c r="C61" s="49" t="s">
        <v>155</v>
      </c>
      <c r="D61" s="50">
        <v>2099</v>
      </c>
      <c r="E61" s="51">
        <v>20099</v>
      </c>
      <c r="F61" s="49" t="s">
        <v>156</v>
      </c>
      <c r="G61" s="52">
        <v>18351295</v>
      </c>
      <c r="H61" s="53">
        <v>44</v>
      </c>
      <c r="I61" s="49" t="s">
        <v>158</v>
      </c>
      <c r="J61" s="54" t="s">
        <v>159</v>
      </c>
      <c r="K61" s="54">
        <v>44</v>
      </c>
      <c r="L61" s="55"/>
      <c r="M61" s="56">
        <v>0</v>
      </c>
      <c r="N61" s="56"/>
      <c r="O61" s="56">
        <v>0</v>
      </c>
      <c r="P61" s="56"/>
      <c r="Q61" s="56">
        <v>0</v>
      </c>
      <c r="R61" s="56"/>
      <c r="S61" s="56">
        <v>0</v>
      </c>
      <c r="T61" s="56"/>
      <c r="U61" s="56">
        <v>0</v>
      </c>
      <c r="V61" s="56"/>
      <c r="W61" s="56">
        <v>0</v>
      </c>
      <c r="X61" s="56"/>
      <c r="Y61" s="56">
        <v>27982542</v>
      </c>
      <c r="Z61" s="56"/>
      <c r="AA61" s="53">
        <v>0</v>
      </c>
      <c r="AB61" s="57"/>
      <c r="AC61" s="58"/>
      <c r="AD61" s="57">
        <v>0</v>
      </c>
      <c r="AE61" s="57"/>
      <c r="AF61" s="57">
        <v>0</v>
      </c>
      <c r="AG61" s="57"/>
      <c r="AH61" s="57">
        <v>0</v>
      </c>
      <c r="AI61" s="57"/>
      <c r="AJ61" s="57">
        <v>0</v>
      </c>
      <c r="AK61" s="57"/>
      <c r="AL61" s="57">
        <v>0</v>
      </c>
      <c r="AM61" s="57"/>
      <c r="AN61" s="57">
        <v>2267541</v>
      </c>
      <c r="AO61" s="57"/>
      <c r="AP61" s="57">
        <v>0</v>
      </c>
      <c r="AQ61" s="48"/>
      <c r="AR61" s="59"/>
      <c r="AS61" s="60"/>
      <c r="AT61" s="60"/>
      <c r="AU61" s="60"/>
      <c r="AV61" s="60"/>
      <c r="AW61" s="60"/>
      <c r="AX61" s="60"/>
      <c r="AY61" s="60"/>
      <c r="AZ61" s="60"/>
      <c r="BA61" s="60"/>
      <c r="BB61" s="60"/>
      <c r="BC61" s="60">
        <v>8.1000000000000003E-2</v>
      </c>
      <c r="BD61" s="60"/>
      <c r="BE61" s="60"/>
      <c r="BF61" s="48"/>
      <c r="BG61" s="48" t="s">
        <v>161</v>
      </c>
    </row>
    <row r="62" spans="1:59">
      <c r="A62" s="48" t="s">
        <v>278</v>
      </c>
      <c r="B62" s="48" t="s">
        <v>279</v>
      </c>
      <c r="C62" s="49" t="s">
        <v>280</v>
      </c>
      <c r="D62" s="50">
        <v>1102</v>
      </c>
      <c r="E62" s="51">
        <v>10102</v>
      </c>
      <c r="F62" s="49" t="s">
        <v>194</v>
      </c>
      <c r="G62" s="52">
        <v>924859</v>
      </c>
      <c r="H62" s="53">
        <v>43</v>
      </c>
      <c r="I62" s="49" t="s">
        <v>168</v>
      </c>
      <c r="J62" s="54" t="s">
        <v>167</v>
      </c>
      <c r="K62" s="54">
        <v>28</v>
      </c>
      <c r="L62" s="55"/>
      <c r="M62" s="56">
        <v>1678569</v>
      </c>
      <c r="N62" s="56"/>
      <c r="O62" s="56">
        <v>0</v>
      </c>
      <c r="P62" s="56"/>
      <c r="Q62" s="56">
        <v>0</v>
      </c>
      <c r="R62" s="56"/>
      <c r="S62" s="56">
        <v>0</v>
      </c>
      <c r="T62" s="56"/>
      <c r="U62" s="56">
        <v>0</v>
      </c>
      <c r="V62" s="56"/>
      <c r="W62" s="56">
        <v>0</v>
      </c>
      <c r="X62" s="56"/>
      <c r="Y62" s="56">
        <v>0</v>
      </c>
      <c r="Z62" s="56"/>
      <c r="AA62" s="53">
        <v>0</v>
      </c>
      <c r="AB62" s="57"/>
      <c r="AC62" s="58"/>
      <c r="AD62" s="57">
        <v>724004</v>
      </c>
      <c r="AE62" s="57"/>
      <c r="AF62" s="57">
        <v>0</v>
      </c>
      <c r="AG62" s="57"/>
      <c r="AH62" s="57">
        <v>0</v>
      </c>
      <c r="AI62" s="57"/>
      <c r="AJ62" s="57">
        <v>0</v>
      </c>
      <c r="AK62" s="57"/>
      <c r="AL62" s="57">
        <v>0</v>
      </c>
      <c r="AM62" s="57"/>
      <c r="AN62" s="57">
        <v>0</v>
      </c>
      <c r="AO62" s="57"/>
      <c r="AP62" s="57">
        <v>0</v>
      </c>
      <c r="AQ62" s="48"/>
      <c r="AR62" s="59"/>
      <c r="AS62" s="60">
        <v>0.43130000000000002</v>
      </c>
      <c r="AT62" s="60"/>
      <c r="AU62" s="60"/>
      <c r="AV62" s="60"/>
      <c r="AW62" s="60"/>
      <c r="AX62" s="60"/>
      <c r="AY62" s="60"/>
      <c r="AZ62" s="60"/>
      <c r="BA62" s="60"/>
      <c r="BB62" s="60"/>
      <c r="BC62" s="60"/>
      <c r="BD62" s="60"/>
      <c r="BE62" s="60"/>
      <c r="BF62" s="48"/>
      <c r="BG62" s="48" t="s">
        <v>161</v>
      </c>
    </row>
    <row r="63" spans="1:59">
      <c r="A63" s="48" t="s">
        <v>281</v>
      </c>
      <c r="B63" s="48" t="s">
        <v>282</v>
      </c>
      <c r="C63" s="49" t="s">
        <v>283</v>
      </c>
      <c r="D63" s="50">
        <v>9209</v>
      </c>
      <c r="E63" s="51">
        <v>90209</v>
      </c>
      <c r="F63" s="49" t="s">
        <v>165</v>
      </c>
      <c r="G63" s="52">
        <v>3629114</v>
      </c>
      <c r="H63" s="53">
        <v>38</v>
      </c>
      <c r="I63" s="49" t="s">
        <v>166</v>
      </c>
      <c r="J63" s="54" t="s">
        <v>167</v>
      </c>
      <c r="K63" s="54">
        <v>38</v>
      </c>
      <c r="L63" s="55"/>
      <c r="M63" s="56">
        <v>0</v>
      </c>
      <c r="N63" s="56"/>
      <c r="O63" s="56">
        <v>0</v>
      </c>
      <c r="P63" s="56"/>
      <c r="Q63" s="56">
        <v>0</v>
      </c>
      <c r="R63" s="56"/>
      <c r="S63" s="56">
        <v>0</v>
      </c>
      <c r="T63" s="56"/>
      <c r="U63" s="56">
        <v>0</v>
      </c>
      <c r="V63" s="56"/>
      <c r="W63" s="56">
        <v>0</v>
      </c>
      <c r="X63" s="56"/>
      <c r="Y63" s="56">
        <v>23474521</v>
      </c>
      <c r="Z63" s="56"/>
      <c r="AA63" s="53">
        <v>0</v>
      </c>
      <c r="AB63" s="57"/>
      <c r="AC63" s="58"/>
      <c r="AD63" s="57">
        <v>0</v>
      </c>
      <c r="AE63" s="57"/>
      <c r="AF63" s="57">
        <v>0</v>
      </c>
      <c r="AG63" s="57"/>
      <c r="AH63" s="57">
        <v>0</v>
      </c>
      <c r="AI63" s="57"/>
      <c r="AJ63" s="57">
        <v>0</v>
      </c>
      <c r="AK63" s="57"/>
      <c r="AL63" s="57">
        <v>0</v>
      </c>
      <c r="AM63" s="57"/>
      <c r="AN63" s="57">
        <v>3452467</v>
      </c>
      <c r="AO63" s="57"/>
      <c r="AP63" s="57">
        <v>0</v>
      </c>
      <c r="AQ63" s="48"/>
      <c r="AR63" s="59"/>
      <c r="AS63" s="60"/>
      <c r="AT63" s="60"/>
      <c r="AU63" s="60"/>
      <c r="AV63" s="60"/>
      <c r="AW63" s="60"/>
      <c r="AX63" s="60"/>
      <c r="AY63" s="60"/>
      <c r="AZ63" s="60"/>
      <c r="BA63" s="60"/>
      <c r="BB63" s="60"/>
      <c r="BC63" s="60">
        <v>0.14710000000000001</v>
      </c>
      <c r="BD63" s="60"/>
      <c r="BE63" s="60"/>
      <c r="BF63" s="48"/>
      <c r="BG63" s="48" t="s">
        <v>161</v>
      </c>
    </row>
    <row r="64" spans="1:59">
      <c r="A64" s="48" t="s">
        <v>284</v>
      </c>
      <c r="B64" s="48" t="s">
        <v>285</v>
      </c>
      <c r="C64" s="49" t="s">
        <v>171</v>
      </c>
      <c r="D64" s="50">
        <v>9182</v>
      </c>
      <c r="E64" s="51">
        <v>90182</v>
      </c>
      <c r="F64" s="49" t="s">
        <v>172</v>
      </c>
      <c r="G64" s="52">
        <v>370583</v>
      </c>
      <c r="H64" s="53">
        <v>35</v>
      </c>
      <c r="I64" s="49" t="s">
        <v>168</v>
      </c>
      <c r="J64" s="54" t="s">
        <v>167</v>
      </c>
      <c r="K64" s="54">
        <v>35</v>
      </c>
      <c r="L64" s="55"/>
      <c r="M64" s="56">
        <v>514210</v>
      </c>
      <c r="N64" s="56"/>
      <c r="O64" s="56">
        <v>0</v>
      </c>
      <c r="P64" s="56"/>
      <c r="Q64" s="56">
        <v>0</v>
      </c>
      <c r="R64" s="56"/>
      <c r="S64" s="56">
        <v>0</v>
      </c>
      <c r="T64" s="56"/>
      <c r="U64" s="56">
        <v>0</v>
      </c>
      <c r="V64" s="56"/>
      <c r="W64" s="56">
        <v>0</v>
      </c>
      <c r="X64" s="56"/>
      <c r="Y64" s="56">
        <v>0</v>
      </c>
      <c r="Z64" s="56"/>
      <c r="AA64" s="53">
        <v>0</v>
      </c>
      <c r="AB64" s="57"/>
      <c r="AC64" s="58"/>
      <c r="AD64" s="57">
        <v>130583</v>
      </c>
      <c r="AE64" s="57"/>
      <c r="AF64" s="57">
        <v>0</v>
      </c>
      <c r="AG64" s="57"/>
      <c r="AH64" s="57">
        <v>0</v>
      </c>
      <c r="AI64" s="57"/>
      <c r="AJ64" s="57">
        <v>0</v>
      </c>
      <c r="AK64" s="57"/>
      <c r="AL64" s="57">
        <v>0</v>
      </c>
      <c r="AM64" s="57"/>
      <c r="AN64" s="57">
        <v>0</v>
      </c>
      <c r="AO64" s="57"/>
      <c r="AP64" s="57">
        <v>0</v>
      </c>
      <c r="AQ64" s="48"/>
      <c r="AR64" s="59"/>
      <c r="AS64" s="60">
        <v>0.25390000000000001</v>
      </c>
      <c r="AT64" s="60"/>
      <c r="AU64" s="60"/>
      <c r="AV64" s="60"/>
      <c r="AW64" s="60"/>
      <c r="AX64" s="60"/>
      <c r="AY64" s="60"/>
      <c r="AZ64" s="60"/>
      <c r="BA64" s="60"/>
      <c r="BB64" s="60"/>
      <c r="BC64" s="60"/>
      <c r="BD64" s="60"/>
      <c r="BE64" s="60"/>
      <c r="BF64" s="48"/>
      <c r="BG64" s="48" t="s">
        <v>161</v>
      </c>
    </row>
    <row r="65" spans="1:59">
      <c r="A65" s="48" t="s">
        <v>286</v>
      </c>
      <c r="B65" s="48" t="s">
        <v>287</v>
      </c>
      <c r="C65" s="49" t="s">
        <v>197</v>
      </c>
      <c r="D65" s="50">
        <v>4232</v>
      </c>
      <c r="E65" s="51">
        <v>40232</v>
      </c>
      <c r="F65" s="49" t="s">
        <v>194</v>
      </c>
      <c r="G65" s="52">
        <v>1510516</v>
      </c>
      <c r="H65" s="53">
        <v>25</v>
      </c>
      <c r="I65" s="49" t="s">
        <v>168</v>
      </c>
      <c r="J65" s="54" t="s">
        <v>167</v>
      </c>
      <c r="K65" s="54">
        <v>25</v>
      </c>
      <c r="L65" s="55"/>
      <c r="M65" s="56">
        <v>810032</v>
      </c>
      <c r="N65" s="56"/>
      <c r="O65" s="56">
        <v>0</v>
      </c>
      <c r="P65" s="56"/>
      <c r="Q65" s="56">
        <v>0</v>
      </c>
      <c r="R65" s="56"/>
      <c r="S65" s="56">
        <v>0</v>
      </c>
      <c r="T65" s="56"/>
      <c r="U65" s="56">
        <v>0</v>
      </c>
      <c r="V65" s="56"/>
      <c r="W65" s="56">
        <v>0</v>
      </c>
      <c r="X65" s="56"/>
      <c r="Y65" s="56">
        <v>0</v>
      </c>
      <c r="Z65" s="56"/>
      <c r="AA65" s="53">
        <v>0</v>
      </c>
      <c r="AB65" s="57"/>
      <c r="AC65" s="58"/>
      <c r="AD65" s="57">
        <v>486222</v>
      </c>
      <c r="AE65" s="57"/>
      <c r="AF65" s="57">
        <v>0</v>
      </c>
      <c r="AG65" s="57"/>
      <c r="AH65" s="57">
        <v>0</v>
      </c>
      <c r="AI65" s="57"/>
      <c r="AJ65" s="57">
        <v>0</v>
      </c>
      <c r="AK65" s="57"/>
      <c r="AL65" s="57">
        <v>0</v>
      </c>
      <c r="AM65" s="57"/>
      <c r="AN65" s="57">
        <v>0</v>
      </c>
      <c r="AO65" s="57"/>
      <c r="AP65" s="57">
        <v>0</v>
      </c>
      <c r="AQ65" s="48"/>
      <c r="AR65" s="59"/>
      <c r="AS65" s="60">
        <v>0.60029999999999994</v>
      </c>
      <c r="AT65" s="60"/>
      <c r="AU65" s="60"/>
      <c r="AV65" s="60"/>
      <c r="AW65" s="60"/>
      <c r="AX65" s="60"/>
      <c r="AY65" s="60"/>
      <c r="AZ65" s="60"/>
      <c r="BA65" s="60"/>
      <c r="BB65" s="60"/>
      <c r="BC65" s="60"/>
      <c r="BD65" s="60"/>
      <c r="BE65" s="60"/>
      <c r="BF65" s="48"/>
      <c r="BG65" s="48" t="s">
        <v>161</v>
      </c>
    </row>
    <row r="66" spans="1:59">
      <c r="A66" s="48" t="s">
        <v>288</v>
      </c>
      <c r="B66" s="48" t="s">
        <v>215</v>
      </c>
      <c r="C66" s="49" t="s">
        <v>289</v>
      </c>
      <c r="D66" s="50">
        <v>1115</v>
      </c>
      <c r="E66" s="51">
        <v>10115</v>
      </c>
      <c r="F66" s="49" t="s">
        <v>172</v>
      </c>
      <c r="G66" s="52">
        <v>203914</v>
      </c>
      <c r="H66" s="53">
        <v>21</v>
      </c>
      <c r="I66" s="49" t="s">
        <v>168</v>
      </c>
      <c r="J66" s="54" t="s">
        <v>167</v>
      </c>
      <c r="K66" s="54">
        <v>21</v>
      </c>
      <c r="L66" s="55"/>
      <c r="M66" s="56">
        <v>628302</v>
      </c>
      <c r="N66" s="56"/>
      <c r="O66" s="56">
        <v>0</v>
      </c>
      <c r="P66" s="56"/>
      <c r="Q66" s="56">
        <v>0</v>
      </c>
      <c r="R66" s="56"/>
      <c r="S66" s="56">
        <v>0</v>
      </c>
      <c r="T66" s="56"/>
      <c r="U66" s="56">
        <v>0</v>
      </c>
      <c r="V66" s="56"/>
      <c r="W66" s="56">
        <v>0</v>
      </c>
      <c r="X66" s="56"/>
      <c r="Y66" s="56">
        <v>0</v>
      </c>
      <c r="Z66" s="56"/>
      <c r="AA66" s="53">
        <v>0</v>
      </c>
      <c r="AB66" s="57"/>
      <c r="AC66" s="58"/>
      <c r="AD66" s="57">
        <v>0</v>
      </c>
      <c r="AE66" s="57"/>
      <c r="AF66" s="57">
        <v>0</v>
      </c>
      <c r="AG66" s="57"/>
      <c r="AH66" s="57">
        <v>0</v>
      </c>
      <c r="AI66" s="57"/>
      <c r="AJ66" s="57">
        <v>0</v>
      </c>
      <c r="AK66" s="57"/>
      <c r="AL66" s="57">
        <v>0</v>
      </c>
      <c r="AM66" s="57"/>
      <c r="AN66" s="57">
        <v>0</v>
      </c>
      <c r="AO66" s="57"/>
      <c r="AP66" s="57">
        <v>0</v>
      </c>
      <c r="AQ66" s="48"/>
      <c r="AR66" s="59"/>
      <c r="AS66" s="60">
        <v>0</v>
      </c>
      <c r="AT66" s="60"/>
      <c r="AU66" s="60"/>
      <c r="AV66" s="60"/>
      <c r="AW66" s="60"/>
      <c r="AX66" s="60"/>
      <c r="AY66" s="60"/>
      <c r="AZ66" s="60"/>
      <c r="BA66" s="60"/>
      <c r="BB66" s="60"/>
      <c r="BC66" s="60"/>
      <c r="BD66" s="60"/>
      <c r="BE66" s="60"/>
      <c r="BF66" s="48"/>
      <c r="BG66" s="48" t="s">
        <v>161</v>
      </c>
    </row>
    <row r="67" spans="1:59">
      <c r="A67" s="48" t="s">
        <v>290</v>
      </c>
      <c r="B67" s="48" t="s">
        <v>291</v>
      </c>
      <c r="C67" s="49" t="s">
        <v>187</v>
      </c>
      <c r="D67" s="50">
        <v>3057</v>
      </c>
      <c r="E67" s="51">
        <v>30057</v>
      </c>
      <c r="F67" s="49" t="s">
        <v>194</v>
      </c>
      <c r="G67" s="52">
        <v>5441567</v>
      </c>
      <c r="H67" s="53">
        <v>20</v>
      </c>
      <c r="I67" s="49" t="s">
        <v>168</v>
      </c>
      <c r="J67" s="54" t="s">
        <v>167</v>
      </c>
      <c r="K67" s="54">
        <v>20</v>
      </c>
      <c r="L67" s="55"/>
      <c r="M67" s="56">
        <v>0</v>
      </c>
      <c r="N67" s="56"/>
      <c r="O67" s="56">
        <v>0</v>
      </c>
      <c r="P67" s="56"/>
      <c r="Q67" s="56">
        <v>0</v>
      </c>
      <c r="R67" s="56"/>
      <c r="S67" s="56">
        <v>0</v>
      </c>
      <c r="T67" s="56"/>
      <c r="U67" s="56">
        <v>0</v>
      </c>
      <c r="V67" s="56"/>
      <c r="W67" s="56">
        <v>0</v>
      </c>
      <c r="X67" s="56"/>
      <c r="Y67" s="56">
        <v>27325354</v>
      </c>
      <c r="Z67" s="56"/>
      <c r="AA67" s="53">
        <v>0</v>
      </c>
      <c r="AB67" s="57"/>
      <c r="AC67" s="58"/>
      <c r="AD67" s="57">
        <v>0</v>
      </c>
      <c r="AE67" s="57"/>
      <c r="AF67" s="57">
        <v>0</v>
      </c>
      <c r="AG67" s="57"/>
      <c r="AH67" s="57">
        <v>0</v>
      </c>
      <c r="AI67" s="57"/>
      <c r="AJ67" s="57">
        <v>0</v>
      </c>
      <c r="AK67" s="57"/>
      <c r="AL67" s="57">
        <v>0</v>
      </c>
      <c r="AM67" s="57"/>
      <c r="AN67" s="57">
        <v>0</v>
      </c>
      <c r="AO67" s="57"/>
      <c r="AP67" s="57">
        <v>0</v>
      </c>
      <c r="AQ67" s="48"/>
      <c r="AR67" s="59"/>
      <c r="AS67" s="60"/>
      <c r="AT67" s="60"/>
      <c r="AU67" s="60"/>
      <c r="AV67" s="60"/>
      <c r="AW67" s="60"/>
      <c r="AX67" s="60"/>
      <c r="AY67" s="60"/>
      <c r="AZ67" s="60"/>
      <c r="BA67" s="60"/>
      <c r="BB67" s="60"/>
      <c r="BC67" s="60">
        <v>0</v>
      </c>
      <c r="BD67" s="60"/>
      <c r="BE67" s="60"/>
      <c r="BF67" s="48"/>
      <c r="BG67" s="48" t="s">
        <v>161</v>
      </c>
    </row>
    <row r="68" spans="1:59">
      <c r="A68" s="48" t="s">
        <v>292</v>
      </c>
      <c r="B68" s="48" t="s">
        <v>293</v>
      </c>
      <c r="C68" s="49" t="s">
        <v>171</v>
      </c>
      <c r="D68" s="50"/>
      <c r="E68" s="51">
        <v>90299</v>
      </c>
      <c r="F68" s="49" t="s">
        <v>172</v>
      </c>
      <c r="G68" s="52">
        <v>308231</v>
      </c>
      <c r="H68" s="53">
        <v>12</v>
      </c>
      <c r="I68" s="49" t="s">
        <v>168</v>
      </c>
      <c r="J68" s="54" t="s">
        <v>159</v>
      </c>
      <c r="K68" s="54">
        <v>12</v>
      </c>
      <c r="L68" s="55"/>
      <c r="M68" s="56">
        <v>286520</v>
      </c>
      <c r="N68" s="56"/>
      <c r="O68" s="56">
        <v>0</v>
      </c>
      <c r="P68" s="56"/>
      <c r="Q68" s="56">
        <v>0</v>
      </c>
      <c r="R68" s="56"/>
      <c r="S68" s="56">
        <v>0</v>
      </c>
      <c r="T68" s="56"/>
      <c r="U68" s="56">
        <v>0</v>
      </c>
      <c r="V68" s="56"/>
      <c r="W68" s="56">
        <v>0</v>
      </c>
      <c r="X68" s="56"/>
      <c r="Y68" s="56">
        <v>0</v>
      </c>
      <c r="Z68" s="56"/>
      <c r="AA68" s="53">
        <v>0</v>
      </c>
      <c r="AB68" s="57"/>
      <c r="AC68" s="58"/>
      <c r="AD68" s="57">
        <v>931897</v>
      </c>
      <c r="AE68" s="57"/>
      <c r="AF68" s="57">
        <v>0</v>
      </c>
      <c r="AG68" s="57"/>
      <c r="AH68" s="57">
        <v>0</v>
      </c>
      <c r="AI68" s="57"/>
      <c r="AJ68" s="57">
        <v>0</v>
      </c>
      <c r="AK68" s="57"/>
      <c r="AL68" s="57">
        <v>0</v>
      </c>
      <c r="AM68" s="57"/>
      <c r="AN68" s="57">
        <v>0</v>
      </c>
      <c r="AO68" s="57"/>
      <c r="AP68" s="57">
        <v>0</v>
      </c>
      <c r="AQ68" s="48"/>
      <c r="AR68" s="59"/>
      <c r="AS68" s="60">
        <v>3.2524999999999999</v>
      </c>
      <c r="AT68" s="60"/>
      <c r="AU68" s="60"/>
      <c r="AV68" s="60"/>
      <c r="AW68" s="60"/>
      <c r="AX68" s="60"/>
      <c r="AY68" s="60"/>
      <c r="AZ68" s="60"/>
      <c r="BA68" s="60"/>
      <c r="BB68" s="60"/>
      <c r="BC68" s="60"/>
      <c r="BD68" s="60"/>
      <c r="BE68" s="60"/>
      <c r="BF68" s="48"/>
      <c r="BG68" s="48" t="s">
        <v>161</v>
      </c>
    </row>
    <row r="70" spans="1:59">
      <c r="M70" s="61">
        <f>SUM(M1:M68)</f>
        <v>104995073</v>
      </c>
      <c r="N70" s="61">
        <f t="shared" ref="N70:AB70" si="0">SUM(N1:N68)</f>
        <v>0</v>
      </c>
      <c r="O70" s="61">
        <f t="shared" si="0"/>
        <v>0</v>
      </c>
      <c r="P70" s="61">
        <f t="shared" si="0"/>
        <v>0</v>
      </c>
      <c r="Q70" s="61">
        <f t="shared" si="0"/>
        <v>0</v>
      </c>
      <c r="R70" s="61">
        <f t="shared" si="0"/>
        <v>0</v>
      </c>
      <c r="S70" s="61">
        <f t="shared" si="0"/>
        <v>0</v>
      </c>
      <c r="T70" s="61">
        <f t="shared" si="0"/>
        <v>0</v>
      </c>
      <c r="U70" s="61">
        <f t="shared" si="0"/>
        <v>792273</v>
      </c>
      <c r="V70" s="61">
        <f t="shared" si="0"/>
        <v>0</v>
      </c>
      <c r="W70" s="61">
        <f t="shared" si="0"/>
        <v>0</v>
      </c>
      <c r="X70" s="61">
        <f t="shared" si="0"/>
        <v>0</v>
      </c>
      <c r="Y70" s="61">
        <f t="shared" si="0"/>
        <v>6030683824</v>
      </c>
      <c r="Z70" s="61">
        <f t="shared" si="0"/>
        <v>0</v>
      </c>
      <c r="AA70" s="61">
        <f t="shared" si="0"/>
        <v>0</v>
      </c>
      <c r="AB70" s="61">
        <f t="shared" si="0"/>
        <v>0</v>
      </c>
    </row>
  </sheetData>
  <conditionalFormatting sqref="A2:BG68">
    <cfRule type="expression" dxfId="2" priority="1">
      <formula>MOD(ROW(),2)=0</formula>
    </cfRule>
  </conditionalFormatting>
  <conditionalFormatting sqref="K5:K68">
    <cfRule type="expression" dxfId="1" priority="5">
      <formula>MOD(ROW(),2)=0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98D13-7EBE-48FC-9539-564CBB0D374D}">
  <dimension ref="A1:BF44"/>
  <sheetViews>
    <sheetView workbookViewId="0"/>
  </sheetViews>
  <sheetFormatPr defaultRowHeight="15"/>
  <sheetData>
    <row r="1" spans="1:58">
      <c r="A1" t="s">
        <v>485</v>
      </c>
    </row>
    <row r="3" spans="1:58">
      <c r="A3" t="s">
        <v>486</v>
      </c>
      <c r="C3">
        <v>1995</v>
      </c>
      <c r="D3">
        <v>1996</v>
      </c>
      <c r="E3">
        <v>1997</v>
      </c>
      <c r="F3">
        <v>1998</v>
      </c>
      <c r="G3">
        <v>1999</v>
      </c>
      <c r="H3">
        <v>2000</v>
      </c>
      <c r="I3">
        <v>2001</v>
      </c>
      <c r="J3">
        <v>2002</v>
      </c>
      <c r="K3">
        <v>2003</v>
      </c>
      <c r="L3">
        <v>2004</v>
      </c>
      <c r="M3">
        <v>2005</v>
      </c>
      <c r="N3">
        <v>2006</v>
      </c>
      <c r="O3">
        <v>2007</v>
      </c>
      <c r="P3">
        <v>2008</v>
      </c>
      <c r="Q3">
        <v>2009</v>
      </c>
      <c r="R3">
        <v>2010</v>
      </c>
      <c r="S3">
        <v>2011</v>
      </c>
      <c r="T3">
        <v>2012</v>
      </c>
      <c r="U3">
        <v>2013</v>
      </c>
      <c r="V3">
        <v>2014</v>
      </c>
      <c r="W3">
        <v>2015</v>
      </c>
      <c r="X3">
        <v>2016</v>
      </c>
      <c r="Y3">
        <v>2017</v>
      </c>
      <c r="Z3">
        <v>2018</v>
      </c>
      <c r="AA3">
        <v>2019</v>
      </c>
      <c r="AB3">
        <v>2020</v>
      </c>
      <c r="AC3">
        <v>2021</v>
      </c>
      <c r="AD3">
        <v>2022</v>
      </c>
      <c r="AE3">
        <v>2023</v>
      </c>
      <c r="AF3">
        <v>2024</v>
      </c>
      <c r="AG3">
        <v>2025</v>
      </c>
      <c r="AH3">
        <v>2026</v>
      </c>
      <c r="AI3">
        <v>2027</v>
      </c>
      <c r="AJ3">
        <v>2028</v>
      </c>
      <c r="AK3">
        <v>2029</v>
      </c>
      <c r="AL3">
        <v>2030</v>
      </c>
      <c r="AM3">
        <v>2031</v>
      </c>
      <c r="AN3">
        <v>2032</v>
      </c>
      <c r="AO3">
        <v>2033</v>
      </c>
      <c r="AP3">
        <v>2034</v>
      </c>
      <c r="AQ3">
        <v>2035</v>
      </c>
      <c r="AR3">
        <v>2036</v>
      </c>
      <c r="AS3">
        <v>2037</v>
      </c>
      <c r="AT3">
        <v>2038</v>
      </c>
      <c r="AU3">
        <v>2039</v>
      </c>
      <c r="AV3">
        <v>2040</v>
      </c>
      <c r="AW3">
        <v>2041</v>
      </c>
      <c r="AX3">
        <v>2042</v>
      </c>
      <c r="AY3">
        <v>2043</v>
      </c>
      <c r="AZ3">
        <v>2044</v>
      </c>
      <c r="BA3">
        <v>2045</v>
      </c>
      <c r="BB3">
        <v>2046</v>
      </c>
      <c r="BC3">
        <v>2047</v>
      </c>
      <c r="BD3">
        <v>2048</v>
      </c>
      <c r="BE3">
        <v>2049</v>
      </c>
      <c r="BF3">
        <v>2050</v>
      </c>
    </row>
    <row r="4" spans="1:58">
      <c r="A4" t="s">
        <v>487</v>
      </c>
    </row>
    <row r="5" spans="1:58">
      <c r="A5" t="s">
        <v>488</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1</v>
      </c>
      <c r="AC5">
        <v>4.0396062235940393</v>
      </c>
      <c r="AD5">
        <v>2.9204161820323966</v>
      </c>
      <c r="AE5">
        <v>2.1026996510633253</v>
      </c>
      <c r="AF5">
        <v>1.4718897557443276</v>
      </c>
      <c r="AG5">
        <v>1.0303228290210293</v>
      </c>
      <c r="AH5">
        <v>0.72122598031472052</v>
      </c>
      <c r="AI5">
        <v>0.50485818622030432</v>
      </c>
      <c r="AJ5">
        <v>0.35340073035421299</v>
      </c>
      <c r="AK5">
        <v>0.24738051124794908</v>
      </c>
      <c r="AL5">
        <v>0.22264246012315417</v>
      </c>
      <c r="AM5">
        <v>0.22264246012315417</v>
      </c>
      <c r="AN5">
        <v>0.22264246012315417</v>
      </c>
      <c r="AO5">
        <v>0.22264246012315417</v>
      </c>
      <c r="AP5">
        <v>0.22264246012315417</v>
      </c>
      <c r="AQ5">
        <v>0.22264246012315417</v>
      </c>
      <c r="AR5">
        <v>0.22264246012315417</v>
      </c>
      <c r="AS5">
        <v>0.22264246012315417</v>
      </c>
      <c r="AT5">
        <v>0.22264246012315417</v>
      </c>
      <c r="AU5">
        <v>0.22264246012315417</v>
      </c>
      <c r="AV5">
        <v>0.22264246012315417</v>
      </c>
      <c r="AW5">
        <v>0.22264246012315417</v>
      </c>
      <c r="AX5">
        <v>0.22264246012315417</v>
      </c>
      <c r="AY5">
        <v>0.22264246012315417</v>
      </c>
      <c r="AZ5">
        <v>0.22264246012315417</v>
      </c>
      <c r="BA5">
        <v>0.22264246012315417</v>
      </c>
      <c r="BB5">
        <v>0.22264246012315417</v>
      </c>
      <c r="BC5">
        <v>0.22264246012315417</v>
      </c>
      <c r="BD5">
        <v>0.22264246012315417</v>
      </c>
      <c r="BE5">
        <v>0.22264246012315417</v>
      </c>
      <c r="BF5">
        <v>0.22264246012315417</v>
      </c>
    </row>
    <row r="6" spans="1:58">
      <c r="A6" t="s">
        <v>489</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1</v>
      </c>
      <c r="AC6">
        <v>1.519743856834683</v>
      </c>
      <c r="AD6">
        <v>1.1232420887635177</v>
      </c>
      <c r="AE6">
        <v>0.83119914568500308</v>
      </c>
      <c r="AF6">
        <v>0.61508736780690232</v>
      </c>
      <c r="AG6">
        <v>0.45516465217710772</v>
      </c>
      <c r="AH6">
        <v>0.33682184261105969</v>
      </c>
      <c r="AI6">
        <v>0.24924816353218415</v>
      </c>
      <c r="AJ6">
        <v>0.18444364101381627</v>
      </c>
      <c r="AK6">
        <v>0.13648829435022405</v>
      </c>
      <c r="AL6">
        <v>0.1010013378191658</v>
      </c>
      <c r="AM6">
        <v>7.4740989986182699E-2</v>
      </c>
      <c r="AN6">
        <v>5.5308332589775196E-2</v>
      </c>
      <c r="AO6">
        <v>4.0928166116433642E-2</v>
      </c>
      <c r="AP6">
        <v>3.0286842926160896E-2</v>
      </c>
      <c r="AQ6">
        <v>2.2412263765359063E-2</v>
      </c>
      <c r="AR6">
        <v>2.2412263765359063E-2</v>
      </c>
      <c r="AS6">
        <v>2.2412263765359063E-2</v>
      </c>
      <c r="AT6">
        <v>2.2412263765359063E-2</v>
      </c>
      <c r="AU6">
        <v>2.2412263765359063E-2</v>
      </c>
      <c r="AV6">
        <v>2.2412263765359063E-2</v>
      </c>
      <c r="AW6">
        <v>2.2412263765359063E-2</v>
      </c>
      <c r="AX6">
        <v>2.2412263765359063E-2</v>
      </c>
      <c r="AY6">
        <v>2.2412263765359063E-2</v>
      </c>
      <c r="AZ6">
        <v>2.2412263765359063E-2</v>
      </c>
      <c r="BA6">
        <v>2.2412263765359063E-2</v>
      </c>
      <c r="BB6">
        <v>2.2412263765359063E-2</v>
      </c>
      <c r="BC6">
        <v>2.2412263765359063E-2</v>
      </c>
      <c r="BD6">
        <v>2.2412263765359063E-2</v>
      </c>
      <c r="BE6">
        <v>2.2412263765359063E-2</v>
      </c>
      <c r="BF6">
        <v>2.2412263765359063E-2</v>
      </c>
    </row>
    <row r="7" spans="1:58">
      <c r="A7" t="s">
        <v>490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1</v>
      </c>
      <c r="AC7">
        <v>1.317437727614335</v>
      </c>
      <c r="AD7">
        <v>1.1367370915704738</v>
      </c>
      <c r="AE7">
        <v>0.90938967325637909</v>
      </c>
      <c r="AF7">
        <v>0.72751173860510332</v>
      </c>
      <c r="AG7">
        <v>0.58200939088408266</v>
      </c>
      <c r="AH7">
        <v>0.46560751270726614</v>
      </c>
      <c r="AI7">
        <v>0.37248601016581295</v>
      </c>
      <c r="AJ7">
        <v>0.29798880813265038</v>
      </c>
      <c r="AK7">
        <v>0.23839104650612031</v>
      </c>
      <c r="AL7">
        <v>0.19071283720489626</v>
      </c>
      <c r="AM7">
        <v>0.15257026976391702</v>
      </c>
      <c r="AN7">
        <v>0.15257026976391702</v>
      </c>
      <c r="AO7">
        <v>0.15257026976391702</v>
      </c>
      <c r="AP7">
        <v>0.15257026976391702</v>
      </c>
      <c r="AQ7">
        <v>0.15257026976391702</v>
      </c>
      <c r="AR7">
        <v>0.15257026976391702</v>
      </c>
      <c r="AS7">
        <v>0.15257026976391702</v>
      </c>
      <c r="AT7">
        <v>0.15257026976391702</v>
      </c>
      <c r="AU7">
        <v>0.15257026976391702</v>
      </c>
      <c r="AV7">
        <v>0.15257026976391702</v>
      </c>
      <c r="AW7">
        <v>0.15257026976391702</v>
      </c>
      <c r="AX7">
        <v>0.15257026976391702</v>
      </c>
      <c r="AY7">
        <v>0.15257026976391702</v>
      </c>
      <c r="AZ7">
        <v>0.15257026976391702</v>
      </c>
      <c r="BA7">
        <v>0.15257026976391702</v>
      </c>
      <c r="BB7">
        <v>0.15257026976391702</v>
      </c>
      <c r="BC7">
        <v>0.15257026976391702</v>
      </c>
      <c r="BD7">
        <v>0.15257026976391702</v>
      </c>
      <c r="BE7">
        <v>0.15257026976391702</v>
      </c>
      <c r="BF7">
        <v>0.15257026976391702</v>
      </c>
    </row>
    <row r="8" spans="1:58">
      <c r="A8" t="s">
        <v>491</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1</v>
      </c>
      <c r="AC8">
        <v>1.468341437272104</v>
      </c>
      <c r="AD8">
        <v>1.2768418247189215</v>
      </c>
      <c r="AE8">
        <v>0.95763136853919106</v>
      </c>
      <c r="AF8">
        <v>0.71822352640439324</v>
      </c>
      <c r="AG8">
        <v>0.53866764480329499</v>
      </c>
      <c r="AH8">
        <v>0.40400073360247124</v>
      </c>
      <c r="AI8">
        <v>0.30300055020185346</v>
      </c>
      <c r="AJ8">
        <v>0.22725041265139009</v>
      </c>
      <c r="AK8">
        <v>0.17043780948854256</v>
      </c>
      <c r="AL8">
        <v>0.12782835711640692</v>
      </c>
      <c r="AM8">
        <v>9.587126783730518E-2</v>
      </c>
      <c r="AN8">
        <v>7.6697014269844155E-2</v>
      </c>
      <c r="AO8">
        <v>7.6697014269844155E-2</v>
      </c>
      <c r="AP8">
        <v>7.6697014269844155E-2</v>
      </c>
      <c r="AQ8">
        <v>7.6697014269844155E-2</v>
      </c>
      <c r="AR8">
        <v>7.6697014269844155E-2</v>
      </c>
      <c r="AS8">
        <v>7.6697014269844155E-2</v>
      </c>
      <c r="AT8">
        <v>7.6697014269844155E-2</v>
      </c>
      <c r="AU8">
        <v>7.6697014269844155E-2</v>
      </c>
      <c r="AV8">
        <v>7.6697014269844155E-2</v>
      </c>
      <c r="AW8">
        <v>7.6697014269844155E-2</v>
      </c>
      <c r="AX8">
        <v>7.6697014269844155E-2</v>
      </c>
      <c r="AY8">
        <v>7.6697014269844155E-2</v>
      </c>
      <c r="AZ8">
        <v>7.6697014269844155E-2</v>
      </c>
      <c r="BA8">
        <v>7.6697014269844155E-2</v>
      </c>
      <c r="BB8">
        <v>7.6697014269844155E-2</v>
      </c>
      <c r="BC8">
        <v>7.6697014269844155E-2</v>
      </c>
      <c r="BD8">
        <v>7.6697014269844155E-2</v>
      </c>
      <c r="BE8">
        <v>7.6697014269844155E-2</v>
      </c>
      <c r="BF8">
        <v>7.6697014269844155E-2</v>
      </c>
    </row>
    <row r="9" spans="1:58">
      <c r="A9" t="s">
        <v>492</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1</v>
      </c>
      <c r="AD9">
        <v>1.9577246990171304</v>
      </c>
      <c r="AE9">
        <v>1.5661797592137043</v>
      </c>
      <c r="AF9">
        <v>1.2529438073709636</v>
      </c>
      <c r="AG9">
        <v>1.0023550458967709</v>
      </c>
      <c r="AH9">
        <v>0.80188403671741681</v>
      </c>
      <c r="AI9">
        <v>0.64150722937393345</v>
      </c>
      <c r="AJ9">
        <v>0.51320578349914681</v>
      </c>
      <c r="AK9">
        <v>0.41056462679931749</v>
      </c>
      <c r="AL9">
        <v>0.32845170143945401</v>
      </c>
      <c r="AM9">
        <v>0.32845170143945401</v>
      </c>
      <c r="AN9">
        <v>0.32845170143945401</v>
      </c>
      <c r="AO9">
        <v>0.32845170143945401</v>
      </c>
      <c r="AP9">
        <v>0.32845170143945401</v>
      </c>
      <c r="AQ9">
        <v>0.32845170143945401</v>
      </c>
      <c r="AR9">
        <v>0.32845170143945401</v>
      </c>
      <c r="AS9">
        <v>0.32845170143945401</v>
      </c>
      <c r="AT9">
        <v>0.32845170143945401</v>
      </c>
      <c r="AU9">
        <v>0.32845170143945401</v>
      </c>
      <c r="AV9">
        <v>0.32845170143945401</v>
      </c>
      <c r="AW9">
        <v>0.32845170143945401</v>
      </c>
      <c r="AX9">
        <v>0.32845170143945401</v>
      </c>
      <c r="AY9">
        <v>0.32845170143945401</v>
      </c>
      <c r="AZ9">
        <v>0.32845170143945401</v>
      </c>
      <c r="BA9">
        <v>0.32845170143945401</v>
      </c>
      <c r="BB9">
        <v>0.32845170143945401</v>
      </c>
      <c r="BC9">
        <v>0.32845170143945401</v>
      </c>
      <c r="BD9">
        <v>0.32845170143945401</v>
      </c>
      <c r="BE9">
        <v>0.32845170143945401</v>
      </c>
      <c r="BF9">
        <v>0.32845170143945401</v>
      </c>
    </row>
    <row r="10" spans="1:58">
      <c r="A10" t="s">
        <v>493</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1</v>
      </c>
      <c r="AD10">
        <v>0.86392038051406272</v>
      </c>
      <c r="AE10">
        <v>0.69113630441125018</v>
      </c>
      <c r="AF10">
        <v>0.55290904352900017</v>
      </c>
      <c r="AG10">
        <v>0.44232723482320013</v>
      </c>
      <c r="AH10">
        <v>0.35386178785856015</v>
      </c>
      <c r="AI10">
        <v>0.28308943028684813</v>
      </c>
      <c r="AJ10">
        <v>0.22647154422947852</v>
      </c>
      <c r="AK10">
        <v>0.18117723538358282</v>
      </c>
      <c r="AL10">
        <v>0.14494178830686627</v>
      </c>
      <c r="AM10">
        <v>0.11595343064549302</v>
      </c>
      <c r="AN10">
        <v>9.2762744516394421E-2</v>
      </c>
      <c r="AO10">
        <v>7.4210195613115537E-2</v>
      </c>
      <c r="AP10">
        <v>5.936815649049243E-2</v>
      </c>
      <c r="AQ10">
        <v>4.7494525192393944E-2</v>
      </c>
      <c r="AR10">
        <v>3.7995620153915159E-2</v>
      </c>
      <c r="AS10">
        <v>3.0396496123132128E-2</v>
      </c>
      <c r="AT10">
        <v>2.4317196898505703E-2</v>
      </c>
      <c r="AU10">
        <v>1.9453757518804564E-2</v>
      </c>
      <c r="AV10">
        <v>1.5563006015043651E-2</v>
      </c>
      <c r="AW10">
        <v>1.2450404812034922E-2</v>
      </c>
      <c r="AX10">
        <v>9.9603238496279375E-3</v>
      </c>
      <c r="AY10">
        <v>7.9682590797023507E-3</v>
      </c>
      <c r="AZ10">
        <v>6.3746072637618813E-3</v>
      </c>
      <c r="BA10">
        <v>5.0996858110095057E-3</v>
      </c>
      <c r="BB10">
        <v>4.0797486488076051E-3</v>
      </c>
      <c r="BC10">
        <v>3.2637989190460841E-3</v>
      </c>
      <c r="BD10">
        <v>2.6110391352368676E-3</v>
      </c>
      <c r="BE10">
        <v>2.0888313081894941E-3</v>
      </c>
      <c r="BF10">
        <v>1.6710650465515953E-3</v>
      </c>
    </row>
    <row r="11" spans="1:58">
      <c r="A11" t="s">
        <v>494</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1</v>
      </c>
      <c r="AC11">
        <v>1.7977121204900031</v>
      </c>
      <c r="AD11">
        <v>1.2583984843430021</v>
      </c>
      <c r="AE11">
        <v>0.88087893904010139</v>
      </c>
      <c r="AF11">
        <v>0.61661525732807099</v>
      </c>
      <c r="AG11">
        <v>0.43163068012964967</v>
      </c>
      <c r="AH11">
        <v>0.30214147609075476</v>
      </c>
      <c r="AI11">
        <v>0.21149903326352831</v>
      </c>
      <c r="AJ11">
        <v>0.14804932328446982</v>
      </c>
      <c r="AK11">
        <v>0.10363452629912887</v>
      </c>
      <c r="AL11">
        <v>7.2544168409390195E-2</v>
      </c>
      <c r="AM11">
        <v>5.0780917886573136E-2</v>
      </c>
      <c r="AN11">
        <v>3.554664252060119E-2</v>
      </c>
      <c r="AO11">
        <v>2.4882649764420832E-2</v>
      </c>
      <c r="AP11">
        <v>1.741785483509458E-2</v>
      </c>
      <c r="AQ11">
        <v>1.2192498384566205E-2</v>
      </c>
      <c r="AR11">
        <v>8.5347488691963434E-3</v>
      </c>
      <c r="AS11">
        <v>5.9743242084374397E-3</v>
      </c>
      <c r="AT11">
        <v>4.1820269459062077E-3</v>
      </c>
      <c r="AU11">
        <v>2.927418862134345E-3</v>
      </c>
      <c r="AV11">
        <v>2.0491932034940414E-3</v>
      </c>
      <c r="AW11">
        <v>1.434435242445829E-3</v>
      </c>
      <c r="AX11">
        <v>1.0041046697120803E-3</v>
      </c>
      <c r="AY11">
        <v>7.0287326879845617E-4</v>
      </c>
      <c r="AZ11">
        <v>4.9201128815891924E-4</v>
      </c>
      <c r="BA11">
        <v>3.4440790171124346E-4</v>
      </c>
      <c r="BB11">
        <v>2.410855311978704E-4</v>
      </c>
      <c r="BC11">
        <v>1.6875987183850928E-4</v>
      </c>
      <c r="BD11">
        <v>1.1813191028695649E-4</v>
      </c>
      <c r="BE11">
        <v>8.2692337200869536E-5</v>
      </c>
      <c r="BF11">
        <v>5.7884636040608674E-5</v>
      </c>
    </row>
    <row r="12" spans="1:58">
      <c r="A12" t="s">
        <v>495</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1</v>
      </c>
      <c r="AC12">
        <v>1.6147928633253836</v>
      </c>
      <c r="AD12">
        <v>1.6022152792996431</v>
      </c>
      <c r="AE12">
        <v>1.4419937513696788</v>
      </c>
      <c r="AF12">
        <v>1.2977943762327109</v>
      </c>
      <c r="AG12">
        <v>1.1680149386094398</v>
      </c>
      <c r="AH12">
        <v>1.051213444748496</v>
      </c>
      <c r="AI12">
        <v>0.94609210027364643</v>
      </c>
      <c r="AJ12">
        <v>0.85148289024628177</v>
      </c>
      <c r="AK12">
        <v>0.76633460122165364</v>
      </c>
      <c r="AL12">
        <v>0.68970114109948832</v>
      </c>
      <c r="AM12">
        <v>0.62073102698953952</v>
      </c>
      <c r="AN12">
        <v>0.55865792429058558</v>
      </c>
      <c r="AO12">
        <v>0.50279213186152705</v>
      </c>
      <c r="AP12">
        <v>0.45251291867537435</v>
      </c>
      <c r="AQ12">
        <v>0.40726162680783695</v>
      </c>
      <c r="AR12">
        <v>0.36653546412705329</v>
      </c>
      <c r="AS12">
        <v>0.32988191771434799</v>
      </c>
      <c r="AT12">
        <v>0.29689372594291319</v>
      </c>
      <c r="AU12">
        <v>0.26720435334862186</v>
      </c>
      <c r="AV12">
        <v>0.24048391801375968</v>
      </c>
      <c r="AW12">
        <v>0.21643552621238371</v>
      </c>
      <c r="AX12">
        <v>0.19479197359114533</v>
      </c>
      <c r="AY12">
        <v>0.17531277623203081</v>
      </c>
      <c r="AZ12">
        <v>0.15778149860882773</v>
      </c>
      <c r="BA12">
        <v>0.14200334874794496</v>
      </c>
      <c r="BB12">
        <v>0.12780301387315046</v>
      </c>
      <c r="BC12">
        <v>0.11502271248583541</v>
      </c>
      <c r="BD12">
        <v>0.10352044123725188</v>
      </c>
      <c r="BE12">
        <v>9.3168397113526688E-2</v>
      </c>
      <c r="BF12">
        <v>8.3851557402174023E-2</v>
      </c>
    </row>
    <row r="13" spans="1:58">
      <c r="A13" t="s">
        <v>496</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1</v>
      </c>
      <c r="AC13">
        <v>1.8453548018367749</v>
      </c>
      <c r="AD13">
        <v>1.1072128811020649</v>
      </c>
      <c r="AE13">
        <v>0.6643277286612389</v>
      </c>
      <c r="AF13">
        <v>0.39859663719674332</v>
      </c>
      <c r="AG13">
        <v>0.23915798231804597</v>
      </c>
      <c r="AH13">
        <v>0.14349478939082758</v>
      </c>
      <c r="AI13">
        <v>8.6096873634496543E-2</v>
      </c>
      <c r="AJ13">
        <v>5.1658124180697922E-2</v>
      </c>
      <c r="AK13">
        <v>3.099487450841875E-2</v>
      </c>
      <c r="AL13">
        <v>1.8596924705051251E-2</v>
      </c>
      <c r="AM13">
        <v>1.1158154823030749E-2</v>
      </c>
      <c r="AN13">
        <v>6.6948928938184498E-3</v>
      </c>
      <c r="AO13">
        <v>4.0169357362910699E-3</v>
      </c>
      <c r="AP13">
        <v>2.4101614417746417E-3</v>
      </c>
      <c r="AQ13">
        <v>1.446096865064785E-3</v>
      </c>
      <c r="AR13">
        <v>8.6765811903887098E-4</v>
      </c>
      <c r="AS13">
        <v>5.2059487142332259E-4</v>
      </c>
      <c r="AT13">
        <v>3.1235692285399354E-4</v>
      </c>
      <c r="AU13">
        <v>1.8741415371239612E-4</v>
      </c>
      <c r="AV13">
        <v>1.1244849222743766E-4</v>
      </c>
      <c r="AW13">
        <v>6.7469095336462588E-5</v>
      </c>
      <c r="AX13">
        <v>4.0481457201877554E-5</v>
      </c>
      <c r="AY13">
        <v>2.4288874321126531E-5</v>
      </c>
      <c r="AZ13">
        <v>1.4573324592675918E-5</v>
      </c>
      <c r="BA13">
        <v>8.7439947556055508E-6</v>
      </c>
      <c r="BB13">
        <v>5.2463968533633303E-6</v>
      </c>
      <c r="BC13">
        <v>3.1478381120179981E-6</v>
      </c>
      <c r="BD13">
        <v>1.8887028672107987E-6</v>
      </c>
      <c r="BE13">
        <v>1.1332217203264791E-6</v>
      </c>
      <c r="BF13">
        <v>6.799330321958875E-7</v>
      </c>
    </row>
    <row r="15" spans="1:58">
      <c r="A15" t="s">
        <v>497</v>
      </c>
    </row>
    <row r="16" spans="1:58">
      <c r="A16" t="s">
        <v>488</v>
      </c>
      <c r="C16">
        <v>6.4027272051907991</v>
      </c>
      <c r="D16">
        <v>-0.40654412990711536</v>
      </c>
      <c r="E16">
        <v>-5.5296965040373867E-2</v>
      </c>
      <c r="F16">
        <v>-0.15733187687031525</v>
      </c>
    </row>
    <row r="17" spans="1:58">
      <c r="A17" t="s">
        <v>489</v>
      </c>
      <c r="C17">
        <v>8.0014127952620981</v>
      </c>
      <c r="D17">
        <v>-0.56523360107122622</v>
      </c>
      <c r="E17">
        <v>0.10057339011158851</v>
      </c>
      <c r="F17">
        <v>-0.46804000373072274</v>
      </c>
    </row>
    <row r="18" spans="1:58">
      <c r="A18" t="s">
        <v>490</v>
      </c>
      <c r="C18">
        <v>9.3255679222859502</v>
      </c>
      <c r="D18">
        <v>-1.1359051297074578</v>
      </c>
      <c r="E18">
        <v>0.12604253125168</v>
      </c>
      <c r="F18">
        <v>-0.55667274362065922</v>
      </c>
    </row>
    <row r="19" spans="1:58">
      <c r="A19" t="s">
        <v>491</v>
      </c>
      <c r="C19">
        <v>7.8984031554062506</v>
      </c>
      <c r="D19">
        <v>-0.91441820774668015</v>
      </c>
      <c r="E19">
        <v>0.22004321564027907</v>
      </c>
      <c r="F19">
        <v>-0.54171647655300048</v>
      </c>
    </row>
    <row r="20" spans="1:58">
      <c r="A20" t="s">
        <v>492</v>
      </c>
      <c r="C20">
        <v>8.2771762459022522</v>
      </c>
      <c r="D20">
        <v>-0.93472316260204624</v>
      </c>
      <c r="E20">
        <v>0.43061968957901914</v>
      </c>
      <c r="F20">
        <v>-0.36375800575441014</v>
      </c>
    </row>
    <row r="21" spans="1:58">
      <c r="A21" t="s">
        <v>493</v>
      </c>
      <c r="C21">
        <v>8.0085129172129044</v>
      </c>
      <c r="D21">
        <v>-1.1177270050474184</v>
      </c>
      <c r="E21">
        <v>0.31404727401276639</v>
      </c>
      <c r="F21">
        <v>-0.76837241763199626</v>
      </c>
    </row>
    <row r="22" spans="1:58">
      <c r="A22" t="s">
        <v>494</v>
      </c>
      <c r="C22">
        <v>12.275457256217479</v>
      </c>
      <c r="D22">
        <v>-1.8252326533611958</v>
      </c>
      <c r="E22">
        <v>-1.0353338035290201E-2</v>
      </c>
      <c r="F22">
        <v>-0.37611962549623418</v>
      </c>
    </row>
    <row r="23" spans="1:58">
      <c r="A23" t="s">
        <v>495</v>
      </c>
      <c r="C23">
        <v>7.5401024869627262</v>
      </c>
      <c r="D23">
        <v>-0.70482232334232298</v>
      </c>
      <c r="E23">
        <v>0.27390594782421446</v>
      </c>
      <c r="F23">
        <v>-0.38060221308788339</v>
      </c>
    </row>
    <row r="24" spans="1:58">
      <c r="A24" t="s">
        <v>496</v>
      </c>
      <c r="C24">
        <v>14.556576073611035</v>
      </c>
      <c r="D24">
        <v>-2.2296709732380933</v>
      </c>
      <c r="E24">
        <v>0.3690108623162936</v>
      </c>
      <c r="F24">
        <v>-0.50091347534032649</v>
      </c>
    </row>
    <row r="26" spans="1:58">
      <c r="A26" t="s">
        <v>498</v>
      </c>
    </row>
    <row r="27" spans="1:58">
      <c r="A27" t="s">
        <v>499</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1</v>
      </c>
      <c r="AC27">
        <v>0.30000000000000004</v>
      </c>
      <c r="AD27">
        <v>0.22499999999999998</v>
      </c>
      <c r="AE27">
        <v>0.16875000000000001</v>
      </c>
      <c r="AF27">
        <v>0.12656250000000002</v>
      </c>
      <c r="AG27">
        <v>9.4921874999999989E-2</v>
      </c>
      <c r="AH27">
        <v>7.1191406250000006E-2</v>
      </c>
      <c r="AI27">
        <v>5.3393553750000003E-2</v>
      </c>
      <c r="AJ27">
        <v>4.004516625E-2</v>
      </c>
      <c r="AK27">
        <v>3.0033873750000002E-2</v>
      </c>
      <c r="AL27">
        <v>2.2525406250000001E-2</v>
      </c>
      <c r="AM27">
        <v>1.6894053749999999E-2</v>
      </c>
      <c r="AN27">
        <v>1.267054125E-2</v>
      </c>
      <c r="AO27">
        <v>9.5028749999999992E-3</v>
      </c>
      <c r="AP27">
        <v>7.1272499999999999E-3</v>
      </c>
      <c r="AQ27">
        <v>5.3452499999999993E-3</v>
      </c>
      <c r="AR27">
        <v>4.0091250000000005E-3</v>
      </c>
      <c r="AS27">
        <v>3.0067500000000003E-3</v>
      </c>
      <c r="AT27">
        <v>2.2552500000000003E-3</v>
      </c>
      <c r="AU27">
        <v>1.69125E-3</v>
      </c>
      <c r="AV27">
        <v>1.268625E-3</v>
      </c>
      <c r="AW27">
        <v>9.5137500000000007E-4</v>
      </c>
      <c r="AX27">
        <v>7.1362499999999996E-4</v>
      </c>
      <c r="AY27">
        <v>5.3512500000000001E-4</v>
      </c>
      <c r="AZ27">
        <v>4.0125000000000002E-4</v>
      </c>
      <c r="BA27">
        <v>3.0112500000000001E-4</v>
      </c>
      <c r="BB27">
        <v>2.2574999999999998E-4</v>
      </c>
      <c r="BC27">
        <v>1.695E-4</v>
      </c>
      <c r="BD27">
        <v>1.2712500000000001E-4</v>
      </c>
      <c r="BE27">
        <v>9.5249999999999998E-5</v>
      </c>
      <c r="BF27">
        <v>7.1249999999999997E-5</v>
      </c>
    </row>
    <row r="28" spans="1:58">
      <c r="A28" t="s">
        <v>500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1</v>
      </c>
      <c r="AC28">
        <v>0.26</v>
      </c>
      <c r="AD28">
        <v>0.10400000000000001</v>
      </c>
      <c r="AE28">
        <v>4.1600000000000005E-2</v>
      </c>
      <c r="AF28">
        <v>1.6640000000000002E-2</v>
      </c>
      <c r="AG28">
        <v>6.6560000000000005E-3</v>
      </c>
      <c r="AH28">
        <v>2.6624000000000001E-3</v>
      </c>
      <c r="AI28">
        <v>1.06496E-3</v>
      </c>
      <c r="AJ28">
        <v>4.2598400000000002E-4</v>
      </c>
      <c r="AK28">
        <v>1.7039100000000002E-4</v>
      </c>
      <c r="AL28">
        <v>6.8158999999999996E-5</v>
      </c>
      <c r="AM28">
        <v>2.7262950000000003E-5</v>
      </c>
      <c r="AN28">
        <v>1.090505E-5</v>
      </c>
      <c r="AO28">
        <v>4.3615000000000005E-6</v>
      </c>
      <c r="AP28">
        <v>1.7420000000000002E-6</v>
      </c>
      <c r="AQ28">
        <v>6.9549999999999995E-7</v>
      </c>
      <c r="AR28">
        <v>2.7884999999999999E-7</v>
      </c>
      <c r="AS28">
        <v>1.1180000000000001E-7</v>
      </c>
      <c r="AT28">
        <v>4.4654999999999999E-8</v>
      </c>
      <c r="AU28">
        <v>1.7875000000000003E-8</v>
      </c>
      <c r="AV28">
        <v>7.1499999999999995E-9</v>
      </c>
      <c r="AW28">
        <v>2.86E-9</v>
      </c>
      <c r="AX28">
        <v>1.144E-9</v>
      </c>
      <c r="AY28">
        <v>4.5760000000000005E-10</v>
      </c>
      <c r="AZ28">
        <v>1.8265000000000001E-10</v>
      </c>
      <c r="BA28">
        <v>7.3450000000000002E-11</v>
      </c>
      <c r="BB28">
        <v>2.9250000000000002E-11</v>
      </c>
      <c r="BC28">
        <v>1.1700000000000001E-11</v>
      </c>
      <c r="BD28">
        <v>4.6865000000000003E-12</v>
      </c>
      <c r="BE28">
        <v>1.8720000000000001E-12</v>
      </c>
      <c r="BF28">
        <v>7.475E-13</v>
      </c>
    </row>
    <row r="30" spans="1:58">
      <c r="A30" t="s">
        <v>501</v>
      </c>
    </row>
    <row r="31" spans="1:58">
      <c r="A31" t="s">
        <v>488</v>
      </c>
      <c r="B31">
        <v>596.36686099999997</v>
      </c>
    </row>
    <row r="32" spans="1:58">
      <c r="A32" t="s">
        <v>489</v>
      </c>
      <c r="B32">
        <v>4165.8427369999999</v>
      </c>
    </row>
    <row r="33" spans="1:2">
      <c r="A33" t="s">
        <v>490</v>
      </c>
      <c r="B33">
        <v>1393.920474</v>
      </c>
    </row>
    <row r="34" spans="1:2">
      <c r="A34" t="s">
        <v>491</v>
      </c>
      <c r="B34">
        <v>419.70064400000001</v>
      </c>
    </row>
    <row r="35" spans="1:2">
      <c r="A35" t="s">
        <v>492</v>
      </c>
      <c r="B35">
        <v>2200.8582849999998</v>
      </c>
    </row>
    <row r="36" spans="1:2">
      <c r="A36" t="s">
        <v>493</v>
      </c>
      <c r="B36">
        <v>158.752351</v>
      </c>
    </row>
    <row r="37" spans="1:2">
      <c r="A37" t="s">
        <v>494</v>
      </c>
      <c r="B37">
        <v>1026.316554</v>
      </c>
    </row>
    <row r="38" spans="1:2">
      <c r="A38" t="s">
        <v>495</v>
      </c>
      <c r="B38">
        <v>851.67792499999996</v>
      </c>
    </row>
    <row r="39" spans="1:2">
      <c r="A39" t="s">
        <v>496</v>
      </c>
      <c r="B39">
        <v>3672.3085599999999</v>
      </c>
    </row>
    <row r="41" spans="1:2">
      <c r="A41" t="s">
        <v>502</v>
      </c>
    </row>
    <row r="42" spans="1:2">
      <c r="A42" t="s">
        <v>503</v>
      </c>
      <c r="B42">
        <v>95540.93828693057</v>
      </c>
    </row>
    <row r="43" spans="1:2">
      <c r="A43" t="s">
        <v>504</v>
      </c>
      <c r="B43">
        <v>86255.422409864754</v>
      </c>
    </row>
    <row r="44" spans="1:2">
      <c r="A44" t="s">
        <v>505</v>
      </c>
      <c r="B44">
        <v>20633.234899999999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4478B-E06F-4876-80CE-91F1D3C4AA77}">
  <dimension ref="A1:BF47"/>
  <sheetViews>
    <sheetView workbookViewId="0"/>
  </sheetViews>
  <sheetFormatPr defaultRowHeight="15"/>
  <sheetData>
    <row r="1" spans="1:58">
      <c r="A1" t="s">
        <v>512</v>
      </c>
    </row>
    <row r="3" spans="1:58">
      <c r="A3" t="s">
        <v>486</v>
      </c>
      <c r="C3">
        <v>1995</v>
      </c>
      <c r="D3">
        <v>1996</v>
      </c>
      <c r="E3">
        <v>1997</v>
      </c>
      <c r="F3">
        <v>1998</v>
      </c>
      <c r="G3">
        <v>1999</v>
      </c>
      <c r="H3">
        <v>2000</v>
      </c>
      <c r="I3">
        <v>2001</v>
      </c>
      <c r="J3">
        <v>2002</v>
      </c>
      <c r="K3">
        <v>2003</v>
      </c>
      <c r="L3">
        <v>2004</v>
      </c>
      <c r="M3">
        <v>2005</v>
      </c>
      <c r="N3">
        <v>2006</v>
      </c>
      <c r="O3">
        <v>2007</v>
      </c>
      <c r="P3">
        <v>2008</v>
      </c>
      <c r="Q3">
        <v>2009</v>
      </c>
      <c r="R3">
        <v>2010</v>
      </c>
      <c r="S3">
        <v>2011</v>
      </c>
      <c r="T3">
        <v>2012</v>
      </c>
      <c r="U3">
        <v>2013</v>
      </c>
      <c r="V3">
        <v>2014</v>
      </c>
      <c r="W3">
        <v>2015</v>
      </c>
      <c r="X3">
        <v>2016</v>
      </c>
      <c r="Y3">
        <v>2017</v>
      </c>
      <c r="Z3">
        <v>2018</v>
      </c>
      <c r="AA3">
        <v>2019</v>
      </c>
      <c r="AB3">
        <v>2020</v>
      </c>
      <c r="AC3">
        <v>2021</v>
      </c>
      <c r="AD3">
        <v>2022</v>
      </c>
      <c r="AE3">
        <v>2023</v>
      </c>
      <c r="AF3">
        <v>2024</v>
      </c>
      <c r="AG3">
        <v>2025</v>
      </c>
      <c r="AH3">
        <v>2026</v>
      </c>
      <c r="AI3">
        <v>2027</v>
      </c>
      <c r="AJ3">
        <v>2028</v>
      </c>
      <c r="AK3">
        <v>2029</v>
      </c>
      <c r="AL3">
        <v>2030</v>
      </c>
      <c r="AM3">
        <v>2031</v>
      </c>
      <c r="AN3">
        <v>2032</v>
      </c>
      <c r="AO3">
        <v>2033</v>
      </c>
      <c r="AP3">
        <v>2034</v>
      </c>
      <c r="AQ3">
        <v>2035</v>
      </c>
      <c r="AR3">
        <v>2036</v>
      </c>
      <c r="AS3">
        <v>2037</v>
      </c>
      <c r="AT3">
        <v>2038</v>
      </c>
      <c r="AU3">
        <v>2039</v>
      </c>
      <c r="AV3">
        <v>2040</v>
      </c>
      <c r="AW3">
        <v>2041</v>
      </c>
      <c r="AX3">
        <v>2042</v>
      </c>
      <c r="AY3">
        <v>2043</v>
      </c>
      <c r="AZ3">
        <v>2044</v>
      </c>
      <c r="BA3">
        <v>2045</v>
      </c>
      <c r="BB3">
        <v>2046</v>
      </c>
      <c r="BC3">
        <v>2047</v>
      </c>
      <c r="BD3">
        <v>2048</v>
      </c>
      <c r="BE3">
        <v>2049</v>
      </c>
      <c r="BF3">
        <v>2050</v>
      </c>
    </row>
    <row r="4" spans="1:58">
      <c r="A4" t="s">
        <v>513</v>
      </c>
    </row>
    <row r="5" spans="1:58">
      <c r="A5" t="s">
        <v>488</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1</v>
      </c>
      <c r="AC5">
        <v>3.0269113879965124</v>
      </c>
      <c r="AD5">
        <v>2.1364078004597293</v>
      </c>
      <c r="AE5">
        <v>1.507886325303434</v>
      </c>
      <c r="AF5">
        <v>1.0642730145189585</v>
      </c>
      <c r="AG5">
        <v>0.75116872566991488</v>
      </c>
      <c r="AH5">
        <v>0.53017829704119823</v>
      </c>
      <c r="AI5">
        <v>0.37420224917221012</v>
      </c>
      <c r="AJ5">
        <v>0.26411364642234647</v>
      </c>
      <c r="AK5">
        <v>0.18641261077617446</v>
      </c>
      <c r="AL5">
        <v>0.13157086703812731</v>
      </c>
      <c r="AM5">
        <v>9.2863315314808598E-2</v>
      </c>
      <c r="AN5">
        <v>6.5543349568096806E-2</v>
      </c>
      <c r="AO5">
        <v>4.6260793705700042E-2</v>
      </c>
      <c r="AP5">
        <v>3.2651078231177404E-2</v>
      </c>
      <c r="AQ5">
        <v>2.3045279258300057E-2</v>
      </c>
      <c r="AR5">
        <v>1.6265462730903627E-2</v>
      </c>
      <c r="AS5">
        <v>1.1480237444079932E-2</v>
      </c>
      <c r="AT5">
        <v>8.1028037107145363E-3</v>
      </c>
      <c r="AU5">
        <v>5.7189956474485732E-3</v>
      </c>
      <c r="AV5">
        <v>4.03649309340748E-3</v>
      </c>
      <c r="AW5">
        <v>2.848975151851224E-3</v>
      </c>
      <c r="AX5">
        <v>2.0108195971205978E-3</v>
      </c>
      <c r="AY5">
        <v>1.4192456011899231E-3</v>
      </c>
      <c r="AZ5">
        <v>1.0017099889921863E-3</v>
      </c>
      <c r="BA5">
        <v>7.070114582038772E-4</v>
      </c>
      <c r="BB5">
        <v>4.990118971804243E-4</v>
      </c>
      <c r="BC5">
        <v>3.5220486264849165E-4</v>
      </c>
      <c r="BD5">
        <v>2.4858779114116309E-4</v>
      </c>
      <c r="BE5">
        <v>1.7545439162807984E-4</v>
      </c>
      <c r="BF5">
        <v>1.2383650621079163E-4</v>
      </c>
    </row>
    <row r="6" spans="1:58">
      <c r="A6" t="s">
        <v>489</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1</v>
      </c>
      <c r="AC6">
        <v>0.88670917048073206</v>
      </c>
      <c r="AD6">
        <v>0.65633698804573126</v>
      </c>
      <c r="AE6">
        <v>0.48581683399461706</v>
      </c>
      <c r="AF6">
        <v>0.35959880441190128</v>
      </c>
      <c r="AG6">
        <v>0.26617295055671458</v>
      </c>
      <c r="AH6">
        <v>0.197019675090228</v>
      </c>
      <c r="AI6">
        <v>0.14583282144737753</v>
      </c>
      <c r="AJ6">
        <v>0.10794460909329522</v>
      </c>
      <c r="AK6">
        <v>7.9899973933569179E-2</v>
      </c>
      <c r="AL6">
        <v>5.9141497553318441E-2</v>
      </c>
      <c r="AM6">
        <v>4.3776193666311573E-2</v>
      </c>
      <c r="AN6">
        <v>3.2402884796462014E-2</v>
      </c>
      <c r="AO6">
        <v>2.3984427498108106E-2</v>
      </c>
      <c r="AP6">
        <v>1.7753134204730271E-2</v>
      </c>
      <c r="AQ6">
        <v>1.3140767029608058E-2</v>
      </c>
      <c r="AR6">
        <v>9.7267195828680316E-3</v>
      </c>
      <c r="AS6">
        <v>7.1996614528345611E-3</v>
      </c>
      <c r="AT6">
        <v>5.3291476734592669E-3</v>
      </c>
      <c r="AU6">
        <v>3.9446042166823127E-3</v>
      </c>
      <c r="AV6">
        <v>2.9197731756920161E-3</v>
      </c>
      <c r="AW6">
        <v>2.1611991797394628E-3</v>
      </c>
      <c r="AX6">
        <v>1.5997071051245288E-3</v>
      </c>
      <c r="AY6">
        <v>1.1840939262684712E-3</v>
      </c>
      <c r="AZ6">
        <v>8.7645946044400379E-4</v>
      </c>
      <c r="BA6">
        <v>6.4875021209054285E-4</v>
      </c>
      <c r="BB6">
        <v>4.8020114641048338E-4</v>
      </c>
      <c r="BC6">
        <v>3.5544210501430978E-4</v>
      </c>
      <c r="BD6">
        <v>2.6309618575755549E-4</v>
      </c>
      <c r="BE6">
        <v>1.9474227162082392E-4</v>
      </c>
      <c r="BF6">
        <v>1.4414710060063903E-4</v>
      </c>
    </row>
    <row r="7" spans="1:58">
      <c r="A7" t="s">
        <v>490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1</v>
      </c>
      <c r="AC7">
        <v>0.99406759300580239</v>
      </c>
      <c r="AD7">
        <v>0.88133227833521444</v>
      </c>
      <c r="AE7">
        <v>0.70506582266817164</v>
      </c>
      <c r="AF7">
        <v>0.56405265813453731</v>
      </c>
      <c r="AG7">
        <v>0.45124212650762985</v>
      </c>
      <c r="AH7">
        <v>0.36099370120610391</v>
      </c>
      <c r="AI7">
        <v>0.28879496096488316</v>
      </c>
      <c r="AJ7">
        <v>0.23103596877190655</v>
      </c>
      <c r="AK7">
        <v>0.18482877501752526</v>
      </c>
      <c r="AL7">
        <v>0.14786302001402021</v>
      </c>
      <c r="AM7">
        <v>0.11829041601121618</v>
      </c>
      <c r="AN7">
        <v>9.4632332808972944E-2</v>
      </c>
      <c r="AO7">
        <v>7.5705866247178358E-2</v>
      </c>
      <c r="AP7">
        <v>6.056469299774269E-2</v>
      </c>
      <c r="AQ7">
        <v>4.8451754398194158E-2</v>
      </c>
      <c r="AR7">
        <v>3.876140351855533E-2</v>
      </c>
      <c r="AS7">
        <v>3.1009122814844265E-2</v>
      </c>
      <c r="AT7">
        <v>2.4807298251875415E-2</v>
      </c>
      <c r="AU7">
        <v>1.9845838601500333E-2</v>
      </c>
      <c r="AV7">
        <v>1.5876670881200268E-2</v>
      </c>
      <c r="AW7">
        <v>1.2701336704960216E-2</v>
      </c>
      <c r="AX7">
        <v>1.0161069363968173E-2</v>
      </c>
      <c r="AY7">
        <v>8.1288554911745393E-3</v>
      </c>
      <c r="AZ7">
        <v>6.5030843929396315E-3</v>
      </c>
      <c r="BA7">
        <v>5.2024675143517059E-3</v>
      </c>
      <c r="BB7">
        <v>4.161974011481365E-3</v>
      </c>
      <c r="BC7">
        <v>3.329579209185092E-3</v>
      </c>
      <c r="BD7">
        <v>2.663663367348074E-3</v>
      </c>
      <c r="BE7">
        <v>2.1309306938784591E-3</v>
      </c>
      <c r="BF7">
        <v>1.7047445551027674E-3</v>
      </c>
    </row>
    <row r="8" spans="1:58">
      <c r="A8" t="s">
        <v>491</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1</v>
      </c>
      <c r="AC8">
        <v>1.5066568662665469</v>
      </c>
      <c r="AD8">
        <v>1.3377047770076711</v>
      </c>
      <c r="AE8">
        <v>1.1876984803204458</v>
      </c>
      <c r="AF8">
        <v>1.0545134505020961</v>
      </c>
      <c r="AG8">
        <v>0.93626339994121666</v>
      </c>
      <c r="AH8">
        <v>0.83127356379580308</v>
      </c>
      <c r="AI8">
        <v>0.73805698044926304</v>
      </c>
      <c r="AJ8">
        <v>0.65529343180663535</v>
      </c>
      <c r="AK8">
        <v>0.58181074516432507</v>
      </c>
      <c r="AL8">
        <v>0.51656819183341562</v>
      </c>
      <c r="AM8">
        <v>0.45864174739275076</v>
      </c>
      <c r="AN8">
        <v>0.40721100481407646</v>
      </c>
      <c r="AO8">
        <v>0.36154755511100856</v>
      </c>
      <c r="AP8">
        <v>0.32100467094800172</v>
      </c>
      <c r="AQ8">
        <v>0.28500814709920114</v>
      </c>
      <c r="AR8">
        <v>0.25304816803141766</v>
      </c>
      <c r="AS8">
        <v>0.22467208743253528</v>
      </c>
      <c r="AT8">
        <v>0.19947801742246021</v>
      </c>
      <c r="AU8">
        <v>0.17710913665118264</v>
      </c>
      <c r="AV8">
        <v>0.15724863667005468</v>
      </c>
      <c r="AW8">
        <v>0.13961523500219575</v>
      </c>
      <c r="AX8">
        <v>0.12395919136404407</v>
      </c>
      <c r="AY8">
        <v>0.11005877061615831</v>
      </c>
      <c r="AZ8">
        <v>9.77171023483593E-2</v>
      </c>
      <c r="BA8">
        <v>8.6759392621798395E-2</v>
      </c>
      <c r="BB8">
        <v>7.7030448378105729E-2</v>
      </c>
      <c r="BC8">
        <v>6.8392479454047791E-2</v>
      </c>
      <c r="BD8">
        <v>6.0723147071825148E-2</v>
      </c>
      <c r="BE8">
        <v>5.3913831165953947E-2</v>
      </c>
      <c r="BF8">
        <v>4.7868092007037358E-2</v>
      </c>
    </row>
    <row r="9" spans="1:58">
      <c r="A9" t="s">
        <v>492</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1</v>
      </c>
      <c r="AC9">
        <v>3.6398355399984612</v>
      </c>
      <c r="AD9">
        <v>3.0440167293760503</v>
      </c>
      <c r="AE9">
        <v>2.5457298130357788</v>
      </c>
      <c r="AF9">
        <v>2.1290094165506037</v>
      </c>
      <c r="AG9">
        <v>1.78050359961646</v>
      </c>
      <c r="AH9">
        <v>1.4890460528744307</v>
      </c>
      <c r="AI9">
        <v>1.2452983234959725</v>
      </c>
      <c r="AJ9">
        <v>1.0414506062510975</v>
      </c>
      <c r="AK9">
        <v>0.87097151324823618</v>
      </c>
      <c r="AL9">
        <v>0.7283988048368597</v>
      </c>
      <c r="AM9">
        <v>0.60916437658110756</v>
      </c>
      <c r="AN9">
        <v>0.50944789479516084</v>
      </c>
      <c r="AO9">
        <v>0.42605439104606774</v>
      </c>
      <c r="AP9">
        <v>0.3563118936876209</v>
      </c>
      <c r="AQ9">
        <v>0.29798581648588363</v>
      </c>
      <c r="AR9">
        <v>0.24920736130297658</v>
      </c>
      <c r="AS9">
        <v>0.20841364082352004</v>
      </c>
      <c r="AT9">
        <v>0.17429760282444917</v>
      </c>
      <c r="AU9">
        <v>0.14576615153551412</v>
      </c>
      <c r="AV9">
        <v>0.12190512427686691</v>
      </c>
      <c r="AW9">
        <v>0.10195000120681448</v>
      </c>
      <c r="AX9">
        <v>8.5261409704676647E-2</v>
      </c>
      <c r="AY9">
        <v>7.1304638536314455E-2</v>
      </c>
      <c r="AZ9">
        <v>5.9632505425436105E-2</v>
      </c>
      <c r="BA9">
        <v>4.987102909866975E-2</v>
      </c>
      <c r="BB9">
        <v>4.1707446729204338E-2</v>
      </c>
      <c r="BC9">
        <v>3.4880192851601231E-2</v>
      </c>
      <c r="BD9">
        <v>2.9170518666945582E-2</v>
      </c>
      <c r="BE9">
        <v>2.4395483216474185E-2</v>
      </c>
      <c r="BF9">
        <v>2.040209185720283E-2</v>
      </c>
    </row>
    <row r="10" spans="1:58">
      <c r="A10" t="s">
        <v>493</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row>
    <row r="11" spans="1:58">
      <c r="A11" t="s">
        <v>494</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1</v>
      </c>
      <c r="AC11">
        <v>1.9645840718081138</v>
      </c>
      <c r="AD11">
        <v>1.5716672574464912</v>
      </c>
      <c r="AE11">
        <v>1.257333805957193</v>
      </c>
      <c r="AF11">
        <v>1.0058670447657545</v>
      </c>
      <c r="AG11">
        <v>0.80469363581260367</v>
      </c>
      <c r="AH11">
        <v>0.643754908650083</v>
      </c>
      <c r="AI11">
        <v>0.51500392692006647</v>
      </c>
      <c r="AJ11">
        <v>0.41200314153605322</v>
      </c>
      <c r="AK11">
        <v>0.3296025132288426</v>
      </c>
      <c r="AL11">
        <v>0.26368201058307411</v>
      </c>
      <c r="AM11">
        <v>0.21094560846645929</v>
      </c>
      <c r="AN11">
        <v>0.16875648677316746</v>
      </c>
      <c r="AO11">
        <v>0.13500518941853398</v>
      </c>
      <c r="AP11">
        <v>0.10800415153482719</v>
      </c>
      <c r="AQ11">
        <v>8.6403321227861762E-2</v>
      </c>
      <c r="AR11">
        <v>6.9122656982289407E-2</v>
      </c>
      <c r="AS11">
        <v>5.5298125585831526E-2</v>
      </c>
      <c r="AT11">
        <v>4.4238500468665225E-2</v>
      </c>
      <c r="AU11">
        <v>3.5390800374932183E-2</v>
      </c>
      <c r="AV11">
        <v>2.8312640299945749E-2</v>
      </c>
      <c r="AW11">
        <v>2.26501122399566E-2</v>
      </c>
      <c r="AX11">
        <v>1.812008979196528E-2</v>
      </c>
      <c r="AY11">
        <v>1.4496071833572224E-2</v>
      </c>
      <c r="AZ11">
        <v>1.159685746685778E-2</v>
      </c>
      <c r="BA11">
        <v>9.2774859734862242E-3</v>
      </c>
      <c r="BB11">
        <v>7.4219887787889795E-3</v>
      </c>
      <c r="BC11">
        <v>5.9375910230311836E-3</v>
      </c>
      <c r="BD11">
        <v>4.7500728184249469E-3</v>
      </c>
      <c r="BE11">
        <v>3.8000582547399577E-3</v>
      </c>
      <c r="BF11">
        <v>3.0400466037919663E-3</v>
      </c>
    </row>
    <row r="12" spans="1:58">
      <c r="A12" t="s">
        <v>495</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1</v>
      </c>
      <c r="AC12">
        <v>1.3855394706609268</v>
      </c>
      <c r="AD12">
        <v>1.1084315765287414</v>
      </c>
      <c r="AE12">
        <v>1.097347260763454</v>
      </c>
      <c r="AF12">
        <v>0.87787780861076314</v>
      </c>
      <c r="AG12">
        <v>0.70230224688861043</v>
      </c>
      <c r="AH12">
        <v>0.56184179751088825</v>
      </c>
      <c r="AI12">
        <v>0.44947343800871059</v>
      </c>
      <c r="AJ12">
        <v>0.35957875040696846</v>
      </c>
      <c r="AK12">
        <v>0.28766300032557474</v>
      </c>
      <c r="AL12">
        <v>0.23013040026045978</v>
      </c>
      <c r="AM12">
        <v>0.18410432020836781</v>
      </c>
      <c r="AN12">
        <v>0.14728345616669425</v>
      </c>
      <c r="AO12">
        <v>0.11782676493335539</v>
      </c>
      <c r="AP12">
        <v>9.4261411946684304E-2</v>
      </c>
      <c r="AQ12">
        <v>7.5409129557347437E-2</v>
      </c>
      <c r="AR12">
        <v>6.0327303645877947E-2</v>
      </c>
      <c r="AS12">
        <v>4.8261842916702352E-2</v>
      </c>
      <c r="AT12">
        <v>3.8609474333361878E-2</v>
      </c>
      <c r="AU12">
        <v>3.0887579466689498E-2</v>
      </c>
      <c r="AV12">
        <v>2.4710063573351596E-2</v>
      </c>
      <c r="AW12">
        <v>1.9768050858681274E-2</v>
      </c>
      <c r="AX12">
        <v>1.5814440686945017E-2</v>
      </c>
      <c r="AY12">
        <v>1.2651552549556013E-2</v>
      </c>
      <c r="AZ12">
        <v>1.0121242039644811E-2</v>
      </c>
      <c r="BA12">
        <v>8.0969936317158483E-3</v>
      </c>
      <c r="BB12">
        <v>6.4775949053726785E-3</v>
      </c>
      <c r="BC12">
        <v>5.1820759242981428E-3</v>
      </c>
      <c r="BD12">
        <v>4.1456607394385137E-3</v>
      </c>
      <c r="BE12">
        <v>3.3165285915508105E-3</v>
      </c>
      <c r="BF12">
        <v>2.653222873240648E-3</v>
      </c>
    </row>
    <row r="13" spans="1:58">
      <c r="A13" t="s">
        <v>496</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1</v>
      </c>
      <c r="AC13">
        <v>2.51483472887629</v>
      </c>
      <c r="AD13">
        <v>1.6346425737695887</v>
      </c>
      <c r="AE13">
        <v>1.0625176729502326</v>
      </c>
      <c r="AF13">
        <v>0.69063648741765116</v>
      </c>
      <c r="AG13">
        <v>0.44891371682147324</v>
      </c>
      <c r="AH13">
        <v>0.29179391593395759</v>
      </c>
      <c r="AI13">
        <v>0.18966604535707243</v>
      </c>
      <c r="AJ13">
        <v>0.12328292948209708</v>
      </c>
      <c r="AK13">
        <v>8.0133904163363107E-2</v>
      </c>
      <c r="AL13">
        <v>5.2087037706186022E-2</v>
      </c>
      <c r="AM13">
        <v>3.3856574509020916E-2</v>
      </c>
      <c r="AN13">
        <v>2.2006773430863595E-2</v>
      </c>
      <c r="AO13">
        <v>1.4304402730061337E-2</v>
      </c>
      <c r="AP13">
        <v>9.297861774539869E-3</v>
      </c>
      <c r="AQ13">
        <v>6.0436101534509148E-3</v>
      </c>
      <c r="AR13">
        <v>3.9283465997430947E-3</v>
      </c>
      <c r="AS13">
        <v>2.5534252898330115E-3</v>
      </c>
      <c r="AT13">
        <v>1.6597264383914575E-3</v>
      </c>
      <c r="AU13">
        <v>1.0788221849544475E-3</v>
      </c>
      <c r="AV13">
        <v>7.0123442022039094E-4</v>
      </c>
      <c r="AW13">
        <v>4.5580237314325414E-4</v>
      </c>
      <c r="AX13">
        <v>2.9627154254311522E-4</v>
      </c>
      <c r="AY13">
        <v>1.9257650265302491E-4</v>
      </c>
      <c r="AZ13">
        <v>1.251747267244662E-4</v>
      </c>
      <c r="BA13">
        <v>8.1363572370903034E-5</v>
      </c>
      <c r="BB13">
        <v>5.2886322041086975E-5</v>
      </c>
      <c r="BC13">
        <v>3.4376109326706533E-5</v>
      </c>
      <c r="BD13">
        <v>2.2344471062359247E-5</v>
      </c>
      <c r="BE13">
        <v>1.452390619053351E-5</v>
      </c>
      <c r="BF13">
        <v>9.4405390238467817E-6</v>
      </c>
    </row>
    <row r="15" spans="1:58">
      <c r="A15" t="s">
        <v>514</v>
      </c>
    </row>
    <row r="16" spans="1:58">
      <c r="A16" t="s">
        <v>488</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1</v>
      </c>
      <c r="AC16">
        <v>4.64054351235123</v>
      </c>
      <c r="AD16">
        <v>2.7843261074107377</v>
      </c>
      <c r="AE16">
        <v>1.9490282751875163</v>
      </c>
      <c r="AF16">
        <v>1.1694169651125097</v>
      </c>
      <c r="AG16">
        <v>0.70165017906750582</v>
      </c>
      <c r="AH16">
        <v>0.42099010744050347</v>
      </c>
      <c r="AI16">
        <v>0.25259406446430205</v>
      </c>
      <c r="AJ16">
        <v>0.15155643867858123</v>
      </c>
      <c r="AK16">
        <v>9.0933863207148732E-2</v>
      </c>
      <c r="AL16">
        <v>5.4560317924289239E-2</v>
      </c>
      <c r="AM16">
        <v>3.2736190754573541E-2</v>
      </c>
      <c r="AN16">
        <v>1.9641714452744125E-2</v>
      </c>
      <c r="AO16">
        <v>1.1785028671646474E-2</v>
      </c>
      <c r="AP16">
        <v>7.0710172029878841E-3</v>
      </c>
      <c r="AQ16">
        <v>4.2426103217927304E-3</v>
      </c>
      <c r="AR16">
        <v>2.5455661930756384E-3</v>
      </c>
      <c r="AS16">
        <v>1.5273397158453829E-3</v>
      </c>
      <c r="AT16">
        <v>9.1640382950722971E-4</v>
      </c>
      <c r="AU16">
        <v>5.4984229770433778E-4</v>
      </c>
      <c r="AV16">
        <v>3.2990537862260264E-4</v>
      </c>
      <c r="AW16">
        <v>1.9794322717356158E-4</v>
      </c>
      <c r="AX16">
        <v>1.1876593630413694E-4</v>
      </c>
      <c r="AY16">
        <v>7.1259561782482163E-5</v>
      </c>
      <c r="AZ16">
        <v>4.2755737069489298E-5</v>
      </c>
      <c r="BA16">
        <v>2.5653442241693579E-5</v>
      </c>
      <c r="BB16">
        <v>1.5392065345016146E-5</v>
      </c>
      <c r="BC16">
        <v>9.2352392070096864E-6</v>
      </c>
      <c r="BD16">
        <v>5.5411435242058113E-6</v>
      </c>
      <c r="BE16">
        <v>3.3246861145234866E-6</v>
      </c>
      <c r="BF16">
        <v>1.9948116687140919E-6</v>
      </c>
    </row>
    <row r="17" spans="1:58">
      <c r="A17" t="s">
        <v>489</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1</v>
      </c>
      <c r="AC17">
        <v>1.2381507285545748</v>
      </c>
      <c r="AD17">
        <v>0.86670550998820228</v>
      </c>
      <c r="AE17">
        <v>0.60669385699174161</v>
      </c>
      <c r="AF17">
        <v>0.42468569989421912</v>
      </c>
      <c r="AG17">
        <v>0.29727998992595334</v>
      </c>
      <c r="AH17">
        <v>0.20809599294816733</v>
      </c>
      <c r="AI17">
        <v>0.14566719506371711</v>
      </c>
      <c r="AJ17">
        <v>0.10196703654460197</v>
      </c>
      <c r="AK17">
        <v>7.137692558122137E-2</v>
      </c>
      <c r="AL17">
        <v>4.9963847906854958E-2</v>
      </c>
      <c r="AM17">
        <v>3.4974693534798471E-2</v>
      </c>
      <c r="AN17">
        <v>2.4482285474358927E-2</v>
      </c>
      <c r="AO17">
        <v>1.7137599832051247E-2</v>
      </c>
      <c r="AP17">
        <v>1.1996319882435873E-2</v>
      </c>
      <c r="AQ17">
        <v>8.3974239177051109E-3</v>
      </c>
      <c r="AR17">
        <v>5.8781967423935776E-3</v>
      </c>
      <c r="AS17">
        <v>4.1147377196755043E-3</v>
      </c>
      <c r="AT17">
        <v>2.8803164037728528E-3</v>
      </c>
      <c r="AU17">
        <v>2.0162214826409969E-3</v>
      </c>
      <c r="AV17">
        <v>1.4113550378486977E-3</v>
      </c>
      <c r="AW17">
        <v>9.8794852649408834E-4</v>
      </c>
      <c r="AX17">
        <v>6.9156396854586175E-4</v>
      </c>
      <c r="AY17">
        <v>4.8409477798210318E-4</v>
      </c>
      <c r="AZ17">
        <v>3.3886634458747222E-4</v>
      </c>
      <c r="BA17">
        <v>2.3720644121123053E-4</v>
      </c>
      <c r="BB17">
        <v>1.6604450884786137E-4</v>
      </c>
      <c r="BC17">
        <v>1.1623115619350295E-4</v>
      </c>
      <c r="BD17">
        <v>8.1361809335452059E-5</v>
      </c>
      <c r="BE17">
        <v>5.6953266534816436E-5</v>
      </c>
      <c r="BF17">
        <v>3.9867286574371502E-5</v>
      </c>
    </row>
    <row r="18" spans="1:58">
      <c r="A18" t="s">
        <v>490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1</v>
      </c>
      <c r="AC18">
        <v>1.0611965496006699</v>
      </c>
      <c r="AD18">
        <v>0.8609947915172782</v>
      </c>
      <c r="AE18">
        <v>0.69856242116395717</v>
      </c>
      <c r="AF18">
        <v>0.5667739933739856</v>
      </c>
      <c r="AG18">
        <v>0.45984832540784387</v>
      </c>
      <c r="AH18">
        <v>0.3730948929423904</v>
      </c>
      <c r="AI18">
        <v>0.30270807013646539</v>
      </c>
      <c r="AJ18">
        <v>0.24560018767100139</v>
      </c>
      <c r="AK18">
        <v>0.19926608549563338</v>
      </c>
      <c r="AL18">
        <v>0.16167321859681694</v>
      </c>
      <c r="AM18">
        <v>0.13117249504069239</v>
      </c>
      <c r="AN18">
        <v>0.10642593500974087</v>
      </c>
      <c r="AO18">
        <v>8.6347977441336946E-2</v>
      </c>
      <c r="AP18">
        <v>7.0057859557702815E-2</v>
      </c>
      <c r="AQ18">
        <v>5.6840980312958429E-2</v>
      </c>
      <c r="AR18">
        <v>4.6117552881800722E-2</v>
      </c>
      <c r="AS18">
        <v>3.7417171063828719E-2</v>
      </c>
      <c r="AT18">
        <v>3.0358173904156092E-2</v>
      </c>
      <c r="AU18">
        <v>2.4630903315026809E-2</v>
      </c>
      <c r="AV18">
        <v>1.9984120258008758E-2</v>
      </c>
      <c r="AW18">
        <v>1.6213983603391095E-2</v>
      </c>
      <c r="AX18">
        <v>1.3155108200756509E-2</v>
      </c>
      <c r="AY18">
        <v>1.0673309903768309E-2</v>
      </c>
      <c r="AZ18">
        <v>8.6597192940858908E-3</v>
      </c>
      <c r="BA18">
        <v>7.0260058902522149E-3</v>
      </c>
      <c r="BB18">
        <v>5.7005033412078632E-3</v>
      </c>
      <c r="BC18">
        <v>4.6250656277140555E-3</v>
      </c>
      <c r="BD18">
        <v>3.7525163622006549E-3</v>
      </c>
      <c r="BE18">
        <v>3.0445792950928086E-3</v>
      </c>
      <c r="BF18">
        <v>2.4701992448266812E-3</v>
      </c>
    </row>
    <row r="19" spans="1:58">
      <c r="A19" t="s">
        <v>491</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1</v>
      </c>
      <c r="AC19">
        <v>1.1807781918678359</v>
      </c>
      <c r="AD19">
        <v>1.1404373659373115</v>
      </c>
      <c r="AE19">
        <v>0.91234989274984923</v>
      </c>
      <c r="AF19">
        <v>0.72987991419987941</v>
      </c>
      <c r="AG19">
        <v>0.58390393135990359</v>
      </c>
      <c r="AH19">
        <v>0.46712314508792291</v>
      </c>
      <c r="AI19">
        <v>0.37369851607033833</v>
      </c>
      <c r="AJ19">
        <v>0.29895881285627068</v>
      </c>
      <c r="AK19">
        <v>0.23916705028501656</v>
      </c>
      <c r="AL19">
        <v>0.19133364022801325</v>
      </c>
      <c r="AM19">
        <v>0.15306691218241061</v>
      </c>
      <c r="AN19">
        <v>0.12245352974592849</v>
      </c>
      <c r="AO19">
        <v>9.7962823796742801E-2</v>
      </c>
      <c r="AP19">
        <v>7.8370259037394252E-2</v>
      </c>
      <c r="AQ19">
        <v>6.269620722991541E-2</v>
      </c>
      <c r="AR19">
        <v>5.0156965783932334E-2</v>
      </c>
      <c r="AS19">
        <v>4.0125572627145868E-2</v>
      </c>
      <c r="AT19">
        <v>3.2100458101716696E-2</v>
      </c>
      <c r="AU19">
        <v>2.5680366481373357E-2</v>
      </c>
      <c r="AV19">
        <v>2.0544293185098688E-2</v>
      </c>
      <c r="AW19">
        <v>1.6435434548078953E-2</v>
      </c>
      <c r="AX19">
        <v>1.3148347638463162E-2</v>
      </c>
      <c r="AY19">
        <v>1.051867811077053E-2</v>
      </c>
      <c r="AZ19">
        <v>8.414942488616425E-3</v>
      </c>
      <c r="BA19">
        <v>6.7319539908931407E-3</v>
      </c>
      <c r="BB19">
        <v>5.3855631927145131E-3</v>
      </c>
      <c r="BC19">
        <v>4.3084505541716106E-3</v>
      </c>
      <c r="BD19">
        <v>3.4467604433372889E-3</v>
      </c>
      <c r="BE19">
        <v>2.7574083546698311E-3</v>
      </c>
      <c r="BF19">
        <v>2.2059266837358648E-3</v>
      </c>
    </row>
    <row r="20" spans="1:58">
      <c r="A20" t="s">
        <v>492</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1</v>
      </c>
      <c r="AD20">
        <v>0.75161287324241943</v>
      </c>
      <c r="AE20">
        <v>0.56492191122372526</v>
      </c>
      <c r="AF20">
        <v>0.42460258085246316</v>
      </c>
      <c r="AG20">
        <v>0.31913676578066652</v>
      </c>
      <c r="AH20">
        <v>0.23986730148569982</v>
      </c>
      <c r="AI20">
        <v>0.1802873516665725</v>
      </c>
      <c r="AJ20">
        <v>0.13550629439537906</v>
      </c>
      <c r="AK20">
        <v>0.10184827527294402</v>
      </c>
      <c r="AL20">
        <v>7.6550474812682318E-2</v>
      </c>
      <c r="AM20">
        <v>5.7536322322031618E-2</v>
      </c>
      <c r="AN20">
        <v>4.3245040536264136E-2</v>
      </c>
      <c r="AO20">
        <v>3.2503529170946385E-2</v>
      </c>
      <c r="AP20">
        <v>2.4430070950693807E-2</v>
      </c>
      <c r="AQ20">
        <v>1.8361955820767138E-2</v>
      </c>
      <c r="AR20">
        <v>1.3801082372797157E-2</v>
      </c>
      <c r="AS20">
        <v>1.0373071176073379E-2</v>
      </c>
      <c r="AT20">
        <v>7.7965338309966357E-3</v>
      </c>
      <c r="AU20">
        <v>5.859975194047109E-3</v>
      </c>
      <c r="AV20">
        <v>4.4044327927270522E-3</v>
      </c>
      <c r="AW20">
        <v>3.3104283863447134E-3</v>
      </c>
      <c r="AX20">
        <v>2.4881605911238162E-3</v>
      </c>
      <c r="AY20">
        <v>1.8701335309831283E-3</v>
      </c>
      <c r="AZ20">
        <v>1.4056164365692204E-3</v>
      </c>
      <c r="BA20">
        <v>1.0564794085665627E-3</v>
      </c>
      <c r="BB20">
        <v>7.9406352379416615E-4</v>
      </c>
      <c r="BC20">
        <v>5.9682836665593346E-4</v>
      </c>
      <c r="BD20">
        <v>4.4858388349484636E-4</v>
      </c>
      <c r="BE20">
        <v>3.371614215638042E-4</v>
      </c>
      <c r="BF20">
        <v>2.5341486480806949E-4</v>
      </c>
    </row>
    <row r="21" spans="1:58">
      <c r="A21" t="s">
        <v>493</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1</v>
      </c>
      <c r="AD21">
        <v>0.78949062040267681</v>
      </c>
      <c r="AE21">
        <v>0.62329543970380352</v>
      </c>
      <c r="AF21">
        <v>0.49208590338591507</v>
      </c>
      <c r="AG21">
        <v>0.38849720515555775</v>
      </c>
      <c r="AH21">
        <v>0.30671489952296732</v>
      </c>
      <c r="AI21">
        <v>0.24214853631113215</v>
      </c>
      <c r="AJ21">
        <v>0.19117399816187583</v>
      </c>
      <c r="AK21">
        <v>0.15093007841367956</v>
      </c>
      <c r="AL21">
        <v>0.11915788124424054</v>
      </c>
      <c r="AM21">
        <v>9.4074029589383948E-2</v>
      </c>
      <c r="AN21">
        <v>7.4270563984302512E-2</v>
      </c>
      <c r="AO21">
        <v>5.8635913637623695E-2</v>
      </c>
      <c r="AP21">
        <v>4.6292503835645309E-2</v>
      </c>
      <c r="AQ21">
        <v>3.6547497573196912E-2</v>
      </c>
      <c r="AR21">
        <v>2.8853906533228554E-2</v>
      </c>
      <c r="AS21">
        <v>2.277988856995946E-2</v>
      </c>
      <c r="AT21">
        <v>1.798450835980114E-2</v>
      </c>
      <c r="AU21">
        <v>1.419860066261653E-2</v>
      </c>
      <c r="AV21">
        <v>1.1209662045978981E-2</v>
      </c>
      <c r="AW21">
        <v>8.8499230431842851E-3</v>
      </c>
      <c r="AX21">
        <v>6.986931233879507E-3</v>
      </c>
      <c r="AY21">
        <v>5.5161166745463725E-3</v>
      </c>
      <c r="AZ21">
        <v>4.3549223756011663E-3</v>
      </c>
      <c r="BA21">
        <v>3.4381703681188639E-3</v>
      </c>
      <c r="BB21">
        <v>2.7144032569762617E-3</v>
      </c>
      <c r="BC21">
        <v>2.1429959113732355E-3</v>
      </c>
      <c r="BD21">
        <v>1.6918751715904556E-3</v>
      </c>
      <c r="BE21">
        <v>1.3357195788628342E-3</v>
      </c>
      <c r="BF21">
        <v>1.0545380790004211E-3</v>
      </c>
    </row>
    <row r="22" spans="1:58">
      <c r="A22" t="s">
        <v>494</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1</v>
      </c>
      <c r="AC22">
        <v>1.8448782838018529</v>
      </c>
      <c r="AD22">
        <v>1.23432120656246</v>
      </c>
      <c r="AE22">
        <v>0.82582620997095668</v>
      </c>
      <c r="AF22">
        <v>0.55252143886785288</v>
      </c>
      <c r="AG22">
        <v>0.3696660831573011</v>
      </c>
      <c r="AH22">
        <v>0.24732617311080318</v>
      </c>
      <c r="AI22">
        <v>0.16547429881362877</v>
      </c>
      <c r="AJ22">
        <v>0.11071106314168766</v>
      </c>
      <c r="AK22">
        <v>7.4071560295702235E-2</v>
      </c>
      <c r="AL22">
        <v>4.9557793854965733E-2</v>
      </c>
      <c r="AM22">
        <v>3.3156786787894618E-2</v>
      </c>
      <c r="AN22">
        <v>2.2183645085479223E-2</v>
      </c>
      <c r="AO22">
        <v>1.4842032565657869E-2</v>
      </c>
      <c r="AP22">
        <v>9.9301052568787056E-3</v>
      </c>
      <c r="AQ22">
        <v>6.6437659381539957E-3</v>
      </c>
      <c r="AR22">
        <v>4.4450310141878084E-3</v>
      </c>
      <c r="AS22">
        <v>2.973960988544615E-3</v>
      </c>
      <c r="AT22">
        <v>1.9897372893811654E-3</v>
      </c>
      <c r="AU22">
        <v>1.3312395475272773E-3</v>
      </c>
      <c r="AV22">
        <v>8.9066970919151212E-4</v>
      </c>
      <c r="AW22">
        <v>5.9590517149584463E-4</v>
      </c>
      <c r="AX22">
        <v>3.9869209624051292E-4</v>
      </c>
      <c r="AY22">
        <v>2.6674611197893057E-4</v>
      </c>
      <c r="AZ22">
        <v>1.7846726565894222E-4</v>
      </c>
      <c r="BA22">
        <v>1.194040455753493E-4</v>
      </c>
      <c r="BB22">
        <v>7.9887625594076111E-5</v>
      </c>
      <c r="BC22">
        <v>5.3449049337544734E-5</v>
      </c>
      <c r="BD22">
        <v>3.5760242638869103E-5</v>
      </c>
      <c r="BE22">
        <v>2.3925494829942943E-5</v>
      </c>
      <c r="BF22">
        <v>1.600742222692394E-5</v>
      </c>
    </row>
    <row r="23" spans="1:58">
      <c r="A23" t="s">
        <v>495</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1</v>
      </c>
      <c r="AC23">
        <v>0.98659120966132063</v>
      </c>
      <c r="AD23">
        <v>0.59803519739859101</v>
      </c>
      <c r="AE23">
        <v>0.36250687602451409</v>
      </c>
      <c r="AF23">
        <v>0.21973829590077909</v>
      </c>
      <c r="AG23">
        <v>0.13319724915262887</v>
      </c>
      <c r="AH23">
        <v>8.0739258985782408E-2</v>
      </c>
      <c r="AI23">
        <v>4.8941160444713173E-2</v>
      </c>
      <c r="AJ23">
        <v>2.9666326094185992E-2</v>
      </c>
      <c r="AK23">
        <v>1.7982632531175539E-2</v>
      </c>
      <c r="AL23">
        <v>1.0900408487543319E-2</v>
      </c>
      <c r="AM23">
        <v>6.6074255251179917E-3</v>
      </c>
      <c r="AN23">
        <v>4.0051776151207533E-3</v>
      </c>
      <c r="AO23">
        <v>2.4277909251770049E-3</v>
      </c>
      <c r="AP23">
        <v>1.4716373012072055E-3</v>
      </c>
      <c r="AQ23">
        <v>8.9205224545706283E-4</v>
      </c>
      <c r="AR23">
        <v>5.4072916470125935E-4</v>
      </c>
      <c r="AS23">
        <v>3.2777007293862049E-4</v>
      </c>
      <c r="AT23">
        <v>1.9868212725966618E-4</v>
      </c>
      <c r="AU23">
        <v>1.2043377645346636E-4</v>
      </c>
      <c r="AV23">
        <v>7.3002512661278409E-5</v>
      </c>
      <c r="AW23">
        <v>4.4251430219987287E-5</v>
      </c>
      <c r="AX23">
        <v>2.6823584629204904E-5</v>
      </c>
      <c r="AY23">
        <v>1.6259467519653973E-5</v>
      </c>
      <c r="AZ23">
        <v>9.8558894225808375E-6</v>
      </c>
      <c r="BA23">
        <v>5.9742765987091865E-6</v>
      </c>
      <c r="BB23">
        <v>3.6213860918640458E-6</v>
      </c>
      <c r="BC23">
        <v>2.1951506612833891E-6</v>
      </c>
      <c r="BD23">
        <v>1.3306193549919348E-6</v>
      </c>
      <c r="BE23">
        <v>8.0657236840591456E-7</v>
      </c>
      <c r="BF23">
        <v>4.889144164597467E-7</v>
      </c>
    </row>
    <row r="24" spans="1:58">
      <c r="A24" t="s">
        <v>496</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1</v>
      </c>
      <c r="AD24">
        <v>0.68021089551785607</v>
      </c>
      <c r="AE24">
        <v>0.46268686238120371</v>
      </c>
      <c r="AF24">
        <v>0.31472464500466563</v>
      </c>
      <c r="AG24">
        <v>0.21407913262016295</v>
      </c>
      <c r="AH24">
        <v>0.14561895851124693</v>
      </c>
      <c r="AI24">
        <v>9.9051602173312797E-2</v>
      </c>
      <c r="AJ24">
        <v>6.7375979016787518E-2</v>
      </c>
      <c r="AK24">
        <v>4.5829875023401315E-2</v>
      </c>
      <c r="AL24">
        <v>3.1173980331139235E-2</v>
      </c>
      <c r="AM24">
        <v>2.1204881077900251E-2</v>
      </c>
      <c r="AN24">
        <v>1.442379114734817E-2</v>
      </c>
      <c r="AO24">
        <v>9.8112198931002235E-3</v>
      </c>
      <c r="AP24">
        <v>6.6736986696083068E-3</v>
      </c>
      <c r="AQ24">
        <v>4.5395225484705908E-3</v>
      </c>
      <c r="AR24">
        <v>3.0878326979186807E-3</v>
      </c>
      <c r="AS24">
        <v>2.1003774446605836E-3</v>
      </c>
      <c r="AT24">
        <v>1.4286996225580818E-3</v>
      </c>
      <c r="AU24">
        <v>9.718170496862558E-4</v>
      </c>
      <c r="AV24">
        <v>6.6104054564660884E-4</v>
      </c>
      <c r="AW24">
        <v>4.49646981527892E-4</v>
      </c>
      <c r="AX24">
        <v>3.0585477597198831E-4</v>
      </c>
      <c r="AY24">
        <v>2.0804575106231942E-4</v>
      </c>
      <c r="AZ24">
        <v>1.4151498663878524E-4</v>
      </c>
      <c r="BA24">
        <v>9.626003579076555E-5</v>
      </c>
      <c r="BB24">
        <v>6.5477125147817507E-5</v>
      </c>
      <c r="BC24">
        <v>4.453825393273168E-5</v>
      </c>
      <c r="BD24">
        <v>3.029540559238509E-5</v>
      </c>
      <c r="BE24">
        <v>2.0607264968072929E-5</v>
      </c>
      <c r="BF24">
        <v>1.401728615810663E-5</v>
      </c>
    </row>
    <row r="26" spans="1:58">
      <c r="A26" t="s">
        <v>515</v>
      </c>
    </row>
    <row r="27" spans="1:58">
      <c r="A27" t="s">
        <v>488</v>
      </c>
      <c r="B27">
        <v>-0.4730976829789002</v>
      </c>
      <c r="C27">
        <v>-0.30454804651243894</v>
      </c>
    </row>
    <row r="28" spans="1:58">
      <c r="A28" t="s">
        <v>489</v>
      </c>
      <c r="B28">
        <v>-0.7255470169009991</v>
      </c>
      <c r="C28">
        <v>-0.77770614738814881</v>
      </c>
    </row>
    <row r="29" spans="1:58">
      <c r="A29" t="s">
        <v>490</v>
      </c>
      <c r="B29">
        <v>-1.0186084824899018</v>
      </c>
      <c r="C29">
        <v>-1.3926805971866092</v>
      </c>
    </row>
    <row r="30" spans="1:58">
      <c r="A30" t="s">
        <v>491</v>
      </c>
      <c r="B30">
        <v>-0.64946014678466168</v>
      </c>
      <c r="C30">
        <v>-1.8867331075824525</v>
      </c>
    </row>
    <row r="31" spans="1:58">
      <c r="A31" t="s">
        <v>492</v>
      </c>
      <c r="B31">
        <v>-0.42539260665257755</v>
      </c>
      <c r="C31">
        <v>-1.6374921358278534</v>
      </c>
    </row>
    <row r="32" spans="1:58">
      <c r="A32" t="s">
        <v>493</v>
      </c>
      <c r="B32">
        <v>0</v>
      </c>
      <c r="C32">
        <v>-2.1055465934185329</v>
      </c>
    </row>
    <row r="33" spans="1:3">
      <c r="A33" t="s">
        <v>494</v>
      </c>
      <c r="B33">
        <v>-0.39344079861880926</v>
      </c>
      <c r="C33">
        <v>-0.44329700992857574</v>
      </c>
    </row>
    <row r="34" spans="1:3">
      <c r="A34" t="s">
        <v>495</v>
      </c>
      <c r="B34">
        <v>-0.73483982105368251</v>
      </c>
      <c r="C34">
        <v>-0.69365107612359556</v>
      </c>
    </row>
    <row r="35" spans="1:3">
      <c r="A35" t="s">
        <v>496</v>
      </c>
      <c r="B35">
        <v>-0.60770397224808348</v>
      </c>
      <c r="C35">
        <v>-2.0078062691478329</v>
      </c>
    </row>
    <row r="37" spans="1:3">
      <c r="A37" t="s">
        <v>516</v>
      </c>
    </row>
    <row r="38" spans="1:3">
      <c r="A38" t="s">
        <v>488</v>
      </c>
      <c r="B38">
        <v>709.7654</v>
      </c>
      <c r="C38">
        <v>713.87040000000002</v>
      </c>
    </row>
    <row r="39" spans="1:3">
      <c r="A39" t="s">
        <v>489</v>
      </c>
      <c r="B39">
        <v>11571.46</v>
      </c>
      <c r="C39">
        <v>8574.0889999999999</v>
      </c>
    </row>
    <row r="40" spans="1:3">
      <c r="A40" t="s">
        <v>490</v>
      </c>
      <c r="B40">
        <v>1423.633</v>
      </c>
      <c r="C40">
        <v>1473.5239999999999</v>
      </c>
    </row>
    <row r="41" spans="1:3">
      <c r="A41" t="s">
        <v>491</v>
      </c>
      <c r="B41">
        <v>189.56800000000001</v>
      </c>
      <c r="C41">
        <v>18.965599999999998</v>
      </c>
    </row>
    <row r="42" spans="1:3">
      <c r="A42" t="s">
        <v>492</v>
      </c>
      <c r="B42">
        <v>2022.191</v>
      </c>
      <c r="C42">
        <v>550.19870000000003</v>
      </c>
    </row>
    <row r="43" spans="1:3">
      <c r="A43" t="s">
        <v>493</v>
      </c>
      <c r="B43">
        <v>0</v>
      </c>
      <c r="C43">
        <v>4.5441520000000004</v>
      </c>
    </row>
    <row r="44" spans="1:3">
      <c r="A44" t="s">
        <v>494</v>
      </c>
      <c r="B44">
        <v>279.33339999999998</v>
      </c>
      <c r="C44">
        <v>41.940300000000001</v>
      </c>
    </row>
    <row r="45" spans="1:3">
      <c r="A45" t="s">
        <v>495</v>
      </c>
      <c r="B45">
        <v>370.28399999999999</v>
      </c>
      <c r="C45">
        <v>290.42809999999997</v>
      </c>
    </row>
    <row r="46" spans="1:3">
      <c r="A46" t="s">
        <v>496</v>
      </c>
      <c r="B46">
        <v>3266.9560000000001</v>
      </c>
      <c r="C46">
        <v>1063.9190000000001</v>
      </c>
    </row>
    <row r="47" spans="1:3">
      <c r="A47" t="s">
        <v>483</v>
      </c>
      <c r="B47">
        <f>SUM(B38:B46)</f>
        <v>19833.190799999997</v>
      </c>
      <c r="C47">
        <f>SUM(C38:C46)</f>
        <v>12731.479251999999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6966A-AB6E-4A34-B523-77716D19857C}">
  <dimension ref="A1:BF8"/>
  <sheetViews>
    <sheetView tabSelected="1" workbookViewId="0"/>
  </sheetViews>
  <sheetFormatPr defaultRowHeight="15"/>
  <sheetData>
    <row r="1" spans="1:58">
      <c r="A1" t="s">
        <v>551</v>
      </c>
    </row>
    <row r="3" spans="1:58">
      <c r="A3" t="s">
        <v>486</v>
      </c>
      <c r="C3">
        <f>'NEMS rail covid'!C3</f>
        <v>1995</v>
      </c>
      <c r="D3">
        <f>'NEMS rail covid'!D3</f>
        <v>1996</v>
      </c>
      <c r="E3">
        <f>'NEMS rail covid'!E3</f>
        <v>1997</v>
      </c>
      <c r="F3">
        <f>'NEMS rail covid'!F3</f>
        <v>1998</v>
      </c>
      <c r="G3">
        <f>'NEMS rail covid'!G3</f>
        <v>1999</v>
      </c>
      <c r="H3">
        <f>'NEMS rail covid'!H3</f>
        <v>2000</v>
      </c>
      <c r="I3">
        <f>'NEMS rail covid'!I3</f>
        <v>2001</v>
      </c>
      <c r="J3">
        <f>'NEMS rail covid'!J3</f>
        <v>2002</v>
      </c>
      <c r="K3">
        <f>'NEMS rail covid'!K3</f>
        <v>2003</v>
      </c>
      <c r="L3">
        <f>'NEMS rail covid'!L3</f>
        <v>2004</v>
      </c>
      <c r="M3">
        <f>'NEMS rail covid'!M3</f>
        <v>2005</v>
      </c>
      <c r="N3">
        <f>'NEMS rail covid'!N3</f>
        <v>2006</v>
      </c>
      <c r="O3">
        <f>'NEMS rail covid'!O3</f>
        <v>2007</v>
      </c>
      <c r="P3">
        <f>'NEMS rail covid'!P3</f>
        <v>2008</v>
      </c>
      <c r="Q3">
        <f>'NEMS rail covid'!Q3</f>
        <v>2009</v>
      </c>
      <c r="R3">
        <f>'NEMS rail covid'!R3</f>
        <v>2010</v>
      </c>
      <c r="S3">
        <f>'NEMS rail covid'!S3</f>
        <v>2011</v>
      </c>
      <c r="T3">
        <f>'NEMS rail covid'!T3</f>
        <v>2012</v>
      </c>
      <c r="U3">
        <f>'NEMS rail covid'!U3</f>
        <v>2013</v>
      </c>
      <c r="V3">
        <f>'NEMS rail covid'!V3</f>
        <v>2014</v>
      </c>
      <c r="W3">
        <f>'NEMS rail covid'!W3</f>
        <v>2015</v>
      </c>
      <c r="X3">
        <f>'NEMS rail covid'!X3</f>
        <v>2016</v>
      </c>
      <c r="Y3">
        <f>'NEMS rail covid'!Y3</f>
        <v>2017</v>
      </c>
      <c r="Z3">
        <f>'NEMS rail covid'!Z3</f>
        <v>2018</v>
      </c>
      <c r="AA3">
        <f>'NEMS rail covid'!AA3</f>
        <v>2019</v>
      </c>
      <c r="AB3">
        <f>'NEMS rail covid'!AB3</f>
        <v>2020</v>
      </c>
      <c r="AC3">
        <f>'NEMS rail covid'!AC3</f>
        <v>2021</v>
      </c>
      <c r="AD3">
        <f>'NEMS rail covid'!AD3</f>
        <v>2022</v>
      </c>
      <c r="AE3">
        <f>'NEMS rail covid'!AE3</f>
        <v>2023</v>
      </c>
      <c r="AF3">
        <f>'NEMS rail covid'!AF3</f>
        <v>2024</v>
      </c>
      <c r="AG3">
        <f>'NEMS rail covid'!AG3</f>
        <v>2025</v>
      </c>
      <c r="AH3">
        <f>'NEMS rail covid'!AH3</f>
        <v>2026</v>
      </c>
      <c r="AI3">
        <f>'NEMS rail covid'!AI3</f>
        <v>2027</v>
      </c>
      <c r="AJ3">
        <f>'NEMS rail covid'!AJ3</f>
        <v>2028</v>
      </c>
      <c r="AK3">
        <f>'NEMS rail covid'!AK3</f>
        <v>2029</v>
      </c>
      <c r="AL3">
        <f>'NEMS rail covid'!AL3</f>
        <v>2030</v>
      </c>
      <c r="AM3">
        <f>'NEMS rail covid'!AM3</f>
        <v>2031</v>
      </c>
      <c r="AN3">
        <f>'NEMS rail covid'!AN3</f>
        <v>2032</v>
      </c>
      <c r="AO3">
        <f>'NEMS rail covid'!AO3</f>
        <v>2033</v>
      </c>
      <c r="AP3">
        <f>'NEMS rail covid'!AP3</f>
        <v>2034</v>
      </c>
      <c r="AQ3">
        <f>'NEMS rail covid'!AQ3</f>
        <v>2035</v>
      </c>
      <c r="AR3">
        <f>'NEMS rail covid'!AR3</f>
        <v>2036</v>
      </c>
      <c r="AS3">
        <f>'NEMS rail covid'!AS3</f>
        <v>2037</v>
      </c>
      <c r="AT3">
        <f>'NEMS rail covid'!AT3</f>
        <v>2038</v>
      </c>
      <c r="AU3">
        <f>'NEMS rail covid'!AU3</f>
        <v>2039</v>
      </c>
      <c r="AV3">
        <f>'NEMS rail covid'!AV3</f>
        <v>2040</v>
      </c>
      <c r="AW3">
        <f>'NEMS rail covid'!AW3</f>
        <v>2041</v>
      </c>
      <c r="AX3">
        <f>'NEMS rail covid'!AX3</f>
        <v>2042</v>
      </c>
      <c r="AY3">
        <f>'NEMS rail covid'!AY3</f>
        <v>2043</v>
      </c>
      <c r="AZ3">
        <f>'NEMS rail covid'!AZ3</f>
        <v>2044</v>
      </c>
      <c r="BA3">
        <f>'NEMS rail covid'!BA3</f>
        <v>2045</v>
      </c>
      <c r="BB3">
        <f>'NEMS rail covid'!BB3</f>
        <v>2046</v>
      </c>
      <c r="BC3">
        <f>'NEMS rail covid'!BC3</f>
        <v>2047</v>
      </c>
      <c r="BD3">
        <f>'NEMS rail covid'!BD3</f>
        <v>2048</v>
      </c>
      <c r="BE3">
        <f>'NEMS rail covid'!BE3</f>
        <v>2049</v>
      </c>
      <c r="BF3">
        <f>'NEMS rail covid'!BF3</f>
        <v>2050</v>
      </c>
    </row>
    <row r="4" spans="1:58">
      <c r="A4" t="s">
        <v>517</v>
      </c>
      <c r="C4">
        <f>SUMPRODUCT('NEMS rail covid'!$B$38:$B$46,EXP('NEMS rail covid'!$B$27:$B$35*'NEMS rail covid'!C5:C13))/'NEMS rail covid'!$B$47</f>
        <v>1</v>
      </c>
      <c r="D4">
        <f>SUMPRODUCT('NEMS rail covid'!$B$38:$B$46,EXP('NEMS rail covid'!$B$27:$B$35*'NEMS rail covid'!D5:D13))/'NEMS rail covid'!$B$47</f>
        <v>1</v>
      </c>
      <c r="E4">
        <f>SUMPRODUCT('NEMS rail covid'!$B$38:$B$46,EXP('NEMS rail covid'!$B$27:$B$35*'NEMS rail covid'!E5:E13))/'NEMS rail covid'!$B$47</f>
        <v>1</v>
      </c>
      <c r="F4">
        <f>SUMPRODUCT('NEMS rail covid'!$B$38:$B$46,EXP('NEMS rail covid'!$B$27:$B$35*'NEMS rail covid'!F5:F13))/'NEMS rail covid'!$B$47</f>
        <v>1</v>
      </c>
      <c r="G4">
        <f>SUMPRODUCT('NEMS rail covid'!$B$38:$B$46,EXP('NEMS rail covid'!$B$27:$B$35*'NEMS rail covid'!G5:G13))/'NEMS rail covid'!$B$47</f>
        <v>1</v>
      </c>
      <c r="H4">
        <f>SUMPRODUCT('NEMS rail covid'!$B$38:$B$46,EXP('NEMS rail covid'!$B$27:$B$35*'NEMS rail covid'!H5:H13))/'NEMS rail covid'!$B$47</f>
        <v>1</v>
      </c>
      <c r="I4">
        <f>SUMPRODUCT('NEMS rail covid'!$B$38:$B$46,EXP('NEMS rail covid'!$B$27:$B$35*'NEMS rail covid'!I5:I13))/'NEMS rail covid'!$B$47</f>
        <v>1</v>
      </c>
      <c r="J4">
        <f>SUMPRODUCT('NEMS rail covid'!$B$38:$B$46,EXP('NEMS rail covid'!$B$27:$B$35*'NEMS rail covid'!J5:J13))/'NEMS rail covid'!$B$47</f>
        <v>1</v>
      </c>
      <c r="K4">
        <f>SUMPRODUCT('NEMS rail covid'!$B$38:$B$46,EXP('NEMS rail covid'!$B$27:$B$35*'NEMS rail covid'!K5:K13))/'NEMS rail covid'!$B$47</f>
        <v>1</v>
      </c>
      <c r="L4">
        <f>SUMPRODUCT('NEMS rail covid'!$B$38:$B$46,EXP('NEMS rail covid'!$B$27:$B$35*'NEMS rail covid'!L5:L13))/'NEMS rail covid'!$B$47</f>
        <v>1</v>
      </c>
      <c r="M4">
        <f>SUMPRODUCT('NEMS rail covid'!$B$38:$B$46,EXP('NEMS rail covid'!$B$27:$B$35*'NEMS rail covid'!M5:M13))/'NEMS rail covid'!$B$47</f>
        <v>1</v>
      </c>
      <c r="N4">
        <f>SUMPRODUCT('NEMS rail covid'!$B$38:$B$46,EXP('NEMS rail covid'!$B$27:$B$35*'NEMS rail covid'!N5:N13))/'NEMS rail covid'!$B$47</f>
        <v>1</v>
      </c>
      <c r="O4">
        <f>SUMPRODUCT('NEMS rail covid'!$B$38:$B$46,EXP('NEMS rail covid'!$B$27:$B$35*'NEMS rail covid'!O5:O13))/'NEMS rail covid'!$B$47</f>
        <v>1</v>
      </c>
      <c r="P4">
        <f>SUMPRODUCT('NEMS rail covid'!$B$38:$B$46,EXP('NEMS rail covid'!$B$27:$B$35*'NEMS rail covid'!P5:P13))/'NEMS rail covid'!$B$47</f>
        <v>1</v>
      </c>
      <c r="Q4">
        <f>SUMPRODUCT('NEMS rail covid'!$B$38:$B$46,EXP('NEMS rail covid'!$B$27:$B$35*'NEMS rail covid'!Q5:Q13))/'NEMS rail covid'!$B$47</f>
        <v>1</v>
      </c>
      <c r="R4">
        <f>SUMPRODUCT('NEMS rail covid'!$B$38:$B$46,EXP('NEMS rail covid'!$B$27:$B$35*'NEMS rail covid'!R5:R13))/'NEMS rail covid'!$B$47</f>
        <v>1</v>
      </c>
      <c r="S4">
        <f>SUMPRODUCT('NEMS rail covid'!$B$38:$B$46,EXP('NEMS rail covid'!$B$27:$B$35*'NEMS rail covid'!S5:S13))/'NEMS rail covid'!$B$47</f>
        <v>1</v>
      </c>
      <c r="T4">
        <f>SUMPRODUCT('NEMS rail covid'!$B$38:$B$46,EXP('NEMS rail covid'!$B$27:$B$35*'NEMS rail covid'!T5:T13))/'NEMS rail covid'!$B$47</f>
        <v>1</v>
      </c>
      <c r="U4">
        <f>SUMPRODUCT('NEMS rail covid'!$B$38:$B$46,EXP('NEMS rail covid'!$B$27:$B$35*'NEMS rail covid'!U5:U13))/'NEMS rail covid'!$B$47</f>
        <v>1</v>
      </c>
      <c r="V4">
        <f>SUMPRODUCT('NEMS rail covid'!$B$38:$B$46,EXP('NEMS rail covid'!$B$27:$B$35*'NEMS rail covid'!V5:V13))/'NEMS rail covid'!$B$47</f>
        <v>1</v>
      </c>
      <c r="W4">
        <f>SUMPRODUCT('NEMS rail covid'!$B$38:$B$46,EXP('NEMS rail covid'!$B$27:$B$35*'NEMS rail covid'!W5:W13))/'NEMS rail covid'!$B$47</f>
        <v>1</v>
      </c>
      <c r="X4">
        <f>SUMPRODUCT('NEMS rail covid'!$B$38:$B$46,EXP('NEMS rail covid'!$B$27:$B$35*'NEMS rail covid'!X5:X13))/'NEMS rail covid'!$B$47</f>
        <v>1</v>
      </c>
      <c r="Y4">
        <f>SUMPRODUCT('NEMS rail covid'!$B$38:$B$46,EXP('NEMS rail covid'!$B$27:$B$35*'NEMS rail covid'!Y5:Y13))/'NEMS rail covid'!$B$47</f>
        <v>1</v>
      </c>
      <c r="Z4">
        <f>SUMPRODUCT('NEMS rail covid'!$B$38:$B$46,EXP('NEMS rail covid'!$B$27:$B$35*'NEMS rail covid'!Z5:Z13))/'NEMS rail covid'!$B$47</f>
        <v>1</v>
      </c>
      <c r="AA4">
        <f>SUMPRODUCT('NEMS rail covid'!$B$38:$B$46,EXP('NEMS rail covid'!$B$27:$B$35*'NEMS rail covid'!AA5:AA13))/'NEMS rail covid'!$B$47</f>
        <v>1</v>
      </c>
      <c r="AB4">
        <f>SUMPRODUCT('NEMS rail covid'!$B$38:$B$46,EXP('NEMS rail covid'!$B$27:$B$35*'NEMS rail covid'!AB5:AB13))/'NEMS rail covid'!$B$47</f>
        <v>0.51042546423700808</v>
      </c>
      <c r="AC4">
        <f>SUMPRODUCT('NEMS rail covid'!$B$38:$B$46,EXP('NEMS rail covid'!$B$27:$B$35*'NEMS rail covid'!AC5:AC13))/'NEMS rail covid'!$B$47</f>
        <v>0.41548326507272237</v>
      </c>
      <c r="AD4">
        <f>SUMPRODUCT('NEMS rail covid'!$B$38:$B$46,EXP('NEMS rail covid'!$B$27:$B$35*'NEMS rail covid'!AD5:AD13))/'NEMS rail covid'!$B$47</f>
        <v>0.51346621048030605</v>
      </c>
      <c r="AE4">
        <f>SUMPRODUCT('NEMS rail covid'!$B$38:$B$46,EXP('NEMS rail covid'!$B$27:$B$35*'NEMS rail covid'!AE5:AE13))/'NEMS rail covid'!$B$47</f>
        <v>0.60489065520914687</v>
      </c>
      <c r="AF4">
        <f>SUMPRODUCT('NEMS rail covid'!$B$38:$B$46,EXP('NEMS rail covid'!$B$27:$B$35*'NEMS rail covid'!AF5:AF13))/'NEMS rail covid'!$B$47</f>
        <v>0.68506957241963939</v>
      </c>
      <c r="AG4">
        <f>SUMPRODUCT('NEMS rail covid'!$B$38:$B$46,EXP('NEMS rail covid'!$B$27:$B$35*'NEMS rail covid'!AG5:AG13))/'NEMS rail covid'!$B$47</f>
        <v>0.75119845161388199</v>
      </c>
      <c r="AH4">
        <f>SUMPRODUCT('NEMS rail covid'!$B$38:$B$46,EXP('NEMS rail covid'!$B$27:$B$35*'NEMS rail covid'!AH5:AH13))/'NEMS rail covid'!$B$47</f>
        <v>0.80419871695046874</v>
      </c>
      <c r="AI4">
        <f>SUMPRODUCT('NEMS rail covid'!$B$38:$B$46,EXP('NEMS rail covid'!$B$27:$B$35*'NEMS rail covid'!AI5:AI13))/'NEMS rail covid'!$B$47</f>
        <v>0.84598383227835272</v>
      </c>
      <c r="AJ4">
        <f>SUMPRODUCT('NEMS rail covid'!$B$38:$B$46,EXP('NEMS rail covid'!$B$27:$B$35*'NEMS rail covid'!AJ5:AJ13))/'NEMS rail covid'!$B$47</f>
        <v>0.87865568492671631</v>
      </c>
      <c r="AK4">
        <f>SUMPRODUCT('NEMS rail covid'!$B$38:$B$46,EXP('NEMS rail covid'!$B$27:$B$35*'NEMS rail covid'!AK5:AK13))/'NEMS rail covid'!$B$47</f>
        <v>0.9041244463575604</v>
      </c>
      <c r="AL4">
        <f>SUMPRODUCT('NEMS rail covid'!$B$38:$B$46,EXP('NEMS rail covid'!$B$27:$B$35*'NEMS rail covid'!AL5:AL13))/'NEMS rail covid'!$B$47</f>
        <v>0.92398205678646117</v>
      </c>
      <c r="AM4">
        <f>SUMPRODUCT('NEMS rail covid'!$B$38:$B$46,EXP('NEMS rail covid'!$B$27:$B$35*'NEMS rail covid'!AM5:AM13))/'NEMS rail covid'!$B$47</f>
        <v>0.93949756568746368</v>
      </c>
      <c r="AN4">
        <f>SUMPRODUCT('NEMS rail covid'!$B$38:$B$46,EXP('NEMS rail covid'!$B$27:$B$35*'NEMS rail covid'!AN5:AN13))/'NEMS rail covid'!$B$47</f>
        <v>0.95165936595375122</v>
      </c>
      <c r="AO4">
        <f>SUMPRODUCT('NEMS rail covid'!$B$38:$B$46,EXP('NEMS rail covid'!$B$27:$B$35*'NEMS rail covid'!AO5:AO13))/'NEMS rail covid'!$B$47</f>
        <v>0.96122842574404721</v>
      </c>
      <c r="AP4">
        <f>SUMPRODUCT('NEMS rail covid'!$B$38:$B$46,EXP('NEMS rail covid'!$B$27:$B$35*'NEMS rail covid'!AP5:AP13))/'NEMS rail covid'!$B$47</f>
        <v>0.9687878344244244</v>
      </c>
      <c r="AQ4">
        <f>SUMPRODUCT('NEMS rail covid'!$B$38:$B$46,EXP('NEMS rail covid'!$B$27:$B$35*'NEMS rail covid'!AQ5:AQ13))/'NEMS rail covid'!$B$47</f>
        <v>0.97478404621037951</v>
      </c>
      <c r="AR4">
        <f>SUMPRODUCT('NEMS rail covid'!$B$38:$B$46,EXP('NEMS rail covid'!$B$27:$B$35*'NEMS rail covid'!AR5:AR13))/'NEMS rail covid'!$B$47</f>
        <v>0.97955945304363556</v>
      </c>
      <c r="AS4">
        <f>SUMPRODUCT('NEMS rail covid'!$B$38:$B$46,EXP('NEMS rail covid'!$B$27:$B$35*'NEMS rail covid'!AS5:AS13))/'NEMS rail covid'!$B$47</f>
        <v>0.98337743120168397</v>
      </c>
      <c r="AT4">
        <f>SUMPRODUCT('NEMS rail covid'!$B$38:$B$46,EXP('NEMS rail covid'!$B$27:$B$35*'NEMS rail covid'!AT5:AT13))/'NEMS rail covid'!$B$47</f>
        <v>0.98644134435884778</v>
      </c>
      <c r="AU4">
        <f>SUMPRODUCT('NEMS rail covid'!$B$38:$B$46,EXP('NEMS rail covid'!$B$27:$B$35*'NEMS rail covid'!AU5:AU13))/'NEMS rail covid'!$B$47</f>
        <v>0.98890887614805933</v>
      </c>
      <c r="AV4">
        <f>SUMPRODUCT('NEMS rail covid'!$B$38:$B$46,EXP('NEMS rail covid'!$B$27:$B$35*'NEMS rail covid'!AV5:AV13))/'NEMS rail covid'!$B$47</f>
        <v>0.9909028234367907</v>
      </c>
      <c r="AW4">
        <f>SUMPRODUCT('NEMS rail covid'!$B$38:$B$46,EXP('NEMS rail covid'!$B$27:$B$35*'NEMS rail covid'!AW5:AW13))/'NEMS rail covid'!$B$47</f>
        <v>0.99251923311930668</v>
      </c>
      <c r="AX4">
        <f>SUMPRODUCT('NEMS rail covid'!$B$38:$B$46,EXP('NEMS rail covid'!$B$27:$B$35*'NEMS rail covid'!AX5:AX13))/'NEMS rail covid'!$B$47</f>
        <v>0.99383355260196227</v>
      </c>
      <c r="AY4">
        <f>SUMPRODUCT('NEMS rail covid'!$B$38:$B$46,EXP('NEMS rail covid'!$B$27:$B$35*'NEMS rail covid'!AY5:AY13))/'NEMS rail covid'!$B$47</f>
        <v>0.9949052956053891</v>
      </c>
      <c r="AZ4">
        <f>SUMPRODUCT('NEMS rail covid'!$B$38:$B$46,EXP('NEMS rail covid'!$B$27:$B$35*'NEMS rail covid'!AZ5:AZ13))/'NEMS rail covid'!$B$47</f>
        <v>0.99578159628112006</v>
      </c>
      <c r="BA4">
        <f>SUMPRODUCT('NEMS rail covid'!$B$38:$B$46,EXP('NEMS rail covid'!$B$27:$B$35*'NEMS rail covid'!BA5:BA13))/'NEMS rail covid'!$B$47</f>
        <v>0.99649992840816504</v>
      </c>
      <c r="BB4">
        <f>SUMPRODUCT('NEMS rail covid'!$B$38:$B$46,EXP('NEMS rail covid'!$B$27:$B$35*'NEMS rail covid'!BB5:BB13))/'NEMS rail covid'!$B$47</f>
        <v>0.99709019515424357</v>
      </c>
      <c r="BC4">
        <f>SUMPRODUCT('NEMS rail covid'!$B$38:$B$46,EXP('NEMS rail covid'!$B$27:$B$35*'NEMS rail covid'!BC5:BC13))/'NEMS rail covid'!$B$47</f>
        <v>0.99757634231261894</v>
      </c>
      <c r="BD4">
        <f>SUMPRODUCT('NEMS rail covid'!$B$38:$B$46,EXP('NEMS rail covid'!$B$27:$B$35*'NEMS rail covid'!BD5:BD13))/'NEMS rail covid'!$B$47</f>
        <v>0.99797760918028611</v>
      </c>
      <c r="BE4">
        <f>SUMPRODUCT('NEMS rail covid'!$B$38:$B$46,EXP('NEMS rail covid'!$B$27:$B$35*'NEMS rail covid'!BE5:BE13))/'NEMS rail covid'!$B$47</f>
        <v>0.99830950265053686</v>
      </c>
      <c r="BF4">
        <f>SUMPRODUCT('NEMS rail covid'!$B$38:$B$46,EXP('NEMS rail covid'!$B$27:$B$35*'NEMS rail covid'!BF5:BF13))/'NEMS rail covid'!$B$47</f>
        <v>0.9985845589352329</v>
      </c>
    </row>
    <row r="5" spans="1:58">
      <c r="A5" t="s">
        <v>518</v>
      </c>
      <c r="C5">
        <f>SUMPRODUCT('NEMS rail covid'!$C$38:$C$46,EXP('NEMS rail covid'!$C$27:$C$35*'NEMS rail covid'!C16:C24))/'NEMS rail covid'!$C$47</f>
        <v>1</v>
      </c>
      <c r="D5">
        <f>SUMPRODUCT('NEMS rail covid'!$C$38:$C$46,EXP('NEMS rail covid'!$C$27:$C$35*'NEMS rail covid'!D16:D24))/'NEMS rail covid'!$C$47</f>
        <v>1</v>
      </c>
      <c r="E5">
        <f>SUMPRODUCT('NEMS rail covid'!$C$38:$C$46,EXP('NEMS rail covid'!$C$27:$C$35*'NEMS rail covid'!E16:E24))/'NEMS rail covid'!$C$47</f>
        <v>1</v>
      </c>
      <c r="F5">
        <f>SUMPRODUCT('NEMS rail covid'!$C$38:$C$46,EXP('NEMS rail covid'!$C$27:$C$35*'NEMS rail covid'!F16:F24))/'NEMS rail covid'!$C$47</f>
        <v>1</v>
      </c>
      <c r="G5">
        <f>SUMPRODUCT('NEMS rail covid'!$C$38:$C$46,EXP('NEMS rail covid'!$C$27:$C$35*'NEMS rail covid'!G16:G24))/'NEMS rail covid'!$C$47</f>
        <v>1</v>
      </c>
      <c r="H5">
        <f>SUMPRODUCT('NEMS rail covid'!$C$38:$C$46,EXP('NEMS rail covid'!$C$27:$C$35*'NEMS rail covid'!H16:H24))/'NEMS rail covid'!$C$47</f>
        <v>1</v>
      </c>
      <c r="I5">
        <f>SUMPRODUCT('NEMS rail covid'!$C$38:$C$46,EXP('NEMS rail covid'!$C$27:$C$35*'NEMS rail covid'!I16:I24))/'NEMS rail covid'!$C$47</f>
        <v>1</v>
      </c>
      <c r="J5">
        <f>SUMPRODUCT('NEMS rail covid'!$C$38:$C$46,EXP('NEMS rail covid'!$C$27:$C$35*'NEMS rail covid'!J16:J24))/'NEMS rail covid'!$C$47</f>
        <v>1</v>
      </c>
      <c r="K5">
        <f>SUMPRODUCT('NEMS rail covid'!$C$38:$C$46,EXP('NEMS rail covid'!$C$27:$C$35*'NEMS rail covid'!K16:K24))/'NEMS rail covid'!$C$47</f>
        <v>1</v>
      </c>
      <c r="L5">
        <f>SUMPRODUCT('NEMS rail covid'!$C$38:$C$46,EXP('NEMS rail covid'!$C$27:$C$35*'NEMS rail covid'!L16:L24))/'NEMS rail covid'!$C$47</f>
        <v>1</v>
      </c>
      <c r="M5">
        <f>SUMPRODUCT('NEMS rail covid'!$C$38:$C$46,EXP('NEMS rail covid'!$C$27:$C$35*'NEMS rail covid'!M16:M24))/'NEMS rail covid'!$C$47</f>
        <v>1</v>
      </c>
      <c r="N5">
        <f>SUMPRODUCT('NEMS rail covid'!$C$38:$C$46,EXP('NEMS rail covid'!$C$27:$C$35*'NEMS rail covid'!N16:N24))/'NEMS rail covid'!$C$47</f>
        <v>1</v>
      </c>
      <c r="O5">
        <f>SUMPRODUCT('NEMS rail covid'!$C$38:$C$46,EXP('NEMS rail covid'!$C$27:$C$35*'NEMS rail covid'!O16:O24))/'NEMS rail covid'!$C$47</f>
        <v>1</v>
      </c>
      <c r="P5">
        <f>SUMPRODUCT('NEMS rail covid'!$C$38:$C$46,EXP('NEMS rail covid'!$C$27:$C$35*'NEMS rail covid'!P16:P24))/'NEMS rail covid'!$C$47</f>
        <v>1</v>
      </c>
      <c r="Q5">
        <f>SUMPRODUCT('NEMS rail covid'!$C$38:$C$46,EXP('NEMS rail covid'!$C$27:$C$35*'NEMS rail covid'!Q16:Q24))/'NEMS rail covid'!$C$47</f>
        <v>1</v>
      </c>
      <c r="R5">
        <f>SUMPRODUCT('NEMS rail covid'!$C$38:$C$46,EXP('NEMS rail covid'!$C$27:$C$35*'NEMS rail covid'!R16:R24))/'NEMS rail covid'!$C$47</f>
        <v>1</v>
      </c>
      <c r="S5">
        <f>SUMPRODUCT('NEMS rail covid'!$C$38:$C$46,EXP('NEMS rail covid'!$C$27:$C$35*'NEMS rail covid'!S16:S24))/'NEMS rail covid'!$C$47</f>
        <v>1</v>
      </c>
      <c r="T5">
        <f>SUMPRODUCT('NEMS rail covid'!$C$38:$C$46,EXP('NEMS rail covid'!$C$27:$C$35*'NEMS rail covid'!T16:T24))/'NEMS rail covid'!$C$47</f>
        <v>1</v>
      </c>
      <c r="U5">
        <f>SUMPRODUCT('NEMS rail covid'!$C$38:$C$46,EXP('NEMS rail covid'!$C$27:$C$35*'NEMS rail covid'!U16:U24))/'NEMS rail covid'!$C$47</f>
        <v>1</v>
      </c>
      <c r="V5">
        <f>SUMPRODUCT('NEMS rail covid'!$C$38:$C$46,EXP('NEMS rail covid'!$C$27:$C$35*'NEMS rail covid'!V16:V24))/'NEMS rail covid'!$C$47</f>
        <v>1</v>
      </c>
      <c r="W5">
        <f>SUMPRODUCT('NEMS rail covid'!$C$38:$C$46,EXP('NEMS rail covid'!$C$27:$C$35*'NEMS rail covid'!W16:W24))/'NEMS rail covid'!$C$47</f>
        <v>1</v>
      </c>
      <c r="X5">
        <f>SUMPRODUCT('NEMS rail covid'!$C$38:$C$46,EXP('NEMS rail covid'!$C$27:$C$35*'NEMS rail covid'!X16:X24))/'NEMS rail covid'!$C$47</f>
        <v>1</v>
      </c>
      <c r="Y5">
        <f>SUMPRODUCT('NEMS rail covid'!$C$38:$C$46,EXP('NEMS rail covid'!$C$27:$C$35*'NEMS rail covid'!Y16:Y24))/'NEMS rail covid'!$C$47</f>
        <v>1</v>
      </c>
      <c r="Z5">
        <f>SUMPRODUCT('NEMS rail covid'!$C$38:$C$46,EXP('NEMS rail covid'!$C$27:$C$35*'NEMS rail covid'!Z16:Z24))/'NEMS rail covid'!$C$47</f>
        <v>1</v>
      </c>
      <c r="AA5">
        <f>SUMPRODUCT('NEMS rail covid'!$C$38:$C$46,EXP('NEMS rail covid'!$C$27:$C$35*'NEMS rail covid'!AA16:AA24))/'NEMS rail covid'!$C$47</f>
        <v>1</v>
      </c>
      <c r="AB5">
        <f>SUMPRODUCT('NEMS rail covid'!$C$38:$C$46,EXP('NEMS rail covid'!$C$27:$C$35*'NEMS rail covid'!AB16:AB24))/'NEMS rail covid'!$C$47</f>
        <v>0.52040487766119303</v>
      </c>
      <c r="AC5">
        <f>SUMPRODUCT('NEMS rail covid'!$C$38:$C$46,EXP('NEMS rail covid'!$C$27:$C$35*'NEMS rail covid'!AC16:AC24))/'NEMS rail covid'!$C$47</f>
        <v>0.32994688515761056</v>
      </c>
      <c r="AD5">
        <f>SUMPRODUCT('NEMS rail covid'!$C$38:$C$46,EXP('NEMS rail covid'!$C$27:$C$35*'NEMS rail covid'!AD16:AD24))/'NEMS rail covid'!$C$47</f>
        <v>0.45328969246860346</v>
      </c>
      <c r="AE5">
        <f>SUMPRODUCT('NEMS rail covid'!$C$38:$C$46,EXP('NEMS rail covid'!$C$27:$C$35*'NEMS rail covid'!AE16:AE24))/'NEMS rail covid'!$C$47</f>
        <v>0.56538869116264945</v>
      </c>
      <c r="AF5">
        <f>SUMPRODUCT('NEMS rail covid'!$C$38:$C$46,EXP('NEMS rail covid'!$C$27:$C$35*'NEMS rail covid'!AF16:AF24))/'NEMS rail covid'!$C$47</f>
        <v>0.66451199907776914</v>
      </c>
      <c r="AG5">
        <f>SUMPRODUCT('NEMS rail covid'!$C$38:$C$46,EXP('NEMS rail covid'!$C$27:$C$35*'NEMS rail covid'!AG16:AG24))/'NEMS rail covid'!$C$47</f>
        <v>0.74497255116771843</v>
      </c>
      <c r="AH5">
        <f>SUMPRODUCT('NEMS rail covid'!$C$38:$C$46,EXP('NEMS rail covid'!$C$27:$C$35*'NEMS rail covid'!AH16:AH24))/'NEMS rail covid'!$C$47</f>
        <v>0.80787304419482331</v>
      </c>
      <c r="AI5">
        <f>SUMPRODUCT('NEMS rail covid'!$C$38:$C$46,EXP('NEMS rail covid'!$C$27:$C$35*'NEMS rail covid'!AI16:AI24))/'NEMS rail covid'!$C$47</f>
        <v>0.85589625715179818</v>
      </c>
      <c r="AJ5">
        <f>SUMPRODUCT('NEMS rail covid'!$C$38:$C$46,EXP('NEMS rail covid'!$C$27:$C$35*'NEMS rail covid'!AJ16:AJ24))/'NEMS rail covid'!$C$47</f>
        <v>0.89204472378475763</v>
      </c>
      <c r="AK5">
        <f>SUMPRODUCT('NEMS rail covid'!$C$38:$C$46,EXP('NEMS rail covid'!$C$27:$C$35*'NEMS rail covid'!AK16:AK24))/'NEMS rail covid'!$C$47</f>
        <v>0.91904380287914167</v>
      </c>
      <c r="AL5">
        <f>SUMPRODUCT('NEMS rail covid'!$C$38:$C$46,EXP('NEMS rail covid'!$C$27:$C$35*'NEMS rail covid'!AL16:AL24))/'NEMS rail covid'!$C$47</f>
        <v>0.93913960637708949</v>
      </c>
      <c r="AM5">
        <f>SUMPRODUCT('NEMS rail covid'!$C$38:$C$46,EXP('NEMS rail covid'!$C$27:$C$35*'NEMS rail covid'!AM16:AM24))/'NEMS rail covid'!$C$47</f>
        <v>0.95408914910400633</v>
      </c>
      <c r="AN5">
        <f>SUMPRODUCT('NEMS rail covid'!$C$38:$C$46,EXP('NEMS rail covid'!$C$27:$C$35*'NEMS rail covid'!AN16:AN24))/'NEMS rail covid'!$C$47</f>
        <v>0.96522626945009282</v>
      </c>
      <c r="AO5">
        <f>SUMPRODUCT('NEMS rail covid'!$C$38:$C$46,EXP('NEMS rail covid'!$C$27:$C$35*'NEMS rail covid'!AO16:AO24))/'NEMS rail covid'!$C$47</f>
        <v>0.973546102850811</v>
      </c>
      <c r="AP5">
        <f>SUMPRODUCT('NEMS rail covid'!$C$38:$C$46,EXP('NEMS rail covid'!$C$27:$C$35*'NEMS rail covid'!AP16:AP24))/'NEMS rail covid'!$C$47</f>
        <v>0.97978391122380692</v>
      </c>
      <c r="AQ5">
        <f>SUMPRODUCT('NEMS rail covid'!$C$38:$C$46,EXP('NEMS rail covid'!$C$27:$C$35*'NEMS rail covid'!AQ16:AQ24))/'NEMS rail covid'!$C$47</f>
        <v>0.98448033088043185</v>
      </c>
      <c r="AR5">
        <f>SUMPRODUCT('NEMS rail covid'!$C$38:$C$46,EXP('NEMS rail covid'!$C$27:$C$35*'NEMS rail covid'!AR16:AR24))/'NEMS rail covid'!$C$47</f>
        <v>0.98803224893940633</v>
      </c>
      <c r="AS5">
        <f>SUMPRODUCT('NEMS rail covid'!$C$38:$C$46,EXP('NEMS rail covid'!$C$27:$C$35*'NEMS rail covid'!AS16:AS24))/'NEMS rail covid'!$C$47</f>
        <v>0.99073118364713553</v>
      </c>
      <c r="AT5">
        <f>SUMPRODUCT('NEMS rail covid'!$C$38:$C$46,EXP('NEMS rail covid'!$C$27:$C$35*'NEMS rail covid'!AT16:AT24))/'NEMS rail covid'!$C$47</f>
        <v>0.99279169214948049</v>
      </c>
      <c r="AU5">
        <f>SUMPRODUCT('NEMS rail covid'!$C$38:$C$46,EXP('NEMS rail covid'!$C$27:$C$35*'NEMS rail covid'!AU16:AU24))/'NEMS rail covid'!$C$47</f>
        <v>0.99437216978023812</v>
      </c>
      <c r="AV5">
        <f>SUMPRODUCT('NEMS rail covid'!$C$38:$C$46,EXP('NEMS rail covid'!$C$27:$C$35*'NEMS rail covid'!AV16:AV24))/'NEMS rail covid'!$C$47</f>
        <v>0.99558999056822439</v>
      </c>
      <c r="AW5">
        <f>SUMPRODUCT('NEMS rail covid'!$C$38:$C$46,EXP('NEMS rail covid'!$C$27:$C$35*'NEMS rail covid'!AW16:AW24))/'NEMS rail covid'!$C$47</f>
        <v>0.99653250074064614</v>
      </c>
      <c r="AX5">
        <f>SUMPRODUCT('NEMS rail covid'!$C$38:$C$46,EXP('NEMS rail covid'!$C$27:$C$35*'NEMS rail covid'!AX16:AX24))/'NEMS rail covid'!$C$47</f>
        <v>0.99726499845936567</v>
      </c>
      <c r="AY5">
        <f>SUMPRODUCT('NEMS rail covid'!$C$38:$C$46,EXP('NEMS rail covid'!$C$27:$C$35*'NEMS rail covid'!AY16:AY24))/'NEMS rail covid'!$C$47</f>
        <v>0.99783653283922891</v>
      </c>
      <c r="AZ5">
        <f>SUMPRODUCT('NEMS rail covid'!$C$38:$C$46,EXP('NEMS rail covid'!$C$27:$C$35*'NEMS rail covid'!AZ16:AZ24))/'NEMS rail covid'!$C$47</f>
        <v>0.9982841277037876</v>
      </c>
      <c r="BA5">
        <f>SUMPRODUCT('NEMS rail covid'!$C$38:$C$46,EXP('NEMS rail covid'!$C$27:$C$35*'NEMS rail covid'!BA16:BA24))/'NEMS rail covid'!$C$47</f>
        <v>0.9986358673211384</v>
      </c>
      <c r="BB5">
        <f>SUMPRODUCT('NEMS rail covid'!$C$38:$C$46,EXP('NEMS rail covid'!$C$27:$C$35*'NEMS rail covid'!BB16:BB24))/'NEMS rail covid'!$C$47</f>
        <v>0.99891315888190602</v>
      </c>
      <c r="BC5">
        <f>SUMPRODUCT('NEMS rail covid'!$C$38:$C$46,EXP('NEMS rail covid'!$C$27:$C$35*'NEMS rail covid'!BC16:BC24))/'NEMS rail covid'!$C$47</f>
        <v>0.99913239807250565</v>
      </c>
      <c r="BD5">
        <f>SUMPRODUCT('NEMS rail covid'!$C$38:$C$46,EXP('NEMS rail covid'!$C$27:$C$35*'NEMS rail covid'!BD16:BD24))/'NEMS rail covid'!$C$47</f>
        <v>0.99930620058759423</v>
      </c>
      <c r="BE5">
        <f>SUMPRODUCT('NEMS rail covid'!$C$38:$C$46,EXP('NEMS rail covid'!$C$27:$C$35*'NEMS rail covid'!BE16:BE24))/'NEMS rail covid'!$C$47</f>
        <v>0.99944431690649826</v>
      </c>
      <c r="BF5">
        <f>SUMPRODUCT('NEMS rail covid'!$C$38:$C$46,EXP('NEMS rail covid'!$C$27:$C$35*'NEMS rail covid'!BF16:BF24))/'NEMS rail covid'!$C$47</f>
        <v>0.99955431505137859</v>
      </c>
    </row>
    <row r="6" spans="1:58">
      <c r="A6" t="s">
        <v>519</v>
      </c>
      <c r="C6">
        <f>('NEMS rail covid'!$B$47*C4+'NEMS rail covid'!$C$47*C5)/('NEMS rail covid'!$B$47+'NEMS rail covid'!$C$47)</f>
        <v>1</v>
      </c>
      <c r="D6">
        <f>('NEMS rail covid'!$B$47*D4+'NEMS rail covid'!$C$47*D5)/('NEMS rail covid'!$B$47+'NEMS rail covid'!$C$47)</f>
        <v>1</v>
      </c>
      <c r="E6">
        <f>('NEMS rail covid'!$B$47*E4+'NEMS rail covid'!$C$47*E5)/('NEMS rail covid'!$B$47+'NEMS rail covid'!$C$47)</f>
        <v>1</v>
      </c>
      <c r="F6">
        <f>('NEMS rail covid'!$B$47*F4+'NEMS rail covid'!$C$47*F5)/('NEMS rail covid'!$B$47+'NEMS rail covid'!$C$47)</f>
        <v>1</v>
      </c>
      <c r="G6">
        <f>('NEMS rail covid'!$B$47*G4+'NEMS rail covid'!$C$47*G5)/('NEMS rail covid'!$B$47+'NEMS rail covid'!$C$47)</f>
        <v>1</v>
      </c>
      <c r="H6">
        <f>('NEMS rail covid'!$B$47*H4+'NEMS rail covid'!$C$47*H5)/('NEMS rail covid'!$B$47+'NEMS rail covid'!$C$47)</f>
        <v>1</v>
      </c>
      <c r="I6">
        <f>('NEMS rail covid'!$B$47*I4+'NEMS rail covid'!$C$47*I5)/('NEMS rail covid'!$B$47+'NEMS rail covid'!$C$47)</f>
        <v>1</v>
      </c>
      <c r="J6">
        <f>('NEMS rail covid'!$B$47*J4+'NEMS rail covid'!$C$47*J5)/('NEMS rail covid'!$B$47+'NEMS rail covid'!$C$47)</f>
        <v>1</v>
      </c>
      <c r="K6">
        <f>('NEMS rail covid'!$B$47*K4+'NEMS rail covid'!$C$47*K5)/('NEMS rail covid'!$B$47+'NEMS rail covid'!$C$47)</f>
        <v>1</v>
      </c>
      <c r="L6">
        <f>('NEMS rail covid'!$B$47*L4+'NEMS rail covid'!$C$47*L5)/('NEMS rail covid'!$B$47+'NEMS rail covid'!$C$47)</f>
        <v>1</v>
      </c>
      <c r="M6">
        <f>('NEMS rail covid'!$B$47*M4+'NEMS rail covid'!$C$47*M5)/('NEMS rail covid'!$B$47+'NEMS rail covid'!$C$47)</f>
        <v>1</v>
      </c>
      <c r="N6">
        <f>('NEMS rail covid'!$B$47*N4+'NEMS rail covid'!$C$47*N5)/('NEMS rail covid'!$B$47+'NEMS rail covid'!$C$47)</f>
        <v>1</v>
      </c>
      <c r="O6">
        <f>('NEMS rail covid'!$B$47*O4+'NEMS rail covid'!$C$47*O5)/('NEMS rail covid'!$B$47+'NEMS rail covid'!$C$47)</f>
        <v>1</v>
      </c>
      <c r="P6">
        <f>('NEMS rail covid'!$B$47*P4+'NEMS rail covid'!$C$47*P5)/('NEMS rail covid'!$B$47+'NEMS rail covid'!$C$47)</f>
        <v>1</v>
      </c>
      <c r="Q6">
        <f>('NEMS rail covid'!$B$47*Q4+'NEMS rail covid'!$C$47*Q5)/('NEMS rail covid'!$B$47+'NEMS rail covid'!$C$47)</f>
        <v>1</v>
      </c>
      <c r="R6">
        <f>('NEMS rail covid'!$B$47*R4+'NEMS rail covid'!$C$47*R5)/('NEMS rail covid'!$B$47+'NEMS rail covid'!$C$47)</f>
        <v>1</v>
      </c>
      <c r="S6">
        <f>('NEMS rail covid'!$B$47*S4+'NEMS rail covid'!$C$47*S5)/('NEMS rail covid'!$B$47+'NEMS rail covid'!$C$47)</f>
        <v>1</v>
      </c>
      <c r="T6">
        <f>('NEMS rail covid'!$B$47*T4+'NEMS rail covid'!$C$47*T5)/('NEMS rail covid'!$B$47+'NEMS rail covid'!$C$47)</f>
        <v>1</v>
      </c>
      <c r="U6">
        <f>('NEMS rail covid'!$B$47*U4+'NEMS rail covid'!$C$47*U5)/('NEMS rail covid'!$B$47+'NEMS rail covid'!$C$47)</f>
        <v>1</v>
      </c>
      <c r="V6">
        <f>('NEMS rail covid'!$B$47*V4+'NEMS rail covid'!$C$47*V5)/('NEMS rail covid'!$B$47+'NEMS rail covid'!$C$47)</f>
        <v>1</v>
      </c>
      <c r="W6">
        <f>('NEMS rail covid'!$B$47*W4+'NEMS rail covid'!$C$47*W5)/('NEMS rail covid'!$B$47+'NEMS rail covid'!$C$47)</f>
        <v>1</v>
      </c>
      <c r="X6">
        <f>('NEMS rail covid'!$B$47*X4+'NEMS rail covid'!$C$47*X5)/('NEMS rail covid'!$B$47+'NEMS rail covid'!$C$47)</f>
        <v>1</v>
      </c>
      <c r="Y6">
        <f>('NEMS rail covid'!$B$47*Y4+'NEMS rail covid'!$C$47*Y5)/('NEMS rail covid'!$B$47+'NEMS rail covid'!$C$47)</f>
        <v>1</v>
      </c>
      <c r="Z6">
        <f>('NEMS rail covid'!$B$47*Z4+'NEMS rail covid'!$C$47*Z5)/('NEMS rail covid'!$B$47+'NEMS rail covid'!$C$47)</f>
        <v>1</v>
      </c>
      <c r="AA6">
        <f>('NEMS rail covid'!$B$47*AA4+'NEMS rail covid'!$C$47*AA5)/('NEMS rail covid'!$B$47+'NEMS rail covid'!$C$47)</f>
        <v>1</v>
      </c>
      <c r="AB6">
        <f>('NEMS rail covid'!$B$47*AB4+'NEMS rail covid'!$C$47*AB5)/('NEMS rail covid'!$B$47+'NEMS rail covid'!$C$47)</f>
        <v>0.51432701443709494</v>
      </c>
      <c r="AC6">
        <f>('NEMS rail covid'!$B$47*AC4+'NEMS rail covid'!$C$47*AC5)/('NEMS rail covid'!$B$47+'NEMS rail covid'!$C$47)</f>
        <v>0.38204197288577596</v>
      </c>
      <c r="AD6">
        <f>('NEMS rail covid'!$B$47*AD4+'NEMS rail covid'!$C$47*AD5)/('NEMS rail covid'!$B$47+'NEMS rail covid'!$C$47)</f>
        <v>0.48993960667009667</v>
      </c>
      <c r="AE6">
        <f>('NEMS rail covid'!$B$47*AE4+'NEMS rail covid'!$C$47*AE5)/('NEMS rail covid'!$B$47+'NEMS rail covid'!$C$47)</f>
        <v>0.58944697238146404</v>
      </c>
      <c r="AF6">
        <f>('NEMS rail covid'!$B$47*AF4+'NEMS rail covid'!$C$47*AF5)/('NEMS rail covid'!$B$47+'NEMS rail covid'!$C$47)</f>
        <v>0.67703238616669859</v>
      </c>
      <c r="AG6">
        <f>('NEMS rail covid'!$B$47*AG4+'NEMS rail covid'!$C$47*AG5)/('NEMS rail covid'!$B$47+'NEMS rail covid'!$C$47)</f>
        <v>0.74876437436916321</v>
      </c>
      <c r="AH6">
        <f>('NEMS rail covid'!$B$47*AH4+'NEMS rail covid'!$C$47*AH5)/('NEMS rail covid'!$B$47+'NEMS rail covid'!$C$47)</f>
        <v>0.80563523146149751</v>
      </c>
      <c r="AI6">
        <f>('NEMS rail covid'!$B$47*AI4+'NEMS rail covid'!$C$47*AI5)/('NEMS rail covid'!$B$47+'NEMS rail covid'!$C$47)</f>
        <v>0.84985919264318255</v>
      </c>
      <c r="AJ6">
        <f>('NEMS rail covid'!$B$47*AJ4+'NEMS rail covid'!$C$47*AJ5)/('NEMS rail covid'!$B$47+'NEMS rail covid'!$C$47)</f>
        <v>0.88389026185174513</v>
      </c>
      <c r="AK6">
        <f>('NEMS rail covid'!$B$47*AK4+'NEMS rail covid'!$C$47*AK5)/('NEMS rail covid'!$B$47+'NEMS rail covid'!$C$47)</f>
        <v>0.9099573160812332</v>
      </c>
      <c r="AL6">
        <f>('NEMS rail covid'!$B$47*AL4+'NEMS rail covid'!$C$47*AL5)/('NEMS rail covid'!$B$47+'NEMS rail covid'!$C$47)</f>
        <v>0.92990805044204239</v>
      </c>
      <c r="AM6">
        <f>('NEMS rail covid'!$B$47*AM4+'NEMS rail covid'!$C$47*AM5)/('NEMS rail covid'!$B$47+'NEMS rail covid'!$C$47)</f>
        <v>0.9452022892797769</v>
      </c>
      <c r="AN6">
        <f>('NEMS rail covid'!$B$47*AN4+'NEMS rail covid'!$C$47*AN5)/('NEMS rail covid'!$B$47+'NEMS rail covid'!$C$47)</f>
        <v>0.95696348081509475</v>
      </c>
      <c r="AO6">
        <f>('NEMS rail covid'!$B$47*AO4+'NEMS rail covid'!$C$47*AO5)/('NEMS rail covid'!$B$47+'NEMS rail covid'!$C$47)</f>
        <v>0.9660441432153799</v>
      </c>
      <c r="AP6">
        <f>('NEMS rail covid'!$B$47*AP4+'NEMS rail covid'!$C$47*AP5)/('NEMS rail covid'!$B$47+'NEMS rail covid'!$C$47)</f>
        <v>0.97308685920806848</v>
      </c>
      <c r="AQ6">
        <f>('NEMS rail covid'!$B$47*AQ4+'NEMS rail covid'!$C$47*AQ5)/('NEMS rail covid'!$B$47+'NEMS rail covid'!$C$47)</f>
        <v>0.97857490442884554</v>
      </c>
      <c r="AR6">
        <f>('NEMS rail covid'!$B$47*AR4+'NEMS rail covid'!$C$47*AR5)/('NEMS rail covid'!$B$47+'NEMS rail covid'!$C$47)</f>
        <v>0.98287197624688583</v>
      </c>
      <c r="AS6">
        <f>('NEMS rail covid'!$B$47*AS4+'NEMS rail covid'!$C$47*AS5)/('NEMS rail covid'!$B$47+'NEMS rail covid'!$C$47)</f>
        <v>0.98625245332025946</v>
      </c>
      <c r="AT6">
        <f>('NEMS rail covid'!$B$47*AT4+'NEMS rail covid'!$C$47*AT5)/('NEMS rail covid'!$B$47+'NEMS rail covid'!$C$47)</f>
        <v>0.98892407552149497</v>
      </c>
      <c r="AU6">
        <f>('NEMS rail covid'!$B$47*AU4+'NEMS rail covid'!$C$47*AU5)/('NEMS rail covid'!$B$47+'NEMS rail covid'!$C$47)</f>
        <v>0.99104480473000423</v>
      </c>
      <c r="AV6">
        <f>('NEMS rail covid'!$B$47*AV4+'NEMS rail covid'!$C$47*AV5)/('NEMS rail covid'!$B$47+'NEMS rail covid'!$C$47)</f>
        <v>0.99273531770094925</v>
      </c>
      <c r="AW6">
        <f>('NEMS rail covid'!$B$47*AW4+'NEMS rail covid'!$C$47*AW5)/('NEMS rail covid'!$B$47+'NEMS rail covid'!$C$47)</f>
        <v>0.99408825971691128</v>
      </c>
      <c r="AX6">
        <f>('NEMS rail covid'!$B$47*AX4+'NEMS rail covid'!$C$47*AX5)/('NEMS rail covid'!$B$47+'NEMS rail covid'!$C$47)</f>
        <v>0.99517511023691252</v>
      </c>
      <c r="AY6">
        <f>('NEMS rail covid'!$B$47*AY4+'NEMS rail covid'!$C$47*AY5)/('NEMS rail covid'!$B$47+'NEMS rail covid'!$C$47)</f>
        <v>0.99605129174064033</v>
      </c>
      <c r="AZ6">
        <f>('NEMS rail covid'!$B$47*AZ4+'NEMS rail covid'!$C$47*AZ5)/('NEMS rail covid'!$B$47+'NEMS rail covid'!$C$47)</f>
        <v>0.99675998564708934</v>
      </c>
      <c r="BA6">
        <f>('NEMS rail covid'!$B$47*BA4+'NEMS rail covid'!$C$47*BA5)/('NEMS rail covid'!$B$47+'NEMS rail covid'!$C$47)</f>
        <v>0.99733499481327947</v>
      </c>
      <c r="BB6">
        <f>('NEMS rail covid'!$B$47*BB4+'NEMS rail covid'!$C$47*BB5)/('NEMS rail covid'!$B$47+'NEMS rail covid'!$C$47)</f>
        <v>0.9978029008208088</v>
      </c>
      <c r="BC6">
        <f>('NEMS rail covid'!$B$47*BC4+'NEMS rail covid'!$C$47*BC5)/('NEMS rail covid'!$B$47+'NEMS rail covid'!$C$47)</f>
        <v>0.99818469767412932</v>
      </c>
      <c r="BD6">
        <f>('NEMS rail covid'!$B$47*BD4+'NEMS rail covid'!$C$47*BD5)/('NEMS rail covid'!$B$47+'NEMS rail covid'!$C$47)</f>
        <v>0.99849703510751098</v>
      </c>
      <c r="BE6">
        <f>('NEMS rail covid'!$B$47*BE4+'NEMS rail covid'!$C$47*BE5)/('NEMS rail covid'!$B$47+'NEMS rail covid'!$C$47)</f>
        <v>0.99875316948737503</v>
      </c>
      <c r="BF6">
        <f>('NEMS rail covid'!$B$47*BF4+'NEMS rail covid'!$C$47*BF5)/('NEMS rail covid'!$B$47+'NEMS rail covid'!$C$47)</f>
        <v>0.99896369466277124</v>
      </c>
    </row>
    <row r="7" spans="1:58">
      <c r="A7" t="s">
        <v>510</v>
      </c>
      <c r="C7">
        <f t="shared" ref="C7:AH7" si="0">C6/$AF$6</f>
        <v>1.4770342164307935</v>
      </c>
      <c r="D7">
        <f t="shared" si="0"/>
        <v>1.4770342164307935</v>
      </c>
      <c r="E7">
        <f t="shared" si="0"/>
        <v>1.4770342164307935</v>
      </c>
      <c r="F7">
        <f t="shared" si="0"/>
        <v>1.4770342164307935</v>
      </c>
      <c r="G7">
        <f t="shared" si="0"/>
        <v>1.4770342164307935</v>
      </c>
      <c r="H7">
        <f t="shared" si="0"/>
        <v>1.4770342164307935</v>
      </c>
      <c r="I7">
        <f t="shared" si="0"/>
        <v>1.4770342164307935</v>
      </c>
      <c r="J7">
        <f t="shared" si="0"/>
        <v>1.4770342164307935</v>
      </c>
      <c r="K7">
        <f t="shared" si="0"/>
        <v>1.4770342164307935</v>
      </c>
      <c r="L7">
        <f t="shared" si="0"/>
        <v>1.4770342164307935</v>
      </c>
      <c r="M7">
        <f t="shared" si="0"/>
        <v>1.4770342164307935</v>
      </c>
      <c r="N7">
        <f t="shared" si="0"/>
        <v>1.4770342164307935</v>
      </c>
      <c r="O7">
        <f t="shared" si="0"/>
        <v>1.4770342164307935</v>
      </c>
      <c r="P7">
        <f t="shared" si="0"/>
        <v>1.4770342164307935</v>
      </c>
      <c r="Q7">
        <f t="shared" si="0"/>
        <v>1.4770342164307935</v>
      </c>
      <c r="R7">
        <f t="shared" si="0"/>
        <v>1.4770342164307935</v>
      </c>
      <c r="S7">
        <f t="shared" si="0"/>
        <v>1.4770342164307935</v>
      </c>
      <c r="T7">
        <f t="shared" si="0"/>
        <v>1.4770342164307935</v>
      </c>
      <c r="U7">
        <f t="shared" si="0"/>
        <v>1.4770342164307935</v>
      </c>
      <c r="V7">
        <f t="shared" si="0"/>
        <v>1.4770342164307935</v>
      </c>
      <c r="W7">
        <f t="shared" si="0"/>
        <v>1.4770342164307935</v>
      </c>
      <c r="X7">
        <f t="shared" si="0"/>
        <v>1.4770342164307935</v>
      </c>
      <c r="Y7">
        <f t="shared" si="0"/>
        <v>1.4770342164307935</v>
      </c>
      <c r="Z7">
        <f t="shared" si="0"/>
        <v>1.4770342164307935</v>
      </c>
      <c r="AA7">
        <f t="shared" si="0"/>
        <v>1.4770342164307935</v>
      </c>
      <c r="AB7">
        <f t="shared" si="0"/>
        <v>0.75967859875828392</v>
      </c>
      <c r="AC7">
        <f t="shared" si="0"/>
        <v>0.5642890660650165</v>
      </c>
      <c r="AD7">
        <f t="shared" si="0"/>
        <v>0.7236575630363774</v>
      </c>
      <c r="AE7">
        <f t="shared" si="0"/>
        <v>0.87063334697895933</v>
      </c>
      <c r="AF7">
        <f t="shared" si="0"/>
        <v>1</v>
      </c>
      <c r="AG7">
        <f t="shared" si="0"/>
        <v>1.1059506009876503</v>
      </c>
      <c r="AH7">
        <f t="shared" si="0"/>
        <v>1.1899508028307739</v>
      </c>
      <c r="AI7">
        <f t="shared" ref="AI7:BN7" si="1">AI6/$AF$6</f>
        <v>1.25527110668223</v>
      </c>
      <c r="AJ7">
        <f t="shared" si="1"/>
        <v>1.3055361603250013</v>
      </c>
      <c r="AK7">
        <f t="shared" si="1"/>
        <v>1.3440380913435122</v>
      </c>
      <c r="AL7">
        <f t="shared" si="1"/>
        <v>1.3735060086373487</v>
      </c>
      <c r="AM7">
        <f t="shared" si="1"/>
        <v>1.3960961227149473</v>
      </c>
      <c r="AN7">
        <f t="shared" si="1"/>
        <v>1.413467805038608</v>
      </c>
      <c r="AO7">
        <f t="shared" si="1"/>
        <v>1.4268802541116858</v>
      </c>
      <c r="AP7">
        <f t="shared" si="1"/>
        <v>1.4372825866094912</v>
      </c>
      <c r="AQ7">
        <f t="shared" si="1"/>
        <v>1.4453886171818984</v>
      </c>
      <c r="AR7">
        <f t="shared" si="1"/>
        <v>1.4517355392876043</v>
      </c>
      <c r="AS7">
        <f t="shared" si="1"/>
        <v>1.4567286195928371</v>
      </c>
      <c r="AT7">
        <f t="shared" si="1"/>
        <v>1.460674696997438</v>
      </c>
      <c r="AU7">
        <f t="shared" si="1"/>
        <v>1.4638070866021904</v>
      </c>
      <c r="AV7">
        <f t="shared" si="1"/>
        <v>1.4663040321035963</v>
      </c>
      <c r="AW7">
        <f t="shared" si="1"/>
        <v>1.4683023737540191</v>
      </c>
      <c r="AX7">
        <f t="shared" si="1"/>
        <v>1.4699076891602065</v>
      </c>
      <c r="AY7">
        <f t="shared" si="1"/>
        <v>1.4712018392210164</v>
      </c>
      <c r="AZ7">
        <f t="shared" si="1"/>
        <v>1.4722486043698175</v>
      </c>
      <c r="BA7">
        <f t="shared" si="1"/>
        <v>1.4730979125830417</v>
      </c>
      <c r="BB7">
        <f t="shared" si="1"/>
        <v>1.473789025766236</v>
      </c>
      <c r="BC7">
        <f t="shared" si="1"/>
        <v>1.474352952782316</v>
      </c>
      <c r="BD7">
        <f t="shared" si="1"/>
        <v>1.4748142858584929</v>
      </c>
      <c r="BE7">
        <f t="shared" si="1"/>
        <v>1.4751926051015565</v>
      </c>
      <c r="BF7">
        <f t="shared" si="1"/>
        <v>1.4755035579890368</v>
      </c>
    </row>
    <row r="8" spans="1:58">
      <c r="A8" t="s">
        <v>520</v>
      </c>
      <c r="C8">
        <f>IF(C3&lt;=2024,'SYAVLo-passengers'!$B$5,'SYAVLo-passengers'!$B$5*C7)</f>
        <v>15.34784042981183</v>
      </c>
      <c r="D8">
        <f>IF(D3&lt;=2024,'SYAVLo-passengers'!$B$5,'SYAVLo-passengers'!$B$5*D7)</f>
        <v>15.34784042981183</v>
      </c>
      <c r="E8">
        <f>IF(E3&lt;=2024,'SYAVLo-passengers'!$B$5,'SYAVLo-passengers'!$B$5*E7)</f>
        <v>15.34784042981183</v>
      </c>
      <c r="F8">
        <f>IF(F3&lt;=2024,'SYAVLo-passengers'!$B$5,'SYAVLo-passengers'!$B$5*F7)</f>
        <v>15.34784042981183</v>
      </c>
      <c r="G8">
        <f>IF(G3&lt;=2024,'SYAVLo-passengers'!$B$5,'SYAVLo-passengers'!$B$5*G7)</f>
        <v>15.34784042981183</v>
      </c>
      <c r="H8">
        <f>IF(H3&lt;=2024,'SYAVLo-passengers'!$B$5,'SYAVLo-passengers'!$B$5*H7)</f>
        <v>15.34784042981183</v>
      </c>
      <c r="I8">
        <f>IF(I3&lt;=2024,'SYAVLo-passengers'!$B$5,'SYAVLo-passengers'!$B$5*I7)</f>
        <v>15.34784042981183</v>
      </c>
      <c r="J8">
        <f>IF(J3&lt;=2024,'SYAVLo-passengers'!$B$5,'SYAVLo-passengers'!$B$5*J7)</f>
        <v>15.34784042981183</v>
      </c>
      <c r="K8">
        <f>IF(K3&lt;=2024,'SYAVLo-passengers'!$B$5,'SYAVLo-passengers'!$B$5*K7)</f>
        <v>15.34784042981183</v>
      </c>
      <c r="L8">
        <f>IF(L3&lt;=2024,'SYAVLo-passengers'!$B$5,'SYAVLo-passengers'!$B$5*L7)</f>
        <v>15.34784042981183</v>
      </c>
      <c r="M8">
        <f>IF(M3&lt;=2024,'SYAVLo-passengers'!$B$5,'SYAVLo-passengers'!$B$5*M7)</f>
        <v>15.34784042981183</v>
      </c>
      <c r="N8">
        <f>IF(N3&lt;=2024,'SYAVLo-passengers'!$B$5,'SYAVLo-passengers'!$B$5*N7)</f>
        <v>15.34784042981183</v>
      </c>
      <c r="O8">
        <f>IF(O3&lt;=2024,'SYAVLo-passengers'!$B$5,'SYAVLo-passengers'!$B$5*O7)</f>
        <v>15.34784042981183</v>
      </c>
      <c r="P8">
        <f>IF(P3&lt;=2024,'SYAVLo-passengers'!$B$5,'SYAVLo-passengers'!$B$5*P7)</f>
        <v>15.34784042981183</v>
      </c>
      <c r="Q8">
        <f>IF(Q3&lt;=2024,'SYAVLo-passengers'!$B$5,'SYAVLo-passengers'!$B$5*Q7)</f>
        <v>15.34784042981183</v>
      </c>
      <c r="R8">
        <f>IF(R3&lt;=2024,'SYAVLo-passengers'!$B$5,'SYAVLo-passengers'!$B$5*R7)</f>
        <v>15.34784042981183</v>
      </c>
      <c r="S8">
        <f>IF(S3&lt;=2024,'SYAVLo-passengers'!$B$5,'SYAVLo-passengers'!$B$5*S7)</f>
        <v>15.34784042981183</v>
      </c>
      <c r="T8">
        <f>IF(T3&lt;=2024,'SYAVLo-passengers'!$B$5,'SYAVLo-passengers'!$B$5*T7)</f>
        <v>15.34784042981183</v>
      </c>
      <c r="U8">
        <f>IF(U3&lt;=2024,'SYAVLo-passengers'!$B$5,'SYAVLo-passengers'!$B$5*U7)</f>
        <v>15.34784042981183</v>
      </c>
      <c r="V8">
        <f>IF(V3&lt;=2024,'SYAVLo-passengers'!$B$5,'SYAVLo-passengers'!$B$5*V7)</f>
        <v>15.34784042981183</v>
      </c>
      <c r="W8">
        <f>IF(W3&lt;=2024,'SYAVLo-passengers'!$B$5,'SYAVLo-passengers'!$B$5*W7)</f>
        <v>15.34784042981183</v>
      </c>
      <c r="X8">
        <f>IF(X3&lt;=2024,'SYAVLo-passengers'!$B$5,'SYAVLo-passengers'!$B$5*X7)</f>
        <v>15.34784042981183</v>
      </c>
      <c r="Y8">
        <f>IF(Y3&lt;=2024,'SYAVLo-passengers'!$B$5,'SYAVLo-passengers'!$B$5*Y7)</f>
        <v>15.34784042981183</v>
      </c>
      <c r="Z8">
        <f>IF(Z3&lt;=2024,'SYAVLo-passengers'!$B$5,'SYAVLo-passengers'!$B$5*Z7)</f>
        <v>15.34784042981183</v>
      </c>
      <c r="AA8">
        <f>IF(AA3&lt;=2024,'SYAVLo-passengers'!$B$5,'SYAVLo-passengers'!$B$5*AA7)</f>
        <v>15.34784042981183</v>
      </c>
      <c r="AB8">
        <f>IF(AB3&lt;=2024,'SYAVLo-passengers'!$B$5,'SYAVLo-passengers'!$B$5*AB7)</f>
        <v>15.34784042981183</v>
      </c>
      <c r="AC8">
        <f>IF(AC3&lt;=2024,'SYAVLo-passengers'!$B$5,'SYAVLo-passengers'!$B$5*AC7)</f>
        <v>15.34784042981183</v>
      </c>
      <c r="AD8">
        <f>IF(AD3&lt;=2024,'SYAVLo-passengers'!$B$5,'SYAVLo-passengers'!$B$5*AD7)</f>
        <v>15.34784042981183</v>
      </c>
      <c r="AE8">
        <f>IF(AE3&lt;=2024,'SYAVLo-passengers'!$B$5,'SYAVLo-passengers'!$B$5*AE7)</f>
        <v>15.34784042981183</v>
      </c>
      <c r="AF8">
        <f>IF(AF3&lt;=2024,'SYAVLo-passengers'!$B$5,'SYAVLo-passengers'!$B$5*AF7)</f>
        <v>15.34784042981183</v>
      </c>
      <c r="AG8">
        <f>IF(AG3&lt;=2024,'SYAVLo-passengers'!$B$5,'SYAVLo-passengers'!$B$5*AG7)</f>
        <v>16.973953347212952</v>
      </c>
      <c r="AH8">
        <f>IF(AH3&lt;=2024,'SYAVLo-passengers'!$B$5,'SYAVLo-passengers'!$B$5*AH7)</f>
        <v>18.263175041173199</v>
      </c>
      <c r="AI8">
        <f>IF(AI3&lt;=2024,'SYAVLo-passengers'!$B$5,'SYAVLo-passengers'!$B$5*AI7)</f>
        <v>19.265700641512169</v>
      </c>
      <c r="AJ8">
        <f>IF(AJ3&lt;=2024,'SYAVLo-passengers'!$B$5,'SYAVLo-passengers'!$B$5*AJ7)</f>
        <v>20.037160664017353</v>
      </c>
      <c r="AK8">
        <f>IF(AK3&lt;=2024,'SYAVLo-passengers'!$B$5,'SYAVLo-passengers'!$B$5*AK7)</f>
        <v>20.628082157529082</v>
      </c>
      <c r="AL8">
        <f>IF(AL3&lt;=2024,'SYAVLo-passengers'!$B$5,'SYAVLo-passengers'!$B$5*AL7)</f>
        <v>21.080351049953777</v>
      </c>
      <c r="AM8">
        <f>IF(AM3&lt;=2024,'SYAVLo-passengers'!$B$5,'SYAVLo-passengers'!$B$5*AM7)</f>
        <v>21.427060516108007</v>
      </c>
      <c r="AN8">
        <f>IF(AN3&lt;=2024,'SYAVLo-passengers'!$B$5,'SYAVLo-passengers'!$B$5*AN7)</f>
        <v>21.693678324408936</v>
      </c>
      <c r="AO8">
        <f>IF(AO3&lt;=2024,'SYAVLo-passengers'!$B$5,'SYAVLo-passengers'!$B$5*AO7)</f>
        <v>21.89953045255551</v>
      </c>
      <c r="AP8">
        <f>IF(AP3&lt;=2024,'SYAVLo-passengers'!$B$5,'SYAVLo-passengers'!$B$5*AP7)</f>
        <v>22.059183791829671</v>
      </c>
      <c r="AQ8">
        <f>IF(AQ3&lt;=2024,'SYAVLo-passengers'!$B$5,'SYAVLo-passengers'!$B$5*AQ7)</f>
        <v>22.183593855574156</v>
      </c>
      <c r="AR8">
        <f>IF(AR3&lt;=2024,'SYAVLo-passengers'!$B$5,'SYAVLo-passengers'!$B$5*AR7)</f>
        <v>22.281005403272975</v>
      </c>
      <c r="AS8">
        <f>IF(AS3&lt;=2024,'SYAVLo-passengers'!$B$5,'SYAVLo-passengers'!$B$5*AS7)</f>
        <v>22.357638403050924</v>
      </c>
      <c r="AT8">
        <f>IF(AT3&lt;=2024,'SYAVLo-passengers'!$B$5,'SYAVLo-passengers'!$B$5*AT7)</f>
        <v>22.418202169380425</v>
      </c>
      <c r="AU8">
        <f>IF(AU3&lt;=2024,'SYAVLo-passengers'!$B$5,'SYAVLo-passengers'!$B$5*AU7)</f>
        <v>22.466277585198164</v>
      </c>
      <c r="AV8">
        <f>IF(AV3&lt;=2024,'SYAVLo-passengers'!$B$5,'SYAVLo-passengers'!$B$5*AV7)</f>
        <v>22.50460030631568</v>
      </c>
      <c r="AW8">
        <f>IF(AW3&lt;=2024,'SYAVLo-passengers'!$B$5,'SYAVLo-passengers'!$B$5*AW7)</f>
        <v>22.535270535090614</v>
      </c>
      <c r="AX8">
        <f>IF(AX3&lt;=2024,'SYAVLo-passengers'!$B$5,'SYAVLo-passengers'!$B$5*AX7)</f>
        <v>22.559908659784298</v>
      </c>
      <c r="AY8">
        <f>IF(AY3&lt;=2024,'SYAVLo-passengers'!$B$5,'SYAVLo-passengers'!$B$5*AY7)</f>
        <v>22.57977106840984</v>
      </c>
      <c r="AZ8">
        <f>IF(AZ3&lt;=2024,'SYAVLo-passengers'!$B$5,'SYAVLo-passengers'!$B$5*AZ7)</f>
        <v>22.595836652881129</v>
      </c>
      <c r="BA8">
        <f>IF(BA3&lt;=2024,'SYAVLo-passengers'!$B$5,'SYAVLo-passengers'!$B$5*BA7)</f>
        <v>22.60887169981342</v>
      </c>
      <c r="BB8">
        <f>IF(BB3&lt;=2024,'SYAVLo-passengers'!$B$5,'SYAVLo-passengers'!$B$5*BB7)</f>
        <v>22.619478794668026</v>
      </c>
      <c r="BC8">
        <f>IF(BC3&lt;=2024,'SYAVLo-passengers'!$B$5,'SYAVLo-passengers'!$B$5*BC7)</f>
        <v>22.628133856524883</v>
      </c>
      <c r="BD8">
        <f>IF(BD3&lt;=2024,'SYAVLo-passengers'!$B$5,'SYAVLo-passengers'!$B$5*BD7)</f>
        <v>22.635214322963041</v>
      </c>
      <c r="BE8">
        <f>IF(BE3&lt;=2024,'SYAVLo-passengers'!$B$5,'SYAVLo-passengers'!$B$5*BE7)</f>
        <v>22.641020706337105</v>
      </c>
      <c r="BF8">
        <f>IF(BF3&lt;=2024,'SYAVLo-passengers'!$B$5,'SYAVLo-passengers'!$B$5*BF7)</f>
        <v>22.645793161635343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68B89-BA45-4777-9718-3734FA1893EF}">
  <dimension ref="A1:BF9"/>
  <sheetViews>
    <sheetView workbookViewId="0"/>
  </sheetViews>
  <sheetFormatPr defaultRowHeight="15"/>
  <sheetData>
    <row r="1" spans="1:58">
      <c r="A1" t="s">
        <v>550</v>
      </c>
    </row>
    <row r="3" spans="1:58">
      <c r="A3" t="s">
        <v>486</v>
      </c>
      <c r="C3">
        <f>'NEMS bus covid'!C3</f>
        <v>1995</v>
      </c>
      <c r="D3">
        <f>'NEMS bus covid'!D3</f>
        <v>1996</v>
      </c>
      <c r="E3">
        <f>'NEMS bus covid'!E3</f>
        <v>1997</v>
      </c>
      <c r="F3">
        <f>'NEMS bus covid'!F3</f>
        <v>1998</v>
      </c>
      <c r="G3">
        <f>'NEMS bus covid'!G3</f>
        <v>1999</v>
      </c>
      <c r="H3">
        <f>'NEMS bus covid'!H3</f>
        <v>2000</v>
      </c>
      <c r="I3">
        <f>'NEMS bus covid'!I3</f>
        <v>2001</v>
      </c>
      <c r="J3">
        <f>'NEMS bus covid'!J3</f>
        <v>2002</v>
      </c>
      <c r="K3">
        <f>'NEMS bus covid'!K3</f>
        <v>2003</v>
      </c>
      <c r="L3">
        <f>'NEMS bus covid'!L3</f>
        <v>2004</v>
      </c>
      <c r="M3">
        <f>'NEMS bus covid'!M3</f>
        <v>2005</v>
      </c>
      <c r="N3">
        <f>'NEMS bus covid'!N3</f>
        <v>2006</v>
      </c>
      <c r="O3">
        <f>'NEMS bus covid'!O3</f>
        <v>2007</v>
      </c>
      <c r="P3">
        <f>'NEMS bus covid'!P3</f>
        <v>2008</v>
      </c>
      <c r="Q3">
        <f>'NEMS bus covid'!Q3</f>
        <v>2009</v>
      </c>
      <c r="R3">
        <f>'NEMS bus covid'!R3</f>
        <v>2010</v>
      </c>
      <c r="S3">
        <f>'NEMS bus covid'!S3</f>
        <v>2011</v>
      </c>
      <c r="T3">
        <f>'NEMS bus covid'!T3</f>
        <v>2012</v>
      </c>
      <c r="U3">
        <f>'NEMS bus covid'!U3</f>
        <v>2013</v>
      </c>
      <c r="V3">
        <f>'NEMS bus covid'!V3</f>
        <v>2014</v>
      </c>
      <c r="W3">
        <f>'NEMS bus covid'!W3</f>
        <v>2015</v>
      </c>
      <c r="X3">
        <f>'NEMS bus covid'!X3</f>
        <v>2016</v>
      </c>
      <c r="Y3">
        <f>'NEMS bus covid'!Y3</f>
        <v>2017</v>
      </c>
      <c r="Z3">
        <f>'NEMS bus covid'!Z3</f>
        <v>2018</v>
      </c>
      <c r="AA3">
        <f>'NEMS bus covid'!AA3</f>
        <v>2019</v>
      </c>
      <c r="AB3">
        <f>'NEMS bus covid'!AB3</f>
        <v>2020</v>
      </c>
      <c r="AC3">
        <f>'NEMS bus covid'!AC3</f>
        <v>2021</v>
      </c>
      <c r="AD3">
        <f>'NEMS bus covid'!AD3</f>
        <v>2022</v>
      </c>
      <c r="AE3">
        <f>'NEMS bus covid'!AE3</f>
        <v>2023</v>
      </c>
      <c r="AF3">
        <f>'NEMS bus covid'!AF3</f>
        <v>2024</v>
      </c>
      <c r="AG3">
        <f>'NEMS bus covid'!AG3</f>
        <v>2025</v>
      </c>
      <c r="AH3">
        <f>'NEMS bus covid'!AH3</f>
        <v>2026</v>
      </c>
      <c r="AI3">
        <f>'NEMS bus covid'!AI3</f>
        <v>2027</v>
      </c>
      <c r="AJ3">
        <f>'NEMS bus covid'!AJ3</f>
        <v>2028</v>
      </c>
      <c r="AK3">
        <f>'NEMS bus covid'!AK3</f>
        <v>2029</v>
      </c>
      <c r="AL3">
        <f>'NEMS bus covid'!AL3</f>
        <v>2030</v>
      </c>
      <c r="AM3">
        <f>'NEMS bus covid'!AM3</f>
        <v>2031</v>
      </c>
      <c r="AN3">
        <f>'NEMS bus covid'!AN3</f>
        <v>2032</v>
      </c>
      <c r="AO3">
        <f>'NEMS bus covid'!AO3</f>
        <v>2033</v>
      </c>
      <c r="AP3">
        <f>'NEMS bus covid'!AP3</f>
        <v>2034</v>
      </c>
      <c r="AQ3">
        <f>'NEMS bus covid'!AQ3</f>
        <v>2035</v>
      </c>
      <c r="AR3">
        <f>'NEMS bus covid'!AR3</f>
        <v>2036</v>
      </c>
      <c r="AS3">
        <f>'NEMS bus covid'!AS3</f>
        <v>2037</v>
      </c>
      <c r="AT3">
        <f>'NEMS bus covid'!AT3</f>
        <v>2038</v>
      </c>
      <c r="AU3">
        <f>'NEMS bus covid'!AU3</f>
        <v>2039</v>
      </c>
      <c r="AV3">
        <f>'NEMS bus covid'!AV3</f>
        <v>2040</v>
      </c>
      <c r="AW3">
        <f>'NEMS bus covid'!AW3</f>
        <v>2041</v>
      </c>
      <c r="AX3">
        <f>'NEMS bus covid'!AX3</f>
        <v>2042</v>
      </c>
      <c r="AY3">
        <f>'NEMS bus covid'!AY3</f>
        <v>2043</v>
      </c>
      <c r="AZ3">
        <f>'NEMS bus covid'!AZ3</f>
        <v>2044</v>
      </c>
      <c r="BA3">
        <f>'NEMS bus covid'!BA3</f>
        <v>2045</v>
      </c>
      <c r="BB3">
        <f>'NEMS bus covid'!BB3</f>
        <v>2046</v>
      </c>
      <c r="BC3">
        <f>'NEMS bus covid'!BC3</f>
        <v>2047</v>
      </c>
      <c r="BD3">
        <f>'NEMS bus covid'!BD3</f>
        <v>2048</v>
      </c>
      <c r="BE3">
        <f>'NEMS bus covid'!BE3</f>
        <v>2049</v>
      </c>
      <c r="BF3">
        <f>'NEMS bus covid'!BF3</f>
        <v>2050</v>
      </c>
    </row>
    <row r="4" spans="1:58">
      <c r="A4" t="s">
        <v>506</v>
      </c>
      <c r="C4">
        <f>SUMPRODUCT('NEMS bus covid'!$B$31:$B$39,EXP('NEMS bus covid'!$E$16:$E$24*'NEMS bus covid'!C5:C13))/SUM('NEMS bus covid'!$B$31:$B$39)</f>
        <v>1</v>
      </c>
      <c r="D4">
        <f>SUMPRODUCT('NEMS bus covid'!$B$31:$B$39,EXP('NEMS bus covid'!$E$16:$E$24*'NEMS bus covid'!D5:D13))/SUM('NEMS bus covid'!$B$31:$B$39)</f>
        <v>1</v>
      </c>
      <c r="E4">
        <f>SUMPRODUCT('NEMS bus covid'!$B$31:$B$39,EXP('NEMS bus covid'!$E$16:$E$24*'NEMS bus covid'!E5:E13))/SUM('NEMS bus covid'!$B$31:$B$39)</f>
        <v>1</v>
      </c>
      <c r="F4">
        <f>SUMPRODUCT('NEMS bus covid'!$B$31:$B$39,EXP('NEMS bus covid'!$E$16:$E$24*'NEMS bus covid'!F5:F13))/SUM('NEMS bus covid'!$B$31:$B$39)</f>
        <v>1</v>
      </c>
      <c r="G4">
        <f>SUMPRODUCT('NEMS bus covid'!$B$31:$B$39,EXP('NEMS bus covid'!$E$16:$E$24*'NEMS bus covid'!G5:G13))/SUM('NEMS bus covid'!$B$31:$B$39)</f>
        <v>1</v>
      </c>
      <c r="H4">
        <f>SUMPRODUCT('NEMS bus covid'!$B$31:$B$39,EXP('NEMS bus covid'!$E$16:$E$24*'NEMS bus covid'!H5:H13))/SUM('NEMS bus covid'!$B$31:$B$39)</f>
        <v>1</v>
      </c>
      <c r="I4">
        <f>SUMPRODUCT('NEMS bus covid'!$B$31:$B$39,EXP('NEMS bus covid'!$E$16:$E$24*'NEMS bus covid'!I5:I13))/SUM('NEMS bus covid'!$B$31:$B$39)</f>
        <v>1</v>
      </c>
      <c r="J4">
        <f>SUMPRODUCT('NEMS bus covid'!$B$31:$B$39,EXP('NEMS bus covid'!$E$16:$E$24*'NEMS bus covid'!J5:J13))/SUM('NEMS bus covid'!$B$31:$B$39)</f>
        <v>1</v>
      </c>
      <c r="K4">
        <f>SUMPRODUCT('NEMS bus covid'!$B$31:$B$39,EXP('NEMS bus covid'!$E$16:$E$24*'NEMS bus covid'!K5:K13))/SUM('NEMS bus covid'!$B$31:$B$39)</f>
        <v>1</v>
      </c>
      <c r="L4">
        <f>SUMPRODUCT('NEMS bus covid'!$B$31:$B$39,EXP('NEMS bus covid'!$E$16:$E$24*'NEMS bus covid'!L5:L13))/SUM('NEMS bus covid'!$B$31:$B$39)</f>
        <v>1</v>
      </c>
      <c r="M4">
        <f>SUMPRODUCT('NEMS bus covid'!$B$31:$B$39,EXP('NEMS bus covid'!$E$16:$E$24*'NEMS bus covid'!M5:M13))/SUM('NEMS bus covid'!$B$31:$B$39)</f>
        <v>1</v>
      </c>
      <c r="N4">
        <f>SUMPRODUCT('NEMS bus covid'!$B$31:$B$39,EXP('NEMS bus covid'!$E$16:$E$24*'NEMS bus covid'!N5:N13))/SUM('NEMS bus covid'!$B$31:$B$39)</f>
        <v>1</v>
      </c>
      <c r="O4">
        <f>SUMPRODUCT('NEMS bus covid'!$B$31:$B$39,EXP('NEMS bus covid'!$E$16:$E$24*'NEMS bus covid'!O5:O13))/SUM('NEMS bus covid'!$B$31:$B$39)</f>
        <v>1</v>
      </c>
      <c r="P4">
        <f>SUMPRODUCT('NEMS bus covid'!$B$31:$B$39,EXP('NEMS bus covid'!$E$16:$E$24*'NEMS bus covid'!P5:P13))/SUM('NEMS bus covid'!$B$31:$B$39)</f>
        <v>1</v>
      </c>
      <c r="Q4">
        <f>SUMPRODUCT('NEMS bus covid'!$B$31:$B$39,EXP('NEMS bus covid'!$E$16:$E$24*'NEMS bus covid'!Q5:Q13))/SUM('NEMS bus covid'!$B$31:$B$39)</f>
        <v>1</v>
      </c>
      <c r="R4">
        <f>SUMPRODUCT('NEMS bus covid'!$B$31:$B$39,EXP('NEMS bus covid'!$E$16:$E$24*'NEMS bus covid'!R5:R13))/SUM('NEMS bus covid'!$B$31:$B$39)</f>
        <v>1</v>
      </c>
      <c r="S4">
        <f>SUMPRODUCT('NEMS bus covid'!$B$31:$B$39,EXP('NEMS bus covid'!$E$16:$E$24*'NEMS bus covid'!S5:S13))/SUM('NEMS bus covid'!$B$31:$B$39)</f>
        <v>1</v>
      </c>
      <c r="T4">
        <f>SUMPRODUCT('NEMS bus covid'!$B$31:$B$39,EXP('NEMS bus covid'!$E$16:$E$24*'NEMS bus covid'!T5:T13))/SUM('NEMS bus covid'!$B$31:$B$39)</f>
        <v>1</v>
      </c>
      <c r="U4">
        <f>SUMPRODUCT('NEMS bus covid'!$B$31:$B$39,EXP('NEMS bus covid'!$E$16:$E$24*'NEMS bus covid'!U5:U13))/SUM('NEMS bus covid'!$B$31:$B$39)</f>
        <v>1</v>
      </c>
      <c r="V4">
        <f>SUMPRODUCT('NEMS bus covid'!$B$31:$B$39,EXP('NEMS bus covid'!$E$16:$E$24*'NEMS bus covid'!V5:V13))/SUM('NEMS bus covid'!$B$31:$B$39)</f>
        <v>1</v>
      </c>
      <c r="W4">
        <f>SUMPRODUCT('NEMS bus covid'!$B$31:$B$39,EXP('NEMS bus covid'!$E$16:$E$24*'NEMS bus covid'!W5:W13))/SUM('NEMS bus covid'!$B$31:$B$39)</f>
        <v>1</v>
      </c>
      <c r="X4">
        <f>SUMPRODUCT('NEMS bus covid'!$B$31:$B$39,EXP('NEMS bus covid'!$E$16:$E$24*'NEMS bus covid'!X5:X13))/SUM('NEMS bus covid'!$B$31:$B$39)</f>
        <v>1</v>
      </c>
      <c r="Y4">
        <f>SUMPRODUCT('NEMS bus covid'!$B$31:$B$39,EXP('NEMS bus covid'!$E$16:$E$24*'NEMS bus covid'!Y5:Y13))/SUM('NEMS bus covid'!$B$31:$B$39)</f>
        <v>1</v>
      </c>
      <c r="Z4">
        <f>SUMPRODUCT('NEMS bus covid'!$B$31:$B$39,EXP('NEMS bus covid'!$E$16:$E$24*'NEMS bus covid'!Z5:Z13))/SUM('NEMS bus covid'!$B$31:$B$39)</f>
        <v>1</v>
      </c>
      <c r="AA4">
        <f>SUMPRODUCT('NEMS bus covid'!$B$31:$B$39,EXP('NEMS bus covid'!$E$16:$E$24*'NEMS bus covid'!AA5:AA13))/SUM('NEMS bus covid'!$B$31:$B$39)</f>
        <v>1</v>
      </c>
      <c r="AB4">
        <f>SUMPRODUCT('NEMS bus covid'!$B$31:$B$39,EXP('NEMS bus covid'!$E$16:$E$24*'NEMS bus covid'!AB5:AB13))/SUM('NEMS bus covid'!$B$31:$B$39)</f>
        <v>1.1792092757689472</v>
      </c>
      <c r="AC4">
        <f>SUMPRODUCT('NEMS bus covid'!$B$31:$B$39,EXP('NEMS bus covid'!$E$16:$E$24*'NEMS bus covid'!AC5:AC13))/SUM('NEMS bus covid'!$B$31:$B$39)</f>
        <v>1.4322670649011615</v>
      </c>
      <c r="AD4">
        <f>SUMPRODUCT('NEMS bus covid'!$B$31:$B$39,EXP('NEMS bus covid'!$E$16:$E$24*'NEMS bus covid'!AD5:AD13))/SUM('NEMS bus covid'!$B$31:$B$39)</f>
        <v>1.4163762258304651</v>
      </c>
      <c r="AE4">
        <f>SUMPRODUCT('NEMS bus covid'!$B$31:$B$39,EXP('NEMS bus covid'!$E$16:$E$24*'NEMS bus covid'!AE5:AE13))/SUM('NEMS bus covid'!$B$31:$B$39)</f>
        <v>1.2862524049523751</v>
      </c>
      <c r="AF4">
        <f>SUMPRODUCT('NEMS bus covid'!$B$31:$B$39,EXP('NEMS bus covid'!$E$16:$E$24*'NEMS bus covid'!AF5:AF13))/SUM('NEMS bus covid'!$B$31:$B$39)</f>
        <v>1.2048951042375284</v>
      </c>
      <c r="AG4">
        <f>SUMPRODUCT('NEMS bus covid'!$B$31:$B$39,EXP('NEMS bus covid'!$E$16:$E$24*'NEMS bus covid'!AG5:AG13))/SUM('NEMS bus covid'!$B$31:$B$39)</f>
        <v>1.1510441122371011</v>
      </c>
      <c r="AH4">
        <f>SUMPRODUCT('NEMS bus covid'!$B$31:$B$39,EXP('NEMS bus covid'!$E$16:$E$24*'NEMS bus covid'!AH5:AH13))/SUM('NEMS bus covid'!$B$31:$B$39)</f>
        <v>1.113939837619295</v>
      </c>
      <c r="AI4">
        <f>SUMPRODUCT('NEMS bus covid'!$B$31:$B$39,EXP('NEMS bus covid'!$E$16:$E$24*'NEMS bus covid'!AI5:AI13))/SUM('NEMS bus covid'!$B$31:$B$39)</f>
        <v>1.0875702573813135</v>
      </c>
      <c r="AJ4">
        <f>SUMPRODUCT('NEMS bus covid'!$B$31:$B$39,EXP('NEMS bus covid'!$E$16:$E$24*'NEMS bus covid'!AJ5:AJ13))/SUM('NEMS bus covid'!$B$31:$B$39)</f>
        <v>1.0683537320495382</v>
      </c>
      <c r="AK4">
        <f>SUMPRODUCT('NEMS bus covid'!$B$31:$B$39,EXP('NEMS bus covid'!$E$16:$E$24*'NEMS bus covid'!AK5:AK13))/SUM('NEMS bus covid'!$B$31:$B$39)</f>
        <v>1.0540539273679812</v>
      </c>
      <c r="AL4">
        <f>SUMPRODUCT('NEMS bus covid'!$B$31:$B$39,EXP('NEMS bus covid'!$E$16:$E$24*'NEMS bus covid'!AL5:AL13))/SUM('NEMS bus covid'!$B$31:$B$39)</f>
        <v>1.0431113450617935</v>
      </c>
      <c r="AM4">
        <f>SUMPRODUCT('NEMS bus covid'!$B$31:$B$39,EXP('NEMS bus covid'!$E$16:$E$24*'NEMS bus covid'!AM5:AM13))/SUM('NEMS bus covid'!$B$31:$B$39)</f>
        <v>1.0395467499119548</v>
      </c>
      <c r="AN4">
        <f>SUMPRODUCT('NEMS bus covid'!$B$31:$B$39,EXP('NEMS bus covid'!$E$16:$E$24*'NEMS bus covid'!AN5:AN13))/SUM('NEMS bus covid'!$B$31:$B$39)</f>
        <v>1.037191330790302</v>
      </c>
      <c r="AO4">
        <f>SUMPRODUCT('NEMS bus covid'!$B$31:$B$39,EXP('NEMS bus covid'!$E$16:$E$24*'NEMS bus covid'!AO5:AO13))/SUM('NEMS bus covid'!$B$31:$B$39)</f>
        <v>1.0354242051125728</v>
      </c>
      <c r="AP4">
        <f>SUMPRODUCT('NEMS bus covid'!$B$31:$B$39,EXP('NEMS bus covid'!$E$16:$E$24*'NEMS bus covid'!AP5:AP13))/SUM('NEMS bus covid'!$B$31:$B$39)</f>
        <v>1.0339952555947671</v>
      </c>
      <c r="AQ4">
        <f>SUMPRODUCT('NEMS bus covid'!$B$31:$B$39,EXP('NEMS bus covid'!$E$16:$E$24*'NEMS bus covid'!AQ5:AQ13))/SUM('NEMS bus covid'!$B$31:$B$39)</f>
        <v>1.0328191189167912</v>
      </c>
      <c r="AR4">
        <f>SUMPRODUCT('NEMS bus covid'!$B$31:$B$39,EXP('NEMS bus covid'!$E$16:$E$24*'NEMS bus covid'!AR5:AR13))/SUM('NEMS bus covid'!$B$31:$B$39)</f>
        <v>1.0320053506657099</v>
      </c>
      <c r="AS4">
        <f>SUMPRODUCT('NEMS bus covid'!$B$31:$B$39,EXP('NEMS bus covid'!$E$16:$E$24*'NEMS bus covid'!AS5:AS13))/SUM('NEMS bus covid'!$B$31:$B$39)</f>
        <v>1.0312989719645391</v>
      </c>
      <c r="AT4">
        <f>SUMPRODUCT('NEMS bus covid'!$B$31:$B$39,EXP('NEMS bus covid'!$E$16:$E$24*'NEMS bus covid'!AT5:AT13))/SUM('NEMS bus covid'!$B$31:$B$39)</f>
        <v>1.0306808371169771</v>
      </c>
      <c r="AU4">
        <f>SUMPRODUCT('NEMS bus covid'!$B$31:$B$39,EXP('NEMS bus covid'!$E$16:$E$24*'NEMS bus covid'!AU5:AU13))/SUM('NEMS bus covid'!$B$31:$B$39)</f>
        <v>1.030136691119456</v>
      </c>
      <c r="AV4">
        <f>SUMPRODUCT('NEMS bus covid'!$B$31:$B$39,EXP('NEMS bus covid'!$E$16:$E$24*'NEMS bus covid'!AV5:AV13))/SUM('NEMS bus covid'!$B$31:$B$39)</f>
        <v>1.0296555644060421</v>
      </c>
      <c r="AW4">
        <f>SUMPRODUCT('NEMS bus covid'!$B$31:$B$39,EXP('NEMS bus covid'!$E$16:$E$24*'NEMS bus covid'!AW5:AW13))/SUM('NEMS bus covid'!$B$31:$B$39)</f>
        <v>1.0292287606973027</v>
      </c>
      <c r="AX4">
        <f>SUMPRODUCT('NEMS bus covid'!$B$31:$B$39,EXP('NEMS bus covid'!$E$16:$E$24*'NEMS bus covid'!AX5:AX13))/SUM('NEMS bus covid'!$B$31:$B$39)</f>
        <v>1.0288492079650629</v>
      </c>
      <c r="AY4">
        <f>SUMPRODUCT('NEMS bus covid'!$B$31:$B$39,EXP('NEMS bus covid'!$E$16:$E$24*'NEMS bus covid'!AY5:AY13))/SUM('NEMS bus covid'!$B$31:$B$39)</f>
        <v>1.0285110335610632</v>
      </c>
      <c r="AZ4">
        <f>SUMPRODUCT('NEMS bus covid'!$B$31:$B$39,EXP('NEMS bus covid'!$E$16:$E$24*'NEMS bus covid'!AZ5:AZ13))/SUM('NEMS bus covid'!$B$31:$B$39)</f>
        <v>1.0282092791769699</v>
      </c>
      <c r="BA4">
        <f>SUMPRODUCT('NEMS bus covid'!$B$31:$B$39,EXP('NEMS bus covid'!$E$16:$E$24*'NEMS bus covid'!BA5:BA13))/SUM('NEMS bus covid'!$B$31:$B$39)</f>
        <v>1.0279397041839065</v>
      </c>
      <c r="BB4">
        <f>SUMPRODUCT('NEMS bus covid'!$B$31:$B$39,EXP('NEMS bus covid'!$E$16:$E$24*'NEMS bus covid'!BB5:BB13))/SUM('NEMS bus covid'!$B$31:$B$39)</f>
        <v>1.0276986457568487</v>
      </c>
      <c r="BC4">
        <f>SUMPRODUCT('NEMS bus covid'!$B$31:$B$39,EXP('NEMS bus covid'!$E$16:$E$24*'NEMS bus covid'!BC5:BC13))/SUM('NEMS bus covid'!$B$31:$B$39)</f>
        <v>1.0274829162228025</v>
      </c>
      <c r="BD4">
        <f>SUMPRODUCT('NEMS bus covid'!$B$31:$B$39,EXP('NEMS bus covid'!$E$16:$E$24*'NEMS bus covid'!BD5:BD13))/SUM('NEMS bus covid'!$B$31:$B$39)</f>
        <v>1.027289725394366</v>
      </c>
      <c r="BE4">
        <f>SUMPRODUCT('NEMS bus covid'!$B$31:$B$39,EXP('NEMS bus covid'!$E$16:$E$24*'NEMS bus covid'!BE5:BE13))/SUM('NEMS bus covid'!$B$31:$B$39)</f>
        <v>1.0271166201294992</v>
      </c>
      <c r="BF4">
        <f>SUMPRODUCT('NEMS bus covid'!$B$31:$B$39,EXP('NEMS bus covid'!$E$16:$E$24*'NEMS bus covid'!BF5:BF13))/SUM('NEMS bus covid'!$B$31:$B$39)</f>
        <v>1.0269614361165516</v>
      </c>
    </row>
    <row r="5" spans="1:58">
      <c r="A5" t="s">
        <v>507</v>
      </c>
      <c r="C5">
        <f>1-'NEMS bus covid'!C27</f>
        <v>1</v>
      </c>
      <c r="D5">
        <f>1-'NEMS bus covid'!D27</f>
        <v>1</v>
      </c>
      <c r="E5">
        <f>1-'NEMS bus covid'!E27</f>
        <v>1</v>
      </c>
      <c r="F5">
        <f>1-'NEMS bus covid'!F27</f>
        <v>1</v>
      </c>
      <c r="G5">
        <f>1-'NEMS bus covid'!G27</f>
        <v>1</v>
      </c>
      <c r="H5">
        <f>1-'NEMS bus covid'!H27</f>
        <v>1</v>
      </c>
      <c r="I5">
        <f>1-'NEMS bus covid'!I27</f>
        <v>1</v>
      </c>
      <c r="J5">
        <f>1-'NEMS bus covid'!J27</f>
        <v>1</v>
      </c>
      <c r="K5">
        <f>1-'NEMS bus covid'!K27</f>
        <v>1</v>
      </c>
      <c r="L5">
        <f>1-'NEMS bus covid'!L27</f>
        <v>1</v>
      </c>
      <c r="M5">
        <f>1-'NEMS bus covid'!M27</f>
        <v>1</v>
      </c>
      <c r="N5">
        <f>1-'NEMS bus covid'!N27</f>
        <v>1</v>
      </c>
      <c r="O5">
        <f>1-'NEMS bus covid'!O27</f>
        <v>1</v>
      </c>
      <c r="P5">
        <f>1-'NEMS bus covid'!P27</f>
        <v>1</v>
      </c>
      <c r="Q5">
        <f>1-'NEMS bus covid'!Q27</f>
        <v>1</v>
      </c>
      <c r="R5">
        <f>1-'NEMS bus covid'!R27</f>
        <v>1</v>
      </c>
      <c r="S5">
        <f>1-'NEMS bus covid'!S27</f>
        <v>1</v>
      </c>
      <c r="T5">
        <f>1-'NEMS bus covid'!T27</f>
        <v>1</v>
      </c>
      <c r="U5">
        <f>1-'NEMS bus covid'!U27</f>
        <v>1</v>
      </c>
      <c r="V5">
        <f>1-'NEMS bus covid'!V27</f>
        <v>1</v>
      </c>
      <c r="W5">
        <f>1-'NEMS bus covid'!W27</f>
        <v>1</v>
      </c>
      <c r="X5">
        <f>1-'NEMS bus covid'!X27</f>
        <v>1</v>
      </c>
      <c r="Y5">
        <f>1-'NEMS bus covid'!Y27</f>
        <v>1</v>
      </c>
      <c r="Z5">
        <f>1-'NEMS bus covid'!Z27</f>
        <v>1</v>
      </c>
      <c r="AA5">
        <f>1-'NEMS bus covid'!AA27</f>
        <v>1</v>
      </c>
      <c r="AB5">
        <f>1-'NEMS bus covid'!AB27</f>
        <v>0</v>
      </c>
      <c r="AC5">
        <f>1-'NEMS bus covid'!AC27</f>
        <v>0.7</v>
      </c>
      <c r="AD5">
        <f>1-'NEMS bus covid'!AD27</f>
        <v>0.77500000000000002</v>
      </c>
      <c r="AE5">
        <f>1-'NEMS bus covid'!AE27</f>
        <v>0.83125000000000004</v>
      </c>
      <c r="AF5">
        <f>1-'NEMS bus covid'!AF27</f>
        <v>0.87343749999999998</v>
      </c>
      <c r="AG5">
        <f>1-'NEMS bus covid'!AG27</f>
        <v>0.90507812499999996</v>
      </c>
      <c r="AH5">
        <f>1-'NEMS bus covid'!AH27</f>
        <v>0.92880859375000002</v>
      </c>
      <c r="AI5">
        <f>1-'NEMS bus covid'!AI27</f>
        <v>0.94660644625000001</v>
      </c>
      <c r="AJ5">
        <f>1-'NEMS bus covid'!AJ27</f>
        <v>0.95995483375000001</v>
      </c>
      <c r="AK5">
        <f>1-'NEMS bus covid'!AK27</f>
        <v>0.96996612625</v>
      </c>
      <c r="AL5">
        <f>1-'NEMS bus covid'!AL27</f>
        <v>0.97747459375000001</v>
      </c>
      <c r="AM5">
        <f>1-'NEMS bus covid'!AM27</f>
        <v>0.98310594625000003</v>
      </c>
      <c r="AN5">
        <f>1-'NEMS bus covid'!AN27</f>
        <v>0.98732945875</v>
      </c>
      <c r="AO5">
        <f>1-'NEMS bus covid'!AO27</f>
        <v>0.99049712499999998</v>
      </c>
      <c r="AP5">
        <f>1-'NEMS bus covid'!AP27</f>
        <v>0.99287274999999997</v>
      </c>
      <c r="AQ5">
        <f>1-'NEMS bus covid'!AQ27</f>
        <v>0.99465475000000003</v>
      </c>
      <c r="AR5">
        <f>1-'NEMS bus covid'!AR27</f>
        <v>0.99599087500000005</v>
      </c>
      <c r="AS5">
        <f>1-'NEMS bus covid'!AS27</f>
        <v>0.99699325000000005</v>
      </c>
      <c r="AT5">
        <f>1-'NEMS bus covid'!AT27</f>
        <v>0.99774474999999996</v>
      </c>
      <c r="AU5">
        <f>1-'NEMS bus covid'!AU27</f>
        <v>0.99830874999999997</v>
      </c>
      <c r="AV5">
        <f>1-'NEMS bus covid'!AV27</f>
        <v>0.99873137499999998</v>
      </c>
      <c r="AW5">
        <f>1-'NEMS bus covid'!AW27</f>
        <v>0.99904862500000002</v>
      </c>
      <c r="AX5">
        <f>1-'NEMS bus covid'!AX27</f>
        <v>0.99928637499999995</v>
      </c>
      <c r="AY5">
        <f>1-'NEMS bus covid'!AY27</f>
        <v>0.99946487500000003</v>
      </c>
      <c r="AZ5">
        <f>1-'NEMS bus covid'!AZ27</f>
        <v>0.99959874999999998</v>
      </c>
      <c r="BA5">
        <f>1-'NEMS bus covid'!BA27</f>
        <v>0.99969887499999999</v>
      </c>
      <c r="BB5">
        <f>1-'NEMS bus covid'!BB27</f>
        <v>0.99977424999999998</v>
      </c>
      <c r="BC5">
        <f>1-'NEMS bus covid'!BC27</f>
        <v>0.99983049999999996</v>
      </c>
      <c r="BD5">
        <f>1-'NEMS bus covid'!BD27</f>
        <v>0.99987287499999999</v>
      </c>
      <c r="BE5">
        <f>1-'NEMS bus covid'!BE27</f>
        <v>0.99990475000000001</v>
      </c>
      <c r="BF5">
        <f>1-'NEMS bus covid'!BF27</f>
        <v>0.99992875000000003</v>
      </c>
    </row>
    <row r="6" spans="1:58">
      <c r="A6" t="s">
        <v>508</v>
      </c>
      <c r="C6">
        <f>1-'NEMS bus covid'!C28</f>
        <v>1</v>
      </c>
      <c r="D6">
        <f>1-'NEMS bus covid'!D28</f>
        <v>1</v>
      </c>
      <c r="E6">
        <f>1-'NEMS bus covid'!E28</f>
        <v>1</v>
      </c>
      <c r="F6">
        <f>1-'NEMS bus covid'!F28</f>
        <v>1</v>
      </c>
      <c r="G6">
        <f>1-'NEMS bus covid'!G28</f>
        <v>1</v>
      </c>
      <c r="H6">
        <f>1-'NEMS bus covid'!H28</f>
        <v>1</v>
      </c>
      <c r="I6">
        <f>1-'NEMS bus covid'!I28</f>
        <v>1</v>
      </c>
      <c r="J6">
        <f>1-'NEMS bus covid'!J28</f>
        <v>1</v>
      </c>
      <c r="K6">
        <f>1-'NEMS bus covid'!K28</f>
        <v>1</v>
      </c>
      <c r="L6">
        <f>1-'NEMS bus covid'!L28</f>
        <v>1</v>
      </c>
      <c r="M6">
        <f>1-'NEMS bus covid'!M28</f>
        <v>1</v>
      </c>
      <c r="N6">
        <f>1-'NEMS bus covid'!N28</f>
        <v>1</v>
      </c>
      <c r="O6">
        <f>1-'NEMS bus covid'!O28</f>
        <v>1</v>
      </c>
      <c r="P6">
        <f>1-'NEMS bus covid'!P28</f>
        <v>1</v>
      </c>
      <c r="Q6">
        <f>1-'NEMS bus covid'!Q28</f>
        <v>1</v>
      </c>
      <c r="R6">
        <f>1-'NEMS bus covid'!R28</f>
        <v>1</v>
      </c>
      <c r="S6">
        <f>1-'NEMS bus covid'!S28</f>
        <v>1</v>
      </c>
      <c r="T6">
        <f>1-'NEMS bus covid'!T28</f>
        <v>1</v>
      </c>
      <c r="U6">
        <f>1-'NEMS bus covid'!U28</f>
        <v>1</v>
      </c>
      <c r="V6">
        <f>1-'NEMS bus covid'!V28</f>
        <v>1</v>
      </c>
      <c r="W6">
        <f>1-'NEMS bus covid'!W28</f>
        <v>1</v>
      </c>
      <c r="X6">
        <f>1-'NEMS bus covid'!X28</f>
        <v>1</v>
      </c>
      <c r="Y6">
        <f>1-'NEMS bus covid'!Y28</f>
        <v>1</v>
      </c>
      <c r="Z6">
        <f>1-'NEMS bus covid'!Z28</f>
        <v>1</v>
      </c>
      <c r="AA6">
        <f>1-'NEMS bus covid'!AA28</f>
        <v>1</v>
      </c>
      <c r="AB6">
        <f>1-'NEMS bus covid'!AB28</f>
        <v>0</v>
      </c>
      <c r="AC6">
        <f>1-'NEMS bus covid'!AC28</f>
        <v>0.74</v>
      </c>
      <c r="AD6">
        <f>1-'NEMS bus covid'!AD28</f>
        <v>0.89600000000000002</v>
      </c>
      <c r="AE6">
        <f>1-'NEMS bus covid'!AE28</f>
        <v>0.95840000000000003</v>
      </c>
      <c r="AF6">
        <f>1-'NEMS bus covid'!AF28</f>
        <v>0.98336000000000001</v>
      </c>
      <c r="AG6">
        <f>1-'NEMS bus covid'!AG28</f>
        <v>0.993344</v>
      </c>
      <c r="AH6">
        <f>1-'NEMS bus covid'!AH28</f>
        <v>0.99733760000000005</v>
      </c>
      <c r="AI6">
        <f>1-'NEMS bus covid'!AI28</f>
        <v>0.99893504</v>
      </c>
      <c r="AJ6">
        <f>1-'NEMS bus covid'!AJ28</f>
        <v>0.99957401599999995</v>
      </c>
      <c r="AK6">
        <f>1-'NEMS bus covid'!AK28</f>
        <v>0.99982960899999995</v>
      </c>
      <c r="AL6">
        <f>1-'NEMS bus covid'!AL28</f>
        <v>0.99993184099999999</v>
      </c>
      <c r="AM6">
        <f>1-'NEMS bus covid'!AM28</f>
        <v>0.99997273705</v>
      </c>
      <c r="AN6">
        <f>1-'NEMS bus covid'!AN28</f>
        <v>0.99998909494999999</v>
      </c>
      <c r="AO6">
        <f>1-'NEMS bus covid'!AO28</f>
        <v>0.99999563849999995</v>
      </c>
      <c r="AP6">
        <f>1-'NEMS bus covid'!AP28</f>
        <v>0.99999825799999997</v>
      </c>
      <c r="AQ6">
        <f>1-'NEMS bus covid'!AQ28</f>
        <v>0.99999930449999996</v>
      </c>
      <c r="AR6">
        <f>1-'NEMS bus covid'!AR28</f>
        <v>0.99999972115000002</v>
      </c>
      <c r="AS6">
        <f>1-'NEMS bus covid'!AS28</f>
        <v>0.99999988819999996</v>
      </c>
      <c r="AT6">
        <f>1-'NEMS bus covid'!AT28</f>
        <v>0.99999995534499997</v>
      </c>
      <c r="AU6">
        <f>1-'NEMS bus covid'!AU28</f>
        <v>0.99999998212499996</v>
      </c>
      <c r="AV6">
        <f>1-'NEMS bus covid'!AV28</f>
        <v>0.99999999284999996</v>
      </c>
      <c r="AW6">
        <f>1-'NEMS bus covid'!AW28</f>
        <v>0.99999999713999999</v>
      </c>
      <c r="AX6">
        <f>1-'NEMS bus covid'!AX28</f>
        <v>0.99999999885599999</v>
      </c>
      <c r="AY6">
        <f>1-'NEMS bus covid'!AY28</f>
        <v>0.99999999954240004</v>
      </c>
      <c r="AZ6">
        <f>1-'NEMS bus covid'!AZ28</f>
        <v>0.99999999981734999</v>
      </c>
      <c r="BA6">
        <f>1-'NEMS bus covid'!BA28</f>
        <v>0.99999999992654998</v>
      </c>
      <c r="BB6">
        <f>1-'NEMS bus covid'!BB28</f>
        <v>0.99999999997074995</v>
      </c>
      <c r="BC6">
        <f>1-'NEMS bus covid'!BC28</f>
        <v>0.99999999998830003</v>
      </c>
      <c r="BD6">
        <f>1-'NEMS bus covid'!BD28</f>
        <v>0.99999999999531353</v>
      </c>
      <c r="BE6">
        <f>1-'NEMS bus covid'!BE28</f>
        <v>0.99999999999812805</v>
      </c>
      <c r="BF6">
        <f>1-'NEMS bus covid'!BF28</f>
        <v>0.99999999999925249</v>
      </c>
    </row>
    <row r="7" spans="1:58">
      <c r="A7" t="s">
        <v>509</v>
      </c>
      <c r="C7">
        <f>('NEMS bus covid'!$B$44*C4+'NEMS bus covid'!$B$42*C5+'NEMS bus covid'!$B$43*C6)/SUM('NEMS bus covid'!$B$42:$B$44)</f>
        <v>0.99999999999999989</v>
      </c>
      <c r="D7">
        <f>('NEMS bus covid'!$B$44*D4+'NEMS bus covid'!$B$42*D5+'NEMS bus covid'!$B$43*D6)/SUM('NEMS bus covid'!$B$42:$B$44)</f>
        <v>0.99999999999999989</v>
      </c>
      <c r="E7">
        <f>('NEMS bus covid'!$B$44*E4+'NEMS bus covid'!$B$42*E5+'NEMS bus covid'!$B$43*E6)/SUM('NEMS bus covid'!$B$42:$B$44)</f>
        <v>0.99999999999999989</v>
      </c>
      <c r="F7">
        <f>('NEMS bus covid'!$B$44*F4+'NEMS bus covid'!$B$42*F5+'NEMS bus covid'!$B$43*F6)/SUM('NEMS bus covid'!$B$42:$B$44)</f>
        <v>0.99999999999999989</v>
      </c>
      <c r="G7">
        <f>('NEMS bus covid'!$B$44*G4+'NEMS bus covid'!$B$42*G5+'NEMS bus covid'!$B$43*G6)/SUM('NEMS bus covid'!$B$42:$B$44)</f>
        <v>0.99999999999999989</v>
      </c>
      <c r="H7">
        <f>('NEMS bus covid'!$B$44*H4+'NEMS bus covid'!$B$42*H5+'NEMS bus covid'!$B$43*H6)/SUM('NEMS bus covid'!$B$42:$B$44)</f>
        <v>0.99999999999999989</v>
      </c>
      <c r="I7">
        <f>('NEMS bus covid'!$B$44*I4+'NEMS bus covid'!$B$42*I5+'NEMS bus covid'!$B$43*I6)/SUM('NEMS bus covid'!$B$42:$B$44)</f>
        <v>0.99999999999999989</v>
      </c>
      <c r="J7">
        <f>('NEMS bus covid'!$B$44*J4+'NEMS bus covid'!$B$42*J5+'NEMS bus covid'!$B$43*J6)/SUM('NEMS bus covid'!$B$42:$B$44)</f>
        <v>0.99999999999999989</v>
      </c>
      <c r="K7">
        <f>('NEMS bus covid'!$B$44*K4+'NEMS bus covid'!$B$42*K5+'NEMS bus covid'!$B$43*K6)/SUM('NEMS bus covid'!$B$42:$B$44)</f>
        <v>0.99999999999999989</v>
      </c>
      <c r="L7">
        <f>('NEMS bus covid'!$B$44*L4+'NEMS bus covid'!$B$42*L5+'NEMS bus covid'!$B$43*L6)/SUM('NEMS bus covid'!$B$42:$B$44)</f>
        <v>0.99999999999999989</v>
      </c>
      <c r="M7">
        <f>('NEMS bus covid'!$B$44*M4+'NEMS bus covid'!$B$42*M5+'NEMS bus covid'!$B$43*M6)/SUM('NEMS bus covid'!$B$42:$B$44)</f>
        <v>0.99999999999999989</v>
      </c>
      <c r="N7">
        <f>('NEMS bus covid'!$B$44*N4+'NEMS bus covid'!$B$42*N5+'NEMS bus covid'!$B$43*N6)/SUM('NEMS bus covid'!$B$42:$B$44)</f>
        <v>0.99999999999999989</v>
      </c>
      <c r="O7">
        <f>('NEMS bus covid'!$B$44*O4+'NEMS bus covid'!$B$42*O5+'NEMS bus covid'!$B$43*O6)/SUM('NEMS bus covid'!$B$42:$B$44)</f>
        <v>0.99999999999999989</v>
      </c>
      <c r="P7">
        <f>('NEMS bus covid'!$B$44*P4+'NEMS bus covid'!$B$42*P5+'NEMS bus covid'!$B$43*P6)/SUM('NEMS bus covid'!$B$42:$B$44)</f>
        <v>0.99999999999999989</v>
      </c>
      <c r="Q7">
        <f>('NEMS bus covid'!$B$44*Q4+'NEMS bus covid'!$B$42*Q5+'NEMS bus covid'!$B$43*Q6)/SUM('NEMS bus covid'!$B$42:$B$44)</f>
        <v>0.99999999999999989</v>
      </c>
      <c r="R7">
        <f>('NEMS bus covid'!$B$44*R4+'NEMS bus covid'!$B$42*R5+'NEMS bus covid'!$B$43*R6)/SUM('NEMS bus covid'!$B$42:$B$44)</f>
        <v>0.99999999999999989</v>
      </c>
      <c r="S7">
        <f>('NEMS bus covid'!$B$44*S4+'NEMS bus covid'!$B$42*S5+'NEMS bus covid'!$B$43*S6)/SUM('NEMS bus covid'!$B$42:$B$44)</f>
        <v>0.99999999999999989</v>
      </c>
      <c r="T7">
        <f>('NEMS bus covid'!$B$44*T4+'NEMS bus covid'!$B$42*T5+'NEMS bus covid'!$B$43*T6)/SUM('NEMS bus covid'!$B$42:$B$44)</f>
        <v>0.99999999999999989</v>
      </c>
      <c r="U7">
        <f>('NEMS bus covid'!$B$44*U4+'NEMS bus covid'!$B$42*U5+'NEMS bus covid'!$B$43*U6)/SUM('NEMS bus covid'!$B$42:$B$44)</f>
        <v>0.99999999999999989</v>
      </c>
      <c r="V7">
        <f>('NEMS bus covid'!$B$44*V4+'NEMS bus covid'!$B$42*V5+'NEMS bus covid'!$B$43*V6)/SUM('NEMS bus covid'!$B$42:$B$44)</f>
        <v>0.99999999999999989</v>
      </c>
      <c r="W7">
        <f>('NEMS bus covid'!$B$44*W4+'NEMS bus covid'!$B$42*W5+'NEMS bus covid'!$B$43*W6)/SUM('NEMS bus covid'!$B$42:$B$44)</f>
        <v>0.99999999999999989</v>
      </c>
      <c r="X7">
        <f>('NEMS bus covid'!$B$44*X4+'NEMS bus covid'!$B$42*X5+'NEMS bus covid'!$B$43*X6)/SUM('NEMS bus covid'!$B$42:$B$44)</f>
        <v>0.99999999999999989</v>
      </c>
      <c r="Y7">
        <f>('NEMS bus covid'!$B$44*Y4+'NEMS bus covid'!$B$42*Y5+'NEMS bus covid'!$B$43*Y6)/SUM('NEMS bus covid'!$B$42:$B$44)</f>
        <v>0.99999999999999989</v>
      </c>
      <c r="Z7">
        <f>('NEMS bus covid'!$B$44*Z4+'NEMS bus covid'!$B$42*Z5+'NEMS bus covid'!$B$43*Z6)/SUM('NEMS bus covid'!$B$42:$B$44)</f>
        <v>0.99999999999999989</v>
      </c>
      <c r="AA7">
        <f>('NEMS bus covid'!$B$44*AA4+'NEMS bus covid'!$B$42*AA5+'NEMS bus covid'!$B$43*AA6)/SUM('NEMS bus covid'!$B$42:$B$44)</f>
        <v>0.99999999999999989</v>
      </c>
      <c r="AB7">
        <f>('NEMS bus covid'!$B$44*AB4+'NEMS bus covid'!$B$42*AB5+'NEMS bus covid'!$B$43*AB6)/SUM('NEMS bus covid'!$B$42:$B$44)</f>
        <v>0.12019439109912812</v>
      </c>
      <c r="AC7">
        <f>('NEMS bus covid'!$B$44*AC4+'NEMS bus covid'!$B$42*AC5+'NEMS bus covid'!$B$43*AC6)/SUM('NEMS bus covid'!$B$42:$B$44)</f>
        <v>0.79168251905714715</v>
      </c>
      <c r="AD7">
        <f>('NEMS bus covid'!$B$44*AD4+'NEMS bus covid'!$B$42*AD5+'NEMS bus covid'!$B$43*AD6)/SUM('NEMS bus covid'!$B$42:$B$44)</f>
        <v>0.891932370331741</v>
      </c>
      <c r="AE7">
        <f>('NEMS bus covid'!$B$44*AE4+'NEMS bus covid'!$B$42*AE5+'NEMS bus covid'!$B$43*AE6)/SUM('NEMS bus covid'!$B$42:$B$44)</f>
        <v>0.93180618794697534</v>
      </c>
      <c r="AF7">
        <f>('NEMS bus covid'!$B$44*AF4+'NEMS bus covid'!$B$42*AF5+'NEMS bus covid'!$B$43*AF6)/SUM('NEMS bus covid'!$B$42:$B$44)</f>
        <v>0.95406036657915372</v>
      </c>
      <c r="AG7">
        <f>('NEMS bus covid'!$B$44*AG4+'NEMS bus covid'!$B$42*AG5+'NEMS bus covid'!$B$43*AG6)/SUM('NEMS bus covid'!$B$42:$B$44)</f>
        <v>0.96775909952433814</v>
      </c>
      <c r="AH7">
        <f>('NEMS bus covid'!$B$44*AH4+'NEMS bus covid'!$B$42*AH5+'NEMS bus covid'!$B$43*AH6)/SUM('NEMS bus covid'!$B$42:$B$44)</f>
        <v>0.97687891071535393</v>
      </c>
      <c r="AI7">
        <f>('NEMS bus covid'!$B$44*AI4+'NEMS bus covid'!$B$42*AI5+'NEMS bus covid'!$B$43*AI6)/SUM('NEMS bus covid'!$B$42:$B$44)</f>
        <v>0.98327185756799584</v>
      </c>
      <c r="AJ7">
        <f>('NEMS bus covid'!$B$44*AJ4+'NEMS bus covid'!$B$42*AJ5+'NEMS bus covid'!$B$43*AJ6)/SUM('NEMS bus covid'!$B$42:$B$44)</f>
        <v>0.98788547904597979</v>
      </c>
      <c r="AK7">
        <f>('NEMS bus covid'!$B$44*AK4+'NEMS bus covid'!$B$42*AK5+'NEMS bus covid'!$B$43*AK6)/SUM('NEMS bus covid'!$B$42:$B$44)</f>
        <v>0.99126187927076514</v>
      </c>
      <c r="AL7">
        <f>('NEMS bus covid'!$B$44*AL4+'NEMS bus covid'!$B$42*AL5+'NEMS bus covid'!$B$43*AL6)/SUM('NEMS bus covid'!$B$42:$B$44)</f>
        <v>0.99373386574971501</v>
      </c>
      <c r="AM7">
        <f>('NEMS bus covid'!$B$44*AM4+'NEMS bus covid'!$B$42*AM5+'NEMS bus covid'!$B$43*AM6)/SUM('NEMS bus covid'!$B$42:$B$44)</f>
        <v>0.99604579586701014</v>
      </c>
      <c r="AN7">
        <f>('NEMS bus covid'!$B$44*AN4+'NEMS bus covid'!$B$42*AN5+'NEMS bus covid'!$B$43*AN6)/SUM('NEMS bus covid'!$B$42:$B$44)</f>
        <v>0.99780605917048248</v>
      </c>
      <c r="AO7">
        <f>('NEMS bus covid'!$B$44*AO4+'NEMS bus covid'!$B$42*AO5+'NEMS bus covid'!$B$43*AO6)/SUM('NEMS bus covid'!$B$42:$B$44)</f>
        <v>0.99912377510219352</v>
      </c>
      <c r="AP7">
        <f>('NEMS bus covid'!$B$44*AP4+'NEMS bus covid'!$B$42*AP5+'NEMS bus covid'!$B$43*AP6)/SUM('NEMS bus covid'!$B$42:$B$44)</f>
        <v>1.0001004679417602</v>
      </c>
      <c r="AQ7">
        <f>('NEMS bus covid'!$B$44*AQ4+'NEMS bus covid'!$B$42*AQ5+'NEMS bus covid'!$B$43*AQ6)/SUM('NEMS bus covid'!$B$42:$B$44)</f>
        <v>1.0008220853196195</v>
      </c>
      <c r="AR7">
        <f>('NEMS bus covid'!$B$44*AR4+'NEMS bus covid'!$B$42*AR5+'NEMS bus covid'!$B$43*AR6)/SUM('NEMS bus covid'!$B$42:$B$44)</f>
        <v>1.0013699296340082</v>
      </c>
      <c r="AS7">
        <f>('NEMS bus covid'!$B$44*AS4+'NEMS bus covid'!$B$42*AS5+'NEMS bus covid'!$B$43*AS6)/SUM('NEMS bus covid'!$B$42:$B$44)</f>
        <v>1.0017710932043578</v>
      </c>
      <c r="AT7">
        <f>('NEMS bus covid'!$B$44*AT4+'NEMS bus covid'!$B$42*AT5+'NEMS bus covid'!$B$43*AT6)/SUM('NEMS bus covid'!$B$42:$B$44)</f>
        <v>1.0020628029469931</v>
      </c>
      <c r="AU7">
        <f>('NEMS bus covid'!$B$44*AU4+'NEMS bus covid'!$B$42*AU5+'NEMS bus covid'!$B$43*AU6)/SUM('NEMS bus covid'!$B$42:$B$44)</f>
        <v>1.0022735424231133</v>
      </c>
      <c r="AV7">
        <f>('NEMS bus covid'!$B$44*AV4+'NEMS bus covid'!$B$42*AV5+'NEMS bus covid'!$B$43*AV6)/SUM('NEMS bus covid'!$B$42:$B$44)</f>
        <v>1.0024239735572003</v>
      </c>
      <c r="AW7">
        <f>('NEMS bus covid'!$B$44*AW4+'NEMS bus covid'!$B$42*AW5+'NEMS bus covid'!$B$43*AW6)/SUM('NEMS bus covid'!$B$42:$B$44)</f>
        <v>1.0025302050174041</v>
      </c>
      <c r="AX7">
        <f>('NEMS bus covid'!$B$44*AX4+'NEMS bus covid'!$B$42*AX5+'NEMS bus covid'!$B$43*AX6)/SUM('NEMS bus covid'!$B$42:$B$44)</f>
        <v>1.0026037298662132</v>
      </c>
      <c r="AY7">
        <f>('NEMS bus covid'!$B$44*AY4+'NEMS bus covid'!$B$42*AY5+'NEMS bus covid'!$B$43*AY6)/SUM('NEMS bus covid'!$B$42:$B$44)</f>
        <v>1.0026535075913792</v>
      </c>
      <c r="AZ7">
        <f>('NEMS bus covid'!$B$44*AZ4+'NEMS bus covid'!$B$42*AZ5+'NEMS bus covid'!$B$43*AZ6)/SUM('NEMS bus covid'!$B$42:$B$44)</f>
        <v>1.0026859356448001</v>
      </c>
      <c r="BA7">
        <f>('NEMS bus covid'!$B$44*BA4+'NEMS bus covid'!$B$42*BA5+'NEMS bus covid'!$B$43*BA6)/SUM('NEMS bus covid'!$B$42:$B$44)</f>
        <v>1.0027057145792895</v>
      </c>
      <c r="BB7">
        <f>('NEMS bus covid'!$B$44*BB4+'NEMS bus covid'!$B$42*BB5+'NEMS bus covid'!$B$43*BB6)/SUM('NEMS bus covid'!$B$42:$B$44)</f>
        <v>1.0027167188342709</v>
      </c>
      <c r="BC7">
        <f>('NEMS bus covid'!$B$44*BC4+'NEMS bus covid'!$B$42*BC5+'NEMS bus covid'!$B$43*BC6)/SUM('NEMS bus covid'!$B$42:$B$44)</f>
        <v>1.0027212783510693</v>
      </c>
      <c r="BD7">
        <f>('NEMS bus covid'!$B$44*BD4+'NEMS bus covid'!$B$42*BD5+'NEMS bus covid'!$B$43*BD6)/SUM('NEMS bus covid'!$B$42:$B$44)</f>
        <v>1.0027215865872292</v>
      </c>
      <c r="BE7">
        <f>('NEMS bus covid'!$B$44*BE4+'NEMS bus covid'!$B$42*BE5+'NEMS bus covid'!$B$43*BE6)/SUM('NEMS bus covid'!$B$42:$B$44)</f>
        <v>1.0027189864044832</v>
      </c>
      <c r="BF7">
        <f>('NEMS bus covid'!$B$44*BF4+'NEMS bus covid'!$B$42*BF5+'NEMS bus covid'!$B$43*BF6)/SUM('NEMS bus covid'!$B$42:$B$44)</f>
        <v>1.0027144961244263</v>
      </c>
    </row>
    <row r="8" spans="1:58">
      <c r="A8" t="s">
        <v>510</v>
      </c>
      <c r="C8">
        <f t="shared" ref="C8:AH8" si="0">C7/$AF$7</f>
        <v>1.0481517051018121</v>
      </c>
      <c r="D8">
        <f t="shared" si="0"/>
        <v>1.0481517051018121</v>
      </c>
      <c r="E8">
        <f t="shared" si="0"/>
        <v>1.0481517051018121</v>
      </c>
      <c r="F8">
        <f t="shared" si="0"/>
        <v>1.0481517051018121</v>
      </c>
      <c r="G8">
        <f t="shared" si="0"/>
        <v>1.0481517051018121</v>
      </c>
      <c r="H8">
        <f t="shared" si="0"/>
        <v>1.0481517051018121</v>
      </c>
      <c r="I8">
        <f t="shared" si="0"/>
        <v>1.0481517051018121</v>
      </c>
      <c r="J8">
        <f t="shared" si="0"/>
        <v>1.0481517051018121</v>
      </c>
      <c r="K8">
        <f t="shared" si="0"/>
        <v>1.0481517051018121</v>
      </c>
      <c r="L8">
        <f t="shared" si="0"/>
        <v>1.0481517051018121</v>
      </c>
      <c r="M8">
        <f t="shared" si="0"/>
        <v>1.0481517051018121</v>
      </c>
      <c r="N8">
        <f t="shared" si="0"/>
        <v>1.0481517051018121</v>
      </c>
      <c r="O8">
        <f t="shared" si="0"/>
        <v>1.0481517051018121</v>
      </c>
      <c r="P8">
        <f t="shared" si="0"/>
        <v>1.0481517051018121</v>
      </c>
      <c r="Q8">
        <f t="shared" si="0"/>
        <v>1.0481517051018121</v>
      </c>
      <c r="R8">
        <f t="shared" si="0"/>
        <v>1.0481517051018121</v>
      </c>
      <c r="S8">
        <f t="shared" si="0"/>
        <v>1.0481517051018121</v>
      </c>
      <c r="T8">
        <f t="shared" si="0"/>
        <v>1.0481517051018121</v>
      </c>
      <c r="U8">
        <f t="shared" si="0"/>
        <v>1.0481517051018121</v>
      </c>
      <c r="V8">
        <f t="shared" si="0"/>
        <v>1.0481517051018121</v>
      </c>
      <c r="W8">
        <f t="shared" si="0"/>
        <v>1.0481517051018121</v>
      </c>
      <c r="X8">
        <f t="shared" si="0"/>
        <v>1.0481517051018121</v>
      </c>
      <c r="Y8">
        <f t="shared" si="0"/>
        <v>1.0481517051018121</v>
      </c>
      <c r="Z8">
        <f t="shared" si="0"/>
        <v>1.0481517051018121</v>
      </c>
      <c r="AA8">
        <f t="shared" si="0"/>
        <v>1.0481517051018121</v>
      </c>
      <c r="AB8">
        <f t="shared" si="0"/>
        <v>0.12598195597422523</v>
      </c>
      <c r="AC8">
        <f t="shared" si="0"/>
        <v>0.82980338224904671</v>
      </c>
      <c r="AD8">
        <f t="shared" si="0"/>
        <v>0.93488043479871541</v>
      </c>
      <c r="AE8">
        <f t="shared" si="0"/>
        <v>0.97667424472104192</v>
      </c>
      <c r="AF8">
        <f t="shared" si="0"/>
        <v>1</v>
      </c>
      <c r="AG8">
        <f t="shared" si="0"/>
        <v>1.0143583502942295</v>
      </c>
      <c r="AH8">
        <f t="shared" si="0"/>
        <v>1.0239172959442993</v>
      </c>
      <c r="AI8">
        <f t="shared" ref="AI8:BF8" si="1">AI7/$AF$7</f>
        <v>1.0306180740885211</v>
      </c>
      <c r="AJ8">
        <f t="shared" si="1"/>
        <v>1.0354538493073644</v>
      </c>
      <c r="AK8">
        <f t="shared" si="1"/>
        <v>1.0389928289600792</v>
      </c>
      <c r="AL8">
        <f t="shared" si="1"/>
        <v>1.0415838458029791</v>
      </c>
      <c r="AM8">
        <f t="shared" si="1"/>
        <v>1.0440070992974984</v>
      </c>
      <c r="AN8">
        <f t="shared" si="1"/>
        <v>1.0458521222804609</v>
      </c>
      <c r="AO8">
        <f t="shared" si="1"/>
        <v>1.0472332884811237</v>
      </c>
      <c r="AP8">
        <f t="shared" si="1"/>
        <v>1.0482570107462763</v>
      </c>
      <c r="AQ8">
        <f t="shared" si="1"/>
        <v>1.0490133752313104</v>
      </c>
      <c r="AR8">
        <f t="shared" si="1"/>
        <v>1.0495875991835675</v>
      </c>
      <c r="AS8">
        <f t="shared" si="1"/>
        <v>1.050008079463854</v>
      </c>
      <c r="AT8">
        <f t="shared" si="1"/>
        <v>1.0503138355279922</v>
      </c>
      <c r="AU8">
        <f t="shared" si="1"/>
        <v>1.0505347224692196</v>
      </c>
      <c r="AV8">
        <f t="shared" si="1"/>
        <v>1.0506923971189135</v>
      </c>
      <c r="AW8">
        <f t="shared" si="1"/>
        <v>1.0508037438050615</v>
      </c>
      <c r="AX8">
        <f t="shared" si="1"/>
        <v>1.050880809000708</v>
      </c>
      <c r="AY8">
        <f t="shared" si="1"/>
        <v>1.0509329836082169</v>
      </c>
      <c r="AZ8">
        <f t="shared" si="1"/>
        <v>1.0509669731277032</v>
      </c>
      <c r="BA8">
        <f t="shared" si="1"/>
        <v>1.0509877044516134</v>
      </c>
      <c r="BB8">
        <f t="shared" si="1"/>
        <v>1.0509992385802356</v>
      </c>
      <c r="BC8">
        <f t="shared" si="1"/>
        <v>1.0510040176455422</v>
      </c>
      <c r="BD8">
        <f t="shared" si="1"/>
        <v>1.0510043407237988</v>
      </c>
      <c r="BE8">
        <f t="shared" si="1"/>
        <v>1.0510016153378199</v>
      </c>
      <c r="BF8">
        <f t="shared" si="1"/>
        <v>1.0509969088431219</v>
      </c>
    </row>
    <row r="9" spans="1:58">
      <c r="A9" t="s">
        <v>511</v>
      </c>
      <c r="C9">
        <f>IF(C3&lt;=2024,'SYAVLo-passengers'!$B$3,'SYAVLo-passengers'!$B$3*C8)</f>
        <v>21.196137258578663</v>
      </c>
      <c r="D9">
        <f>IF(D3&lt;=2024,'SYAVLo-passengers'!$B$3,'SYAVLo-passengers'!$B$3*D8)</f>
        <v>21.196137258578663</v>
      </c>
      <c r="E9">
        <f>IF(E3&lt;=2024,'SYAVLo-passengers'!$B$3,'SYAVLo-passengers'!$B$3*E8)</f>
        <v>21.196137258578663</v>
      </c>
      <c r="F9">
        <f>IF(F3&lt;=2024,'SYAVLo-passengers'!$B$3,'SYAVLo-passengers'!$B$3*F8)</f>
        <v>21.196137258578663</v>
      </c>
      <c r="G9">
        <f>IF(G3&lt;=2024,'SYAVLo-passengers'!$B$3,'SYAVLo-passengers'!$B$3*G8)</f>
        <v>21.196137258578663</v>
      </c>
      <c r="H9">
        <f>IF(H3&lt;=2024,'SYAVLo-passengers'!$B$3,'SYAVLo-passengers'!$B$3*H8)</f>
        <v>21.196137258578663</v>
      </c>
      <c r="I9">
        <f>IF(I3&lt;=2024,'SYAVLo-passengers'!$B$3,'SYAVLo-passengers'!$B$3*I8)</f>
        <v>21.196137258578663</v>
      </c>
      <c r="J9">
        <f>IF(J3&lt;=2024,'SYAVLo-passengers'!$B$3,'SYAVLo-passengers'!$B$3*J8)</f>
        <v>21.196137258578663</v>
      </c>
      <c r="K9">
        <f>IF(K3&lt;=2024,'SYAVLo-passengers'!$B$3,'SYAVLo-passengers'!$B$3*K8)</f>
        <v>21.196137258578663</v>
      </c>
      <c r="L9">
        <f>IF(L3&lt;=2024,'SYAVLo-passengers'!$B$3,'SYAVLo-passengers'!$B$3*L8)</f>
        <v>21.196137258578663</v>
      </c>
      <c r="M9">
        <f>IF(M3&lt;=2024,'SYAVLo-passengers'!$B$3,'SYAVLo-passengers'!$B$3*M8)</f>
        <v>21.196137258578663</v>
      </c>
      <c r="N9">
        <f>IF(N3&lt;=2024,'SYAVLo-passengers'!$B$3,'SYAVLo-passengers'!$B$3*N8)</f>
        <v>21.196137258578663</v>
      </c>
      <c r="O9">
        <f>IF(O3&lt;=2024,'SYAVLo-passengers'!$B$3,'SYAVLo-passengers'!$B$3*O8)</f>
        <v>21.196137258578663</v>
      </c>
      <c r="P9">
        <f>IF(P3&lt;=2024,'SYAVLo-passengers'!$B$3,'SYAVLo-passengers'!$B$3*P8)</f>
        <v>21.196137258578663</v>
      </c>
      <c r="Q9">
        <f>IF(Q3&lt;=2024,'SYAVLo-passengers'!$B$3,'SYAVLo-passengers'!$B$3*Q8)</f>
        <v>21.196137258578663</v>
      </c>
      <c r="R9">
        <f>IF(R3&lt;=2024,'SYAVLo-passengers'!$B$3,'SYAVLo-passengers'!$B$3*R8)</f>
        <v>21.196137258578663</v>
      </c>
      <c r="S9">
        <f>IF(S3&lt;=2024,'SYAVLo-passengers'!$B$3,'SYAVLo-passengers'!$B$3*S8)</f>
        <v>21.196137258578663</v>
      </c>
      <c r="T9">
        <f>IF(T3&lt;=2024,'SYAVLo-passengers'!$B$3,'SYAVLo-passengers'!$B$3*T8)</f>
        <v>21.196137258578663</v>
      </c>
      <c r="U9">
        <f>IF(U3&lt;=2024,'SYAVLo-passengers'!$B$3,'SYAVLo-passengers'!$B$3*U8)</f>
        <v>21.196137258578663</v>
      </c>
      <c r="V9">
        <f>IF(V3&lt;=2024,'SYAVLo-passengers'!$B$3,'SYAVLo-passengers'!$B$3*V8)</f>
        <v>21.196137258578663</v>
      </c>
      <c r="W9">
        <f>IF(W3&lt;=2024,'SYAVLo-passengers'!$B$3,'SYAVLo-passengers'!$B$3*W8)</f>
        <v>21.196137258578663</v>
      </c>
      <c r="X9">
        <f>IF(X3&lt;=2024,'SYAVLo-passengers'!$B$3,'SYAVLo-passengers'!$B$3*X8)</f>
        <v>21.196137258578663</v>
      </c>
      <c r="Y9">
        <f>IF(Y3&lt;=2024,'SYAVLo-passengers'!$B$3,'SYAVLo-passengers'!$B$3*Y8)</f>
        <v>21.196137258578663</v>
      </c>
      <c r="Z9">
        <f>IF(Z3&lt;=2024,'SYAVLo-passengers'!$B$3,'SYAVLo-passengers'!$B$3*Z8)</f>
        <v>21.196137258578663</v>
      </c>
      <c r="AA9">
        <f>IF(AA3&lt;=2024,'SYAVLo-passengers'!$B$3,'SYAVLo-passengers'!$B$3*AA8)</f>
        <v>21.196137258578663</v>
      </c>
      <c r="AB9">
        <f>IF(AB3&lt;=2024,'SYAVLo-passengers'!$B$3,'SYAVLo-passengers'!$B$3*AB8)</f>
        <v>21.196137258578663</v>
      </c>
      <c r="AC9">
        <f>IF(AC3&lt;=2024,'SYAVLo-passengers'!$B$3,'SYAVLo-passengers'!$B$3*AC8)</f>
        <v>21.196137258578663</v>
      </c>
      <c r="AD9">
        <f>IF(AD3&lt;=2024,'SYAVLo-passengers'!$B$3,'SYAVLo-passengers'!$B$3*AD8)</f>
        <v>21.196137258578663</v>
      </c>
      <c r="AE9">
        <f>IF(AE3&lt;=2024,'SYAVLo-passengers'!$B$3,'SYAVLo-passengers'!$B$3*AE8)</f>
        <v>21.196137258578663</v>
      </c>
      <c r="AF9">
        <f>IF(AF3&lt;=2024,'SYAVLo-passengers'!$B$3,'SYAVLo-passengers'!$B$3*AF8)</f>
        <v>21.196137258578663</v>
      </c>
      <c r="AG9">
        <f>IF(AG3&lt;=2024,'SYAVLo-passengers'!$B$3,'SYAVLo-passengers'!$B$3*AG8)</f>
        <v>21.500478822221904</v>
      </c>
      <c r="AH9">
        <f>IF(AH3&lt;=2024,'SYAVLo-passengers'!$B$3,'SYAVLo-passengers'!$B$3*AH8)</f>
        <v>21.703091546268077</v>
      </c>
      <c r="AI9">
        <f>IF(AI3&lt;=2024,'SYAVLo-passengers'!$B$3,'SYAVLo-passengers'!$B$3*AI8)</f>
        <v>21.845122159552286</v>
      </c>
      <c r="AJ9">
        <f>IF(AJ3&lt;=2024,'SYAVLo-passengers'!$B$3,'SYAVLo-passengers'!$B$3*AJ8)</f>
        <v>21.947621914842522</v>
      </c>
      <c r="AK9">
        <f>IF(AK3&lt;=2024,'SYAVLo-passengers'!$B$3,'SYAVLo-passengers'!$B$3*AK8)</f>
        <v>22.022634613316782</v>
      </c>
      <c r="AL9">
        <f>IF(AL3&lt;=2024,'SYAVLo-passengers'!$B$3,'SYAVLo-passengers'!$B$3*AL8)</f>
        <v>22.077554161958179</v>
      </c>
      <c r="AM9">
        <f>IF(AM3&lt;=2024,'SYAVLo-passengers'!$B$3,'SYAVLo-passengers'!$B$3*AM8)</f>
        <v>22.128917775640339</v>
      </c>
      <c r="AN9">
        <f>IF(AN3&lt;=2024,'SYAVLo-passengers'!$B$3,'SYAVLo-passengers'!$B$3*AN8)</f>
        <v>22.168025136032444</v>
      </c>
      <c r="AO9">
        <f>IF(AO3&lt;=2024,'SYAVLo-passengers'!$B$3,'SYAVLo-passengers'!$B$3*AO8)</f>
        <v>22.197300524398603</v>
      </c>
      <c r="AP9">
        <f>IF(AP3&lt;=2024,'SYAVLo-passengers'!$B$3,'SYAVLo-passengers'!$B$3*AP8)</f>
        <v>22.21899948204544</v>
      </c>
      <c r="AQ9">
        <f>IF(AQ3&lt;=2024,'SYAVLo-passengers'!$B$3,'SYAVLo-passengers'!$B$3*AQ8)</f>
        <v>22.235031487487738</v>
      </c>
      <c r="AR9">
        <f>IF(AR3&lt;=2024,'SYAVLo-passengers'!$B$3,'SYAVLo-passengers'!$B$3*AR8)</f>
        <v>22.247202817196943</v>
      </c>
      <c r="AS9">
        <f>IF(AS3&lt;=2024,'SYAVLo-passengers'!$B$3,'SYAVLo-passengers'!$B$3*AS8)</f>
        <v>22.256115374932421</v>
      </c>
      <c r="AT9">
        <f>IF(AT3&lt;=2024,'SYAVLo-passengers'!$B$3,'SYAVLo-passengers'!$B$3*AT8)</f>
        <v>22.262596222435537</v>
      </c>
      <c r="AU9">
        <f>IF(AU3&lt;=2024,'SYAVLo-passengers'!$B$3,'SYAVLo-passengers'!$B$3*AU8)</f>
        <v>22.26727817236042</v>
      </c>
      <c r="AV9">
        <f>IF(AV3&lt;=2024,'SYAVLo-passengers'!$B$3,'SYAVLo-passengers'!$B$3*AV8)</f>
        <v>22.270620265877529</v>
      </c>
      <c r="AW9">
        <f>IF(AW3&lt;=2024,'SYAVLo-passengers'!$B$3,'SYAVLo-passengers'!$B$3*AW8)</f>
        <v>22.272980385520412</v>
      </c>
      <c r="AX9">
        <f>IF(AX3&lt;=2024,'SYAVLo-passengers'!$B$3,'SYAVLo-passengers'!$B$3*AX8)</f>
        <v>22.274613869985195</v>
      </c>
      <c r="AY9">
        <f>IF(AY3&lt;=2024,'SYAVLo-passengers'!$B$3,'SYAVLo-passengers'!$B$3*AY8)</f>
        <v>22.275719770127363</v>
      </c>
      <c r="AZ9">
        <f>IF(AZ3&lt;=2024,'SYAVLo-passengers'!$B$3,'SYAVLo-passengers'!$B$3*AZ8)</f>
        <v>22.27644021664775</v>
      </c>
      <c r="BA9">
        <f>IF(BA3&lt;=2024,'SYAVLo-passengers'!$B$3,'SYAVLo-passengers'!$B$3*BA8)</f>
        <v>22.276879640634903</v>
      </c>
      <c r="BB9">
        <f>IF(BB3&lt;=2024,'SYAVLo-passengers'!$B$3,'SYAVLo-passengers'!$B$3*BB8)</f>
        <v>22.277124119608338</v>
      </c>
      <c r="BC9">
        <f>IF(BC3&lt;=2024,'SYAVLo-passengers'!$B$3,'SYAVLo-passengers'!$B$3*BC8)</f>
        <v>22.277225417332541</v>
      </c>
      <c r="BD9">
        <f>IF(BD3&lt;=2024,'SYAVLo-passengers'!$B$3,'SYAVLo-passengers'!$B$3*BD8)</f>
        <v>22.277232265343613</v>
      </c>
      <c r="BE9">
        <f>IF(BE3&lt;=2024,'SYAVLo-passengers'!$B$3,'SYAVLo-passengers'!$B$3*BE8)</f>
        <v>22.277174497688325</v>
      </c>
      <c r="BF9">
        <f>IF(BF3&lt;=2024,'SYAVLo-passengers'!$B$3,'SYAVLo-passengers'!$B$3*BF8)</f>
        <v>22.277074738180698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D172D-671F-48D1-AB93-393B9D8F27EF}">
  <sheetPr>
    <tabColor rgb="FFFFCC66"/>
  </sheetPr>
  <dimension ref="B2:X64"/>
  <sheetViews>
    <sheetView topLeftCell="F38" workbookViewId="0">
      <selection activeCell="H59" sqref="H59"/>
    </sheetView>
  </sheetViews>
  <sheetFormatPr defaultRowHeight="15"/>
  <cols>
    <col min="2" max="2" width="18.28515625" customWidth="1"/>
    <col min="3" max="3" width="9.85546875" bestFit="1" customWidth="1"/>
    <col min="4" max="4" width="11.42578125" customWidth="1"/>
    <col min="5" max="5" width="22.42578125" bestFit="1" customWidth="1"/>
    <col min="6" max="6" width="15.28515625" bestFit="1" customWidth="1"/>
    <col min="7" max="7" width="16.85546875" bestFit="1" customWidth="1"/>
    <col min="8" max="8" width="15.85546875" customWidth="1"/>
    <col min="9" max="9" width="18.5703125" customWidth="1"/>
    <col min="10" max="10" width="16.42578125" bestFit="1" customWidth="1"/>
    <col min="11" max="11" width="17.85546875" bestFit="1" customWidth="1"/>
    <col min="12" max="12" width="9.7109375" bestFit="1" customWidth="1"/>
    <col min="13" max="13" width="14.28515625" bestFit="1" customWidth="1"/>
    <col min="14" max="20" width="14.28515625" customWidth="1"/>
    <col min="21" max="21" width="18.140625" bestFit="1" customWidth="1"/>
    <col min="22" max="22" width="19.42578125" bestFit="1" customWidth="1"/>
  </cols>
  <sheetData>
    <row r="2" spans="2:22">
      <c r="B2" s="1" t="s">
        <v>343</v>
      </c>
      <c r="C2" s="61">
        <v>138700</v>
      </c>
    </row>
    <row r="3" spans="2:22">
      <c r="B3" s="1" t="s">
        <v>344</v>
      </c>
      <c r="C3">
        <v>3412.14</v>
      </c>
      <c r="H3" s="62"/>
    </row>
    <row r="4" spans="2:22">
      <c r="B4" s="1" t="s">
        <v>112</v>
      </c>
      <c r="C4" s="63" t="s">
        <v>345</v>
      </c>
      <c r="D4" s="63" t="s">
        <v>158</v>
      </c>
      <c r="E4" s="63" t="s">
        <v>168</v>
      </c>
      <c r="F4" s="63" t="s">
        <v>166</v>
      </c>
    </row>
    <row r="5" spans="2:22">
      <c r="B5" s="1"/>
      <c r="C5" s="1"/>
      <c r="D5" s="1"/>
      <c r="E5" s="1"/>
      <c r="F5" s="1"/>
    </row>
    <row r="6" spans="2:22">
      <c r="B6" s="1"/>
      <c r="C6" s="1"/>
      <c r="D6" s="1"/>
      <c r="E6" s="64" t="s">
        <v>346</v>
      </c>
      <c r="F6" s="64"/>
      <c r="G6" s="65"/>
      <c r="H6" s="65"/>
      <c r="I6" s="65"/>
      <c r="J6" s="65"/>
      <c r="K6" s="65"/>
      <c r="L6" s="65"/>
      <c r="M6" s="65"/>
      <c r="N6" s="65"/>
      <c r="O6" s="65"/>
      <c r="P6" s="66" t="s">
        <v>347</v>
      </c>
      <c r="Q6" s="67"/>
      <c r="R6" s="67"/>
      <c r="S6" s="67"/>
      <c r="T6" s="67"/>
      <c r="U6" s="67"/>
      <c r="V6" s="67"/>
    </row>
    <row r="7" spans="2:22">
      <c r="G7" s="68"/>
      <c r="H7" s="1" t="s">
        <v>312</v>
      </c>
      <c r="I7" s="1"/>
      <c r="J7" s="1"/>
      <c r="K7" s="1"/>
      <c r="N7" s="1"/>
      <c r="O7" s="1"/>
    </row>
    <row r="8" spans="2:22">
      <c r="B8" s="69" t="s">
        <v>105</v>
      </c>
      <c r="C8" s="69" t="s">
        <v>105</v>
      </c>
      <c r="D8" s="1" t="s">
        <v>348</v>
      </c>
      <c r="E8" s="1" t="s">
        <v>116</v>
      </c>
      <c r="F8" s="1" t="s">
        <v>126</v>
      </c>
      <c r="G8" s="1" t="s">
        <v>148</v>
      </c>
      <c r="H8" s="1" t="s">
        <v>313</v>
      </c>
      <c r="I8" s="1" t="s">
        <v>323</v>
      </c>
      <c r="J8" s="1" t="s">
        <v>349</v>
      </c>
      <c r="K8" s="1" t="s">
        <v>350</v>
      </c>
      <c r="L8" s="70" t="s">
        <v>351</v>
      </c>
      <c r="M8" s="70" t="s">
        <v>352</v>
      </c>
      <c r="N8" s="70" t="s">
        <v>353</v>
      </c>
      <c r="O8" s="70" t="s">
        <v>354</v>
      </c>
      <c r="P8" s="1" t="s">
        <v>296</v>
      </c>
      <c r="Q8" s="1" t="s">
        <v>304</v>
      </c>
      <c r="R8" s="1" t="s">
        <v>308</v>
      </c>
      <c r="S8" s="1" t="s">
        <v>355</v>
      </c>
      <c r="T8" s="1" t="s">
        <v>356</v>
      </c>
      <c r="U8" s="70" t="s">
        <v>357</v>
      </c>
      <c r="V8" s="70" t="s">
        <v>358</v>
      </c>
    </row>
    <row r="9" spans="2:22">
      <c r="B9" s="71" t="s">
        <v>359</v>
      </c>
      <c r="C9" s="71" t="s">
        <v>360</v>
      </c>
      <c r="D9" t="s">
        <v>361</v>
      </c>
      <c r="E9">
        <f>SUMIFS('Annual Service Data_rail only'!N:N,'Annual Service Data_rail only'!C:C,C9)</f>
        <v>0</v>
      </c>
      <c r="F9" s="68">
        <f>SUMIFS('Annual Service Data_rail only'!X:X,'Annual Service Data_rail only'!C:C,C9)</f>
        <v>0</v>
      </c>
      <c r="G9" s="68">
        <f>SUMIFS('Annual Service Data_rail only'!AT:AT,'Annual Service Data_rail only'!C:C,C9)</f>
        <v>0</v>
      </c>
      <c r="H9">
        <f>SUMIFS('Fuel and Energy_rail only'!AD:AD,'Fuel and Energy_rail only'!C:C,C9)</f>
        <v>0</v>
      </c>
      <c r="I9">
        <f>SUMIFS('Fuel and Energy_rail only'!AN:AN,'Fuel and Energy_rail only'!C:C,C9)</f>
        <v>0</v>
      </c>
      <c r="J9" s="62">
        <f>IFERROR(H9/SUM($H9:$I9),0)</f>
        <v>0</v>
      </c>
      <c r="K9" s="62">
        <f>IFERROR(I9/SUM($H9:$I9),0)</f>
        <v>0</v>
      </c>
      <c r="L9" s="72">
        <f t="shared" ref="L9:L40" si="0">IFERROR(G9/F9,0)</f>
        <v>0</v>
      </c>
      <c r="M9" s="73">
        <f t="shared" ref="M9:M40" si="1">IFERROR(F9/E9,0)</f>
        <v>0</v>
      </c>
      <c r="N9" s="73">
        <f>E9*J9</f>
        <v>0</v>
      </c>
      <c r="O9" s="73">
        <f>K9*E9</f>
        <v>0</v>
      </c>
      <c r="P9">
        <f>SUMIFS('Fuel and Energy_rail only'!M:M,'Fuel and Energy_rail only'!C:C,C9)</f>
        <v>0</v>
      </c>
      <c r="Q9">
        <f>SUMIFS('Fuel and Energy_rail only'!U:U,'Fuel and Energy_rail only'!C:C,C9)</f>
        <v>0</v>
      </c>
      <c r="R9">
        <f>SUMIFS('Fuel and Energy_rail only'!Y:Y,'Fuel and Energy_rail only'!C:C,C9)</f>
        <v>0</v>
      </c>
      <c r="S9">
        <f>SUM(P9:Q9)*$C$2</f>
        <v>0</v>
      </c>
      <c r="T9">
        <f>R9*$C$3</f>
        <v>0</v>
      </c>
      <c r="U9" s="74">
        <f>IFERROR(($L9*$M9*N9)/S9,0)</f>
        <v>0</v>
      </c>
      <c r="V9" s="74">
        <f>IFERROR(($L9*$M9*O9)/T9,0)</f>
        <v>0</v>
      </c>
    </row>
    <row r="10" spans="2:22">
      <c r="B10" s="71" t="s">
        <v>362</v>
      </c>
      <c r="C10" s="71" t="s">
        <v>363</v>
      </c>
      <c r="D10" t="s">
        <v>364</v>
      </c>
      <c r="E10">
        <f>SUMIFS('Annual Service Data_rail only'!N:N,'Annual Service Data_rail only'!C:C,C10)</f>
        <v>0</v>
      </c>
      <c r="F10" s="68">
        <f>SUMIFS('Annual Service Data_rail only'!X:X,'Annual Service Data_rail only'!C:C,C10)</f>
        <v>0</v>
      </c>
      <c r="G10" s="68">
        <f>SUMIFS('Annual Service Data_rail only'!AT:AT,'Annual Service Data_rail only'!C:C,C10)</f>
        <v>0</v>
      </c>
      <c r="H10">
        <f>SUMIFS('Fuel and Energy_rail only'!AD:AD,'Fuel and Energy_rail only'!C:C,C10)</f>
        <v>0</v>
      </c>
      <c r="I10">
        <f>SUMIFS('Fuel and Energy_rail only'!AN:AN,'Fuel and Energy_rail only'!C:C,C10)</f>
        <v>0</v>
      </c>
      <c r="J10" s="62">
        <f t="shared" ref="J10:K59" si="2">IFERROR(H10/SUM($H10:$I10),0)</f>
        <v>0</v>
      </c>
      <c r="K10" s="62">
        <f t="shared" si="2"/>
        <v>0</v>
      </c>
      <c r="L10" s="72">
        <f t="shared" si="0"/>
        <v>0</v>
      </c>
      <c r="M10" s="73">
        <f t="shared" si="1"/>
        <v>0</v>
      </c>
      <c r="N10" s="73">
        <f t="shared" ref="N10:N59" si="3">E10*J10</f>
        <v>0</v>
      </c>
      <c r="O10" s="73">
        <f t="shared" ref="O10:O59" si="4">K10*E10</f>
        <v>0</v>
      </c>
      <c r="P10">
        <f>SUMIFS('Fuel and Energy_rail only'!M:M,'Fuel and Energy_rail only'!C:C,C10)</f>
        <v>0</v>
      </c>
      <c r="Q10">
        <f>SUMIFS('Fuel and Energy_rail only'!U:U,'Fuel and Energy_rail only'!C:C,C10)</f>
        <v>0</v>
      </c>
      <c r="R10">
        <f>SUMIFS('Fuel and Energy_rail only'!Y:Y,'Fuel and Energy_rail only'!C:C,C10)</f>
        <v>0</v>
      </c>
      <c r="S10">
        <f t="shared" ref="S10:S59" si="5">SUM(P10:Q10)*$C$2</f>
        <v>0</v>
      </c>
      <c r="T10">
        <f t="shared" ref="T10:T59" si="6">R10*$C$3</f>
        <v>0</v>
      </c>
      <c r="U10" s="74">
        <f t="shared" ref="U10:V59" si="7">IFERROR(($L10*$M10*N10)/S10,0)</f>
        <v>0</v>
      </c>
      <c r="V10" s="74">
        <f t="shared" si="7"/>
        <v>0</v>
      </c>
    </row>
    <row r="11" spans="2:22">
      <c r="B11" s="71" t="s">
        <v>365</v>
      </c>
      <c r="C11" s="71" t="s">
        <v>283</v>
      </c>
      <c r="D11" t="s">
        <v>366</v>
      </c>
      <c r="E11">
        <f>SUMIFS('Annual Service Data_rail only'!N:N,'Annual Service Data_rail only'!C:C,C11)</f>
        <v>17</v>
      </c>
      <c r="F11" s="68">
        <f>SUMIFS('Annual Service Data_rail only'!X:X,'Annual Service Data_rail only'!C:C,C11)</f>
        <v>3435184</v>
      </c>
      <c r="G11" s="68">
        <f>SUMIFS('Annual Service Data_rail only'!AT:AT,'Annual Service Data_rail only'!C:C,C11)</f>
        <v>90553779</v>
      </c>
      <c r="H11">
        <f>SUMIFS('Fuel and Energy_rail only'!AD:AD,'Fuel and Energy_rail only'!C:C,C11)</f>
        <v>0</v>
      </c>
      <c r="I11">
        <f>SUMIFS('Fuel and Energy_rail only'!AN:AN,'Fuel and Energy_rail only'!C:C,C11)</f>
        <v>3452467</v>
      </c>
      <c r="J11" s="62">
        <f t="shared" si="2"/>
        <v>0</v>
      </c>
      <c r="K11" s="62">
        <f t="shared" si="2"/>
        <v>1</v>
      </c>
      <c r="L11" s="72">
        <f t="shared" si="0"/>
        <v>26.360677914196152</v>
      </c>
      <c r="M11" s="73">
        <f t="shared" si="1"/>
        <v>202069.64705882352</v>
      </c>
      <c r="N11" s="73">
        <f t="shared" si="3"/>
        <v>0</v>
      </c>
      <c r="O11" s="73">
        <f>K11*E11</f>
        <v>17</v>
      </c>
      <c r="P11">
        <f>SUMIFS('Fuel and Energy_rail only'!M:M,'Fuel and Energy_rail only'!C:C,C11)</f>
        <v>0</v>
      </c>
      <c r="Q11">
        <f>SUMIFS('Fuel and Energy_rail only'!U:U,'Fuel and Energy_rail only'!C:C,C11)</f>
        <v>0</v>
      </c>
      <c r="R11">
        <f>SUMIFS('Fuel and Energy_rail only'!Y:Y,'Fuel and Energy_rail only'!C:C,C11)</f>
        <v>23474521</v>
      </c>
      <c r="S11">
        <f t="shared" si="5"/>
        <v>0</v>
      </c>
      <c r="T11">
        <f t="shared" si="6"/>
        <v>80098352084.940002</v>
      </c>
      <c r="U11" s="74">
        <f t="shared" si="7"/>
        <v>0</v>
      </c>
      <c r="V11" s="74">
        <f t="shared" si="7"/>
        <v>1.1305323598164989E-3</v>
      </c>
    </row>
    <row r="12" spans="2:22">
      <c r="B12" s="71" t="s">
        <v>367</v>
      </c>
      <c r="C12" s="71" t="s">
        <v>368</v>
      </c>
      <c r="D12" t="s">
        <v>369</v>
      </c>
      <c r="E12">
        <f>SUMIFS('Annual Service Data_rail only'!N:N,'Annual Service Data_rail only'!C:C,C12)</f>
        <v>0</v>
      </c>
      <c r="F12" s="68">
        <f>SUMIFS('Annual Service Data_rail only'!X:X,'Annual Service Data_rail only'!C:C,C12)</f>
        <v>0</v>
      </c>
      <c r="G12" s="68">
        <f>SUMIFS('Annual Service Data_rail only'!AT:AT,'Annual Service Data_rail only'!C:C,C12)</f>
        <v>0</v>
      </c>
      <c r="H12">
        <f>SUMIFS('Fuel and Energy_rail only'!AD:AD,'Fuel and Energy_rail only'!C:C,C12)</f>
        <v>0</v>
      </c>
      <c r="I12">
        <f>SUMIFS('Fuel and Energy_rail only'!AN:AN,'Fuel and Energy_rail only'!C:C,C12)</f>
        <v>0</v>
      </c>
      <c r="J12" s="62">
        <f t="shared" si="2"/>
        <v>0</v>
      </c>
      <c r="K12" s="62">
        <f t="shared" si="2"/>
        <v>0</v>
      </c>
      <c r="L12" s="72">
        <f t="shared" si="0"/>
        <v>0</v>
      </c>
      <c r="M12" s="73">
        <f t="shared" si="1"/>
        <v>0</v>
      </c>
      <c r="N12" s="73">
        <f t="shared" si="3"/>
        <v>0</v>
      </c>
      <c r="O12" s="73">
        <f t="shared" si="4"/>
        <v>0</v>
      </c>
      <c r="P12">
        <f>SUMIFS('Fuel and Energy_rail only'!M:M,'Fuel and Energy_rail only'!C:C,C12)</f>
        <v>0</v>
      </c>
      <c r="Q12">
        <f>SUMIFS('Fuel and Energy_rail only'!U:U,'Fuel and Energy_rail only'!C:C,C12)</f>
        <v>0</v>
      </c>
      <c r="R12">
        <f>SUMIFS('Fuel and Energy_rail only'!Y:Y,'Fuel and Energy_rail only'!C:C,C12)</f>
        <v>0</v>
      </c>
      <c r="S12">
        <f t="shared" si="5"/>
        <v>0</v>
      </c>
      <c r="T12">
        <f t="shared" si="6"/>
        <v>0</v>
      </c>
      <c r="U12" s="74">
        <f t="shared" si="7"/>
        <v>0</v>
      </c>
      <c r="V12" s="74">
        <f t="shared" si="7"/>
        <v>0</v>
      </c>
    </row>
    <row r="13" spans="2:22">
      <c r="B13" s="71" t="s">
        <v>370</v>
      </c>
      <c r="C13" s="71" t="s">
        <v>171</v>
      </c>
      <c r="D13" t="s">
        <v>371</v>
      </c>
      <c r="E13">
        <f>SUMIFS('Annual Service Data_rail only'!N:N,'Annual Service Data_rail only'!C:C,C13)</f>
        <v>441</v>
      </c>
      <c r="F13" s="68">
        <f>SUMIFS('Annual Service Data_rail only'!X:X,'Annual Service Data_rail only'!C:C,C13)</f>
        <v>139399021</v>
      </c>
      <c r="G13" s="68">
        <f>SUMIFS('Annual Service Data_rail only'!AT:AT,'Annual Service Data_rail only'!C:C,C13)</f>
        <v>2812423160</v>
      </c>
      <c r="H13">
        <f>SUMIFS('Fuel and Energy_rail only'!AD:AD,'Fuel and Energy_rail only'!C:C,C13)</f>
        <v>5034854</v>
      </c>
      <c r="I13">
        <f>SUMIFS('Fuel and Energy_rail only'!AN:AN,'Fuel and Energy_rail only'!C:C,C13)</f>
        <v>106204511</v>
      </c>
      <c r="J13" s="62">
        <f t="shared" si="2"/>
        <v>4.5261441397116929E-2</v>
      </c>
      <c r="K13" s="62">
        <f t="shared" si="2"/>
        <v>0.95473855860288304</v>
      </c>
      <c r="L13" s="72">
        <f t="shared" si="0"/>
        <v>20.175343699149796</v>
      </c>
      <c r="M13" s="73">
        <f t="shared" si="1"/>
        <v>316097.55328798183</v>
      </c>
      <c r="N13" s="73">
        <f t="shared" si="3"/>
        <v>19.960295656128565</v>
      </c>
      <c r="O13" s="73">
        <f t="shared" si="4"/>
        <v>421.03970434387139</v>
      </c>
      <c r="P13">
        <f>SUMIFS('Fuel and Energy_rail only'!M:M,'Fuel and Energy_rail only'!C:C,C13)</f>
        <v>13666577</v>
      </c>
      <c r="Q13">
        <f>SUMIFS('Fuel and Energy_rail only'!U:U,'Fuel and Energy_rail only'!C:C,C13)</f>
        <v>0</v>
      </c>
      <c r="R13">
        <f>SUMIFS('Fuel and Energy_rail only'!Y:Y,'Fuel and Energy_rail only'!C:C,C13)</f>
        <v>681466893</v>
      </c>
      <c r="S13">
        <f t="shared" si="5"/>
        <v>1895554229900</v>
      </c>
      <c r="T13">
        <f t="shared" si="6"/>
        <v>2325260444281.02</v>
      </c>
      <c r="U13" s="74">
        <f t="shared" si="7"/>
        <v>6.7154146282034786E-5</v>
      </c>
      <c r="V13" s="74">
        <f t="shared" si="7"/>
        <v>1.154764766486198E-3</v>
      </c>
    </row>
    <row r="14" spans="2:22">
      <c r="B14" s="71" t="s">
        <v>372</v>
      </c>
      <c r="C14" s="71" t="s">
        <v>201</v>
      </c>
      <c r="D14" t="s">
        <v>373</v>
      </c>
      <c r="E14">
        <f>SUMIFS('Annual Service Data_rail only'!N:N,'Annual Service Data_rail only'!C:C,C14)</f>
        <v>56</v>
      </c>
      <c r="F14" s="68">
        <f>SUMIFS('Annual Service Data_rail only'!X:X,'Annual Service Data_rail only'!C:C,C14)</f>
        <v>15749288</v>
      </c>
      <c r="G14" s="68">
        <f>SUMIFS('Annual Service Data_rail only'!AT:AT,'Annual Service Data_rail only'!C:C,C14)</f>
        <v>129461494</v>
      </c>
      <c r="H14">
        <f>SUMIFS('Fuel and Energy_rail only'!AD:AD,'Fuel and Energy_rail only'!C:C,C14)</f>
        <v>0</v>
      </c>
      <c r="I14">
        <f>SUMIFS('Fuel and Energy_rail only'!AN:AN,'Fuel and Energy_rail only'!C:C,C14)</f>
        <v>15639401</v>
      </c>
      <c r="J14" s="62">
        <f t="shared" si="2"/>
        <v>0</v>
      </c>
      <c r="K14" s="62">
        <f t="shared" si="2"/>
        <v>1</v>
      </c>
      <c r="L14" s="72">
        <f t="shared" si="0"/>
        <v>8.2201489997516077</v>
      </c>
      <c r="M14" s="73">
        <f t="shared" si="1"/>
        <v>281237.28571428574</v>
      </c>
      <c r="N14" s="73">
        <f t="shared" si="3"/>
        <v>0</v>
      </c>
      <c r="O14" s="73">
        <f t="shared" si="4"/>
        <v>56</v>
      </c>
      <c r="P14">
        <f>SUMIFS('Fuel and Energy_rail only'!M:M,'Fuel and Energy_rail only'!C:C,C14)</f>
        <v>0</v>
      </c>
      <c r="Q14">
        <f>SUMIFS('Fuel and Energy_rail only'!U:U,'Fuel and Energy_rail only'!C:C,C14)</f>
        <v>0</v>
      </c>
      <c r="R14">
        <f>SUMIFS('Fuel and Energy_rail only'!Y:Y,'Fuel and Energy_rail only'!C:C,C14)</f>
        <v>101468806</v>
      </c>
      <c r="S14">
        <f t="shared" si="5"/>
        <v>0</v>
      </c>
      <c r="T14">
        <f t="shared" si="6"/>
        <v>346225771704.83997</v>
      </c>
      <c r="U14" s="74">
        <f t="shared" si="7"/>
        <v>0</v>
      </c>
      <c r="V14" s="74">
        <f t="shared" si="7"/>
        <v>3.739221761641906E-4</v>
      </c>
    </row>
    <row r="15" spans="2:22">
      <c r="B15" s="71" t="s">
        <v>374</v>
      </c>
      <c r="C15" s="71" t="s">
        <v>280</v>
      </c>
      <c r="D15" t="s">
        <v>375</v>
      </c>
      <c r="E15">
        <f>SUMIFS('Annual Service Data_rail only'!N:N,'Annual Service Data_rail only'!C:C,C15)</f>
        <v>5</v>
      </c>
      <c r="F15" s="68">
        <f>SUMIFS('Annual Service Data_rail only'!X:X,'Annual Service Data_rail only'!C:C,C15)</f>
        <v>1717047</v>
      </c>
      <c r="G15" s="68">
        <f>SUMIFS('Annual Service Data_rail only'!AT:AT,'Annual Service Data_rail only'!C:C,C15)</f>
        <v>12884750</v>
      </c>
      <c r="H15">
        <f>SUMIFS('Fuel and Energy_rail only'!AD:AD,'Fuel and Energy_rail only'!C:C,C15)</f>
        <v>724004</v>
      </c>
      <c r="I15">
        <f>SUMIFS('Fuel and Energy_rail only'!AN:AN,'Fuel and Energy_rail only'!C:C,C15)</f>
        <v>0</v>
      </c>
      <c r="J15" s="62">
        <f t="shared" si="2"/>
        <v>1</v>
      </c>
      <c r="K15" s="62">
        <f t="shared" si="2"/>
        <v>0</v>
      </c>
      <c r="L15" s="72">
        <f t="shared" si="0"/>
        <v>7.5040170711692804</v>
      </c>
      <c r="M15" s="73">
        <f t="shared" si="1"/>
        <v>343409.4</v>
      </c>
      <c r="N15" s="73">
        <f t="shared" si="3"/>
        <v>5</v>
      </c>
      <c r="O15" s="73">
        <f t="shared" si="4"/>
        <v>0</v>
      </c>
      <c r="P15">
        <f>SUMIFS('Fuel and Energy_rail only'!M:M,'Fuel and Energy_rail only'!C:C,C15)</f>
        <v>1678569</v>
      </c>
      <c r="Q15">
        <f>SUMIFS('Fuel and Energy_rail only'!U:U,'Fuel and Energy_rail only'!C:C,C15)</f>
        <v>0</v>
      </c>
      <c r="R15">
        <f>SUMIFS('Fuel and Energy_rail only'!Y:Y,'Fuel and Energy_rail only'!C:C,C15)</f>
        <v>0</v>
      </c>
      <c r="S15">
        <f t="shared" si="5"/>
        <v>232817520300</v>
      </c>
      <c r="T15">
        <f t="shared" si="6"/>
        <v>0</v>
      </c>
      <c r="U15" s="74">
        <f t="shared" si="7"/>
        <v>5.5342699223826415E-5</v>
      </c>
      <c r="V15" s="74">
        <f t="shared" si="7"/>
        <v>0</v>
      </c>
    </row>
    <row r="16" spans="2:22">
      <c r="B16" s="71" t="s">
        <v>376</v>
      </c>
      <c r="C16" s="71" t="s">
        <v>377</v>
      </c>
      <c r="D16" t="s">
        <v>378</v>
      </c>
      <c r="E16">
        <f>SUMIFS('Annual Service Data_rail only'!N:N,'Annual Service Data_rail only'!C:C,C16)</f>
        <v>0</v>
      </c>
      <c r="F16" s="68">
        <f>SUMIFS('Annual Service Data_rail only'!X:X,'Annual Service Data_rail only'!C:C,C16)</f>
        <v>0</v>
      </c>
      <c r="G16" s="68">
        <f>SUMIFS('Annual Service Data_rail only'!AT:AT,'Annual Service Data_rail only'!C:C,C16)</f>
        <v>0</v>
      </c>
      <c r="H16">
        <f>SUMIFS('Fuel and Energy_rail only'!AD:AD,'Fuel and Energy_rail only'!C:C,C16)</f>
        <v>0</v>
      </c>
      <c r="I16">
        <f>SUMIFS('Fuel and Energy_rail only'!AN:AN,'Fuel and Energy_rail only'!C:C,C16)</f>
        <v>0</v>
      </c>
      <c r="J16" s="62">
        <f t="shared" si="2"/>
        <v>0</v>
      </c>
      <c r="K16" s="62">
        <f t="shared" si="2"/>
        <v>0</v>
      </c>
      <c r="L16" s="72">
        <f t="shared" si="0"/>
        <v>0</v>
      </c>
      <c r="M16" s="73">
        <f t="shared" si="1"/>
        <v>0</v>
      </c>
      <c r="N16" s="73">
        <f t="shared" si="3"/>
        <v>0</v>
      </c>
      <c r="O16" s="73">
        <f t="shared" si="4"/>
        <v>0</v>
      </c>
      <c r="P16">
        <f>SUMIFS('Fuel and Energy_rail only'!M:M,'Fuel and Energy_rail only'!C:C,C16)</f>
        <v>0</v>
      </c>
      <c r="Q16">
        <f>SUMIFS('Fuel and Energy_rail only'!U:U,'Fuel and Energy_rail only'!C:C,C16)</f>
        <v>0</v>
      </c>
      <c r="R16">
        <f>SUMIFS('Fuel and Energy_rail only'!Y:Y,'Fuel and Energy_rail only'!C:C,C16)</f>
        <v>0</v>
      </c>
      <c r="S16">
        <f t="shared" si="5"/>
        <v>0</v>
      </c>
      <c r="T16">
        <f t="shared" si="6"/>
        <v>0</v>
      </c>
      <c r="U16" s="74">
        <f t="shared" si="7"/>
        <v>0</v>
      </c>
      <c r="V16" s="74">
        <f t="shared" si="7"/>
        <v>0</v>
      </c>
    </row>
    <row r="17" spans="2:22">
      <c r="B17" s="71" t="s">
        <v>175</v>
      </c>
      <c r="C17" s="71" t="s">
        <v>175</v>
      </c>
      <c r="D17" t="s">
        <v>379</v>
      </c>
      <c r="E17">
        <f>SUMIFS('Annual Service Data_rail only'!N:N,'Annual Service Data_rail only'!C:C,C17)</f>
        <v>129</v>
      </c>
      <c r="F17" s="68">
        <f>SUMIFS('Annual Service Data_rail only'!X:X,'Annual Service Data_rail only'!C:C,C17)</f>
        <v>82234530</v>
      </c>
      <c r="G17" s="68">
        <f>SUMIFS('Annual Service Data_rail only'!AT:AT,'Annual Service Data_rail only'!C:C,C17)</f>
        <v>985922295</v>
      </c>
      <c r="H17">
        <f>SUMIFS('Fuel and Energy_rail only'!AD:AD,'Fuel and Energy_rail only'!C:C,C17)</f>
        <v>0</v>
      </c>
      <c r="I17">
        <f>SUMIFS('Fuel and Energy_rail only'!AN:AN,'Fuel and Energy_rail only'!C:C,C17)</f>
        <v>64920984</v>
      </c>
      <c r="J17" s="62">
        <f t="shared" si="2"/>
        <v>0</v>
      </c>
      <c r="K17" s="62">
        <f t="shared" si="2"/>
        <v>1</v>
      </c>
      <c r="L17" s="72">
        <f t="shared" si="0"/>
        <v>11.9891521846115</v>
      </c>
      <c r="M17" s="73">
        <f t="shared" si="1"/>
        <v>637476.97674418602</v>
      </c>
      <c r="N17" s="73">
        <f t="shared" si="3"/>
        <v>0</v>
      </c>
      <c r="O17" s="73">
        <f t="shared" si="4"/>
        <v>129</v>
      </c>
      <c r="P17">
        <f>SUMIFS('Fuel and Energy_rail only'!M:M,'Fuel and Energy_rail only'!C:C,C17)</f>
        <v>0</v>
      </c>
      <c r="Q17">
        <f>SUMIFS('Fuel and Energy_rail only'!U:U,'Fuel and Energy_rail only'!C:C,C17)</f>
        <v>0</v>
      </c>
      <c r="R17">
        <f>SUMIFS('Fuel and Energy_rail only'!Y:Y,'Fuel and Energy_rail only'!C:C,C17)</f>
        <v>576455528</v>
      </c>
      <c r="S17">
        <f t="shared" si="5"/>
        <v>0</v>
      </c>
      <c r="T17">
        <f t="shared" si="6"/>
        <v>1966946965309.9199</v>
      </c>
      <c r="U17" s="74">
        <f t="shared" si="7"/>
        <v>0</v>
      </c>
      <c r="V17" s="74">
        <f t="shared" si="7"/>
        <v>5.0124498137887213E-4</v>
      </c>
    </row>
    <row r="18" spans="2:22">
      <c r="B18" s="71" t="s">
        <v>380</v>
      </c>
      <c r="C18" s="71" t="s">
        <v>197</v>
      </c>
      <c r="D18" t="s">
        <v>381</v>
      </c>
      <c r="E18">
        <f>SUMIFS('Annual Service Data_rail only'!N:N,'Annual Service Data_rail only'!C:C,C18)</f>
        <v>35</v>
      </c>
      <c r="F18" s="68">
        <f>SUMIFS('Annual Service Data_rail only'!X:X,'Annual Service Data_rail only'!C:C,C18)</f>
        <v>11964512</v>
      </c>
      <c r="G18" s="68">
        <f>SUMIFS('Annual Service Data_rail only'!AT:AT,'Annual Service Data_rail only'!C:C,C18)</f>
        <v>203966246</v>
      </c>
      <c r="H18">
        <f>SUMIFS('Fuel and Energy_rail only'!AD:AD,'Fuel and Energy_rail only'!C:C,C18)</f>
        <v>1504489</v>
      </c>
      <c r="I18">
        <f>SUMIFS('Fuel and Energy_rail only'!AN:AN,'Fuel and Energy_rail only'!C:C,C18)</f>
        <v>559892</v>
      </c>
      <c r="J18" s="62">
        <f t="shared" si="2"/>
        <v>0.72878456060194319</v>
      </c>
      <c r="K18" s="62">
        <f t="shared" si="2"/>
        <v>0.27121543939805687</v>
      </c>
      <c r="L18" s="72">
        <f t="shared" si="0"/>
        <v>17.047602610118993</v>
      </c>
      <c r="M18" s="73">
        <f t="shared" si="1"/>
        <v>341843.20000000001</v>
      </c>
      <c r="N18" s="73">
        <f t="shared" si="3"/>
        <v>25.507459621068012</v>
      </c>
      <c r="O18" s="73">
        <f t="shared" si="4"/>
        <v>9.4925403789319898</v>
      </c>
      <c r="P18">
        <f>SUMIFS('Fuel and Energy_rail only'!M:M,'Fuel and Energy_rail only'!C:C,C18)</f>
        <v>3648266</v>
      </c>
      <c r="Q18">
        <f>SUMIFS('Fuel and Energy_rail only'!U:U,'Fuel and Energy_rail only'!C:C,C18)</f>
        <v>0</v>
      </c>
      <c r="R18">
        <f>SUMIFS('Fuel and Energy_rail only'!Y:Y,'Fuel and Energy_rail only'!C:C,C18)</f>
        <v>66954261</v>
      </c>
      <c r="S18">
        <f t="shared" si="5"/>
        <v>506014494200</v>
      </c>
      <c r="T18">
        <f t="shared" si="6"/>
        <v>228457312128.53998</v>
      </c>
      <c r="U18" s="74">
        <f t="shared" si="7"/>
        <v>2.9376125125377459E-4</v>
      </c>
      <c r="V18" s="74">
        <f t="shared" si="7"/>
        <v>2.421406192511685E-4</v>
      </c>
    </row>
    <row r="19" spans="2:22">
      <c r="B19" s="71" t="s">
        <v>382</v>
      </c>
      <c r="C19" s="71" t="s">
        <v>219</v>
      </c>
      <c r="D19" t="s">
        <v>383</v>
      </c>
      <c r="E19">
        <f>SUMIFS('Annual Service Data_rail only'!N:N,'Annual Service Data_rail only'!C:C,C19)</f>
        <v>39</v>
      </c>
      <c r="F19" s="68">
        <f>SUMIFS('Annual Service Data_rail only'!X:X,'Annual Service Data_rail only'!C:C,C19)</f>
        <v>21145309</v>
      </c>
      <c r="G19" s="68">
        <f>SUMIFS('Annual Service Data_rail only'!AT:AT,'Annual Service Data_rail only'!C:C,C19)</f>
        <v>329631085</v>
      </c>
      <c r="H19">
        <f>SUMIFS('Fuel and Energy_rail only'!AD:AD,'Fuel and Energy_rail only'!C:C,C19)</f>
        <v>0</v>
      </c>
      <c r="I19">
        <f>SUMIFS('Fuel and Energy_rail only'!AN:AN,'Fuel and Energy_rail only'!C:C,C19)</f>
        <v>19692749</v>
      </c>
      <c r="J19" s="62">
        <f t="shared" si="2"/>
        <v>0</v>
      </c>
      <c r="K19" s="62">
        <f t="shared" si="2"/>
        <v>1</v>
      </c>
      <c r="L19" s="72">
        <f t="shared" si="0"/>
        <v>15.588851645535186</v>
      </c>
      <c r="M19" s="73">
        <f t="shared" si="1"/>
        <v>542187.41025641025</v>
      </c>
      <c r="N19" s="73">
        <f t="shared" si="3"/>
        <v>0</v>
      </c>
      <c r="O19" s="73">
        <f t="shared" si="4"/>
        <v>39</v>
      </c>
      <c r="P19">
        <f>SUMIFS('Fuel and Energy_rail only'!M:M,'Fuel and Energy_rail only'!C:C,C19)</f>
        <v>0</v>
      </c>
      <c r="Q19">
        <f>SUMIFS('Fuel and Energy_rail only'!U:U,'Fuel and Energy_rail only'!C:C,C19)</f>
        <v>0</v>
      </c>
      <c r="R19">
        <f>SUMIFS('Fuel and Energy_rail only'!Y:Y,'Fuel and Energy_rail only'!C:C,C19)</f>
        <v>83566447</v>
      </c>
      <c r="S19">
        <f t="shared" si="5"/>
        <v>0</v>
      </c>
      <c r="T19">
        <f t="shared" si="6"/>
        <v>285140416466.58002</v>
      </c>
      <c r="U19" s="74">
        <f t="shared" si="7"/>
        <v>0</v>
      </c>
      <c r="V19" s="74">
        <f t="shared" si="7"/>
        <v>1.1560307342071744E-3</v>
      </c>
    </row>
    <row r="20" spans="2:22">
      <c r="B20" s="71" t="s">
        <v>384</v>
      </c>
      <c r="C20" s="71" t="s">
        <v>385</v>
      </c>
      <c r="D20" t="s">
        <v>386</v>
      </c>
      <c r="E20">
        <f>SUMIFS('Annual Service Data_rail only'!N:N,'Annual Service Data_rail only'!C:C,C20)</f>
        <v>0</v>
      </c>
      <c r="F20" s="68">
        <f>SUMIFS('Annual Service Data_rail only'!X:X,'Annual Service Data_rail only'!C:C,C20)</f>
        <v>0</v>
      </c>
      <c r="G20" s="68">
        <f>SUMIFS('Annual Service Data_rail only'!AT:AT,'Annual Service Data_rail only'!C:C,C20)</f>
        <v>0</v>
      </c>
      <c r="H20">
        <f>SUMIFS('Fuel and Energy_rail only'!AD:AD,'Fuel and Energy_rail only'!C:C,C20)</f>
        <v>0</v>
      </c>
      <c r="I20">
        <f>SUMIFS('Fuel and Energy_rail only'!AN:AN,'Fuel and Energy_rail only'!C:C,C20)</f>
        <v>0</v>
      </c>
      <c r="J20" s="62">
        <f t="shared" si="2"/>
        <v>0</v>
      </c>
      <c r="K20" s="62">
        <f t="shared" si="2"/>
        <v>0</v>
      </c>
      <c r="L20" s="72">
        <f t="shared" si="0"/>
        <v>0</v>
      </c>
      <c r="M20" s="73">
        <f t="shared" si="1"/>
        <v>0</v>
      </c>
      <c r="N20" s="73">
        <f t="shared" si="3"/>
        <v>0</v>
      </c>
      <c r="O20" s="73">
        <f t="shared" si="4"/>
        <v>0</v>
      </c>
      <c r="P20">
        <f>SUMIFS('Fuel and Energy_rail only'!M:M,'Fuel and Energy_rail only'!C:C,C20)</f>
        <v>0</v>
      </c>
      <c r="Q20">
        <f>SUMIFS('Fuel and Energy_rail only'!U:U,'Fuel and Energy_rail only'!C:C,C20)</f>
        <v>0</v>
      </c>
      <c r="R20">
        <f>SUMIFS('Fuel and Energy_rail only'!Y:Y,'Fuel and Energy_rail only'!C:C,C20)</f>
        <v>0</v>
      </c>
      <c r="S20">
        <f t="shared" si="5"/>
        <v>0</v>
      </c>
      <c r="T20">
        <f t="shared" si="6"/>
        <v>0</v>
      </c>
      <c r="U20" s="74">
        <f t="shared" si="7"/>
        <v>0</v>
      </c>
      <c r="V20" s="74">
        <f t="shared" si="7"/>
        <v>0</v>
      </c>
    </row>
    <row r="21" spans="2:22">
      <c r="B21" s="71" t="s">
        <v>387</v>
      </c>
      <c r="C21" s="71" t="s">
        <v>388</v>
      </c>
      <c r="D21" t="s">
        <v>389</v>
      </c>
      <c r="E21">
        <f>SUMIFS('Annual Service Data_rail only'!N:N,'Annual Service Data_rail only'!C:C,C21)</f>
        <v>0</v>
      </c>
      <c r="F21" s="68">
        <f>SUMIFS('Annual Service Data_rail only'!X:X,'Annual Service Data_rail only'!C:C,C21)</f>
        <v>0</v>
      </c>
      <c r="G21" s="68">
        <f>SUMIFS('Annual Service Data_rail only'!AT:AT,'Annual Service Data_rail only'!C:C,C21)</f>
        <v>0</v>
      </c>
      <c r="H21">
        <f>SUMIFS('Fuel and Energy_rail only'!AD:AD,'Fuel and Energy_rail only'!C:C,C21)</f>
        <v>0</v>
      </c>
      <c r="I21">
        <f>SUMIFS('Fuel and Energy_rail only'!AN:AN,'Fuel and Energy_rail only'!C:C,C21)</f>
        <v>0</v>
      </c>
      <c r="J21" s="62">
        <f t="shared" si="2"/>
        <v>0</v>
      </c>
      <c r="K21" s="62">
        <f t="shared" si="2"/>
        <v>0</v>
      </c>
      <c r="L21" s="72">
        <f t="shared" si="0"/>
        <v>0</v>
      </c>
      <c r="M21" s="73">
        <f t="shared" si="1"/>
        <v>0</v>
      </c>
      <c r="N21" s="73">
        <f t="shared" si="3"/>
        <v>0</v>
      </c>
      <c r="O21" s="73">
        <f t="shared" si="4"/>
        <v>0</v>
      </c>
      <c r="P21">
        <f>SUMIFS('Fuel and Energy_rail only'!M:M,'Fuel and Energy_rail only'!C:C,C21)</f>
        <v>0</v>
      </c>
      <c r="Q21">
        <f>SUMIFS('Fuel and Energy_rail only'!U:U,'Fuel and Energy_rail only'!C:C,C21)</f>
        <v>0</v>
      </c>
      <c r="R21">
        <f>SUMIFS('Fuel and Energy_rail only'!Y:Y,'Fuel and Energy_rail only'!C:C,C21)</f>
        <v>0</v>
      </c>
      <c r="S21">
        <f t="shared" si="5"/>
        <v>0</v>
      </c>
      <c r="T21">
        <f t="shared" si="6"/>
        <v>0</v>
      </c>
      <c r="U21" s="74">
        <f t="shared" si="7"/>
        <v>0</v>
      </c>
      <c r="V21" s="74">
        <f t="shared" si="7"/>
        <v>0</v>
      </c>
    </row>
    <row r="22" spans="2:22">
      <c r="B22" s="71" t="s">
        <v>390</v>
      </c>
      <c r="C22" s="71" t="s">
        <v>178</v>
      </c>
      <c r="D22" t="s">
        <v>391</v>
      </c>
      <c r="E22">
        <f>SUMIFS('Annual Service Data_rail only'!N:N,'Annual Service Data_rail only'!C:C,C22)</f>
        <v>251</v>
      </c>
      <c r="F22" s="68">
        <f>SUMIFS('Annual Service Data_rail only'!X:X,'Annual Service Data_rail only'!C:C,C22)</f>
        <v>102408279</v>
      </c>
      <c r="G22" s="68">
        <f>SUMIFS('Annual Service Data_rail only'!AT:AT,'Annual Service Data_rail only'!C:C,C22)</f>
        <v>839546950</v>
      </c>
      <c r="H22">
        <f>SUMIFS('Fuel and Energy_rail only'!AD:AD,'Fuel and Energy_rail only'!C:C,C22)</f>
        <v>5202961</v>
      </c>
      <c r="I22">
        <f>SUMIFS('Fuel and Energy_rail only'!AN:AN,'Fuel and Energy_rail only'!C:C,C22)</f>
        <v>66917044</v>
      </c>
      <c r="J22" s="62">
        <f t="shared" si="2"/>
        <v>7.2143103706107617E-2</v>
      </c>
      <c r="K22" s="62">
        <f t="shared" si="2"/>
        <v>0.92785689629389234</v>
      </c>
      <c r="L22" s="72">
        <f t="shared" si="0"/>
        <v>8.1980378754338794</v>
      </c>
      <c r="M22" s="73">
        <f t="shared" si="1"/>
        <v>408001.11155378487</v>
      </c>
      <c r="N22" s="73">
        <f t="shared" si="3"/>
        <v>18.107919030233013</v>
      </c>
      <c r="O22" s="73">
        <f t="shared" si="4"/>
        <v>232.89208096976697</v>
      </c>
      <c r="P22">
        <f>SUMIFS('Fuel and Energy_rail only'!M:M,'Fuel and Energy_rail only'!C:C,C22)</f>
        <v>36200086</v>
      </c>
      <c r="Q22">
        <f>SUMIFS('Fuel and Energy_rail only'!U:U,'Fuel and Energy_rail only'!C:C,C22)</f>
        <v>0</v>
      </c>
      <c r="R22">
        <f>SUMIFS('Fuel and Energy_rail only'!Y:Y,'Fuel and Energy_rail only'!C:C,C22)</f>
        <v>422807803</v>
      </c>
      <c r="S22">
        <f t="shared" si="5"/>
        <v>5020951928200</v>
      </c>
      <c r="T22">
        <f t="shared" si="6"/>
        <v>1442679416928.4199</v>
      </c>
      <c r="U22" s="74">
        <f t="shared" si="7"/>
        <v>1.2062956097990302E-5</v>
      </c>
      <c r="V22" s="74">
        <f t="shared" si="7"/>
        <v>5.399532412949464E-4</v>
      </c>
    </row>
    <row r="23" spans="2:22">
      <c r="B23" s="71" t="s">
        <v>392</v>
      </c>
      <c r="C23" s="71" t="s">
        <v>264</v>
      </c>
      <c r="D23" t="s">
        <v>393</v>
      </c>
      <c r="E23">
        <f>SUMIFS('Annual Service Data_rail only'!N:N,'Annual Service Data_rail only'!C:C,C23)</f>
        <v>17</v>
      </c>
      <c r="F23" s="68">
        <f>SUMIFS('Annual Service Data_rail only'!X:X,'Annual Service Data_rail only'!C:C,C23)</f>
        <v>3988838</v>
      </c>
      <c r="G23" s="68">
        <f>SUMIFS('Annual Service Data_rail only'!AT:AT,'Annual Service Data_rail only'!C:C,C23)</f>
        <v>32836617</v>
      </c>
      <c r="H23">
        <f>SUMIFS('Fuel and Energy_rail only'!AD:AD,'Fuel and Energy_rail only'!C:C,C23)</f>
        <v>0</v>
      </c>
      <c r="I23">
        <f>SUMIFS('Fuel and Energy_rail only'!AN:AN,'Fuel and Energy_rail only'!C:C,C23)</f>
        <v>3510093</v>
      </c>
      <c r="J23" s="62">
        <f t="shared" si="2"/>
        <v>0</v>
      </c>
      <c r="K23" s="62">
        <f t="shared" si="2"/>
        <v>1</v>
      </c>
      <c r="L23" s="72">
        <f t="shared" si="0"/>
        <v>8.2321259975962917</v>
      </c>
      <c r="M23" s="73">
        <f t="shared" si="1"/>
        <v>234637.5294117647</v>
      </c>
      <c r="N23" s="73">
        <f t="shared" si="3"/>
        <v>0</v>
      </c>
      <c r="O23" s="73">
        <f t="shared" si="4"/>
        <v>17</v>
      </c>
      <c r="P23">
        <f>SUMIFS('Fuel and Energy_rail only'!M:M,'Fuel and Energy_rail only'!C:C,C23)</f>
        <v>0</v>
      </c>
      <c r="Q23">
        <f>SUMIFS('Fuel and Energy_rail only'!U:U,'Fuel and Energy_rail only'!C:C,C23)</f>
        <v>0</v>
      </c>
      <c r="R23">
        <f>SUMIFS('Fuel and Energy_rail only'!Y:Y,'Fuel and Energy_rail only'!C:C,C23)</f>
        <v>18158000</v>
      </c>
      <c r="S23">
        <f t="shared" si="5"/>
        <v>0</v>
      </c>
      <c r="T23">
        <f t="shared" si="6"/>
        <v>61957638120</v>
      </c>
      <c r="U23" s="74">
        <f t="shared" si="7"/>
        <v>0</v>
      </c>
      <c r="V23" s="74">
        <f t="shared" si="7"/>
        <v>5.2998497031797435E-4</v>
      </c>
    </row>
    <row r="24" spans="2:22">
      <c r="B24" s="71" t="s">
        <v>394</v>
      </c>
      <c r="C24" s="71" t="s">
        <v>395</v>
      </c>
      <c r="D24" t="s">
        <v>396</v>
      </c>
      <c r="E24">
        <f>SUMIFS('Annual Service Data_rail only'!N:N,'Annual Service Data_rail only'!C:C,C24)</f>
        <v>0</v>
      </c>
      <c r="F24" s="68">
        <f>SUMIFS('Annual Service Data_rail only'!X:X,'Annual Service Data_rail only'!C:C,C24)</f>
        <v>0</v>
      </c>
      <c r="G24" s="68">
        <f>SUMIFS('Annual Service Data_rail only'!AT:AT,'Annual Service Data_rail only'!C:C,C24)</f>
        <v>0</v>
      </c>
      <c r="H24">
        <f>SUMIFS('Fuel and Energy_rail only'!AD:AD,'Fuel and Energy_rail only'!C:C,C24)</f>
        <v>0</v>
      </c>
      <c r="I24">
        <f>SUMIFS('Fuel and Energy_rail only'!AN:AN,'Fuel and Energy_rail only'!C:C,C24)</f>
        <v>0</v>
      </c>
      <c r="J24" s="62">
        <f t="shared" si="2"/>
        <v>0</v>
      </c>
      <c r="K24" s="62">
        <f t="shared" si="2"/>
        <v>0</v>
      </c>
      <c r="L24" s="72">
        <f t="shared" si="0"/>
        <v>0</v>
      </c>
      <c r="M24" s="73">
        <f t="shared" si="1"/>
        <v>0</v>
      </c>
      <c r="N24" s="73">
        <f t="shared" si="3"/>
        <v>0</v>
      </c>
      <c r="O24" s="73">
        <f t="shared" si="4"/>
        <v>0</v>
      </c>
      <c r="P24">
        <f>SUMIFS('Fuel and Energy_rail only'!M:M,'Fuel and Energy_rail only'!C:C,C24)</f>
        <v>0</v>
      </c>
      <c r="Q24">
        <f>SUMIFS('Fuel and Energy_rail only'!U:U,'Fuel and Energy_rail only'!C:C,C24)</f>
        <v>0</v>
      </c>
      <c r="R24">
        <f>SUMIFS('Fuel and Energy_rail only'!Y:Y,'Fuel and Energy_rail only'!C:C,C24)</f>
        <v>0</v>
      </c>
      <c r="S24">
        <f t="shared" si="5"/>
        <v>0</v>
      </c>
      <c r="T24">
        <f t="shared" si="6"/>
        <v>0</v>
      </c>
      <c r="U24" s="74">
        <f t="shared" si="7"/>
        <v>0</v>
      </c>
      <c r="V24" s="74">
        <f t="shared" si="7"/>
        <v>0</v>
      </c>
    </row>
    <row r="25" spans="2:22">
      <c r="B25" s="71" t="s">
        <v>397</v>
      </c>
      <c r="C25" s="71" t="s">
        <v>398</v>
      </c>
      <c r="D25" t="s">
        <v>399</v>
      </c>
      <c r="E25">
        <f>SUMIFS('Annual Service Data_rail only'!N:N,'Annual Service Data_rail only'!C:C,C25)</f>
        <v>0</v>
      </c>
      <c r="F25" s="68">
        <f>SUMIFS('Annual Service Data_rail only'!X:X,'Annual Service Data_rail only'!C:C,C25)</f>
        <v>0</v>
      </c>
      <c r="G25" s="68">
        <f>SUMIFS('Annual Service Data_rail only'!AT:AT,'Annual Service Data_rail only'!C:C,C25)</f>
        <v>0</v>
      </c>
      <c r="H25">
        <f>SUMIFS('Fuel and Energy_rail only'!AD:AD,'Fuel and Energy_rail only'!C:C,C25)</f>
        <v>0</v>
      </c>
      <c r="I25">
        <f>SUMIFS('Fuel and Energy_rail only'!AN:AN,'Fuel and Energy_rail only'!C:C,C25)</f>
        <v>0</v>
      </c>
      <c r="J25" s="62">
        <f t="shared" si="2"/>
        <v>0</v>
      </c>
      <c r="K25" s="62">
        <f t="shared" si="2"/>
        <v>0</v>
      </c>
      <c r="L25" s="72">
        <f t="shared" si="0"/>
        <v>0</v>
      </c>
      <c r="M25" s="73">
        <f t="shared" si="1"/>
        <v>0</v>
      </c>
      <c r="N25" s="73">
        <f t="shared" si="3"/>
        <v>0</v>
      </c>
      <c r="O25" s="73">
        <f t="shared" si="4"/>
        <v>0</v>
      </c>
      <c r="P25">
        <f>SUMIFS('Fuel and Energy_rail only'!M:M,'Fuel and Energy_rail only'!C:C,C25)</f>
        <v>0</v>
      </c>
      <c r="Q25">
        <f>SUMIFS('Fuel and Energy_rail only'!U:U,'Fuel and Energy_rail only'!C:C,C25)</f>
        <v>0</v>
      </c>
      <c r="R25">
        <f>SUMIFS('Fuel and Energy_rail only'!Y:Y,'Fuel and Energy_rail only'!C:C,C25)</f>
        <v>0</v>
      </c>
      <c r="S25">
        <f t="shared" si="5"/>
        <v>0</v>
      </c>
      <c r="T25">
        <f t="shared" si="6"/>
        <v>0</v>
      </c>
      <c r="U25" s="74">
        <f t="shared" si="7"/>
        <v>0</v>
      </c>
      <c r="V25" s="74">
        <f t="shared" si="7"/>
        <v>0</v>
      </c>
    </row>
    <row r="26" spans="2:22">
      <c r="B26" s="71" t="s">
        <v>400</v>
      </c>
      <c r="C26" s="71" t="s">
        <v>401</v>
      </c>
      <c r="D26" t="s">
        <v>402</v>
      </c>
      <c r="E26">
        <f>SUMIFS('Annual Service Data_rail only'!N:N,'Annual Service Data_rail only'!C:C,C26)</f>
        <v>0</v>
      </c>
      <c r="F26" s="68">
        <f>SUMIFS('Annual Service Data_rail only'!X:X,'Annual Service Data_rail only'!C:C,C26)</f>
        <v>0</v>
      </c>
      <c r="G26" s="68">
        <f>SUMIFS('Annual Service Data_rail only'!AT:AT,'Annual Service Data_rail only'!C:C,C26)</f>
        <v>0</v>
      </c>
      <c r="H26">
        <f>SUMIFS('Fuel and Energy_rail only'!AD:AD,'Fuel and Energy_rail only'!C:C,C26)</f>
        <v>0</v>
      </c>
      <c r="I26">
        <f>SUMIFS('Fuel and Energy_rail only'!AN:AN,'Fuel and Energy_rail only'!C:C,C26)</f>
        <v>0</v>
      </c>
      <c r="J26" s="62">
        <f t="shared" si="2"/>
        <v>0</v>
      </c>
      <c r="K26" s="62">
        <f t="shared" si="2"/>
        <v>0</v>
      </c>
      <c r="L26" s="72">
        <f t="shared" si="0"/>
        <v>0</v>
      </c>
      <c r="M26" s="73">
        <f t="shared" si="1"/>
        <v>0</v>
      </c>
      <c r="N26" s="73">
        <f t="shared" si="3"/>
        <v>0</v>
      </c>
      <c r="O26" s="73">
        <f t="shared" si="4"/>
        <v>0</v>
      </c>
      <c r="P26">
        <f>SUMIFS('Fuel and Energy_rail only'!M:M,'Fuel and Energy_rail only'!C:C,C26)</f>
        <v>0</v>
      </c>
      <c r="Q26">
        <f>SUMIFS('Fuel and Energy_rail only'!U:U,'Fuel and Energy_rail only'!C:C,C26)</f>
        <v>0</v>
      </c>
      <c r="R26">
        <f>SUMIFS('Fuel and Energy_rail only'!Y:Y,'Fuel and Energy_rail only'!C:C,C26)</f>
        <v>0</v>
      </c>
      <c r="S26">
        <f t="shared" si="5"/>
        <v>0</v>
      </c>
      <c r="T26">
        <f t="shared" si="6"/>
        <v>0</v>
      </c>
      <c r="U26" s="74">
        <f t="shared" si="7"/>
        <v>0</v>
      </c>
      <c r="V26" s="74">
        <f t="shared" si="7"/>
        <v>0</v>
      </c>
    </row>
    <row r="27" spans="2:22">
      <c r="B27" s="71" t="s">
        <v>403</v>
      </c>
      <c r="C27" s="71" t="s">
        <v>404</v>
      </c>
      <c r="D27" t="s">
        <v>405</v>
      </c>
      <c r="E27">
        <f>SUMIFS('Annual Service Data_rail only'!N:N,'Annual Service Data_rail only'!C:C,C27)</f>
        <v>0</v>
      </c>
      <c r="F27" s="68">
        <f>SUMIFS('Annual Service Data_rail only'!X:X,'Annual Service Data_rail only'!C:C,C27)</f>
        <v>0</v>
      </c>
      <c r="G27" s="68">
        <f>SUMIFS('Annual Service Data_rail only'!AT:AT,'Annual Service Data_rail only'!C:C,C27)</f>
        <v>0</v>
      </c>
      <c r="H27">
        <f>SUMIFS('Fuel and Energy_rail only'!AD:AD,'Fuel and Energy_rail only'!C:C,C27)</f>
        <v>0</v>
      </c>
      <c r="I27">
        <f>SUMIFS('Fuel and Energy_rail only'!AN:AN,'Fuel and Energy_rail only'!C:C,C27)</f>
        <v>0</v>
      </c>
      <c r="J27" s="62">
        <f t="shared" si="2"/>
        <v>0</v>
      </c>
      <c r="K27" s="62">
        <f t="shared" si="2"/>
        <v>0</v>
      </c>
      <c r="L27" s="72">
        <f t="shared" si="0"/>
        <v>0</v>
      </c>
      <c r="M27" s="73">
        <f t="shared" si="1"/>
        <v>0</v>
      </c>
      <c r="N27" s="73">
        <f t="shared" si="3"/>
        <v>0</v>
      </c>
      <c r="O27" s="73">
        <f t="shared" si="4"/>
        <v>0</v>
      </c>
      <c r="P27">
        <f>SUMIFS('Fuel and Energy_rail only'!M:M,'Fuel and Energy_rail only'!C:C,C27)</f>
        <v>0</v>
      </c>
      <c r="Q27">
        <f>SUMIFS('Fuel and Energy_rail only'!U:U,'Fuel and Energy_rail only'!C:C,C27)</f>
        <v>0</v>
      </c>
      <c r="R27">
        <f>SUMIFS('Fuel and Energy_rail only'!Y:Y,'Fuel and Energy_rail only'!C:C,C27)</f>
        <v>0</v>
      </c>
      <c r="S27">
        <f t="shared" si="5"/>
        <v>0</v>
      </c>
      <c r="T27">
        <f t="shared" si="6"/>
        <v>0</v>
      </c>
      <c r="U27" s="74">
        <f t="shared" si="7"/>
        <v>0</v>
      </c>
      <c r="V27" s="74">
        <f t="shared" si="7"/>
        <v>0</v>
      </c>
    </row>
    <row r="28" spans="2:22">
      <c r="B28" s="71" t="s">
        <v>406</v>
      </c>
      <c r="C28" s="71" t="s">
        <v>289</v>
      </c>
      <c r="D28" t="s">
        <v>407</v>
      </c>
      <c r="E28">
        <f>SUMIFS('Annual Service Data_rail only'!N:N,'Annual Service Data_rail only'!C:C,C28)</f>
        <v>3</v>
      </c>
      <c r="F28" s="68">
        <f>SUMIFS('Annual Service Data_rail only'!X:X,'Annual Service Data_rail only'!C:C,C28)</f>
        <v>1974842</v>
      </c>
      <c r="G28" s="68">
        <f>SUMIFS('Annual Service Data_rail only'!AT:AT,'Annual Service Data_rail only'!C:C,C28)</f>
        <v>33416609</v>
      </c>
      <c r="H28">
        <f>SUMIFS('Fuel and Energy_rail only'!AD:AD,'Fuel and Energy_rail only'!C:C,C28)</f>
        <v>0</v>
      </c>
      <c r="I28">
        <f>SUMIFS('Fuel and Energy_rail only'!AN:AN,'Fuel and Energy_rail only'!C:C,C28)</f>
        <v>0</v>
      </c>
      <c r="J28" s="62">
        <f t="shared" si="2"/>
        <v>0</v>
      </c>
      <c r="K28" s="62">
        <f t="shared" si="2"/>
        <v>0</v>
      </c>
      <c r="L28" s="72">
        <f t="shared" si="0"/>
        <v>16.921155717773878</v>
      </c>
      <c r="M28" s="73">
        <f t="shared" si="1"/>
        <v>658280.66666666663</v>
      </c>
      <c r="N28" s="73">
        <f t="shared" si="3"/>
        <v>0</v>
      </c>
      <c r="O28" s="73">
        <f t="shared" si="4"/>
        <v>0</v>
      </c>
      <c r="P28">
        <f>SUMIFS('Fuel and Energy_rail only'!M:M,'Fuel and Energy_rail only'!C:C,C28)</f>
        <v>628302</v>
      </c>
      <c r="Q28">
        <f>SUMIFS('Fuel and Energy_rail only'!U:U,'Fuel and Energy_rail only'!C:C,C28)</f>
        <v>0</v>
      </c>
      <c r="R28">
        <f>SUMIFS('Fuel and Energy_rail only'!Y:Y,'Fuel and Energy_rail only'!C:C,C28)</f>
        <v>0</v>
      </c>
      <c r="S28">
        <f t="shared" si="5"/>
        <v>87145487400</v>
      </c>
      <c r="T28">
        <f t="shared" si="6"/>
        <v>0</v>
      </c>
      <c r="U28" s="74">
        <f t="shared" si="7"/>
        <v>0</v>
      </c>
      <c r="V28" s="74">
        <f t="shared" si="7"/>
        <v>0</v>
      </c>
    </row>
    <row r="29" spans="2:22">
      <c r="B29" s="71" t="s">
        <v>408</v>
      </c>
      <c r="C29" s="71" t="s">
        <v>193</v>
      </c>
      <c r="D29" t="s">
        <v>409</v>
      </c>
      <c r="E29">
        <f>SUMIFS('Annual Service Data_rail only'!N:N,'Annual Service Data_rail only'!C:C,C29)</f>
        <v>55</v>
      </c>
      <c r="F29" s="68">
        <f>SUMIFS('Annual Service Data_rail only'!X:X,'Annual Service Data_rail only'!C:C,C29)</f>
        <v>13332723</v>
      </c>
      <c r="G29" s="68">
        <f>SUMIFS('Annual Service Data_rail only'!AT:AT,'Annual Service Data_rail only'!C:C,C29)</f>
        <v>252169120</v>
      </c>
      <c r="H29">
        <f>SUMIFS('Fuel and Energy_rail only'!AD:AD,'Fuel and Energy_rail only'!C:C,C29)</f>
        <v>764117</v>
      </c>
      <c r="I29">
        <f>SUMIFS('Fuel and Energy_rail only'!AN:AN,'Fuel and Energy_rail only'!C:C,C29)</f>
        <v>2843642</v>
      </c>
      <c r="J29" s="62">
        <f t="shared" si="2"/>
        <v>0.21179823818608726</v>
      </c>
      <c r="K29" s="62">
        <f t="shared" si="2"/>
        <v>0.78820176181391277</v>
      </c>
      <c r="L29" s="72">
        <f t="shared" si="0"/>
        <v>18.913549767740619</v>
      </c>
      <c r="M29" s="73">
        <f t="shared" si="1"/>
        <v>242413.14545454545</v>
      </c>
      <c r="N29" s="73">
        <f t="shared" si="3"/>
        <v>11.648903100234799</v>
      </c>
      <c r="O29" s="73">
        <f t="shared" si="4"/>
        <v>43.351096899765203</v>
      </c>
      <c r="P29">
        <f>SUMIFS('Fuel and Energy_rail only'!M:M,'Fuel and Energy_rail only'!C:C,C29)</f>
        <v>3709703</v>
      </c>
      <c r="Q29">
        <f>SUMIFS('Fuel and Energy_rail only'!U:U,'Fuel and Energy_rail only'!C:C,C29)</f>
        <v>0</v>
      </c>
      <c r="R29">
        <f>SUMIFS('Fuel and Energy_rail only'!Y:Y,'Fuel and Energy_rail only'!C:C,C29)</f>
        <v>91224966</v>
      </c>
      <c r="S29">
        <f t="shared" si="5"/>
        <v>514535806100</v>
      </c>
      <c r="T29">
        <f t="shared" si="6"/>
        <v>311272355487.23999</v>
      </c>
      <c r="U29" s="74">
        <f t="shared" si="7"/>
        <v>1.0380030837067924E-4</v>
      </c>
      <c r="V29" s="74">
        <f t="shared" si="7"/>
        <v>6.3854094703637049E-4</v>
      </c>
    </row>
    <row r="30" spans="2:22">
      <c r="B30" s="71" t="s">
        <v>410</v>
      </c>
      <c r="C30" s="71" t="s">
        <v>183</v>
      </c>
      <c r="D30" t="s">
        <v>411</v>
      </c>
      <c r="E30">
        <f>SUMIFS('Annual Service Data_rail only'!N:N,'Annual Service Data_rail only'!C:C,C30)</f>
        <v>209</v>
      </c>
      <c r="F30" s="68">
        <f>SUMIFS('Annual Service Data_rail only'!X:X,'Annual Service Data_rail only'!C:C,C30)</f>
        <v>50817429</v>
      </c>
      <c r="G30" s="68">
        <f>SUMIFS('Annual Service Data_rail only'!AT:AT,'Annual Service Data_rail only'!C:C,C30)</f>
        <v>1018614837</v>
      </c>
      <c r="H30">
        <f>SUMIFS('Fuel and Energy_rail only'!AD:AD,'Fuel and Energy_rail only'!C:C,C30)</f>
        <v>4339139</v>
      </c>
      <c r="I30">
        <f>SUMIFS('Fuel and Energy_rail only'!AN:AN,'Fuel and Energy_rail only'!C:C,C30)</f>
        <v>27601749</v>
      </c>
      <c r="J30" s="62">
        <f t="shared" si="2"/>
        <v>0.13584904089078551</v>
      </c>
      <c r="K30" s="62">
        <f t="shared" si="2"/>
        <v>0.86415095910921447</v>
      </c>
      <c r="L30" s="72">
        <f t="shared" si="0"/>
        <v>20.044596057781671</v>
      </c>
      <c r="M30" s="73">
        <f t="shared" si="1"/>
        <v>243145.59330143541</v>
      </c>
      <c r="N30" s="73">
        <f t="shared" si="3"/>
        <v>28.39244954617417</v>
      </c>
      <c r="O30" s="73">
        <f t="shared" si="4"/>
        <v>180.60755045382584</v>
      </c>
      <c r="P30">
        <f>SUMIFS('Fuel and Energy_rail only'!M:M,'Fuel and Energy_rail only'!C:C,C30)</f>
        <v>13360985</v>
      </c>
      <c r="Q30">
        <f>SUMIFS('Fuel and Energy_rail only'!U:U,'Fuel and Energy_rail only'!C:C,C30)</f>
        <v>0</v>
      </c>
      <c r="R30">
        <f>SUMIFS('Fuel and Energy_rail only'!Y:Y,'Fuel and Energy_rail only'!C:C,C30)</f>
        <v>225210199</v>
      </c>
      <c r="S30">
        <f t="shared" si="5"/>
        <v>1853168619500</v>
      </c>
      <c r="T30">
        <f t="shared" si="6"/>
        <v>768448728415.85999</v>
      </c>
      <c r="U30" s="74">
        <f t="shared" si="7"/>
        <v>7.4670943155140035E-5</v>
      </c>
      <c r="V30" s="74">
        <f t="shared" si="7"/>
        <v>1.1454726331202542E-3</v>
      </c>
    </row>
    <row r="31" spans="2:22">
      <c r="B31" s="71" t="s">
        <v>412</v>
      </c>
      <c r="C31" s="71" t="s">
        <v>413</v>
      </c>
      <c r="D31" t="s">
        <v>414</v>
      </c>
      <c r="E31">
        <f>SUMIFS('Annual Service Data_rail only'!N:N,'Annual Service Data_rail only'!C:C,C31)</f>
        <v>0</v>
      </c>
      <c r="F31" s="68">
        <f>SUMIFS('Annual Service Data_rail only'!X:X,'Annual Service Data_rail only'!C:C,C31)</f>
        <v>0</v>
      </c>
      <c r="G31" s="68">
        <f>SUMIFS('Annual Service Data_rail only'!AT:AT,'Annual Service Data_rail only'!C:C,C31)</f>
        <v>0</v>
      </c>
      <c r="H31">
        <f>SUMIFS('Fuel and Energy_rail only'!AD:AD,'Fuel and Energy_rail only'!C:C,C31)</f>
        <v>0</v>
      </c>
      <c r="I31">
        <f>SUMIFS('Fuel and Energy_rail only'!AN:AN,'Fuel and Energy_rail only'!C:C,C31)</f>
        <v>0</v>
      </c>
      <c r="J31" s="62">
        <f t="shared" si="2"/>
        <v>0</v>
      </c>
      <c r="K31" s="62">
        <f t="shared" si="2"/>
        <v>0</v>
      </c>
      <c r="L31" s="72">
        <f t="shared" si="0"/>
        <v>0</v>
      </c>
      <c r="M31" s="73">
        <f t="shared" si="1"/>
        <v>0</v>
      </c>
      <c r="N31" s="73">
        <f t="shared" si="3"/>
        <v>0</v>
      </c>
      <c r="O31" s="73">
        <f t="shared" si="4"/>
        <v>0</v>
      </c>
      <c r="P31">
        <f>SUMIFS('Fuel and Energy_rail only'!M:M,'Fuel and Energy_rail only'!C:C,C31)</f>
        <v>0</v>
      </c>
      <c r="Q31">
        <f>SUMIFS('Fuel and Energy_rail only'!U:U,'Fuel and Energy_rail only'!C:C,C31)</f>
        <v>0</v>
      </c>
      <c r="R31">
        <f>SUMIFS('Fuel and Energy_rail only'!Y:Y,'Fuel and Energy_rail only'!C:C,C31)</f>
        <v>0</v>
      </c>
      <c r="S31">
        <f t="shared" si="5"/>
        <v>0</v>
      </c>
      <c r="T31">
        <f t="shared" si="6"/>
        <v>0</v>
      </c>
      <c r="U31" s="74">
        <f t="shared" si="7"/>
        <v>0</v>
      </c>
      <c r="V31" s="74">
        <f t="shared" si="7"/>
        <v>0</v>
      </c>
    </row>
    <row r="32" spans="2:22">
      <c r="B32" s="71" t="s">
        <v>415</v>
      </c>
      <c r="C32" s="71" t="s">
        <v>226</v>
      </c>
      <c r="D32" t="s">
        <v>416</v>
      </c>
      <c r="E32">
        <f>SUMIFS('Annual Service Data_rail only'!N:N,'Annual Service Data_rail only'!C:C,C32)</f>
        <v>27</v>
      </c>
      <c r="F32" s="68">
        <f>SUMIFS('Annual Service Data_rail only'!X:X,'Annual Service Data_rail only'!C:C,C32)</f>
        <v>4386285</v>
      </c>
      <c r="G32" s="68">
        <f>SUMIFS('Annual Service Data_rail only'!AT:AT,'Annual Service Data_rail only'!C:C,C32)</f>
        <v>44505006</v>
      </c>
      <c r="H32">
        <f>SUMIFS('Fuel and Energy_rail only'!AD:AD,'Fuel and Energy_rail only'!C:C,C32)</f>
        <v>63438</v>
      </c>
      <c r="I32">
        <f>SUMIFS('Fuel and Energy_rail only'!AN:AN,'Fuel and Energy_rail only'!C:C,C32)</f>
        <v>4153269</v>
      </c>
      <c r="J32" s="62">
        <f t="shared" si="2"/>
        <v>1.5044441076887722E-2</v>
      </c>
      <c r="K32" s="62">
        <f t="shared" si="2"/>
        <v>0.98495555892311226</v>
      </c>
      <c r="L32" s="72">
        <f t="shared" si="0"/>
        <v>10.14640088366351</v>
      </c>
      <c r="M32" s="73">
        <f t="shared" si="1"/>
        <v>162455</v>
      </c>
      <c r="N32" s="73">
        <f t="shared" si="3"/>
        <v>0.40619990907596848</v>
      </c>
      <c r="O32" s="73">
        <f t="shared" si="4"/>
        <v>26.593800090924031</v>
      </c>
      <c r="P32">
        <f>SUMIFS('Fuel and Energy_rail only'!M:M,'Fuel and Energy_rail only'!C:C,C32)</f>
        <v>213780</v>
      </c>
      <c r="Q32">
        <f>SUMIFS('Fuel and Energy_rail only'!U:U,'Fuel and Energy_rail only'!C:C,C32)</f>
        <v>0</v>
      </c>
      <c r="R32">
        <f>SUMIFS('Fuel and Energy_rail only'!Y:Y,'Fuel and Energy_rail only'!C:C,C32)</f>
        <v>31871652</v>
      </c>
      <c r="S32">
        <f t="shared" si="5"/>
        <v>29651286000</v>
      </c>
      <c r="T32">
        <f t="shared" si="6"/>
        <v>108750538655.28</v>
      </c>
      <c r="U32" s="74">
        <f t="shared" si="7"/>
        <v>2.2580907296686373E-5</v>
      </c>
      <c r="V32" s="74">
        <f t="shared" si="7"/>
        <v>4.030826293059302E-4</v>
      </c>
    </row>
    <row r="33" spans="2:22">
      <c r="B33" s="71" t="s">
        <v>417</v>
      </c>
      <c r="C33" s="71" t="s">
        <v>418</v>
      </c>
      <c r="D33" t="s">
        <v>419</v>
      </c>
      <c r="E33">
        <f>SUMIFS('Annual Service Data_rail only'!N:N,'Annual Service Data_rail only'!C:C,C33)</f>
        <v>0</v>
      </c>
      <c r="F33" s="68">
        <f>SUMIFS('Annual Service Data_rail only'!X:X,'Annual Service Data_rail only'!C:C,C33)</f>
        <v>0</v>
      </c>
      <c r="G33" s="68">
        <f>SUMIFS('Annual Service Data_rail only'!AT:AT,'Annual Service Data_rail only'!C:C,C33)</f>
        <v>0</v>
      </c>
      <c r="H33">
        <f>SUMIFS('Fuel and Energy_rail only'!AD:AD,'Fuel and Energy_rail only'!C:C,C33)</f>
        <v>0</v>
      </c>
      <c r="I33">
        <f>SUMIFS('Fuel and Energy_rail only'!AN:AN,'Fuel and Energy_rail only'!C:C,C33)</f>
        <v>0</v>
      </c>
      <c r="J33" s="62">
        <f t="shared" si="2"/>
        <v>0</v>
      </c>
      <c r="K33" s="62">
        <f t="shared" si="2"/>
        <v>0</v>
      </c>
      <c r="L33" s="72">
        <f t="shared" si="0"/>
        <v>0</v>
      </c>
      <c r="M33" s="73">
        <f t="shared" si="1"/>
        <v>0</v>
      </c>
      <c r="N33" s="73">
        <f t="shared" si="3"/>
        <v>0</v>
      </c>
      <c r="O33" s="73">
        <f t="shared" si="4"/>
        <v>0</v>
      </c>
      <c r="P33">
        <f>SUMIFS('Fuel and Energy_rail only'!M:M,'Fuel and Energy_rail only'!C:C,C33)</f>
        <v>0</v>
      </c>
      <c r="Q33">
        <f>SUMIFS('Fuel and Energy_rail only'!U:U,'Fuel and Energy_rail only'!C:C,C33)</f>
        <v>0</v>
      </c>
      <c r="R33">
        <f>SUMIFS('Fuel and Energy_rail only'!Y:Y,'Fuel and Energy_rail only'!C:C,C33)</f>
        <v>0</v>
      </c>
      <c r="S33">
        <f t="shared" si="5"/>
        <v>0</v>
      </c>
      <c r="T33">
        <f t="shared" si="6"/>
        <v>0</v>
      </c>
      <c r="U33" s="74">
        <f t="shared" si="7"/>
        <v>0</v>
      </c>
      <c r="V33" s="74">
        <f t="shared" si="7"/>
        <v>0</v>
      </c>
    </row>
    <row r="34" spans="2:22">
      <c r="B34" s="71" t="s">
        <v>420</v>
      </c>
      <c r="C34" s="71" t="s">
        <v>233</v>
      </c>
      <c r="D34" t="s">
        <v>421</v>
      </c>
      <c r="E34">
        <f>SUMIFS('Annual Service Data_rail only'!N:N,'Annual Service Data_rail only'!C:C,C34)</f>
        <v>25</v>
      </c>
      <c r="F34" s="68">
        <f>SUMIFS('Annual Service Data_rail only'!X:X,'Annual Service Data_rail only'!C:C,C34)</f>
        <v>5905439</v>
      </c>
      <c r="G34" s="68">
        <f>SUMIFS('Annual Service Data_rail only'!AT:AT,'Annual Service Data_rail only'!C:C,C34)</f>
        <v>70933375</v>
      </c>
      <c r="H34">
        <f>SUMIFS('Fuel and Energy_rail only'!AD:AD,'Fuel and Energy_rail only'!C:C,C34)</f>
        <v>0</v>
      </c>
      <c r="I34">
        <f>SUMIFS('Fuel and Energy_rail only'!AN:AN,'Fuel and Energy_rail only'!C:C,C34)</f>
        <v>5934378</v>
      </c>
      <c r="J34" s="62">
        <f t="shared" si="2"/>
        <v>0</v>
      </c>
      <c r="K34" s="62">
        <f t="shared" si="2"/>
        <v>1</v>
      </c>
      <c r="L34" s="72">
        <f t="shared" si="0"/>
        <v>12.011532927526641</v>
      </c>
      <c r="M34" s="73">
        <f t="shared" si="1"/>
        <v>236217.56</v>
      </c>
      <c r="N34" s="73">
        <f t="shared" si="3"/>
        <v>0</v>
      </c>
      <c r="O34" s="73">
        <f t="shared" si="4"/>
        <v>25</v>
      </c>
      <c r="P34">
        <f>SUMIFS('Fuel and Energy_rail only'!M:M,'Fuel and Energy_rail only'!C:C,C34)</f>
        <v>0</v>
      </c>
      <c r="Q34">
        <f>SUMIFS('Fuel and Energy_rail only'!U:U,'Fuel and Energy_rail only'!C:C,C34)</f>
        <v>0</v>
      </c>
      <c r="R34">
        <f>SUMIFS('Fuel and Energy_rail only'!Y:Y,'Fuel and Energy_rail only'!C:C,C34)</f>
        <v>36496148</v>
      </c>
      <c r="S34">
        <f t="shared" si="5"/>
        <v>0</v>
      </c>
      <c r="T34">
        <f t="shared" si="6"/>
        <v>124529966436.72</v>
      </c>
      <c r="U34" s="74">
        <f t="shared" si="7"/>
        <v>0</v>
      </c>
      <c r="V34" s="74">
        <f t="shared" si="7"/>
        <v>5.6960888234114198E-4</v>
      </c>
    </row>
    <row r="35" spans="2:22">
      <c r="B35" s="71" t="s">
        <v>422</v>
      </c>
      <c r="C35" s="71" t="s">
        <v>423</v>
      </c>
      <c r="D35" t="s">
        <v>424</v>
      </c>
      <c r="E35">
        <f>SUMIFS('Annual Service Data_rail only'!N:N,'Annual Service Data_rail only'!C:C,C35)</f>
        <v>0</v>
      </c>
      <c r="F35" s="68">
        <f>SUMIFS('Annual Service Data_rail only'!X:X,'Annual Service Data_rail only'!C:C,C35)</f>
        <v>0</v>
      </c>
      <c r="G35" s="68">
        <f>SUMIFS('Annual Service Data_rail only'!AT:AT,'Annual Service Data_rail only'!C:C,C35)</f>
        <v>0</v>
      </c>
      <c r="H35">
        <f>SUMIFS('Fuel and Energy_rail only'!AD:AD,'Fuel and Energy_rail only'!C:C,C35)</f>
        <v>0</v>
      </c>
      <c r="I35">
        <f>SUMIFS('Fuel and Energy_rail only'!AN:AN,'Fuel and Energy_rail only'!C:C,C35)</f>
        <v>0</v>
      </c>
      <c r="J35" s="62">
        <f t="shared" si="2"/>
        <v>0</v>
      </c>
      <c r="K35" s="62">
        <f t="shared" si="2"/>
        <v>0</v>
      </c>
      <c r="L35" s="72">
        <f t="shared" si="0"/>
        <v>0</v>
      </c>
      <c r="M35" s="73">
        <f t="shared" si="1"/>
        <v>0</v>
      </c>
      <c r="N35" s="73">
        <f t="shared" si="3"/>
        <v>0</v>
      </c>
      <c r="O35" s="73">
        <f t="shared" si="4"/>
        <v>0</v>
      </c>
      <c r="P35">
        <f>SUMIFS('Fuel and Energy_rail only'!M:M,'Fuel and Energy_rail only'!C:C,C35)</f>
        <v>0</v>
      </c>
      <c r="Q35">
        <f>SUMIFS('Fuel and Energy_rail only'!U:U,'Fuel and Energy_rail only'!C:C,C35)</f>
        <v>0</v>
      </c>
      <c r="R35">
        <f>SUMIFS('Fuel and Energy_rail only'!Y:Y,'Fuel and Energy_rail only'!C:C,C35)</f>
        <v>0</v>
      </c>
      <c r="S35">
        <f t="shared" si="5"/>
        <v>0</v>
      </c>
      <c r="T35">
        <f t="shared" si="6"/>
        <v>0</v>
      </c>
      <c r="U35" s="74">
        <f t="shared" si="7"/>
        <v>0</v>
      </c>
      <c r="V35" s="74">
        <f t="shared" si="7"/>
        <v>0</v>
      </c>
    </row>
    <row r="36" spans="2:22">
      <c r="B36" s="71" t="s">
        <v>425</v>
      </c>
      <c r="C36" s="71" t="s">
        <v>426</v>
      </c>
      <c r="D36" t="s">
        <v>427</v>
      </c>
      <c r="E36">
        <f>SUMIFS('Annual Service Data_rail only'!N:N,'Annual Service Data_rail only'!C:C,C36)</f>
        <v>0</v>
      </c>
      <c r="F36" s="68">
        <f>SUMIFS('Annual Service Data_rail only'!X:X,'Annual Service Data_rail only'!C:C,C36)</f>
        <v>0</v>
      </c>
      <c r="G36" s="68">
        <f>SUMIFS('Annual Service Data_rail only'!AT:AT,'Annual Service Data_rail only'!C:C,C36)</f>
        <v>0</v>
      </c>
      <c r="H36">
        <f>SUMIFS('Fuel and Energy_rail only'!AD:AD,'Fuel and Energy_rail only'!C:C,C36)</f>
        <v>0</v>
      </c>
      <c r="I36">
        <f>SUMIFS('Fuel and Energy_rail only'!AN:AN,'Fuel and Energy_rail only'!C:C,C36)</f>
        <v>0</v>
      </c>
      <c r="J36" s="62">
        <f t="shared" si="2"/>
        <v>0</v>
      </c>
      <c r="K36" s="62">
        <f t="shared" si="2"/>
        <v>0</v>
      </c>
      <c r="L36" s="72">
        <f t="shared" si="0"/>
        <v>0</v>
      </c>
      <c r="M36" s="73">
        <f t="shared" si="1"/>
        <v>0</v>
      </c>
      <c r="N36" s="73">
        <f t="shared" si="3"/>
        <v>0</v>
      </c>
      <c r="O36" s="73">
        <f t="shared" si="4"/>
        <v>0</v>
      </c>
      <c r="P36">
        <f>SUMIFS('Fuel and Energy_rail only'!M:M,'Fuel and Energy_rail only'!C:C,C36)</f>
        <v>0</v>
      </c>
      <c r="Q36">
        <f>SUMIFS('Fuel and Energy_rail only'!U:U,'Fuel and Energy_rail only'!C:C,C36)</f>
        <v>0</v>
      </c>
      <c r="R36">
        <f>SUMIFS('Fuel and Energy_rail only'!Y:Y,'Fuel and Energy_rail only'!C:C,C36)</f>
        <v>0</v>
      </c>
      <c r="S36">
        <f t="shared" si="5"/>
        <v>0</v>
      </c>
      <c r="T36">
        <f t="shared" si="6"/>
        <v>0</v>
      </c>
      <c r="U36" s="74">
        <f t="shared" si="7"/>
        <v>0</v>
      </c>
      <c r="V36" s="74">
        <f t="shared" si="7"/>
        <v>0</v>
      </c>
    </row>
    <row r="37" spans="2:22">
      <c r="B37" s="71" t="s">
        <v>428</v>
      </c>
      <c r="C37" s="71" t="s">
        <v>429</v>
      </c>
      <c r="D37" t="s">
        <v>430</v>
      </c>
      <c r="E37">
        <f>SUMIFS('Annual Service Data_rail only'!N:N,'Annual Service Data_rail only'!C:C,C37)</f>
        <v>0</v>
      </c>
      <c r="F37" s="68">
        <f>SUMIFS('Annual Service Data_rail only'!X:X,'Annual Service Data_rail only'!C:C,C37)</f>
        <v>0</v>
      </c>
      <c r="G37" s="68">
        <f>SUMIFS('Annual Service Data_rail only'!AT:AT,'Annual Service Data_rail only'!C:C,C37)</f>
        <v>0</v>
      </c>
      <c r="H37">
        <f>SUMIFS('Fuel and Energy_rail only'!AD:AD,'Fuel and Energy_rail only'!C:C,C37)</f>
        <v>0</v>
      </c>
      <c r="I37">
        <f>SUMIFS('Fuel and Energy_rail only'!AN:AN,'Fuel and Energy_rail only'!C:C,C37)</f>
        <v>0</v>
      </c>
      <c r="J37" s="62">
        <f t="shared" si="2"/>
        <v>0</v>
      </c>
      <c r="K37" s="62">
        <f t="shared" si="2"/>
        <v>0</v>
      </c>
      <c r="L37" s="72">
        <f t="shared" si="0"/>
        <v>0</v>
      </c>
      <c r="M37" s="73">
        <f t="shared" si="1"/>
        <v>0</v>
      </c>
      <c r="N37" s="73">
        <f t="shared" si="3"/>
        <v>0</v>
      </c>
      <c r="O37" s="73">
        <f t="shared" si="4"/>
        <v>0</v>
      </c>
      <c r="P37">
        <f>SUMIFS('Fuel and Energy_rail only'!M:M,'Fuel and Energy_rail only'!C:C,C37)</f>
        <v>0</v>
      </c>
      <c r="Q37">
        <f>SUMIFS('Fuel and Energy_rail only'!U:U,'Fuel and Energy_rail only'!C:C,C37)</f>
        <v>0</v>
      </c>
      <c r="R37">
        <f>SUMIFS('Fuel and Energy_rail only'!Y:Y,'Fuel and Energy_rail only'!C:C,C37)</f>
        <v>0</v>
      </c>
      <c r="S37">
        <f t="shared" si="5"/>
        <v>0</v>
      </c>
      <c r="T37">
        <f t="shared" si="6"/>
        <v>0</v>
      </c>
      <c r="U37" s="74">
        <f t="shared" si="7"/>
        <v>0</v>
      </c>
      <c r="V37" s="74">
        <f t="shared" si="7"/>
        <v>0</v>
      </c>
    </row>
    <row r="38" spans="2:22">
      <c r="B38" s="71" t="s">
        <v>431</v>
      </c>
      <c r="C38" s="71" t="s">
        <v>432</v>
      </c>
      <c r="D38" t="s">
        <v>433</v>
      </c>
      <c r="E38">
        <f>SUMIFS('Annual Service Data_rail only'!N:N,'Annual Service Data_rail only'!C:C,C38)</f>
        <v>0</v>
      </c>
      <c r="F38" s="68">
        <f>SUMIFS('Annual Service Data_rail only'!X:X,'Annual Service Data_rail only'!C:C,C38)</f>
        <v>0</v>
      </c>
      <c r="G38" s="68">
        <f>SUMIFS('Annual Service Data_rail only'!AT:AT,'Annual Service Data_rail only'!C:C,C38)</f>
        <v>0</v>
      </c>
      <c r="H38">
        <f>SUMIFS('Fuel and Energy_rail only'!AD:AD,'Fuel and Energy_rail only'!C:C,C38)</f>
        <v>0</v>
      </c>
      <c r="I38">
        <f>SUMIFS('Fuel and Energy_rail only'!AN:AN,'Fuel and Energy_rail only'!C:C,C38)</f>
        <v>0</v>
      </c>
      <c r="J38" s="62">
        <f t="shared" si="2"/>
        <v>0</v>
      </c>
      <c r="K38" s="62">
        <f t="shared" si="2"/>
        <v>0</v>
      </c>
      <c r="L38" s="72">
        <f t="shared" si="0"/>
        <v>0</v>
      </c>
      <c r="M38" s="73">
        <f t="shared" si="1"/>
        <v>0</v>
      </c>
      <c r="N38" s="73">
        <f t="shared" si="3"/>
        <v>0</v>
      </c>
      <c r="O38" s="73">
        <f t="shared" si="4"/>
        <v>0</v>
      </c>
      <c r="P38">
        <f>SUMIFS('Fuel and Energy_rail only'!M:M,'Fuel and Energy_rail only'!C:C,C38)</f>
        <v>0</v>
      </c>
      <c r="Q38">
        <f>SUMIFS('Fuel and Energy_rail only'!U:U,'Fuel and Energy_rail only'!C:C,C38)</f>
        <v>0</v>
      </c>
      <c r="R38">
        <f>SUMIFS('Fuel and Energy_rail only'!Y:Y,'Fuel and Energy_rail only'!C:C,C38)</f>
        <v>0</v>
      </c>
      <c r="S38">
        <f t="shared" si="5"/>
        <v>0</v>
      </c>
      <c r="T38">
        <f t="shared" si="6"/>
        <v>0</v>
      </c>
      <c r="U38" s="74">
        <f t="shared" si="7"/>
        <v>0</v>
      </c>
      <c r="V38" s="74">
        <f t="shared" si="7"/>
        <v>0</v>
      </c>
    </row>
    <row r="39" spans="2:22">
      <c r="B39" s="71" t="s">
        <v>434</v>
      </c>
      <c r="C39" s="71" t="s">
        <v>164</v>
      </c>
      <c r="D39" t="s">
        <v>435</v>
      </c>
      <c r="E39">
        <f>SUMIFS('Annual Service Data_rail only'!N:N,'Annual Service Data_rail only'!C:C,C39)</f>
        <v>184</v>
      </c>
      <c r="F39" s="68">
        <f>SUMIFS('Annual Service Data_rail only'!X:X,'Annual Service Data_rail only'!C:C,C39)</f>
        <v>77331686</v>
      </c>
      <c r="G39" s="68">
        <f>SUMIFS('Annual Service Data_rail only'!AT:AT,'Annual Service Data_rail only'!C:C,C39)</f>
        <v>1699013683</v>
      </c>
      <c r="H39">
        <f>SUMIFS('Fuel and Energy_rail only'!AD:AD,'Fuel and Energy_rail only'!C:C,C39)</f>
        <v>2485889</v>
      </c>
      <c r="I39">
        <f>SUMIFS('Fuel and Energy_rail only'!AN:AN,'Fuel and Energy_rail only'!C:C,C39)</f>
        <v>28864827</v>
      </c>
      <c r="J39" s="62">
        <f t="shared" si="2"/>
        <v>7.9292893980475593E-2</v>
      </c>
      <c r="K39" s="62">
        <f t="shared" si="2"/>
        <v>0.92070710601952443</v>
      </c>
      <c r="L39" s="72">
        <f t="shared" si="0"/>
        <v>21.97047253049675</v>
      </c>
      <c r="M39" s="73">
        <f t="shared" si="1"/>
        <v>420280.90217391303</v>
      </c>
      <c r="N39" s="73">
        <f t="shared" si="3"/>
        <v>14.589892492407509</v>
      </c>
      <c r="O39" s="73">
        <f t="shared" si="4"/>
        <v>169.4101075075925</v>
      </c>
      <c r="P39">
        <f>SUMIFS('Fuel and Energy_rail only'!M:M,'Fuel and Energy_rail only'!C:C,C39)</f>
        <v>13166567</v>
      </c>
      <c r="Q39">
        <f>SUMIFS('Fuel and Energy_rail only'!U:U,'Fuel and Energy_rail only'!C:C,C39)</f>
        <v>0</v>
      </c>
      <c r="R39">
        <f>SUMIFS('Fuel and Energy_rail only'!Y:Y,'Fuel and Energy_rail only'!C:C,C39)</f>
        <v>519279337</v>
      </c>
      <c r="S39">
        <f t="shared" si="5"/>
        <v>1826202842900</v>
      </c>
      <c r="T39">
        <f t="shared" si="6"/>
        <v>1771853796951.1799</v>
      </c>
      <c r="U39" s="74">
        <f t="shared" si="7"/>
        <v>7.3770398705306041E-5</v>
      </c>
      <c r="V39" s="74">
        <f t="shared" si="7"/>
        <v>8.8285725032966977E-4</v>
      </c>
    </row>
    <row r="40" spans="2:22">
      <c r="B40" s="71" t="s">
        <v>436</v>
      </c>
      <c r="C40" s="71" t="s">
        <v>269</v>
      </c>
      <c r="D40" t="s">
        <v>437</v>
      </c>
      <c r="E40">
        <f>SUMIFS('Annual Service Data_rail only'!N:N,'Annual Service Data_rail only'!C:C,C40)</f>
        <v>7</v>
      </c>
      <c r="F40" s="68">
        <f>SUMIFS('Annual Service Data_rail only'!X:X,'Annual Service Data_rail only'!C:C,C40)</f>
        <v>965030</v>
      </c>
      <c r="G40" s="68">
        <f>SUMIFS('Annual Service Data_rail only'!AT:AT,'Annual Service Data_rail only'!C:C,C40)</f>
        <v>24052625</v>
      </c>
      <c r="H40">
        <f>SUMIFS('Fuel and Energy_rail only'!AD:AD,'Fuel and Energy_rail only'!C:C,C40)</f>
        <v>350453</v>
      </c>
      <c r="I40">
        <f>SUMIFS('Fuel and Energy_rail only'!AN:AN,'Fuel and Energy_rail only'!C:C,C40)</f>
        <v>0</v>
      </c>
      <c r="J40" s="62">
        <f t="shared" si="2"/>
        <v>1</v>
      </c>
      <c r="K40" s="62">
        <f t="shared" si="2"/>
        <v>0</v>
      </c>
      <c r="L40" s="72">
        <f t="shared" si="0"/>
        <v>24.924225153622167</v>
      </c>
      <c r="M40" s="73">
        <f t="shared" si="1"/>
        <v>137861.42857142858</v>
      </c>
      <c r="N40" s="73">
        <f t="shared" si="3"/>
        <v>7</v>
      </c>
      <c r="O40" s="73">
        <f t="shared" si="4"/>
        <v>0</v>
      </c>
      <c r="P40">
        <f>SUMIFS('Fuel and Energy_rail only'!M:M,'Fuel and Energy_rail only'!C:C,C40)</f>
        <v>0</v>
      </c>
      <c r="Q40">
        <f>SUMIFS('Fuel and Energy_rail only'!U:U,'Fuel and Energy_rail only'!C:C,C40)</f>
        <v>792273</v>
      </c>
      <c r="R40">
        <f>SUMIFS('Fuel and Energy_rail only'!Y:Y,'Fuel and Energy_rail only'!C:C,C40)</f>
        <v>0</v>
      </c>
      <c r="S40">
        <f t="shared" si="5"/>
        <v>109888265100</v>
      </c>
      <c r="T40">
        <f t="shared" si="6"/>
        <v>0</v>
      </c>
      <c r="U40" s="74">
        <f t="shared" si="7"/>
        <v>2.1888256201070918E-4</v>
      </c>
      <c r="V40" s="74">
        <f t="shared" si="7"/>
        <v>0</v>
      </c>
    </row>
    <row r="41" spans="2:22">
      <c r="B41" s="71" t="s">
        <v>203</v>
      </c>
      <c r="C41" s="71" t="s">
        <v>155</v>
      </c>
      <c r="D41" t="s">
        <v>438</v>
      </c>
      <c r="E41">
        <f>SUMIFS('Annual Service Data_rail only'!N:N,'Annual Service Data_rail only'!C:C,C41)</f>
        <v>787</v>
      </c>
      <c r="F41" s="68">
        <f>SUMIFS('Annual Service Data_rail only'!X:X,'Annual Service Data_rail only'!C:C,C41)</f>
        <v>459797967</v>
      </c>
      <c r="G41" s="68">
        <f>SUMIFS('Annual Service Data_rail only'!AT:AT,'Annual Service Data_rail only'!C:C,C41)</f>
        <v>6605805362</v>
      </c>
      <c r="H41">
        <f>SUMIFS('Fuel and Energy_rail only'!AD:AD,'Fuel and Energy_rail only'!C:C,C41)</f>
        <v>757533</v>
      </c>
      <c r="I41">
        <f>SUMIFS('Fuel and Energy_rail only'!AN:AN,'Fuel and Energy_rail only'!C:C,C41)</f>
        <v>433746106</v>
      </c>
      <c r="J41" s="62">
        <f t="shared" si="2"/>
        <v>1.7434445468476271E-3</v>
      </c>
      <c r="K41" s="62">
        <f t="shared" si="2"/>
        <v>0.99825655545315239</v>
      </c>
      <c r="L41" s="72">
        <f t="shared" ref="L41:L59" si="8">IFERROR(G41/F41,0)</f>
        <v>14.366756349751325</v>
      </c>
      <c r="M41" s="73">
        <f t="shared" ref="M41:M59" si="9">IFERROR(F41/E41,0)</f>
        <v>584241.3811944091</v>
      </c>
      <c r="N41" s="73">
        <f t="shared" si="3"/>
        <v>1.3720908583690825</v>
      </c>
      <c r="O41" s="73">
        <f t="shared" si="4"/>
        <v>785.62790914163088</v>
      </c>
      <c r="P41">
        <f>SUMIFS('Fuel and Energy_rail only'!M:M,'Fuel and Energy_rail only'!C:C,C41)</f>
        <v>12731425</v>
      </c>
      <c r="Q41">
        <f>SUMIFS('Fuel and Energy_rail only'!U:U,'Fuel and Energy_rail only'!C:C,C41)</f>
        <v>0</v>
      </c>
      <c r="R41">
        <f>SUMIFS('Fuel and Energy_rail only'!Y:Y,'Fuel and Energy_rail only'!C:C,C41)</f>
        <v>2470851025</v>
      </c>
      <c r="S41">
        <f t="shared" si="5"/>
        <v>1765848647500</v>
      </c>
      <c r="T41">
        <f t="shared" si="6"/>
        <v>8430889616443.5</v>
      </c>
      <c r="U41" s="74">
        <f t="shared" si="7"/>
        <v>6.5219945957546822E-6</v>
      </c>
      <c r="V41" s="74">
        <f t="shared" si="7"/>
        <v>7.8215808848957843E-4</v>
      </c>
    </row>
    <row r="42" spans="2:22">
      <c r="B42" s="71" t="s">
        <v>439</v>
      </c>
      <c r="C42" s="71" t="s">
        <v>242</v>
      </c>
      <c r="D42" t="s">
        <v>440</v>
      </c>
      <c r="E42">
        <f>SUMIFS('Annual Service Data_rail only'!N:N,'Annual Service Data_rail only'!C:C,C42)</f>
        <v>16</v>
      </c>
      <c r="F42" s="68">
        <f>SUMIFS('Annual Service Data_rail only'!X:X,'Annual Service Data_rail only'!C:C,C42)</f>
        <v>2267166</v>
      </c>
      <c r="G42" s="68">
        <f>SUMIFS('Annual Service Data_rail only'!AT:AT,'Annual Service Data_rail only'!C:C,C42)</f>
        <v>37638865</v>
      </c>
      <c r="H42">
        <f>SUMIFS('Fuel and Energy_rail only'!AD:AD,'Fuel and Energy_rail only'!C:C,C42)</f>
        <v>0</v>
      </c>
      <c r="I42">
        <f>SUMIFS('Fuel and Energy_rail only'!AN:AN,'Fuel and Energy_rail only'!C:C,C42)</f>
        <v>2267804</v>
      </c>
      <c r="J42" s="62">
        <f t="shared" si="2"/>
        <v>0</v>
      </c>
      <c r="K42" s="62">
        <f t="shared" si="2"/>
        <v>1</v>
      </c>
      <c r="L42" s="72">
        <f t="shared" si="8"/>
        <v>16.601724355428761</v>
      </c>
      <c r="M42" s="73">
        <f t="shared" si="9"/>
        <v>141697.875</v>
      </c>
      <c r="N42" s="73">
        <f t="shared" si="3"/>
        <v>0</v>
      </c>
      <c r="O42" s="73">
        <f t="shared" si="4"/>
        <v>16</v>
      </c>
      <c r="P42">
        <f>SUMIFS('Fuel and Energy_rail only'!M:M,'Fuel and Energy_rail only'!C:C,C42)</f>
        <v>0</v>
      </c>
      <c r="Q42">
        <f>SUMIFS('Fuel and Energy_rail only'!U:U,'Fuel and Energy_rail only'!C:C,C42)</f>
        <v>0</v>
      </c>
      <c r="R42">
        <f>SUMIFS('Fuel and Energy_rail only'!Y:Y,'Fuel and Energy_rail only'!C:C,C42)</f>
        <v>16786660</v>
      </c>
      <c r="S42">
        <f t="shared" si="5"/>
        <v>0</v>
      </c>
      <c r="T42">
        <f t="shared" si="6"/>
        <v>57278434052.400002</v>
      </c>
      <c r="U42" s="74">
        <f t="shared" si="7"/>
        <v>0</v>
      </c>
      <c r="V42" s="74">
        <f t="shared" si="7"/>
        <v>6.5712105476848151E-4</v>
      </c>
    </row>
    <row r="43" spans="2:22">
      <c r="B43" s="71" t="s">
        <v>441</v>
      </c>
      <c r="C43" s="71" t="s">
        <v>442</v>
      </c>
      <c r="D43" t="s">
        <v>443</v>
      </c>
      <c r="E43">
        <f>SUMIFS('Annual Service Data_rail only'!N:N,'Annual Service Data_rail only'!C:C,C43)</f>
        <v>0</v>
      </c>
      <c r="F43" s="68">
        <f>SUMIFS('Annual Service Data_rail only'!X:X,'Annual Service Data_rail only'!C:C,C43)</f>
        <v>0</v>
      </c>
      <c r="G43" s="68">
        <f>SUMIFS('Annual Service Data_rail only'!AT:AT,'Annual Service Data_rail only'!C:C,C43)</f>
        <v>0</v>
      </c>
      <c r="H43">
        <f>SUMIFS('Fuel and Energy_rail only'!AD:AD,'Fuel and Energy_rail only'!C:C,C43)</f>
        <v>0</v>
      </c>
      <c r="I43">
        <f>SUMIFS('Fuel and Energy_rail only'!AN:AN,'Fuel and Energy_rail only'!C:C,C43)</f>
        <v>0</v>
      </c>
      <c r="J43" s="62">
        <f t="shared" si="2"/>
        <v>0</v>
      </c>
      <c r="K43" s="62">
        <f t="shared" si="2"/>
        <v>0</v>
      </c>
      <c r="L43" s="72">
        <f t="shared" si="8"/>
        <v>0</v>
      </c>
      <c r="M43" s="73">
        <f t="shared" si="9"/>
        <v>0</v>
      </c>
      <c r="N43" s="73">
        <f t="shared" si="3"/>
        <v>0</v>
      </c>
      <c r="O43" s="73">
        <f t="shared" si="4"/>
        <v>0</v>
      </c>
      <c r="P43">
        <f>SUMIFS('Fuel and Energy_rail only'!M:M,'Fuel and Energy_rail only'!C:C,C43)</f>
        <v>0</v>
      </c>
      <c r="Q43">
        <f>SUMIFS('Fuel and Energy_rail only'!U:U,'Fuel and Energy_rail only'!C:C,C43)</f>
        <v>0</v>
      </c>
      <c r="R43">
        <f>SUMIFS('Fuel and Energy_rail only'!Y:Y,'Fuel and Energy_rail only'!C:C,C43)</f>
        <v>0</v>
      </c>
      <c r="S43">
        <f t="shared" si="5"/>
        <v>0</v>
      </c>
      <c r="T43">
        <f t="shared" si="6"/>
        <v>0</v>
      </c>
      <c r="U43" s="74">
        <f t="shared" si="7"/>
        <v>0</v>
      </c>
      <c r="V43" s="74">
        <f t="shared" si="7"/>
        <v>0</v>
      </c>
    </row>
    <row r="44" spans="2:22">
      <c r="B44" s="71" t="s">
        <v>444</v>
      </c>
      <c r="C44" s="71" t="s">
        <v>236</v>
      </c>
      <c r="D44" t="s">
        <v>445</v>
      </c>
      <c r="E44">
        <f>SUMIFS('Annual Service Data_rail only'!N:N,'Annual Service Data_rail only'!C:C,C44)</f>
        <v>14</v>
      </c>
      <c r="F44" s="68">
        <f>SUMIFS('Annual Service Data_rail only'!X:X,'Annual Service Data_rail only'!C:C,C44)</f>
        <v>3017495</v>
      </c>
      <c r="G44" s="68">
        <f>SUMIFS('Annual Service Data_rail only'!AT:AT,'Annual Service Data_rail only'!C:C,C44)</f>
        <v>20427250</v>
      </c>
      <c r="H44">
        <f>SUMIFS('Fuel and Energy_rail only'!AD:AD,'Fuel and Energy_rail only'!C:C,C44)</f>
        <v>0</v>
      </c>
      <c r="I44">
        <f>SUMIFS('Fuel and Energy_rail only'!AN:AN,'Fuel and Energy_rail only'!C:C,C44)</f>
        <v>2921572</v>
      </c>
      <c r="J44" s="62">
        <f t="shared" si="2"/>
        <v>0</v>
      </c>
      <c r="K44" s="62">
        <f t="shared" si="2"/>
        <v>1</v>
      </c>
      <c r="L44" s="72">
        <f t="shared" si="8"/>
        <v>6.769605252038529</v>
      </c>
      <c r="M44" s="73">
        <f t="shared" si="9"/>
        <v>215535.35714285713</v>
      </c>
      <c r="N44" s="73">
        <f t="shared" si="3"/>
        <v>0</v>
      </c>
      <c r="O44" s="73">
        <f t="shared" si="4"/>
        <v>14</v>
      </c>
      <c r="P44">
        <f>SUMIFS('Fuel and Energy_rail only'!M:M,'Fuel and Energy_rail only'!C:C,C44)</f>
        <v>0</v>
      </c>
      <c r="Q44">
        <f>SUMIFS('Fuel and Energy_rail only'!U:U,'Fuel and Energy_rail only'!C:C,C44)</f>
        <v>0</v>
      </c>
      <c r="R44">
        <f>SUMIFS('Fuel and Energy_rail only'!Y:Y,'Fuel and Energy_rail only'!C:C,C44)</f>
        <v>32090136</v>
      </c>
      <c r="S44">
        <f t="shared" si="5"/>
        <v>0</v>
      </c>
      <c r="T44">
        <f t="shared" si="6"/>
        <v>109496036651.03999</v>
      </c>
      <c r="U44" s="74">
        <f t="shared" si="7"/>
        <v>0</v>
      </c>
      <c r="V44" s="74">
        <f t="shared" si="7"/>
        <v>1.8655698073438882E-4</v>
      </c>
    </row>
    <row r="45" spans="2:22">
      <c r="B45" s="71" t="s">
        <v>446</v>
      </c>
      <c r="C45" s="71" t="s">
        <v>447</v>
      </c>
      <c r="D45" t="s">
        <v>448</v>
      </c>
      <c r="E45">
        <f>SUMIFS('Annual Service Data_rail only'!N:N,'Annual Service Data_rail only'!C:C,C45)</f>
        <v>0</v>
      </c>
      <c r="F45" s="68">
        <f>SUMIFS('Annual Service Data_rail only'!X:X,'Annual Service Data_rail only'!C:C,C45)</f>
        <v>0</v>
      </c>
      <c r="G45" s="68">
        <f>SUMIFS('Annual Service Data_rail only'!AT:AT,'Annual Service Data_rail only'!C:C,C45)</f>
        <v>0</v>
      </c>
      <c r="H45">
        <f>SUMIFS('Fuel and Energy_rail only'!AD:AD,'Fuel and Energy_rail only'!C:C,C45)</f>
        <v>0</v>
      </c>
      <c r="I45">
        <f>SUMIFS('Fuel and Energy_rail only'!AN:AN,'Fuel and Energy_rail only'!C:C,C45)</f>
        <v>0</v>
      </c>
      <c r="J45" s="62">
        <f t="shared" si="2"/>
        <v>0</v>
      </c>
      <c r="K45" s="62">
        <f t="shared" si="2"/>
        <v>0</v>
      </c>
      <c r="L45" s="72">
        <f t="shared" si="8"/>
        <v>0</v>
      </c>
      <c r="M45" s="73">
        <f t="shared" si="9"/>
        <v>0</v>
      </c>
      <c r="N45" s="73">
        <f t="shared" si="3"/>
        <v>0</v>
      </c>
      <c r="O45" s="73">
        <f t="shared" si="4"/>
        <v>0</v>
      </c>
      <c r="P45">
        <f>SUMIFS('Fuel and Energy_rail only'!M:M,'Fuel and Energy_rail only'!C:C,C45)</f>
        <v>0</v>
      </c>
      <c r="Q45">
        <f>SUMIFS('Fuel and Energy_rail only'!U:U,'Fuel and Energy_rail only'!C:C,C45)</f>
        <v>0</v>
      </c>
      <c r="R45">
        <f>SUMIFS('Fuel and Energy_rail only'!Y:Y,'Fuel and Energy_rail only'!C:C,C45)</f>
        <v>0</v>
      </c>
      <c r="S45">
        <f t="shared" si="5"/>
        <v>0</v>
      </c>
      <c r="T45">
        <f t="shared" si="6"/>
        <v>0</v>
      </c>
      <c r="U45" s="74">
        <f t="shared" si="7"/>
        <v>0</v>
      </c>
      <c r="V45" s="74">
        <f t="shared" si="7"/>
        <v>0</v>
      </c>
    </row>
    <row r="46" spans="2:22">
      <c r="B46" s="71" t="s">
        <v>449</v>
      </c>
      <c r="C46" s="71" t="s">
        <v>216</v>
      </c>
      <c r="D46" t="s">
        <v>450</v>
      </c>
      <c r="E46">
        <f>SUMIFS('Annual Service Data_rail only'!N:N,'Annual Service Data_rail only'!C:C,C46)</f>
        <v>55</v>
      </c>
      <c r="F46" s="68">
        <f>SUMIFS('Annual Service Data_rail only'!X:X,'Annual Service Data_rail only'!C:C,C46)</f>
        <v>8981104</v>
      </c>
      <c r="G46" s="68">
        <f>SUMIFS('Annual Service Data_rail only'!AT:AT,'Annual Service Data_rail only'!C:C,C46)</f>
        <v>159458488</v>
      </c>
      <c r="H46">
        <f>SUMIFS('Fuel and Energy_rail only'!AD:AD,'Fuel and Energy_rail only'!C:C,C46)</f>
        <v>0</v>
      </c>
      <c r="I46">
        <f>SUMIFS('Fuel and Energy_rail only'!AN:AN,'Fuel and Energy_rail only'!C:C,C46)</f>
        <v>9045741</v>
      </c>
      <c r="J46" s="62">
        <f t="shared" si="2"/>
        <v>0</v>
      </c>
      <c r="K46" s="62">
        <f t="shared" si="2"/>
        <v>1</v>
      </c>
      <c r="L46" s="72">
        <f t="shared" si="8"/>
        <v>17.754887149731257</v>
      </c>
      <c r="M46" s="73">
        <f t="shared" si="9"/>
        <v>163292.79999999999</v>
      </c>
      <c r="N46" s="73">
        <f t="shared" si="3"/>
        <v>0</v>
      </c>
      <c r="O46" s="73">
        <f t="shared" si="4"/>
        <v>55</v>
      </c>
      <c r="P46">
        <f>SUMIFS('Fuel and Energy_rail only'!M:M,'Fuel and Energy_rail only'!C:C,C46)</f>
        <v>0</v>
      </c>
      <c r="Q46">
        <f>SUMIFS('Fuel and Energy_rail only'!U:U,'Fuel and Energy_rail only'!C:C,C46)</f>
        <v>0</v>
      </c>
      <c r="R46">
        <f>SUMIFS('Fuel and Energy_rail only'!Y:Y,'Fuel and Energy_rail only'!C:C,C46)</f>
        <v>54389715</v>
      </c>
      <c r="S46">
        <f t="shared" si="5"/>
        <v>0</v>
      </c>
      <c r="T46">
        <f t="shared" si="6"/>
        <v>185585322140.10001</v>
      </c>
      <c r="U46" s="74">
        <f t="shared" si="7"/>
        <v>0</v>
      </c>
      <c r="V46" s="74">
        <f t="shared" si="7"/>
        <v>8.5921928610077983E-4</v>
      </c>
    </row>
    <row r="47" spans="2:22">
      <c r="B47" s="71" t="s">
        <v>451</v>
      </c>
      <c r="C47" s="71" t="s">
        <v>187</v>
      </c>
      <c r="D47" t="s">
        <v>452</v>
      </c>
      <c r="E47">
        <f>SUMIFS('Annual Service Data_rail only'!N:N,'Annual Service Data_rail only'!C:C,C47)</f>
        <v>176</v>
      </c>
      <c r="F47" s="68">
        <f>SUMIFS('Annual Service Data_rail only'!X:X,'Annual Service Data_rail only'!C:C,C47)</f>
        <v>37294660</v>
      </c>
      <c r="G47" s="68">
        <f>SUMIFS('Annual Service Data_rail only'!AT:AT,'Annual Service Data_rail only'!C:C,C47)</f>
        <v>725134241</v>
      </c>
      <c r="H47">
        <f>SUMIFS('Fuel and Energy_rail only'!AD:AD,'Fuel and Energy_rail only'!C:C,C47)</f>
        <v>0</v>
      </c>
      <c r="I47">
        <f>SUMIFS('Fuel and Energy_rail only'!AN:AN,'Fuel and Energy_rail only'!C:C,C47)</f>
        <v>31752653</v>
      </c>
      <c r="J47" s="62">
        <f t="shared" si="2"/>
        <v>0</v>
      </c>
      <c r="K47" s="62">
        <f t="shared" si="2"/>
        <v>1</v>
      </c>
      <c r="L47" s="72">
        <f t="shared" si="8"/>
        <v>19.443379856526377</v>
      </c>
      <c r="M47" s="73">
        <f t="shared" si="9"/>
        <v>211901.47727272726</v>
      </c>
      <c r="N47" s="73">
        <f t="shared" si="3"/>
        <v>0</v>
      </c>
      <c r="O47" s="73">
        <f t="shared" si="4"/>
        <v>176</v>
      </c>
      <c r="P47">
        <f>SUMIFS('Fuel and Energy_rail only'!M:M,'Fuel and Energy_rail only'!C:C,C47)</f>
        <v>0</v>
      </c>
      <c r="Q47">
        <f>SUMIFS('Fuel and Energy_rail only'!U:U,'Fuel and Energy_rail only'!C:C,C47)</f>
        <v>0</v>
      </c>
      <c r="R47">
        <f>SUMIFS('Fuel and Energy_rail only'!Y:Y,'Fuel and Energy_rail only'!C:C,C47)</f>
        <v>373898381</v>
      </c>
      <c r="S47">
        <f t="shared" si="5"/>
        <v>0</v>
      </c>
      <c r="T47">
        <f t="shared" si="6"/>
        <v>1275793621745.3398</v>
      </c>
      <c r="U47" s="74">
        <f t="shared" si="7"/>
        <v>0</v>
      </c>
      <c r="V47" s="74">
        <f t="shared" si="7"/>
        <v>5.6837895145453508E-4</v>
      </c>
    </row>
    <row r="48" spans="2:22">
      <c r="B48" s="71" t="s">
        <v>453</v>
      </c>
      <c r="C48" s="71" t="s">
        <v>454</v>
      </c>
      <c r="D48" t="s">
        <v>455</v>
      </c>
      <c r="E48">
        <f>SUMIFS('Annual Service Data_rail only'!N:N,'Annual Service Data_rail only'!C:C,C48)</f>
        <v>0</v>
      </c>
      <c r="F48" s="68">
        <f>SUMIFS('Annual Service Data_rail only'!X:X,'Annual Service Data_rail only'!C:C,C48)</f>
        <v>0</v>
      </c>
      <c r="G48" s="68">
        <f>SUMIFS('Annual Service Data_rail only'!AT:AT,'Annual Service Data_rail only'!C:C,C48)</f>
        <v>0</v>
      </c>
      <c r="H48">
        <f>SUMIFS('Fuel and Energy_rail only'!AD:AD,'Fuel and Energy_rail only'!C:C,C48)</f>
        <v>0</v>
      </c>
      <c r="I48">
        <f>SUMIFS('Fuel and Energy_rail only'!AN:AN,'Fuel and Energy_rail only'!C:C,C48)</f>
        <v>0</v>
      </c>
      <c r="J48" s="62">
        <f t="shared" si="2"/>
        <v>0</v>
      </c>
      <c r="K48" s="62">
        <f t="shared" si="2"/>
        <v>0</v>
      </c>
      <c r="L48" s="72">
        <f t="shared" si="8"/>
        <v>0</v>
      </c>
      <c r="M48" s="73">
        <f t="shared" si="9"/>
        <v>0</v>
      </c>
      <c r="N48" s="73">
        <f t="shared" si="3"/>
        <v>0</v>
      </c>
      <c r="O48" s="73">
        <f t="shared" si="4"/>
        <v>0</v>
      </c>
      <c r="P48">
        <f>SUMIFS('Fuel and Energy_rail only'!M:M,'Fuel and Energy_rail only'!C:C,C48)</f>
        <v>0</v>
      </c>
      <c r="Q48">
        <f>SUMIFS('Fuel and Energy_rail only'!U:U,'Fuel and Energy_rail only'!C:C,C48)</f>
        <v>0</v>
      </c>
      <c r="R48">
        <f>SUMIFS('Fuel and Energy_rail only'!Y:Y,'Fuel and Energy_rail only'!C:C,C48)</f>
        <v>0</v>
      </c>
      <c r="S48">
        <f t="shared" si="5"/>
        <v>0</v>
      </c>
      <c r="T48">
        <f t="shared" si="6"/>
        <v>0</v>
      </c>
      <c r="U48" s="74">
        <f t="shared" si="7"/>
        <v>0</v>
      </c>
      <c r="V48" s="74">
        <f t="shared" si="7"/>
        <v>0</v>
      </c>
    </row>
    <row r="49" spans="2:24">
      <c r="B49" s="71" t="s">
        <v>456</v>
      </c>
      <c r="C49" s="71" t="s">
        <v>457</v>
      </c>
      <c r="D49" t="s">
        <v>458</v>
      </c>
      <c r="E49">
        <f>SUMIFS('Annual Service Data_rail only'!N:N,'Annual Service Data_rail only'!C:C,C49)</f>
        <v>0</v>
      </c>
      <c r="F49" s="68">
        <f>SUMIFS('Annual Service Data_rail only'!X:X,'Annual Service Data_rail only'!C:C,C49)</f>
        <v>0</v>
      </c>
      <c r="G49" s="68">
        <f>SUMIFS('Annual Service Data_rail only'!AT:AT,'Annual Service Data_rail only'!C:C,C49)</f>
        <v>0</v>
      </c>
      <c r="H49">
        <f>SUMIFS('Fuel and Energy_rail only'!AD:AD,'Fuel and Energy_rail only'!C:C,C49)</f>
        <v>0</v>
      </c>
      <c r="I49">
        <f>SUMIFS('Fuel and Energy_rail only'!AN:AN,'Fuel and Energy_rail only'!C:C,C49)</f>
        <v>0</v>
      </c>
      <c r="J49" s="62">
        <f t="shared" si="2"/>
        <v>0</v>
      </c>
      <c r="K49" s="62">
        <f t="shared" si="2"/>
        <v>0</v>
      </c>
      <c r="L49" s="72">
        <f t="shared" si="8"/>
        <v>0</v>
      </c>
      <c r="M49" s="73">
        <f t="shared" si="9"/>
        <v>0</v>
      </c>
      <c r="N49" s="73">
        <f t="shared" si="3"/>
        <v>0</v>
      </c>
      <c r="O49" s="73">
        <f t="shared" si="4"/>
        <v>0</v>
      </c>
      <c r="P49">
        <f>SUMIFS('Fuel and Energy_rail only'!M:M,'Fuel and Energy_rail only'!C:C,C49)</f>
        <v>0</v>
      </c>
      <c r="Q49">
        <f>SUMIFS('Fuel and Energy_rail only'!U:U,'Fuel and Energy_rail only'!C:C,C49)</f>
        <v>0</v>
      </c>
      <c r="R49">
        <f>SUMIFS('Fuel and Energy_rail only'!Y:Y,'Fuel and Energy_rail only'!C:C,C49)</f>
        <v>0</v>
      </c>
      <c r="S49">
        <f t="shared" si="5"/>
        <v>0</v>
      </c>
      <c r="T49">
        <f t="shared" si="6"/>
        <v>0</v>
      </c>
      <c r="U49" s="74">
        <f t="shared" si="7"/>
        <v>0</v>
      </c>
      <c r="V49" s="74">
        <f t="shared" si="7"/>
        <v>0</v>
      </c>
    </row>
    <row r="50" spans="2:24">
      <c r="B50" s="71" t="s">
        <v>459</v>
      </c>
      <c r="C50" s="71" t="s">
        <v>460</v>
      </c>
      <c r="D50" t="s">
        <v>461</v>
      </c>
      <c r="E50">
        <f>SUMIFS('Annual Service Data_rail only'!N:N,'Annual Service Data_rail only'!C:C,C50)</f>
        <v>0</v>
      </c>
      <c r="F50" s="68">
        <f>SUMIFS('Annual Service Data_rail only'!X:X,'Annual Service Data_rail only'!C:C,C50)</f>
        <v>0</v>
      </c>
      <c r="G50" s="68">
        <f>SUMIFS('Annual Service Data_rail only'!AT:AT,'Annual Service Data_rail only'!C:C,C50)</f>
        <v>0</v>
      </c>
      <c r="H50">
        <f>SUMIFS('Fuel and Energy_rail only'!AD:AD,'Fuel and Energy_rail only'!C:C,C50)</f>
        <v>0</v>
      </c>
      <c r="I50">
        <f>SUMIFS('Fuel and Energy_rail only'!AN:AN,'Fuel and Energy_rail only'!C:C,C50)</f>
        <v>0</v>
      </c>
      <c r="J50" s="62">
        <f t="shared" si="2"/>
        <v>0</v>
      </c>
      <c r="K50" s="62">
        <f t="shared" si="2"/>
        <v>0</v>
      </c>
      <c r="L50" s="72">
        <f t="shared" si="8"/>
        <v>0</v>
      </c>
      <c r="M50" s="73">
        <f t="shared" si="9"/>
        <v>0</v>
      </c>
      <c r="N50" s="73">
        <f t="shared" si="3"/>
        <v>0</v>
      </c>
      <c r="O50" s="73">
        <f t="shared" si="4"/>
        <v>0</v>
      </c>
      <c r="P50">
        <f>SUMIFS('Fuel and Energy_rail only'!M:M,'Fuel and Energy_rail only'!C:C,C50)</f>
        <v>0</v>
      </c>
      <c r="Q50">
        <f>SUMIFS('Fuel and Energy_rail only'!U:U,'Fuel and Energy_rail only'!C:C,C50)</f>
        <v>0</v>
      </c>
      <c r="R50">
        <f>SUMIFS('Fuel and Energy_rail only'!Y:Y,'Fuel and Energy_rail only'!C:C,C50)</f>
        <v>0</v>
      </c>
      <c r="S50">
        <f t="shared" si="5"/>
        <v>0</v>
      </c>
      <c r="T50">
        <f t="shared" si="6"/>
        <v>0</v>
      </c>
      <c r="U50" s="74">
        <f t="shared" si="7"/>
        <v>0</v>
      </c>
      <c r="V50" s="74">
        <f t="shared" si="7"/>
        <v>0</v>
      </c>
    </row>
    <row r="51" spans="2:24">
      <c r="B51" s="71" t="s">
        <v>462</v>
      </c>
      <c r="C51" s="71" t="s">
        <v>275</v>
      </c>
      <c r="D51" t="s">
        <v>463</v>
      </c>
      <c r="E51">
        <f>SUMIFS('Annual Service Data_rail only'!N:N,'Annual Service Data_rail only'!C:C,C51)</f>
        <v>2</v>
      </c>
      <c r="F51" s="68">
        <f>SUMIFS('Annual Service Data_rail only'!X:X,'Annual Service Data_rail only'!C:C,C51)</f>
        <v>208873</v>
      </c>
      <c r="G51" s="68">
        <f>SUMIFS('Annual Service Data_rail only'!AT:AT,'Annual Service Data_rail only'!C:C,C51)</f>
        <v>3403059</v>
      </c>
      <c r="H51">
        <f>SUMIFS('Fuel and Energy_rail only'!AD:AD,'Fuel and Energy_rail only'!C:C,C51)</f>
        <v>71832</v>
      </c>
      <c r="I51">
        <f>SUMIFS('Fuel and Energy_rail only'!AN:AN,'Fuel and Energy_rail only'!C:C,C51)</f>
        <v>0</v>
      </c>
      <c r="J51" s="62">
        <f t="shared" si="2"/>
        <v>1</v>
      </c>
      <c r="K51" s="62">
        <f t="shared" si="2"/>
        <v>0</v>
      </c>
      <c r="L51" s="72">
        <f t="shared" si="8"/>
        <v>16.292479161978811</v>
      </c>
      <c r="M51" s="73">
        <f t="shared" si="9"/>
        <v>104436.5</v>
      </c>
      <c r="N51" s="73">
        <f t="shared" si="3"/>
        <v>2</v>
      </c>
      <c r="O51" s="73">
        <f t="shared" si="4"/>
        <v>0</v>
      </c>
      <c r="P51">
        <f>SUMIFS('Fuel and Energy_rail only'!M:M,'Fuel and Energy_rail only'!C:C,C51)</f>
        <v>195054</v>
      </c>
      <c r="Q51">
        <f>SUMIFS('Fuel and Energy_rail only'!U:U,'Fuel and Energy_rail only'!C:C,C51)</f>
        <v>0</v>
      </c>
      <c r="R51">
        <f>SUMIFS('Fuel and Energy_rail only'!Y:Y,'Fuel and Energy_rail only'!C:C,C51)</f>
        <v>0</v>
      </c>
      <c r="S51">
        <f t="shared" si="5"/>
        <v>27053989800</v>
      </c>
      <c r="T51">
        <f t="shared" si="6"/>
        <v>0</v>
      </c>
      <c r="U51" s="74">
        <f t="shared" si="7"/>
        <v>1.2578769435331124E-4</v>
      </c>
      <c r="V51" s="74">
        <f t="shared" si="7"/>
        <v>0</v>
      </c>
    </row>
    <row r="52" spans="2:24">
      <c r="B52" s="71" t="s">
        <v>464</v>
      </c>
      <c r="C52" s="71" t="s">
        <v>190</v>
      </c>
      <c r="D52" t="s">
        <v>465</v>
      </c>
      <c r="E52">
        <f>SUMIFS('Annual Service Data_rail only'!N:N,'Annual Service Data_rail only'!C:C,C52)</f>
        <v>81</v>
      </c>
      <c r="F52" s="68">
        <f>SUMIFS('Annual Service Data_rail only'!X:X,'Annual Service Data_rail only'!C:C,C52)</f>
        <v>16971382</v>
      </c>
      <c r="G52" s="68">
        <f>SUMIFS('Annual Service Data_rail only'!AT:AT,'Annual Service Data_rail only'!C:C,C52)</f>
        <v>229087609</v>
      </c>
      <c r="H52">
        <f>SUMIFS('Fuel and Energy_rail only'!AD:AD,'Fuel and Energy_rail only'!C:C,C52)</f>
        <v>2810479</v>
      </c>
      <c r="I52">
        <f>SUMIFS('Fuel and Energy_rail only'!AN:AN,'Fuel and Energy_rail only'!C:C,C52)</f>
        <v>13314833</v>
      </c>
      <c r="J52" s="62">
        <f t="shared" si="2"/>
        <v>0.17428989901094627</v>
      </c>
      <c r="K52" s="62">
        <f t="shared" si="2"/>
        <v>0.82571010098905373</v>
      </c>
      <c r="L52" s="72">
        <f t="shared" si="8"/>
        <v>13.498465180973476</v>
      </c>
      <c r="M52" s="73">
        <f t="shared" si="9"/>
        <v>209523.23456790124</v>
      </c>
      <c r="N52" s="73">
        <f t="shared" si="3"/>
        <v>14.117481819886647</v>
      </c>
      <c r="O52" s="73">
        <f t="shared" si="4"/>
        <v>66.882518180113351</v>
      </c>
      <c r="P52">
        <f>SUMIFS('Fuel and Energy_rail only'!M:M,'Fuel and Energy_rail only'!C:C,C52)</f>
        <v>1818399</v>
      </c>
      <c r="Q52">
        <f>SUMIFS('Fuel and Energy_rail only'!U:U,'Fuel and Energy_rail only'!C:C,C52)</f>
        <v>0</v>
      </c>
      <c r="R52">
        <f>SUMIFS('Fuel and Energy_rail only'!Y:Y,'Fuel and Energy_rail only'!C:C,C52)</f>
        <v>136948004</v>
      </c>
      <c r="S52">
        <f t="shared" si="5"/>
        <v>252211941300</v>
      </c>
      <c r="T52">
        <f t="shared" si="6"/>
        <v>467285762368.56</v>
      </c>
      <c r="U52" s="74">
        <f t="shared" si="7"/>
        <v>1.5830993580821838E-4</v>
      </c>
      <c r="V52" s="74">
        <f t="shared" si="7"/>
        <v>4.0480572702220627E-4</v>
      </c>
    </row>
    <row r="53" spans="2:24">
      <c r="B53" s="71" t="s">
        <v>466</v>
      </c>
      <c r="C53" s="71" t="s">
        <v>208</v>
      </c>
      <c r="D53" t="s">
        <v>467</v>
      </c>
      <c r="E53">
        <f>SUMIFS('Annual Service Data_rail only'!N:N,'Annual Service Data_rail only'!C:C,C53)</f>
        <v>31</v>
      </c>
      <c r="F53" s="68">
        <f>SUMIFS('Annual Service Data_rail only'!X:X,'Annual Service Data_rail only'!C:C,C53)</f>
        <v>10256420</v>
      </c>
      <c r="G53" s="68">
        <f>SUMIFS('Annual Service Data_rail only'!AT:AT,'Annual Service Data_rail only'!C:C,C53)</f>
        <v>91039641</v>
      </c>
      <c r="H53">
        <f>SUMIFS('Fuel and Energy_rail only'!AD:AD,'Fuel and Energy_rail only'!C:C,C53)</f>
        <v>850933</v>
      </c>
      <c r="I53">
        <f>SUMIFS('Fuel and Energy_rail only'!AN:AN,'Fuel and Energy_rail only'!C:C,C53)</f>
        <v>6307169</v>
      </c>
      <c r="J53" s="62">
        <f t="shared" si="2"/>
        <v>0.11887690340260589</v>
      </c>
      <c r="K53" s="62">
        <f t="shared" si="2"/>
        <v>0.88112309659739407</v>
      </c>
      <c r="L53" s="72">
        <f t="shared" si="8"/>
        <v>8.876356564961263</v>
      </c>
      <c r="M53" s="73">
        <f t="shared" si="9"/>
        <v>330852.25806451612</v>
      </c>
      <c r="N53" s="73">
        <f t="shared" si="3"/>
        <v>3.6851840054807825</v>
      </c>
      <c r="O53" s="73">
        <f t="shared" si="4"/>
        <v>27.314815994519215</v>
      </c>
      <c r="P53">
        <f>SUMIFS('Fuel and Energy_rail only'!M:M,'Fuel and Energy_rail only'!C:C,C53)</f>
        <v>1921417</v>
      </c>
      <c r="Q53">
        <f>SUMIFS('Fuel and Energy_rail only'!U:U,'Fuel and Energy_rail only'!C:C,C53)</f>
        <v>0</v>
      </c>
      <c r="R53">
        <f>SUMIFS('Fuel and Energy_rail only'!Y:Y,'Fuel and Energy_rail only'!C:C,C53)</f>
        <v>39602347</v>
      </c>
      <c r="S53">
        <f t="shared" si="5"/>
        <v>266500537900</v>
      </c>
      <c r="T53">
        <f t="shared" si="6"/>
        <v>135128752292.58</v>
      </c>
      <c r="U53" s="74">
        <f t="shared" si="7"/>
        <v>4.0609713939961685E-5</v>
      </c>
      <c r="V53" s="74">
        <f t="shared" si="7"/>
        <v>5.9363480406708256E-4</v>
      </c>
    </row>
    <row r="54" spans="2:24">
      <c r="B54" s="71" t="s">
        <v>468</v>
      </c>
      <c r="C54" s="71" t="s">
        <v>469</v>
      </c>
      <c r="D54" t="s">
        <v>470</v>
      </c>
      <c r="E54">
        <f>SUMIFS('Annual Service Data_rail only'!N:N,'Annual Service Data_rail only'!C:C,C54)</f>
        <v>0</v>
      </c>
      <c r="F54" s="68">
        <f>SUMIFS('Annual Service Data_rail only'!X:X,'Annual Service Data_rail only'!C:C,C54)</f>
        <v>0</v>
      </c>
      <c r="G54" s="68">
        <f>SUMIFS('Annual Service Data_rail only'!AT:AT,'Annual Service Data_rail only'!C:C,C54)</f>
        <v>0</v>
      </c>
      <c r="H54">
        <f>SUMIFS('Fuel and Energy_rail only'!AD:AD,'Fuel and Energy_rail only'!C:C,C54)</f>
        <v>0</v>
      </c>
      <c r="I54">
        <f>SUMIFS('Fuel and Energy_rail only'!AN:AN,'Fuel and Energy_rail only'!C:C,C54)</f>
        <v>0</v>
      </c>
      <c r="J54" s="62">
        <f t="shared" si="2"/>
        <v>0</v>
      </c>
      <c r="K54" s="62">
        <f t="shared" si="2"/>
        <v>0</v>
      </c>
      <c r="L54" s="72">
        <f t="shared" si="8"/>
        <v>0</v>
      </c>
      <c r="M54" s="73">
        <f t="shared" si="9"/>
        <v>0</v>
      </c>
      <c r="N54" s="73">
        <f t="shared" si="3"/>
        <v>0</v>
      </c>
      <c r="O54" s="73">
        <f t="shared" si="4"/>
        <v>0</v>
      </c>
      <c r="P54">
        <f>SUMIFS('Fuel and Energy_rail only'!M:M,'Fuel and Energy_rail only'!C:C,C54)</f>
        <v>0</v>
      </c>
      <c r="Q54">
        <f>SUMIFS('Fuel and Energy_rail only'!U:U,'Fuel and Energy_rail only'!C:C,C54)</f>
        <v>0</v>
      </c>
      <c r="R54">
        <f>SUMIFS('Fuel and Energy_rail only'!Y:Y,'Fuel and Energy_rail only'!C:C,C54)</f>
        <v>0</v>
      </c>
      <c r="S54">
        <f t="shared" si="5"/>
        <v>0</v>
      </c>
      <c r="T54">
        <f t="shared" si="6"/>
        <v>0</v>
      </c>
      <c r="U54" s="74">
        <f t="shared" si="7"/>
        <v>0</v>
      </c>
      <c r="V54" s="74">
        <f t="shared" si="7"/>
        <v>0</v>
      </c>
    </row>
    <row r="55" spans="2:24">
      <c r="B55" s="71" t="s">
        <v>471</v>
      </c>
      <c r="C55" s="71" t="s">
        <v>239</v>
      </c>
      <c r="D55" t="s">
        <v>472</v>
      </c>
      <c r="E55">
        <f>SUMIFS('Annual Service Data_rail only'!N:N,'Annual Service Data_rail only'!C:C,C55)</f>
        <v>38</v>
      </c>
      <c r="F55" s="68">
        <f>SUMIFS('Annual Service Data_rail only'!X:X,'Annual Service Data_rail only'!C:C,C55)</f>
        <v>2579467</v>
      </c>
      <c r="G55" s="68">
        <f>SUMIFS('Annual Service Data_rail only'!AT:AT,'Annual Service Data_rail only'!C:C,C55)</f>
        <v>101304307</v>
      </c>
      <c r="H55">
        <f>SUMIFS('Fuel and Energy_rail only'!AD:AD,'Fuel and Energy_rail only'!C:C,C55)</f>
        <v>333956</v>
      </c>
      <c r="I55">
        <f>SUMIFS('Fuel and Energy_rail only'!AN:AN,'Fuel and Energy_rail only'!C:C,C55)</f>
        <v>345837</v>
      </c>
      <c r="J55" s="62">
        <f t="shared" si="2"/>
        <v>0.49126131042832155</v>
      </c>
      <c r="K55" s="62">
        <f t="shared" si="2"/>
        <v>0.50873868957167845</v>
      </c>
      <c r="L55" s="72">
        <f t="shared" si="8"/>
        <v>39.273348718940774</v>
      </c>
      <c r="M55" s="73">
        <f t="shared" si="9"/>
        <v>67880.710526315786</v>
      </c>
      <c r="N55" s="73">
        <f t="shared" si="3"/>
        <v>18.667929796276219</v>
      </c>
      <c r="O55" s="73">
        <f t="shared" si="4"/>
        <v>19.332070203723781</v>
      </c>
      <c r="P55">
        <f>SUMIFS('Fuel and Energy_rail only'!M:M,'Fuel and Energy_rail only'!C:C,C55)</f>
        <v>1430638</v>
      </c>
      <c r="Q55">
        <f>SUMIFS('Fuel and Energy_rail only'!U:U,'Fuel and Energy_rail only'!C:C,C55)</f>
        <v>0</v>
      </c>
      <c r="R55">
        <f>SUMIFS('Fuel and Energy_rail only'!Y:Y,'Fuel and Energy_rail only'!C:C,C55)</f>
        <v>3318000</v>
      </c>
      <c r="S55">
        <f t="shared" si="5"/>
        <v>198429490600</v>
      </c>
      <c r="T55">
        <f t="shared" si="6"/>
        <v>11321480520</v>
      </c>
      <c r="U55" s="74">
        <f t="shared" si="7"/>
        <v>2.5080388231794913E-4</v>
      </c>
      <c r="V55" s="74">
        <f t="shared" si="7"/>
        <v>4.5521802824377436E-3</v>
      </c>
    </row>
    <row r="56" spans="2:24">
      <c r="B56" s="71" t="s">
        <v>174</v>
      </c>
      <c r="C56" s="71" t="s">
        <v>245</v>
      </c>
      <c r="D56" t="s">
        <v>473</v>
      </c>
      <c r="E56">
        <f>SUMIFS('Annual Service Data_rail only'!N:N,'Annual Service Data_rail only'!C:C,C56)</f>
        <v>40</v>
      </c>
      <c r="F56" s="68">
        <f>SUMIFS('Annual Service Data_rail only'!X:X,'Annual Service Data_rail only'!C:C,C56)</f>
        <v>5730374</v>
      </c>
      <c r="G56" s="68">
        <f>SUMIFS('Annual Service Data_rail only'!AT:AT,'Annual Service Data_rail only'!C:C,C56)</f>
        <v>81685247</v>
      </c>
      <c r="H56">
        <f>SUMIFS('Fuel and Energy_rail only'!AD:AD,'Fuel and Energy_rail only'!C:C,C56)</f>
        <v>335545</v>
      </c>
      <c r="I56">
        <f>SUMIFS('Fuel and Energy_rail only'!AN:AN,'Fuel and Energy_rail only'!C:C,C56)</f>
        <v>4232555</v>
      </c>
      <c r="J56" s="62">
        <f t="shared" si="2"/>
        <v>7.345395240909787E-2</v>
      </c>
      <c r="K56" s="62">
        <f t="shared" si="2"/>
        <v>0.92654604759090209</v>
      </c>
      <c r="L56" s="72">
        <f t="shared" si="8"/>
        <v>14.254784591721238</v>
      </c>
      <c r="M56" s="73">
        <f t="shared" si="9"/>
        <v>143259.35</v>
      </c>
      <c r="N56" s="73">
        <f t="shared" si="3"/>
        <v>2.9381580963639147</v>
      </c>
      <c r="O56" s="73">
        <f t="shared" si="4"/>
        <v>37.061841903636086</v>
      </c>
      <c r="P56">
        <f>SUMIFS('Fuel and Energy_rail only'!M:M,'Fuel and Energy_rail only'!C:C,C56)</f>
        <v>625305</v>
      </c>
      <c r="Q56">
        <f>SUMIFS('Fuel and Energy_rail only'!U:U,'Fuel and Energy_rail only'!C:C,C56)</f>
        <v>0</v>
      </c>
      <c r="R56">
        <f>SUMIFS('Fuel and Energy_rail only'!Y:Y,'Fuel and Energy_rail only'!C:C,C56)</f>
        <v>20355203</v>
      </c>
      <c r="S56">
        <f t="shared" si="5"/>
        <v>86729803500</v>
      </c>
      <c r="T56">
        <f t="shared" si="6"/>
        <v>69454802364.419998</v>
      </c>
      <c r="U56" s="74">
        <f t="shared" si="7"/>
        <v>6.9181573156261154E-5</v>
      </c>
      <c r="V56" s="74">
        <f t="shared" si="7"/>
        <v>1.0897035219714086E-3</v>
      </c>
    </row>
    <row r="57" spans="2:24">
      <c r="B57" s="71" t="s">
        <v>474</v>
      </c>
      <c r="C57" s="71" t="s">
        <v>475</v>
      </c>
      <c r="D57" t="s">
        <v>476</v>
      </c>
      <c r="E57">
        <f>SUMIFS('Annual Service Data_rail only'!N:N,'Annual Service Data_rail only'!C:C,C57)</f>
        <v>0</v>
      </c>
      <c r="F57" s="68">
        <f>SUMIFS('Annual Service Data_rail only'!X:X,'Annual Service Data_rail only'!C:C,C57)</f>
        <v>0</v>
      </c>
      <c r="G57" s="68">
        <f>SUMIFS('Annual Service Data_rail only'!AT:AT,'Annual Service Data_rail only'!C:C,C57)</f>
        <v>0</v>
      </c>
      <c r="H57">
        <f>SUMIFS('Fuel and Energy_rail only'!AD:AD,'Fuel and Energy_rail only'!C:C,C57)</f>
        <v>0</v>
      </c>
      <c r="I57">
        <f>SUMIFS('Fuel and Energy_rail only'!AN:AN,'Fuel and Energy_rail only'!C:C,C57)</f>
        <v>0</v>
      </c>
      <c r="J57" s="62">
        <f t="shared" si="2"/>
        <v>0</v>
      </c>
      <c r="K57" s="62">
        <f t="shared" si="2"/>
        <v>0</v>
      </c>
      <c r="L57" s="72">
        <f t="shared" si="8"/>
        <v>0</v>
      </c>
      <c r="M57" s="73">
        <f t="shared" si="9"/>
        <v>0</v>
      </c>
      <c r="N57" s="73">
        <f t="shared" si="3"/>
        <v>0</v>
      </c>
      <c r="O57" s="73">
        <f t="shared" si="4"/>
        <v>0</v>
      </c>
      <c r="P57">
        <f>SUMIFS('Fuel and Energy_rail only'!M:M,'Fuel and Energy_rail only'!C:C,C57)</f>
        <v>0</v>
      </c>
      <c r="Q57">
        <f>SUMIFS('Fuel and Energy_rail only'!U:U,'Fuel and Energy_rail only'!C:C,C57)</f>
        <v>0</v>
      </c>
      <c r="R57">
        <f>SUMIFS('Fuel and Energy_rail only'!Y:Y,'Fuel and Energy_rail only'!C:C,C57)</f>
        <v>0</v>
      </c>
      <c r="S57">
        <f t="shared" si="5"/>
        <v>0</v>
      </c>
      <c r="T57">
        <f t="shared" si="6"/>
        <v>0</v>
      </c>
      <c r="U57" s="74">
        <f t="shared" si="7"/>
        <v>0</v>
      </c>
      <c r="V57" s="74">
        <f t="shared" si="7"/>
        <v>0</v>
      </c>
    </row>
    <row r="58" spans="2:24">
      <c r="B58" s="71" t="s">
        <v>477</v>
      </c>
      <c r="C58" s="71" t="s">
        <v>478</v>
      </c>
      <c r="D58" t="s">
        <v>479</v>
      </c>
      <c r="E58">
        <f>SUMIFS('Annual Service Data_rail only'!N:N,'Annual Service Data_rail only'!C:C,C58)</f>
        <v>0</v>
      </c>
      <c r="F58" s="68">
        <f>SUMIFS('Annual Service Data_rail only'!X:X,'Annual Service Data_rail only'!C:C,C58)</f>
        <v>0</v>
      </c>
      <c r="G58" s="68">
        <f>SUMIFS('Annual Service Data_rail only'!AT:AT,'Annual Service Data_rail only'!C:C,C58)</f>
        <v>0</v>
      </c>
      <c r="H58">
        <f>SUMIFS('Fuel and Energy_rail only'!AD:AD,'Fuel and Energy_rail only'!C:C,C58)</f>
        <v>0</v>
      </c>
      <c r="I58">
        <f>SUMIFS('Fuel and Energy_rail only'!AN:AN,'Fuel and Energy_rail only'!C:C,C58)</f>
        <v>0</v>
      </c>
      <c r="J58" s="62">
        <f t="shared" si="2"/>
        <v>0</v>
      </c>
      <c r="K58" s="62">
        <f t="shared" si="2"/>
        <v>0</v>
      </c>
      <c r="L58" s="72">
        <f t="shared" si="8"/>
        <v>0</v>
      </c>
      <c r="M58" s="73">
        <f t="shared" si="9"/>
        <v>0</v>
      </c>
      <c r="N58" s="73">
        <f t="shared" si="3"/>
        <v>0</v>
      </c>
      <c r="O58" s="73">
        <f t="shared" si="4"/>
        <v>0</v>
      </c>
      <c r="P58">
        <f>SUMIFS('Fuel and Energy_rail only'!M:M,'Fuel and Energy_rail only'!C:C,C58)</f>
        <v>0</v>
      </c>
      <c r="Q58">
        <f>SUMIFS('Fuel and Energy_rail only'!U:U,'Fuel and Energy_rail only'!C:C,C58)</f>
        <v>0</v>
      </c>
      <c r="R58">
        <f>SUMIFS('Fuel and Energy_rail only'!Y:Y,'Fuel and Energy_rail only'!C:C,C58)</f>
        <v>0</v>
      </c>
      <c r="S58">
        <f t="shared" si="5"/>
        <v>0</v>
      </c>
      <c r="T58">
        <f t="shared" si="6"/>
        <v>0</v>
      </c>
      <c r="U58" s="74">
        <f t="shared" si="7"/>
        <v>0</v>
      </c>
      <c r="V58" s="74">
        <f t="shared" si="7"/>
        <v>0</v>
      </c>
    </row>
    <row r="59" spans="2:24">
      <c r="B59" s="71" t="s">
        <v>480</v>
      </c>
      <c r="C59" s="71" t="s">
        <v>481</v>
      </c>
      <c r="D59" t="s">
        <v>482</v>
      </c>
      <c r="E59">
        <f>SUMIFS('Annual Service Data_rail only'!N:N,'Annual Service Data_rail only'!C:C,C59)</f>
        <v>0</v>
      </c>
      <c r="F59" s="68">
        <f>SUMIFS('Annual Service Data_rail only'!X:X,'Annual Service Data_rail only'!C:C,C59)</f>
        <v>0</v>
      </c>
      <c r="G59" s="68">
        <f>SUMIFS('Annual Service Data_rail only'!AT:AT,'Annual Service Data_rail only'!C:C,C59)</f>
        <v>0</v>
      </c>
      <c r="H59">
        <f>SUMIFS('Fuel and Energy_rail only'!AD:AD,'Fuel and Energy_rail only'!C:C,C59)</f>
        <v>0</v>
      </c>
      <c r="I59">
        <f>SUMIFS('Fuel and Energy_rail only'!AN:AN,'Fuel and Energy_rail only'!C:C,C59)</f>
        <v>0</v>
      </c>
      <c r="J59" s="62">
        <f t="shared" si="2"/>
        <v>0</v>
      </c>
      <c r="K59" s="62">
        <f t="shared" si="2"/>
        <v>0</v>
      </c>
      <c r="L59" s="72">
        <f t="shared" si="8"/>
        <v>0</v>
      </c>
      <c r="M59" s="73">
        <f t="shared" si="9"/>
        <v>0</v>
      </c>
      <c r="N59" s="73">
        <f t="shared" si="3"/>
        <v>0</v>
      </c>
      <c r="O59" s="73">
        <f t="shared" si="4"/>
        <v>0</v>
      </c>
      <c r="P59">
        <f>SUMIFS('Fuel and Energy_rail only'!M:M,'Fuel and Energy_rail only'!C:C,C59)</f>
        <v>0</v>
      </c>
      <c r="Q59">
        <f>SUMIFS('Fuel and Energy_rail only'!U:U,'Fuel and Energy_rail only'!C:C,C59)</f>
        <v>0</v>
      </c>
      <c r="R59">
        <f>SUMIFS('Fuel and Energy_rail only'!Y:Y,'Fuel and Energy_rail only'!C:C,C59)</f>
        <v>0</v>
      </c>
      <c r="S59">
        <f t="shared" si="5"/>
        <v>0</v>
      </c>
      <c r="T59">
        <f t="shared" si="6"/>
        <v>0</v>
      </c>
      <c r="U59" s="74">
        <f t="shared" si="7"/>
        <v>0</v>
      </c>
      <c r="V59" s="74">
        <f t="shared" si="7"/>
        <v>0</v>
      </c>
    </row>
    <row r="61" spans="2:24" s="1" customFormat="1">
      <c r="E61" s="1" t="str">
        <f>E8</f>
        <v>Max Trains in Operation</v>
      </c>
      <c r="F61" s="1" t="str">
        <f t="shared" ref="F61:V61" si="10">F8</f>
        <v>Vehicle Miles</v>
      </c>
      <c r="G61" s="1" t="str">
        <f t="shared" si="10"/>
        <v>Passenger Miles</v>
      </c>
      <c r="L61" s="1" t="str">
        <f t="shared" si="10"/>
        <v>calc AVLO</v>
      </c>
      <c r="M61" s="1" t="str">
        <f t="shared" si="10"/>
        <v>calc BAADTVBT</v>
      </c>
      <c r="N61" s="1" t="str">
        <f t="shared" si="10"/>
        <v>SYVBT-diesel</v>
      </c>
      <c r="O61" s="1" t="str">
        <f t="shared" si="10"/>
        <v>SYVBT-electric</v>
      </c>
      <c r="S61" s="1" t="str">
        <f t="shared" si="10"/>
        <v>diesel (btus)</v>
      </c>
      <c r="T61" s="1" t="str">
        <f t="shared" si="10"/>
        <v>electric (btu)</v>
      </c>
      <c r="U61" s="1" t="str">
        <f t="shared" si="10"/>
        <v>calc SYFAFE-diesel</v>
      </c>
      <c r="V61" s="1" t="str">
        <f t="shared" si="10"/>
        <v>calc SYFAFE-electric</v>
      </c>
    </row>
    <row r="62" spans="2:24">
      <c r="D62" s="4" t="s">
        <v>483</v>
      </c>
      <c r="E62" s="4">
        <f>SUM(E9:E59)</f>
        <v>2740</v>
      </c>
      <c r="F62" s="4">
        <f t="shared" ref="F62:G62" si="11">SUM(F9:F59)</f>
        <v>1083860350</v>
      </c>
      <c r="G62" s="4">
        <f t="shared" si="11"/>
        <v>16634915700</v>
      </c>
      <c r="H62" s="4"/>
      <c r="I62" s="4"/>
      <c r="J62" s="4"/>
      <c r="K62" s="4"/>
      <c r="L62" s="75">
        <f>IFERROR(G62/F62,0)</f>
        <v>15.34784042981183</v>
      </c>
      <c r="M62" s="76">
        <f>IFERROR(F62/E62,0)</f>
        <v>395569.47080291971</v>
      </c>
      <c r="N62" s="76">
        <f>SUM(N9:N59)</f>
        <v>173.39396393169866</v>
      </c>
      <c r="O62" s="76">
        <f>SUM(O9:O59)</f>
        <v>2563.6060360683009</v>
      </c>
      <c r="P62" s="77"/>
      <c r="Q62" s="77"/>
      <c r="R62" s="77"/>
      <c r="S62" s="4">
        <f>SUM(S9:S59)</f>
        <v>14672704890200</v>
      </c>
      <c r="T62" s="4">
        <f>SUM(T9:T59)</f>
        <v>20563855531548.477</v>
      </c>
      <c r="U62" s="78">
        <f>IFERROR(($L62*$M62*N62)/S62,0)</f>
        <v>7.1745362435245036E-5</v>
      </c>
      <c r="V62" s="78">
        <f>IFERROR(($L62*$M62*O62)/T62,0)</f>
        <v>7.5686214263268839E-4</v>
      </c>
      <c r="W62" s="79"/>
      <c r="X62" s="79"/>
    </row>
    <row r="64" spans="2:24">
      <c r="D64" t="s">
        <v>484</v>
      </c>
      <c r="E64" s="62">
        <f>E62/SUM(N62:O62)</f>
        <v>1.0010960906101574</v>
      </c>
      <c r="G64" s="62">
        <f>L62*M62*SUM(N62:O62)/G62</f>
        <v>0.99890510948905087</v>
      </c>
      <c r="K64" s="80"/>
      <c r="S64" s="62">
        <f>($L62*$M62*N62/U62)/S62</f>
        <v>1</v>
      </c>
      <c r="T64" s="62">
        <f>($L62*$M62*O62/V62)/T62</f>
        <v>1</v>
      </c>
    </row>
  </sheetData>
  <conditionalFormatting sqref="C93:C1048576 C4:C63">
    <cfRule type="duplicateValues" dxfId="0"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B7"/>
  <sheetViews>
    <sheetView workbookViewId="0">
      <selection activeCell="B5" sqref="B5"/>
    </sheetView>
  </sheetViews>
  <sheetFormatPr defaultRowHeight="15"/>
  <cols>
    <col min="1" max="1" width="13.140625" customWidth="1"/>
    <col min="2" max="2" width="8.7109375" customWidth="1"/>
  </cols>
  <sheetData>
    <row r="1" spans="1:2" ht="45">
      <c r="A1" s="16" t="s">
        <v>95</v>
      </c>
      <c r="B1" s="5">
        <v>2020</v>
      </c>
    </row>
    <row r="2" spans="1:2">
      <c r="A2" s="1" t="s">
        <v>12</v>
      </c>
      <c r="B2" s="7">
        <v>1.67</v>
      </c>
    </row>
    <row r="3" spans="1:2">
      <c r="A3" s="1" t="s">
        <v>13</v>
      </c>
      <c r="B3" s="9">
        <f>'BTS NTS Modal Profile Data'!B14</f>
        <v>21.196137258578663</v>
      </c>
    </row>
    <row r="4" spans="1:2">
      <c r="A4" s="1" t="s">
        <v>14</v>
      </c>
      <c r="B4" s="9">
        <f>'BTS NTS Modal Profile Data'!B8</f>
        <v>111.39416306433705</v>
      </c>
    </row>
    <row r="5" spans="1:2">
      <c r="A5" s="1" t="s">
        <v>15</v>
      </c>
      <c r="B5" s="9">
        <f>'psgr rail calcs'!L62</f>
        <v>15.34784042981183</v>
      </c>
    </row>
    <row r="6" spans="1:2">
      <c r="A6" s="1" t="s">
        <v>16</v>
      </c>
      <c r="B6" s="7">
        <v>1</v>
      </c>
    </row>
    <row r="7" spans="1:2">
      <c r="A7" s="1" t="s">
        <v>17</v>
      </c>
      <c r="B7" s="7">
        <f>'BTS NTS Modal Profile Data'!B60</f>
        <v>1.2700756740871355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B7"/>
  <sheetViews>
    <sheetView workbookViewId="0">
      <selection activeCell="B2" sqref="B2"/>
    </sheetView>
  </sheetViews>
  <sheetFormatPr defaultRowHeight="15"/>
  <cols>
    <col min="1" max="1" width="11.85546875" customWidth="1"/>
  </cols>
  <sheetData>
    <row r="1" spans="1:2" s="1" customFormat="1" ht="45">
      <c r="A1" s="16" t="s">
        <v>96</v>
      </c>
      <c r="B1" s="1">
        <v>2020</v>
      </c>
    </row>
    <row r="2" spans="1:2">
      <c r="A2" s="1" t="s">
        <v>12</v>
      </c>
      <c r="B2" s="14">
        <v>1</v>
      </c>
    </row>
    <row r="3" spans="1:2">
      <c r="A3" s="1" t="s">
        <v>13</v>
      </c>
      <c r="B3" s="6">
        <v>16</v>
      </c>
    </row>
    <row r="4" spans="1:2">
      <c r="A4" s="1" t="s">
        <v>14</v>
      </c>
      <c r="B4" s="6">
        <f>'BTS NTS Modal Profile Data'!B9</f>
        <v>41.989116133258747</v>
      </c>
    </row>
    <row r="5" spans="1:2">
      <c r="A5" s="1" t="s">
        <v>15</v>
      </c>
      <c r="B5" s="6">
        <f>'BTS NTS Modal Profile Data'!B19</f>
        <v>3512.35916421195</v>
      </c>
    </row>
    <row r="6" spans="1:2">
      <c r="A6" s="1" t="s">
        <v>16</v>
      </c>
      <c r="B6" s="6">
        <f>'BTS NTS Modal Profile Data'!B55</f>
        <v>1974.4736422180429</v>
      </c>
    </row>
    <row r="7" spans="1:2">
      <c r="A7" s="1" t="s">
        <v>17</v>
      </c>
      <c r="B7">
        <v>0</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6C762-134A-444D-BF60-BC99F3DFC165}">
  <sheetPr>
    <tabColor theme="3"/>
  </sheetPr>
  <dimension ref="A1:AE7"/>
  <sheetViews>
    <sheetView workbookViewId="0">
      <selection activeCell="B5" sqref="B5"/>
    </sheetView>
  </sheetViews>
  <sheetFormatPr defaultRowHeight="15"/>
  <cols>
    <col min="1" max="1" width="13.140625" customWidth="1"/>
    <col min="2" max="2" width="8.7109375" customWidth="1"/>
  </cols>
  <sheetData>
    <row r="1" spans="1:31" ht="45">
      <c r="A1" s="16" t="s">
        <v>95</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c r="A2" s="1" t="s">
        <v>12</v>
      </c>
      <c r="B2" s="7">
        <v>1.67</v>
      </c>
      <c r="C2" s="7">
        <f>$B2</f>
        <v>1.67</v>
      </c>
      <c r="D2" s="7">
        <f t="shared" ref="D2:AE7" si="0">$B2</f>
        <v>1.67</v>
      </c>
      <c r="E2" s="7">
        <f t="shared" si="0"/>
        <v>1.67</v>
      </c>
      <c r="F2" s="7">
        <f t="shared" si="0"/>
        <v>1.67</v>
      </c>
      <c r="G2" s="7">
        <f t="shared" si="0"/>
        <v>1.67</v>
      </c>
      <c r="H2" s="7">
        <f t="shared" si="0"/>
        <v>1.67</v>
      </c>
      <c r="I2" s="7">
        <f t="shared" si="0"/>
        <v>1.67</v>
      </c>
      <c r="J2" s="7">
        <f t="shared" si="0"/>
        <v>1.67</v>
      </c>
      <c r="K2" s="7">
        <f t="shared" si="0"/>
        <v>1.67</v>
      </c>
      <c r="L2" s="7">
        <f t="shared" si="0"/>
        <v>1.67</v>
      </c>
      <c r="M2" s="7">
        <f t="shared" si="0"/>
        <v>1.67</v>
      </c>
      <c r="N2" s="7">
        <f t="shared" si="0"/>
        <v>1.67</v>
      </c>
      <c r="O2" s="7">
        <f t="shared" si="0"/>
        <v>1.67</v>
      </c>
      <c r="P2" s="7">
        <f t="shared" si="0"/>
        <v>1.67</v>
      </c>
      <c r="Q2" s="7">
        <f t="shared" si="0"/>
        <v>1.67</v>
      </c>
      <c r="R2" s="7">
        <f t="shared" si="0"/>
        <v>1.67</v>
      </c>
      <c r="S2" s="7">
        <f t="shared" si="0"/>
        <v>1.67</v>
      </c>
      <c r="T2" s="7">
        <f t="shared" si="0"/>
        <v>1.67</v>
      </c>
      <c r="U2" s="7">
        <f t="shared" si="0"/>
        <v>1.67</v>
      </c>
      <c r="V2" s="7">
        <f t="shared" si="0"/>
        <v>1.67</v>
      </c>
      <c r="W2" s="7">
        <f t="shared" si="0"/>
        <v>1.67</v>
      </c>
      <c r="X2" s="7">
        <f t="shared" si="0"/>
        <v>1.67</v>
      </c>
      <c r="Y2" s="7">
        <f t="shared" si="0"/>
        <v>1.67</v>
      </c>
      <c r="Z2" s="7">
        <f t="shared" si="0"/>
        <v>1.67</v>
      </c>
      <c r="AA2" s="7">
        <f t="shared" si="0"/>
        <v>1.67</v>
      </c>
      <c r="AB2" s="7">
        <f t="shared" si="0"/>
        <v>1.67</v>
      </c>
      <c r="AC2" s="7">
        <f t="shared" si="0"/>
        <v>1.67</v>
      </c>
      <c r="AD2" s="7">
        <f t="shared" si="0"/>
        <v>1.67</v>
      </c>
      <c r="AE2" s="7">
        <f t="shared" si="0"/>
        <v>1.67</v>
      </c>
    </row>
    <row r="3" spans="1:31">
      <c r="A3" s="1" t="s">
        <v>13</v>
      </c>
      <c r="B3" s="9">
        <f>'bus loading'!AC9</f>
        <v>21.196137258578663</v>
      </c>
      <c r="C3" s="7">
        <f>'bus loading'!AD9</f>
        <v>21.196137258578663</v>
      </c>
      <c r="D3" s="7">
        <f>'bus loading'!AE9</f>
        <v>21.196137258578663</v>
      </c>
      <c r="E3" s="7">
        <f>'bus loading'!AF9</f>
        <v>21.196137258578663</v>
      </c>
      <c r="F3" s="7">
        <f>'bus loading'!AG9</f>
        <v>21.500478822221904</v>
      </c>
      <c r="G3" s="7">
        <f>'bus loading'!AH9</f>
        <v>21.703091546268077</v>
      </c>
      <c r="H3" s="7">
        <f>'bus loading'!AI9</f>
        <v>21.845122159552286</v>
      </c>
      <c r="I3" s="7">
        <f>'bus loading'!AJ9</f>
        <v>21.947621914842522</v>
      </c>
      <c r="J3" s="7">
        <f>'bus loading'!AK9</f>
        <v>22.022634613316782</v>
      </c>
      <c r="K3" s="7">
        <f>'bus loading'!AL9</f>
        <v>22.077554161958179</v>
      </c>
      <c r="L3" s="7">
        <f>'bus loading'!AM9</f>
        <v>22.128917775640339</v>
      </c>
      <c r="M3" s="7">
        <f>'bus loading'!AN9</f>
        <v>22.168025136032444</v>
      </c>
      <c r="N3" s="7">
        <f>'bus loading'!AO9</f>
        <v>22.197300524398603</v>
      </c>
      <c r="O3" s="7">
        <f>'bus loading'!AP9</f>
        <v>22.21899948204544</v>
      </c>
      <c r="P3" s="7">
        <f>'bus loading'!AQ9</f>
        <v>22.235031487487738</v>
      </c>
      <c r="Q3" s="7">
        <f>'bus loading'!AR9</f>
        <v>22.247202817196943</v>
      </c>
      <c r="R3" s="7">
        <f>'bus loading'!AS9</f>
        <v>22.256115374932421</v>
      </c>
      <c r="S3" s="7">
        <f>'bus loading'!AT9</f>
        <v>22.262596222435537</v>
      </c>
      <c r="T3" s="7">
        <f>'bus loading'!AU9</f>
        <v>22.26727817236042</v>
      </c>
      <c r="U3" s="7">
        <f>'bus loading'!AV9</f>
        <v>22.270620265877529</v>
      </c>
      <c r="V3" s="7">
        <f>'bus loading'!AW9</f>
        <v>22.272980385520412</v>
      </c>
      <c r="W3" s="7">
        <f>'bus loading'!AX9</f>
        <v>22.274613869985195</v>
      </c>
      <c r="X3" s="7">
        <f>'bus loading'!AY9</f>
        <v>22.275719770127363</v>
      </c>
      <c r="Y3" s="7">
        <f>'bus loading'!AZ9</f>
        <v>22.27644021664775</v>
      </c>
      <c r="Z3" s="7">
        <f>'bus loading'!BA9</f>
        <v>22.276879640634903</v>
      </c>
      <c r="AA3" s="7">
        <f>'bus loading'!BB9</f>
        <v>22.277124119608338</v>
      </c>
      <c r="AB3" s="7">
        <f>'bus loading'!BC9</f>
        <v>22.277225417332541</v>
      </c>
      <c r="AC3" s="7">
        <f>'bus loading'!BD9</f>
        <v>22.277232265343613</v>
      </c>
      <c r="AD3" s="7">
        <f>'bus loading'!BE9</f>
        <v>22.277174497688325</v>
      </c>
      <c r="AE3" s="7">
        <f>'bus loading'!BF9</f>
        <v>22.277074738180698</v>
      </c>
    </row>
    <row r="4" spans="1:31">
      <c r="A4" s="1" t="s">
        <v>14</v>
      </c>
      <c r="B4" s="9">
        <f>'BTS NTS Modal Profile Data'!B8</f>
        <v>111.39416306433705</v>
      </c>
      <c r="C4" s="7">
        <f t="shared" ref="C4:C7" si="1">$B4</f>
        <v>111.39416306433705</v>
      </c>
      <c r="D4" s="7">
        <f t="shared" si="0"/>
        <v>111.39416306433705</v>
      </c>
      <c r="E4" s="7">
        <f t="shared" si="0"/>
        <v>111.39416306433705</v>
      </c>
      <c r="F4" s="7">
        <f t="shared" si="0"/>
        <v>111.39416306433705</v>
      </c>
      <c r="G4" s="7">
        <f t="shared" si="0"/>
        <v>111.39416306433705</v>
      </c>
      <c r="H4" s="7">
        <f t="shared" si="0"/>
        <v>111.39416306433705</v>
      </c>
      <c r="I4" s="7">
        <f t="shared" si="0"/>
        <v>111.39416306433705</v>
      </c>
      <c r="J4" s="7">
        <f t="shared" si="0"/>
        <v>111.39416306433705</v>
      </c>
      <c r="K4" s="7">
        <f t="shared" si="0"/>
        <v>111.39416306433705</v>
      </c>
      <c r="L4" s="7">
        <f t="shared" si="0"/>
        <v>111.39416306433705</v>
      </c>
      <c r="M4" s="7">
        <f t="shared" si="0"/>
        <v>111.39416306433705</v>
      </c>
      <c r="N4" s="7">
        <f t="shared" si="0"/>
        <v>111.39416306433705</v>
      </c>
      <c r="O4" s="7">
        <f t="shared" si="0"/>
        <v>111.39416306433705</v>
      </c>
      <c r="P4" s="7">
        <f t="shared" si="0"/>
        <v>111.39416306433705</v>
      </c>
      <c r="Q4" s="7">
        <f t="shared" si="0"/>
        <v>111.39416306433705</v>
      </c>
      <c r="R4" s="7">
        <f t="shared" si="0"/>
        <v>111.39416306433705</v>
      </c>
      <c r="S4" s="7">
        <f t="shared" si="0"/>
        <v>111.39416306433705</v>
      </c>
      <c r="T4" s="7">
        <f t="shared" si="0"/>
        <v>111.39416306433705</v>
      </c>
      <c r="U4" s="7">
        <f t="shared" si="0"/>
        <v>111.39416306433705</v>
      </c>
      <c r="V4" s="7">
        <f t="shared" si="0"/>
        <v>111.39416306433705</v>
      </c>
      <c r="W4" s="7">
        <f t="shared" si="0"/>
        <v>111.39416306433705</v>
      </c>
      <c r="X4" s="7">
        <f t="shared" si="0"/>
        <v>111.39416306433705</v>
      </c>
      <c r="Y4" s="7">
        <f t="shared" si="0"/>
        <v>111.39416306433705</v>
      </c>
      <c r="Z4" s="7">
        <f t="shared" si="0"/>
        <v>111.39416306433705</v>
      </c>
      <c r="AA4" s="7">
        <f t="shared" si="0"/>
        <v>111.39416306433705</v>
      </c>
      <c r="AB4" s="7">
        <f t="shared" si="0"/>
        <v>111.39416306433705</v>
      </c>
      <c r="AC4" s="7">
        <f t="shared" si="0"/>
        <v>111.39416306433705</v>
      </c>
      <c r="AD4" s="7">
        <f t="shared" si="0"/>
        <v>111.39416306433705</v>
      </c>
      <c r="AE4" s="7">
        <f t="shared" si="0"/>
        <v>111.39416306433705</v>
      </c>
    </row>
    <row r="5" spans="1:31">
      <c r="A5" s="1" t="s">
        <v>15</v>
      </c>
      <c r="B5" s="9">
        <f>'rail loading'!AC8</f>
        <v>15.34784042981183</v>
      </c>
      <c r="C5" s="7">
        <f>'rail loading'!AD8</f>
        <v>15.34784042981183</v>
      </c>
      <c r="D5" s="7">
        <f>'rail loading'!AE8</f>
        <v>15.34784042981183</v>
      </c>
      <c r="E5" s="7">
        <f>'rail loading'!AF8</f>
        <v>15.34784042981183</v>
      </c>
      <c r="F5" s="7">
        <f>'rail loading'!AG8</f>
        <v>16.973953347212952</v>
      </c>
      <c r="G5" s="7">
        <f>'rail loading'!AH8</f>
        <v>18.263175041173199</v>
      </c>
      <c r="H5" s="7">
        <f>'rail loading'!AI8</f>
        <v>19.265700641512169</v>
      </c>
      <c r="I5" s="7">
        <f>'rail loading'!AJ8</f>
        <v>20.037160664017353</v>
      </c>
      <c r="J5" s="7">
        <f>'rail loading'!AK8</f>
        <v>20.628082157529082</v>
      </c>
      <c r="K5" s="7">
        <f>'rail loading'!AL8</f>
        <v>21.080351049953777</v>
      </c>
      <c r="L5" s="7">
        <f>'rail loading'!AM8</f>
        <v>21.427060516108007</v>
      </c>
      <c r="M5" s="7">
        <f>'rail loading'!AN8</f>
        <v>21.693678324408936</v>
      </c>
      <c r="N5" s="7">
        <f>'rail loading'!AO8</f>
        <v>21.89953045255551</v>
      </c>
      <c r="O5" s="7">
        <f>'rail loading'!AP8</f>
        <v>22.059183791829671</v>
      </c>
      <c r="P5" s="7">
        <f>'rail loading'!AQ8</f>
        <v>22.183593855574156</v>
      </c>
      <c r="Q5" s="7">
        <f>'rail loading'!AR8</f>
        <v>22.281005403272975</v>
      </c>
      <c r="R5" s="7">
        <f>'rail loading'!AS8</f>
        <v>22.357638403050924</v>
      </c>
      <c r="S5" s="7">
        <f>'rail loading'!AT8</f>
        <v>22.418202169380425</v>
      </c>
      <c r="T5" s="7">
        <f>'rail loading'!AU8</f>
        <v>22.466277585198164</v>
      </c>
      <c r="U5" s="7">
        <f>'rail loading'!AV8</f>
        <v>22.50460030631568</v>
      </c>
      <c r="V5" s="7">
        <f>'rail loading'!AW8</f>
        <v>22.535270535090614</v>
      </c>
      <c r="W5" s="7">
        <f>'rail loading'!AX8</f>
        <v>22.559908659784298</v>
      </c>
      <c r="X5" s="7">
        <f>'rail loading'!AY8</f>
        <v>22.57977106840984</v>
      </c>
      <c r="Y5" s="7">
        <f>'rail loading'!AZ8</f>
        <v>22.595836652881129</v>
      </c>
      <c r="Z5" s="7">
        <f>'rail loading'!BA8</f>
        <v>22.60887169981342</v>
      </c>
      <c r="AA5" s="7">
        <f>'rail loading'!BB8</f>
        <v>22.619478794668026</v>
      </c>
      <c r="AB5" s="7">
        <f>'rail loading'!BC8</f>
        <v>22.628133856524883</v>
      </c>
      <c r="AC5" s="7">
        <f>'rail loading'!BD8</f>
        <v>22.635214322963041</v>
      </c>
      <c r="AD5" s="7">
        <f>'rail loading'!BE8</f>
        <v>22.641020706337105</v>
      </c>
      <c r="AE5" s="7">
        <f>'rail loading'!BF8</f>
        <v>22.645793161635343</v>
      </c>
    </row>
    <row r="6" spans="1:31">
      <c r="A6" s="1" t="s">
        <v>16</v>
      </c>
      <c r="B6" s="7">
        <v>1</v>
      </c>
      <c r="C6" s="7">
        <f t="shared" si="1"/>
        <v>1</v>
      </c>
      <c r="D6" s="7">
        <f t="shared" si="0"/>
        <v>1</v>
      </c>
      <c r="E6" s="7">
        <f t="shared" si="0"/>
        <v>1</v>
      </c>
      <c r="F6" s="7">
        <f t="shared" si="0"/>
        <v>1</v>
      </c>
      <c r="G6" s="7">
        <f t="shared" si="0"/>
        <v>1</v>
      </c>
      <c r="H6" s="7">
        <f t="shared" si="0"/>
        <v>1</v>
      </c>
      <c r="I6" s="7">
        <f t="shared" si="0"/>
        <v>1</v>
      </c>
      <c r="J6" s="7">
        <f t="shared" si="0"/>
        <v>1</v>
      </c>
      <c r="K6" s="7">
        <f t="shared" si="0"/>
        <v>1</v>
      </c>
      <c r="L6" s="7">
        <f t="shared" si="0"/>
        <v>1</v>
      </c>
      <c r="M6" s="7">
        <f t="shared" si="0"/>
        <v>1</v>
      </c>
      <c r="N6" s="7">
        <f t="shared" si="0"/>
        <v>1</v>
      </c>
      <c r="O6" s="7">
        <f t="shared" si="0"/>
        <v>1</v>
      </c>
      <c r="P6" s="7">
        <f t="shared" si="0"/>
        <v>1</v>
      </c>
      <c r="Q6" s="7">
        <f t="shared" si="0"/>
        <v>1</v>
      </c>
      <c r="R6" s="7">
        <f t="shared" si="0"/>
        <v>1</v>
      </c>
      <c r="S6" s="7">
        <f t="shared" si="0"/>
        <v>1</v>
      </c>
      <c r="T6" s="7">
        <f t="shared" si="0"/>
        <v>1</v>
      </c>
      <c r="U6" s="7">
        <f t="shared" si="0"/>
        <v>1</v>
      </c>
      <c r="V6" s="7">
        <f t="shared" si="0"/>
        <v>1</v>
      </c>
      <c r="W6" s="7">
        <f t="shared" si="0"/>
        <v>1</v>
      </c>
      <c r="X6" s="7">
        <f t="shared" si="0"/>
        <v>1</v>
      </c>
      <c r="Y6" s="7">
        <f t="shared" si="0"/>
        <v>1</v>
      </c>
      <c r="Z6" s="7">
        <f t="shared" si="0"/>
        <v>1</v>
      </c>
      <c r="AA6" s="7">
        <f t="shared" si="0"/>
        <v>1</v>
      </c>
      <c r="AB6" s="7">
        <f t="shared" si="0"/>
        <v>1</v>
      </c>
      <c r="AC6" s="7">
        <f t="shared" si="0"/>
        <v>1</v>
      </c>
      <c r="AD6" s="7">
        <f t="shared" si="0"/>
        <v>1</v>
      </c>
      <c r="AE6" s="7">
        <f t="shared" si="0"/>
        <v>1</v>
      </c>
    </row>
    <row r="7" spans="1:31">
      <c r="A7" s="1" t="s">
        <v>17</v>
      </c>
      <c r="B7" s="7">
        <f>'BTS NTS Modal Profile Data'!B60</f>
        <v>1.2700756740871355</v>
      </c>
      <c r="C7" s="7">
        <f t="shared" si="1"/>
        <v>1.2700756740871355</v>
      </c>
      <c r="D7" s="7">
        <f t="shared" si="0"/>
        <v>1.2700756740871355</v>
      </c>
      <c r="E7" s="7">
        <f t="shared" si="0"/>
        <v>1.2700756740871355</v>
      </c>
      <c r="F7" s="7">
        <f t="shared" si="0"/>
        <v>1.2700756740871355</v>
      </c>
      <c r="G7" s="7">
        <f t="shared" si="0"/>
        <v>1.2700756740871355</v>
      </c>
      <c r="H7" s="7">
        <f t="shared" si="0"/>
        <v>1.2700756740871355</v>
      </c>
      <c r="I7" s="7">
        <f t="shared" si="0"/>
        <v>1.2700756740871355</v>
      </c>
      <c r="J7" s="7">
        <f t="shared" si="0"/>
        <v>1.2700756740871355</v>
      </c>
      <c r="K7" s="7">
        <f t="shared" si="0"/>
        <v>1.2700756740871355</v>
      </c>
      <c r="L7" s="7">
        <f t="shared" si="0"/>
        <v>1.2700756740871355</v>
      </c>
      <c r="M7" s="7">
        <f t="shared" si="0"/>
        <v>1.2700756740871355</v>
      </c>
      <c r="N7" s="7">
        <f t="shared" si="0"/>
        <v>1.2700756740871355</v>
      </c>
      <c r="O7" s="7">
        <f t="shared" si="0"/>
        <v>1.2700756740871355</v>
      </c>
      <c r="P7" s="7">
        <f t="shared" si="0"/>
        <v>1.2700756740871355</v>
      </c>
      <c r="Q7" s="7">
        <f t="shared" si="0"/>
        <v>1.2700756740871355</v>
      </c>
      <c r="R7" s="7">
        <f t="shared" si="0"/>
        <v>1.2700756740871355</v>
      </c>
      <c r="S7" s="7">
        <f t="shared" si="0"/>
        <v>1.2700756740871355</v>
      </c>
      <c r="T7" s="7">
        <f t="shared" si="0"/>
        <v>1.2700756740871355</v>
      </c>
      <c r="U7" s="7">
        <f t="shared" si="0"/>
        <v>1.2700756740871355</v>
      </c>
      <c r="V7" s="7">
        <f t="shared" si="0"/>
        <v>1.2700756740871355</v>
      </c>
      <c r="W7" s="7">
        <f t="shared" si="0"/>
        <v>1.2700756740871355</v>
      </c>
      <c r="X7" s="7">
        <f t="shared" si="0"/>
        <v>1.2700756740871355</v>
      </c>
      <c r="Y7" s="7">
        <f t="shared" si="0"/>
        <v>1.2700756740871355</v>
      </c>
      <c r="Z7" s="7">
        <f t="shared" si="0"/>
        <v>1.2700756740871355</v>
      </c>
      <c r="AA7" s="7">
        <f t="shared" si="0"/>
        <v>1.2700756740871355</v>
      </c>
      <c r="AB7" s="7">
        <f t="shared" si="0"/>
        <v>1.2700756740871355</v>
      </c>
      <c r="AC7" s="7">
        <f t="shared" si="0"/>
        <v>1.2700756740871355</v>
      </c>
      <c r="AD7" s="7">
        <f t="shared" si="0"/>
        <v>1.2700756740871355</v>
      </c>
      <c r="AE7" s="7">
        <f t="shared" si="0"/>
        <v>1.2700756740871355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75B98-F0F0-452D-A62B-4E672A3FB155}">
  <sheetPr>
    <tabColor theme="3"/>
  </sheetPr>
  <dimension ref="A1:AE7"/>
  <sheetViews>
    <sheetView workbookViewId="0"/>
  </sheetViews>
  <sheetFormatPr defaultRowHeight="15"/>
  <cols>
    <col min="1" max="1" width="11.85546875" customWidth="1"/>
  </cols>
  <sheetData>
    <row r="1" spans="1:31" s="1" customFormat="1" ht="45">
      <c r="A1" s="16" t="s">
        <v>96</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row>
    <row r="2" spans="1:31">
      <c r="A2" s="1" t="s">
        <v>12</v>
      </c>
      <c r="B2" s="14">
        <v>1</v>
      </c>
      <c r="C2">
        <f t="shared" ref="C2:F7" si="0">$B2</f>
        <v>1</v>
      </c>
      <c r="D2">
        <f t="shared" si="0"/>
        <v>1</v>
      </c>
      <c r="E2">
        <f t="shared" si="0"/>
        <v>1</v>
      </c>
      <c r="F2">
        <f t="shared" si="0"/>
        <v>1</v>
      </c>
      <c r="G2">
        <f t="shared" ref="G2:P7" si="1">$B2</f>
        <v>1</v>
      </c>
      <c r="H2">
        <f t="shared" si="1"/>
        <v>1</v>
      </c>
      <c r="I2">
        <f t="shared" si="1"/>
        <v>1</v>
      </c>
      <c r="J2">
        <f t="shared" si="1"/>
        <v>1</v>
      </c>
      <c r="K2">
        <f t="shared" si="1"/>
        <v>1</v>
      </c>
      <c r="L2">
        <f t="shared" si="1"/>
        <v>1</v>
      </c>
      <c r="M2">
        <f t="shared" si="1"/>
        <v>1</v>
      </c>
      <c r="N2">
        <f t="shared" si="1"/>
        <v>1</v>
      </c>
      <c r="O2">
        <f t="shared" si="1"/>
        <v>1</v>
      </c>
      <c r="P2">
        <f t="shared" si="1"/>
        <v>1</v>
      </c>
      <c r="Q2">
        <f t="shared" ref="Q2:AE7" si="2">$B2</f>
        <v>1</v>
      </c>
      <c r="R2">
        <f t="shared" si="2"/>
        <v>1</v>
      </c>
      <c r="S2">
        <f t="shared" si="2"/>
        <v>1</v>
      </c>
      <c r="T2">
        <f t="shared" si="2"/>
        <v>1</v>
      </c>
      <c r="U2">
        <f t="shared" si="2"/>
        <v>1</v>
      </c>
      <c r="V2">
        <f t="shared" si="2"/>
        <v>1</v>
      </c>
      <c r="W2">
        <f t="shared" si="2"/>
        <v>1</v>
      </c>
      <c r="X2">
        <f t="shared" si="2"/>
        <v>1</v>
      </c>
      <c r="Y2">
        <f t="shared" si="2"/>
        <v>1</v>
      </c>
      <c r="Z2">
        <f t="shared" si="2"/>
        <v>1</v>
      </c>
      <c r="AA2">
        <f t="shared" si="2"/>
        <v>1</v>
      </c>
      <c r="AB2">
        <f t="shared" si="2"/>
        <v>1</v>
      </c>
      <c r="AC2">
        <f t="shared" si="2"/>
        <v>1</v>
      </c>
      <c r="AD2">
        <f t="shared" si="2"/>
        <v>1</v>
      </c>
      <c r="AE2">
        <f t="shared" si="2"/>
        <v>1</v>
      </c>
    </row>
    <row r="3" spans="1:31">
      <c r="A3" s="1" t="s">
        <v>13</v>
      </c>
      <c r="B3" s="6">
        <v>16</v>
      </c>
      <c r="C3">
        <f t="shared" si="0"/>
        <v>16</v>
      </c>
      <c r="D3">
        <f t="shared" si="0"/>
        <v>16</v>
      </c>
      <c r="E3">
        <f t="shared" si="0"/>
        <v>16</v>
      </c>
      <c r="F3">
        <f t="shared" si="0"/>
        <v>16</v>
      </c>
      <c r="G3">
        <f t="shared" si="1"/>
        <v>16</v>
      </c>
      <c r="H3">
        <f t="shared" si="1"/>
        <v>16</v>
      </c>
      <c r="I3">
        <f t="shared" si="1"/>
        <v>16</v>
      </c>
      <c r="J3">
        <f t="shared" si="1"/>
        <v>16</v>
      </c>
      <c r="K3">
        <f t="shared" si="1"/>
        <v>16</v>
      </c>
      <c r="L3">
        <f t="shared" si="1"/>
        <v>16</v>
      </c>
      <c r="M3">
        <f t="shared" si="1"/>
        <v>16</v>
      </c>
      <c r="N3">
        <f t="shared" si="1"/>
        <v>16</v>
      </c>
      <c r="O3">
        <f t="shared" si="1"/>
        <v>16</v>
      </c>
      <c r="P3">
        <f t="shared" si="1"/>
        <v>16</v>
      </c>
      <c r="Q3">
        <f t="shared" si="2"/>
        <v>16</v>
      </c>
      <c r="R3">
        <f t="shared" si="2"/>
        <v>16</v>
      </c>
      <c r="S3">
        <f t="shared" si="2"/>
        <v>16</v>
      </c>
      <c r="T3">
        <f t="shared" si="2"/>
        <v>16</v>
      </c>
      <c r="U3">
        <f t="shared" si="2"/>
        <v>16</v>
      </c>
      <c r="V3">
        <f t="shared" si="2"/>
        <v>16</v>
      </c>
      <c r="W3">
        <f t="shared" si="2"/>
        <v>16</v>
      </c>
      <c r="X3">
        <f t="shared" si="2"/>
        <v>16</v>
      </c>
      <c r="Y3">
        <f t="shared" si="2"/>
        <v>16</v>
      </c>
      <c r="Z3">
        <f t="shared" si="2"/>
        <v>16</v>
      </c>
      <c r="AA3">
        <f t="shared" si="2"/>
        <v>16</v>
      </c>
      <c r="AB3">
        <f t="shared" si="2"/>
        <v>16</v>
      </c>
      <c r="AC3">
        <f t="shared" si="2"/>
        <v>16</v>
      </c>
      <c r="AD3">
        <f t="shared" si="2"/>
        <v>16</v>
      </c>
      <c r="AE3">
        <f t="shared" si="2"/>
        <v>16</v>
      </c>
    </row>
    <row r="4" spans="1:31">
      <c r="A4" s="1" t="s">
        <v>14</v>
      </c>
      <c r="B4" s="6">
        <f>'BTS NTS Modal Profile Data'!B9</f>
        <v>41.989116133258747</v>
      </c>
      <c r="C4" s="6">
        <f t="shared" si="0"/>
        <v>41.989116133258747</v>
      </c>
      <c r="D4" s="6">
        <f t="shared" si="0"/>
        <v>41.989116133258747</v>
      </c>
      <c r="E4" s="6">
        <f t="shared" si="0"/>
        <v>41.989116133258747</v>
      </c>
      <c r="F4" s="6">
        <f t="shared" si="0"/>
        <v>41.989116133258747</v>
      </c>
      <c r="G4" s="6">
        <f t="shared" si="1"/>
        <v>41.989116133258747</v>
      </c>
      <c r="H4" s="6">
        <f t="shared" si="1"/>
        <v>41.989116133258747</v>
      </c>
      <c r="I4" s="6">
        <f t="shared" si="1"/>
        <v>41.989116133258747</v>
      </c>
      <c r="J4" s="6">
        <f t="shared" si="1"/>
        <v>41.989116133258747</v>
      </c>
      <c r="K4" s="6">
        <f t="shared" si="1"/>
        <v>41.989116133258747</v>
      </c>
      <c r="L4" s="6">
        <f t="shared" si="1"/>
        <v>41.989116133258747</v>
      </c>
      <c r="M4" s="6">
        <f t="shared" si="1"/>
        <v>41.989116133258747</v>
      </c>
      <c r="N4" s="6">
        <f t="shared" si="1"/>
        <v>41.989116133258747</v>
      </c>
      <c r="O4" s="6">
        <f t="shared" si="1"/>
        <v>41.989116133258747</v>
      </c>
      <c r="P4" s="6">
        <f t="shared" si="1"/>
        <v>41.989116133258747</v>
      </c>
      <c r="Q4" s="6">
        <f t="shared" si="2"/>
        <v>41.989116133258747</v>
      </c>
      <c r="R4" s="6">
        <f t="shared" si="2"/>
        <v>41.989116133258747</v>
      </c>
      <c r="S4" s="6">
        <f t="shared" si="2"/>
        <v>41.989116133258747</v>
      </c>
      <c r="T4" s="6">
        <f t="shared" si="2"/>
        <v>41.989116133258747</v>
      </c>
      <c r="U4" s="6">
        <f t="shared" si="2"/>
        <v>41.989116133258747</v>
      </c>
      <c r="V4" s="6">
        <f t="shared" si="2"/>
        <v>41.989116133258747</v>
      </c>
      <c r="W4" s="6">
        <f t="shared" si="2"/>
        <v>41.989116133258747</v>
      </c>
      <c r="X4" s="6">
        <f t="shared" si="2"/>
        <v>41.989116133258747</v>
      </c>
      <c r="Y4" s="6">
        <f t="shared" si="2"/>
        <v>41.989116133258747</v>
      </c>
      <c r="Z4" s="6">
        <f t="shared" si="2"/>
        <v>41.989116133258747</v>
      </c>
      <c r="AA4" s="6">
        <f t="shared" si="2"/>
        <v>41.989116133258747</v>
      </c>
      <c r="AB4" s="6">
        <f t="shared" si="2"/>
        <v>41.989116133258747</v>
      </c>
      <c r="AC4" s="6">
        <f t="shared" si="2"/>
        <v>41.989116133258747</v>
      </c>
      <c r="AD4" s="6">
        <f t="shared" si="2"/>
        <v>41.989116133258747</v>
      </c>
      <c r="AE4" s="6">
        <f t="shared" si="2"/>
        <v>41.989116133258747</v>
      </c>
    </row>
    <row r="5" spans="1:31">
      <c r="A5" s="1" t="s">
        <v>15</v>
      </c>
      <c r="B5" s="6">
        <f>'BTS NTS Modal Profile Data'!B19</f>
        <v>3512.35916421195</v>
      </c>
      <c r="C5" s="6">
        <f t="shared" si="0"/>
        <v>3512.35916421195</v>
      </c>
      <c r="D5" s="6">
        <f t="shared" si="0"/>
        <v>3512.35916421195</v>
      </c>
      <c r="E5" s="6">
        <f t="shared" si="0"/>
        <v>3512.35916421195</v>
      </c>
      <c r="F5" s="6">
        <f t="shared" si="0"/>
        <v>3512.35916421195</v>
      </c>
      <c r="G5" s="6">
        <f t="shared" si="1"/>
        <v>3512.35916421195</v>
      </c>
      <c r="H5" s="6">
        <f t="shared" si="1"/>
        <v>3512.35916421195</v>
      </c>
      <c r="I5" s="6">
        <f t="shared" si="1"/>
        <v>3512.35916421195</v>
      </c>
      <c r="J5" s="6">
        <f t="shared" si="1"/>
        <v>3512.35916421195</v>
      </c>
      <c r="K5" s="6">
        <f t="shared" si="1"/>
        <v>3512.35916421195</v>
      </c>
      <c r="L5" s="6">
        <f t="shared" si="1"/>
        <v>3512.35916421195</v>
      </c>
      <c r="M5" s="6">
        <f t="shared" si="1"/>
        <v>3512.35916421195</v>
      </c>
      <c r="N5" s="6">
        <f t="shared" si="1"/>
        <v>3512.35916421195</v>
      </c>
      <c r="O5" s="6">
        <f t="shared" si="1"/>
        <v>3512.35916421195</v>
      </c>
      <c r="P5" s="6">
        <f t="shared" si="1"/>
        <v>3512.35916421195</v>
      </c>
      <c r="Q5" s="6">
        <f t="shared" si="2"/>
        <v>3512.35916421195</v>
      </c>
      <c r="R5" s="6">
        <f t="shared" si="2"/>
        <v>3512.35916421195</v>
      </c>
      <c r="S5" s="6">
        <f t="shared" si="2"/>
        <v>3512.35916421195</v>
      </c>
      <c r="T5" s="6">
        <f t="shared" si="2"/>
        <v>3512.35916421195</v>
      </c>
      <c r="U5" s="6">
        <f t="shared" si="2"/>
        <v>3512.35916421195</v>
      </c>
      <c r="V5" s="6">
        <f t="shared" si="2"/>
        <v>3512.35916421195</v>
      </c>
      <c r="W5" s="6">
        <f t="shared" si="2"/>
        <v>3512.35916421195</v>
      </c>
      <c r="X5" s="6">
        <f t="shared" si="2"/>
        <v>3512.35916421195</v>
      </c>
      <c r="Y5" s="6">
        <f t="shared" si="2"/>
        <v>3512.35916421195</v>
      </c>
      <c r="Z5" s="6">
        <f t="shared" si="2"/>
        <v>3512.35916421195</v>
      </c>
      <c r="AA5" s="6">
        <f t="shared" si="2"/>
        <v>3512.35916421195</v>
      </c>
      <c r="AB5" s="6">
        <f t="shared" si="2"/>
        <v>3512.35916421195</v>
      </c>
      <c r="AC5" s="6">
        <f t="shared" si="2"/>
        <v>3512.35916421195</v>
      </c>
      <c r="AD5" s="6">
        <f t="shared" si="2"/>
        <v>3512.35916421195</v>
      </c>
      <c r="AE5" s="6">
        <f t="shared" si="2"/>
        <v>3512.35916421195</v>
      </c>
    </row>
    <row r="6" spans="1:31">
      <c r="A6" s="1" t="s">
        <v>16</v>
      </c>
      <c r="B6" s="6">
        <f>'BTS NTS Modal Profile Data'!B55</f>
        <v>1974.4736422180429</v>
      </c>
      <c r="C6" s="6">
        <f t="shared" si="0"/>
        <v>1974.4736422180429</v>
      </c>
      <c r="D6" s="6">
        <f t="shared" si="0"/>
        <v>1974.4736422180429</v>
      </c>
      <c r="E6" s="6">
        <f t="shared" si="0"/>
        <v>1974.4736422180429</v>
      </c>
      <c r="F6" s="6">
        <f t="shared" si="0"/>
        <v>1974.4736422180429</v>
      </c>
      <c r="G6" s="6">
        <f t="shared" si="1"/>
        <v>1974.4736422180429</v>
      </c>
      <c r="H6" s="6">
        <f t="shared" si="1"/>
        <v>1974.4736422180429</v>
      </c>
      <c r="I6" s="6">
        <f t="shared" si="1"/>
        <v>1974.4736422180429</v>
      </c>
      <c r="J6" s="6">
        <f t="shared" si="1"/>
        <v>1974.4736422180429</v>
      </c>
      <c r="K6" s="6">
        <f t="shared" si="1"/>
        <v>1974.4736422180429</v>
      </c>
      <c r="L6" s="6">
        <f t="shared" si="1"/>
        <v>1974.4736422180429</v>
      </c>
      <c r="M6" s="6">
        <f t="shared" si="1"/>
        <v>1974.4736422180429</v>
      </c>
      <c r="N6" s="6">
        <f t="shared" si="1"/>
        <v>1974.4736422180429</v>
      </c>
      <c r="O6" s="6">
        <f t="shared" si="1"/>
        <v>1974.4736422180429</v>
      </c>
      <c r="P6" s="6">
        <f t="shared" si="1"/>
        <v>1974.4736422180429</v>
      </c>
      <c r="Q6" s="6">
        <f t="shared" si="2"/>
        <v>1974.4736422180429</v>
      </c>
      <c r="R6" s="6">
        <f t="shared" si="2"/>
        <v>1974.4736422180429</v>
      </c>
      <c r="S6" s="6">
        <f t="shared" si="2"/>
        <v>1974.4736422180429</v>
      </c>
      <c r="T6" s="6">
        <f t="shared" si="2"/>
        <v>1974.4736422180429</v>
      </c>
      <c r="U6" s="6">
        <f t="shared" si="2"/>
        <v>1974.4736422180429</v>
      </c>
      <c r="V6" s="6">
        <f t="shared" si="2"/>
        <v>1974.4736422180429</v>
      </c>
      <c r="W6" s="6">
        <f t="shared" si="2"/>
        <v>1974.4736422180429</v>
      </c>
      <c r="X6" s="6">
        <f t="shared" si="2"/>
        <v>1974.4736422180429</v>
      </c>
      <c r="Y6" s="6">
        <f t="shared" si="2"/>
        <v>1974.4736422180429</v>
      </c>
      <c r="Z6" s="6">
        <f t="shared" si="2"/>
        <v>1974.4736422180429</v>
      </c>
      <c r="AA6" s="6">
        <f t="shared" si="2"/>
        <v>1974.4736422180429</v>
      </c>
      <c r="AB6" s="6">
        <f t="shared" si="2"/>
        <v>1974.4736422180429</v>
      </c>
      <c r="AC6" s="6">
        <f t="shared" si="2"/>
        <v>1974.4736422180429</v>
      </c>
      <c r="AD6" s="6">
        <f t="shared" si="2"/>
        <v>1974.4736422180429</v>
      </c>
      <c r="AE6" s="6">
        <f t="shared" si="2"/>
        <v>1974.4736422180429</v>
      </c>
    </row>
    <row r="7" spans="1:31">
      <c r="A7" s="1" t="s">
        <v>17</v>
      </c>
      <c r="B7">
        <v>0</v>
      </c>
      <c r="C7">
        <f t="shared" si="0"/>
        <v>0</v>
      </c>
      <c r="D7">
        <f t="shared" si="0"/>
        <v>0</v>
      </c>
      <c r="E7">
        <f t="shared" si="0"/>
        <v>0</v>
      </c>
      <c r="F7">
        <f t="shared" si="0"/>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2"/>
        <v>0</v>
      </c>
      <c r="R7">
        <f t="shared" si="2"/>
        <v>0</v>
      </c>
      <c r="S7">
        <f t="shared" si="2"/>
        <v>0</v>
      </c>
      <c r="T7">
        <f t="shared" si="2"/>
        <v>0</v>
      </c>
      <c r="U7">
        <f t="shared" si="2"/>
        <v>0</v>
      </c>
      <c r="V7">
        <f t="shared" si="2"/>
        <v>0</v>
      </c>
      <c r="W7">
        <f t="shared" si="2"/>
        <v>0</v>
      </c>
      <c r="X7">
        <f t="shared" si="2"/>
        <v>0</v>
      </c>
      <c r="Y7">
        <f t="shared" si="2"/>
        <v>0</v>
      </c>
      <c r="Z7">
        <f t="shared" si="2"/>
        <v>0</v>
      </c>
      <c r="AA7">
        <f t="shared" si="2"/>
        <v>0</v>
      </c>
      <c r="AB7">
        <f t="shared" si="2"/>
        <v>0</v>
      </c>
      <c r="AC7">
        <f t="shared" si="2"/>
        <v>0</v>
      </c>
      <c r="AD7">
        <f t="shared" si="2"/>
        <v>0</v>
      </c>
      <c r="AE7">
        <f t="shared" si="2"/>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BTS NTS Modal Profile Data</vt:lpstr>
      <vt:lpstr>Annual Service Data_rail only</vt:lpstr>
      <vt:lpstr>Fuel and Energy_rail only</vt:lpstr>
      <vt:lpstr>NEMS bus covid</vt:lpstr>
      <vt:lpstr>NEMS rail covid</vt:lpstr>
      <vt:lpstr>rail loading</vt:lpstr>
      <vt:lpstr>bus loading</vt:lpstr>
      <vt:lpstr>psgr rail calcs</vt:lpstr>
      <vt:lpstr>SYAVLo-passengers</vt:lpstr>
      <vt:lpstr>SYAVLo-freight</vt:lpstr>
      <vt:lpstr>AVLo-passengers</vt:lpstr>
      <vt:lpstr>AVLo-freight</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Robbie Orvis</cp:lastModifiedBy>
  <dcterms:created xsi:type="dcterms:W3CDTF">2015-06-16T22:55:39Z</dcterms:created>
  <dcterms:modified xsi:type="dcterms:W3CDTF">2026-10-14T16:22:24Z</dcterms:modified>
</cp:coreProperties>
</file>