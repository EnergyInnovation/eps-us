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input-rename2\InputData\trans\MBFGR\"/>
    </mc:Choice>
  </mc:AlternateContent>
  <xr:revisionPtr revIDLastSave="0" documentId="13_ncr:1_{BAB162E8-29DE-408E-8BD9-91397E2854B7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About" sheetId="1" r:id="rId1"/>
    <sheet name="Passenger rail 2024" sheetId="2" r:id="rId2"/>
    <sheet name="MBFG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5" i="2" l="1"/>
  <c r="B5" i="3" s="1"/>
  <c r="E139" i="2"/>
  <c r="E151" i="2" s="1"/>
  <c r="E132" i="2"/>
  <c r="F118" i="2" s="1"/>
  <c r="M119" i="2"/>
  <c r="G119" i="2"/>
  <c r="L119" i="2" s="1"/>
  <c r="F119" i="2"/>
  <c r="E119" i="2"/>
  <c r="L118" i="2"/>
  <c r="J118" i="2"/>
  <c r="M118" i="2" s="1"/>
  <c r="E118" i="2"/>
  <c r="M117" i="2"/>
  <c r="L117" i="2"/>
  <c r="N117" i="2" s="1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N101" i="2" s="1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N85" i="2" s="1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R2" i="2"/>
  <c r="R6" i="2" l="1"/>
  <c r="R3" i="2"/>
  <c r="R4" i="2" s="1"/>
  <c r="E140" i="2"/>
  <c r="N119" i="2"/>
  <c r="R5" i="2"/>
  <c r="N118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R8" i="2" l="1"/>
  <c r="R7" i="2"/>
  <c r="R9" i="2" l="1"/>
  <c r="O117" i="2" l="1"/>
  <c r="O101" i="2"/>
  <c r="O8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0" i="2"/>
  <c r="O99" i="2"/>
  <c r="O98" i="2"/>
  <c r="O97" i="2"/>
  <c r="O96" i="2"/>
  <c r="O95" i="2"/>
  <c r="O94" i="2"/>
  <c r="O9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0" i="2"/>
  <c r="O58" i="2"/>
  <c r="O57" i="2"/>
  <c r="O51" i="2"/>
  <c r="O50" i="2"/>
  <c r="O35" i="2"/>
  <c r="O34" i="2"/>
  <c r="O118" i="2"/>
  <c r="O90" i="2"/>
  <c r="O89" i="2"/>
  <c r="O87" i="2"/>
  <c r="O67" i="2"/>
  <c r="O66" i="2"/>
  <c r="O65" i="2"/>
  <c r="O64" i="2"/>
  <c r="O63" i="2"/>
  <c r="O62" i="2"/>
  <c r="O61" i="2"/>
  <c r="O59" i="2"/>
  <c r="O52" i="2"/>
  <c r="O49" i="2"/>
  <c r="O48" i="2"/>
  <c r="O47" i="2"/>
  <c r="O45" i="2"/>
  <c r="O44" i="2"/>
  <c r="O39" i="2"/>
  <c r="O38" i="2"/>
  <c r="O37" i="2"/>
  <c r="O14" i="2"/>
  <c r="O13" i="2"/>
  <c r="O12" i="2"/>
  <c r="O10" i="2"/>
  <c r="O119" i="2"/>
  <c r="O92" i="2"/>
  <c r="O88" i="2"/>
  <c r="O84" i="2"/>
  <c r="O83" i="2"/>
  <c r="O56" i="2"/>
  <c r="O55" i="2"/>
  <c r="O54" i="2"/>
  <c r="O53" i="2"/>
  <c r="O46" i="2"/>
  <c r="O43" i="2"/>
  <c r="O42" i="2"/>
  <c r="O41" i="2"/>
  <c r="O40" i="2"/>
  <c r="O36" i="2"/>
  <c r="O33" i="2"/>
  <c r="O32" i="2"/>
  <c r="O16" i="2"/>
  <c r="O15" i="2"/>
  <c r="O9" i="2"/>
  <c r="O91" i="2"/>
  <c r="O31" i="2"/>
  <c r="O30" i="2"/>
  <c r="O29" i="2"/>
  <c r="O28" i="2"/>
  <c r="O27" i="2"/>
  <c r="O21" i="2"/>
  <c r="O20" i="2"/>
  <c r="O17" i="2"/>
  <c r="O8" i="2"/>
  <c r="O116" i="2"/>
  <c r="O115" i="2"/>
  <c r="O86" i="2"/>
  <c r="O26" i="2"/>
  <c r="O25" i="2"/>
  <c r="O24" i="2"/>
  <c r="O23" i="2"/>
  <c r="O22" i="2"/>
  <c r="O19" i="2"/>
  <c r="O18" i="2"/>
  <c r="O11" i="2"/>
  <c r="R10" i="2" l="1"/>
  <c r="R12" i="2" l="1"/>
  <c r="R15" i="2"/>
  <c r="R13" i="2"/>
  <c r="R14" i="2"/>
  <c r="R11" i="2"/>
</calcChain>
</file>

<file path=xl/sharedStrings.xml><?xml version="1.0" encoding="utf-8"?>
<sst xmlns="http://schemas.openxmlformats.org/spreadsheetml/2006/main" count="569" uniqueCount="277">
  <si>
    <t>MBFGR Minimum BAU Fleet Growth Rate</t>
  </si>
  <si>
    <t>Sources:</t>
  </si>
  <si>
    <t>Passenger-rail fleet trend</t>
  </si>
  <si>
    <t>FTA National Transit Database; Amtrak; BTS</t>
  </si>
  <si>
    <t>NTD 2024 Fuel and Energy (8ehq-7his) and Service (wwdp-t4re); BTS National Transportation Statistics Table 1-11 (transit rail vehicles); Amtrak Asset Line Plans FY24-29</t>
  </si>
  <si>
    <t>https://data.transportation.gov/browse?q=NTD</t>
  </si>
  <si>
    <t>Tab 'Passenger rail 2024' (shared with the AVLo, BAADTbVT, SYVbT, NVFEbV, EoFSwTD and VpHC workbooks): transit-rail fleet growth per year on the NTS vehicle series, with Amtrak's fleet held flat.</t>
  </si>
  <si>
    <t>Notes:</t>
  </si>
  <si>
    <t>What this file holds</t>
  </si>
  <si>
    <t>For vehicle types that absorb travel as fuller vehicles (VAUL = 1 in the EoFSwTD file: buses, passenger rail, passenger aircraft), the BAU fleet never grows slower than this rate while loading is below the normal level in AVLo; the model fills loading toward normal and buys vehicles only once it is there. Passenger rail: the observed transit-rail fleet trend, so the fleet keeps growing while ridership recovers. 0 for every other type, where the floor is simply last year's fleet.</t>
  </si>
  <si>
    <t>Units</t>
  </si>
  <si>
    <t>Fraction per year (0.0074 = 0.74% a year).</t>
  </si>
  <si>
    <t>Passenger rail 2024: transit (NTD: heavy, light, commuter, hybrid and Alaska rail, streetcar, monorail/AGV, cable car, inclined plane) and Amtrak</t>
  </si>
  <si>
    <t>Results</t>
  </si>
  <si>
    <t>value</t>
  </si>
  <si>
    <t>Keys</t>
  </si>
  <si>
    <t>Sources: FTA National Transit Database 2024, 'Fuel and Energy' (data.transportation.gov 8ehq-7his) joined to 'Service', Annual Total rows (wwdp-t4re) on NTD ID x mode x type of service; downloaded 2026-10-16. Columns A-K of the NTD rows are pasted; L-O and the results are formulas. Amtrak does not report to NTD: its two rows (mode IR) are built from the block from row 122.</t>
  </si>
  <si>
    <t>Passenger-miles</t>
  </si>
  <si>
    <t>fuel: runs both</t>
  </si>
  <si>
    <t>both</t>
  </si>
  <si>
    <t>Diesel energy content (Btu per gallon)</t>
  </si>
  <si>
    <t>Car-miles</t>
  </si>
  <si>
    <t>fuel: diesel only</t>
  </si>
  <si>
    <t>diesel</t>
  </si>
  <si>
    <t>Electricity (Btu per kWh)</t>
  </si>
  <si>
    <t>Loading: passengers per car-mile</t>
  </si>
  <si>
    <t>fuel: electric only</t>
  </si>
  <si>
    <t>electric</t>
  </si>
  <si>
    <t>Systems that run on one fuel are assigned to it whole. Systems that run both split their passenger-miles in proportion to their diesel and electric energy, electric energy weighted by the ratio in R9: how much more energy a diesel commuter passenger-mile takes than an electric one on the single-fuel commuter systems. Amtrak's electric (Northeast Corridor, Keystone) and diesel services are separate rows.</t>
  </si>
  <si>
    <t>Diesel energy (Btu)</t>
  </si>
  <si>
    <t>fuel: no energy reported</t>
  </si>
  <si>
    <t>none</t>
  </si>
  <si>
    <t>Electric energy (Btu)</t>
  </si>
  <si>
    <t>commuter-type mode: commuter rail</t>
  </si>
  <si>
    <t>CR</t>
  </si>
  <si>
    <t>NTD ID</t>
  </si>
  <si>
    <t>Agency</t>
  </si>
  <si>
    <t>Mode</t>
  </si>
  <si>
    <t>Type of service</t>
  </si>
  <si>
    <t>Car-miles (actual vehicle/passenger car miles)</t>
  </si>
  <si>
    <t>Diesel (gal)</t>
  </si>
  <si>
    <t>Bio-diesel (gal)</t>
  </si>
  <si>
    <t>Other fuel (gal)</t>
  </si>
  <si>
    <t>Electric propulsion (kWh)</t>
  </si>
  <si>
    <t>Electric battery (kWh)</t>
  </si>
  <si>
    <t>Fuel</t>
  </si>
  <si>
    <t>Diesel passenger-miles</t>
  </si>
  <si>
    <t>Single-fuel commuter systems: diesel Btu per passenger-mile</t>
  </si>
  <si>
    <t>commuter-type mode: hybrid rail</t>
  </si>
  <si>
    <t>YR</t>
  </si>
  <si>
    <t>00001</t>
  </si>
  <si>
    <t>King County, dba: King County Metro</t>
  </si>
  <si>
    <t>SR</t>
  </si>
  <si>
    <t>DO</t>
  </si>
  <si>
    <t>Single-fuel commuter systems: electric Btu per passenger-mile</t>
  </si>
  <si>
    <t>commuter-type mode: Alaska Railroad</t>
  </si>
  <si>
    <t>AR</t>
  </si>
  <si>
    <t>00008</t>
  </si>
  <si>
    <t>Tri-County Metropolitan Transportation District of Oregon, dba: TriMet</t>
  </si>
  <si>
    <t>LR</t>
  </si>
  <si>
    <t>Diesel / electric energy per passenger-mile (split ratio)</t>
  </si>
  <si>
    <t>PT</t>
  </si>
  <si>
    <t>00023</t>
  </si>
  <si>
    <t>City of Seattle, dba: Seattle Center Monorail</t>
  </si>
  <si>
    <t>MG</t>
  </si>
  <si>
    <t>DIESEL SHARE of passenger-miles (= of vehicles: the model gives every technology the same miles and loading)</t>
  </si>
  <si>
    <t>00040</t>
  </si>
  <si>
    <t>Central Puget Sound Regional Transit Authority, dba: Sound Transit</t>
  </si>
  <si>
    <t>Diesel Btu per passenger-mile</t>
  </si>
  <si>
    <t>Electric Btu per passenger-mile</t>
  </si>
  <si>
    <t>FUEL ECONOMY DIESEL (car-miles per Btu) = diesel passenger-miles / (loading x diesel energy)</t>
  </si>
  <si>
    <t>00041</t>
  </si>
  <si>
    <t>Alaska Railroad Corporation</t>
  </si>
  <si>
    <t>FUEL ECONOMY ELECTRIC (car-miles per Btu)</t>
  </si>
  <si>
    <t>00058</t>
  </si>
  <si>
    <t>City of Portland, dba: Portland Streetcar</t>
  </si>
  <si>
    <t>10003</t>
  </si>
  <si>
    <t>Massachusetts Bay Transportation Authority</t>
  </si>
  <si>
    <t>HR</t>
  </si>
  <si>
    <t>10102</t>
  </si>
  <si>
    <t>Connecticut Department of Transportation</t>
  </si>
  <si>
    <t>10115</t>
  </si>
  <si>
    <t>Northern New England Passenger Rail Authority, dba: Amtrak Downeaster</t>
  </si>
  <si>
    <t>20004</t>
  </si>
  <si>
    <t>Niagara Frontier Transportation Authority, dba: NFTA - Metro Bus &amp; Rail</t>
  </si>
  <si>
    <t>20008</t>
  </si>
  <si>
    <t>MTA New York City Transit</t>
  </si>
  <si>
    <t>20075</t>
  </si>
  <si>
    <t>Port Authority Transit Corporation</t>
  </si>
  <si>
    <t>20078</t>
  </si>
  <si>
    <t>Metro-North Commuter Railroad Company, dba: MTA Metro-North Railroad</t>
  </si>
  <si>
    <t>20080</t>
  </si>
  <si>
    <t>New Jersey Transit Corporation</t>
  </si>
  <si>
    <t>20098</t>
  </si>
  <si>
    <t>Port Authority Trans-Hudson Corporation</t>
  </si>
  <si>
    <t>20099</t>
  </si>
  <si>
    <t>Staten Island Rapid Transit Operating Authority, dba: MTA Staten Island Railway</t>
  </si>
  <si>
    <t>20100</t>
  </si>
  <si>
    <t>MTA Long Island Rail Road</t>
  </si>
  <si>
    <t>30012</t>
  </si>
  <si>
    <t>Cambria County Transit Authority, dba: CamTran</t>
  </si>
  <si>
    <t>IP</t>
  </si>
  <si>
    <t>30019</t>
  </si>
  <si>
    <t>Southeastern Pennsylvania Transportation Authority</t>
  </si>
  <si>
    <t>30022</t>
  </si>
  <si>
    <t>Pittsburgh Regional Transit</t>
  </si>
  <si>
    <t>30030</t>
  </si>
  <si>
    <t>Washington Metropolitan Area Transit Authority, dba: Washington Metro</t>
  </si>
  <si>
    <t>30034</t>
  </si>
  <si>
    <t>Maryland Transit Administration, dba: MTA</t>
  </si>
  <si>
    <t>30057</t>
  </si>
  <si>
    <t>Pennsylvania Department of Transportation</t>
  </si>
  <si>
    <t>30073</t>
  </si>
  <si>
    <t>Virginia Railway Express</t>
  </si>
  <si>
    <t>30083</t>
  </si>
  <si>
    <t>Transportation District Commission of Hampton Roads, dba: Hampton Roads Transit</t>
  </si>
  <si>
    <t>30107</t>
  </si>
  <si>
    <t>West Virginia University, dba: Personal Rapid Transit</t>
  </si>
  <si>
    <t>30112</t>
  </si>
  <si>
    <t>District Department of Transportation, dba: DC Circulator, DC Streetcar</t>
  </si>
  <si>
    <t>40001</t>
  </si>
  <si>
    <t>Chattanooga Area Regional Transportation Authority</t>
  </si>
  <si>
    <t>40003</t>
  </si>
  <si>
    <t>City of Memphis, dba: Memphis Area Transit Authority</t>
  </si>
  <si>
    <t>40008</t>
  </si>
  <si>
    <t>City of Charlotte North Carolina</t>
  </si>
  <si>
    <t>40022</t>
  </si>
  <si>
    <t>Metropolitan Atlanta Rapid Transit Authority</t>
  </si>
  <si>
    <t>40034</t>
  </si>
  <si>
    <t>County of Miami-Dade</t>
  </si>
  <si>
    <t>40040</t>
  </si>
  <si>
    <t>Jacksonville Transportation Authority</t>
  </si>
  <si>
    <t>40041</t>
  </si>
  <si>
    <t>Hillsborough Area Regional Transit Authority</t>
  </si>
  <si>
    <t>40077</t>
  </si>
  <si>
    <t>South Florida Regional Transportation Authority, dba: Tri-Rail</t>
  </si>
  <si>
    <t>40094</t>
  </si>
  <si>
    <t>Alternativa de Transporte Integrado, dba: Autoridad de Transporte Integrado</t>
  </si>
  <si>
    <t>40159</t>
  </si>
  <si>
    <t>Regional Transportation Authority, dba: WeGo Public Transit</t>
  </si>
  <si>
    <t>40232</t>
  </si>
  <si>
    <t>Central Florida Commuter Rail, dba: SunRail</t>
  </si>
  <si>
    <t>50003</t>
  </si>
  <si>
    <t>City of Kenosha, dba: Kenosha Area Transit</t>
  </si>
  <si>
    <t>50015</t>
  </si>
  <si>
    <t>The Greater Cleveland Regional Transit Authority</t>
  </si>
  <si>
    <t>50027</t>
  </si>
  <si>
    <t>Metro Transit</t>
  </si>
  <si>
    <t>50066</t>
  </si>
  <si>
    <t>Chicago Transit Authority</t>
  </si>
  <si>
    <t>50104</t>
  </si>
  <si>
    <t>Northern Indiana Commuter Transportation District, dba: South Shore Line</t>
  </si>
  <si>
    <t>50118</t>
  </si>
  <si>
    <t>Northeast Illinois Regional Commuter Railroad Corporation, dba: Metra</t>
  </si>
  <si>
    <t>50141</t>
  </si>
  <si>
    <t>Detroit Transportation Corporation, dba: Detroit People Mover</t>
  </si>
  <si>
    <t>50213</t>
  </si>
  <si>
    <t>M-1 Rail, dba: QLINE Detroit</t>
  </si>
  <si>
    <t>55311</t>
  </si>
  <si>
    <t>City of Cincinnati, dba: The Connector</t>
  </si>
  <si>
    <t>55312</t>
  </si>
  <si>
    <t>City of Milwaukee, dba: Milwaukee Streetcar System - The Hop Streetcar MKE</t>
  </si>
  <si>
    <t>60006</t>
  </si>
  <si>
    <t>City of El Paso, dba: Sun Metro</t>
  </si>
  <si>
    <t>60007</t>
  </si>
  <si>
    <t>Fort Worth Transportation Authority, dba: Trinity Metro</t>
  </si>
  <si>
    <t>60008</t>
  </si>
  <si>
    <t>Metropolitan Transit Authority of Harris County, Texas, dba: METRO</t>
  </si>
  <si>
    <t>60015</t>
  </si>
  <si>
    <t>City of Galveston, dba: Galveston Island Transit</t>
  </si>
  <si>
    <t>60017</t>
  </si>
  <si>
    <t>Central Oklahoma Transportation and Parking Authority, dba: EMBARK</t>
  </si>
  <si>
    <t>60032</t>
  </si>
  <si>
    <t>New Orleans Regional Transit Authority</t>
  </si>
  <si>
    <t>60033</t>
  </si>
  <si>
    <t>Rock Region Metropolitan Transit Authority, dba: Rock Region METRO</t>
  </si>
  <si>
    <t>60048</t>
  </si>
  <si>
    <t>Capital Metropolitan Transportation Authority, dba: Capital Metro</t>
  </si>
  <si>
    <t>60056</t>
  </si>
  <si>
    <t>Dallas Area Rapid Transit</t>
  </si>
  <si>
    <t>60101</t>
  </si>
  <si>
    <t>Denton County Transportation Authority</t>
  </si>
  <si>
    <t>60111</t>
  </si>
  <si>
    <t>Rio Metro Regional Transit District</t>
  </si>
  <si>
    <t>60133</t>
  </si>
  <si>
    <t>McKinney Avenue Transit Authority</t>
  </si>
  <si>
    <t>70006</t>
  </si>
  <si>
    <t>Bi-State Development Agency of the Missouri-Illinois Metropolitan District, dba: (St. Louis) Metro</t>
  </si>
  <si>
    <t>70057</t>
  </si>
  <si>
    <t>Loop Trolley Transportation Development District</t>
  </si>
  <si>
    <t>70271</t>
  </si>
  <si>
    <t>Kansas City, City of Missouri, dba: Kansas City Streetcar</t>
  </si>
  <si>
    <t>80001</t>
  </si>
  <si>
    <t>Utah Transit Authority</t>
  </si>
  <si>
    <t>80006</t>
  </si>
  <si>
    <t>Denver Regional Transportation District, dba: RTD-Denver</t>
  </si>
  <si>
    <t>90002</t>
  </si>
  <si>
    <t>City and County of Honolulu</t>
  </si>
  <si>
    <t>90003</t>
  </si>
  <si>
    <t>San Francisco Bay Area Rapid Transit District, dba: SF BART</t>
  </si>
  <si>
    <t>90013</t>
  </si>
  <si>
    <t>Santa Clara Valley Transportation Authority, dba: Valley Transportation Authority</t>
  </si>
  <si>
    <t>90015</t>
  </si>
  <si>
    <t>City and County of San Francisco, dba: San Francisco Municipal Transportation Agency</t>
  </si>
  <si>
    <t>CC</t>
  </si>
  <si>
    <t>90019</t>
  </si>
  <si>
    <t>Sacramento Regional Transit District, dba: Sacramento RT</t>
  </si>
  <si>
    <t>90026</t>
  </si>
  <si>
    <t>San Diego Metropolitan Transit System</t>
  </si>
  <si>
    <t>90030</t>
  </si>
  <si>
    <t>North County Transit District</t>
  </si>
  <si>
    <t>90033</t>
  </si>
  <si>
    <t>City of Tucson, dba: Sun Tran</t>
  </si>
  <si>
    <t>90134</t>
  </si>
  <si>
    <t>Peninsula Corridor Joint Powers Board, dba: Caltrain</t>
  </si>
  <si>
    <t>90151</t>
  </si>
  <si>
    <t>Southern California Regional Rail Authority, dba: Metrolink</t>
  </si>
  <si>
    <t>90154</t>
  </si>
  <si>
    <t>Los Angeles County Metropolitan Transportation Authority, dba: Metro</t>
  </si>
  <si>
    <t>90182</t>
  </si>
  <si>
    <t>Altamont Corridor Express</t>
  </si>
  <si>
    <t>90209</t>
  </si>
  <si>
    <t>Valley Metro Rail, Inc.</t>
  </si>
  <si>
    <t>90299</t>
  </si>
  <si>
    <t>Sonoma-Marin Area Rail Transit District</t>
  </si>
  <si>
    <t>Amtrak</t>
  </si>
  <si>
    <t>Amtrak electric services (Northeast Corridor, Keystone)</t>
  </si>
  <si>
    <t>IR</t>
  </si>
  <si>
    <t>Amtrak diesel services (state-supported, long-distance)</t>
  </si>
  <si>
    <t>Amtrak (intercity rail; does not report to NTD)</t>
  </si>
  <si>
    <t>unit: the figures below are in millions unless marked</t>
  </si>
  <si>
    <t>passenger-miles FY2024, Northeast Corridor (Acela + Northeast Regional), million</t>
  </si>
  <si>
    <t>Amtrak Monthly Performance Report, September 2024 (FY2024), Table 8</t>
  </si>
  <si>
    <t>passenger-miles FY2024, Keystone (electrified), million</t>
  </si>
  <si>
    <t>same</t>
  </si>
  <si>
    <t>passenger-miles FY2024, system, million</t>
  </si>
  <si>
    <t>same, p4</t>
  </si>
  <si>
    <t>train-miles FY2024, Northeast Corridor, million</t>
  </si>
  <si>
    <t>train-miles FY2024, Keystone, million</t>
  </si>
  <si>
    <t>train-miles FY2024, system, million</t>
  </si>
  <si>
    <t>train-miles 2019, thousand</t>
  </si>
  <si>
    <t>ORNL Transportation Energy Data Book Edition 40, Table 10.10 (latest year with Amtrak car-miles)</t>
  </si>
  <si>
    <t>car-miles 2019, thousand</t>
  </si>
  <si>
    <t>cars per train = car-miles / train-miles, 2019</t>
  </si>
  <si>
    <t>applied to FY2024 train-miles</t>
  </si>
  <si>
    <t>diesel fuel FY2023, million gallons (latest published)</t>
  </si>
  <si>
    <t>Amtrak FY23 Sustainability Report, p23; not stated as traction-only</t>
  </si>
  <si>
    <t>electricity FY2023, Northeast Corridor traction and non-propulsion, million kWh (latest published)</t>
  </si>
  <si>
    <t>same, p25; traction not separated</t>
  </si>
  <si>
    <t>operated fleet at the start of FY2024: locomotives, cars, trainset and state-owned units</t>
  </si>
  <si>
    <t>Amtrak Five-Year Service and Asset Line Plans FY24-29, p86</t>
  </si>
  <si>
    <t>Constant-service path: car-miles per car held at 2024, fleet on its trend, loading = passenger-miles / car-miles up to the 2019 level</t>
  </si>
  <si>
    <t>transit rail car-miles 2024 (NTD rows above)</t>
  </si>
  <si>
    <t>Amtrak car-miles 2024 (Amtrak rows above)</t>
  </si>
  <si>
    <t>NTS transit rail vehicles: first year</t>
  </si>
  <si>
    <t>BTS National Transportation Statistics Table 1-11 (light rail + heavy rail cars + commuter rail cars and locomotives)</t>
  </si>
  <si>
    <t>NTS transit rail vehicles: last year</t>
  </si>
  <si>
    <t>NTS transit rail vehicles, first year</t>
  </si>
  <si>
    <t>NTS transit rail vehicles, last year</t>
  </si>
  <si>
    <t>TRANSIT FLEET TREND, log growth per year (Amtrak held flat: its fleet has been flat to falling since 2013)</t>
  </si>
  <si>
    <t>unit: thousand</t>
  </si>
  <si>
    <t>transit rail passenger-miles 2019</t>
  </si>
  <si>
    <t>NTD Time Series TS2.1 (data.transportation.gov npsm-38gk), modes HR LR SR CR YR MG CC IP AR</t>
  </si>
  <si>
    <t>transit rail car revenue miles 2019</t>
  </si>
  <si>
    <t>transit rail car revenue miles 2024</t>
  </si>
  <si>
    <t>Amtrak passenger-miles 2019, million</t>
  </si>
  <si>
    <t>ORNL Transportation Energy Data Book Edition 40, Table 10.10</t>
  </si>
  <si>
    <t>LOADING CAP: 2019 passengers per car-mile, transit and Amtrak (transit 2019 revenue car-miles scaled to all car-miles by the 2024 ratio)</t>
  </si>
  <si>
    <t>Minimum BAU fleet growth rate (1/year)</t>
  </si>
  <si>
    <t>passengers</t>
  </si>
  <si>
    <t>freight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</si>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</sst>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transportation.gov/browse?q=N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5" x14ac:dyDescent="0.25"/>
  <cols>
    <col min="1" max="1" width="16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ht="30" x14ac:dyDescent="0.25">
      <c r="B5" s="3" t="s">
        <v>4</v>
      </c>
    </row>
    <row r="6" spans="1:2" x14ac:dyDescent="0.25">
      <c r="B6">
        <v>2024</v>
      </c>
    </row>
    <row r="7" spans="1:2" x14ac:dyDescent="0.25">
      <c r="B7" s="4" t="s">
        <v>5</v>
      </c>
    </row>
    <row r="8" spans="1:2" ht="30" x14ac:dyDescent="0.25">
      <c r="B8" s="3" t="s">
        <v>6</v>
      </c>
    </row>
    <row r="10" spans="1:2" x14ac:dyDescent="0.25">
      <c r="A10" s="1" t="s">
        <v>7</v>
      </c>
    </row>
    <row r="11" spans="1:2" ht="75" customHeight="1" x14ac:dyDescent="0.25">
      <c r="A11" s="1" t="s">
        <v>8</v>
      </c>
      <c r="B11" s="3" t="s">
        <v>9</v>
      </c>
    </row>
    <row r="12" spans="1:2" ht="75" customHeight="1" x14ac:dyDescent="0.25">
      <c r="A12" s="1" t="s">
        <v>10</v>
      </c>
      <c r="B12" s="3" t="s">
        <v>11</v>
      </c>
    </row>
  </sheetData>
  <hyperlinks>
    <hyperlink ref="B7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1"/>
  <sheetViews>
    <sheetView workbookViewId="0"/>
  </sheetViews>
  <sheetFormatPr defaultRowHeight="15" x14ac:dyDescent="0.25"/>
  <cols>
    <col min="2" max="2" width="40" customWidth="1"/>
    <col min="17" max="17" width="70" customWidth="1"/>
    <col min="18" max="18" width="16" customWidth="1"/>
  </cols>
  <sheetData>
    <row r="1" spans="1:21" x14ac:dyDescent="0.25">
      <c r="A1" t="s">
        <v>12</v>
      </c>
      <c r="Q1" t="s">
        <v>13</v>
      </c>
      <c r="R1" t="s">
        <v>14</v>
      </c>
      <c r="T1" t="s">
        <v>15</v>
      </c>
      <c r="U1" t="s">
        <v>14</v>
      </c>
    </row>
    <row r="2" spans="1:21" x14ac:dyDescent="0.25">
      <c r="A2" t="s">
        <v>16</v>
      </c>
      <c r="Q2" t="s">
        <v>17</v>
      </c>
      <c r="R2">
        <f>SUM(E$8:E$119)</f>
        <v>28683554274</v>
      </c>
      <c r="T2" t="s">
        <v>18</v>
      </c>
      <c r="U2" t="s">
        <v>19</v>
      </c>
    </row>
    <row r="3" spans="1:21" x14ac:dyDescent="0.25">
      <c r="A3" t="s">
        <v>20</v>
      </c>
      <c r="E3">
        <v>138700</v>
      </c>
      <c r="Q3" t="s">
        <v>21</v>
      </c>
      <c r="R3">
        <f>SUM(F$8:F$119)</f>
        <v>1485200751.0887318</v>
      </c>
      <c r="T3" t="s">
        <v>22</v>
      </c>
      <c r="U3" t="s">
        <v>23</v>
      </c>
    </row>
    <row r="4" spans="1:21" x14ac:dyDescent="0.25">
      <c r="A4" t="s">
        <v>24</v>
      </c>
      <c r="E4">
        <v>3412.14</v>
      </c>
      <c r="Q4" t="s">
        <v>25</v>
      </c>
      <c r="R4">
        <f>R2/R3</f>
        <v>19.312913929631005</v>
      </c>
      <c r="T4" t="s">
        <v>26</v>
      </c>
      <c r="U4" t="s">
        <v>27</v>
      </c>
    </row>
    <row r="5" spans="1:21" x14ac:dyDescent="0.25">
      <c r="A5" t="s">
        <v>28</v>
      </c>
      <c r="Q5" t="s">
        <v>29</v>
      </c>
      <c r="R5">
        <f>SUM(L$8:L$119)</f>
        <v>21768676226600</v>
      </c>
      <c r="T5" t="s">
        <v>30</v>
      </c>
      <c r="U5" t="s">
        <v>31</v>
      </c>
    </row>
    <row r="6" spans="1:21" x14ac:dyDescent="0.25">
      <c r="Q6" t="s">
        <v>32</v>
      </c>
      <c r="R6">
        <f>SUM(M$8:M$119)</f>
        <v>24622629544878.297</v>
      </c>
      <c r="T6" t="s">
        <v>33</v>
      </c>
      <c r="U6" t="s">
        <v>34</v>
      </c>
    </row>
    <row r="7" spans="1:21" x14ac:dyDescent="0.25">
      <c r="A7" t="s">
        <v>35</v>
      </c>
      <c r="B7" t="s">
        <v>36</v>
      </c>
      <c r="C7" t="s">
        <v>37</v>
      </c>
      <c r="D7" t="s">
        <v>38</v>
      </c>
      <c r="E7" t="s">
        <v>17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29</v>
      </c>
      <c r="M7" t="s">
        <v>32</v>
      </c>
      <c r="N7" t="s">
        <v>45</v>
      </c>
      <c r="O7" t="s">
        <v>46</v>
      </c>
      <c r="Q7" t="s">
        <v>47</v>
      </c>
      <c r="R7">
        <f>(SUMIFS(L$8:L$119,C$8:C$119,$U$6,N$8:N$119,$U$3)+SUMIFS(L$8:L$119,C$8:C$119,$U$7,N$8:N$119,$U$3)+SUMIFS(L$8:L$119,C$8:C$119,$U$8,N$8:N$119,$U$3))/(SUMIFS(E$8:E$119,C$8:C$119,$U$6,N$8:N$119,$U$3)+SUMIFS(E$8:E$119,C$8:C$119,$U$7,N$8:N$119,$U$3)+SUMIFS(E$8:E$119,C$8:C$119,$U$8,N$8:N$119,$U$3))</f>
        <v>4262.6063289651502</v>
      </c>
      <c r="T7" t="s">
        <v>48</v>
      </c>
      <c r="U7" t="s">
        <v>49</v>
      </c>
    </row>
    <row r="8" spans="1:21" x14ac:dyDescent="0.25">
      <c r="A8" t="s">
        <v>50</v>
      </c>
      <c r="B8" t="s">
        <v>51</v>
      </c>
      <c r="C8" t="s">
        <v>52</v>
      </c>
      <c r="D8" t="s">
        <v>53</v>
      </c>
      <c r="E8">
        <v>1648929</v>
      </c>
      <c r="F8">
        <v>179869</v>
      </c>
      <c r="G8">
        <v>0</v>
      </c>
      <c r="H8">
        <v>0</v>
      </c>
      <c r="I8">
        <v>0</v>
      </c>
      <c r="J8">
        <v>2041272</v>
      </c>
      <c r="K8">
        <v>0</v>
      </c>
      <c r="L8">
        <f t="shared" ref="L8:L39" si="0">(G8+H8+I8)*$E$3</f>
        <v>0</v>
      </c>
      <c r="M8">
        <f t="shared" ref="M8:M39" si="1">(J8+K8)*$E$4</f>
        <v>6965105842.0799999</v>
      </c>
      <c r="N8" t="str">
        <f t="shared" ref="N8:N39" si="2">IF(AND(L8&gt;0,M8&gt;0),$U$2,IF(L8&gt;0,$U$3,IF(M8&gt;0,$U$4,$U$5)))</f>
        <v>electric</v>
      </c>
      <c r="O8">
        <f t="shared" ref="O8:O39" si="3">IF(L8+M8=0,0,E8*L8/(L8+$R$9*M8))</f>
        <v>0</v>
      </c>
      <c r="Q8" t="s">
        <v>54</v>
      </c>
      <c r="R8">
        <f>(SUMIFS(M$8:M$119,C$8:C$119,$U$6,N$8:N$119,$U$4)+SUMIFS(M$8:M$119,C$8:C$119,$U$7,N$8:N$119,$U$4)+SUMIFS(M$8:M$119,C$8:C$119,$U$8,N$8:N$119,$U$4))/(SUMIFS(E$8:E$119,C$8:C$119,$U$6,N$8:N$119,$U$4)+SUMIFS(E$8:E$119,C$8:C$119,$U$7,N$8:N$119,$U$4)+SUMIFS(E$8:E$119,C$8:C$119,$U$8,N$8:N$119,$U$4))</f>
        <v>1748.2219067589738</v>
      </c>
      <c r="T8" t="s">
        <v>55</v>
      </c>
      <c r="U8" t="s">
        <v>56</v>
      </c>
    </row>
    <row r="9" spans="1:21" x14ac:dyDescent="0.25">
      <c r="A9" t="s">
        <v>57</v>
      </c>
      <c r="B9" t="s">
        <v>58</v>
      </c>
      <c r="C9" t="s">
        <v>59</v>
      </c>
      <c r="D9" t="s">
        <v>53</v>
      </c>
      <c r="E9">
        <v>105192826</v>
      </c>
      <c r="F9">
        <v>7455184</v>
      </c>
      <c r="G9">
        <v>0</v>
      </c>
      <c r="H9">
        <v>0</v>
      </c>
      <c r="I9">
        <v>0</v>
      </c>
      <c r="J9">
        <v>48984212</v>
      </c>
      <c r="K9">
        <v>0</v>
      </c>
      <c r="L9">
        <f t="shared" si="0"/>
        <v>0</v>
      </c>
      <c r="M9">
        <f t="shared" si="1"/>
        <v>167140989133.67999</v>
      </c>
      <c r="N9" t="str">
        <f t="shared" si="2"/>
        <v>electric</v>
      </c>
      <c r="O9">
        <f t="shared" si="3"/>
        <v>0</v>
      </c>
      <c r="Q9" t="s">
        <v>60</v>
      </c>
      <c r="R9">
        <f>R7/R8</f>
        <v>2.4382524395130081</v>
      </c>
    </row>
    <row r="10" spans="1:21" x14ac:dyDescent="0.25">
      <c r="A10" t="s">
        <v>57</v>
      </c>
      <c r="B10" t="s">
        <v>58</v>
      </c>
      <c r="C10" t="s">
        <v>49</v>
      </c>
      <c r="D10" t="s">
        <v>61</v>
      </c>
      <c r="E10">
        <v>914603</v>
      </c>
      <c r="F10">
        <v>75081</v>
      </c>
      <c r="G10">
        <v>0</v>
      </c>
      <c r="H10">
        <v>0</v>
      </c>
      <c r="I10">
        <v>77680</v>
      </c>
      <c r="J10">
        <v>0</v>
      </c>
      <c r="K10">
        <v>0</v>
      </c>
      <c r="L10">
        <f t="shared" si="0"/>
        <v>10774216000</v>
      </c>
      <c r="M10">
        <f t="shared" si="1"/>
        <v>0</v>
      </c>
      <c r="N10" t="str">
        <f t="shared" si="2"/>
        <v>diesel</v>
      </c>
      <c r="O10">
        <f t="shared" si="3"/>
        <v>914603</v>
      </c>
      <c r="Q10" t="s">
        <v>46</v>
      </c>
      <c r="R10">
        <f>SUM(O$8:O$119)</f>
        <v>7699163142.3671284</v>
      </c>
    </row>
    <row r="11" spans="1:21" x14ac:dyDescent="0.25">
      <c r="A11" t="s">
        <v>62</v>
      </c>
      <c r="B11" t="s">
        <v>63</v>
      </c>
      <c r="C11" t="s">
        <v>64</v>
      </c>
      <c r="D11" t="s">
        <v>61</v>
      </c>
      <c r="E11">
        <v>1944795</v>
      </c>
      <c r="F11">
        <v>222498</v>
      </c>
      <c r="G11">
        <v>0</v>
      </c>
      <c r="H11">
        <v>0</v>
      </c>
      <c r="I11">
        <v>0</v>
      </c>
      <c r="J11">
        <v>502326</v>
      </c>
      <c r="K11">
        <v>0</v>
      </c>
      <c r="L11">
        <f t="shared" si="0"/>
        <v>0</v>
      </c>
      <c r="M11">
        <f t="shared" si="1"/>
        <v>1714006637.6399999</v>
      </c>
      <c r="N11" t="str">
        <f t="shared" si="2"/>
        <v>electric</v>
      </c>
      <c r="O11">
        <f t="shared" si="3"/>
        <v>0</v>
      </c>
      <c r="Q11" t="s">
        <v>65</v>
      </c>
      <c r="R11">
        <f>R10/R2</f>
        <v>0.26841733311084043</v>
      </c>
    </row>
    <row r="12" spans="1:21" x14ac:dyDescent="0.25">
      <c r="A12" t="s">
        <v>66</v>
      </c>
      <c r="B12" t="s">
        <v>67</v>
      </c>
      <c r="C12" t="s">
        <v>34</v>
      </c>
      <c r="D12" t="s">
        <v>61</v>
      </c>
      <c r="E12">
        <v>45961866</v>
      </c>
      <c r="F12">
        <v>1753802</v>
      </c>
      <c r="G12">
        <v>1268118</v>
      </c>
      <c r="H12">
        <v>0</v>
      </c>
      <c r="I12">
        <v>0</v>
      </c>
      <c r="J12">
        <v>0</v>
      </c>
      <c r="K12">
        <v>0</v>
      </c>
      <c r="L12">
        <f t="shared" si="0"/>
        <v>175887966600</v>
      </c>
      <c r="M12">
        <f t="shared" si="1"/>
        <v>0</v>
      </c>
      <c r="N12" t="str">
        <f t="shared" si="2"/>
        <v>diesel</v>
      </c>
      <c r="O12">
        <f t="shared" si="3"/>
        <v>45961866</v>
      </c>
      <c r="Q12" t="s">
        <v>68</v>
      </c>
      <c r="R12">
        <f>R5/R10</f>
        <v>2827.4080993050839</v>
      </c>
    </row>
    <row r="13" spans="1:21" x14ac:dyDescent="0.25">
      <c r="A13" t="s">
        <v>66</v>
      </c>
      <c r="B13" t="s">
        <v>67</v>
      </c>
      <c r="C13" t="s">
        <v>59</v>
      </c>
      <c r="D13" t="s">
        <v>53</v>
      </c>
      <c r="E13">
        <v>232615362</v>
      </c>
      <c r="F13">
        <v>10618532</v>
      </c>
      <c r="G13">
        <v>0</v>
      </c>
      <c r="H13">
        <v>0</v>
      </c>
      <c r="I13">
        <v>0</v>
      </c>
      <c r="J13">
        <v>46171043</v>
      </c>
      <c r="K13">
        <v>0</v>
      </c>
      <c r="L13">
        <f t="shared" si="0"/>
        <v>0</v>
      </c>
      <c r="M13">
        <f t="shared" si="1"/>
        <v>157542062662.01999</v>
      </c>
      <c r="N13" t="str">
        <f t="shared" si="2"/>
        <v>electric</v>
      </c>
      <c r="O13">
        <f t="shared" si="3"/>
        <v>0</v>
      </c>
      <c r="Q13" t="s">
        <v>69</v>
      </c>
      <c r="R13">
        <f>R6/(R2-R10)</f>
        <v>1173.3783167890426</v>
      </c>
    </row>
    <row r="14" spans="1:21" x14ac:dyDescent="0.25">
      <c r="A14" t="s">
        <v>66</v>
      </c>
      <c r="B14" t="s">
        <v>67</v>
      </c>
      <c r="C14" t="s">
        <v>52</v>
      </c>
      <c r="D14" t="s">
        <v>53</v>
      </c>
      <c r="E14">
        <v>1621374</v>
      </c>
      <c r="F14">
        <v>203617</v>
      </c>
      <c r="G14">
        <v>0</v>
      </c>
      <c r="H14">
        <v>0</v>
      </c>
      <c r="I14">
        <v>0</v>
      </c>
      <c r="J14">
        <v>1131997</v>
      </c>
      <c r="K14">
        <v>0</v>
      </c>
      <c r="L14">
        <f t="shared" si="0"/>
        <v>0</v>
      </c>
      <c r="M14">
        <f t="shared" si="1"/>
        <v>3862532243.5799999</v>
      </c>
      <c r="N14" t="str">
        <f t="shared" si="2"/>
        <v>electric</v>
      </c>
      <c r="O14">
        <f t="shared" si="3"/>
        <v>0</v>
      </c>
      <c r="Q14" t="s">
        <v>70</v>
      </c>
      <c r="R14">
        <f>R10/(R4*R5)</f>
        <v>1.8313177181363191E-5</v>
      </c>
    </row>
    <row r="15" spans="1:21" x14ac:dyDescent="0.25">
      <c r="A15" t="s">
        <v>71</v>
      </c>
      <c r="B15" t="s">
        <v>72</v>
      </c>
      <c r="C15" t="s">
        <v>56</v>
      </c>
      <c r="D15" t="s">
        <v>53</v>
      </c>
      <c r="E15">
        <v>29263348</v>
      </c>
      <c r="F15">
        <v>1293986</v>
      </c>
      <c r="G15">
        <v>1010273</v>
      </c>
      <c r="H15">
        <v>0</v>
      </c>
      <c r="I15">
        <v>0</v>
      </c>
      <c r="J15">
        <v>0</v>
      </c>
      <c r="K15">
        <v>0</v>
      </c>
      <c r="L15">
        <f t="shared" si="0"/>
        <v>140124865100</v>
      </c>
      <c r="M15">
        <f t="shared" si="1"/>
        <v>0</v>
      </c>
      <c r="N15" t="str">
        <f t="shared" si="2"/>
        <v>diesel</v>
      </c>
      <c r="O15">
        <f t="shared" si="3"/>
        <v>29263348</v>
      </c>
      <c r="Q15" t="s">
        <v>73</v>
      </c>
      <c r="R15">
        <f>(R2-R10)/(R4*R6)</f>
        <v>4.4127989025984753E-5</v>
      </c>
    </row>
    <row r="16" spans="1:21" x14ac:dyDescent="0.25">
      <c r="A16" t="s">
        <v>74</v>
      </c>
      <c r="B16" t="s">
        <v>75</v>
      </c>
      <c r="C16" t="s">
        <v>52</v>
      </c>
      <c r="D16" t="s">
        <v>61</v>
      </c>
      <c r="E16">
        <v>3263448</v>
      </c>
      <c r="F16">
        <v>375080</v>
      </c>
      <c r="G16">
        <v>0</v>
      </c>
      <c r="H16">
        <v>0</v>
      </c>
      <c r="I16">
        <v>0</v>
      </c>
      <c r="J16">
        <v>2449029</v>
      </c>
      <c r="K16">
        <v>0</v>
      </c>
      <c r="L16">
        <f t="shared" si="0"/>
        <v>0</v>
      </c>
      <c r="M16">
        <f t="shared" si="1"/>
        <v>8356429812.0599995</v>
      </c>
      <c r="N16" t="str">
        <f t="shared" si="2"/>
        <v>electric</v>
      </c>
      <c r="O16">
        <f t="shared" si="3"/>
        <v>0</v>
      </c>
    </row>
    <row r="17" spans="1:15" x14ac:dyDescent="0.25">
      <c r="A17" t="s">
        <v>76</v>
      </c>
      <c r="B17" t="s">
        <v>77</v>
      </c>
      <c r="C17" t="s">
        <v>34</v>
      </c>
      <c r="D17" t="s">
        <v>61</v>
      </c>
      <c r="E17">
        <v>623645452</v>
      </c>
      <c r="F17">
        <v>25897858</v>
      </c>
      <c r="G17">
        <v>13681038</v>
      </c>
      <c r="H17">
        <v>0</v>
      </c>
      <c r="I17">
        <v>0</v>
      </c>
      <c r="J17">
        <v>0</v>
      </c>
      <c r="K17">
        <v>0</v>
      </c>
      <c r="L17">
        <f t="shared" si="0"/>
        <v>1897559970600</v>
      </c>
      <c r="M17">
        <f t="shared" si="1"/>
        <v>0</v>
      </c>
      <c r="N17" t="str">
        <f t="shared" si="2"/>
        <v>diesel</v>
      </c>
      <c r="O17">
        <f t="shared" si="3"/>
        <v>623645452</v>
      </c>
    </row>
    <row r="18" spans="1:15" x14ac:dyDescent="0.25">
      <c r="A18" t="s">
        <v>76</v>
      </c>
      <c r="B18" t="s">
        <v>77</v>
      </c>
      <c r="C18" t="s">
        <v>78</v>
      </c>
      <c r="D18" t="s">
        <v>53</v>
      </c>
      <c r="E18">
        <v>285908256</v>
      </c>
      <c r="F18">
        <v>17854088</v>
      </c>
      <c r="G18">
        <v>0</v>
      </c>
      <c r="H18">
        <v>0</v>
      </c>
      <c r="I18">
        <v>0</v>
      </c>
      <c r="J18">
        <v>142632015</v>
      </c>
      <c r="K18">
        <v>0</v>
      </c>
      <c r="L18">
        <f t="shared" si="0"/>
        <v>0</v>
      </c>
      <c r="M18">
        <f t="shared" si="1"/>
        <v>486680403662.09998</v>
      </c>
      <c r="N18" t="str">
        <f t="shared" si="2"/>
        <v>electric</v>
      </c>
      <c r="O18">
        <f t="shared" si="3"/>
        <v>0</v>
      </c>
    </row>
    <row r="19" spans="1:15" x14ac:dyDescent="0.25">
      <c r="A19" t="s">
        <v>76</v>
      </c>
      <c r="B19" t="s">
        <v>77</v>
      </c>
      <c r="C19" t="s">
        <v>59</v>
      </c>
      <c r="D19" t="s">
        <v>53</v>
      </c>
      <c r="E19">
        <v>91716040</v>
      </c>
      <c r="F19">
        <v>5880538</v>
      </c>
      <c r="G19">
        <v>0</v>
      </c>
      <c r="H19">
        <v>0</v>
      </c>
      <c r="I19">
        <v>0</v>
      </c>
      <c r="J19">
        <v>47544005</v>
      </c>
      <c r="K19">
        <v>0</v>
      </c>
      <c r="L19">
        <f t="shared" si="0"/>
        <v>0</v>
      </c>
      <c r="M19">
        <f t="shared" si="1"/>
        <v>162226801220.69998</v>
      </c>
      <c r="N19" t="str">
        <f t="shared" si="2"/>
        <v>electric</v>
      </c>
      <c r="O19">
        <f t="shared" si="3"/>
        <v>0</v>
      </c>
    </row>
    <row r="20" spans="1:15" x14ac:dyDescent="0.25">
      <c r="A20" t="s">
        <v>79</v>
      </c>
      <c r="B20" t="s">
        <v>80</v>
      </c>
      <c r="C20" t="s">
        <v>34</v>
      </c>
      <c r="D20" t="s">
        <v>61</v>
      </c>
      <c r="E20">
        <v>4901094</v>
      </c>
      <c r="F20">
        <v>1202139</v>
      </c>
      <c r="G20">
        <v>403161</v>
      </c>
      <c r="H20">
        <v>0</v>
      </c>
      <c r="I20">
        <v>0</v>
      </c>
      <c r="J20">
        <v>6231758</v>
      </c>
      <c r="K20">
        <v>0</v>
      </c>
      <c r="L20">
        <f t="shared" si="0"/>
        <v>55918430700</v>
      </c>
      <c r="M20">
        <f t="shared" si="1"/>
        <v>21263630742.119999</v>
      </c>
      <c r="N20" t="str">
        <f t="shared" si="2"/>
        <v>both</v>
      </c>
      <c r="O20">
        <f t="shared" si="3"/>
        <v>2543151.114829449</v>
      </c>
    </row>
    <row r="21" spans="1:15" x14ac:dyDescent="0.25">
      <c r="A21" t="s">
        <v>81</v>
      </c>
      <c r="B21" t="s">
        <v>82</v>
      </c>
      <c r="C21" t="s">
        <v>34</v>
      </c>
      <c r="D21" t="s">
        <v>61</v>
      </c>
      <c r="E21">
        <v>52331674</v>
      </c>
      <c r="F21">
        <v>2673990</v>
      </c>
      <c r="G21">
        <v>715513</v>
      </c>
      <c r="H21">
        <v>0</v>
      </c>
      <c r="I21">
        <v>0</v>
      </c>
      <c r="J21">
        <v>0</v>
      </c>
      <c r="K21">
        <v>0</v>
      </c>
      <c r="L21">
        <f t="shared" si="0"/>
        <v>99241653100</v>
      </c>
      <c r="M21">
        <f t="shared" si="1"/>
        <v>0</v>
      </c>
      <c r="N21" t="str">
        <f t="shared" si="2"/>
        <v>diesel</v>
      </c>
      <c r="O21">
        <f t="shared" si="3"/>
        <v>52331674</v>
      </c>
    </row>
    <row r="22" spans="1:15" x14ac:dyDescent="0.25">
      <c r="A22" t="s">
        <v>83</v>
      </c>
      <c r="B22" t="s">
        <v>84</v>
      </c>
      <c r="C22" t="s">
        <v>59</v>
      </c>
      <c r="D22" t="s">
        <v>53</v>
      </c>
      <c r="E22">
        <v>6845604</v>
      </c>
      <c r="F22">
        <v>705418</v>
      </c>
      <c r="G22">
        <v>0</v>
      </c>
      <c r="H22">
        <v>0</v>
      </c>
      <c r="I22">
        <v>0</v>
      </c>
      <c r="J22">
        <v>7293205</v>
      </c>
      <c r="K22">
        <v>0</v>
      </c>
      <c r="L22">
        <f t="shared" si="0"/>
        <v>0</v>
      </c>
      <c r="M22">
        <f t="shared" si="1"/>
        <v>24885436508.700001</v>
      </c>
      <c r="N22" t="str">
        <f t="shared" si="2"/>
        <v>electric</v>
      </c>
      <c r="O22">
        <f t="shared" si="3"/>
        <v>0</v>
      </c>
    </row>
    <row r="23" spans="1:15" x14ac:dyDescent="0.25">
      <c r="A23" t="s">
        <v>85</v>
      </c>
      <c r="B23" t="s">
        <v>86</v>
      </c>
      <c r="C23" t="s">
        <v>78</v>
      </c>
      <c r="D23" t="s">
        <v>53</v>
      </c>
      <c r="E23">
        <v>7794511321</v>
      </c>
      <c r="F23">
        <v>359841054</v>
      </c>
      <c r="G23">
        <v>0</v>
      </c>
      <c r="H23">
        <v>0</v>
      </c>
      <c r="I23">
        <v>0</v>
      </c>
      <c r="J23">
        <v>1582113600</v>
      </c>
      <c r="K23">
        <v>0</v>
      </c>
      <c r="L23">
        <f t="shared" si="0"/>
        <v>0</v>
      </c>
      <c r="M23">
        <f t="shared" si="1"/>
        <v>5398393099104</v>
      </c>
      <c r="N23" t="str">
        <f t="shared" si="2"/>
        <v>electric</v>
      </c>
      <c r="O23">
        <f t="shared" si="3"/>
        <v>0</v>
      </c>
    </row>
    <row r="24" spans="1:15" x14ac:dyDescent="0.25">
      <c r="A24" t="s">
        <v>87</v>
      </c>
      <c r="B24" t="s">
        <v>88</v>
      </c>
      <c r="C24" t="s">
        <v>78</v>
      </c>
      <c r="D24" t="s">
        <v>53</v>
      </c>
      <c r="E24">
        <v>48545810</v>
      </c>
      <c r="F24">
        <v>4700683</v>
      </c>
      <c r="G24">
        <v>0</v>
      </c>
      <c r="H24">
        <v>0</v>
      </c>
      <c r="I24">
        <v>0</v>
      </c>
      <c r="J24">
        <v>39106148</v>
      </c>
      <c r="K24">
        <v>0</v>
      </c>
      <c r="L24">
        <f t="shared" si="0"/>
        <v>0</v>
      </c>
      <c r="M24">
        <f t="shared" si="1"/>
        <v>133435651836.72</v>
      </c>
      <c r="N24" t="str">
        <f t="shared" si="2"/>
        <v>electric</v>
      </c>
      <c r="O24">
        <f t="shared" si="3"/>
        <v>0</v>
      </c>
    </row>
    <row r="25" spans="1:15" x14ac:dyDescent="0.25">
      <c r="A25" t="s">
        <v>89</v>
      </c>
      <c r="B25" t="s">
        <v>90</v>
      </c>
      <c r="C25" t="s">
        <v>34</v>
      </c>
      <c r="D25" t="s">
        <v>53</v>
      </c>
      <c r="E25">
        <v>1779620303</v>
      </c>
      <c r="F25">
        <v>71701380</v>
      </c>
      <c r="G25">
        <v>6782993</v>
      </c>
      <c r="H25">
        <v>399249</v>
      </c>
      <c r="I25">
        <v>0</v>
      </c>
      <c r="J25">
        <v>417215516</v>
      </c>
      <c r="K25">
        <v>0</v>
      </c>
      <c r="L25">
        <f t="shared" si="0"/>
        <v>996176965400</v>
      </c>
      <c r="M25">
        <f t="shared" si="1"/>
        <v>1423597750764.24</v>
      </c>
      <c r="N25" t="str">
        <f t="shared" si="2"/>
        <v>both</v>
      </c>
      <c r="O25">
        <f t="shared" si="3"/>
        <v>396845877.67764503</v>
      </c>
    </row>
    <row r="26" spans="1:15" x14ac:dyDescent="0.25">
      <c r="A26" t="s">
        <v>91</v>
      </c>
      <c r="B26" t="s">
        <v>92</v>
      </c>
      <c r="C26" t="s">
        <v>34</v>
      </c>
      <c r="D26" t="s">
        <v>53</v>
      </c>
      <c r="E26">
        <v>1544630816</v>
      </c>
      <c r="F26">
        <v>61284858</v>
      </c>
      <c r="G26">
        <v>14259786</v>
      </c>
      <c r="H26">
        <v>0</v>
      </c>
      <c r="I26">
        <v>0</v>
      </c>
      <c r="J26">
        <v>366698191</v>
      </c>
      <c r="K26">
        <v>0</v>
      </c>
      <c r="L26">
        <f t="shared" si="0"/>
        <v>1977832318200</v>
      </c>
      <c r="M26">
        <f t="shared" si="1"/>
        <v>1251225565438.74</v>
      </c>
      <c r="N26" t="str">
        <f t="shared" si="2"/>
        <v>both</v>
      </c>
      <c r="O26">
        <f t="shared" si="3"/>
        <v>607524721.11150193</v>
      </c>
    </row>
    <row r="27" spans="1:15" x14ac:dyDescent="0.25">
      <c r="A27" t="s">
        <v>91</v>
      </c>
      <c r="B27" t="s">
        <v>92</v>
      </c>
      <c r="C27" t="s">
        <v>59</v>
      </c>
      <c r="D27" t="s">
        <v>53</v>
      </c>
      <c r="E27">
        <v>12009584</v>
      </c>
      <c r="F27">
        <v>538405</v>
      </c>
      <c r="G27">
        <v>0</v>
      </c>
      <c r="H27">
        <v>0</v>
      </c>
      <c r="I27">
        <v>0</v>
      </c>
      <c r="J27">
        <v>7062767</v>
      </c>
      <c r="K27">
        <v>0</v>
      </c>
      <c r="L27">
        <f t="shared" si="0"/>
        <v>0</v>
      </c>
      <c r="M27">
        <f t="shared" si="1"/>
        <v>24099149791.379997</v>
      </c>
      <c r="N27" t="str">
        <f t="shared" si="2"/>
        <v>electric</v>
      </c>
      <c r="O27">
        <f t="shared" si="3"/>
        <v>0</v>
      </c>
    </row>
    <row r="28" spans="1:15" x14ac:dyDescent="0.25">
      <c r="A28" t="s">
        <v>91</v>
      </c>
      <c r="B28" t="s">
        <v>92</v>
      </c>
      <c r="C28" t="s">
        <v>59</v>
      </c>
      <c r="D28" t="s">
        <v>61</v>
      </c>
      <c r="E28">
        <v>59672470</v>
      </c>
      <c r="F28">
        <v>2199052</v>
      </c>
      <c r="G28">
        <v>0</v>
      </c>
      <c r="H28">
        <v>0</v>
      </c>
      <c r="I28">
        <v>0</v>
      </c>
      <c r="J28">
        <v>28611984</v>
      </c>
      <c r="K28">
        <v>0</v>
      </c>
      <c r="L28">
        <f t="shared" si="0"/>
        <v>0</v>
      </c>
      <c r="M28">
        <f t="shared" si="1"/>
        <v>97628095085.759995</v>
      </c>
      <c r="N28" t="str">
        <f t="shared" si="2"/>
        <v>electric</v>
      </c>
      <c r="O28">
        <f t="shared" si="3"/>
        <v>0</v>
      </c>
    </row>
    <row r="29" spans="1:15" x14ac:dyDescent="0.25">
      <c r="A29" t="s">
        <v>91</v>
      </c>
      <c r="B29" t="s">
        <v>92</v>
      </c>
      <c r="C29" t="s">
        <v>49</v>
      </c>
      <c r="D29" t="s">
        <v>61</v>
      </c>
      <c r="E29">
        <v>27024345</v>
      </c>
      <c r="F29">
        <v>997015</v>
      </c>
      <c r="G29">
        <v>537871</v>
      </c>
      <c r="H29">
        <v>0</v>
      </c>
      <c r="I29">
        <v>0</v>
      </c>
      <c r="J29">
        <v>0</v>
      </c>
      <c r="K29">
        <v>0</v>
      </c>
      <c r="L29">
        <f t="shared" si="0"/>
        <v>74602707700</v>
      </c>
      <c r="M29">
        <f t="shared" si="1"/>
        <v>0</v>
      </c>
      <c r="N29" t="str">
        <f t="shared" si="2"/>
        <v>diesel</v>
      </c>
      <c r="O29">
        <f t="shared" si="3"/>
        <v>27024345</v>
      </c>
    </row>
    <row r="30" spans="1:15" x14ac:dyDescent="0.25">
      <c r="A30" t="s">
        <v>93</v>
      </c>
      <c r="B30" t="s">
        <v>94</v>
      </c>
      <c r="C30" t="s">
        <v>78</v>
      </c>
      <c r="D30" t="s">
        <v>53</v>
      </c>
      <c r="E30">
        <v>304004374</v>
      </c>
      <c r="F30">
        <v>12974033</v>
      </c>
      <c r="G30">
        <v>0</v>
      </c>
      <c r="H30">
        <v>0</v>
      </c>
      <c r="I30">
        <v>0</v>
      </c>
      <c r="J30">
        <v>99311165</v>
      </c>
      <c r="K30">
        <v>0</v>
      </c>
      <c r="L30">
        <f t="shared" si="0"/>
        <v>0</v>
      </c>
      <c r="M30">
        <f t="shared" si="1"/>
        <v>338863598543.09998</v>
      </c>
      <c r="N30" t="str">
        <f t="shared" si="2"/>
        <v>electric</v>
      </c>
      <c r="O30">
        <f t="shared" si="3"/>
        <v>0</v>
      </c>
    </row>
    <row r="31" spans="1:15" x14ac:dyDescent="0.25">
      <c r="A31" t="s">
        <v>95</v>
      </c>
      <c r="B31" t="s">
        <v>96</v>
      </c>
      <c r="C31" t="s">
        <v>78</v>
      </c>
      <c r="D31" t="s">
        <v>53</v>
      </c>
      <c r="E31">
        <v>31417782</v>
      </c>
      <c r="F31">
        <v>2874491</v>
      </c>
      <c r="G31">
        <v>0</v>
      </c>
      <c r="H31">
        <v>0</v>
      </c>
      <c r="I31">
        <v>0</v>
      </c>
      <c r="J31">
        <v>24881003</v>
      </c>
      <c r="K31">
        <v>0</v>
      </c>
      <c r="L31">
        <f t="shared" si="0"/>
        <v>0</v>
      </c>
      <c r="M31">
        <f t="shared" si="1"/>
        <v>84897465576.419998</v>
      </c>
      <c r="N31" t="str">
        <f t="shared" si="2"/>
        <v>electric</v>
      </c>
      <c r="O31">
        <f t="shared" si="3"/>
        <v>0</v>
      </c>
    </row>
    <row r="32" spans="1:15" x14ac:dyDescent="0.25">
      <c r="A32" t="s">
        <v>97</v>
      </c>
      <c r="B32" t="s">
        <v>98</v>
      </c>
      <c r="C32" t="s">
        <v>34</v>
      </c>
      <c r="D32" t="s">
        <v>53</v>
      </c>
      <c r="E32">
        <v>2499870247</v>
      </c>
      <c r="F32">
        <v>84703545</v>
      </c>
      <c r="G32">
        <v>7099836</v>
      </c>
      <c r="H32">
        <v>0</v>
      </c>
      <c r="I32">
        <v>0</v>
      </c>
      <c r="J32">
        <v>592451600</v>
      </c>
      <c r="K32">
        <v>0</v>
      </c>
      <c r="L32">
        <f t="shared" si="0"/>
        <v>984747253200</v>
      </c>
      <c r="M32">
        <f t="shared" si="1"/>
        <v>2021527802424</v>
      </c>
      <c r="N32" t="str">
        <f t="shared" si="2"/>
        <v>both</v>
      </c>
      <c r="O32">
        <f t="shared" si="3"/>
        <v>416274537.13880426</v>
      </c>
    </row>
    <row r="33" spans="1:15" x14ac:dyDescent="0.25">
      <c r="A33" t="s">
        <v>99</v>
      </c>
      <c r="B33" t="s">
        <v>100</v>
      </c>
      <c r="C33" t="s">
        <v>101</v>
      </c>
      <c r="D33" t="s">
        <v>53</v>
      </c>
      <c r="E33">
        <v>0</v>
      </c>
      <c r="F33">
        <v>0</v>
      </c>
      <c r="G33">
        <v>0</v>
      </c>
      <c r="H33">
        <v>0</v>
      </c>
      <c r="I33">
        <v>0</v>
      </c>
      <c r="J33">
        <v>72246</v>
      </c>
      <c r="K33">
        <v>0</v>
      </c>
      <c r="L33">
        <f t="shared" si="0"/>
        <v>0</v>
      </c>
      <c r="M33">
        <f t="shared" si="1"/>
        <v>246513466.44</v>
      </c>
      <c r="N33" t="str">
        <f t="shared" si="2"/>
        <v>electric</v>
      </c>
      <c r="O33">
        <f t="shared" si="3"/>
        <v>0</v>
      </c>
    </row>
    <row r="34" spans="1:15" x14ac:dyDescent="0.25">
      <c r="A34" t="s">
        <v>102</v>
      </c>
      <c r="B34" t="s">
        <v>103</v>
      </c>
      <c r="C34" t="s">
        <v>34</v>
      </c>
      <c r="D34" t="s">
        <v>53</v>
      </c>
      <c r="E34">
        <v>286947833</v>
      </c>
      <c r="F34">
        <v>18323693</v>
      </c>
      <c r="G34">
        <v>0</v>
      </c>
      <c r="H34">
        <v>0</v>
      </c>
      <c r="I34">
        <v>0</v>
      </c>
      <c r="J34">
        <v>174646307</v>
      </c>
      <c r="K34">
        <v>0</v>
      </c>
      <c r="L34">
        <f t="shared" si="0"/>
        <v>0</v>
      </c>
      <c r="M34">
        <f t="shared" si="1"/>
        <v>595917649966.97998</v>
      </c>
      <c r="N34" t="str">
        <f t="shared" si="2"/>
        <v>electric</v>
      </c>
      <c r="O34">
        <f t="shared" si="3"/>
        <v>0</v>
      </c>
    </row>
    <row r="35" spans="1:15" x14ac:dyDescent="0.25">
      <c r="A35" t="s">
        <v>102</v>
      </c>
      <c r="B35" t="s">
        <v>103</v>
      </c>
      <c r="C35" t="s">
        <v>78</v>
      </c>
      <c r="D35" t="s">
        <v>53</v>
      </c>
      <c r="E35">
        <v>223995150</v>
      </c>
      <c r="F35">
        <v>15118261</v>
      </c>
      <c r="G35">
        <v>0</v>
      </c>
      <c r="H35">
        <v>0</v>
      </c>
      <c r="I35">
        <v>0</v>
      </c>
      <c r="J35">
        <v>120316719</v>
      </c>
      <c r="K35">
        <v>0</v>
      </c>
      <c r="L35">
        <f t="shared" si="0"/>
        <v>0</v>
      </c>
      <c r="M35">
        <f t="shared" si="1"/>
        <v>410537489568.65997</v>
      </c>
      <c r="N35" t="str">
        <f t="shared" si="2"/>
        <v>electric</v>
      </c>
      <c r="O35">
        <f t="shared" si="3"/>
        <v>0</v>
      </c>
    </row>
    <row r="36" spans="1:15" x14ac:dyDescent="0.25">
      <c r="A36" t="s">
        <v>102</v>
      </c>
      <c r="B36" t="s">
        <v>103</v>
      </c>
      <c r="C36" t="s">
        <v>52</v>
      </c>
      <c r="D36" t="s">
        <v>53</v>
      </c>
      <c r="E36">
        <v>32636599</v>
      </c>
      <c r="F36">
        <v>2409094</v>
      </c>
      <c r="G36">
        <v>0</v>
      </c>
      <c r="H36">
        <v>0</v>
      </c>
      <c r="I36">
        <v>0</v>
      </c>
      <c r="J36">
        <v>20391243</v>
      </c>
      <c r="K36">
        <v>0</v>
      </c>
      <c r="L36">
        <f t="shared" si="0"/>
        <v>0</v>
      </c>
      <c r="M36">
        <f t="shared" si="1"/>
        <v>69577775890.020004</v>
      </c>
      <c r="N36" t="str">
        <f t="shared" si="2"/>
        <v>electric</v>
      </c>
      <c r="O36">
        <f t="shared" si="3"/>
        <v>0</v>
      </c>
    </row>
    <row r="37" spans="1:15" x14ac:dyDescent="0.25">
      <c r="A37" t="s">
        <v>104</v>
      </c>
      <c r="B37" t="s">
        <v>105</v>
      </c>
      <c r="C37" t="s">
        <v>101</v>
      </c>
      <c r="D37" t="s">
        <v>53</v>
      </c>
      <c r="E37">
        <v>30819</v>
      </c>
      <c r="F37">
        <v>17747</v>
      </c>
      <c r="G37">
        <v>0</v>
      </c>
      <c r="H37">
        <v>0</v>
      </c>
      <c r="I37">
        <v>0</v>
      </c>
      <c r="J37">
        <v>201597</v>
      </c>
      <c r="K37">
        <v>0</v>
      </c>
      <c r="L37">
        <f t="shared" si="0"/>
        <v>0</v>
      </c>
      <c r="M37">
        <f t="shared" si="1"/>
        <v>687877187.57999992</v>
      </c>
      <c r="N37" t="str">
        <f t="shared" si="2"/>
        <v>electric</v>
      </c>
      <c r="O37">
        <f t="shared" si="3"/>
        <v>0</v>
      </c>
    </row>
    <row r="38" spans="1:15" x14ac:dyDescent="0.25">
      <c r="A38" t="s">
        <v>104</v>
      </c>
      <c r="B38" t="s">
        <v>105</v>
      </c>
      <c r="C38" t="s">
        <v>59</v>
      </c>
      <c r="D38" t="s">
        <v>53</v>
      </c>
      <c r="E38">
        <v>14408316</v>
      </c>
      <c r="F38">
        <v>1689288</v>
      </c>
      <c r="G38">
        <v>0</v>
      </c>
      <c r="H38">
        <v>0</v>
      </c>
      <c r="I38">
        <v>0</v>
      </c>
      <c r="J38">
        <v>25202413</v>
      </c>
      <c r="K38">
        <v>0</v>
      </c>
      <c r="L38">
        <f t="shared" si="0"/>
        <v>0</v>
      </c>
      <c r="M38">
        <f t="shared" si="1"/>
        <v>85994161493.819992</v>
      </c>
      <c r="N38" t="str">
        <f t="shared" si="2"/>
        <v>electric</v>
      </c>
      <c r="O38">
        <f t="shared" si="3"/>
        <v>0</v>
      </c>
    </row>
    <row r="39" spans="1:15" x14ac:dyDescent="0.25">
      <c r="A39" t="s">
        <v>106</v>
      </c>
      <c r="B39" t="s">
        <v>107</v>
      </c>
      <c r="C39" t="s">
        <v>78</v>
      </c>
      <c r="D39" t="s">
        <v>53</v>
      </c>
      <c r="E39">
        <v>795207355</v>
      </c>
      <c r="F39">
        <v>101555160</v>
      </c>
      <c r="G39">
        <v>0</v>
      </c>
      <c r="H39">
        <v>0</v>
      </c>
      <c r="I39">
        <v>0</v>
      </c>
      <c r="J39">
        <v>635905732</v>
      </c>
      <c r="K39">
        <v>0</v>
      </c>
      <c r="L39">
        <f t="shared" si="0"/>
        <v>0</v>
      </c>
      <c r="M39">
        <f t="shared" si="1"/>
        <v>2169799384386.48</v>
      </c>
      <c r="N39" t="str">
        <f t="shared" si="2"/>
        <v>electric</v>
      </c>
      <c r="O39">
        <f t="shared" si="3"/>
        <v>0</v>
      </c>
    </row>
    <row r="40" spans="1:15" x14ac:dyDescent="0.25">
      <c r="A40" t="s">
        <v>108</v>
      </c>
      <c r="B40" t="s">
        <v>109</v>
      </c>
      <c r="C40" t="s">
        <v>34</v>
      </c>
      <c r="D40" t="s">
        <v>61</v>
      </c>
      <c r="E40">
        <v>106782143</v>
      </c>
      <c r="F40">
        <v>6656115</v>
      </c>
      <c r="G40">
        <v>3920102</v>
      </c>
      <c r="H40">
        <v>0</v>
      </c>
      <c r="I40">
        <v>0</v>
      </c>
      <c r="J40">
        <v>21547100</v>
      </c>
      <c r="K40">
        <v>0</v>
      </c>
      <c r="L40">
        <f t="shared" ref="L40:L71" si="4">(G40+H40+I40)*$E$3</f>
        <v>543718147400</v>
      </c>
      <c r="M40">
        <f t="shared" ref="M40:M71" si="5">(J40+K40)*$E$4</f>
        <v>73521721794</v>
      </c>
      <c r="N40" t="str">
        <f t="shared" ref="N40:N71" si="6">IF(AND(L40&gt;0,M40&gt;0),$U$2,IF(L40&gt;0,$U$3,IF(M40&gt;0,$U$4,$U$5)))</f>
        <v>both</v>
      </c>
      <c r="O40">
        <f t="shared" ref="O40:O71" si="7">IF(L40+M40=0,0,E40*L40/(L40+$R$9*M40))</f>
        <v>80305368.004463151</v>
      </c>
    </row>
    <row r="41" spans="1:15" x14ac:dyDescent="0.25">
      <c r="A41" t="s">
        <v>108</v>
      </c>
      <c r="B41" t="s">
        <v>109</v>
      </c>
      <c r="C41" t="s">
        <v>78</v>
      </c>
      <c r="D41" t="s">
        <v>53</v>
      </c>
      <c r="E41">
        <v>19224430</v>
      </c>
      <c r="F41">
        <v>4866923</v>
      </c>
      <c r="G41">
        <v>0</v>
      </c>
      <c r="H41">
        <v>0</v>
      </c>
      <c r="I41">
        <v>0</v>
      </c>
      <c r="J41">
        <v>45000751</v>
      </c>
      <c r="K41">
        <v>0</v>
      </c>
      <c r="L41">
        <f t="shared" si="4"/>
        <v>0</v>
      </c>
      <c r="M41">
        <f t="shared" si="5"/>
        <v>153548862517.13998</v>
      </c>
      <c r="N41" t="str">
        <f t="shared" si="6"/>
        <v>electric</v>
      </c>
      <c r="O41">
        <f t="shared" si="7"/>
        <v>0</v>
      </c>
    </row>
    <row r="42" spans="1:15" x14ac:dyDescent="0.25">
      <c r="A42" t="s">
        <v>108</v>
      </c>
      <c r="B42" t="s">
        <v>109</v>
      </c>
      <c r="C42" t="s">
        <v>59</v>
      </c>
      <c r="D42" t="s">
        <v>53</v>
      </c>
      <c r="E42">
        <v>18433663</v>
      </c>
      <c r="F42">
        <v>2519023</v>
      </c>
      <c r="G42">
        <v>0</v>
      </c>
      <c r="H42">
        <v>0</v>
      </c>
      <c r="I42">
        <v>0</v>
      </c>
      <c r="J42">
        <v>20766510</v>
      </c>
      <c r="K42">
        <v>0</v>
      </c>
      <c r="L42">
        <f t="shared" si="4"/>
        <v>0</v>
      </c>
      <c r="M42">
        <f t="shared" si="5"/>
        <v>70858239431.399994</v>
      </c>
      <c r="N42" t="str">
        <f t="shared" si="6"/>
        <v>electric</v>
      </c>
      <c r="O42">
        <f t="shared" si="7"/>
        <v>0</v>
      </c>
    </row>
    <row r="43" spans="1:15" x14ac:dyDescent="0.25">
      <c r="A43" t="s">
        <v>110</v>
      </c>
      <c r="B43" t="s">
        <v>111</v>
      </c>
      <c r="C43" t="s">
        <v>34</v>
      </c>
      <c r="D43" t="s">
        <v>61</v>
      </c>
      <c r="E43">
        <v>39356325</v>
      </c>
      <c r="F43">
        <v>2040396</v>
      </c>
      <c r="G43">
        <v>0</v>
      </c>
      <c r="H43">
        <v>0</v>
      </c>
      <c r="I43">
        <v>0</v>
      </c>
      <c r="J43">
        <v>14204836</v>
      </c>
      <c r="K43">
        <v>0</v>
      </c>
      <c r="L43">
        <f t="shared" si="4"/>
        <v>0</v>
      </c>
      <c r="M43">
        <f t="shared" si="5"/>
        <v>48468889109.040001</v>
      </c>
      <c r="N43" t="str">
        <f t="shared" si="6"/>
        <v>electric</v>
      </c>
      <c r="O43">
        <f t="shared" si="7"/>
        <v>0</v>
      </c>
    </row>
    <row r="44" spans="1:15" x14ac:dyDescent="0.25">
      <c r="A44" t="s">
        <v>112</v>
      </c>
      <c r="B44" t="s">
        <v>113</v>
      </c>
      <c r="C44" t="s">
        <v>34</v>
      </c>
      <c r="D44" t="s">
        <v>61</v>
      </c>
      <c r="E44">
        <v>49660601</v>
      </c>
      <c r="F44">
        <v>2620452</v>
      </c>
      <c r="G44">
        <v>1734612</v>
      </c>
      <c r="H44">
        <v>0</v>
      </c>
      <c r="I44">
        <v>0</v>
      </c>
      <c r="J44">
        <v>0</v>
      </c>
      <c r="K44">
        <v>0</v>
      </c>
      <c r="L44">
        <f t="shared" si="4"/>
        <v>240590684400</v>
      </c>
      <c r="M44">
        <f t="shared" si="5"/>
        <v>0</v>
      </c>
      <c r="N44" t="str">
        <f t="shared" si="6"/>
        <v>diesel</v>
      </c>
      <c r="O44">
        <f t="shared" si="7"/>
        <v>49660601</v>
      </c>
    </row>
    <row r="45" spans="1:15" x14ac:dyDescent="0.25">
      <c r="A45" t="s">
        <v>114</v>
      </c>
      <c r="B45" t="s">
        <v>115</v>
      </c>
      <c r="C45" t="s">
        <v>59</v>
      </c>
      <c r="D45" t="s">
        <v>53</v>
      </c>
      <c r="E45">
        <v>3229116</v>
      </c>
      <c r="F45">
        <v>350330</v>
      </c>
      <c r="G45">
        <v>0</v>
      </c>
      <c r="H45">
        <v>0</v>
      </c>
      <c r="I45">
        <v>0</v>
      </c>
      <c r="J45">
        <v>3252940</v>
      </c>
      <c r="K45">
        <v>0</v>
      </c>
      <c r="L45">
        <f t="shared" si="4"/>
        <v>0</v>
      </c>
      <c r="M45">
        <f t="shared" si="5"/>
        <v>11099486691.6</v>
      </c>
      <c r="N45" t="str">
        <f t="shared" si="6"/>
        <v>electric</v>
      </c>
      <c r="O45">
        <f t="shared" si="7"/>
        <v>0</v>
      </c>
    </row>
    <row r="46" spans="1:15" x14ac:dyDescent="0.25">
      <c r="A46" t="s">
        <v>116</v>
      </c>
      <c r="B46" t="s">
        <v>117</v>
      </c>
      <c r="C46" t="s">
        <v>64</v>
      </c>
      <c r="D46" t="s">
        <v>53</v>
      </c>
      <c r="E46">
        <v>2849929</v>
      </c>
      <c r="F46">
        <v>561395</v>
      </c>
      <c r="G46">
        <v>0</v>
      </c>
      <c r="H46">
        <v>0</v>
      </c>
      <c r="I46">
        <v>0</v>
      </c>
      <c r="J46">
        <v>2399715</v>
      </c>
      <c r="K46">
        <v>0</v>
      </c>
      <c r="L46">
        <f t="shared" si="4"/>
        <v>0</v>
      </c>
      <c r="M46">
        <f t="shared" si="5"/>
        <v>8188163540.0999994</v>
      </c>
      <c r="N46" t="str">
        <f t="shared" si="6"/>
        <v>electric</v>
      </c>
      <c r="O46">
        <f t="shared" si="7"/>
        <v>0</v>
      </c>
    </row>
    <row r="47" spans="1:15" x14ac:dyDescent="0.25">
      <c r="A47" t="s">
        <v>118</v>
      </c>
      <c r="B47" t="s">
        <v>119</v>
      </c>
      <c r="C47" t="s">
        <v>52</v>
      </c>
      <c r="D47" t="s">
        <v>61</v>
      </c>
      <c r="E47">
        <v>830584</v>
      </c>
      <c r="F47">
        <v>135813</v>
      </c>
      <c r="G47">
        <v>0</v>
      </c>
      <c r="H47">
        <v>0</v>
      </c>
      <c r="I47">
        <v>0</v>
      </c>
      <c r="J47">
        <v>1719271</v>
      </c>
      <c r="K47">
        <v>0</v>
      </c>
      <c r="L47">
        <f t="shared" si="4"/>
        <v>0</v>
      </c>
      <c r="M47">
        <f t="shared" si="5"/>
        <v>5866393349.9399996</v>
      </c>
      <c r="N47" t="str">
        <f t="shared" si="6"/>
        <v>electric</v>
      </c>
      <c r="O47">
        <f t="shared" si="7"/>
        <v>0</v>
      </c>
    </row>
    <row r="48" spans="1:15" x14ac:dyDescent="0.25">
      <c r="A48" t="s">
        <v>120</v>
      </c>
      <c r="B48" t="s">
        <v>121</v>
      </c>
      <c r="C48" t="s">
        <v>101</v>
      </c>
      <c r="D48" t="s">
        <v>53</v>
      </c>
      <c r="E48">
        <v>433037</v>
      </c>
      <c r="F48">
        <v>18623</v>
      </c>
      <c r="G48">
        <v>0</v>
      </c>
      <c r="H48">
        <v>0</v>
      </c>
      <c r="I48">
        <v>0</v>
      </c>
      <c r="J48">
        <v>112160</v>
      </c>
      <c r="K48">
        <v>0</v>
      </c>
      <c r="L48">
        <f t="shared" si="4"/>
        <v>0</v>
      </c>
      <c r="M48">
        <f t="shared" si="5"/>
        <v>382705622.39999998</v>
      </c>
      <c r="N48" t="str">
        <f t="shared" si="6"/>
        <v>electric</v>
      </c>
      <c r="O48">
        <f t="shared" si="7"/>
        <v>0</v>
      </c>
    </row>
    <row r="49" spans="1:15" x14ac:dyDescent="0.25">
      <c r="A49" t="s">
        <v>122</v>
      </c>
      <c r="B49" t="s">
        <v>123</v>
      </c>
      <c r="C49" t="s">
        <v>52</v>
      </c>
      <c r="D49" t="s">
        <v>53</v>
      </c>
      <c r="E49">
        <v>341040</v>
      </c>
      <c r="F49">
        <v>65260</v>
      </c>
      <c r="G49">
        <v>0</v>
      </c>
      <c r="H49">
        <v>0</v>
      </c>
      <c r="I49">
        <v>0</v>
      </c>
      <c r="J49">
        <v>515350</v>
      </c>
      <c r="K49">
        <v>0</v>
      </c>
      <c r="L49">
        <f t="shared" si="4"/>
        <v>0</v>
      </c>
      <c r="M49">
        <f t="shared" si="5"/>
        <v>1758446349</v>
      </c>
      <c r="N49" t="str">
        <f t="shared" si="6"/>
        <v>electric</v>
      </c>
      <c r="O49">
        <f t="shared" si="7"/>
        <v>0</v>
      </c>
    </row>
    <row r="50" spans="1:15" x14ac:dyDescent="0.25">
      <c r="A50" t="s">
        <v>124</v>
      </c>
      <c r="B50" t="s">
        <v>125</v>
      </c>
      <c r="C50" t="s">
        <v>59</v>
      </c>
      <c r="D50" t="s">
        <v>53</v>
      </c>
      <c r="E50">
        <v>29380924</v>
      </c>
      <c r="F50">
        <v>1704974</v>
      </c>
      <c r="G50">
        <v>0</v>
      </c>
      <c r="H50">
        <v>0</v>
      </c>
      <c r="I50">
        <v>0</v>
      </c>
      <c r="J50">
        <v>11917639</v>
      </c>
      <c r="K50">
        <v>0</v>
      </c>
      <c r="L50">
        <f t="shared" si="4"/>
        <v>0</v>
      </c>
      <c r="M50">
        <f t="shared" si="5"/>
        <v>40664652737.459999</v>
      </c>
      <c r="N50" t="str">
        <f t="shared" si="6"/>
        <v>electric</v>
      </c>
      <c r="O50">
        <f t="shared" si="7"/>
        <v>0</v>
      </c>
    </row>
    <row r="51" spans="1:15" x14ac:dyDescent="0.25">
      <c r="A51" t="s">
        <v>124</v>
      </c>
      <c r="B51" t="s">
        <v>125</v>
      </c>
      <c r="C51" t="s">
        <v>52</v>
      </c>
      <c r="D51" t="s">
        <v>53</v>
      </c>
      <c r="E51">
        <v>628746</v>
      </c>
      <c r="F51">
        <v>109446</v>
      </c>
      <c r="G51">
        <v>0</v>
      </c>
      <c r="H51">
        <v>0</v>
      </c>
      <c r="I51">
        <v>0</v>
      </c>
      <c r="J51">
        <v>1216854</v>
      </c>
      <c r="K51">
        <v>0</v>
      </c>
      <c r="L51">
        <f t="shared" si="4"/>
        <v>0</v>
      </c>
      <c r="M51">
        <f t="shared" si="5"/>
        <v>4152076207.5599999</v>
      </c>
      <c r="N51" t="str">
        <f t="shared" si="6"/>
        <v>electric</v>
      </c>
      <c r="O51">
        <f t="shared" si="7"/>
        <v>0</v>
      </c>
    </row>
    <row r="52" spans="1:15" x14ac:dyDescent="0.25">
      <c r="A52" t="s">
        <v>126</v>
      </c>
      <c r="B52" t="s">
        <v>127</v>
      </c>
      <c r="C52" t="s">
        <v>78</v>
      </c>
      <c r="D52" t="s">
        <v>53</v>
      </c>
      <c r="E52">
        <v>221342039</v>
      </c>
      <c r="F52">
        <v>19652557</v>
      </c>
      <c r="G52">
        <v>0</v>
      </c>
      <c r="H52">
        <v>0</v>
      </c>
      <c r="I52">
        <v>0</v>
      </c>
      <c r="J52">
        <v>80172950</v>
      </c>
      <c r="K52">
        <v>0</v>
      </c>
      <c r="L52">
        <f t="shared" si="4"/>
        <v>0</v>
      </c>
      <c r="M52">
        <f t="shared" si="5"/>
        <v>273561329613</v>
      </c>
      <c r="N52" t="str">
        <f t="shared" si="6"/>
        <v>electric</v>
      </c>
      <c r="O52">
        <f t="shared" si="7"/>
        <v>0</v>
      </c>
    </row>
    <row r="53" spans="1:15" x14ac:dyDescent="0.25">
      <c r="A53" t="s">
        <v>126</v>
      </c>
      <c r="B53" t="s">
        <v>127</v>
      </c>
      <c r="C53" t="s">
        <v>52</v>
      </c>
      <c r="D53" t="s">
        <v>53</v>
      </c>
      <c r="E53">
        <v>225799</v>
      </c>
      <c r="F53">
        <v>53118</v>
      </c>
      <c r="G53">
        <v>0</v>
      </c>
      <c r="H53">
        <v>0</v>
      </c>
      <c r="I53">
        <v>0</v>
      </c>
      <c r="J53">
        <v>804149</v>
      </c>
      <c r="K53">
        <v>0</v>
      </c>
      <c r="L53">
        <f t="shared" si="4"/>
        <v>0</v>
      </c>
      <c r="M53">
        <f t="shared" si="5"/>
        <v>2743868968.8600001</v>
      </c>
      <c r="N53" t="str">
        <f t="shared" si="6"/>
        <v>electric</v>
      </c>
      <c r="O53">
        <f t="shared" si="7"/>
        <v>0</v>
      </c>
    </row>
    <row r="54" spans="1:15" x14ac:dyDescent="0.25">
      <c r="A54" t="s">
        <v>128</v>
      </c>
      <c r="B54" t="s">
        <v>129</v>
      </c>
      <c r="C54" t="s">
        <v>78</v>
      </c>
      <c r="D54" t="s">
        <v>53</v>
      </c>
      <c r="E54">
        <v>101774154</v>
      </c>
      <c r="F54">
        <v>7855332</v>
      </c>
      <c r="G54">
        <v>0</v>
      </c>
      <c r="H54">
        <v>0</v>
      </c>
      <c r="I54">
        <v>0</v>
      </c>
      <c r="J54">
        <v>61201879</v>
      </c>
      <c r="K54">
        <v>0</v>
      </c>
      <c r="L54">
        <f t="shared" si="4"/>
        <v>0</v>
      </c>
      <c r="M54">
        <f t="shared" si="5"/>
        <v>208829379411.06</v>
      </c>
      <c r="N54" t="str">
        <f t="shared" si="6"/>
        <v>electric</v>
      </c>
      <c r="O54">
        <f t="shared" si="7"/>
        <v>0</v>
      </c>
    </row>
    <row r="55" spans="1:15" x14ac:dyDescent="0.25">
      <c r="A55" t="s">
        <v>128</v>
      </c>
      <c r="B55" t="s">
        <v>129</v>
      </c>
      <c r="C55" t="s">
        <v>64</v>
      </c>
      <c r="D55" t="s">
        <v>53</v>
      </c>
      <c r="E55">
        <v>6731259</v>
      </c>
      <c r="F55">
        <v>753698</v>
      </c>
      <c r="G55">
        <v>0</v>
      </c>
      <c r="H55">
        <v>0</v>
      </c>
      <c r="I55">
        <v>0</v>
      </c>
      <c r="J55">
        <v>5987550</v>
      </c>
      <c r="K55">
        <v>0</v>
      </c>
      <c r="L55">
        <f t="shared" si="4"/>
        <v>0</v>
      </c>
      <c r="M55">
        <f t="shared" si="5"/>
        <v>20430358857</v>
      </c>
      <c r="N55" t="str">
        <f t="shared" si="6"/>
        <v>electric</v>
      </c>
      <c r="O55">
        <f t="shared" si="7"/>
        <v>0</v>
      </c>
    </row>
    <row r="56" spans="1:15" x14ac:dyDescent="0.25">
      <c r="A56" t="s">
        <v>130</v>
      </c>
      <c r="B56" t="s">
        <v>131</v>
      </c>
      <c r="C56" t="s">
        <v>64</v>
      </c>
      <c r="D56" t="s">
        <v>53</v>
      </c>
      <c r="E56">
        <v>291961</v>
      </c>
      <c r="F56">
        <v>86978</v>
      </c>
      <c r="G56">
        <v>0</v>
      </c>
      <c r="H56">
        <v>0</v>
      </c>
      <c r="I56">
        <v>0</v>
      </c>
      <c r="J56">
        <v>1172808</v>
      </c>
      <c r="K56">
        <v>0</v>
      </c>
      <c r="L56">
        <f t="shared" si="4"/>
        <v>0</v>
      </c>
      <c r="M56">
        <f t="shared" si="5"/>
        <v>4001785089.1199999</v>
      </c>
      <c r="N56" t="str">
        <f t="shared" si="6"/>
        <v>electric</v>
      </c>
      <c r="O56">
        <f t="shared" si="7"/>
        <v>0</v>
      </c>
    </row>
    <row r="57" spans="1:15" x14ac:dyDescent="0.25">
      <c r="A57" t="s">
        <v>132</v>
      </c>
      <c r="B57" t="s">
        <v>133</v>
      </c>
      <c r="C57" t="s">
        <v>52</v>
      </c>
      <c r="D57" t="s">
        <v>53</v>
      </c>
      <c r="E57">
        <v>1745533</v>
      </c>
      <c r="F57">
        <v>128446</v>
      </c>
      <c r="G57">
        <v>0</v>
      </c>
      <c r="H57">
        <v>0</v>
      </c>
      <c r="I57">
        <v>0</v>
      </c>
      <c r="J57">
        <v>638027</v>
      </c>
      <c r="K57">
        <v>0</v>
      </c>
      <c r="L57">
        <f t="shared" si="4"/>
        <v>0</v>
      </c>
      <c r="M57">
        <f t="shared" si="5"/>
        <v>2177037447.7799997</v>
      </c>
      <c r="N57" t="str">
        <f t="shared" si="6"/>
        <v>electric</v>
      </c>
      <c r="O57">
        <f t="shared" si="7"/>
        <v>0</v>
      </c>
    </row>
    <row r="58" spans="1:15" x14ac:dyDescent="0.25">
      <c r="A58" t="s">
        <v>134</v>
      </c>
      <c r="B58" t="s">
        <v>135</v>
      </c>
      <c r="C58" t="s">
        <v>34</v>
      </c>
      <c r="D58" t="s">
        <v>61</v>
      </c>
      <c r="E58">
        <v>112800856</v>
      </c>
      <c r="F58">
        <v>3849336</v>
      </c>
      <c r="G58">
        <v>2672252</v>
      </c>
      <c r="H58">
        <v>0</v>
      </c>
      <c r="I58">
        <v>0</v>
      </c>
      <c r="J58">
        <v>0</v>
      </c>
      <c r="K58">
        <v>0</v>
      </c>
      <c r="L58">
        <f t="shared" si="4"/>
        <v>370641352400</v>
      </c>
      <c r="M58">
        <f t="shared" si="5"/>
        <v>0</v>
      </c>
      <c r="N58" t="str">
        <f t="shared" si="6"/>
        <v>diesel</v>
      </c>
      <c r="O58">
        <f t="shared" si="7"/>
        <v>112800856</v>
      </c>
    </row>
    <row r="59" spans="1:15" x14ac:dyDescent="0.25">
      <c r="A59" t="s">
        <v>136</v>
      </c>
      <c r="B59" t="s">
        <v>137</v>
      </c>
      <c r="C59" t="s">
        <v>78</v>
      </c>
      <c r="D59" t="s">
        <v>61</v>
      </c>
      <c r="E59">
        <v>14715729</v>
      </c>
      <c r="F59">
        <v>1772341</v>
      </c>
      <c r="G59">
        <v>0</v>
      </c>
      <c r="H59">
        <v>0</v>
      </c>
      <c r="I59">
        <v>0</v>
      </c>
      <c r="J59">
        <v>4964430</v>
      </c>
      <c r="K59">
        <v>0</v>
      </c>
      <c r="L59">
        <f t="shared" si="4"/>
        <v>0</v>
      </c>
      <c r="M59">
        <f t="shared" si="5"/>
        <v>16939330180.199999</v>
      </c>
      <c r="N59" t="str">
        <f t="shared" si="6"/>
        <v>electric</v>
      </c>
      <c r="O59">
        <f t="shared" si="7"/>
        <v>0</v>
      </c>
    </row>
    <row r="60" spans="1:15" x14ac:dyDescent="0.25">
      <c r="A60" t="s">
        <v>138</v>
      </c>
      <c r="B60" t="s">
        <v>139</v>
      </c>
      <c r="C60" t="s">
        <v>34</v>
      </c>
      <c r="D60" t="s">
        <v>61</v>
      </c>
      <c r="E60">
        <v>1785495</v>
      </c>
      <c r="F60">
        <v>208042</v>
      </c>
      <c r="G60">
        <v>205955</v>
      </c>
      <c r="H60">
        <v>0</v>
      </c>
      <c r="I60">
        <v>0</v>
      </c>
      <c r="J60">
        <v>0</v>
      </c>
      <c r="K60">
        <v>0</v>
      </c>
      <c r="L60">
        <f t="shared" si="4"/>
        <v>28565958500</v>
      </c>
      <c r="M60">
        <f t="shared" si="5"/>
        <v>0</v>
      </c>
      <c r="N60" t="str">
        <f t="shared" si="6"/>
        <v>diesel</v>
      </c>
      <c r="O60">
        <f t="shared" si="7"/>
        <v>1785495.0000000002</v>
      </c>
    </row>
    <row r="61" spans="1:15" x14ac:dyDescent="0.25">
      <c r="A61" t="s">
        <v>140</v>
      </c>
      <c r="B61" t="s">
        <v>141</v>
      </c>
      <c r="C61" t="s">
        <v>34</v>
      </c>
      <c r="D61" t="s">
        <v>61</v>
      </c>
      <c r="E61">
        <v>19481520</v>
      </c>
      <c r="F61">
        <v>996326</v>
      </c>
      <c r="G61">
        <v>1066990</v>
      </c>
      <c r="H61">
        <v>0</v>
      </c>
      <c r="I61">
        <v>0</v>
      </c>
      <c r="J61">
        <v>0</v>
      </c>
      <c r="K61">
        <v>0</v>
      </c>
      <c r="L61">
        <f t="shared" si="4"/>
        <v>147991513000</v>
      </c>
      <c r="M61">
        <f t="shared" si="5"/>
        <v>0</v>
      </c>
      <c r="N61" t="str">
        <f t="shared" si="6"/>
        <v>diesel</v>
      </c>
      <c r="O61">
        <f t="shared" si="7"/>
        <v>19481520</v>
      </c>
    </row>
    <row r="62" spans="1:15" x14ac:dyDescent="0.25">
      <c r="A62" t="s">
        <v>142</v>
      </c>
      <c r="B62" t="s">
        <v>143</v>
      </c>
      <c r="C62" t="s">
        <v>52</v>
      </c>
      <c r="D62" t="s">
        <v>53</v>
      </c>
      <c r="E62">
        <v>37094</v>
      </c>
      <c r="F62">
        <v>15700</v>
      </c>
      <c r="G62">
        <v>0</v>
      </c>
      <c r="H62">
        <v>0</v>
      </c>
      <c r="I62">
        <v>0</v>
      </c>
      <c r="J62">
        <v>92301</v>
      </c>
      <c r="K62">
        <v>0</v>
      </c>
      <c r="L62">
        <f t="shared" si="4"/>
        <v>0</v>
      </c>
      <c r="M62">
        <f t="shared" si="5"/>
        <v>314943934.13999999</v>
      </c>
      <c r="N62" t="str">
        <f t="shared" si="6"/>
        <v>electric</v>
      </c>
      <c r="O62">
        <f t="shared" si="7"/>
        <v>0</v>
      </c>
    </row>
    <row r="63" spans="1:15" x14ac:dyDescent="0.25">
      <c r="A63" t="s">
        <v>144</v>
      </c>
      <c r="B63" t="s">
        <v>145</v>
      </c>
      <c r="C63" t="s">
        <v>78</v>
      </c>
      <c r="D63" t="s">
        <v>53</v>
      </c>
      <c r="E63">
        <v>22627103</v>
      </c>
      <c r="F63">
        <v>2338843</v>
      </c>
      <c r="G63">
        <v>0</v>
      </c>
      <c r="H63">
        <v>0</v>
      </c>
      <c r="I63">
        <v>0</v>
      </c>
      <c r="J63">
        <v>17325539</v>
      </c>
      <c r="K63">
        <v>0</v>
      </c>
      <c r="L63">
        <f t="shared" si="4"/>
        <v>0</v>
      </c>
      <c r="M63">
        <f t="shared" si="5"/>
        <v>59117164643.459999</v>
      </c>
      <c r="N63" t="str">
        <f t="shared" si="6"/>
        <v>electric</v>
      </c>
      <c r="O63">
        <f t="shared" si="7"/>
        <v>0</v>
      </c>
    </row>
    <row r="64" spans="1:15" x14ac:dyDescent="0.25">
      <c r="A64" t="s">
        <v>144</v>
      </c>
      <c r="B64" t="s">
        <v>145</v>
      </c>
      <c r="C64" t="s">
        <v>59</v>
      </c>
      <c r="D64" t="s">
        <v>53</v>
      </c>
      <c r="E64">
        <v>4665719</v>
      </c>
      <c r="F64">
        <v>534985</v>
      </c>
      <c r="G64">
        <v>0</v>
      </c>
      <c r="H64">
        <v>0</v>
      </c>
      <c r="I64">
        <v>0</v>
      </c>
      <c r="J64">
        <v>10667277</v>
      </c>
      <c r="K64">
        <v>0</v>
      </c>
      <c r="L64">
        <f t="shared" si="4"/>
        <v>0</v>
      </c>
      <c r="M64">
        <f t="shared" si="5"/>
        <v>36398242542.779999</v>
      </c>
      <c r="N64" t="str">
        <f t="shared" si="6"/>
        <v>electric</v>
      </c>
      <c r="O64">
        <f t="shared" si="7"/>
        <v>0</v>
      </c>
    </row>
    <row r="65" spans="1:15" x14ac:dyDescent="0.25">
      <c r="A65" t="s">
        <v>146</v>
      </c>
      <c r="B65" t="s">
        <v>147</v>
      </c>
      <c r="C65" t="s">
        <v>34</v>
      </c>
      <c r="D65" t="s">
        <v>61</v>
      </c>
      <c r="E65">
        <v>3247348</v>
      </c>
      <c r="F65">
        <v>330274</v>
      </c>
      <c r="G65">
        <v>231895</v>
      </c>
      <c r="H65">
        <v>0</v>
      </c>
      <c r="I65">
        <v>0</v>
      </c>
      <c r="J65">
        <v>0</v>
      </c>
      <c r="K65">
        <v>0</v>
      </c>
      <c r="L65">
        <f t="shared" si="4"/>
        <v>32163836500</v>
      </c>
      <c r="M65">
        <f t="shared" si="5"/>
        <v>0</v>
      </c>
      <c r="N65" t="str">
        <f t="shared" si="6"/>
        <v>diesel</v>
      </c>
      <c r="O65">
        <f t="shared" si="7"/>
        <v>3247348</v>
      </c>
    </row>
    <row r="66" spans="1:15" x14ac:dyDescent="0.25">
      <c r="A66" t="s">
        <v>146</v>
      </c>
      <c r="B66" t="s">
        <v>147</v>
      </c>
      <c r="C66" t="s">
        <v>59</v>
      </c>
      <c r="D66" t="s">
        <v>53</v>
      </c>
      <c r="E66">
        <v>50720570</v>
      </c>
      <c r="F66">
        <v>3308220</v>
      </c>
      <c r="G66">
        <v>0</v>
      </c>
      <c r="H66">
        <v>0</v>
      </c>
      <c r="I66">
        <v>0</v>
      </c>
      <c r="J66">
        <v>27753142</v>
      </c>
      <c r="K66">
        <v>0</v>
      </c>
      <c r="L66">
        <f t="shared" si="4"/>
        <v>0</v>
      </c>
      <c r="M66">
        <f t="shared" si="5"/>
        <v>94697605943.87999</v>
      </c>
      <c r="N66" t="str">
        <f t="shared" si="6"/>
        <v>electric</v>
      </c>
      <c r="O66">
        <f t="shared" si="7"/>
        <v>0</v>
      </c>
    </row>
    <row r="67" spans="1:15" x14ac:dyDescent="0.25">
      <c r="A67" t="s">
        <v>148</v>
      </c>
      <c r="B67" t="s">
        <v>149</v>
      </c>
      <c r="C67" t="s">
        <v>78</v>
      </c>
      <c r="D67" t="s">
        <v>53</v>
      </c>
      <c r="E67">
        <v>773721242</v>
      </c>
      <c r="F67">
        <v>70139548</v>
      </c>
      <c r="G67">
        <v>0</v>
      </c>
      <c r="H67">
        <v>0</v>
      </c>
      <c r="I67">
        <v>0</v>
      </c>
      <c r="J67">
        <v>363590000</v>
      </c>
      <c r="K67">
        <v>0</v>
      </c>
      <c r="L67">
        <f t="shared" si="4"/>
        <v>0</v>
      </c>
      <c r="M67">
        <f t="shared" si="5"/>
        <v>1240619982600</v>
      </c>
      <c r="N67" t="str">
        <f t="shared" si="6"/>
        <v>electric</v>
      </c>
      <c r="O67">
        <f t="shared" si="7"/>
        <v>0</v>
      </c>
    </row>
    <row r="68" spans="1:15" x14ac:dyDescent="0.25">
      <c r="A68" t="s">
        <v>150</v>
      </c>
      <c r="B68" t="s">
        <v>151</v>
      </c>
      <c r="C68" t="s">
        <v>34</v>
      </c>
      <c r="D68" t="s">
        <v>53</v>
      </c>
      <c r="E68">
        <v>57773167</v>
      </c>
      <c r="F68">
        <v>3747991</v>
      </c>
      <c r="G68">
        <v>0</v>
      </c>
      <c r="H68">
        <v>0</v>
      </c>
      <c r="I68">
        <v>0</v>
      </c>
      <c r="J68">
        <v>17875900</v>
      </c>
      <c r="K68">
        <v>0</v>
      </c>
      <c r="L68">
        <f t="shared" si="4"/>
        <v>0</v>
      </c>
      <c r="M68">
        <f t="shared" si="5"/>
        <v>60995073426</v>
      </c>
      <c r="N68" t="str">
        <f t="shared" si="6"/>
        <v>electric</v>
      </c>
      <c r="O68">
        <f t="shared" si="7"/>
        <v>0</v>
      </c>
    </row>
    <row r="69" spans="1:15" x14ac:dyDescent="0.25">
      <c r="A69" t="s">
        <v>152</v>
      </c>
      <c r="B69" t="s">
        <v>153</v>
      </c>
      <c r="C69" t="s">
        <v>34</v>
      </c>
      <c r="D69" t="s">
        <v>53</v>
      </c>
      <c r="E69">
        <v>312497564</v>
      </c>
      <c r="F69">
        <v>20533292</v>
      </c>
      <c r="G69">
        <v>8669691</v>
      </c>
      <c r="H69">
        <v>0</v>
      </c>
      <c r="I69">
        <v>0</v>
      </c>
      <c r="J69">
        <v>50615108</v>
      </c>
      <c r="K69">
        <v>0</v>
      </c>
      <c r="L69">
        <f t="shared" si="4"/>
        <v>1202486141700</v>
      </c>
      <c r="M69">
        <f t="shared" si="5"/>
        <v>172705834611.12</v>
      </c>
      <c r="N69" t="str">
        <f t="shared" si="6"/>
        <v>both</v>
      </c>
      <c r="O69">
        <f t="shared" si="7"/>
        <v>231446846.31988311</v>
      </c>
    </row>
    <row r="70" spans="1:15" x14ac:dyDescent="0.25">
      <c r="A70" t="s">
        <v>152</v>
      </c>
      <c r="B70" t="s">
        <v>153</v>
      </c>
      <c r="C70" t="s">
        <v>34</v>
      </c>
      <c r="D70" t="s">
        <v>61</v>
      </c>
      <c r="E70">
        <v>449613468</v>
      </c>
      <c r="F70">
        <v>24020146</v>
      </c>
      <c r="G70">
        <v>17566641</v>
      </c>
      <c r="H70">
        <v>0</v>
      </c>
      <c r="I70">
        <v>0</v>
      </c>
      <c r="J70">
        <v>0</v>
      </c>
      <c r="K70">
        <v>0</v>
      </c>
      <c r="L70">
        <f t="shared" si="4"/>
        <v>2436493106700</v>
      </c>
      <c r="M70">
        <f t="shared" si="5"/>
        <v>0</v>
      </c>
      <c r="N70" t="str">
        <f t="shared" si="6"/>
        <v>diesel</v>
      </c>
      <c r="O70">
        <f t="shared" si="7"/>
        <v>449613468</v>
      </c>
    </row>
    <row r="71" spans="1:15" x14ac:dyDescent="0.25">
      <c r="A71" t="s">
        <v>154</v>
      </c>
      <c r="B71" t="s">
        <v>155</v>
      </c>
      <c r="C71" t="s">
        <v>64</v>
      </c>
      <c r="D71" t="s">
        <v>53</v>
      </c>
      <c r="E71">
        <v>1456388</v>
      </c>
      <c r="F71">
        <v>270089</v>
      </c>
      <c r="G71">
        <v>0</v>
      </c>
      <c r="H71">
        <v>0</v>
      </c>
      <c r="I71">
        <v>0</v>
      </c>
      <c r="J71">
        <v>2716361</v>
      </c>
      <c r="K71">
        <v>0</v>
      </c>
      <c r="L71">
        <f t="shared" si="4"/>
        <v>0</v>
      </c>
      <c r="M71">
        <f t="shared" si="5"/>
        <v>9268604022.539999</v>
      </c>
      <c r="N71" t="str">
        <f t="shared" si="6"/>
        <v>electric</v>
      </c>
      <c r="O71">
        <f t="shared" si="7"/>
        <v>0</v>
      </c>
    </row>
    <row r="72" spans="1:15" x14ac:dyDescent="0.25">
      <c r="A72" t="s">
        <v>156</v>
      </c>
      <c r="B72" t="s">
        <v>157</v>
      </c>
      <c r="C72" t="s">
        <v>52</v>
      </c>
      <c r="D72" t="s">
        <v>53</v>
      </c>
      <c r="E72">
        <v>1857538</v>
      </c>
      <c r="F72">
        <v>111912</v>
      </c>
      <c r="G72">
        <v>0</v>
      </c>
      <c r="H72">
        <v>0</v>
      </c>
      <c r="I72">
        <v>0</v>
      </c>
      <c r="J72">
        <v>2210558</v>
      </c>
      <c r="K72">
        <v>0</v>
      </c>
      <c r="L72">
        <f t="shared" ref="L72:L103" si="8">(G72+H72+I72)*$E$3</f>
        <v>0</v>
      </c>
      <c r="M72">
        <f t="shared" ref="M72:M103" si="9">(J72+K72)*$E$4</f>
        <v>7542733374.1199999</v>
      </c>
      <c r="N72" t="str">
        <f t="shared" ref="N72:N103" si="10">IF(AND(L72&gt;0,M72&gt;0),$U$2,IF(L72&gt;0,$U$3,IF(M72&gt;0,$U$4,$U$5)))</f>
        <v>electric</v>
      </c>
      <c r="O72">
        <f t="shared" ref="O72:O103" si="11">IF(L72+M72=0,0,E72*L72/(L72+$R$9*M72))</f>
        <v>0</v>
      </c>
    </row>
    <row r="73" spans="1:15" x14ac:dyDescent="0.25">
      <c r="A73" t="s">
        <v>158</v>
      </c>
      <c r="B73" t="s">
        <v>159</v>
      </c>
      <c r="C73" t="s">
        <v>52</v>
      </c>
      <c r="D73" t="s">
        <v>61</v>
      </c>
      <c r="E73">
        <v>1229135</v>
      </c>
      <c r="F73">
        <v>89465</v>
      </c>
      <c r="G73">
        <v>0</v>
      </c>
      <c r="H73">
        <v>0</v>
      </c>
      <c r="I73">
        <v>0</v>
      </c>
      <c r="J73">
        <v>1534048</v>
      </c>
      <c r="K73">
        <v>0</v>
      </c>
      <c r="L73">
        <f t="shared" si="8"/>
        <v>0</v>
      </c>
      <c r="M73">
        <f t="shared" si="9"/>
        <v>5234386542.7200003</v>
      </c>
      <c r="N73" t="str">
        <f t="shared" si="10"/>
        <v>electric</v>
      </c>
      <c r="O73">
        <f t="shared" si="11"/>
        <v>0</v>
      </c>
    </row>
    <row r="74" spans="1:15" x14ac:dyDescent="0.25">
      <c r="A74" t="s">
        <v>160</v>
      </c>
      <c r="B74" t="s">
        <v>161</v>
      </c>
      <c r="C74" t="s">
        <v>52</v>
      </c>
      <c r="D74" t="s">
        <v>61</v>
      </c>
      <c r="E74">
        <v>532490</v>
      </c>
      <c r="F74">
        <v>99664</v>
      </c>
      <c r="G74">
        <v>0</v>
      </c>
      <c r="H74">
        <v>0</v>
      </c>
      <c r="I74">
        <v>0</v>
      </c>
      <c r="J74">
        <v>919183</v>
      </c>
      <c r="K74">
        <v>0</v>
      </c>
      <c r="L74">
        <f t="shared" si="8"/>
        <v>0</v>
      </c>
      <c r="M74">
        <f t="shared" si="9"/>
        <v>3136381081.6199999</v>
      </c>
      <c r="N74" t="str">
        <f t="shared" si="10"/>
        <v>electric</v>
      </c>
      <c r="O74">
        <f t="shared" si="11"/>
        <v>0</v>
      </c>
    </row>
    <row r="75" spans="1:15" x14ac:dyDescent="0.25">
      <c r="A75" t="s">
        <v>162</v>
      </c>
      <c r="B75" t="s">
        <v>163</v>
      </c>
      <c r="C75" t="s">
        <v>52</v>
      </c>
      <c r="D75" t="s">
        <v>53</v>
      </c>
      <c r="E75">
        <v>446225</v>
      </c>
      <c r="F75">
        <v>71240</v>
      </c>
      <c r="G75">
        <v>0</v>
      </c>
      <c r="H75">
        <v>0</v>
      </c>
      <c r="I75">
        <v>0</v>
      </c>
      <c r="J75">
        <v>409857</v>
      </c>
      <c r="K75">
        <v>0</v>
      </c>
      <c r="L75">
        <f t="shared" si="8"/>
        <v>0</v>
      </c>
      <c r="M75">
        <f t="shared" si="9"/>
        <v>1398489463.98</v>
      </c>
      <c r="N75" t="str">
        <f t="shared" si="10"/>
        <v>electric</v>
      </c>
      <c r="O75">
        <f t="shared" si="11"/>
        <v>0</v>
      </c>
    </row>
    <row r="76" spans="1:15" x14ac:dyDescent="0.25">
      <c r="A76" t="s">
        <v>164</v>
      </c>
      <c r="B76" t="s">
        <v>165</v>
      </c>
      <c r="C76" t="s">
        <v>34</v>
      </c>
      <c r="D76" t="s">
        <v>61</v>
      </c>
      <c r="E76">
        <v>12375874</v>
      </c>
      <c r="F76">
        <v>2525490</v>
      </c>
      <c r="G76">
        <v>0</v>
      </c>
      <c r="H76">
        <v>603912</v>
      </c>
      <c r="I76">
        <v>0</v>
      </c>
      <c r="J76">
        <v>0</v>
      </c>
      <c r="K76">
        <v>0</v>
      </c>
      <c r="L76">
        <f t="shared" si="8"/>
        <v>83762594400</v>
      </c>
      <c r="M76">
        <f t="shared" si="9"/>
        <v>0</v>
      </c>
      <c r="N76" t="str">
        <f t="shared" si="10"/>
        <v>diesel</v>
      </c>
      <c r="O76">
        <f t="shared" si="11"/>
        <v>12375874</v>
      </c>
    </row>
    <row r="77" spans="1:15" x14ac:dyDescent="0.25">
      <c r="A77" t="s">
        <v>166</v>
      </c>
      <c r="B77" t="s">
        <v>167</v>
      </c>
      <c r="C77" t="s">
        <v>59</v>
      </c>
      <c r="D77" t="s">
        <v>53</v>
      </c>
      <c r="E77">
        <v>37851618</v>
      </c>
      <c r="F77">
        <v>3129066</v>
      </c>
      <c r="G77">
        <v>0</v>
      </c>
      <c r="H77">
        <v>0</v>
      </c>
      <c r="I77">
        <v>0</v>
      </c>
      <c r="J77">
        <v>22102795</v>
      </c>
      <c r="K77">
        <v>0</v>
      </c>
      <c r="L77">
        <f t="shared" si="8"/>
        <v>0</v>
      </c>
      <c r="M77">
        <f t="shared" si="9"/>
        <v>75417830931.300003</v>
      </c>
      <c r="N77" t="str">
        <f t="shared" si="10"/>
        <v>electric</v>
      </c>
      <c r="O77">
        <f t="shared" si="11"/>
        <v>0</v>
      </c>
    </row>
    <row r="78" spans="1:15" x14ac:dyDescent="0.25">
      <c r="A78" t="s">
        <v>168</v>
      </c>
      <c r="B78" t="s">
        <v>169</v>
      </c>
      <c r="C78" t="s">
        <v>52</v>
      </c>
      <c r="D78" t="s">
        <v>53</v>
      </c>
      <c r="E78">
        <v>26035</v>
      </c>
      <c r="F78">
        <v>5955</v>
      </c>
      <c r="G78">
        <v>0</v>
      </c>
      <c r="H78">
        <v>0</v>
      </c>
      <c r="I78">
        <v>1041</v>
      </c>
      <c r="J78">
        <v>0</v>
      </c>
      <c r="K78">
        <v>0</v>
      </c>
      <c r="L78">
        <f t="shared" si="8"/>
        <v>144386700</v>
      </c>
      <c r="M78">
        <f t="shared" si="9"/>
        <v>0</v>
      </c>
      <c r="N78" t="str">
        <f t="shared" si="10"/>
        <v>diesel</v>
      </c>
      <c r="O78">
        <f t="shared" si="11"/>
        <v>26035</v>
      </c>
    </row>
    <row r="79" spans="1:15" x14ac:dyDescent="0.25">
      <c r="A79" t="s">
        <v>170</v>
      </c>
      <c r="B79" t="s">
        <v>171</v>
      </c>
      <c r="C79" t="s">
        <v>52</v>
      </c>
      <c r="D79" t="s">
        <v>61</v>
      </c>
      <c r="E79">
        <v>444070</v>
      </c>
      <c r="F79">
        <v>158172</v>
      </c>
      <c r="G79">
        <v>0</v>
      </c>
      <c r="H79">
        <v>0</v>
      </c>
      <c r="I79">
        <v>0</v>
      </c>
      <c r="J79">
        <v>1895179</v>
      </c>
      <c r="K79">
        <v>0</v>
      </c>
      <c r="L79">
        <f t="shared" si="8"/>
        <v>0</v>
      </c>
      <c r="M79">
        <f t="shared" si="9"/>
        <v>6466616073.0599995</v>
      </c>
      <c r="N79" t="str">
        <f t="shared" si="10"/>
        <v>electric</v>
      </c>
      <c r="O79">
        <f t="shared" si="11"/>
        <v>0</v>
      </c>
    </row>
    <row r="80" spans="1:15" x14ac:dyDescent="0.25">
      <c r="A80" t="s">
        <v>172</v>
      </c>
      <c r="B80" t="s">
        <v>173</v>
      </c>
      <c r="C80" t="s">
        <v>52</v>
      </c>
      <c r="D80" t="s">
        <v>53</v>
      </c>
      <c r="E80">
        <v>6228039</v>
      </c>
      <c r="F80">
        <v>814955</v>
      </c>
      <c r="G80">
        <v>0</v>
      </c>
      <c r="H80">
        <v>0</v>
      </c>
      <c r="I80">
        <v>0</v>
      </c>
      <c r="J80">
        <v>3801440</v>
      </c>
      <c r="K80">
        <v>0</v>
      </c>
      <c r="L80">
        <f t="shared" si="8"/>
        <v>0</v>
      </c>
      <c r="M80">
        <f t="shared" si="9"/>
        <v>12971045481.6</v>
      </c>
      <c r="N80" t="str">
        <f t="shared" si="10"/>
        <v>electric</v>
      </c>
      <c r="O80">
        <f t="shared" si="11"/>
        <v>0</v>
      </c>
    </row>
    <row r="81" spans="1:15" x14ac:dyDescent="0.25">
      <c r="A81" t="s">
        <v>174</v>
      </c>
      <c r="B81" t="s">
        <v>175</v>
      </c>
      <c r="C81" t="s">
        <v>52</v>
      </c>
      <c r="D81" t="s">
        <v>53</v>
      </c>
      <c r="E81">
        <v>122918</v>
      </c>
      <c r="F81">
        <v>30454</v>
      </c>
      <c r="G81">
        <v>0</v>
      </c>
      <c r="H81">
        <v>0</v>
      </c>
      <c r="I81">
        <v>0</v>
      </c>
      <c r="J81">
        <v>291900</v>
      </c>
      <c r="K81">
        <v>0</v>
      </c>
      <c r="L81">
        <f t="shared" si="8"/>
        <v>0</v>
      </c>
      <c r="M81">
        <f t="shared" si="9"/>
        <v>996003666</v>
      </c>
      <c r="N81" t="str">
        <f t="shared" si="10"/>
        <v>electric</v>
      </c>
      <c r="O81">
        <f t="shared" si="11"/>
        <v>0</v>
      </c>
    </row>
    <row r="82" spans="1:15" x14ac:dyDescent="0.25">
      <c r="A82" t="s">
        <v>176</v>
      </c>
      <c r="B82" t="s">
        <v>177</v>
      </c>
      <c r="C82" t="s">
        <v>49</v>
      </c>
      <c r="D82" t="s">
        <v>61</v>
      </c>
      <c r="E82">
        <v>8000487</v>
      </c>
      <c r="F82">
        <v>901401</v>
      </c>
      <c r="G82">
        <v>275736</v>
      </c>
      <c r="H82">
        <v>0</v>
      </c>
      <c r="I82">
        <v>0</v>
      </c>
      <c r="J82">
        <v>0</v>
      </c>
      <c r="K82">
        <v>0</v>
      </c>
      <c r="L82">
        <f t="shared" si="8"/>
        <v>38244583200</v>
      </c>
      <c r="M82">
        <f t="shared" si="9"/>
        <v>0</v>
      </c>
      <c r="N82" t="str">
        <f t="shared" si="10"/>
        <v>diesel</v>
      </c>
      <c r="O82">
        <f t="shared" si="11"/>
        <v>8000487.0000000009</v>
      </c>
    </row>
    <row r="83" spans="1:15" x14ac:dyDescent="0.25">
      <c r="A83" t="s">
        <v>178</v>
      </c>
      <c r="B83" t="s">
        <v>179</v>
      </c>
      <c r="C83" t="s">
        <v>34</v>
      </c>
      <c r="D83" t="s">
        <v>61</v>
      </c>
      <c r="E83">
        <v>17413870</v>
      </c>
      <c r="F83">
        <v>1232764</v>
      </c>
      <c r="G83">
        <v>1508602</v>
      </c>
      <c r="H83">
        <v>0</v>
      </c>
      <c r="I83">
        <v>0</v>
      </c>
      <c r="J83">
        <v>0</v>
      </c>
      <c r="K83">
        <v>0</v>
      </c>
      <c r="L83">
        <f t="shared" si="8"/>
        <v>209243097400</v>
      </c>
      <c r="M83">
        <f t="shared" si="9"/>
        <v>0</v>
      </c>
      <c r="N83" t="str">
        <f t="shared" si="10"/>
        <v>diesel</v>
      </c>
      <c r="O83">
        <f t="shared" si="11"/>
        <v>17413870</v>
      </c>
    </row>
    <row r="84" spans="1:15" x14ac:dyDescent="0.25">
      <c r="A84" t="s">
        <v>178</v>
      </c>
      <c r="B84" t="s">
        <v>179</v>
      </c>
      <c r="C84" t="s">
        <v>59</v>
      </c>
      <c r="D84" t="s">
        <v>53</v>
      </c>
      <c r="E84">
        <v>161491442</v>
      </c>
      <c r="F84">
        <v>10316004</v>
      </c>
      <c r="G84">
        <v>0</v>
      </c>
      <c r="H84">
        <v>0</v>
      </c>
      <c r="I84">
        <v>0</v>
      </c>
      <c r="J84">
        <v>114907754</v>
      </c>
      <c r="K84">
        <v>0</v>
      </c>
      <c r="L84">
        <f t="shared" si="8"/>
        <v>0</v>
      </c>
      <c r="M84">
        <f t="shared" si="9"/>
        <v>392081343733.56</v>
      </c>
      <c r="N84" t="str">
        <f t="shared" si="10"/>
        <v>electric</v>
      </c>
      <c r="O84">
        <f t="shared" si="11"/>
        <v>0</v>
      </c>
    </row>
    <row r="85" spans="1:15" x14ac:dyDescent="0.25">
      <c r="A85" t="s">
        <v>178</v>
      </c>
      <c r="B85" t="s">
        <v>179</v>
      </c>
      <c r="C85" t="s">
        <v>52</v>
      </c>
      <c r="D85" t="s">
        <v>53</v>
      </c>
      <c r="E85">
        <v>279290</v>
      </c>
      <c r="F85">
        <v>70929</v>
      </c>
      <c r="G85">
        <v>0</v>
      </c>
      <c r="H85">
        <v>0</v>
      </c>
      <c r="I85">
        <v>0</v>
      </c>
      <c r="J85">
        <v>517867</v>
      </c>
      <c r="K85">
        <v>0</v>
      </c>
      <c r="L85">
        <f t="shared" si="8"/>
        <v>0</v>
      </c>
      <c r="M85">
        <f t="shared" si="9"/>
        <v>1767034705.3799999</v>
      </c>
      <c r="N85" t="str">
        <f t="shared" si="10"/>
        <v>electric</v>
      </c>
      <c r="O85">
        <f t="shared" si="11"/>
        <v>0</v>
      </c>
    </row>
    <row r="86" spans="1:15" x14ac:dyDescent="0.25">
      <c r="A86" t="s">
        <v>180</v>
      </c>
      <c r="B86" t="s">
        <v>181</v>
      </c>
      <c r="C86" t="s">
        <v>49</v>
      </c>
      <c r="D86" t="s">
        <v>61</v>
      </c>
      <c r="E86">
        <v>3967339</v>
      </c>
      <c r="F86">
        <v>790759</v>
      </c>
      <c r="G86">
        <v>244913</v>
      </c>
      <c r="H86">
        <v>0</v>
      </c>
      <c r="I86">
        <v>0</v>
      </c>
      <c r="J86">
        <v>0</v>
      </c>
      <c r="K86">
        <v>0</v>
      </c>
      <c r="L86">
        <f t="shared" si="8"/>
        <v>33969433100</v>
      </c>
      <c r="M86">
        <f t="shared" si="9"/>
        <v>0</v>
      </c>
      <c r="N86" t="str">
        <f t="shared" si="10"/>
        <v>diesel</v>
      </c>
      <c r="O86">
        <f t="shared" si="11"/>
        <v>3967339</v>
      </c>
    </row>
    <row r="87" spans="1:15" x14ac:dyDescent="0.25">
      <c r="A87" t="s">
        <v>182</v>
      </c>
      <c r="B87" t="s">
        <v>183</v>
      </c>
      <c r="C87" t="s">
        <v>34</v>
      </c>
      <c r="D87" t="s">
        <v>61</v>
      </c>
      <c r="E87">
        <v>29443103</v>
      </c>
      <c r="F87">
        <v>1588816</v>
      </c>
      <c r="G87">
        <v>1068857</v>
      </c>
      <c r="H87">
        <v>0</v>
      </c>
      <c r="I87">
        <v>0</v>
      </c>
      <c r="J87">
        <v>0</v>
      </c>
      <c r="K87">
        <v>0</v>
      </c>
      <c r="L87">
        <f t="shared" si="8"/>
        <v>148250465900</v>
      </c>
      <c r="M87">
        <f t="shared" si="9"/>
        <v>0</v>
      </c>
      <c r="N87" t="str">
        <f t="shared" si="10"/>
        <v>diesel</v>
      </c>
      <c r="O87">
        <f t="shared" si="11"/>
        <v>29443103</v>
      </c>
    </row>
    <row r="88" spans="1:15" x14ac:dyDescent="0.25">
      <c r="A88" t="s">
        <v>184</v>
      </c>
      <c r="B88" t="s">
        <v>185</v>
      </c>
      <c r="C88" t="s">
        <v>52</v>
      </c>
      <c r="D88" t="s">
        <v>53</v>
      </c>
      <c r="E88">
        <v>435102</v>
      </c>
      <c r="F88">
        <v>67123</v>
      </c>
      <c r="G88">
        <v>0</v>
      </c>
      <c r="H88">
        <v>0</v>
      </c>
      <c r="I88">
        <v>0</v>
      </c>
      <c r="J88">
        <v>283800</v>
      </c>
      <c r="K88">
        <v>0</v>
      </c>
      <c r="L88">
        <f t="shared" si="8"/>
        <v>0</v>
      </c>
      <c r="M88">
        <f t="shared" si="9"/>
        <v>968365332</v>
      </c>
      <c r="N88" t="str">
        <f t="shared" si="10"/>
        <v>electric</v>
      </c>
      <c r="O88">
        <f t="shared" si="11"/>
        <v>0</v>
      </c>
    </row>
    <row r="89" spans="1:15" x14ac:dyDescent="0.25">
      <c r="A89" t="s">
        <v>186</v>
      </c>
      <c r="B89" t="s">
        <v>187</v>
      </c>
      <c r="C89" t="s">
        <v>59</v>
      </c>
      <c r="D89" t="s">
        <v>53</v>
      </c>
      <c r="E89">
        <v>41442659</v>
      </c>
      <c r="F89">
        <v>4941444</v>
      </c>
      <c r="G89">
        <v>0</v>
      </c>
      <c r="H89">
        <v>0</v>
      </c>
      <c r="I89">
        <v>0</v>
      </c>
      <c r="J89">
        <v>29865932</v>
      </c>
      <c r="K89">
        <v>0</v>
      </c>
      <c r="L89">
        <f t="shared" si="8"/>
        <v>0</v>
      </c>
      <c r="M89">
        <f t="shared" si="9"/>
        <v>101906741214.48</v>
      </c>
      <c r="N89" t="str">
        <f t="shared" si="10"/>
        <v>electric</v>
      </c>
      <c r="O89">
        <f t="shared" si="11"/>
        <v>0</v>
      </c>
    </row>
    <row r="90" spans="1:15" x14ac:dyDescent="0.25">
      <c r="A90" t="s">
        <v>188</v>
      </c>
      <c r="B90" t="s">
        <v>189</v>
      </c>
      <c r="C90" t="s">
        <v>52</v>
      </c>
      <c r="D90" t="s">
        <v>61</v>
      </c>
      <c r="E90">
        <v>24265</v>
      </c>
      <c r="F90">
        <v>3349</v>
      </c>
      <c r="G90">
        <v>0</v>
      </c>
      <c r="H90">
        <v>0</v>
      </c>
      <c r="I90">
        <v>0</v>
      </c>
      <c r="J90">
        <v>232360</v>
      </c>
      <c r="K90">
        <v>0</v>
      </c>
      <c r="L90">
        <f t="shared" si="8"/>
        <v>0</v>
      </c>
      <c r="M90">
        <f t="shared" si="9"/>
        <v>792844850.39999998</v>
      </c>
      <c r="N90" t="str">
        <f t="shared" si="10"/>
        <v>electric</v>
      </c>
      <c r="O90">
        <f t="shared" si="11"/>
        <v>0</v>
      </c>
    </row>
    <row r="91" spans="1:15" x14ac:dyDescent="0.25">
      <c r="A91" t="s">
        <v>190</v>
      </c>
      <c r="B91" t="s">
        <v>191</v>
      </c>
      <c r="C91" t="s">
        <v>52</v>
      </c>
      <c r="D91" t="s">
        <v>61</v>
      </c>
      <c r="E91">
        <v>2667925</v>
      </c>
      <c r="F91">
        <v>137544</v>
      </c>
      <c r="G91">
        <v>0</v>
      </c>
      <c r="H91">
        <v>0</v>
      </c>
      <c r="I91">
        <v>0</v>
      </c>
      <c r="J91">
        <v>1439129</v>
      </c>
      <c r="K91">
        <v>0</v>
      </c>
      <c r="L91">
        <f t="shared" si="8"/>
        <v>0</v>
      </c>
      <c r="M91">
        <f t="shared" si="9"/>
        <v>4910509626.0599995</v>
      </c>
      <c r="N91" t="str">
        <f t="shared" si="10"/>
        <v>electric</v>
      </c>
      <c r="O91">
        <f t="shared" si="11"/>
        <v>0</v>
      </c>
    </row>
    <row r="92" spans="1:15" x14ac:dyDescent="0.25">
      <c r="A92" t="s">
        <v>192</v>
      </c>
      <c r="B92" t="s">
        <v>193</v>
      </c>
      <c r="C92" t="s">
        <v>34</v>
      </c>
      <c r="D92" t="s">
        <v>53</v>
      </c>
      <c r="E92">
        <v>118630614</v>
      </c>
      <c r="F92">
        <v>3979862</v>
      </c>
      <c r="G92">
        <v>2355226</v>
      </c>
      <c r="H92">
        <v>0</v>
      </c>
      <c r="I92">
        <v>0</v>
      </c>
      <c r="J92">
        <v>0</v>
      </c>
      <c r="K92">
        <v>0</v>
      </c>
      <c r="L92">
        <f t="shared" si="8"/>
        <v>326669846200</v>
      </c>
      <c r="M92">
        <f t="shared" si="9"/>
        <v>0</v>
      </c>
      <c r="N92" t="str">
        <f t="shared" si="10"/>
        <v>diesel</v>
      </c>
      <c r="O92">
        <f t="shared" si="11"/>
        <v>118630614</v>
      </c>
    </row>
    <row r="93" spans="1:15" x14ac:dyDescent="0.25">
      <c r="A93" t="s">
        <v>192</v>
      </c>
      <c r="B93" t="s">
        <v>193</v>
      </c>
      <c r="C93" t="s">
        <v>59</v>
      </c>
      <c r="D93" t="s">
        <v>53</v>
      </c>
      <c r="E93">
        <v>63241841</v>
      </c>
      <c r="F93">
        <v>7025039</v>
      </c>
      <c r="G93">
        <v>0</v>
      </c>
      <c r="H93">
        <v>0</v>
      </c>
      <c r="I93">
        <v>0</v>
      </c>
      <c r="J93">
        <v>46238582</v>
      </c>
      <c r="K93">
        <v>0</v>
      </c>
      <c r="L93">
        <f t="shared" si="8"/>
        <v>0</v>
      </c>
      <c r="M93">
        <f t="shared" si="9"/>
        <v>157772515185.47998</v>
      </c>
      <c r="N93" t="str">
        <f t="shared" si="10"/>
        <v>electric</v>
      </c>
      <c r="O93">
        <f t="shared" si="11"/>
        <v>0</v>
      </c>
    </row>
    <row r="94" spans="1:15" x14ac:dyDescent="0.25">
      <c r="A94" t="s">
        <v>194</v>
      </c>
      <c r="B94" t="s">
        <v>195</v>
      </c>
      <c r="C94" t="s">
        <v>34</v>
      </c>
      <c r="D94" t="s">
        <v>53</v>
      </c>
      <c r="E94">
        <v>11556968</v>
      </c>
      <c r="F94">
        <v>766992</v>
      </c>
      <c r="G94">
        <v>0</v>
      </c>
      <c r="H94">
        <v>0</v>
      </c>
      <c r="I94">
        <v>0</v>
      </c>
      <c r="J94">
        <v>4067013</v>
      </c>
      <c r="K94">
        <v>0</v>
      </c>
      <c r="L94">
        <f t="shared" si="8"/>
        <v>0</v>
      </c>
      <c r="M94">
        <f t="shared" si="9"/>
        <v>13877217737.82</v>
      </c>
      <c r="N94" t="str">
        <f t="shared" si="10"/>
        <v>electric</v>
      </c>
      <c r="O94">
        <f t="shared" si="11"/>
        <v>0</v>
      </c>
    </row>
    <row r="95" spans="1:15" x14ac:dyDescent="0.25">
      <c r="A95" t="s">
        <v>194</v>
      </c>
      <c r="B95" t="s">
        <v>195</v>
      </c>
      <c r="C95" t="s">
        <v>34</v>
      </c>
      <c r="D95" t="s">
        <v>61</v>
      </c>
      <c r="E95">
        <v>89057413</v>
      </c>
      <c r="F95">
        <v>5730642</v>
      </c>
      <c r="G95">
        <v>0</v>
      </c>
      <c r="H95">
        <v>0</v>
      </c>
      <c r="I95">
        <v>0</v>
      </c>
      <c r="J95">
        <v>37539441</v>
      </c>
      <c r="K95">
        <v>0</v>
      </c>
      <c r="L95">
        <f t="shared" si="8"/>
        <v>0</v>
      </c>
      <c r="M95">
        <f t="shared" si="9"/>
        <v>128089828213.73999</v>
      </c>
      <c r="N95" t="str">
        <f t="shared" si="10"/>
        <v>electric</v>
      </c>
      <c r="O95">
        <f t="shared" si="11"/>
        <v>0</v>
      </c>
    </row>
    <row r="96" spans="1:15" x14ac:dyDescent="0.25">
      <c r="A96" t="s">
        <v>194</v>
      </c>
      <c r="B96" t="s">
        <v>195</v>
      </c>
      <c r="C96" t="s">
        <v>59</v>
      </c>
      <c r="D96" t="s">
        <v>53</v>
      </c>
      <c r="E96">
        <v>72805413</v>
      </c>
      <c r="F96">
        <v>7701573</v>
      </c>
      <c r="G96">
        <v>0</v>
      </c>
      <c r="H96">
        <v>0</v>
      </c>
      <c r="I96">
        <v>0</v>
      </c>
      <c r="J96">
        <v>48658473</v>
      </c>
      <c r="K96">
        <v>0</v>
      </c>
      <c r="L96">
        <f t="shared" si="8"/>
        <v>0</v>
      </c>
      <c r="M96">
        <f t="shared" si="9"/>
        <v>166029522062.22</v>
      </c>
      <c r="N96" t="str">
        <f t="shared" si="10"/>
        <v>electric</v>
      </c>
      <c r="O96">
        <f t="shared" si="11"/>
        <v>0</v>
      </c>
    </row>
    <row r="97" spans="1:15" x14ac:dyDescent="0.25">
      <c r="A97" t="s">
        <v>196</v>
      </c>
      <c r="B97" t="s">
        <v>197</v>
      </c>
      <c r="C97" t="s">
        <v>78</v>
      </c>
      <c r="D97" t="s">
        <v>61</v>
      </c>
      <c r="E97">
        <v>5244236</v>
      </c>
      <c r="F97">
        <v>2518860</v>
      </c>
      <c r="G97">
        <v>0</v>
      </c>
      <c r="H97">
        <v>0</v>
      </c>
      <c r="I97">
        <v>0</v>
      </c>
      <c r="J97">
        <v>18556786</v>
      </c>
      <c r="K97">
        <v>0</v>
      </c>
      <c r="L97">
        <f t="shared" si="8"/>
        <v>0</v>
      </c>
      <c r="M97">
        <f t="shared" si="9"/>
        <v>63318351782.040001</v>
      </c>
      <c r="N97" t="str">
        <f t="shared" si="10"/>
        <v>electric</v>
      </c>
      <c r="O97">
        <f t="shared" si="11"/>
        <v>0</v>
      </c>
    </row>
    <row r="98" spans="1:15" x14ac:dyDescent="0.25">
      <c r="A98" t="s">
        <v>198</v>
      </c>
      <c r="B98" t="s">
        <v>199</v>
      </c>
      <c r="C98" t="s">
        <v>78</v>
      </c>
      <c r="D98" t="s">
        <v>53</v>
      </c>
      <c r="E98">
        <v>740857064</v>
      </c>
      <c r="F98">
        <v>73981703</v>
      </c>
      <c r="G98">
        <v>0</v>
      </c>
      <c r="H98">
        <v>0</v>
      </c>
      <c r="I98">
        <v>0</v>
      </c>
      <c r="J98">
        <v>294528921</v>
      </c>
      <c r="K98">
        <v>0</v>
      </c>
      <c r="L98">
        <f t="shared" si="8"/>
        <v>0</v>
      </c>
      <c r="M98">
        <f t="shared" si="9"/>
        <v>1004973912500.9399</v>
      </c>
      <c r="N98" t="str">
        <f t="shared" si="10"/>
        <v>electric</v>
      </c>
      <c r="O98">
        <f t="shared" si="11"/>
        <v>0</v>
      </c>
    </row>
    <row r="99" spans="1:15" x14ac:dyDescent="0.25">
      <c r="A99" t="s">
        <v>198</v>
      </c>
      <c r="B99" t="s">
        <v>199</v>
      </c>
      <c r="C99" t="s">
        <v>64</v>
      </c>
      <c r="D99" t="s">
        <v>61</v>
      </c>
      <c r="E99">
        <v>1373827</v>
      </c>
      <c r="F99">
        <v>261634</v>
      </c>
      <c r="G99">
        <v>0</v>
      </c>
      <c r="H99">
        <v>0</v>
      </c>
      <c r="I99">
        <v>0</v>
      </c>
      <c r="J99">
        <v>5714548</v>
      </c>
      <c r="K99">
        <v>0</v>
      </c>
      <c r="L99">
        <f t="shared" si="8"/>
        <v>0</v>
      </c>
      <c r="M99">
        <f t="shared" si="9"/>
        <v>19498837812.719997</v>
      </c>
      <c r="N99" t="str">
        <f t="shared" si="10"/>
        <v>electric</v>
      </c>
      <c r="O99">
        <f t="shared" si="11"/>
        <v>0</v>
      </c>
    </row>
    <row r="100" spans="1:15" x14ac:dyDescent="0.25">
      <c r="A100" t="s">
        <v>198</v>
      </c>
      <c r="B100" t="s">
        <v>199</v>
      </c>
      <c r="C100" t="s">
        <v>49</v>
      </c>
      <c r="D100" t="s">
        <v>53</v>
      </c>
      <c r="E100">
        <v>8986977</v>
      </c>
      <c r="F100">
        <v>1123728</v>
      </c>
      <c r="G100">
        <v>0</v>
      </c>
      <c r="H100">
        <v>285885</v>
      </c>
      <c r="I100">
        <v>0</v>
      </c>
      <c r="J100">
        <v>0</v>
      </c>
      <c r="K100">
        <v>0</v>
      </c>
      <c r="L100">
        <f t="shared" si="8"/>
        <v>39652249500</v>
      </c>
      <c r="M100">
        <f t="shared" si="9"/>
        <v>0</v>
      </c>
      <c r="N100" t="str">
        <f t="shared" si="10"/>
        <v>diesel</v>
      </c>
      <c r="O100">
        <f t="shared" si="11"/>
        <v>8986977</v>
      </c>
    </row>
    <row r="101" spans="1:15" x14ac:dyDescent="0.25">
      <c r="A101" t="s">
        <v>200</v>
      </c>
      <c r="B101" t="s">
        <v>201</v>
      </c>
      <c r="C101" t="s">
        <v>59</v>
      </c>
      <c r="D101" t="s">
        <v>53</v>
      </c>
      <c r="E101">
        <v>24410341</v>
      </c>
      <c r="F101">
        <v>2803219</v>
      </c>
      <c r="G101">
        <v>0</v>
      </c>
      <c r="H101">
        <v>0</v>
      </c>
      <c r="I101">
        <v>0</v>
      </c>
      <c r="J101">
        <v>17064489</v>
      </c>
      <c r="K101">
        <v>0</v>
      </c>
      <c r="L101">
        <f t="shared" si="8"/>
        <v>0</v>
      </c>
      <c r="M101">
        <f t="shared" si="9"/>
        <v>58226425496.459999</v>
      </c>
      <c r="N101" t="str">
        <f t="shared" si="10"/>
        <v>electric</v>
      </c>
      <c r="O101">
        <f t="shared" si="11"/>
        <v>0</v>
      </c>
    </row>
    <row r="102" spans="1:15" x14ac:dyDescent="0.25">
      <c r="A102" t="s">
        <v>202</v>
      </c>
      <c r="B102" t="s">
        <v>203</v>
      </c>
      <c r="C102" t="s">
        <v>204</v>
      </c>
      <c r="D102" t="s">
        <v>53</v>
      </c>
      <c r="E102">
        <v>4875106</v>
      </c>
      <c r="F102">
        <v>199513</v>
      </c>
      <c r="G102">
        <v>0</v>
      </c>
      <c r="H102">
        <v>0</v>
      </c>
      <c r="I102">
        <v>0</v>
      </c>
      <c r="J102">
        <v>2789871</v>
      </c>
      <c r="K102">
        <v>0</v>
      </c>
      <c r="L102">
        <f t="shared" si="8"/>
        <v>0</v>
      </c>
      <c r="M102">
        <f t="shared" si="9"/>
        <v>9519430433.9400005</v>
      </c>
      <c r="N102" t="str">
        <f t="shared" si="10"/>
        <v>electric</v>
      </c>
      <c r="O102">
        <f t="shared" si="11"/>
        <v>0</v>
      </c>
    </row>
    <row r="103" spans="1:15" x14ac:dyDescent="0.25">
      <c r="A103" t="s">
        <v>202</v>
      </c>
      <c r="B103" t="s">
        <v>203</v>
      </c>
      <c r="C103" t="s">
        <v>59</v>
      </c>
      <c r="D103" t="s">
        <v>53</v>
      </c>
      <c r="E103">
        <v>66007121</v>
      </c>
      <c r="F103">
        <v>4982189</v>
      </c>
      <c r="G103">
        <v>0</v>
      </c>
      <c r="H103">
        <v>0</v>
      </c>
      <c r="I103">
        <v>0</v>
      </c>
      <c r="J103">
        <v>55026498</v>
      </c>
      <c r="K103">
        <v>0</v>
      </c>
      <c r="L103">
        <f t="shared" si="8"/>
        <v>0</v>
      </c>
      <c r="M103">
        <f t="shared" si="9"/>
        <v>187758114885.72</v>
      </c>
      <c r="N103" t="str">
        <f t="shared" si="10"/>
        <v>electric</v>
      </c>
      <c r="O103">
        <f t="shared" si="11"/>
        <v>0</v>
      </c>
    </row>
    <row r="104" spans="1:15" x14ac:dyDescent="0.25">
      <c r="A104" t="s">
        <v>202</v>
      </c>
      <c r="B104" t="s">
        <v>203</v>
      </c>
      <c r="C104" t="s">
        <v>52</v>
      </c>
      <c r="D104" t="s">
        <v>53</v>
      </c>
      <c r="E104">
        <v>5123939</v>
      </c>
      <c r="F104">
        <v>251848</v>
      </c>
      <c r="G104">
        <v>0</v>
      </c>
      <c r="H104">
        <v>0</v>
      </c>
      <c r="I104">
        <v>0</v>
      </c>
      <c r="J104">
        <v>2784201</v>
      </c>
      <c r="K104">
        <v>0</v>
      </c>
      <c r="L104">
        <f t="shared" ref="L104:L119" si="12">(G104+H104+I104)*$E$3</f>
        <v>0</v>
      </c>
      <c r="M104">
        <f t="shared" ref="M104:M119" si="13">(J104+K104)*$E$4</f>
        <v>9500083600.1399994</v>
      </c>
      <c r="N104" t="str">
        <f t="shared" ref="N104:N135" si="14">IF(AND(L104&gt;0,M104&gt;0),$U$2,IF(L104&gt;0,$U$3,IF(M104&gt;0,$U$4,$U$5)))</f>
        <v>electric</v>
      </c>
      <c r="O104">
        <f t="shared" ref="O104:O119" si="15">IF(L104+M104=0,0,E104*L104/(L104+$R$9*M104))</f>
        <v>0</v>
      </c>
    </row>
    <row r="105" spans="1:15" x14ac:dyDescent="0.25">
      <c r="A105" t="s">
        <v>205</v>
      </c>
      <c r="B105" t="s">
        <v>206</v>
      </c>
      <c r="C105" t="s">
        <v>59</v>
      </c>
      <c r="D105" t="s">
        <v>53</v>
      </c>
      <c r="E105">
        <v>38007107</v>
      </c>
      <c r="F105">
        <v>3674001</v>
      </c>
      <c r="G105">
        <v>0</v>
      </c>
      <c r="H105">
        <v>0</v>
      </c>
      <c r="I105">
        <v>0</v>
      </c>
      <c r="J105">
        <v>27143146</v>
      </c>
      <c r="K105">
        <v>0</v>
      </c>
      <c r="L105">
        <f t="shared" si="12"/>
        <v>0</v>
      </c>
      <c r="M105">
        <f t="shared" si="13"/>
        <v>92616214192.440002</v>
      </c>
      <c r="N105" t="str">
        <f t="shared" si="14"/>
        <v>electric</v>
      </c>
      <c r="O105">
        <f t="shared" si="15"/>
        <v>0</v>
      </c>
    </row>
    <row r="106" spans="1:15" x14ac:dyDescent="0.25">
      <c r="A106" t="s">
        <v>207</v>
      </c>
      <c r="B106" t="s">
        <v>208</v>
      </c>
      <c r="C106" t="s">
        <v>59</v>
      </c>
      <c r="D106" t="s">
        <v>53</v>
      </c>
      <c r="E106">
        <v>290715147</v>
      </c>
      <c r="F106">
        <v>12450229</v>
      </c>
      <c r="G106">
        <v>0</v>
      </c>
      <c r="H106">
        <v>0</v>
      </c>
      <c r="I106">
        <v>0</v>
      </c>
      <c r="J106">
        <v>60268354</v>
      </c>
      <c r="K106">
        <v>0</v>
      </c>
      <c r="L106">
        <f t="shared" si="12"/>
        <v>0</v>
      </c>
      <c r="M106">
        <f t="shared" si="13"/>
        <v>205644061417.56</v>
      </c>
      <c r="N106" t="str">
        <f t="shared" si="14"/>
        <v>electric</v>
      </c>
      <c r="O106">
        <f t="shared" si="15"/>
        <v>0</v>
      </c>
    </row>
    <row r="107" spans="1:15" x14ac:dyDescent="0.25">
      <c r="A107" t="s">
        <v>209</v>
      </c>
      <c r="B107" t="s">
        <v>210</v>
      </c>
      <c r="C107" t="s">
        <v>34</v>
      </c>
      <c r="D107" t="s">
        <v>53</v>
      </c>
      <c r="E107">
        <v>23659154</v>
      </c>
      <c r="F107">
        <v>1706546</v>
      </c>
      <c r="G107">
        <v>855942</v>
      </c>
      <c r="H107">
        <v>0</v>
      </c>
      <c r="I107">
        <v>0</v>
      </c>
      <c r="J107">
        <v>0</v>
      </c>
      <c r="K107">
        <v>0</v>
      </c>
      <c r="L107">
        <f t="shared" si="12"/>
        <v>118719155400</v>
      </c>
      <c r="M107">
        <f t="shared" si="13"/>
        <v>0</v>
      </c>
      <c r="N107" t="str">
        <f t="shared" si="14"/>
        <v>diesel</v>
      </c>
      <c r="O107">
        <f t="shared" si="15"/>
        <v>23659154</v>
      </c>
    </row>
    <row r="108" spans="1:15" x14ac:dyDescent="0.25">
      <c r="A108" t="s">
        <v>209</v>
      </c>
      <c r="B108" t="s">
        <v>210</v>
      </c>
      <c r="C108" t="s">
        <v>49</v>
      </c>
      <c r="D108" t="s">
        <v>53</v>
      </c>
      <c r="E108">
        <v>13139984</v>
      </c>
      <c r="F108">
        <v>531392</v>
      </c>
      <c r="G108">
        <v>296654</v>
      </c>
      <c r="H108">
        <v>0</v>
      </c>
      <c r="I108">
        <v>0</v>
      </c>
      <c r="J108">
        <v>0</v>
      </c>
      <c r="K108">
        <v>0</v>
      </c>
      <c r="L108">
        <f t="shared" si="12"/>
        <v>41145909800</v>
      </c>
      <c r="M108">
        <f t="shared" si="13"/>
        <v>0</v>
      </c>
      <c r="N108" t="str">
        <f t="shared" si="14"/>
        <v>diesel</v>
      </c>
      <c r="O108">
        <f t="shared" si="15"/>
        <v>13139984</v>
      </c>
    </row>
    <row r="109" spans="1:15" x14ac:dyDescent="0.25">
      <c r="A109" t="s">
        <v>211</v>
      </c>
      <c r="B109" t="s">
        <v>212</v>
      </c>
      <c r="C109" t="s">
        <v>52</v>
      </c>
      <c r="D109" t="s">
        <v>61</v>
      </c>
      <c r="E109">
        <v>1526682</v>
      </c>
      <c r="F109">
        <v>191057</v>
      </c>
      <c r="G109">
        <v>0</v>
      </c>
      <c r="H109">
        <v>0</v>
      </c>
      <c r="I109">
        <v>0</v>
      </c>
      <c r="J109">
        <v>1249096</v>
      </c>
      <c r="K109">
        <v>0</v>
      </c>
      <c r="L109">
        <f t="shared" si="12"/>
        <v>0</v>
      </c>
      <c r="M109">
        <f t="shared" si="13"/>
        <v>4262090425.4400001</v>
      </c>
      <c r="N109" t="str">
        <f t="shared" si="14"/>
        <v>electric</v>
      </c>
      <c r="O109">
        <f t="shared" si="15"/>
        <v>0</v>
      </c>
    </row>
    <row r="110" spans="1:15" x14ac:dyDescent="0.25">
      <c r="A110" t="s">
        <v>213</v>
      </c>
      <c r="B110" t="s">
        <v>214</v>
      </c>
      <c r="C110" t="s">
        <v>34</v>
      </c>
      <c r="D110" t="s">
        <v>61</v>
      </c>
      <c r="E110">
        <v>144203482</v>
      </c>
      <c r="F110">
        <v>6225955</v>
      </c>
      <c r="G110">
        <v>4270411</v>
      </c>
      <c r="H110">
        <v>0</v>
      </c>
      <c r="I110">
        <v>0</v>
      </c>
      <c r="J110">
        <v>0</v>
      </c>
      <c r="K110">
        <v>0</v>
      </c>
      <c r="L110">
        <f t="shared" si="12"/>
        <v>592306005700</v>
      </c>
      <c r="M110">
        <f t="shared" si="13"/>
        <v>0</v>
      </c>
      <c r="N110" t="str">
        <f t="shared" si="14"/>
        <v>diesel</v>
      </c>
      <c r="O110">
        <f t="shared" si="15"/>
        <v>144203482</v>
      </c>
    </row>
    <row r="111" spans="1:15" x14ac:dyDescent="0.25">
      <c r="A111" t="s">
        <v>215</v>
      </c>
      <c r="B111" t="s">
        <v>216</v>
      </c>
      <c r="C111" t="s">
        <v>34</v>
      </c>
      <c r="D111" t="s">
        <v>61</v>
      </c>
      <c r="E111">
        <v>170264960</v>
      </c>
      <c r="F111">
        <v>11552285</v>
      </c>
      <c r="G111">
        <v>68204</v>
      </c>
      <c r="H111">
        <v>8449118</v>
      </c>
      <c r="I111">
        <v>0</v>
      </c>
      <c r="J111">
        <v>0</v>
      </c>
      <c r="K111">
        <v>0</v>
      </c>
      <c r="L111">
        <f t="shared" si="12"/>
        <v>1181352561400</v>
      </c>
      <c r="M111">
        <f t="shared" si="13"/>
        <v>0</v>
      </c>
      <c r="N111" t="str">
        <f t="shared" si="14"/>
        <v>diesel</v>
      </c>
      <c r="O111">
        <f t="shared" si="15"/>
        <v>170264960</v>
      </c>
    </row>
    <row r="112" spans="1:15" x14ac:dyDescent="0.25">
      <c r="A112" t="s">
        <v>217</v>
      </c>
      <c r="B112" t="s">
        <v>218</v>
      </c>
      <c r="C112" t="s">
        <v>78</v>
      </c>
      <c r="D112" t="s">
        <v>53</v>
      </c>
      <c r="E112">
        <v>115767453</v>
      </c>
      <c r="F112">
        <v>5335989</v>
      </c>
      <c r="G112">
        <v>0</v>
      </c>
      <c r="H112">
        <v>0</v>
      </c>
      <c r="I112">
        <v>0</v>
      </c>
      <c r="J112">
        <v>59338158</v>
      </c>
      <c r="K112">
        <v>0</v>
      </c>
      <c r="L112">
        <f t="shared" si="12"/>
        <v>0</v>
      </c>
      <c r="M112">
        <f t="shared" si="13"/>
        <v>202470102438.12</v>
      </c>
      <c r="N112" t="str">
        <f t="shared" si="14"/>
        <v>electric</v>
      </c>
      <c r="O112">
        <f t="shared" si="15"/>
        <v>0</v>
      </c>
    </row>
    <row r="113" spans="1:15" x14ac:dyDescent="0.25">
      <c r="A113" t="s">
        <v>217</v>
      </c>
      <c r="B113" t="s">
        <v>218</v>
      </c>
      <c r="C113" t="s">
        <v>59</v>
      </c>
      <c r="D113" t="s">
        <v>53</v>
      </c>
      <c r="E113">
        <v>313952298</v>
      </c>
      <c r="F113">
        <v>19205792</v>
      </c>
      <c r="G113">
        <v>0</v>
      </c>
      <c r="H113">
        <v>0</v>
      </c>
      <c r="I113">
        <v>0</v>
      </c>
      <c r="J113">
        <v>142404026</v>
      </c>
      <c r="K113">
        <v>0</v>
      </c>
      <c r="L113">
        <f t="shared" si="12"/>
        <v>0</v>
      </c>
      <c r="M113">
        <f t="shared" si="13"/>
        <v>485902473275.63995</v>
      </c>
      <c r="N113" t="str">
        <f t="shared" si="14"/>
        <v>electric</v>
      </c>
      <c r="O113">
        <f t="shared" si="15"/>
        <v>0</v>
      </c>
    </row>
    <row r="114" spans="1:15" x14ac:dyDescent="0.25">
      <c r="A114" t="s">
        <v>219</v>
      </c>
      <c r="B114" t="s">
        <v>220</v>
      </c>
      <c r="C114" t="s">
        <v>34</v>
      </c>
      <c r="D114" t="s">
        <v>61</v>
      </c>
      <c r="E114">
        <v>33578196</v>
      </c>
      <c r="F114">
        <v>1055480</v>
      </c>
      <c r="G114">
        <v>606079</v>
      </c>
      <c r="H114">
        <v>0</v>
      </c>
      <c r="I114">
        <v>0</v>
      </c>
      <c r="J114">
        <v>0</v>
      </c>
      <c r="K114">
        <v>0</v>
      </c>
      <c r="L114">
        <f t="shared" si="12"/>
        <v>84063157300</v>
      </c>
      <c r="M114">
        <f t="shared" si="13"/>
        <v>0</v>
      </c>
      <c r="N114" t="str">
        <f t="shared" si="14"/>
        <v>diesel</v>
      </c>
      <c r="O114">
        <f t="shared" si="15"/>
        <v>33578196</v>
      </c>
    </row>
    <row r="115" spans="1:15" x14ac:dyDescent="0.25">
      <c r="A115" t="s">
        <v>221</v>
      </c>
      <c r="B115" t="s">
        <v>222</v>
      </c>
      <c r="C115" t="s">
        <v>59</v>
      </c>
      <c r="D115" t="s">
        <v>61</v>
      </c>
      <c r="E115">
        <v>66394461</v>
      </c>
      <c r="F115">
        <v>3112012</v>
      </c>
      <c r="G115">
        <v>0</v>
      </c>
      <c r="H115">
        <v>0</v>
      </c>
      <c r="I115">
        <v>0</v>
      </c>
      <c r="J115">
        <v>31749200</v>
      </c>
      <c r="K115">
        <v>0</v>
      </c>
      <c r="L115">
        <f t="shared" si="12"/>
        <v>0</v>
      </c>
      <c r="M115">
        <f t="shared" si="13"/>
        <v>108332715288</v>
      </c>
      <c r="N115" t="str">
        <f t="shared" si="14"/>
        <v>electric</v>
      </c>
      <c r="O115">
        <f t="shared" si="15"/>
        <v>0</v>
      </c>
    </row>
    <row r="116" spans="1:15" x14ac:dyDescent="0.25">
      <c r="A116" t="s">
        <v>221</v>
      </c>
      <c r="B116" t="s">
        <v>222</v>
      </c>
      <c r="C116" t="s">
        <v>52</v>
      </c>
      <c r="D116" t="s">
        <v>61</v>
      </c>
      <c r="E116">
        <v>680735</v>
      </c>
      <c r="F116">
        <v>123820</v>
      </c>
      <c r="G116">
        <v>0</v>
      </c>
      <c r="H116">
        <v>0</v>
      </c>
      <c r="I116">
        <v>0</v>
      </c>
      <c r="J116">
        <v>1251600</v>
      </c>
      <c r="K116">
        <v>0</v>
      </c>
      <c r="L116">
        <f t="shared" si="12"/>
        <v>0</v>
      </c>
      <c r="M116">
        <f t="shared" si="13"/>
        <v>4270634424</v>
      </c>
      <c r="N116" t="str">
        <f t="shared" si="14"/>
        <v>electric</v>
      </c>
      <c r="O116">
        <f t="shared" si="15"/>
        <v>0</v>
      </c>
    </row>
    <row r="117" spans="1:15" x14ac:dyDescent="0.25">
      <c r="A117" t="s">
        <v>223</v>
      </c>
      <c r="B117" t="s">
        <v>224</v>
      </c>
      <c r="C117" t="s">
        <v>34</v>
      </c>
      <c r="D117" t="s">
        <v>53</v>
      </c>
      <c r="E117">
        <v>18401990</v>
      </c>
      <c r="F117">
        <v>1016992</v>
      </c>
      <c r="G117">
        <v>353682</v>
      </c>
      <c r="H117">
        <v>0</v>
      </c>
      <c r="I117">
        <v>0</v>
      </c>
      <c r="J117">
        <v>0</v>
      </c>
      <c r="K117">
        <v>0</v>
      </c>
      <c r="L117">
        <f t="shared" si="12"/>
        <v>49055693400</v>
      </c>
      <c r="M117">
        <f t="shared" si="13"/>
        <v>0</v>
      </c>
      <c r="N117" t="str">
        <f t="shared" si="14"/>
        <v>diesel</v>
      </c>
      <c r="O117">
        <f t="shared" si="15"/>
        <v>18401990</v>
      </c>
    </row>
    <row r="118" spans="1:15" x14ac:dyDescent="0.25">
      <c r="A118" t="s">
        <v>225</v>
      </c>
      <c r="B118" t="s">
        <v>226</v>
      </c>
      <c r="C118" t="s">
        <v>227</v>
      </c>
      <c r="D118" t="s">
        <v>53</v>
      </c>
      <c r="E118">
        <f>($E$124+$E$125)*$E$123</f>
        <v>2597700000</v>
      </c>
      <c r="F118">
        <f>($E$127+$E$128)*$E$132*$E$123</f>
        <v>72268056.537102476</v>
      </c>
      <c r="G118">
        <v>0</v>
      </c>
      <c r="H118">
        <v>0</v>
      </c>
      <c r="I118">
        <v>0</v>
      </c>
      <c r="J118">
        <f>$E$134*$E$123</f>
        <v>972000000</v>
      </c>
      <c r="K118">
        <v>0</v>
      </c>
      <c r="L118">
        <f t="shared" si="12"/>
        <v>0</v>
      </c>
      <c r="M118">
        <f t="shared" si="13"/>
        <v>3316600080000</v>
      </c>
      <c r="N118" t="str">
        <f t="shared" si="14"/>
        <v>electric</v>
      </c>
      <c r="O118">
        <f t="shared" si="15"/>
        <v>0</v>
      </c>
    </row>
    <row r="119" spans="1:15" x14ac:dyDescent="0.25">
      <c r="A119" t="s">
        <v>225</v>
      </c>
      <c r="B119" t="s">
        <v>228</v>
      </c>
      <c r="C119" t="s">
        <v>227</v>
      </c>
      <c r="D119" t="s">
        <v>53</v>
      </c>
      <c r="E119">
        <f>($E$126-$E$124-$E$125)*$E$123</f>
        <v>3946400000.0000005</v>
      </c>
      <c r="F119">
        <f>($E$129-$E$127-$E$128)*$E$132*$E$123</f>
        <v>208774385.55162936</v>
      </c>
      <c r="G119">
        <f>$E$133*$E$123</f>
        <v>53400000</v>
      </c>
      <c r="H119">
        <v>0</v>
      </c>
      <c r="I119">
        <v>0</v>
      </c>
      <c r="J119">
        <v>0</v>
      </c>
      <c r="K119">
        <v>0</v>
      </c>
      <c r="L119">
        <f t="shared" si="12"/>
        <v>7406580000000</v>
      </c>
      <c r="M119">
        <f t="shared" si="13"/>
        <v>0</v>
      </c>
      <c r="N119" t="str">
        <f t="shared" si="14"/>
        <v>diesel</v>
      </c>
      <c r="O119">
        <f t="shared" si="15"/>
        <v>3946400000.0000005</v>
      </c>
    </row>
    <row r="122" spans="1:15" x14ac:dyDescent="0.25">
      <c r="A122" t="s">
        <v>229</v>
      </c>
    </row>
    <row r="123" spans="1:15" x14ac:dyDescent="0.25">
      <c r="A123" t="s">
        <v>230</v>
      </c>
      <c r="E123">
        <v>1000000</v>
      </c>
    </row>
    <row r="124" spans="1:15" x14ac:dyDescent="0.25">
      <c r="A124" t="s">
        <v>231</v>
      </c>
      <c r="E124">
        <v>2518.6</v>
      </c>
      <c r="F124" t="s">
        <v>232</v>
      </c>
    </row>
    <row r="125" spans="1:15" x14ac:dyDescent="0.25">
      <c r="A125" t="s">
        <v>233</v>
      </c>
      <c r="E125">
        <v>79.099999999999994</v>
      </c>
      <c r="F125" t="s">
        <v>234</v>
      </c>
    </row>
    <row r="126" spans="1:15" x14ac:dyDescent="0.25">
      <c r="A126" t="s">
        <v>235</v>
      </c>
      <c r="E126">
        <v>6544.1</v>
      </c>
      <c r="F126" t="s">
        <v>236</v>
      </c>
    </row>
    <row r="127" spans="1:15" x14ac:dyDescent="0.25">
      <c r="A127" t="s">
        <v>237</v>
      </c>
      <c r="E127">
        <v>9.1</v>
      </c>
      <c r="F127" t="s">
        <v>234</v>
      </c>
    </row>
    <row r="128" spans="1:15" x14ac:dyDescent="0.25">
      <c r="A128" t="s">
        <v>238</v>
      </c>
      <c r="E128">
        <v>0.8</v>
      </c>
      <c r="F128" t="s">
        <v>234</v>
      </c>
    </row>
    <row r="129" spans="1:6" x14ac:dyDescent="0.25">
      <c r="A129" t="s">
        <v>239</v>
      </c>
      <c r="E129">
        <v>38.5</v>
      </c>
      <c r="F129" t="s">
        <v>236</v>
      </c>
    </row>
    <row r="130" spans="1:6" x14ac:dyDescent="0.25">
      <c r="A130" t="s">
        <v>240</v>
      </c>
      <c r="E130">
        <v>38205</v>
      </c>
      <c r="F130" t="s">
        <v>241</v>
      </c>
    </row>
    <row r="131" spans="1:6" x14ac:dyDescent="0.25">
      <c r="A131" t="s">
        <v>242</v>
      </c>
      <c r="E131">
        <v>278889</v>
      </c>
      <c r="F131" t="s">
        <v>234</v>
      </c>
    </row>
    <row r="132" spans="1:6" x14ac:dyDescent="0.25">
      <c r="A132" t="s">
        <v>243</v>
      </c>
      <c r="E132">
        <f>$E$131/$E$130</f>
        <v>7.2998036906164119</v>
      </c>
      <c r="F132" t="s">
        <v>244</v>
      </c>
    </row>
    <row r="133" spans="1:6" x14ac:dyDescent="0.25">
      <c r="A133" t="s">
        <v>245</v>
      </c>
      <c r="E133">
        <v>53.4</v>
      </c>
      <c r="F133" t="s">
        <v>246</v>
      </c>
    </row>
    <row r="134" spans="1:6" x14ac:dyDescent="0.25">
      <c r="A134" t="s">
        <v>247</v>
      </c>
      <c r="E134">
        <v>972</v>
      </c>
      <c r="F134" t="s">
        <v>248</v>
      </c>
    </row>
    <row r="135" spans="1:6" x14ac:dyDescent="0.25">
      <c r="A135" t="s">
        <v>249</v>
      </c>
      <c r="E135">
        <v>2075</v>
      </c>
      <c r="F135" t="s">
        <v>250</v>
      </c>
    </row>
    <row r="138" spans="1:6" x14ac:dyDescent="0.25">
      <c r="A138" t="s">
        <v>251</v>
      </c>
    </row>
    <row r="139" spans="1:6" x14ac:dyDescent="0.25">
      <c r="A139" t="s">
        <v>252</v>
      </c>
      <c r="E139">
        <f>SUM(F8:F117)</f>
        <v>1204158309</v>
      </c>
    </row>
    <row r="140" spans="1:6" x14ac:dyDescent="0.25">
      <c r="A140" t="s">
        <v>253</v>
      </c>
      <c r="E140">
        <f>F118+F119</f>
        <v>281042442.08873183</v>
      </c>
    </row>
    <row r="141" spans="1:6" x14ac:dyDescent="0.25">
      <c r="A141" t="s">
        <v>254</v>
      </c>
      <c r="E141">
        <v>2014</v>
      </c>
      <c r="F141" t="s">
        <v>255</v>
      </c>
    </row>
    <row r="142" spans="1:6" x14ac:dyDescent="0.25">
      <c r="A142" t="s">
        <v>256</v>
      </c>
      <c r="E142">
        <v>2024</v>
      </c>
      <c r="F142" t="s">
        <v>234</v>
      </c>
    </row>
    <row r="143" spans="1:6" x14ac:dyDescent="0.25">
      <c r="A143" t="s">
        <v>257</v>
      </c>
      <c r="E143">
        <v>20172</v>
      </c>
      <c r="F143" t="s">
        <v>234</v>
      </c>
    </row>
    <row r="144" spans="1:6" x14ac:dyDescent="0.25">
      <c r="A144" t="s">
        <v>258</v>
      </c>
      <c r="E144">
        <v>21728</v>
      </c>
      <c r="F144" t="s">
        <v>234</v>
      </c>
    </row>
    <row r="145" spans="1:6" x14ac:dyDescent="0.25">
      <c r="A145" t="s">
        <v>259</v>
      </c>
      <c r="E145">
        <f>LN($E$144/$E$143)/($E$142-$E$141)</f>
        <v>7.4306247161806827E-3</v>
      </c>
    </row>
    <row r="146" spans="1:6" x14ac:dyDescent="0.25">
      <c r="A146" t="s">
        <v>260</v>
      </c>
      <c r="E146">
        <v>1000</v>
      </c>
    </row>
    <row r="147" spans="1:6" x14ac:dyDescent="0.25">
      <c r="A147" t="s">
        <v>261</v>
      </c>
      <c r="E147">
        <v>32816578851</v>
      </c>
      <c r="F147" t="s">
        <v>262</v>
      </c>
    </row>
    <row r="148" spans="1:6" x14ac:dyDescent="0.25">
      <c r="A148" t="s">
        <v>263</v>
      </c>
      <c r="E148">
        <v>1188417856</v>
      </c>
      <c r="F148" t="s">
        <v>234</v>
      </c>
    </row>
    <row r="149" spans="1:6" x14ac:dyDescent="0.25">
      <c r="A149" t="s">
        <v>264</v>
      </c>
      <c r="E149">
        <v>1158672671</v>
      </c>
      <c r="F149" t="s">
        <v>234</v>
      </c>
    </row>
    <row r="150" spans="1:6" x14ac:dyDescent="0.25">
      <c r="A150" t="s">
        <v>265</v>
      </c>
      <c r="E150">
        <v>6478.8</v>
      </c>
      <c r="F150" t="s">
        <v>266</v>
      </c>
    </row>
    <row r="151" spans="1:6" x14ac:dyDescent="0.25">
      <c r="A151" t="s">
        <v>267</v>
      </c>
      <c r="E151">
        <f>($E$147+$E$150*$E$123)/($E$148*$E$139/$E$149+$E$131*$E$146)</f>
        <v>25.955358061603366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C7"/>
  <sheetViews>
    <sheetView workbookViewId="0"/>
  </sheetViews>
  <sheetFormatPr defaultRowHeight="15" x14ac:dyDescent="0.25"/>
  <cols>
    <col min="1" max="1" width="48" customWidth="1"/>
  </cols>
  <sheetData>
    <row r="1" spans="1:3" x14ac:dyDescent="0.25">
      <c r="A1" t="s">
        <v>268</v>
      </c>
      <c r="B1" t="s">
        <v>269</v>
      </c>
      <c r="C1" t="s">
        <v>270</v>
      </c>
    </row>
    <row r="2" spans="1:3" x14ac:dyDescent="0.25">
      <c r="A2" t="s">
        <v>271</v>
      </c>
      <c r="B2">
        <v>0</v>
      </c>
      <c r="C2">
        <v>0</v>
      </c>
    </row>
    <row r="3" spans="1:3" x14ac:dyDescent="0.25">
      <c r="A3" t="s">
        <v>272</v>
      </c>
      <c r="B3">
        <v>0</v>
      </c>
      <c r="C3">
        <v>0</v>
      </c>
    </row>
    <row r="4" spans="1:3" x14ac:dyDescent="0.25">
      <c r="A4" t="s">
        <v>273</v>
      </c>
      <c r="B4">
        <v>0</v>
      </c>
      <c r="C4">
        <v>0</v>
      </c>
    </row>
    <row r="5" spans="1:3" x14ac:dyDescent="0.25">
      <c r="A5" t="s">
        <v>274</v>
      </c>
      <c r="B5">
        <f>'Passenger rail 2024'!$E$145</f>
        <v>7.4306247161806827E-3</v>
      </c>
      <c r="C5">
        <v>0</v>
      </c>
    </row>
    <row r="6" spans="1:3" x14ac:dyDescent="0.25">
      <c r="A6" t="s">
        <v>275</v>
      </c>
      <c r="B6">
        <v>0</v>
      </c>
      <c r="C6">
        <v>0</v>
      </c>
    </row>
    <row r="7" spans="1:3" x14ac:dyDescent="0.25">
      <c r="A7" t="s">
        <v>276</v>
      </c>
      <c r="B7">
        <v>0</v>
      </c>
      <c r="C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Passenger rail 2024</vt:lpstr>
      <vt:lpstr>MBFGR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2026-10-22T20:26:26Z</dcterms:created>
  <dcterms:modified xsi:type="dcterms:W3CDTF">2026-10-22T20:26:28Z</dcterms:modified>
</cp:coreProperties>
</file>