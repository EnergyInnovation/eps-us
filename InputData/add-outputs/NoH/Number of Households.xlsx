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add-outputs\NoH\"/>
    </mc:Choice>
  </mc:AlternateContent>
  <xr:revisionPtr revIDLastSave="0" documentId="13_ncr:1_{A149A153-14AC-4572-8283-DE26B6073226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About" sheetId="1" r:id="rId1"/>
    <sheet name="AEO 2023 Table 4" sheetId="4" r:id="rId2"/>
    <sheet name="AEO 2022 Table 4" sheetId="5" r:id="rId3"/>
    <sheet name="NoH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C2" i="3"/>
</calcChain>
</file>

<file path=xl/sharedStrings.xml><?xml version="1.0" encoding="utf-8"?>
<sst xmlns="http://schemas.openxmlformats.org/spreadsheetml/2006/main" count="569" uniqueCount="257">
  <si>
    <t>Source:</t>
  </si>
  <si>
    <t>NoH Number of Households</t>
  </si>
  <si>
    <t>Key Indicators</t>
  </si>
  <si>
    <t>Energy Consumption by Fuel</t>
  </si>
  <si>
    <t>Electricity Related Losses</t>
  </si>
  <si>
    <t>Total Net Own-use Generation</t>
  </si>
  <si>
    <t>Heating Degree Days</t>
  </si>
  <si>
    <t>Cooling Degree Days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</si>
  <si>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</si>
  <si>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</si>
  <si>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</si>
  <si>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</si>
  <si>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</si>
  <si>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</si>
  <si>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</si>
  <si>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</si>
  <si>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</si>
  <si>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</si>
  <si>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RKI000</t>
  </si>
  <si>
    <t>4. Residential Sector Key Indicators and Consumption</t>
  </si>
  <si>
    <t>Average</t>
  </si>
  <si>
    <t>(quadrillion Btu, unless otherwise noted)</t>
  </si>
  <si>
    <t>Annual</t>
  </si>
  <si>
    <t>Change</t>
  </si>
  <si>
    <t xml:space="preserve"> Key Indicators and Consumption</t>
  </si>
  <si>
    <t>2022–2050</t>
  </si>
  <si>
    <t xml:space="preserve"> Households (millions)</t>
  </si>
  <si>
    <t>RKI000:ba_Single-Family</t>
  </si>
  <si>
    <t xml:space="preserve">   Single-Family</t>
  </si>
  <si>
    <t>RKI000:ba_Multifamily</t>
  </si>
  <si>
    <t xml:space="preserve">   Multifamily</t>
  </si>
  <si>
    <t>RKI000:ba_MobileHomes</t>
  </si>
  <si>
    <t xml:space="preserve">   Mobile Homes</t>
  </si>
  <si>
    <t>RKI000:ba_Total</t>
  </si>
  <si>
    <t xml:space="preserve">     Total</t>
  </si>
  <si>
    <t>RKI000:ca_AverageHouseS</t>
  </si>
  <si>
    <t xml:space="preserve"> Average House Square Footage</t>
  </si>
  <si>
    <t xml:space="preserve"> Energy Intensity</t>
  </si>
  <si>
    <t xml:space="preserve"> (million Btu per household)</t>
  </si>
  <si>
    <t>RKI000:da_DeliveredEner</t>
  </si>
  <si>
    <t xml:space="preserve">   Gross End-use Consumption 1/</t>
  </si>
  <si>
    <t>RKI000:da_TotalEnergyCo</t>
  </si>
  <si>
    <t xml:space="preserve">   Delivered Energy Consumption</t>
  </si>
  <si>
    <t xml:space="preserve"> (thousand Btu per square foot)</t>
  </si>
  <si>
    <t>RKI000:ea_DeliveredEner</t>
  </si>
  <si>
    <t>RKI000:ea_TotalEnergyCo</t>
  </si>
  <si>
    <t xml:space="preserve"> Electricity 1/</t>
  </si>
  <si>
    <t>RKI000:fa_SpaceHeating</t>
  </si>
  <si>
    <t xml:space="preserve">   Space Heating</t>
  </si>
  <si>
    <t>RKI000:fa_SpaceCooling</t>
  </si>
  <si>
    <t xml:space="preserve">   Space Cooling</t>
  </si>
  <si>
    <t>RKI000:fa_WaterHeating</t>
  </si>
  <si>
    <t xml:space="preserve">   Water Heating</t>
  </si>
  <si>
    <t>RKI000:fa_Refrigeration</t>
  </si>
  <si>
    <t xml:space="preserve">   Refrigeration</t>
  </si>
  <si>
    <t>RKI000:fa_Cooking</t>
  </si>
  <si>
    <t xml:space="preserve">   Cooking</t>
  </si>
  <si>
    <t>RKI000:fa_ClothesDryers</t>
  </si>
  <si>
    <t xml:space="preserve">   Clothes Dryers</t>
  </si>
  <si>
    <t>RKI000:fa_Freezers</t>
  </si>
  <si>
    <t xml:space="preserve">   Freezers</t>
  </si>
  <si>
    <t>RKI000:fa_Lighting</t>
  </si>
  <si>
    <t xml:space="preserve">   Lighting</t>
  </si>
  <si>
    <t>RKI000:fa_ClothesWasher</t>
  </si>
  <si>
    <t xml:space="preserve">   Clothes Washers 2/</t>
  </si>
  <si>
    <t>RKI000:fa_Dishwashers</t>
  </si>
  <si>
    <t xml:space="preserve">   Dishwashers 2/</t>
  </si>
  <si>
    <t>RKI000:fa_ColorTelevisi</t>
  </si>
  <si>
    <t xml:space="preserve">   Televisions and Related Equipment 3/</t>
  </si>
  <si>
    <t>RKI000:fa_PersonalCompu</t>
  </si>
  <si>
    <t xml:space="preserve">   Computers and Related Equipment 4/</t>
  </si>
  <si>
    <t>RKI000:fa_FurnaceFans</t>
  </si>
  <si>
    <t xml:space="preserve">   Furnace Fans and Boiler Circulation Pumps</t>
  </si>
  <si>
    <t>RKI000:fa_OtherUses</t>
  </si>
  <si>
    <t xml:space="preserve">   Other Uses 5/</t>
  </si>
  <si>
    <t>RKI000:fa_DeliveredEner</t>
  </si>
  <si>
    <t xml:space="preserve">     Electricity Subtotal</t>
  </si>
  <si>
    <t>RKI000:fa_OwnGeneration</t>
  </si>
  <si>
    <t xml:space="preserve">   On-site Generation for Own Use</t>
  </si>
  <si>
    <t>RKI000:fa_PurchasedElec</t>
  </si>
  <si>
    <t xml:space="preserve">     Purchased Electricity</t>
  </si>
  <si>
    <t xml:space="preserve"> Natural Gas</t>
  </si>
  <si>
    <t>RKI000:ga_SpaceHeating</t>
  </si>
  <si>
    <t>RKI000:ga_SpaceCooling</t>
  </si>
  <si>
    <t>RKI000:ga_WaterHeating</t>
  </si>
  <si>
    <t>RKI000:ga_Cooking</t>
  </si>
  <si>
    <t>RKI000:ga_ClothesDryers</t>
  </si>
  <si>
    <t>RKI000:ga_OtherNatGas</t>
  </si>
  <si>
    <t xml:space="preserve">   Other Uses 6/</t>
  </si>
  <si>
    <t>RKI000:ga_DeliveredEner</t>
  </si>
  <si>
    <t xml:space="preserve">     Delivered Energy</t>
  </si>
  <si>
    <t xml:space="preserve"> Distillate Fuel Oil 7/</t>
  </si>
  <si>
    <t>RKI000:ha_SpaceHeating</t>
  </si>
  <si>
    <t>RKI000:ha_WaterHeating</t>
  </si>
  <si>
    <t>RKI000:Other_ha_ha</t>
  </si>
  <si>
    <t xml:space="preserve">   Other Uses 8/</t>
  </si>
  <si>
    <t>RKI000:ha_DeliveredEner</t>
  </si>
  <si>
    <t xml:space="preserve"> Propane</t>
  </si>
  <si>
    <t>RKI000:ia_SpaceHeating</t>
  </si>
  <si>
    <t>RKI000:ia_WaterHeating</t>
  </si>
  <si>
    <t>RKI000:ia_Cooking</t>
  </si>
  <si>
    <t>RKI000:ia_OtherUses</t>
  </si>
  <si>
    <t xml:space="preserve">   Other Uses 9/</t>
  </si>
  <si>
    <t>RKI000:ia_DeliveredEner</t>
  </si>
  <si>
    <t>RKI000:ja_MarketedRenew</t>
  </si>
  <si>
    <t xml:space="preserve"> Marketed Renewables (wood) 10/</t>
  </si>
  <si>
    <t>Energy Consumption by End Use 1/</t>
  </si>
  <si>
    <t>RKI000:ka_SpaceHeating</t>
  </si>
  <si>
    <t xml:space="preserve"> Space Heating</t>
  </si>
  <si>
    <t>RKI000:ka_SpaceCooling</t>
  </si>
  <si>
    <t xml:space="preserve"> Space Cooling</t>
  </si>
  <si>
    <t>RKI000:ka_WaterHeating</t>
  </si>
  <si>
    <t xml:space="preserve"> Water Heating</t>
  </si>
  <si>
    <t>RKI000:ka_Refrigeration</t>
  </si>
  <si>
    <t xml:space="preserve"> Refrigeration</t>
  </si>
  <si>
    <t>RKI000:ka_Cooking</t>
  </si>
  <si>
    <t xml:space="preserve"> Cooking</t>
  </si>
  <si>
    <t>RKI000:ka_ClothesDryers</t>
  </si>
  <si>
    <t xml:space="preserve"> Clothes Dryers</t>
  </si>
  <si>
    <t>RKI000:ka_Freezers</t>
  </si>
  <si>
    <t xml:space="preserve"> Freezers</t>
  </si>
  <si>
    <t>RKI000:ka_Lighting</t>
  </si>
  <si>
    <t xml:space="preserve"> Lighting</t>
  </si>
  <si>
    <t>RKI000:ka_ClothesWasher</t>
  </si>
  <si>
    <t xml:space="preserve"> Clothes Washers 2/</t>
  </si>
  <si>
    <t>RKI000:ka_Dishwashers</t>
  </si>
  <si>
    <t xml:space="preserve"> Dishwashers 2/</t>
  </si>
  <si>
    <t>RKI000:ka_ColorTelevisi</t>
  </si>
  <si>
    <t xml:space="preserve"> Televisions and Related Equipment 3/</t>
  </si>
  <si>
    <t>RKI000:ka_PersonalCompu</t>
  </si>
  <si>
    <t xml:space="preserve"> Computers and Related Equipment 4/</t>
  </si>
  <si>
    <t>RKI000:ka_FurnaceFans</t>
  </si>
  <si>
    <t xml:space="preserve"> Furnace Fans and Boiler Circulation Pumps</t>
  </si>
  <si>
    <t>RKI000:ka_OtherUses</t>
  </si>
  <si>
    <t xml:space="preserve"> Other Uses 11/</t>
  </si>
  <si>
    <t>RKI000:ka_GrsEndUseCons</t>
  </si>
  <si>
    <t xml:space="preserve">    Gross End-use Consumption</t>
  </si>
  <si>
    <t>RKI000:ka_OwnGeneration</t>
  </si>
  <si>
    <t xml:space="preserve"> On-site Generation for Own Use</t>
  </si>
  <si>
    <t>RKI000:ka_DeliveredEner</t>
  </si>
  <si>
    <t xml:space="preserve">    Delivered Energy</t>
  </si>
  <si>
    <t>RKI000:la_ElectricityRe</t>
  </si>
  <si>
    <t>Total Energy Consumption by End Use 1/</t>
  </si>
  <si>
    <t>RKI000:ma_SpaceHeating</t>
  </si>
  <si>
    <t>RKI000:ma_SpaceCooling</t>
  </si>
  <si>
    <t>RKI000:ma_WaterHeating</t>
  </si>
  <si>
    <t>RKI000:ma_Refrigeration</t>
  </si>
  <si>
    <t>RKI000:ma_Cooking</t>
  </si>
  <si>
    <t>RKI000:ma_ClothesDryers</t>
  </si>
  <si>
    <t>RKI000:ma_Freezers</t>
  </si>
  <si>
    <t>RKI000:ma_Lighting</t>
  </si>
  <si>
    <t>RKI000:ma_ClothesWasher</t>
  </si>
  <si>
    <t>RKI000:ma_Dishwashers</t>
  </si>
  <si>
    <t>RKI000:ma_ColorTelevisi</t>
  </si>
  <si>
    <t>RKI000:ma_PersonalCompu</t>
  </si>
  <si>
    <t>RKI000:ma_FurnaceFans</t>
  </si>
  <si>
    <t>RKI000:ma_OtherUses</t>
  </si>
  <si>
    <t>RKI000:ma_Total</t>
  </si>
  <si>
    <t xml:space="preserve">   Total Gross End-use Consumption</t>
  </si>
  <si>
    <t>RKI000:ma_OwnGeneration</t>
  </si>
  <si>
    <t xml:space="preserve"> Generation for Own Use</t>
  </si>
  <si>
    <t>RKI000:ma_TtllOwnUseGen</t>
  </si>
  <si>
    <t>Nonmarketed Renewables 12/</t>
  </si>
  <si>
    <t>RKI000:na_GeothermalHea</t>
  </si>
  <si>
    <t xml:space="preserve">  Geothermal Heat Pumps</t>
  </si>
  <si>
    <t>RKI000:na_SolarHotWater</t>
  </si>
  <si>
    <t xml:space="preserve">  Solar Hot Water Heating</t>
  </si>
  <si>
    <t>RKI000:na_SolarPhotovol</t>
  </si>
  <si>
    <t xml:space="preserve">  Solar Photovoltaic</t>
  </si>
  <si>
    <t>RKI000:na_WindHuffPuff</t>
  </si>
  <si>
    <t xml:space="preserve">  Wind</t>
  </si>
  <si>
    <t>RKI000:na_Total</t>
  </si>
  <si>
    <t xml:space="preserve">    Total</t>
  </si>
  <si>
    <t>RKI000:hdd_NewEngland</t>
  </si>
  <si>
    <t xml:space="preserve">   New England</t>
  </si>
  <si>
    <t>RKI000:hdd_MiddleAtlant</t>
  </si>
  <si>
    <t xml:space="preserve">   Middle Atlantic</t>
  </si>
  <si>
    <t>RKI000:hdd_EastNorthCen</t>
  </si>
  <si>
    <t xml:space="preserve">   East North Central</t>
  </si>
  <si>
    <t>RKI000:hdd_WestNorthCen</t>
  </si>
  <si>
    <t xml:space="preserve">   West North Central</t>
  </si>
  <si>
    <t>RKI000:hdd_SouthAtlantc</t>
  </si>
  <si>
    <t xml:space="preserve">   South Atlantic</t>
  </si>
  <si>
    <t>RKI000:hdd_EastSouthCen</t>
  </si>
  <si>
    <t xml:space="preserve">   East South Central</t>
  </si>
  <si>
    <t>RKI000:hdd_WestSouthCen</t>
  </si>
  <si>
    <t xml:space="preserve">   West South Central</t>
  </si>
  <si>
    <t>RKI000:hdd_Mountain</t>
  </si>
  <si>
    <t xml:space="preserve">   Mountain</t>
  </si>
  <si>
    <t>RKI000:hdd_Pacific</t>
  </si>
  <si>
    <t xml:space="preserve">   Pacific</t>
  </si>
  <si>
    <t>RKI000:hdd_UnitedStates</t>
  </si>
  <si>
    <t xml:space="preserve">      United States</t>
  </si>
  <si>
    <t>RKI000:cdd_NewEngland</t>
  </si>
  <si>
    <t>RKI000:cdd_MiddleAtlant</t>
  </si>
  <si>
    <t>RKI000:cdd_EastNorthCen</t>
  </si>
  <si>
    <t>RKI000:cdd_WestNorthCen</t>
  </si>
  <si>
    <t>RKI000:cdd_SouthAtlantc</t>
  </si>
  <si>
    <t>RKI000:cdd_EastSouthCen</t>
  </si>
  <si>
    <t>RKI000:cdd_WestSouthCen</t>
  </si>
  <si>
    <t>RKI000:cdd_Mountain</t>
  </si>
  <si>
    <t>RKI000:cdd_Pacific</t>
  </si>
  <si>
    <t>RKI000:cdd_UnitedStates</t>
  </si>
  <si>
    <t>1/ Unless otherwise specified, energy consumption by end use includes all electricity consumed for that end use,</t>
  </si>
  <si>
    <t>including purchased electricity and on-site generation for own use.</t>
  </si>
  <si>
    <t>2/ Does not include water heating portion of load.</t>
  </si>
  <si>
    <t>3/ Includes televisions, set-top boxes, home theater systems, over-the-top streaming devices, and video game consoles.</t>
  </si>
  <si>
    <t>4/ Includes desktop and laptop computers, monitors, and networking equipment.</t>
  </si>
  <si>
    <t>5/ Includes (but is not limited to) dehumidifiers, ceiling fans, non-PC rechargeables, smart speakers, smartphones, tablets, microwaves,</t>
  </si>
  <si>
    <t>coffee makers, miscellaneous refrigeration products, other small kitchen appliances, pool heaters, pool pumps, portable electric spas, and</t>
  </si>
  <si>
    <t>security systems, as well as electric and electronic devices, heating elements, and motors not listed above. Electric vehicles are</t>
  </si>
  <si>
    <t>included in the transportation sector.</t>
  </si>
  <si>
    <t>6/ Includes such appliances as outdoor grills, natural gas-fueled lights, pool heaters, spa heaters, and backup electricity generators.</t>
  </si>
  <si>
    <t>7/ Includes kerosene use.</t>
  </si>
  <si>
    <t>8/ Includes such appliances as pool heaters, spa heaters, and backup electricity generators.</t>
  </si>
  <si>
    <t>9/ Includes such appliances as outdoor grills, propane-fueled lights, pool heaters, spa heaters, and backup electricity generators.</t>
  </si>
  <si>
    <t>10/ Includes wood used for primary and secondary heating in wood stoves or fireplaces as reported in the Residential Energy Consumption</t>
  </si>
  <si>
    <t>Survey.</t>
  </si>
  <si>
    <t>11/ Includes (but is not limited to) dehumidifiers, ceiling fans, non-PC rechargeables, smart speakers, smartphones, tables, microwaves,</t>
  </si>
  <si>
    <t>coffee makers, miscellaneous refrigeration products, other small kitchen appliances, pool heaters, pool pumps, portable electric spas,</t>
  </si>
  <si>
    <t>outdoor grills, natural gas- and propane-fueled lights, security systems, and backup electricity generators, as well as electric and</t>
  </si>
  <si>
    <t>electronic devices, heating elements, and motors not listed above. Electric vehicles are included in the transportation sector.</t>
  </si>
  <si>
    <t>12/ Consumption determined by using the average electric power sector net heat rate for fossil fuels.</t>
  </si>
  <si>
    <t>Btu = British thermal unit.</t>
  </si>
  <si>
    <t>- - = Not applicable.</t>
  </si>
  <si>
    <t>Note:  Totals may not equal sum of components due to independent rounding.</t>
  </si>
  <si>
    <t>Data source: 2022:  U.S. Energy Information Administration (EIA), Short-Term Energy Outlook, November 2022 and EIA, AEO2023</t>
  </si>
  <si>
    <t>National Energy Modeling System run ref2023.d020623a.  Projections:  EIA, AEO2023 National Energy Modeling System run ref2023.d020623a.</t>
  </si>
  <si>
    <t>Energy Information Administration</t>
  </si>
  <si>
    <t>https://www.eia.gov/outlooks/archive/aeo23/tables_ref.php</t>
  </si>
  <si>
    <t>Table 4</t>
  </si>
  <si>
    <t>Households</t>
  </si>
  <si>
    <t>Dmnl</t>
  </si>
  <si>
    <t>2022-2050</t>
  </si>
  <si>
    <t>Annual Energy Outlook 2022</t>
  </si>
  <si>
    <t>https://www.eia.gov/outlooks/archive/aeo22/tables_ref.php</t>
  </si>
  <si>
    <t>ref2021.d113020a</t>
  </si>
  <si>
    <t>Annual Energy Outlook 2021</t>
  </si>
  <si>
    <t>ref2021</t>
  </si>
  <si>
    <t>Reference case</t>
  </si>
  <si>
    <t>d113020a</t>
  </si>
  <si>
    <t xml:space="preserve"> January 2021</t>
  </si>
  <si>
    <t>Compound</t>
  </si>
  <si>
    <t xml:space="preserve"> Growth </t>
  </si>
  <si>
    <t/>
  </si>
  <si>
    <t xml:space="preserve">2020-2050 </t>
  </si>
  <si>
    <t>(percent)</t>
  </si>
  <si>
    <t xml:space="preserve">   Onsite Generation for Own Use</t>
  </si>
  <si>
    <t xml:space="preserve"> Onsite Generation for Own Use</t>
  </si>
  <si>
    <t>including purchased electricity and onsite generation for own use.</t>
  </si>
  <si>
    <t>3/ Includes televisions, set-top boxes, home theater systems, DVD and Blu-ray players, and video game consoles.</t>
  </si>
  <si>
    <t>5/ Includes electric and electronic devices, heating elements, and motors not listed above.  Electric vehicles are included in the</t>
  </si>
  <si>
    <t>transportation sector.</t>
  </si>
  <si>
    <t>11/ Includes electric and electronic devices, heating elements, motors, outdoor grills, natural gas-and propane-fueled lights, pool</t>
  </si>
  <si>
    <t>heaters, spa heaters, and backup electricity generators not listed above.  Electric vehicles are included in the transportation sector.</t>
  </si>
  <si>
    <t>Sources:  2020:  U.S. Energy Information Administration (EIA), Short-Term Energy Outlook, October 2020 and EIA, AEO2021</t>
  </si>
  <si>
    <t>National Energy Modeling System run ref2021.d113020a.  Projections:  EIA, AEO2021 National Energy Modeling System run ref2021.d113020a.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</si>
</sst>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8"/>
      <name val="Arial"/>
      <family val="2"/>
    </font>
    <font>
      <sz val="9"/>
      <name val="Calibri"/>
      <family val="2"/>
    </font>
    <font>
      <sz val="10"/>
      <color indexed="8"/>
      <name val="Arial"/>
      <family val="2"/>
    </font>
    <font>
      <b/>
      <sz val="12"/>
      <name val="Calibri"/>
      <family val="2"/>
    </font>
    <font>
      <b/>
      <sz val="9"/>
      <name val="Calibri"/>
      <family val="2"/>
    </font>
    <font>
      <sz val="10"/>
      <name val="Calibri"/>
      <family val="2"/>
    </font>
    <font>
      <sz val="11"/>
      <color rgb="FF9C6500"/>
      <name val="Calibri"/>
      <family val="2"/>
      <scheme val="minor"/>
    </font>
    <font>
      <sz val="10"/>
      <color indexed="8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</borders>
  <cellStyleXfs count="75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17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7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7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7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7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8" fillId="0" borderId="0"/>
    <xf numFmtId="0" fontId="18" fillId="0" borderId="10">
      <alignment wrapText="1"/>
    </xf>
    <xf numFmtId="0" fontId="18" fillId="0" borderId="0"/>
    <xf numFmtId="0" fontId="18" fillId="0" borderId="11">
      <alignment wrapText="1"/>
    </xf>
    <xf numFmtId="0" fontId="19" fillId="0" borderId="12">
      <alignment wrapText="1"/>
    </xf>
    <xf numFmtId="0" fontId="19" fillId="0" borderId="13">
      <alignment wrapText="1"/>
    </xf>
    <xf numFmtId="0" fontId="20" fillId="0" borderId="0">
      <alignment horizontal="left"/>
    </xf>
    <xf numFmtId="0" fontId="3" fillId="0" borderId="0"/>
    <xf numFmtId="0" fontId="18" fillId="0" borderId="0"/>
    <xf numFmtId="0" fontId="18" fillId="0" borderId="10">
      <alignment wrapText="1"/>
    </xf>
    <xf numFmtId="0" fontId="18" fillId="0" borderId="0"/>
    <xf numFmtId="0" fontId="18" fillId="0" borderId="11">
      <alignment wrapText="1"/>
    </xf>
    <xf numFmtId="0" fontId="19" fillId="0" borderId="12">
      <alignment wrapText="1"/>
    </xf>
    <xf numFmtId="0" fontId="19" fillId="0" borderId="13">
      <alignment wrapText="1"/>
    </xf>
    <xf numFmtId="0" fontId="20" fillId="0" borderId="0">
      <alignment horizontal="left"/>
    </xf>
    <xf numFmtId="0" fontId="3" fillId="0" borderId="0"/>
    <xf numFmtId="0" fontId="18" fillId="0" borderId="0"/>
    <xf numFmtId="0" fontId="18" fillId="0" borderId="10">
      <alignment wrapText="1"/>
    </xf>
    <xf numFmtId="0" fontId="18" fillId="0" borderId="0"/>
    <xf numFmtId="0" fontId="18" fillId="0" borderId="11">
      <alignment wrapText="1"/>
    </xf>
    <xf numFmtId="0" fontId="19" fillId="0" borderId="12">
      <alignment wrapText="1"/>
    </xf>
    <xf numFmtId="0" fontId="19" fillId="0" borderId="13">
      <alignment wrapText="1"/>
    </xf>
    <xf numFmtId="0" fontId="20" fillId="0" borderId="0">
      <alignment horizontal="left"/>
    </xf>
    <xf numFmtId="0" fontId="3" fillId="0" borderId="0"/>
    <xf numFmtId="0" fontId="3" fillId="0" borderId="0"/>
    <xf numFmtId="0" fontId="3" fillId="0" borderId="0"/>
    <xf numFmtId="0" fontId="27" fillId="4" borderId="0" applyNumberFormat="0" applyBorder="0" applyAlignment="0" applyProtection="0"/>
    <xf numFmtId="0" fontId="17" fillId="12" borderId="0" applyNumberFormat="0" applyBorder="0" applyAlignment="0" applyProtection="0"/>
    <xf numFmtId="0" fontId="17" fillId="16" borderId="0" applyNumberFormat="0" applyBorder="0" applyAlignment="0" applyProtection="0"/>
    <xf numFmtId="0" fontId="17" fillId="20" borderId="0" applyNumberFormat="0" applyBorder="0" applyAlignment="0" applyProtection="0"/>
    <xf numFmtId="0" fontId="17" fillId="24" borderId="0" applyNumberFormat="0" applyBorder="0" applyAlignment="0" applyProtection="0"/>
    <xf numFmtId="0" fontId="17" fillId="28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10" applyNumberFormat="0" applyFont="0" applyProtection="0">
      <alignment wrapText="1"/>
    </xf>
    <xf numFmtId="0" fontId="18" fillId="0" borderId="0" applyNumberFormat="0" applyFill="0" applyBorder="0" applyAlignment="0" applyProtection="0"/>
    <xf numFmtId="0" fontId="18" fillId="0" borderId="11" applyNumberFormat="0" applyProtection="0">
      <alignment wrapText="1"/>
    </xf>
    <xf numFmtId="0" fontId="19" fillId="0" borderId="12" applyNumberFormat="0" applyProtection="0">
      <alignment wrapText="1"/>
    </xf>
    <xf numFmtId="0" fontId="19" fillId="0" borderId="13" applyNumberFormat="0" applyProtection="0">
      <alignment wrapText="1"/>
    </xf>
    <xf numFmtId="0" fontId="20" fillId="0" borderId="0" applyNumberFormat="0" applyProtection="0">
      <alignment horizontal="left"/>
    </xf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0" fontId="0" fillId="0" borderId="0" xfId="0" applyNumberFormat="1"/>
    <xf numFmtId="0" fontId="18" fillId="0" borderId="0" xfId="36"/>
    <xf numFmtId="0" fontId="18" fillId="0" borderId="0" xfId="38"/>
    <xf numFmtId="0" fontId="19" fillId="0" borderId="12" xfId="40">
      <alignment wrapText="1"/>
    </xf>
    <xf numFmtId="0" fontId="21" fillId="0" borderId="0" xfId="36" applyFont="1"/>
    <xf numFmtId="0" fontId="22" fillId="0" borderId="0" xfId="36" applyFont="1"/>
    <xf numFmtId="0" fontId="23" fillId="0" borderId="0" xfId="52" applyFont="1"/>
    <xf numFmtId="0" fontId="24" fillId="0" borderId="0" xfId="42" applyFont="1">
      <alignment horizontal="left"/>
    </xf>
    <xf numFmtId="0" fontId="25" fillId="0" borderId="0" xfId="36" applyFont="1" applyAlignment="1">
      <alignment horizontal="right"/>
    </xf>
    <xf numFmtId="0" fontId="22" fillId="0" borderId="0" xfId="38" applyFont="1"/>
    <xf numFmtId="0" fontId="22" fillId="0" borderId="0" xfId="36" applyFont="1" applyAlignment="1">
      <alignment horizontal="left"/>
    </xf>
    <xf numFmtId="0" fontId="25" fillId="0" borderId="12" xfId="40" applyFont="1">
      <alignment wrapText="1"/>
    </xf>
    <xf numFmtId="0" fontId="25" fillId="0" borderId="12" xfId="40" applyFont="1" applyAlignment="1">
      <alignment horizontal="right"/>
    </xf>
    <xf numFmtId="0" fontId="25" fillId="0" borderId="13" xfId="41" applyFont="1">
      <alignment wrapText="1"/>
    </xf>
    <xf numFmtId="0" fontId="22" fillId="0" borderId="10" xfId="37" applyFont="1">
      <alignment wrapText="1"/>
    </xf>
    <xf numFmtId="4" fontId="22" fillId="0" borderId="10" xfId="37" applyNumberFormat="1" applyFont="1" applyAlignment="1">
      <alignment horizontal="right" wrapText="1"/>
    </xf>
    <xf numFmtId="164" fontId="22" fillId="0" borderId="10" xfId="37" applyNumberFormat="1" applyFont="1" applyAlignment="1">
      <alignment horizontal="right" wrapText="1"/>
    </xf>
    <xf numFmtId="4" fontId="25" fillId="0" borderId="13" xfId="41" applyNumberFormat="1" applyFont="1" applyAlignment="1">
      <alignment horizontal="right" wrapText="1"/>
    </xf>
    <xf numFmtId="164" fontId="25" fillId="0" borderId="13" xfId="41" applyNumberFormat="1" applyFont="1" applyAlignment="1">
      <alignment horizontal="right" wrapText="1"/>
    </xf>
    <xf numFmtId="3" fontId="22" fillId="0" borderId="10" xfId="37" applyNumberFormat="1" applyFont="1" applyAlignment="1">
      <alignment horizontal="right" wrapText="1"/>
    </xf>
    <xf numFmtId="165" fontId="22" fillId="0" borderId="10" xfId="37" applyNumberFormat="1" applyFont="1" applyAlignment="1">
      <alignment horizontal="right" wrapText="1"/>
    </xf>
    <xf numFmtId="3" fontId="25" fillId="0" borderId="13" xfId="41" applyNumberFormat="1" applyFont="1" applyAlignment="1">
      <alignment horizontal="right" wrapText="1"/>
    </xf>
    <xf numFmtId="0" fontId="26" fillId="0" borderId="0" xfId="52" applyFont="1"/>
    <xf numFmtId="0" fontId="18" fillId="0" borderId="11" xfId="36" applyBorder="1"/>
    <xf numFmtId="0" fontId="22" fillId="0" borderId="11" xfId="39" applyFont="1" applyAlignment="1"/>
    <xf numFmtId="0" fontId="18" fillId="0" borderId="11" xfId="52" applyBorder="1"/>
    <xf numFmtId="0" fontId="22" fillId="0" borderId="0" xfId="52" applyFont="1"/>
    <xf numFmtId="4" fontId="25" fillId="0" borderId="13" xfId="41" applyNumberFormat="1" applyFont="1">
      <alignment wrapText="1"/>
    </xf>
    <xf numFmtId="164" fontId="25" fillId="0" borderId="13" xfId="41" applyNumberFormat="1" applyFont="1">
      <alignment wrapText="1"/>
    </xf>
    <xf numFmtId="0" fontId="18" fillId="0" borderId="0" xfId="36"/>
    <xf numFmtId="0" fontId="0" fillId="33" borderId="0" xfId="0" applyFill="1"/>
    <xf numFmtId="0" fontId="18" fillId="0" borderId="11" xfId="71">
      <alignment wrapText="1"/>
    </xf>
    <xf numFmtId="0" fontId="18" fillId="0" borderId="0" xfId="52"/>
    <xf numFmtId="0" fontId="18" fillId="0" borderId="0" xfId="70"/>
    <xf numFmtId="0" fontId="19" fillId="0" borderId="12" xfId="72">
      <alignment wrapText="1"/>
    </xf>
    <xf numFmtId="0" fontId="21" fillId="0" borderId="0" xfId="52" applyFont="1"/>
    <xf numFmtId="0" fontId="20" fillId="0" borderId="0" xfId="74">
      <alignment horizontal="left"/>
    </xf>
    <xf numFmtId="0" fontId="18" fillId="0" borderId="0" xfId="52" applyAlignment="1">
      <alignment horizontal="left"/>
    </xf>
    <xf numFmtId="0" fontId="19" fillId="0" borderId="13" xfId="73">
      <alignment wrapText="1"/>
    </xf>
    <xf numFmtId="0" fontId="18" fillId="0" borderId="10" xfId="69" applyFont="1">
      <alignment wrapText="1"/>
    </xf>
    <xf numFmtId="4" fontId="18" fillId="0" borderId="10" xfId="69" applyNumberFormat="1" applyFont="1" applyAlignment="1">
      <alignment horizontal="right" wrapText="1"/>
    </xf>
    <xf numFmtId="164" fontId="18" fillId="0" borderId="10" xfId="69" applyNumberFormat="1" applyFont="1" applyAlignment="1">
      <alignment horizontal="right" wrapText="1"/>
    </xf>
    <xf numFmtId="4" fontId="19" fillId="0" borderId="13" xfId="73" applyNumberFormat="1" applyAlignment="1">
      <alignment horizontal="right" wrapText="1"/>
    </xf>
    <xf numFmtId="164" fontId="19" fillId="0" borderId="13" xfId="73" applyNumberFormat="1" applyAlignment="1">
      <alignment horizontal="right" wrapText="1"/>
    </xf>
    <xf numFmtId="3" fontId="18" fillId="0" borderId="10" xfId="69" applyNumberFormat="1" applyFont="1" applyAlignment="1">
      <alignment horizontal="right" wrapText="1"/>
    </xf>
    <xf numFmtId="165" fontId="18" fillId="0" borderId="10" xfId="69" applyNumberFormat="1" applyFont="1" applyAlignment="1">
      <alignment horizontal="right" wrapText="1"/>
    </xf>
    <xf numFmtId="0" fontId="22" fillId="0" borderId="0" xfId="52" applyFont="1"/>
    <xf numFmtId="3" fontId="19" fillId="0" borderId="13" xfId="73" applyNumberFormat="1" applyAlignment="1">
      <alignment horizontal="right" wrapText="1"/>
    </xf>
    <xf numFmtId="0" fontId="28" fillId="0" borderId="0" xfId="52" applyFont="1"/>
    <xf numFmtId="0" fontId="19" fillId="0" borderId="0" xfId="52" applyFont="1" applyAlignment="1">
      <alignment horizontal="right"/>
    </xf>
    <xf numFmtId="0" fontId="19" fillId="0" borderId="12" xfId="72" applyAlignment="1">
      <alignment horizontal="right" wrapText="1"/>
    </xf>
  </cellXfs>
  <cellStyles count="75">
    <cellStyle name="20% - Accent1" xfId="19" builtinId="30" customBuiltin="1"/>
    <cellStyle name="20% - Accent2" xfId="22" builtinId="34" customBuiltin="1"/>
    <cellStyle name="20% - Accent3" xfId="25" builtinId="38" customBuiltin="1"/>
    <cellStyle name="20% - Accent4" xfId="28" builtinId="42" customBuiltin="1"/>
    <cellStyle name="20% - Accent5" xfId="31" builtinId="46" customBuiltin="1"/>
    <cellStyle name="20% - Accent6" xfId="34" builtinId="50" customBuiltin="1"/>
    <cellStyle name="40% - Accent1" xfId="20" builtinId="31" customBuiltin="1"/>
    <cellStyle name="40% - Accent2" xfId="23" builtinId="35" customBuiltin="1"/>
    <cellStyle name="40% - Accent3" xfId="26" builtinId="39" customBuiltin="1"/>
    <cellStyle name="40% - Accent4" xfId="29" builtinId="43" customBuiltin="1"/>
    <cellStyle name="40% - Accent5" xfId="32" builtinId="47" customBuiltin="1"/>
    <cellStyle name="40% - Accent6" xfId="35" builtinId="51" customBuiltin="1"/>
    <cellStyle name="60% - Accent1 2" xfId="63" xr:uid="{7D4913BE-1660-475B-88D4-714E8A641CFB}"/>
    <cellStyle name="60% - Accent2 2" xfId="64" xr:uid="{E18DA92F-95CC-4882-BBE6-08084463355B}"/>
    <cellStyle name="60% - Accent3 2" xfId="65" xr:uid="{3D7AA9D9-39BB-404D-82B7-1179141C06D3}"/>
    <cellStyle name="60% - Accent4 2" xfId="66" xr:uid="{AB77D1E1-0C03-48A6-82C6-F8C803DAB0D4}"/>
    <cellStyle name="60% - Accent5 2" xfId="67" xr:uid="{741B7963-9D58-462B-9B00-F2AFEE0DEE08}"/>
    <cellStyle name="60% - Accent6 2" xfId="68" xr:uid="{D898A326-A2CF-46B5-815E-CCFFA4AA3BA6}"/>
    <cellStyle name="Accent1" xfId="18" builtinId="29" customBuiltin="1"/>
    <cellStyle name="Accent2" xfId="21" builtinId="33" customBuiltin="1"/>
    <cellStyle name="Accent3" xfId="24" builtinId="37" customBuiltin="1"/>
    <cellStyle name="Accent4" xfId="27" builtinId="41" customBuiltin="1"/>
    <cellStyle name="Accent5" xfId="30" builtinId="45" customBuiltin="1"/>
    <cellStyle name="Accent6" xfId="33" builtinId="49" customBuiltin="1"/>
    <cellStyle name="Bad" xfId="8" builtinId="27" customBuiltin="1"/>
    <cellStyle name="Body: normal cell" xfId="37" xr:uid="{EA3F03DA-DAAC-4E67-9C48-32345E5792CA}"/>
    <cellStyle name="Body: normal cell 2" xfId="53" xr:uid="{08CD34FB-32D1-4D4E-B78E-6D9F0921375F}"/>
    <cellStyle name="Body: normal cell 3" xfId="45" xr:uid="{3455BC5E-F6FE-45B4-B515-07C1FF8A7B97}"/>
    <cellStyle name="Body: normal cell 4" xfId="69" xr:uid="{235B8F88-29E6-46ED-B2CB-1EE68DFFBB5C}"/>
    <cellStyle name="Calculation" xfId="11" builtinId="22" customBuiltin="1"/>
    <cellStyle name="Check Cell" xfId="13" builtinId="23" customBuiltin="1"/>
    <cellStyle name="Explanatory Text" xfId="16" builtinId="53" customBuiltin="1"/>
    <cellStyle name="Font: Calibri, 9pt regular" xfId="38" xr:uid="{046FC022-7ADB-439F-AC6B-06F1FB0969A9}"/>
    <cellStyle name="Font: Calibri, 9pt regular 2" xfId="54" xr:uid="{F67B9D4D-81FC-422B-BE16-8FCFA80B6324}"/>
    <cellStyle name="Font: Calibri, 9pt regular 3" xfId="46" xr:uid="{B9AB311C-4622-44DC-95B7-A3EE560BED6E}"/>
    <cellStyle name="Font: Calibri, 9pt regular 4" xfId="70" xr:uid="{33D67280-C367-44AA-BF18-AC4AD176CDEA}"/>
    <cellStyle name="Footnotes: top row" xfId="39" xr:uid="{668B1DA9-A269-4C4B-AB8B-E4412D39AA5E}"/>
    <cellStyle name="Footnotes: top row 2" xfId="55" xr:uid="{FAE885D7-0ED1-4F57-9C86-3E57F5B776CA}"/>
    <cellStyle name="Footnotes: top row 3" xfId="47" xr:uid="{6D3A535B-FE51-41C9-A1AF-6CC2E6D28C13}"/>
    <cellStyle name="Footnotes: top row 4" xfId="71" xr:uid="{D55444D5-5FDB-452E-9A25-4FBC5024891F}"/>
    <cellStyle name="Good" xfId="7" builtinId="26" customBuiltin="1"/>
    <cellStyle name="Header: bottom row" xfId="40" xr:uid="{1B3E9918-1BEB-4E26-9226-DDCFB4A4D031}"/>
    <cellStyle name="Header: bottom row 2" xfId="56" xr:uid="{4F80F3A6-0CFF-4FA5-96E2-ADE6F1F6B9E1}"/>
    <cellStyle name="Header: bottom row 3" xfId="48" xr:uid="{99198BBE-FF67-47E8-8D1B-44FF5F9DAF26}"/>
    <cellStyle name="Header: bottom row 4" xfId="72" xr:uid="{97A7D3E4-344A-41A0-A4B7-78E77DCD1453}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9" builtinId="20" customBuiltin="1"/>
    <cellStyle name="Linked Cell" xfId="12" builtinId="24" customBuiltin="1"/>
    <cellStyle name="Neutral 2" xfId="62" xr:uid="{9752847A-6ACD-42F9-AFB4-C2A2E9213018}"/>
    <cellStyle name="Normal" xfId="0" builtinId="0"/>
    <cellStyle name="Normal 2" xfId="52" xr:uid="{2F0F7E80-8BCA-4A78-8B67-35323ECD9B42}"/>
    <cellStyle name="Normal 3" xfId="51" xr:uid="{60154007-A150-4910-8900-986DA2B8C17E}"/>
    <cellStyle name="Normal 3 2" xfId="60" xr:uid="{7C665A8E-D301-430C-9E6F-6F85D41847C9}"/>
    <cellStyle name="Normal 4" xfId="44" xr:uid="{E1491568-9A2C-4286-86C9-1DA1BBF22958}"/>
    <cellStyle name="Normal 5" xfId="43" xr:uid="{ECE11EFF-A0E2-4BBF-86F5-5C6C3BC8BE27}"/>
    <cellStyle name="Normal 5 2" xfId="61" xr:uid="{801F20AC-8EC6-4D23-972B-E25ECAB445C9}"/>
    <cellStyle name="Normal 6" xfId="59" xr:uid="{963376A2-6DCB-443C-B7BC-658DC602F929}"/>
    <cellStyle name="Normal 7" xfId="36" xr:uid="{6F59A552-82E2-4373-88A6-95B1E6D451CC}"/>
    <cellStyle name="Note" xfId="15" builtinId="10" customBuiltin="1"/>
    <cellStyle name="Output" xfId="10" builtinId="21" customBuiltin="1"/>
    <cellStyle name="Parent row" xfId="41" xr:uid="{BB70FD24-CC8A-4059-A8FB-EF3473AEE5BF}"/>
    <cellStyle name="Parent row 2" xfId="57" xr:uid="{E64DB29F-0F99-4575-888E-643D4F638507}"/>
    <cellStyle name="Parent row 3" xfId="49" xr:uid="{E7854F2A-5513-4980-9AA1-ADA6421310AC}"/>
    <cellStyle name="Parent row 4" xfId="73" xr:uid="{40E6F94A-1F43-4CBB-A2FC-6ABCE1474C05}"/>
    <cellStyle name="Table title" xfId="42" xr:uid="{C69E9F71-E318-451E-9F0E-06C687F530F6}"/>
    <cellStyle name="Table title 2" xfId="58" xr:uid="{B08EF0C1-BB7F-43EF-93CB-237A779E958C}"/>
    <cellStyle name="Table title 3" xfId="50" xr:uid="{AB3CAFA1-44B0-47FC-9653-B91E22DB566D}"/>
    <cellStyle name="Table title 4" xfId="74" xr:uid="{DB43BB74-3283-438D-B986-0BAB8FC15190}"/>
    <cellStyle name="Title" xfId="2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22/tables_ref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workbookViewId="0">
      <selection activeCell="B15" sqref="B15"/>
    </sheetView>
  </sheetViews>
  <sheetFormatPr defaultRowHeight="14.5" x14ac:dyDescent="0.35"/>
  <cols>
    <col min="2" max="2" width="38.26953125" customWidth="1"/>
  </cols>
  <sheetData>
    <row r="1" spans="1:2" x14ac:dyDescent="0.35">
      <c r="A1" s="1" t="s">
        <v>1</v>
      </c>
    </row>
    <row r="3" spans="1:2" x14ac:dyDescent="0.35">
      <c r="A3" s="1" t="s">
        <v>0</v>
      </c>
      <c r="B3" s="35" t="s">
        <v>233</v>
      </c>
    </row>
    <row r="4" spans="1:2" x14ac:dyDescent="0.35">
      <c r="B4" t="s">
        <v>228</v>
      </c>
    </row>
    <row r="5" spans="1:2" x14ac:dyDescent="0.35">
      <c r="B5" s="2">
        <v>2023</v>
      </c>
    </row>
    <row r="6" spans="1:2" x14ac:dyDescent="0.35">
      <c r="B6" t="s">
        <v>10</v>
      </c>
    </row>
    <row r="7" spans="1:2" x14ac:dyDescent="0.35">
      <c r="B7" s="3" t="s">
        <v>229</v>
      </c>
    </row>
    <row r="8" spans="1:2" x14ac:dyDescent="0.35">
      <c r="B8" t="s">
        <v>230</v>
      </c>
    </row>
    <row r="10" spans="1:2" x14ac:dyDescent="0.35">
      <c r="B10" s="35">
        <v>2021</v>
      </c>
    </row>
    <row r="11" spans="1:2" x14ac:dyDescent="0.35">
      <c r="B11" t="s">
        <v>228</v>
      </c>
    </row>
    <row r="12" spans="1:2" x14ac:dyDescent="0.35">
      <c r="B12" s="2">
        <v>2022</v>
      </c>
    </row>
    <row r="13" spans="1:2" x14ac:dyDescent="0.35">
      <c r="B13" t="s">
        <v>234</v>
      </c>
    </row>
    <row r="14" spans="1:2" x14ac:dyDescent="0.35">
      <c r="B14" s="3" t="s">
        <v>235</v>
      </c>
    </row>
    <row r="15" spans="1:2" x14ac:dyDescent="0.35">
      <c r="B15" t="s">
        <v>230</v>
      </c>
    </row>
  </sheetData>
  <hyperlinks>
    <hyperlink ref="B14" r:id="rId1" xr:uid="{626A62BE-96EC-4C42-BAF4-5090B19F8F5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48716-F829-4390-8B2F-D8A4088326D7}">
  <dimension ref="A1:AI2836"/>
  <sheetViews>
    <sheetView workbookViewId="0">
      <selection activeCell="F25" sqref="F25"/>
    </sheetView>
  </sheetViews>
  <sheetFormatPr defaultRowHeight="14.5" x14ac:dyDescent="0.35"/>
  <sheetData>
    <row r="1" spans="1:35" ht="15" thickBot="1" x14ac:dyDescent="0.4">
      <c r="A1" s="6"/>
      <c r="B1" s="7" t="s">
        <v>8</v>
      </c>
      <c r="C1" s="8">
        <v>2022</v>
      </c>
      <c r="D1" s="8">
        <v>2023</v>
      </c>
      <c r="E1" s="8">
        <v>2024</v>
      </c>
      <c r="F1" s="8">
        <v>2025</v>
      </c>
      <c r="G1" s="8">
        <v>2026</v>
      </c>
      <c r="H1" s="8">
        <v>2027</v>
      </c>
      <c r="I1" s="8">
        <v>2028</v>
      </c>
      <c r="J1" s="8">
        <v>2029</v>
      </c>
      <c r="K1" s="8">
        <v>2030</v>
      </c>
      <c r="L1" s="8">
        <v>2031</v>
      </c>
      <c r="M1" s="8">
        <v>2032</v>
      </c>
      <c r="N1" s="8">
        <v>2033</v>
      </c>
      <c r="O1" s="8">
        <v>2034</v>
      </c>
      <c r="P1" s="8">
        <v>2035</v>
      </c>
      <c r="Q1" s="8">
        <v>2036</v>
      </c>
      <c r="R1" s="8">
        <v>2037</v>
      </c>
      <c r="S1" s="8">
        <v>2038</v>
      </c>
      <c r="T1" s="8">
        <v>2039</v>
      </c>
      <c r="U1" s="8">
        <v>2040</v>
      </c>
      <c r="V1" s="8">
        <v>2041</v>
      </c>
      <c r="W1" s="8">
        <v>2042</v>
      </c>
      <c r="X1" s="8">
        <v>2043</v>
      </c>
      <c r="Y1" s="8">
        <v>2044</v>
      </c>
      <c r="Z1" s="8">
        <v>2045</v>
      </c>
      <c r="AA1" s="8">
        <v>2046</v>
      </c>
      <c r="AB1" s="8">
        <v>2047</v>
      </c>
      <c r="AC1" s="8">
        <v>2048</v>
      </c>
      <c r="AD1" s="8">
        <v>2049</v>
      </c>
      <c r="AE1" s="8">
        <v>2050</v>
      </c>
      <c r="AF1" s="6"/>
      <c r="AG1" s="6"/>
    </row>
    <row r="2" spans="1:35" ht="15" thickTop="1" x14ac:dyDescent="0.3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1:35" x14ac:dyDescent="0.35">
      <c r="A3" s="6"/>
      <c r="B3" s="6"/>
      <c r="C3" s="27" t="s">
        <v>9</v>
      </c>
      <c r="D3" s="27" t="s">
        <v>10</v>
      </c>
      <c r="E3" s="11"/>
      <c r="F3" s="11"/>
      <c r="G3" s="11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</row>
    <row r="4" spans="1:35" x14ac:dyDescent="0.35">
      <c r="A4" s="6"/>
      <c r="B4" s="6"/>
      <c r="C4" s="27" t="s">
        <v>11</v>
      </c>
      <c r="D4" s="27" t="s">
        <v>12</v>
      </c>
      <c r="E4" s="11"/>
      <c r="F4" s="11"/>
      <c r="G4" s="27" t="s">
        <v>13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</row>
    <row r="5" spans="1:35" x14ac:dyDescent="0.35">
      <c r="A5" s="6"/>
      <c r="B5" s="6"/>
      <c r="C5" s="27" t="s">
        <v>14</v>
      </c>
      <c r="D5" s="27" t="s">
        <v>15</v>
      </c>
      <c r="E5" s="11"/>
      <c r="F5" s="11"/>
      <c r="G5" s="11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35" x14ac:dyDescent="0.35">
      <c r="A6" s="6"/>
      <c r="B6" s="6"/>
      <c r="C6" s="27" t="s">
        <v>16</v>
      </c>
      <c r="D6" s="11"/>
      <c r="E6" s="27" t="s">
        <v>17</v>
      </c>
      <c r="F6" s="11"/>
      <c r="G6" s="11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5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35" x14ac:dyDescent="0.3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I8" s="5"/>
    </row>
    <row r="9" spans="1:35" x14ac:dyDescent="0.35">
      <c r="A9" s="6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I9" s="5"/>
    </row>
    <row r="10" spans="1:35" ht="15.5" x14ac:dyDescent="0.35">
      <c r="A10" s="9" t="s">
        <v>18</v>
      </c>
      <c r="B10" s="12" t="s">
        <v>19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3" t="s">
        <v>20</v>
      </c>
      <c r="AG10" s="10"/>
      <c r="AI10" s="5"/>
    </row>
    <row r="11" spans="1:35" x14ac:dyDescent="0.35">
      <c r="A11" s="6"/>
      <c r="B11" s="14" t="s">
        <v>21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3" t="s">
        <v>22</v>
      </c>
      <c r="AG11" s="10"/>
      <c r="AI11" s="5"/>
    </row>
    <row r="12" spans="1:35" x14ac:dyDescent="0.35">
      <c r="A12" s="6"/>
      <c r="B12" s="14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3" t="s">
        <v>23</v>
      </c>
      <c r="AG12" s="10"/>
      <c r="AI12" s="5"/>
    </row>
    <row r="13" spans="1:35" ht="61" thickBot="1" x14ac:dyDescent="0.4">
      <c r="A13" s="6"/>
      <c r="B13" s="16" t="s">
        <v>24</v>
      </c>
      <c r="C13" s="16">
        <v>2022</v>
      </c>
      <c r="D13" s="16">
        <v>2023</v>
      </c>
      <c r="E13" s="16">
        <v>2024</v>
      </c>
      <c r="F13" s="16">
        <v>2025</v>
      </c>
      <c r="G13" s="16">
        <v>2026</v>
      </c>
      <c r="H13" s="16">
        <v>2027</v>
      </c>
      <c r="I13" s="16">
        <v>2028</v>
      </c>
      <c r="J13" s="16">
        <v>2029</v>
      </c>
      <c r="K13" s="16">
        <v>2030</v>
      </c>
      <c r="L13" s="16">
        <v>2031</v>
      </c>
      <c r="M13" s="16">
        <v>2032</v>
      </c>
      <c r="N13" s="16">
        <v>2033</v>
      </c>
      <c r="O13" s="16">
        <v>2034</v>
      </c>
      <c r="P13" s="16">
        <v>2035</v>
      </c>
      <c r="Q13" s="16">
        <v>2036</v>
      </c>
      <c r="R13" s="16">
        <v>2037</v>
      </c>
      <c r="S13" s="16">
        <v>2038</v>
      </c>
      <c r="T13" s="16">
        <v>2039</v>
      </c>
      <c r="U13" s="16">
        <v>2040</v>
      </c>
      <c r="V13" s="16">
        <v>2041</v>
      </c>
      <c r="W13" s="16">
        <v>2042</v>
      </c>
      <c r="X13" s="16">
        <v>2043</v>
      </c>
      <c r="Y13" s="16">
        <v>2044</v>
      </c>
      <c r="Z13" s="16">
        <v>2045</v>
      </c>
      <c r="AA13" s="16">
        <v>2046</v>
      </c>
      <c r="AB13" s="16">
        <v>2047</v>
      </c>
      <c r="AC13" s="16">
        <v>2048</v>
      </c>
      <c r="AD13" s="16">
        <v>2049</v>
      </c>
      <c r="AE13" s="16">
        <v>2050</v>
      </c>
      <c r="AF13" s="17" t="s">
        <v>25</v>
      </c>
      <c r="AG13" s="10"/>
    </row>
    <row r="14" spans="1:35" ht="15" thickTop="1" x14ac:dyDescent="0.35">
      <c r="A14" s="6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 spans="1:35" ht="24.5" x14ac:dyDescent="0.35">
      <c r="A15" s="6"/>
      <c r="B15" s="18" t="s">
        <v>2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I15" s="5"/>
    </row>
    <row r="16" spans="1:35" ht="36.5" x14ac:dyDescent="0.35">
      <c r="A16" s="6"/>
      <c r="B16" s="18" t="s">
        <v>26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I16" s="5"/>
    </row>
    <row r="17" spans="1:35" ht="24.5" x14ac:dyDescent="0.35">
      <c r="A17" s="9" t="s">
        <v>27</v>
      </c>
      <c r="B17" s="19" t="s">
        <v>28</v>
      </c>
      <c r="C17" s="20">
        <v>86.924255000000002</v>
      </c>
      <c r="D17" s="20">
        <v>87.748610999999997</v>
      </c>
      <c r="E17" s="20">
        <v>88.618674999999996</v>
      </c>
      <c r="F17" s="20">
        <v>89.519981000000001</v>
      </c>
      <c r="G17" s="20">
        <v>90.411308000000005</v>
      </c>
      <c r="H17" s="20">
        <v>91.302132</v>
      </c>
      <c r="I17" s="20">
        <v>92.198265000000006</v>
      </c>
      <c r="J17" s="20">
        <v>93.091507000000007</v>
      </c>
      <c r="K17" s="20">
        <v>93.970618999999999</v>
      </c>
      <c r="L17" s="20">
        <v>94.836555000000004</v>
      </c>
      <c r="M17" s="20">
        <v>95.694557000000003</v>
      </c>
      <c r="N17" s="20">
        <v>96.533203</v>
      </c>
      <c r="O17" s="20">
        <v>97.347885000000005</v>
      </c>
      <c r="P17" s="20">
        <v>98.154381000000001</v>
      </c>
      <c r="Q17" s="20">
        <v>98.959145000000007</v>
      </c>
      <c r="R17" s="20">
        <v>99.757239999999996</v>
      </c>
      <c r="S17" s="20">
        <v>100.55006400000001</v>
      </c>
      <c r="T17" s="20">
        <v>101.334656</v>
      </c>
      <c r="U17" s="20">
        <v>102.12499200000001</v>
      </c>
      <c r="V17" s="20">
        <v>102.91761</v>
      </c>
      <c r="W17" s="20">
        <v>103.69783</v>
      </c>
      <c r="X17" s="20">
        <v>104.47331200000001</v>
      </c>
      <c r="Y17" s="20">
        <v>105.24597199999999</v>
      </c>
      <c r="Z17" s="20">
        <v>106.016052</v>
      </c>
      <c r="AA17" s="20">
        <v>106.78051000000001</v>
      </c>
      <c r="AB17" s="20">
        <v>107.538147</v>
      </c>
      <c r="AC17" s="20">
        <v>108.286224</v>
      </c>
      <c r="AD17" s="20">
        <v>109.022423</v>
      </c>
      <c r="AE17" s="20">
        <v>109.74867999999999</v>
      </c>
      <c r="AF17" s="21">
        <v>8.3619999999999996E-3</v>
      </c>
      <c r="AG17" s="10"/>
    </row>
    <row r="18" spans="1:35" ht="24.5" x14ac:dyDescent="0.35">
      <c r="A18" s="9" t="s">
        <v>29</v>
      </c>
      <c r="B18" s="19" t="s">
        <v>30</v>
      </c>
      <c r="C18" s="20">
        <v>32.842151999999999</v>
      </c>
      <c r="D18" s="20">
        <v>33.209229000000001</v>
      </c>
      <c r="E18" s="20">
        <v>33.535468999999999</v>
      </c>
      <c r="F18" s="20">
        <v>33.858150000000002</v>
      </c>
      <c r="G18" s="20">
        <v>34.181629000000001</v>
      </c>
      <c r="H18" s="20">
        <v>34.507632999999998</v>
      </c>
      <c r="I18" s="20">
        <v>34.834254999999999</v>
      </c>
      <c r="J18" s="20">
        <v>35.155056000000002</v>
      </c>
      <c r="K18" s="20">
        <v>35.465130000000002</v>
      </c>
      <c r="L18" s="20">
        <v>35.769081</v>
      </c>
      <c r="M18" s="20">
        <v>36.071800000000003</v>
      </c>
      <c r="N18" s="20">
        <v>36.366607999999999</v>
      </c>
      <c r="O18" s="20">
        <v>36.650593000000001</v>
      </c>
      <c r="P18" s="20">
        <v>36.930110999999997</v>
      </c>
      <c r="Q18" s="20">
        <v>37.212017000000003</v>
      </c>
      <c r="R18" s="20">
        <v>37.496158999999999</v>
      </c>
      <c r="S18" s="20">
        <v>37.783923999999999</v>
      </c>
      <c r="T18" s="20">
        <v>38.073307</v>
      </c>
      <c r="U18" s="20">
        <v>38.36647</v>
      </c>
      <c r="V18" s="20">
        <v>38.656506</v>
      </c>
      <c r="W18" s="20">
        <v>38.941955999999998</v>
      </c>
      <c r="X18" s="20">
        <v>39.223990999999998</v>
      </c>
      <c r="Y18" s="20">
        <v>39.501944999999999</v>
      </c>
      <c r="Z18" s="20">
        <v>39.776778999999998</v>
      </c>
      <c r="AA18" s="20">
        <v>40.048442999999999</v>
      </c>
      <c r="AB18" s="20">
        <v>40.322777000000002</v>
      </c>
      <c r="AC18" s="20">
        <v>40.595905000000002</v>
      </c>
      <c r="AD18" s="20">
        <v>40.869537000000001</v>
      </c>
      <c r="AE18" s="20">
        <v>41.144089000000001</v>
      </c>
      <c r="AF18" s="21">
        <v>8.0809999999999996E-3</v>
      </c>
      <c r="AG18" s="10"/>
      <c r="AI18" s="5"/>
    </row>
    <row r="19" spans="1:35" ht="24.5" x14ac:dyDescent="0.35">
      <c r="A19" s="9" t="s">
        <v>31</v>
      </c>
      <c r="B19" s="19" t="s">
        <v>32</v>
      </c>
      <c r="C19" s="20">
        <v>6.6483759999999998</v>
      </c>
      <c r="D19" s="20">
        <v>6.6544350000000003</v>
      </c>
      <c r="E19" s="20">
        <v>6.6577469999999996</v>
      </c>
      <c r="F19" s="20">
        <v>6.6602829999999997</v>
      </c>
      <c r="G19" s="20">
        <v>6.66859</v>
      </c>
      <c r="H19" s="20">
        <v>6.680898</v>
      </c>
      <c r="I19" s="20">
        <v>6.6957050000000002</v>
      </c>
      <c r="J19" s="20">
        <v>6.7098389999999997</v>
      </c>
      <c r="K19" s="20">
        <v>6.7178110000000002</v>
      </c>
      <c r="L19" s="20">
        <v>6.7220909999999998</v>
      </c>
      <c r="M19" s="20">
        <v>6.7270110000000001</v>
      </c>
      <c r="N19" s="20">
        <v>6.7340980000000004</v>
      </c>
      <c r="O19" s="20">
        <v>6.7406730000000001</v>
      </c>
      <c r="P19" s="20">
        <v>6.7449050000000002</v>
      </c>
      <c r="Q19" s="20">
        <v>6.7499500000000001</v>
      </c>
      <c r="R19" s="20">
        <v>6.7524220000000001</v>
      </c>
      <c r="S19" s="20">
        <v>6.7519479999999996</v>
      </c>
      <c r="T19" s="20">
        <v>6.7501660000000001</v>
      </c>
      <c r="U19" s="20">
        <v>6.7508609999999996</v>
      </c>
      <c r="V19" s="20">
        <v>6.7531869999999996</v>
      </c>
      <c r="W19" s="20">
        <v>6.7562660000000001</v>
      </c>
      <c r="X19" s="20">
        <v>6.759341</v>
      </c>
      <c r="Y19" s="20">
        <v>6.7618809999999998</v>
      </c>
      <c r="Z19" s="20">
        <v>6.7638369999999997</v>
      </c>
      <c r="AA19" s="20">
        <v>6.7644349999999998</v>
      </c>
      <c r="AB19" s="20">
        <v>6.7655010000000004</v>
      </c>
      <c r="AC19" s="20">
        <v>6.7664489999999997</v>
      </c>
      <c r="AD19" s="20">
        <v>6.7667669999999998</v>
      </c>
      <c r="AE19" s="20">
        <v>6.7672350000000003</v>
      </c>
      <c r="AF19" s="21">
        <v>6.3299999999999999E-4</v>
      </c>
      <c r="AG19" s="10"/>
      <c r="AI19" s="5"/>
    </row>
    <row r="20" spans="1:35" x14ac:dyDescent="0.35">
      <c r="A20" s="9" t="s">
        <v>33</v>
      </c>
      <c r="B20" s="18" t="s">
        <v>34</v>
      </c>
      <c r="C20" s="22">
        <v>126.41477999999999</v>
      </c>
      <c r="D20" s="22">
        <v>127.612274</v>
      </c>
      <c r="E20" s="22">
        <v>128.81189000000001</v>
      </c>
      <c r="F20" s="22">
        <v>130.03840600000001</v>
      </c>
      <c r="G20" s="22">
        <v>131.26153600000001</v>
      </c>
      <c r="H20" s="22">
        <v>132.49066199999999</v>
      </c>
      <c r="I20" s="22">
        <v>133.72822600000001</v>
      </c>
      <c r="J20" s="22">
        <v>134.95640599999999</v>
      </c>
      <c r="K20" s="22">
        <v>136.153549</v>
      </c>
      <c r="L20" s="22">
        <v>137.32772800000001</v>
      </c>
      <c r="M20" s="22">
        <v>138.49336199999999</v>
      </c>
      <c r="N20" s="22">
        <v>139.63391100000001</v>
      </c>
      <c r="O20" s="22">
        <v>140.73915099999999</v>
      </c>
      <c r="P20" s="22">
        <v>141.82939099999999</v>
      </c>
      <c r="Q20" s="22">
        <v>142.92111199999999</v>
      </c>
      <c r="R20" s="22">
        <v>144.00582900000001</v>
      </c>
      <c r="S20" s="22">
        <v>145.085938</v>
      </c>
      <c r="T20" s="22">
        <v>146.15812700000001</v>
      </c>
      <c r="U20" s="22">
        <v>147.24231</v>
      </c>
      <c r="V20" s="22">
        <v>148.32730100000001</v>
      </c>
      <c r="W20" s="22">
        <v>149.39605700000001</v>
      </c>
      <c r="X20" s="22">
        <v>150.45663500000001</v>
      </c>
      <c r="Y20" s="22">
        <v>151.50981100000001</v>
      </c>
      <c r="Z20" s="22">
        <v>152.55667099999999</v>
      </c>
      <c r="AA20" s="22">
        <v>153.59338399999999</v>
      </c>
      <c r="AB20" s="22">
        <v>154.62643399999999</v>
      </c>
      <c r="AC20" s="22">
        <v>155.64857499999999</v>
      </c>
      <c r="AD20" s="22">
        <v>156.658737</v>
      </c>
      <c r="AE20" s="22">
        <v>157.66000399999999</v>
      </c>
      <c r="AF20" s="23">
        <v>7.92E-3</v>
      </c>
      <c r="AG20" s="10"/>
    </row>
    <row r="21" spans="1:35" x14ac:dyDescent="0.35">
      <c r="A21" s="6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spans="1:35" ht="48.5" x14ac:dyDescent="0.35">
      <c r="A22" s="9" t="s">
        <v>35</v>
      </c>
      <c r="B22" s="18" t="s">
        <v>36</v>
      </c>
      <c r="C22" s="26">
        <v>1798.9157709999999</v>
      </c>
      <c r="D22" s="26">
        <v>1803.520874</v>
      </c>
      <c r="E22" s="26">
        <v>1808.4263920000001</v>
      </c>
      <c r="F22" s="26">
        <v>1813.318481</v>
      </c>
      <c r="G22" s="26">
        <v>1818.0804439999999</v>
      </c>
      <c r="H22" s="26">
        <v>1822.7229</v>
      </c>
      <c r="I22" s="26">
        <v>1827.2777100000001</v>
      </c>
      <c r="J22" s="26">
        <v>1831.8000489999999</v>
      </c>
      <c r="K22" s="26">
        <v>1836.3393550000001</v>
      </c>
      <c r="L22" s="26">
        <v>1840.849487</v>
      </c>
      <c r="M22" s="26">
        <v>1845.2855219999999</v>
      </c>
      <c r="N22" s="26">
        <v>1849.6773679999999</v>
      </c>
      <c r="O22" s="26">
        <v>1854.0607910000001</v>
      </c>
      <c r="P22" s="26">
        <v>1858.411255</v>
      </c>
      <c r="Q22" s="26">
        <v>1862.6759030000001</v>
      </c>
      <c r="R22" s="26">
        <v>1866.8663329999999</v>
      </c>
      <c r="S22" s="26">
        <v>1870.9754640000001</v>
      </c>
      <c r="T22" s="26">
        <v>1875.0113530000001</v>
      </c>
      <c r="U22" s="26">
        <v>1878.957764</v>
      </c>
      <c r="V22" s="26">
        <v>1882.868408</v>
      </c>
      <c r="W22" s="26">
        <v>1886.739746</v>
      </c>
      <c r="X22" s="26">
        <v>1890.5778809999999</v>
      </c>
      <c r="Y22" s="26">
        <v>1894.3920900000001</v>
      </c>
      <c r="Z22" s="26">
        <v>1898.1798100000001</v>
      </c>
      <c r="AA22" s="26">
        <v>1901.9388429999999</v>
      </c>
      <c r="AB22" s="26">
        <v>1905.62085</v>
      </c>
      <c r="AC22" s="26">
        <v>1909.2523189999999</v>
      </c>
      <c r="AD22" s="26">
        <v>1912.822876</v>
      </c>
      <c r="AE22" s="26">
        <v>1916.330322</v>
      </c>
      <c r="AF22" s="23">
        <v>2.261E-3</v>
      </c>
      <c r="AG22" s="10"/>
      <c r="AI22" s="5"/>
    </row>
    <row r="23" spans="1:35" x14ac:dyDescent="0.35">
      <c r="A23" s="6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I23" s="5"/>
    </row>
    <row r="24" spans="1:35" ht="24.5" x14ac:dyDescent="0.35">
      <c r="A24" s="6"/>
      <c r="B24" s="18" t="s">
        <v>37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I24" s="5"/>
    </row>
    <row r="25" spans="1:35" ht="36.5" x14ac:dyDescent="0.35">
      <c r="A25" s="6"/>
      <c r="B25" s="18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I25" s="5"/>
    </row>
    <row r="26" spans="1:35" ht="48.5" x14ac:dyDescent="0.35">
      <c r="A26" s="9" t="s">
        <v>39</v>
      </c>
      <c r="B26" s="19" t="s">
        <v>40</v>
      </c>
      <c r="C26" s="25">
        <v>93.909476999999995</v>
      </c>
      <c r="D26" s="25">
        <v>92.769119000000003</v>
      </c>
      <c r="E26" s="25">
        <v>89.479934999999998</v>
      </c>
      <c r="F26" s="25">
        <v>89.052955999999995</v>
      </c>
      <c r="G26" s="25">
        <v>88.647407999999999</v>
      </c>
      <c r="H26" s="25">
        <v>88.231392</v>
      </c>
      <c r="I26" s="25">
        <v>87.719673</v>
      </c>
      <c r="J26" s="25">
        <v>87.082458000000003</v>
      </c>
      <c r="K26" s="25">
        <v>86.372932000000006</v>
      </c>
      <c r="L26" s="25">
        <v>85.637900999999999</v>
      </c>
      <c r="M26" s="25">
        <v>84.930008000000001</v>
      </c>
      <c r="N26" s="25">
        <v>84.330368000000007</v>
      </c>
      <c r="O26" s="25">
        <v>83.726021000000003</v>
      </c>
      <c r="P26" s="25">
        <v>83.229088000000004</v>
      </c>
      <c r="Q26" s="25">
        <v>82.803543000000005</v>
      </c>
      <c r="R26" s="25">
        <v>82.429969999999997</v>
      </c>
      <c r="S26" s="25">
        <v>82.039726000000002</v>
      </c>
      <c r="T26" s="25">
        <v>81.693481000000006</v>
      </c>
      <c r="U26" s="25">
        <v>81.360573000000002</v>
      </c>
      <c r="V26" s="25">
        <v>81.060019999999994</v>
      </c>
      <c r="W26" s="25">
        <v>80.817672999999999</v>
      </c>
      <c r="X26" s="25">
        <v>80.633194000000003</v>
      </c>
      <c r="Y26" s="25">
        <v>80.500007999999994</v>
      </c>
      <c r="Z26" s="25">
        <v>80.389549000000002</v>
      </c>
      <c r="AA26" s="25">
        <v>80.279944999999998</v>
      </c>
      <c r="AB26" s="25">
        <v>80.223388999999997</v>
      </c>
      <c r="AC26" s="25">
        <v>80.211196999999999</v>
      </c>
      <c r="AD26" s="25">
        <v>80.229491999999993</v>
      </c>
      <c r="AE26" s="25">
        <v>80.285049000000001</v>
      </c>
      <c r="AF26" s="21">
        <v>-5.5830000000000003E-3</v>
      </c>
      <c r="AG26" s="10"/>
      <c r="AI26" s="5"/>
    </row>
    <row r="27" spans="1:35" ht="48.5" x14ac:dyDescent="0.35">
      <c r="A27" s="9" t="s">
        <v>41</v>
      </c>
      <c r="B27" s="19" t="s">
        <v>42</v>
      </c>
      <c r="C27" s="25">
        <v>93.023323000000005</v>
      </c>
      <c r="D27" s="25">
        <v>91.801674000000006</v>
      </c>
      <c r="E27" s="25">
        <v>88.420021000000006</v>
      </c>
      <c r="F27" s="25">
        <v>87.901168999999996</v>
      </c>
      <c r="G27" s="25">
        <v>87.405547999999996</v>
      </c>
      <c r="H27" s="25">
        <v>86.898582000000005</v>
      </c>
      <c r="I27" s="25">
        <v>86.294922</v>
      </c>
      <c r="J27" s="25">
        <v>85.563857999999996</v>
      </c>
      <c r="K27" s="25">
        <v>84.758437999999998</v>
      </c>
      <c r="L27" s="25">
        <v>83.924873000000005</v>
      </c>
      <c r="M27" s="25">
        <v>83.114104999999995</v>
      </c>
      <c r="N27" s="25">
        <v>82.411513999999997</v>
      </c>
      <c r="O27" s="25">
        <v>81.703484000000003</v>
      </c>
      <c r="P27" s="25">
        <v>81.117576999999997</v>
      </c>
      <c r="Q27" s="25">
        <v>80.600104999999999</v>
      </c>
      <c r="R27" s="25">
        <v>80.131668000000005</v>
      </c>
      <c r="S27" s="25">
        <v>79.641068000000004</v>
      </c>
      <c r="T27" s="25">
        <v>79.188064999999995</v>
      </c>
      <c r="U27" s="25">
        <v>78.743117999999996</v>
      </c>
      <c r="V27" s="25">
        <v>78.324791000000005</v>
      </c>
      <c r="W27" s="25">
        <v>77.958663999999999</v>
      </c>
      <c r="X27" s="25">
        <v>77.644553999999999</v>
      </c>
      <c r="Y27" s="25">
        <v>77.377632000000006</v>
      </c>
      <c r="Z27" s="25">
        <v>77.127983</v>
      </c>
      <c r="AA27" s="25">
        <v>76.874870000000001</v>
      </c>
      <c r="AB27" s="25">
        <v>76.670601000000005</v>
      </c>
      <c r="AC27" s="25">
        <v>76.504470999999995</v>
      </c>
      <c r="AD27" s="25">
        <v>76.365882999999997</v>
      </c>
      <c r="AE27" s="25">
        <v>76.260413999999997</v>
      </c>
      <c r="AF27" s="21">
        <v>-7.071E-3</v>
      </c>
      <c r="AG27" s="10"/>
      <c r="AI27" s="5"/>
    </row>
    <row r="28" spans="1:35" ht="48.5" x14ac:dyDescent="0.35">
      <c r="A28" s="6"/>
      <c r="B28" s="18" t="s">
        <v>43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I28" s="5"/>
    </row>
    <row r="29" spans="1:35" ht="48.5" x14ac:dyDescent="0.35">
      <c r="A29" s="9" t="s">
        <v>44</v>
      </c>
      <c r="B29" s="19" t="s">
        <v>40</v>
      </c>
      <c r="C29" s="25">
        <v>52.203377000000003</v>
      </c>
      <c r="D29" s="25">
        <v>51.437781999999999</v>
      </c>
      <c r="E29" s="25">
        <v>49.479443000000003</v>
      </c>
      <c r="F29" s="25">
        <v>49.110489000000001</v>
      </c>
      <c r="G29" s="25">
        <v>48.758792999999997</v>
      </c>
      <c r="H29" s="25">
        <v>48.406364000000004</v>
      </c>
      <c r="I29" s="25">
        <v>48.005661000000003</v>
      </c>
      <c r="J29" s="25">
        <v>47.539284000000002</v>
      </c>
      <c r="K29" s="25">
        <v>47.035389000000002</v>
      </c>
      <c r="L29" s="25">
        <v>46.520859000000002</v>
      </c>
      <c r="M29" s="25">
        <v>46.025402</v>
      </c>
      <c r="N29" s="25">
        <v>45.591934000000002</v>
      </c>
      <c r="O29" s="25">
        <v>45.158183999999999</v>
      </c>
      <c r="P29" s="25">
        <v>44.785075999999997</v>
      </c>
      <c r="Q29" s="25">
        <v>44.454079</v>
      </c>
      <c r="R29" s="25">
        <v>44.15419</v>
      </c>
      <c r="S29" s="25">
        <v>43.848636999999997</v>
      </c>
      <c r="T29" s="25">
        <v>43.569595</v>
      </c>
      <c r="U29" s="25">
        <v>43.300902999999998</v>
      </c>
      <c r="V29" s="25">
        <v>43.051346000000002</v>
      </c>
      <c r="W29" s="25">
        <v>42.834560000000003</v>
      </c>
      <c r="X29" s="25">
        <v>42.650024000000002</v>
      </c>
      <c r="Y29" s="25">
        <v>42.493847000000002</v>
      </c>
      <c r="Z29" s="25">
        <v>42.350861000000002</v>
      </c>
      <c r="AA29" s="25">
        <v>42.209533999999998</v>
      </c>
      <c r="AB29" s="25">
        <v>42.098292999999998</v>
      </c>
      <c r="AC29" s="25">
        <v>42.011837</v>
      </c>
      <c r="AD29" s="25">
        <v>41.942982000000001</v>
      </c>
      <c r="AE29" s="25">
        <v>41.895203000000002</v>
      </c>
      <c r="AF29" s="21">
        <v>-7.8250000000000004E-3</v>
      </c>
      <c r="AG29" s="10"/>
      <c r="AI29" s="5"/>
    </row>
    <row r="30" spans="1:35" ht="48.5" x14ac:dyDescent="0.35">
      <c r="A30" s="9" t="s">
        <v>45</v>
      </c>
      <c r="B30" s="19" t="s">
        <v>42</v>
      </c>
      <c r="C30" s="25">
        <v>51.710773000000003</v>
      </c>
      <c r="D30" s="25">
        <v>50.901363000000003</v>
      </c>
      <c r="E30" s="25">
        <v>48.893349000000001</v>
      </c>
      <c r="F30" s="25">
        <v>48.475307000000001</v>
      </c>
      <c r="G30" s="25">
        <v>48.075733</v>
      </c>
      <c r="H30" s="25">
        <v>47.675148</v>
      </c>
      <c r="I30" s="25">
        <v>47.225948000000002</v>
      </c>
      <c r="J30" s="25">
        <v>46.710258000000003</v>
      </c>
      <c r="K30" s="25">
        <v>46.156193000000002</v>
      </c>
      <c r="L30" s="25">
        <v>45.590297999999997</v>
      </c>
      <c r="M30" s="25">
        <v>45.041325000000001</v>
      </c>
      <c r="N30" s="25">
        <v>44.554535000000001</v>
      </c>
      <c r="O30" s="25">
        <v>44.067314000000003</v>
      </c>
      <c r="P30" s="25">
        <v>43.648884000000002</v>
      </c>
      <c r="Q30" s="25">
        <v>43.271141</v>
      </c>
      <c r="R30" s="25">
        <v>42.923088</v>
      </c>
      <c r="S30" s="25">
        <v>42.566600999999999</v>
      </c>
      <c r="T30" s="25">
        <v>42.233378999999999</v>
      </c>
      <c r="U30" s="25">
        <v>41.907867000000003</v>
      </c>
      <c r="V30" s="25">
        <v>41.598655999999998</v>
      </c>
      <c r="W30" s="25">
        <v>41.319248000000002</v>
      </c>
      <c r="X30" s="25">
        <v>41.069217999999999</v>
      </c>
      <c r="Y30" s="25">
        <v>40.845627</v>
      </c>
      <c r="Z30" s="25">
        <v>40.632603000000003</v>
      </c>
      <c r="AA30" s="25">
        <v>40.419212000000002</v>
      </c>
      <c r="AB30" s="25">
        <v>40.233921000000002</v>
      </c>
      <c r="AC30" s="25">
        <v>40.070380999999998</v>
      </c>
      <c r="AD30" s="25">
        <v>39.923133999999997</v>
      </c>
      <c r="AE30" s="25">
        <v>39.795025000000003</v>
      </c>
      <c r="AF30" s="21">
        <v>-9.3109999999999998E-3</v>
      </c>
      <c r="AG30" s="10"/>
      <c r="AI30" s="5"/>
    </row>
    <row r="31" spans="1:35" x14ac:dyDescent="0.35">
      <c r="A31" s="6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I31" s="5"/>
    </row>
    <row r="32" spans="1:35" ht="36.5" x14ac:dyDescent="0.35">
      <c r="A32" s="6"/>
      <c r="B32" s="18" t="s">
        <v>3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I32" s="5"/>
    </row>
    <row r="33" spans="1:35" ht="24.5" x14ac:dyDescent="0.35">
      <c r="A33" s="6"/>
      <c r="B33" s="18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I33" s="5"/>
    </row>
    <row r="34" spans="1:35" ht="24.5" x14ac:dyDescent="0.35">
      <c r="A34" s="9" t="s">
        <v>47</v>
      </c>
      <c r="B34" s="19" t="s">
        <v>48</v>
      </c>
      <c r="C34" s="20">
        <v>0.74561999999999995</v>
      </c>
      <c r="D34" s="20">
        <v>0.74402500000000005</v>
      </c>
      <c r="E34" s="20">
        <v>0.65757200000000005</v>
      </c>
      <c r="F34" s="20">
        <v>0.65694900000000001</v>
      </c>
      <c r="G34" s="20">
        <v>0.65573199999999998</v>
      </c>
      <c r="H34" s="20">
        <v>0.65321499999999999</v>
      </c>
      <c r="I34" s="20">
        <v>0.64940799999999999</v>
      </c>
      <c r="J34" s="20">
        <v>0.64433799999999997</v>
      </c>
      <c r="K34" s="20">
        <v>0.63785099999999995</v>
      </c>
      <c r="L34" s="20">
        <v>0.63049299999999997</v>
      </c>
      <c r="M34" s="20">
        <v>0.62302299999999999</v>
      </c>
      <c r="N34" s="20">
        <v>0.61513200000000001</v>
      </c>
      <c r="O34" s="20">
        <v>0.606908</v>
      </c>
      <c r="P34" s="20">
        <v>0.59983799999999998</v>
      </c>
      <c r="Q34" s="20">
        <v>0.59312200000000004</v>
      </c>
      <c r="R34" s="20">
        <v>0.58654700000000004</v>
      </c>
      <c r="S34" s="20">
        <v>0.57942300000000002</v>
      </c>
      <c r="T34" s="20">
        <v>0.57227499999999998</v>
      </c>
      <c r="U34" s="20">
        <v>0.56561099999999997</v>
      </c>
      <c r="V34" s="20">
        <v>0.55932499999999996</v>
      </c>
      <c r="W34" s="20">
        <v>0.55341399999999996</v>
      </c>
      <c r="X34" s="20">
        <v>0.54783000000000004</v>
      </c>
      <c r="Y34" s="20">
        <v>0.54221399999999997</v>
      </c>
      <c r="Z34" s="20">
        <v>0.53667600000000004</v>
      </c>
      <c r="AA34" s="20">
        <v>0.53138099999999999</v>
      </c>
      <c r="AB34" s="20">
        <v>0.526393</v>
      </c>
      <c r="AC34" s="20">
        <v>0.52143200000000001</v>
      </c>
      <c r="AD34" s="20">
        <v>0.51668800000000004</v>
      </c>
      <c r="AE34" s="20">
        <v>0.51238399999999995</v>
      </c>
      <c r="AF34" s="21">
        <v>-1.3309E-2</v>
      </c>
      <c r="AG34" s="10"/>
      <c r="AI34" s="5"/>
    </row>
    <row r="35" spans="1:35" ht="24.5" x14ac:dyDescent="0.35">
      <c r="A35" s="9" t="s">
        <v>49</v>
      </c>
      <c r="B35" s="19" t="s">
        <v>50</v>
      </c>
      <c r="C35" s="20">
        <v>0.85358699999999998</v>
      </c>
      <c r="D35" s="20">
        <v>0.73519199999999996</v>
      </c>
      <c r="E35" s="20">
        <v>0.89090899999999995</v>
      </c>
      <c r="F35" s="20">
        <v>0.91105000000000003</v>
      </c>
      <c r="G35" s="20">
        <v>0.93018100000000004</v>
      </c>
      <c r="H35" s="20">
        <v>0.95014200000000004</v>
      </c>
      <c r="I35" s="20">
        <v>0.96970900000000004</v>
      </c>
      <c r="J35" s="20">
        <v>0.98822399999999999</v>
      </c>
      <c r="K35" s="20">
        <v>1.0044709999999999</v>
      </c>
      <c r="L35" s="20">
        <v>1.019774</v>
      </c>
      <c r="M35" s="20">
        <v>1.0362020000000001</v>
      </c>
      <c r="N35" s="20">
        <v>1.052583</v>
      </c>
      <c r="O35" s="20">
        <v>1.069291</v>
      </c>
      <c r="P35" s="20">
        <v>1.088333</v>
      </c>
      <c r="Q35" s="20">
        <v>1.1091219999999999</v>
      </c>
      <c r="R35" s="20">
        <v>1.130924</v>
      </c>
      <c r="S35" s="20">
        <v>1.152515</v>
      </c>
      <c r="T35" s="20">
        <v>1.1745490000000001</v>
      </c>
      <c r="U35" s="20">
        <v>1.1969080000000001</v>
      </c>
      <c r="V35" s="20">
        <v>1.2194160000000001</v>
      </c>
      <c r="W35" s="20">
        <v>1.2425580000000001</v>
      </c>
      <c r="X35" s="20">
        <v>1.266365</v>
      </c>
      <c r="Y35" s="20">
        <v>1.29112</v>
      </c>
      <c r="Z35" s="20">
        <v>1.3168</v>
      </c>
      <c r="AA35" s="20">
        <v>1.344624</v>
      </c>
      <c r="AB35" s="20">
        <v>1.373569</v>
      </c>
      <c r="AC35" s="20">
        <v>1.4030819999999999</v>
      </c>
      <c r="AD35" s="20">
        <v>1.4325289999999999</v>
      </c>
      <c r="AE35" s="20">
        <v>1.4631479999999999</v>
      </c>
      <c r="AF35" s="21">
        <v>1.9432999999999999E-2</v>
      </c>
      <c r="AG35" s="10"/>
      <c r="AI35" s="5"/>
    </row>
    <row r="36" spans="1:35" ht="24.5" x14ac:dyDescent="0.35">
      <c r="A36" s="9" t="s">
        <v>51</v>
      </c>
      <c r="B36" s="19" t="s">
        <v>52</v>
      </c>
      <c r="C36" s="20">
        <v>0.59979700000000002</v>
      </c>
      <c r="D36" s="20">
        <v>0.59884499999999996</v>
      </c>
      <c r="E36" s="20">
        <v>0.59878600000000004</v>
      </c>
      <c r="F36" s="20">
        <v>0.59958199999999995</v>
      </c>
      <c r="G36" s="20">
        <v>0.59953599999999996</v>
      </c>
      <c r="H36" s="20">
        <v>0.59912500000000002</v>
      </c>
      <c r="I36" s="20">
        <v>0.59802</v>
      </c>
      <c r="J36" s="20">
        <v>0.596113</v>
      </c>
      <c r="K36" s="20">
        <v>0.59322299999999994</v>
      </c>
      <c r="L36" s="20">
        <v>0.58991099999999996</v>
      </c>
      <c r="M36" s="20">
        <v>0.58684700000000001</v>
      </c>
      <c r="N36" s="20">
        <v>0.58612399999999998</v>
      </c>
      <c r="O36" s="20">
        <v>0.58614599999999994</v>
      </c>
      <c r="P36" s="20">
        <v>0.58855199999999996</v>
      </c>
      <c r="Q36" s="20">
        <v>0.59146399999999999</v>
      </c>
      <c r="R36" s="20">
        <v>0.59436500000000003</v>
      </c>
      <c r="S36" s="20">
        <v>0.59693099999999999</v>
      </c>
      <c r="T36" s="20">
        <v>0.59932099999999999</v>
      </c>
      <c r="U36" s="20">
        <v>0.60179499999999997</v>
      </c>
      <c r="V36" s="20">
        <v>0.604464</v>
      </c>
      <c r="W36" s="20">
        <v>0.60740400000000005</v>
      </c>
      <c r="X36" s="20">
        <v>0.61058400000000002</v>
      </c>
      <c r="Y36" s="20">
        <v>0.61373800000000001</v>
      </c>
      <c r="Z36" s="20">
        <v>0.61683500000000002</v>
      </c>
      <c r="AA36" s="20">
        <v>0.620251</v>
      </c>
      <c r="AB36" s="20">
        <v>0.62392099999999995</v>
      </c>
      <c r="AC36" s="20">
        <v>0.62766699999999997</v>
      </c>
      <c r="AD36" s="20">
        <v>0.63161800000000001</v>
      </c>
      <c r="AE36" s="20">
        <v>0.63607999999999998</v>
      </c>
      <c r="AF36" s="21">
        <v>2.0999999999999999E-3</v>
      </c>
      <c r="AG36" s="10"/>
      <c r="AI36" s="5"/>
    </row>
    <row r="37" spans="1:35" ht="36.5" x14ac:dyDescent="0.35">
      <c r="A37" s="9" t="s">
        <v>53</v>
      </c>
      <c r="B37" s="19" t="s">
        <v>54</v>
      </c>
      <c r="C37" s="20">
        <v>0.29555799999999999</v>
      </c>
      <c r="D37" s="20">
        <v>0.293987</v>
      </c>
      <c r="E37" s="20">
        <v>0.29266799999999998</v>
      </c>
      <c r="F37" s="20">
        <v>0.29163</v>
      </c>
      <c r="G37" s="20">
        <v>0.29078300000000001</v>
      </c>
      <c r="H37" s="20">
        <v>0.29015800000000003</v>
      </c>
      <c r="I37" s="20">
        <v>0.28977799999999998</v>
      </c>
      <c r="J37" s="20">
        <v>0.28961500000000001</v>
      </c>
      <c r="K37" s="20">
        <v>0.289659</v>
      </c>
      <c r="L37" s="20">
        <v>0.28998600000000002</v>
      </c>
      <c r="M37" s="20">
        <v>0.29063</v>
      </c>
      <c r="N37" s="20">
        <v>0.29157</v>
      </c>
      <c r="O37" s="20">
        <v>0.29279500000000003</v>
      </c>
      <c r="P37" s="20">
        <v>0.29434300000000002</v>
      </c>
      <c r="Q37" s="20">
        <v>0.29624200000000001</v>
      </c>
      <c r="R37" s="20">
        <v>0.29844700000000002</v>
      </c>
      <c r="S37" s="20">
        <v>0.30096000000000001</v>
      </c>
      <c r="T37" s="20">
        <v>0.30374499999999999</v>
      </c>
      <c r="U37" s="20">
        <v>0.30684800000000001</v>
      </c>
      <c r="V37" s="20">
        <v>0.310249</v>
      </c>
      <c r="W37" s="20">
        <v>0.313888</v>
      </c>
      <c r="X37" s="20">
        <v>0.31748199999999999</v>
      </c>
      <c r="Y37" s="20">
        <v>0.32102399999999998</v>
      </c>
      <c r="Z37" s="20">
        <v>0.32450699999999999</v>
      </c>
      <c r="AA37" s="20">
        <v>0.32791500000000001</v>
      </c>
      <c r="AB37" s="20">
        <v>0.33124999999999999</v>
      </c>
      <c r="AC37" s="20">
        <v>0.33449600000000002</v>
      </c>
      <c r="AD37" s="20">
        <v>0.33764499999999997</v>
      </c>
      <c r="AE37" s="20">
        <v>0.340702</v>
      </c>
      <c r="AF37" s="21">
        <v>5.0899999999999999E-3</v>
      </c>
      <c r="AG37" s="10"/>
      <c r="AI37" s="5"/>
    </row>
    <row r="38" spans="1:35" x14ac:dyDescent="0.35">
      <c r="A38" s="9" t="s">
        <v>55</v>
      </c>
      <c r="B38" s="19" t="s">
        <v>56</v>
      </c>
      <c r="C38" s="20">
        <v>5.5863000000000003E-2</v>
      </c>
      <c r="D38" s="20">
        <v>5.6202000000000002E-2</v>
      </c>
      <c r="E38" s="20">
        <v>5.6536000000000003E-2</v>
      </c>
      <c r="F38" s="20">
        <v>5.6875000000000002E-2</v>
      </c>
      <c r="G38" s="20">
        <v>5.7204999999999999E-2</v>
      </c>
      <c r="H38" s="20">
        <v>5.7529999999999998E-2</v>
      </c>
      <c r="I38" s="20">
        <v>5.7847999999999997E-2</v>
      </c>
      <c r="J38" s="20">
        <v>5.8138000000000002E-2</v>
      </c>
      <c r="K38" s="20">
        <v>5.8390999999999998E-2</v>
      </c>
      <c r="L38" s="20">
        <v>5.8604000000000003E-2</v>
      </c>
      <c r="M38" s="20">
        <v>5.8781E-2</v>
      </c>
      <c r="N38" s="20">
        <v>5.8965999999999998E-2</v>
      </c>
      <c r="O38" s="20">
        <v>5.917E-2</v>
      </c>
      <c r="P38" s="20">
        <v>5.9403999999999998E-2</v>
      </c>
      <c r="Q38" s="20">
        <v>5.9679999999999997E-2</v>
      </c>
      <c r="R38" s="20">
        <v>5.9996000000000001E-2</v>
      </c>
      <c r="S38" s="20">
        <v>6.0304000000000003E-2</v>
      </c>
      <c r="T38" s="20">
        <v>6.0601000000000002E-2</v>
      </c>
      <c r="U38" s="20">
        <v>6.0894999999999998E-2</v>
      </c>
      <c r="V38" s="20">
        <v>6.1182E-2</v>
      </c>
      <c r="W38" s="20">
        <v>6.1454000000000002E-2</v>
      </c>
      <c r="X38" s="20">
        <v>6.1713999999999998E-2</v>
      </c>
      <c r="Y38" s="20">
        <v>6.1963999999999998E-2</v>
      </c>
      <c r="Z38" s="20">
        <v>6.2203000000000001E-2</v>
      </c>
      <c r="AA38" s="20">
        <v>6.2434000000000003E-2</v>
      </c>
      <c r="AB38" s="20">
        <v>6.2659000000000006E-2</v>
      </c>
      <c r="AC38" s="20">
        <v>6.2880000000000005E-2</v>
      </c>
      <c r="AD38" s="20">
        <v>6.3098000000000001E-2</v>
      </c>
      <c r="AE38" s="20">
        <v>6.3319E-2</v>
      </c>
      <c r="AF38" s="21">
        <v>4.4850000000000003E-3</v>
      </c>
      <c r="AG38" s="10"/>
      <c r="AI38" s="5"/>
    </row>
    <row r="39" spans="1:35" ht="24.5" x14ac:dyDescent="0.35">
      <c r="A39" s="9" t="s">
        <v>57</v>
      </c>
      <c r="B39" s="19" t="s">
        <v>58</v>
      </c>
      <c r="C39" s="20">
        <v>0.222467</v>
      </c>
      <c r="D39" s="20">
        <v>0.227024</v>
      </c>
      <c r="E39" s="20">
        <v>0.23189100000000001</v>
      </c>
      <c r="F39" s="20">
        <v>0.23729500000000001</v>
      </c>
      <c r="G39" s="20">
        <v>0.242448</v>
      </c>
      <c r="H39" s="20">
        <v>0.24726600000000001</v>
      </c>
      <c r="I39" s="20">
        <v>0.25179299999999999</v>
      </c>
      <c r="J39" s="20">
        <v>0.25596000000000002</v>
      </c>
      <c r="K39" s="20">
        <v>0.25967099999999999</v>
      </c>
      <c r="L39" s="20">
        <v>0.263071</v>
      </c>
      <c r="M39" s="20">
        <v>0.26643600000000001</v>
      </c>
      <c r="N39" s="20">
        <v>0.26939200000000002</v>
      </c>
      <c r="O39" s="20">
        <v>0.27234199999999997</v>
      </c>
      <c r="P39" s="20">
        <v>0.275723</v>
      </c>
      <c r="Q39" s="20">
        <v>0.27934199999999998</v>
      </c>
      <c r="R39" s="20">
        <v>0.28279900000000002</v>
      </c>
      <c r="S39" s="20">
        <v>0.28596300000000002</v>
      </c>
      <c r="T39" s="20">
        <v>0.28907500000000003</v>
      </c>
      <c r="U39" s="20">
        <v>0.29220600000000002</v>
      </c>
      <c r="V39" s="20">
        <v>0.29541099999999998</v>
      </c>
      <c r="W39" s="20">
        <v>0.29872300000000002</v>
      </c>
      <c r="X39" s="20">
        <v>0.30215999999999998</v>
      </c>
      <c r="Y39" s="20">
        <v>0.30563499999999999</v>
      </c>
      <c r="Z39" s="20">
        <v>0.30910900000000002</v>
      </c>
      <c r="AA39" s="20">
        <v>0.31273000000000001</v>
      </c>
      <c r="AB39" s="20">
        <v>0.31651000000000001</v>
      </c>
      <c r="AC39" s="20">
        <v>0.32030700000000001</v>
      </c>
      <c r="AD39" s="20">
        <v>0.32417200000000002</v>
      </c>
      <c r="AE39" s="20">
        <v>0.32827800000000001</v>
      </c>
      <c r="AF39" s="21">
        <v>1.3993E-2</v>
      </c>
      <c r="AG39" s="10"/>
    </row>
    <row r="40" spans="1:35" x14ac:dyDescent="0.35">
      <c r="A40" s="9" t="s">
        <v>59</v>
      </c>
      <c r="B40" s="19" t="s">
        <v>60</v>
      </c>
      <c r="C40" s="20">
        <v>6.9006999999999999E-2</v>
      </c>
      <c r="D40" s="20">
        <v>6.8849999999999995E-2</v>
      </c>
      <c r="E40" s="20">
        <v>6.8686999999999998E-2</v>
      </c>
      <c r="F40" s="20">
        <v>6.8515999999999994E-2</v>
      </c>
      <c r="G40" s="20">
        <v>6.8318000000000004E-2</v>
      </c>
      <c r="H40" s="20">
        <v>6.8104999999999999E-2</v>
      </c>
      <c r="I40" s="20">
        <v>6.7921999999999996E-2</v>
      </c>
      <c r="J40" s="20">
        <v>6.7761000000000002E-2</v>
      </c>
      <c r="K40" s="20">
        <v>6.7614999999999995E-2</v>
      </c>
      <c r="L40" s="20">
        <v>6.7486000000000004E-2</v>
      </c>
      <c r="M40" s="20">
        <v>6.7377000000000006E-2</v>
      </c>
      <c r="N40" s="20">
        <v>6.7287E-2</v>
      </c>
      <c r="O40" s="20">
        <v>6.7215999999999998E-2</v>
      </c>
      <c r="P40" s="20">
        <v>6.7169000000000006E-2</v>
      </c>
      <c r="Q40" s="20">
        <v>6.7158999999999996E-2</v>
      </c>
      <c r="R40" s="20">
        <v>6.7178000000000002E-2</v>
      </c>
      <c r="S40" s="20">
        <v>6.7228999999999997E-2</v>
      </c>
      <c r="T40" s="20">
        <v>6.7310999999999996E-2</v>
      </c>
      <c r="U40" s="20">
        <v>6.7431000000000005E-2</v>
      </c>
      <c r="V40" s="20">
        <v>6.7596000000000003E-2</v>
      </c>
      <c r="W40" s="20">
        <v>6.7793999999999993E-2</v>
      </c>
      <c r="X40" s="20">
        <v>6.8035999999999999E-2</v>
      </c>
      <c r="Y40" s="20">
        <v>6.8325999999999998E-2</v>
      </c>
      <c r="Z40" s="20">
        <v>6.8666000000000005E-2</v>
      </c>
      <c r="AA40" s="20">
        <v>6.9053000000000003E-2</v>
      </c>
      <c r="AB40" s="20">
        <v>6.9481000000000001E-2</v>
      </c>
      <c r="AC40" s="20">
        <v>6.9903999999999994E-2</v>
      </c>
      <c r="AD40" s="20">
        <v>7.0319000000000007E-2</v>
      </c>
      <c r="AE40" s="20">
        <v>7.0729E-2</v>
      </c>
      <c r="AF40" s="21">
        <v>8.8099999999999995E-4</v>
      </c>
      <c r="AG40" s="10"/>
      <c r="AI40" s="5"/>
    </row>
    <row r="41" spans="1:35" x14ac:dyDescent="0.35">
      <c r="A41" s="9" t="s">
        <v>61</v>
      </c>
      <c r="B41" s="19" t="s">
        <v>62</v>
      </c>
      <c r="C41" s="20">
        <v>0.22927</v>
      </c>
      <c r="D41" s="20">
        <v>0.21315999999999999</v>
      </c>
      <c r="E41" s="20">
        <v>0.20679400000000001</v>
      </c>
      <c r="F41" s="20">
        <v>0.20512900000000001</v>
      </c>
      <c r="G41" s="20">
        <v>0.20519999999999999</v>
      </c>
      <c r="H41" s="20">
        <v>0.206404</v>
      </c>
      <c r="I41" s="20">
        <v>0.20832999999999999</v>
      </c>
      <c r="J41" s="20">
        <v>0.210226</v>
      </c>
      <c r="K41" s="20">
        <v>0.209704</v>
      </c>
      <c r="L41" s="20">
        <v>0.20916399999999999</v>
      </c>
      <c r="M41" s="20">
        <v>0.20885500000000001</v>
      </c>
      <c r="N41" s="20">
        <v>0.208568</v>
      </c>
      <c r="O41" s="20">
        <v>0.208536</v>
      </c>
      <c r="P41" s="20">
        <v>0.20901600000000001</v>
      </c>
      <c r="Q41" s="20">
        <v>0.20962700000000001</v>
      </c>
      <c r="R41" s="20">
        <v>0.210178</v>
      </c>
      <c r="S41" s="20">
        <v>0.210558</v>
      </c>
      <c r="T41" s="20">
        <v>0.210954</v>
      </c>
      <c r="U41" s="20">
        <v>0.207703</v>
      </c>
      <c r="V41" s="20">
        <v>0.205012</v>
      </c>
      <c r="W41" s="20">
        <v>0.20291100000000001</v>
      </c>
      <c r="X41" s="20">
        <v>0.20146700000000001</v>
      </c>
      <c r="Y41" s="20">
        <v>0.200848</v>
      </c>
      <c r="Z41" s="20">
        <v>0.20064000000000001</v>
      </c>
      <c r="AA41" s="20">
        <v>0.20059199999999999</v>
      </c>
      <c r="AB41" s="20">
        <v>0.20072999999999999</v>
      </c>
      <c r="AC41" s="20">
        <v>0.200991</v>
      </c>
      <c r="AD41" s="20">
        <v>0.20142299999999999</v>
      </c>
      <c r="AE41" s="20">
        <v>0.20205600000000001</v>
      </c>
      <c r="AF41" s="21">
        <v>-4.5030000000000001E-3</v>
      </c>
      <c r="AG41" s="10"/>
      <c r="AI41" s="5"/>
    </row>
    <row r="42" spans="1:35" ht="24.5" x14ac:dyDescent="0.35">
      <c r="A42" s="9" t="s">
        <v>63</v>
      </c>
      <c r="B42" s="19" t="s">
        <v>64</v>
      </c>
      <c r="C42" s="20">
        <v>3.7489000000000001E-2</v>
      </c>
      <c r="D42" s="20">
        <v>3.7812999999999999E-2</v>
      </c>
      <c r="E42" s="20">
        <v>3.8143999999999997E-2</v>
      </c>
      <c r="F42" s="20">
        <v>3.8485999999999999E-2</v>
      </c>
      <c r="G42" s="20">
        <v>3.8827E-2</v>
      </c>
      <c r="H42" s="20">
        <v>3.9168000000000001E-2</v>
      </c>
      <c r="I42" s="20">
        <v>3.9518999999999999E-2</v>
      </c>
      <c r="J42" s="20">
        <v>3.9875000000000001E-2</v>
      </c>
      <c r="K42" s="20">
        <v>4.0245999999999997E-2</v>
      </c>
      <c r="L42" s="20">
        <v>4.0617E-2</v>
      </c>
      <c r="M42" s="20">
        <v>4.0992000000000001E-2</v>
      </c>
      <c r="N42" s="20">
        <v>4.1364999999999999E-2</v>
      </c>
      <c r="O42" s="20">
        <v>4.1732999999999999E-2</v>
      </c>
      <c r="P42" s="20">
        <v>4.2098999999999998E-2</v>
      </c>
      <c r="Q42" s="20">
        <v>4.2465000000000003E-2</v>
      </c>
      <c r="R42" s="20">
        <v>4.2827999999999998E-2</v>
      </c>
      <c r="S42" s="20">
        <v>4.3187000000000003E-2</v>
      </c>
      <c r="T42" s="20">
        <v>4.3541999999999997E-2</v>
      </c>
      <c r="U42" s="20">
        <v>4.3898E-2</v>
      </c>
      <c r="V42" s="20">
        <v>4.4252E-2</v>
      </c>
      <c r="W42" s="20">
        <v>4.4599E-2</v>
      </c>
      <c r="X42" s="20">
        <v>4.4942000000000003E-2</v>
      </c>
      <c r="Y42" s="20">
        <v>4.5282000000000003E-2</v>
      </c>
      <c r="Z42" s="20">
        <v>4.5619E-2</v>
      </c>
      <c r="AA42" s="20">
        <v>4.5952E-2</v>
      </c>
      <c r="AB42" s="20">
        <v>4.6282999999999998E-2</v>
      </c>
      <c r="AC42" s="20">
        <v>4.6611E-2</v>
      </c>
      <c r="AD42" s="20">
        <v>4.6935999999999999E-2</v>
      </c>
      <c r="AE42" s="20">
        <v>4.7258000000000001E-2</v>
      </c>
      <c r="AF42" s="21">
        <v>8.3049999999999999E-3</v>
      </c>
      <c r="AG42" s="10"/>
      <c r="AI42" s="5"/>
    </row>
    <row r="43" spans="1:35" ht="36.5" x14ac:dyDescent="0.35">
      <c r="A43" s="9" t="s">
        <v>65</v>
      </c>
      <c r="B43" s="19" t="s">
        <v>66</v>
      </c>
      <c r="C43" s="20">
        <v>2.7618E-2</v>
      </c>
      <c r="D43" s="20">
        <v>2.8063999999999999E-2</v>
      </c>
      <c r="E43" s="20">
        <v>2.8506E-2</v>
      </c>
      <c r="F43" s="20">
        <v>2.8944999999999999E-2</v>
      </c>
      <c r="G43" s="20">
        <v>2.937E-2</v>
      </c>
      <c r="H43" s="20">
        <v>2.9781999999999999E-2</v>
      </c>
      <c r="I43" s="20">
        <v>3.0232999999999999E-2</v>
      </c>
      <c r="J43" s="20">
        <v>3.0721999999999999E-2</v>
      </c>
      <c r="K43" s="20">
        <v>3.1241999999999999E-2</v>
      </c>
      <c r="L43" s="20">
        <v>3.1796999999999999E-2</v>
      </c>
      <c r="M43" s="20">
        <v>3.2391999999999997E-2</v>
      </c>
      <c r="N43" s="20">
        <v>3.3027000000000001E-2</v>
      </c>
      <c r="O43" s="20">
        <v>3.3702000000000003E-2</v>
      </c>
      <c r="P43" s="20">
        <v>3.4373000000000001E-2</v>
      </c>
      <c r="Q43" s="20">
        <v>3.5042999999999998E-2</v>
      </c>
      <c r="R43" s="20">
        <v>3.5709999999999999E-2</v>
      </c>
      <c r="S43" s="20">
        <v>3.6374999999999998E-2</v>
      </c>
      <c r="T43" s="20">
        <v>3.7035999999999999E-2</v>
      </c>
      <c r="U43" s="20">
        <v>3.7698000000000002E-2</v>
      </c>
      <c r="V43" s="20">
        <v>3.8358999999999997E-2</v>
      </c>
      <c r="W43" s="20">
        <v>3.9015000000000001E-2</v>
      </c>
      <c r="X43" s="20">
        <v>3.9667000000000001E-2</v>
      </c>
      <c r="Y43" s="20">
        <v>4.0315999999999998E-2</v>
      </c>
      <c r="Z43" s="20">
        <v>4.0961999999999998E-2</v>
      </c>
      <c r="AA43" s="20">
        <v>4.1605000000000003E-2</v>
      </c>
      <c r="AB43" s="20">
        <v>4.2244999999999998E-2</v>
      </c>
      <c r="AC43" s="20">
        <v>4.2882000000000003E-2</v>
      </c>
      <c r="AD43" s="20">
        <v>4.3513999999999997E-2</v>
      </c>
      <c r="AE43" s="20">
        <v>4.4143000000000002E-2</v>
      </c>
      <c r="AF43" s="21">
        <v>1.6889999999999999E-2</v>
      </c>
      <c r="AG43" s="10"/>
      <c r="AI43" s="5"/>
    </row>
    <row r="44" spans="1:35" ht="72.5" x14ac:dyDescent="0.35">
      <c r="A44" s="9" t="s">
        <v>67</v>
      </c>
      <c r="B44" s="19" t="s">
        <v>68</v>
      </c>
      <c r="C44" s="20">
        <v>0.18509200000000001</v>
      </c>
      <c r="D44" s="20">
        <v>0.181559</v>
      </c>
      <c r="E44" s="20">
        <v>0.178365</v>
      </c>
      <c r="F44" s="20">
        <v>0.17569199999999999</v>
      </c>
      <c r="G44" s="20">
        <v>0.17295099999999999</v>
      </c>
      <c r="H44" s="20">
        <v>0.17014299999999999</v>
      </c>
      <c r="I44" s="20">
        <v>0.16719800000000001</v>
      </c>
      <c r="J44" s="20">
        <v>0.16413900000000001</v>
      </c>
      <c r="K44" s="20">
        <v>0.16098699999999999</v>
      </c>
      <c r="L44" s="20">
        <v>0.15786700000000001</v>
      </c>
      <c r="M44" s="20">
        <v>0.154866</v>
      </c>
      <c r="N44" s="20">
        <v>0.151867</v>
      </c>
      <c r="O44" s="20">
        <v>0.14899799999999999</v>
      </c>
      <c r="P44" s="20">
        <v>0.14658499999999999</v>
      </c>
      <c r="Q44" s="20">
        <v>0.14447299999999999</v>
      </c>
      <c r="R44" s="20">
        <v>0.142566</v>
      </c>
      <c r="S44" s="20">
        <v>0.14076</v>
      </c>
      <c r="T44" s="20">
        <v>0.13918900000000001</v>
      </c>
      <c r="U44" s="20">
        <v>0.13791</v>
      </c>
      <c r="V44" s="20">
        <v>0.136911</v>
      </c>
      <c r="W44" s="20">
        <v>0.13620699999999999</v>
      </c>
      <c r="X44" s="20">
        <v>0.13575499999999999</v>
      </c>
      <c r="Y44" s="20">
        <v>0.13553699999999999</v>
      </c>
      <c r="Z44" s="20">
        <v>0.13555200000000001</v>
      </c>
      <c r="AA44" s="20">
        <v>0.13580200000000001</v>
      </c>
      <c r="AB44" s="20">
        <v>0.136265</v>
      </c>
      <c r="AC44" s="20">
        <v>0.13685</v>
      </c>
      <c r="AD44" s="20">
        <v>0.13759299999999999</v>
      </c>
      <c r="AE44" s="20">
        <v>0.13852700000000001</v>
      </c>
      <c r="AF44" s="21">
        <v>-1.0296E-2</v>
      </c>
      <c r="AG44" s="10"/>
      <c r="AI44" s="5"/>
    </row>
    <row r="45" spans="1:35" ht="72.5" x14ac:dyDescent="0.35">
      <c r="A45" s="9" t="s">
        <v>69</v>
      </c>
      <c r="B45" s="19" t="s">
        <v>70</v>
      </c>
      <c r="C45" s="20">
        <v>0.120106</v>
      </c>
      <c r="D45" s="20">
        <v>0.118562</v>
      </c>
      <c r="E45" s="20">
        <v>0.11693099999999999</v>
      </c>
      <c r="F45" s="20">
        <v>0.11536299999999999</v>
      </c>
      <c r="G45" s="20">
        <v>0.113493</v>
      </c>
      <c r="H45" s="20">
        <v>0.111328</v>
      </c>
      <c r="I45" s="20">
        <v>0.108857</v>
      </c>
      <c r="J45" s="20">
        <v>0.106117</v>
      </c>
      <c r="K45" s="20">
        <v>0.103168</v>
      </c>
      <c r="L45" s="20">
        <v>0.100088</v>
      </c>
      <c r="M45" s="20">
        <v>9.6979999999999997E-2</v>
      </c>
      <c r="N45" s="20">
        <v>9.3785999999999994E-2</v>
      </c>
      <c r="O45" s="20">
        <v>9.0609999999999996E-2</v>
      </c>
      <c r="P45" s="20">
        <v>8.7647000000000003E-2</v>
      </c>
      <c r="Q45" s="20">
        <v>8.4848000000000007E-2</v>
      </c>
      <c r="R45" s="20">
        <v>8.2132999999999998E-2</v>
      </c>
      <c r="S45" s="20">
        <v>7.9492999999999994E-2</v>
      </c>
      <c r="T45" s="20">
        <v>7.7007999999999993E-2</v>
      </c>
      <c r="U45" s="20">
        <v>7.4726000000000001E-2</v>
      </c>
      <c r="V45" s="20">
        <v>7.2651999999999994E-2</v>
      </c>
      <c r="W45" s="20">
        <v>7.0824999999999999E-2</v>
      </c>
      <c r="X45" s="20">
        <v>6.9226999999999997E-2</v>
      </c>
      <c r="Y45" s="20">
        <v>6.7875000000000005E-2</v>
      </c>
      <c r="Z45" s="20">
        <v>6.6753000000000007E-2</v>
      </c>
      <c r="AA45" s="20">
        <v>6.5956000000000001E-2</v>
      </c>
      <c r="AB45" s="20">
        <v>6.5417000000000003E-2</v>
      </c>
      <c r="AC45" s="20">
        <v>6.5087000000000006E-2</v>
      </c>
      <c r="AD45" s="20">
        <v>6.4992999999999995E-2</v>
      </c>
      <c r="AE45" s="20">
        <v>6.5106999999999998E-2</v>
      </c>
      <c r="AF45" s="21">
        <v>-2.1631999999999998E-2</v>
      </c>
      <c r="AG45" s="10"/>
      <c r="AI45" s="5"/>
    </row>
    <row r="46" spans="1:35" ht="60.5" x14ac:dyDescent="0.35">
      <c r="A46" s="9" t="s">
        <v>71</v>
      </c>
      <c r="B46" s="19" t="s">
        <v>72</v>
      </c>
      <c r="C46" s="20">
        <v>8.9175000000000004E-2</v>
      </c>
      <c r="D46" s="20">
        <v>8.8249999999999995E-2</v>
      </c>
      <c r="E46" s="20">
        <v>7.9128000000000004E-2</v>
      </c>
      <c r="F46" s="20">
        <v>8.0093999999999999E-2</v>
      </c>
      <c r="G46" s="20">
        <v>8.0979999999999996E-2</v>
      </c>
      <c r="H46" s="20">
        <v>8.1729999999999997E-2</v>
      </c>
      <c r="I46" s="20">
        <v>8.2280000000000006E-2</v>
      </c>
      <c r="J46" s="20">
        <v>8.2540000000000002E-2</v>
      </c>
      <c r="K46" s="20">
        <v>8.2561999999999997E-2</v>
      </c>
      <c r="L46" s="20">
        <v>8.2343E-2</v>
      </c>
      <c r="M46" s="20">
        <v>8.1923999999999997E-2</v>
      </c>
      <c r="N46" s="20">
        <v>8.1309000000000006E-2</v>
      </c>
      <c r="O46" s="20">
        <v>8.0431000000000002E-2</v>
      </c>
      <c r="P46" s="20">
        <v>7.9390000000000002E-2</v>
      </c>
      <c r="Q46" s="20">
        <v>7.8254000000000004E-2</v>
      </c>
      <c r="R46" s="20">
        <v>7.7045000000000002E-2</v>
      </c>
      <c r="S46" s="20">
        <v>7.5693999999999997E-2</v>
      </c>
      <c r="T46" s="20">
        <v>7.4348999999999998E-2</v>
      </c>
      <c r="U46" s="20">
        <v>7.3050000000000004E-2</v>
      </c>
      <c r="V46" s="20">
        <v>7.1817000000000006E-2</v>
      </c>
      <c r="W46" s="20">
        <v>7.0639999999999994E-2</v>
      </c>
      <c r="X46" s="20">
        <v>6.9587999999999997E-2</v>
      </c>
      <c r="Y46" s="20">
        <v>6.8662000000000001E-2</v>
      </c>
      <c r="Z46" s="20">
        <v>6.7822999999999994E-2</v>
      </c>
      <c r="AA46" s="20">
        <v>6.7005999999999996E-2</v>
      </c>
      <c r="AB46" s="20">
        <v>6.6321000000000005E-2</v>
      </c>
      <c r="AC46" s="20">
        <v>6.5775E-2</v>
      </c>
      <c r="AD46" s="20">
        <v>6.5343999999999999E-2</v>
      </c>
      <c r="AE46" s="20">
        <v>6.4996999999999999E-2</v>
      </c>
      <c r="AF46" s="21">
        <v>-1.1231E-2</v>
      </c>
      <c r="AG46" s="10"/>
      <c r="AI46" s="5"/>
    </row>
    <row r="47" spans="1:35" ht="24.5" x14ac:dyDescent="0.35">
      <c r="A47" s="9" t="s">
        <v>73</v>
      </c>
      <c r="B47" s="19" t="s">
        <v>74</v>
      </c>
      <c r="C47" s="20">
        <v>1.7289920000000001</v>
      </c>
      <c r="D47" s="20">
        <v>1.778594</v>
      </c>
      <c r="E47" s="20">
        <v>1.805526</v>
      </c>
      <c r="F47" s="20">
        <v>1.8416680000000001</v>
      </c>
      <c r="G47" s="20">
        <v>1.877618</v>
      </c>
      <c r="H47" s="20">
        <v>1.9181360000000001</v>
      </c>
      <c r="I47" s="20">
        <v>1.9534260000000001</v>
      </c>
      <c r="J47" s="20">
        <v>1.984526</v>
      </c>
      <c r="K47" s="20">
        <v>2.015298</v>
      </c>
      <c r="L47" s="20">
        <v>2.045995</v>
      </c>
      <c r="M47" s="20">
        <v>2.0771999999999999</v>
      </c>
      <c r="N47" s="20">
        <v>2.1083090000000002</v>
      </c>
      <c r="O47" s="20">
        <v>2.1370680000000002</v>
      </c>
      <c r="P47" s="20">
        <v>2.1696040000000001</v>
      </c>
      <c r="Q47" s="20">
        <v>2.2045029999999999</v>
      </c>
      <c r="R47" s="20">
        <v>2.2416749999999999</v>
      </c>
      <c r="S47" s="20">
        <v>2.277666</v>
      </c>
      <c r="T47" s="20">
        <v>2.3144999999999998</v>
      </c>
      <c r="U47" s="20">
        <v>2.3536220000000001</v>
      </c>
      <c r="V47" s="20">
        <v>2.393605</v>
      </c>
      <c r="W47" s="20">
        <v>2.4362240000000002</v>
      </c>
      <c r="X47" s="20">
        <v>2.4803709999999999</v>
      </c>
      <c r="Y47" s="20">
        <v>2.5261019999999998</v>
      </c>
      <c r="Z47" s="20">
        <v>2.5735540000000001</v>
      </c>
      <c r="AA47" s="20">
        <v>2.6229239999999998</v>
      </c>
      <c r="AB47" s="20">
        <v>2.6745640000000002</v>
      </c>
      <c r="AC47" s="20">
        <v>2.727255</v>
      </c>
      <c r="AD47" s="20">
        <v>2.7817340000000002</v>
      </c>
      <c r="AE47" s="20">
        <v>2.8402690000000002</v>
      </c>
      <c r="AF47" s="21">
        <v>1.7885000000000002E-2</v>
      </c>
      <c r="AG47" s="10"/>
    </row>
    <row r="48" spans="1:35" ht="36.5" x14ac:dyDescent="0.35">
      <c r="A48" s="9" t="s">
        <v>75</v>
      </c>
      <c r="B48" s="18" t="s">
        <v>76</v>
      </c>
      <c r="C48" s="22">
        <v>5.2596420000000004</v>
      </c>
      <c r="D48" s="22">
        <v>5.1701290000000002</v>
      </c>
      <c r="E48" s="22">
        <v>5.2504400000000002</v>
      </c>
      <c r="F48" s="22">
        <v>5.3072759999999999</v>
      </c>
      <c r="G48" s="22">
        <v>5.3626420000000001</v>
      </c>
      <c r="H48" s="22">
        <v>5.4222320000000002</v>
      </c>
      <c r="I48" s="22">
        <v>5.4743199999999996</v>
      </c>
      <c r="J48" s="22">
        <v>5.5182950000000002</v>
      </c>
      <c r="K48" s="22">
        <v>5.5540880000000001</v>
      </c>
      <c r="L48" s="22">
        <v>5.5871940000000002</v>
      </c>
      <c r="M48" s="22">
        <v>5.6225040000000002</v>
      </c>
      <c r="N48" s="22">
        <v>5.6592840000000004</v>
      </c>
      <c r="O48" s="22">
        <v>5.694947</v>
      </c>
      <c r="P48" s="22">
        <v>5.742076</v>
      </c>
      <c r="Q48" s="22">
        <v>5.7953429999999999</v>
      </c>
      <c r="R48" s="22">
        <v>5.8523889999999996</v>
      </c>
      <c r="S48" s="22">
        <v>5.9070590000000003</v>
      </c>
      <c r="T48" s="22">
        <v>5.9634539999999996</v>
      </c>
      <c r="U48" s="22">
        <v>6.0202999999999998</v>
      </c>
      <c r="V48" s="22">
        <v>6.0802500000000004</v>
      </c>
      <c r="W48" s="22">
        <v>6.1456559999999998</v>
      </c>
      <c r="X48" s="22">
        <v>6.2151889999999996</v>
      </c>
      <c r="Y48" s="22">
        <v>6.2886449999999998</v>
      </c>
      <c r="Z48" s="22">
        <v>6.3656980000000001</v>
      </c>
      <c r="AA48" s="22">
        <v>6.4482220000000003</v>
      </c>
      <c r="AB48" s="22">
        <v>6.5356100000000001</v>
      </c>
      <c r="AC48" s="22">
        <v>6.6252180000000003</v>
      </c>
      <c r="AD48" s="22">
        <v>6.7176070000000001</v>
      </c>
      <c r="AE48" s="22">
        <v>6.816999</v>
      </c>
      <c r="AF48" s="23">
        <v>9.306E-3</v>
      </c>
      <c r="AG48" s="10"/>
      <c r="AI48" s="5"/>
    </row>
    <row r="49" spans="1:35" ht="48.5" x14ac:dyDescent="0.35">
      <c r="A49" s="9" t="s">
        <v>77</v>
      </c>
      <c r="B49" s="19" t="s">
        <v>78</v>
      </c>
      <c r="C49" s="20">
        <v>0.112023</v>
      </c>
      <c r="D49" s="20">
        <v>0.123458</v>
      </c>
      <c r="E49" s="20">
        <v>0.13652900000000001</v>
      </c>
      <c r="F49" s="20">
        <v>0.14977699999999999</v>
      </c>
      <c r="G49" s="20">
        <v>0.16300899999999999</v>
      </c>
      <c r="H49" s="20">
        <v>0.17658499999999999</v>
      </c>
      <c r="I49" s="20">
        <v>0.19053</v>
      </c>
      <c r="J49" s="20">
        <v>0.20494499999999999</v>
      </c>
      <c r="K49" s="20">
        <v>0.21981999999999999</v>
      </c>
      <c r="L49" s="20">
        <v>0.23524600000000001</v>
      </c>
      <c r="M49" s="20">
        <v>0.25148999999999999</v>
      </c>
      <c r="N49" s="20">
        <v>0.26793699999999998</v>
      </c>
      <c r="O49" s="20">
        <v>0.28465000000000001</v>
      </c>
      <c r="P49" s="20">
        <v>0.29947400000000002</v>
      </c>
      <c r="Q49" s="20">
        <v>0.31491799999999998</v>
      </c>
      <c r="R49" s="20">
        <v>0.33096799999999998</v>
      </c>
      <c r="S49" s="20">
        <v>0.34801199999999999</v>
      </c>
      <c r="T49" s="20">
        <v>0.36618699999999998</v>
      </c>
      <c r="U49" s="20">
        <v>0.38540000000000002</v>
      </c>
      <c r="V49" s="20">
        <v>0.40570899999999999</v>
      </c>
      <c r="W49" s="20">
        <v>0.427124</v>
      </c>
      <c r="X49" s="20">
        <v>0.44966</v>
      </c>
      <c r="Y49" s="20">
        <v>0.47307100000000002</v>
      </c>
      <c r="Z49" s="20">
        <v>0.49757400000000002</v>
      </c>
      <c r="AA49" s="20">
        <v>0.52299700000000005</v>
      </c>
      <c r="AB49" s="20">
        <v>0.54935500000000004</v>
      </c>
      <c r="AC49" s="20">
        <v>0.57694599999999996</v>
      </c>
      <c r="AD49" s="20">
        <v>0.60526800000000003</v>
      </c>
      <c r="AE49" s="20">
        <v>0.63452399999999998</v>
      </c>
      <c r="AF49" s="21">
        <v>6.3893000000000005E-2</v>
      </c>
      <c r="AG49" s="10"/>
      <c r="AI49" s="5"/>
    </row>
    <row r="50" spans="1:35" ht="36.5" x14ac:dyDescent="0.35">
      <c r="A50" s="9" t="s">
        <v>79</v>
      </c>
      <c r="B50" s="18" t="s">
        <v>80</v>
      </c>
      <c r="C50" s="22">
        <v>5.1476179999999996</v>
      </c>
      <c r="D50" s="22">
        <v>5.0466709999999999</v>
      </c>
      <c r="E50" s="22">
        <v>5.1139109999999999</v>
      </c>
      <c r="F50" s="22">
        <v>5.1574989999999996</v>
      </c>
      <c r="G50" s="22">
        <v>5.1996339999999996</v>
      </c>
      <c r="H50" s="22">
        <v>5.2456469999999999</v>
      </c>
      <c r="I50" s="22">
        <v>5.2837899999999998</v>
      </c>
      <c r="J50" s="22">
        <v>5.3133499999999998</v>
      </c>
      <c r="K50" s="22">
        <v>5.3342679999999998</v>
      </c>
      <c r="L50" s="22">
        <v>5.3519490000000003</v>
      </c>
      <c r="M50" s="22">
        <v>5.3710139999999997</v>
      </c>
      <c r="N50" s="22">
        <v>5.3913460000000004</v>
      </c>
      <c r="O50" s="22">
        <v>5.4102969999999999</v>
      </c>
      <c r="P50" s="22">
        <v>5.4426019999999999</v>
      </c>
      <c r="Q50" s="22">
        <v>5.4804250000000003</v>
      </c>
      <c r="R50" s="22">
        <v>5.5214210000000001</v>
      </c>
      <c r="S50" s="22">
        <v>5.5590469999999996</v>
      </c>
      <c r="T50" s="22">
        <v>5.5972670000000004</v>
      </c>
      <c r="U50" s="22">
        <v>5.6349</v>
      </c>
      <c r="V50" s="22">
        <v>5.6745409999999996</v>
      </c>
      <c r="W50" s="22">
        <v>5.7185319999999997</v>
      </c>
      <c r="X50" s="22">
        <v>5.7655289999999999</v>
      </c>
      <c r="Y50" s="22">
        <v>5.8155739999999998</v>
      </c>
      <c r="Z50" s="22">
        <v>5.8681239999999999</v>
      </c>
      <c r="AA50" s="22">
        <v>5.9252250000000002</v>
      </c>
      <c r="AB50" s="22">
        <v>5.9862549999999999</v>
      </c>
      <c r="AC50" s="22">
        <v>6.0482719999999999</v>
      </c>
      <c r="AD50" s="22">
        <v>6.1123390000000004</v>
      </c>
      <c r="AE50" s="22">
        <v>6.1824750000000002</v>
      </c>
      <c r="AF50" s="23">
        <v>6.5640000000000004E-3</v>
      </c>
      <c r="AG50" s="10"/>
      <c r="AI50" s="5"/>
    </row>
    <row r="51" spans="1:35" x14ac:dyDescent="0.35">
      <c r="A51" s="6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I51" s="5"/>
    </row>
    <row r="52" spans="1:35" ht="24.5" x14ac:dyDescent="0.35">
      <c r="A52" s="6"/>
      <c r="B52" s="18" t="s">
        <v>81</v>
      </c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 spans="1:35" ht="24.5" x14ac:dyDescent="0.35">
      <c r="A53" s="9" t="s">
        <v>82</v>
      </c>
      <c r="B53" s="19" t="s">
        <v>48</v>
      </c>
      <c r="C53" s="20">
        <v>3.7369300000000001</v>
      </c>
      <c r="D53" s="20">
        <v>3.7861340000000001</v>
      </c>
      <c r="E53" s="20">
        <v>3.5242059999999999</v>
      </c>
      <c r="F53" s="20">
        <v>3.5347719999999998</v>
      </c>
      <c r="G53" s="20">
        <v>3.5407920000000002</v>
      </c>
      <c r="H53" s="20">
        <v>3.5382799999999999</v>
      </c>
      <c r="I53" s="20">
        <v>3.5293040000000002</v>
      </c>
      <c r="J53" s="20">
        <v>3.510945</v>
      </c>
      <c r="K53" s="20">
        <v>3.4878969999999998</v>
      </c>
      <c r="L53" s="20">
        <v>3.4622350000000002</v>
      </c>
      <c r="M53" s="20">
        <v>3.4365359999999998</v>
      </c>
      <c r="N53" s="20">
        <v>3.41919</v>
      </c>
      <c r="O53" s="20">
        <v>3.3989539999999998</v>
      </c>
      <c r="P53" s="20">
        <v>3.379413</v>
      </c>
      <c r="Q53" s="20">
        <v>3.362053</v>
      </c>
      <c r="R53" s="20">
        <v>3.3461120000000002</v>
      </c>
      <c r="S53" s="20">
        <v>3.3294380000000001</v>
      </c>
      <c r="T53" s="20">
        <v>3.3147989999999998</v>
      </c>
      <c r="U53" s="20">
        <v>3.3015089999999998</v>
      </c>
      <c r="V53" s="20">
        <v>3.2886820000000001</v>
      </c>
      <c r="W53" s="20">
        <v>3.2766220000000001</v>
      </c>
      <c r="X53" s="20">
        <v>3.2663669999999998</v>
      </c>
      <c r="Y53" s="20">
        <v>3.2576480000000001</v>
      </c>
      <c r="Z53" s="20">
        <v>3.2478159999999998</v>
      </c>
      <c r="AA53" s="20">
        <v>3.2346270000000001</v>
      </c>
      <c r="AB53" s="20">
        <v>3.2227749999999999</v>
      </c>
      <c r="AC53" s="20">
        <v>3.212637</v>
      </c>
      <c r="AD53" s="20">
        <v>3.2025510000000001</v>
      </c>
      <c r="AE53" s="20">
        <v>3.191122</v>
      </c>
      <c r="AF53" s="21">
        <v>-5.6230000000000004E-3</v>
      </c>
      <c r="AG53" s="10"/>
      <c r="AI53" s="5"/>
    </row>
    <row r="54" spans="1:35" ht="24.5" x14ac:dyDescent="0.35">
      <c r="A54" s="9" t="s">
        <v>83</v>
      </c>
      <c r="B54" s="19" t="s">
        <v>50</v>
      </c>
      <c r="C54" s="20">
        <v>5.8888000000000003E-2</v>
      </c>
      <c r="D54" s="20">
        <v>5.0529999999999999E-2</v>
      </c>
      <c r="E54" s="20">
        <v>5.9461E-2</v>
      </c>
      <c r="F54" s="20">
        <v>5.9824000000000002E-2</v>
      </c>
      <c r="G54" s="20">
        <v>6.0086000000000001E-2</v>
      </c>
      <c r="H54" s="20">
        <v>6.0236999999999999E-2</v>
      </c>
      <c r="I54" s="20">
        <v>6.0283000000000003E-2</v>
      </c>
      <c r="J54" s="20">
        <v>6.0234999999999997E-2</v>
      </c>
      <c r="K54" s="20">
        <v>6.0099E-2</v>
      </c>
      <c r="L54" s="20">
        <v>5.9889999999999999E-2</v>
      </c>
      <c r="M54" s="20">
        <v>5.9665999999999997E-2</v>
      </c>
      <c r="N54" s="20">
        <v>5.9420000000000001E-2</v>
      </c>
      <c r="O54" s="20">
        <v>5.9214999999999997E-2</v>
      </c>
      <c r="P54" s="20">
        <v>5.9098999999999999E-2</v>
      </c>
      <c r="Q54" s="20">
        <v>5.9116000000000002E-2</v>
      </c>
      <c r="R54" s="20">
        <v>5.9265999999999999E-2</v>
      </c>
      <c r="S54" s="20">
        <v>5.9430999999999998E-2</v>
      </c>
      <c r="T54" s="20">
        <v>5.9636000000000002E-2</v>
      </c>
      <c r="U54" s="20">
        <v>5.9840999999999998E-2</v>
      </c>
      <c r="V54" s="20">
        <v>6.0023E-2</v>
      </c>
      <c r="W54" s="20">
        <v>6.0231E-2</v>
      </c>
      <c r="X54" s="20">
        <v>6.0454000000000001E-2</v>
      </c>
      <c r="Y54" s="20">
        <v>6.0706000000000003E-2</v>
      </c>
      <c r="Z54" s="20">
        <v>6.0935999999999997E-2</v>
      </c>
      <c r="AA54" s="20">
        <v>6.1136999999999997E-2</v>
      </c>
      <c r="AB54" s="20">
        <v>6.1339999999999999E-2</v>
      </c>
      <c r="AC54" s="20">
        <v>6.1596999999999999E-2</v>
      </c>
      <c r="AD54" s="20">
        <v>6.1870000000000001E-2</v>
      </c>
      <c r="AE54" s="20">
        <v>6.2121999999999997E-2</v>
      </c>
      <c r="AF54" s="21">
        <v>1.9109999999999999E-3</v>
      </c>
      <c r="AG54" s="10"/>
      <c r="AI54" s="5"/>
    </row>
    <row r="55" spans="1:35" ht="24.5" x14ac:dyDescent="0.35">
      <c r="A55" s="9" t="s">
        <v>84</v>
      </c>
      <c r="B55" s="19" t="s">
        <v>52</v>
      </c>
      <c r="C55" s="20">
        <v>0.98298799999999997</v>
      </c>
      <c r="D55" s="20">
        <v>0.980209</v>
      </c>
      <c r="E55" s="20">
        <v>0.98977099999999996</v>
      </c>
      <c r="F55" s="20">
        <v>1.0055149999999999</v>
      </c>
      <c r="G55" s="20">
        <v>1.0222389999999999</v>
      </c>
      <c r="H55" s="20">
        <v>1.038243</v>
      </c>
      <c r="I55" s="20">
        <v>1.0537510000000001</v>
      </c>
      <c r="J55" s="20">
        <v>1.066705</v>
      </c>
      <c r="K55" s="20">
        <v>1.078192</v>
      </c>
      <c r="L55" s="20">
        <v>1.087593</v>
      </c>
      <c r="M55" s="20">
        <v>1.096298</v>
      </c>
      <c r="N55" s="20">
        <v>1.1049169999999999</v>
      </c>
      <c r="O55" s="20">
        <v>1.1131009999999999</v>
      </c>
      <c r="P55" s="20">
        <v>1.121259</v>
      </c>
      <c r="Q55" s="20">
        <v>1.1294930000000001</v>
      </c>
      <c r="R55" s="20">
        <v>1.13727</v>
      </c>
      <c r="S55" s="20">
        <v>1.1440520000000001</v>
      </c>
      <c r="T55" s="20">
        <v>1.1511439999999999</v>
      </c>
      <c r="U55" s="20">
        <v>1.158029</v>
      </c>
      <c r="V55" s="20">
        <v>1.1645909999999999</v>
      </c>
      <c r="W55" s="20">
        <v>1.1712849999999999</v>
      </c>
      <c r="X55" s="20">
        <v>1.178668</v>
      </c>
      <c r="Y55" s="20">
        <v>1.186804</v>
      </c>
      <c r="Z55" s="20">
        <v>1.1945509999999999</v>
      </c>
      <c r="AA55" s="20">
        <v>1.1994590000000001</v>
      </c>
      <c r="AB55" s="20">
        <v>1.205508</v>
      </c>
      <c r="AC55" s="20">
        <v>1.2130890000000001</v>
      </c>
      <c r="AD55" s="20">
        <v>1.221263</v>
      </c>
      <c r="AE55" s="20">
        <v>1.2289669999999999</v>
      </c>
      <c r="AF55" s="21">
        <v>8.0079999999999995E-3</v>
      </c>
      <c r="AG55" s="10"/>
      <c r="AI55" s="5"/>
    </row>
    <row r="56" spans="1:35" x14ac:dyDescent="0.35">
      <c r="A56" s="9" t="s">
        <v>85</v>
      </c>
      <c r="B56" s="19" t="s">
        <v>56</v>
      </c>
      <c r="C56" s="20">
        <v>0.10353900000000001</v>
      </c>
      <c r="D56" s="20">
        <v>0.10372099999999999</v>
      </c>
      <c r="E56" s="20">
        <v>0.10392999999999999</v>
      </c>
      <c r="F56" s="20">
        <v>0.104173</v>
      </c>
      <c r="G56" s="20">
        <v>0.104412</v>
      </c>
      <c r="H56" s="20">
        <v>0.10465000000000001</v>
      </c>
      <c r="I56" s="20">
        <v>0.10492</v>
      </c>
      <c r="J56" s="20">
        <v>0.105265</v>
      </c>
      <c r="K56" s="20">
        <v>0.10567799999999999</v>
      </c>
      <c r="L56" s="20">
        <v>0.10617600000000001</v>
      </c>
      <c r="M56" s="20">
        <v>0.10677300000000001</v>
      </c>
      <c r="N56" s="20">
        <v>0.107469</v>
      </c>
      <c r="O56" s="20">
        <v>0.108208</v>
      </c>
      <c r="P56" s="20">
        <v>0.109004</v>
      </c>
      <c r="Q56" s="20">
        <v>0.10985200000000001</v>
      </c>
      <c r="R56" s="20">
        <v>0.11074299999999999</v>
      </c>
      <c r="S56" s="20">
        <v>0.111655</v>
      </c>
      <c r="T56" s="20">
        <v>0.11258700000000001</v>
      </c>
      <c r="U56" s="20">
        <v>0.113552</v>
      </c>
      <c r="V56" s="20">
        <v>0.11454499999999999</v>
      </c>
      <c r="W56" s="20">
        <v>0.11555799999999999</v>
      </c>
      <c r="X56" s="20">
        <v>0.116595</v>
      </c>
      <c r="Y56" s="20">
        <v>0.117656</v>
      </c>
      <c r="Z56" s="20">
        <v>0.11873599999999999</v>
      </c>
      <c r="AA56" s="20">
        <v>0.119822</v>
      </c>
      <c r="AB56" s="20">
        <v>0.120911</v>
      </c>
      <c r="AC56" s="20">
        <v>0.121992</v>
      </c>
      <c r="AD56" s="20">
        <v>0.123053</v>
      </c>
      <c r="AE56" s="20">
        <v>0.12409000000000001</v>
      </c>
      <c r="AF56" s="21">
        <v>6.4869999999999997E-3</v>
      </c>
      <c r="AG56" s="10"/>
      <c r="AI56" s="5"/>
    </row>
    <row r="57" spans="1:35" ht="24.5" x14ac:dyDescent="0.35">
      <c r="A57" s="9" t="s">
        <v>86</v>
      </c>
      <c r="B57" s="19" t="s">
        <v>58</v>
      </c>
      <c r="C57" s="20">
        <v>3.9712999999999998E-2</v>
      </c>
      <c r="D57" s="20">
        <v>4.0030999999999997E-2</v>
      </c>
      <c r="E57" s="20">
        <v>4.0827000000000002E-2</v>
      </c>
      <c r="F57" s="20">
        <v>4.1871999999999999E-2</v>
      </c>
      <c r="G57" s="20">
        <v>4.2965000000000003E-2</v>
      </c>
      <c r="H57" s="20">
        <v>4.4041999999999998E-2</v>
      </c>
      <c r="I57" s="20">
        <v>4.5060000000000003E-2</v>
      </c>
      <c r="J57" s="20">
        <v>4.5927000000000003E-2</v>
      </c>
      <c r="K57" s="20">
        <v>4.6698000000000003E-2</v>
      </c>
      <c r="L57" s="20">
        <v>4.7412999999999997E-2</v>
      </c>
      <c r="M57" s="20">
        <v>4.8115999999999999E-2</v>
      </c>
      <c r="N57" s="20">
        <v>4.879E-2</v>
      </c>
      <c r="O57" s="20">
        <v>4.9444000000000002E-2</v>
      </c>
      <c r="P57" s="20">
        <v>5.008E-2</v>
      </c>
      <c r="Q57" s="20">
        <v>5.0721000000000002E-2</v>
      </c>
      <c r="R57" s="20">
        <v>5.1386000000000001E-2</v>
      </c>
      <c r="S57" s="20">
        <v>5.2047999999999997E-2</v>
      </c>
      <c r="T57" s="20">
        <v>5.2755000000000003E-2</v>
      </c>
      <c r="U57" s="20">
        <v>5.3475000000000002E-2</v>
      </c>
      <c r="V57" s="20">
        <v>5.4198000000000003E-2</v>
      </c>
      <c r="W57" s="20">
        <v>5.4938000000000001E-2</v>
      </c>
      <c r="X57" s="20">
        <v>5.5710999999999997E-2</v>
      </c>
      <c r="Y57" s="20">
        <v>5.6512E-2</v>
      </c>
      <c r="Z57" s="20">
        <v>5.7282E-2</v>
      </c>
      <c r="AA57" s="20">
        <v>5.7895000000000002E-2</v>
      </c>
      <c r="AB57" s="20">
        <v>5.8550999999999999E-2</v>
      </c>
      <c r="AC57" s="20">
        <v>5.9274E-2</v>
      </c>
      <c r="AD57" s="20">
        <v>6.0025000000000002E-2</v>
      </c>
      <c r="AE57" s="20">
        <v>6.0749999999999998E-2</v>
      </c>
      <c r="AF57" s="21">
        <v>1.5298000000000001E-2</v>
      </c>
      <c r="AG57" s="10"/>
      <c r="AI57" s="5"/>
    </row>
    <row r="58" spans="1:35" ht="24.5" x14ac:dyDescent="0.35">
      <c r="A58" s="9" t="s">
        <v>87</v>
      </c>
      <c r="B58" s="19" t="s">
        <v>88</v>
      </c>
      <c r="C58" s="20">
        <v>0.22733500000000001</v>
      </c>
      <c r="D58" s="20">
        <v>0.225826</v>
      </c>
      <c r="E58" s="20">
        <v>0.22627800000000001</v>
      </c>
      <c r="F58" s="20">
        <v>0.22780500000000001</v>
      </c>
      <c r="G58" s="20">
        <v>0.22943</v>
      </c>
      <c r="H58" s="20">
        <v>0.23081199999999999</v>
      </c>
      <c r="I58" s="20">
        <v>0.23187099999999999</v>
      </c>
      <c r="J58" s="20">
        <v>0.23214099999999999</v>
      </c>
      <c r="K58" s="20">
        <v>0.23191100000000001</v>
      </c>
      <c r="L58" s="20">
        <v>0.23139599999999999</v>
      </c>
      <c r="M58" s="20">
        <v>0.23083100000000001</v>
      </c>
      <c r="N58" s="20">
        <v>0.23017299999999999</v>
      </c>
      <c r="O58" s="20">
        <v>0.22950300000000001</v>
      </c>
      <c r="P58" s="20">
        <v>0.22885800000000001</v>
      </c>
      <c r="Q58" s="20">
        <v>0.22833500000000001</v>
      </c>
      <c r="R58" s="20">
        <v>0.22784299999999999</v>
      </c>
      <c r="S58" s="20">
        <v>0.227266</v>
      </c>
      <c r="T58" s="20">
        <v>0.22681899999999999</v>
      </c>
      <c r="U58" s="20">
        <v>0.226353</v>
      </c>
      <c r="V58" s="20">
        <v>0.225855</v>
      </c>
      <c r="W58" s="20">
        <v>0.225413</v>
      </c>
      <c r="X58" s="20">
        <v>0.22509299999999999</v>
      </c>
      <c r="Y58" s="20">
        <v>0.22487799999999999</v>
      </c>
      <c r="Z58" s="20">
        <v>0.22455700000000001</v>
      </c>
      <c r="AA58" s="20">
        <v>0.22354599999999999</v>
      </c>
      <c r="AB58" s="20">
        <v>0.222772</v>
      </c>
      <c r="AC58" s="20">
        <v>0.22233800000000001</v>
      </c>
      <c r="AD58" s="20">
        <v>0.22208800000000001</v>
      </c>
      <c r="AE58" s="20">
        <v>0.22178899999999999</v>
      </c>
      <c r="AF58" s="21">
        <v>-8.8199999999999997E-4</v>
      </c>
      <c r="AG58" s="10"/>
      <c r="AI58" s="5"/>
    </row>
    <row r="59" spans="1:35" ht="36.5" x14ac:dyDescent="0.35">
      <c r="A59" s="9" t="s">
        <v>89</v>
      </c>
      <c r="B59" s="18" t="s">
        <v>90</v>
      </c>
      <c r="C59" s="22">
        <v>5.1493919999999997</v>
      </c>
      <c r="D59" s="22">
        <v>5.1864509999999999</v>
      </c>
      <c r="E59" s="22">
        <v>4.9444739999999996</v>
      </c>
      <c r="F59" s="22">
        <v>4.9739610000000001</v>
      </c>
      <c r="G59" s="22">
        <v>4.9999250000000002</v>
      </c>
      <c r="H59" s="22">
        <v>5.0162659999999999</v>
      </c>
      <c r="I59" s="22">
        <v>5.0251890000000001</v>
      </c>
      <c r="J59" s="22">
        <v>5.021217</v>
      </c>
      <c r="K59" s="22">
        <v>5.0104759999999997</v>
      </c>
      <c r="L59" s="22">
        <v>4.9947030000000003</v>
      </c>
      <c r="M59" s="22">
        <v>4.9782209999999996</v>
      </c>
      <c r="N59" s="22">
        <v>4.9699590000000002</v>
      </c>
      <c r="O59" s="22">
        <v>4.9584260000000002</v>
      </c>
      <c r="P59" s="22">
        <v>4.9477130000000002</v>
      </c>
      <c r="Q59" s="22">
        <v>4.9395699999999998</v>
      </c>
      <c r="R59" s="22">
        <v>4.9326210000000001</v>
      </c>
      <c r="S59" s="22">
        <v>4.9238910000000002</v>
      </c>
      <c r="T59" s="22">
        <v>4.9177400000000002</v>
      </c>
      <c r="U59" s="22">
        <v>4.9127590000000003</v>
      </c>
      <c r="V59" s="22">
        <v>4.9078949999999999</v>
      </c>
      <c r="W59" s="22">
        <v>4.9040470000000003</v>
      </c>
      <c r="X59" s="22">
        <v>4.9028879999999999</v>
      </c>
      <c r="Y59" s="22">
        <v>4.904204</v>
      </c>
      <c r="Z59" s="22">
        <v>4.9038760000000003</v>
      </c>
      <c r="AA59" s="22">
        <v>4.8964850000000002</v>
      </c>
      <c r="AB59" s="22">
        <v>4.8918569999999999</v>
      </c>
      <c r="AC59" s="22">
        <v>4.8909269999999996</v>
      </c>
      <c r="AD59" s="22">
        <v>4.8908509999999996</v>
      </c>
      <c r="AE59" s="22">
        <v>4.8888410000000002</v>
      </c>
      <c r="AF59" s="23">
        <v>-1.853E-3</v>
      </c>
      <c r="AG59" s="10"/>
    </row>
    <row r="60" spans="1:35" x14ac:dyDescent="0.35">
      <c r="A60" s="6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I60" s="5"/>
    </row>
    <row r="61" spans="1:35" ht="24.5" x14ac:dyDescent="0.35">
      <c r="A61" s="6"/>
      <c r="B61" s="18" t="s">
        <v>91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I61" s="5"/>
    </row>
    <row r="62" spans="1:35" ht="24.5" x14ac:dyDescent="0.35">
      <c r="A62" s="9" t="s">
        <v>92</v>
      </c>
      <c r="B62" s="19" t="s">
        <v>48</v>
      </c>
      <c r="C62" s="20">
        <v>0.38192500000000001</v>
      </c>
      <c r="D62" s="20">
        <v>0.38353599999999999</v>
      </c>
      <c r="E62" s="20">
        <v>0.32749</v>
      </c>
      <c r="F62" s="20">
        <v>0.323264</v>
      </c>
      <c r="G62" s="20">
        <v>0.31815500000000002</v>
      </c>
      <c r="H62" s="20">
        <v>0.31265199999999999</v>
      </c>
      <c r="I62" s="20">
        <v>0.30687900000000001</v>
      </c>
      <c r="J62" s="20">
        <v>0.300867</v>
      </c>
      <c r="K62" s="20">
        <v>0.29493999999999998</v>
      </c>
      <c r="L62" s="20">
        <v>0.289076</v>
      </c>
      <c r="M62" s="20">
        <v>0.28336600000000001</v>
      </c>
      <c r="N62" s="20">
        <v>0.27821800000000002</v>
      </c>
      <c r="O62" s="20">
        <v>0.273003</v>
      </c>
      <c r="P62" s="20">
        <v>0.26784599999999997</v>
      </c>
      <c r="Q62" s="20">
        <v>0.26289899999999999</v>
      </c>
      <c r="R62" s="20">
        <v>0.25812299999999999</v>
      </c>
      <c r="S62" s="20">
        <v>0.25350699999999998</v>
      </c>
      <c r="T62" s="20">
        <v>0.24901699999999999</v>
      </c>
      <c r="U62" s="20">
        <v>0.24471499999999999</v>
      </c>
      <c r="V62" s="20">
        <v>0.240453</v>
      </c>
      <c r="W62" s="20">
        <v>0.236259</v>
      </c>
      <c r="X62" s="20">
        <v>0.232016</v>
      </c>
      <c r="Y62" s="20">
        <v>0.22792000000000001</v>
      </c>
      <c r="Z62" s="20">
        <v>0.223829</v>
      </c>
      <c r="AA62" s="20">
        <v>0.219666</v>
      </c>
      <c r="AB62" s="20">
        <v>0.21551799999999999</v>
      </c>
      <c r="AC62" s="20">
        <v>0.21145800000000001</v>
      </c>
      <c r="AD62" s="20">
        <v>0.20741999999999999</v>
      </c>
      <c r="AE62" s="20">
        <v>0.203485</v>
      </c>
      <c r="AF62" s="21">
        <v>-2.2235999999999999E-2</v>
      </c>
      <c r="AG62" s="10"/>
      <c r="AI62" s="5"/>
    </row>
    <row r="63" spans="1:35" ht="24.5" x14ac:dyDescent="0.35">
      <c r="A63" s="9" t="s">
        <v>93</v>
      </c>
      <c r="B63" s="19" t="s">
        <v>52</v>
      </c>
      <c r="C63" s="20">
        <v>4.3041000000000003E-2</v>
      </c>
      <c r="D63" s="20">
        <v>4.0314999999999997E-2</v>
      </c>
      <c r="E63" s="20">
        <v>3.8573000000000003E-2</v>
      </c>
      <c r="F63" s="20">
        <v>3.7465999999999999E-2</v>
      </c>
      <c r="G63" s="20">
        <v>3.6442000000000002E-2</v>
      </c>
      <c r="H63" s="20">
        <v>3.5552E-2</v>
      </c>
      <c r="I63" s="20">
        <v>3.4810000000000001E-2</v>
      </c>
      <c r="J63" s="20">
        <v>3.4218999999999999E-2</v>
      </c>
      <c r="K63" s="20">
        <v>3.3803E-2</v>
      </c>
      <c r="L63" s="20">
        <v>3.3316999999999999E-2</v>
      </c>
      <c r="M63" s="20">
        <v>3.2805000000000001E-2</v>
      </c>
      <c r="N63" s="20">
        <v>3.227E-2</v>
      </c>
      <c r="O63" s="20">
        <v>3.1734999999999999E-2</v>
      </c>
      <c r="P63" s="20">
        <v>3.1182000000000001E-2</v>
      </c>
      <c r="Q63" s="20">
        <v>3.0637000000000001E-2</v>
      </c>
      <c r="R63" s="20">
        <v>3.0092000000000001E-2</v>
      </c>
      <c r="S63" s="20">
        <v>2.9555999999999999E-2</v>
      </c>
      <c r="T63" s="20">
        <v>2.9034000000000001E-2</v>
      </c>
      <c r="U63" s="20">
        <v>2.8531000000000001E-2</v>
      </c>
      <c r="V63" s="20">
        <v>2.8038E-2</v>
      </c>
      <c r="W63" s="20">
        <v>2.7574000000000001E-2</v>
      </c>
      <c r="X63" s="20">
        <v>2.7129E-2</v>
      </c>
      <c r="Y63" s="20">
        <v>2.6714999999999999E-2</v>
      </c>
      <c r="Z63" s="20">
        <v>2.6321000000000001E-2</v>
      </c>
      <c r="AA63" s="20">
        <v>2.5933000000000001E-2</v>
      </c>
      <c r="AB63" s="20">
        <v>2.5562999999999999E-2</v>
      </c>
      <c r="AC63" s="20">
        <v>2.5212999999999999E-2</v>
      </c>
      <c r="AD63" s="20">
        <v>2.4871000000000001E-2</v>
      </c>
      <c r="AE63" s="20">
        <v>2.4542000000000001E-2</v>
      </c>
      <c r="AF63" s="21">
        <v>-1.9862999999999999E-2</v>
      </c>
      <c r="AG63" s="10"/>
      <c r="AI63" s="5"/>
    </row>
    <row r="64" spans="1:35" ht="24.5" x14ac:dyDescent="0.35">
      <c r="A64" s="9" t="s">
        <v>94</v>
      </c>
      <c r="B64" s="19" t="s">
        <v>95</v>
      </c>
      <c r="C64" s="20">
        <v>7.5310000000000004E-3</v>
      </c>
      <c r="D64" s="20">
        <v>7.3670000000000003E-3</v>
      </c>
      <c r="E64" s="20">
        <v>7.3299999999999997E-3</v>
      </c>
      <c r="F64" s="20">
        <v>7.3689999999999997E-3</v>
      </c>
      <c r="G64" s="20">
        <v>7.3889999999999997E-3</v>
      </c>
      <c r="H64" s="20">
        <v>7.3969999999999999E-3</v>
      </c>
      <c r="I64" s="20">
        <v>7.3959999999999998E-3</v>
      </c>
      <c r="J64" s="20">
        <v>7.3850000000000001E-3</v>
      </c>
      <c r="K64" s="20">
        <v>7.3699999999999998E-3</v>
      </c>
      <c r="L64" s="20">
        <v>7.3499999999999998E-3</v>
      </c>
      <c r="M64" s="20">
        <v>7.3309999999999998E-3</v>
      </c>
      <c r="N64" s="20">
        <v>7.3119999999999999E-3</v>
      </c>
      <c r="O64" s="20">
        <v>7.293E-3</v>
      </c>
      <c r="P64" s="20">
        <v>7.2750000000000002E-3</v>
      </c>
      <c r="Q64" s="20">
        <v>7.2570000000000004E-3</v>
      </c>
      <c r="R64" s="20">
        <v>7.2389999999999998E-3</v>
      </c>
      <c r="S64" s="20">
        <v>7.2220000000000001E-3</v>
      </c>
      <c r="T64" s="20">
        <v>7.2049999999999996E-3</v>
      </c>
      <c r="U64" s="20">
        <v>7.1890000000000001E-3</v>
      </c>
      <c r="V64" s="20">
        <v>7.1710000000000003E-3</v>
      </c>
      <c r="W64" s="20">
        <v>7.1549999999999999E-3</v>
      </c>
      <c r="X64" s="20">
        <v>7.1390000000000004E-3</v>
      </c>
      <c r="Y64" s="20">
        <v>7.1250000000000003E-3</v>
      </c>
      <c r="Z64" s="20">
        <v>7.1110000000000001E-3</v>
      </c>
      <c r="AA64" s="20">
        <v>7.0930000000000003E-3</v>
      </c>
      <c r="AB64" s="20">
        <v>7.0759999999999998E-3</v>
      </c>
      <c r="AC64" s="20">
        <v>7.0609999999999996E-3</v>
      </c>
      <c r="AD64" s="20">
        <v>7.0470000000000003E-3</v>
      </c>
      <c r="AE64" s="20">
        <v>7.0330000000000002E-3</v>
      </c>
      <c r="AF64" s="21">
        <v>-2.4420000000000002E-3</v>
      </c>
      <c r="AG64" s="10"/>
      <c r="AI64" s="5"/>
    </row>
    <row r="65" spans="1:35" ht="36.5" x14ac:dyDescent="0.35">
      <c r="A65" s="9" t="s">
        <v>96</v>
      </c>
      <c r="B65" s="18" t="s">
        <v>90</v>
      </c>
      <c r="C65" s="22">
        <v>0.43249700000000002</v>
      </c>
      <c r="D65" s="22">
        <v>0.43121700000000002</v>
      </c>
      <c r="E65" s="22">
        <v>0.37339299999999997</v>
      </c>
      <c r="F65" s="22">
        <v>0.36809900000000001</v>
      </c>
      <c r="G65" s="22">
        <v>0.36198599999999997</v>
      </c>
      <c r="H65" s="22">
        <v>0.355601</v>
      </c>
      <c r="I65" s="22">
        <v>0.34908499999999998</v>
      </c>
      <c r="J65" s="22">
        <v>0.34247100000000003</v>
      </c>
      <c r="K65" s="22">
        <v>0.336113</v>
      </c>
      <c r="L65" s="22">
        <v>0.32974399999999998</v>
      </c>
      <c r="M65" s="22">
        <v>0.32350200000000001</v>
      </c>
      <c r="N65" s="22">
        <v>0.317799</v>
      </c>
      <c r="O65" s="22">
        <v>0.31203199999999998</v>
      </c>
      <c r="P65" s="22">
        <v>0.30630299999999999</v>
      </c>
      <c r="Q65" s="22">
        <v>0.30079400000000001</v>
      </c>
      <c r="R65" s="22">
        <v>0.29545399999999999</v>
      </c>
      <c r="S65" s="22">
        <v>0.29028399999999999</v>
      </c>
      <c r="T65" s="22">
        <v>0.28525600000000001</v>
      </c>
      <c r="U65" s="22">
        <v>0.28043400000000002</v>
      </c>
      <c r="V65" s="22">
        <v>0.27566299999999999</v>
      </c>
      <c r="W65" s="22">
        <v>0.27098800000000001</v>
      </c>
      <c r="X65" s="22">
        <v>0.26628299999999999</v>
      </c>
      <c r="Y65" s="22">
        <v>0.26175999999999999</v>
      </c>
      <c r="Z65" s="22">
        <v>0.25726100000000002</v>
      </c>
      <c r="AA65" s="22">
        <v>0.25269200000000003</v>
      </c>
      <c r="AB65" s="22">
        <v>0.24818499999999999</v>
      </c>
      <c r="AC65" s="22">
        <v>0.24379000000000001</v>
      </c>
      <c r="AD65" s="22">
        <v>0.239424</v>
      </c>
      <c r="AE65" s="22">
        <v>0.23517399999999999</v>
      </c>
      <c r="AF65" s="23">
        <v>-2.1524000000000001E-2</v>
      </c>
      <c r="AG65" s="10"/>
      <c r="AI65" s="5"/>
    </row>
    <row r="66" spans="1:35" x14ac:dyDescent="0.35">
      <c r="A66" s="6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I66" s="5"/>
    </row>
    <row r="67" spans="1:35" x14ac:dyDescent="0.35">
      <c r="A67" s="6"/>
      <c r="B67" s="18" t="s">
        <v>97</v>
      </c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I67" s="5"/>
    </row>
    <row r="68" spans="1:35" ht="24.5" x14ac:dyDescent="0.35">
      <c r="A68" s="9" t="s">
        <v>98</v>
      </c>
      <c r="B68" s="19" t="s">
        <v>48</v>
      </c>
      <c r="C68" s="20">
        <v>0.340393</v>
      </c>
      <c r="D68" s="20">
        <v>0.32860299999999998</v>
      </c>
      <c r="E68" s="20">
        <v>0.298348</v>
      </c>
      <c r="F68" s="20">
        <v>0.29450799999999999</v>
      </c>
      <c r="G68" s="20">
        <v>0.29172100000000001</v>
      </c>
      <c r="H68" s="20">
        <v>0.28928799999999999</v>
      </c>
      <c r="I68" s="20">
        <v>0.28668399999999999</v>
      </c>
      <c r="J68" s="20">
        <v>0.283808</v>
      </c>
      <c r="K68" s="20">
        <v>0.28064499999999998</v>
      </c>
      <c r="L68" s="20">
        <v>0.27730500000000002</v>
      </c>
      <c r="M68" s="20">
        <v>0.27384999999999998</v>
      </c>
      <c r="N68" s="20">
        <v>0.27067099999999999</v>
      </c>
      <c r="O68" s="20">
        <v>0.26741599999999999</v>
      </c>
      <c r="P68" s="20">
        <v>0.26435500000000001</v>
      </c>
      <c r="Q68" s="20">
        <v>0.26152700000000001</v>
      </c>
      <c r="R68" s="20">
        <v>0.25891500000000001</v>
      </c>
      <c r="S68" s="20">
        <v>0.25636999999999999</v>
      </c>
      <c r="T68" s="20">
        <v>0.25396800000000003</v>
      </c>
      <c r="U68" s="20">
        <v>0.25170300000000001</v>
      </c>
      <c r="V68" s="20">
        <v>0.24954599999999999</v>
      </c>
      <c r="W68" s="20">
        <v>0.247417</v>
      </c>
      <c r="X68" s="20">
        <v>0.24538499999999999</v>
      </c>
      <c r="Y68" s="20">
        <v>0.24345900000000001</v>
      </c>
      <c r="Z68" s="20">
        <v>0.241594</v>
      </c>
      <c r="AA68" s="20">
        <v>0.239707</v>
      </c>
      <c r="AB68" s="20">
        <v>0.23788400000000001</v>
      </c>
      <c r="AC68" s="20">
        <v>0.23608100000000001</v>
      </c>
      <c r="AD68" s="20">
        <v>0.23432800000000001</v>
      </c>
      <c r="AE68" s="20">
        <v>0.23263400000000001</v>
      </c>
      <c r="AF68" s="21">
        <v>-1.3502E-2</v>
      </c>
      <c r="AG68" s="10"/>
      <c r="AI68" s="5"/>
    </row>
    <row r="69" spans="1:35" ht="24.5" x14ac:dyDescent="0.35">
      <c r="A69" s="9" t="s">
        <v>99</v>
      </c>
      <c r="B69" s="19" t="s">
        <v>52</v>
      </c>
      <c r="C69" s="20">
        <v>6.0220999999999997E-2</v>
      </c>
      <c r="D69" s="20">
        <v>5.7038999999999999E-2</v>
      </c>
      <c r="E69" s="20">
        <v>5.4758000000000001E-2</v>
      </c>
      <c r="F69" s="20">
        <v>5.3261999999999997E-2</v>
      </c>
      <c r="G69" s="20">
        <v>5.2171000000000002E-2</v>
      </c>
      <c r="H69" s="20">
        <v>5.1295E-2</v>
      </c>
      <c r="I69" s="20">
        <v>5.0535999999999998E-2</v>
      </c>
      <c r="J69" s="20">
        <v>4.9869999999999998E-2</v>
      </c>
      <c r="K69" s="20">
        <v>4.9292999999999997E-2</v>
      </c>
      <c r="L69" s="20">
        <v>4.8556000000000002E-2</v>
      </c>
      <c r="M69" s="20">
        <v>4.7706999999999999E-2</v>
      </c>
      <c r="N69" s="20">
        <v>4.6803999999999998E-2</v>
      </c>
      <c r="O69" s="20">
        <v>4.5865999999999997E-2</v>
      </c>
      <c r="P69" s="20">
        <v>4.4928000000000003E-2</v>
      </c>
      <c r="Q69" s="20">
        <v>4.4021999999999999E-2</v>
      </c>
      <c r="R69" s="20">
        <v>4.3145000000000003E-2</v>
      </c>
      <c r="S69" s="20">
        <v>4.2285999999999997E-2</v>
      </c>
      <c r="T69" s="20">
        <v>4.1473000000000003E-2</v>
      </c>
      <c r="U69" s="20">
        <v>4.0703999999999997E-2</v>
      </c>
      <c r="V69" s="20">
        <v>3.9976999999999999E-2</v>
      </c>
      <c r="W69" s="20">
        <v>3.9300000000000002E-2</v>
      </c>
      <c r="X69" s="20">
        <v>3.8684999999999997E-2</v>
      </c>
      <c r="Y69" s="20">
        <v>3.8130999999999998E-2</v>
      </c>
      <c r="Z69" s="20">
        <v>3.7622999999999997E-2</v>
      </c>
      <c r="AA69" s="20">
        <v>3.7130000000000003E-2</v>
      </c>
      <c r="AB69" s="20">
        <v>3.6677000000000001E-2</v>
      </c>
      <c r="AC69" s="20">
        <v>3.6255999999999997E-2</v>
      </c>
      <c r="AD69" s="20">
        <v>3.5862999999999999E-2</v>
      </c>
      <c r="AE69" s="20">
        <v>3.5496E-2</v>
      </c>
      <c r="AF69" s="21">
        <v>-1.8702E-2</v>
      </c>
      <c r="AG69" s="10"/>
      <c r="AI69" s="5"/>
    </row>
    <row r="70" spans="1:35" x14ac:dyDescent="0.35">
      <c r="A70" s="9" t="s">
        <v>100</v>
      </c>
      <c r="B70" s="19" t="s">
        <v>56</v>
      </c>
      <c r="C70" s="20">
        <v>1.6931000000000002E-2</v>
      </c>
      <c r="D70" s="20">
        <v>1.6749E-2</v>
      </c>
      <c r="E70" s="20">
        <v>1.6560999999999999E-2</v>
      </c>
      <c r="F70" s="20">
        <v>1.6368000000000001E-2</v>
      </c>
      <c r="G70" s="20">
        <v>1.6164999999999999E-2</v>
      </c>
      <c r="H70" s="20">
        <v>1.5948E-2</v>
      </c>
      <c r="I70" s="20">
        <v>1.5723000000000001E-2</v>
      </c>
      <c r="J70" s="20">
        <v>1.5488999999999999E-2</v>
      </c>
      <c r="K70" s="20">
        <v>1.5245E-2</v>
      </c>
      <c r="L70" s="20">
        <v>1.4994E-2</v>
      </c>
      <c r="M70" s="20">
        <v>1.4737E-2</v>
      </c>
      <c r="N70" s="20">
        <v>1.4520999999999999E-2</v>
      </c>
      <c r="O70" s="20">
        <v>1.4345E-2</v>
      </c>
      <c r="P70" s="20">
        <v>1.421E-2</v>
      </c>
      <c r="Q70" s="20">
        <v>1.4119E-2</v>
      </c>
      <c r="R70" s="20">
        <v>1.4071E-2</v>
      </c>
      <c r="S70" s="20">
        <v>1.4016000000000001E-2</v>
      </c>
      <c r="T70" s="20">
        <v>1.3956E-2</v>
      </c>
      <c r="U70" s="20">
        <v>1.389E-2</v>
      </c>
      <c r="V70" s="20">
        <v>1.3818E-2</v>
      </c>
      <c r="W70" s="20">
        <v>1.3741E-2</v>
      </c>
      <c r="X70" s="20">
        <v>1.3661E-2</v>
      </c>
      <c r="Y70" s="20">
        <v>1.3580999999999999E-2</v>
      </c>
      <c r="Z70" s="20">
        <v>1.3502E-2</v>
      </c>
      <c r="AA70" s="20">
        <v>1.3427E-2</v>
      </c>
      <c r="AB70" s="20">
        <v>1.3357000000000001E-2</v>
      </c>
      <c r="AC70" s="20">
        <v>1.3292999999999999E-2</v>
      </c>
      <c r="AD70" s="20">
        <v>1.3233E-2</v>
      </c>
      <c r="AE70" s="20">
        <v>1.3174999999999999E-2</v>
      </c>
      <c r="AF70" s="21">
        <v>-8.9169999999999996E-3</v>
      </c>
      <c r="AG70" s="10"/>
      <c r="AI70" s="5"/>
    </row>
    <row r="71" spans="1:35" ht="24.5" x14ac:dyDescent="0.35">
      <c r="A71" s="9" t="s">
        <v>101</v>
      </c>
      <c r="B71" s="19" t="s">
        <v>102</v>
      </c>
      <c r="C71" s="20">
        <v>7.3539999999999994E-2</v>
      </c>
      <c r="D71" s="20">
        <v>7.3881000000000002E-2</v>
      </c>
      <c r="E71" s="20">
        <v>7.5037999999999994E-2</v>
      </c>
      <c r="F71" s="20">
        <v>7.6966999999999994E-2</v>
      </c>
      <c r="G71" s="20">
        <v>7.9217999999999997E-2</v>
      </c>
      <c r="H71" s="20">
        <v>8.1564999999999999E-2</v>
      </c>
      <c r="I71" s="20">
        <v>8.3859000000000003E-2</v>
      </c>
      <c r="J71" s="20">
        <v>8.6046999999999998E-2</v>
      </c>
      <c r="K71" s="20">
        <v>8.8106000000000004E-2</v>
      </c>
      <c r="L71" s="20">
        <v>9.0053999999999995E-2</v>
      </c>
      <c r="M71" s="20">
        <v>9.1918E-2</v>
      </c>
      <c r="N71" s="20">
        <v>9.3709000000000001E-2</v>
      </c>
      <c r="O71" s="20">
        <v>9.5459000000000002E-2</v>
      </c>
      <c r="P71" s="20">
        <v>9.7230999999999998E-2</v>
      </c>
      <c r="Q71" s="20">
        <v>9.9066000000000001E-2</v>
      </c>
      <c r="R71" s="20">
        <v>0.10094500000000001</v>
      </c>
      <c r="S71" s="20">
        <v>0.102823</v>
      </c>
      <c r="T71" s="20">
        <v>0.104744</v>
      </c>
      <c r="U71" s="20">
        <v>0.10668800000000001</v>
      </c>
      <c r="V71" s="20">
        <v>0.10864500000000001</v>
      </c>
      <c r="W71" s="20">
        <v>0.110621</v>
      </c>
      <c r="X71" s="20">
        <v>0.112653</v>
      </c>
      <c r="Y71" s="20">
        <v>0.114748</v>
      </c>
      <c r="Z71" s="20">
        <v>0.116869</v>
      </c>
      <c r="AA71" s="20">
        <v>0.118934</v>
      </c>
      <c r="AB71" s="20">
        <v>0.121035</v>
      </c>
      <c r="AC71" s="20">
        <v>0.12316199999999999</v>
      </c>
      <c r="AD71" s="20">
        <v>0.12532199999999999</v>
      </c>
      <c r="AE71" s="20">
        <v>0.12750900000000001</v>
      </c>
      <c r="AF71" s="21">
        <v>1.985E-2</v>
      </c>
      <c r="AG71" s="10"/>
      <c r="AI71" s="5"/>
    </row>
    <row r="72" spans="1:35" ht="36.5" x14ac:dyDescent="0.35">
      <c r="A72" s="9" t="s">
        <v>103</v>
      </c>
      <c r="B72" s="18" t="s">
        <v>90</v>
      </c>
      <c r="C72" s="22">
        <v>0.49108499999999999</v>
      </c>
      <c r="D72" s="22">
        <v>0.47627199999999997</v>
      </c>
      <c r="E72" s="22">
        <v>0.44470500000000002</v>
      </c>
      <c r="F72" s="22">
        <v>0.44110500000000002</v>
      </c>
      <c r="G72" s="22">
        <v>0.43927500000000003</v>
      </c>
      <c r="H72" s="22">
        <v>0.43809599999999999</v>
      </c>
      <c r="I72" s="22">
        <v>0.43680099999999999</v>
      </c>
      <c r="J72" s="22">
        <v>0.43521399999999999</v>
      </c>
      <c r="K72" s="22">
        <v>0.43328899999999998</v>
      </c>
      <c r="L72" s="22">
        <v>0.43090899999999999</v>
      </c>
      <c r="M72" s="22">
        <v>0.42821300000000001</v>
      </c>
      <c r="N72" s="22">
        <v>0.425705</v>
      </c>
      <c r="O72" s="22">
        <v>0.42308499999999999</v>
      </c>
      <c r="P72" s="22">
        <v>0.42072399999999999</v>
      </c>
      <c r="Q72" s="22">
        <v>0.418734</v>
      </c>
      <c r="R72" s="22">
        <v>0.417076</v>
      </c>
      <c r="S72" s="22">
        <v>0.415495</v>
      </c>
      <c r="T72" s="22">
        <v>0.41414200000000001</v>
      </c>
      <c r="U72" s="22">
        <v>0.41298400000000002</v>
      </c>
      <c r="V72" s="22">
        <v>0.41198600000000002</v>
      </c>
      <c r="W72" s="22">
        <v>0.41108</v>
      </c>
      <c r="X72" s="22">
        <v>0.410385</v>
      </c>
      <c r="Y72" s="22">
        <v>0.40991899999999998</v>
      </c>
      <c r="Z72" s="22">
        <v>0.40958800000000001</v>
      </c>
      <c r="AA72" s="22">
        <v>0.40919800000000001</v>
      </c>
      <c r="AB72" s="22">
        <v>0.40895199999999998</v>
      </c>
      <c r="AC72" s="22">
        <v>0.40879199999999999</v>
      </c>
      <c r="AD72" s="22">
        <v>0.408746</v>
      </c>
      <c r="AE72" s="22">
        <v>0.40881400000000001</v>
      </c>
      <c r="AF72" s="23">
        <v>-6.5269999999999998E-3</v>
      </c>
      <c r="AG72" s="10"/>
      <c r="AI72" s="5"/>
    </row>
    <row r="73" spans="1:35" x14ac:dyDescent="0.35">
      <c r="A73" s="6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I73" s="5"/>
    </row>
    <row r="74" spans="1:35" ht="48.5" x14ac:dyDescent="0.35">
      <c r="A74" s="9" t="s">
        <v>104</v>
      </c>
      <c r="B74" s="19" t="s">
        <v>105</v>
      </c>
      <c r="C74" s="20">
        <v>0.53893199999999997</v>
      </c>
      <c r="D74" s="20">
        <v>0.57440999999999998</v>
      </c>
      <c r="E74" s="20">
        <v>0.51306799999999997</v>
      </c>
      <c r="F74" s="20">
        <v>0.48986400000000002</v>
      </c>
      <c r="G74" s="20">
        <v>0.47216399999999997</v>
      </c>
      <c r="H74" s="20">
        <v>0.45763999999999999</v>
      </c>
      <c r="I74" s="20">
        <v>0.44519999999999998</v>
      </c>
      <c r="J74" s="20">
        <v>0.435137</v>
      </c>
      <c r="K74" s="20">
        <v>0.42601699999999998</v>
      </c>
      <c r="L74" s="20">
        <v>0.41790899999999997</v>
      </c>
      <c r="M74" s="20">
        <v>0.409804</v>
      </c>
      <c r="N74" s="20">
        <v>0.40263100000000002</v>
      </c>
      <c r="O74" s="20">
        <v>0.39503899999999997</v>
      </c>
      <c r="P74" s="20">
        <v>0.38751400000000003</v>
      </c>
      <c r="Q74" s="20">
        <v>0.37993500000000002</v>
      </c>
      <c r="R74" s="20">
        <v>0.37285699999999999</v>
      </c>
      <c r="S74" s="20">
        <v>0.36608299999999999</v>
      </c>
      <c r="T74" s="20">
        <v>0.35957499999999998</v>
      </c>
      <c r="U74" s="20">
        <v>0.35324100000000003</v>
      </c>
      <c r="V74" s="20">
        <v>0.34762199999999999</v>
      </c>
      <c r="W74" s="20">
        <v>0.34207100000000001</v>
      </c>
      <c r="X74" s="20">
        <v>0.33705400000000002</v>
      </c>
      <c r="Y74" s="20">
        <v>0.332011</v>
      </c>
      <c r="Z74" s="20">
        <v>0.327538</v>
      </c>
      <c r="AA74" s="20">
        <v>0.32387199999999999</v>
      </c>
      <c r="AB74" s="20">
        <v>0.32008300000000001</v>
      </c>
      <c r="AC74" s="20">
        <v>0.31608900000000001</v>
      </c>
      <c r="AD74" s="20">
        <v>0.31211100000000003</v>
      </c>
      <c r="AE74" s="20">
        <v>0.30802400000000002</v>
      </c>
      <c r="AF74" s="21">
        <v>-1.9781E-2</v>
      </c>
      <c r="AG74" s="10"/>
      <c r="AI74" s="5"/>
    </row>
    <row r="75" spans="1:35" x14ac:dyDescent="0.35">
      <c r="A75" s="6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I75" s="5"/>
    </row>
    <row r="76" spans="1:35" ht="48.5" x14ac:dyDescent="0.35">
      <c r="A76" s="6"/>
      <c r="B76" s="18" t="s">
        <v>106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I76" s="5"/>
    </row>
    <row r="77" spans="1:35" ht="24.5" x14ac:dyDescent="0.35">
      <c r="A77" s="9" t="s">
        <v>107</v>
      </c>
      <c r="B77" s="19" t="s">
        <v>108</v>
      </c>
      <c r="C77" s="20">
        <v>5.7437990000000001</v>
      </c>
      <c r="D77" s="20">
        <v>5.8167090000000004</v>
      </c>
      <c r="E77" s="20">
        <v>5.3206829999999998</v>
      </c>
      <c r="F77" s="20">
        <v>5.2993560000000004</v>
      </c>
      <c r="G77" s="20">
        <v>5.2785640000000003</v>
      </c>
      <c r="H77" s="20">
        <v>5.2510760000000003</v>
      </c>
      <c r="I77" s="20">
        <v>5.2174740000000002</v>
      </c>
      <c r="J77" s="20">
        <v>5.1750949999999998</v>
      </c>
      <c r="K77" s="20">
        <v>5.127351</v>
      </c>
      <c r="L77" s="20">
        <v>5.0770179999999998</v>
      </c>
      <c r="M77" s="20">
        <v>5.02658</v>
      </c>
      <c r="N77" s="20">
        <v>4.9858409999999997</v>
      </c>
      <c r="O77" s="20">
        <v>4.9413200000000002</v>
      </c>
      <c r="P77" s="20">
        <v>4.8989659999999997</v>
      </c>
      <c r="Q77" s="20">
        <v>4.8595360000000003</v>
      </c>
      <c r="R77" s="20">
        <v>4.8225550000000004</v>
      </c>
      <c r="S77" s="20">
        <v>4.784821</v>
      </c>
      <c r="T77" s="20">
        <v>4.7496340000000004</v>
      </c>
      <c r="U77" s="20">
        <v>4.7167779999999997</v>
      </c>
      <c r="V77" s="20">
        <v>4.6856280000000003</v>
      </c>
      <c r="W77" s="20">
        <v>4.6557829999999996</v>
      </c>
      <c r="X77" s="20">
        <v>4.628654</v>
      </c>
      <c r="Y77" s="20">
        <v>4.6032520000000003</v>
      </c>
      <c r="Z77" s="20">
        <v>4.5774530000000002</v>
      </c>
      <c r="AA77" s="20">
        <v>4.5492520000000001</v>
      </c>
      <c r="AB77" s="20">
        <v>4.522653</v>
      </c>
      <c r="AC77" s="20">
        <v>4.4976979999999998</v>
      </c>
      <c r="AD77" s="20">
        <v>4.4730980000000002</v>
      </c>
      <c r="AE77" s="20">
        <v>4.4476490000000002</v>
      </c>
      <c r="AF77" s="21">
        <v>-9.0919999999999994E-3</v>
      </c>
      <c r="AG77" s="10"/>
      <c r="AI77" s="5"/>
    </row>
    <row r="78" spans="1:35" ht="24.5" x14ac:dyDescent="0.35">
      <c r="A78" s="9" t="s">
        <v>109</v>
      </c>
      <c r="B78" s="19" t="s">
        <v>110</v>
      </c>
      <c r="C78" s="20">
        <v>0.91247500000000004</v>
      </c>
      <c r="D78" s="20">
        <v>0.78572200000000003</v>
      </c>
      <c r="E78" s="20">
        <v>0.95037000000000005</v>
      </c>
      <c r="F78" s="20">
        <v>0.97087400000000001</v>
      </c>
      <c r="G78" s="20">
        <v>0.99026800000000004</v>
      </c>
      <c r="H78" s="20">
        <v>1.0103789999999999</v>
      </c>
      <c r="I78" s="20">
        <v>1.029992</v>
      </c>
      <c r="J78" s="20">
        <v>1.048459</v>
      </c>
      <c r="K78" s="20">
        <v>1.0645690000000001</v>
      </c>
      <c r="L78" s="20">
        <v>1.079664</v>
      </c>
      <c r="M78" s="20">
        <v>1.0958680000000001</v>
      </c>
      <c r="N78" s="20">
        <v>1.1120030000000001</v>
      </c>
      <c r="O78" s="20">
        <v>1.1285069999999999</v>
      </c>
      <c r="P78" s="20">
        <v>1.147432</v>
      </c>
      <c r="Q78" s="20">
        <v>1.1682380000000001</v>
      </c>
      <c r="R78" s="20">
        <v>1.1901900000000001</v>
      </c>
      <c r="S78" s="20">
        <v>1.2119450000000001</v>
      </c>
      <c r="T78" s="20">
        <v>1.2341850000000001</v>
      </c>
      <c r="U78" s="20">
        <v>1.2567489999999999</v>
      </c>
      <c r="V78" s="20">
        <v>1.279439</v>
      </c>
      <c r="W78" s="20">
        <v>1.302789</v>
      </c>
      <c r="X78" s="20">
        <v>1.326819</v>
      </c>
      <c r="Y78" s="20">
        <v>1.351826</v>
      </c>
      <c r="Z78" s="20">
        <v>1.3777349999999999</v>
      </c>
      <c r="AA78" s="20">
        <v>1.405762</v>
      </c>
      <c r="AB78" s="20">
        <v>1.434909</v>
      </c>
      <c r="AC78" s="20">
        <v>1.4646790000000001</v>
      </c>
      <c r="AD78" s="20">
        <v>1.494399</v>
      </c>
      <c r="AE78" s="20">
        <v>1.5252699999999999</v>
      </c>
      <c r="AF78" s="21">
        <v>1.8518E-2</v>
      </c>
      <c r="AG78" s="10"/>
    </row>
    <row r="79" spans="1:35" ht="24.5" x14ac:dyDescent="0.35">
      <c r="A79" s="9" t="s">
        <v>111</v>
      </c>
      <c r="B79" s="19" t="s">
        <v>112</v>
      </c>
      <c r="C79" s="20">
        <v>1.6860470000000001</v>
      </c>
      <c r="D79" s="20">
        <v>1.6764079999999999</v>
      </c>
      <c r="E79" s="20">
        <v>1.681888</v>
      </c>
      <c r="F79" s="20">
        <v>1.6958260000000001</v>
      </c>
      <c r="G79" s="20">
        <v>1.710388</v>
      </c>
      <c r="H79" s="20">
        <v>1.7242150000000001</v>
      </c>
      <c r="I79" s="20">
        <v>1.737117</v>
      </c>
      <c r="J79" s="20">
        <v>1.746907</v>
      </c>
      <c r="K79" s="20">
        <v>1.75451</v>
      </c>
      <c r="L79" s="20">
        <v>1.759377</v>
      </c>
      <c r="M79" s="20">
        <v>1.763657</v>
      </c>
      <c r="N79" s="20">
        <v>1.7701150000000001</v>
      </c>
      <c r="O79" s="20">
        <v>1.776848</v>
      </c>
      <c r="P79" s="20">
        <v>1.7859210000000001</v>
      </c>
      <c r="Q79" s="20">
        <v>1.7956160000000001</v>
      </c>
      <c r="R79" s="20">
        <v>1.8048709999999999</v>
      </c>
      <c r="S79" s="20">
        <v>1.8128249999999999</v>
      </c>
      <c r="T79" s="20">
        <v>1.820973</v>
      </c>
      <c r="U79" s="20">
        <v>1.8290569999999999</v>
      </c>
      <c r="V79" s="20">
        <v>1.8370709999999999</v>
      </c>
      <c r="W79" s="20">
        <v>1.8455630000000001</v>
      </c>
      <c r="X79" s="20">
        <v>1.8550660000000001</v>
      </c>
      <c r="Y79" s="20">
        <v>1.865388</v>
      </c>
      <c r="Z79" s="20">
        <v>1.8753299999999999</v>
      </c>
      <c r="AA79" s="20">
        <v>1.8827719999999999</v>
      </c>
      <c r="AB79" s="20">
        <v>1.891669</v>
      </c>
      <c r="AC79" s="20">
        <v>1.9022250000000001</v>
      </c>
      <c r="AD79" s="20">
        <v>1.9136150000000001</v>
      </c>
      <c r="AE79" s="20">
        <v>1.9250860000000001</v>
      </c>
      <c r="AF79" s="21">
        <v>4.7460000000000002E-3</v>
      </c>
      <c r="AG79" s="10"/>
      <c r="AI79" s="5"/>
    </row>
    <row r="80" spans="1:35" ht="36.5" x14ac:dyDescent="0.35">
      <c r="A80" s="9" t="s">
        <v>113</v>
      </c>
      <c r="B80" s="19" t="s">
        <v>114</v>
      </c>
      <c r="C80" s="20">
        <v>0.29555799999999999</v>
      </c>
      <c r="D80" s="20">
        <v>0.293987</v>
      </c>
      <c r="E80" s="20">
        <v>0.29266799999999998</v>
      </c>
      <c r="F80" s="20">
        <v>0.29163</v>
      </c>
      <c r="G80" s="20">
        <v>0.29078300000000001</v>
      </c>
      <c r="H80" s="20">
        <v>0.29015800000000003</v>
      </c>
      <c r="I80" s="20">
        <v>0.28977799999999998</v>
      </c>
      <c r="J80" s="20">
        <v>0.28961500000000001</v>
      </c>
      <c r="K80" s="20">
        <v>0.289659</v>
      </c>
      <c r="L80" s="20">
        <v>0.28998600000000002</v>
      </c>
      <c r="M80" s="20">
        <v>0.29063</v>
      </c>
      <c r="N80" s="20">
        <v>0.29157</v>
      </c>
      <c r="O80" s="20">
        <v>0.29279500000000003</v>
      </c>
      <c r="P80" s="20">
        <v>0.29434300000000002</v>
      </c>
      <c r="Q80" s="20">
        <v>0.29624200000000001</v>
      </c>
      <c r="R80" s="20">
        <v>0.29844700000000002</v>
      </c>
      <c r="S80" s="20">
        <v>0.30096000000000001</v>
      </c>
      <c r="T80" s="20">
        <v>0.30374499999999999</v>
      </c>
      <c r="U80" s="20">
        <v>0.30684800000000001</v>
      </c>
      <c r="V80" s="20">
        <v>0.310249</v>
      </c>
      <c r="W80" s="20">
        <v>0.313888</v>
      </c>
      <c r="X80" s="20">
        <v>0.31748199999999999</v>
      </c>
      <c r="Y80" s="20">
        <v>0.32102399999999998</v>
      </c>
      <c r="Z80" s="20">
        <v>0.32450699999999999</v>
      </c>
      <c r="AA80" s="20">
        <v>0.32791500000000001</v>
      </c>
      <c r="AB80" s="20">
        <v>0.33124999999999999</v>
      </c>
      <c r="AC80" s="20">
        <v>0.33449600000000002</v>
      </c>
      <c r="AD80" s="20">
        <v>0.33764499999999997</v>
      </c>
      <c r="AE80" s="20">
        <v>0.340702</v>
      </c>
      <c r="AF80" s="21">
        <v>5.0899999999999999E-3</v>
      </c>
      <c r="AG80" s="10"/>
      <c r="AI80" s="5"/>
    </row>
    <row r="81" spans="1:35" x14ac:dyDescent="0.35">
      <c r="A81" s="9" t="s">
        <v>115</v>
      </c>
      <c r="B81" s="19" t="s">
        <v>116</v>
      </c>
      <c r="C81" s="20">
        <v>0.17633199999999999</v>
      </c>
      <c r="D81" s="20">
        <v>0.176672</v>
      </c>
      <c r="E81" s="20">
        <v>0.17702799999999999</v>
      </c>
      <c r="F81" s="20">
        <v>0.17741699999999999</v>
      </c>
      <c r="G81" s="20">
        <v>0.177783</v>
      </c>
      <c r="H81" s="20">
        <v>0.17812800000000001</v>
      </c>
      <c r="I81" s="20">
        <v>0.17849000000000001</v>
      </c>
      <c r="J81" s="20">
        <v>0.178893</v>
      </c>
      <c r="K81" s="20">
        <v>0.179315</v>
      </c>
      <c r="L81" s="20">
        <v>0.17977399999999999</v>
      </c>
      <c r="M81" s="20">
        <v>0.18029100000000001</v>
      </c>
      <c r="N81" s="20">
        <v>0.18095600000000001</v>
      </c>
      <c r="O81" s="20">
        <v>0.181724</v>
      </c>
      <c r="P81" s="20">
        <v>0.182619</v>
      </c>
      <c r="Q81" s="20">
        <v>0.18365200000000001</v>
      </c>
      <c r="R81" s="20">
        <v>0.18481</v>
      </c>
      <c r="S81" s="20">
        <v>0.185975</v>
      </c>
      <c r="T81" s="20">
        <v>0.187144</v>
      </c>
      <c r="U81" s="20">
        <v>0.188336</v>
      </c>
      <c r="V81" s="20">
        <v>0.18954399999999999</v>
      </c>
      <c r="W81" s="20">
        <v>0.190752</v>
      </c>
      <c r="X81" s="20">
        <v>0.191971</v>
      </c>
      <c r="Y81" s="20">
        <v>0.19320100000000001</v>
      </c>
      <c r="Z81" s="20">
        <v>0.194441</v>
      </c>
      <c r="AA81" s="20">
        <v>0.19568199999999999</v>
      </c>
      <c r="AB81" s="20">
        <v>0.19692699999999999</v>
      </c>
      <c r="AC81" s="20">
        <v>0.19816400000000001</v>
      </c>
      <c r="AD81" s="20">
        <v>0.19938400000000001</v>
      </c>
      <c r="AE81" s="20">
        <v>0.20058400000000001</v>
      </c>
      <c r="AF81" s="21">
        <v>4.6129999999999999E-3</v>
      </c>
      <c r="AG81" s="10"/>
      <c r="AI81" s="5"/>
    </row>
    <row r="82" spans="1:35" ht="24.5" x14ac:dyDescent="0.35">
      <c r="A82" s="9" t="s">
        <v>117</v>
      </c>
      <c r="B82" s="19" t="s">
        <v>118</v>
      </c>
      <c r="C82" s="20">
        <v>0.262179</v>
      </c>
      <c r="D82" s="20">
        <v>0.26705499999999999</v>
      </c>
      <c r="E82" s="20">
        <v>0.27271800000000002</v>
      </c>
      <c r="F82" s="20">
        <v>0.27916600000000003</v>
      </c>
      <c r="G82" s="20">
        <v>0.28541299999999997</v>
      </c>
      <c r="H82" s="20">
        <v>0.29130800000000001</v>
      </c>
      <c r="I82" s="20">
        <v>0.29685299999999998</v>
      </c>
      <c r="J82" s="20">
        <v>0.30188700000000002</v>
      </c>
      <c r="K82" s="20">
        <v>0.306369</v>
      </c>
      <c r="L82" s="20">
        <v>0.31048399999999998</v>
      </c>
      <c r="M82" s="20">
        <v>0.314552</v>
      </c>
      <c r="N82" s="20">
        <v>0.31818200000000002</v>
      </c>
      <c r="O82" s="20">
        <v>0.32178600000000002</v>
      </c>
      <c r="P82" s="20">
        <v>0.32580300000000001</v>
      </c>
      <c r="Q82" s="20">
        <v>0.330063</v>
      </c>
      <c r="R82" s="20">
        <v>0.33418500000000001</v>
      </c>
      <c r="S82" s="20">
        <v>0.33801199999999998</v>
      </c>
      <c r="T82" s="20">
        <v>0.34182899999999999</v>
      </c>
      <c r="U82" s="20">
        <v>0.34568100000000002</v>
      </c>
      <c r="V82" s="20">
        <v>0.349609</v>
      </c>
      <c r="W82" s="20">
        <v>0.353661</v>
      </c>
      <c r="X82" s="20">
        <v>0.35787099999999999</v>
      </c>
      <c r="Y82" s="20">
        <v>0.362147</v>
      </c>
      <c r="Z82" s="20">
        <v>0.36639100000000002</v>
      </c>
      <c r="AA82" s="20">
        <v>0.37062499999999998</v>
      </c>
      <c r="AB82" s="20">
        <v>0.37506099999999998</v>
      </c>
      <c r="AC82" s="20">
        <v>0.379581</v>
      </c>
      <c r="AD82" s="20">
        <v>0.38419700000000001</v>
      </c>
      <c r="AE82" s="20">
        <v>0.38902799999999998</v>
      </c>
      <c r="AF82" s="21">
        <v>1.4194E-2</v>
      </c>
      <c r="AG82" s="10"/>
      <c r="AI82" s="5"/>
    </row>
    <row r="83" spans="1:35" x14ac:dyDescent="0.35">
      <c r="A83" s="9" t="s">
        <v>119</v>
      </c>
      <c r="B83" s="19" t="s">
        <v>120</v>
      </c>
      <c r="C83" s="20">
        <v>6.9006999999999999E-2</v>
      </c>
      <c r="D83" s="20">
        <v>6.8849999999999995E-2</v>
      </c>
      <c r="E83" s="20">
        <v>6.8686999999999998E-2</v>
      </c>
      <c r="F83" s="20">
        <v>6.8515999999999994E-2</v>
      </c>
      <c r="G83" s="20">
        <v>6.8318000000000004E-2</v>
      </c>
      <c r="H83" s="20">
        <v>6.8104999999999999E-2</v>
      </c>
      <c r="I83" s="20">
        <v>6.7921999999999996E-2</v>
      </c>
      <c r="J83" s="20">
        <v>6.7761000000000002E-2</v>
      </c>
      <c r="K83" s="20">
        <v>6.7614999999999995E-2</v>
      </c>
      <c r="L83" s="20">
        <v>6.7486000000000004E-2</v>
      </c>
      <c r="M83" s="20">
        <v>6.7377000000000006E-2</v>
      </c>
      <c r="N83" s="20">
        <v>6.7287E-2</v>
      </c>
      <c r="O83" s="20">
        <v>6.7215999999999998E-2</v>
      </c>
      <c r="P83" s="20">
        <v>6.7169000000000006E-2</v>
      </c>
      <c r="Q83" s="20">
        <v>6.7158999999999996E-2</v>
      </c>
      <c r="R83" s="20">
        <v>6.7178000000000002E-2</v>
      </c>
      <c r="S83" s="20">
        <v>6.7228999999999997E-2</v>
      </c>
      <c r="T83" s="20">
        <v>6.7310999999999996E-2</v>
      </c>
      <c r="U83" s="20">
        <v>6.7431000000000005E-2</v>
      </c>
      <c r="V83" s="20">
        <v>6.7596000000000003E-2</v>
      </c>
      <c r="W83" s="20">
        <v>6.7793999999999993E-2</v>
      </c>
      <c r="X83" s="20">
        <v>6.8035999999999999E-2</v>
      </c>
      <c r="Y83" s="20">
        <v>6.8325999999999998E-2</v>
      </c>
      <c r="Z83" s="20">
        <v>6.8666000000000005E-2</v>
      </c>
      <c r="AA83" s="20">
        <v>6.9053000000000003E-2</v>
      </c>
      <c r="AB83" s="20">
        <v>6.9481000000000001E-2</v>
      </c>
      <c r="AC83" s="20">
        <v>6.9903999999999994E-2</v>
      </c>
      <c r="AD83" s="20">
        <v>7.0319000000000007E-2</v>
      </c>
      <c r="AE83" s="20">
        <v>7.0729E-2</v>
      </c>
      <c r="AF83" s="21">
        <v>8.8099999999999995E-4</v>
      </c>
      <c r="AG83" s="10"/>
      <c r="AI83" s="5"/>
    </row>
    <row r="84" spans="1:35" x14ac:dyDescent="0.35">
      <c r="A84" s="9" t="s">
        <v>121</v>
      </c>
      <c r="B84" s="19" t="s">
        <v>122</v>
      </c>
      <c r="C84" s="20">
        <v>0.22927</v>
      </c>
      <c r="D84" s="20">
        <v>0.21315999999999999</v>
      </c>
      <c r="E84" s="20">
        <v>0.20679400000000001</v>
      </c>
      <c r="F84" s="20">
        <v>0.20512900000000001</v>
      </c>
      <c r="G84" s="20">
        <v>0.20519999999999999</v>
      </c>
      <c r="H84" s="20">
        <v>0.206404</v>
      </c>
      <c r="I84" s="20">
        <v>0.20832999999999999</v>
      </c>
      <c r="J84" s="20">
        <v>0.210226</v>
      </c>
      <c r="K84" s="20">
        <v>0.209704</v>
      </c>
      <c r="L84" s="20">
        <v>0.20916399999999999</v>
      </c>
      <c r="M84" s="20">
        <v>0.20885500000000001</v>
      </c>
      <c r="N84" s="20">
        <v>0.208568</v>
      </c>
      <c r="O84" s="20">
        <v>0.208536</v>
      </c>
      <c r="P84" s="20">
        <v>0.20901600000000001</v>
      </c>
      <c r="Q84" s="20">
        <v>0.20962700000000001</v>
      </c>
      <c r="R84" s="20">
        <v>0.210178</v>
      </c>
      <c r="S84" s="20">
        <v>0.210558</v>
      </c>
      <c r="T84" s="20">
        <v>0.210954</v>
      </c>
      <c r="U84" s="20">
        <v>0.207703</v>
      </c>
      <c r="V84" s="20">
        <v>0.205012</v>
      </c>
      <c r="W84" s="20">
        <v>0.20291100000000001</v>
      </c>
      <c r="X84" s="20">
        <v>0.20146700000000001</v>
      </c>
      <c r="Y84" s="20">
        <v>0.200848</v>
      </c>
      <c r="Z84" s="20">
        <v>0.20064000000000001</v>
      </c>
      <c r="AA84" s="20">
        <v>0.20059199999999999</v>
      </c>
      <c r="AB84" s="20">
        <v>0.20072999999999999</v>
      </c>
      <c r="AC84" s="20">
        <v>0.200991</v>
      </c>
      <c r="AD84" s="20">
        <v>0.20142299999999999</v>
      </c>
      <c r="AE84" s="20">
        <v>0.20205600000000001</v>
      </c>
      <c r="AF84" s="21">
        <v>-4.5030000000000001E-3</v>
      </c>
      <c r="AG84" s="10"/>
      <c r="AI84" s="5"/>
    </row>
    <row r="85" spans="1:35" ht="24.5" x14ac:dyDescent="0.35">
      <c r="A85" s="9" t="s">
        <v>123</v>
      </c>
      <c r="B85" s="19" t="s">
        <v>124</v>
      </c>
      <c r="C85" s="20">
        <v>3.7489000000000001E-2</v>
      </c>
      <c r="D85" s="20">
        <v>3.7812999999999999E-2</v>
      </c>
      <c r="E85" s="20">
        <v>3.8143999999999997E-2</v>
      </c>
      <c r="F85" s="20">
        <v>3.8485999999999999E-2</v>
      </c>
      <c r="G85" s="20">
        <v>3.8827E-2</v>
      </c>
      <c r="H85" s="20">
        <v>3.9168000000000001E-2</v>
      </c>
      <c r="I85" s="20">
        <v>3.9518999999999999E-2</v>
      </c>
      <c r="J85" s="20">
        <v>3.9875000000000001E-2</v>
      </c>
      <c r="K85" s="20">
        <v>4.0245999999999997E-2</v>
      </c>
      <c r="L85" s="20">
        <v>4.0617E-2</v>
      </c>
      <c r="M85" s="20">
        <v>4.0992000000000001E-2</v>
      </c>
      <c r="N85" s="20">
        <v>4.1364999999999999E-2</v>
      </c>
      <c r="O85" s="20">
        <v>4.1732999999999999E-2</v>
      </c>
      <c r="P85" s="20">
        <v>4.2098999999999998E-2</v>
      </c>
      <c r="Q85" s="20">
        <v>4.2465000000000003E-2</v>
      </c>
      <c r="R85" s="20">
        <v>4.2827999999999998E-2</v>
      </c>
      <c r="S85" s="20">
        <v>4.3187000000000003E-2</v>
      </c>
      <c r="T85" s="20">
        <v>4.3541999999999997E-2</v>
      </c>
      <c r="U85" s="20">
        <v>4.3898E-2</v>
      </c>
      <c r="V85" s="20">
        <v>4.4252E-2</v>
      </c>
      <c r="W85" s="20">
        <v>4.4599E-2</v>
      </c>
      <c r="X85" s="20">
        <v>4.4942000000000003E-2</v>
      </c>
      <c r="Y85" s="20">
        <v>4.5282000000000003E-2</v>
      </c>
      <c r="Z85" s="20">
        <v>4.5619E-2</v>
      </c>
      <c r="AA85" s="20">
        <v>4.5952E-2</v>
      </c>
      <c r="AB85" s="20">
        <v>4.6282999999999998E-2</v>
      </c>
      <c r="AC85" s="20">
        <v>4.6611E-2</v>
      </c>
      <c r="AD85" s="20">
        <v>4.6935999999999999E-2</v>
      </c>
      <c r="AE85" s="20">
        <v>4.7258000000000001E-2</v>
      </c>
      <c r="AF85" s="21">
        <v>8.3049999999999999E-3</v>
      </c>
      <c r="AG85" s="10"/>
      <c r="AI85" s="5"/>
    </row>
    <row r="86" spans="1:35" ht="36.5" x14ac:dyDescent="0.35">
      <c r="A86" s="9" t="s">
        <v>125</v>
      </c>
      <c r="B86" s="19" t="s">
        <v>126</v>
      </c>
      <c r="C86" s="20">
        <v>2.7618E-2</v>
      </c>
      <c r="D86" s="20">
        <v>2.8063999999999999E-2</v>
      </c>
      <c r="E86" s="20">
        <v>2.8506E-2</v>
      </c>
      <c r="F86" s="20">
        <v>2.8944999999999999E-2</v>
      </c>
      <c r="G86" s="20">
        <v>2.937E-2</v>
      </c>
      <c r="H86" s="20">
        <v>2.9781999999999999E-2</v>
      </c>
      <c r="I86" s="20">
        <v>3.0232999999999999E-2</v>
      </c>
      <c r="J86" s="20">
        <v>3.0721999999999999E-2</v>
      </c>
      <c r="K86" s="20">
        <v>3.1241999999999999E-2</v>
      </c>
      <c r="L86" s="20">
        <v>3.1796999999999999E-2</v>
      </c>
      <c r="M86" s="20">
        <v>3.2391999999999997E-2</v>
      </c>
      <c r="N86" s="20">
        <v>3.3027000000000001E-2</v>
      </c>
      <c r="O86" s="20">
        <v>3.3702000000000003E-2</v>
      </c>
      <c r="P86" s="20">
        <v>3.4373000000000001E-2</v>
      </c>
      <c r="Q86" s="20">
        <v>3.5042999999999998E-2</v>
      </c>
      <c r="R86" s="20">
        <v>3.5709999999999999E-2</v>
      </c>
      <c r="S86" s="20">
        <v>3.6374999999999998E-2</v>
      </c>
      <c r="T86" s="20">
        <v>3.7035999999999999E-2</v>
      </c>
      <c r="U86" s="20">
        <v>3.7698000000000002E-2</v>
      </c>
      <c r="V86" s="20">
        <v>3.8358999999999997E-2</v>
      </c>
      <c r="W86" s="20">
        <v>3.9015000000000001E-2</v>
      </c>
      <c r="X86" s="20">
        <v>3.9667000000000001E-2</v>
      </c>
      <c r="Y86" s="20">
        <v>4.0315999999999998E-2</v>
      </c>
      <c r="Z86" s="20">
        <v>4.0961999999999998E-2</v>
      </c>
      <c r="AA86" s="20">
        <v>4.1605000000000003E-2</v>
      </c>
      <c r="AB86" s="20">
        <v>4.2244999999999998E-2</v>
      </c>
      <c r="AC86" s="20">
        <v>4.2882000000000003E-2</v>
      </c>
      <c r="AD86" s="20">
        <v>4.3513999999999997E-2</v>
      </c>
      <c r="AE86" s="20">
        <v>4.4143000000000002E-2</v>
      </c>
      <c r="AF86" s="21">
        <v>1.6889999999999999E-2</v>
      </c>
      <c r="AG86" s="10"/>
      <c r="AI86" s="5"/>
    </row>
    <row r="87" spans="1:35" ht="60.5" x14ac:dyDescent="0.35">
      <c r="A87" s="9" t="s">
        <v>127</v>
      </c>
      <c r="B87" s="19" t="s">
        <v>128</v>
      </c>
      <c r="C87" s="20">
        <v>0.18509200000000001</v>
      </c>
      <c r="D87" s="20">
        <v>0.181559</v>
      </c>
      <c r="E87" s="20">
        <v>0.178365</v>
      </c>
      <c r="F87" s="20">
        <v>0.17569199999999999</v>
      </c>
      <c r="G87" s="20">
        <v>0.17295099999999999</v>
      </c>
      <c r="H87" s="20">
        <v>0.17014299999999999</v>
      </c>
      <c r="I87" s="20">
        <v>0.16719800000000001</v>
      </c>
      <c r="J87" s="20">
        <v>0.16413900000000001</v>
      </c>
      <c r="K87" s="20">
        <v>0.16098699999999999</v>
      </c>
      <c r="L87" s="20">
        <v>0.15786700000000001</v>
      </c>
      <c r="M87" s="20">
        <v>0.154866</v>
      </c>
      <c r="N87" s="20">
        <v>0.151867</v>
      </c>
      <c r="O87" s="20">
        <v>0.14899799999999999</v>
      </c>
      <c r="P87" s="20">
        <v>0.14658499999999999</v>
      </c>
      <c r="Q87" s="20">
        <v>0.14447299999999999</v>
      </c>
      <c r="R87" s="20">
        <v>0.142566</v>
      </c>
      <c r="S87" s="20">
        <v>0.14076</v>
      </c>
      <c r="T87" s="20">
        <v>0.13918900000000001</v>
      </c>
      <c r="U87" s="20">
        <v>0.13791</v>
      </c>
      <c r="V87" s="20">
        <v>0.136911</v>
      </c>
      <c r="W87" s="20">
        <v>0.13620699999999999</v>
      </c>
      <c r="X87" s="20">
        <v>0.13575499999999999</v>
      </c>
      <c r="Y87" s="20">
        <v>0.13553699999999999</v>
      </c>
      <c r="Z87" s="20">
        <v>0.13555200000000001</v>
      </c>
      <c r="AA87" s="20">
        <v>0.13580200000000001</v>
      </c>
      <c r="AB87" s="20">
        <v>0.136265</v>
      </c>
      <c r="AC87" s="20">
        <v>0.13685</v>
      </c>
      <c r="AD87" s="20">
        <v>0.13759299999999999</v>
      </c>
      <c r="AE87" s="20">
        <v>0.13852700000000001</v>
      </c>
      <c r="AF87" s="21">
        <v>-1.0296E-2</v>
      </c>
      <c r="AG87" s="10"/>
      <c r="AI87" s="5"/>
    </row>
    <row r="88" spans="1:35" ht="60.5" x14ac:dyDescent="0.35">
      <c r="A88" s="9" t="s">
        <v>129</v>
      </c>
      <c r="B88" s="19" t="s">
        <v>130</v>
      </c>
      <c r="C88" s="20">
        <v>0.120106</v>
      </c>
      <c r="D88" s="20">
        <v>0.118562</v>
      </c>
      <c r="E88" s="20">
        <v>0.11693099999999999</v>
      </c>
      <c r="F88" s="20">
        <v>0.11536299999999999</v>
      </c>
      <c r="G88" s="20">
        <v>0.113493</v>
      </c>
      <c r="H88" s="20">
        <v>0.111328</v>
      </c>
      <c r="I88" s="20">
        <v>0.108857</v>
      </c>
      <c r="J88" s="20">
        <v>0.106117</v>
      </c>
      <c r="K88" s="20">
        <v>0.103168</v>
      </c>
      <c r="L88" s="20">
        <v>0.100088</v>
      </c>
      <c r="M88" s="20">
        <v>9.6979999999999997E-2</v>
      </c>
      <c r="N88" s="20">
        <v>9.3785999999999994E-2</v>
      </c>
      <c r="O88" s="20">
        <v>9.0609999999999996E-2</v>
      </c>
      <c r="P88" s="20">
        <v>8.7647000000000003E-2</v>
      </c>
      <c r="Q88" s="20">
        <v>8.4848000000000007E-2</v>
      </c>
      <c r="R88" s="20">
        <v>8.2132999999999998E-2</v>
      </c>
      <c r="S88" s="20">
        <v>7.9492999999999994E-2</v>
      </c>
      <c r="T88" s="20">
        <v>7.7007999999999993E-2</v>
      </c>
      <c r="U88" s="20">
        <v>7.4726000000000001E-2</v>
      </c>
      <c r="V88" s="20">
        <v>7.2651999999999994E-2</v>
      </c>
      <c r="W88" s="20">
        <v>7.0824999999999999E-2</v>
      </c>
      <c r="X88" s="20">
        <v>6.9226999999999997E-2</v>
      </c>
      <c r="Y88" s="20">
        <v>6.7875000000000005E-2</v>
      </c>
      <c r="Z88" s="20">
        <v>6.6753000000000007E-2</v>
      </c>
      <c r="AA88" s="20">
        <v>6.5956000000000001E-2</v>
      </c>
      <c r="AB88" s="20">
        <v>6.5417000000000003E-2</v>
      </c>
      <c r="AC88" s="20">
        <v>6.5087000000000006E-2</v>
      </c>
      <c r="AD88" s="20">
        <v>6.4992999999999995E-2</v>
      </c>
      <c r="AE88" s="20">
        <v>6.5106999999999998E-2</v>
      </c>
      <c r="AF88" s="21">
        <v>-2.1631999999999998E-2</v>
      </c>
      <c r="AG88" s="10"/>
      <c r="AI88" s="5"/>
    </row>
    <row r="89" spans="1:35" ht="60.5" x14ac:dyDescent="0.35">
      <c r="A89" s="9" t="s">
        <v>131</v>
      </c>
      <c r="B89" s="19" t="s">
        <v>132</v>
      </c>
      <c r="C89" s="20">
        <v>8.9175000000000004E-2</v>
      </c>
      <c r="D89" s="20">
        <v>8.8249999999999995E-2</v>
      </c>
      <c r="E89" s="20">
        <v>7.9128000000000004E-2</v>
      </c>
      <c r="F89" s="20">
        <v>8.0093999999999999E-2</v>
      </c>
      <c r="G89" s="20">
        <v>8.0979999999999996E-2</v>
      </c>
      <c r="H89" s="20">
        <v>8.1729999999999997E-2</v>
      </c>
      <c r="I89" s="20">
        <v>8.2280000000000006E-2</v>
      </c>
      <c r="J89" s="20">
        <v>8.2540000000000002E-2</v>
      </c>
      <c r="K89" s="20">
        <v>8.2561999999999997E-2</v>
      </c>
      <c r="L89" s="20">
        <v>8.2343E-2</v>
      </c>
      <c r="M89" s="20">
        <v>8.1923999999999997E-2</v>
      </c>
      <c r="N89" s="20">
        <v>8.1309000000000006E-2</v>
      </c>
      <c r="O89" s="20">
        <v>8.0431000000000002E-2</v>
      </c>
      <c r="P89" s="20">
        <v>7.9390000000000002E-2</v>
      </c>
      <c r="Q89" s="20">
        <v>7.8254000000000004E-2</v>
      </c>
      <c r="R89" s="20">
        <v>7.7045000000000002E-2</v>
      </c>
      <c r="S89" s="20">
        <v>7.5693999999999997E-2</v>
      </c>
      <c r="T89" s="20">
        <v>7.4348999999999998E-2</v>
      </c>
      <c r="U89" s="20">
        <v>7.3050000000000004E-2</v>
      </c>
      <c r="V89" s="20">
        <v>7.1817000000000006E-2</v>
      </c>
      <c r="W89" s="20">
        <v>7.0639999999999994E-2</v>
      </c>
      <c r="X89" s="20">
        <v>6.9587999999999997E-2</v>
      </c>
      <c r="Y89" s="20">
        <v>6.8662000000000001E-2</v>
      </c>
      <c r="Z89" s="20">
        <v>6.7822999999999994E-2</v>
      </c>
      <c r="AA89" s="20">
        <v>6.7005999999999996E-2</v>
      </c>
      <c r="AB89" s="20">
        <v>6.6321000000000005E-2</v>
      </c>
      <c r="AC89" s="20">
        <v>6.5775E-2</v>
      </c>
      <c r="AD89" s="20">
        <v>6.5343999999999999E-2</v>
      </c>
      <c r="AE89" s="20">
        <v>6.4996999999999999E-2</v>
      </c>
      <c r="AF89" s="21">
        <v>-1.1231E-2</v>
      </c>
      <c r="AG89" s="10"/>
      <c r="AI89" s="5"/>
    </row>
    <row r="90" spans="1:35" ht="24.5" x14ac:dyDescent="0.35">
      <c r="A90" s="9" t="s">
        <v>133</v>
      </c>
      <c r="B90" s="19" t="s">
        <v>134</v>
      </c>
      <c r="C90" s="20">
        <v>2.037398</v>
      </c>
      <c r="D90" s="20">
        <v>2.0856680000000001</v>
      </c>
      <c r="E90" s="20">
        <v>2.1141719999999999</v>
      </c>
      <c r="F90" s="20">
        <v>2.15381</v>
      </c>
      <c r="G90" s="20">
        <v>2.1936559999999998</v>
      </c>
      <c r="H90" s="20">
        <v>2.237911</v>
      </c>
      <c r="I90" s="20">
        <v>2.2765520000000001</v>
      </c>
      <c r="J90" s="20">
        <v>2.3100990000000001</v>
      </c>
      <c r="K90" s="20">
        <v>2.3426849999999999</v>
      </c>
      <c r="L90" s="20">
        <v>2.3747950000000002</v>
      </c>
      <c r="M90" s="20">
        <v>2.4072800000000001</v>
      </c>
      <c r="N90" s="20">
        <v>2.4395030000000002</v>
      </c>
      <c r="O90" s="20">
        <v>2.4693230000000002</v>
      </c>
      <c r="P90" s="20">
        <v>2.5029680000000001</v>
      </c>
      <c r="Q90" s="20">
        <v>2.5391620000000001</v>
      </c>
      <c r="R90" s="20">
        <v>2.5777019999999999</v>
      </c>
      <c r="S90" s="20">
        <v>2.614976</v>
      </c>
      <c r="T90" s="20">
        <v>2.6532680000000002</v>
      </c>
      <c r="U90" s="20">
        <v>2.693851</v>
      </c>
      <c r="V90" s="20">
        <v>2.7352759999999998</v>
      </c>
      <c r="W90" s="20">
        <v>2.7794129999999999</v>
      </c>
      <c r="X90" s="20">
        <v>2.825256</v>
      </c>
      <c r="Y90" s="20">
        <v>2.8728530000000001</v>
      </c>
      <c r="Z90" s="20">
        <v>2.9220899999999999</v>
      </c>
      <c r="AA90" s="20">
        <v>2.9724970000000002</v>
      </c>
      <c r="AB90" s="20">
        <v>3.0254470000000002</v>
      </c>
      <c r="AC90" s="20">
        <v>3.079815</v>
      </c>
      <c r="AD90" s="20">
        <v>3.1361910000000002</v>
      </c>
      <c r="AE90" s="20">
        <v>3.196599</v>
      </c>
      <c r="AF90" s="21">
        <v>1.6216000000000001E-2</v>
      </c>
      <c r="AG90" s="10"/>
      <c r="AI90" s="5"/>
    </row>
    <row r="91" spans="1:35" ht="48.5" x14ac:dyDescent="0.35">
      <c r="A91" s="9" t="s">
        <v>135</v>
      </c>
      <c r="B91" s="18" t="s">
        <v>136</v>
      </c>
      <c r="C91" s="22">
        <v>11.871544999999999</v>
      </c>
      <c r="D91" s="22">
        <v>11.838481</v>
      </c>
      <c r="E91" s="22">
        <v>11.526081</v>
      </c>
      <c r="F91" s="22">
        <v>11.580304999999999</v>
      </c>
      <c r="G91" s="22">
        <v>11.635992999999999</v>
      </c>
      <c r="H91" s="22">
        <v>11.689837000000001</v>
      </c>
      <c r="I91" s="22">
        <v>11.730596</v>
      </c>
      <c r="J91" s="22">
        <v>11.752335</v>
      </c>
      <c r="K91" s="22">
        <v>11.759981</v>
      </c>
      <c r="L91" s="22">
        <v>11.76046</v>
      </c>
      <c r="M91" s="22">
        <v>11.762243</v>
      </c>
      <c r="N91" s="22">
        <v>11.775377000000001</v>
      </c>
      <c r="O91" s="22">
        <v>11.783529</v>
      </c>
      <c r="P91" s="22">
        <v>11.804330999999999</v>
      </c>
      <c r="Q91" s="22">
        <v>11.834376000000001</v>
      </c>
      <c r="R91" s="22">
        <v>11.870398</v>
      </c>
      <c r="S91" s="22">
        <v>11.902811</v>
      </c>
      <c r="T91" s="22">
        <v>11.940166</v>
      </c>
      <c r="U91" s="22">
        <v>11.979717000000001</v>
      </c>
      <c r="V91" s="22">
        <v>12.023415</v>
      </c>
      <c r="W91" s="22">
        <v>12.073841</v>
      </c>
      <c r="X91" s="22">
        <v>12.131802</v>
      </c>
      <c r="Y91" s="22">
        <v>12.196539</v>
      </c>
      <c r="Z91" s="22">
        <v>12.263961999999999</v>
      </c>
      <c r="AA91" s="22">
        <v>12.330469000000001</v>
      </c>
      <c r="AB91" s="22">
        <v>12.404661000000001</v>
      </c>
      <c r="AC91" s="22">
        <v>12.484757999999999</v>
      </c>
      <c r="AD91" s="22">
        <v>12.568652999999999</v>
      </c>
      <c r="AE91" s="22">
        <v>12.657738</v>
      </c>
      <c r="AF91" s="23">
        <v>2.2929999999999999E-3</v>
      </c>
      <c r="AG91" s="10"/>
      <c r="AI91" s="5"/>
    </row>
    <row r="92" spans="1:35" ht="48.5" x14ac:dyDescent="0.35">
      <c r="A92" s="9" t="s">
        <v>137</v>
      </c>
      <c r="B92" s="19" t="s">
        <v>138</v>
      </c>
      <c r="C92" s="20">
        <v>0.112023</v>
      </c>
      <c r="D92" s="20">
        <v>0.123458</v>
      </c>
      <c r="E92" s="20">
        <v>0.13652900000000001</v>
      </c>
      <c r="F92" s="20">
        <v>0.14977699999999999</v>
      </c>
      <c r="G92" s="20">
        <v>0.16300899999999999</v>
      </c>
      <c r="H92" s="20">
        <v>0.17658499999999999</v>
      </c>
      <c r="I92" s="20">
        <v>0.19053</v>
      </c>
      <c r="J92" s="20">
        <v>0.20494499999999999</v>
      </c>
      <c r="K92" s="20">
        <v>0.21981999999999999</v>
      </c>
      <c r="L92" s="20">
        <v>0.23524600000000001</v>
      </c>
      <c r="M92" s="20">
        <v>0.25148999999999999</v>
      </c>
      <c r="N92" s="20">
        <v>0.26793699999999998</v>
      </c>
      <c r="O92" s="20">
        <v>0.28465000000000001</v>
      </c>
      <c r="P92" s="20">
        <v>0.29947400000000002</v>
      </c>
      <c r="Q92" s="20">
        <v>0.31491799999999998</v>
      </c>
      <c r="R92" s="20">
        <v>0.33096799999999998</v>
      </c>
      <c r="S92" s="20">
        <v>0.34801199999999999</v>
      </c>
      <c r="T92" s="20">
        <v>0.36618699999999998</v>
      </c>
      <c r="U92" s="20">
        <v>0.38540000000000002</v>
      </c>
      <c r="V92" s="20">
        <v>0.40570899999999999</v>
      </c>
      <c r="W92" s="20">
        <v>0.427124</v>
      </c>
      <c r="X92" s="20">
        <v>0.44966</v>
      </c>
      <c r="Y92" s="20">
        <v>0.47307100000000002</v>
      </c>
      <c r="Z92" s="20">
        <v>0.49757400000000002</v>
      </c>
      <c r="AA92" s="20">
        <v>0.52299700000000005</v>
      </c>
      <c r="AB92" s="20">
        <v>0.54935500000000004</v>
      </c>
      <c r="AC92" s="20">
        <v>0.57694599999999996</v>
      </c>
      <c r="AD92" s="20">
        <v>0.60526800000000003</v>
      </c>
      <c r="AE92" s="20">
        <v>0.63452399999999998</v>
      </c>
      <c r="AF92" s="21">
        <v>6.3893000000000005E-2</v>
      </c>
      <c r="AG92" s="10"/>
      <c r="AI92" s="5"/>
    </row>
    <row r="93" spans="1:35" ht="36.5" x14ac:dyDescent="0.35">
      <c r="A93" s="9" t="s">
        <v>139</v>
      </c>
      <c r="B93" s="18" t="s">
        <v>140</v>
      </c>
      <c r="C93" s="22">
        <v>11.759520999999999</v>
      </c>
      <c r="D93" s="22">
        <v>11.715023</v>
      </c>
      <c r="E93" s="22">
        <v>11.389552</v>
      </c>
      <c r="F93" s="22">
        <v>11.430529</v>
      </c>
      <c r="G93" s="22">
        <v>11.472984</v>
      </c>
      <c r="H93" s="22">
        <v>11.513251</v>
      </c>
      <c r="I93" s="22">
        <v>11.540065999999999</v>
      </c>
      <c r="J93" s="22">
        <v>11.547389000000001</v>
      </c>
      <c r="K93" s="22">
        <v>11.540160999999999</v>
      </c>
      <c r="L93" s="22">
        <v>11.525214</v>
      </c>
      <c r="M93" s="22">
        <v>11.510754</v>
      </c>
      <c r="N93" s="22">
        <v>11.507440000000001</v>
      </c>
      <c r="O93" s="22">
        <v>11.498879000000001</v>
      </c>
      <c r="P93" s="22">
        <v>11.504856</v>
      </c>
      <c r="Q93" s="22">
        <v>11.519458999999999</v>
      </c>
      <c r="R93" s="22">
        <v>11.539429</v>
      </c>
      <c r="S93" s="22">
        <v>11.554798999999999</v>
      </c>
      <c r="T93" s="22">
        <v>11.573979</v>
      </c>
      <c r="U93" s="22">
        <v>11.594315999999999</v>
      </c>
      <c r="V93" s="22">
        <v>11.617705000000001</v>
      </c>
      <c r="W93" s="22">
        <v>11.646717000000001</v>
      </c>
      <c r="X93" s="22">
        <v>11.682141</v>
      </c>
      <c r="Y93" s="22">
        <v>11.723468</v>
      </c>
      <c r="Z93" s="22">
        <v>11.766387999999999</v>
      </c>
      <c r="AA93" s="22">
        <v>11.807472000000001</v>
      </c>
      <c r="AB93" s="22">
        <v>11.855307</v>
      </c>
      <c r="AC93" s="22">
        <v>11.907812</v>
      </c>
      <c r="AD93" s="22">
        <v>11.963385000000001</v>
      </c>
      <c r="AE93" s="22">
        <v>12.023213</v>
      </c>
      <c r="AF93" s="23">
        <v>7.9199999999999995E-4</v>
      </c>
      <c r="AG93" s="10"/>
      <c r="AI93" s="5"/>
    </row>
    <row r="94" spans="1:35" x14ac:dyDescent="0.35">
      <c r="A94" s="6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I94" s="5"/>
    </row>
    <row r="95" spans="1:35" ht="36.5" x14ac:dyDescent="0.35">
      <c r="A95" s="9" t="s">
        <v>141</v>
      </c>
      <c r="B95" s="18" t="s">
        <v>4</v>
      </c>
      <c r="C95" s="22">
        <v>9.4318840000000002</v>
      </c>
      <c r="D95" s="22">
        <v>9.0614460000000001</v>
      </c>
      <c r="E95" s="22">
        <v>9.2159829999999996</v>
      </c>
      <c r="F95" s="22">
        <v>9.2775800000000004</v>
      </c>
      <c r="G95" s="22">
        <v>9.2647940000000002</v>
      </c>
      <c r="H95" s="22">
        <v>9.2480410000000006</v>
      </c>
      <c r="I95" s="22">
        <v>9.2045560000000002</v>
      </c>
      <c r="J95" s="22">
        <v>9.1618700000000004</v>
      </c>
      <c r="K95" s="22">
        <v>9.1329999999999991</v>
      </c>
      <c r="L95" s="22">
        <v>9.1532210000000003</v>
      </c>
      <c r="M95" s="22">
        <v>9.2185980000000001</v>
      </c>
      <c r="N95" s="22">
        <v>9.2462999999999997</v>
      </c>
      <c r="O95" s="22">
        <v>9.3134979999999992</v>
      </c>
      <c r="P95" s="22">
        <v>9.3774160000000002</v>
      </c>
      <c r="Q95" s="22">
        <v>9.4475390000000008</v>
      </c>
      <c r="R95" s="22">
        <v>9.487012</v>
      </c>
      <c r="S95" s="22">
        <v>9.4913959999999999</v>
      </c>
      <c r="T95" s="22">
        <v>9.4915699999999994</v>
      </c>
      <c r="U95" s="22">
        <v>9.5147720000000007</v>
      </c>
      <c r="V95" s="22">
        <v>9.5577690000000004</v>
      </c>
      <c r="W95" s="22">
        <v>9.6436150000000005</v>
      </c>
      <c r="X95" s="22">
        <v>9.717905</v>
      </c>
      <c r="Y95" s="22">
        <v>9.8050350000000002</v>
      </c>
      <c r="Z95" s="22">
        <v>9.9067640000000008</v>
      </c>
      <c r="AA95" s="22">
        <v>9.9749020000000002</v>
      </c>
      <c r="AB95" s="22">
        <v>10.062101999999999</v>
      </c>
      <c r="AC95" s="22">
        <v>10.154728</v>
      </c>
      <c r="AD95" s="22">
        <v>10.235389</v>
      </c>
      <c r="AE95" s="22">
        <v>10.336385</v>
      </c>
      <c r="AF95" s="23">
        <v>3.2759999999999998E-3</v>
      </c>
      <c r="AG95" s="10"/>
      <c r="AI95" s="5"/>
    </row>
    <row r="96" spans="1:35" x14ac:dyDescent="0.35">
      <c r="A96" s="6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 spans="1:35" ht="60.5" x14ac:dyDescent="0.35">
      <c r="A97" s="6"/>
      <c r="B97" s="18" t="s">
        <v>142</v>
      </c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I97" s="5"/>
    </row>
    <row r="98" spans="1:35" ht="24.5" x14ac:dyDescent="0.35">
      <c r="A98" s="9" t="s">
        <v>143</v>
      </c>
      <c r="B98" s="19" t="s">
        <v>108</v>
      </c>
      <c r="C98" s="20">
        <v>7.1100149999999998</v>
      </c>
      <c r="D98" s="20">
        <v>7.1526610000000002</v>
      </c>
      <c r="E98" s="20">
        <v>6.5057520000000002</v>
      </c>
      <c r="F98" s="20">
        <v>6.4811459999999999</v>
      </c>
      <c r="G98" s="20">
        <v>6.4469950000000003</v>
      </c>
      <c r="H98" s="20">
        <v>6.4027279999999998</v>
      </c>
      <c r="I98" s="20">
        <v>6.3488069999999999</v>
      </c>
      <c r="J98" s="20">
        <v>6.2861770000000003</v>
      </c>
      <c r="K98" s="20">
        <v>6.2194839999999996</v>
      </c>
      <c r="L98" s="20">
        <v>6.1553719999999998</v>
      </c>
      <c r="M98" s="20">
        <v>6.0959630000000002</v>
      </c>
      <c r="N98" s="20">
        <v>6.0408600000000003</v>
      </c>
      <c r="O98" s="20">
        <v>5.9861310000000003</v>
      </c>
      <c r="P98" s="20">
        <v>5.9325229999999998</v>
      </c>
      <c r="Q98" s="20">
        <v>5.8820589999999999</v>
      </c>
      <c r="R98" s="20">
        <v>5.8304309999999999</v>
      </c>
      <c r="S98" s="20">
        <v>5.774178</v>
      </c>
      <c r="T98" s="20">
        <v>5.7201329999999997</v>
      </c>
      <c r="U98" s="20">
        <v>5.6719030000000004</v>
      </c>
      <c r="V98" s="20">
        <v>5.6277799999999996</v>
      </c>
      <c r="W98" s="20">
        <v>5.5891190000000002</v>
      </c>
      <c r="X98" s="20">
        <v>5.5521039999999999</v>
      </c>
      <c r="Y98" s="20">
        <v>5.5174979999999998</v>
      </c>
      <c r="Z98" s="20">
        <v>5.4835640000000003</v>
      </c>
      <c r="AA98" s="20">
        <v>5.4438909999999998</v>
      </c>
      <c r="AB98" s="20">
        <v>5.4075309999999996</v>
      </c>
      <c r="AC98" s="20">
        <v>5.3732379999999997</v>
      </c>
      <c r="AD98" s="20">
        <v>5.3384010000000002</v>
      </c>
      <c r="AE98" s="20">
        <v>5.3043849999999999</v>
      </c>
      <c r="AF98" s="21">
        <v>-1.0409E-2</v>
      </c>
      <c r="AG98" s="10"/>
      <c r="AI98" s="5"/>
    </row>
    <row r="99" spans="1:35" ht="24.5" x14ac:dyDescent="0.35">
      <c r="A99" s="9" t="s">
        <v>144</v>
      </c>
      <c r="B99" s="19" t="s">
        <v>110</v>
      </c>
      <c r="C99" s="20">
        <v>2.4765199999999998</v>
      </c>
      <c r="D99" s="20">
        <v>2.1058129999999999</v>
      </c>
      <c r="E99" s="20">
        <v>2.555955</v>
      </c>
      <c r="F99" s="20">
        <v>2.6097670000000002</v>
      </c>
      <c r="G99" s="20">
        <v>2.647732</v>
      </c>
      <c r="H99" s="20">
        <v>2.6855289999999998</v>
      </c>
      <c r="I99" s="20">
        <v>2.7193200000000002</v>
      </c>
      <c r="J99" s="20">
        <v>2.7525309999999998</v>
      </c>
      <c r="K99" s="20">
        <v>2.7844319999999998</v>
      </c>
      <c r="L99" s="20">
        <v>2.8238189999999999</v>
      </c>
      <c r="M99" s="20">
        <v>2.8744489999999998</v>
      </c>
      <c r="N99" s="20">
        <v>2.9172989999999999</v>
      </c>
      <c r="O99" s="20">
        <v>2.9693239999999999</v>
      </c>
      <c r="P99" s="20">
        <v>3.0226950000000001</v>
      </c>
      <c r="Q99" s="20">
        <v>3.0803289999999999</v>
      </c>
      <c r="R99" s="20">
        <v>3.1334810000000002</v>
      </c>
      <c r="S99" s="20">
        <v>3.1798470000000001</v>
      </c>
      <c r="T99" s="20">
        <v>3.226057</v>
      </c>
      <c r="U99" s="20">
        <v>3.2779180000000001</v>
      </c>
      <c r="V99" s="20">
        <v>3.3334779999999999</v>
      </c>
      <c r="W99" s="20">
        <v>3.3983690000000002</v>
      </c>
      <c r="X99" s="20">
        <v>3.461468</v>
      </c>
      <c r="Y99" s="20">
        <v>3.5288270000000002</v>
      </c>
      <c r="Z99" s="20">
        <v>3.6009890000000002</v>
      </c>
      <c r="AA99" s="20">
        <v>3.6695880000000001</v>
      </c>
      <c r="AB99" s="20">
        <v>3.7439070000000001</v>
      </c>
      <c r="AC99" s="20">
        <v>3.820605</v>
      </c>
      <c r="AD99" s="20">
        <v>3.8934709999999999</v>
      </c>
      <c r="AE99" s="20">
        <v>3.9717359999999999</v>
      </c>
      <c r="AF99" s="21">
        <v>1.7013E-2</v>
      </c>
      <c r="AG99" s="10"/>
      <c r="AI99" s="5"/>
    </row>
    <row r="100" spans="1:35" ht="24.5" x14ac:dyDescent="0.35">
      <c r="A100" s="9" t="s">
        <v>145</v>
      </c>
      <c r="B100" s="19" t="s">
        <v>112</v>
      </c>
      <c r="C100" s="20">
        <v>2.785069</v>
      </c>
      <c r="D100" s="20">
        <v>2.7516790000000002</v>
      </c>
      <c r="E100" s="20">
        <v>2.7610139999999999</v>
      </c>
      <c r="F100" s="20">
        <v>2.7744179999999998</v>
      </c>
      <c r="G100" s="20">
        <v>2.778686</v>
      </c>
      <c r="H100" s="20">
        <v>2.7805049999999998</v>
      </c>
      <c r="I100" s="20">
        <v>2.7789269999999999</v>
      </c>
      <c r="J100" s="20">
        <v>2.7748309999999998</v>
      </c>
      <c r="K100" s="20">
        <v>2.7702309999999999</v>
      </c>
      <c r="L100" s="20">
        <v>2.7683219999999999</v>
      </c>
      <c r="M100" s="20">
        <v>2.770947</v>
      </c>
      <c r="N100" s="20">
        <v>2.7753830000000002</v>
      </c>
      <c r="O100" s="20">
        <v>2.7859159999999998</v>
      </c>
      <c r="P100" s="20">
        <v>2.8000310000000002</v>
      </c>
      <c r="Q100" s="20">
        <v>2.8152810000000001</v>
      </c>
      <c r="R100" s="20">
        <v>2.8261799999999999</v>
      </c>
      <c r="S100" s="20">
        <v>2.832077</v>
      </c>
      <c r="T100" s="20">
        <v>2.8373390000000001</v>
      </c>
      <c r="U100" s="20">
        <v>2.8452839999999999</v>
      </c>
      <c r="V100" s="20">
        <v>2.8552569999999999</v>
      </c>
      <c r="W100" s="20">
        <v>2.8699539999999999</v>
      </c>
      <c r="X100" s="20">
        <v>2.884296</v>
      </c>
      <c r="Y100" s="20">
        <v>2.9002319999999999</v>
      </c>
      <c r="Z100" s="20">
        <v>2.9167800000000002</v>
      </c>
      <c r="AA100" s="20">
        <v>2.9270330000000002</v>
      </c>
      <c r="AB100" s="20">
        <v>2.9404949999999999</v>
      </c>
      <c r="AC100" s="20">
        <v>2.9561459999999999</v>
      </c>
      <c r="AD100" s="20">
        <v>2.971393</v>
      </c>
      <c r="AE100" s="20">
        <v>2.988648</v>
      </c>
      <c r="AF100" s="21">
        <v>2.5230000000000001E-3</v>
      </c>
      <c r="AG100" s="10"/>
      <c r="AI100" s="5"/>
    </row>
    <row r="101" spans="1:35" ht="36.5" x14ac:dyDescent="0.35">
      <c r="A101" s="9" t="s">
        <v>146</v>
      </c>
      <c r="B101" s="19" t="s">
        <v>114</v>
      </c>
      <c r="C101" s="20">
        <v>0.83711599999999997</v>
      </c>
      <c r="D101" s="20">
        <v>0.82186300000000001</v>
      </c>
      <c r="E101" s="20">
        <v>0.82011000000000001</v>
      </c>
      <c r="F101" s="20">
        <v>0.81624399999999997</v>
      </c>
      <c r="G101" s="20">
        <v>0.80891999999999997</v>
      </c>
      <c r="H101" s="20">
        <v>0.80172299999999996</v>
      </c>
      <c r="I101" s="20">
        <v>0.79459900000000006</v>
      </c>
      <c r="J101" s="20">
        <v>0.78902099999999997</v>
      </c>
      <c r="K101" s="20">
        <v>0.78561499999999995</v>
      </c>
      <c r="L101" s="20">
        <v>0.78595899999999996</v>
      </c>
      <c r="M101" s="20">
        <v>0.78947999999999996</v>
      </c>
      <c r="N101" s="20">
        <v>0.79164599999999996</v>
      </c>
      <c r="O101" s="20">
        <v>0.79685099999999998</v>
      </c>
      <c r="P101" s="20">
        <v>0.80151399999999995</v>
      </c>
      <c r="Q101" s="20">
        <v>0.80695399999999995</v>
      </c>
      <c r="R101" s="20">
        <v>0.81127400000000005</v>
      </c>
      <c r="S101" s="20">
        <v>0.81484500000000004</v>
      </c>
      <c r="T101" s="20">
        <v>0.818855</v>
      </c>
      <c r="U101" s="20">
        <v>0.82500899999999999</v>
      </c>
      <c r="V101" s="20">
        <v>0.83284599999999998</v>
      </c>
      <c r="W101" s="20">
        <v>0.84326100000000004</v>
      </c>
      <c r="X101" s="20">
        <v>0.85264499999999999</v>
      </c>
      <c r="Y101" s="20">
        <v>0.862313</v>
      </c>
      <c r="Z101" s="20">
        <v>0.87239699999999998</v>
      </c>
      <c r="AA101" s="20">
        <v>0.879996</v>
      </c>
      <c r="AB101" s="20">
        <v>0.88808900000000002</v>
      </c>
      <c r="AC101" s="20">
        <v>0.89615100000000003</v>
      </c>
      <c r="AD101" s="20">
        <v>0.90310299999999999</v>
      </c>
      <c r="AE101" s="20">
        <v>0.91037599999999996</v>
      </c>
      <c r="AF101" s="21">
        <v>3.0010000000000002E-3</v>
      </c>
      <c r="AG101" s="10"/>
      <c r="AI101" s="5"/>
    </row>
    <row r="102" spans="1:35" x14ac:dyDescent="0.35">
      <c r="A102" s="9" t="s">
        <v>147</v>
      </c>
      <c r="B102" s="19" t="s">
        <v>116</v>
      </c>
      <c r="C102" s="20">
        <v>0.27869100000000002</v>
      </c>
      <c r="D102" s="20">
        <v>0.277586</v>
      </c>
      <c r="E102" s="20">
        <v>0.278916</v>
      </c>
      <c r="F102" s="20">
        <v>0.27972900000000001</v>
      </c>
      <c r="G102" s="20">
        <v>0.27971499999999999</v>
      </c>
      <c r="H102" s="20">
        <v>0.27955600000000003</v>
      </c>
      <c r="I102" s="20">
        <v>0.27926699999999999</v>
      </c>
      <c r="J102" s="20">
        <v>0.27914499999999998</v>
      </c>
      <c r="K102" s="20">
        <v>0.27929199999999998</v>
      </c>
      <c r="L102" s="20">
        <v>0.28000700000000001</v>
      </c>
      <c r="M102" s="20">
        <v>0.28118500000000002</v>
      </c>
      <c r="N102" s="20">
        <v>0.28208899999999998</v>
      </c>
      <c r="O102" s="20">
        <v>0.28358800000000001</v>
      </c>
      <c r="P102" s="20">
        <v>0.28497600000000001</v>
      </c>
      <c r="Q102" s="20">
        <v>0.28653800000000001</v>
      </c>
      <c r="R102" s="20">
        <v>0.28790199999999999</v>
      </c>
      <c r="S102" s="20">
        <v>0.28894199999999998</v>
      </c>
      <c r="T102" s="20">
        <v>0.28991400000000001</v>
      </c>
      <c r="U102" s="20">
        <v>0.29116700000000001</v>
      </c>
      <c r="V102" s="20">
        <v>0.292601</v>
      </c>
      <c r="W102" s="20">
        <v>0.29439500000000002</v>
      </c>
      <c r="X102" s="20">
        <v>0.29599999999999999</v>
      </c>
      <c r="Y102" s="20">
        <v>0.29768</v>
      </c>
      <c r="Z102" s="20">
        <v>0.29946400000000001</v>
      </c>
      <c r="AA102" s="20">
        <v>0.30079600000000001</v>
      </c>
      <c r="AB102" s="20">
        <v>0.30225800000000003</v>
      </c>
      <c r="AC102" s="20">
        <v>0.30374600000000002</v>
      </c>
      <c r="AD102" s="20">
        <v>0.30505599999999999</v>
      </c>
      <c r="AE102" s="20">
        <v>0.30645699999999998</v>
      </c>
      <c r="AF102" s="21">
        <v>3.398E-3</v>
      </c>
      <c r="AG102" s="10"/>
    </row>
    <row r="103" spans="1:35" ht="24.5" x14ac:dyDescent="0.35">
      <c r="A103" s="9" t="s">
        <v>148</v>
      </c>
      <c r="B103" s="19" t="s">
        <v>118</v>
      </c>
      <c r="C103" s="20">
        <v>0.66981000000000002</v>
      </c>
      <c r="D103" s="20">
        <v>0.67469400000000002</v>
      </c>
      <c r="E103" s="20">
        <v>0.69062800000000002</v>
      </c>
      <c r="F103" s="20">
        <v>0.70603700000000003</v>
      </c>
      <c r="G103" s="20">
        <v>0.71742399999999995</v>
      </c>
      <c r="H103" s="20">
        <v>0.72725099999999998</v>
      </c>
      <c r="I103" s="20">
        <v>0.73550199999999999</v>
      </c>
      <c r="J103" s="20">
        <v>0.743259</v>
      </c>
      <c r="K103" s="20">
        <v>0.75097999999999998</v>
      </c>
      <c r="L103" s="20">
        <v>0.76042200000000004</v>
      </c>
      <c r="M103" s="20">
        <v>0.77187300000000003</v>
      </c>
      <c r="N103" s="20">
        <v>0.780219</v>
      </c>
      <c r="O103" s="20">
        <v>0.79063000000000005</v>
      </c>
      <c r="P103" s="20">
        <v>0.80088999999999999</v>
      </c>
      <c r="Q103" s="20">
        <v>0.811639</v>
      </c>
      <c r="R103" s="20">
        <v>0.82012600000000002</v>
      </c>
      <c r="S103" s="20">
        <v>0.82628999999999997</v>
      </c>
      <c r="T103" s="20">
        <v>0.83206000000000002</v>
      </c>
      <c r="U103" s="20">
        <v>0.839117</v>
      </c>
      <c r="V103" s="20">
        <v>0.84721199999999997</v>
      </c>
      <c r="W103" s="20">
        <v>0.85745899999999997</v>
      </c>
      <c r="X103" s="20">
        <v>0.86720699999999995</v>
      </c>
      <c r="Y103" s="20">
        <v>0.87748899999999996</v>
      </c>
      <c r="Z103" s="20">
        <v>0.88828300000000004</v>
      </c>
      <c r="AA103" s="20">
        <v>0.89714099999999997</v>
      </c>
      <c r="AB103" s="20">
        <v>0.90712099999999996</v>
      </c>
      <c r="AC103" s="20">
        <v>0.91741099999999998</v>
      </c>
      <c r="AD103" s="20">
        <v>0.927091</v>
      </c>
      <c r="AE103" s="20">
        <v>0.93792699999999996</v>
      </c>
      <c r="AF103" s="21">
        <v>1.2097E-2</v>
      </c>
      <c r="AG103" s="10"/>
      <c r="AI103" s="5"/>
    </row>
    <row r="104" spans="1:35" x14ac:dyDescent="0.35">
      <c r="A104" s="9" t="s">
        <v>149</v>
      </c>
      <c r="B104" s="19" t="s">
        <v>120</v>
      </c>
      <c r="C104" s="20">
        <v>0.19544900000000001</v>
      </c>
      <c r="D104" s="20">
        <v>0.19247400000000001</v>
      </c>
      <c r="E104" s="20">
        <v>0.19247300000000001</v>
      </c>
      <c r="F104" s="20">
        <v>0.191769</v>
      </c>
      <c r="G104" s="20">
        <v>0.190053</v>
      </c>
      <c r="H104" s="20">
        <v>0.18817800000000001</v>
      </c>
      <c r="I104" s="20">
        <v>0.186248</v>
      </c>
      <c r="J104" s="20">
        <v>0.18460599999999999</v>
      </c>
      <c r="K104" s="20">
        <v>0.18338699999999999</v>
      </c>
      <c r="L104" s="20">
        <v>0.18290899999999999</v>
      </c>
      <c r="M104" s="20">
        <v>0.18302499999999999</v>
      </c>
      <c r="N104" s="20">
        <v>0.18269299999999999</v>
      </c>
      <c r="O104" s="20">
        <v>0.18293100000000001</v>
      </c>
      <c r="P104" s="20">
        <v>0.18290400000000001</v>
      </c>
      <c r="Q104" s="20">
        <v>0.18293799999999999</v>
      </c>
      <c r="R104" s="20">
        <v>0.18260999999999999</v>
      </c>
      <c r="S104" s="20">
        <v>0.18202199999999999</v>
      </c>
      <c r="T104" s="20">
        <v>0.18146000000000001</v>
      </c>
      <c r="U104" s="20">
        <v>0.18129899999999999</v>
      </c>
      <c r="V104" s="20">
        <v>0.18145800000000001</v>
      </c>
      <c r="W104" s="20">
        <v>0.18212900000000001</v>
      </c>
      <c r="X104" s="20">
        <v>0.18271999999999999</v>
      </c>
      <c r="Y104" s="20">
        <v>0.183532</v>
      </c>
      <c r="Z104" s="20">
        <v>0.18459900000000001</v>
      </c>
      <c r="AA104" s="20">
        <v>0.185312</v>
      </c>
      <c r="AB104" s="20">
        <v>0.186281</v>
      </c>
      <c r="AC104" s="20">
        <v>0.18728</v>
      </c>
      <c r="AD104" s="20">
        <v>0.188084</v>
      </c>
      <c r="AE104" s="20">
        <v>0.18899299999999999</v>
      </c>
      <c r="AF104" s="21">
        <v>-1.199E-3</v>
      </c>
      <c r="AG104" s="10"/>
      <c r="AI104" s="5"/>
    </row>
    <row r="105" spans="1:35" x14ac:dyDescent="0.35">
      <c r="A105" s="9" t="s">
        <v>150</v>
      </c>
      <c r="B105" s="19" t="s">
        <v>122</v>
      </c>
      <c r="C105" s="20">
        <v>0.64936700000000003</v>
      </c>
      <c r="D105" s="20">
        <v>0.59590500000000002</v>
      </c>
      <c r="E105" s="20">
        <v>0.57947400000000004</v>
      </c>
      <c r="F105" s="20">
        <v>0.57413700000000001</v>
      </c>
      <c r="G105" s="20">
        <v>0.57083899999999999</v>
      </c>
      <c r="H105" s="20">
        <v>0.57030599999999998</v>
      </c>
      <c r="I105" s="20">
        <v>0.57125999999999999</v>
      </c>
      <c r="J105" s="20">
        <v>0.57273600000000002</v>
      </c>
      <c r="K105" s="20">
        <v>0.56876000000000004</v>
      </c>
      <c r="L105" s="20">
        <v>0.56690600000000002</v>
      </c>
      <c r="M105" s="20">
        <v>0.56734200000000001</v>
      </c>
      <c r="N105" s="20">
        <v>0.56628500000000004</v>
      </c>
      <c r="O105" s="20">
        <v>0.56753699999999996</v>
      </c>
      <c r="P105" s="20">
        <v>0.56916199999999995</v>
      </c>
      <c r="Q105" s="20">
        <v>0.57101800000000003</v>
      </c>
      <c r="R105" s="20">
        <v>0.57133199999999995</v>
      </c>
      <c r="S105" s="20">
        <v>0.57008400000000004</v>
      </c>
      <c r="T105" s="20">
        <v>0.56870299999999996</v>
      </c>
      <c r="U105" s="20">
        <v>0.55844300000000002</v>
      </c>
      <c r="V105" s="20">
        <v>0.550342</v>
      </c>
      <c r="W105" s="20">
        <v>0.545122</v>
      </c>
      <c r="X105" s="20">
        <v>0.54107000000000005</v>
      </c>
      <c r="Y105" s="20">
        <v>0.53950600000000004</v>
      </c>
      <c r="Z105" s="20">
        <v>0.53939599999999999</v>
      </c>
      <c r="AA105" s="20">
        <v>0.53831099999999998</v>
      </c>
      <c r="AB105" s="20">
        <v>0.53816200000000003</v>
      </c>
      <c r="AC105" s="20">
        <v>0.53847599999999995</v>
      </c>
      <c r="AD105" s="20">
        <v>0.53874900000000003</v>
      </c>
      <c r="AE105" s="20">
        <v>0.539906</v>
      </c>
      <c r="AF105" s="21">
        <v>-6.5709999999999996E-3</v>
      </c>
      <c r="AG105" s="10"/>
      <c r="AI105" s="5"/>
    </row>
    <row r="106" spans="1:35" ht="24.5" x14ac:dyDescent="0.35">
      <c r="A106" s="9" t="s">
        <v>151</v>
      </c>
      <c r="B106" s="19" t="s">
        <v>124</v>
      </c>
      <c r="C106" s="20">
        <v>0.106182</v>
      </c>
      <c r="D106" s="20">
        <v>0.105708</v>
      </c>
      <c r="E106" s="20">
        <v>0.10688499999999999</v>
      </c>
      <c r="F106" s="20">
        <v>0.107719</v>
      </c>
      <c r="G106" s="20">
        <v>0.108011</v>
      </c>
      <c r="H106" s="20">
        <v>0.108223</v>
      </c>
      <c r="I106" s="20">
        <v>0.108365</v>
      </c>
      <c r="J106" s="20">
        <v>0.10863399999999999</v>
      </c>
      <c r="K106" s="20">
        <v>0.109156</v>
      </c>
      <c r="L106" s="20">
        <v>0.110086</v>
      </c>
      <c r="M106" s="20">
        <v>0.11135200000000001</v>
      </c>
      <c r="N106" s="20">
        <v>0.11230999999999999</v>
      </c>
      <c r="O106" s="20">
        <v>0.113578</v>
      </c>
      <c r="P106" s="20">
        <v>0.114638</v>
      </c>
      <c r="Q106" s="20">
        <v>0.115674</v>
      </c>
      <c r="R106" s="20">
        <v>0.11642</v>
      </c>
      <c r="S106" s="20">
        <v>0.11692900000000001</v>
      </c>
      <c r="T106" s="20">
        <v>0.117383</v>
      </c>
      <c r="U106" s="20">
        <v>0.11802600000000001</v>
      </c>
      <c r="V106" s="20">
        <v>0.11879199999999999</v>
      </c>
      <c r="W106" s="20">
        <v>0.11981600000000001</v>
      </c>
      <c r="X106" s="20">
        <v>0.1207</v>
      </c>
      <c r="Y106" s="20">
        <v>0.12163400000000001</v>
      </c>
      <c r="Z106" s="20">
        <v>0.12264</v>
      </c>
      <c r="AA106" s="20">
        <v>0.123317</v>
      </c>
      <c r="AB106" s="20">
        <v>0.124087</v>
      </c>
      <c r="AC106" s="20">
        <v>0.124877</v>
      </c>
      <c r="AD106" s="20">
        <v>0.12554000000000001</v>
      </c>
      <c r="AE106" s="20">
        <v>0.126277</v>
      </c>
      <c r="AF106" s="21">
        <v>6.2090000000000001E-3</v>
      </c>
      <c r="AG106" s="10"/>
      <c r="AI106" s="5"/>
    </row>
    <row r="107" spans="1:35" ht="36.5" x14ac:dyDescent="0.35">
      <c r="A107" s="9" t="s">
        <v>152</v>
      </c>
      <c r="B107" s="19" t="s">
        <v>126</v>
      </c>
      <c r="C107" s="20">
        <v>7.8223000000000001E-2</v>
      </c>
      <c r="D107" s="20">
        <v>7.8455999999999998E-2</v>
      </c>
      <c r="E107" s="20">
        <v>7.9879000000000006E-2</v>
      </c>
      <c r="F107" s="20">
        <v>8.1015000000000004E-2</v>
      </c>
      <c r="G107" s="20">
        <v>8.1703999999999999E-2</v>
      </c>
      <c r="H107" s="20">
        <v>8.2288E-2</v>
      </c>
      <c r="I107" s="20">
        <v>8.2902000000000003E-2</v>
      </c>
      <c r="J107" s="20">
        <v>8.3697999999999995E-2</v>
      </c>
      <c r="K107" s="20">
        <v>8.4734000000000004E-2</v>
      </c>
      <c r="L107" s="20">
        <v>8.6179000000000006E-2</v>
      </c>
      <c r="M107" s="20">
        <v>8.7991E-2</v>
      </c>
      <c r="N107" s="20">
        <v>8.9672000000000002E-2</v>
      </c>
      <c r="O107" s="20">
        <v>9.1721999999999998E-2</v>
      </c>
      <c r="P107" s="20">
        <v>9.3600000000000003E-2</v>
      </c>
      <c r="Q107" s="20">
        <v>9.5455999999999999E-2</v>
      </c>
      <c r="R107" s="20">
        <v>9.7072000000000006E-2</v>
      </c>
      <c r="S107" s="20">
        <v>9.8484000000000002E-2</v>
      </c>
      <c r="T107" s="20">
        <v>9.9843000000000001E-2</v>
      </c>
      <c r="U107" s="20">
        <v>0.101357</v>
      </c>
      <c r="V107" s="20">
        <v>0.102973</v>
      </c>
      <c r="W107" s="20">
        <v>0.104813</v>
      </c>
      <c r="X107" s="20">
        <v>0.106531</v>
      </c>
      <c r="Y107" s="20">
        <v>0.108293</v>
      </c>
      <c r="Z107" s="20">
        <v>0.110121</v>
      </c>
      <c r="AA107" s="20">
        <v>0.111651</v>
      </c>
      <c r="AB107" s="20">
        <v>0.11326</v>
      </c>
      <c r="AC107" s="20">
        <v>0.114884</v>
      </c>
      <c r="AD107" s="20">
        <v>0.116387</v>
      </c>
      <c r="AE107" s="20">
        <v>0.117952</v>
      </c>
      <c r="AF107" s="21">
        <v>1.4777E-2</v>
      </c>
      <c r="AG107" s="10"/>
      <c r="AI107" s="5"/>
    </row>
    <row r="108" spans="1:35" ht="60.5" x14ac:dyDescent="0.35">
      <c r="A108" s="9" t="s">
        <v>153</v>
      </c>
      <c r="B108" s="19" t="s">
        <v>128</v>
      </c>
      <c r="C108" s="20">
        <v>0.52424099999999996</v>
      </c>
      <c r="D108" s="20">
        <v>0.50756000000000001</v>
      </c>
      <c r="E108" s="20">
        <v>0.49981199999999998</v>
      </c>
      <c r="F108" s="20">
        <v>0.49174499999999999</v>
      </c>
      <c r="G108" s="20">
        <v>0.48112700000000003</v>
      </c>
      <c r="H108" s="20">
        <v>0.47011500000000001</v>
      </c>
      <c r="I108" s="20">
        <v>0.45847399999999999</v>
      </c>
      <c r="J108" s="20">
        <v>0.44717800000000002</v>
      </c>
      <c r="K108" s="20">
        <v>0.43663000000000002</v>
      </c>
      <c r="L108" s="20">
        <v>0.42787199999999997</v>
      </c>
      <c r="M108" s="20">
        <v>0.42068299999999997</v>
      </c>
      <c r="N108" s="20">
        <v>0.41233599999999998</v>
      </c>
      <c r="O108" s="20">
        <v>0.40550199999999997</v>
      </c>
      <c r="P108" s="20">
        <v>0.39916000000000001</v>
      </c>
      <c r="Q108" s="20">
        <v>0.39354099999999997</v>
      </c>
      <c r="R108" s="20">
        <v>0.38753900000000002</v>
      </c>
      <c r="S108" s="20">
        <v>0.381106</v>
      </c>
      <c r="T108" s="20">
        <v>0.37523499999999999</v>
      </c>
      <c r="U108" s="20">
        <v>0.37079299999999998</v>
      </c>
      <c r="V108" s="20">
        <v>0.36753000000000002</v>
      </c>
      <c r="W108" s="20">
        <v>0.36592000000000002</v>
      </c>
      <c r="X108" s="20">
        <v>0.36459000000000003</v>
      </c>
      <c r="Y108" s="20">
        <v>0.36407099999999998</v>
      </c>
      <c r="Z108" s="20">
        <v>0.36441600000000002</v>
      </c>
      <c r="AA108" s="20">
        <v>0.36443900000000001</v>
      </c>
      <c r="AB108" s="20">
        <v>0.36532999999999999</v>
      </c>
      <c r="AC108" s="20">
        <v>0.36663499999999999</v>
      </c>
      <c r="AD108" s="20">
        <v>0.36802099999999999</v>
      </c>
      <c r="AE108" s="20">
        <v>0.37015199999999998</v>
      </c>
      <c r="AF108" s="21">
        <v>-1.2352999999999999E-2</v>
      </c>
      <c r="AG108" s="10"/>
      <c r="AI108" s="5"/>
    </row>
    <row r="109" spans="1:35" ht="60.5" x14ac:dyDescent="0.35">
      <c r="A109" s="9" t="s">
        <v>154</v>
      </c>
      <c r="B109" s="19" t="s">
        <v>130</v>
      </c>
      <c r="C109" s="20">
        <v>0.34017799999999998</v>
      </c>
      <c r="D109" s="20">
        <v>0.33145000000000002</v>
      </c>
      <c r="E109" s="20">
        <v>0.32766200000000001</v>
      </c>
      <c r="F109" s="20">
        <v>0.32289099999999998</v>
      </c>
      <c r="G109" s="20">
        <v>0.31572299999999998</v>
      </c>
      <c r="H109" s="20">
        <v>0.30760500000000002</v>
      </c>
      <c r="I109" s="20">
        <v>0.29849799999999999</v>
      </c>
      <c r="J109" s="20">
        <v>0.28910400000000003</v>
      </c>
      <c r="K109" s="20">
        <v>0.27981200000000001</v>
      </c>
      <c r="L109" s="20">
        <v>0.27127299999999999</v>
      </c>
      <c r="M109" s="20">
        <v>0.26343899999999998</v>
      </c>
      <c r="N109" s="20">
        <v>0.25463999999999998</v>
      </c>
      <c r="O109" s="20">
        <v>0.24659700000000001</v>
      </c>
      <c r="P109" s="20">
        <v>0.23866799999999999</v>
      </c>
      <c r="Q109" s="20">
        <v>0.23112199999999999</v>
      </c>
      <c r="R109" s="20">
        <v>0.22326399999999999</v>
      </c>
      <c r="S109" s="20">
        <v>0.215225</v>
      </c>
      <c r="T109" s="20">
        <v>0.20760400000000001</v>
      </c>
      <c r="U109" s="20">
        <v>0.20091200000000001</v>
      </c>
      <c r="V109" s="20">
        <v>0.19502900000000001</v>
      </c>
      <c r="W109" s="20">
        <v>0.190272</v>
      </c>
      <c r="X109" s="20">
        <v>0.18592</v>
      </c>
      <c r="Y109" s="20">
        <v>0.18232200000000001</v>
      </c>
      <c r="Z109" s="20">
        <v>0.17945700000000001</v>
      </c>
      <c r="AA109" s="20">
        <v>0.17699999999999999</v>
      </c>
      <c r="AB109" s="20">
        <v>0.17538599999999999</v>
      </c>
      <c r="AC109" s="20">
        <v>0.174376</v>
      </c>
      <c r="AD109" s="20">
        <v>0.17383799999999999</v>
      </c>
      <c r="AE109" s="20">
        <v>0.17397000000000001</v>
      </c>
      <c r="AF109" s="21">
        <v>-2.3664999999999999E-2</v>
      </c>
      <c r="AG109" s="10"/>
      <c r="AI109" s="5"/>
    </row>
    <row r="110" spans="1:35" ht="60.5" x14ac:dyDescent="0.35">
      <c r="A110" s="9" t="s">
        <v>155</v>
      </c>
      <c r="B110" s="19" t="s">
        <v>132</v>
      </c>
      <c r="C110" s="20">
        <v>0.25257299999999999</v>
      </c>
      <c r="D110" s="20">
        <v>0.24671000000000001</v>
      </c>
      <c r="E110" s="20">
        <v>0.22173100000000001</v>
      </c>
      <c r="F110" s="20">
        <v>0.22417599999999999</v>
      </c>
      <c r="G110" s="20">
        <v>0.225276</v>
      </c>
      <c r="H110" s="20">
        <v>0.225825</v>
      </c>
      <c r="I110" s="20">
        <v>0.22562099999999999</v>
      </c>
      <c r="J110" s="20">
        <v>0.22486900000000001</v>
      </c>
      <c r="K110" s="20">
        <v>0.22392599999999999</v>
      </c>
      <c r="L110" s="20">
        <v>0.22317799999999999</v>
      </c>
      <c r="M110" s="20">
        <v>0.22254199999999999</v>
      </c>
      <c r="N110" s="20">
        <v>0.22076200000000001</v>
      </c>
      <c r="O110" s="20">
        <v>0.21889700000000001</v>
      </c>
      <c r="P110" s="20">
        <v>0.21618299999999999</v>
      </c>
      <c r="Q110" s="20">
        <v>0.21316199999999999</v>
      </c>
      <c r="R110" s="20">
        <v>0.20943300000000001</v>
      </c>
      <c r="S110" s="20">
        <v>0.20494000000000001</v>
      </c>
      <c r="T110" s="20">
        <v>0.200434</v>
      </c>
      <c r="U110" s="20">
        <v>0.196406</v>
      </c>
      <c r="V110" s="20">
        <v>0.19278899999999999</v>
      </c>
      <c r="W110" s="20">
        <v>0.189775</v>
      </c>
      <c r="X110" s="20">
        <v>0.18689</v>
      </c>
      <c r="Y110" s="20">
        <v>0.18443599999999999</v>
      </c>
      <c r="Z110" s="20">
        <v>0.182334</v>
      </c>
      <c r="AA110" s="20">
        <v>0.17981900000000001</v>
      </c>
      <c r="AB110" s="20">
        <v>0.17780699999999999</v>
      </c>
      <c r="AC110" s="20">
        <v>0.17621899999999999</v>
      </c>
      <c r="AD110" s="20">
        <v>0.17477599999999999</v>
      </c>
      <c r="AE110" s="20">
        <v>0.173677</v>
      </c>
      <c r="AF110" s="21">
        <v>-1.3285999999999999E-2</v>
      </c>
      <c r="AG110" s="10"/>
      <c r="AI110" s="5"/>
    </row>
    <row r="111" spans="1:35" ht="24.5" x14ac:dyDescent="0.35">
      <c r="A111" s="9" t="s">
        <v>156</v>
      </c>
      <c r="B111" s="19" t="s">
        <v>134</v>
      </c>
      <c r="C111" s="20">
        <v>5.2054660000000004</v>
      </c>
      <c r="D111" s="20">
        <v>5.2792649999999997</v>
      </c>
      <c r="E111" s="20">
        <v>5.3680680000000001</v>
      </c>
      <c r="F111" s="20">
        <v>5.4667950000000003</v>
      </c>
      <c r="G111" s="20">
        <v>5.5393330000000001</v>
      </c>
      <c r="H111" s="20">
        <v>5.6196859999999997</v>
      </c>
      <c r="I111" s="20">
        <v>5.6796139999999999</v>
      </c>
      <c r="J111" s="20">
        <v>5.7321720000000003</v>
      </c>
      <c r="K111" s="20">
        <v>5.7932949999999996</v>
      </c>
      <c r="L111" s="20">
        <v>5.8741300000000001</v>
      </c>
      <c r="M111" s="20">
        <v>5.9726720000000002</v>
      </c>
      <c r="N111" s="20">
        <v>6.0554870000000003</v>
      </c>
      <c r="O111" s="20">
        <v>6.1483489999999996</v>
      </c>
      <c r="P111" s="20">
        <v>6.2413259999999999</v>
      </c>
      <c r="Q111" s="20">
        <v>6.3396559999999997</v>
      </c>
      <c r="R111" s="20">
        <v>6.4296220000000002</v>
      </c>
      <c r="S111" s="20">
        <v>6.5040570000000004</v>
      </c>
      <c r="T111" s="20">
        <v>6.5783399999999999</v>
      </c>
      <c r="U111" s="20">
        <v>6.6683149999999998</v>
      </c>
      <c r="V111" s="20">
        <v>6.7671700000000001</v>
      </c>
      <c r="W111" s="20">
        <v>6.8881180000000004</v>
      </c>
      <c r="X111" s="20">
        <v>7.0062930000000003</v>
      </c>
      <c r="Y111" s="20">
        <v>7.1321969999999997</v>
      </c>
      <c r="Z111" s="20">
        <v>7.2672169999999996</v>
      </c>
      <c r="AA111" s="20">
        <v>7.3884829999999999</v>
      </c>
      <c r="AB111" s="20">
        <v>7.5214470000000002</v>
      </c>
      <c r="AC111" s="20">
        <v>7.6591680000000002</v>
      </c>
      <c r="AD111" s="20">
        <v>7.7947930000000003</v>
      </c>
      <c r="AE111" s="20">
        <v>7.9456879999999996</v>
      </c>
      <c r="AF111" s="21">
        <v>1.5219E-2</v>
      </c>
      <c r="AG111" s="10"/>
      <c r="AI111" s="5"/>
    </row>
    <row r="112" spans="1:35" ht="60.5" x14ac:dyDescent="0.35">
      <c r="A112" s="9" t="s">
        <v>157</v>
      </c>
      <c r="B112" s="18" t="s">
        <v>158</v>
      </c>
      <c r="C112" s="32">
        <v>21.508896</v>
      </c>
      <c r="D112" s="32">
        <v>21.121822000000002</v>
      </c>
      <c r="E112" s="32">
        <v>20.988358000000002</v>
      </c>
      <c r="F112" s="32">
        <v>21.127586000000001</v>
      </c>
      <c r="G112" s="32">
        <v>21.191535999999999</v>
      </c>
      <c r="H112" s="32">
        <v>21.249516</v>
      </c>
      <c r="I112" s="32">
        <v>21.267403000000002</v>
      </c>
      <c r="J112" s="32">
        <v>21.267963000000002</v>
      </c>
      <c r="K112" s="32">
        <v>21.269732999999999</v>
      </c>
      <c r="L112" s="32">
        <v>21.316433</v>
      </c>
      <c r="M112" s="32">
        <v>21.412941</v>
      </c>
      <c r="N112" s="32">
        <v>21.481677999999999</v>
      </c>
      <c r="O112" s="32">
        <v>21.587553</v>
      </c>
      <c r="P112" s="32">
        <v>21.698273</v>
      </c>
      <c r="Q112" s="32">
        <v>21.825367</v>
      </c>
      <c r="R112" s="32">
        <v>21.926689</v>
      </c>
      <c r="S112" s="32">
        <v>21.989027</v>
      </c>
      <c r="T112" s="32">
        <v>22.053360000000001</v>
      </c>
      <c r="U112" s="32">
        <v>22.145949999999999</v>
      </c>
      <c r="V112" s="32">
        <v>22.265259</v>
      </c>
      <c r="W112" s="32">
        <v>22.438521999999999</v>
      </c>
      <c r="X112" s="32">
        <v>22.608433000000002</v>
      </c>
      <c r="Y112" s="32">
        <v>22.800034</v>
      </c>
      <c r="Z112" s="32">
        <v>23.011658000000001</v>
      </c>
      <c r="AA112" s="32">
        <v>23.186775000000001</v>
      </c>
      <c r="AB112" s="32">
        <v>23.391161</v>
      </c>
      <c r="AC112" s="32">
        <v>23.609210999999998</v>
      </c>
      <c r="AD112" s="32">
        <v>23.818702999999999</v>
      </c>
      <c r="AE112" s="32">
        <v>24.056145000000001</v>
      </c>
      <c r="AF112" s="33">
        <v>4.0049999999999999E-3</v>
      </c>
      <c r="AG112" s="10"/>
      <c r="AI112" s="5"/>
    </row>
    <row r="113" spans="1:35" ht="36.5" x14ac:dyDescent="0.35">
      <c r="A113" s="9" t="s">
        <v>159</v>
      </c>
      <c r="B113" s="19" t="s">
        <v>160</v>
      </c>
      <c r="C113" s="20">
        <v>0.112023</v>
      </c>
      <c r="D113" s="20">
        <v>0.123458</v>
      </c>
      <c r="E113" s="20">
        <v>0.13652900000000001</v>
      </c>
      <c r="F113" s="20">
        <v>0.14977699999999999</v>
      </c>
      <c r="G113" s="20">
        <v>0.16300899999999999</v>
      </c>
      <c r="H113" s="20">
        <v>0.17658499999999999</v>
      </c>
      <c r="I113" s="20">
        <v>0.19053</v>
      </c>
      <c r="J113" s="20">
        <v>0.20494499999999999</v>
      </c>
      <c r="K113" s="20">
        <v>0.21981999999999999</v>
      </c>
      <c r="L113" s="20">
        <v>0.23524600000000001</v>
      </c>
      <c r="M113" s="20">
        <v>0.25148999999999999</v>
      </c>
      <c r="N113" s="20">
        <v>0.26793699999999998</v>
      </c>
      <c r="O113" s="20">
        <v>0.28465000000000001</v>
      </c>
      <c r="P113" s="20">
        <v>0.29947400000000002</v>
      </c>
      <c r="Q113" s="20">
        <v>0.31491799999999998</v>
      </c>
      <c r="R113" s="20">
        <v>0.33096799999999998</v>
      </c>
      <c r="S113" s="20">
        <v>0.34801199999999999</v>
      </c>
      <c r="T113" s="20">
        <v>0.36618699999999998</v>
      </c>
      <c r="U113" s="20">
        <v>0.38540000000000002</v>
      </c>
      <c r="V113" s="20">
        <v>0.40570899999999999</v>
      </c>
      <c r="W113" s="20">
        <v>0.427124</v>
      </c>
      <c r="X113" s="20">
        <v>0.44966</v>
      </c>
      <c r="Y113" s="20">
        <v>0.47307100000000002</v>
      </c>
      <c r="Z113" s="20">
        <v>0.49757400000000002</v>
      </c>
      <c r="AA113" s="20">
        <v>0.52299700000000005</v>
      </c>
      <c r="AB113" s="20">
        <v>0.54935500000000004</v>
      </c>
      <c r="AC113" s="20">
        <v>0.57694599999999996</v>
      </c>
      <c r="AD113" s="20">
        <v>0.60526800000000003</v>
      </c>
      <c r="AE113" s="20">
        <v>0.63452399999999998</v>
      </c>
      <c r="AF113" s="21">
        <v>6.3893000000000005E-2</v>
      </c>
      <c r="AG113" s="10"/>
    </row>
    <row r="114" spans="1:35" ht="36.5" x14ac:dyDescent="0.35">
      <c r="A114" s="9" t="s">
        <v>161</v>
      </c>
      <c r="B114" s="18" t="s">
        <v>5</v>
      </c>
      <c r="C114" s="22">
        <v>21.396872999999999</v>
      </c>
      <c r="D114" s="22">
        <v>20.998363000000001</v>
      </c>
      <c r="E114" s="22">
        <v>20.851828000000001</v>
      </c>
      <c r="F114" s="22">
        <v>20.977810000000002</v>
      </c>
      <c r="G114" s="22">
        <v>21.028528000000001</v>
      </c>
      <c r="H114" s="22">
        <v>21.072931000000001</v>
      </c>
      <c r="I114" s="22">
        <v>21.076872000000002</v>
      </c>
      <c r="J114" s="22">
        <v>21.063019000000001</v>
      </c>
      <c r="K114" s="22">
        <v>21.049913</v>
      </c>
      <c r="L114" s="22">
        <v>21.081185999999999</v>
      </c>
      <c r="M114" s="22">
        <v>21.161451</v>
      </c>
      <c r="N114" s="22">
        <v>21.213740999999999</v>
      </c>
      <c r="O114" s="22">
        <v>21.302902</v>
      </c>
      <c r="P114" s="22">
        <v>21.398797999999999</v>
      </c>
      <c r="Q114" s="22">
        <v>21.510448</v>
      </c>
      <c r="R114" s="22">
        <v>21.59572</v>
      </c>
      <c r="S114" s="22">
        <v>21.641013999999998</v>
      </c>
      <c r="T114" s="22">
        <v>21.687172</v>
      </c>
      <c r="U114" s="22">
        <v>21.760549999999999</v>
      </c>
      <c r="V114" s="22">
        <v>21.859549000000001</v>
      </c>
      <c r="W114" s="22">
        <v>22.011398</v>
      </c>
      <c r="X114" s="22">
        <v>22.158773</v>
      </c>
      <c r="Y114" s="22">
        <v>22.326962999999999</v>
      </c>
      <c r="Z114" s="22">
        <v>22.514084</v>
      </c>
      <c r="AA114" s="22">
        <v>22.663778000000001</v>
      </c>
      <c r="AB114" s="22">
        <v>22.841805999999998</v>
      </c>
      <c r="AC114" s="22">
        <v>23.032264999999999</v>
      </c>
      <c r="AD114" s="22">
        <v>23.213433999999999</v>
      </c>
      <c r="AE114" s="22">
        <v>23.421619</v>
      </c>
      <c r="AF114" s="23">
        <v>3.2339999999999999E-3</v>
      </c>
      <c r="AG114" s="10"/>
      <c r="AI114" s="5"/>
    </row>
    <row r="115" spans="1:35" x14ac:dyDescent="0.35">
      <c r="A115" s="6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I115" s="5"/>
    </row>
    <row r="116" spans="1:35" ht="48.5" x14ac:dyDescent="0.35">
      <c r="A116" s="6"/>
      <c r="B116" s="18" t="s">
        <v>162</v>
      </c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I116" s="5"/>
    </row>
    <row r="117" spans="1:35" ht="48.5" x14ac:dyDescent="0.35">
      <c r="A117" s="9" t="s">
        <v>163</v>
      </c>
      <c r="B117" s="19" t="s">
        <v>164</v>
      </c>
      <c r="C117" s="20">
        <v>1.4845000000000001E-2</v>
      </c>
      <c r="D117" s="20">
        <v>1.5337E-2</v>
      </c>
      <c r="E117" s="20">
        <v>1.7392999999999999E-2</v>
      </c>
      <c r="F117" s="20">
        <v>1.9101E-2</v>
      </c>
      <c r="G117" s="20">
        <v>2.0705000000000001E-2</v>
      </c>
      <c r="H117" s="20">
        <v>2.2252999999999998E-2</v>
      </c>
      <c r="I117" s="20">
        <v>2.3747000000000001E-2</v>
      </c>
      <c r="J117" s="20">
        <v>2.5304E-2</v>
      </c>
      <c r="K117" s="20">
        <v>2.6698E-2</v>
      </c>
      <c r="L117" s="20">
        <v>2.8160000000000001E-2</v>
      </c>
      <c r="M117" s="20">
        <v>2.9547E-2</v>
      </c>
      <c r="N117" s="20">
        <v>3.0886E-2</v>
      </c>
      <c r="O117" s="20">
        <v>3.2044999999999997E-2</v>
      </c>
      <c r="P117" s="20">
        <v>3.2747999999999999E-2</v>
      </c>
      <c r="Q117" s="20">
        <v>3.3270000000000001E-2</v>
      </c>
      <c r="R117" s="20">
        <v>3.3674000000000003E-2</v>
      </c>
      <c r="S117" s="20">
        <v>3.3866E-2</v>
      </c>
      <c r="T117" s="20">
        <v>3.424E-2</v>
      </c>
      <c r="U117" s="20">
        <v>3.4597999999999997E-2</v>
      </c>
      <c r="V117" s="20">
        <v>3.5140999999999999E-2</v>
      </c>
      <c r="W117" s="20">
        <v>3.5660999999999998E-2</v>
      </c>
      <c r="X117" s="20">
        <v>3.6152999999999998E-2</v>
      </c>
      <c r="Y117" s="20">
        <v>3.6614000000000001E-2</v>
      </c>
      <c r="Z117" s="20">
        <v>3.7157999999999997E-2</v>
      </c>
      <c r="AA117" s="20">
        <v>3.7769999999999998E-2</v>
      </c>
      <c r="AB117" s="20">
        <v>3.8505999999999999E-2</v>
      </c>
      <c r="AC117" s="20">
        <v>3.9142999999999997E-2</v>
      </c>
      <c r="AD117" s="20">
        <v>3.9898999999999997E-2</v>
      </c>
      <c r="AE117" s="20">
        <v>4.0578000000000003E-2</v>
      </c>
      <c r="AF117" s="21">
        <v>3.6565E-2</v>
      </c>
      <c r="AG117" s="10"/>
      <c r="AI117" s="5"/>
    </row>
    <row r="118" spans="1:35" ht="36.5" x14ac:dyDescent="0.35">
      <c r="A118" s="9" t="s">
        <v>165</v>
      </c>
      <c r="B118" s="19" t="s">
        <v>166</v>
      </c>
      <c r="C118" s="20">
        <v>5.7070999999999997E-2</v>
      </c>
      <c r="D118" s="20">
        <v>6.5246999999999999E-2</v>
      </c>
      <c r="E118" s="20">
        <v>7.4490000000000001E-2</v>
      </c>
      <c r="F118" s="20">
        <v>8.2332000000000002E-2</v>
      </c>
      <c r="G118" s="20">
        <v>8.9647000000000004E-2</v>
      </c>
      <c r="H118" s="20">
        <v>9.6698999999999993E-2</v>
      </c>
      <c r="I118" s="20">
        <v>0.103424</v>
      </c>
      <c r="J118" s="20">
        <v>0.110056</v>
      </c>
      <c r="K118" s="20">
        <v>0.11708300000000001</v>
      </c>
      <c r="L118" s="20">
        <v>0.1244</v>
      </c>
      <c r="M118" s="20">
        <v>0.13175400000000001</v>
      </c>
      <c r="N118" s="20">
        <v>0.136737</v>
      </c>
      <c r="O118" s="20">
        <v>0.13999400000000001</v>
      </c>
      <c r="P118" s="20">
        <v>0.13961699999999999</v>
      </c>
      <c r="Q118" s="20">
        <v>0.13946500000000001</v>
      </c>
      <c r="R118" s="20">
        <v>0.13922100000000001</v>
      </c>
      <c r="S118" s="20">
        <v>0.13922000000000001</v>
      </c>
      <c r="T118" s="20">
        <v>0.139213</v>
      </c>
      <c r="U118" s="20">
        <v>0.139127</v>
      </c>
      <c r="V118" s="20">
        <v>0.139539</v>
      </c>
      <c r="W118" s="20">
        <v>0.13955999999999999</v>
      </c>
      <c r="X118" s="20">
        <v>0.13979800000000001</v>
      </c>
      <c r="Y118" s="20">
        <v>0.139983</v>
      </c>
      <c r="Z118" s="20">
        <v>0.14035800000000001</v>
      </c>
      <c r="AA118" s="20">
        <v>0.140489</v>
      </c>
      <c r="AB118" s="20">
        <v>0.140678</v>
      </c>
      <c r="AC118" s="20">
        <v>0.140518</v>
      </c>
      <c r="AD118" s="20">
        <v>0.14077500000000001</v>
      </c>
      <c r="AE118" s="20">
        <v>0.140678</v>
      </c>
      <c r="AF118" s="21">
        <v>3.2745000000000003E-2</v>
      </c>
      <c r="AG118" s="10"/>
      <c r="AI118" s="5"/>
    </row>
    <row r="119" spans="1:35" ht="36.5" x14ac:dyDescent="0.35">
      <c r="A119" s="9" t="s">
        <v>167</v>
      </c>
      <c r="B119" s="19" t="s">
        <v>168</v>
      </c>
      <c r="C119" s="20">
        <v>0.32074200000000003</v>
      </c>
      <c r="D119" s="20">
        <v>0.35317799999999999</v>
      </c>
      <c r="E119" s="20">
        <v>0.39725199999999999</v>
      </c>
      <c r="F119" s="20">
        <v>0.43442599999999998</v>
      </c>
      <c r="G119" s="20">
        <v>0.47073300000000001</v>
      </c>
      <c r="H119" s="20">
        <v>0.50977799999999995</v>
      </c>
      <c r="I119" s="20">
        <v>0.54817300000000002</v>
      </c>
      <c r="J119" s="20">
        <v>0.58955800000000003</v>
      </c>
      <c r="K119" s="20">
        <v>0.63500900000000005</v>
      </c>
      <c r="L119" s="20">
        <v>0.682952</v>
      </c>
      <c r="M119" s="20">
        <v>0.73329999999999995</v>
      </c>
      <c r="N119" s="20">
        <v>0.78193000000000001</v>
      </c>
      <c r="O119" s="20">
        <v>0.83591400000000005</v>
      </c>
      <c r="P119" s="20">
        <v>0.88302199999999997</v>
      </c>
      <c r="Q119" s="20">
        <v>0.92925899999999995</v>
      </c>
      <c r="R119" s="20">
        <v>0.97457099999999997</v>
      </c>
      <c r="S119" s="20">
        <v>1.022575</v>
      </c>
      <c r="T119" s="20">
        <v>1.0770759999999999</v>
      </c>
      <c r="U119" s="20">
        <v>1.132468</v>
      </c>
      <c r="V119" s="20">
        <v>1.1976089999999999</v>
      </c>
      <c r="W119" s="20">
        <v>1.2617700000000001</v>
      </c>
      <c r="X119" s="20">
        <v>1.3309089999999999</v>
      </c>
      <c r="Y119" s="20">
        <v>1.4054310000000001</v>
      </c>
      <c r="Z119" s="20">
        <v>1.4835309999999999</v>
      </c>
      <c r="AA119" s="20">
        <v>1.559299</v>
      </c>
      <c r="AB119" s="20">
        <v>1.639516</v>
      </c>
      <c r="AC119" s="20">
        <v>1.7206680000000001</v>
      </c>
      <c r="AD119" s="20">
        <v>1.8081609999999999</v>
      </c>
      <c r="AE119" s="20">
        <v>1.890247</v>
      </c>
      <c r="AF119" s="21">
        <v>6.5401000000000001E-2</v>
      </c>
      <c r="AG119" s="10"/>
      <c r="AI119" s="5"/>
    </row>
    <row r="120" spans="1:35" x14ac:dyDescent="0.35">
      <c r="A120" s="9" t="s">
        <v>169</v>
      </c>
      <c r="B120" s="19" t="s">
        <v>170</v>
      </c>
      <c r="C120" s="20">
        <v>5.6099999999999998E-4</v>
      </c>
      <c r="D120" s="20">
        <v>6.0300000000000002E-4</v>
      </c>
      <c r="E120" s="20">
        <v>6.5899999999999997E-4</v>
      </c>
      <c r="F120" s="20">
        <v>7.0500000000000001E-4</v>
      </c>
      <c r="G120" s="20">
        <v>7.4799999999999997E-4</v>
      </c>
      <c r="H120" s="20">
        <v>8.0099999999999995E-4</v>
      </c>
      <c r="I120" s="20">
        <v>8.5400000000000005E-4</v>
      </c>
      <c r="J120" s="20">
        <v>9.0700000000000004E-4</v>
      </c>
      <c r="K120" s="20">
        <v>9.6000000000000002E-4</v>
      </c>
      <c r="L120" s="20">
        <v>1.0169999999999999E-3</v>
      </c>
      <c r="M120" s="20">
        <v>1.072E-3</v>
      </c>
      <c r="N120" s="20">
        <v>1.122E-3</v>
      </c>
      <c r="O120" s="20">
        <v>1.122E-3</v>
      </c>
      <c r="P120" s="20">
        <v>1.127E-3</v>
      </c>
      <c r="Q120" s="20">
        <v>1.126E-3</v>
      </c>
      <c r="R120" s="20">
        <v>1.1280000000000001E-3</v>
      </c>
      <c r="S120" s="20">
        <v>1.1280000000000001E-3</v>
      </c>
      <c r="T120" s="20">
        <v>1.1299999999999999E-3</v>
      </c>
      <c r="U120" s="20">
        <v>1.1349999999999999E-3</v>
      </c>
      <c r="V120" s="20">
        <v>1.1440000000000001E-3</v>
      </c>
      <c r="W120" s="20">
        <v>1.1460000000000001E-3</v>
      </c>
      <c r="X120" s="20">
        <v>1.1540000000000001E-3</v>
      </c>
      <c r="Y120" s="20">
        <v>1.1620000000000001E-3</v>
      </c>
      <c r="Z120" s="20">
        <v>1.17E-3</v>
      </c>
      <c r="AA120" s="20">
        <v>1.1770000000000001E-3</v>
      </c>
      <c r="AB120" s="20">
        <v>1.183E-3</v>
      </c>
      <c r="AC120" s="20">
        <v>1.1869999999999999E-3</v>
      </c>
      <c r="AD120" s="20">
        <v>1.194E-3</v>
      </c>
      <c r="AE120" s="20">
        <v>1.1919999999999999E-3</v>
      </c>
      <c r="AF120" s="21">
        <v>2.7265000000000001E-2</v>
      </c>
      <c r="AG120" s="10"/>
      <c r="AI120" s="5"/>
    </row>
    <row r="121" spans="1:35" x14ac:dyDescent="0.35">
      <c r="A121" s="9" t="s">
        <v>171</v>
      </c>
      <c r="B121" s="18" t="s">
        <v>172</v>
      </c>
      <c r="C121" s="22">
        <v>0.39321899999999999</v>
      </c>
      <c r="D121" s="22">
        <v>0.43436599999999997</v>
      </c>
      <c r="E121" s="22">
        <v>0.48979299999999998</v>
      </c>
      <c r="F121" s="22">
        <v>0.53656400000000004</v>
      </c>
      <c r="G121" s="22">
        <v>0.58183300000000004</v>
      </c>
      <c r="H121" s="22">
        <v>0.62953099999999995</v>
      </c>
      <c r="I121" s="22">
        <v>0.67619799999999997</v>
      </c>
      <c r="J121" s="22">
        <v>0.72582400000000002</v>
      </c>
      <c r="K121" s="22">
        <v>0.77975099999999997</v>
      </c>
      <c r="L121" s="22">
        <v>0.83652899999999997</v>
      </c>
      <c r="M121" s="22">
        <v>0.89567300000000005</v>
      </c>
      <c r="N121" s="22">
        <v>0.95067500000000005</v>
      </c>
      <c r="O121" s="22">
        <v>1.0090749999999999</v>
      </c>
      <c r="P121" s="22">
        <v>1.056513</v>
      </c>
      <c r="Q121" s="22">
        <v>1.103119</v>
      </c>
      <c r="R121" s="22">
        <v>1.148593</v>
      </c>
      <c r="S121" s="22">
        <v>1.1967890000000001</v>
      </c>
      <c r="T121" s="22">
        <v>1.2516590000000001</v>
      </c>
      <c r="U121" s="22">
        <v>1.307328</v>
      </c>
      <c r="V121" s="22">
        <v>1.3734329999999999</v>
      </c>
      <c r="W121" s="22">
        <v>1.438137</v>
      </c>
      <c r="X121" s="22">
        <v>1.508014</v>
      </c>
      <c r="Y121" s="22">
        <v>1.5831900000000001</v>
      </c>
      <c r="Z121" s="22">
        <v>1.662218</v>
      </c>
      <c r="AA121" s="22">
        <v>1.7387349999999999</v>
      </c>
      <c r="AB121" s="22">
        <v>1.8198840000000001</v>
      </c>
      <c r="AC121" s="22">
        <v>1.9015150000000001</v>
      </c>
      <c r="AD121" s="22">
        <v>1.990029</v>
      </c>
      <c r="AE121" s="22">
        <v>2.072695</v>
      </c>
      <c r="AF121" s="23">
        <v>6.1163000000000002E-2</v>
      </c>
      <c r="AG121" s="10"/>
      <c r="AI121" s="5"/>
    </row>
    <row r="122" spans="1:35" x14ac:dyDescent="0.35">
      <c r="A122" s="6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I122" s="5"/>
    </row>
    <row r="123" spans="1:35" ht="36.5" x14ac:dyDescent="0.35">
      <c r="A123" s="6"/>
      <c r="B123" s="18" t="s">
        <v>6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I123" s="5"/>
    </row>
    <row r="124" spans="1:35" ht="24.5" x14ac:dyDescent="0.35">
      <c r="A124" s="9" t="s">
        <v>173</v>
      </c>
      <c r="B124" s="19" t="s">
        <v>174</v>
      </c>
      <c r="C124" s="24">
        <v>6198</v>
      </c>
      <c r="D124" s="24">
        <v>6420</v>
      </c>
      <c r="E124" s="24">
        <v>5972</v>
      </c>
      <c r="F124" s="24">
        <v>5949</v>
      </c>
      <c r="G124" s="24">
        <v>5925</v>
      </c>
      <c r="H124" s="24">
        <v>5902</v>
      </c>
      <c r="I124" s="24">
        <v>5878</v>
      </c>
      <c r="J124" s="24">
        <v>5854</v>
      </c>
      <c r="K124" s="24">
        <v>5830</v>
      </c>
      <c r="L124" s="24">
        <v>5807</v>
      </c>
      <c r="M124" s="24">
        <v>5783</v>
      </c>
      <c r="N124" s="24">
        <v>5759</v>
      </c>
      <c r="O124" s="24">
        <v>5735</v>
      </c>
      <c r="P124" s="24">
        <v>5711</v>
      </c>
      <c r="Q124" s="24">
        <v>5687</v>
      </c>
      <c r="R124" s="24">
        <v>5663</v>
      </c>
      <c r="S124" s="24">
        <v>5639</v>
      </c>
      <c r="T124" s="24">
        <v>5615</v>
      </c>
      <c r="U124" s="24">
        <v>5591</v>
      </c>
      <c r="V124" s="24">
        <v>5567</v>
      </c>
      <c r="W124" s="24">
        <v>5543</v>
      </c>
      <c r="X124" s="24">
        <v>5519</v>
      </c>
      <c r="Y124" s="24">
        <v>5495</v>
      </c>
      <c r="Z124" s="24">
        <v>5471</v>
      </c>
      <c r="AA124" s="24">
        <v>5447</v>
      </c>
      <c r="AB124" s="24">
        <v>5423</v>
      </c>
      <c r="AC124" s="24">
        <v>5399</v>
      </c>
      <c r="AD124" s="24">
        <v>5374</v>
      </c>
      <c r="AE124" s="24">
        <v>5350</v>
      </c>
      <c r="AF124" s="21">
        <v>-5.241E-3</v>
      </c>
      <c r="AG124" s="10"/>
    </row>
    <row r="125" spans="1:35" ht="24.5" x14ac:dyDescent="0.35">
      <c r="A125" s="9" t="s">
        <v>175</v>
      </c>
      <c r="B125" s="19" t="s">
        <v>176</v>
      </c>
      <c r="C125" s="24">
        <v>5742</v>
      </c>
      <c r="D125" s="24">
        <v>5779</v>
      </c>
      <c r="E125" s="24">
        <v>5348</v>
      </c>
      <c r="F125" s="24">
        <v>5325</v>
      </c>
      <c r="G125" s="24">
        <v>5303</v>
      </c>
      <c r="H125" s="24">
        <v>5281</v>
      </c>
      <c r="I125" s="24">
        <v>5259</v>
      </c>
      <c r="J125" s="24">
        <v>5236</v>
      </c>
      <c r="K125" s="24">
        <v>5214</v>
      </c>
      <c r="L125" s="24">
        <v>5192</v>
      </c>
      <c r="M125" s="24">
        <v>5169</v>
      </c>
      <c r="N125" s="24">
        <v>5147</v>
      </c>
      <c r="O125" s="24">
        <v>5125</v>
      </c>
      <c r="P125" s="24">
        <v>5102</v>
      </c>
      <c r="Q125" s="24">
        <v>5080</v>
      </c>
      <c r="R125" s="24">
        <v>5058</v>
      </c>
      <c r="S125" s="24">
        <v>5036</v>
      </c>
      <c r="T125" s="24">
        <v>5013</v>
      </c>
      <c r="U125" s="24">
        <v>4991</v>
      </c>
      <c r="V125" s="24">
        <v>4969</v>
      </c>
      <c r="W125" s="24">
        <v>4947</v>
      </c>
      <c r="X125" s="24">
        <v>4924</v>
      </c>
      <c r="Y125" s="24">
        <v>4902</v>
      </c>
      <c r="Z125" s="24">
        <v>4880</v>
      </c>
      <c r="AA125" s="24">
        <v>4858</v>
      </c>
      <c r="AB125" s="24">
        <v>4835</v>
      </c>
      <c r="AC125" s="24">
        <v>4813</v>
      </c>
      <c r="AD125" s="24">
        <v>4791</v>
      </c>
      <c r="AE125" s="24">
        <v>4769</v>
      </c>
      <c r="AF125" s="21">
        <v>-6.6090000000000003E-3</v>
      </c>
      <c r="AG125" s="10"/>
    </row>
    <row r="126" spans="1:35" ht="36.5" x14ac:dyDescent="0.35">
      <c r="A126" s="9" t="s">
        <v>177</v>
      </c>
      <c r="B126" s="19" t="s">
        <v>178</v>
      </c>
      <c r="C126" s="24">
        <v>6427</v>
      </c>
      <c r="D126" s="24">
        <v>6306</v>
      </c>
      <c r="E126" s="24">
        <v>5982</v>
      </c>
      <c r="F126" s="24">
        <v>5967</v>
      </c>
      <c r="G126" s="24">
        <v>5953</v>
      </c>
      <c r="H126" s="24">
        <v>5938</v>
      </c>
      <c r="I126" s="24">
        <v>5923</v>
      </c>
      <c r="J126" s="24">
        <v>5908</v>
      </c>
      <c r="K126" s="24">
        <v>5893</v>
      </c>
      <c r="L126" s="24">
        <v>5879</v>
      </c>
      <c r="M126" s="24">
        <v>5864</v>
      </c>
      <c r="N126" s="24">
        <v>5849</v>
      </c>
      <c r="O126" s="24">
        <v>5834</v>
      </c>
      <c r="P126" s="24">
        <v>5819</v>
      </c>
      <c r="Q126" s="24">
        <v>5804</v>
      </c>
      <c r="R126" s="24">
        <v>5790</v>
      </c>
      <c r="S126" s="24">
        <v>5775</v>
      </c>
      <c r="T126" s="24">
        <v>5760</v>
      </c>
      <c r="U126" s="24">
        <v>5745</v>
      </c>
      <c r="V126" s="24">
        <v>5730</v>
      </c>
      <c r="W126" s="24">
        <v>5715</v>
      </c>
      <c r="X126" s="24">
        <v>5701</v>
      </c>
      <c r="Y126" s="24">
        <v>5686</v>
      </c>
      <c r="Z126" s="24">
        <v>5671</v>
      </c>
      <c r="AA126" s="24">
        <v>5656</v>
      </c>
      <c r="AB126" s="24">
        <v>5641</v>
      </c>
      <c r="AC126" s="24">
        <v>5626</v>
      </c>
      <c r="AD126" s="24">
        <v>5611</v>
      </c>
      <c r="AE126" s="24">
        <v>5597</v>
      </c>
      <c r="AF126" s="21">
        <v>-4.9259999999999998E-3</v>
      </c>
      <c r="AG126" s="10"/>
    </row>
    <row r="127" spans="1:35" ht="36.5" x14ac:dyDescent="0.35">
      <c r="A127" s="9" t="s">
        <v>179</v>
      </c>
      <c r="B127" s="19" t="s">
        <v>180</v>
      </c>
      <c r="C127" s="24">
        <v>6845</v>
      </c>
      <c r="D127" s="24">
        <v>6601</v>
      </c>
      <c r="E127" s="24">
        <v>6349</v>
      </c>
      <c r="F127" s="24">
        <v>6340</v>
      </c>
      <c r="G127" s="24">
        <v>6330</v>
      </c>
      <c r="H127" s="24">
        <v>6321</v>
      </c>
      <c r="I127" s="24">
        <v>6311</v>
      </c>
      <c r="J127" s="24">
        <v>6301</v>
      </c>
      <c r="K127" s="24">
        <v>6291</v>
      </c>
      <c r="L127" s="24">
        <v>6281</v>
      </c>
      <c r="M127" s="24">
        <v>6271</v>
      </c>
      <c r="N127" s="24">
        <v>6261</v>
      </c>
      <c r="O127" s="24">
        <v>6250</v>
      </c>
      <c r="P127" s="24">
        <v>6240</v>
      </c>
      <c r="Q127" s="24">
        <v>6230</v>
      </c>
      <c r="R127" s="24">
        <v>6219</v>
      </c>
      <c r="S127" s="24">
        <v>6209</v>
      </c>
      <c r="T127" s="24">
        <v>6198</v>
      </c>
      <c r="U127" s="24">
        <v>6188</v>
      </c>
      <c r="V127" s="24">
        <v>6177</v>
      </c>
      <c r="W127" s="24">
        <v>6167</v>
      </c>
      <c r="X127" s="24">
        <v>6156</v>
      </c>
      <c r="Y127" s="24">
        <v>6145</v>
      </c>
      <c r="Z127" s="24">
        <v>6135</v>
      </c>
      <c r="AA127" s="24">
        <v>6124</v>
      </c>
      <c r="AB127" s="24">
        <v>6113</v>
      </c>
      <c r="AC127" s="24">
        <v>6103</v>
      </c>
      <c r="AD127" s="24">
        <v>6092</v>
      </c>
      <c r="AE127" s="24">
        <v>6081</v>
      </c>
      <c r="AF127" s="21">
        <v>-4.2180000000000004E-3</v>
      </c>
      <c r="AG127" s="10"/>
    </row>
    <row r="128" spans="1:35" ht="24.5" x14ac:dyDescent="0.35">
      <c r="A128" s="9" t="s">
        <v>181</v>
      </c>
      <c r="B128" s="19" t="s">
        <v>182</v>
      </c>
      <c r="C128" s="24">
        <v>2566</v>
      </c>
      <c r="D128" s="24">
        <v>2600</v>
      </c>
      <c r="E128" s="24">
        <v>2375</v>
      </c>
      <c r="F128" s="24">
        <v>2358</v>
      </c>
      <c r="G128" s="24">
        <v>2342</v>
      </c>
      <c r="H128" s="24">
        <v>2326</v>
      </c>
      <c r="I128" s="24">
        <v>2310</v>
      </c>
      <c r="J128" s="24">
        <v>2294</v>
      </c>
      <c r="K128" s="24">
        <v>2277</v>
      </c>
      <c r="L128" s="24">
        <v>2261</v>
      </c>
      <c r="M128" s="24">
        <v>2245</v>
      </c>
      <c r="N128" s="24">
        <v>2229</v>
      </c>
      <c r="O128" s="24">
        <v>2213</v>
      </c>
      <c r="P128" s="24">
        <v>2197</v>
      </c>
      <c r="Q128" s="24">
        <v>2180</v>
      </c>
      <c r="R128" s="24">
        <v>2164</v>
      </c>
      <c r="S128" s="24">
        <v>2148</v>
      </c>
      <c r="T128" s="24">
        <v>2132</v>
      </c>
      <c r="U128" s="24">
        <v>2116</v>
      </c>
      <c r="V128" s="24">
        <v>2100</v>
      </c>
      <c r="W128" s="24">
        <v>2084</v>
      </c>
      <c r="X128" s="24">
        <v>2068</v>
      </c>
      <c r="Y128" s="24">
        <v>2052</v>
      </c>
      <c r="Z128" s="24">
        <v>2036</v>
      </c>
      <c r="AA128" s="24">
        <v>2020</v>
      </c>
      <c r="AB128" s="24">
        <v>2005</v>
      </c>
      <c r="AC128" s="24">
        <v>1989</v>
      </c>
      <c r="AD128" s="24">
        <v>1973</v>
      </c>
      <c r="AE128" s="24">
        <v>1957</v>
      </c>
      <c r="AF128" s="21">
        <v>-9.6299999999999997E-3</v>
      </c>
      <c r="AG128" s="10"/>
    </row>
    <row r="129" spans="1:33" ht="36.5" x14ac:dyDescent="0.35">
      <c r="A129" s="9" t="s">
        <v>183</v>
      </c>
      <c r="B129" s="19" t="s">
        <v>184</v>
      </c>
      <c r="C129" s="24">
        <v>3487</v>
      </c>
      <c r="D129" s="24">
        <v>3442</v>
      </c>
      <c r="E129" s="24">
        <v>3180</v>
      </c>
      <c r="F129" s="24">
        <v>3168</v>
      </c>
      <c r="G129" s="24">
        <v>3156</v>
      </c>
      <c r="H129" s="24">
        <v>3144</v>
      </c>
      <c r="I129" s="24">
        <v>3131</v>
      </c>
      <c r="J129" s="24">
        <v>3119</v>
      </c>
      <c r="K129" s="24">
        <v>3106</v>
      </c>
      <c r="L129" s="24">
        <v>3094</v>
      </c>
      <c r="M129" s="24">
        <v>3081</v>
      </c>
      <c r="N129" s="24">
        <v>3069</v>
      </c>
      <c r="O129" s="24">
        <v>3056</v>
      </c>
      <c r="P129" s="24">
        <v>3043</v>
      </c>
      <c r="Q129" s="24">
        <v>3031</v>
      </c>
      <c r="R129" s="24">
        <v>3018</v>
      </c>
      <c r="S129" s="24">
        <v>3005</v>
      </c>
      <c r="T129" s="24">
        <v>2992</v>
      </c>
      <c r="U129" s="24">
        <v>2980</v>
      </c>
      <c r="V129" s="24">
        <v>2967</v>
      </c>
      <c r="W129" s="24">
        <v>2954</v>
      </c>
      <c r="X129" s="24">
        <v>2941</v>
      </c>
      <c r="Y129" s="24">
        <v>2929</v>
      </c>
      <c r="Z129" s="24">
        <v>2916</v>
      </c>
      <c r="AA129" s="24">
        <v>2903</v>
      </c>
      <c r="AB129" s="24">
        <v>2890</v>
      </c>
      <c r="AC129" s="24">
        <v>2877</v>
      </c>
      <c r="AD129" s="24">
        <v>2865</v>
      </c>
      <c r="AE129" s="24">
        <v>2852</v>
      </c>
      <c r="AF129" s="21">
        <v>-7.1539999999999998E-3</v>
      </c>
      <c r="AG129" s="10"/>
    </row>
    <row r="130" spans="1:33" ht="36.5" x14ac:dyDescent="0.35">
      <c r="A130" s="9" t="s">
        <v>185</v>
      </c>
      <c r="B130" s="19" t="s">
        <v>186</v>
      </c>
      <c r="C130" s="24">
        <v>2195</v>
      </c>
      <c r="D130" s="24">
        <v>2056</v>
      </c>
      <c r="E130" s="24">
        <v>1942</v>
      </c>
      <c r="F130" s="24">
        <v>1934</v>
      </c>
      <c r="G130" s="24">
        <v>1925</v>
      </c>
      <c r="H130" s="24">
        <v>1916</v>
      </c>
      <c r="I130" s="24">
        <v>1908</v>
      </c>
      <c r="J130" s="24">
        <v>1899</v>
      </c>
      <c r="K130" s="24">
        <v>1891</v>
      </c>
      <c r="L130" s="24">
        <v>1882</v>
      </c>
      <c r="M130" s="24">
        <v>1874</v>
      </c>
      <c r="N130" s="24">
        <v>1865</v>
      </c>
      <c r="O130" s="24">
        <v>1857</v>
      </c>
      <c r="P130" s="24">
        <v>1849</v>
      </c>
      <c r="Q130" s="24">
        <v>1840</v>
      </c>
      <c r="R130" s="24">
        <v>1832</v>
      </c>
      <c r="S130" s="24">
        <v>1824</v>
      </c>
      <c r="T130" s="24">
        <v>1815</v>
      </c>
      <c r="U130" s="24">
        <v>1807</v>
      </c>
      <c r="V130" s="24">
        <v>1799</v>
      </c>
      <c r="W130" s="24">
        <v>1791</v>
      </c>
      <c r="X130" s="24">
        <v>1783</v>
      </c>
      <c r="Y130" s="24">
        <v>1774</v>
      </c>
      <c r="Z130" s="24">
        <v>1766</v>
      </c>
      <c r="AA130" s="24">
        <v>1758</v>
      </c>
      <c r="AB130" s="24">
        <v>1750</v>
      </c>
      <c r="AC130" s="24">
        <v>1742</v>
      </c>
      <c r="AD130" s="24">
        <v>1734</v>
      </c>
      <c r="AE130" s="24">
        <v>1726</v>
      </c>
      <c r="AF130" s="21">
        <v>-8.548E-3</v>
      </c>
      <c r="AG130" s="10"/>
    </row>
    <row r="131" spans="1:33" x14ac:dyDescent="0.35">
      <c r="A131" s="9" t="s">
        <v>187</v>
      </c>
      <c r="B131" s="19" t="s">
        <v>188</v>
      </c>
      <c r="C131" s="24">
        <v>4970</v>
      </c>
      <c r="D131" s="24">
        <v>4978</v>
      </c>
      <c r="E131" s="24">
        <v>4789</v>
      </c>
      <c r="F131" s="24">
        <v>4776</v>
      </c>
      <c r="G131" s="24">
        <v>4763</v>
      </c>
      <c r="H131" s="24">
        <v>4751</v>
      </c>
      <c r="I131" s="24">
        <v>4738</v>
      </c>
      <c r="J131" s="24">
        <v>4725</v>
      </c>
      <c r="K131" s="24">
        <v>4712</v>
      </c>
      <c r="L131" s="24">
        <v>4698</v>
      </c>
      <c r="M131" s="24">
        <v>4685</v>
      </c>
      <c r="N131" s="24">
        <v>4672</v>
      </c>
      <c r="O131" s="24">
        <v>4658</v>
      </c>
      <c r="P131" s="24">
        <v>4645</v>
      </c>
      <c r="Q131" s="24">
        <v>4632</v>
      </c>
      <c r="R131" s="24">
        <v>4619</v>
      </c>
      <c r="S131" s="24">
        <v>4606</v>
      </c>
      <c r="T131" s="24">
        <v>4593</v>
      </c>
      <c r="U131" s="24">
        <v>4580</v>
      </c>
      <c r="V131" s="24">
        <v>4568</v>
      </c>
      <c r="W131" s="24">
        <v>4555</v>
      </c>
      <c r="X131" s="24">
        <v>4542</v>
      </c>
      <c r="Y131" s="24">
        <v>4530</v>
      </c>
      <c r="Z131" s="24">
        <v>4517</v>
      </c>
      <c r="AA131" s="24">
        <v>4504</v>
      </c>
      <c r="AB131" s="24">
        <v>4492</v>
      </c>
      <c r="AC131" s="24">
        <v>4479</v>
      </c>
      <c r="AD131" s="24">
        <v>4467</v>
      </c>
      <c r="AE131" s="24">
        <v>4454</v>
      </c>
      <c r="AF131" s="21">
        <v>-3.9069999999999999E-3</v>
      </c>
      <c r="AG131" s="10"/>
    </row>
    <row r="132" spans="1:33" x14ac:dyDescent="0.35">
      <c r="A132" s="9" t="s">
        <v>189</v>
      </c>
      <c r="B132" s="19" t="s">
        <v>190</v>
      </c>
      <c r="C132" s="24">
        <v>3212</v>
      </c>
      <c r="D132" s="24">
        <v>3503</v>
      </c>
      <c r="E132" s="24">
        <v>3250</v>
      </c>
      <c r="F132" s="24">
        <v>3241</v>
      </c>
      <c r="G132" s="24">
        <v>3232</v>
      </c>
      <c r="H132" s="24">
        <v>3223</v>
      </c>
      <c r="I132" s="24">
        <v>3213</v>
      </c>
      <c r="J132" s="24">
        <v>3204</v>
      </c>
      <c r="K132" s="24">
        <v>3195</v>
      </c>
      <c r="L132" s="24">
        <v>3185</v>
      </c>
      <c r="M132" s="24">
        <v>3176</v>
      </c>
      <c r="N132" s="24">
        <v>3166</v>
      </c>
      <c r="O132" s="24">
        <v>3157</v>
      </c>
      <c r="P132" s="24">
        <v>3147</v>
      </c>
      <c r="Q132" s="24">
        <v>3137</v>
      </c>
      <c r="R132" s="24">
        <v>3128</v>
      </c>
      <c r="S132" s="24">
        <v>3118</v>
      </c>
      <c r="T132" s="24">
        <v>3108</v>
      </c>
      <c r="U132" s="24">
        <v>3098</v>
      </c>
      <c r="V132" s="24">
        <v>3089</v>
      </c>
      <c r="W132" s="24">
        <v>3079</v>
      </c>
      <c r="X132" s="24">
        <v>3069</v>
      </c>
      <c r="Y132" s="24">
        <v>3059</v>
      </c>
      <c r="Z132" s="24">
        <v>3049</v>
      </c>
      <c r="AA132" s="24">
        <v>3040</v>
      </c>
      <c r="AB132" s="24">
        <v>3030</v>
      </c>
      <c r="AC132" s="24">
        <v>3020</v>
      </c>
      <c r="AD132" s="24">
        <v>3010</v>
      </c>
      <c r="AE132" s="24">
        <v>3000</v>
      </c>
      <c r="AF132" s="21">
        <v>-2.4359999999999998E-3</v>
      </c>
      <c r="AG132" s="10"/>
    </row>
    <row r="133" spans="1:33" ht="24.5" x14ac:dyDescent="0.35">
      <c r="A133" s="9" t="s">
        <v>191</v>
      </c>
      <c r="B133" s="18" t="s">
        <v>192</v>
      </c>
      <c r="C133" s="26">
        <v>4234.6137699999999</v>
      </c>
      <c r="D133" s="26">
        <v>4246.6186520000001</v>
      </c>
      <c r="E133" s="26">
        <v>3976.1059570000002</v>
      </c>
      <c r="F133" s="26">
        <v>3957.180664</v>
      </c>
      <c r="G133" s="26">
        <v>3938.5415039999998</v>
      </c>
      <c r="H133" s="26">
        <v>3920.0117190000001</v>
      </c>
      <c r="I133" s="26">
        <v>3901.2561040000001</v>
      </c>
      <c r="J133" s="26">
        <v>3882.5219729999999</v>
      </c>
      <c r="K133" s="26">
        <v>3863.8103030000002</v>
      </c>
      <c r="L133" s="26">
        <v>3845.1889649999998</v>
      </c>
      <c r="M133" s="26">
        <v>3826.626221</v>
      </c>
      <c r="N133" s="26">
        <v>3807.9733890000002</v>
      </c>
      <c r="O133" s="26">
        <v>3789.4521479999999</v>
      </c>
      <c r="P133" s="26">
        <v>3770.821289</v>
      </c>
      <c r="Q133" s="26">
        <v>3752.0329590000001</v>
      </c>
      <c r="R133" s="26">
        <v>3733.780029</v>
      </c>
      <c r="S133" s="26">
        <v>3715.305664</v>
      </c>
      <c r="T133" s="26">
        <v>3696.5273440000001</v>
      </c>
      <c r="U133" s="26">
        <v>3678.117432</v>
      </c>
      <c r="V133" s="26">
        <v>3659.850586</v>
      </c>
      <c r="W133" s="26">
        <v>3641.3955080000001</v>
      </c>
      <c r="X133" s="26">
        <v>3622.8991700000001</v>
      </c>
      <c r="Y133" s="26">
        <v>3604.398682</v>
      </c>
      <c r="Z133" s="26">
        <v>3585.969482</v>
      </c>
      <c r="AA133" s="26">
        <v>3567.7004390000002</v>
      </c>
      <c r="AB133" s="26">
        <v>3549.5581050000001</v>
      </c>
      <c r="AC133" s="26">
        <v>3531.4091800000001</v>
      </c>
      <c r="AD133" s="26">
        <v>3513.482422</v>
      </c>
      <c r="AE133" s="26">
        <v>3495.6748050000001</v>
      </c>
      <c r="AF133" s="23">
        <v>-6.8250000000000003E-3</v>
      </c>
      <c r="AG133" s="10"/>
    </row>
    <row r="134" spans="1:33" x14ac:dyDescent="0.35">
      <c r="A134" s="6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</row>
    <row r="135" spans="1:33" ht="36.5" x14ac:dyDescent="0.35">
      <c r="A135" s="6"/>
      <c r="B135" s="18" t="s">
        <v>7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</row>
    <row r="136" spans="1:33" ht="24.5" x14ac:dyDescent="0.35">
      <c r="A136" s="9" t="s">
        <v>193</v>
      </c>
      <c r="B136" s="19" t="s">
        <v>174</v>
      </c>
      <c r="C136" s="24">
        <v>639</v>
      </c>
      <c r="D136" s="24">
        <v>500</v>
      </c>
      <c r="E136" s="24">
        <v>614</v>
      </c>
      <c r="F136" s="24">
        <v>621</v>
      </c>
      <c r="G136" s="24">
        <v>629</v>
      </c>
      <c r="H136" s="24">
        <v>636</v>
      </c>
      <c r="I136" s="24">
        <v>643</v>
      </c>
      <c r="J136" s="24">
        <v>651</v>
      </c>
      <c r="K136" s="24">
        <v>658</v>
      </c>
      <c r="L136" s="24">
        <v>665</v>
      </c>
      <c r="M136" s="24">
        <v>673</v>
      </c>
      <c r="N136" s="24">
        <v>680</v>
      </c>
      <c r="O136" s="24">
        <v>687</v>
      </c>
      <c r="P136" s="24">
        <v>695</v>
      </c>
      <c r="Q136" s="24">
        <v>702</v>
      </c>
      <c r="R136" s="24">
        <v>710</v>
      </c>
      <c r="S136" s="24">
        <v>717</v>
      </c>
      <c r="T136" s="24">
        <v>724</v>
      </c>
      <c r="U136" s="24">
        <v>732</v>
      </c>
      <c r="V136" s="24">
        <v>739</v>
      </c>
      <c r="W136" s="24">
        <v>747</v>
      </c>
      <c r="X136" s="24">
        <v>754</v>
      </c>
      <c r="Y136" s="24">
        <v>761</v>
      </c>
      <c r="Z136" s="24">
        <v>769</v>
      </c>
      <c r="AA136" s="24">
        <v>776</v>
      </c>
      <c r="AB136" s="24">
        <v>784</v>
      </c>
      <c r="AC136" s="24">
        <v>791</v>
      </c>
      <c r="AD136" s="24">
        <v>799</v>
      </c>
      <c r="AE136" s="24">
        <v>806</v>
      </c>
      <c r="AF136" s="21">
        <v>8.3269999999999993E-3</v>
      </c>
      <c r="AG136" s="10"/>
    </row>
    <row r="137" spans="1:33" ht="24.5" x14ac:dyDescent="0.35">
      <c r="A137" s="9" t="s">
        <v>194</v>
      </c>
      <c r="B137" s="19" t="s">
        <v>176</v>
      </c>
      <c r="C137" s="24">
        <v>835</v>
      </c>
      <c r="D137" s="24">
        <v>692</v>
      </c>
      <c r="E137" s="24">
        <v>864</v>
      </c>
      <c r="F137" s="24">
        <v>874</v>
      </c>
      <c r="G137" s="24">
        <v>883</v>
      </c>
      <c r="H137" s="24">
        <v>893</v>
      </c>
      <c r="I137" s="24">
        <v>902</v>
      </c>
      <c r="J137" s="24">
        <v>912</v>
      </c>
      <c r="K137" s="24">
        <v>922</v>
      </c>
      <c r="L137" s="24">
        <v>931</v>
      </c>
      <c r="M137" s="24">
        <v>941</v>
      </c>
      <c r="N137" s="24">
        <v>950</v>
      </c>
      <c r="O137" s="24">
        <v>960</v>
      </c>
      <c r="P137" s="24">
        <v>970</v>
      </c>
      <c r="Q137" s="24">
        <v>979</v>
      </c>
      <c r="R137" s="24">
        <v>989</v>
      </c>
      <c r="S137" s="24">
        <v>999</v>
      </c>
      <c r="T137" s="24">
        <v>1008</v>
      </c>
      <c r="U137" s="24">
        <v>1018</v>
      </c>
      <c r="V137" s="24">
        <v>1027</v>
      </c>
      <c r="W137" s="24">
        <v>1037</v>
      </c>
      <c r="X137" s="24">
        <v>1047</v>
      </c>
      <c r="Y137" s="24">
        <v>1056</v>
      </c>
      <c r="Z137" s="24">
        <v>1066</v>
      </c>
      <c r="AA137" s="24">
        <v>1076</v>
      </c>
      <c r="AB137" s="24">
        <v>1085</v>
      </c>
      <c r="AC137" s="24">
        <v>1095</v>
      </c>
      <c r="AD137" s="24">
        <v>1104</v>
      </c>
      <c r="AE137" s="24">
        <v>1114</v>
      </c>
      <c r="AF137" s="21">
        <v>1.0349000000000001E-2</v>
      </c>
      <c r="AG137" s="10"/>
    </row>
    <row r="138" spans="1:33" ht="36.5" x14ac:dyDescent="0.35">
      <c r="A138" s="9" t="s">
        <v>195</v>
      </c>
      <c r="B138" s="19" t="s">
        <v>178</v>
      </c>
      <c r="C138" s="24">
        <v>813</v>
      </c>
      <c r="D138" s="24">
        <v>752</v>
      </c>
      <c r="E138" s="24">
        <v>892</v>
      </c>
      <c r="F138" s="24">
        <v>900</v>
      </c>
      <c r="G138" s="24">
        <v>908</v>
      </c>
      <c r="H138" s="24">
        <v>916</v>
      </c>
      <c r="I138" s="24">
        <v>924</v>
      </c>
      <c r="J138" s="24">
        <v>932</v>
      </c>
      <c r="K138" s="24">
        <v>939</v>
      </c>
      <c r="L138" s="24">
        <v>947</v>
      </c>
      <c r="M138" s="24">
        <v>955</v>
      </c>
      <c r="N138" s="24">
        <v>963</v>
      </c>
      <c r="O138" s="24">
        <v>971</v>
      </c>
      <c r="P138" s="24">
        <v>979</v>
      </c>
      <c r="Q138" s="24">
        <v>987</v>
      </c>
      <c r="R138" s="24">
        <v>994</v>
      </c>
      <c r="S138" s="24">
        <v>1002</v>
      </c>
      <c r="T138" s="24">
        <v>1010</v>
      </c>
      <c r="U138" s="24">
        <v>1018</v>
      </c>
      <c r="V138" s="24">
        <v>1026</v>
      </c>
      <c r="W138" s="24">
        <v>1034</v>
      </c>
      <c r="X138" s="24">
        <v>1042</v>
      </c>
      <c r="Y138" s="24">
        <v>1050</v>
      </c>
      <c r="Z138" s="24">
        <v>1058</v>
      </c>
      <c r="AA138" s="24">
        <v>1066</v>
      </c>
      <c r="AB138" s="24">
        <v>1073</v>
      </c>
      <c r="AC138" s="24">
        <v>1081</v>
      </c>
      <c r="AD138" s="24">
        <v>1089</v>
      </c>
      <c r="AE138" s="24">
        <v>1097</v>
      </c>
      <c r="AF138" s="21">
        <v>1.0758E-2</v>
      </c>
      <c r="AG138" s="10"/>
    </row>
    <row r="139" spans="1:33" ht="36.5" x14ac:dyDescent="0.35">
      <c r="A139" s="9" t="s">
        <v>196</v>
      </c>
      <c r="B139" s="19" t="s">
        <v>180</v>
      </c>
      <c r="C139" s="24">
        <v>1050</v>
      </c>
      <c r="D139" s="24">
        <v>944</v>
      </c>
      <c r="E139" s="24">
        <v>1069</v>
      </c>
      <c r="F139" s="24">
        <v>1077</v>
      </c>
      <c r="G139" s="24">
        <v>1084</v>
      </c>
      <c r="H139" s="24">
        <v>1091</v>
      </c>
      <c r="I139" s="24">
        <v>1099</v>
      </c>
      <c r="J139" s="24">
        <v>1106</v>
      </c>
      <c r="K139" s="24">
        <v>1114</v>
      </c>
      <c r="L139" s="24">
        <v>1121</v>
      </c>
      <c r="M139" s="24">
        <v>1129</v>
      </c>
      <c r="N139" s="24">
        <v>1136</v>
      </c>
      <c r="O139" s="24">
        <v>1144</v>
      </c>
      <c r="P139" s="24">
        <v>1151</v>
      </c>
      <c r="Q139" s="24">
        <v>1159</v>
      </c>
      <c r="R139" s="24">
        <v>1166</v>
      </c>
      <c r="S139" s="24">
        <v>1174</v>
      </c>
      <c r="T139" s="24">
        <v>1182</v>
      </c>
      <c r="U139" s="24">
        <v>1189</v>
      </c>
      <c r="V139" s="24">
        <v>1197</v>
      </c>
      <c r="W139" s="24">
        <v>1204</v>
      </c>
      <c r="X139" s="24">
        <v>1212</v>
      </c>
      <c r="Y139" s="24">
        <v>1220</v>
      </c>
      <c r="Z139" s="24">
        <v>1227</v>
      </c>
      <c r="AA139" s="24">
        <v>1235</v>
      </c>
      <c r="AB139" s="24">
        <v>1243</v>
      </c>
      <c r="AC139" s="24">
        <v>1250</v>
      </c>
      <c r="AD139" s="24">
        <v>1258</v>
      </c>
      <c r="AE139" s="24">
        <v>1266</v>
      </c>
      <c r="AF139" s="21">
        <v>6.7029999999999998E-3</v>
      </c>
      <c r="AG139" s="10"/>
    </row>
    <row r="140" spans="1:33" ht="24.5" x14ac:dyDescent="0.35">
      <c r="A140" s="9" t="s">
        <v>197</v>
      </c>
      <c r="B140" s="19" t="s">
        <v>182</v>
      </c>
      <c r="C140" s="24">
        <v>2264</v>
      </c>
      <c r="D140" s="24">
        <v>2150</v>
      </c>
      <c r="E140" s="24">
        <v>2408</v>
      </c>
      <c r="F140" s="24">
        <v>2426</v>
      </c>
      <c r="G140" s="24">
        <v>2442</v>
      </c>
      <c r="H140" s="24">
        <v>2459</v>
      </c>
      <c r="I140" s="24">
        <v>2476</v>
      </c>
      <c r="J140" s="24">
        <v>2494</v>
      </c>
      <c r="K140" s="24">
        <v>2511</v>
      </c>
      <c r="L140" s="24">
        <v>2528</v>
      </c>
      <c r="M140" s="24">
        <v>2545</v>
      </c>
      <c r="N140" s="24">
        <v>2562</v>
      </c>
      <c r="O140" s="24">
        <v>2579</v>
      </c>
      <c r="P140" s="24">
        <v>2597</v>
      </c>
      <c r="Q140" s="24">
        <v>2614</v>
      </c>
      <c r="R140" s="24">
        <v>2632</v>
      </c>
      <c r="S140" s="24">
        <v>2649</v>
      </c>
      <c r="T140" s="24">
        <v>2666</v>
      </c>
      <c r="U140" s="24">
        <v>2684</v>
      </c>
      <c r="V140" s="24">
        <v>2701</v>
      </c>
      <c r="W140" s="24">
        <v>2719</v>
      </c>
      <c r="X140" s="24">
        <v>2736</v>
      </c>
      <c r="Y140" s="24">
        <v>2754</v>
      </c>
      <c r="Z140" s="24">
        <v>2771</v>
      </c>
      <c r="AA140" s="24">
        <v>2789</v>
      </c>
      <c r="AB140" s="24">
        <v>2806</v>
      </c>
      <c r="AC140" s="24">
        <v>2824</v>
      </c>
      <c r="AD140" s="24">
        <v>2842</v>
      </c>
      <c r="AE140" s="24">
        <v>2859</v>
      </c>
      <c r="AF140" s="21">
        <v>8.3680000000000004E-3</v>
      </c>
      <c r="AG140" s="10"/>
    </row>
    <row r="141" spans="1:33" ht="36.5" x14ac:dyDescent="0.35">
      <c r="A141" s="9" t="s">
        <v>198</v>
      </c>
      <c r="B141" s="19" t="s">
        <v>184</v>
      </c>
      <c r="C141" s="24">
        <v>1730</v>
      </c>
      <c r="D141" s="24">
        <v>1637</v>
      </c>
      <c r="E141" s="24">
        <v>1805</v>
      </c>
      <c r="F141" s="24">
        <v>1814</v>
      </c>
      <c r="G141" s="24">
        <v>1824</v>
      </c>
      <c r="H141" s="24">
        <v>1834</v>
      </c>
      <c r="I141" s="24">
        <v>1844</v>
      </c>
      <c r="J141" s="24">
        <v>1854</v>
      </c>
      <c r="K141" s="24">
        <v>1864</v>
      </c>
      <c r="L141" s="24">
        <v>1874</v>
      </c>
      <c r="M141" s="24">
        <v>1884</v>
      </c>
      <c r="N141" s="24">
        <v>1894</v>
      </c>
      <c r="O141" s="24">
        <v>1904</v>
      </c>
      <c r="P141" s="24">
        <v>1914</v>
      </c>
      <c r="Q141" s="24">
        <v>1924</v>
      </c>
      <c r="R141" s="24">
        <v>1934</v>
      </c>
      <c r="S141" s="24">
        <v>1944</v>
      </c>
      <c r="T141" s="24">
        <v>1954</v>
      </c>
      <c r="U141" s="24">
        <v>1964</v>
      </c>
      <c r="V141" s="24">
        <v>1974</v>
      </c>
      <c r="W141" s="24">
        <v>1984</v>
      </c>
      <c r="X141" s="24">
        <v>1994</v>
      </c>
      <c r="Y141" s="24">
        <v>2004</v>
      </c>
      <c r="Z141" s="24">
        <v>2014</v>
      </c>
      <c r="AA141" s="24">
        <v>2024</v>
      </c>
      <c r="AB141" s="24">
        <v>2034</v>
      </c>
      <c r="AC141" s="24">
        <v>2044</v>
      </c>
      <c r="AD141" s="24">
        <v>2054</v>
      </c>
      <c r="AE141" s="24">
        <v>2064</v>
      </c>
      <c r="AF141" s="21">
        <v>6.3239999999999998E-3</v>
      </c>
      <c r="AG141" s="10"/>
    </row>
    <row r="142" spans="1:33" ht="36.5" x14ac:dyDescent="0.35">
      <c r="A142" s="9" t="s">
        <v>199</v>
      </c>
      <c r="B142" s="19" t="s">
        <v>186</v>
      </c>
      <c r="C142" s="24">
        <v>3000</v>
      </c>
      <c r="D142" s="24">
        <v>2658</v>
      </c>
      <c r="E142" s="24">
        <v>2860</v>
      </c>
      <c r="F142" s="24">
        <v>2874</v>
      </c>
      <c r="G142" s="24">
        <v>2887</v>
      </c>
      <c r="H142" s="24">
        <v>2901</v>
      </c>
      <c r="I142" s="24">
        <v>2915</v>
      </c>
      <c r="J142" s="24">
        <v>2928</v>
      </c>
      <c r="K142" s="24">
        <v>2942</v>
      </c>
      <c r="L142" s="24">
        <v>2955</v>
      </c>
      <c r="M142" s="24">
        <v>2969</v>
      </c>
      <c r="N142" s="24">
        <v>2982</v>
      </c>
      <c r="O142" s="24">
        <v>2996</v>
      </c>
      <c r="P142" s="24">
        <v>3009</v>
      </c>
      <c r="Q142" s="24">
        <v>3023</v>
      </c>
      <c r="R142" s="24">
        <v>3036</v>
      </c>
      <c r="S142" s="24">
        <v>3050</v>
      </c>
      <c r="T142" s="24">
        <v>3063</v>
      </c>
      <c r="U142" s="24">
        <v>3076</v>
      </c>
      <c r="V142" s="24">
        <v>3090</v>
      </c>
      <c r="W142" s="24">
        <v>3103</v>
      </c>
      <c r="X142" s="24">
        <v>3117</v>
      </c>
      <c r="Y142" s="24">
        <v>3130</v>
      </c>
      <c r="Z142" s="24">
        <v>3144</v>
      </c>
      <c r="AA142" s="24">
        <v>3157</v>
      </c>
      <c r="AB142" s="24">
        <v>3170</v>
      </c>
      <c r="AC142" s="24">
        <v>3184</v>
      </c>
      <c r="AD142" s="24">
        <v>3197</v>
      </c>
      <c r="AE142" s="24">
        <v>3210</v>
      </c>
      <c r="AF142" s="21">
        <v>2.4190000000000001E-3</v>
      </c>
      <c r="AG142" s="10"/>
    </row>
    <row r="143" spans="1:33" x14ac:dyDescent="0.35">
      <c r="A143" s="9" t="s">
        <v>200</v>
      </c>
      <c r="B143" s="19" t="s">
        <v>188</v>
      </c>
      <c r="C143" s="24">
        <v>1578</v>
      </c>
      <c r="D143" s="24">
        <v>1415</v>
      </c>
      <c r="E143" s="24">
        <v>1580</v>
      </c>
      <c r="F143" s="24">
        <v>1589</v>
      </c>
      <c r="G143" s="24">
        <v>1599</v>
      </c>
      <c r="H143" s="24">
        <v>1608</v>
      </c>
      <c r="I143" s="24">
        <v>1618</v>
      </c>
      <c r="J143" s="24">
        <v>1628</v>
      </c>
      <c r="K143" s="24">
        <v>1638</v>
      </c>
      <c r="L143" s="24">
        <v>1647</v>
      </c>
      <c r="M143" s="24">
        <v>1657</v>
      </c>
      <c r="N143" s="24">
        <v>1667</v>
      </c>
      <c r="O143" s="24">
        <v>1677</v>
      </c>
      <c r="P143" s="24">
        <v>1687</v>
      </c>
      <c r="Q143" s="24">
        <v>1697</v>
      </c>
      <c r="R143" s="24">
        <v>1706</v>
      </c>
      <c r="S143" s="24">
        <v>1716</v>
      </c>
      <c r="T143" s="24">
        <v>1726</v>
      </c>
      <c r="U143" s="24">
        <v>1735</v>
      </c>
      <c r="V143" s="24">
        <v>1745</v>
      </c>
      <c r="W143" s="24">
        <v>1755</v>
      </c>
      <c r="X143" s="24">
        <v>1764</v>
      </c>
      <c r="Y143" s="24">
        <v>1774</v>
      </c>
      <c r="Z143" s="24">
        <v>1783</v>
      </c>
      <c r="AA143" s="24">
        <v>1793</v>
      </c>
      <c r="AB143" s="24">
        <v>1802</v>
      </c>
      <c r="AC143" s="24">
        <v>1812</v>
      </c>
      <c r="AD143" s="24">
        <v>1822</v>
      </c>
      <c r="AE143" s="24">
        <v>1831</v>
      </c>
      <c r="AF143" s="21">
        <v>5.3249999999999999E-3</v>
      </c>
      <c r="AG143" s="10"/>
    </row>
    <row r="144" spans="1:33" x14ac:dyDescent="0.35">
      <c r="A144" s="9" t="s">
        <v>201</v>
      </c>
      <c r="B144" s="19" t="s">
        <v>190</v>
      </c>
      <c r="C144" s="24">
        <v>1098</v>
      </c>
      <c r="D144" s="24">
        <v>825</v>
      </c>
      <c r="E144" s="24">
        <v>1006</v>
      </c>
      <c r="F144" s="24">
        <v>1013</v>
      </c>
      <c r="G144" s="24">
        <v>1020</v>
      </c>
      <c r="H144" s="24">
        <v>1028</v>
      </c>
      <c r="I144" s="24">
        <v>1035</v>
      </c>
      <c r="J144" s="24">
        <v>1043</v>
      </c>
      <c r="K144" s="24">
        <v>1050</v>
      </c>
      <c r="L144" s="24">
        <v>1058</v>
      </c>
      <c r="M144" s="24">
        <v>1066</v>
      </c>
      <c r="N144" s="24">
        <v>1073</v>
      </c>
      <c r="O144" s="24">
        <v>1081</v>
      </c>
      <c r="P144" s="24">
        <v>1088</v>
      </c>
      <c r="Q144" s="24">
        <v>1096</v>
      </c>
      <c r="R144" s="24">
        <v>1104</v>
      </c>
      <c r="S144" s="24">
        <v>1111</v>
      </c>
      <c r="T144" s="24">
        <v>1119</v>
      </c>
      <c r="U144" s="24">
        <v>1127</v>
      </c>
      <c r="V144" s="24">
        <v>1134</v>
      </c>
      <c r="W144" s="24">
        <v>1142</v>
      </c>
      <c r="X144" s="24">
        <v>1150</v>
      </c>
      <c r="Y144" s="24">
        <v>1157</v>
      </c>
      <c r="Z144" s="24">
        <v>1165</v>
      </c>
      <c r="AA144" s="24">
        <v>1173</v>
      </c>
      <c r="AB144" s="24">
        <v>1181</v>
      </c>
      <c r="AC144" s="24">
        <v>1188</v>
      </c>
      <c r="AD144" s="24">
        <v>1196</v>
      </c>
      <c r="AE144" s="24">
        <v>1204</v>
      </c>
      <c r="AF144" s="21">
        <v>3.297E-3</v>
      </c>
      <c r="AG144" s="10"/>
    </row>
    <row r="145" spans="1:34" ht="24.5" x14ac:dyDescent="0.35">
      <c r="A145" s="9" t="s">
        <v>202</v>
      </c>
      <c r="B145" s="18" t="s">
        <v>192</v>
      </c>
      <c r="C145" s="26">
        <v>1549.955811</v>
      </c>
      <c r="D145" s="26">
        <v>1383.8479</v>
      </c>
      <c r="E145" s="26">
        <v>1570.0424800000001</v>
      </c>
      <c r="F145" s="26">
        <v>1583.3448490000001</v>
      </c>
      <c r="G145" s="26">
        <v>1596.1142580000001</v>
      </c>
      <c r="H145" s="26">
        <v>1609.38501</v>
      </c>
      <c r="I145" s="26">
        <v>1622.5207519999999</v>
      </c>
      <c r="J145" s="26">
        <v>1636.0070800000001</v>
      </c>
      <c r="K145" s="26">
        <v>1649.149048</v>
      </c>
      <c r="L145" s="26">
        <v>1662.2188719999999</v>
      </c>
      <c r="M145" s="26">
        <v>1675.7426760000001</v>
      </c>
      <c r="N145" s="26">
        <v>1688.762207</v>
      </c>
      <c r="O145" s="26">
        <v>1702.278198</v>
      </c>
      <c r="P145" s="26">
        <v>1715.7017820000001</v>
      </c>
      <c r="Q145" s="26">
        <v>1729.1450199999999</v>
      </c>
      <c r="R145" s="26">
        <v>1742.5604249999999</v>
      </c>
      <c r="S145" s="26">
        <v>1755.9835210000001</v>
      </c>
      <c r="T145" s="26">
        <v>1769.3446039999999</v>
      </c>
      <c r="U145" s="26">
        <v>1782.940063</v>
      </c>
      <c r="V145" s="26">
        <v>1796.302124</v>
      </c>
      <c r="W145" s="26">
        <v>1810.015259</v>
      </c>
      <c r="X145" s="26">
        <v>1823.60437</v>
      </c>
      <c r="Y145" s="26">
        <v>1837.094971</v>
      </c>
      <c r="Z145" s="26">
        <v>1850.6906739999999</v>
      </c>
      <c r="AA145" s="26">
        <v>1864.471436</v>
      </c>
      <c r="AB145" s="26">
        <v>1877.7441409999999</v>
      </c>
      <c r="AC145" s="26">
        <v>1891.3885499999999</v>
      </c>
      <c r="AD145" s="26">
        <v>1904.9642329999999</v>
      </c>
      <c r="AE145" s="26">
        <v>1918.225586</v>
      </c>
      <c r="AF145" s="23">
        <v>7.6420000000000004E-3</v>
      </c>
      <c r="AG145" s="10"/>
      <c r="AH145" s="6"/>
    </row>
    <row r="146" spans="1:34" ht="15" thickBot="1" x14ac:dyDescent="0.4">
      <c r="A146" s="6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6"/>
    </row>
    <row r="147" spans="1:34" x14ac:dyDescent="0.35">
      <c r="A147" s="6"/>
      <c r="B147" s="29" t="s">
        <v>203</v>
      </c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28"/>
    </row>
    <row r="148" spans="1:34" x14ac:dyDescent="0.35">
      <c r="A148" s="6"/>
      <c r="B148" s="31" t="s">
        <v>204</v>
      </c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6"/>
    </row>
    <row r="149" spans="1:34" x14ac:dyDescent="0.35">
      <c r="A149" s="6"/>
      <c r="B149" s="31" t="s">
        <v>205</v>
      </c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6"/>
    </row>
    <row r="150" spans="1:34" x14ac:dyDescent="0.35">
      <c r="A150" s="6"/>
      <c r="B150" s="31" t="s">
        <v>206</v>
      </c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6"/>
    </row>
    <row r="151" spans="1:34" x14ac:dyDescent="0.35">
      <c r="A151" s="6"/>
      <c r="B151" s="31" t="s">
        <v>207</v>
      </c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6"/>
    </row>
    <row r="152" spans="1:34" x14ac:dyDescent="0.35">
      <c r="A152" s="6"/>
      <c r="B152" s="31" t="s">
        <v>208</v>
      </c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6"/>
    </row>
    <row r="153" spans="1:34" x14ac:dyDescent="0.35">
      <c r="A153" s="6"/>
      <c r="B153" s="31" t="s">
        <v>209</v>
      </c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6"/>
    </row>
    <row r="154" spans="1:34" x14ac:dyDescent="0.35">
      <c r="A154" s="6"/>
      <c r="B154" s="31" t="s">
        <v>210</v>
      </c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6"/>
    </row>
    <row r="155" spans="1:34" x14ac:dyDescent="0.35">
      <c r="A155" s="6"/>
      <c r="B155" s="31" t="s">
        <v>211</v>
      </c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6"/>
    </row>
    <row r="156" spans="1:34" x14ac:dyDescent="0.35">
      <c r="A156" s="6"/>
      <c r="B156" s="31" t="s">
        <v>212</v>
      </c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6"/>
    </row>
    <row r="157" spans="1:34" x14ac:dyDescent="0.35">
      <c r="A157" s="6"/>
      <c r="B157" s="31" t="s">
        <v>213</v>
      </c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6"/>
    </row>
    <row r="158" spans="1:34" x14ac:dyDescent="0.35">
      <c r="A158" s="6"/>
      <c r="B158" s="31" t="s">
        <v>214</v>
      </c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6"/>
    </row>
    <row r="159" spans="1:34" x14ac:dyDescent="0.35">
      <c r="A159" s="6"/>
      <c r="B159" s="31" t="s">
        <v>215</v>
      </c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6"/>
    </row>
    <row r="160" spans="1:34" x14ac:dyDescent="0.35">
      <c r="A160" s="6"/>
      <c r="B160" s="31" t="s">
        <v>216</v>
      </c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6"/>
    </row>
    <row r="161" spans="2:33" x14ac:dyDescent="0.35">
      <c r="B161" s="31" t="s">
        <v>217</v>
      </c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</row>
    <row r="162" spans="2:33" x14ac:dyDescent="0.35">
      <c r="B162" s="31" t="s">
        <v>218</v>
      </c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</row>
    <row r="163" spans="2:33" x14ac:dyDescent="0.35">
      <c r="B163" s="31" t="s">
        <v>219</v>
      </c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</row>
    <row r="164" spans="2:33" x14ac:dyDescent="0.35">
      <c r="B164" s="31" t="s">
        <v>220</v>
      </c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</row>
    <row r="165" spans="2:33" x14ac:dyDescent="0.35">
      <c r="B165" s="31" t="s">
        <v>221</v>
      </c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</row>
    <row r="166" spans="2:33" x14ac:dyDescent="0.35">
      <c r="B166" s="31" t="s">
        <v>222</v>
      </c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</row>
    <row r="167" spans="2:33" x14ac:dyDescent="0.35">
      <c r="B167" s="31" t="s">
        <v>223</v>
      </c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</row>
    <row r="168" spans="2:33" x14ac:dyDescent="0.35">
      <c r="B168" s="31" t="s">
        <v>224</v>
      </c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</row>
    <row r="169" spans="2:33" x14ac:dyDescent="0.35">
      <c r="B169" s="31" t="s">
        <v>225</v>
      </c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</row>
    <row r="170" spans="2:33" x14ac:dyDescent="0.35">
      <c r="B170" s="31" t="s">
        <v>226</v>
      </c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</row>
    <row r="171" spans="2:33" x14ac:dyDescent="0.35">
      <c r="B171" s="31" t="s">
        <v>227</v>
      </c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</row>
    <row r="172" spans="2:33" x14ac:dyDescent="0.35"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</row>
    <row r="173" spans="2:33" x14ac:dyDescent="0.35"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</row>
    <row r="174" spans="2:33" x14ac:dyDescent="0.35"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</row>
    <row r="175" spans="2:33" x14ac:dyDescent="0.35"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</row>
    <row r="176" spans="2:33" x14ac:dyDescent="0.35"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</row>
    <row r="177" spans="2:33" x14ac:dyDescent="0.35"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</row>
    <row r="178" spans="2:33" x14ac:dyDescent="0.35"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</row>
    <row r="179" spans="2:33" x14ac:dyDescent="0.35"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</row>
    <row r="180" spans="2:33" x14ac:dyDescent="0.35"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</row>
    <row r="181" spans="2:33" x14ac:dyDescent="0.35"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</row>
    <row r="182" spans="2:33" x14ac:dyDescent="0.35"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</row>
    <row r="183" spans="2:33" x14ac:dyDescent="0.35"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</row>
    <row r="184" spans="2:33" x14ac:dyDescent="0.35"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</row>
    <row r="185" spans="2:33" x14ac:dyDescent="0.35"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</row>
    <row r="186" spans="2:33" x14ac:dyDescent="0.35"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</row>
    <row r="187" spans="2:33" x14ac:dyDescent="0.35"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</row>
    <row r="188" spans="2:33" x14ac:dyDescent="0.35"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</row>
    <row r="189" spans="2:33" x14ac:dyDescent="0.35"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</row>
    <row r="190" spans="2:33" x14ac:dyDescent="0.35"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</row>
    <row r="191" spans="2:33" x14ac:dyDescent="0.35"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</row>
    <row r="192" spans="2:33" x14ac:dyDescent="0.35"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</row>
    <row r="193" spans="2:33" x14ac:dyDescent="0.35"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</row>
    <row r="194" spans="2:33" x14ac:dyDescent="0.35"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</row>
    <row r="195" spans="2:33" x14ac:dyDescent="0.35"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</row>
    <row r="196" spans="2:33" x14ac:dyDescent="0.35"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</row>
    <row r="197" spans="2:33" x14ac:dyDescent="0.35"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</row>
    <row r="198" spans="2:33" x14ac:dyDescent="0.35"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</row>
    <row r="199" spans="2:33" x14ac:dyDescent="0.35"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</row>
    <row r="200" spans="2:33" x14ac:dyDescent="0.35"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</row>
    <row r="201" spans="2:33" x14ac:dyDescent="0.35"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</row>
    <row r="202" spans="2:33" x14ac:dyDescent="0.35"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</row>
    <row r="203" spans="2:33" x14ac:dyDescent="0.35"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</row>
    <row r="204" spans="2:33" x14ac:dyDescent="0.35"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</row>
    <row r="205" spans="2:33" x14ac:dyDescent="0.35"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</row>
    <row r="206" spans="2:33" x14ac:dyDescent="0.35"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</row>
    <row r="207" spans="2:33" x14ac:dyDescent="0.35"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</row>
    <row r="208" spans="2:33" x14ac:dyDescent="0.35"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</row>
    <row r="306" spans="2:32" x14ac:dyDescent="0.35"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spans="2:32" x14ac:dyDescent="0.35"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498" spans="2:32" x14ac:dyDescent="0.35"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</row>
    <row r="508" spans="2:32" x14ac:dyDescent="0.35"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</row>
    <row r="509" spans="2:32" x14ac:dyDescent="0.35"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</row>
    <row r="510" spans="2:32" x14ac:dyDescent="0.35"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710" spans="2:32" x14ac:dyDescent="0.35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</row>
    <row r="711" spans="2:32" x14ac:dyDescent="0.35"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885" spans="2:32" x14ac:dyDescent="0.35"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</row>
    <row r="886" spans="2:32" x14ac:dyDescent="0.35"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1095" spans="2:32" x14ac:dyDescent="0.35"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</row>
    <row r="1099" spans="2:32" x14ac:dyDescent="0.35"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</row>
    <row r="1100" spans="2:32" x14ac:dyDescent="0.35">
      <c r="B1100" s="3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4"/>
      <c r="T1100" s="34"/>
      <c r="U1100" s="34"/>
      <c r="V1100" s="34"/>
      <c r="W1100" s="34"/>
      <c r="X1100" s="34"/>
      <c r="Y1100" s="34"/>
      <c r="Z1100" s="34"/>
      <c r="AA1100" s="34"/>
      <c r="AB1100" s="34"/>
      <c r="AC1100" s="34"/>
      <c r="AD1100" s="34"/>
      <c r="AE1100" s="34"/>
      <c r="AF1100" s="34"/>
    </row>
    <row r="1227" spans="2:32" x14ac:dyDescent="0.35">
      <c r="B1227" s="6"/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</row>
    <row r="1228" spans="2:32" x14ac:dyDescent="0.35">
      <c r="B1228" s="3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4"/>
      <c r="T1228" s="34"/>
      <c r="U1228" s="34"/>
      <c r="V1228" s="34"/>
      <c r="W1228" s="34"/>
      <c r="X1228" s="34"/>
      <c r="Y1228" s="34"/>
      <c r="Z1228" s="34"/>
      <c r="AA1228" s="34"/>
      <c r="AB1228" s="34"/>
      <c r="AC1228" s="34"/>
      <c r="AD1228" s="34"/>
      <c r="AE1228" s="34"/>
      <c r="AF1228" s="34"/>
    </row>
    <row r="1383" spans="2:32" x14ac:dyDescent="0.35">
      <c r="B1383" s="6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</row>
    <row r="1388" spans="2:32" x14ac:dyDescent="0.35">
      <c r="B1388" s="6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</row>
    <row r="1389" spans="2:32" x14ac:dyDescent="0.35">
      <c r="B1389" s="34"/>
      <c r="C1389" s="34"/>
      <c r="D1389" s="34"/>
      <c r="E1389" s="34"/>
      <c r="F1389" s="34"/>
      <c r="G1389" s="34"/>
      <c r="H1389" s="34"/>
      <c r="I1389" s="34"/>
      <c r="J1389" s="34"/>
      <c r="K1389" s="34"/>
      <c r="L1389" s="34"/>
      <c r="M1389" s="34"/>
      <c r="N1389" s="34"/>
      <c r="O1389" s="34"/>
      <c r="P1389" s="34"/>
      <c r="Q1389" s="34"/>
      <c r="R1389" s="34"/>
      <c r="S1389" s="34"/>
      <c r="T1389" s="34"/>
      <c r="U1389" s="34"/>
      <c r="V1389" s="34"/>
      <c r="W1389" s="34"/>
      <c r="X1389" s="34"/>
      <c r="Y1389" s="34"/>
      <c r="Z1389" s="34"/>
      <c r="AA1389" s="34"/>
      <c r="AB1389" s="34"/>
      <c r="AC1389" s="34"/>
      <c r="AD1389" s="34"/>
      <c r="AE1389" s="34"/>
      <c r="AF1389" s="34"/>
    </row>
    <row r="1489" spans="2:32" x14ac:dyDescent="0.35">
      <c r="B1489" s="6"/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</row>
    <row r="1498" spans="2:32" x14ac:dyDescent="0.35">
      <c r="B1498" s="6"/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</row>
    <row r="1500" spans="2:32" x14ac:dyDescent="0.35">
      <c r="B1500" s="6"/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</row>
    <row r="1501" spans="2:32" x14ac:dyDescent="0.35">
      <c r="B1501" s="34"/>
      <c r="C1501" s="34"/>
      <c r="D1501" s="34"/>
      <c r="E1501" s="34"/>
      <c r="F1501" s="34"/>
      <c r="G1501" s="34"/>
      <c r="H1501" s="34"/>
      <c r="I1501" s="34"/>
      <c r="J1501" s="34"/>
      <c r="K1501" s="34"/>
      <c r="L1501" s="34"/>
      <c r="M1501" s="34"/>
      <c r="N1501" s="34"/>
      <c r="O1501" s="34"/>
      <c r="P1501" s="34"/>
      <c r="Q1501" s="34"/>
      <c r="R1501" s="34"/>
      <c r="S1501" s="34"/>
      <c r="T1501" s="34"/>
      <c r="U1501" s="34"/>
      <c r="V1501" s="34"/>
      <c r="W1501" s="34"/>
      <c r="X1501" s="34"/>
      <c r="Y1501" s="34"/>
      <c r="Z1501" s="34"/>
      <c r="AA1501" s="34"/>
      <c r="AB1501" s="34"/>
      <c r="AC1501" s="34"/>
      <c r="AD1501" s="34"/>
      <c r="AE1501" s="34"/>
      <c r="AF1501" s="34"/>
    </row>
    <row r="1602" spans="2:32" x14ac:dyDescent="0.35">
      <c r="B1602" s="6"/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</row>
    <row r="1603" spans="2:32" x14ac:dyDescent="0.35">
      <c r="B1603" s="34"/>
      <c r="C1603" s="34"/>
      <c r="D1603" s="34"/>
      <c r="E1603" s="34"/>
      <c r="F1603" s="34"/>
      <c r="G1603" s="34"/>
      <c r="H1603" s="34"/>
      <c r="I1603" s="34"/>
      <c r="J1603" s="34"/>
      <c r="K1603" s="34"/>
      <c r="L1603" s="34"/>
      <c r="M1603" s="34"/>
      <c r="N1603" s="34"/>
      <c r="O1603" s="34"/>
      <c r="P1603" s="34"/>
      <c r="Q1603" s="34"/>
      <c r="R1603" s="34"/>
      <c r="S1603" s="34"/>
      <c r="T1603" s="34"/>
      <c r="U1603" s="34"/>
      <c r="V1603" s="34"/>
      <c r="W1603" s="34"/>
      <c r="X1603" s="34"/>
      <c r="Y1603" s="34"/>
      <c r="Z1603" s="34"/>
      <c r="AA1603" s="34"/>
      <c r="AB1603" s="34"/>
      <c r="AC1603" s="34"/>
      <c r="AD1603" s="34"/>
      <c r="AE1603" s="34"/>
      <c r="AF1603" s="34"/>
    </row>
    <row r="1611" spans="2:32" x14ac:dyDescent="0.35">
      <c r="B1611" s="6"/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</row>
    <row r="1612" spans="2:32" x14ac:dyDescent="0.35">
      <c r="B1612" s="6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</row>
    <row r="1613" spans="2:32" x14ac:dyDescent="0.35">
      <c r="B1613" s="6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</row>
    <row r="1614" spans="2:32" x14ac:dyDescent="0.35">
      <c r="B1614" s="6"/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</row>
    <row r="1615" spans="2:32" x14ac:dyDescent="0.35">
      <c r="B1615" s="6"/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</row>
    <row r="1616" spans="2:32" x14ac:dyDescent="0.35">
      <c r="B1616" s="6"/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</row>
    <row r="1697" spans="2:32" x14ac:dyDescent="0.35">
      <c r="B1697" s="6"/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</row>
    <row r="1698" spans="2:32" x14ac:dyDescent="0.35">
      <c r="B1698" s="34"/>
      <c r="C1698" s="34"/>
      <c r="D1698" s="34"/>
      <c r="E1698" s="34"/>
      <c r="F1698" s="34"/>
      <c r="G1698" s="34"/>
      <c r="H1698" s="34"/>
      <c r="I1698" s="34"/>
      <c r="J1698" s="34"/>
      <c r="K1698" s="34"/>
      <c r="L1698" s="34"/>
      <c r="M1698" s="34"/>
      <c r="N1698" s="34"/>
      <c r="O1698" s="34"/>
      <c r="P1698" s="34"/>
      <c r="Q1698" s="34"/>
      <c r="R1698" s="34"/>
      <c r="S1698" s="34"/>
      <c r="T1698" s="34"/>
      <c r="U1698" s="34"/>
      <c r="V1698" s="34"/>
      <c r="W1698" s="34"/>
      <c r="X1698" s="34"/>
      <c r="Y1698" s="34"/>
      <c r="Z1698" s="34"/>
      <c r="AA1698" s="34"/>
      <c r="AB1698" s="34"/>
      <c r="AC1698" s="34"/>
      <c r="AD1698" s="34"/>
      <c r="AE1698" s="34"/>
      <c r="AF1698" s="34"/>
    </row>
    <row r="1943" spans="2:32" x14ac:dyDescent="0.35">
      <c r="B1943" s="6"/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</row>
    <row r="1944" spans="2:32" x14ac:dyDescent="0.35">
      <c r="B1944" s="34"/>
      <c r="C1944" s="34"/>
      <c r="D1944" s="34"/>
      <c r="E1944" s="34"/>
      <c r="F1944" s="34"/>
      <c r="G1944" s="34"/>
      <c r="H1944" s="34"/>
      <c r="I1944" s="34"/>
      <c r="J1944" s="34"/>
      <c r="K1944" s="34"/>
      <c r="L1944" s="34"/>
      <c r="M1944" s="34"/>
      <c r="N1944" s="34"/>
      <c r="O1944" s="34"/>
      <c r="P1944" s="34"/>
      <c r="Q1944" s="34"/>
      <c r="R1944" s="34"/>
      <c r="S1944" s="34"/>
      <c r="T1944" s="34"/>
      <c r="U1944" s="34"/>
      <c r="V1944" s="34"/>
      <c r="W1944" s="34"/>
      <c r="X1944" s="34"/>
      <c r="Y1944" s="34"/>
      <c r="Z1944" s="34"/>
      <c r="AA1944" s="34"/>
      <c r="AB1944" s="34"/>
      <c r="AC1944" s="34"/>
      <c r="AD1944" s="34"/>
      <c r="AE1944" s="34"/>
      <c r="AF1944" s="34"/>
    </row>
    <row r="2020" spans="2:32" x14ac:dyDescent="0.35">
      <c r="B2020" s="6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</row>
    <row r="2029" spans="2:32" x14ac:dyDescent="0.35">
      <c r="B2029" s="6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</row>
    <row r="2030" spans="2:32" x14ac:dyDescent="0.35">
      <c r="B2030" s="34"/>
      <c r="C2030" s="34"/>
      <c r="D2030" s="34"/>
      <c r="E2030" s="34"/>
      <c r="F2030" s="34"/>
      <c r="G2030" s="34"/>
      <c r="H2030" s="34"/>
      <c r="I2030" s="34"/>
      <c r="J2030" s="34"/>
      <c r="K2030" s="34"/>
      <c r="L2030" s="34"/>
      <c r="M2030" s="34"/>
      <c r="N2030" s="34"/>
      <c r="O2030" s="34"/>
      <c r="P2030" s="34"/>
      <c r="Q2030" s="34"/>
      <c r="R2030" s="34"/>
      <c r="S2030" s="34"/>
      <c r="T2030" s="34"/>
      <c r="U2030" s="34"/>
      <c r="V2030" s="34"/>
      <c r="W2030" s="34"/>
      <c r="X2030" s="34"/>
      <c r="Y2030" s="34"/>
      <c r="Z2030" s="34"/>
      <c r="AA2030" s="34"/>
      <c r="AB2030" s="34"/>
      <c r="AC2030" s="34"/>
      <c r="AD2030" s="34"/>
      <c r="AE2030" s="34"/>
      <c r="AF2030" s="34"/>
    </row>
    <row r="2146" spans="2:32" x14ac:dyDescent="0.35">
      <c r="B2146" s="6"/>
      <c r="C2146" s="6"/>
      <c r="D2146" s="6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</row>
    <row r="2148" spans="2:32" x14ac:dyDescent="0.35">
      <c r="B2148" s="6"/>
      <c r="C2148" s="6"/>
      <c r="D2148" s="6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</row>
    <row r="2149" spans="2:32" x14ac:dyDescent="0.35">
      <c r="B2149" s="6"/>
      <c r="C2149" s="6"/>
      <c r="D2149" s="6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</row>
    <row r="2151" spans="2:32" x14ac:dyDescent="0.35">
      <c r="B2151" s="6"/>
      <c r="C2151" s="6"/>
      <c r="D2151" s="6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</row>
    <row r="2152" spans="2:32" x14ac:dyDescent="0.35">
      <c r="B2152" s="34"/>
      <c r="C2152" s="34"/>
      <c r="D2152" s="34"/>
      <c r="E2152" s="34"/>
      <c r="F2152" s="34"/>
      <c r="G2152" s="34"/>
      <c r="H2152" s="34"/>
      <c r="I2152" s="34"/>
      <c r="J2152" s="34"/>
      <c r="K2152" s="34"/>
      <c r="L2152" s="34"/>
      <c r="M2152" s="34"/>
      <c r="N2152" s="34"/>
      <c r="O2152" s="34"/>
      <c r="P2152" s="34"/>
      <c r="Q2152" s="34"/>
      <c r="R2152" s="34"/>
      <c r="S2152" s="34"/>
      <c r="T2152" s="34"/>
      <c r="U2152" s="34"/>
      <c r="V2152" s="34"/>
      <c r="W2152" s="34"/>
      <c r="X2152" s="34"/>
      <c r="Y2152" s="34"/>
      <c r="Z2152" s="34"/>
      <c r="AA2152" s="34"/>
      <c r="AB2152" s="34"/>
      <c r="AC2152" s="34"/>
      <c r="AD2152" s="34"/>
      <c r="AE2152" s="34"/>
      <c r="AF2152" s="34"/>
    </row>
    <row r="2315" spans="2:32" x14ac:dyDescent="0.35">
      <c r="B2315" s="6"/>
      <c r="C2315" s="6"/>
      <c r="D2315" s="6"/>
      <c r="E2315" s="6"/>
      <c r="F2315" s="6"/>
      <c r="G2315" s="6"/>
      <c r="H2315" s="6"/>
      <c r="I2315" s="6"/>
      <c r="J2315" s="6"/>
      <c r="K2315" s="6"/>
      <c r="L2315" s="6"/>
      <c r="M2315" s="6"/>
      <c r="N2315" s="6"/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</row>
    <row r="2316" spans="2:32" x14ac:dyDescent="0.35">
      <c r="B2316" s="34"/>
      <c r="C2316" s="34"/>
      <c r="D2316" s="34"/>
      <c r="E2316" s="34"/>
      <c r="F2316" s="34"/>
      <c r="G2316" s="34"/>
      <c r="H2316" s="34"/>
      <c r="I2316" s="34"/>
      <c r="J2316" s="34"/>
      <c r="K2316" s="34"/>
      <c r="L2316" s="34"/>
      <c r="M2316" s="34"/>
      <c r="N2316" s="34"/>
      <c r="O2316" s="34"/>
      <c r="P2316" s="34"/>
      <c r="Q2316" s="34"/>
      <c r="R2316" s="34"/>
      <c r="S2316" s="34"/>
      <c r="T2316" s="34"/>
      <c r="U2316" s="34"/>
      <c r="V2316" s="34"/>
      <c r="W2316" s="34"/>
      <c r="X2316" s="34"/>
      <c r="Y2316" s="34"/>
      <c r="Z2316" s="34"/>
      <c r="AA2316" s="34"/>
      <c r="AB2316" s="34"/>
      <c r="AC2316" s="34"/>
      <c r="AD2316" s="34"/>
      <c r="AE2316" s="34"/>
      <c r="AF2316" s="34"/>
    </row>
    <row r="2417" spans="2:32" x14ac:dyDescent="0.35">
      <c r="B2417" s="6"/>
      <c r="C2417" s="6"/>
      <c r="D2417" s="6"/>
      <c r="E2417" s="6"/>
      <c r="F2417" s="6"/>
      <c r="G2417" s="6"/>
      <c r="H2417" s="6"/>
      <c r="I2417" s="6"/>
      <c r="J2417" s="6"/>
      <c r="K2417" s="6"/>
      <c r="L2417" s="6"/>
      <c r="M2417" s="6"/>
      <c r="N2417" s="6"/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</row>
    <row r="2418" spans="2:32" x14ac:dyDescent="0.35">
      <c r="B2418" s="34"/>
      <c r="C2418" s="34"/>
      <c r="D2418" s="34"/>
      <c r="E2418" s="34"/>
      <c r="F2418" s="34"/>
      <c r="G2418" s="34"/>
      <c r="H2418" s="34"/>
      <c r="I2418" s="34"/>
      <c r="J2418" s="34"/>
      <c r="K2418" s="34"/>
      <c r="L2418" s="34"/>
      <c r="M2418" s="34"/>
      <c r="N2418" s="34"/>
      <c r="O2418" s="34"/>
      <c r="P2418" s="34"/>
      <c r="Q2418" s="34"/>
      <c r="R2418" s="34"/>
      <c r="S2418" s="34"/>
      <c r="T2418" s="34"/>
      <c r="U2418" s="34"/>
      <c r="V2418" s="34"/>
      <c r="W2418" s="34"/>
      <c r="X2418" s="34"/>
      <c r="Y2418" s="34"/>
      <c r="Z2418" s="34"/>
      <c r="AA2418" s="34"/>
      <c r="AB2418" s="34"/>
      <c r="AC2418" s="34"/>
      <c r="AD2418" s="34"/>
      <c r="AE2418" s="34"/>
      <c r="AF2418" s="34"/>
    </row>
    <row r="2502" spans="2:32" x14ac:dyDescent="0.35">
      <c r="B2502" s="6"/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6"/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</row>
    <row r="2507" spans="2:32" x14ac:dyDescent="0.35">
      <c r="B2507" s="6"/>
      <c r="C2507" s="6"/>
      <c r="D2507" s="6"/>
      <c r="E2507" s="6"/>
      <c r="F2507" s="6"/>
      <c r="G2507" s="6"/>
      <c r="H2507" s="6"/>
      <c r="I2507" s="6"/>
      <c r="J2507" s="6"/>
      <c r="K2507" s="6"/>
      <c r="L2507" s="6"/>
      <c r="M2507" s="6"/>
      <c r="N2507" s="6"/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</row>
    <row r="2508" spans="2:32" x14ac:dyDescent="0.35">
      <c r="B2508" s="34"/>
      <c r="C2508" s="34"/>
      <c r="D2508" s="34"/>
      <c r="E2508" s="34"/>
      <c r="F2508" s="34"/>
      <c r="G2508" s="34"/>
      <c r="H2508" s="34"/>
      <c r="I2508" s="34"/>
      <c r="J2508" s="34"/>
      <c r="K2508" s="34"/>
      <c r="L2508" s="34"/>
      <c r="M2508" s="34"/>
      <c r="N2508" s="34"/>
      <c r="O2508" s="34"/>
      <c r="P2508" s="34"/>
      <c r="Q2508" s="34"/>
      <c r="R2508" s="34"/>
      <c r="S2508" s="34"/>
      <c r="T2508" s="34"/>
      <c r="U2508" s="34"/>
      <c r="V2508" s="34"/>
      <c r="W2508" s="34"/>
      <c r="X2508" s="34"/>
      <c r="Y2508" s="34"/>
      <c r="Z2508" s="34"/>
      <c r="AA2508" s="34"/>
      <c r="AB2508" s="34"/>
      <c r="AC2508" s="34"/>
      <c r="AD2508" s="34"/>
      <c r="AE2508" s="34"/>
      <c r="AF2508" s="34"/>
    </row>
    <row r="2593" spans="2:32" x14ac:dyDescent="0.35">
      <c r="B2593" s="6"/>
      <c r="C2593" s="6"/>
      <c r="D2593" s="6"/>
      <c r="E2593" s="6"/>
      <c r="F2593" s="6"/>
      <c r="G2593" s="6"/>
      <c r="H2593" s="6"/>
      <c r="I2593" s="6"/>
      <c r="J2593" s="6"/>
      <c r="K2593" s="6"/>
      <c r="L2593" s="6"/>
      <c r="M2593" s="6"/>
      <c r="N2593" s="6"/>
      <c r="O2593" s="6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  <c r="AF2593" s="6"/>
    </row>
    <row r="2596" spans="2:32" x14ac:dyDescent="0.35">
      <c r="B2596" s="6"/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6"/>
      <c r="O2596" s="6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  <c r="AF2596" s="6"/>
    </row>
    <row r="2597" spans="2:32" x14ac:dyDescent="0.35">
      <c r="B2597" s="34"/>
      <c r="C2597" s="34"/>
      <c r="D2597" s="34"/>
      <c r="E2597" s="34"/>
      <c r="F2597" s="34"/>
      <c r="G2597" s="34"/>
      <c r="H2597" s="34"/>
      <c r="I2597" s="34"/>
      <c r="J2597" s="34"/>
      <c r="K2597" s="34"/>
      <c r="L2597" s="34"/>
      <c r="M2597" s="34"/>
      <c r="N2597" s="34"/>
      <c r="O2597" s="34"/>
      <c r="P2597" s="34"/>
      <c r="Q2597" s="34"/>
      <c r="R2597" s="34"/>
      <c r="S2597" s="34"/>
      <c r="T2597" s="34"/>
      <c r="U2597" s="34"/>
      <c r="V2597" s="34"/>
      <c r="W2597" s="34"/>
      <c r="X2597" s="34"/>
      <c r="Y2597" s="34"/>
      <c r="Z2597" s="34"/>
      <c r="AA2597" s="34"/>
      <c r="AB2597" s="34"/>
      <c r="AC2597" s="34"/>
      <c r="AD2597" s="34"/>
      <c r="AE2597" s="34"/>
      <c r="AF2597" s="34"/>
    </row>
    <row r="2705" spans="2:32" x14ac:dyDescent="0.35">
      <c r="B2705" s="6"/>
      <c r="C2705" s="6"/>
      <c r="D2705" s="6"/>
      <c r="E2705" s="6"/>
      <c r="F2705" s="6"/>
      <c r="G2705" s="6"/>
      <c r="H2705" s="6"/>
      <c r="I2705" s="6"/>
      <c r="J2705" s="6"/>
      <c r="K2705" s="6"/>
      <c r="L2705" s="6"/>
      <c r="M2705" s="6"/>
      <c r="N2705" s="6"/>
      <c r="O2705" s="6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  <c r="AF2705" s="6"/>
    </row>
    <row r="2717" spans="2:32" x14ac:dyDescent="0.35">
      <c r="B2717" s="6"/>
      <c r="C2717" s="6"/>
      <c r="D2717" s="6"/>
      <c r="E2717" s="6"/>
      <c r="F2717" s="6"/>
      <c r="G2717" s="6"/>
      <c r="H2717" s="6"/>
      <c r="I2717" s="6"/>
      <c r="J2717" s="6"/>
      <c r="K2717" s="6"/>
      <c r="L2717" s="6"/>
      <c r="M2717" s="6"/>
      <c r="N2717" s="6"/>
      <c r="O2717" s="6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  <c r="AF2717" s="6"/>
    </row>
    <row r="2718" spans="2:32" x14ac:dyDescent="0.35">
      <c r="B2718" s="34"/>
      <c r="C2718" s="34"/>
      <c r="D2718" s="34"/>
      <c r="E2718" s="34"/>
      <c r="F2718" s="34"/>
      <c r="G2718" s="34"/>
      <c r="H2718" s="34"/>
      <c r="I2718" s="34"/>
      <c r="J2718" s="34"/>
      <c r="K2718" s="34"/>
      <c r="L2718" s="34"/>
      <c r="M2718" s="34"/>
      <c r="N2718" s="34"/>
      <c r="O2718" s="34"/>
      <c r="P2718" s="34"/>
      <c r="Q2718" s="34"/>
      <c r="R2718" s="34"/>
      <c r="S2718" s="34"/>
      <c r="T2718" s="34"/>
      <c r="U2718" s="34"/>
      <c r="V2718" s="34"/>
      <c r="W2718" s="34"/>
      <c r="X2718" s="34"/>
      <c r="Y2718" s="34"/>
      <c r="Z2718" s="34"/>
      <c r="AA2718" s="34"/>
      <c r="AB2718" s="34"/>
      <c r="AC2718" s="34"/>
      <c r="AD2718" s="34"/>
      <c r="AE2718" s="34"/>
      <c r="AF2718" s="34"/>
    </row>
    <row r="2835" spans="2:32" x14ac:dyDescent="0.35">
      <c r="B2835" s="6"/>
      <c r="C2835" s="6"/>
      <c r="D2835" s="6"/>
      <c r="E2835" s="6"/>
      <c r="F2835" s="6"/>
      <c r="G2835" s="6"/>
      <c r="H2835" s="6"/>
      <c r="I2835" s="6"/>
      <c r="J2835" s="6"/>
      <c r="K2835" s="6"/>
      <c r="L2835" s="6"/>
      <c r="M2835" s="6"/>
      <c r="N2835" s="6"/>
      <c r="O2835" s="6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  <c r="AF2835" s="6"/>
    </row>
    <row r="2836" spans="2:32" x14ac:dyDescent="0.35">
      <c r="B2836" s="34"/>
      <c r="C2836" s="34"/>
      <c r="D2836" s="34"/>
      <c r="E2836" s="34"/>
      <c r="F2836" s="34"/>
      <c r="G2836" s="34"/>
      <c r="H2836" s="34"/>
      <c r="I2836" s="34"/>
      <c r="J2836" s="34"/>
      <c r="K2836" s="34"/>
      <c r="L2836" s="34"/>
      <c r="M2836" s="34"/>
      <c r="N2836" s="34"/>
      <c r="O2836" s="34"/>
      <c r="P2836" s="34"/>
      <c r="Q2836" s="34"/>
      <c r="R2836" s="34"/>
      <c r="S2836" s="34"/>
      <c r="T2836" s="34"/>
      <c r="U2836" s="34"/>
      <c r="V2836" s="34"/>
      <c r="W2836" s="34"/>
      <c r="X2836" s="34"/>
      <c r="Y2836" s="34"/>
      <c r="Z2836" s="34"/>
      <c r="AA2836" s="34"/>
      <c r="AB2836" s="34"/>
      <c r="AC2836" s="34"/>
      <c r="AD2836" s="34"/>
      <c r="AE2836" s="34"/>
      <c r="AF2836" s="34"/>
    </row>
  </sheetData>
  <mergeCells count="19">
    <mergeCell ref="B2718:AF2718"/>
    <mergeCell ref="B2836:AF2836"/>
    <mergeCell ref="B2030:AF2030"/>
    <mergeCell ref="B2152:AF2152"/>
    <mergeCell ref="B2316:AF2316"/>
    <mergeCell ref="B2418:AF2418"/>
    <mergeCell ref="B2508:AF2508"/>
    <mergeCell ref="B2597:AF2597"/>
    <mergeCell ref="B1944:AF1944"/>
    <mergeCell ref="B307:AF307"/>
    <mergeCell ref="B510:AF510"/>
    <mergeCell ref="B711:AF711"/>
    <mergeCell ref="B886:AF886"/>
    <mergeCell ref="B1100:AF1100"/>
    <mergeCell ref="B1228:AF1228"/>
    <mergeCell ref="B1389:AF1389"/>
    <mergeCell ref="B1501:AF1501"/>
    <mergeCell ref="B1603:AF1603"/>
    <mergeCell ref="B1698:AF169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B2FEB-1247-49A7-8667-24DD48F86558}">
  <dimension ref="A1:AH167"/>
  <sheetViews>
    <sheetView workbookViewId="0">
      <selection sqref="A1:AH167"/>
    </sheetView>
  </sheetViews>
  <sheetFormatPr defaultRowHeight="14.5" x14ac:dyDescent="0.35"/>
  <sheetData>
    <row r="1" spans="1:34" ht="15" thickBot="1" x14ac:dyDescent="0.4">
      <c r="A1" s="37"/>
      <c r="B1" s="38" t="s">
        <v>236</v>
      </c>
      <c r="C1" s="39">
        <v>2020</v>
      </c>
      <c r="D1" s="39">
        <v>2021</v>
      </c>
      <c r="E1" s="39">
        <v>2022</v>
      </c>
      <c r="F1" s="39">
        <v>2023</v>
      </c>
      <c r="G1" s="39">
        <v>2024</v>
      </c>
      <c r="H1" s="39">
        <v>2025</v>
      </c>
      <c r="I1" s="39">
        <v>2026</v>
      </c>
      <c r="J1" s="39">
        <v>2027</v>
      </c>
      <c r="K1" s="39">
        <v>2028</v>
      </c>
      <c r="L1" s="39">
        <v>2029</v>
      </c>
      <c r="M1" s="39">
        <v>2030</v>
      </c>
      <c r="N1" s="39">
        <v>2031</v>
      </c>
      <c r="O1" s="39">
        <v>2032</v>
      </c>
      <c r="P1" s="39">
        <v>2033</v>
      </c>
      <c r="Q1" s="39">
        <v>2034</v>
      </c>
      <c r="R1" s="39">
        <v>2035</v>
      </c>
      <c r="S1" s="39">
        <v>2036</v>
      </c>
      <c r="T1" s="39">
        <v>2037</v>
      </c>
      <c r="U1" s="39">
        <v>2038</v>
      </c>
      <c r="V1" s="39">
        <v>2039</v>
      </c>
      <c r="W1" s="39">
        <v>2040</v>
      </c>
      <c r="X1" s="39">
        <v>2041</v>
      </c>
      <c r="Y1" s="39">
        <v>2042</v>
      </c>
      <c r="Z1" s="39">
        <v>2043</v>
      </c>
      <c r="AA1" s="39">
        <v>2044</v>
      </c>
      <c r="AB1" s="39">
        <v>2045</v>
      </c>
      <c r="AC1" s="39">
        <v>2046</v>
      </c>
      <c r="AD1" s="39">
        <v>2047</v>
      </c>
      <c r="AE1" s="39">
        <v>2048</v>
      </c>
      <c r="AF1" s="39">
        <v>2049</v>
      </c>
      <c r="AG1" s="39">
        <v>2050</v>
      </c>
      <c r="AH1" s="37"/>
    </row>
    <row r="2" spans="1:34" ht="15" thickTop="1" x14ac:dyDescent="0.3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 spans="1:34" x14ac:dyDescent="0.35">
      <c r="A3" s="37"/>
      <c r="B3" s="37"/>
      <c r="C3" s="53" t="s">
        <v>9</v>
      </c>
      <c r="D3" s="53" t="s">
        <v>237</v>
      </c>
      <c r="E3" s="53"/>
      <c r="F3" s="53"/>
      <c r="G3" s="53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 spans="1:34" x14ac:dyDescent="0.35">
      <c r="A4" s="37"/>
      <c r="B4" s="37"/>
      <c r="C4" s="53" t="s">
        <v>11</v>
      </c>
      <c r="D4" s="53" t="s">
        <v>238</v>
      </c>
      <c r="E4" s="53"/>
      <c r="F4" s="53"/>
      <c r="G4" s="53" t="s">
        <v>239</v>
      </c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 spans="1:34" x14ac:dyDescent="0.35">
      <c r="A5" s="37"/>
      <c r="B5" s="37"/>
      <c r="C5" s="53" t="s">
        <v>14</v>
      </c>
      <c r="D5" s="53" t="s">
        <v>240</v>
      </c>
      <c r="E5" s="53"/>
      <c r="F5" s="53"/>
      <c r="G5" s="53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 spans="1:34" x14ac:dyDescent="0.35">
      <c r="A6" s="37"/>
      <c r="B6" s="37"/>
      <c r="C6" s="53" t="s">
        <v>16</v>
      </c>
      <c r="D6" s="53"/>
      <c r="E6" s="53" t="s">
        <v>241</v>
      </c>
      <c r="F6" s="53"/>
      <c r="G6" s="53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10" spans="1:34" ht="15.5" x14ac:dyDescent="0.35">
      <c r="A10" s="40" t="s">
        <v>18</v>
      </c>
      <c r="B10" s="41" t="s">
        <v>19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54" t="s">
        <v>242</v>
      </c>
    </row>
    <row r="11" spans="1:34" x14ac:dyDescent="0.35">
      <c r="A11" s="37"/>
      <c r="B11" s="38" t="s">
        <v>21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54" t="s">
        <v>243</v>
      </c>
    </row>
    <row r="12" spans="1:34" x14ac:dyDescent="0.35">
      <c r="A12" s="37"/>
      <c r="B12" s="38" t="s">
        <v>244</v>
      </c>
      <c r="C12" s="42" t="s">
        <v>244</v>
      </c>
      <c r="D12" s="42" t="s">
        <v>244</v>
      </c>
      <c r="E12" s="42" t="s">
        <v>244</v>
      </c>
      <c r="F12" s="42" t="s">
        <v>244</v>
      </c>
      <c r="G12" s="42" t="s">
        <v>244</v>
      </c>
      <c r="H12" s="42" t="s">
        <v>244</v>
      </c>
      <c r="I12" s="42" t="s">
        <v>244</v>
      </c>
      <c r="J12" s="42" t="s">
        <v>244</v>
      </c>
      <c r="K12" s="42" t="s">
        <v>244</v>
      </c>
      <c r="L12" s="42" t="s">
        <v>244</v>
      </c>
      <c r="M12" s="42" t="s">
        <v>244</v>
      </c>
      <c r="N12" s="42" t="s">
        <v>244</v>
      </c>
      <c r="O12" s="42" t="s">
        <v>244</v>
      </c>
      <c r="P12" s="42" t="s">
        <v>244</v>
      </c>
      <c r="Q12" s="42" t="s">
        <v>244</v>
      </c>
      <c r="R12" s="42" t="s">
        <v>244</v>
      </c>
      <c r="S12" s="42" t="s">
        <v>244</v>
      </c>
      <c r="T12" s="42" t="s">
        <v>244</v>
      </c>
      <c r="U12" s="42" t="s">
        <v>244</v>
      </c>
      <c r="V12" s="42" t="s">
        <v>244</v>
      </c>
      <c r="W12" s="42" t="s">
        <v>244</v>
      </c>
      <c r="X12" s="42" t="s">
        <v>244</v>
      </c>
      <c r="Y12" s="42" t="s">
        <v>244</v>
      </c>
      <c r="Z12" s="42" t="s">
        <v>244</v>
      </c>
      <c r="AA12" s="42" t="s">
        <v>244</v>
      </c>
      <c r="AB12" s="42" t="s">
        <v>244</v>
      </c>
      <c r="AC12" s="42" t="s">
        <v>244</v>
      </c>
      <c r="AD12" s="42" t="s">
        <v>244</v>
      </c>
      <c r="AE12" s="42" t="s">
        <v>244</v>
      </c>
      <c r="AF12" s="42" t="s">
        <v>244</v>
      </c>
      <c r="AG12" s="42" t="s">
        <v>244</v>
      </c>
      <c r="AH12" s="54" t="s">
        <v>245</v>
      </c>
    </row>
    <row r="13" spans="1:34" ht="61" thickBot="1" x14ac:dyDescent="0.4">
      <c r="A13" s="37"/>
      <c r="B13" s="39" t="s">
        <v>24</v>
      </c>
      <c r="C13" s="39">
        <v>2020</v>
      </c>
      <c r="D13" s="39">
        <v>2021</v>
      </c>
      <c r="E13" s="39">
        <v>2022</v>
      </c>
      <c r="F13" s="39">
        <v>2023</v>
      </c>
      <c r="G13" s="39">
        <v>2024</v>
      </c>
      <c r="H13" s="39">
        <v>2025</v>
      </c>
      <c r="I13" s="39">
        <v>2026</v>
      </c>
      <c r="J13" s="39">
        <v>2027</v>
      </c>
      <c r="K13" s="39">
        <v>2028</v>
      </c>
      <c r="L13" s="39">
        <v>2029</v>
      </c>
      <c r="M13" s="39">
        <v>2030</v>
      </c>
      <c r="N13" s="39">
        <v>2031</v>
      </c>
      <c r="O13" s="39">
        <v>2032</v>
      </c>
      <c r="P13" s="39">
        <v>2033</v>
      </c>
      <c r="Q13" s="39">
        <v>2034</v>
      </c>
      <c r="R13" s="39">
        <v>2035</v>
      </c>
      <c r="S13" s="39">
        <v>2036</v>
      </c>
      <c r="T13" s="39">
        <v>2037</v>
      </c>
      <c r="U13" s="39">
        <v>2038</v>
      </c>
      <c r="V13" s="39">
        <v>2039</v>
      </c>
      <c r="W13" s="39">
        <v>2040</v>
      </c>
      <c r="X13" s="39">
        <v>2041</v>
      </c>
      <c r="Y13" s="39">
        <v>2042</v>
      </c>
      <c r="Z13" s="39">
        <v>2043</v>
      </c>
      <c r="AA13" s="39">
        <v>2044</v>
      </c>
      <c r="AB13" s="39">
        <v>2045</v>
      </c>
      <c r="AC13" s="39">
        <v>2046</v>
      </c>
      <c r="AD13" s="39">
        <v>2047</v>
      </c>
      <c r="AE13" s="39">
        <v>2048</v>
      </c>
      <c r="AF13" s="39">
        <v>2049</v>
      </c>
      <c r="AG13" s="39">
        <v>2050</v>
      </c>
      <c r="AH13" s="55" t="s">
        <v>246</v>
      </c>
    </row>
    <row r="14" spans="1:34" ht="15" thickTop="1" x14ac:dyDescent="0.35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 spans="1:34" ht="24.5" x14ac:dyDescent="0.35">
      <c r="A15" s="37"/>
      <c r="B15" s="43" t="s">
        <v>2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 spans="1:34" ht="36.5" x14ac:dyDescent="0.35">
      <c r="A16" s="37"/>
      <c r="B16" s="43" t="s">
        <v>26</v>
      </c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 spans="1:34" ht="24.5" x14ac:dyDescent="0.35">
      <c r="A17" s="40" t="s">
        <v>27</v>
      </c>
      <c r="B17" s="44" t="s">
        <v>28</v>
      </c>
      <c r="C17" s="45">
        <v>84.750443000000004</v>
      </c>
      <c r="D17" s="45">
        <v>85.593697000000006</v>
      </c>
      <c r="E17" s="45">
        <v>86.438118000000003</v>
      </c>
      <c r="F17" s="45">
        <v>87.263756000000001</v>
      </c>
      <c r="G17" s="45">
        <v>88.078079000000002</v>
      </c>
      <c r="H17" s="45">
        <v>88.908073000000002</v>
      </c>
      <c r="I17" s="45">
        <v>89.730559999999997</v>
      </c>
      <c r="J17" s="45">
        <v>90.531715000000005</v>
      </c>
      <c r="K17" s="45">
        <v>91.318695000000005</v>
      </c>
      <c r="L17" s="45">
        <v>92.095459000000005</v>
      </c>
      <c r="M17" s="45">
        <v>92.863190000000003</v>
      </c>
      <c r="N17" s="45">
        <v>93.620482999999993</v>
      </c>
      <c r="O17" s="45">
        <v>94.374602999999993</v>
      </c>
      <c r="P17" s="45">
        <v>95.112335000000002</v>
      </c>
      <c r="Q17" s="45">
        <v>95.831551000000005</v>
      </c>
      <c r="R17" s="45">
        <v>96.548987999999994</v>
      </c>
      <c r="S17" s="45">
        <v>97.251769999999993</v>
      </c>
      <c r="T17" s="45">
        <v>97.942634999999996</v>
      </c>
      <c r="U17" s="45">
        <v>98.626311999999999</v>
      </c>
      <c r="V17" s="45">
        <v>99.300110000000004</v>
      </c>
      <c r="W17" s="45">
        <v>99.974013999999997</v>
      </c>
      <c r="X17" s="45">
        <v>100.64284499999999</v>
      </c>
      <c r="Y17" s="45">
        <v>101.307907</v>
      </c>
      <c r="Z17" s="45">
        <v>101.97792099999999</v>
      </c>
      <c r="AA17" s="45">
        <v>102.656685</v>
      </c>
      <c r="AB17" s="45">
        <v>103.34092699999999</v>
      </c>
      <c r="AC17" s="45">
        <v>104.026878</v>
      </c>
      <c r="AD17" s="45">
        <v>104.70899199999999</v>
      </c>
      <c r="AE17" s="45">
        <v>105.388451</v>
      </c>
      <c r="AF17" s="45">
        <v>106.06729900000001</v>
      </c>
      <c r="AG17" s="45">
        <v>106.746498</v>
      </c>
      <c r="AH17" s="46">
        <v>7.7210000000000004E-3</v>
      </c>
    </row>
    <row r="18" spans="1:34" ht="24.5" x14ac:dyDescent="0.35">
      <c r="A18" s="40" t="s">
        <v>29</v>
      </c>
      <c r="B18" s="44" t="s">
        <v>30</v>
      </c>
      <c r="C18" s="45">
        <v>31.968703999999999</v>
      </c>
      <c r="D18" s="45">
        <v>32.227859000000002</v>
      </c>
      <c r="E18" s="45">
        <v>32.481696999999997</v>
      </c>
      <c r="F18" s="45">
        <v>32.722110999999998</v>
      </c>
      <c r="G18" s="45">
        <v>32.964333000000003</v>
      </c>
      <c r="H18" s="45">
        <v>33.217959999999998</v>
      </c>
      <c r="I18" s="45">
        <v>33.469734000000003</v>
      </c>
      <c r="J18" s="45">
        <v>33.709865999999998</v>
      </c>
      <c r="K18" s="45">
        <v>33.941966999999998</v>
      </c>
      <c r="L18" s="45">
        <v>34.169193</v>
      </c>
      <c r="M18" s="45">
        <v>34.396915</v>
      </c>
      <c r="N18" s="45">
        <v>34.621048000000002</v>
      </c>
      <c r="O18" s="45">
        <v>34.840218</v>
      </c>
      <c r="P18" s="45">
        <v>35.051422000000002</v>
      </c>
      <c r="Q18" s="45">
        <v>35.255718000000002</v>
      </c>
      <c r="R18" s="45">
        <v>35.458874000000002</v>
      </c>
      <c r="S18" s="45">
        <v>35.655647000000002</v>
      </c>
      <c r="T18" s="45">
        <v>35.851790999999999</v>
      </c>
      <c r="U18" s="45">
        <v>36.050476000000003</v>
      </c>
      <c r="V18" s="45">
        <v>36.251506999999997</v>
      </c>
      <c r="W18" s="45">
        <v>36.451228999999998</v>
      </c>
      <c r="X18" s="45">
        <v>36.649303000000003</v>
      </c>
      <c r="Y18" s="45">
        <v>36.850163000000002</v>
      </c>
      <c r="Z18" s="45">
        <v>37.053848000000002</v>
      </c>
      <c r="AA18" s="45">
        <v>37.255768000000003</v>
      </c>
      <c r="AB18" s="45">
        <v>37.454777</v>
      </c>
      <c r="AC18" s="45">
        <v>37.649310999999997</v>
      </c>
      <c r="AD18" s="45">
        <v>37.844073999999999</v>
      </c>
      <c r="AE18" s="45">
        <v>38.040798000000002</v>
      </c>
      <c r="AF18" s="45">
        <v>38.240433000000003</v>
      </c>
      <c r="AG18" s="45">
        <v>38.443745</v>
      </c>
      <c r="AH18" s="46">
        <v>6.1669999999999997E-3</v>
      </c>
    </row>
    <row r="19" spans="1:34" ht="24.5" x14ac:dyDescent="0.35">
      <c r="A19" s="40" t="s">
        <v>31</v>
      </c>
      <c r="B19" s="44" t="s">
        <v>32</v>
      </c>
      <c r="C19" s="45">
        <v>6.6634640000000003</v>
      </c>
      <c r="D19" s="45">
        <v>6.6483860000000004</v>
      </c>
      <c r="E19" s="45">
        <v>6.6341010000000002</v>
      </c>
      <c r="F19" s="45">
        <v>6.6208140000000002</v>
      </c>
      <c r="G19" s="45">
        <v>6.6105159999999996</v>
      </c>
      <c r="H19" s="45">
        <v>6.6041939999999997</v>
      </c>
      <c r="I19" s="45">
        <v>6.6050519999999997</v>
      </c>
      <c r="J19" s="45">
        <v>6.6028560000000001</v>
      </c>
      <c r="K19" s="45">
        <v>6.5976480000000004</v>
      </c>
      <c r="L19" s="45">
        <v>6.5867889999999996</v>
      </c>
      <c r="M19" s="45">
        <v>6.5716080000000003</v>
      </c>
      <c r="N19" s="45">
        <v>6.5553319999999999</v>
      </c>
      <c r="O19" s="45">
        <v>6.5396599999999996</v>
      </c>
      <c r="P19" s="45">
        <v>6.5243869999999999</v>
      </c>
      <c r="Q19" s="45">
        <v>6.5112199999999998</v>
      </c>
      <c r="R19" s="45">
        <v>6.5020389999999999</v>
      </c>
      <c r="S19" s="45">
        <v>6.4934649999999996</v>
      </c>
      <c r="T19" s="45">
        <v>6.4835140000000004</v>
      </c>
      <c r="U19" s="45">
        <v>6.4727379999999997</v>
      </c>
      <c r="V19" s="45">
        <v>6.4627730000000003</v>
      </c>
      <c r="W19" s="45">
        <v>6.4554590000000003</v>
      </c>
      <c r="X19" s="45">
        <v>6.4490309999999997</v>
      </c>
      <c r="Y19" s="45">
        <v>6.4445810000000003</v>
      </c>
      <c r="Z19" s="45">
        <v>6.4428599999999996</v>
      </c>
      <c r="AA19" s="45">
        <v>6.4432330000000002</v>
      </c>
      <c r="AB19" s="45">
        <v>6.4440910000000002</v>
      </c>
      <c r="AC19" s="45">
        <v>6.4425730000000003</v>
      </c>
      <c r="AD19" s="45">
        <v>6.4381979999999999</v>
      </c>
      <c r="AE19" s="45">
        <v>6.4322549999999996</v>
      </c>
      <c r="AF19" s="45">
        <v>6.425656</v>
      </c>
      <c r="AG19" s="45">
        <v>6.4170800000000003</v>
      </c>
      <c r="AH19" s="46">
        <v>-1.255E-3</v>
      </c>
    </row>
    <row r="20" spans="1:34" x14ac:dyDescent="0.35">
      <c r="A20" s="40" t="s">
        <v>33</v>
      </c>
      <c r="B20" s="43" t="s">
        <v>34</v>
      </c>
      <c r="C20" s="47">
        <v>123.382614</v>
      </c>
      <c r="D20" s="47">
        <v>124.46993999999999</v>
      </c>
      <c r="E20" s="47">
        <v>125.553917</v>
      </c>
      <c r="F20" s="47">
        <v>126.60668200000001</v>
      </c>
      <c r="G20" s="47">
        <v>127.652931</v>
      </c>
      <c r="H20" s="47">
        <v>128.73022499999999</v>
      </c>
      <c r="I20" s="47">
        <v>129.80534399999999</v>
      </c>
      <c r="J20" s="47">
        <v>130.844437</v>
      </c>
      <c r="K20" s="47">
        <v>131.858307</v>
      </c>
      <c r="L20" s="47">
        <v>132.85144</v>
      </c>
      <c r="M20" s="47">
        <v>133.83171100000001</v>
      </c>
      <c r="N20" s="47">
        <v>134.79686000000001</v>
      </c>
      <c r="O20" s="47">
        <v>135.754471</v>
      </c>
      <c r="P20" s="47">
        <v>136.688141</v>
      </c>
      <c r="Q20" s="47">
        <v>137.59848</v>
      </c>
      <c r="R20" s="47">
        <v>138.50990300000001</v>
      </c>
      <c r="S20" s="47">
        <v>139.400879</v>
      </c>
      <c r="T20" s="47">
        <v>140.27795399999999</v>
      </c>
      <c r="U20" s="47">
        <v>141.14952099999999</v>
      </c>
      <c r="V20" s="47">
        <v>142.01438899999999</v>
      </c>
      <c r="W20" s="47">
        <v>142.880707</v>
      </c>
      <c r="X20" s="47">
        <v>143.74118000000001</v>
      </c>
      <c r="Y20" s="47">
        <v>144.60264599999999</v>
      </c>
      <c r="Z20" s="47">
        <v>145.474625</v>
      </c>
      <c r="AA20" s="47">
        <v>146.355682</v>
      </c>
      <c r="AB20" s="47">
        <v>147.23979199999999</v>
      </c>
      <c r="AC20" s="47">
        <v>148.11875900000001</v>
      </c>
      <c r="AD20" s="47">
        <v>148.99127200000001</v>
      </c>
      <c r="AE20" s="47">
        <v>149.86149599999999</v>
      </c>
      <c r="AF20" s="47">
        <v>150.73339799999999</v>
      </c>
      <c r="AG20" s="47">
        <v>151.60732999999999</v>
      </c>
      <c r="AH20" s="48">
        <v>6.8900000000000003E-3</v>
      </c>
    </row>
    <row r="22" spans="1:34" ht="48.5" x14ac:dyDescent="0.35">
      <c r="A22" s="40" t="s">
        <v>35</v>
      </c>
      <c r="B22" s="43" t="s">
        <v>36</v>
      </c>
      <c r="C22" s="52">
        <v>1789.3104249999999</v>
      </c>
      <c r="D22" s="52">
        <v>1795.357788</v>
      </c>
      <c r="E22" s="52">
        <v>1801.4011230000001</v>
      </c>
      <c r="F22" s="52">
        <v>1807.4682620000001</v>
      </c>
      <c r="G22" s="52">
        <v>1813.4492190000001</v>
      </c>
      <c r="H22" s="52">
        <v>1819.3139650000001</v>
      </c>
      <c r="I22" s="52">
        <v>1825.1085210000001</v>
      </c>
      <c r="J22" s="52">
        <v>1830.93335</v>
      </c>
      <c r="K22" s="52">
        <v>1836.7738039999999</v>
      </c>
      <c r="L22" s="52">
        <v>1842.6240230000001</v>
      </c>
      <c r="M22" s="52">
        <v>1848.442749</v>
      </c>
      <c r="N22" s="52">
        <v>1854.2421879999999</v>
      </c>
      <c r="O22" s="52">
        <v>1860.0407709999999</v>
      </c>
      <c r="P22" s="52">
        <v>1865.83728</v>
      </c>
      <c r="Q22" s="52">
        <v>1871.6087649999999</v>
      </c>
      <c r="R22" s="52">
        <v>1877.3393550000001</v>
      </c>
      <c r="S22" s="52">
        <v>1883.059082</v>
      </c>
      <c r="T22" s="52">
        <v>1888.739014</v>
      </c>
      <c r="U22" s="52">
        <v>1894.365967</v>
      </c>
      <c r="V22" s="52">
        <v>1899.9277340000001</v>
      </c>
      <c r="W22" s="52">
        <v>1905.4639890000001</v>
      </c>
      <c r="X22" s="52">
        <v>1910.97522</v>
      </c>
      <c r="Y22" s="52">
        <v>1916.424683</v>
      </c>
      <c r="Z22" s="52">
        <v>1921.832275</v>
      </c>
      <c r="AA22" s="52">
        <v>1927.2420649999999</v>
      </c>
      <c r="AB22" s="52">
        <v>1932.664673</v>
      </c>
      <c r="AC22" s="52">
        <v>1938.1176760000001</v>
      </c>
      <c r="AD22" s="52">
        <v>1943.5543210000001</v>
      </c>
      <c r="AE22" s="52">
        <v>1948.9592290000001</v>
      </c>
      <c r="AF22" s="52">
        <v>1954.3283690000001</v>
      </c>
      <c r="AG22" s="52">
        <v>1959.6640620000001</v>
      </c>
      <c r="AH22" s="48">
        <v>3.0360000000000001E-3</v>
      </c>
    </row>
    <row r="24" spans="1:34" ht="24.5" x14ac:dyDescent="0.35">
      <c r="A24" s="37"/>
      <c r="B24" s="43" t="s">
        <v>37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 spans="1:34" ht="36.5" x14ac:dyDescent="0.35">
      <c r="A25" s="37"/>
      <c r="B25" s="43" t="s">
        <v>38</v>
      </c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 spans="1:34" ht="48.5" x14ac:dyDescent="0.35">
      <c r="A26" s="40" t="s">
        <v>39</v>
      </c>
      <c r="B26" s="44" t="s">
        <v>40</v>
      </c>
      <c r="C26" s="50">
        <v>92.738022000000001</v>
      </c>
      <c r="D26" s="50">
        <v>91.586783999999994</v>
      </c>
      <c r="E26" s="50">
        <v>91.880095999999995</v>
      </c>
      <c r="F26" s="50">
        <v>91.111869999999996</v>
      </c>
      <c r="G26" s="50">
        <v>90.470100000000002</v>
      </c>
      <c r="H26" s="50">
        <v>89.770354999999995</v>
      </c>
      <c r="I26" s="50">
        <v>89.065894999999998</v>
      </c>
      <c r="J26" s="50">
        <v>88.379463000000001</v>
      </c>
      <c r="K26" s="50">
        <v>87.773742999999996</v>
      </c>
      <c r="L26" s="50">
        <v>87.208449999999999</v>
      </c>
      <c r="M26" s="50">
        <v>86.633553000000006</v>
      </c>
      <c r="N26" s="50">
        <v>86.134856999999997</v>
      </c>
      <c r="O26" s="50">
        <v>85.702552999999995</v>
      </c>
      <c r="P26" s="50">
        <v>85.281402999999997</v>
      </c>
      <c r="Q26" s="50">
        <v>84.919349999999994</v>
      </c>
      <c r="R26" s="50">
        <v>84.596985000000004</v>
      </c>
      <c r="S26" s="50">
        <v>84.326233000000002</v>
      </c>
      <c r="T26" s="50">
        <v>84.093863999999996</v>
      </c>
      <c r="U26" s="50">
        <v>83.883667000000003</v>
      </c>
      <c r="V26" s="50">
        <v>83.681618</v>
      </c>
      <c r="W26" s="50">
        <v>83.477538999999993</v>
      </c>
      <c r="X26" s="50">
        <v>83.281693000000004</v>
      </c>
      <c r="Y26" s="50">
        <v>83.101692</v>
      </c>
      <c r="Z26" s="50">
        <v>82.956817999999998</v>
      </c>
      <c r="AA26" s="50">
        <v>82.820435000000003</v>
      </c>
      <c r="AB26" s="50">
        <v>82.683516999999995</v>
      </c>
      <c r="AC26" s="50">
        <v>82.575637999999998</v>
      </c>
      <c r="AD26" s="50">
        <v>82.460792999999995</v>
      </c>
      <c r="AE26" s="50">
        <v>82.357017999999997</v>
      </c>
      <c r="AF26" s="50">
        <v>82.265586999999996</v>
      </c>
      <c r="AG26" s="50">
        <v>82.199286999999998</v>
      </c>
      <c r="AH26" s="46">
        <v>-4.0130000000000001E-3</v>
      </c>
    </row>
    <row r="27" spans="1:34" ht="48.5" x14ac:dyDescent="0.35">
      <c r="A27" s="40" t="s">
        <v>41</v>
      </c>
      <c r="B27" s="44" t="s">
        <v>42</v>
      </c>
      <c r="C27" s="50">
        <v>92.104782</v>
      </c>
      <c r="D27" s="50">
        <v>90.868224999999995</v>
      </c>
      <c r="E27" s="50">
        <v>91.091621000000004</v>
      </c>
      <c r="F27" s="50">
        <v>90.256591999999998</v>
      </c>
      <c r="G27" s="50">
        <v>89.550323000000006</v>
      </c>
      <c r="H27" s="50">
        <v>88.786704999999998</v>
      </c>
      <c r="I27" s="50">
        <v>88.017478999999994</v>
      </c>
      <c r="J27" s="50">
        <v>87.266570999999999</v>
      </c>
      <c r="K27" s="50">
        <v>86.596435999999997</v>
      </c>
      <c r="L27" s="50">
        <v>85.966887999999997</v>
      </c>
      <c r="M27" s="50">
        <v>85.326958000000005</v>
      </c>
      <c r="N27" s="50">
        <v>84.761809999999997</v>
      </c>
      <c r="O27" s="50">
        <v>84.262253000000001</v>
      </c>
      <c r="P27" s="50">
        <v>83.772934000000006</v>
      </c>
      <c r="Q27" s="50">
        <v>83.341469000000004</v>
      </c>
      <c r="R27" s="50">
        <v>82.949066000000002</v>
      </c>
      <c r="S27" s="50">
        <v>82.607262000000006</v>
      </c>
      <c r="T27" s="50">
        <v>82.303116000000003</v>
      </c>
      <c r="U27" s="50">
        <v>82.020409000000001</v>
      </c>
      <c r="V27" s="50">
        <v>81.745148</v>
      </c>
      <c r="W27" s="50">
        <v>81.466758999999996</v>
      </c>
      <c r="X27" s="50">
        <v>81.195541000000006</v>
      </c>
      <c r="Y27" s="50">
        <v>80.938629000000006</v>
      </c>
      <c r="Z27" s="50">
        <v>80.715416000000005</v>
      </c>
      <c r="AA27" s="50">
        <v>80.499274999999997</v>
      </c>
      <c r="AB27" s="50">
        <v>80.280556000000004</v>
      </c>
      <c r="AC27" s="50">
        <v>80.088920999999999</v>
      </c>
      <c r="AD27" s="50">
        <v>79.888603000000003</v>
      </c>
      <c r="AE27" s="50">
        <v>79.697120999999996</v>
      </c>
      <c r="AF27" s="50">
        <v>79.516227999999998</v>
      </c>
      <c r="AG27" s="50">
        <v>79.358765000000005</v>
      </c>
      <c r="AH27" s="46">
        <v>-4.9529999999999999E-3</v>
      </c>
    </row>
    <row r="28" spans="1:34" ht="48.5" x14ac:dyDescent="0.35">
      <c r="A28" s="37"/>
      <c r="B28" s="43" t="s">
        <v>43</v>
      </c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 spans="1:34" ht="48.5" x14ac:dyDescent="0.35">
      <c r="A29" s="40" t="s">
        <v>44</v>
      </c>
      <c r="B29" s="44" t="s">
        <v>40</v>
      </c>
      <c r="C29" s="50">
        <v>51.828918000000002</v>
      </c>
      <c r="D29" s="50">
        <v>51.013106999999998</v>
      </c>
      <c r="E29" s="50">
        <v>51.004798999999998</v>
      </c>
      <c r="F29" s="50">
        <v>50.408557999999999</v>
      </c>
      <c r="G29" s="50">
        <v>49.888409000000003</v>
      </c>
      <c r="H29" s="50">
        <v>49.342972000000003</v>
      </c>
      <c r="I29" s="50">
        <v>48.800327000000003</v>
      </c>
      <c r="J29" s="50">
        <v>48.270167999999998</v>
      </c>
      <c r="K29" s="50">
        <v>47.786911000000003</v>
      </c>
      <c r="L29" s="50">
        <v>47.328400000000002</v>
      </c>
      <c r="M29" s="50">
        <v>46.868400999999999</v>
      </c>
      <c r="N29" s="50">
        <v>46.452862000000003</v>
      </c>
      <c r="O29" s="50">
        <v>46.075629999999997</v>
      </c>
      <c r="P29" s="50">
        <v>45.706775999999998</v>
      </c>
      <c r="Q29" s="50">
        <v>45.372382999999999</v>
      </c>
      <c r="R29" s="50">
        <v>45.062168</v>
      </c>
      <c r="S29" s="50">
        <v>44.781512999999997</v>
      </c>
      <c r="T29" s="50">
        <v>44.523811000000002</v>
      </c>
      <c r="U29" s="50">
        <v>44.280605000000001</v>
      </c>
      <c r="V29" s="50">
        <v>44.044632</v>
      </c>
      <c r="W29" s="50">
        <v>43.809559</v>
      </c>
      <c r="X29" s="50">
        <v>43.580730000000003</v>
      </c>
      <c r="Y29" s="50">
        <v>43.362876999999997</v>
      </c>
      <c r="Z29" s="50">
        <v>43.165481999999997</v>
      </c>
      <c r="AA29" s="50">
        <v>42.973553000000003</v>
      </c>
      <c r="AB29" s="50">
        <v>42.782131</v>
      </c>
      <c r="AC29" s="50">
        <v>42.606102</v>
      </c>
      <c r="AD29" s="50">
        <v>42.42783</v>
      </c>
      <c r="AE29" s="50">
        <v>42.256920000000001</v>
      </c>
      <c r="AF29" s="50">
        <v>42.094043999999997</v>
      </c>
      <c r="AG29" s="50">
        <v>41.945602000000001</v>
      </c>
      <c r="AH29" s="46">
        <v>-7.0280000000000004E-3</v>
      </c>
    </row>
    <row r="30" spans="1:34" ht="48.5" x14ac:dyDescent="0.35">
      <c r="A30" s="40" t="s">
        <v>45</v>
      </c>
      <c r="B30" s="44" t="s">
        <v>42</v>
      </c>
      <c r="C30" s="50">
        <v>51.475014000000002</v>
      </c>
      <c r="D30" s="50">
        <v>50.612876999999997</v>
      </c>
      <c r="E30" s="50">
        <v>50.567093</v>
      </c>
      <c r="F30" s="50">
        <v>49.935367999999997</v>
      </c>
      <c r="G30" s="50">
        <v>49.381214</v>
      </c>
      <c r="H30" s="50">
        <v>48.802298999999998</v>
      </c>
      <c r="I30" s="50">
        <v>48.225887</v>
      </c>
      <c r="J30" s="50">
        <v>47.662337999999998</v>
      </c>
      <c r="K30" s="50">
        <v>47.145943000000003</v>
      </c>
      <c r="L30" s="50">
        <v>46.654601999999997</v>
      </c>
      <c r="M30" s="50">
        <v>46.161537000000003</v>
      </c>
      <c r="N30" s="50">
        <v>45.712375999999999</v>
      </c>
      <c r="O30" s="50">
        <v>45.301291999999997</v>
      </c>
      <c r="P30" s="50">
        <v>44.898304000000003</v>
      </c>
      <c r="Q30" s="50">
        <v>44.529324000000003</v>
      </c>
      <c r="R30" s="50">
        <v>44.184376</v>
      </c>
      <c r="S30" s="50">
        <v>43.868648999999998</v>
      </c>
      <c r="T30" s="50">
        <v>43.575695000000003</v>
      </c>
      <c r="U30" s="50">
        <v>43.297024</v>
      </c>
      <c r="V30" s="50">
        <v>43.025398000000003</v>
      </c>
      <c r="W30" s="50">
        <v>42.754288000000003</v>
      </c>
      <c r="X30" s="50">
        <v>42.489058999999997</v>
      </c>
      <c r="Y30" s="50">
        <v>42.234183999999999</v>
      </c>
      <c r="Z30" s="50">
        <v>41.999198999999997</v>
      </c>
      <c r="AA30" s="50">
        <v>41.769157</v>
      </c>
      <c r="AB30" s="50">
        <v>41.538795</v>
      </c>
      <c r="AC30" s="50">
        <v>41.323044000000003</v>
      </c>
      <c r="AD30" s="50">
        <v>41.104385000000001</v>
      </c>
      <c r="AE30" s="50">
        <v>40.892142999999997</v>
      </c>
      <c r="AF30" s="50">
        <v>40.687241</v>
      </c>
      <c r="AG30" s="50">
        <v>40.496108999999997</v>
      </c>
      <c r="AH30" s="46">
        <v>-7.9640000000000006E-3</v>
      </c>
    </row>
    <row r="32" spans="1:34" ht="36.5" x14ac:dyDescent="0.35">
      <c r="A32" s="37"/>
      <c r="B32" s="43" t="s">
        <v>3</v>
      </c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 spans="1:34" ht="24.5" x14ac:dyDescent="0.35">
      <c r="A33" s="37"/>
      <c r="B33" s="43" t="s">
        <v>46</v>
      </c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 spans="1:34" ht="24.5" x14ac:dyDescent="0.35">
      <c r="A34" s="40" t="s">
        <v>47</v>
      </c>
      <c r="B34" s="44" t="s">
        <v>48</v>
      </c>
      <c r="C34" s="45">
        <v>0.64897499999999997</v>
      </c>
      <c r="D34" s="45">
        <v>0.69835899999999995</v>
      </c>
      <c r="E34" s="45">
        <v>0.70567500000000005</v>
      </c>
      <c r="F34" s="45">
        <v>0.70057899999999995</v>
      </c>
      <c r="G34" s="45">
        <v>0.69710399999999995</v>
      </c>
      <c r="H34" s="45">
        <v>0.69382900000000003</v>
      </c>
      <c r="I34" s="45">
        <v>0.68961499999999998</v>
      </c>
      <c r="J34" s="45">
        <v>0.684867</v>
      </c>
      <c r="K34" s="45">
        <v>0.68038900000000002</v>
      </c>
      <c r="L34" s="45">
        <v>0.67574100000000004</v>
      </c>
      <c r="M34" s="45">
        <v>0.67127800000000004</v>
      </c>
      <c r="N34" s="45">
        <v>0.66709300000000005</v>
      </c>
      <c r="O34" s="45">
        <v>0.66315599999999997</v>
      </c>
      <c r="P34" s="45">
        <v>0.65886900000000004</v>
      </c>
      <c r="Q34" s="45">
        <v>0.65454299999999999</v>
      </c>
      <c r="R34" s="45">
        <v>0.65064699999999998</v>
      </c>
      <c r="S34" s="45">
        <v>0.64697899999999997</v>
      </c>
      <c r="T34" s="45">
        <v>0.64345399999999997</v>
      </c>
      <c r="U34" s="45">
        <v>0.64001200000000003</v>
      </c>
      <c r="V34" s="45">
        <v>0.63648700000000002</v>
      </c>
      <c r="W34" s="45">
        <v>0.63304199999999999</v>
      </c>
      <c r="X34" s="45">
        <v>0.62941100000000005</v>
      </c>
      <c r="Y34" s="45">
        <v>0.62568000000000001</v>
      </c>
      <c r="Z34" s="45">
        <v>0.62259399999999998</v>
      </c>
      <c r="AA34" s="45">
        <v>0.61931000000000003</v>
      </c>
      <c r="AB34" s="45">
        <v>0.61587999999999998</v>
      </c>
      <c r="AC34" s="45">
        <v>0.61271600000000004</v>
      </c>
      <c r="AD34" s="45">
        <v>0.60931900000000006</v>
      </c>
      <c r="AE34" s="45">
        <v>0.60589800000000005</v>
      </c>
      <c r="AF34" s="45">
        <v>0.60285900000000003</v>
      </c>
      <c r="AG34" s="45">
        <v>0.60021000000000002</v>
      </c>
      <c r="AH34" s="46">
        <v>-2.5999999999999999E-3</v>
      </c>
    </row>
    <row r="35" spans="1:34" ht="24.5" x14ac:dyDescent="0.35">
      <c r="A35" s="40" t="s">
        <v>49</v>
      </c>
      <c r="B35" s="44" t="s">
        <v>50</v>
      </c>
      <c r="C35" s="45">
        <v>0.80539300000000003</v>
      </c>
      <c r="D35" s="45">
        <v>0.766594</v>
      </c>
      <c r="E35" s="45">
        <v>0.861182</v>
      </c>
      <c r="F35" s="45">
        <v>0.87408300000000005</v>
      </c>
      <c r="G35" s="45">
        <v>0.88777700000000004</v>
      </c>
      <c r="H35" s="45">
        <v>0.90209899999999998</v>
      </c>
      <c r="I35" s="45">
        <v>0.91594299999999995</v>
      </c>
      <c r="J35" s="45">
        <v>0.92971499999999996</v>
      </c>
      <c r="K35" s="45">
        <v>0.94412300000000005</v>
      </c>
      <c r="L35" s="45">
        <v>0.95886700000000002</v>
      </c>
      <c r="M35" s="45">
        <v>0.97419299999999998</v>
      </c>
      <c r="N35" s="45">
        <v>0.99074399999999996</v>
      </c>
      <c r="O35" s="45">
        <v>1.008481</v>
      </c>
      <c r="P35" s="45">
        <v>1.025846</v>
      </c>
      <c r="Q35" s="45">
        <v>1.043779</v>
      </c>
      <c r="R35" s="45">
        <v>1.0629109999999999</v>
      </c>
      <c r="S35" s="45">
        <v>1.0831999999999999</v>
      </c>
      <c r="T35" s="45">
        <v>1.1050310000000001</v>
      </c>
      <c r="U35" s="45">
        <v>1.127032</v>
      </c>
      <c r="V35" s="45">
        <v>1.149105</v>
      </c>
      <c r="W35" s="45">
        <v>1.171538</v>
      </c>
      <c r="X35" s="45">
        <v>1.1934800000000001</v>
      </c>
      <c r="Y35" s="45">
        <v>1.216245</v>
      </c>
      <c r="Z35" s="45">
        <v>1.239965</v>
      </c>
      <c r="AA35" s="45">
        <v>1.2645310000000001</v>
      </c>
      <c r="AB35" s="45">
        <v>1.2888820000000001</v>
      </c>
      <c r="AC35" s="45">
        <v>1.3139449999999999</v>
      </c>
      <c r="AD35" s="45">
        <v>1.3385149999999999</v>
      </c>
      <c r="AE35" s="45">
        <v>1.3642240000000001</v>
      </c>
      <c r="AF35" s="45">
        <v>1.390646</v>
      </c>
      <c r="AG35" s="45">
        <v>1.418784</v>
      </c>
      <c r="AH35" s="46">
        <v>1.9053E-2</v>
      </c>
    </row>
    <row r="36" spans="1:34" ht="24.5" x14ac:dyDescent="0.35">
      <c r="A36" s="40" t="s">
        <v>51</v>
      </c>
      <c r="B36" s="44" t="s">
        <v>52</v>
      </c>
      <c r="C36" s="45">
        <v>0.60754900000000001</v>
      </c>
      <c r="D36" s="45">
        <v>0.61027200000000004</v>
      </c>
      <c r="E36" s="45">
        <v>0.61248599999999997</v>
      </c>
      <c r="F36" s="45">
        <v>0.61327600000000004</v>
      </c>
      <c r="G36" s="45">
        <v>0.61469700000000005</v>
      </c>
      <c r="H36" s="45">
        <v>0.61555800000000005</v>
      </c>
      <c r="I36" s="45">
        <v>0.61551599999999995</v>
      </c>
      <c r="J36" s="45">
        <v>0.61533899999999997</v>
      </c>
      <c r="K36" s="45">
        <v>0.615263</v>
      </c>
      <c r="L36" s="45">
        <v>0.61515900000000001</v>
      </c>
      <c r="M36" s="45">
        <v>0.61544600000000005</v>
      </c>
      <c r="N36" s="45">
        <v>0.61618899999999999</v>
      </c>
      <c r="O36" s="45">
        <v>0.61755800000000005</v>
      </c>
      <c r="P36" s="45">
        <v>0.61868999999999996</v>
      </c>
      <c r="Q36" s="45">
        <v>0.62004800000000004</v>
      </c>
      <c r="R36" s="45">
        <v>0.62183600000000006</v>
      </c>
      <c r="S36" s="45">
        <v>0.62421099999999996</v>
      </c>
      <c r="T36" s="45">
        <v>0.62690800000000002</v>
      </c>
      <c r="U36" s="45">
        <v>0.62986200000000003</v>
      </c>
      <c r="V36" s="45">
        <v>0.63256699999999999</v>
      </c>
      <c r="W36" s="45">
        <v>0.63504899999999997</v>
      </c>
      <c r="X36" s="45">
        <v>0.63740300000000005</v>
      </c>
      <c r="Y36" s="45">
        <v>0.63966800000000001</v>
      </c>
      <c r="Z36" s="45">
        <v>0.64261400000000002</v>
      </c>
      <c r="AA36" s="45">
        <v>0.64552900000000002</v>
      </c>
      <c r="AB36" s="45">
        <v>0.64850600000000003</v>
      </c>
      <c r="AC36" s="45">
        <v>0.65178499999999995</v>
      </c>
      <c r="AD36" s="45">
        <v>0.65504799999999996</v>
      </c>
      <c r="AE36" s="45">
        <v>0.65846199999999999</v>
      </c>
      <c r="AF36" s="45">
        <v>0.66237500000000005</v>
      </c>
      <c r="AG36" s="45">
        <v>0.666767</v>
      </c>
      <c r="AH36" s="46">
        <v>3.1050000000000001E-3</v>
      </c>
    </row>
    <row r="37" spans="1:34" ht="36.5" x14ac:dyDescent="0.35">
      <c r="A37" s="40" t="s">
        <v>53</v>
      </c>
      <c r="B37" s="44" t="s">
        <v>54</v>
      </c>
      <c r="C37" s="45">
        <v>0.29757099999999997</v>
      </c>
      <c r="D37" s="45">
        <v>0.295346</v>
      </c>
      <c r="E37" s="45">
        <v>0.29378399999999999</v>
      </c>
      <c r="F37" s="45">
        <v>0.29202600000000001</v>
      </c>
      <c r="G37" s="45">
        <v>0.29042400000000002</v>
      </c>
      <c r="H37" s="45">
        <v>0.28908299999999998</v>
      </c>
      <c r="I37" s="45">
        <v>0.28793600000000003</v>
      </c>
      <c r="J37" s="45">
        <v>0.28692200000000001</v>
      </c>
      <c r="K37" s="45">
        <v>0.28607500000000002</v>
      </c>
      <c r="L37" s="45">
        <v>0.28541899999999998</v>
      </c>
      <c r="M37" s="45">
        <v>0.28499999999999998</v>
      </c>
      <c r="N37" s="45">
        <v>0.284881</v>
      </c>
      <c r="O37" s="45">
        <v>0.28508899999999998</v>
      </c>
      <c r="P37" s="45">
        <v>0.28559600000000002</v>
      </c>
      <c r="Q37" s="45">
        <v>0.286414</v>
      </c>
      <c r="R37" s="45">
        <v>0.28758899999999998</v>
      </c>
      <c r="S37" s="45">
        <v>0.28906799999999999</v>
      </c>
      <c r="T37" s="45">
        <v>0.29083900000000001</v>
      </c>
      <c r="U37" s="45">
        <v>0.29291899999999998</v>
      </c>
      <c r="V37" s="45">
        <v>0.29527399999999998</v>
      </c>
      <c r="W37" s="45">
        <v>0.29792600000000002</v>
      </c>
      <c r="X37" s="45">
        <v>0.30085800000000001</v>
      </c>
      <c r="Y37" s="45">
        <v>0.30406499999999997</v>
      </c>
      <c r="Z37" s="45">
        <v>0.30727100000000002</v>
      </c>
      <c r="AA37" s="45">
        <v>0.31046600000000002</v>
      </c>
      <c r="AB37" s="45">
        <v>0.31362899999999999</v>
      </c>
      <c r="AC37" s="45">
        <v>0.31673499999999999</v>
      </c>
      <c r="AD37" s="45">
        <v>0.319768</v>
      </c>
      <c r="AE37" s="45">
        <v>0.32273200000000002</v>
      </c>
      <c r="AF37" s="45">
        <v>0.32563300000000001</v>
      </c>
      <c r="AG37" s="45">
        <v>0.32846999999999998</v>
      </c>
      <c r="AH37" s="46">
        <v>3.2989999999999998E-3</v>
      </c>
    </row>
    <row r="38" spans="1:34" x14ac:dyDescent="0.35">
      <c r="A38" s="40" t="s">
        <v>55</v>
      </c>
      <c r="B38" s="44" t="s">
        <v>56</v>
      </c>
      <c r="C38" s="45">
        <v>5.5007E-2</v>
      </c>
      <c r="D38" s="45">
        <v>5.5161000000000002E-2</v>
      </c>
      <c r="E38" s="45">
        <v>5.5458E-2</v>
      </c>
      <c r="F38" s="45">
        <v>5.5738000000000003E-2</v>
      </c>
      <c r="G38" s="45">
        <v>5.6009000000000003E-2</v>
      </c>
      <c r="H38" s="45">
        <v>5.6286000000000003E-2</v>
      </c>
      <c r="I38" s="45">
        <v>5.6556000000000002E-2</v>
      </c>
      <c r="J38" s="45">
        <v>5.6802999999999999E-2</v>
      </c>
      <c r="K38" s="45">
        <v>5.7031999999999999E-2</v>
      </c>
      <c r="L38" s="45">
        <v>5.7229000000000002E-2</v>
      </c>
      <c r="M38" s="45">
        <v>5.7396000000000003E-2</v>
      </c>
      <c r="N38" s="45">
        <v>5.7526000000000001E-2</v>
      </c>
      <c r="O38" s="45">
        <v>5.7620999999999999E-2</v>
      </c>
      <c r="P38" s="45">
        <v>5.7724999999999999E-2</v>
      </c>
      <c r="Q38" s="45">
        <v>5.7854000000000003E-2</v>
      </c>
      <c r="R38" s="45">
        <v>5.8016999999999999E-2</v>
      </c>
      <c r="S38" s="45">
        <v>5.8215000000000003E-2</v>
      </c>
      <c r="T38" s="45">
        <v>5.8450000000000002E-2</v>
      </c>
      <c r="U38" s="45">
        <v>5.8677E-2</v>
      </c>
      <c r="V38" s="45">
        <v>5.8894000000000002E-2</v>
      </c>
      <c r="W38" s="45">
        <v>5.9104999999999998E-2</v>
      </c>
      <c r="X38" s="45">
        <v>5.9304999999999997E-2</v>
      </c>
      <c r="Y38" s="45">
        <v>5.9498000000000002E-2</v>
      </c>
      <c r="Z38" s="45">
        <v>5.9686999999999997E-2</v>
      </c>
      <c r="AA38" s="45">
        <v>5.9871000000000001E-2</v>
      </c>
      <c r="AB38" s="45">
        <v>6.0049999999999999E-2</v>
      </c>
      <c r="AC38" s="45">
        <v>6.0220999999999997E-2</v>
      </c>
      <c r="AD38" s="45">
        <v>6.0386000000000002E-2</v>
      </c>
      <c r="AE38" s="45">
        <v>6.0551000000000001E-2</v>
      </c>
      <c r="AF38" s="45">
        <v>6.0719000000000002E-2</v>
      </c>
      <c r="AG38" s="45">
        <v>6.0893000000000003E-2</v>
      </c>
      <c r="AH38" s="46">
        <v>3.3939999999999999E-3</v>
      </c>
    </row>
    <row r="39" spans="1:34" ht="24.5" x14ac:dyDescent="0.35">
      <c r="A39" s="40" t="s">
        <v>57</v>
      </c>
      <c r="B39" s="44" t="s">
        <v>58</v>
      </c>
      <c r="C39" s="45">
        <v>0.216421</v>
      </c>
      <c r="D39" s="45">
        <v>0.220387</v>
      </c>
      <c r="E39" s="45">
        <v>0.22392699999999999</v>
      </c>
      <c r="F39" s="45">
        <v>0.227024</v>
      </c>
      <c r="G39" s="45">
        <v>0.23042099999999999</v>
      </c>
      <c r="H39" s="45">
        <v>0.233791</v>
      </c>
      <c r="I39" s="45">
        <v>0.236868</v>
      </c>
      <c r="J39" s="45">
        <v>0.239735</v>
      </c>
      <c r="K39" s="45">
        <v>0.24265999999999999</v>
      </c>
      <c r="L39" s="45">
        <v>0.245586</v>
      </c>
      <c r="M39" s="45">
        <v>0.248642</v>
      </c>
      <c r="N39" s="45">
        <v>0.25174800000000003</v>
      </c>
      <c r="O39" s="45">
        <v>0.25499899999999998</v>
      </c>
      <c r="P39" s="45">
        <v>0.25810499999999997</v>
      </c>
      <c r="Q39" s="45">
        <v>0.26134800000000002</v>
      </c>
      <c r="R39" s="45">
        <v>0.26472400000000001</v>
      </c>
      <c r="S39" s="45">
        <v>0.26834599999999997</v>
      </c>
      <c r="T39" s="45">
        <v>0.27198499999999998</v>
      </c>
      <c r="U39" s="45">
        <v>0.27561999999999998</v>
      </c>
      <c r="V39" s="45">
        <v>0.27921099999999999</v>
      </c>
      <c r="W39" s="45">
        <v>0.28273500000000001</v>
      </c>
      <c r="X39" s="45">
        <v>0.286192</v>
      </c>
      <c r="Y39" s="45">
        <v>0.289572</v>
      </c>
      <c r="Z39" s="45">
        <v>0.293211</v>
      </c>
      <c r="AA39" s="45">
        <v>0.29679699999999998</v>
      </c>
      <c r="AB39" s="45">
        <v>0.30034499999999997</v>
      </c>
      <c r="AC39" s="45">
        <v>0.30395899999999998</v>
      </c>
      <c r="AD39" s="45">
        <v>0.30750499999999997</v>
      </c>
      <c r="AE39" s="45">
        <v>0.31109100000000001</v>
      </c>
      <c r="AF39" s="45">
        <v>0.31490099999999999</v>
      </c>
      <c r="AG39" s="45">
        <v>0.31889400000000001</v>
      </c>
      <c r="AH39" s="46">
        <v>1.3004999999999999E-2</v>
      </c>
    </row>
    <row r="40" spans="1:34" x14ac:dyDescent="0.35">
      <c r="A40" s="40" t="s">
        <v>59</v>
      </c>
      <c r="B40" s="44" t="s">
        <v>60</v>
      </c>
      <c r="C40" s="45">
        <v>6.9181000000000006E-2</v>
      </c>
      <c r="D40" s="45">
        <v>6.8847000000000005E-2</v>
      </c>
      <c r="E40" s="45">
        <v>6.8695999999999993E-2</v>
      </c>
      <c r="F40" s="45">
        <v>6.8514000000000005E-2</v>
      </c>
      <c r="G40" s="45">
        <v>6.8303000000000003E-2</v>
      </c>
      <c r="H40" s="45">
        <v>6.8080000000000002E-2</v>
      </c>
      <c r="I40" s="45">
        <v>6.7833000000000004E-2</v>
      </c>
      <c r="J40" s="45">
        <v>6.7552000000000001E-2</v>
      </c>
      <c r="K40" s="45">
        <v>6.7285999999999999E-2</v>
      </c>
      <c r="L40" s="45">
        <v>6.7035999999999998E-2</v>
      </c>
      <c r="M40" s="45">
        <v>6.6805000000000003E-2</v>
      </c>
      <c r="N40" s="45">
        <v>6.6594E-2</v>
      </c>
      <c r="O40" s="45">
        <v>6.6406999999999994E-2</v>
      </c>
      <c r="P40" s="45">
        <v>6.6239000000000006E-2</v>
      </c>
      <c r="Q40" s="45">
        <v>6.6095000000000001E-2</v>
      </c>
      <c r="R40" s="45">
        <v>6.5983E-2</v>
      </c>
      <c r="S40" s="45">
        <v>6.59E-2</v>
      </c>
      <c r="T40" s="45">
        <v>6.5845000000000001E-2</v>
      </c>
      <c r="U40" s="45">
        <v>6.5823999999999994E-2</v>
      </c>
      <c r="V40" s="45">
        <v>6.5833000000000003E-2</v>
      </c>
      <c r="W40" s="45">
        <v>6.5878000000000006E-2</v>
      </c>
      <c r="X40" s="45">
        <v>6.5962999999999994E-2</v>
      </c>
      <c r="Y40" s="45">
        <v>6.6087999999999994E-2</v>
      </c>
      <c r="Z40" s="45">
        <v>6.6264000000000003E-2</v>
      </c>
      <c r="AA40" s="45">
        <v>6.6497000000000001E-2</v>
      </c>
      <c r="AB40" s="45">
        <v>6.6783999999999996E-2</v>
      </c>
      <c r="AC40" s="45">
        <v>6.7123000000000002E-2</v>
      </c>
      <c r="AD40" s="45">
        <v>6.7501000000000005E-2</v>
      </c>
      <c r="AE40" s="45">
        <v>6.7876000000000006E-2</v>
      </c>
      <c r="AF40" s="45">
        <v>6.8251000000000006E-2</v>
      </c>
      <c r="AG40" s="45">
        <v>6.8624000000000004E-2</v>
      </c>
      <c r="AH40" s="46">
        <v>-2.7E-4</v>
      </c>
    </row>
    <row r="41" spans="1:34" x14ac:dyDescent="0.35">
      <c r="A41" s="40" t="s">
        <v>61</v>
      </c>
      <c r="B41" s="44" t="s">
        <v>62</v>
      </c>
      <c r="C41" s="45">
        <v>0.21124699999999999</v>
      </c>
      <c r="D41" s="45">
        <v>0.204709</v>
      </c>
      <c r="E41" s="45">
        <v>0.202325</v>
      </c>
      <c r="F41" s="45">
        <v>0.20133100000000001</v>
      </c>
      <c r="G41" s="45">
        <v>0.20136299999999999</v>
      </c>
      <c r="H41" s="45">
        <v>0.19996900000000001</v>
      </c>
      <c r="I41" s="45">
        <v>0.19883400000000001</v>
      </c>
      <c r="J41" s="45">
        <v>0.19838500000000001</v>
      </c>
      <c r="K41" s="45">
        <v>0.198653</v>
      </c>
      <c r="L41" s="45">
        <v>0.199213</v>
      </c>
      <c r="M41" s="45">
        <v>0.19741900000000001</v>
      </c>
      <c r="N41" s="45">
        <v>0.19624800000000001</v>
      </c>
      <c r="O41" s="45">
        <v>0.19559699999999999</v>
      </c>
      <c r="P41" s="45">
        <v>0.19511400000000001</v>
      </c>
      <c r="Q41" s="45">
        <v>0.19497800000000001</v>
      </c>
      <c r="R41" s="45">
        <v>0.19514300000000001</v>
      </c>
      <c r="S41" s="45">
        <v>0.195525</v>
      </c>
      <c r="T41" s="45">
        <v>0.19600000000000001</v>
      </c>
      <c r="U41" s="45">
        <v>0.196543</v>
      </c>
      <c r="V41" s="45">
        <v>0.19711400000000001</v>
      </c>
      <c r="W41" s="45">
        <v>0.19439999999999999</v>
      </c>
      <c r="X41" s="45">
        <v>0.19228500000000001</v>
      </c>
      <c r="Y41" s="45">
        <v>0.19058800000000001</v>
      </c>
      <c r="Z41" s="45">
        <v>0.18950400000000001</v>
      </c>
      <c r="AA41" s="45">
        <v>0.18876000000000001</v>
      </c>
      <c r="AB41" s="45">
        <v>0.18824299999999999</v>
      </c>
      <c r="AC41" s="45">
        <v>0.18789700000000001</v>
      </c>
      <c r="AD41" s="45">
        <v>0.187552</v>
      </c>
      <c r="AE41" s="45">
        <v>0.187251</v>
      </c>
      <c r="AF41" s="45">
        <v>0.18709600000000001</v>
      </c>
      <c r="AG41" s="45">
        <v>0.187254</v>
      </c>
      <c r="AH41" s="46">
        <v>-4.0109999999999998E-3</v>
      </c>
    </row>
    <row r="42" spans="1:34" ht="24.5" x14ac:dyDescent="0.35">
      <c r="A42" s="40" t="s">
        <v>63</v>
      </c>
      <c r="B42" s="44" t="s">
        <v>64</v>
      </c>
      <c r="C42" s="45">
        <v>3.6778999999999999E-2</v>
      </c>
      <c r="D42" s="45">
        <v>3.7026000000000003E-2</v>
      </c>
      <c r="E42" s="45">
        <v>3.7373000000000003E-2</v>
      </c>
      <c r="F42" s="45">
        <v>3.771E-2</v>
      </c>
      <c r="G42" s="45">
        <v>3.8044000000000001E-2</v>
      </c>
      <c r="H42" s="45">
        <v>3.8386999999999998E-2</v>
      </c>
      <c r="I42" s="45">
        <v>3.8726999999999998E-2</v>
      </c>
      <c r="J42" s="45">
        <v>3.9054999999999999E-2</v>
      </c>
      <c r="K42" s="45">
        <v>3.9377000000000002E-2</v>
      </c>
      <c r="L42" s="45">
        <v>3.9694E-2</v>
      </c>
      <c r="M42" s="45">
        <v>4.0024999999999998E-2</v>
      </c>
      <c r="N42" s="45">
        <v>4.0351999999999999E-2</v>
      </c>
      <c r="O42" s="45">
        <v>4.0679E-2</v>
      </c>
      <c r="P42" s="45">
        <v>4.1000000000000002E-2</v>
      </c>
      <c r="Q42" s="45">
        <v>4.1314999999999998E-2</v>
      </c>
      <c r="R42" s="45">
        <v>4.1632000000000002E-2</v>
      </c>
      <c r="S42" s="45">
        <v>4.1942E-2</v>
      </c>
      <c r="T42" s="45">
        <v>4.2249000000000002E-2</v>
      </c>
      <c r="U42" s="45">
        <v>4.2553000000000001E-2</v>
      </c>
      <c r="V42" s="45">
        <v>4.2854000000000003E-2</v>
      </c>
      <c r="W42" s="45">
        <v>4.3154999999999999E-2</v>
      </c>
      <c r="X42" s="45">
        <v>4.3454E-2</v>
      </c>
      <c r="Y42" s="45">
        <v>4.3750999999999998E-2</v>
      </c>
      <c r="Z42" s="45">
        <v>4.4052000000000001E-2</v>
      </c>
      <c r="AA42" s="45">
        <v>4.4354999999999999E-2</v>
      </c>
      <c r="AB42" s="45">
        <v>4.4658999999999997E-2</v>
      </c>
      <c r="AC42" s="45">
        <v>4.4962000000000002E-2</v>
      </c>
      <c r="AD42" s="45">
        <v>4.5262999999999998E-2</v>
      </c>
      <c r="AE42" s="45">
        <v>4.5561999999999998E-2</v>
      </c>
      <c r="AF42" s="45">
        <v>4.5862E-2</v>
      </c>
      <c r="AG42" s="45">
        <v>4.6163000000000003E-2</v>
      </c>
      <c r="AH42" s="46">
        <v>7.6030000000000004E-3</v>
      </c>
    </row>
    <row r="43" spans="1:34" ht="36.5" x14ac:dyDescent="0.35">
      <c r="A43" s="40" t="s">
        <v>65</v>
      </c>
      <c r="B43" s="44" t="s">
        <v>66</v>
      </c>
      <c r="C43" s="45">
        <v>2.6616999999999998E-2</v>
      </c>
      <c r="D43" s="45">
        <v>2.6991999999999999E-2</v>
      </c>
      <c r="E43" s="45">
        <v>2.743E-2</v>
      </c>
      <c r="F43" s="45">
        <v>2.7851999999999998E-2</v>
      </c>
      <c r="G43" s="45">
        <v>2.8261999999999999E-2</v>
      </c>
      <c r="H43" s="45">
        <v>2.8667000000000002E-2</v>
      </c>
      <c r="I43" s="45">
        <v>2.9058E-2</v>
      </c>
      <c r="J43" s="45">
        <v>2.9425E-2</v>
      </c>
      <c r="K43" s="45">
        <v>2.9825000000000001E-2</v>
      </c>
      <c r="L43" s="45">
        <v>3.0258E-2</v>
      </c>
      <c r="M43" s="45">
        <v>3.0724999999999999E-2</v>
      </c>
      <c r="N43" s="45">
        <v>3.1229E-2</v>
      </c>
      <c r="O43" s="45">
        <v>3.1773999999999997E-2</v>
      </c>
      <c r="P43" s="45">
        <v>3.2358999999999999E-2</v>
      </c>
      <c r="Q43" s="45">
        <v>3.2987000000000002E-2</v>
      </c>
      <c r="R43" s="45">
        <v>3.3612999999999997E-2</v>
      </c>
      <c r="S43" s="45">
        <v>3.4234000000000001E-2</v>
      </c>
      <c r="T43" s="45">
        <v>3.4849999999999999E-2</v>
      </c>
      <c r="U43" s="45">
        <v>3.5463000000000001E-2</v>
      </c>
      <c r="V43" s="45">
        <v>3.6073000000000001E-2</v>
      </c>
      <c r="W43" s="45">
        <v>3.6681999999999999E-2</v>
      </c>
      <c r="X43" s="45">
        <v>3.7289000000000003E-2</v>
      </c>
      <c r="Y43" s="45">
        <v>3.7893999999999997E-2</v>
      </c>
      <c r="Z43" s="45">
        <v>3.8501000000000001E-2</v>
      </c>
      <c r="AA43" s="45">
        <v>3.9108999999999998E-2</v>
      </c>
      <c r="AB43" s="45">
        <v>3.9717000000000002E-2</v>
      </c>
      <c r="AC43" s="45">
        <v>4.0322999999999998E-2</v>
      </c>
      <c r="AD43" s="45">
        <v>4.0926999999999998E-2</v>
      </c>
      <c r="AE43" s="45">
        <v>4.1529000000000003E-2</v>
      </c>
      <c r="AF43" s="45">
        <v>4.2130000000000001E-2</v>
      </c>
      <c r="AG43" s="45">
        <v>4.2730999999999998E-2</v>
      </c>
      <c r="AH43" s="46">
        <v>1.5904999999999999E-2</v>
      </c>
    </row>
    <row r="44" spans="1:34" ht="72.5" x14ac:dyDescent="0.35">
      <c r="A44" s="40" t="s">
        <v>67</v>
      </c>
      <c r="B44" s="44" t="s">
        <v>68</v>
      </c>
      <c r="C44" s="45">
        <v>0.20913300000000001</v>
      </c>
      <c r="D44" s="45">
        <v>0.205207</v>
      </c>
      <c r="E44" s="45">
        <v>0.202543</v>
      </c>
      <c r="F44" s="45">
        <v>0.20023199999999999</v>
      </c>
      <c r="G44" s="45">
        <v>0.19889200000000001</v>
      </c>
      <c r="H44" s="45">
        <v>0.198295</v>
      </c>
      <c r="I44" s="45">
        <v>0.19822999999999999</v>
      </c>
      <c r="J44" s="45">
        <v>0.19878999999999999</v>
      </c>
      <c r="K44" s="45">
        <v>0.20006099999999999</v>
      </c>
      <c r="L44" s="45">
        <v>0.20200299999999999</v>
      </c>
      <c r="M44" s="45">
        <v>0.20463600000000001</v>
      </c>
      <c r="N44" s="45">
        <v>0.20782300000000001</v>
      </c>
      <c r="O44" s="45">
        <v>0.21160000000000001</v>
      </c>
      <c r="P44" s="45">
        <v>0.215644</v>
      </c>
      <c r="Q44" s="45">
        <v>0.22000500000000001</v>
      </c>
      <c r="R44" s="45">
        <v>0.22468299999999999</v>
      </c>
      <c r="S44" s="45">
        <v>0.22967000000000001</v>
      </c>
      <c r="T44" s="45">
        <v>0.23474700000000001</v>
      </c>
      <c r="U44" s="45">
        <v>0.23980299999999999</v>
      </c>
      <c r="V44" s="45">
        <v>0.244645</v>
      </c>
      <c r="W44" s="45">
        <v>0.24911700000000001</v>
      </c>
      <c r="X44" s="45">
        <v>0.25305699999999998</v>
      </c>
      <c r="Y44" s="45">
        <v>0.25641999999999998</v>
      </c>
      <c r="Z44" s="45">
        <v>0.25970900000000002</v>
      </c>
      <c r="AA44" s="45">
        <v>0.26287199999999999</v>
      </c>
      <c r="AB44" s="45">
        <v>0.26593099999999997</v>
      </c>
      <c r="AC44" s="45">
        <v>0.268959</v>
      </c>
      <c r="AD44" s="45">
        <v>0.27183800000000002</v>
      </c>
      <c r="AE44" s="45">
        <v>0.27464499999999997</v>
      </c>
      <c r="AF44" s="45">
        <v>0.27751500000000001</v>
      </c>
      <c r="AG44" s="45">
        <v>0.280476</v>
      </c>
      <c r="AH44" s="46">
        <v>9.8320000000000005E-3</v>
      </c>
    </row>
    <row r="45" spans="1:34" ht="72.5" x14ac:dyDescent="0.35">
      <c r="A45" s="40" t="s">
        <v>69</v>
      </c>
      <c r="B45" s="44" t="s">
        <v>70</v>
      </c>
      <c r="C45" s="45">
        <v>8.6664000000000005E-2</v>
      </c>
      <c r="D45" s="45">
        <v>8.3833000000000005E-2</v>
      </c>
      <c r="E45" s="45">
        <v>8.1494999999999998E-2</v>
      </c>
      <c r="F45" s="45">
        <v>7.9249E-2</v>
      </c>
      <c r="G45" s="45">
        <v>7.7311000000000005E-2</v>
      </c>
      <c r="H45" s="45">
        <v>7.5550000000000006E-2</v>
      </c>
      <c r="I45" s="45">
        <v>7.3888999999999996E-2</v>
      </c>
      <c r="J45" s="45">
        <v>7.2344000000000006E-2</v>
      </c>
      <c r="K45" s="45">
        <v>7.0940000000000003E-2</v>
      </c>
      <c r="L45" s="45">
        <v>6.9648000000000002E-2</v>
      </c>
      <c r="M45" s="45">
        <v>6.8455000000000002E-2</v>
      </c>
      <c r="N45" s="45">
        <v>6.7301E-2</v>
      </c>
      <c r="O45" s="45">
        <v>6.6194000000000003E-2</v>
      </c>
      <c r="P45" s="45">
        <v>6.5015000000000003E-2</v>
      </c>
      <c r="Q45" s="45">
        <v>6.3785999999999995E-2</v>
      </c>
      <c r="R45" s="45">
        <v>6.2496999999999997E-2</v>
      </c>
      <c r="S45" s="45">
        <v>6.1143000000000003E-2</v>
      </c>
      <c r="T45" s="45">
        <v>5.9822E-2</v>
      </c>
      <c r="U45" s="45">
        <v>5.8526000000000002E-2</v>
      </c>
      <c r="V45" s="45">
        <v>5.722E-2</v>
      </c>
      <c r="W45" s="45">
        <v>5.5891999999999997E-2</v>
      </c>
      <c r="X45" s="45">
        <v>5.4535E-2</v>
      </c>
      <c r="Y45" s="45">
        <v>5.3136000000000003E-2</v>
      </c>
      <c r="Z45" s="45">
        <v>5.1763000000000003E-2</v>
      </c>
      <c r="AA45" s="45">
        <v>5.0342999999999999E-2</v>
      </c>
      <c r="AB45" s="45">
        <v>4.8862000000000003E-2</v>
      </c>
      <c r="AC45" s="45">
        <v>4.7323999999999998E-2</v>
      </c>
      <c r="AD45" s="45">
        <v>4.5687999999999999E-2</v>
      </c>
      <c r="AE45" s="45">
        <v>4.3971000000000003E-2</v>
      </c>
      <c r="AF45" s="45">
        <v>4.2151000000000001E-2</v>
      </c>
      <c r="AG45" s="45">
        <v>4.0223000000000002E-2</v>
      </c>
      <c r="AH45" s="46">
        <v>-2.5262E-2</v>
      </c>
    </row>
    <row r="46" spans="1:34" ht="60.5" x14ac:dyDescent="0.35">
      <c r="A46" s="40" t="s">
        <v>71</v>
      </c>
      <c r="B46" s="44" t="s">
        <v>72</v>
      </c>
      <c r="C46" s="45">
        <v>7.8188999999999995E-2</v>
      </c>
      <c r="D46" s="45">
        <v>8.4238999999999994E-2</v>
      </c>
      <c r="E46" s="45">
        <v>8.4947999999999996E-2</v>
      </c>
      <c r="F46" s="45">
        <v>8.5345000000000004E-2</v>
      </c>
      <c r="G46" s="45">
        <v>8.5870000000000002E-2</v>
      </c>
      <c r="H46" s="45">
        <v>8.6289000000000005E-2</v>
      </c>
      <c r="I46" s="45">
        <v>8.6568000000000006E-2</v>
      </c>
      <c r="J46" s="45">
        <v>8.6861999999999995E-2</v>
      </c>
      <c r="K46" s="45">
        <v>8.7124999999999994E-2</v>
      </c>
      <c r="L46" s="45">
        <v>8.7312000000000001E-2</v>
      </c>
      <c r="M46" s="45">
        <v>8.7309999999999999E-2</v>
      </c>
      <c r="N46" s="45">
        <v>8.7224999999999997E-2</v>
      </c>
      <c r="O46" s="45">
        <v>8.6986999999999995E-2</v>
      </c>
      <c r="P46" s="45">
        <v>8.6527999999999994E-2</v>
      </c>
      <c r="Q46" s="45">
        <v>8.5852999999999999E-2</v>
      </c>
      <c r="R46" s="45">
        <v>8.5038000000000002E-2</v>
      </c>
      <c r="S46" s="45">
        <v>8.4087999999999996E-2</v>
      </c>
      <c r="T46" s="45">
        <v>8.3007999999999998E-2</v>
      </c>
      <c r="U46" s="45">
        <v>8.1807000000000005E-2</v>
      </c>
      <c r="V46" s="45">
        <v>8.0574000000000007E-2</v>
      </c>
      <c r="W46" s="45">
        <v>7.9389000000000001E-2</v>
      </c>
      <c r="X46" s="45">
        <v>7.8256999999999993E-2</v>
      </c>
      <c r="Y46" s="45">
        <v>7.7173000000000005E-2</v>
      </c>
      <c r="Z46" s="45">
        <v>7.6185000000000003E-2</v>
      </c>
      <c r="AA46" s="45">
        <v>7.5318999999999997E-2</v>
      </c>
      <c r="AB46" s="45">
        <v>7.4557999999999999E-2</v>
      </c>
      <c r="AC46" s="45">
        <v>7.3917999999999998E-2</v>
      </c>
      <c r="AD46" s="45">
        <v>7.3368000000000003E-2</v>
      </c>
      <c r="AE46" s="45">
        <v>7.2929999999999995E-2</v>
      </c>
      <c r="AF46" s="45">
        <v>7.2590000000000002E-2</v>
      </c>
      <c r="AG46" s="45">
        <v>7.2375999999999996E-2</v>
      </c>
      <c r="AH46" s="46">
        <v>-2.5720000000000001E-3</v>
      </c>
    </row>
    <row r="47" spans="1:34" ht="24.5" x14ac:dyDescent="0.35">
      <c r="A47" s="40" t="s">
        <v>73</v>
      </c>
      <c r="B47" s="44" t="s">
        <v>74</v>
      </c>
      <c r="C47" s="45">
        <v>1.7822180000000001</v>
      </c>
      <c r="D47" s="45">
        <v>1.818101</v>
      </c>
      <c r="E47" s="45">
        <v>1.733101</v>
      </c>
      <c r="F47" s="45">
        <v>1.747153</v>
      </c>
      <c r="G47" s="45">
        <v>1.758786</v>
      </c>
      <c r="H47" s="45">
        <v>1.7723100000000001</v>
      </c>
      <c r="I47" s="45">
        <v>1.794389</v>
      </c>
      <c r="J47" s="45">
        <v>1.815753</v>
      </c>
      <c r="K47" s="45">
        <v>1.838033</v>
      </c>
      <c r="L47" s="45">
        <v>1.8609420000000001</v>
      </c>
      <c r="M47" s="45">
        <v>1.8856440000000001</v>
      </c>
      <c r="N47" s="45">
        <v>1.9104509999999999</v>
      </c>
      <c r="O47" s="45">
        <v>1.9358820000000001</v>
      </c>
      <c r="P47" s="45">
        <v>1.960485</v>
      </c>
      <c r="Q47" s="45">
        <v>1.988815</v>
      </c>
      <c r="R47" s="45">
        <v>2.0162659999999999</v>
      </c>
      <c r="S47" s="45">
        <v>2.0443669999999998</v>
      </c>
      <c r="T47" s="45">
        <v>2.072632</v>
      </c>
      <c r="U47" s="45">
        <v>2.1011250000000001</v>
      </c>
      <c r="V47" s="45">
        <v>2.1299169999999998</v>
      </c>
      <c r="W47" s="45">
        <v>2.158353</v>
      </c>
      <c r="X47" s="45">
        <v>2.187195</v>
      </c>
      <c r="Y47" s="45">
        <v>2.2166939999999999</v>
      </c>
      <c r="Z47" s="45">
        <v>2.2478259999999999</v>
      </c>
      <c r="AA47" s="45">
        <v>2.27888</v>
      </c>
      <c r="AB47" s="45">
        <v>2.310155</v>
      </c>
      <c r="AC47" s="45">
        <v>2.342203</v>
      </c>
      <c r="AD47" s="45">
        <v>2.3744960000000002</v>
      </c>
      <c r="AE47" s="45">
        <v>2.407788</v>
      </c>
      <c r="AF47" s="45">
        <v>2.4420419999999998</v>
      </c>
      <c r="AG47" s="45">
        <v>2.4771299999999998</v>
      </c>
      <c r="AH47" s="46">
        <v>1.1035E-2</v>
      </c>
    </row>
    <row r="48" spans="1:34" ht="36.5" x14ac:dyDescent="0.35">
      <c r="A48" s="40" t="s">
        <v>75</v>
      </c>
      <c r="B48" s="43" t="s">
        <v>76</v>
      </c>
      <c r="C48" s="47">
        <v>5.1309420000000001</v>
      </c>
      <c r="D48" s="47">
        <v>5.1750749999999996</v>
      </c>
      <c r="E48" s="47">
        <v>5.1904240000000001</v>
      </c>
      <c r="F48" s="47">
        <v>5.2101129999999998</v>
      </c>
      <c r="G48" s="47">
        <v>5.2332640000000001</v>
      </c>
      <c r="H48" s="47">
        <v>5.2581959999999999</v>
      </c>
      <c r="I48" s="47">
        <v>5.2899630000000002</v>
      </c>
      <c r="J48" s="47">
        <v>5.3215479999999999</v>
      </c>
      <c r="K48" s="47">
        <v>5.3568429999999996</v>
      </c>
      <c r="L48" s="47">
        <v>5.394107</v>
      </c>
      <c r="M48" s="47">
        <v>5.4329749999999999</v>
      </c>
      <c r="N48" s="47">
        <v>5.4754069999999997</v>
      </c>
      <c r="O48" s="47">
        <v>5.522024</v>
      </c>
      <c r="P48" s="47">
        <v>5.567215</v>
      </c>
      <c r="Q48" s="47">
        <v>5.6178210000000002</v>
      </c>
      <c r="R48" s="47">
        <v>5.6705800000000002</v>
      </c>
      <c r="S48" s="47">
        <v>5.72689</v>
      </c>
      <c r="T48" s="47">
        <v>5.7858200000000002</v>
      </c>
      <c r="U48" s="47">
        <v>5.8457660000000002</v>
      </c>
      <c r="V48" s="47">
        <v>5.905767</v>
      </c>
      <c r="W48" s="47">
        <v>5.962262</v>
      </c>
      <c r="X48" s="47">
        <v>6.0186830000000002</v>
      </c>
      <c r="Y48" s="47">
        <v>6.0764740000000002</v>
      </c>
      <c r="Z48" s="47">
        <v>6.1391460000000002</v>
      </c>
      <c r="AA48" s="47">
        <v>6.2026389999999996</v>
      </c>
      <c r="AB48" s="47">
        <v>6.2662009999999997</v>
      </c>
      <c r="AC48" s="47">
        <v>6.332071</v>
      </c>
      <c r="AD48" s="47">
        <v>6.3971739999999997</v>
      </c>
      <c r="AE48" s="47">
        <v>6.4645089999999996</v>
      </c>
      <c r="AF48" s="47">
        <v>6.53477</v>
      </c>
      <c r="AG48" s="47">
        <v>6.6089929999999999</v>
      </c>
      <c r="AH48" s="48">
        <v>8.4740000000000006E-3</v>
      </c>
    </row>
    <row r="49" spans="1:34" ht="48.5" x14ac:dyDescent="0.35">
      <c r="A49" s="40" t="s">
        <v>77</v>
      </c>
      <c r="B49" s="44" t="s">
        <v>247</v>
      </c>
      <c r="C49" s="45">
        <v>7.8131000000000006E-2</v>
      </c>
      <c r="D49" s="45">
        <v>8.9439000000000005E-2</v>
      </c>
      <c r="E49" s="45">
        <v>9.8996000000000001E-2</v>
      </c>
      <c r="F49" s="45">
        <v>0.10828400000000001</v>
      </c>
      <c r="G49" s="45">
        <v>0.117412</v>
      </c>
      <c r="H49" s="45">
        <v>0.12662599999999999</v>
      </c>
      <c r="I49" s="45">
        <v>0.13608999999999999</v>
      </c>
      <c r="J49" s="45">
        <v>0.145616</v>
      </c>
      <c r="K49" s="45">
        <v>0.15523799999999999</v>
      </c>
      <c r="L49" s="45">
        <v>0.16494300000000001</v>
      </c>
      <c r="M49" s="45">
        <v>0.17486399999999999</v>
      </c>
      <c r="N49" s="45">
        <v>0.185082</v>
      </c>
      <c r="O49" s="45">
        <v>0.19552700000000001</v>
      </c>
      <c r="P49" s="45">
        <v>0.20619000000000001</v>
      </c>
      <c r="Q49" s="45">
        <v>0.217114</v>
      </c>
      <c r="R49" s="45">
        <v>0.22825300000000001</v>
      </c>
      <c r="S49" s="45">
        <v>0.23962600000000001</v>
      </c>
      <c r="T49" s="45">
        <v>0.25120300000000001</v>
      </c>
      <c r="U49" s="45">
        <v>0.26299899999999998</v>
      </c>
      <c r="V49" s="45">
        <v>0.275007</v>
      </c>
      <c r="W49" s="45">
        <v>0.287302</v>
      </c>
      <c r="X49" s="45">
        <v>0.29986499999999999</v>
      </c>
      <c r="Y49" s="45">
        <v>0.31278499999999998</v>
      </c>
      <c r="Z49" s="45">
        <v>0.326067</v>
      </c>
      <c r="AA49" s="45">
        <v>0.33971499999999999</v>
      </c>
      <c r="AB49" s="45">
        <v>0.35381099999999999</v>
      </c>
      <c r="AC49" s="45">
        <v>0.36832900000000002</v>
      </c>
      <c r="AD49" s="45">
        <v>0.38323400000000002</v>
      </c>
      <c r="AE49" s="45">
        <v>0.39861600000000003</v>
      </c>
      <c r="AF49" s="45">
        <v>0.41442000000000001</v>
      </c>
      <c r="AG49" s="45">
        <v>0.43064400000000003</v>
      </c>
      <c r="AH49" s="46">
        <v>5.8546000000000001E-2</v>
      </c>
    </row>
    <row r="50" spans="1:34" ht="36.5" x14ac:dyDescent="0.35">
      <c r="A50" s="40" t="s">
        <v>79</v>
      </c>
      <c r="B50" s="43" t="s">
        <v>80</v>
      </c>
      <c r="C50" s="47">
        <v>5.0528120000000003</v>
      </c>
      <c r="D50" s="47">
        <v>5.085636</v>
      </c>
      <c r="E50" s="47">
        <v>5.0914270000000004</v>
      </c>
      <c r="F50" s="47">
        <v>5.1018290000000004</v>
      </c>
      <c r="G50" s="47">
        <v>5.1158520000000003</v>
      </c>
      <c r="H50" s="47">
        <v>5.13157</v>
      </c>
      <c r="I50" s="47">
        <v>5.1538719999999998</v>
      </c>
      <c r="J50" s="47">
        <v>5.1759310000000003</v>
      </c>
      <c r="K50" s="47">
        <v>5.2016039999999997</v>
      </c>
      <c r="L50" s="47">
        <v>5.2291639999999999</v>
      </c>
      <c r="M50" s="47">
        <v>5.2581110000000004</v>
      </c>
      <c r="N50" s="47">
        <v>5.2903250000000002</v>
      </c>
      <c r="O50" s="47">
        <v>5.3264959999999997</v>
      </c>
      <c r="P50" s="47">
        <v>5.3610249999999997</v>
      </c>
      <c r="Q50" s="47">
        <v>5.4007069999999997</v>
      </c>
      <c r="R50" s="47">
        <v>5.4423269999999997</v>
      </c>
      <c r="S50" s="47">
        <v>5.4872639999999997</v>
      </c>
      <c r="T50" s="47">
        <v>5.5346159999999998</v>
      </c>
      <c r="U50" s="47">
        <v>5.5827669999999996</v>
      </c>
      <c r="V50" s="47">
        <v>5.6307609999999997</v>
      </c>
      <c r="W50" s="47">
        <v>5.6749599999999996</v>
      </c>
      <c r="X50" s="47">
        <v>5.7188179999999997</v>
      </c>
      <c r="Y50" s="47">
        <v>5.7636900000000004</v>
      </c>
      <c r="Z50" s="47">
        <v>5.8130790000000001</v>
      </c>
      <c r="AA50" s="47">
        <v>5.8629239999999996</v>
      </c>
      <c r="AB50" s="47">
        <v>5.9123900000000003</v>
      </c>
      <c r="AC50" s="47">
        <v>5.9637409999999997</v>
      </c>
      <c r="AD50" s="47">
        <v>6.0139399999999998</v>
      </c>
      <c r="AE50" s="47">
        <v>6.065893</v>
      </c>
      <c r="AF50" s="47">
        <v>6.1203500000000002</v>
      </c>
      <c r="AG50" s="47">
        <v>6.1783489999999999</v>
      </c>
      <c r="AH50" s="48">
        <v>6.7260000000000002E-3</v>
      </c>
    </row>
    <row r="52" spans="1:34" ht="24.5" x14ac:dyDescent="0.35">
      <c r="A52" s="37"/>
      <c r="B52" s="43" t="s">
        <v>81</v>
      </c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 spans="1:34" ht="24.5" x14ac:dyDescent="0.35">
      <c r="A53" s="40" t="s">
        <v>82</v>
      </c>
      <c r="B53" s="44" t="s">
        <v>48</v>
      </c>
      <c r="C53" s="45">
        <v>3.527199</v>
      </c>
      <c r="D53" s="45">
        <v>3.4057520000000001</v>
      </c>
      <c r="E53" s="45">
        <v>3.5360100000000001</v>
      </c>
      <c r="F53" s="45">
        <v>3.5237479999999999</v>
      </c>
      <c r="G53" s="45">
        <v>3.5176630000000002</v>
      </c>
      <c r="H53" s="45">
        <v>3.5057489999999998</v>
      </c>
      <c r="I53" s="45">
        <v>3.4871020000000001</v>
      </c>
      <c r="J53" s="45">
        <v>3.4671780000000001</v>
      </c>
      <c r="K53" s="45">
        <v>3.4485100000000002</v>
      </c>
      <c r="L53" s="45">
        <v>3.4296259999999998</v>
      </c>
      <c r="M53" s="45">
        <v>3.4080279999999998</v>
      </c>
      <c r="N53" s="45">
        <v>3.3900229999999998</v>
      </c>
      <c r="O53" s="45">
        <v>3.374133</v>
      </c>
      <c r="P53" s="45">
        <v>3.3583090000000002</v>
      </c>
      <c r="Q53" s="45">
        <v>3.342819</v>
      </c>
      <c r="R53" s="45">
        <v>3.3296060000000001</v>
      </c>
      <c r="S53" s="45">
        <v>3.317669</v>
      </c>
      <c r="T53" s="45">
        <v>3.3060640000000001</v>
      </c>
      <c r="U53" s="45">
        <v>3.2952810000000001</v>
      </c>
      <c r="V53" s="45">
        <v>3.2849910000000002</v>
      </c>
      <c r="W53" s="45">
        <v>3.276392</v>
      </c>
      <c r="X53" s="45">
        <v>3.2678569999999998</v>
      </c>
      <c r="Y53" s="45">
        <v>3.259522</v>
      </c>
      <c r="Z53" s="45">
        <v>3.2511260000000002</v>
      </c>
      <c r="AA53" s="45">
        <v>3.2432150000000002</v>
      </c>
      <c r="AB53" s="45">
        <v>3.2346189999999999</v>
      </c>
      <c r="AC53" s="45">
        <v>3.2260719999999998</v>
      </c>
      <c r="AD53" s="45">
        <v>3.2166320000000002</v>
      </c>
      <c r="AE53" s="45">
        <v>3.2067160000000001</v>
      </c>
      <c r="AF53" s="45">
        <v>3.1958169999999999</v>
      </c>
      <c r="AG53" s="45">
        <v>3.1848869999999998</v>
      </c>
      <c r="AH53" s="46">
        <v>-3.3969999999999998E-3</v>
      </c>
    </row>
    <row r="54" spans="1:34" ht="24.5" x14ac:dyDescent="0.35">
      <c r="A54" s="40" t="s">
        <v>83</v>
      </c>
      <c r="B54" s="44" t="s">
        <v>50</v>
      </c>
      <c r="C54" s="45">
        <v>5.8618000000000003E-2</v>
      </c>
      <c r="D54" s="45">
        <v>5.5470999999999999E-2</v>
      </c>
      <c r="E54" s="45">
        <v>6.0270999999999998E-2</v>
      </c>
      <c r="F54" s="45">
        <v>6.0037E-2</v>
      </c>
      <c r="G54" s="45">
        <v>5.9880999999999997E-2</v>
      </c>
      <c r="H54" s="45">
        <v>5.9658000000000003E-2</v>
      </c>
      <c r="I54" s="45">
        <v>5.9376999999999999E-2</v>
      </c>
      <c r="J54" s="45">
        <v>5.9109000000000002E-2</v>
      </c>
      <c r="K54" s="45">
        <v>5.8878E-2</v>
      </c>
      <c r="L54" s="45">
        <v>5.8652000000000003E-2</v>
      </c>
      <c r="M54" s="45">
        <v>5.8368000000000003E-2</v>
      </c>
      <c r="N54" s="45">
        <v>5.8111000000000003E-2</v>
      </c>
      <c r="O54" s="45">
        <v>5.7869999999999998E-2</v>
      </c>
      <c r="P54" s="45">
        <v>5.7610000000000001E-2</v>
      </c>
      <c r="Q54" s="45">
        <v>5.7396999999999997E-2</v>
      </c>
      <c r="R54" s="45">
        <v>5.7278999999999997E-2</v>
      </c>
      <c r="S54" s="45">
        <v>5.7263000000000001E-2</v>
      </c>
      <c r="T54" s="45">
        <v>5.7386E-2</v>
      </c>
      <c r="U54" s="45">
        <v>5.7528000000000003E-2</v>
      </c>
      <c r="V54" s="45">
        <v>5.7692E-2</v>
      </c>
      <c r="W54" s="45">
        <v>5.7879E-2</v>
      </c>
      <c r="X54" s="45">
        <v>5.8028000000000003E-2</v>
      </c>
      <c r="Y54" s="45">
        <v>5.8203999999999999E-2</v>
      </c>
      <c r="Z54" s="45">
        <v>5.8355999999999998E-2</v>
      </c>
      <c r="AA54" s="45">
        <v>5.8546000000000001E-2</v>
      </c>
      <c r="AB54" s="45">
        <v>5.8698E-2</v>
      </c>
      <c r="AC54" s="45">
        <v>5.8871E-2</v>
      </c>
      <c r="AD54" s="45">
        <v>5.9020999999999997E-2</v>
      </c>
      <c r="AE54" s="45">
        <v>5.9200000000000003E-2</v>
      </c>
      <c r="AF54" s="45">
        <v>5.9353000000000003E-2</v>
      </c>
      <c r="AG54" s="45">
        <v>5.9526999999999997E-2</v>
      </c>
      <c r="AH54" s="46">
        <v>5.13E-4</v>
      </c>
    </row>
    <row r="55" spans="1:34" ht="24.5" x14ac:dyDescent="0.35">
      <c r="A55" s="40" t="s">
        <v>84</v>
      </c>
      <c r="B55" s="44" t="s">
        <v>52</v>
      </c>
      <c r="C55" s="45">
        <v>1.0072779999999999</v>
      </c>
      <c r="D55" s="45">
        <v>1.004974</v>
      </c>
      <c r="E55" s="45">
        <v>1.006877</v>
      </c>
      <c r="F55" s="45">
        <v>1.01111</v>
      </c>
      <c r="G55" s="45">
        <v>1.0180279999999999</v>
      </c>
      <c r="H55" s="45">
        <v>1.0250300000000001</v>
      </c>
      <c r="I55" s="45">
        <v>1.031625</v>
      </c>
      <c r="J55" s="45">
        <v>1.0381689999999999</v>
      </c>
      <c r="K55" s="45">
        <v>1.0453809999999999</v>
      </c>
      <c r="L55" s="45">
        <v>1.053167</v>
      </c>
      <c r="M55" s="45">
        <v>1.0591699999999999</v>
      </c>
      <c r="N55" s="45">
        <v>1.065634</v>
      </c>
      <c r="O55" s="45">
        <v>1.072573</v>
      </c>
      <c r="P55" s="45">
        <v>1.0795030000000001</v>
      </c>
      <c r="Q55" s="45">
        <v>1.086028</v>
      </c>
      <c r="R55" s="45">
        <v>1.0926400000000001</v>
      </c>
      <c r="S55" s="45">
        <v>1.0990200000000001</v>
      </c>
      <c r="T55" s="45">
        <v>1.10493</v>
      </c>
      <c r="U55" s="45">
        <v>1.1103209999999999</v>
      </c>
      <c r="V55" s="45">
        <v>1.1154580000000001</v>
      </c>
      <c r="W55" s="45">
        <v>1.1206370000000001</v>
      </c>
      <c r="X55" s="45">
        <v>1.1257029999999999</v>
      </c>
      <c r="Y55" s="45">
        <v>1.130949</v>
      </c>
      <c r="Z55" s="45">
        <v>1.1364289999999999</v>
      </c>
      <c r="AA55" s="45">
        <v>1.142382</v>
      </c>
      <c r="AB55" s="45">
        <v>1.1484840000000001</v>
      </c>
      <c r="AC55" s="45">
        <v>1.1548369999999999</v>
      </c>
      <c r="AD55" s="45">
        <v>1.161232</v>
      </c>
      <c r="AE55" s="45">
        <v>1.1676530000000001</v>
      </c>
      <c r="AF55" s="45">
        <v>1.1739379999999999</v>
      </c>
      <c r="AG55" s="45">
        <v>1.180177</v>
      </c>
      <c r="AH55" s="46">
        <v>5.2940000000000001E-3</v>
      </c>
    </row>
    <row r="56" spans="1:34" x14ac:dyDescent="0.35">
      <c r="A56" s="40" t="s">
        <v>85</v>
      </c>
      <c r="B56" s="44" t="s">
        <v>56</v>
      </c>
      <c r="C56" s="45">
        <v>0.10345600000000001</v>
      </c>
      <c r="D56" s="45">
        <v>0.103328</v>
      </c>
      <c r="E56" s="45">
        <v>0.10348599999999999</v>
      </c>
      <c r="F56" s="45">
        <v>0.103627</v>
      </c>
      <c r="G56" s="45">
        <v>0.103771</v>
      </c>
      <c r="H56" s="45">
        <v>0.10394200000000001</v>
      </c>
      <c r="I56" s="45">
        <v>0.104106</v>
      </c>
      <c r="J56" s="45">
        <v>0.10424600000000001</v>
      </c>
      <c r="K56" s="45">
        <v>0.10439900000000001</v>
      </c>
      <c r="L56" s="45">
        <v>0.10462299999999999</v>
      </c>
      <c r="M56" s="45">
        <v>0.104916</v>
      </c>
      <c r="N56" s="45">
        <v>0.105296</v>
      </c>
      <c r="O56" s="45">
        <v>0.10577300000000001</v>
      </c>
      <c r="P56" s="45">
        <v>0.106349</v>
      </c>
      <c r="Q56" s="45">
        <v>0.106974</v>
      </c>
      <c r="R56" s="45">
        <v>0.10766100000000001</v>
      </c>
      <c r="S56" s="45">
        <v>0.108391</v>
      </c>
      <c r="T56" s="45">
        <v>0.10916099999999999</v>
      </c>
      <c r="U56" s="45">
        <v>0.10995199999999999</v>
      </c>
      <c r="V56" s="45">
        <v>0.110763</v>
      </c>
      <c r="W56" s="45">
        <v>0.11160299999999999</v>
      </c>
      <c r="X56" s="45">
        <v>0.112468</v>
      </c>
      <c r="Y56" s="45">
        <v>0.113362</v>
      </c>
      <c r="Z56" s="45">
        <v>0.114289</v>
      </c>
      <c r="AA56" s="45">
        <v>0.115247</v>
      </c>
      <c r="AB56" s="45">
        <v>0.116229</v>
      </c>
      <c r="AC56" s="45">
        <v>0.11722399999999999</v>
      </c>
      <c r="AD56" s="45">
        <v>0.11822299999999999</v>
      </c>
      <c r="AE56" s="45">
        <v>0.119216</v>
      </c>
      <c r="AF56" s="45">
        <v>0.120198</v>
      </c>
      <c r="AG56" s="45">
        <v>0.121161</v>
      </c>
      <c r="AH56" s="46">
        <v>5.2789999999999998E-3</v>
      </c>
    </row>
    <row r="57" spans="1:34" ht="24.5" x14ac:dyDescent="0.35">
      <c r="A57" s="40" t="s">
        <v>86</v>
      </c>
      <c r="B57" s="44" t="s">
        <v>58</v>
      </c>
      <c r="C57" s="45">
        <v>3.9426999999999997E-2</v>
      </c>
      <c r="D57" s="45">
        <v>3.9823999999999998E-2</v>
      </c>
      <c r="E57" s="45">
        <v>4.0362000000000002E-2</v>
      </c>
      <c r="F57" s="45">
        <v>4.0979000000000002E-2</v>
      </c>
      <c r="G57" s="45">
        <v>4.1686000000000001E-2</v>
      </c>
      <c r="H57" s="45">
        <v>4.2375999999999997E-2</v>
      </c>
      <c r="I57" s="45">
        <v>4.3043999999999999E-2</v>
      </c>
      <c r="J57" s="45">
        <v>4.3714000000000003E-2</v>
      </c>
      <c r="K57" s="45">
        <v>4.4368999999999999E-2</v>
      </c>
      <c r="L57" s="45">
        <v>4.5012999999999997E-2</v>
      </c>
      <c r="M57" s="45">
        <v>4.5546000000000003E-2</v>
      </c>
      <c r="N57" s="45">
        <v>4.6134000000000001E-2</v>
      </c>
      <c r="O57" s="45">
        <v>4.6761999999999998E-2</v>
      </c>
      <c r="P57" s="45">
        <v>4.7405999999999997E-2</v>
      </c>
      <c r="Q57" s="45">
        <v>4.8042000000000001E-2</v>
      </c>
      <c r="R57" s="45">
        <v>4.8680000000000001E-2</v>
      </c>
      <c r="S57" s="45">
        <v>4.9308999999999999E-2</v>
      </c>
      <c r="T57" s="45">
        <v>4.9957000000000001E-2</v>
      </c>
      <c r="U57" s="45">
        <v>5.0618999999999997E-2</v>
      </c>
      <c r="V57" s="45">
        <v>5.1295E-2</v>
      </c>
      <c r="W57" s="45">
        <v>5.1991000000000002E-2</v>
      </c>
      <c r="X57" s="45">
        <v>5.2693999999999998E-2</v>
      </c>
      <c r="Y57" s="45">
        <v>5.3405000000000001E-2</v>
      </c>
      <c r="Z57" s="45">
        <v>5.4120000000000001E-2</v>
      </c>
      <c r="AA57" s="45">
        <v>5.4841000000000001E-2</v>
      </c>
      <c r="AB57" s="45">
        <v>5.5551999999999997E-2</v>
      </c>
      <c r="AC57" s="45">
        <v>5.6256E-2</v>
      </c>
      <c r="AD57" s="45">
        <v>5.6944000000000002E-2</v>
      </c>
      <c r="AE57" s="45">
        <v>5.7619999999999998E-2</v>
      </c>
      <c r="AF57" s="45">
        <v>5.8278000000000003E-2</v>
      </c>
      <c r="AG57" s="45">
        <v>5.8927E-2</v>
      </c>
      <c r="AH57" s="46">
        <v>1.3485E-2</v>
      </c>
    </row>
    <row r="58" spans="1:34" ht="24.5" x14ac:dyDescent="0.35">
      <c r="A58" s="40" t="s">
        <v>87</v>
      </c>
      <c r="B58" s="44" t="s">
        <v>88</v>
      </c>
      <c r="C58" s="45">
        <v>0.233372</v>
      </c>
      <c r="D58" s="45">
        <v>0.23203499999999999</v>
      </c>
      <c r="E58" s="45">
        <v>0.23141100000000001</v>
      </c>
      <c r="F58" s="45">
        <v>0.23120599999999999</v>
      </c>
      <c r="G58" s="45">
        <v>0.231351</v>
      </c>
      <c r="H58" s="45">
        <v>0.23127300000000001</v>
      </c>
      <c r="I58" s="45">
        <v>0.23091</v>
      </c>
      <c r="J58" s="45">
        <v>0.23035900000000001</v>
      </c>
      <c r="K58" s="45">
        <v>0.229736</v>
      </c>
      <c r="L58" s="45">
        <v>0.22905800000000001</v>
      </c>
      <c r="M58" s="45">
        <v>0.22772700000000001</v>
      </c>
      <c r="N58" s="45">
        <v>0.226713</v>
      </c>
      <c r="O58" s="45">
        <v>0.225941</v>
      </c>
      <c r="P58" s="45">
        <v>0.22534699999999999</v>
      </c>
      <c r="Q58" s="45">
        <v>0.224801</v>
      </c>
      <c r="R58" s="45">
        <v>0.22434000000000001</v>
      </c>
      <c r="S58" s="45">
        <v>0.22394800000000001</v>
      </c>
      <c r="T58" s="45">
        <v>0.22357299999999999</v>
      </c>
      <c r="U58" s="45">
        <v>0.223191</v>
      </c>
      <c r="V58" s="45">
        <v>0.22281699999999999</v>
      </c>
      <c r="W58" s="45">
        <v>0.22247</v>
      </c>
      <c r="X58" s="45">
        <v>0.22211700000000001</v>
      </c>
      <c r="Y58" s="45">
        <v>0.221776</v>
      </c>
      <c r="Z58" s="45">
        <v>0.22144</v>
      </c>
      <c r="AA58" s="45">
        <v>0.22111600000000001</v>
      </c>
      <c r="AB58" s="45">
        <v>0.22075900000000001</v>
      </c>
      <c r="AC58" s="45">
        <v>0.22040299999999999</v>
      </c>
      <c r="AD58" s="45">
        <v>0.22001899999999999</v>
      </c>
      <c r="AE58" s="45">
        <v>0.21961600000000001</v>
      </c>
      <c r="AF58" s="45">
        <v>0.21917800000000001</v>
      </c>
      <c r="AG58" s="45">
        <v>0.21873200000000001</v>
      </c>
      <c r="AH58" s="46">
        <v>-2.1570000000000001E-3</v>
      </c>
    </row>
    <row r="59" spans="1:34" ht="36.5" x14ac:dyDescent="0.35">
      <c r="A59" s="40" t="s">
        <v>89</v>
      </c>
      <c r="B59" s="43" t="s">
        <v>90</v>
      </c>
      <c r="C59" s="47">
        <v>4.9693500000000004</v>
      </c>
      <c r="D59" s="47">
        <v>4.8413839999999997</v>
      </c>
      <c r="E59" s="47">
        <v>4.9784160000000002</v>
      </c>
      <c r="F59" s="47">
        <v>4.970707</v>
      </c>
      <c r="G59" s="47">
        <v>4.9723800000000002</v>
      </c>
      <c r="H59" s="47">
        <v>4.9680289999999996</v>
      </c>
      <c r="I59" s="47">
        <v>4.9561640000000002</v>
      </c>
      <c r="J59" s="47">
        <v>4.9427760000000003</v>
      </c>
      <c r="K59" s="47">
        <v>4.931273</v>
      </c>
      <c r="L59" s="47">
        <v>4.9201389999999998</v>
      </c>
      <c r="M59" s="47">
        <v>4.9037559999999996</v>
      </c>
      <c r="N59" s="47">
        <v>4.8919119999999996</v>
      </c>
      <c r="O59" s="47">
        <v>4.8830520000000002</v>
      </c>
      <c r="P59" s="47">
        <v>4.8745240000000001</v>
      </c>
      <c r="Q59" s="47">
        <v>4.8660610000000002</v>
      </c>
      <c r="R59" s="47">
        <v>4.8602069999999999</v>
      </c>
      <c r="S59" s="47">
        <v>4.8555999999999999</v>
      </c>
      <c r="T59" s="47">
        <v>4.8510710000000001</v>
      </c>
      <c r="U59" s="47">
        <v>4.8468929999999997</v>
      </c>
      <c r="V59" s="47">
        <v>4.8430160000000004</v>
      </c>
      <c r="W59" s="47">
        <v>4.8409740000000001</v>
      </c>
      <c r="X59" s="47">
        <v>4.8388660000000003</v>
      </c>
      <c r="Y59" s="47">
        <v>4.837218</v>
      </c>
      <c r="Z59" s="47">
        <v>4.8357599999999996</v>
      </c>
      <c r="AA59" s="47">
        <v>4.8353489999999999</v>
      </c>
      <c r="AB59" s="47">
        <v>4.8343420000000004</v>
      </c>
      <c r="AC59" s="47">
        <v>4.8336639999999997</v>
      </c>
      <c r="AD59" s="47">
        <v>4.8320689999999997</v>
      </c>
      <c r="AE59" s="47">
        <v>4.8300200000000002</v>
      </c>
      <c r="AF59" s="47">
        <v>4.8267600000000002</v>
      </c>
      <c r="AG59" s="47">
        <v>4.82341</v>
      </c>
      <c r="AH59" s="48">
        <v>-9.9299999999999996E-4</v>
      </c>
    </row>
    <row r="61" spans="1:34" ht="24.5" x14ac:dyDescent="0.35">
      <c r="A61" s="37"/>
      <c r="B61" s="43" t="s">
        <v>91</v>
      </c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 spans="1:34" ht="24.5" x14ac:dyDescent="0.35">
      <c r="A62" s="40" t="s">
        <v>92</v>
      </c>
      <c r="B62" s="44" t="s">
        <v>48</v>
      </c>
      <c r="C62" s="45">
        <v>0.37266500000000002</v>
      </c>
      <c r="D62" s="45">
        <v>0.39995700000000001</v>
      </c>
      <c r="E62" s="45">
        <v>0.39926899999999999</v>
      </c>
      <c r="F62" s="45">
        <v>0.38784400000000002</v>
      </c>
      <c r="G62" s="45">
        <v>0.37701299999999999</v>
      </c>
      <c r="H62" s="45">
        <v>0.36751</v>
      </c>
      <c r="I62" s="45">
        <v>0.35896400000000001</v>
      </c>
      <c r="J62" s="45">
        <v>0.35164899999999999</v>
      </c>
      <c r="K62" s="45">
        <v>0.34474900000000003</v>
      </c>
      <c r="L62" s="45">
        <v>0.33844299999999999</v>
      </c>
      <c r="M62" s="45">
        <v>0.33236199999999999</v>
      </c>
      <c r="N62" s="45">
        <v>0.32668700000000001</v>
      </c>
      <c r="O62" s="45">
        <v>0.32118000000000002</v>
      </c>
      <c r="P62" s="45">
        <v>0.31600400000000001</v>
      </c>
      <c r="Q62" s="45">
        <v>0.311029</v>
      </c>
      <c r="R62" s="45">
        <v>0.306369</v>
      </c>
      <c r="S62" s="45">
        <v>0.301784</v>
      </c>
      <c r="T62" s="45">
        <v>0.29721599999999998</v>
      </c>
      <c r="U62" s="45">
        <v>0.29270499999999999</v>
      </c>
      <c r="V62" s="45">
        <v>0.28850999999999999</v>
      </c>
      <c r="W62" s="45">
        <v>0.28425899999999998</v>
      </c>
      <c r="X62" s="45">
        <v>0.28003699999999998</v>
      </c>
      <c r="Y62" s="45">
        <v>0.27586100000000002</v>
      </c>
      <c r="Z62" s="45">
        <v>0.27163999999999999</v>
      </c>
      <c r="AA62" s="45">
        <v>0.26762599999999998</v>
      </c>
      <c r="AB62" s="45">
        <v>0.26367499999999999</v>
      </c>
      <c r="AC62" s="45">
        <v>0.25955699999999998</v>
      </c>
      <c r="AD62" s="45">
        <v>0.25536199999999998</v>
      </c>
      <c r="AE62" s="45">
        <v>0.25132900000000002</v>
      </c>
      <c r="AF62" s="45">
        <v>0.247337</v>
      </c>
      <c r="AG62" s="45">
        <v>0.243419</v>
      </c>
      <c r="AH62" s="46">
        <v>-1.4095999999999999E-2</v>
      </c>
    </row>
    <row r="63" spans="1:34" ht="24.5" x14ac:dyDescent="0.35">
      <c r="A63" s="40" t="s">
        <v>93</v>
      </c>
      <c r="B63" s="44" t="s">
        <v>52</v>
      </c>
      <c r="C63" s="45">
        <v>4.8758000000000003E-2</v>
      </c>
      <c r="D63" s="45">
        <v>4.7106000000000002E-2</v>
      </c>
      <c r="E63" s="45">
        <v>4.5185999999999997E-2</v>
      </c>
      <c r="F63" s="45">
        <v>4.2962E-2</v>
      </c>
      <c r="G63" s="45">
        <v>4.0973999999999997E-2</v>
      </c>
      <c r="H63" s="45">
        <v>3.9324999999999999E-2</v>
      </c>
      <c r="I63" s="45">
        <v>3.7949999999999998E-2</v>
      </c>
      <c r="J63" s="45">
        <v>3.6873000000000003E-2</v>
      </c>
      <c r="K63" s="45">
        <v>3.5999000000000003E-2</v>
      </c>
      <c r="L63" s="45">
        <v>3.5348999999999998E-2</v>
      </c>
      <c r="M63" s="45">
        <v>3.4874000000000002E-2</v>
      </c>
      <c r="N63" s="45">
        <v>3.4368000000000003E-2</v>
      </c>
      <c r="O63" s="45">
        <v>3.3827000000000003E-2</v>
      </c>
      <c r="P63" s="45">
        <v>3.3281999999999999E-2</v>
      </c>
      <c r="Q63" s="45">
        <v>3.2730000000000002E-2</v>
      </c>
      <c r="R63" s="45">
        <v>3.2176000000000003E-2</v>
      </c>
      <c r="S63" s="45">
        <v>3.1614000000000003E-2</v>
      </c>
      <c r="T63" s="45">
        <v>3.1032000000000001E-2</v>
      </c>
      <c r="U63" s="45">
        <v>3.0442E-2</v>
      </c>
      <c r="V63" s="45">
        <v>2.9881000000000001E-2</v>
      </c>
      <c r="W63" s="45">
        <v>2.9309999999999999E-2</v>
      </c>
      <c r="X63" s="45">
        <v>2.8753000000000001E-2</v>
      </c>
      <c r="Y63" s="45">
        <v>2.8226999999999999E-2</v>
      </c>
      <c r="Z63" s="45">
        <v>2.7720999999999999E-2</v>
      </c>
      <c r="AA63" s="45">
        <v>2.7262999999999999E-2</v>
      </c>
      <c r="AB63" s="45">
        <v>2.6834E-2</v>
      </c>
      <c r="AC63" s="45">
        <v>2.6407E-2</v>
      </c>
      <c r="AD63" s="45">
        <v>2.5998E-2</v>
      </c>
      <c r="AE63" s="45">
        <v>2.5621999999999999E-2</v>
      </c>
      <c r="AF63" s="45">
        <v>2.5257999999999999E-2</v>
      </c>
      <c r="AG63" s="45">
        <v>2.4912E-2</v>
      </c>
      <c r="AH63" s="46">
        <v>-2.2135999999999999E-2</v>
      </c>
    </row>
    <row r="64" spans="1:34" ht="24.5" x14ac:dyDescent="0.35">
      <c r="A64" s="40" t="s">
        <v>94</v>
      </c>
      <c r="B64" s="44" t="s">
        <v>95</v>
      </c>
      <c r="C64" s="45">
        <v>7.8510000000000003E-3</v>
      </c>
      <c r="D64" s="45">
        <v>7.9019999999999993E-3</v>
      </c>
      <c r="E64" s="45">
        <v>7.8840000000000004E-3</v>
      </c>
      <c r="F64" s="45">
        <v>7.7879999999999998E-3</v>
      </c>
      <c r="G64" s="45">
        <v>7.6940000000000003E-3</v>
      </c>
      <c r="H64" s="45">
        <v>7.62E-3</v>
      </c>
      <c r="I64" s="45">
        <v>7.561E-3</v>
      </c>
      <c r="J64" s="45">
        <v>7.5189999999999996E-3</v>
      </c>
      <c r="K64" s="45">
        <v>7.4799999999999997E-3</v>
      </c>
      <c r="L64" s="45">
        <v>7.4469999999999996E-3</v>
      </c>
      <c r="M64" s="45">
        <v>7.4139999999999996E-3</v>
      </c>
      <c r="N64" s="45">
        <v>7.3850000000000001E-3</v>
      </c>
      <c r="O64" s="45">
        <v>7.3559999999999997E-3</v>
      </c>
      <c r="P64" s="45">
        <v>7.3299999999999997E-3</v>
      </c>
      <c r="Q64" s="45">
        <v>7.3070000000000001E-3</v>
      </c>
      <c r="R64" s="45">
        <v>7.2870000000000001E-3</v>
      </c>
      <c r="S64" s="45">
        <v>7.2659999999999999E-3</v>
      </c>
      <c r="T64" s="45">
        <v>7.2430000000000003E-3</v>
      </c>
      <c r="U64" s="45">
        <v>7.2179999999999996E-3</v>
      </c>
      <c r="V64" s="45">
        <v>7.1980000000000004E-3</v>
      </c>
      <c r="W64" s="45">
        <v>7.1729999999999997E-3</v>
      </c>
      <c r="X64" s="45">
        <v>7.1479999999999998E-3</v>
      </c>
      <c r="Y64" s="45">
        <v>7.1250000000000003E-3</v>
      </c>
      <c r="Z64" s="45">
        <v>7.1009999999999997E-3</v>
      </c>
      <c r="AA64" s="45">
        <v>7.0829999999999999E-3</v>
      </c>
      <c r="AB64" s="45">
        <v>7.0670000000000004E-3</v>
      </c>
      <c r="AC64" s="45">
        <v>7.0460000000000002E-3</v>
      </c>
      <c r="AD64" s="45">
        <v>7.025E-3</v>
      </c>
      <c r="AE64" s="45">
        <v>7.0089999999999996E-3</v>
      </c>
      <c r="AF64" s="45">
        <v>6.9930000000000001E-3</v>
      </c>
      <c r="AG64" s="45">
        <v>6.979E-3</v>
      </c>
      <c r="AH64" s="46">
        <v>-3.9160000000000002E-3</v>
      </c>
    </row>
    <row r="65" spans="1:34" ht="36.5" x14ac:dyDescent="0.35">
      <c r="A65" s="40" t="s">
        <v>96</v>
      </c>
      <c r="B65" s="43" t="s">
        <v>90</v>
      </c>
      <c r="C65" s="47">
        <v>0.42927399999999999</v>
      </c>
      <c r="D65" s="47">
        <v>0.45496599999999998</v>
      </c>
      <c r="E65" s="47">
        <v>0.45233800000000002</v>
      </c>
      <c r="F65" s="47">
        <v>0.43859300000000001</v>
      </c>
      <c r="G65" s="47">
        <v>0.42568099999999998</v>
      </c>
      <c r="H65" s="47">
        <v>0.41445599999999999</v>
      </c>
      <c r="I65" s="47">
        <v>0.404474</v>
      </c>
      <c r="J65" s="47">
        <v>0.39604200000000001</v>
      </c>
      <c r="K65" s="47">
        <v>0.38822699999999999</v>
      </c>
      <c r="L65" s="47">
        <v>0.38123899999999999</v>
      </c>
      <c r="M65" s="47">
        <v>0.37464900000000001</v>
      </c>
      <c r="N65" s="47">
        <v>0.36843999999999999</v>
      </c>
      <c r="O65" s="47">
        <v>0.36236200000000002</v>
      </c>
      <c r="P65" s="47">
        <v>0.35661599999999999</v>
      </c>
      <c r="Q65" s="47">
        <v>0.35106599999999999</v>
      </c>
      <c r="R65" s="47">
        <v>0.345831</v>
      </c>
      <c r="S65" s="47">
        <v>0.34066400000000002</v>
      </c>
      <c r="T65" s="47">
        <v>0.33549099999999998</v>
      </c>
      <c r="U65" s="47">
        <v>0.33036500000000002</v>
      </c>
      <c r="V65" s="47">
        <v>0.32558900000000002</v>
      </c>
      <c r="W65" s="47">
        <v>0.32074200000000003</v>
      </c>
      <c r="X65" s="47">
        <v>0.315938</v>
      </c>
      <c r="Y65" s="47">
        <v>0.31121300000000002</v>
      </c>
      <c r="Z65" s="47">
        <v>0.30646200000000001</v>
      </c>
      <c r="AA65" s="47">
        <v>0.30197200000000002</v>
      </c>
      <c r="AB65" s="47">
        <v>0.29757499999999998</v>
      </c>
      <c r="AC65" s="47">
        <v>0.29300999999999999</v>
      </c>
      <c r="AD65" s="47">
        <v>0.288385</v>
      </c>
      <c r="AE65" s="47">
        <v>0.28395900000000002</v>
      </c>
      <c r="AF65" s="47">
        <v>0.27958899999999998</v>
      </c>
      <c r="AG65" s="47">
        <v>0.275341</v>
      </c>
      <c r="AH65" s="48">
        <v>-1.4694E-2</v>
      </c>
    </row>
    <row r="67" spans="1:34" x14ac:dyDescent="0.35">
      <c r="A67" s="37"/>
      <c r="B67" s="43" t="s">
        <v>97</v>
      </c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 spans="1:34" ht="24.5" x14ac:dyDescent="0.35">
      <c r="A68" s="40" t="s">
        <v>98</v>
      </c>
      <c r="B68" s="44" t="s">
        <v>48</v>
      </c>
      <c r="C68" s="45">
        <v>0.30082599999999998</v>
      </c>
      <c r="D68" s="45">
        <v>0.31928899999999999</v>
      </c>
      <c r="E68" s="45">
        <v>0.31598199999999999</v>
      </c>
      <c r="F68" s="45">
        <v>0.31245099999999998</v>
      </c>
      <c r="G68" s="45">
        <v>0.30869200000000002</v>
      </c>
      <c r="H68" s="45">
        <v>0.304761</v>
      </c>
      <c r="I68" s="45">
        <v>0.30077199999999998</v>
      </c>
      <c r="J68" s="45">
        <v>0.29696899999999998</v>
      </c>
      <c r="K68" s="45">
        <v>0.29325200000000001</v>
      </c>
      <c r="L68" s="45">
        <v>0.28970299999999999</v>
      </c>
      <c r="M68" s="45">
        <v>0.286165</v>
      </c>
      <c r="N68" s="45">
        <v>0.28289900000000001</v>
      </c>
      <c r="O68" s="45">
        <v>0.27976800000000002</v>
      </c>
      <c r="P68" s="45">
        <v>0.27681899999999998</v>
      </c>
      <c r="Q68" s="45">
        <v>0.274063</v>
      </c>
      <c r="R68" s="45">
        <v>0.27155000000000001</v>
      </c>
      <c r="S68" s="45">
        <v>0.26910800000000001</v>
      </c>
      <c r="T68" s="45">
        <v>0.266735</v>
      </c>
      <c r="U68" s="45">
        <v>0.26442300000000002</v>
      </c>
      <c r="V68" s="45">
        <v>0.26218599999999997</v>
      </c>
      <c r="W68" s="45">
        <v>0.26002199999999998</v>
      </c>
      <c r="X68" s="45">
        <v>0.25787500000000002</v>
      </c>
      <c r="Y68" s="45">
        <v>0.25573600000000002</v>
      </c>
      <c r="Z68" s="45">
        <v>0.25361</v>
      </c>
      <c r="AA68" s="45">
        <v>0.25151400000000002</v>
      </c>
      <c r="AB68" s="45">
        <v>0.24953600000000001</v>
      </c>
      <c r="AC68" s="45">
        <v>0.24754699999999999</v>
      </c>
      <c r="AD68" s="45">
        <v>0.24548200000000001</v>
      </c>
      <c r="AE68" s="45">
        <v>0.24343999999999999</v>
      </c>
      <c r="AF68" s="45">
        <v>0.24146599999999999</v>
      </c>
      <c r="AG68" s="45">
        <v>0.23955699999999999</v>
      </c>
      <c r="AH68" s="46">
        <v>-7.5630000000000003E-3</v>
      </c>
    </row>
    <row r="69" spans="1:34" ht="24.5" x14ac:dyDescent="0.35">
      <c r="A69" s="40" t="s">
        <v>99</v>
      </c>
      <c r="B69" s="44" t="s">
        <v>52</v>
      </c>
      <c r="C69" s="45">
        <v>6.5345E-2</v>
      </c>
      <c r="D69" s="45">
        <v>6.3697000000000004E-2</v>
      </c>
      <c r="E69" s="45">
        <v>6.1963999999999998E-2</v>
      </c>
      <c r="F69" s="45">
        <v>6.0192000000000002E-2</v>
      </c>
      <c r="G69" s="45">
        <v>5.8562000000000003E-2</v>
      </c>
      <c r="H69" s="45">
        <v>5.7089000000000001E-2</v>
      </c>
      <c r="I69" s="45">
        <v>5.5773999999999997E-2</v>
      </c>
      <c r="J69" s="45">
        <v>5.4623999999999999E-2</v>
      </c>
      <c r="K69" s="45">
        <v>5.3608000000000003E-2</v>
      </c>
      <c r="L69" s="45">
        <v>5.2748999999999997E-2</v>
      </c>
      <c r="M69" s="45">
        <v>5.1995E-2</v>
      </c>
      <c r="N69" s="45">
        <v>5.1180999999999997E-2</v>
      </c>
      <c r="O69" s="45">
        <v>5.0317000000000001E-2</v>
      </c>
      <c r="P69" s="45">
        <v>4.9430000000000002E-2</v>
      </c>
      <c r="Q69" s="45">
        <v>4.8529000000000003E-2</v>
      </c>
      <c r="R69" s="45">
        <v>4.7635999999999998E-2</v>
      </c>
      <c r="S69" s="45">
        <v>4.6734999999999999E-2</v>
      </c>
      <c r="T69" s="45">
        <v>4.5836000000000002E-2</v>
      </c>
      <c r="U69" s="45">
        <v>4.4946E-2</v>
      </c>
      <c r="V69" s="45">
        <v>4.4082999999999997E-2</v>
      </c>
      <c r="W69" s="45">
        <v>4.3250999999999998E-2</v>
      </c>
      <c r="X69" s="45">
        <v>4.2452999999999998E-2</v>
      </c>
      <c r="Y69" s="45">
        <v>4.1708000000000002E-2</v>
      </c>
      <c r="Z69" s="45">
        <v>4.1015999999999997E-2</v>
      </c>
      <c r="AA69" s="45">
        <v>4.0382000000000001E-2</v>
      </c>
      <c r="AB69" s="45">
        <v>3.9815000000000003E-2</v>
      </c>
      <c r="AC69" s="45">
        <v>3.9276999999999999E-2</v>
      </c>
      <c r="AD69" s="45">
        <v>3.8758000000000001E-2</v>
      </c>
      <c r="AE69" s="45">
        <v>3.8265E-2</v>
      </c>
      <c r="AF69" s="45">
        <v>3.7802000000000002E-2</v>
      </c>
      <c r="AG69" s="45">
        <v>3.7360999999999998E-2</v>
      </c>
      <c r="AH69" s="46">
        <v>-1.8463E-2</v>
      </c>
    </row>
    <row r="70" spans="1:34" x14ac:dyDescent="0.35">
      <c r="A70" s="40" t="s">
        <v>100</v>
      </c>
      <c r="B70" s="44" t="s">
        <v>56</v>
      </c>
      <c r="C70" s="45">
        <v>1.7066999999999999E-2</v>
      </c>
      <c r="D70" s="45">
        <v>1.6858999999999999E-2</v>
      </c>
      <c r="E70" s="45">
        <v>1.6695000000000002E-2</v>
      </c>
      <c r="F70" s="45">
        <v>1.6525000000000001E-2</v>
      </c>
      <c r="G70" s="45">
        <v>1.635E-2</v>
      </c>
      <c r="H70" s="45">
        <v>1.6171000000000001E-2</v>
      </c>
      <c r="I70" s="45">
        <v>1.5983000000000001E-2</v>
      </c>
      <c r="J70" s="45">
        <v>1.5776999999999999E-2</v>
      </c>
      <c r="K70" s="45">
        <v>1.5561E-2</v>
      </c>
      <c r="L70" s="45">
        <v>1.5335E-2</v>
      </c>
      <c r="M70" s="45">
        <v>1.5099E-2</v>
      </c>
      <c r="N70" s="45">
        <v>1.4853999999999999E-2</v>
      </c>
      <c r="O70" s="45">
        <v>1.4605E-2</v>
      </c>
      <c r="P70" s="45">
        <v>1.4394000000000001E-2</v>
      </c>
      <c r="Q70" s="45">
        <v>1.4220999999999999E-2</v>
      </c>
      <c r="R70" s="45">
        <v>1.4089000000000001E-2</v>
      </c>
      <c r="S70" s="45">
        <v>1.3998999999999999E-2</v>
      </c>
      <c r="T70" s="45">
        <v>1.3949E-2</v>
      </c>
      <c r="U70" s="45">
        <v>1.3894E-2</v>
      </c>
      <c r="V70" s="45">
        <v>1.3834000000000001E-2</v>
      </c>
      <c r="W70" s="45">
        <v>1.3769E-2</v>
      </c>
      <c r="X70" s="45">
        <v>1.3698E-2</v>
      </c>
      <c r="Y70" s="45">
        <v>1.3624000000000001E-2</v>
      </c>
      <c r="Z70" s="45">
        <v>1.3547E-2</v>
      </c>
      <c r="AA70" s="45">
        <v>1.3469999999999999E-2</v>
      </c>
      <c r="AB70" s="45">
        <v>1.3395000000000001E-2</v>
      </c>
      <c r="AC70" s="45">
        <v>1.3324000000000001E-2</v>
      </c>
      <c r="AD70" s="45">
        <v>1.3256E-2</v>
      </c>
      <c r="AE70" s="45">
        <v>1.3192000000000001E-2</v>
      </c>
      <c r="AF70" s="45">
        <v>1.3132E-2</v>
      </c>
      <c r="AG70" s="45">
        <v>1.3075E-2</v>
      </c>
      <c r="AH70" s="46">
        <v>-8.8419999999999992E-3</v>
      </c>
    </row>
    <row r="71" spans="1:34" ht="24.5" x14ac:dyDescent="0.35">
      <c r="A71" s="40" t="s">
        <v>101</v>
      </c>
      <c r="B71" s="44" t="s">
        <v>102</v>
      </c>
      <c r="C71" s="45">
        <v>7.1942000000000006E-2</v>
      </c>
      <c r="D71" s="45">
        <v>7.4200000000000002E-2</v>
      </c>
      <c r="E71" s="45">
        <v>7.6177999999999996E-2</v>
      </c>
      <c r="F71" s="45">
        <v>7.7882999999999994E-2</v>
      </c>
      <c r="G71" s="45">
        <v>7.9518000000000005E-2</v>
      </c>
      <c r="H71" s="45">
        <v>8.1139000000000003E-2</v>
      </c>
      <c r="I71" s="45">
        <v>8.2757999999999998E-2</v>
      </c>
      <c r="J71" s="45">
        <v>8.4404000000000007E-2</v>
      </c>
      <c r="K71" s="45">
        <v>8.6040000000000005E-2</v>
      </c>
      <c r="L71" s="45">
        <v>8.7695999999999996E-2</v>
      </c>
      <c r="M71" s="45">
        <v>8.9279999999999998E-2</v>
      </c>
      <c r="N71" s="45">
        <v>9.0917999999999999E-2</v>
      </c>
      <c r="O71" s="45">
        <v>9.2589000000000005E-2</v>
      </c>
      <c r="P71" s="45">
        <v>9.4302999999999998E-2</v>
      </c>
      <c r="Q71" s="45">
        <v>9.6048999999999995E-2</v>
      </c>
      <c r="R71" s="45">
        <v>9.7841999999999998E-2</v>
      </c>
      <c r="S71" s="45">
        <v>9.9643999999999996E-2</v>
      </c>
      <c r="T71" s="45">
        <v>0.10145</v>
      </c>
      <c r="U71" s="45">
        <v>0.103254</v>
      </c>
      <c r="V71" s="45">
        <v>0.105071</v>
      </c>
      <c r="W71" s="45">
        <v>0.10689</v>
      </c>
      <c r="X71" s="45">
        <v>0.108706</v>
      </c>
      <c r="Y71" s="45">
        <v>0.11054700000000001</v>
      </c>
      <c r="Z71" s="45">
        <v>0.112414</v>
      </c>
      <c r="AA71" s="45">
        <v>0.11432100000000001</v>
      </c>
      <c r="AB71" s="45">
        <v>0.116299</v>
      </c>
      <c r="AC71" s="45">
        <v>0.11827600000000001</v>
      </c>
      <c r="AD71" s="45">
        <v>0.120227</v>
      </c>
      <c r="AE71" s="45">
        <v>0.122188</v>
      </c>
      <c r="AF71" s="45">
        <v>0.12418</v>
      </c>
      <c r="AG71" s="45">
        <v>0.12619900000000001</v>
      </c>
      <c r="AH71" s="46">
        <v>1.891E-2</v>
      </c>
    </row>
    <row r="72" spans="1:34" ht="36.5" x14ac:dyDescent="0.35">
      <c r="A72" s="40" t="s">
        <v>103</v>
      </c>
      <c r="B72" s="43" t="s">
        <v>90</v>
      </c>
      <c r="C72" s="47">
        <v>0.45517999999999997</v>
      </c>
      <c r="D72" s="47">
        <v>0.47404499999999999</v>
      </c>
      <c r="E72" s="47">
        <v>0.47081800000000001</v>
      </c>
      <c r="F72" s="47">
        <v>0.46705000000000002</v>
      </c>
      <c r="G72" s="47">
        <v>0.46312199999999998</v>
      </c>
      <c r="H72" s="47">
        <v>0.45916000000000001</v>
      </c>
      <c r="I72" s="47">
        <v>0.45528800000000003</v>
      </c>
      <c r="J72" s="47">
        <v>0.45177400000000001</v>
      </c>
      <c r="K72" s="47">
        <v>0.448461</v>
      </c>
      <c r="L72" s="47">
        <v>0.44548300000000002</v>
      </c>
      <c r="M72" s="47">
        <v>0.44253900000000002</v>
      </c>
      <c r="N72" s="47">
        <v>0.43985200000000002</v>
      </c>
      <c r="O72" s="47">
        <v>0.437278</v>
      </c>
      <c r="P72" s="47">
        <v>0.434946</v>
      </c>
      <c r="Q72" s="47">
        <v>0.43286200000000002</v>
      </c>
      <c r="R72" s="47">
        <v>0.43111699999999997</v>
      </c>
      <c r="S72" s="47">
        <v>0.42948599999999998</v>
      </c>
      <c r="T72" s="47">
        <v>0.42797000000000002</v>
      </c>
      <c r="U72" s="47">
        <v>0.42651699999999998</v>
      </c>
      <c r="V72" s="47">
        <v>0.42517300000000002</v>
      </c>
      <c r="W72" s="47">
        <v>0.42393199999999998</v>
      </c>
      <c r="X72" s="47">
        <v>0.422732</v>
      </c>
      <c r="Y72" s="47">
        <v>0.42161500000000002</v>
      </c>
      <c r="Z72" s="47">
        <v>0.42058699999999999</v>
      </c>
      <c r="AA72" s="47">
        <v>0.41968699999999998</v>
      </c>
      <c r="AB72" s="47">
        <v>0.419045</v>
      </c>
      <c r="AC72" s="47">
        <v>0.41842400000000002</v>
      </c>
      <c r="AD72" s="47">
        <v>0.41772300000000001</v>
      </c>
      <c r="AE72" s="47">
        <v>0.41708400000000001</v>
      </c>
      <c r="AF72" s="47">
        <v>0.41658000000000001</v>
      </c>
      <c r="AG72" s="47">
        <v>0.41619200000000001</v>
      </c>
      <c r="AH72" s="48">
        <v>-2.98E-3</v>
      </c>
    </row>
    <row r="74" spans="1:34" ht="48.5" x14ac:dyDescent="0.35">
      <c r="A74" s="40" t="s">
        <v>104</v>
      </c>
      <c r="B74" s="44" t="s">
        <v>105</v>
      </c>
      <c r="C74" s="45">
        <v>0.45751199999999997</v>
      </c>
      <c r="D74" s="45">
        <v>0.45433299999999999</v>
      </c>
      <c r="E74" s="45">
        <v>0.443909</v>
      </c>
      <c r="F74" s="45">
        <v>0.448911</v>
      </c>
      <c r="G74" s="45">
        <v>0.45432600000000001</v>
      </c>
      <c r="H74" s="45">
        <v>0.456316</v>
      </c>
      <c r="I74" s="45">
        <v>0.45534000000000002</v>
      </c>
      <c r="J74" s="45">
        <v>0.45182099999999997</v>
      </c>
      <c r="K74" s="45">
        <v>0.44889299999999999</v>
      </c>
      <c r="L74" s="45">
        <v>0.444799</v>
      </c>
      <c r="M74" s="45">
        <v>0.44039800000000001</v>
      </c>
      <c r="N74" s="45">
        <v>0.43509900000000001</v>
      </c>
      <c r="O74" s="45">
        <v>0.42979000000000001</v>
      </c>
      <c r="P74" s="45">
        <v>0.423655</v>
      </c>
      <c r="Q74" s="45">
        <v>0.416962</v>
      </c>
      <c r="R74" s="45">
        <v>0.40978399999999998</v>
      </c>
      <c r="S74" s="45">
        <v>0.40250999999999998</v>
      </c>
      <c r="T74" s="45">
        <v>0.39616499999999999</v>
      </c>
      <c r="U74" s="45">
        <v>0.3906</v>
      </c>
      <c r="V74" s="45">
        <v>0.38444800000000001</v>
      </c>
      <c r="W74" s="45">
        <v>0.37942199999999998</v>
      </c>
      <c r="X74" s="45">
        <v>0.37479000000000001</v>
      </c>
      <c r="Y74" s="45">
        <v>0.37020500000000001</v>
      </c>
      <c r="Z74" s="45">
        <v>0.36615700000000001</v>
      </c>
      <c r="AA74" s="45">
        <v>0.36159400000000003</v>
      </c>
      <c r="AB74" s="45">
        <v>0.35714499999999999</v>
      </c>
      <c r="AC74" s="45">
        <v>0.35383199999999998</v>
      </c>
      <c r="AD74" s="45">
        <v>0.35059000000000001</v>
      </c>
      <c r="AE74" s="45">
        <v>0.34657500000000002</v>
      </c>
      <c r="AF74" s="45">
        <v>0.34247</v>
      </c>
      <c r="AG74" s="45">
        <v>0.33811099999999999</v>
      </c>
      <c r="AH74" s="46">
        <v>-1.0030000000000001E-2</v>
      </c>
    </row>
    <row r="76" spans="1:34" ht="48.5" x14ac:dyDescent="0.35">
      <c r="A76" s="37"/>
      <c r="B76" s="43" t="s">
        <v>106</v>
      </c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 spans="1:34" ht="24.5" x14ac:dyDescent="0.35">
      <c r="A77" s="40" t="s">
        <v>107</v>
      </c>
      <c r="B77" s="44" t="s">
        <v>108</v>
      </c>
      <c r="C77" s="45">
        <v>5.3071780000000004</v>
      </c>
      <c r="D77" s="45">
        <v>5.2776909999999999</v>
      </c>
      <c r="E77" s="45">
        <v>5.4008450000000003</v>
      </c>
      <c r="F77" s="45">
        <v>5.3735330000000001</v>
      </c>
      <c r="G77" s="45">
        <v>5.3547989999999999</v>
      </c>
      <c r="H77" s="45">
        <v>5.3281660000000004</v>
      </c>
      <c r="I77" s="45">
        <v>5.2917920000000001</v>
      </c>
      <c r="J77" s="45">
        <v>5.2524829999999998</v>
      </c>
      <c r="K77" s="45">
        <v>5.2157920000000004</v>
      </c>
      <c r="L77" s="45">
        <v>5.178312</v>
      </c>
      <c r="M77" s="45">
        <v>5.1382300000000001</v>
      </c>
      <c r="N77" s="45">
        <v>5.1017999999999999</v>
      </c>
      <c r="O77" s="45">
        <v>5.0680269999999998</v>
      </c>
      <c r="P77" s="45">
        <v>5.0336550000000004</v>
      </c>
      <c r="Q77" s="45">
        <v>4.9994160000000001</v>
      </c>
      <c r="R77" s="45">
        <v>4.967956</v>
      </c>
      <c r="S77" s="45">
        <v>4.9380519999999999</v>
      </c>
      <c r="T77" s="45">
        <v>4.9096339999999996</v>
      </c>
      <c r="U77" s="45">
        <v>4.8830200000000001</v>
      </c>
      <c r="V77" s="45">
        <v>4.8566219999999998</v>
      </c>
      <c r="W77" s="45">
        <v>4.8331379999999999</v>
      </c>
      <c r="X77" s="45">
        <v>4.8099699999999999</v>
      </c>
      <c r="Y77" s="45">
        <v>4.7870039999999996</v>
      </c>
      <c r="Z77" s="45">
        <v>4.7651260000000004</v>
      </c>
      <c r="AA77" s="45">
        <v>4.7432590000000001</v>
      </c>
      <c r="AB77" s="45">
        <v>4.7208550000000002</v>
      </c>
      <c r="AC77" s="45">
        <v>4.6997249999999999</v>
      </c>
      <c r="AD77" s="45">
        <v>4.6773850000000001</v>
      </c>
      <c r="AE77" s="45">
        <v>4.6539570000000001</v>
      </c>
      <c r="AF77" s="45">
        <v>4.6299510000000001</v>
      </c>
      <c r="AG77" s="45">
        <v>4.606185</v>
      </c>
      <c r="AH77" s="46">
        <v>-4.7109999999999999E-3</v>
      </c>
    </row>
    <row r="78" spans="1:34" ht="24.5" x14ac:dyDescent="0.35">
      <c r="A78" s="40" t="s">
        <v>109</v>
      </c>
      <c r="B78" s="44" t="s">
        <v>110</v>
      </c>
      <c r="C78" s="45">
        <v>0.86400999999999994</v>
      </c>
      <c r="D78" s="45">
        <v>0.82206500000000005</v>
      </c>
      <c r="E78" s="45">
        <v>0.92145200000000005</v>
      </c>
      <c r="F78" s="45">
        <v>0.93411999999999995</v>
      </c>
      <c r="G78" s="45">
        <v>0.947658</v>
      </c>
      <c r="H78" s="45">
        <v>0.96175600000000006</v>
      </c>
      <c r="I78" s="45">
        <v>0.97531999999999996</v>
      </c>
      <c r="J78" s="45">
        <v>0.98882400000000004</v>
      </c>
      <c r="K78" s="45">
        <v>1.003001</v>
      </c>
      <c r="L78" s="45">
        <v>1.0175190000000001</v>
      </c>
      <c r="M78" s="45">
        <v>1.0325610000000001</v>
      </c>
      <c r="N78" s="45">
        <v>1.0488550000000001</v>
      </c>
      <c r="O78" s="45">
        <v>1.066351</v>
      </c>
      <c r="P78" s="45">
        <v>1.083456</v>
      </c>
      <c r="Q78" s="45">
        <v>1.1011759999999999</v>
      </c>
      <c r="R78" s="45">
        <v>1.12019</v>
      </c>
      <c r="S78" s="45">
        <v>1.140463</v>
      </c>
      <c r="T78" s="45">
        <v>1.162417</v>
      </c>
      <c r="U78" s="45">
        <v>1.1845600000000001</v>
      </c>
      <c r="V78" s="45">
        <v>1.206796</v>
      </c>
      <c r="W78" s="45">
        <v>1.229417</v>
      </c>
      <c r="X78" s="45">
        <v>1.2515080000000001</v>
      </c>
      <c r="Y78" s="45">
        <v>1.2744489999999999</v>
      </c>
      <c r="Z78" s="45">
        <v>1.2983210000000001</v>
      </c>
      <c r="AA78" s="45">
        <v>1.3230759999999999</v>
      </c>
      <c r="AB78" s="45">
        <v>1.3475790000000001</v>
      </c>
      <c r="AC78" s="45">
        <v>1.372817</v>
      </c>
      <c r="AD78" s="45">
        <v>1.3975359999999999</v>
      </c>
      <c r="AE78" s="45">
        <v>1.423424</v>
      </c>
      <c r="AF78" s="45">
        <v>1.4499979999999999</v>
      </c>
      <c r="AG78" s="45">
        <v>1.47831</v>
      </c>
      <c r="AH78" s="46">
        <v>1.8064E-2</v>
      </c>
    </row>
    <row r="79" spans="1:34" ht="24.5" x14ac:dyDescent="0.35">
      <c r="A79" s="40" t="s">
        <v>111</v>
      </c>
      <c r="B79" s="44" t="s">
        <v>112</v>
      </c>
      <c r="C79" s="45">
        <v>1.7289300000000001</v>
      </c>
      <c r="D79" s="45">
        <v>1.7260500000000001</v>
      </c>
      <c r="E79" s="45">
        <v>1.726513</v>
      </c>
      <c r="F79" s="45">
        <v>1.7275389999999999</v>
      </c>
      <c r="G79" s="45">
        <v>1.7322610000000001</v>
      </c>
      <c r="H79" s="45">
        <v>1.7370019999999999</v>
      </c>
      <c r="I79" s="45">
        <v>1.7408650000000001</v>
      </c>
      <c r="J79" s="45">
        <v>1.7450060000000001</v>
      </c>
      <c r="K79" s="45">
        <v>1.750251</v>
      </c>
      <c r="L79" s="45">
        <v>1.7564249999999999</v>
      </c>
      <c r="M79" s="45">
        <v>1.761485</v>
      </c>
      <c r="N79" s="45">
        <v>1.7673719999999999</v>
      </c>
      <c r="O79" s="45">
        <v>1.774275</v>
      </c>
      <c r="P79" s="45">
        <v>1.780905</v>
      </c>
      <c r="Q79" s="45">
        <v>1.7873349999999999</v>
      </c>
      <c r="R79" s="45">
        <v>1.794287</v>
      </c>
      <c r="S79" s="45">
        <v>1.80158</v>
      </c>
      <c r="T79" s="45">
        <v>1.808705</v>
      </c>
      <c r="U79" s="45">
        <v>1.815571</v>
      </c>
      <c r="V79" s="45">
        <v>1.8219890000000001</v>
      </c>
      <c r="W79" s="45">
        <v>1.828247</v>
      </c>
      <c r="X79" s="45">
        <v>1.8343119999999999</v>
      </c>
      <c r="Y79" s="45">
        <v>1.8405530000000001</v>
      </c>
      <c r="Z79" s="45">
        <v>1.84778</v>
      </c>
      <c r="AA79" s="45">
        <v>1.8555569999999999</v>
      </c>
      <c r="AB79" s="45">
        <v>1.8636379999999999</v>
      </c>
      <c r="AC79" s="45">
        <v>1.8723069999999999</v>
      </c>
      <c r="AD79" s="45">
        <v>1.881035</v>
      </c>
      <c r="AE79" s="45">
        <v>1.890002</v>
      </c>
      <c r="AF79" s="45">
        <v>1.899373</v>
      </c>
      <c r="AG79" s="45">
        <v>1.909216</v>
      </c>
      <c r="AH79" s="46">
        <v>3.3119999999999998E-3</v>
      </c>
    </row>
    <row r="80" spans="1:34" ht="36.5" x14ac:dyDescent="0.35">
      <c r="A80" s="40" t="s">
        <v>113</v>
      </c>
      <c r="B80" s="44" t="s">
        <v>114</v>
      </c>
      <c r="C80" s="45">
        <v>0.29757099999999997</v>
      </c>
      <c r="D80" s="45">
        <v>0.295346</v>
      </c>
      <c r="E80" s="45">
        <v>0.29378399999999999</v>
      </c>
      <c r="F80" s="45">
        <v>0.29202600000000001</v>
      </c>
      <c r="G80" s="45">
        <v>0.29042400000000002</v>
      </c>
      <c r="H80" s="45">
        <v>0.28908299999999998</v>
      </c>
      <c r="I80" s="45">
        <v>0.28793600000000003</v>
      </c>
      <c r="J80" s="45">
        <v>0.28692200000000001</v>
      </c>
      <c r="K80" s="45">
        <v>0.28607500000000002</v>
      </c>
      <c r="L80" s="45">
        <v>0.28541899999999998</v>
      </c>
      <c r="M80" s="45">
        <v>0.28499999999999998</v>
      </c>
      <c r="N80" s="45">
        <v>0.284881</v>
      </c>
      <c r="O80" s="45">
        <v>0.28508899999999998</v>
      </c>
      <c r="P80" s="45">
        <v>0.28559600000000002</v>
      </c>
      <c r="Q80" s="45">
        <v>0.286414</v>
      </c>
      <c r="R80" s="45">
        <v>0.28758899999999998</v>
      </c>
      <c r="S80" s="45">
        <v>0.28906799999999999</v>
      </c>
      <c r="T80" s="45">
        <v>0.29083900000000001</v>
      </c>
      <c r="U80" s="45">
        <v>0.29291899999999998</v>
      </c>
      <c r="V80" s="45">
        <v>0.29527399999999998</v>
      </c>
      <c r="W80" s="45">
        <v>0.29792600000000002</v>
      </c>
      <c r="X80" s="45">
        <v>0.30085800000000001</v>
      </c>
      <c r="Y80" s="45">
        <v>0.30406499999999997</v>
      </c>
      <c r="Z80" s="45">
        <v>0.30727100000000002</v>
      </c>
      <c r="AA80" s="45">
        <v>0.31046600000000002</v>
      </c>
      <c r="AB80" s="45">
        <v>0.31362899999999999</v>
      </c>
      <c r="AC80" s="45">
        <v>0.31673499999999999</v>
      </c>
      <c r="AD80" s="45">
        <v>0.319768</v>
      </c>
      <c r="AE80" s="45">
        <v>0.32273200000000002</v>
      </c>
      <c r="AF80" s="45">
        <v>0.32563300000000001</v>
      </c>
      <c r="AG80" s="45">
        <v>0.32846999999999998</v>
      </c>
      <c r="AH80" s="46">
        <v>3.2989999999999998E-3</v>
      </c>
    </row>
    <row r="81" spans="1:34" x14ac:dyDescent="0.35">
      <c r="A81" s="40" t="s">
        <v>115</v>
      </c>
      <c r="B81" s="44" t="s">
        <v>116</v>
      </c>
      <c r="C81" s="45">
        <v>0.17552999999999999</v>
      </c>
      <c r="D81" s="45">
        <v>0.175348</v>
      </c>
      <c r="E81" s="45">
        <v>0.17563999999999999</v>
      </c>
      <c r="F81" s="45">
        <v>0.17588899999999999</v>
      </c>
      <c r="G81" s="45">
        <v>0.17613000000000001</v>
      </c>
      <c r="H81" s="45">
        <v>0.1764</v>
      </c>
      <c r="I81" s="45">
        <v>0.176644</v>
      </c>
      <c r="J81" s="45">
        <v>0.17682700000000001</v>
      </c>
      <c r="K81" s="45">
        <v>0.17699300000000001</v>
      </c>
      <c r="L81" s="45">
        <v>0.17718700000000001</v>
      </c>
      <c r="M81" s="45">
        <v>0.17741100000000001</v>
      </c>
      <c r="N81" s="45">
        <v>0.177677</v>
      </c>
      <c r="O81" s="45">
        <v>0.17799899999999999</v>
      </c>
      <c r="P81" s="45">
        <v>0.17846799999999999</v>
      </c>
      <c r="Q81" s="45">
        <v>0.17904800000000001</v>
      </c>
      <c r="R81" s="45">
        <v>0.17976800000000001</v>
      </c>
      <c r="S81" s="45">
        <v>0.18060399999999999</v>
      </c>
      <c r="T81" s="45">
        <v>0.18156</v>
      </c>
      <c r="U81" s="45">
        <v>0.18252299999999999</v>
      </c>
      <c r="V81" s="45">
        <v>0.18349199999999999</v>
      </c>
      <c r="W81" s="45">
        <v>0.184477</v>
      </c>
      <c r="X81" s="45">
        <v>0.185472</v>
      </c>
      <c r="Y81" s="45">
        <v>0.18648400000000001</v>
      </c>
      <c r="Z81" s="45">
        <v>0.187523</v>
      </c>
      <c r="AA81" s="45">
        <v>0.18858900000000001</v>
      </c>
      <c r="AB81" s="45">
        <v>0.18967400000000001</v>
      </c>
      <c r="AC81" s="45">
        <v>0.19076899999999999</v>
      </c>
      <c r="AD81" s="45">
        <v>0.19186500000000001</v>
      </c>
      <c r="AE81" s="45">
        <v>0.19295899999999999</v>
      </c>
      <c r="AF81" s="45">
        <v>0.194049</v>
      </c>
      <c r="AG81" s="45">
        <v>0.195128</v>
      </c>
      <c r="AH81" s="46">
        <v>3.5339999999999998E-3</v>
      </c>
    </row>
    <row r="82" spans="1:34" ht="24.5" x14ac:dyDescent="0.35">
      <c r="A82" s="40" t="s">
        <v>117</v>
      </c>
      <c r="B82" s="44" t="s">
        <v>118</v>
      </c>
      <c r="C82" s="45">
        <v>0.25584699999999999</v>
      </c>
      <c r="D82" s="45">
        <v>0.26021100000000003</v>
      </c>
      <c r="E82" s="45">
        <v>0.264289</v>
      </c>
      <c r="F82" s="45">
        <v>0.26800299999999999</v>
      </c>
      <c r="G82" s="45">
        <v>0.27210600000000001</v>
      </c>
      <c r="H82" s="45">
        <v>0.27616800000000002</v>
      </c>
      <c r="I82" s="45">
        <v>0.27991199999999999</v>
      </c>
      <c r="J82" s="45">
        <v>0.28344900000000001</v>
      </c>
      <c r="K82" s="45">
        <v>0.28702899999999998</v>
      </c>
      <c r="L82" s="45">
        <v>0.29060000000000002</v>
      </c>
      <c r="M82" s="45">
        <v>0.29418800000000001</v>
      </c>
      <c r="N82" s="45">
        <v>0.29788199999999998</v>
      </c>
      <c r="O82" s="45">
        <v>0.30175999999999997</v>
      </c>
      <c r="P82" s="45">
        <v>0.30551099999999998</v>
      </c>
      <c r="Q82" s="45">
        <v>0.30939</v>
      </c>
      <c r="R82" s="45">
        <v>0.31340400000000002</v>
      </c>
      <c r="S82" s="45">
        <v>0.31765500000000002</v>
      </c>
      <c r="T82" s="45">
        <v>0.32194200000000001</v>
      </c>
      <c r="U82" s="45">
        <v>0.326239</v>
      </c>
      <c r="V82" s="45">
        <v>0.33050600000000002</v>
      </c>
      <c r="W82" s="45">
        <v>0.334727</v>
      </c>
      <c r="X82" s="45">
        <v>0.33888600000000002</v>
      </c>
      <c r="Y82" s="45">
        <v>0.34297699999999998</v>
      </c>
      <c r="Z82" s="45">
        <v>0.347331</v>
      </c>
      <c r="AA82" s="45">
        <v>0.35163899999999998</v>
      </c>
      <c r="AB82" s="45">
        <v>0.35589700000000002</v>
      </c>
      <c r="AC82" s="45">
        <v>0.36021500000000001</v>
      </c>
      <c r="AD82" s="45">
        <v>0.36444900000000002</v>
      </c>
      <c r="AE82" s="45">
        <v>0.36870999999999998</v>
      </c>
      <c r="AF82" s="45">
        <v>0.37317899999999998</v>
      </c>
      <c r="AG82" s="45">
        <v>0.37782100000000002</v>
      </c>
      <c r="AH82" s="46">
        <v>1.3079E-2</v>
      </c>
    </row>
    <row r="83" spans="1:34" x14ac:dyDescent="0.35">
      <c r="A83" s="40" t="s">
        <v>119</v>
      </c>
      <c r="B83" s="44" t="s">
        <v>120</v>
      </c>
      <c r="C83" s="45">
        <v>6.9181000000000006E-2</v>
      </c>
      <c r="D83" s="45">
        <v>6.8847000000000005E-2</v>
      </c>
      <c r="E83" s="45">
        <v>6.8695999999999993E-2</v>
      </c>
      <c r="F83" s="45">
        <v>6.8514000000000005E-2</v>
      </c>
      <c r="G83" s="45">
        <v>6.8303000000000003E-2</v>
      </c>
      <c r="H83" s="45">
        <v>6.8080000000000002E-2</v>
      </c>
      <c r="I83" s="45">
        <v>6.7833000000000004E-2</v>
      </c>
      <c r="J83" s="45">
        <v>6.7552000000000001E-2</v>
      </c>
      <c r="K83" s="45">
        <v>6.7285999999999999E-2</v>
      </c>
      <c r="L83" s="45">
        <v>6.7035999999999998E-2</v>
      </c>
      <c r="M83" s="45">
        <v>6.6805000000000003E-2</v>
      </c>
      <c r="N83" s="45">
        <v>6.6594E-2</v>
      </c>
      <c r="O83" s="45">
        <v>6.6406999999999994E-2</v>
      </c>
      <c r="P83" s="45">
        <v>6.6239000000000006E-2</v>
      </c>
      <c r="Q83" s="45">
        <v>6.6095000000000001E-2</v>
      </c>
      <c r="R83" s="45">
        <v>6.5983E-2</v>
      </c>
      <c r="S83" s="45">
        <v>6.59E-2</v>
      </c>
      <c r="T83" s="45">
        <v>6.5845000000000001E-2</v>
      </c>
      <c r="U83" s="45">
        <v>6.5823999999999994E-2</v>
      </c>
      <c r="V83" s="45">
        <v>6.5833000000000003E-2</v>
      </c>
      <c r="W83" s="45">
        <v>6.5878000000000006E-2</v>
      </c>
      <c r="X83" s="45">
        <v>6.5962999999999994E-2</v>
      </c>
      <c r="Y83" s="45">
        <v>6.6087999999999994E-2</v>
      </c>
      <c r="Z83" s="45">
        <v>6.6264000000000003E-2</v>
      </c>
      <c r="AA83" s="45">
        <v>6.6497000000000001E-2</v>
      </c>
      <c r="AB83" s="45">
        <v>6.6783999999999996E-2</v>
      </c>
      <c r="AC83" s="45">
        <v>6.7123000000000002E-2</v>
      </c>
      <c r="AD83" s="45">
        <v>6.7501000000000005E-2</v>
      </c>
      <c r="AE83" s="45">
        <v>6.7876000000000006E-2</v>
      </c>
      <c r="AF83" s="45">
        <v>6.8251000000000006E-2</v>
      </c>
      <c r="AG83" s="45">
        <v>6.8624000000000004E-2</v>
      </c>
      <c r="AH83" s="46">
        <v>-2.7E-4</v>
      </c>
    </row>
    <row r="84" spans="1:34" x14ac:dyDescent="0.35">
      <c r="A84" s="40" t="s">
        <v>121</v>
      </c>
      <c r="B84" s="44" t="s">
        <v>122</v>
      </c>
      <c r="C84" s="45">
        <v>0.21124699999999999</v>
      </c>
      <c r="D84" s="45">
        <v>0.204709</v>
      </c>
      <c r="E84" s="45">
        <v>0.202325</v>
      </c>
      <c r="F84" s="45">
        <v>0.20133100000000001</v>
      </c>
      <c r="G84" s="45">
        <v>0.20136299999999999</v>
      </c>
      <c r="H84" s="45">
        <v>0.19996900000000001</v>
      </c>
      <c r="I84" s="45">
        <v>0.19883400000000001</v>
      </c>
      <c r="J84" s="45">
        <v>0.19838500000000001</v>
      </c>
      <c r="K84" s="45">
        <v>0.198653</v>
      </c>
      <c r="L84" s="45">
        <v>0.199213</v>
      </c>
      <c r="M84" s="45">
        <v>0.19741900000000001</v>
      </c>
      <c r="N84" s="45">
        <v>0.19624800000000001</v>
      </c>
      <c r="O84" s="45">
        <v>0.19559699999999999</v>
      </c>
      <c r="P84" s="45">
        <v>0.19511400000000001</v>
      </c>
      <c r="Q84" s="45">
        <v>0.19497800000000001</v>
      </c>
      <c r="R84" s="45">
        <v>0.19514300000000001</v>
      </c>
      <c r="S84" s="45">
        <v>0.195525</v>
      </c>
      <c r="T84" s="45">
        <v>0.19600000000000001</v>
      </c>
      <c r="U84" s="45">
        <v>0.196543</v>
      </c>
      <c r="V84" s="45">
        <v>0.19711400000000001</v>
      </c>
      <c r="W84" s="45">
        <v>0.19439999999999999</v>
      </c>
      <c r="X84" s="45">
        <v>0.19228500000000001</v>
      </c>
      <c r="Y84" s="45">
        <v>0.19058800000000001</v>
      </c>
      <c r="Z84" s="45">
        <v>0.18950400000000001</v>
      </c>
      <c r="AA84" s="45">
        <v>0.18876000000000001</v>
      </c>
      <c r="AB84" s="45">
        <v>0.18824299999999999</v>
      </c>
      <c r="AC84" s="45">
        <v>0.18789700000000001</v>
      </c>
      <c r="AD84" s="45">
        <v>0.187552</v>
      </c>
      <c r="AE84" s="45">
        <v>0.187251</v>
      </c>
      <c r="AF84" s="45">
        <v>0.18709600000000001</v>
      </c>
      <c r="AG84" s="45">
        <v>0.187254</v>
      </c>
      <c r="AH84" s="46">
        <v>-4.0109999999999998E-3</v>
      </c>
    </row>
    <row r="85" spans="1:34" ht="24.5" x14ac:dyDescent="0.35">
      <c r="A85" s="40" t="s">
        <v>123</v>
      </c>
      <c r="B85" s="44" t="s">
        <v>124</v>
      </c>
      <c r="C85" s="45">
        <v>3.6778999999999999E-2</v>
      </c>
      <c r="D85" s="45">
        <v>3.7026000000000003E-2</v>
      </c>
      <c r="E85" s="45">
        <v>3.7373000000000003E-2</v>
      </c>
      <c r="F85" s="45">
        <v>3.771E-2</v>
      </c>
      <c r="G85" s="45">
        <v>3.8044000000000001E-2</v>
      </c>
      <c r="H85" s="45">
        <v>3.8386999999999998E-2</v>
      </c>
      <c r="I85" s="45">
        <v>3.8726999999999998E-2</v>
      </c>
      <c r="J85" s="45">
        <v>3.9054999999999999E-2</v>
      </c>
      <c r="K85" s="45">
        <v>3.9377000000000002E-2</v>
      </c>
      <c r="L85" s="45">
        <v>3.9694E-2</v>
      </c>
      <c r="M85" s="45">
        <v>4.0024999999999998E-2</v>
      </c>
      <c r="N85" s="45">
        <v>4.0351999999999999E-2</v>
      </c>
      <c r="O85" s="45">
        <v>4.0679E-2</v>
      </c>
      <c r="P85" s="45">
        <v>4.1000000000000002E-2</v>
      </c>
      <c r="Q85" s="45">
        <v>4.1314999999999998E-2</v>
      </c>
      <c r="R85" s="45">
        <v>4.1632000000000002E-2</v>
      </c>
      <c r="S85" s="45">
        <v>4.1942E-2</v>
      </c>
      <c r="T85" s="45">
        <v>4.2249000000000002E-2</v>
      </c>
      <c r="U85" s="45">
        <v>4.2553000000000001E-2</v>
      </c>
      <c r="V85" s="45">
        <v>4.2854000000000003E-2</v>
      </c>
      <c r="W85" s="45">
        <v>4.3154999999999999E-2</v>
      </c>
      <c r="X85" s="45">
        <v>4.3454E-2</v>
      </c>
      <c r="Y85" s="45">
        <v>4.3750999999999998E-2</v>
      </c>
      <c r="Z85" s="45">
        <v>4.4052000000000001E-2</v>
      </c>
      <c r="AA85" s="45">
        <v>4.4354999999999999E-2</v>
      </c>
      <c r="AB85" s="45">
        <v>4.4658999999999997E-2</v>
      </c>
      <c r="AC85" s="45">
        <v>4.4962000000000002E-2</v>
      </c>
      <c r="AD85" s="45">
        <v>4.5262999999999998E-2</v>
      </c>
      <c r="AE85" s="45">
        <v>4.5561999999999998E-2</v>
      </c>
      <c r="AF85" s="45">
        <v>4.5862E-2</v>
      </c>
      <c r="AG85" s="45">
        <v>4.6163000000000003E-2</v>
      </c>
      <c r="AH85" s="46">
        <v>7.6030000000000004E-3</v>
      </c>
    </row>
    <row r="86" spans="1:34" ht="36.5" x14ac:dyDescent="0.35">
      <c r="A86" s="40" t="s">
        <v>125</v>
      </c>
      <c r="B86" s="44" t="s">
        <v>126</v>
      </c>
      <c r="C86" s="45">
        <v>2.6616999999999998E-2</v>
      </c>
      <c r="D86" s="45">
        <v>2.6991999999999999E-2</v>
      </c>
      <c r="E86" s="45">
        <v>2.743E-2</v>
      </c>
      <c r="F86" s="45">
        <v>2.7851999999999998E-2</v>
      </c>
      <c r="G86" s="45">
        <v>2.8261999999999999E-2</v>
      </c>
      <c r="H86" s="45">
        <v>2.8667000000000002E-2</v>
      </c>
      <c r="I86" s="45">
        <v>2.9058E-2</v>
      </c>
      <c r="J86" s="45">
        <v>2.9425E-2</v>
      </c>
      <c r="K86" s="45">
        <v>2.9825000000000001E-2</v>
      </c>
      <c r="L86" s="45">
        <v>3.0258E-2</v>
      </c>
      <c r="M86" s="45">
        <v>3.0724999999999999E-2</v>
      </c>
      <c r="N86" s="45">
        <v>3.1229E-2</v>
      </c>
      <c r="O86" s="45">
        <v>3.1773999999999997E-2</v>
      </c>
      <c r="P86" s="45">
        <v>3.2358999999999999E-2</v>
      </c>
      <c r="Q86" s="45">
        <v>3.2987000000000002E-2</v>
      </c>
      <c r="R86" s="45">
        <v>3.3612999999999997E-2</v>
      </c>
      <c r="S86" s="45">
        <v>3.4234000000000001E-2</v>
      </c>
      <c r="T86" s="45">
        <v>3.4849999999999999E-2</v>
      </c>
      <c r="U86" s="45">
        <v>3.5463000000000001E-2</v>
      </c>
      <c r="V86" s="45">
        <v>3.6073000000000001E-2</v>
      </c>
      <c r="W86" s="45">
        <v>3.6681999999999999E-2</v>
      </c>
      <c r="X86" s="45">
        <v>3.7289000000000003E-2</v>
      </c>
      <c r="Y86" s="45">
        <v>3.7893999999999997E-2</v>
      </c>
      <c r="Z86" s="45">
        <v>3.8501000000000001E-2</v>
      </c>
      <c r="AA86" s="45">
        <v>3.9108999999999998E-2</v>
      </c>
      <c r="AB86" s="45">
        <v>3.9717000000000002E-2</v>
      </c>
      <c r="AC86" s="45">
        <v>4.0322999999999998E-2</v>
      </c>
      <c r="AD86" s="45">
        <v>4.0926999999999998E-2</v>
      </c>
      <c r="AE86" s="45">
        <v>4.1529000000000003E-2</v>
      </c>
      <c r="AF86" s="45">
        <v>4.2130000000000001E-2</v>
      </c>
      <c r="AG86" s="45">
        <v>4.2730999999999998E-2</v>
      </c>
      <c r="AH86" s="46">
        <v>1.5904999999999999E-2</v>
      </c>
    </row>
    <row r="87" spans="1:34" ht="60.5" x14ac:dyDescent="0.35">
      <c r="A87" s="40" t="s">
        <v>127</v>
      </c>
      <c r="B87" s="44" t="s">
        <v>128</v>
      </c>
      <c r="C87" s="45">
        <v>0.20913300000000001</v>
      </c>
      <c r="D87" s="45">
        <v>0.205207</v>
      </c>
      <c r="E87" s="45">
        <v>0.202543</v>
      </c>
      <c r="F87" s="45">
        <v>0.20023199999999999</v>
      </c>
      <c r="G87" s="45">
        <v>0.19889200000000001</v>
      </c>
      <c r="H87" s="45">
        <v>0.198295</v>
      </c>
      <c r="I87" s="45">
        <v>0.19822999999999999</v>
      </c>
      <c r="J87" s="45">
        <v>0.19878999999999999</v>
      </c>
      <c r="K87" s="45">
        <v>0.20006099999999999</v>
      </c>
      <c r="L87" s="45">
        <v>0.20200299999999999</v>
      </c>
      <c r="M87" s="45">
        <v>0.20463600000000001</v>
      </c>
      <c r="N87" s="45">
        <v>0.20782300000000001</v>
      </c>
      <c r="O87" s="45">
        <v>0.21160000000000001</v>
      </c>
      <c r="P87" s="45">
        <v>0.215644</v>
      </c>
      <c r="Q87" s="45">
        <v>0.22000500000000001</v>
      </c>
      <c r="R87" s="45">
        <v>0.22468299999999999</v>
      </c>
      <c r="S87" s="45">
        <v>0.22967000000000001</v>
      </c>
      <c r="T87" s="45">
        <v>0.23474700000000001</v>
      </c>
      <c r="U87" s="45">
        <v>0.23980299999999999</v>
      </c>
      <c r="V87" s="45">
        <v>0.244645</v>
      </c>
      <c r="W87" s="45">
        <v>0.24911700000000001</v>
      </c>
      <c r="X87" s="45">
        <v>0.25305699999999998</v>
      </c>
      <c r="Y87" s="45">
        <v>0.25641999999999998</v>
      </c>
      <c r="Z87" s="45">
        <v>0.25970900000000002</v>
      </c>
      <c r="AA87" s="45">
        <v>0.26287199999999999</v>
      </c>
      <c r="AB87" s="45">
        <v>0.26593099999999997</v>
      </c>
      <c r="AC87" s="45">
        <v>0.268959</v>
      </c>
      <c r="AD87" s="45">
        <v>0.27183800000000002</v>
      </c>
      <c r="AE87" s="45">
        <v>0.27464499999999997</v>
      </c>
      <c r="AF87" s="45">
        <v>0.27751500000000001</v>
      </c>
      <c r="AG87" s="45">
        <v>0.280476</v>
      </c>
      <c r="AH87" s="46">
        <v>9.8320000000000005E-3</v>
      </c>
    </row>
    <row r="88" spans="1:34" ht="60.5" x14ac:dyDescent="0.35">
      <c r="A88" s="40" t="s">
        <v>129</v>
      </c>
      <c r="B88" s="44" t="s">
        <v>130</v>
      </c>
      <c r="C88" s="45">
        <v>8.6664000000000005E-2</v>
      </c>
      <c r="D88" s="45">
        <v>8.3833000000000005E-2</v>
      </c>
      <c r="E88" s="45">
        <v>8.1494999999999998E-2</v>
      </c>
      <c r="F88" s="45">
        <v>7.9249E-2</v>
      </c>
      <c r="G88" s="45">
        <v>7.7311000000000005E-2</v>
      </c>
      <c r="H88" s="45">
        <v>7.5550000000000006E-2</v>
      </c>
      <c r="I88" s="45">
        <v>7.3888999999999996E-2</v>
      </c>
      <c r="J88" s="45">
        <v>7.2344000000000006E-2</v>
      </c>
      <c r="K88" s="45">
        <v>7.0940000000000003E-2</v>
      </c>
      <c r="L88" s="45">
        <v>6.9648000000000002E-2</v>
      </c>
      <c r="M88" s="45">
        <v>6.8455000000000002E-2</v>
      </c>
      <c r="N88" s="45">
        <v>6.7301E-2</v>
      </c>
      <c r="O88" s="45">
        <v>6.6194000000000003E-2</v>
      </c>
      <c r="P88" s="45">
        <v>6.5015000000000003E-2</v>
      </c>
      <c r="Q88" s="45">
        <v>6.3785999999999995E-2</v>
      </c>
      <c r="R88" s="45">
        <v>6.2496999999999997E-2</v>
      </c>
      <c r="S88" s="45">
        <v>6.1143000000000003E-2</v>
      </c>
      <c r="T88" s="45">
        <v>5.9822E-2</v>
      </c>
      <c r="U88" s="45">
        <v>5.8526000000000002E-2</v>
      </c>
      <c r="V88" s="45">
        <v>5.722E-2</v>
      </c>
      <c r="W88" s="45">
        <v>5.5891999999999997E-2</v>
      </c>
      <c r="X88" s="45">
        <v>5.4535E-2</v>
      </c>
      <c r="Y88" s="45">
        <v>5.3136000000000003E-2</v>
      </c>
      <c r="Z88" s="45">
        <v>5.1763000000000003E-2</v>
      </c>
      <c r="AA88" s="45">
        <v>5.0342999999999999E-2</v>
      </c>
      <c r="AB88" s="45">
        <v>4.8862000000000003E-2</v>
      </c>
      <c r="AC88" s="45">
        <v>4.7323999999999998E-2</v>
      </c>
      <c r="AD88" s="45">
        <v>4.5687999999999999E-2</v>
      </c>
      <c r="AE88" s="45">
        <v>4.3971000000000003E-2</v>
      </c>
      <c r="AF88" s="45">
        <v>4.2151000000000001E-2</v>
      </c>
      <c r="AG88" s="45">
        <v>4.0223000000000002E-2</v>
      </c>
      <c r="AH88" s="46">
        <v>-2.5262E-2</v>
      </c>
    </row>
    <row r="89" spans="1:34" ht="60.5" x14ac:dyDescent="0.35">
      <c r="A89" s="40" t="s">
        <v>131</v>
      </c>
      <c r="B89" s="44" t="s">
        <v>132</v>
      </c>
      <c r="C89" s="45">
        <v>7.8188999999999995E-2</v>
      </c>
      <c r="D89" s="45">
        <v>8.4238999999999994E-2</v>
      </c>
      <c r="E89" s="45">
        <v>8.4947999999999996E-2</v>
      </c>
      <c r="F89" s="45">
        <v>8.5345000000000004E-2</v>
      </c>
      <c r="G89" s="45">
        <v>8.5870000000000002E-2</v>
      </c>
      <c r="H89" s="45">
        <v>8.6289000000000005E-2</v>
      </c>
      <c r="I89" s="45">
        <v>8.6568000000000006E-2</v>
      </c>
      <c r="J89" s="45">
        <v>8.6861999999999995E-2</v>
      </c>
      <c r="K89" s="45">
        <v>8.7124999999999994E-2</v>
      </c>
      <c r="L89" s="45">
        <v>8.7312000000000001E-2</v>
      </c>
      <c r="M89" s="45">
        <v>8.7309999999999999E-2</v>
      </c>
      <c r="N89" s="45">
        <v>8.7224999999999997E-2</v>
      </c>
      <c r="O89" s="45">
        <v>8.6986999999999995E-2</v>
      </c>
      <c r="P89" s="45">
        <v>8.6527999999999994E-2</v>
      </c>
      <c r="Q89" s="45">
        <v>8.5852999999999999E-2</v>
      </c>
      <c r="R89" s="45">
        <v>8.5038000000000002E-2</v>
      </c>
      <c r="S89" s="45">
        <v>8.4087999999999996E-2</v>
      </c>
      <c r="T89" s="45">
        <v>8.3007999999999998E-2</v>
      </c>
      <c r="U89" s="45">
        <v>8.1807000000000005E-2</v>
      </c>
      <c r="V89" s="45">
        <v>8.0574000000000007E-2</v>
      </c>
      <c r="W89" s="45">
        <v>7.9389000000000001E-2</v>
      </c>
      <c r="X89" s="45">
        <v>7.8256999999999993E-2</v>
      </c>
      <c r="Y89" s="45">
        <v>7.7173000000000005E-2</v>
      </c>
      <c r="Z89" s="45">
        <v>7.6185000000000003E-2</v>
      </c>
      <c r="AA89" s="45">
        <v>7.5318999999999997E-2</v>
      </c>
      <c r="AB89" s="45">
        <v>7.4557999999999999E-2</v>
      </c>
      <c r="AC89" s="45">
        <v>7.3917999999999998E-2</v>
      </c>
      <c r="AD89" s="45">
        <v>7.3368000000000003E-2</v>
      </c>
      <c r="AE89" s="45">
        <v>7.2929999999999995E-2</v>
      </c>
      <c r="AF89" s="45">
        <v>7.2590000000000002E-2</v>
      </c>
      <c r="AG89" s="45">
        <v>7.2375999999999996E-2</v>
      </c>
      <c r="AH89" s="46">
        <v>-2.5720000000000001E-3</v>
      </c>
    </row>
    <row r="90" spans="1:34" ht="24.5" x14ac:dyDescent="0.35">
      <c r="A90" s="40" t="s">
        <v>133</v>
      </c>
      <c r="B90" s="44" t="s">
        <v>134</v>
      </c>
      <c r="C90" s="45">
        <v>2.095383</v>
      </c>
      <c r="D90" s="45">
        <v>2.1322380000000001</v>
      </c>
      <c r="E90" s="45">
        <v>2.0485739999999999</v>
      </c>
      <c r="F90" s="45">
        <v>2.0640299999999998</v>
      </c>
      <c r="G90" s="45">
        <v>2.07735</v>
      </c>
      <c r="H90" s="45">
        <v>2.0923419999999999</v>
      </c>
      <c r="I90" s="45">
        <v>2.115618</v>
      </c>
      <c r="J90" s="45">
        <v>2.138036</v>
      </c>
      <c r="K90" s="45">
        <v>2.161289</v>
      </c>
      <c r="L90" s="45">
        <v>2.1851430000000001</v>
      </c>
      <c r="M90" s="45">
        <v>2.2100650000000002</v>
      </c>
      <c r="N90" s="45">
        <v>2.2354660000000002</v>
      </c>
      <c r="O90" s="45">
        <v>2.2617669999999999</v>
      </c>
      <c r="P90" s="45">
        <v>2.2874650000000001</v>
      </c>
      <c r="Q90" s="45">
        <v>2.3169719999999998</v>
      </c>
      <c r="R90" s="45">
        <v>2.3457349999999999</v>
      </c>
      <c r="S90" s="45">
        <v>2.3752249999999999</v>
      </c>
      <c r="T90" s="45">
        <v>2.4048980000000002</v>
      </c>
      <c r="U90" s="45">
        <v>2.4347880000000002</v>
      </c>
      <c r="V90" s="45">
        <v>2.4650029999999998</v>
      </c>
      <c r="W90" s="45">
        <v>2.4948869999999999</v>
      </c>
      <c r="X90" s="45">
        <v>2.525166</v>
      </c>
      <c r="Y90" s="45">
        <v>2.5561419999999999</v>
      </c>
      <c r="Z90" s="45">
        <v>2.588781</v>
      </c>
      <c r="AA90" s="45">
        <v>2.6214010000000001</v>
      </c>
      <c r="AB90" s="45">
        <v>2.6542789999999998</v>
      </c>
      <c r="AC90" s="45">
        <v>2.6879270000000002</v>
      </c>
      <c r="AD90" s="45">
        <v>2.7217660000000001</v>
      </c>
      <c r="AE90" s="45">
        <v>2.7566000000000002</v>
      </c>
      <c r="AF90" s="45">
        <v>2.7923930000000001</v>
      </c>
      <c r="AG90" s="45">
        <v>2.82904</v>
      </c>
      <c r="AH90" s="46">
        <v>1.0057E-2</v>
      </c>
    </row>
    <row r="91" spans="1:34" ht="48.5" x14ac:dyDescent="0.35">
      <c r="A91" s="40" t="s">
        <v>135</v>
      </c>
      <c r="B91" s="43" t="s">
        <v>136</v>
      </c>
      <c r="C91" s="47">
        <v>11.442256</v>
      </c>
      <c r="D91" s="47">
        <v>11.399803</v>
      </c>
      <c r="E91" s="47">
        <v>11.535906000000001</v>
      </c>
      <c r="F91" s="47">
        <v>11.535371</v>
      </c>
      <c r="G91" s="47">
        <v>11.548773000000001</v>
      </c>
      <c r="H91" s="47">
        <v>11.556157000000001</v>
      </c>
      <c r="I91" s="47">
        <v>11.561229000000001</v>
      </c>
      <c r="J91" s="47">
        <v>11.563961000000001</v>
      </c>
      <c r="K91" s="47">
        <v>11.573698</v>
      </c>
      <c r="L91" s="47">
        <v>11.585768</v>
      </c>
      <c r="M91" s="47">
        <v>11.594315999999999</v>
      </c>
      <c r="N91" s="47">
        <v>11.610707</v>
      </c>
      <c r="O91" s="47">
        <v>11.634506</v>
      </c>
      <c r="P91" s="47">
        <v>11.656957</v>
      </c>
      <c r="Q91" s="47">
        <v>11.684771</v>
      </c>
      <c r="R91" s="47">
        <v>11.717517000000001</v>
      </c>
      <c r="S91" s="47">
        <v>11.755152000000001</v>
      </c>
      <c r="T91" s="47">
        <v>11.796516</v>
      </c>
      <c r="U91" s="47">
        <v>11.84014</v>
      </c>
      <c r="V91" s="47">
        <v>11.883994</v>
      </c>
      <c r="W91" s="47">
        <v>11.927332</v>
      </c>
      <c r="X91" s="47">
        <v>11.97101</v>
      </c>
      <c r="Y91" s="47">
        <v>12.016722</v>
      </c>
      <c r="Z91" s="47">
        <v>12.068111</v>
      </c>
      <c r="AA91" s="47">
        <v>12.121243</v>
      </c>
      <c r="AB91" s="47">
        <v>12.174308999999999</v>
      </c>
      <c r="AC91" s="47">
        <v>12.230999000000001</v>
      </c>
      <c r="AD91" s="47">
        <v>12.285940999999999</v>
      </c>
      <c r="AE91" s="47">
        <v>12.342146</v>
      </c>
      <c r="AF91" s="47">
        <v>12.400171</v>
      </c>
      <c r="AG91" s="47">
        <v>12.462014999999999</v>
      </c>
      <c r="AH91" s="48">
        <v>2.8500000000000001E-3</v>
      </c>
    </row>
    <row r="92" spans="1:34" ht="48.5" x14ac:dyDescent="0.35">
      <c r="A92" s="40" t="s">
        <v>137</v>
      </c>
      <c r="B92" s="44" t="s">
        <v>248</v>
      </c>
      <c r="C92" s="45">
        <v>7.8131000000000006E-2</v>
      </c>
      <c r="D92" s="45">
        <v>8.9439000000000005E-2</v>
      </c>
      <c r="E92" s="45">
        <v>9.8996000000000001E-2</v>
      </c>
      <c r="F92" s="45">
        <v>0.10828400000000001</v>
      </c>
      <c r="G92" s="45">
        <v>0.117412</v>
      </c>
      <c r="H92" s="45">
        <v>0.12662599999999999</v>
      </c>
      <c r="I92" s="45">
        <v>0.13608999999999999</v>
      </c>
      <c r="J92" s="45">
        <v>0.145616</v>
      </c>
      <c r="K92" s="45">
        <v>0.15523799999999999</v>
      </c>
      <c r="L92" s="45">
        <v>0.16494300000000001</v>
      </c>
      <c r="M92" s="45">
        <v>0.17486399999999999</v>
      </c>
      <c r="N92" s="45">
        <v>0.185082</v>
      </c>
      <c r="O92" s="45">
        <v>0.19552700000000001</v>
      </c>
      <c r="P92" s="45">
        <v>0.20619000000000001</v>
      </c>
      <c r="Q92" s="45">
        <v>0.217114</v>
      </c>
      <c r="R92" s="45">
        <v>0.22825300000000001</v>
      </c>
      <c r="S92" s="45">
        <v>0.23962600000000001</v>
      </c>
      <c r="T92" s="45">
        <v>0.25120300000000001</v>
      </c>
      <c r="U92" s="45">
        <v>0.26299899999999998</v>
      </c>
      <c r="V92" s="45">
        <v>0.275007</v>
      </c>
      <c r="W92" s="45">
        <v>0.287302</v>
      </c>
      <c r="X92" s="45">
        <v>0.29986499999999999</v>
      </c>
      <c r="Y92" s="45">
        <v>0.31278499999999998</v>
      </c>
      <c r="Z92" s="45">
        <v>0.326067</v>
      </c>
      <c r="AA92" s="45">
        <v>0.33971499999999999</v>
      </c>
      <c r="AB92" s="45">
        <v>0.35381099999999999</v>
      </c>
      <c r="AC92" s="45">
        <v>0.36832900000000002</v>
      </c>
      <c r="AD92" s="45">
        <v>0.38323400000000002</v>
      </c>
      <c r="AE92" s="45">
        <v>0.39861600000000003</v>
      </c>
      <c r="AF92" s="45">
        <v>0.41442000000000001</v>
      </c>
      <c r="AG92" s="45">
        <v>0.43064400000000003</v>
      </c>
      <c r="AH92" s="46">
        <v>5.8546000000000001E-2</v>
      </c>
    </row>
    <row r="93" spans="1:34" ht="36.5" x14ac:dyDescent="0.35">
      <c r="A93" s="40" t="s">
        <v>139</v>
      </c>
      <c r="B93" s="43" t="s">
        <v>140</v>
      </c>
      <c r="C93" s="47">
        <v>11.364125</v>
      </c>
      <c r="D93" s="47">
        <v>11.310364999999999</v>
      </c>
      <c r="E93" s="47">
        <v>11.436909999999999</v>
      </c>
      <c r="F93" s="47">
        <v>11.427087</v>
      </c>
      <c r="G93" s="47">
        <v>11.431361000000001</v>
      </c>
      <c r="H93" s="47">
        <v>11.429531000000001</v>
      </c>
      <c r="I93" s="47">
        <v>11.425138</v>
      </c>
      <c r="J93" s="47">
        <v>11.418343999999999</v>
      </c>
      <c r="K93" s="47">
        <v>11.41846</v>
      </c>
      <c r="L93" s="47">
        <v>11.420825000000001</v>
      </c>
      <c r="M93" s="47">
        <v>11.419453000000001</v>
      </c>
      <c r="N93" s="47">
        <v>11.425625</v>
      </c>
      <c r="O93" s="47">
        <v>11.438979</v>
      </c>
      <c r="P93" s="47">
        <v>11.450767000000001</v>
      </c>
      <c r="Q93" s="47">
        <v>11.467656</v>
      </c>
      <c r="R93" s="47">
        <v>11.489264</v>
      </c>
      <c r="S93" s="47">
        <v>11.515525999999999</v>
      </c>
      <c r="T93" s="47">
        <v>11.545313</v>
      </c>
      <c r="U93" s="47">
        <v>11.577142</v>
      </c>
      <c r="V93" s="47">
        <v>11.608987000000001</v>
      </c>
      <c r="W93" s="47">
        <v>11.640029999999999</v>
      </c>
      <c r="X93" s="47">
        <v>11.671144</v>
      </c>
      <c r="Y93" s="47">
        <v>11.703937</v>
      </c>
      <c r="Z93" s="47">
        <v>11.742044</v>
      </c>
      <c r="AA93" s="47">
        <v>11.781528</v>
      </c>
      <c r="AB93" s="47">
        <v>11.820498000000001</v>
      </c>
      <c r="AC93" s="47">
        <v>11.86267</v>
      </c>
      <c r="AD93" s="47">
        <v>11.902706999999999</v>
      </c>
      <c r="AE93" s="47">
        <v>11.943530000000001</v>
      </c>
      <c r="AF93" s="47">
        <v>11.985751</v>
      </c>
      <c r="AG93" s="47">
        <v>12.031371</v>
      </c>
      <c r="AH93" s="48">
        <v>1.9040000000000001E-3</v>
      </c>
    </row>
    <row r="95" spans="1:34" ht="36.5" x14ac:dyDescent="0.35">
      <c r="A95" s="40" t="s">
        <v>141</v>
      </c>
      <c r="B95" s="43" t="s">
        <v>4</v>
      </c>
      <c r="C95" s="47">
        <v>9.4179560000000002</v>
      </c>
      <c r="D95" s="47">
        <v>9.4692589999999992</v>
      </c>
      <c r="E95" s="47">
        <v>9.5235859999999999</v>
      </c>
      <c r="F95" s="47">
        <v>9.3535579999999996</v>
      </c>
      <c r="G95" s="47">
        <v>9.192634</v>
      </c>
      <c r="H95" s="47">
        <v>8.9611440000000009</v>
      </c>
      <c r="I95" s="47">
        <v>8.7546029999999995</v>
      </c>
      <c r="J95" s="47">
        <v>8.6916949999999993</v>
      </c>
      <c r="K95" s="47">
        <v>8.6860269999999993</v>
      </c>
      <c r="L95" s="47">
        <v>8.6995719999999999</v>
      </c>
      <c r="M95" s="47">
        <v>8.7289549999999991</v>
      </c>
      <c r="N95" s="47">
        <v>8.7613850000000006</v>
      </c>
      <c r="O95" s="47">
        <v>8.7698009999999993</v>
      </c>
      <c r="P95" s="47">
        <v>8.7926420000000007</v>
      </c>
      <c r="Q95" s="47">
        <v>8.8117920000000005</v>
      </c>
      <c r="R95" s="47">
        <v>8.8543400000000005</v>
      </c>
      <c r="S95" s="47">
        <v>8.8960539999999995</v>
      </c>
      <c r="T95" s="47">
        <v>8.9436619999999998</v>
      </c>
      <c r="U95" s="47">
        <v>8.9716509999999996</v>
      </c>
      <c r="V95" s="47">
        <v>9.0014699999999994</v>
      </c>
      <c r="W95" s="47">
        <v>9.0304009999999995</v>
      </c>
      <c r="X95" s="47">
        <v>9.0712130000000002</v>
      </c>
      <c r="Y95" s="47">
        <v>9.1142409999999998</v>
      </c>
      <c r="Z95" s="47">
        <v>9.1562610000000006</v>
      </c>
      <c r="AA95" s="47">
        <v>9.1960940000000004</v>
      </c>
      <c r="AB95" s="47">
        <v>9.2340040000000005</v>
      </c>
      <c r="AC95" s="47">
        <v>9.2814379999999996</v>
      </c>
      <c r="AD95" s="47">
        <v>9.3317099999999993</v>
      </c>
      <c r="AE95" s="47">
        <v>9.3964409999999994</v>
      </c>
      <c r="AF95" s="47">
        <v>9.4543610000000005</v>
      </c>
      <c r="AG95" s="47">
        <v>9.5046730000000004</v>
      </c>
      <c r="AH95" s="48">
        <v>3.0600000000000001E-4</v>
      </c>
    </row>
    <row r="97" spans="1:34" ht="60.5" x14ac:dyDescent="0.35">
      <c r="A97" s="37"/>
      <c r="B97" s="43" t="s">
        <v>142</v>
      </c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 spans="1:34" ht="24.5" x14ac:dyDescent="0.35">
      <c r="A98" s="40" t="s">
        <v>143</v>
      </c>
      <c r="B98" s="44" t="s">
        <v>108</v>
      </c>
      <c r="C98" s="45">
        <v>6.5168239999999997</v>
      </c>
      <c r="D98" s="45">
        <v>6.5780320000000003</v>
      </c>
      <c r="E98" s="45">
        <v>6.7208459999999999</v>
      </c>
      <c r="F98" s="45">
        <v>6.6579829999999998</v>
      </c>
      <c r="G98" s="45">
        <v>6.6074489999999999</v>
      </c>
      <c r="H98" s="45">
        <v>6.5398149999999999</v>
      </c>
      <c r="I98" s="45">
        <v>6.4632350000000001</v>
      </c>
      <c r="J98" s="45">
        <v>6.4025800000000004</v>
      </c>
      <c r="K98" s="45">
        <v>6.3519899999999998</v>
      </c>
      <c r="L98" s="45">
        <v>6.3025529999999996</v>
      </c>
      <c r="M98" s="45">
        <v>6.2526520000000003</v>
      </c>
      <c r="N98" s="45">
        <v>6.2066220000000003</v>
      </c>
      <c r="O98" s="45">
        <v>6.1599190000000004</v>
      </c>
      <c r="P98" s="45">
        <v>6.1143099999999997</v>
      </c>
      <c r="Q98" s="45">
        <v>6.067412</v>
      </c>
      <c r="R98" s="45">
        <v>6.0265639999999996</v>
      </c>
      <c r="S98" s="45">
        <v>5.9869919999999999</v>
      </c>
      <c r="T98" s="45">
        <v>5.949471</v>
      </c>
      <c r="U98" s="45">
        <v>5.9115840000000004</v>
      </c>
      <c r="V98" s="45">
        <v>5.8741750000000001</v>
      </c>
      <c r="W98" s="45">
        <v>5.8405300000000002</v>
      </c>
      <c r="X98" s="45">
        <v>5.8083960000000001</v>
      </c>
      <c r="Y98" s="45">
        <v>5.776459</v>
      </c>
      <c r="Z98" s="45">
        <v>5.7458369999999999</v>
      </c>
      <c r="AA98" s="45">
        <v>5.7147129999999997</v>
      </c>
      <c r="AB98" s="45">
        <v>5.6827969999999999</v>
      </c>
      <c r="AC98" s="45">
        <v>5.6533600000000002</v>
      </c>
      <c r="AD98" s="45">
        <v>5.6229139999999997</v>
      </c>
      <c r="AE98" s="45">
        <v>5.5925919999999998</v>
      </c>
      <c r="AF98" s="45">
        <v>5.5612750000000002</v>
      </c>
      <c r="AG98" s="45">
        <v>5.5296019999999997</v>
      </c>
      <c r="AH98" s="46">
        <v>-5.4609999999999997E-3</v>
      </c>
    </row>
    <row r="99" spans="1:34" ht="24.5" x14ac:dyDescent="0.35">
      <c r="A99" s="40" t="s">
        <v>144</v>
      </c>
      <c r="B99" s="44" t="s">
        <v>110</v>
      </c>
      <c r="C99" s="45">
        <v>2.365208</v>
      </c>
      <c r="D99" s="45">
        <v>2.24946</v>
      </c>
      <c r="E99" s="45">
        <v>2.5323359999999999</v>
      </c>
      <c r="F99" s="45">
        <v>2.5366749999999998</v>
      </c>
      <c r="G99" s="45">
        <v>2.5429349999999999</v>
      </c>
      <c r="H99" s="45">
        <v>2.5371100000000002</v>
      </c>
      <c r="I99" s="45">
        <v>2.5312239999999999</v>
      </c>
      <c r="J99" s="45">
        <v>2.5500940000000001</v>
      </c>
      <c r="K99" s="45">
        <v>2.579615</v>
      </c>
      <c r="L99" s="45">
        <v>2.612803</v>
      </c>
      <c r="M99" s="45">
        <v>2.6498650000000001</v>
      </c>
      <c r="N99" s="45">
        <v>2.6896990000000001</v>
      </c>
      <c r="O99" s="45">
        <v>2.7268240000000001</v>
      </c>
      <c r="P99" s="45">
        <v>2.766016</v>
      </c>
      <c r="Q99" s="45">
        <v>2.8042739999999999</v>
      </c>
      <c r="R99" s="45">
        <v>2.8495550000000001</v>
      </c>
      <c r="S99" s="45">
        <v>2.8966440000000002</v>
      </c>
      <c r="T99" s="45">
        <v>2.948172</v>
      </c>
      <c r="U99" s="45">
        <v>2.9958140000000002</v>
      </c>
      <c r="V99" s="45">
        <v>3.0438719999999999</v>
      </c>
      <c r="W99" s="45">
        <v>3.0937459999999999</v>
      </c>
      <c r="X99" s="45">
        <v>3.1447099999999999</v>
      </c>
      <c r="Y99" s="45">
        <v>3.1978279999999999</v>
      </c>
      <c r="Z99" s="45">
        <v>3.2515170000000002</v>
      </c>
      <c r="AA99" s="45">
        <v>3.306629</v>
      </c>
      <c r="AB99" s="45">
        <v>3.3606820000000002</v>
      </c>
      <c r="AC99" s="45">
        <v>3.4178510000000002</v>
      </c>
      <c r="AD99" s="45">
        <v>3.4746139999999999</v>
      </c>
      <c r="AE99" s="45">
        <v>3.536829</v>
      </c>
      <c r="AF99" s="45">
        <v>3.5983320000000001</v>
      </c>
      <c r="AG99" s="45">
        <v>3.6610960000000001</v>
      </c>
      <c r="AH99" s="46">
        <v>1.4670000000000001E-2</v>
      </c>
    </row>
    <row r="100" spans="1:34" ht="24.5" x14ac:dyDescent="0.35">
      <c r="A100" s="40" t="s">
        <v>145</v>
      </c>
      <c r="B100" s="44" t="s">
        <v>112</v>
      </c>
      <c r="C100" s="45">
        <v>2.8613599999999999</v>
      </c>
      <c r="D100" s="45">
        <v>2.8623729999999998</v>
      </c>
      <c r="E100" s="45">
        <v>2.8721990000000002</v>
      </c>
      <c r="F100" s="45">
        <v>2.8519269999999999</v>
      </c>
      <c r="G100" s="45">
        <v>2.8368310000000001</v>
      </c>
      <c r="H100" s="45">
        <v>2.8119640000000001</v>
      </c>
      <c r="I100" s="45">
        <v>2.7864360000000001</v>
      </c>
      <c r="J100" s="45">
        <v>2.7783440000000001</v>
      </c>
      <c r="K100" s="45">
        <v>2.7776939999999999</v>
      </c>
      <c r="L100" s="45">
        <v>2.779874</v>
      </c>
      <c r="M100" s="45">
        <v>2.7832170000000001</v>
      </c>
      <c r="N100" s="45">
        <v>2.7878889999999998</v>
      </c>
      <c r="O100" s="45">
        <v>2.7910910000000002</v>
      </c>
      <c r="P100" s="45">
        <v>2.7956599999999998</v>
      </c>
      <c r="Q100" s="45">
        <v>2.7990469999999998</v>
      </c>
      <c r="R100" s="45">
        <v>2.8060200000000002</v>
      </c>
      <c r="S100" s="45">
        <v>2.8136070000000002</v>
      </c>
      <c r="T100" s="45">
        <v>2.8218030000000001</v>
      </c>
      <c r="U100" s="45">
        <v>2.827823</v>
      </c>
      <c r="V100" s="45">
        <v>2.833275</v>
      </c>
      <c r="W100" s="45">
        <v>2.8388339999999999</v>
      </c>
      <c r="X100" s="45">
        <v>2.8454160000000002</v>
      </c>
      <c r="Y100" s="45">
        <v>2.8521290000000001</v>
      </c>
      <c r="Z100" s="45">
        <v>2.8600270000000001</v>
      </c>
      <c r="AA100" s="45">
        <v>2.8681390000000002</v>
      </c>
      <c r="AB100" s="45">
        <v>2.8765390000000002</v>
      </c>
      <c r="AC100" s="45">
        <v>2.8867500000000001</v>
      </c>
      <c r="AD100" s="45">
        <v>2.8975240000000002</v>
      </c>
      <c r="AE100" s="45">
        <v>2.9100670000000002</v>
      </c>
      <c r="AF100" s="45">
        <v>2.9226399999999999</v>
      </c>
      <c r="AG100" s="45">
        <v>2.9350309999999999</v>
      </c>
      <c r="AH100" s="46">
        <v>8.4800000000000001E-4</v>
      </c>
    </row>
    <row r="101" spans="1:34" ht="36.5" x14ac:dyDescent="0.35">
      <c r="A101" s="40" t="s">
        <v>146</v>
      </c>
      <c r="B101" s="44" t="s">
        <v>114</v>
      </c>
      <c r="C101" s="45">
        <v>0.85222200000000004</v>
      </c>
      <c r="D101" s="45">
        <v>0.845279</v>
      </c>
      <c r="E101" s="45">
        <v>0.84332200000000002</v>
      </c>
      <c r="F101" s="45">
        <v>0.82742899999999997</v>
      </c>
      <c r="G101" s="45">
        <v>0.81229600000000002</v>
      </c>
      <c r="H101" s="45">
        <v>0.79391599999999996</v>
      </c>
      <c r="I101" s="45">
        <v>0.77705100000000005</v>
      </c>
      <c r="J101" s="45">
        <v>0.76875000000000004</v>
      </c>
      <c r="K101" s="45">
        <v>0.76380000000000003</v>
      </c>
      <c r="L101" s="45">
        <v>0.76027400000000001</v>
      </c>
      <c r="M101" s="45">
        <v>0.75814400000000004</v>
      </c>
      <c r="N101" s="45">
        <v>0.75669399999999998</v>
      </c>
      <c r="O101" s="45">
        <v>0.75448899999999997</v>
      </c>
      <c r="P101" s="45">
        <v>0.75402100000000005</v>
      </c>
      <c r="Q101" s="45">
        <v>0.75374600000000003</v>
      </c>
      <c r="R101" s="45">
        <v>0.755498</v>
      </c>
      <c r="S101" s="45">
        <v>0.75773100000000004</v>
      </c>
      <c r="T101" s="45">
        <v>0.76084200000000002</v>
      </c>
      <c r="U101" s="45">
        <v>0.76366999999999996</v>
      </c>
      <c r="V101" s="45">
        <v>0.76732800000000001</v>
      </c>
      <c r="W101" s="45">
        <v>0.77202999999999999</v>
      </c>
      <c r="X101" s="45">
        <v>0.77810599999999996</v>
      </c>
      <c r="Y101" s="45">
        <v>0.78491699999999998</v>
      </c>
      <c r="Z101" s="45">
        <v>0.79128500000000002</v>
      </c>
      <c r="AA101" s="45">
        <v>0.79746600000000001</v>
      </c>
      <c r="AB101" s="45">
        <v>0.80348600000000003</v>
      </c>
      <c r="AC101" s="45">
        <v>0.80970399999999998</v>
      </c>
      <c r="AD101" s="45">
        <v>0.81597799999999998</v>
      </c>
      <c r="AE101" s="45">
        <v>0.82269700000000001</v>
      </c>
      <c r="AF101" s="45">
        <v>0.82868699999999995</v>
      </c>
      <c r="AG101" s="45">
        <v>0.83381799999999995</v>
      </c>
      <c r="AH101" s="46">
        <v>-7.27E-4</v>
      </c>
    </row>
    <row r="102" spans="1:34" x14ac:dyDescent="0.35">
      <c r="A102" s="40" t="s">
        <v>147</v>
      </c>
      <c r="B102" s="44" t="s">
        <v>116</v>
      </c>
      <c r="C102" s="45">
        <v>0.278059</v>
      </c>
      <c r="D102" s="45">
        <v>0.27805800000000003</v>
      </c>
      <c r="E102" s="45">
        <v>0.27937699999999999</v>
      </c>
      <c r="F102" s="45">
        <v>0.27807999999999999</v>
      </c>
      <c r="G102" s="45">
        <v>0.27677499999999999</v>
      </c>
      <c r="H102" s="45">
        <v>0.27469399999999999</v>
      </c>
      <c r="I102" s="45">
        <v>0.27271499999999999</v>
      </c>
      <c r="J102" s="45">
        <v>0.27221699999999999</v>
      </c>
      <c r="K102" s="45">
        <v>0.272233</v>
      </c>
      <c r="L102" s="45">
        <v>0.27239999999999998</v>
      </c>
      <c r="M102" s="45">
        <v>0.27269599999999999</v>
      </c>
      <c r="N102" s="45">
        <v>0.27295000000000003</v>
      </c>
      <c r="O102" s="45">
        <v>0.27287299999999998</v>
      </c>
      <c r="P102" s="45">
        <v>0.27314699999999997</v>
      </c>
      <c r="Q102" s="45">
        <v>0.27344600000000002</v>
      </c>
      <c r="R102" s="45">
        <v>0.27416299999999999</v>
      </c>
      <c r="S102" s="45">
        <v>0.27498699999999998</v>
      </c>
      <c r="T102" s="45">
        <v>0.27601700000000001</v>
      </c>
      <c r="U102" s="45">
        <v>0.27682200000000001</v>
      </c>
      <c r="V102" s="45">
        <v>0.277646</v>
      </c>
      <c r="W102" s="45">
        <v>0.27853299999999998</v>
      </c>
      <c r="X102" s="45">
        <v>0.27954699999999999</v>
      </c>
      <c r="Y102" s="45">
        <v>0.28057500000000002</v>
      </c>
      <c r="Z102" s="45">
        <v>0.28154200000000001</v>
      </c>
      <c r="AA102" s="45">
        <v>0.282503</v>
      </c>
      <c r="AB102" s="45">
        <v>0.283466</v>
      </c>
      <c r="AC102" s="45">
        <v>0.284497</v>
      </c>
      <c r="AD102" s="45">
        <v>0.28557100000000002</v>
      </c>
      <c r="AE102" s="45">
        <v>0.28676200000000002</v>
      </c>
      <c r="AF102" s="45">
        <v>0.28784999999999999</v>
      </c>
      <c r="AG102" s="45">
        <v>0.28881099999999998</v>
      </c>
      <c r="AH102" s="46">
        <v>1.2650000000000001E-3</v>
      </c>
    </row>
    <row r="103" spans="1:34" ht="24.5" x14ac:dyDescent="0.35">
      <c r="A103" s="40" t="s">
        <v>148</v>
      </c>
      <c r="B103" s="44" t="s">
        <v>118</v>
      </c>
      <c r="C103" s="45">
        <v>0.65924099999999997</v>
      </c>
      <c r="D103" s="45">
        <v>0.67057</v>
      </c>
      <c r="E103" s="45">
        <v>0.68315499999999996</v>
      </c>
      <c r="F103" s="45">
        <v>0.68423199999999995</v>
      </c>
      <c r="G103" s="45">
        <v>0.68615700000000002</v>
      </c>
      <c r="H103" s="45">
        <v>0.68444199999999999</v>
      </c>
      <c r="I103" s="45">
        <v>0.68227700000000002</v>
      </c>
      <c r="J103" s="45">
        <v>0.68603499999999995</v>
      </c>
      <c r="K103" s="45">
        <v>0.69225300000000001</v>
      </c>
      <c r="L103" s="45">
        <v>0.69918499999999995</v>
      </c>
      <c r="M103" s="45">
        <v>0.70697100000000002</v>
      </c>
      <c r="N103" s="45">
        <v>0.71482000000000001</v>
      </c>
      <c r="O103" s="45">
        <v>0.72161799999999998</v>
      </c>
      <c r="P103" s="45">
        <v>0.72884599999999999</v>
      </c>
      <c r="Q103" s="45">
        <v>0.735823</v>
      </c>
      <c r="R103" s="45">
        <v>0.74411300000000002</v>
      </c>
      <c r="S103" s="45">
        <v>0.752722</v>
      </c>
      <c r="T103" s="45">
        <v>0.76147699999999996</v>
      </c>
      <c r="U103" s="45">
        <v>0.76918900000000001</v>
      </c>
      <c r="V103" s="45">
        <v>0.77688199999999996</v>
      </c>
      <c r="W103" s="45">
        <v>0.78465799999999997</v>
      </c>
      <c r="X103" s="45">
        <v>0.79286900000000005</v>
      </c>
      <c r="Y103" s="45">
        <v>0.80090799999999995</v>
      </c>
      <c r="Z103" s="45">
        <v>0.80919700000000006</v>
      </c>
      <c r="AA103" s="45">
        <v>0.81719699999999995</v>
      </c>
      <c r="AB103" s="45">
        <v>0.82500600000000002</v>
      </c>
      <c r="AC103" s="45">
        <v>0.83329900000000001</v>
      </c>
      <c r="AD103" s="45">
        <v>0.84162899999999996</v>
      </c>
      <c r="AE103" s="45">
        <v>0.85063999999999995</v>
      </c>
      <c r="AF103" s="45">
        <v>0.859653</v>
      </c>
      <c r="AG103" s="45">
        <v>0.86843599999999999</v>
      </c>
      <c r="AH103" s="46">
        <v>9.2289999999999994E-3</v>
      </c>
    </row>
    <row r="104" spans="1:34" x14ac:dyDescent="0.35">
      <c r="A104" s="40" t="s">
        <v>149</v>
      </c>
      <c r="B104" s="44" t="s">
        <v>120</v>
      </c>
      <c r="C104" s="45">
        <v>0.198131</v>
      </c>
      <c r="D104" s="45">
        <v>0.19703899999999999</v>
      </c>
      <c r="E104" s="45">
        <v>0.19719600000000001</v>
      </c>
      <c r="F104" s="45">
        <v>0.194129</v>
      </c>
      <c r="G104" s="45">
        <v>0.19103999999999999</v>
      </c>
      <c r="H104" s="45">
        <v>0.18697</v>
      </c>
      <c r="I104" s="45">
        <v>0.18306</v>
      </c>
      <c r="J104" s="45">
        <v>0.18099199999999999</v>
      </c>
      <c r="K104" s="45">
        <v>0.179649</v>
      </c>
      <c r="L104" s="45">
        <v>0.178564</v>
      </c>
      <c r="M104" s="45">
        <v>0.17771100000000001</v>
      </c>
      <c r="N104" s="45">
        <v>0.17688599999999999</v>
      </c>
      <c r="O104" s="45">
        <v>0.17574600000000001</v>
      </c>
      <c r="P104" s="45">
        <v>0.17488200000000001</v>
      </c>
      <c r="Q104" s="45">
        <v>0.17393900000000001</v>
      </c>
      <c r="R104" s="45">
        <v>0.17333699999999999</v>
      </c>
      <c r="S104" s="45">
        <v>0.17274400000000001</v>
      </c>
      <c r="T104" s="45">
        <v>0.17225299999999999</v>
      </c>
      <c r="U104" s="45">
        <v>0.17160900000000001</v>
      </c>
      <c r="V104" s="45">
        <v>0.17108000000000001</v>
      </c>
      <c r="W104" s="45">
        <v>0.170713</v>
      </c>
      <c r="X104" s="45">
        <v>0.1706</v>
      </c>
      <c r="Y104" s="45">
        <v>0.1706</v>
      </c>
      <c r="Z104" s="45">
        <v>0.17064299999999999</v>
      </c>
      <c r="AA104" s="45">
        <v>0.17080400000000001</v>
      </c>
      <c r="AB104" s="45">
        <v>0.171095</v>
      </c>
      <c r="AC104" s="45">
        <v>0.171593</v>
      </c>
      <c r="AD104" s="45">
        <v>0.17224700000000001</v>
      </c>
      <c r="AE104" s="45">
        <v>0.17302699999999999</v>
      </c>
      <c r="AF104" s="45">
        <v>0.17368700000000001</v>
      </c>
      <c r="AG104" s="45">
        <v>0.17420099999999999</v>
      </c>
      <c r="AH104" s="46">
        <v>-4.2810000000000001E-3</v>
      </c>
    </row>
    <row r="105" spans="1:34" x14ac:dyDescent="0.35">
      <c r="A105" s="40" t="s">
        <v>150</v>
      </c>
      <c r="B105" s="44" t="s">
        <v>122</v>
      </c>
      <c r="C105" s="45">
        <v>0.60499700000000001</v>
      </c>
      <c r="D105" s="45">
        <v>0.58587500000000003</v>
      </c>
      <c r="E105" s="45">
        <v>0.580785</v>
      </c>
      <c r="F105" s="45">
        <v>0.57045400000000002</v>
      </c>
      <c r="G105" s="45">
        <v>0.56319900000000001</v>
      </c>
      <c r="H105" s="45">
        <v>0.54918</v>
      </c>
      <c r="I105" s="45">
        <v>0.53659199999999996</v>
      </c>
      <c r="J105" s="45">
        <v>0.531532</v>
      </c>
      <c r="K105" s="45">
        <v>0.530389</v>
      </c>
      <c r="L105" s="45">
        <v>0.53064699999999998</v>
      </c>
      <c r="M105" s="45">
        <v>0.52516300000000005</v>
      </c>
      <c r="N105" s="45">
        <v>0.52126899999999998</v>
      </c>
      <c r="O105" s="45">
        <v>0.517648</v>
      </c>
      <c r="P105" s="45">
        <v>0.51513299999999995</v>
      </c>
      <c r="Q105" s="45">
        <v>0.51311700000000005</v>
      </c>
      <c r="R105" s="45">
        <v>0.51264299999999996</v>
      </c>
      <c r="S105" s="45">
        <v>0.51252799999999998</v>
      </c>
      <c r="T105" s="45">
        <v>0.512741</v>
      </c>
      <c r="U105" s="45">
        <v>0.51240799999999997</v>
      </c>
      <c r="V105" s="45">
        <v>0.51224000000000003</v>
      </c>
      <c r="W105" s="45">
        <v>0.50375999999999999</v>
      </c>
      <c r="X105" s="45">
        <v>0.49730400000000002</v>
      </c>
      <c r="Y105" s="45">
        <v>0.49198399999999998</v>
      </c>
      <c r="Z105" s="45">
        <v>0.48801099999999997</v>
      </c>
      <c r="AA105" s="45">
        <v>0.48484899999999997</v>
      </c>
      <c r="AB105" s="45">
        <v>0.48225899999999999</v>
      </c>
      <c r="AC105" s="45">
        <v>0.48034199999999999</v>
      </c>
      <c r="AD105" s="45">
        <v>0.47859200000000002</v>
      </c>
      <c r="AE105" s="45">
        <v>0.47733399999999998</v>
      </c>
      <c r="AF105" s="45">
        <v>0.47613100000000003</v>
      </c>
      <c r="AG105" s="45">
        <v>0.47534199999999999</v>
      </c>
      <c r="AH105" s="46">
        <v>-8.0070000000000002E-3</v>
      </c>
    </row>
    <row r="106" spans="1:34" ht="24.5" x14ac:dyDescent="0.35">
      <c r="A106" s="40" t="s">
        <v>151</v>
      </c>
      <c r="B106" s="44" t="s">
        <v>124</v>
      </c>
      <c r="C106" s="45">
        <v>0.105334</v>
      </c>
      <c r="D106" s="45">
        <v>0.10596899999999999</v>
      </c>
      <c r="E106" s="45">
        <v>0.10728</v>
      </c>
      <c r="F106" s="45">
        <v>0.106848</v>
      </c>
      <c r="G106" s="45">
        <v>0.106407</v>
      </c>
      <c r="H106" s="45">
        <v>0.105422</v>
      </c>
      <c r="I106" s="45">
        <v>0.10451299999999999</v>
      </c>
      <c r="J106" s="45">
        <v>0.10464</v>
      </c>
      <c r="K106" s="45">
        <v>0.10513400000000001</v>
      </c>
      <c r="L106" s="45">
        <v>0.10573399999999999</v>
      </c>
      <c r="M106" s="45">
        <v>0.106471</v>
      </c>
      <c r="N106" s="45">
        <v>0.107181</v>
      </c>
      <c r="O106" s="45">
        <v>0.107657</v>
      </c>
      <c r="P106" s="45">
        <v>0.108247</v>
      </c>
      <c r="Q106" s="45">
        <v>0.10872800000000001</v>
      </c>
      <c r="R106" s="45">
        <v>0.10936700000000001</v>
      </c>
      <c r="S106" s="45">
        <v>0.109943</v>
      </c>
      <c r="T106" s="45">
        <v>0.110523</v>
      </c>
      <c r="U106" s="45">
        <v>0.110939</v>
      </c>
      <c r="V106" s="45">
        <v>0.111364</v>
      </c>
      <c r="W106" s="45">
        <v>0.11183</v>
      </c>
      <c r="X106" s="45">
        <v>0.112384</v>
      </c>
      <c r="Y106" s="45">
        <v>0.11294</v>
      </c>
      <c r="Z106" s="45">
        <v>0.113442</v>
      </c>
      <c r="AA106" s="45">
        <v>0.113931</v>
      </c>
      <c r="AB106" s="45">
        <v>0.114413</v>
      </c>
      <c r="AC106" s="45">
        <v>0.114942</v>
      </c>
      <c r="AD106" s="45">
        <v>0.11550000000000001</v>
      </c>
      <c r="AE106" s="45">
        <v>0.116144</v>
      </c>
      <c r="AF106" s="45">
        <v>0.116711</v>
      </c>
      <c r="AG106" s="45">
        <v>0.117184</v>
      </c>
      <c r="AH106" s="46">
        <v>3.5599999999999998E-3</v>
      </c>
    </row>
    <row r="107" spans="1:34" ht="36.5" x14ac:dyDescent="0.35">
      <c r="A107" s="40" t="s">
        <v>152</v>
      </c>
      <c r="B107" s="44" t="s">
        <v>126</v>
      </c>
      <c r="C107" s="45">
        <v>7.6228000000000004E-2</v>
      </c>
      <c r="D107" s="45">
        <v>7.7252000000000001E-2</v>
      </c>
      <c r="E107" s="45">
        <v>7.8738000000000002E-2</v>
      </c>
      <c r="F107" s="45">
        <v>7.8917000000000001E-2</v>
      </c>
      <c r="G107" s="45">
        <v>7.9047000000000006E-2</v>
      </c>
      <c r="H107" s="45">
        <v>7.8729999999999994E-2</v>
      </c>
      <c r="I107" s="45">
        <v>7.8419000000000003E-2</v>
      </c>
      <c r="J107" s="45">
        <v>7.8839000000000006E-2</v>
      </c>
      <c r="K107" s="45">
        <v>7.9629000000000005E-2</v>
      </c>
      <c r="L107" s="45">
        <v>8.0598000000000003E-2</v>
      </c>
      <c r="M107" s="45">
        <v>8.1734000000000001E-2</v>
      </c>
      <c r="N107" s="45">
        <v>8.2950999999999997E-2</v>
      </c>
      <c r="O107" s="45">
        <v>8.4090999999999999E-2</v>
      </c>
      <c r="P107" s="45">
        <v>8.5433999999999996E-2</v>
      </c>
      <c r="Q107" s="45">
        <v>8.6809999999999998E-2</v>
      </c>
      <c r="R107" s="45">
        <v>8.8303000000000006E-2</v>
      </c>
      <c r="S107" s="45">
        <v>8.9736999999999997E-2</v>
      </c>
      <c r="T107" s="45">
        <v>9.1167999999999999E-2</v>
      </c>
      <c r="U107" s="45">
        <v>9.2454999999999996E-2</v>
      </c>
      <c r="V107" s="45">
        <v>9.3743000000000007E-2</v>
      </c>
      <c r="W107" s="45">
        <v>9.5057000000000003E-2</v>
      </c>
      <c r="X107" s="45">
        <v>9.6439999999999998E-2</v>
      </c>
      <c r="Y107" s="45">
        <v>9.7821000000000005E-2</v>
      </c>
      <c r="Z107" s="45">
        <v>9.9148E-2</v>
      </c>
      <c r="AA107" s="45">
        <v>0.100456</v>
      </c>
      <c r="AB107" s="45">
        <v>0.101752</v>
      </c>
      <c r="AC107" s="45">
        <v>0.10308299999999999</v>
      </c>
      <c r="AD107" s="45">
        <v>0.104437</v>
      </c>
      <c r="AE107" s="45">
        <v>0.105864</v>
      </c>
      <c r="AF107" s="45">
        <v>0.107214</v>
      </c>
      <c r="AG107" s="45">
        <v>0.108471</v>
      </c>
      <c r="AH107" s="46">
        <v>1.1828E-2</v>
      </c>
    </row>
    <row r="108" spans="1:34" ht="60.5" x14ac:dyDescent="0.35">
      <c r="A108" s="40" t="s">
        <v>153</v>
      </c>
      <c r="B108" s="44" t="s">
        <v>128</v>
      </c>
      <c r="C108" s="45">
        <v>0.59894199999999997</v>
      </c>
      <c r="D108" s="45">
        <v>0.58730199999999999</v>
      </c>
      <c r="E108" s="45">
        <v>0.58140999999999998</v>
      </c>
      <c r="F108" s="45">
        <v>0.56733900000000004</v>
      </c>
      <c r="G108" s="45">
        <v>0.55628599999999995</v>
      </c>
      <c r="H108" s="45">
        <v>0.54458300000000004</v>
      </c>
      <c r="I108" s="45">
        <v>0.53496200000000005</v>
      </c>
      <c r="J108" s="45">
        <v>0.53261700000000001</v>
      </c>
      <c r="K108" s="45">
        <v>0.53414600000000001</v>
      </c>
      <c r="L108" s="45">
        <v>0.53807799999999995</v>
      </c>
      <c r="M108" s="45">
        <v>0.54436300000000004</v>
      </c>
      <c r="N108" s="45">
        <v>0.55201299999999998</v>
      </c>
      <c r="O108" s="45">
        <v>0.560002</v>
      </c>
      <c r="P108" s="45">
        <v>0.56933500000000004</v>
      </c>
      <c r="Q108" s="45">
        <v>0.57898000000000005</v>
      </c>
      <c r="R108" s="45">
        <v>0.59024399999999999</v>
      </c>
      <c r="S108" s="45">
        <v>0.60203099999999998</v>
      </c>
      <c r="T108" s="45">
        <v>0.61410299999999995</v>
      </c>
      <c r="U108" s="45">
        <v>0.62519100000000005</v>
      </c>
      <c r="V108" s="45">
        <v>0.63575899999999996</v>
      </c>
      <c r="W108" s="45">
        <v>0.64554999999999996</v>
      </c>
      <c r="X108" s="45">
        <v>0.654478</v>
      </c>
      <c r="Y108" s="45">
        <v>0.66192499999999999</v>
      </c>
      <c r="Z108" s="45">
        <v>0.66880399999999995</v>
      </c>
      <c r="AA108" s="45">
        <v>0.67521399999999998</v>
      </c>
      <c r="AB108" s="45">
        <v>0.681288</v>
      </c>
      <c r="AC108" s="45">
        <v>0.68757000000000001</v>
      </c>
      <c r="AD108" s="45">
        <v>0.69366899999999998</v>
      </c>
      <c r="AE108" s="45">
        <v>0.70011400000000001</v>
      </c>
      <c r="AF108" s="45">
        <v>0.70623400000000003</v>
      </c>
      <c r="AG108" s="45">
        <v>0.71198600000000001</v>
      </c>
      <c r="AH108" s="46">
        <v>5.7800000000000004E-3</v>
      </c>
    </row>
    <row r="109" spans="1:34" ht="60.5" x14ac:dyDescent="0.35">
      <c r="A109" s="40" t="s">
        <v>154</v>
      </c>
      <c r="B109" s="44" t="s">
        <v>130</v>
      </c>
      <c r="C109" s="45">
        <v>0.2482</v>
      </c>
      <c r="D109" s="45">
        <v>0.23993</v>
      </c>
      <c r="E109" s="45">
        <v>0.233935</v>
      </c>
      <c r="F109" s="45">
        <v>0.22454499999999999</v>
      </c>
      <c r="G109" s="45">
        <v>0.21623400000000001</v>
      </c>
      <c r="H109" s="45">
        <v>0.207486</v>
      </c>
      <c r="I109" s="45">
        <v>0.199404</v>
      </c>
      <c r="J109" s="45">
        <v>0.19383</v>
      </c>
      <c r="K109" s="45">
        <v>0.18940499999999999</v>
      </c>
      <c r="L109" s="45">
        <v>0.18552299999999999</v>
      </c>
      <c r="M109" s="45">
        <v>0.18210100000000001</v>
      </c>
      <c r="N109" s="45">
        <v>0.17876400000000001</v>
      </c>
      <c r="O109" s="45">
        <v>0.175182</v>
      </c>
      <c r="P109" s="45">
        <v>0.171651</v>
      </c>
      <c r="Q109" s="45">
        <v>0.16786400000000001</v>
      </c>
      <c r="R109" s="45">
        <v>0.16418099999999999</v>
      </c>
      <c r="S109" s="45">
        <v>0.160275</v>
      </c>
      <c r="T109" s="45">
        <v>0.156495</v>
      </c>
      <c r="U109" s="45">
        <v>0.152583</v>
      </c>
      <c r="V109" s="45">
        <v>0.148698</v>
      </c>
      <c r="W109" s="45">
        <v>0.14483499999999999</v>
      </c>
      <c r="X109" s="45">
        <v>0.141043</v>
      </c>
      <c r="Y109" s="45">
        <v>0.13716600000000001</v>
      </c>
      <c r="Z109" s="45">
        <v>0.1333</v>
      </c>
      <c r="AA109" s="45">
        <v>0.12931200000000001</v>
      </c>
      <c r="AB109" s="45">
        <v>0.12518000000000001</v>
      </c>
      <c r="AC109" s="45">
        <v>0.120979</v>
      </c>
      <c r="AD109" s="45">
        <v>0.116587</v>
      </c>
      <c r="AE109" s="45">
        <v>0.11208799999999999</v>
      </c>
      <c r="AF109" s="45">
        <v>0.107267</v>
      </c>
      <c r="AG109" s="45">
        <v>0.102107</v>
      </c>
      <c r="AH109" s="46">
        <v>-2.9173000000000001E-2</v>
      </c>
    </row>
    <row r="110" spans="1:34" ht="60.5" x14ac:dyDescent="0.35">
      <c r="A110" s="40" t="s">
        <v>155</v>
      </c>
      <c r="B110" s="44" t="s">
        <v>132</v>
      </c>
      <c r="C110" s="45">
        <v>0.22392699999999999</v>
      </c>
      <c r="D110" s="45">
        <v>0.241091</v>
      </c>
      <c r="E110" s="45">
        <v>0.24384900000000001</v>
      </c>
      <c r="F110" s="45">
        <v>0.24181800000000001</v>
      </c>
      <c r="G110" s="45">
        <v>0.240172</v>
      </c>
      <c r="H110" s="45">
        <v>0.23697799999999999</v>
      </c>
      <c r="I110" s="45">
        <v>0.23361999999999999</v>
      </c>
      <c r="J110" s="45">
        <v>0.23272999999999999</v>
      </c>
      <c r="K110" s="45">
        <v>0.23261699999999999</v>
      </c>
      <c r="L110" s="45">
        <v>0.232574</v>
      </c>
      <c r="M110" s="45">
        <v>0.23225799999999999</v>
      </c>
      <c r="N110" s="45">
        <v>0.231685</v>
      </c>
      <c r="O110" s="45">
        <v>0.230213</v>
      </c>
      <c r="P110" s="45">
        <v>0.22844900000000001</v>
      </c>
      <c r="Q110" s="45">
        <v>0.225937</v>
      </c>
      <c r="R110" s="45">
        <v>0.22339500000000001</v>
      </c>
      <c r="S110" s="45">
        <v>0.220419</v>
      </c>
      <c r="T110" s="45">
        <v>0.21715000000000001</v>
      </c>
      <c r="U110" s="45">
        <v>0.21328</v>
      </c>
      <c r="V110" s="45">
        <v>0.20938899999999999</v>
      </c>
      <c r="W110" s="45">
        <v>0.20572499999999999</v>
      </c>
      <c r="X110" s="45">
        <v>0.20239399999999999</v>
      </c>
      <c r="Y110" s="45">
        <v>0.199214</v>
      </c>
      <c r="Z110" s="45">
        <v>0.19619300000000001</v>
      </c>
      <c r="AA110" s="45">
        <v>0.193466</v>
      </c>
      <c r="AB110" s="45">
        <v>0.19101099999999999</v>
      </c>
      <c r="AC110" s="45">
        <v>0.18896299999999999</v>
      </c>
      <c r="AD110" s="45">
        <v>0.18722</v>
      </c>
      <c r="AE110" s="45">
        <v>0.18590899999999999</v>
      </c>
      <c r="AF110" s="45">
        <v>0.18473200000000001</v>
      </c>
      <c r="AG110" s="45">
        <v>0.183726</v>
      </c>
      <c r="AH110" s="46">
        <v>-6.574E-3</v>
      </c>
    </row>
    <row r="111" spans="1:34" ht="24.5" x14ac:dyDescent="0.35">
      <c r="A111" s="40" t="s">
        <v>156</v>
      </c>
      <c r="B111" s="44" t="s">
        <v>134</v>
      </c>
      <c r="C111" s="45">
        <v>5.4173179999999999</v>
      </c>
      <c r="D111" s="45">
        <v>5.517531</v>
      </c>
      <c r="E111" s="45">
        <v>5.2904280000000004</v>
      </c>
      <c r="F111" s="45">
        <v>5.2672829999999999</v>
      </c>
      <c r="G111" s="45">
        <v>5.2377719999999997</v>
      </c>
      <c r="H111" s="45">
        <v>5.1873639999999996</v>
      </c>
      <c r="I111" s="45">
        <v>5.1637300000000002</v>
      </c>
      <c r="J111" s="45">
        <v>5.1872299999999996</v>
      </c>
      <c r="K111" s="45">
        <v>5.230664</v>
      </c>
      <c r="L111" s="45">
        <v>5.2812229999999998</v>
      </c>
      <c r="M111" s="45">
        <v>5.3405129999999996</v>
      </c>
      <c r="N111" s="45">
        <v>5.3995030000000002</v>
      </c>
      <c r="O111" s="45">
        <v>5.4492139999999996</v>
      </c>
      <c r="P111" s="45">
        <v>5.5029890000000004</v>
      </c>
      <c r="Q111" s="45">
        <v>5.5620520000000004</v>
      </c>
      <c r="R111" s="45">
        <v>5.6262169999999996</v>
      </c>
      <c r="S111" s="45">
        <v>5.6897349999999998</v>
      </c>
      <c r="T111" s="45">
        <v>5.7543189999999997</v>
      </c>
      <c r="U111" s="45">
        <v>5.811509</v>
      </c>
      <c r="V111" s="45">
        <v>5.8701059999999998</v>
      </c>
      <c r="W111" s="45">
        <v>5.9295859999999996</v>
      </c>
      <c r="X111" s="45">
        <v>5.9946849999999996</v>
      </c>
      <c r="Y111" s="45">
        <v>6.0616380000000003</v>
      </c>
      <c r="Z111" s="45">
        <v>6.1295609999999998</v>
      </c>
      <c r="AA111" s="45">
        <v>6.1960689999999996</v>
      </c>
      <c r="AB111" s="45">
        <v>6.2625080000000004</v>
      </c>
      <c r="AC111" s="45">
        <v>6.3333490000000001</v>
      </c>
      <c r="AD111" s="45">
        <v>6.4064579999999998</v>
      </c>
      <c r="AE111" s="45">
        <v>6.4866570000000001</v>
      </c>
      <c r="AF111" s="45">
        <v>6.5649730000000002</v>
      </c>
      <c r="AG111" s="45">
        <v>6.6400810000000003</v>
      </c>
      <c r="AH111" s="46">
        <v>6.8069999999999997E-3</v>
      </c>
    </row>
    <row r="112" spans="1:34" ht="60.5" x14ac:dyDescent="0.35">
      <c r="A112" s="40" t="s">
        <v>157</v>
      </c>
      <c r="B112" s="43" t="s">
        <v>158</v>
      </c>
      <c r="C112" s="47">
        <v>21.005993</v>
      </c>
      <c r="D112" s="47">
        <v>21.035762999999999</v>
      </c>
      <c r="E112" s="47">
        <v>21.244858000000001</v>
      </c>
      <c r="F112" s="47">
        <v>21.087658000000001</v>
      </c>
      <c r="G112" s="47">
        <v>20.952598999999999</v>
      </c>
      <c r="H112" s="47">
        <v>20.738651000000001</v>
      </c>
      <c r="I112" s="47">
        <v>20.547239000000001</v>
      </c>
      <c r="J112" s="47">
        <v>20.500430999999999</v>
      </c>
      <c r="K112" s="47">
        <v>20.519217999999999</v>
      </c>
      <c r="L112" s="47">
        <v>20.560032</v>
      </c>
      <c r="M112" s="47">
        <v>20.613861</v>
      </c>
      <c r="N112" s="47">
        <v>20.678925</v>
      </c>
      <c r="O112" s="47">
        <v>20.726565999999998</v>
      </c>
      <c r="P112" s="47">
        <v>20.788119999999999</v>
      </c>
      <c r="Q112" s="47">
        <v>20.851172999999999</v>
      </c>
      <c r="R112" s="47">
        <v>20.9436</v>
      </c>
      <c r="S112" s="47">
        <v>21.040094</v>
      </c>
      <c r="T112" s="47">
        <v>21.146532000000001</v>
      </c>
      <c r="U112" s="47">
        <v>21.234878999999999</v>
      </c>
      <c r="V112" s="47">
        <v>21.325555999999999</v>
      </c>
      <c r="W112" s="47">
        <v>21.415388</v>
      </c>
      <c r="X112" s="47">
        <v>21.518371999999999</v>
      </c>
      <c r="Y112" s="47">
        <v>21.626104000000002</v>
      </c>
      <c r="Z112" s="47">
        <v>21.738506000000001</v>
      </c>
      <c r="AA112" s="47">
        <v>21.850746000000001</v>
      </c>
      <c r="AB112" s="47">
        <v>21.961483000000001</v>
      </c>
      <c r="AC112" s="47">
        <v>22.086281</v>
      </c>
      <c r="AD112" s="47">
        <v>22.21294</v>
      </c>
      <c r="AE112" s="47">
        <v>22.356724</v>
      </c>
      <c r="AF112" s="47">
        <v>22.495386</v>
      </c>
      <c r="AG112" s="47">
        <v>22.62989</v>
      </c>
      <c r="AH112" s="48">
        <v>2.4849999999999998E-3</v>
      </c>
    </row>
    <row r="113" spans="1:34" ht="36.5" x14ac:dyDescent="0.35">
      <c r="A113" s="40" t="s">
        <v>159</v>
      </c>
      <c r="B113" s="44" t="s">
        <v>160</v>
      </c>
      <c r="C113" s="45">
        <v>7.8131000000000006E-2</v>
      </c>
      <c r="D113" s="45">
        <v>8.9439000000000005E-2</v>
      </c>
      <c r="E113" s="45">
        <v>9.8996000000000001E-2</v>
      </c>
      <c r="F113" s="45">
        <v>0.10828400000000001</v>
      </c>
      <c r="G113" s="45">
        <v>0.117412</v>
      </c>
      <c r="H113" s="45">
        <v>0.12662599999999999</v>
      </c>
      <c r="I113" s="45">
        <v>0.13608999999999999</v>
      </c>
      <c r="J113" s="45">
        <v>0.145616</v>
      </c>
      <c r="K113" s="45">
        <v>0.15523799999999999</v>
      </c>
      <c r="L113" s="45">
        <v>0.16494300000000001</v>
      </c>
      <c r="M113" s="45">
        <v>0.17486399999999999</v>
      </c>
      <c r="N113" s="45">
        <v>0.185082</v>
      </c>
      <c r="O113" s="45">
        <v>0.19552700000000001</v>
      </c>
      <c r="P113" s="45">
        <v>0.20619000000000001</v>
      </c>
      <c r="Q113" s="45">
        <v>0.217114</v>
      </c>
      <c r="R113" s="45">
        <v>0.22825300000000001</v>
      </c>
      <c r="S113" s="45">
        <v>0.23962600000000001</v>
      </c>
      <c r="T113" s="45">
        <v>0.25120300000000001</v>
      </c>
      <c r="U113" s="45">
        <v>0.26299899999999998</v>
      </c>
      <c r="V113" s="45">
        <v>0.275007</v>
      </c>
      <c r="W113" s="45">
        <v>0.287302</v>
      </c>
      <c r="X113" s="45">
        <v>0.29986499999999999</v>
      </c>
      <c r="Y113" s="45">
        <v>0.31278499999999998</v>
      </c>
      <c r="Z113" s="45">
        <v>0.326067</v>
      </c>
      <c r="AA113" s="45">
        <v>0.33971499999999999</v>
      </c>
      <c r="AB113" s="45">
        <v>0.35381099999999999</v>
      </c>
      <c r="AC113" s="45">
        <v>0.36832900000000002</v>
      </c>
      <c r="AD113" s="45">
        <v>0.38323400000000002</v>
      </c>
      <c r="AE113" s="45">
        <v>0.39861600000000003</v>
      </c>
      <c r="AF113" s="45">
        <v>0.41442000000000001</v>
      </c>
      <c r="AG113" s="45">
        <v>0.43064400000000003</v>
      </c>
      <c r="AH113" s="46">
        <v>5.8546000000000001E-2</v>
      </c>
    </row>
    <row r="114" spans="1:34" ht="36.5" x14ac:dyDescent="0.35">
      <c r="A114" s="40" t="s">
        <v>161</v>
      </c>
      <c r="B114" s="43" t="s">
        <v>5</v>
      </c>
      <c r="C114" s="47">
        <v>20.927862000000001</v>
      </c>
      <c r="D114" s="47">
        <v>20.946323</v>
      </c>
      <c r="E114" s="47">
        <v>21.145861</v>
      </c>
      <c r="F114" s="47">
        <v>20.979374</v>
      </c>
      <c r="G114" s="47">
        <v>20.835186</v>
      </c>
      <c r="H114" s="47">
        <v>20.612026</v>
      </c>
      <c r="I114" s="47">
        <v>20.411148000000001</v>
      </c>
      <c r="J114" s="47">
        <v>20.354814999999999</v>
      </c>
      <c r="K114" s="47">
        <v>20.363980999999999</v>
      </c>
      <c r="L114" s="47">
        <v>20.395088000000001</v>
      </c>
      <c r="M114" s="47">
        <v>20.438997000000001</v>
      </c>
      <c r="N114" s="47">
        <v>20.493842999999998</v>
      </c>
      <c r="O114" s="47">
        <v>20.531037999999999</v>
      </c>
      <c r="P114" s="47">
        <v>20.58193</v>
      </c>
      <c r="Q114" s="47">
        <v>20.634060000000002</v>
      </c>
      <c r="R114" s="47">
        <v>20.715347000000001</v>
      </c>
      <c r="S114" s="47">
        <v>20.800467999999999</v>
      </c>
      <c r="T114" s="47">
        <v>20.895329</v>
      </c>
      <c r="U114" s="47">
        <v>20.971879999999999</v>
      </c>
      <c r="V114" s="47">
        <v>21.050549</v>
      </c>
      <c r="W114" s="47">
        <v>21.128086</v>
      </c>
      <c r="X114" s="47">
        <v>21.218506000000001</v>
      </c>
      <c r="Y114" s="47">
        <v>21.313320000000001</v>
      </c>
      <c r="Z114" s="47">
        <v>21.412438999999999</v>
      </c>
      <c r="AA114" s="47">
        <v>21.511030000000002</v>
      </c>
      <c r="AB114" s="47">
        <v>21.607672000000001</v>
      </c>
      <c r="AC114" s="47">
        <v>21.717950999999999</v>
      </c>
      <c r="AD114" s="47">
        <v>21.829706000000002</v>
      </c>
      <c r="AE114" s="47">
        <v>21.958109</v>
      </c>
      <c r="AF114" s="47">
        <v>22.080967000000001</v>
      </c>
      <c r="AG114" s="47">
        <v>22.199245000000001</v>
      </c>
      <c r="AH114" s="48">
        <v>1.9680000000000001E-3</v>
      </c>
    </row>
    <row r="116" spans="1:34" ht="48.5" x14ac:dyDescent="0.35">
      <c r="A116" s="37"/>
      <c r="B116" s="43" t="s">
        <v>162</v>
      </c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 spans="1:34" ht="48.5" x14ac:dyDescent="0.35">
      <c r="A117" s="40" t="s">
        <v>163</v>
      </c>
      <c r="B117" s="44" t="s">
        <v>164</v>
      </c>
      <c r="C117" s="45">
        <v>1.3027E-2</v>
      </c>
      <c r="D117" s="45">
        <v>1.5183E-2</v>
      </c>
      <c r="E117" s="45">
        <v>1.7817E-2</v>
      </c>
      <c r="F117" s="45">
        <v>1.9005000000000001E-2</v>
      </c>
      <c r="G117" s="45">
        <v>2.0483999999999999E-2</v>
      </c>
      <c r="H117" s="45">
        <v>2.1389999999999999E-2</v>
      </c>
      <c r="I117" s="45">
        <v>2.2734999999999998E-2</v>
      </c>
      <c r="J117" s="45">
        <v>2.3963000000000002E-2</v>
      </c>
      <c r="K117" s="45">
        <v>2.5274999999999999E-2</v>
      </c>
      <c r="L117" s="45">
        <v>2.6539E-2</v>
      </c>
      <c r="M117" s="45">
        <v>2.7795E-2</v>
      </c>
      <c r="N117" s="45">
        <v>2.8951000000000001E-2</v>
      </c>
      <c r="O117" s="45">
        <v>3.0151000000000001E-2</v>
      </c>
      <c r="P117" s="45">
        <v>3.1366999999999999E-2</v>
      </c>
      <c r="Q117" s="45">
        <v>3.2542000000000001E-2</v>
      </c>
      <c r="R117" s="45">
        <v>3.3729000000000002E-2</v>
      </c>
      <c r="S117" s="45">
        <v>3.4930999999999997E-2</v>
      </c>
      <c r="T117" s="45">
        <v>3.61E-2</v>
      </c>
      <c r="U117" s="45">
        <v>3.7217E-2</v>
      </c>
      <c r="V117" s="45">
        <v>3.8406000000000003E-2</v>
      </c>
      <c r="W117" s="45">
        <v>3.9655000000000003E-2</v>
      </c>
      <c r="X117" s="45">
        <v>4.0898999999999998E-2</v>
      </c>
      <c r="Y117" s="45">
        <v>4.2190999999999999E-2</v>
      </c>
      <c r="Z117" s="45">
        <v>4.3469000000000001E-2</v>
      </c>
      <c r="AA117" s="45">
        <v>4.4774000000000001E-2</v>
      </c>
      <c r="AB117" s="45">
        <v>4.6102999999999998E-2</v>
      </c>
      <c r="AC117" s="45">
        <v>4.7516000000000003E-2</v>
      </c>
      <c r="AD117" s="45">
        <v>4.8974999999999998E-2</v>
      </c>
      <c r="AE117" s="45">
        <v>5.0460999999999999E-2</v>
      </c>
      <c r="AF117" s="45">
        <v>5.1894000000000003E-2</v>
      </c>
      <c r="AG117" s="45">
        <v>5.3342000000000001E-2</v>
      </c>
      <c r="AH117" s="46">
        <v>4.8111000000000001E-2</v>
      </c>
    </row>
    <row r="118" spans="1:34" ht="36.5" x14ac:dyDescent="0.35">
      <c r="A118" s="40" t="s">
        <v>165</v>
      </c>
      <c r="B118" s="44" t="s">
        <v>166</v>
      </c>
      <c r="C118" s="45">
        <v>4.1875999999999997E-2</v>
      </c>
      <c r="D118" s="45">
        <v>4.5830999999999997E-2</v>
      </c>
      <c r="E118" s="45">
        <v>4.6117999999999999E-2</v>
      </c>
      <c r="F118" s="45">
        <v>4.5619E-2</v>
      </c>
      <c r="G118" s="45">
        <v>4.5566000000000002E-2</v>
      </c>
      <c r="H118" s="45">
        <v>4.4778999999999999E-2</v>
      </c>
      <c r="I118" s="45">
        <v>4.4589999999999998E-2</v>
      </c>
      <c r="J118" s="45">
        <v>4.4705000000000002E-2</v>
      </c>
      <c r="K118" s="45">
        <v>4.4933000000000001E-2</v>
      </c>
      <c r="L118" s="45">
        <v>4.5137999999999998E-2</v>
      </c>
      <c r="M118" s="45">
        <v>4.5601999999999997E-2</v>
      </c>
      <c r="N118" s="45">
        <v>4.5950999999999999E-2</v>
      </c>
      <c r="O118" s="45">
        <v>4.6161000000000001E-2</v>
      </c>
      <c r="P118" s="45">
        <v>4.6390000000000001E-2</v>
      </c>
      <c r="Q118" s="45">
        <v>4.6642999999999997E-2</v>
      </c>
      <c r="R118" s="45">
        <v>4.6836999999999997E-2</v>
      </c>
      <c r="S118" s="45">
        <v>4.7087999999999998E-2</v>
      </c>
      <c r="T118" s="45">
        <v>4.7438000000000001E-2</v>
      </c>
      <c r="U118" s="45">
        <v>4.7509999999999997E-2</v>
      </c>
      <c r="V118" s="45">
        <v>4.7744000000000002E-2</v>
      </c>
      <c r="W118" s="45">
        <v>4.7961999999999998E-2</v>
      </c>
      <c r="X118" s="45">
        <v>4.8198999999999999E-2</v>
      </c>
      <c r="Y118" s="45">
        <v>4.8433999999999998E-2</v>
      </c>
      <c r="Z118" s="45">
        <v>4.8627999999999998E-2</v>
      </c>
      <c r="AA118" s="45">
        <v>4.8779999999999997E-2</v>
      </c>
      <c r="AB118" s="45">
        <v>4.8828000000000003E-2</v>
      </c>
      <c r="AC118" s="45">
        <v>4.8940999999999998E-2</v>
      </c>
      <c r="AD118" s="45">
        <v>4.9234E-2</v>
      </c>
      <c r="AE118" s="45">
        <v>4.9318000000000001E-2</v>
      </c>
      <c r="AF118" s="45">
        <v>4.9361000000000002E-2</v>
      </c>
      <c r="AG118" s="45">
        <v>4.9486000000000002E-2</v>
      </c>
      <c r="AH118" s="46">
        <v>5.581E-3</v>
      </c>
    </row>
    <row r="119" spans="1:34" ht="36.5" x14ac:dyDescent="0.35">
      <c r="A119" s="40" t="s">
        <v>167</v>
      </c>
      <c r="B119" s="44" t="s">
        <v>168</v>
      </c>
      <c r="C119" s="45">
        <v>0.224748</v>
      </c>
      <c r="D119" s="45">
        <v>0.25952999999999998</v>
      </c>
      <c r="E119" s="45">
        <v>0.28950999999999999</v>
      </c>
      <c r="F119" s="45">
        <v>0.31522600000000001</v>
      </c>
      <c r="G119" s="45">
        <v>0.34195799999999998</v>
      </c>
      <c r="H119" s="45">
        <v>0.36465500000000001</v>
      </c>
      <c r="I119" s="45">
        <v>0.38978800000000002</v>
      </c>
      <c r="J119" s="45">
        <v>0.41790300000000002</v>
      </c>
      <c r="K119" s="45">
        <v>0.44681700000000002</v>
      </c>
      <c r="L119" s="45">
        <v>0.47486</v>
      </c>
      <c r="M119" s="45">
        <v>0.50702400000000003</v>
      </c>
      <c r="N119" s="45">
        <v>0.53750600000000004</v>
      </c>
      <c r="O119" s="45">
        <v>0.56687399999999999</v>
      </c>
      <c r="P119" s="45">
        <v>0.59701300000000002</v>
      </c>
      <c r="Q119" s="45">
        <v>0.62914899999999996</v>
      </c>
      <c r="R119" s="45">
        <v>0.66230100000000003</v>
      </c>
      <c r="S119" s="45">
        <v>0.69674899999999995</v>
      </c>
      <c r="T119" s="45">
        <v>0.73366699999999996</v>
      </c>
      <c r="U119" s="45">
        <v>0.76523300000000005</v>
      </c>
      <c r="V119" s="45">
        <v>0.80181400000000003</v>
      </c>
      <c r="W119" s="45">
        <v>0.838758</v>
      </c>
      <c r="X119" s="45">
        <v>0.87630799999999998</v>
      </c>
      <c r="Y119" s="45">
        <v>0.91482699999999995</v>
      </c>
      <c r="Z119" s="45">
        <v>0.95336900000000002</v>
      </c>
      <c r="AA119" s="45">
        <v>0.99279799999999996</v>
      </c>
      <c r="AB119" s="45">
        <v>1.0310410000000001</v>
      </c>
      <c r="AC119" s="45">
        <v>1.0708819999999999</v>
      </c>
      <c r="AD119" s="45">
        <v>1.114576</v>
      </c>
      <c r="AE119" s="45">
        <v>1.1559360000000001</v>
      </c>
      <c r="AF119" s="45">
        <v>1.196906</v>
      </c>
      <c r="AG119" s="45">
        <v>1.241698</v>
      </c>
      <c r="AH119" s="46">
        <v>5.8630000000000002E-2</v>
      </c>
    </row>
    <row r="120" spans="1:34" x14ac:dyDescent="0.35">
      <c r="A120" s="40" t="s">
        <v>169</v>
      </c>
      <c r="B120" s="44" t="s">
        <v>170</v>
      </c>
      <c r="C120" s="45">
        <v>1.7200000000000001E-4</v>
      </c>
      <c r="D120" s="45">
        <v>1.74E-4</v>
      </c>
      <c r="E120" s="45">
        <v>1.73E-4</v>
      </c>
      <c r="F120" s="45">
        <v>1.7100000000000001E-4</v>
      </c>
      <c r="G120" s="45">
        <v>1.7000000000000001E-4</v>
      </c>
      <c r="H120" s="45">
        <v>1.65E-4</v>
      </c>
      <c r="I120" s="45">
        <v>1.64E-4</v>
      </c>
      <c r="J120" s="45">
        <v>1.63E-4</v>
      </c>
      <c r="K120" s="45">
        <v>1.63E-4</v>
      </c>
      <c r="L120" s="45">
        <v>1.6200000000000001E-4</v>
      </c>
      <c r="M120" s="45">
        <v>1.6200000000000001E-4</v>
      </c>
      <c r="N120" s="45">
        <v>1.6200000000000001E-4</v>
      </c>
      <c r="O120" s="45">
        <v>1.6200000000000001E-4</v>
      </c>
      <c r="P120" s="45">
        <v>1.6100000000000001E-4</v>
      </c>
      <c r="Q120" s="45">
        <v>1.6100000000000001E-4</v>
      </c>
      <c r="R120" s="45">
        <v>1.6100000000000001E-4</v>
      </c>
      <c r="S120" s="45">
        <v>1.6100000000000001E-4</v>
      </c>
      <c r="T120" s="45">
        <v>1.6100000000000001E-4</v>
      </c>
      <c r="U120" s="45">
        <v>1.6000000000000001E-4</v>
      </c>
      <c r="V120" s="45">
        <v>1.6100000000000001E-4</v>
      </c>
      <c r="W120" s="45">
        <v>1.6200000000000001E-4</v>
      </c>
      <c r="X120" s="45">
        <v>1.63E-4</v>
      </c>
      <c r="Y120" s="45">
        <v>1.65E-4</v>
      </c>
      <c r="Z120" s="45">
        <v>1.6699999999999999E-4</v>
      </c>
      <c r="AA120" s="45">
        <v>1.6899999999999999E-4</v>
      </c>
      <c r="AB120" s="45">
        <v>1.7000000000000001E-4</v>
      </c>
      <c r="AC120" s="45">
        <v>1.7200000000000001E-4</v>
      </c>
      <c r="AD120" s="45">
        <v>1.74E-4</v>
      </c>
      <c r="AE120" s="45">
        <v>1.76E-4</v>
      </c>
      <c r="AF120" s="45">
        <v>1.7799999999999999E-4</v>
      </c>
      <c r="AG120" s="45">
        <v>1.8000000000000001E-4</v>
      </c>
      <c r="AH120" s="46">
        <v>1.374E-3</v>
      </c>
    </row>
    <row r="121" spans="1:34" x14ac:dyDescent="0.35">
      <c r="A121" s="40" t="s">
        <v>171</v>
      </c>
      <c r="B121" s="43" t="s">
        <v>172</v>
      </c>
      <c r="C121" s="47">
        <v>0.27982400000000002</v>
      </c>
      <c r="D121" s="47">
        <v>0.32071699999999997</v>
      </c>
      <c r="E121" s="47">
        <v>0.35361799999999999</v>
      </c>
      <c r="F121" s="47">
        <v>0.38002000000000002</v>
      </c>
      <c r="G121" s="47">
        <v>0.40817700000000001</v>
      </c>
      <c r="H121" s="47">
        <v>0.43098999999999998</v>
      </c>
      <c r="I121" s="47">
        <v>0.45727699999999999</v>
      </c>
      <c r="J121" s="47">
        <v>0.486734</v>
      </c>
      <c r="K121" s="47">
        <v>0.51718900000000001</v>
      </c>
      <c r="L121" s="47">
        <v>0.54669900000000005</v>
      </c>
      <c r="M121" s="47">
        <v>0.58058299999999996</v>
      </c>
      <c r="N121" s="47">
        <v>0.61256999999999995</v>
      </c>
      <c r="O121" s="47">
        <v>0.64334800000000003</v>
      </c>
      <c r="P121" s="47">
        <v>0.67493199999999998</v>
      </c>
      <c r="Q121" s="47">
        <v>0.70849499999999999</v>
      </c>
      <c r="R121" s="47">
        <v>0.74302800000000002</v>
      </c>
      <c r="S121" s="47">
        <v>0.77892899999999998</v>
      </c>
      <c r="T121" s="47">
        <v>0.81736699999999995</v>
      </c>
      <c r="U121" s="47">
        <v>0.85011999999999999</v>
      </c>
      <c r="V121" s="47">
        <v>0.88812500000000005</v>
      </c>
      <c r="W121" s="47">
        <v>0.92653700000000005</v>
      </c>
      <c r="X121" s="47">
        <v>0.96557000000000004</v>
      </c>
      <c r="Y121" s="47">
        <v>1.005617</v>
      </c>
      <c r="Z121" s="47">
        <v>1.045633</v>
      </c>
      <c r="AA121" s="47">
        <v>1.0865199999999999</v>
      </c>
      <c r="AB121" s="47">
        <v>1.126142</v>
      </c>
      <c r="AC121" s="47">
        <v>1.167511</v>
      </c>
      <c r="AD121" s="47">
        <v>1.21296</v>
      </c>
      <c r="AE121" s="47">
        <v>1.2558910000000001</v>
      </c>
      <c r="AF121" s="47">
        <v>1.2983389999999999</v>
      </c>
      <c r="AG121" s="47">
        <v>1.344705</v>
      </c>
      <c r="AH121" s="48">
        <v>5.3719000000000003E-2</v>
      </c>
    </row>
    <row r="123" spans="1:34" ht="36.5" x14ac:dyDescent="0.35">
      <c r="A123" s="37"/>
      <c r="B123" s="43" t="s">
        <v>6</v>
      </c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 spans="1:34" ht="24.5" x14ac:dyDescent="0.35">
      <c r="A124" s="40" t="s">
        <v>173</v>
      </c>
      <c r="B124" s="44" t="s">
        <v>174</v>
      </c>
      <c r="C124" s="49">
        <v>5958</v>
      </c>
      <c r="D124" s="49">
        <v>6244</v>
      </c>
      <c r="E124" s="49">
        <v>6198</v>
      </c>
      <c r="F124" s="49">
        <v>6187</v>
      </c>
      <c r="G124" s="49">
        <v>6176</v>
      </c>
      <c r="H124" s="49">
        <v>6165</v>
      </c>
      <c r="I124" s="49">
        <v>6153</v>
      </c>
      <c r="J124" s="49">
        <v>6142</v>
      </c>
      <c r="K124" s="49">
        <v>6130</v>
      </c>
      <c r="L124" s="49">
        <v>6118</v>
      </c>
      <c r="M124" s="49">
        <v>6107</v>
      </c>
      <c r="N124" s="49">
        <v>6095</v>
      </c>
      <c r="O124" s="49">
        <v>6083</v>
      </c>
      <c r="P124" s="49">
        <v>6071</v>
      </c>
      <c r="Q124" s="49">
        <v>6059</v>
      </c>
      <c r="R124" s="49">
        <v>6048</v>
      </c>
      <c r="S124" s="49">
        <v>6036</v>
      </c>
      <c r="T124" s="49">
        <v>6024</v>
      </c>
      <c r="U124" s="49">
        <v>6012</v>
      </c>
      <c r="V124" s="49">
        <v>6000</v>
      </c>
      <c r="W124" s="49">
        <v>5988</v>
      </c>
      <c r="X124" s="49">
        <v>5976</v>
      </c>
      <c r="Y124" s="49">
        <v>5964</v>
      </c>
      <c r="Z124" s="49">
        <v>5952</v>
      </c>
      <c r="AA124" s="49">
        <v>5940</v>
      </c>
      <c r="AB124" s="49">
        <v>5929</v>
      </c>
      <c r="AC124" s="49">
        <v>5917</v>
      </c>
      <c r="AD124" s="49">
        <v>5905</v>
      </c>
      <c r="AE124" s="49">
        <v>5893</v>
      </c>
      <c r="AF124" s="49">
        <v>5881</v>
      </c>
      <c r="AG124" s="49">
        <v>5869</v>
      </c>
      <c r="AH124" s="46">
        <v>-5.0199999999999995E-4</v>
      </c>
    </row>
    <row r="125" spans="1:34" ht="24.5" x14ac:dyDescent="0.35">
      <c r="A125" s="40" t="s">
        <v>175</v>
      </c>
      <c r="B125" s="44" t="s">
        <v>176</v>
      </c>
      <c r="C125" s="49">
        <v>5371</v>
      </c>
      <c r="D125" s="49">
        <v>5595</v>
      </c>
      <c r="E125" s="49">
        <v>5569</v>
      </c>
      <c r="F125" s="49">
        <v>5558</v>
      </c>
      <c r="G125" s="49">
        <v>5548</v>
      </c>
      <c r="H125" s="49">
        <v>5538</v>
      </c>
      <c r="I125" s="49">
        <v>5528</v>
      </c>
      <c r="J125" s="49">
        <v>5517</v>
      </c>
      <c r="K125" s="49">
        <v>5507</v>
      </c>
      <c r="L125" s="49">
        <v>5497</v>
      </c>
      <c r="M125" s="49">
        <v>5487</v>
      </c>
      <c r="N125" s="49">
        <v>5477</v>
      </c>
      <c r="O125" s="49">
        <v>5467</v>
      </c>
      <c r="P125" s="49">
        <v>5457</v>
      </c>
      <c r="Q125" s="49">
        <v>5446</v>
      </c>
      <c r="R125" s="49">
        <v>5436</v>
      </c>
      <c r="S125" s="49">
        <v>5426</v>
      </c>
      <c r="T125" s="49">
        <v>5416</v>
      </c>
      <c r="U125" s="49">
        <v>5406</v>
      </c>
      <c r="V125" s="49">
        <v>5396</v>
      </c>
      <c r="W125" s="49">
        <v>5386</v>
      </c>
      <c r="X125" s="49">
        <v>5376</v>
      </c>
      <c r="Y125" s="49">
        <v>5366</v>
      </c>
      <c r="Z125" s="49">
        <v>5355</v>
      </c>
      <c r="AA125" s="49">
        <v>5345</v>
      </c>
      <c r="AB125" s="49">
        <v>5335</v>
      </c>
      <c r="AC125" s="49">
        <v>5325</v>
      </c>
      <c r="AD125" s="49">
        <v>5315</v>
      </c>
      <c r="AE125" s="49">
        <v>5305</v>
      </c>
      <c r="AF125" s="49">
        <v>5295</v>
      </c>
      <c r="AG125" s="49">
        <v>5285</v>
      </c>
      <c r="AH125" s="46">
        <v>-5.3799999999999996E-4</v>
      </c>
    </row>
    <row r="126" spans="1:34" ht="36.5" x14ac:dyDescent="0.35">
      <c r="A126" s="40" t="s">
        <v>177</v>
      </c>
      <c r="B126" s="44" t="s">
        <v>178</v>
      </c>
      <c r="C126" s="49">
        <v>6000</v>
      </c>
      <c r="D126" s="49">
        <v>6217</v>
      </c>
      <c r="E126" s="49">
        <v>6172</v>
      </c>
      <c r="F126" s="49">
        <v>6167</v>
      </c>
      <c r="G126" s="49">
        <v>6163</v>
      </c>
      <c r="H126" s="49">
        <v>6159</v>
      </c>
      <c r="I126" s="49">
        <v>6155</v>
      </c>
      <c r="J126" s="49">
        <v>6151</v>
      </c>
      <c r="K126" s="49">
        <v>6147</v>
      </c>
      <c r="L126" s="49">
        <v>6143</v>
      </c>
      <c r="M126" s="49">
        <v>6138</v>
      </c>
      <c r="N126" s="49">
        <v>6134</v>
      </c>
      <c r="O126" s="49">
        <v>6130</v>
      </c>
      <c r="P126" s="49">
        <v>6126</v>
      </c>
      <c r="Q126" s="49">
        <v>6122</v>
      </c>
      <c r="R126" s="49">
        <v>6118</v>
      </c>
      <c r="S126" s="49">
        <v>6114</v>
      </c>
      <c r="T126" s="49">
        <v>6109</v>
      </c>
      <c r="U126" s="49">
        <v>6105</v>
      </c>
      <c r="V126" s="49">
        <v>6101</v>
      </c>
      <c r="W126" s="49">
        <v>6097</v>
      </c>
      <c r="X126" s="49">
        <v>6093</v>
      </c>
      <c r="Y126" s="49">
        <v>6089</v>
      </c>
      <c r="Z126" s="49">
        <v>6084</v>
      </c>
      <c r="AA126" s="49">
        <v>6080</v>
      </c>
      <c r="AB126" s="49">
        <v>6076</v>
      </c>
      <c r="AC126" s="49">
        <v>6072</v>
      </c>
      <c r="AD126" s="49">
        <v>6068</v>
      </c>
      <c r="AE126" s="49">
        <v>6064</v>
      </c>
      <c r="AF126" s="49">
        <v>6059</v>
      </c>
      <c r="AG126" s="49">
        <v>6055</v>
      </c>
      <c r="AH126" s="46">
        <v>3.0400000000000002E-4</v>
      </c>
    </row>
    <row r="127" spans="1:34" ht="36.5" x14ac:dyDescent="0.35">
      <c r="A127" s="40" t="s">
        <v>179</v>
      </c>
      <c r="B127" s="44" t="s">
        <v>180</v>
      </c>
      <c r="C127" s="49">
        <v>6410</v>
      </c>
      <c r="D127" s="49">
        <v>6529</v>
      </c>
      <c r="E127" s="49">
        <v>6490</v>
      </c>
      <c r="F127" s="49">
        <v>6489</v>
      </c>
      <c r="G127" s="49">
        <v>6487</v>
      </c>
      <c r="H127" s="49">
        <v>6485</v>
      </c>
      <c r="I127" s="49">
        <v>6483</v>
      </c>
      <c r="J127" s="49">
        <v>6481</v>
      </c>
      <c r="K127" s="49">
        <v>6479</v>
      </c>
      <c r="L127" s="49">
        <v>6477</v>
      </c>
      <c r="M127" s="49">
        <v>6474</v>
      </c>
      <c r="N127" s="49">
        <v>6472</v>
      </c>
      <c r="O127" s="49">
        <v>6470</v>
      </c>
      <c r="P127" s="49">
        <v>6467</v>
      </c>
      <c r="Q127" s="49">
        <v>6465</v>
      </c>
      <c r="R127" s="49">
        <v>6462</v>
      </c>
      <c r="S127" s="49">
        <v>6459</v>
      </c>
      <c r="T127" s="49">
        <v>6457</v>
      </c>
      <c r="U127" s="49">
        <v>6454</v>
      </c>
      <c r="V127" s="49">
        <v>6451</v>
      </c>
      <c r="W127" s="49">
        <v>6449</v>
      </c>
      <c r="X127" s="49">
        <v>6446</v>
      </c>
      <c r="Y127" s="49">
        <v>6443</v>
      </c>
      <c r="Z127" s="49">
        <v>6440</v>
      </c>
      <c r="AA127" s="49">
        <v>6437</v>
      </c>
      <c r="AB127" s="49">
        <v>6434</v>
      </c>
      <c r="AC127" s="49">
        <v>6431</v>
      </c>
      <c r="AD127" s="49">
        <v>6428</v>
      </c>
      <c r="AE127" s="49">
        <v>6426</v>
      </c>
      <c r="AF127" s="49">
        <v>6423</v>
      </c>
      <c r="AG127" s="49">
        <v>6420</v>
      </c>
      <c r="AH127" s="46">
        <v>5.1999999999999997E-5</v>
      </c>
    </row>
    <row r="128" spans="1:34" ht="24.5" x14ac:dyDescent="0.35">
      <c r="A128" s="40" t="s">
        <v>181</v>
      </c>
      <c r="B128" s="44" t="s">
        <v>182</v>
      </c>
      <c r="C128" s="49">
        <v>2335</v>
      </c>
      <c r="D128" s="49">
        <v>2486</v>
      </c>
      <c r="E128" s="49">
        <v>2520</v>
      </c>
      <c r="F128" s="49">
        <v>2511</v>
      </c>
      <c r="G128" s="49">
        <v>2503</v>
      </c>
      <c r="H128" s="49">
        <v>2495</v>
      </c>
      <c r="I128" s="49">
        <v>2487</v>
      </c>
      <c r="J128" s="49">
        <v>2479</v>
      </c>
      <c r="K128" s="49">
        <v>2471</v>
      </c>
      <c r="L128" s="49">
        <v>2463</v>
      </c>
      <c r="M128" s="49">
        <v>2455</v>
      </c>
      <c r="N128" s="49">
        <v>2448</v>
      </c>
      <c r="O128" s="49">
        <v>2440</v>
      </c>
      <c r="P128" s="49">
        <v>2432</v>
      </c>
      <c r="Q128" s="49">
        <v>2424</v>
      </c>
      <c r="R128" s="49">
        <v>2417</v>
      </c>
      <c r="S128" s="49">
        <v>2409</v>
      </c>
      <c r="T128" s="49">
        <v>2401</v>
      </c>
      <c r="U128" s="49">
        <v>2393</v>
      </c>
      <c r="V128" s="49">
        <v>2385</v>
      </c>
      <c r="W128" s="49">
        <v>2378</v>
      </c>
      <c r="X128" s="49">
        <v>2370</v>
      </c>
      <c r="Y128" s="49">
        <v>2362</v>
      </c>
      <c r="Z128" s="49">
        <v>2355</v>
      </c>
      <c r="AA128" s="49">
        <v>2347</v>
      </c>
      <c r="AB128" s="49">
        <v>2339</v>
      </c>
      <c r="AC128" s="49">
        <v>2332</v>
      </c>
      <c r="AD128" s="49">
        <v>2324</v>
      </c>
      <c r="AE128" s="49">
        <v>2316</v>
      </c>
      <c r="AF128" s="49">
        <v>2309</v>
      </c>
      <c r="AG128" s="49">
        <v>2301</v>
      </c>
      <c r="AH128" s="46">
        <v>-4.8899999999999996E-4</v>
      </c>
    </row>
    <row r="129" spans="1:34" ht="36.5" x14ac:dyDescent="0.35">
      <c r="A129" s="40" t="s">
        <v>183</v>
      </c>
      <c r="B129" s="44" t="s">
        <v>184</v>
      </c>
      <c r="C129" s="49">
        <v>3119</v>
      </c>
      <c r="D129" s="49">
        <v>3304</v>
      </c>
      <c r="E129" s="49">
        <v>3319</v>
      </c>
      <c r="F129" s="49">
        <v>3314</v>
      </c>
      <c r="G129" s="49">
        <v>3310</v>
      </c>
      <c r="H129" s="49">
        <v>3306</v>
      </c>
      <c r="I129" s="49">
        <v>3302</v>
      </c>
      <c r="J129" s="49">
        <v>3297</v>
      </c>
      <c r="K129" s="49">
        <v>3293</v>
      </c>
      <c r="L129" s="49">
        <v>3288</v>
      </c>
      <c r="M129" s="49">
        <v>3284</v>
      </c>
      <c r="N129" s="49">
        <v>3280</v>
      </c>
      <c r="O129" s="49">
        <v>3275</v>
      </c>
      <c r="P129" s="49">
        <v>3271</v>
      </c>
      <c r="Q129" s="49">
        <v>3266</v>
      </c>
      <c r="R129" s="49">
        <v>3262</v>
      </c>
      <c r="S129" s="49">
        <v>3257</v>
      </c>
      <c r="T129" s="49">
        <v>3252</v>
      </c>
      <c r="U129" s="49">
        <v>3248</v>
      </c>
      <c r="V129" s="49">
        <v>3243</v>
      </c>
      <c r="W129" s="49">
        <v>3238</v>
      </c>
      <c r="X129" s="49">
        <v>3234</v>
      </c>
      <c r="Y129" s="49">
        <v>3229</v>
      </c>
      <c r="Z129" s="49">
        <v>3224</v>
      </c>
      <c r="AA129" s="49">
        <v>3220</v>
      </c>
      <c r="AB129" s="49">
        <v>3215</v>
      </c>
      <c r="AC129" s="49">
        <v>3210</v>
      </c>
      <c r="AD129" s="49">
        <v>3206</v>
      </c>
      <c r="AE129" s="49">
        <v>3201</v>
      </c>
      <c r="AF129" s="49">
        <v>3196</v>
      </c>
      <c r="AG129" s="49">
        <v>3191</v>
      </c>
      <c r="AH129" s="46">
        <v>7.6099999999999996E-4</v>
      </c>
    </row>
    <row r="130" spans="1:34" ht="36.5" x14ac:dyDescent="0.35">
      <c r="A130" s="40" t="s">
        <v>185</v>
      </c>
      <c r="B130" s="44" t="s">
        <v>186</v>
      </c>
      <c r="C130" s="49">
        <v>1829</v>
      </c>
      <c r="D130" s="49">
        <v>1910</v>
      </c>
      <c r="E130" s="49">
        <v>2015</v>
      </c>
      <c r="F130" s="49">
        <v>2009</v>
      </c>
      <c r="G130" s="49">
        <v>2004</v>
      </c>
      <c r="H130" s="49">
        <v>1999</v>
      </c>
      <c r="I130" s="49">
        <v>1994</v>
      </c>
      <c r="J130" s="49">
        <v>1988</v>
      </c>
      <c r="K130" s="49">
        <v>1983</v>
      </c>
      <c r="L130" s="49">
        <v>1978</v>
      </c>
      <c r="M130" s="49">
        <v>1973</v>
      </c>
      <c r="N130" s="49">
        <v>1967</v>
      </c>
      <c r="O130" s="49">
        <v>1962</v>
      </c>
      <c r="P130" s="49">
        <v>1957</v>
      </c>
      <c r="Q130" s="49">
        <v>1952</v>
      </c>
      <c r="R130" s="49">
        <v>1947</v>
      </c>
      <c r="S130" s="49">
        <v>1942</v>
      </c>
      <c r="T130" s="49">
        <v>1937</v>
      </c>
      <c r="U130" s="49">
        <v>1932</v>
      </c>
      <c r="V130" s="49">
        <v>1927</v>
      </c>
      <c r="W130" s="49">
        <v>1922</v>
      </c>
      <c r="X130" s="49">
        <v>1917</v>
      </c>
      <c r="Y130" s="49">
        <v>1912</v>
      </c>
      <c r="Z130" s="49">
        <v>1907</v>
      </c>
      <c r="AA130" s="49">
        <v>1902</v>
      </c>
      <c r="AB130" s="49">
        <v>1897</v>
      </c>
      <c r="AC130" s="49">
        <v>1892</v>
      </c>
      <c r="AD130" s="49">
        <v>1887</v>
      </c>
      <c r="AE130" s="49">
        <v>1882</v>
      </c>
      <c r="AF130" s="49">
        <v>1877</v>
      </c>
      <c r="AG130" s="49">
        <v>1873</v>
      </c>
      <c r="AH130" s="46">
        <v>7.9299999999999998E-4</v>
      </c>
    </row>
    <row r="131" spans="1:34" x14ac:dyDescent="0.35">
      <c r="A131" s="40" t="s">
        <v>187</v>
      </c>
      <c r="B131" s="44" t="s">
        <v>188</v>
      </c>
      <c r="C131" s="49">
        <v>4810</v>
      </c>
      <c r="D131" s="49">
        <v>4802</v>
      </c>
      <c r="E131" s="49">
        <v>4793</v>
      </c>
      <c r="F131" s="49">
        <v>4780</v>
      </c>
      <c r="G131" s="49">
        <v>4768</v>
      </c>
      <c r="H131" s="49">
        <v>4755</v>
      </c>
      <c r="I131" s="49">
        <v>4742</v>
      </c>
      <c r="J131" s="49">
        <v>4730</v>
      </c>
      <c r="K131" s="49">
        <v>4717</v>
      </c>
      <c r="L131" s="49">
        <v>4704</v>
      </c>
      <c r="M131" s="49">
        <v>4691</v>
      </c>
      <c r="N131" s="49">
        <v>4678</v>
      </c>
      <c r="O131" s="49">
        <v>4664</v>
      </c>
      <c r="P131" s="49">
        <v>4651</v>
      </c>
      <c r="Q131" s="49">
        <v>4638</v>
      </c>
      <c r="R131" s="49">
        <v>4624</v>
      </c>
      <c r="S131" s="49">
        <v>4611</v>
      </c>
      <c r="T131" s="49">
        <v>4597</v>
      </c>
      <c r="U131" s="49">
        <v>4584</v>
      </c>
      <c r="V131" s="49">
        <v>4570</v>
      </c>
      <c r="W131" s="49">
        <v>4557</v>
      </c>
      <c r="X131" s="49">
        <v>4543</v>
      </c>
      <c r="Y131" s="49">
        <v>4530</v>
      </c>
      <c r="Z131" s="49">
        <v>4517</v>
      </c>
      <c r="AA131" s="49">
        <v>4503</v>
      </c>
      <c r="AB131" s="49">
        <v>4490</v>
      </c>
      <c r="AC131" s="49">
        <v>4476</v>
      </c>
      <c r="AD131" s="49">
        <v>4463</v>
      </c>
      <c r="AE131" s="49">
        <v>4450</v>
      </c>
      <c r="AF131" s="49">
        <v>4436</v>
      </c>
      <c r="AG131" s="49">
        <v>4423</v>
      </c>
      <c r="AH131" s="46">
        <v>-2.7920000000000002E-3</v>
      </c>
    </row>
    <row r="132" spans="1:34" x14ac:dyDescent="0.35">
      <c r="A132" s="40" t="s">
        <v>189</v>
      </c>
      <c r="B132" s="44" t="s">
        <v>190</v>
      </c>
      <c r="C132" s="49">
        <v>3335</v>
      </c>
      <c r="D132" s="49">
        <v>3363</v>
      </c>
      <c r="E132" s="49">
        <v>3253</v>
      </c>
      <c r="F132" s="49">
        <v>3243</v>
      </c>
      <c r="G132" s="49">
        <v>3232</v>
      </c>
      <c r="H132" s="49">
        <v>3222</v>
      </c>
      <c r="I132" s="49">
        <v>3212</v>
      </c>
      <c r="J132" s="49">
        <v>3201</v>
      </c>
      <c r="K132" s="49">
        <v>3191</v>
      </c>
      <c r="L132" s="49">
        <v>3180</v>
      </c>
      <c r="M132" s="49">
        <v>3169</v>
      </c>
      <c r="N132" s="49">
        <v>3159</v>
      </c>
      <c r="O132" s="49">
        <v>3148</v>
      </c>
      <c r="P132" s="49">
        <v>3137</v>
      </c>
      <c r="Q132" s="49">
        <v>3126</v>
      </c>
      <c r="R132" s="49">
        <v>3116</v>
      </c>
      <c r="S132" s="49">
        <v>3105</v>
      </c>
      <c r="T132" s="49">
        <v>3094</v>
      </c>
      <c r="U132" s="49">
        <v>3083</v>
      </c>
      <c r="V132" s="49">
        <v>3072</v>
      </c>
      <c r="W132" s="49">
        <v>3061</v>
      </c>
      <c r="X132" s="49">
        <v>3050</v>
      </c>
      <c r="Y132" s="49">
        <v>3039</v>
      </c>
      <c r="Z132" s="49">
        <v>3028</v>
      </c>
      <c r="AA132" s="49">
        <v>3017</v>
      </c>
      <c r="AB132" s="49">
        <v>3005</v>
      </c>
      <c r="AC132" s="49">
        <v>2994</v>
      </c>
      <c r="AD132" s="49">
        <v>2983</v>
      </c>
      <c r="AE132" s="49">
        <v>2972</v>
      </c>
      <c r="AF132" s="49">
        <v>2961</v>
      </c>
      <c r="AG132" s="49">
        <v>2950</v>
      </c>
      <c r="AH132" s="46">
        <v>-4.0810000000000004E-3</v>
      </c>
    </row>
    <row r="133" spans="1:34" ht="24.5" x14ac:dyDescent="0.35">
      <c r="A133" s="40" t="s">
        <v>191</v>
      </c>
      <c r="B133" s="43" t="s">
        <v>192</v>
      </c>
      <c r="C133" s="52">
        <v>3994.5471189999998</v>
      </c>
      <c r="D133" s="52">
        <v>4123.486328</v>
      </c>
      <c r="E133" s="52">
        <v>4106.1538090000004</v>
      </c>
      <c r="F133" s="52">
        <v>4092.9008789999998</v>
      </c>
      <c r="G133" s="52">
        <v>4080.1918949999999</v>
      </c>
      <c r="H133" s="52">
        <v>4067.608154</v>
      </c>
      <c r="I133" s="52">
        <v>4055.0151369999999</v>
      </c>
      <c r="J133" s="52">
        <v>4042.108643</v>
      </c>
      <c r="K133" s="52">
        <v>4029.5825199999999</v>
      </c>
      <c r="L133" s="52">
        <v>4016.8515619999998</v>
      </c>
      <c r="M133" s="52">
        <v>4004.033203</v>
      </c>
      <c r="N133" s="52">
        <v>3991.616211</v>
      </c>
      <c r="O133" s="52">
        <v>3978.8229980000001</v>
      </c>
      <c r="P133" s="52">
        <v>3966.1135250000002</v>
      </c>
      <c r="Q133" s="52">
        <v>3953.3046880000002</v>
      </c>
      <c r="R133" s="52">
        <v>3940.9418949999999</v>
      </c>
      <c r="S133" s="52">
        <v>3928.1752929999998</v>
      </c>
      <c r="T133" s="52">
        <v>3915.2416990000002</v>
      </c>
      <c r="U133" s="52">
        <v>3902.5</v>
      </c>
      <c r="V133" s="52">
        <v>3889.59375</v>
      </c>
      <c r="W133" s="52">
        <v>3877.0180660000001</v>
      </c>
      <c r="X133" s="52">
        <v>3864.1130370000001</v>
      </c>
      <c r="Y133" s="52">
        <v>3851.210693</v>
      </c>
      <c r="Z133" s="52">
        <v>3838.2595209999999</v>
      </c>
      <c r="AA133" s="52">
        <v>3825.2751459999999</v>
      </c>
      <c r="AB133" s="52">
        <v>3812.1760250000002</v>
      </c>
      <c r="AC133" s="52">
        <v>3799.3579100000002</v>
      </c>
      <c r="AD133" s="52">
        <v>3786.5341800000001</v>
      </c>
      <c r="AE133" s="52">
        <v>3773.8266600000002</v>
      </c>
      <c r="AF133" s="52">
        <v>3761.2253420000002</v>
      </c>
      <c r="AG133" s="52">
        <v>3748.8479000000002</v>
      </c>
      <c r="AH133" s="48">
        <v>-2.114E-3</v>
      </c>
    </row>
    <row r="135" spans="1:34" ht="36.5" x14ac:dyDescent="0.35">
      <c r="A135" s="37"/>
      <c r="B135" s="43" t="s">
        <v>7</v>
      </c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 spans="1:34" ht="24.5" x14ac:dyDescent="0.35">
      <c r="A136" s="40" t="s">
        <v>193</v>
      </c>
      <c r="B136" s="44" t="s">
        <v>174</v>
      </c>
      <c r="C136" s="49">
        <v>652</v>
      </c>
      <c r="D136" s="49">
        <v>505</v>
      </c>
      <c r="E136" s="49">
        <v>579</v>
      </c>
      <c r="F136" s="49">
        <v>584</v>
      </c>
      <c r="G136" s="49">
        <v>590</v>
      </c>
      <c r="H136" s="49">
        <v>596</v>
      </c>
      <c r="I136" s="49">
        <v>602</v>
      </c>
      <c r="J136" s="49">
        <v>608</v>
      </c>
      <c r="K136" s="49">
        <v>614</v>
      </c>
      <c r="L136" s="49">
        <v>620</v>
      </c>
      <c r="M136" s="49">
        <v>626</v>
      </c>
      <c r="N136" s="49">
        <v>632</v>
      </c>
      <c r="O136" s="49">
        <v>638</v>
      </c>
      <c r="P136" s="49">
        <v>644</v>
      </c>
      <c r="Q136" s="49">
        <v>650</v>
      </c>
      <c r="R136" s="49">
        <v>656</v>
      </c>
      <c r="S136" s="49">
        <v>662</v>
      </c>
      <c r="T136" s="49">
        <v>668</v>
      </c>
      <c r="U136" s="49">
        <v>674</v>
      </c>
      <c r="V136" s="49">
        <v>680</v>
      </c>
      <c r="W136" s="49">
        <v>686</v>
      </c>
      <c r="X136" s="49">
        <v>692</v>
      </c>
      <c r="Y136" s="49">
        <v>698</v>
      </c>
      <c r="Z136" s="49">
        <v>704</v>
      </c>
      <c r="AA136" s="49">
        <v>710</v>
      </c>
      <c r="AB136" s="49">
        <v>716</v>
      </c>
      <c r="AC136" s="49">
        <v>723</v>
      </c>
      <c r="AD136" s="49">
        <v>729</v>
      </c>
      <c r="AE136" s="49">
        <v>735</v>
      </c>
      <c r="AF136" s="49">
        <v>741</v>
      </c>
      <c r="AG136" s="49">
        <v>747</v>
      </c>
      <c r="AH136" s="46">
        <v>4.5440000000000003E-3</v>
      </c>
    </row>
    <row r="137" spans="1:34" ht="24.5" x14ac:dyDescent="0.35">
      <c r="A137" s="40" t="s">
        <v>194</v>
      </c>
      <c r="B137" s="44" t="s">
        <v>176</v>
      </c>
      <c r="C137" s="49">
        <v>840</v>
      </c>
      <c r="D137" s="49">
        <v>706</v>
      </c>
      <c r="E137" s="49">
        <v>826</v>
      </c>
      <c r="F137" s="49">
        <v>834</v>
      </c>
      <c r="G137" s="49">
        <v>842</v>
      </c>
      <c r="H137" s="49">
        <v>850</v>
      </c>
      <c r="I137" s="49">
        <v>858</v>
      </c>
      <c r="J137" s="49">
        <v>867</v>
      </c>
      <c r="K137" s="49">
        <v>875</v>
      </c>
      <c r="L137" s="49">
        <v>883</v>
      </c>
      <c r="M137" s="49">
        <v>891</v>
      </c>
      <c r="N137" s="49">
        <v>899</v>
      </c>
      <c r="O137" s="49">
        <v>907</v>
      </c>
      <c r="P137" s="49">
        <v>916</v>
      </c>
      <c r="Q137" s="49">
        <v>924</v>
      </c>
      <c r="R137" s="49">
        <v>932</v>
      </c>
      <c r="S137" s="49">
        <v>940</v>
      </c>
      <c r="T137" s="49">
        <v>948</v>
      </c>
      <c r="U137" s="49">
        <v>956</v>
      </c>
      <c r="V137" s="49">
        <v>965</v>
      </c>
      <c r="W137" s="49">
        <v>973</v>
      </c>
      <c r="X137" s="49">
        <v>981</v>
      </c>
      <c r="Y137" s="49">
        <v>989</v>
      </c>
      <c r="Z137" s="49">
        <v>997</v>
      </c>
      <c r="AA137" s="49">
        <v>1005</v>
      </c>
      <c r="AB137" s="49">
        <v>1014</v>
      </c>
      <c r="AC137" s="49">
        <v>1022</v>
      </c>
      <c r="AD137" s="49">
        <v>1030</v>
      </c>
      <c r="AE137" s="49">
        <v>1038</v>
      </c>
      <c r="AF137" s="49">
        <v>1046</v>
      </c>
      <c r="AG137" s="49">
        <v>1054</v>
      </c>
      <c r="AH137" s="46">
        <v>7.5940000000000001E-3</v>
      </c>
    </row>
    <row r="138" spans="1:34" ht="36.5" x14ac:dyDescent="0.35">
      <c r="A138" s="40" t="s">
        <v>195</v>
      </c>
      <c r="B138" s="44" t="s">
        <v>178</v>
      </c>
      <c r="C138" s="49">
        <v>831</v>
      </c>
      <c r="D138" s="49">
        <v>767</v>
      </c>
      <c r="E138" s="49">
        <v>857</v>
      </c>
      <c r="F138" s="49">
        <v>864</v>
      </c>
      <c r="G138" s="49">
        <v>870</v>
      </c>
      <c r="H138" s="49">
        <v>876</v>
      </c>
      <c r="I138" s="49">
        <v>882</v>
      </c>
      <c r="J138" s="49">
        <v>889</v>
      </c>
      <c r="K138" s="49">
        <v>895</v>
      </c>
      <c r="L138" s="49">
        <v>901</v>
      </c>
      <c r="M138" s="49">
        <v>907</v>
      </c>
      <c r="N138" s="49">
        <v>914</v>
      </c>
      <c r="O138" s="49">
        <v>920</v>
      </c>
      <c r="P138" s="49">
        <v>926</v>
      </c>
      <c r="Q138" s="49">
        <v>932</v>
      </c>
      <c r="R138" s="49">
        <v>939</v>
      </c>
      <c r="S138" s="49">
        <v>945</v>
      </c>
      <c r="T138" s="49">
        <v>951</v>
      </c>
      <c r="U138" s="49">
        <v>958</v>
      </c>
      <c r="V138" s="49">
        <v>964</v>
      </c>
      <c r="W138" s="49">
        <v>970</v>
      </c>
      <c r="X138" s="49">
        <v>976</v>
      </c>
      <c r="Y138" s="49">
        <v>983</v>
      </c>
      <c r="Z138" s="49">
        <v>989</v>
      </c>
      <c r="AA138" s="49">
        <v>995</v>
      </c>
      <c r="AB138" s="49">
        <v>1002</v>
      </c>
      <c r="AC138" s="49">
        <v>1008</v>
      </c>
      <c r="AD138" s="49">
        <v>1014</v>
      </c>
      <c r="AE138" s="49">
        <v>1021</v>
      </c>
      <c r="AF138" s="49">
        <v>1027</v>
      </c>
      <c r="AG138" s="49">
        <v>1033</v>
      </c>
      <c r="AH138" s="46">
        <v>7.28E-3</v>
      </c>
    </row>
    <row r="139" spans="1:34" ht="36.5" x14ac:dyDescent="0.35">
      <c r="A139" s="40" t="s">
        <v>196</v>
      </c>
      <c r="B139" s="44" t="s">
        <v>180</v>
      </c>
      <c r="C139" s="49">
        <v>975</v>
      </c>
      <c r="D139" s="49">
        <v>956</v>
      </c>
      <c r="E139" s="49">
        <v>1035</v>
      </c>
      <c r="F139" s="49">
        <v>1040</v>
      </c>
      <c r="G139" s="49">
        <v>1046</v>
      </c>
      <c r="H139" s="49">
        <v>1051</v>
      </c>
      <c r="I139" s="49">
        <v>1057</v>
      </c>
      <c r="J139" s="49">
        <v>1062</v>
      </c>
      <c r="K139" s="49">
        <v>1068</v>
      </c>
      <c r="L139" s="49">
        <v>1074</v>
      </c>
      <c r="M139" s="49">
        <v>1079</v>
      </c>
      <c r="N139" s="49">
        <v>1085</v>
      </c>
      <c r="O139" s="49">
        <v>1091</v>
      </c>
      <c r="P139" s="49">
        <v>1096</v>
      </c>
      <c r="Q139" s="49">
        <v>1102</v>
      </c>
      <c r="R139" s="49">
        <v>1108</v>
      </c>
      <c r="S139" s="49">
        <v>1114</v>
      </c>
      <c r="T139" s="49">
        <v>1119</v>
      </c>
      <c r="U139" s="49">
        <v>1125</v>
      </c>
      <c r="V139" s="49">
        <v>1131</v>
      </c>
      <c r="W139" s="49">
        <v>1137</v>
      </c>
      <c r="X139" s="49">
        <v>1142</v>
      </c>
      <c r="Y139" s="49">
        <v>1148</v>
      </c>
      <c r="Z139" s="49">
        <v>1154</v>
      </c>
      <c r="AA139" s="49">
        <v>1160</v>
      </c>
      <c r="AB139" s="49">
        <v>1166</v>
      </c>
      <c r="AC139" s="49">
        <v>1171</v>
      </c>
      <c r="AD139" s="49">
        <v>1177</v>
      </c>
      <c r="AE139" s="49">
        <v>1183</v>
      </c>
      <c r="AF139" s="49">
        <v>1189</v>
      </c>
      <c r="AG139" s="49">
        <v>1195</v>
      </c>
      <c r="AH139" s="46">
        <v>6.8050000000000003E-3</v>
      </c>
    </row>
    <row r="140" spans="1:34" ht="24.5" x14ac:dyDescent="0.35">
      <c r="A140" s="40" t="s">
        <v>197</v>
      </c>
      <c r="B140" s="44" t="s">
        <v>182</v>
      </c>
      <c r="C140" s="49">
        <v>2274</v>
      </c>
      <c r="D140" s="49">
        <v>2219</v>
      </c>
      <c r="E140" s="49">
        <v>2359</v>
      </c>
      <c r="F140" s="49">
        <v>2373</v>
      </c>
      <c r="G140" s="49">
        <v>2388</v>
      </c>
      <c r="H140" s="49">
        <v>2402</v>
      </c>
      <c r="I140" s="49">
        <v>2417</v>
      </c>
      <c r="J140" s="49">
        <v>2431</v>
      </c>
      <c r="K140" s="49">
        <v>2445</v>
      </c>
      <c r="L140" s="49">
        <v>2460</v>
      </c>
      <c r="M140" s="49">
        <v>2474</v>
      </c>
      <c r="N140" s="49">
        <v>2488</v>
      </c>
      <c r="O140" s="49">
        <v>2503</v>
      </c>
      <c r="P140" s="49">
        <v>2517</v>
      </c>
      <c r="Q140" s="49">
        <v>2531</v>
      </c>
      <c r="R140" s="49">
        <v>2546</v>
      </c>
      <c r="S140" s="49">
        <v>2560</v>
      </c>
      <c r="T140" s="49">
        <v>2575</v>
      </c>
      <c r="U140" s="49">
        <v>2589</v>
      </c>
      <c r="V140" s="49">
        <v>2603</v>
      </c>
      <c r="W140" s="49">
        <v>2618</v>
      </c>
      <c r="X140" s="49">
        <v>2632</v>
      </c>
      <c r="Y140" s="49">
        <v>2647</v>
      </c>
      <c r="Z140" s="49">
        <v>2661</v>
      </c>
      <c r="AA140" s="49">
        <v>2676</v>
      </c>
      <c r="AB140" s="49">
        <v>2690</v>
      </c>
      <c r="AC140" s="49">
        <v>2705</v>
      </c>
      <c r="AD140" s="49">
        <v>2719</v>
      </c>
      <c r="AE140" s="49">
        <v>2734</v>
      </c>
      <c r="AF140" s="49">
        <v>2748</v>
      </c>
      <c r="AG140" s="49">
        <v>2763</v>
      </c>
      <c r="AH140" s="46">
        <v>6.5139999999999998E-3</v>
      </c>
    </row>
    <row r="141" spans="1:34" ht="36.5" x14ac:dyDescent="0.35">
      <c r="A141" s="40" t="s">
        <v>198</v>
      </c>
      <c r="B141" s="44" t="s">
        <v>184</v>
      </c>
      <c r="C141" s="49">
        <v>1623</v>
      </c>
      <c r="D141" s="49">
        <v>1710</v>
      </c>
      <c r="E141" s="49">
        <v>1808</v>
      </c>
      <c r="F141" s="49">
        <v>1818</v>
      </c>
      <c r="G141" s="49">
        <v>1828</v>
      </c>
      <c r="H141" s="49">
        <v>1838</v>
      </c>
      <c r="I141" s="49">
        <v>1848</v>
      </c>
      <c r="J141" s="49">
        <v>1858</v>
      </c>
      <c r="K141" s="49">
        <v>1868</v>
      </c>
      <c r="L141" s="49">
        <v>1878</v>
      </c>
      <c r="M141" s="49">
        <v>1888</v>
      </c>
      <c r="N141" s="49">
        <v>1898</v>
      </c>
      <c r="O141" s="49">
        <v>1909</v>
      </c>
      <c r="P141" s="49">
        <v>1919</v>
      </c>
      <c r="Q141" s="49">
        <v>1929</v>
      </c>
      <c r="R141" s="49">
        <v>1939</v>
      </c>
      <c r="S141" s="49">
        <v>1949</v>
      </c>
      <c r="T141" s="49">
        <v>1959</v>
      </c>
      <c r="U141" s="49">
        <v>1969</v>
      </c>
      <c r="V141" s="49">
        <v>1980</v>
      </c>
      <c r="W141" s="49">
        <v>1990</v>
      </c>
      <c r="X141" s="49">
        <v>2000</v>
      </c>
      <c r="Y141" s="49">
        <v>2010</v>
      </c>
      <c r="Z141" s="49">
        <v>2020</v>
      </c>
      <c r="AA141" s="49">
        <v>2031</v>
      </c>
      <c r="AB141" s="49">
        <v>2041</v>
      </c>
      <c r="AC141" s="49">
        <v>2051</v>
      </c>
      <c r="AD141" s="49">
        <v>2061</v>
      </c>
      <c r="AE141" s="49">
        <v>2071</v>
      </c>
      <c r="AF141" s="49">
        <v>2082</v>
      </c>
      <c r="AG141" s="49">
        <v>2092</v>
      </c>
      <c r="AH141" s="46">
        <v>8.4969999999999993E-3</v>
      </c>
    </row>
    <row r="142" spans="1:34" ht="36.5" x14ac:dyDescent="0.35">
      <c r="A142" s="40" t="s">
        <v>199</v>
      </c>
      <c r="B142" s="44" t="s">
        <v>186</v>
      </c>
      <c r="C142" s="49">
        <v>2730</v>
      </c>
      <c r="D142" s="49">
        <v>2770</v>
      </c>
      <c r="E142" s="49">
        <v>2861</v>
      </c>
      <c r="F142" s="49">
        <v>2875</v>
      </c>
      <c r="G142" s="49">
        <v>2889</v>
      </c>
      <c r="H142" s="49">
        <v>2904</v>
      </c>
      <c r="I142" s="49">
        <v>2918</v>
      </c>
      <c r="J142" s="49">
        <v>2932</v>
      </c>
      <c r="K142" s="49">
        <v>2947</v>
      </c>
      <c r="L142" s="49">
        <v>2961</v>
      </c>
      <c r="M142" s="49">
        <v>2976</v>
      </c>
      <c r="N142" s="49">
        <v>2990</v>
      </c>
      <c r="O142" s="49">
        <v>3004</v>
      </c>
      <c r="P142" s="49">
        <v>3018</v>
      </c>
      <c r="Q142" s="49">
        <v>3033</v>
      </c>
      <c r="R142" s="49">
        <v>3047</v>
      </c>
      <c r="S142" s="49">
        <v>3061</v>
      </c>
      <c r="T142" s="49">
        <v>3076</v>
      </c>
      <c r="U142" s="49">
        <v>3090</v>
      </c>
      <c r="V142" s="49">
        <v>3104</v>
      </c>
      <c r="W142" s="49">
        <v>3119</v>
      </c>
      <c r="X142" s="49">
        <v>3133</v>
      </c>
      <c r="Y142" s="49">
        <v>3147</v>
      </c>
      <c r="Z142" s="49">
        <v>3161</v>
      </c>
      <c r="AA142" s="49">
        <v>3176</v>
      </c>
      <c r="AB142" s="49">
        <v>3190</v>
      </c>
      <c r="AC142" s="49">
        <v>3204</v>
      </c>
      <c r="AD142" s="49">
        <v>3218</v>
      </c>
      <c r="AE142" s="49">
        <v>3233</v>
      </c>
      <c r="AF142" s="49">
        <v>3247</v>
      </c>
      <c r="AG142" s="49">
        <v>3261</v>
      </c>
      <c r="AH142" s="46">
        <v>5.9420000000000002E-3</v>
      </c>
    </row>
    <row r="143" spans="1:34" x14ac:dyDescent="0.35">
      <c r="A143" s="40" t="s">
        <v>200</v>
      </c>
      <c r="B143" s="44" t="s">
        <v>188</v>
      </c>
      <c r="C143" s="49">
        <v>1639</v>
      </c>
      <c r="D143" s="49">
        <v>1471</v>
      </c>
      <c r="E143" s="49">
        <v>1560</v>
      </c>
      <c r="F143" s="49">
        <v>1568</v>
      </c>
      <c r="G143" s="49">
        <v>1577</v>
      </c>
      <c r="H143" s="49">
        <v>1586</v>
      </c>
      <c r="I143" s="49">
        <v>1595</v>
      </c>
      <c r="J143" s="49">
        <v>1604</v>
      </c>
      <c r="K143" s="49">
        <v>1613</v>
      </c>
      <c r="L143" s="49">
        <v>1622</v>
      </c>
      <c r="M143" s="49">
        <v>1631</v>
      </c>
      <c r="N143" s="49">
        <v>1641</v>
      </c>
      <c r="O143" s="49">
        <v>1650</v>
      </c>
      <c r="P143" s="49">
        <v>1659</v>
      </c>
      <c r="Q143" s="49">
        <v>1668</v>
      </c>
      <c r="R143" s="49">
        <v>1678</v>
      </c>
      <c r="S143" s="49">
        <v>1687</v>
      </c>
      <c r="T143" s="49">
        <v>1697</v>
      </c>
      <c r="U143" s="49">
        <v>1706</v>
      </c>
      <c r="V143" s="49">
        <v>1715</v>
      </c>
      <c r="W143" s="49">
        <v>1725</v>
      </c>
      <c r="X143" s="49">
        <v>1734</v>
      </c>
      <c r="Y143" s="49">
        <v>1744</v>
      </c>
      <c r="Z143" s="49">
        <v>1753</v>
      </c>
      <c r="AA143" s="49">
        <v>1763</v>
      </c>
      <c r="AB143" s="49">
        <v>1772</v>
      </c>
      <c r="AC143" s="49">
        <v>1782</v>
      </c>
      <c r="AD143" s="49">
        <v>1791</v>
      </c>
      <c r="AE143" s="49">
        <v>1801</v>
      </c>
      <c r="AF143" s="49">
        <v>1810</v>
      </c>
      <c r="AG143" s="49">
        <v>1820</v>
      </c>
      <c r="AH143" s="46">
        <v>3.4979999999999998E-3</v>
      </c>
    </row>
    <row r="144" spans="1:34" x14ac:dyDescent="0.35">
      <c r="A144" s="40" t="s">
        <v>201</v>
      </c>
      <c r="B144" s="44" t="s">
        <v>190</v>
      </c>
      <c r="C144" s="49">
        <v>1012</v>
      </c>
      <c r="D144" s="49">
        <v>840</v>
      </c>
      <c r="E144" s="49">
        <v>963</v>
      </c>
      <c r="F144" s="49">
        <v>969</v>
      </c>
      <c r="G144" s="49">
        <v>975</v>
      </c>
      <c r="H144" s="49">
        <v>982</v>
      </c>
      <c r="I144" s="49">
        <v>988</v>
      </c>
      <c r="J144" s="49">
        <v>994</v>
      </c>
      <c r="K144" s="49">
        <v>1001</v>
      </c>
      <c r="L144" s="49">
        <v>1007</v>
      </c>
      <c r="M144" s="49">
        <v>1013</v>
      </c>
      <c r="N144" s="49">
        <v>1020</v>
      </c>
      <c r="O144" s="49">
        <v>1026</v>
      </c>
      <c r="P144" s="49">
        <v>1032</v>
      </c>
      <c r="Q144" s="49">
        <v>1039</v>
      </c>
      <c r="R144" s="49">
        <v>1045</v>
      </c>
      <c r="S144" s="49">
        <v>1052</v>
      </c>
      <c r="T144" s="49">
        <v>1058</v>
      </c>
      <c r="U144" s="49">
        <v>1065</v>
      </c>
      <c r="V144" s="49">
        <v>1071</v>
      </c>
      <c r="W144" s="49">
        <v>1078</v>
      </c>
      <c r="X144" s="49">
        <v>1084</v>
      </c>
      <c r="Y144" s="49">
        <v>1091</v>
      </c>
      <c r="Z144" s="49">
        <v>1097</v>
      </c>
      <c r="AA144" s="49">
        <v>1104</v>
      </c>
      <c r="AB144" s="49">
        <v>1110</v>
      </c>
      <c r="AC144" s="49">
        <v>1117</v>
      </c>
      <c r="AD144" s="49">
        <v>1123</v>
      </c>
      <c r="AE144" s="49">
        <v>1130</v>
      </c>
      <c r="AF144" s="49">
        <v>1136</v>
      </c>
      <c r="AG144" s="49">
        <v>1143</v>
      </c>
      <c r="AH144" s="46">
        <v>4.0660000000000002E-3</v>
      </c>
    </row>
    <row r="145" spans="1:34" ht="24.5" x14ac:dyDescent="0.35">
      <c r="A145" s="40" t="s">
        <v>202</v>
      </c>
      <c r="B145" s="43" t="s">
        <v>192</v>
      </c>
      <c r="C145" s="52">
        <v>1496.4417719999999</v>
      </c>
      <c r="D145" s="52">
        <v>1423.084351</v>
      </c>
      <c r="E145" s="52">
        <v>1533.780518</v>
      </c>
      <c r="F145" s="52">
        <v>1545.432861</v>
      </c>
      <c r="G145" s="52">
        <v>1557.3450929999999</v>
      </c>
      <c r="H145" s="52">
        <v>1569.296509</v>
      </c>
      <c r="I145" s="52">
        <v>1581.2326660000001</v>
      </c>
      <c r="J145" s="52">
        <v>1593.1649170000001</v>
      </c>
      <c r="K145" s="52">
        <v>1605.2078859999999</v>
      </c>
      <c r="L145" s="52">
        <v>1617.1710210000001</v>
      </c>
      <c r="M145" s="52">
        <v>1629.009888</v>
      </c>
      <c r="N145" s="52">
        <v>1641.1838379999999</v>
      </c>
      <c r="O145" s="52">
        <v>1653.26001</v>
      </c>
      <c r="P145" s="52">
        <v>1665.1435550000001</v>
      </c>
      <c r="Q145" s="52">
        <v>1677.2926030000001</v>
      </c>
      <c r="R145" s="52">
        <v>1689.587524</v>
      </c>
      <c r="S145" s="52">
        <v>1701.6491699999999</v>
      </c>
      <c r="T145" s="52">
        <v>1713.928101</v>
      </c>
      <c r="U145" s="52">
        <v>1726.156616</v>
      </c>
      <c r="V145" s="52">
        <v>1738.2735600000001</v>
      </c>
      <c r="W145" s="52">
        <v>1750.842529</v>
      </c>
      <c r="X145" s="52">
        <v>1762.7661129999999</v>
      </c>
      <c r="Y145" s="52">
        <v>1775.36499</v>
      </c>
      <c r="Z145" s="52">
        <v>1787.387939</v>
      </c>
      <c r="AA145" s="52">
        <v>1800.091797</v>
      </c>
      <c r="AB145" s="52">
        <v>1812.380737</v>
      </c>
      <c r="AC145" s="52">
        <v>1824.8900149999999</v>
      </c>
      <c r="AD145" s="52">
        <v>1836.9436040000001</v>
      </c>
      <c r="AE145" s="52">
        <v>1849.7070309999999</v>
      </c>
      <c r="AF145" s="52">
        <v>1861.689087</v>
      </c>
      <c r="AG145" s="52">
        <v>1874.0201420000001</v>
      </c>
      <c r="AH145" s="48">
        <v>7.528E-3</v>
      </c>
    </row>
    <row r="146" spans="1:34" ht="15" thickBot="1" x14ac:dyDescent="0.4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 spans="1:34" x14ac:dyDescent="0.35">
      <c r="A147" s="37"/>
      <c r="B147" s="36" t="s">
        <v>203</v>
      </c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 spans="1:34" x14ac:dyDescent="0.35">
      <c r="A148" s="37"/>
      <c r="B148" s="51" t="s">
        <v>249</v>
      </c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 spans="1:34" x14ac:dyDescent="0.35">
      <c r="A149" s="37"/>
      <c r="B149" s="51" t="s">
        <v>205</v>
      </c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 spans="1:34" x14ac:dyDescent="0.35">
      <c r="A150" s="37"/>
      <c r="B150" s="51" t="s">
        <v>250</v>
      </c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 spans="1:34" x14ac:dyDescent="0.35">
      <c r="A151" s="37"/>
      <c r="B151" s="51" t="s">
        <v>207</v>
      </c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 spans="1:34" x14ac:dyDescent="0.35">
      <c r="A152" s="37"/>
      <c r="B152" s="51" t="s">
        <v>251</v>
      </c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 spans="1:34" x14ac:dyDescent="0.35">
      <c r="A153" s="37"/>
      <c r="B153" s="51" t="s">
        <v>252</v>
      </c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 spans="1:34" x14ac:dyDescent="0.35">
      <c r="A154" s="37"/>
      <c r="B154" s="51" t="s">
        <v>212</v>
      </c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 spans="1:34" x14ac:dyDescent="0.35">
      <c r="A155" s="37"/>
      <c r="B155" s="51" t="s">
        <v>213</v>
      </c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 spans="1:34" x14ac:dyDescent="0.35">
      <c r="A156" s="37"/>
      <c r="B156" s="51" t="s">
        <v>214</v>
      </c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 spans="1:34" x14ac:dyDescent="0.35">
      <c r="A157" s="37"/>
      <c r="B157" s="51" t="s">
        <v>215</v>
      </c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 spans="1:34" x14ac:dyDescent="0.35">
      <c r="A158" s="37"/>
      <c r="B158" s="51" t="s">
        <v>216</v>
      </c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 spans="1:34" x14ac:dyDescent="0.35">
      <c r="A159" s="37"/>
      <c r="B159" s="51" t="s">
        <v>217</v>
      </c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 spans="1:34" x14ac:dyDescent="0.35">
      <c r="A160" s="37"/>
      <c r="B160" s="51" t="s">
        <v>253</v>
      </c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 spans="2:2" x14ac:dyDescent="0.35">
      <c r="B161" s="51" t="s">
        <v>254</v>
      </c>
    </row>
    <row r="162" spans="2:2" x14ac:dyDescent="0.35">
      <c r="B162" s="51" t="s">
        <v>222</v>
      </c>
    </row>
    <row r="163" spans="2:2" x14ac:dyDescent="0.35">
      <c r="B163" s="51" t="s">
        <v>223</v>
      </c>
    </row>
    <row r="164" spans="2:2" x14ac:dyDescent="0.35">
      <c r="B164" s="51" t="s">
        <v>224</v>
      </c>
    </row>
    <row r="165" spans="2:2" x14ac:dyDescent="0.35">
      <c r="B165" s="51" t="s">
        <v>225</v>
      </c>
    </row>
    <row r="166" spans="2:2" x14ac:dyDescent="0.35">
      <c r="B166" s="51" t="s">
        <v>255</v>
      </c>
    </row>
    <row r="167" spans="2:2" x14ac:dyDescent="0.35">
      <c r="B167" s="51" t="s">
        <v>256</v>
      </c>
    </row>
  </sheetData>
  <mergeCells count="1">
    <mergeCell ref="B147:AH1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"/>
  <sheetViews>
    <sheetView workbookViewId="0">
      <selection activeCell="B3" sqref="B3"/>
    </sheetView>
  </sheetViews>
  <sheetFormatPr defaultRowHeight="14.5" x14ac:dyDescent="0.35"/>
  <cols>
    <col min="1" max="1" width="16.54296875" customWidth="1"/>
    <col min="2" max="2" width="16.453125" customWidth="1"/>
    <col min="3" max="3" width="9.81640625" bestFit="1" customWidth="1"/>
  </cols>
  <sheetData>
    <row r="1" spans="1:31" x14ac:dyDescent="0.35">
      <c r="A1" t="s">
        <v>232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35">
      <c r="A2" t="s">
        <v>231</v>
      </c>
      <c r="B2">
        <f>'AEO 2022 Table 4'!C20*10^6</f>
        <v>123382614</v>
      </c>
      <c r="C2">
        <f>'AEO 2023 Table 4'!C20*10^6</f>
        <v>126414780</v>
      </c>
      <c r="D2">
        <f>'AEO 2023 Table 4'!D20*10^6</f>
        <v>127612274</v>
      </c>
      <c r="E2">
        <f>'AEO 2023 Table 4'!E20*10^6</f>
        <v>128811890</v>
      </c>
      <c r="F2">
        <f>'AEO 2023 Table 4'!F20*10^6</f>
        <v>130038406.00000001</v>
      </c>
      <c r="G2">
        <f>'AEO 2023 Table 4'!G20*10^6</f>
        <v>131261536</v>
      </c>
      <c r="H2">
        <f>'AEO 2023 Table 4'!H20*10^6</f>
        <v>132490661.99999999</v>
      </c>
      <c r="I2">
        <f>'AEO 2023 Table 4'!I20*10^6</f>
        <v>133728226</v>
      </c>
      <c r="J2">
        <f>'AEO 2023 Table 4'!J20*10^6</f>
        <v>134956406</v>
      </c>
      <c r="K2">
        <f>'AEO 2023 Table 4'!K20*10^6</f>
        <v>136153549</v>
      </c>
      <c r="L2">
        <f>'AEO 2023 Table 4'!L20*10^6</f>
        <v>137327728</v>
      </c>
      <c r="M2">
        <f>'AEO 2023 Table 4'!M20*10^6</f>
        <v>138493362</v>
      </c>
      <c r="N2">
        <f>'AEO 2023 Table 4'!N20*10^6</f>
        <v>139633911</v>
      </c>
      <c r="O2">
        <f>'AEO 2023 Table 4'!O20*10^6</f>
        <v>140739151</v>
      </c>
      <c r="P2">
        <f>'AEO 2023 Table 4'!P20*10^6</f>
        <v>141829391</v>
      </c>
      <c r="Q2">
        <f>'AEO 2023 Table 4'!Q20*10^6</f>
        <v>142921112</v>
      </c>
      <c r="R2">
        <f>'AEO 2023 Table 4'!R20*10^6</f>
        <v>144005829</v>
      </c>
      <c r="S2">
        <f>'AEO 2023 Table 4'!S20*10^6</f>
        <v>145085938</v>
      </c>
      <c r="T2">
        <f>'AEO 2023 Table 4'!T20*10^6</f>
        <v>146158127</v>
      </c>
      <c r="U2">
        <f>'AEO 2023 Table 4'!U20*10^6</f>
        <v>147242310</v>
      </c>
      <c r="V2">
        <f>'AEO 2023 Table 4'!V20*10^6</f>
        <v>148327301</v>
      </c>
      <c r="W2">
        <f>'AEO 2023 Table 4'!W20*10^6</f>
        <v>149396057</v>
      </c>
      <c r="X2">
        <f>'AEO 2023 Table 4'!X20*10^6</f>
        <v>150456635</v>
      </c>
      <c r="Y2">
        <f>'AEO 2023 Table 4'!Y20*10^6</f>
        <v>151509811</v>
      </c>
      <c r="Z2">
        <f>'AEO 2023 Table 4'!Z20*10^6</f>
        <v>152556671</v>
      </c>
      <c r="AA2">
        <f>'AEO 2023 Table 4'!AA20*10^6</f>
        <v>153593384</v>
      </c>
      <c r="AB2">
        <f>'AEO 2023 Table 4'!AB20*10^6</f>
        <v>154626434</v>
      </c>
      <c r="AC2">
        <f>'AEO 2023 Table 4'!AC20*10^6</f>
        <v>155648575</v>
      </c>
      <c r="AD2">
        <f>'AEO 2023 Table 4'!AD20*10^6</f>
        <v>156658737</v>
      </c>
      <c r="AE2">
        <f>'AEO 2023 Table 4'!AE20*10^6</f>
        <v>157660004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AEO 2023 Table 4</vt:lpstr>
      <vt:lpstr>AEO 2022 Table 4</vt:lpstr>
      <vt:lpstr>NoH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2016-01-21T23:28:30Z</dcterms:created>
  <dcterms:modified xsi:type="dcterms:W3CDTF">2025-09-26T21:00:03Z</dcterms:modified>
</cp:coreProperties>
</file>