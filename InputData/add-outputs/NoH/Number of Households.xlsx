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add-outputs\NoH\"/>
    </mc:Choice>
  </mc:AlternateContent>
  <xr:revisionPtr revIDLastSave="0" documentId="13_ncr:1_{907229D4-4A84-4006-8923-F1CFB4EC9156}" xr6:coauthVersionLast="47" xr6:coauthVersionMax="47" xr10:uidLastSave="{00000000-0000-0000-0000-000000000000}"/>
  <bookViews>
    <workbookView xWindow="5310" yWindow="2310" windowWidth="21120" windowHeight="14655" activeTab="2" xr2:uid="{00000000-000D-0000-FFFF-FFFF00000000}"/>
  </bookViews>
  <sheets>
    <sheet name="About" sheetId="1" r:id="rId1"/>
    <sheet name="AEO_Table4" sheetId="7" r:id="rId2"/>
    <sheet name="NoH" sheetId="3" r:id="rId3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3" l="1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<sst xmlns="http://schemas.openxmlformats.org/spreadsheetml/2006/main" count="455" uniqueCount="294">
  <si>
    <t>Source:</t>
  </si>
  <si>
    <t>Notes</t>
  </si>
  <si>
    <t>Table 4.  Residential Sector Key Indicators and Consumption</t>
  </si>
  <si>
    <t>Source: U.S. Energy Information Administration</t>
  </si>
  <si>
    <t>full name</t>
  </si>
  <si>
    <t>api key</t>
  </si>
  <si>
    <t>units</t>
  </si>
  <si>
    <t>Key Indicators</t>
  </si>
  <si>
    <t>Households (millions)</t>
  </si>
  <si>
    <t>Single-Family</t>
  </si>
  <si>
    <t>millions</t>
  </si>
  <si>
    <t>Multifamily</t>
  </si>
  <si>
    <t>Mobile Homes</t>
  </si>
  <si>
    <t>Total</t>
  </si>
  <si>
    <t>Average House Square Footage</t>
  </si>
  <si>
    <t>sq ft</t>
  </si>
  <si>
    <t>Energy Intensity</t>
  </si>
  <si>
    <t>Gross End-use Consumption</t>
  </si>
  <si>
    <t>MMBtu/household</t>
  </si>
  <si>
    <t>Delivered Energy Consumption</t>
  </si>
  <si>
    <t>(thousand Btu per square foot)</t>
  </si>
  <si>
    <t>thousand Btu/sq ft</t>
  </si>
  <si>
    <t>Energy Consumption by Fuel</t>
  </si>
  <si>
    <t>Electricity</t>
  </si>
  <si>
    <t>Space Heating</t>
  </si>
  <si>
    <t>quads</t>
  </si>
  <si>
    <t>Space Cooling</t>
  </si>
  <si>
    <t>Water Heating</t>
  </si>
  <si>
    <t>Refrigeration</t>
  </si>
  <si>
    <t>Cooking</t>
  </si>
  <si>
    <t>Clothes Dryers</t>
  </si>
  <si>
    <t>Freezers</t>
  </si>
  <si>
    <t>Lighting</t>
  </si>
  <si>
    <t>Clothes Washers</t>
  </si>
  <si>
    <t>Dishwashers</t>
  </si>
  <si>
    <t>Televisions and Related Equipment</t>
  </si>
  <si>
    <t>Computers and Related Equipment</t>
  </si>
  <si>
    <t>Furnace Fans and Boiler Circulation Pumps</t>
  </si>
  <si>
    <t>Other Uses</t>
  </si>
  <si>
    <t>On-site Generation for Own Use</t>
  </si>
  <si>
    <t>Natural Gas</t>
  </si>
  <si>
    <t>Delivered Energy</t>
  </si>
  <si>
    <t>Distillate Fuel Oil</t>
  </si>
  <si>
    <t>Propane</t>
  </si>
  <si>
    <t>Marketed Renewables (wood)</t>
  </si>
  <si>
    <t>Energy Consumption by End Use</t>
  </si>
  <si>
    <t>Electricity Related Losses</t>
  </si>
  <si>
    <t>Total Energy Consumption by End Use</t>
  </si>
  <si>
    <t>Total Gross End-use Consumption</t>
  </si>
  <si>
    <t>Nonmarketed Renewables</t>
  </si>
  <si>
    <t>Solar Hot Water Heating</t>
  </si>
  <si>
    <t>Solar Photovoltaic</t>
  </si>
  <si>
    <t>Wind</t>
  </si>
  <si>
    <t>Heating Degree Days</t>
  </si>
  <si>
    <t>New England</t>
  </si>
  <si>
    <t>HDD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</si>
  <si>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</si>
  <si>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</si>
  <si>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</si>
  <si>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</si>
  <si>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</si>
  <si>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</si>
  <si>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</si>
  <si>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Pacific</t>
  </si>
  <si>
    <t>United States</t>
  </si>
  <si>
    <t>Cooling Degree Days</t>
  </si>
  <si>
    <t>CDD</t>
  </si>
  <si>
    <t>BNoH BAU Number of Households</t>
  </si>
  <si>
    <t>Energy Information Administration (EIA)</t>
  </si>
  <si>
    <t>Table 4</t>
  </si>
  <si>
    <t xml:space="preserve">This table reports the number of households in the EPS region. </t>
  </si>
  <si>
    <t>It is used to project variables like energy spending per household.</t>
  </si>
  <si>
    <t>Households</t>
  </si>
  <si>
    <t>Projections</t>
  </si>
  <si>
    <t>https://www.eia.gov/outlooks/aeo/data/browser/#/?id=4-AEO2025&amp;region=0-0&amp;cases=highZTC&amp;start=2023&amp;end=2050&amp;f=A&amp;sourcekey=0</t>
  </si>
  <si>
    <t>Tue Mar 10 2026 13:44:28 GMT-0400 (Eastern Daylight Time)</t>
  </si>
  <si>
    <t>Growth (2024-2050)</t>
  </si>
  <si>
    <t>Residential: Key Indicators: Households: Single-Family: High Zero-Carbon Technology Cost</t>
  </si>
  <si>
    <t>AEO.2025.HIGHZTC.KEI_HHD_RESD_SFR_NA_NA_USA_MILL.A</t>
  </si>
  <si>
    <t>Residential: Key Indicators: Households: Multifamily: High Zero-Carbon Technology Cost</t>
  </si>
  <si>
    <t>AEO.2025.HIGHZTC.KEI_HHD_RESD_MFR_NA_NA_USA_MILL.A</t>
  </si>
  <si>
    <t>Residential: Key Indicators: Households: Mobile Homes: High Zero-Carbon Technology Cost</t>
  </si>
  <si>
    <t>AEO.2025.HIGHZTC.KEI_HHD_RESD_MBH_NA_NA_USA_MILL.A</t>
  </si>
  <si>
    <t>Residential: Key Indicators: Households: Total: High Zero-Carbon Technology Cost</t>
  </si>
  <si>
    <t>AEO.2025.HIGHZTC.KEI_HHD_RESD_TEN_NA_NA_USA_MILL.A</t>
  </si>
  <si>
    <t>Residential: Key Indicators: Average House Square Footage: High Zero-Carbon Technology Cost</t>
  </si>
  <si>
    <t>AEO.2025.HIGHZTC.KEI_HHD_RESD_NA_NA_NA_USA_SQFT.A</t>
  </si>
  <si>
    <t>(MMBtu per household)</t>
  </si>
  <si>
    <t>Residential: Household Energy Intensity: Gross End-use Consumption: High Zero-Carbon Technology Cost</t>
  </si>
  <si>
    <t>AEO.2025.HIGHZTC.INY_HHD_RESD_DELE_NA_NA_USA_MILLBTUPHOSD.A</t>
  </si>
  <si>
    <t>Residential: Household Energy Intensity: Delivered Energy Consumption: High Zero-Carbon Technology Cost</t>
  </si>
  <si>
    <t>AEO.2025.HIGHZTC.INY_HHD_RESD_TEN_NA_NA_USA_MILLBTUPHOSD.A</t>
  </si>
  <si>
    <t>Residential: Energy Intensity per Square Foot: Gross End-use Consumption: High Zero-Carbon Technology Cost</t>
  </si>
  <si>
    <t>AEO.2025.HIGHZTC.INY_HHD_RESD_DELE_NA_NA_USA_THBTUPSQFT.A</t>
  </si>
  <si>
    <t>Residential: Energy Intensity per Square Foot: Delivered Energy Consumption: High Zero-Carbon Technology Cost</t>
  </si>
  <si>
    <t>AEO.2025.HIGHZTC.INY_HHD_RESD_TEN_NA_NA_USA_THBTUPSQFT.A</t>
  </si>
  <si>
    <t>Residential: Electricity: Space Heating: High Zero-Carbon Technology Cost</t>
  </si>
  <si>
    <t>AEO.2025.HIGHZTC.CNSM_HHD_RESD_SPH_ELC_NA_USA_QBTU.A</t>
  </si>
  <si>
    <t>Residential: Electricity: Space Cooling: High Zero-Carbon Technology Cost</t>
  </si>
  <si>
    <t>AEO.2025.HIGHZTC.CNSM_NA_RESD_SPC_ELC_NA_USA_QBTU.A</t>
  </si>
  <si>
    <t>Residential: Electricity: Water Heating: High Zero-Carbon Technology Cost</t>
  </si>
  <si>
    <t>AEO.2025.HIGHZTC.CNSM_NA_RESD_WTHT_ELC_NA_USA_QBTU.A</t>
  </si>
  <si>
    <t>Residential: Electricity: Refrigeration: High Zero-Carbon Technology Cost</t>
  </si>
  <si>
    <t>AEO.2025.HIGHZTC.CNSM_NA_RESD_REFR_ELC_NA_USA_QBTU.A</t>
  </si>
  <si>
    <t>Residential: Electricity: Cooking: High Zero-Carbon Technology Cost</t>
  </si>
  <si>
    <t>AEO.2025.HIGHZTC.CNSM_NA_RESD_CGR_ELC_NA_USA_QBTU.A</t>
  </si>
  <si>
    <t>Residential: Electricity: Clothes Dryers: High Zero-Carbon Technology Cost</t>
  </si>
  <si>
    <t>AEO.2025.HIGHZTC.CNSM_NA_RESD_CDR_ELC_NA_USA_QBTU.A</t>
  </si>
  <si>
    <t>Residential: Electricity: Freezers: High Zero-Carbon Technology Cost</t>
  </si>
  <si>
    <t>AEO.2025.HIGHZTC.CNSM_NA_RESD_FRZ_ELC_NA_USA_QBTU.A</t>
  </si>
  <si>
    <t>Residential: Electricity: Lighting: High Zero-Carbon Technology Cost</t>
  </si>
  <si>
    <t>AEO.2025.HIGHZTC.CNSM_NA_RESD_LGHTNG_ELC_NA_USA_QBTU.A</t>
  </si>
  <si>
    <t>Residential: Electricity: Clothes Washers: High Zero-Carbon Technology Cost</t>
  </si>
  <si>
    <t>AEO.2025.HIGHZTC.CNSM_NA_RESD_CLW_ELC_NA_USA_QBTU.A</t>
  </si>
  <si>
    <t>Residential: Electricity: Dishwashers: High Zero-Carbon Technology Cost</t>
  </si>
  <si>
    <t>AEO.2025.HIGHZTC.CNSM_NA_RESD_DSW_ELC_NA_USA_QBTU.A</t>
  </si>
  <si>
    <t>Residential: Electricity: Televisions: High Zero-Carbon Technology Cost</t>
  </si>
  <si>
    <t>AEO.2025.HIGHZTC.CNSM_NA_RESD_TVR_ELC_NA_USA_QBTU.A</t>
  </si>
  <si>
    <t>Residential: Electricity: Computers: High Zero-Carbon Technology Cost</t>
  </si>
  <si>
    <t>AEO.2025.HIGHZTC.CNSM_NA_RESD_CMPR_ELC_NA_USA_QBTU.A</t>
  </si>
  <si>
    <t>Residential: Electricity: Fans and Pumps: High Zero-Carbon Technology Cost</t>
  </si>
  <si>
    <t>AEO.2025.HIGHZTC.CNSM_NA_RESD_FPR_ELC_NA_USA_QBTU.A</t>
  </si>
  <si>
    <t>Residential: Electricity: Other Uses: High Zero-Carbon Technology Cost</t>
  </si>
  <si>
    <t>AEO.2025.HIGHZTC.CNSM_NA_RESD_OTHU_ELC_NA_USA_QBTU.A</t>
  </si>
  <si>
    <t>Gross End-use Electricity Consumption</t>
  </si>
  <si>
    <t>Residential: Electricity: Gross End-use Electricity Consumption: High Zero-Carbon Technology Cost</t>
  </si>
  <si>
    <t>AEO.2025.HIGHZTC.CNSM_NA_RESD_DELE_ELC_NA_USA_QBTU.A</t>
  </si>
  <si>
    <t>Purchased Electricity for Electric Vehicle Charging</t>
  </si>
  <si>
    <t>Residential: Electricity: Purchased Electricity for EV Charging: High Zero-Carbon Technology Cost</t>
  </si>
  <si>
    <t>AEO.2025.HIGHZTC.CNSM_NA_RESD_EVCHRING_ELC_NA_USA_QBTU.A</t>
  </si>
  <si>
    <t>Residential: Electricity: Generation for Own Use: High Zero-Carbon Technology Cost</t>
  </si>
  <si>
    <t>AEO.2025.HIGHZTC.GEN_NA_RESD_GFO_ELC_NA_USA_QBTU.A</t>
  </si>
  <si>
    <t>Purchased Electricity at Residential Location</t>
  </si>
  <si>
    <t>Residential: Electricity: Purchased Electricity at Residential Location: High Zero-Carbon Technology Cost</t>
  </si>
  <si>
    <t>AEO.2025.HIGHZTC.CNSM_NA_RESD_PURCHELEC_ELC_NA_USA_QBTU.A</t>
  </si>
  <si>
    <t>Residential: Natural Gas: Space Heating: High Zero-Carbon Technology Cost</t>
  </si>
  <si>
    <t>AEO.2025.HIGHZTC.CNSM_NA_RESD_SPH_NG_NA_USA_QBTU.A</t>
  </si>
  <si>
    <t>Residential: Natural Gas: Space Cooling: High Zero-Carbon Technology Cost</t>
  </si>
  <si>
    <t>AEO.2025.HIGHZTC.CNSM_NA_RESD_SPC_NG_NA_USA_QBTU.A</t>
  </si>
  <si>
    <t>Residential: Natural Gas: Water Heating: High Zero-Carbon Technology Cost</t>
  </si>
  <si>
    <t>AEO.2025.HIGHZTC.CNSM_NA_RESD_WTHT_NG_NA_USA_QBTU.A</t>
  </si>
  <si>
    <t>Residential: Natural Gas: Cooking: High Zero-Carbon Technology Cost</t>
  </si>
  <si>
    <t>AEO.2025.HIGHZTC.CNSM_NA_RESD_CGR_NG_NA_USA_QBTU.A</t>
  </si>
  <si>
    <t>Residential: Natural Gas: Clothes Dryers: High Zero-Carbon Technology Cost</t>
  </si>
  <si>
    <t>AEO.2025.HIGHZTC.CNSM_NA_RESD_CDR_NG_NA_USA_QBTU.A</t>
  </si>
  <si>
    <t>Residential: Natural Gas: Other Uses: High Zero-Carbon Technology Cost</t>
  </si>
  <si>
    <t>AEO.2025.HIGHZTC.CNSM_NA_RESD_OTHU_NG_NA_USA_QBTU.A</t>
  </si>
  <si>
    <t>Residential: Natural Gas: Delivered Energy: High Zero-Carbon Technology Cost</t>
  </si>
  <si>
    <t>AEO.2025.HIGHZTC.CNSM_NA_RESD_DELE_NG_NA_USA_QBTU.A</t>
  </si>
  <si>
    <t>Residential: Distillate Fuel Oil: Space Heating: High Zero-Carbon Technology Cost</t>
  </si>
  <si>
    <t>AEO.2025.HIGHZTC.CNSM_NA_RESD_SPH_DFO_NA_USA_QBTU.A</t>
  </si>
  <si>
    <t>Residential: Distillate Fuel Oil: Water Heating: High Zero-Carbon Technology Cost</t>
  </si>
  <si>
    <t>AEO.2025.HIGHZTC.CNSM_NA_RESD_WTHT_DFO_NA_USA_QBTU.A</t>
  </si>
  <si>
    <t>Residential: Distillate Fuel Oil: Other Uses: High Zero-Carbon Technology Cost</t>
  </si>
  <si>
    <t>AEO.2025.HIGHZTC.CNSM_NA_RESD_OTHU_DFO_NA_USA_QBTU.A</t>
  </si>
  <si>
    <t>Residential: Distillate Fuel Oil: Delivered Energy: High Zero-Carbon Technology Cost</t>
  </si>
  <si>
    <t>AEO.2025.HIGHZTC.CNSM_NA_RESD_NA_DFO_NA_USA_QBTU.A</t>
  </si>
  <si>
    <t>Residential: Propane: Space Heating: High Zero-Carbon Technology Cost</t>
  </si>
  <si>
    <t>AEO.2025.HIGHZTC.CNSM_NA_RESD_SPH_PROP_NA_USA_QBTU.A</t>
  </si>
  <si>
    <t>Residential: Propane: Water Heating: High Zero-Carbon Technology Cost</t>
  </si>
  <si>
    <t>AEO.2025.HIGHZTC.CNSM_NA_RESD_WTHT_PROP_NA_USA_QBTU.A</t>
  </si>
  <si>
    <t>Residential: Propane: Cooking: High Zero-Carbon Technology Cost</t>
  </si>
  <si>
    <t>AEO.2025.HIGHZTC.CNSM_NA_RESD_CGR_PROP_NA_USA_QBTU.A</t>
  </si>
  <si>
    <t>Residential: Propane: Other Uses: High Zero-Carbon Technology Cost</t>
  </si>
  <si>
    <t>AEO.2025.HIGHZTC.CNSM_NA_RESD_OTHU_PROP_NA_USA_QBTU.A</t>
  </si>
  <si>
    <t>Residential: Propane: Delivered Energy: High Zero-Carbon Technology Cost</t>
  </si>
  <si>
    <t>AEO.2025.HIGHZTC.CNSM_NA_RESD_DELE_PROP_NA_USA_QBTU.A</t>
  </si>
  <si>
    <t>Residential: Marketed Renewables (wood): High Zero-Carbon Technology Cost</t>
  </si>
  <si>
    <t>AEO.2025.HIGHZTC.CNSM_NA_RESD_NA_MRW_NA_USA_QBTU.A</t>
  </si>
  <si>
    <t>Residential: Delivered Energy Use by End Use: Space Heating: High Zero-Carbon Technology Cost</t>
  </si>
  <si>
    <t>AEO.2025.HIGHZTC.CNSM_NA_RESD_SPH_DEE_NA_USA_QBTU.A</t>
  </si>
  <si>
    <t>Residential: Delivered Energy Use by End Use: Space Cooling: High Zero-Carbon Technology Cost</t>
  </si>
  <si>
    <t>AEO.2025.HIGHZTC.CNSM_NA_RESD_SPC_DEE_NA_USA_QBTU.A</t>
  </si>
  <si>
    <t>Residential: Delivered Energy Use by End Use: Water Heating: High Zero-Carbon Technology Cost</t>
  </si>
  <si>
    <t>AEO.2025.HIGHZTC.CNSM_NA_RESD_WTHT_DEE_NA_USA_QBTU.A</t>
  </si>
  <si>
    <t>Residential: Delivered Energy Use by End Use: Refrigeration: High Zero-Carbon Technology Cost</t>
  </si>
  <si>
    <t>AEO.2025.HIGHZTC.CNSM_NA_RESD_REFR_DEE_NA_USA_QBTU.A</t>
  </si>
  <si>
    <t>Residential: Delivered Energy Use by End Use: Cooking: High Zero-Carbon Technology Cost</t>
  </si>
  <si>
    <t>AEO.2025.HIGHZTC.CNSM_NA_RESD_CGR_DEE_NA_USA_QBTU.A</t>
  </si>
  <si>
    <t>Residential: Delivered Energy Use by End Use: Clothes Dryers: High Zero-Carbon Technology Cost</t>
  </si>
  <si>
    <t>AEO.2025.HIGHZTC.CNSM_NA_RESD_CDR_DEE_NA_USA_QBTU.A</t>
  </si>
  <si>
    <t>Residential: Delivered Energy Use by End Use: Freezers: High Zero-Carbon Technology Cost</t>
  </si>
  <si>
    <t>AEO.2025.HIGHZTC.CNSM_NA_RESD_FRZ_DEE_NA_USA_QBTU.A</t>
  </si>
  <si>
    <t>Residential: Delivered Energy Use by End Use: Lighting: High Zero-Carbon Technology Cost</t>
  </si>
  <si>
    <t>AEO.2025.HIGHZTC.CNSM_NA_RESD_LGHTNG_DEE_NA_USA_QBTU.A</t>
  </si>
  <si>
    <t>Residential: Delivered Energy Use by End Use: Clothes Washers: High Zero-Carbon Technology Cost</t>
  </si>
  <si>
    <t>AEO.2025.HIGHZTC.CNSM_NA_RESD_CLW_DEE_NA_USA_QBTU.A</t>
  </si>
  <si>
    <t>Residential: Delivered Energy Use by End Use: Dishwashers: High Zero-Carbon Technology Cost</t>
  </si>
  <si>
    <t>AEO.2025.HIGHZTC.CNSM_NA_RESD_DSW_DEE_NA_USA_QBTU.A</t>
  </si>
  <si>
    <t>Residential: Delivered Energy Use by End Use: Televisions: High Zero-Carbon Technology Cost</t>
  </si>
  <si>
    <t>AEO.2025.HIGHZTC.CNSM_NA_RESD_TVR_DEE_NA_USA_QBTU.A</t>
  </si>
  <si>
    <t>Residential: Delivered Energy Use by End Use: Computers: High Zero-Carbon Technology Cost</t>
  </si>
  <si>
    <t>AEO.2025.HIGHZTC.CNSM_NA_RESD_CMPR_DEE_NA_USA_QBTU.A</t>
  </si>
  <si>
    <t>Residential: Delivered Energy Use by End Use: Fans and Pumps: High Zero-Carbon Technology Cost</t>
  </si>
  <si>
    <t>AEO.2025.HIGHZTC.CNSM_NA_RESD_FPR_DEE_NA_USA_QBTU.A</t>
  </si>
  <si>
    <t>Residential: Delivered Energy Use by End Use: Other Uses: High Zero-Carbon Technology Cost</t>
  </si>
  <si>
    <t>AEO.2025.HIGHZTC.CNSM_NA_RESD_OTHU_DEE_NA_USA_QBTU.A</t>
  </si>
  <si>
    <t>Residential: Energy Consumption by End Use: Gross End-use Consumption: High Zero-Carbon Technology Cost</t>
  </si>
  <si>
    <t>AEO.2025.HIGHZTC.CNSM_NA_RESD_TUS_DEE_NA_USA_QBTU.A</t>
  </si>
  <si>
    <t>Residential: Energy Consumption by End Use: Purchased Electricity for EV Charging: High Zero-Carbon Technology Cost</t>
  </si>
  <si>
    <t>AEO.2025.HIGHZTC.CNSM_NA_RESD_PUELEVCHRG_DEE_NA_USA_QBTU.A</t>
  </si>
  <si>
    <t>Residential: Energy Consumption by End Use: Generation for Own Use: High Zero-Carbon Technology Cost</t>
  </si>
  <si>
    <t>AEO.2025.HIGHZTC.GEN_NA_RESD_GFO_DEE_NA_USA_QBTU.A</t>
  </si>
  <si>
    <t>Residential: Energy Consumption by End Use: Delivered Energy: High Zero-Carbon Technology Cost</t>
  </si>
  <si>
    <t>AEO.2025.HIGHZTC.CNSM_NA_RESD_DELE_DEE_NA_USA_QBTU.A</t>
  </si>
  <si>
    <t>Residential: Electricity Related Losses: High Zero-Carbon Technology Cost</t>
  </si>
  <si>
    <t>AEO.2025.HIGHZTC.CNSM_LOSSES_RESD_NA_ENRL_NA_USA_QBTU.A</t>
  </si>
  <si>
    <t>Residential: Total Energy Use by End Use: Space Heating: High Zero-Carbon Technology Cost</t>
  </si>
  <si>
    <t>AEO.2025.HIGHZTC.CNSM_NA_RESD_SPH_TEE_NA_USA_QBTU.A</t>
  </si>
  <si>
    <t>Residential: Total Energy Use by End Use: Space Cooling: High Zero-Carbon Technology Cost</t>
  </si>
  <si>
    <t>AEO.2025.HIGHZTC.CNSM_NA_RESD_SPC_TEE_NA_USA_QBTU.A</t>
  </si>
  <si>
    <t>Residential: Total Energy Use by End Use: Water Heating: High Zero-Carbon Technology Cost</t>
  </si>
  <si>
    <t>AEO.2025.HIGHZTC.CNSM_NA_RESD_WTHT_TEE_NA_USA_QBTU.A</t>
  </si>
  <si>
    <t>Residential: Total Energy Use by End Use: Refrigeration: High Zero-Carbon Technology Cost</t>
  </si>
  <si>
    <t>AEO.2025.HIGHZTC.CNSM_NA_RESD_REFR_TEE_NA_USA_QBTU.A</t>
  </si>
  <si>
    <t>Residential: Total Energy Use by End Use: Cooking: High Zero-Carbon Technology Cost</t>
  </si>
  <si>
    <t>AEO.2025.HIGHZTC.CNSM_NA_RESD_CGR_TEE_NA_USA_QBTU.A</t>
  </si>
  <si>
    <t>Residential: Total Energy Use by End Use: Clothes Dryers: High Zero-Carbon Technology Cost</t>
  </si>
  <si>
    <t>AEO.2025.HIGHZTC.CNSM_NA_RESD_CDR_TEE_NA_USA_QBTU.A</t>
  </si>
  <si>
    <t>Residential: Total Energy Use by End Use: Freezers: High Zero-Carbon Technology Cost</t>
  </si>
  <si>
    <t>AEO.2025.HIGHZTC.CNSM_NA_RESD_FRZ_TEE_NA_USA_QBTU.A</t>
  </si>
  <si>
    <t>Residential: Total Energy Use by End Use: Lighting: High Zero-Carbon Technology Cost</t>
  </si>
  <si>
    <t>AEO.2025.HIGHZTC.CNSM_NA_RESD_LGHTNG_TEE_NA_USA_QBTU.A</t>
  </si>
  <si>
    <t>Residential: Total Energy Use by End Use: Clothes Washers: High Zero-Carbon Technology Cost</t>
  </si>
  <si>
    <t>AEO.2025.HIGHZTC.CNSM_NA_RESD_CLW_TEE_NA_USA_QBTU.A</t>
  </si>
  <si>
    <t>Residential: Total Energy Use by End Use: Dishwashers: High Zero-Carbon Technology Cost</t>
  </si>
  <si>
    <t>AEO.2025.HIGHZTC.CNSM_NA_RESD_DSW_TEE_NA_USA_QBTU.A</t>
  </si>
  <si>
    <t>Residential: Total Energy Use by End Use: Televisions: High Zero-Carbon Technology Cost</t>
  </si>
  <si>
    <t>AEO.2025.HIGHZTC.CNSM_NA_RESD_TVR_TEE_NA_USA_QBTU.A</t>
  </si>
  <si>
    <t>Residential: Total Energy Use by End Use: Computers: High Zero-Carbon Technology Cost</t>
  </si>
  <si>
    <t>AEO.2025.HIGHZTC.CNSM_NA_RESD_CMPR_TEE_NA_USA_QBTU.A</t>
  </si>
  <si>
    <t>Residential: Total Energy Use by End Use: Fans and Pumps: High Zero-Carbon Technology Cost</t>
  </si>
  <si>
    <t>AEO.2025.HIGHZTC.CNSM_NA_RESD_FPR_TEE_NA_USA_QBTU.A</t>
  </si>
  <si>
    <t>Residential: Total Energy Use by End Use: Other Uses: High Zero-Carbon Technology Cost</t>
  </si>
  <si>
    <t>AEO.2025.HIGHZTC.CNSM_NA_RESD_OTHU_TEE_NA_USA_QBTU.A</t>
  </si>
  <si>
    <t>Residential: Total Energy Use by End Use: Total Gross End-use Consumption: High Zero-Carbon Technology Cost</t>
  </si>
  <si>
    <t>AEO.2025.HIGHZTC.CNSM_NA_RESD_TOTENCONS_TEE_NA_USA_QBTU.A</t>
  </si>
  <si>
    <t>Residential: Generation for Own Use: Purchased Electricity for EV Charging: High Zero-Carbon Technology Cost</t>
  </si>
  <si>
    <t>AEO.2025.HIGHZTC.GEN_NA_RESD_PUELEVCHRG_TEE_NA_USA_QBTU.A</t>
  </si>
  <si>
    <t>Residential: Generation for Own Use: Total Gross End-use Consumption: High Zero-Carbon Technology Cost</t>
  </si>
  <si>
    <t>AEO.2025.HIGHZTC.GEN_NA_RESD_GFO_TEE_NA_USA_QBTU.A</t>
  </si>
  <si>
    <t>Total Energy</t>
  </si>
  <si>
    <t>Residential: Total Net Own-use Generation: Total Gross End-use Consumption: High Zero-Carbon Technology Cost</t>
  </si>
  <si>
    <t>AEO.2025.HIGHZTC.GEN_NA_RESD_TTG_TEE_NA_USA_QBTU.A</t>
  </si>
  <si>
    <t>Residential: Nonmarketed Renewables: Solar Hot Water Heating: High Zero-Carbon Technology Cost</t>
  </si>
  <si>
    <t>AEO.2025.HIGHZTC.CNSM_NA_RESD_SHW_NRW_NA_USA_QBTU.A</t>
  </si>
  <si>
    <t>Residential: Nonmarketed Renewables: Solar Photovoltaic: High Zero-Carbon Technology Cost</t>
  </si>
  <si>
    <t>AEO.2025.HIGHZTC.CNSM_NA_RESD_SOPH_NRW_NA_USA_QBTU.A</t>
  </si>
  <si>
    <t>Residential: Nonmarketed Renewables: Wind: High Zero-Carbon Technology Cost</t>
  </si>
  <si>
    <t>AEO.2025.HIGHZTC.CNSM_NA_RESD_WND_NRW_NA_USA_QBTU.A</t>
  </si>
  <si>
    <t>Residential: Nonmarketed Renewables: Total: High Zero-Carbon Technology Cost</t>
  </si>
  <si>
    <t>AEO.2025.HIGHZTC.CNSM_NA_RESD_NA_NRW_NA_USA_QBTU.A</t>
  </si>
  <si>
    <t>Residential: Heating Degree Days: New England: High Zero-Carbon Technology Cost</t>
  </si>
  <si>
    <t>AEO.2025.HIGHZTC.KEI_HDD_RESD_NA_NA_NA_NENGL_HDD.A</t>
  </si>
  <si>
    <t>Residential: Heating Degree Days: Middle Atlantic: High Zero-Carbon Technology Cost</t>
  </si>
  <si>
    <t>AEO.2025.HIGHZTC.KEI_HDD_RESD_NA_NA_NA_MATL_HDD.A</t>
  </si>
  <si>
    <t>Residential: Heating Degree Days: East North Central: High Zero-Carbon Technology Cost</t>
  </si>
  <si>
    <t>AEO.2025.HIGHZTC.KEI_HDD_RESD_NA_NA_NA_ENC_HDD.A</t>
  </si>
  <si>
    <t>Residential: Heating Degree Days: West North Central: High Zero-Carbon Technology Cost</t>
  </si>
  <si>
    <t>AEO.2025.HIGHZTC.KEI_HDD_RESD_NA_NA_NA_WNC_HDD.A</t>
  </si>
  <si>
    <t>Residential: Heating Degree Days: South Atlantic: High Zero-Carbon Technology Cost</t>
  </si>
  <si>
    <t>AEO.2025.HIGHZTC.KEI_HDD_RESD_NA_NA_NA_SATL_HDD.A</t>
  </si>
  <si>
    <t>Residential: Heating Degree Days: East South Central: High Zero-Carbon Technology Cost</t>
  </si>
  <si>
    <t>AEO.2025.HIGHZTC.KEI_HDD_RESD_NA_NA_NA_ESC_HDD.A</t>
  </si>
  <si>
    <t>Residential: Heating Degree Days: West South Central: High Zero-Carbon Technology Cost</t>
  </si>
  <si>
    <t>AEO.2025.HIGHZTC.KEI_HDD_RESD_NA_NA_NA_WSC_HDD.A</t>
  </si>
  <si>
    <t>Residential: Heating Degree Days: Mountain: High Zero-Carbon Technology Cost</t>
  </si>
  <si>
    <t>AEO.2025.HIGHZTC.KEI_HDD_RESD_NA_NA_NA_MTN_HDD.A</t>
  </si>
  <si>
    <t>Residential: Heating Degree Days: Pacific: High Zero-Carbon Technology Cost</t>
  </si>
  <si>
    <t>AEO.2025.HIGHZTC.KEI_HDD_RESD_NA_NA_NA_PCF_HDD.A</t>
  </si>
  <si>
    <t>Residential: Heating Degree Days: United States: High Zero-Carbon Technology Cost</t>
  </si>
  <si>
    <t>AEO.2025.HIGHZTC.KEI_HDD_RESD_NA_NA_NA_USA_HDD.A</t>
  </si>
  <si>
    <t>Residential: Cooling Degree Days: New England: High Zero-Carbon Technology Cost</t>
  </si>
  <si>
    <t>AEO.2025.HIGHZTC.KEI_CDD_RESD_NA_NA_NA_NENGL_CDD.A</t>
  </si>
  <si>
    <t>Residential: Cooling Degree Days: Middle Atlantic: High Zero-Carbon Technology Cost</t>
  </si>
  <si>
    <t>AEO.2025.HIGHZTC.KEI_CDD_RESD_NA_NA_NA_MATL_CDD.A</t>
  </si>
  <si>
    <t>Residential: Cooling Degree Days: East North Central: High Zero-Carbon Technology Cost</t>
  </si>
  <si>
    <t>AEO.2025.HIGHZTC.KEI_CDD_RESD_NA_NA_NA_ENC_CDD.A</t>
  </si>
  <si>
    <t>Residential: Cooling Degree Days: West North Central: High Zero-Carbon Technology Cost</t>
  </si>
  <si>
    <t>AEO.2025.HIGHZTC.KEI_CDD_RESD_NA_NA_NA_WNC_CDD.A</t>
  </si>
  <si>
    <t>Residential: Cooling Degree Days: South Atlantic: High Zero-Carbon Technology Cost</t>
  </si>
  <si>
    <t>AEO.2025.HIGHZTC.KEI_CDD_RESD_NA_NA_NA_SATL_CDD.A</t>
  </si>
  <si>
    <t>Residential: Cooling Degree Days: East South Central: High Zero-Carbon Technology Cost</t>
  </si>
  <si>
    <t>AEO.2025.HIGHZTC.KEI_CDD_RESD_NA_NA_NA_ESC_CDD.A</t>
  </si>
  <si>
    <t>Residential: Cooling Degree Days: West South Central: High Zero-Carbon Technology Cost</t>
  </si>
  <si>
    <t>AEO.2025.HIGHZTC.KEI_CDD_RESD_NA_NA_NA_WSC_CDD.A</t>
  </si>
  <si>
    <t>Residential: Cooling Degree Days: Mountain: High Zero-Carbon Technology Cost</t>
  </si>
  <si>
    <t>AEO.2025.HIGHZTC.KEI_CDD_RESD_NA_NA_NA_MTN_CDD.A</t>
  </si>
  <si>
    <t>Residential: Cooling Degree Days: Pacific: High Zero-Carbon Technology Cost</t>
  </si>
  <si>
    <t>AEO.2025.HIGHZTC.KEI_CDD_RESD_NA_NA_NA_PCF_CDD.A</t>
  </si>
  <si>
    <t>Residential: Cooling Degree Days: United States: High Zero-Carbon Technology Cost</t>
  </si>
  <si>
    <t>AEO.2025.HIGHZTC.KEI_CDD_RESD_NA_NA_NA_USA_CDD.A</t>
  </si>
  <si>
    <t>Annual Energy Outlook 2025</t>
  </si>
  <si>
    <t>https://www.eia.gov/outlooks/aeo/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</si>
</sst>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right"/>
    </xf>
    <xf numFmtId="0" fontId="1" fillId="2" borderId="0" xfId="0" applyFont="1" applyFill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</cellXfs>
  <cellStyles count="3">
    <cellStyle name="Normal" xfId="0" builtinId="0"/>
    <cellStyle name="Normal 2" xfId="2" xr:uid="{6FD36569-6574-4A97-AF1B-A3877C22E53E}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B14" sqref="B14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2" x14ac:dyDescent="0.25">
      <c r="A1" s="1" t="s">
        <v>67</v>
      </c>
    </row>
    <row r="3" spans="1:2" x14ac:dyDescent="0.25">
      <c r="A3" s="1" t="s">
        <v>0</v>
      </c>
      <c r="B3" s="5" t="s">
        <v>73</v>
      </c>
    </row>
    <row r="4" spans="1:2" x14ac:dyDescent="0.25">
      <c r="B4" t="s">
        <v>68</v>
      </c>
    </row>
    <row r="5" spans="1:2" x14ac:dyDescent="0.25">
      <c r="B5" s="6">
        <v>2025</v>
      </c>
    </row>
    <row r="6" spans="1:2" x14ac:dyDescent="0.25">
      <c r="B6" t="s">
        <v>292</v>
      </c>
    </row>
    <row r="7" spans="1:2" x14ac:dyDescent="0.25">
      <c r="B7" t="s">
        <v>293</v>
      </c>
    </row>
    <row r="8" spans="1:2" x14ac:dyDescent="0.25">
      <c r="A8" s="2"/>
      <c r="B8" t="s">
        <v>69</v>
      </c>
    </row>
    <row r="10" spans="1:2" x14ac:dyDescent="0.25">
      <c r="A10" s="1" t="s">
        <v>1</v>
      </c>
    </row>
    <row r="11" spans="1:2" x14ac:dyDescent="0.25">
      <c r="A11" t="s">
        <v>70</v>
      </c>
    </row>
    <row r="12" spans="1:2" x14ac:dyDescent="0.25">
      <c r="A12" t="s">
        <v>71</v>
      </c>
    </row>
    <row r="13" spans="1:2" x14ac:dyDescent="0.25">
      <c r="A1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963EE-DBEC-454B-85A3-AA6835E267B7}">
  <dimension ref="A1:AG125"/>
  <sheetViews>
    <sheetView workbookViewId="0">
      <selection activeCell="F11" sqref="F11"/>
    </sheetView>
  </sheetViews>
  <sheetFormatPr defaultRowHeight="15" x14ac:dyDescent="0.25"/>
  <sheetData>
    <row r="1" spans="1:33" x14ac:dyDescent="0.25">
      <c r="A1" t="s">
        <v>2</v>
      </c>
    </row>
    <row r="2" spans="1:33" x14ac:dyDescent="0.25">
      <c r="A2" t="s">
        <v>74</v>
      </c>
    </row>
    <row r="3" spans="1:33" x14ac:dyDescent="0.25">
      <c r="A3" t="s">
        <v>75</v>
      </c>
    </row>
    <row r="4" spans="1:33" x14ac:dyDescent="0.25">
      <c r="A4" t="s">
        <v>3</v>
      </c>
    </row>
    <row r="5" spans="1:33" x14ac:dyDescent="0.25">
      <c r="B5" t="s">
        <v>4</v>
      </c>
      <c r="C5" t="s">
        <v>5</v>
      </c>
      <c r="D5" t="s">
        <v>6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76</v>
      </c>
    </row>
    <row r="6" spans="1:33" x14ac:dyDescent="0.25">
      <c r="A6" t="s">
        <v>7</v>
      </c>
    </row>
    <row r="7" spans="1:33" x14ac:dyDescent="0.25">
      <c r="A7" t="s">
        <v>8</v>
      </c>
    </row>
    <row r="8" spans="1:33" x14ac:dyDescent="0.25">
      <c r="A8" t="s">
        <v>9</v>
      </c>
      <c r="B8" t="s">
        <v>77</v>
      </c>
      <c r="C8" t="s">
        <v>78</v>
      </c>
      <c r="D8" t="s">
        <v>10</v>
      </c>
      <c r="F8">
        <v>88.609744000000006</v>
      </c>
      <c r="G8">
        <v>89.620168000000007</v>
      </c>
      <c r="H8">
        <v>90.630560000000003</v>
      </c>
      <c r="I8">
        <v>91.639144000000002</v>
      </c>
      <c r="J8">
        <v>92.631343999999999</v>
      </c>
      <c r="K8">
        <v>93.625568000000001</v>
      </c>
      <c r="L8">
        <v>94.612880000000004</v>
      </c>
      <c r="M8">
        <v>95.597920000000002</v>
      </c>
      <c r="N8">
        <v>96.579055999999994</v>
      </c>
      <c r="O8">
        <v>97.539760000000001</v>
      </c>
      <c r="P8">
        <v>98.471496000000002</v>
      </c>
      <c r="Q8">
        <v>99.397143999999997</v>
      </c>
      <c r="R8">
        <v>100.30808</v>
      </c>
      <c r="S8">
        <v>101.19444</v>
      </c>
      <c r="T8">
        <v>102.05505599999999</v>
      </c>
      <c r="U8">
        <v>102.881776</v>
      </c>
      <c r="V8">
        <v>103.68031999999999</v>
      </c>
      <c r="W8">
        <v>104.448032</v>
      </c>
      <c r="X8">
        <v>105.19444</v>
      </c>
      <c r="Y8">
        <v>105.909008</v>
      </c>
      <c r="Z8">
        <v>106.60332</v>
      </c>
      <c r="AA8">
        <v>107.296992</v>
      </c>
      <c r="AB8">
        <v>107.988176</v>
      </c>
      <c r="AC8">
        <v>108.678416</v>
      </c>
      <c r="AD8">
        <v>109.36732000000001</v>
      </c>
      <c r="AE8">
        <v>110.055008</v>
      </c>
      <c r="AF8">
        <v>110.739904</v>
      </c>
      <c r="AG8" s="7">
        <v>8.9999999999999993E-3</v>
      </c>
    </row>
    <row r="9" spans="1:33" x14ac:dyDescent="0.25">
      <c r="A9" t="s">
        <v>11</v>
      </c>
      <c r="B9" t="s">
        <v>79</v>
      </c>
      <c r="C9" t="s">
        <v>80</v>
      </c>
      <c r="D9" t="s">
        <v>10</v>
      </c>
      <c r="F9">
        <v>34.017912000000003</v>
      </c>
      <c r="G9">
        <v>34.380360000000003</v>
      </c>
      <c r="H9">
        <v>34.797955999999999</v>
      </c>
      <c r="I9">
        <v>35.233648000000002</v>
      </c>
      <c r="J9">
        <v>35.702292</v>
      </c>
      <c r="K9">
        <v>36.208235999999999</v>
      </c>
      <c r="L9">
        <v>36.726044000000002</v>
      </c>
      <c r="M9">
        <v>37.246780000000001</v>
      </c>
      <c r="N9">
        <v>37.753312000000001</v>
      </c>
      <c r="O9">
        <v>38.226855999999998</v>
      </c>
      <c r="P9">
        <v>38.666983999999999</v>
      </c>
      <c r="Q9">
        <v>39.093076000000003</v>
      </c>
      <c r="R9">
        <v>39.503836</v>
      </c>
      <c r="S9">
        <v>39.883567999999997</v>
      </c>
      <c r="T9">
        <v>40.239072</v>
      </c>
      <c r="U9">
        <v>40.573248</v>
      </c>
      <c r="V9">
        <v>40.890327999999997</v>
      </c>
      <c r="W9">
        <v>41.185544</v>
      </c>
      <c r="X9">
        <v>41.464128000000002</v>
      </c>
      <c r="Y9">
        <v>41.734527999999997</v>
      </c>
      <c r="Z9">
        <v>42.005980000000001</v>
      </c>
      <c r="AA9">
        <v>42.277656</v>
      </c>
      <c r="AB9">
        <v>42.549807999999999</v>
      </c>
      <c r="AC9">
        <v>42.820991999999997</v>
      </c>
      <c r="AD9">
        <v>43.092480000000002</v>
      </c>
      <c r="AE9">
        <v>43.364628000000003</v>
      </c>
      <c r="AF9">
        <v>43.636816000000003</v>
      </c>
      <c r="AG9" s="7">
        <v>0.01</v>
      </c>
    </row>
    <row r="10" spans="1:33" x14ac:dyDescent="0.25">
      <c r="A10" t="s">
        <v>12</v>
      </c>
      <c r="B10" t="s">
        <v>81</v>
      </c>
      <c r="C10" t="s">
        <v>82</v>
      </c>
      <c r="D10" t="s">
        <v>10</v>
      </c>
      <c r="F10">
        <v>6.7559019999999999</v>
      </c>
      <c r="G10">
        <v>6.748634</v>
      </c>
      <c r="H10">
        <v>6.7704029999999999</v>
      </c>
      <c r="I10">
        <v>6.7926659999999996</v>
      </c>
      <c r="J10">
        <v>6.8042179999999997</v>
      </c>
      <c r="K10">
        <v>6.8138589999999999</v>
      </c>
      <c r="L10">
        <v>6.8186530000000003</v>
      </c>
      <c r="M10">
        <v>6.8248490000000004</v>
      </c>
      <c r="N10">
        <v>6.8337789999999998</v>
      </c>
      <c r="O10">
        <v>6.8433950000000001</v>
      </c>
      <c r="P10">
        <v>6.8506429999999998</v>
      </c>
      <c r="Q10">
        <v>6.8557889999999997</v>
      </c>
      <c r="R10">
        <v>6.86137</v>
      </c>
      <c r="S10">
        <v>6.8660889999999997</v>
      </c>
      <c r="T10">
        <v>6.8694940000000004</v>
      </c>
      <c r="U10">
        <v>6.8719570000000001</v>
      </c>
      <c r="V10">
        <v>6.8768599999999998</v>
      </c>
      <c r="W10">
        <v>6.8830470000000004</v>
      </c>
      <c r="X10">
        <v>6.8891169999999997</v>
      </c>
      <c r="Y10">
        <v>6.8947900000000004</v>
      </c>
      <c r="Z10">
        <v>6.9008120000000002</v>
      </c>
      <c r="AA10">
        <v>6.9073529999999996</v>
      </c>
      <c r="AB10">
        <v>6.9128509999999999</v>
      </c>
      <c r="AC10">
        <v>6.9189319999999999</v>
      </c>
      <c r="AD10">
        <v>6.9247629999999996</v>
      </c>
      <c r="AE10">
        <v>6.931044</v>
      </c>
      <c r="AF10">
        <v>6.9366469999999998</v>
      </c>
      <c r="AG10" s="7">
        <v>1E-3</v>
      </c>
    </row>
    <row r="11" spans="1:33" x14ac:dyDescent="0.25">
      <c r="A11" t="s">
        <v>13</v>
      </c>
      <c r="B11" t="s">
        <v>83</v>
      </c>
      <c r="C11" t="s">
        <v>84</v>
      </c>
      <c r="D11" t="s">
        <v>10</v>
      </c>
      <c r="F11">
        <v>129.383557</v>
      </c>
      <c r="G11">
        <v>130.74916300000001</v>
      </c>
      <c r="H11">
        <v>132.19891899999999</v>
      </c>
      <c r="I11">
        <v>133.665458</v>
      </c>
      <c r="J11">
        <v>135.137854</v>
      </c>
      <c r="K11">
        <v>136.64766299999999</v>
      </c>
      <c r="L11">
        <v>138.157577</v>
      </c>
      <c r="M11">
        <v>139.66954899999999</v>
      </c>
      <c r="N11">
        <v>141.166146</v>
      </c>
      <c r="O11">
        <v>142.61001099999999</v>
      </c>
      <c r="P11">
        <v>143.98912300000001</v>
      </c>
      <c r="Q11">
        <v>145.34600800000001</v>
      </c>
      <c r="R11">
        <v>146.67328499999999</v>
      </c>
      <c r="S11">
        <v>147.944097</v>
      </c>
      <c r="T11">
        <v>149.163622</v>
      </c>
      <c r="U11">
        <v>150.32698099999999</v>
      </c>
      <c r="V11">
        <v>151.447508</v>
      </c>
      <c r="W11">
        <v>152.51662300000001</v>
      </c>
      <c r="X11">
        <v>153.547685</v>
      </c>
      <c r="Y11">
        <v>154.53832600000001</v>
      </c>
      <c r="Z11">
        <v>155.51011199999999</v>
      </c>
      <c r="AA11">
        <v>156.482</v>
      </c>
      <c r="AB11">
        <v>157.45083500000001</v>
      </c>
      <c r="AC11">
        <v>158.41834</v>
      </c>
      <c r="AD11">
        <v>159.38456300000001</v>
      </c>
      <c r="AE11">
        <v>160.35067900000001</v>
      </c>
      <c r="AF11">
        <v>161.313367</v>
      </c>
      <c r="AG11" s="7">
        <v>8.9999999999999993E-3</v>
      </c>
    </row>
    <row r="12" spans="1:33" x14ac:dyDescent="0.25">
      <c r="A12" t="s">
        <v>14</v>
      </c>
      <c r="B12" t="s">
        <v>85</v>
      </c>
      <c r="C12" t="s">
        <v>86</v>
      </c>
      <c r="D12" t="s">
        <v>15</v>
      </c>
      <c r="F12">
        <v>1643.956909</v>
      </c>
      <c r="G12">
        <v>1650.5161129999999</v>
      </c>
      <c r="H12">
        <v>1656.4620359999999</v>
      </c>
      <c r="I12">
        <v>1662.1602780000001</v>
      </c>
      <c r="J12">
        <v>1667.528687</v>
      </c>
      <c r="K12">
        <v>1672.5445560000001</v>
      </c>
      <c r="L12">
        <v>1677.3793949999999</v>
      </c>
      <c r="M12">
        <v>1682.0760499999999</v>
      </c>
      <c r="N12">
        <v>1686.7470699999999</v>
      </c>
      <c r="O12">
        <v>1691.494995</v>
      </c>
      <c r="P12">
        <v>1696.3217770000001</v>
      </c>
      <c r="Q12">
        <v>1701.145996</v>
      </c>
      <c r="R12">
        <v>1705.9552000000001</v>
      </c>
      <c r="S12">
        <v>1710.841187</v>
      </c>
      <c r="T12">
        <v>1715.764404</v>
      </c>
      <c r="U12">
        <v>1720.697754</v>
      </c>
      <c r="V12">
        <v>1725.6134030000001</v>
      </c>
      <c r="W12">
        <v>1730.5462649999999</v>
      </c>
      <c r="X12">
        <v>1735.488159</v>
      </c>
      <c r="Y12">
        <v>1740.372437</v>
      </c>
      <c r="Z12">
        <v>1745.155029</v>
      </c>
      <c r="AA12">
        <v>1749.8751219999999</v>
      </c>
      <c r="AB12">
        <v>1754.534302</v>
      </c>
      <c r="AC12">
        <v>1759.1407469999999</v>
      </c>
      <c r="AD12">
        <v>1763.687866</v>
      </c>
      <c r="AE12">
        <v>1768.173706</v>
      </c>
      <c r="AF12">
        <v>1772.6058350000001</v>
      </c>
      <c r="AG12" s="7">
        <v>3.0000000000000001E-3</v>
      </c>
    </row>
    <row r="13" spans="1:33" x14ac:dyDescent="0.25">
      <c r="A13" t="s">
        <v>16</v>
      </c>
    </row>
    <row r="14" spans="1:33" x14ac:dyDescent="0.25">
      <c r="A14" t="s">
        <v>87</v>
      </c>
    </row>
    <row r="15" spans="1:33" x14ac:dyDescent="0.25">
      <c r="A15" t="s">
        <v>17</v>
      </c>
      <c r="B15" t="s">
        <v>88</v>
      </c>
      <c r="C15" t="s">
        <v>89</v>
      </c>
      <c r="D15" t="s">
        <v>18</v>
      </c>
      <c r="F15">
        <v>85.992243999999999</v>
      </c>
      <c r="G15">
        <v>87.976600000000005</v>
      </c>
      <c r="H15">
        <v>87.589889999999997</v>
      </c>
      <c r="I15">
        <v>87.167931999999993</v>
      </c>
      <c r="J15">
        <v>86.534193000000002</v>
      </c>
      <c r="K15">
        <v>85.477507000000003</v>
      </c>
      <c r="L15">
        <v>84.242287000000005</v>
      </c>
      <c r="M15">
        <v>82.878242</v>
      </c>
      <c r="N15">
        <v>81.472909000000001</v>
      </c>
      <c r="O15">
        <v>80.237629999999996</v>
      </c>
      <c r="P15">
        <v>79.124025000000003</v>
      </c>
      <c r="Q15">
        <v>78.223224000000002</v>
      </c>
      <c r="R15">
        <v>77.510908999999998</v>
      </c>
      <c r="S15">
        <v>76.934630999999996</v>
      </c>
      <c r="T15">
        <v>76.394609000000003</v>
      </c>
      <c r="U15">
        <v>75.933800000000005</v>
      </c>
      <c r="V15">
        <v>75.490183999999999</v>
      </c>
      <c r="W15">
        <v>75.046198000000004</v>
      </c>
      <c r="X15">
        <v>74.633349999999993</v>
      </c>
      <c r="Y15">
        <v>74.262237999999996</v>
      </c>
      <c r="Z15">
        <v>73.916539</v>
      </c>
      <c r="AA15">
        <v>73.581210999999996</v>
      </c>
      <c r="AB15">
        <v>73.253640000000004</v>
      </c>
      <c r="AC15">
        <v>72.937099000000003</v>
      </c>
      <c r="AD15">
        <v>72.637647000000001</v>
      </c>
      <c r="AE15">
        <v>72.361427000000006</v>
      </c>
      <c r="AF15">
        <v>72.093052999999998</v>
      </c>
      <c r="AG15" s="7">
        <v>-7.0000000000000001E-3</v>
      </c>
    </row>
    <row r="16" spans="1:33" x14ac:dyDescent="0.25">
      <c r="A16" t="s">
        <v>19</v>
      </c>
      <c r="B16" t="s">
        <v>90</v>
      </c>
      <c r="C16" t="s">
        <v>91</v>
      </c>
      <c r="D16" t="s">
        <v>18</v>
      </c>
      <c r="F16">
        <v>84.632913000000002</v>
      </c>
      <c r="G16">
        <v>86.447232</v>
      </c>
      <c r="H16">
        <v>85.892414000000002</v>
      </c>
      <c r="I16">
        <v>85.317886999999999</v>
      </c>
      <c r="J16">
        <v>84.531318999999996</v>
      </c>
      <c r="K16">
        <v>83.322996000000003</v>
      </c>
      <c r="L16">
        <v>81.928291000000002</v>
      </c>
      <c r="M16">
        <v>80.396377000000001</v>
      </c>
      <c r="N16">
        <v>78.827236999999997</v>
      </c>
      <c r="O16">
        <v>77.431217000000004</v>
      </c>
      <c r="P16">
        <v>76.162388000000007</v>
      </c>
      <c r="Q16">
        <v>75.148381999999998</v>
      </c>
      <c r="R16">
        <v>74.320521999999997</v>
      </c>
      <c r="S16">
        <v>73.627571000000003</v>
      </c>
      <c r="T16">
        <v>72.966007000000005</v>
      </c>
      <c r="U16">
        <v>72.382382000000007</v>
      </c>
      <c r="V16">
        <v>71.813781000000006</v>
      </c>
      <c r="W16">
        <v>71.243269999999995</v>
      </c>
      <c r="X16">
        <v>70.700708000000006</v>
      </c>
      <c r="Y16">
        <v>70.198181000000005</v>
      </c>
      <c r="Z16">
        <v>69.719190999999995</v>
      </c>
      <c r="AA16">
        <v>69.247444000000002</v>
      </c>
      <c r="AB16">
        <v>68.781064000000001</v>
      </c>
      <c r="AC16">
        <v>68.323617999999996</v>
      </c>
      <c r="AD16">
        <v>67.880285999999998</v>
      </c>
      <c r="AE16">
        <v>67.458633000000006</v>
      </c>
      <c r="AF16">
        <v>67.043820999999994</v>
      </c>
      <c r="AG16" s="7">
        <v>-8.9999999999999993E-3</v>
      </c>
    </row>
    <row r="17" spans="1:33" x14ac:dyDescent="0.25">
      <c r="A17" t="s">
        <v>20</v>
      </c>
    </row>
    <row r="18" spans="1:33" x14ac:dyDescent="0.25">
      <c r="A18" t="s">
        <v>17</v>
      </c>
      <c r="B18" t="s">
        <v>92</v>
      </c>
      <c r="C18" t="s">
        <v>93</v>
      </c>
      <c r="D18" t="s">
        <v>21</v>
      </c>
      <c r="F18">
        <v>52.308089000000002</v>
      </c>
      <c r="G18">
        <v>53.302478999999998</v>
      </c>
      <c r="H18">
        <v>52.877692000000003</v>
      </c>
      <c r="I18">
        <v>52.442554999999999</v>
      </c>
      <c r="J18">
        <v>51.893675999999999</v>
      </c>
      <c r="K18">
        <v>51.106265999999998</v>
      </c>
      <c r="L18">
        <v>50.222560000000001</v>
      </c>
      <c r="M18">
        <v>49.2714</v>
      </c>
      <c r="N18">
        <v>48.301794000000001</v>
      </c>
      <c r="O18">
        <v>47.435924999999997</v>
      </c>
      <c r="P18">
        <v>46.644466999999999</v>
      </c>
      <c r="Q18">
        <v>45.982663000000002</v>
      </c>
      <c r="R18">
        <v>45.435488999999997</v>
      </c>
      <c r="S18">
        <v>44.968890999999999</v>
      </c>
      <c r="T18">
        <v>44.525115999999997</v>
      </c>
      <c r="U18">
        <v>44.129655999999997</v>
      </c>
      <c r="V18">
        <v>43.746870000000001</v>
      </c>
      <c r="W18">
        <v>43.365611999999999</v>
      </c>
      <c r="X18">
        <v>43.004240000000003</v>
      </c>
      <c r="Y18">
        <v>42.670313999999998</v>
      </c>
      <c r="Z18">
        <v>42.355285000000002</v>
      </c>
      <c r="AA18">
        <v>42.049407000000002</v>
      </c>
      <c r="AB18">
        <v>41.751044999999998</v>
      </c>
      <c r="AC18">
        <v>41.461776</v>
      </c>
      <c r="AD18">
        <v>41.185091999999997</v>
      </c>
      <c r="AE18">
        <v>40.924388</v>
      </c>
      <c r="AF18">
        <v>40.670662</v>
      </c>
      <c r="AG18" s="7">
        <v>-0.01</v>
      </c>
    </row>
    <row r="19" spans="1:33" x14ac:dyDescent="0.25">
      <c r="A19" t="s">
        <v>19</v>
      </c>
      <c r="B19" t="s">
        <v>94</v>
      </c>
      <c r="C19" t="s">
        <v>95</v>
      </c>
      <c r="D19" t="s">
        <v>21</v>
      </c>
      <c r="F19">
        <v>51.481223999999997</v>
      </c>
      <c r="G19">
        <v>52.375878999999998</v>
      </c>
      <c r="H19">
        <v>51.852933</v>
      </c>
      <c r="I19">
        <v>51.329518</v>
      </c>
      <c r="J19">
        <v>50.692573000000003</v>
      </c>
      <c r="K19">
        <v>49.818103000000001</v>
      </c>
      <c r="L19">
        <v>48.843029000000001</v>
      </c>
      <c r="M19">
        <v>47.795923000000002</v>
      </c>
      <c r="N19">
        <v>46.733288000000002</v>
      </c>
      <c r="O19">
        <v>45.776794000000002</v>
      </c>
      <c r="P19">
        <v>44.89855</v>
      </c>
      <c r="Q19">
        <v>44.175151</v>
      </c>
      <c r="R19">
        <v>43.565342000000001</v>
      </c>
      <c r="S19">
        <v>43.035888999999997</v>
      </c>
      <c r="T19">
        <v>42.526822000000003</v>
      </c>
      <c r="U19">
        <v>42.065714999999997</v>
      </c>
      <c r="V19">
        <v>41.616379000000002</v>
      </c>
      <c r="W19">
        <v>41.168081999999998</v>
      </c>
      <c r="X19">
        <v>40.738225</v>
      </c>
      <c r="Y19">
        <v>40.335149000000001</v>
      </c>
      <c r="Z19">
        <v>39.950142</v>
      </c>
      <c r="AA19">
        <v>39.572792</v>
      </c>
      <c r="AB19">
        <v>39.201892000000001</v>
      </c>
      <c r="AC19">
        <v>38.839199000000001</v>
      </c>
      <c r="AD19">
        <v>38.487698000000002</v>
      </c>
      <c r="AE19">
        <v>38.151586999999999</v>
      </c>
      <c r="AF19">
        <v>37.822181999999998</v>
      </c>
      <c r="AG19" s="7">
        <v>-1.2E-2</v>
      </c>
    </row>
    <row r="20" spans="1:33" x14ac:dyDescent="0.25">
      <c r="A20" t="s">
        <v>22</v>
      </c>
    </row>
    <row r="21" spans="1:33" x14ac:dyDescent="0.25">
      <c r="A21" t="s">
        <v>23</v>
      </c>
    </row>
    <row r="22" spans="1:33" x14ac:dyDescent="0.25">
      <c r="A22" t="s">
        <v>24</v>
      </c>
      <c r="B22" t="s">
        <v>96</v>
      </c>
      <c r="C22" t="s">
        <v>97</v>
      </c>
      <c r="D22" t="s">
        <v>25</v>
      </c>
      <c r="F22">
        <v>0.528061</v>
      </c>
      <c r="G22">
        <v>0.58256200000000002</v>
      </c>
      <c r="H22">
        <v>0.58554499999999998</v>
      </c>
      <c r="I22">
        <v>0.58918800000000005</v>
      </c>
      <c r="J22">
        <v>0.58990399999999998</v>
      </c>
      <c r="K22">
        <v>0.58641200000000004</v>
      </c>
      <c r="L22">
        <v>0.58055100000000004</v>
      </c>
      <c r="M22">
        <v>0.57359499999999997</v>
      </c>
      <c r="N22">
        <v>0.56673899999999999</v>
      </c>
      <c r="O22">
        <v>0.56072599999999995</v>
      </c>
      <c r="P22">
        <v>0.55457199999999995</v>
      </c>
      <c r="Q22">
        <v>0.55030900000000005</v>
      </c>
      <c r="R22">
        <v>0.54765699999999995</v>
      </c>
      <c r="S22">
        <v>0.54529499999999997</v>
      </c>
      <c r="T22">
        <v>0.542041</v>
      </c>
      <c r="U22">
        <v>0.53859100000000004</v>
      </c>
      <c r="V22">
        <v>0.53495199999999998</v>
      </c>
      <c r="W22">
        <v>0.53082799999999997</v>
      </c>
      <c r="X22">
        <v>0.52682799999999996</v>
      </c>
      <c r="Y22">
        <v>0.52286699999999997</v>
      </c>
      <c r="Z22">
        <v>0.51832800000000001</v>
      </c>
      <c r="AA22">
        <v>0.51352500000000001</v>
      </c>
      <c r="AB22">
        <v>0.50834800000000002</v>
      </c>
      <c r="AC22">
        <v>0.50292800000000004</v>
      </c>
      <c r="AD22">
        <v>0.49740299999999998</v>
      </c>
      <c r="AE22">
        <v>0.49220799999999998</v>
      </c>
      <c r="AF22">
        <v>0.48680000000000001</v>
      </c>
      <c r="AG22" s="7">
        <v>-3.0000000000000001E-3</v>
      </c>
    </row>
    <row r="23" spans="1:33" x14ac:dyDescent="0.25">
      <c r="A23" t="s">
        <v>26</v>
      </c>
      <c r="B23" t="s">
        <v>98</v>
      </c>
      <c r="C23" t="s">
        <v>99</v>
      </c>
      <c r="D23" t="s">
        <v>25</v>
      </c>
      <c r="F23">
        <v>0.997081</v>
      </c>
      <c r="G23">
        <v>0.95247300000000001</v>
      </c>
      <c r="H23">
        <v>0.97135400000000005</v>
      </c>
      <c r="I23">
        <v>0.98970999999999998</v>
      </c>
      <c r="J23">
        <v>1.0020089999999999</v>
      </c>
      <c r="K23">
        <v>1.0070300000000001</v>
      </c>
      <c r="L23">
        <v>1.009506</v>
      </c>
      <c r="M23">
        <v>1.0103930000000001</v>
      </c>
      <c r="N23">
        <v>1.012497</v>
      </c>
      <c r="O23">
        <v>1.0194939999999999</v>
      </c>
      <c r="P23">
        <v>1.0285329999999999</v>
      </c>
      <c r="Q23">
        <v>1.0416970000000001</v>
      </c>
      <c r="R23">
        <v>1.058786</v>
      </c>
      <c r="S23">
        <v>1.0781130000000001</v>
      </c>
      <c r="T23">
        <v>1.0965370000000001</v>
      </c>
      <c r="U23">
        <v>1.1159330000000001</v>
      </c>
      <c r="V23">
        <v>1.1355759999999999</v>
      </c>
      <c r="W23">
        <v>1.1556649999999999</v>
      </c>
      <c r="X23">
        <v>1.175584</v>
      </c>
      <c r="Y23">
        <v>1.1958679999999999</v>
      </c>
      <c r="Z23">
        <v>1.215889</v>
      </c>
      <c r="AA23">
        <v>1.2354339999999999</v>
      </c>
      <c r="AB23">
        <v>1.2545770000000001</v>
      </c>
      <c r="AC23">
        <v>1.273539</v>
      </c>
      <c r="AD23">
        <v>1.292448</v>
      </c>
      <c r="AE23">
        <v>1.3116209999999999</v>
      </c>
      <c r="AF23">
        <v>1.3306359999999999</v>
      </c>
      <c r="AG23" s="7">
        <v>1.0999999999999999E-2</v>
      </c>
    </row>
    <row r="24" spans="1:33" x14ac:dyDescent="0.25">
      <c r="A24" t="s">
        <v>27</v>
      </c>
      <c r="B24" t="s">
        <v>100</v>
      </c>
      <c r="C24" t="s">
        <v>101</v>
      </c>
      <c r="D24" t="s">
        <v>25</v>
      </c>
      <c r="F24">
        <v>0.47269299999999997</v>
      </c>
      <c r="G24">
        <v>0.45925899999999997</v>
      </c>
      <c r="H24">
        <v>0.44969900000000002</v>
      </c>
      <c r="I24">
        <v>0.440442</v>
      </c>
      <c r="J24">
        <v>0.42854399999999998</v>
      </c>
      <c r="K24">
        <v>0.40814800000000001</v>
      </c>
      <c r="L24">
        <v>0.38494600000000001</v>
      </c>
      <c r="M24">
        <v>0.36072199999999999</v>
      </c>
      <c r="N24">
        <v>0.33842</v>
      </c>
      <c r="O24">
        <v>0.31828200000000001</v>
      </c>
      <c r="P24">
        <v>0.30056100000000002</v>
      </c>
      <c r="Q24">
        <v>0.28542600000000001</v>
      </c>
      <c r="R24">
        <v>0.27280199999999999</v>
      </c>
      <c r="S24">
        <v>0.26221100000000003</v>
      </c>
      <c r="T24">
        <v>0.253048</v>
      </c>
      <c r="U24">
        <v>0.24559400000000001</v>
      </c>
      <c r="V24">
        <v>0.23989199999999999</v>
      </c>
      <c r="W24">
        <v>0.23574999999999999</v>
      </c>
      <c r="X24">
        <v>0.23331199999999999</v>
      </c>
      <c r="Y24">
        <v>0.23255999999999999</v>
      </c>
      <c r="Z24">
        <v>0.23152700000000001</v>
      </c>
      <c r="AA24">
        <v>0.230325</v>
      </c>
      <c r="AB24">
        <v>0.22897300000000001</v>
      </c>
      <c r="AC24">
        <v>0.227549</v>
      </c>
      <c r="AD24">
        <v>0.22617699999999999</v>
      </c>
      <c r="AE24">
        <v>0.224938</v>
      </c>
      <c r="AF24">
        <v>0.22382099999999999</v>
      </c>
      <c r="AG24" s="7">
        <v>-2.8000000000000001E-2</v>
      </c>
    </row>
    <row r="25" spans="1:33" x14ac:dyDescent="0.25">
      <c r="A25" t="s">
        <v>28</v>
      </c>
      <c r="B25" t="s">
        <v>102</v>
      </c>
      <c r="C25" t="s">
        <v>103</v>
      </c>
      <c r="D25" t="s">
        <v>25</v>
      </c>
      <c r="F25">
        <v>0.35147899999999999</v>
      </c>
      <c r="G25">
        <v>0.34973700000000002</v>
      </c>
      <c r="H25">
        <v>0.34897</v>
      </c>
      <c r="I25">
        <v>0.34811799999999998</v>
      </c>
      <c r="J25">
        <v>0.34716799999999998</v>
      </c>
      <c r="K25">
        <v>0.34654499999999999</v>
      </c>
      <c r="L25">
        <v>0.34371699999999999</v>
      </c>
      <c r="M25">
        <v>0.34114699999999998</v>
      </c>
      <c r="N25">
        <v>0.33881600000000001</v>
      </c>
      <c r="O25">
        <v>0.33663500000000002</v>
      </c>
      <c r="P25">
        <v>0.33458100000000002</v>
      </c>
      <c r="Q25">
        <v>0.33278200000000002</v>
      </c>
      <c r="R25">
        <v>0.33139600000000002</v>
      </c>
      <c r="S25">
        <v>0.33041399999999999</v>
      </c>
      <c r="T25">
        <v>0.32984999999999998</v>
      </c>
      <c r="U25">
        <v>0.32970100000000002</v>
      </c>
      <c r="V25">
        <v>0.32997199999999999</v>
      </c>
      <c r="W25">
        <v>0.33063999999999999</v>
      </c>
      <c r="X25">
        <v>0.331706</v>
      </c>
      <c r="Y25">
        <v>0.33316699999999999</v>
      </c>
      <c r="Z25">
        <v>0.335038</v>
      </c>
      <c r="AA25">
        <v>0.33738899999999999</v>
      </c>
      <c r="AB25">
        <v>0.34022799999999997</v>
      </c>
      <c r="AC25">
        <v>0.34354400000000002</v>
      </c>
      <c r="AD25">
        <v>0.34684700000000002</v>
      </c>
      <c r="AE25">
        <v>0.35012599999999999</v>
      </c>
      <c r="AF25">
        <v>0.35335800000000001</v>
      </c>
      <c r="AG25" s="7">
        <v>0</v>
      </c>
    </row>
    <row r="26" spans="1:33" x14ac:dyDescent="0.25">
      <c r="A26" t="s">
        <v>29</v>
      </c>
      <c r="B26" t="s">
        <v>104</v>
      </c>
      <c r="C26" t="s">
        <v>105</v>
      </c>
      <c r="D26" t="s">
        <v>25</v>
      </c>
      <c r="F26">
        <v>6.7363999999999993E-2</v>
      </c>
      <c r="G26">
        <v>6.7850999999999995E-2</v>
      </c>
      <c r="H26">
        <v>6.8570999999999993E-2</v>
      </c>
      <c r="I26">
        <v>6.9303000000000003E-2</v>
      </c>
      <c r="J26">
        <v>7.0040000000000005E-2</v>
      </c>
      <c r="K26">
        <v>7.0796999999999999E-2</v>
      </c>
      <c r="L26">
        <v>7.1554000000000006E-2</v>
      </c>
      <c r="M26">
        <v>7.2311E-2</v>
      </c>
      <c r="N26">
        <v>7.306E-2</v>
      </c>
      <c r="O26">
        <v>7.3777999999999996E-2</v>
      </c>
      <c r="P26">
        <v>7.4458999999999997E-2</v>
      </c>
      <c r="Q26">
        <v>7.5122999999999995E-2</v>
      </c>
      <c r="R26">
        <v>7.5763999999999998E-2</v>
      </c>
      <c r="S26">
        <v>7.6366000000000003E-2</v>
      </c>
      <c r="T26">
        <v>7.6925999999999994E-2</v>
      </c>
      <c r="U26">
        <v>7.7442999999999998E-2</v>
      </c>
      <c r="V26">
        <v>7.7924999999999994E-2</v>
      </c>
      <c r="W26">
        <v>7.8368999999999994E-2</v>
      </c>
      <c r="X26">
        <v>7.8784999999999994E-2</v>
      </c>
      <c r="Y26">
        <v>7.9175999999999996E-2</v>
      </c>
      <c r="Z26">
        <v>7.9552999999999999E-2</v>
      </c>
      <c r="AA26">
        <v>7.9922999999999994E-2</v>
      </c>
      <c r="AB26">
        <v>8.0283999999999994E-2</v>
      </c>
      <c r="AC26">
        <v>8.0637E-2</v>
      </c>
      <c r="AD26">
        <v>8.0981999999999998E-2</v>
      </c>
      <c r="AE26">
        <v>8.1315999999999999E-2</v>
      </c>
      <c r="AF26">
        <v>8.1638000000000002E-2</v>
      </c>
      <c r="AG26" s="7">
        <v>7.0000000000000001E-3</v>
      </c>
    </row>
    <row r="27" spans="1:33" x14ac:dyDescent="0.25">
      <c r="A27" t="s">
        <v>30</v>
      </c>
      <c r="B27" t="s">
        <v>106</v>
      </c>
      <c r="C27" t="s">
        <v>107</v>
      </c>
      <c r="D27" t="s">
        <v>25</v>
      </c>
      <c r="F27">
        <v>0.19181200000000001</v>
      </c>
      <c r="G27">
        <v>0.193075</v>
      </c>
      <c r="H27">
        <v>0.196545</v>
      </c>
      <c r="I27">
        <v>0.20085500000000001</v>
      </c>
      <c r="J27">
        <v>0.20406099999999999</v>
      </c>
      <c r="K27">
        <v>0.20566999999999999</v>
      </c>
      <c r="L27">
        <v>0.206345</v>
      </c>
      <c r="M27">
        <v>0.20625499999999999</v>
      </c>
      <c r="N27">
        <v>0.20580799999999999</v>
      </c>
      <c r="O27">
        <v>0.20528399999999999</v>
      </c>
      <c r="P27">
        <v>0.20527599999999999</v>
      </c>
      <c r="Q27">
        <v>0.206284</v>
      </c>
      <c r="R27">
        <v>0.20827799999999999</v>
      </c>
      <c r="S27">
        <v>0.210919</v>
      </c>
      <c r="T27">
        <v>0.213722</v>
      </c>
      <c r="U27">
        <v>0.21692400000000001</v>
      </c>
      <c r="V27">
        <v>0.220611</v>
      </c>
      <c r="W27">
        <v>0.22467400000000001</v>
      </c>
      <c r="X27">
        <v>0.228576</v>
      </c>
      <c r="Y27">
        <v>0.23238600000000001</v>
      </c>
      <c r="Z27">
        <v>0.23596700000000001</v>
      </c>
      <c r="AA27">
        <v>0.23933199999999999</v>
      </c>
      <c r="AB27">
        <v>0.242476</v>
      </c>
      <c r="AC27">
        <v>0.24541399999999999</v>
      </c>
      <c r="AD27">
        <v>0.24823500000000001</v>
      </c>
      <c r="AE27">
        <v>0.25097700000000001</v>
      </c>
      <c r="AF27">
        <v>0.25355899999999998</v>
      </c>
      <c r="AG27" s="7">
        <v>1.0999999999999999E-2</v>
      </c>
    </row>
    <row r="28" spans="1:33" x14ac:dyDescent="0.25">
      <c r="A28" t="s">
        <v>31</v>
      </c>
      <c r="B28" t="s">
        <v>108</v>
      </c>
      <c r="C28" t="s">
        <v>109</v>
      </c>
      <c r="D28" t="s">
        <v>25</v>
      </c>
      <c r="F28">
        <v>7.9547999999999994E-2</v>
      </c>
      <c r="G28">
        <v>7.9316999999999999E-2</v>
      </c>
      <c r="H28">
        <v>7.9323000000000005E-2</v>
      </c>
      <c r="I28">
        <v>7.9324000000000006E-2</v>
      </c>
      <c r="J28">
        <v>7.9286999999999996E-2</v>
      </c>
      <c r="K28">
        <v>7.9225000000000004E-2</v>
      </c>
      <c r="L28">
        <v>7.8759999999999997E-2</v>
      </c>
      <c r="M28">
        <v>7.8244999999999995E-2</v>
      </c>
      <c r="N28">
        <v>7.7689999999999995E-2</v>
      </c>
      <c r="O28">
        <v>7.7148999999999995E-2</v>
      </c>
      <c r="P28">
        <v>7.6617000000000005E-2</v>
      </c>
      <c r="Q28">
        <v>7.6115000000000002E-2</v>
      </c>
      <c r="R28">
        <v>7.5637999999999997E-2</v>
      </c>
      <c r="S28">
        <v>7.5175000000000006E-2</v>
      </c>
      <c r="T28">
        <v>7.4735999999999997E-2</v>
      </c>
      <c r="U28">
        <v>7.4319999999999997E-2</v>
      </c>
      <c r="V28">
        <v>7.3931999999999998E-2</v>
      </c>
      <c r="W28">
        <v>7.3580999999999994E-2</v>
      </c>
      <c r="X28">
        <v>7.3268E-2</v>
      </c>
      <c r="Y28">
        <v>7.2993000000000002E-2</v>
      </c>
      <c r="Z28">
        <v>7.2761000000000006E-2</v>
      </c>
      <c r="AA28">
        <v>7.2581999999999994E-2</v>
      </c>
      <c r="AB28">
        <v>7.2468000000000005E-2</v>
      </c>
      <c r="AC28">
        <v>7.2414999999999993E-2</v>
      </c>
      <c r="AD28">
        <v>7.2434999999999999E-2</v>
      </c>
      <c r="AE28">
        <v>7.2536000000000003E-2</v>
      </c>
      <c r="AF28">
        <v>7.2717000000000004E-2</v>
      </c>
      <c r="AG28" s="7">
        <v>-3.0000000000000001E-3</v>
      </c>
    </row>
    <row r="29" spans="1:33" x14ac:dyDescent="0.25">
      <c r="A29" t="s">
        <v>32</v>
      </c>
      <c r="B29" t="s">
        <v>110</v>
      </c>
      <c r="C29" t="s">
        <v>111</v>
      </c>
      <c r="D29" t="s">
        <v>25</v>
      </c>
      <c r="F29">
        <v>0.18737100000000001</v>
      </c>
      <c r="G29">
        <v>0.18539</v>
      </c>
      <c r="H29">
        <v>0.18696399999999999</v>
      </c>
      <c r="I29">
        <v>0.190632</v>
      </c>
      <c r="J29">
        <v>0.19372700000000001</v>
      </c>
      <c r="K29">
        <v>0.195604</v>
      </c>
      <c r="L29">
        <v>0.19516600000000001</v>
      </c>
      <c r="M29">
        <v>0.19453100000000001</v>
      </c>
      <c r="N29">
        <v>0.19431999999999999</v>
      </c>
      <c r="O29">
        <v>0.19414899999999999</v>
      </c>
      <c r="P29">
        <v>0.19440399999999999</v>
      </c>
      <c r="Q29">
        <v>0.19527800000000001</v>
      </c>
      <c r="R29">
        <v>0.196599</v>
      </c>
      <c r="S29">
        <v>0.19806699999999999</v>
      </c>
      <c r="T29">
        <v>0.199294</v>
      </c>
      <c r="U29">
        <v>0.200681</v>
      </c>
      <c r="V29">
        <v>0.198798</v>
      </c>
      <c r="W29">
        <v>0.19717199999999999</v>
      </c>
      <c r="X29">
        <v>0.195941</v>
      </c>
      <c r="Y29">
        <v>0.19514000000000001</v>
      </c>
      <c r="Z29">
        <v>0.19470599999999999</v>
      </c>
      <c r="AA29">
        <v>0.194468</v>
      </c>
      <c r="AB29">
        <v>0.19427800000000001</v>
      </c>
      <c r="AC29">
        <v>0.194106</v>
      </c>
      <c r="AD29">
        <v>0.194081</v>
      </c>
      <c r="AE29">
        <v>0.19420699999999999</v>
      </c>
      <c r="AF29">
        <v>0.19436300000000001</v>
      </c>
      <c r="AG29" s="7">
        <v>1E-3</v>
      </c>
    </row>
    <row r="30" spans="1:33" x14ac:dyDescent="0.25">
      <c r="A30" t="s">
        <v>33</v>
      </c>
      <c r="B30" t="s">
        <v>112</v>
      </c>
      <c r="C30" t="s">
        <v>113</v>
      </c>
      <c r="D30" t="s">
        <v>25</v>
      </c>
      <c r="F30">
        <v>4.1806999999999997E-2</v>
      </c>
      <c r="G30">
        <v>4.0731000000000003E-2</v>
      </c>
      <c r="H30">
        <v>3.9766000000000003E-2</v>
      </c>
      <c r="I30">
        <v>3.8787000000000002E-2</v>
      </c>
      <c r="J30">
        <v>3.7633E-2</v>
      </c>
      <c r="K30">
        <v>3.6454E-2</v>
      </c>
      <c r="L30">
        <v>3.5085999999999999E-2</v>
      </c>
      <c r="M30">
        <v>3.3659000000000001E-2</v>
      </c>
      <c r="N30">
        <v>3.2142999999999998E-2</v>
      </c>
      <c r="O30">
        <v>3.0825999999999999E-2</v>
      </c>
      <c r="P30">
        <v>2.971E-2</v>
      </c>
      <c r="Q30">
        <v>2.8801E-2</v>
      </c>
      <c r="R30">
        <v>2.8112000000000002E-2</v>
      </c>
      <c r="S30">
        <v>2.7654999999999999E-2</v>
      </c>
      <c r="T30">
        <v>2.7453000000000002E-2</v>
      </c>
      <c r="U30">
        <v>2.7522000000000001E-2</v>
      </c>
      <c r="V30">
        <v>2.759E-2</v>
      </c>
      <c r="W30">
        <v>2.7657999999999999E-2</v>
      </c>
      <c r="X30">
        <v>2.7733000000000001E-2</v>
      </c>
      <c r="Y30">
        <v>2.7814999999999999E-2</v>
      </c>
      <c r="Z30">
        <v>2.7907999999999999E-2</v>
      </c>
      <c r="AA30">
        <v>2.8015999999999999E-2</v>
      </c>
      <c r="AB30">
        <v>2.8138E-2</v>
      </c>
      <c r="AC30">
        <v>2.8273E-2</v>
      </c>
      <c r="AD30">
        <v>2.8420000000000001E-2</v>
      </c>
      <c r="AE30">
        <v>2.8576000000000001E-2</v>
      </c>
      <c r="AF30">
        <v>2.8739000000000001E-2</v>
      </c>
      <c r="AG30" s="7">
        <v>-1.4E-2</v>
      </c>
    </row>
    <row r="31" spans="1:33" x14ac:dyDescent="0.25">
      <c r="A31" t="s">
        <v>34</v>
      </c>
      <c r="B31" t="s">
        <v>114</v>
      </c>
      <c r="C31" t="s">
        <v>115</v>
      </c>
      <c r="D31" t="s">
        <v>25</v>
      </c>
      <c r="F31">
        <v>3.6366999999999997E-2</v>
      </c>
      <c r="G31">
        <v>3.7219000000000002E-2</v>
      </c>
      <c r="H31">
        <v>3.8216E-2</v>
      </c>
      <c r="I31">
        <v>3.8545999999999997E-2</v>
      </c>
      <c r="J31">
        <v>3.8751000000000001E-2</v>
      </c>
      <c r="K31">
        <v>3.8914999999999998E-2</v>
      </c>
      <c r="L31">
        <v>3.9031999999999997E-2</v>
      </c>
      <c r="M31">
        <v>3.9100999999999997E-2</v>
      </c>
      <c r="N31">
        <v>3.9118E-2</v>
      </c>
      <c r="O31">
        <v>3.9202000000000001E-2</v>
      </c>
      <c r="P31">
        <v>3.9358999999999998E-2</v>
      </c>
      <c r="Q31">
        <v>3.9600999999999997E-2</v>
      </c>
      <c r="R31">
        <v>3.9935999999999999E-2</v>
      </c>
      <c r="S31">
        <v>4.0363999999999997E-2</v>
      </c>
      <c r="T31">
        <v>4.0896000000000002E-2</v>
      </c>
      <c r="U31">
        <v>4.1537999999999999E-2</v>
      </c>
      <c r="V31">
        <v>4.2178E-2</v>
      </c>
      <c r="W31">
        <v>4.2812000000000003E-2</v>
      </c>
      <c r="X31">
        <v>4.3444000000000003E-2</v>
      </c>
      <c r="Y31">
        <v>4.4074000000000002E-2</v>
      </c>
      <c r="Z31">
        <v>4.4707999999999998E-2</v>
      </c>
      <c r="AA31">
        <v>4.5349E-2</v>
      </c>
      <c r="AB31">
        <v>4.5997999999999997E-2</v>
      </c>
      <c r="AC31">
        <v>4.6655000000000002E-2</v>
      </c>
      <c r="AD31">
        <v>4.7317999999999999E-2</v>
      </c>
      <c r="AE31">
        <v>4.7988000000000003E-2</v>
      </c>
      <c r="AF31">
        <v>4.8662999999999998E-2</v>
      </c>
      <c r="AG31" s="7">
        <v>1.0999999999999999E-2</v>
      </c>
    </row>
    <row r="32" spans="1:33" x14ac:dyDescent="0.25">
      <c r="A32" t="s">
        <v>35</v>
      </c>
      <c r="B32" t="s">
        <v>116</v>
      </c>
      <c r="C32" t="s">
        <v>117</v>
      </c>
      <c r="D32" t="s">
        <v>25</v>
      </c>
      <c r="F32">
        <v>0.12937399999999999</v>
      </c>
      <c r="G32">
        <v>0.12654399999999999</v>
      </c>
      <c r="H32">
        <v>0.12521499999999999</v>
      </c>
      <c r="I32">
        <v>0.124316</v>
      </c>
      <c r="J32">
        <v>0.122902</v>
      </c>
      <c r="K32">
        <v>0.120777</v>
      </c>
      <c r="L32">
        <v>0.11837499999999999</v>
      </c>
      <c r="M32">
        <v>0.115926</v>
      </c>
      <c r="N32">
        <v>0.113659</v>
      </c>
      <c r="O32">
        <v>0.11144</v>
      </c>
      <c r="P32">
        <v>0.1095</v>
      </c>
      <c r="Q32">
        <v>0.10799</v>
      </c>
      <c r="R32">
        <v>0.106861</v>
      </c>
      <c r="S32">
        <v>0.10595400000000001</v>
      </c>
      <c r="T32">
        <v>0.10506600000000001</v>
      </c>
      <c r="U32">
        <v>0.104306</v>
      </c>
      <c r="V32">
        <v>0.10369100000000001</v>
      </c>
      <c r="W32">
        <v>0.103142</v>
      </c>
      <c r="X32">
        <v>0.102677</v>
      </c>
      <c r="Y32">
        <v>0.10234500000000001</v>
      </c>
      <c r="Z32">
        <v>0.102119</v>
      </c>
      <c r="AA32">
        <v>0.102036</v>
      </c>
      <c r="AB32">
        <v>0.10208200000000001</v>
      </c>
      <c r="AC32">
        <v>0.102176</v>
      </c>
      <c r="AD32">
        <v>0.10236000000000001</v>
      </c>
      <c r="AE32">
        <v>0.102613</v>
      </c>
      <c r="AF32">
        <v>0.102926</v>
      </c>
      <c r="AG32" s="7">
        <v>-8.9999999999999993E-3</v>
      </c>
    </row>
    <row r="33" spans="1:33" x14ac:dyDescent="0.25">
      <c r="A33" t="s">
        <v>36</v>
      </c>
      <c r="B33" t="s">
        <v>118</v>
      </c>
      <c r="C33" t="s">
        <v>119</v>
      </c>
      <c r="D33" t="s">
        <v>25</v>
      </c>
      <c r="F33">
        <v>0.100147</v>
      </c>
      <c r="G33">
        <v>9.8311999999999997E-2</v>
      </c>
      <c r="H33">
        <v>9.7711999999999993E-2</v>
      </c>
      <c r="I33">
        <v>9.7344E-2</v>
      </c>
      <c r="J33">
        <v>9.6392000000000005E-2</v>
      </c>
      <c r="K33">
        <v>9.4705999999999999E-2</v>
      </c>
      <c r="L33">
        <v>9.2652999999999999E-2</v>
      </c>
      <c r="M33">
        <v>9.0438000000000004E-2</v>
      </c>
      <c r="N33">
        <v>8.8259000000000004E-2</v>
      </c>
      <c r="O33">
        <v>8.6025000000000004E-2</v>
      </c>
      <c r="P33">
        <v>8.3927000000000002E-2</v>
      </c>
      <c r="Q33">
        <v>8.2076999999999997E-2</v>
      </c>
      <c r="R33">
        <v>8.0450999999999995E-2</v>
      </c>
      <c r="S33">
        <v>7.8944E-2</v>
      </c>
      <c r="T33">
        <v>7.7403E-2</v>
      </c>
      <c r="U33">
        <v>7.5929999999999997E-2</v>
      </c>
      <c r="V33">
        <v>7.4545E-2</v>
      </c>
      <c r="W33">
        <v>7.3195999999999997E-2</v>
      </c>
      <c r="X33">
        <v>7.1926000000000004E-2</v>
      </c>
      <c r="Y33">
        <v>7.0762000000000005E-2</v>
      </c>
      <c r="Z33">
        <v>6.9711999999999996E-2</v>
      </c>
      <c r="AA33">
        <v>6.8805000000000005E-2</v>
      </c>
      <c r="AB33">
        <v>6.8054000000000003E-2</v>
      </c>
      <c r="AC33">
        <v>6.7420999999999995E-2</v>
      </c>
      <c r="AD33">
        <v>6.6941000000000001E-2</v>
      </c>
      <c r="AE33">
        <v>6.6635E-2</v>
      </c>
      <c r="AF33">
        <v>6.6464999999999996E-2</v>
      </c>
      <c r="AG33" s="7">
        <v>-1.6E-2</v>
      </c>
    </row>
    <row r="34" spans="1:33" x14ac:dyDescent="0.25">
      <c r="A34" t="s">
        <v>37</v>
      </c>
      <c r="B34" t="s">
        <v>120</v>
      </c>
      <c r="C34" t="s">
        <v>121</v>
      </c>
      <c r="D34" t="s">
        <v>25</v>
      </c>
      <c r="F34">
        <v>0.137569</v>
      </c>
      <c r="G34">
        <v>0.158502</v>
      </c>
      <c r="H34">
        <v>0.16062100000000001</v>
      </c>
      <c r="I34">
        <v>0.16225000000000001</v>
      </c>
      <c r="J34">
        <v>0.16347</v>
      </c>
      <c r="K34">
        <v>0.164468</v>
      </c>
      <c r="L34">
        <v>0.165238</v>
      </c>
      <c r="M34">
        <v>0.16567499999999999</v>
      </c>
      <c r="N34">
        <v>0.16580900000000001</v>
      </c>
      <c r="O34">
        <v>0.165878</v>
      </c>
      <c r="P34">
        <v>0.165686</v>
      </c>
      <c r="Q34">
        <v>0.16552700000000001</v>
      </c>
      <c r="R34">
        <v>0.16533999999999999</v>
      </c>
      <c r="S34">
        <v>0.164941</v>
      </c>
      <c r="T34">
        <v>0.16417499999999999</v>
      </c>
      <c r="U34">
        <v>0.16303300000000001</v>
      </c>
      <c r="V34">
        <v>0.16142300000000001</v>
      </c>
      <c r="W34">
        <v>0.159333</v>
      </c>
      <c r="X34">
        <v>0.156941</v>
      </c>
      <c r="Y34">
        <v>0.15426799999999999</v>
      </c>
      <c r="Z34">
        <v>0.15151400000000001</v>
      </c>
      <c r="AA34">
        <v>0.14884</v>
      </c>
      <c r="AB34">
        <v>0.146261</v>
      </c>
      <c r="AC34">
        <v>0.143757</v>
      </c>
      <c r="AD34">
        <v>0.14143700000000001</v>
      </c>
      <c r="AE34">
        <v>0.13933499999999999</v>
      </c>
      <c r="AF34">
        <v>0.137382</v>
      </c>
      <c r="AG34" s="7">
        <v>0</v>
      </c>
    </row>
    <row r="35" spans="1:33" x14ac:dyDescent="0.25">
      <c r="A35" t="s">
        <v>38</v>
      </c>
      <c r="B35" t="s">
        <v>122</v>
      </c>
      <c r="C35" t="s">
        <v>123</v>
      </c>
      <c r="D35" t="s">
        <v>25</v>
      </c>
      <c r="F35">
        <v>1.9528239999999999</v>
      </c>
      <c r="G35">
        <v>1.884647</v>
      </c>
      <c r="H35">
        <v>1.932471</v>
      </c>
      <c r="I35">
        <v>1.982553</v>
      </c>
      <c r="J35">
        <v>2.0260020000000001</v>
      </c>
      <c r="K35">
        <v>2.060349</v>
      </c>
      <c r="L35">
        <v>2.0898330000000001</v>
      </c>
      <c r="M35">
        <v>2.1161310000000002</v>
      </c>
      <c r="N35">
        <v>2.143497</v>
      </c>
      <c r="O35">
        <v>2.169753</v>
      </c>
      <c r="P35">
        <v>2.1987999999999999</v>
      </c>
      <c r="Q35">
        <v>2.2309679999999998</v>
      </c>
      <c r="R35">
        <v>2.2675719999999999</v>
      </c>
      <c r="S35">
        <v>2.3066080000000002</v>
      </c>
      <c r="T35">
        <v>2.3441360000000002</v>
      </c>
      <c r="U35">
        <v>2.3830230000000001</v>
      </c>
      <c r="V35">
        <v>2.4229310000000002</v>
      </c>
      <c r="W35">
        <v>2.4609220000000001</v>
      </c>
      <c r="X35">
        <v>2.4994070000000002</v>
      </c>
      <c r="Y35">
        <v>2.538354</v>
      </c>
      <c r="Z35">
        <v>2.577242</v>
      </c>
      <c r="AA35">
        <v>2.6159680000000001</v>
      </c>
      <c r="AB35">
        <v>2.6549830000000001</v>
      </c>
      <c r="AC35">
        <v>2.693921</v>
      </c>
      <c r="AD35">
        <v>2.7329750000000002</v>
      </c>
      <c r="AE35">
        <v>2.7728069999999998</v>
      </c>
      <c r="AF35">
        <v>2.812916</v>
      </c>
      <c r="AG35" s="7">
        <v>1.4E-2</v>
      </c>
    </row>
    <row r="36" spans="1:33" x14ac:dyDescent="0.25">
      <c r="A36" t="s">
        <v>124</v>
      </c>
      <c r="B36" t="s">
        <v>125</v>
      </c>
      <c r="C36" t="s">
        <v>126</v>
      </c>
      <c r="D36" t="s">
        <v>25</v>
      </c>
      <c r="F36">
        <v>5.273498</v>
      </c>
      <c r="G36">
        <v>5.2156180000000001</v>
      </c>
      <c r="H36">
        <v>5.2809720000000002</v>
      </c>
      <c r="I36">
        <v>5.3513669999999998</v>
      </c>
      <c r="J36">
        <v>5.3998900000000001</v>
      </c>
      <c r="K36">
        <v>5.4151009999999999</v>
      </c>
      <c r="L36">
        <v>5.4107599999999998</v>
      </c>
      <c r="M36">
        <v>5.3981300000000001</v>
      </c>
      <c r="N36">
        <v>5.3898359999999998</v>
      </c>
      <c r="O36">
        <v>5.3886209999999997</v>
      </c>
      <c r="P36">
        <v>5.3959859999999997</v>
      </c>
      <c r="Q36">
        <v>5.4179789999999999</v>
      </c>
      <c r="R36">
        <v>5.4551920000000003</v>
      </c>
      <c r="S36">
        <v>5.5010260000000004</v>
      </c>
      <c r="T36">
        <v>5.5452810000000001</v>
      </c>
      <c r="U36">
        <v>5.5945390000000002</v>
      </c>
      <c r="V36">
        <v>5.6440149999999996</v>
      </c>
      <c r="W36">
        <v>5.6937410000000002</v>
      </c>
      <c r="X36">
        <v>5.7461279999999997</v>
      </c>
      <c r="Y36">
        <v>5.8017750000000001</v>
      </c>
      <c r="Z36">
        <v>5.8569699999999996</v>
      </c>
      <c r="AA36">
        <v>5.9119910000000004</v>
      </c>
      <c r="AB36">
        <v>5.9671469999999998</v>
      </c>
      <c r="AC36">
        <v>6.022335</v>
      </c>
      <c r="AD36">
        <v>6.0780580000000004</v>
      </c>
      <c r="AE36">
        <v>6.1358829999999998</v>
      </c>
      <c r="AF36">
        <v>6.1939830000000002</v>
      </c>
      <c r="AG36" s="7">
        <v>6.0000000000000001E-3</v>
      </c>
    </row>
    <row r="37" spans="1:33" x14ac:dyDescent="0.25">
      <c r="A37" t="s">
        <v>127</v>
      </c>
      <c r="B37" t="s">
        <v>128</v>
      </c>
      <c r="C37" t="s">
        <v>129</v>
      </c>
      <c r="D37" t="s">
        <v>25</v>
      </c>
      <c r="F37">
        <v>4.4337000000000001E-2</v>
      </c>
      <c r="G37">
        <v>6.6201999999999997E-2</v>
      </c>
      <c r="H37">
        <v>9.8492999999999997E-2</v>
      </c>
      <c r="I37">
        <v>0.14113400000000001</v>
      </c>
      <c r="J37">
        <v>0.19359399999999999</v>
      </c>
      <c r="K37">
        <v>0.25625700000000001</v>
      </c>
      <c r="L37">
        <v>0.33226899999999998</v>
      </c>
      <c r="M37">
        <v>0.40964400000000001</v>
      </c>
      <c r="N37">
        <v>0.49610599999999999</v>
      </c>
      <c r="O37">
        <v>0.58273399999999997</v>
      </c>
      <c r="P37">
        <v>0.67127199999999998</v>
      </c>
      <c r="Q37">
        <v>0.75774600000000003</v>
      </c>
      <c r="R37">
        <v>0.84255199999999997</v>
      </c>
      <c r="S37">
        <v>0.92561800000000005</v>
      </c>
      <c r="T37">
        <v>1.0052989999999999</v>
      </c>
      <c r="U37">
        <v>1.0807180000000001</v>
      </c>
      <c r="V37">
        <v>1.151586</v>
      </c>
      <c r="W37">
        <v>1.2174419999999999</v>
      </c>
      <c r="X37">
        <v>1.277585</v>
      </c>
      <c r="Y37">
        <v>1.331949</v>
      </c>
      <c r="Z37">
        <v>1.380314</v>
      </c>
      <c r="AA37">
        <v>1.4238759999999999</v>
      </c>
      <c r="AB37">
        <v>1.4637</v>
      </c>
      <c r="AC37">
        <v>1.499768</v>
      </c>
      <c r="AD37">
        <v>1.5314890000000001</v>
      </c>
      <c r="AE37">
        <v>1.559817</v>
      </c>
      <c r="AF37">
        <v>1.58514</v>
      </c>
      <c r="AG37" s="7">
        <v>0.14699999999999999</v>
      </c>
    </row>
    <row r="38" spans="1:33" x14ac:dyDescent="0.25">
      <c r="A38" t="s">
        <v>39</v>
      </c>
      <c r="B38" t="s">
        <v>130</v>
      </c>
      <c r="C38" t="s">
        <v>131</v>
      </c>
      <c r="D38" t="s">
        <v>25</v>
      </c>
      <c r="F38">
        <v>0.175875</v>
      </c>
      <c r="G38">
        <v>0.199964</v>
      </c>
      <c r="H38">
        <v>0.22440399999999999</v>
      </c>
      <c r="I38">
        <v>0.24728700000000001</v>
      </c>
      <c r="J38">
        <v>0.27066400000000002</v>
      </c>
      <c r="K38">
        <v>0.29440899999999998</v>
      </c>
      <c r="L38">
        <v>0.31969599999999998</v>
      </c>
      <c r="M38">
        <v>0.34664099999999998</v>
      </c>
      <c r="N38">
        <v>0.37347900000000001</v>
      </c>
      <c r="O38">
        <v>0.400223</v>
      </c>
      <c r="P38">
        <v>0.42644399999999999</v>
      </c>
      <c r="Q38">
        <v>0.44691599999999998</v>
      </c>
      <c r="R38">
        <v>0.467945</v>
      </c>
      <c r="S38">
        <v>0.48925999999999997</v>
      </c>
      <c r="T38">
        <v>0.51142299999999996</v>
      </c>
      <c r="U38">
        <v>0.53387399999999996</v>
      </c>
      <c r="V38">
        <v>0.556782</v>
      </c>
      <c r="W38">
        <v>0.58001000000000003</v>
      </c>
      <c r="X38">
        <v>0.60384800000000005</v>
      </c>
      <c r="Y38">
        <v>0.62805299999999997</v>
      </c>
      <c r="Z38">
        <v>0.65273000000000003</v>
      </c>
      <c r="AA38">
        <v>0.67815700000000001</v>
      </c>
      <c r="AB38">
        <v>0.70421100000000003</v>
      </c>
      <c r="AC38">
        <v>0.73085999999999995</v>
      </c>
      <c r="AD38">
        <v>0.75824999999999998</v>
      </c>
      <c r="AE38">
        <v>0.78616600000000003</v>
      </c>
      <c r="AF38">
        <v>0.81450900000000004</v>
      </c>
      <c r="AG38" s="7">
        <v>6.0999999999999999E-2</v>
      </c>
    </row>
    <row r="39" spans="1:33" x14ac:dyDescent="0.25">
      <c r="A39" t="s">
        <v>132</v>
      </c>
      <c r="B39" t="s">
        <v>133</v>
      </c>
      <c r="C39" t="s">
        <v>134</v>
      </c>
      <c r="D39" t="s">
        <v>25</v>
      </c>
      <c r="F39">
        <v>5.1419589999999999</v>
      </c>
      <c r="G39">
        <v>5.0818560000000002</v>
      </c>
      <c r="H39">
        <v>5.1550609999999999</v>
      </c>
      <c r="I39">
        <v>5.2452139999999998</v>
      </c>
      <c r="J39">
        <v>5.322819</v>
      </c>
      <c r="K39">
        <v>5.3769489999999998</v>
      </c>
      <c r="L39">
        <v>5.4233330000000004</v>
      </c>
      <c r="M39">
        <v>5.4611330000000002</v>
      </c>
      <c r="N39">
        <v>5.5124630000000003</v>
      </c>
      <c r="O39">
        <v>5.5711320000000004</v>
      </c>
      <c r="P39">
        <v>5.6408139999999998</v>
      </c>
      <c r="Q39">
        <v>5.7288100000000002</v>
      </c>
      <c r="R39">
        <v>5.8297990000000004</v>
      </c>
      <c r="S39">
        <v>5.9373849999999999</v>
      </c>
      <c r="T39">
        <v>6.0391579999999996</v>
      </c>
      <c r="U39">
        <v>6.1413840000000004</v>
      </c>
      <c r="V39">
        <v>6.2388180000000002</v>
      </c>
      <c r="W39">
        <v>6.3311729999999997</v>
      </c>
      <c r="X39">
        <v>6.4198649999999997</v>
      </c>
      <c r="Y39">
        <v>6.5056719999999997</v>
      </c>
      <c r="Z39">
        <v>6.5845539999999998</v>
      </c>
      <c r="AA39">
        <v>6.6577099999999998</v>
      </c>
      <c r="AB39">
        <v>6.7266360000000001</v>
      </c>
      <c r="AC39">
        <v>6.7912429999999997</v>
      </c>
      <c r="AD39">
        <v>6.8512969999999997</v>
      </c>
      <c r="AE39">
        <v>6.9095329999999997</v>
      </c>
      <c r="AF39">
        <v>6.9646140000000001</v>
      </c>
      <c r="AG39" s="7">
        <v>1.2E-2</v>
      </c>
    </row>
    <row r="40" spans="1:33" x14ac:dyDescent="0.25">
      <c r="A40" t="s">
        <v>40</v>
      </c>
    </row>
    <row r="41" spans="1:33" x14ac:dyDescent="0.25">
      <c r="A41" t="s">
        <v>24</v>
      </c>
      <c r="B41" t="s">
        <v>135</v>
      </c>
      <c r="C41" t="s">
        <v>136</v>
      </c>
      <c r="D41" t="s">
        <v>25</v>
      </c>
      <c r="F41">
        <v>2.7779120000000002</v>
      </c>
      <c r="G41">
        <v>3.1266400000000001</v>
      </c>
      <c r="H41">
        <v>3.1416040000000001</v>
      </c>
      <c r="I41">
        <v>3.1467909999999999</v>
      </c>
      <c r="J41">
        <v>3.143392</v>
      </c>
      <c r="K41">
        <v>3.126671</v>
      </c>
      <c r="L41">
        <v>3.103113</v>
      </c>
      <c r="M41">
        <v>3.0698919999999998</v>
      </c>
      <c r="N41">
        <v>3.0261269999999998</v>
      </c>
      <c r="O41">
        <v>2.9876309999999999</v>
      </c>
      <c r="P41">
        <v>2.9467919999999999</v>
      </c>
      <c r="Q41">
        <v>2.9121990000000002</v>
      </c>
      <c r="R41">
        <v>2.8835510000000002</v>
      </c>
      <c r="S41">
        <v>2.858295</v>
      </c>
      <c r="T41">
        <v>2.8342960000000001</v>
      </c>
      <c r="U41">
        <v>2.8115399999999999</v>
      </c>
      <c r="V41">
        <v>2.787776</v>
      </c>
      <c r="W41">
        <v>2.761015</v>
      </c>
      <c r="X41">
        <v>2.733698</v>
      </c>
      <c r="Y41">
        <v>2.7065130000000002</v>
      </c>
      <c r="Z41">
        <v>2.6808649999999998</v>
      </c>
      <c r="AA41">
        <v>2.6572309999999999</v>
      </c>
      <c r="AB41">
        <v>2.634207</v>
      </c>
      <c r="AC41">
        <v>2.6119029999999999</v>
      </c>
      <c r="AD41">
        <v>2.5905279999999999</v>
      </c>
      <c r="AE41">
        <v>2.5696650000000001</v>
      </c>
      <c r="AF41">
        <v>2.548368</v>
      </c>
      <c r="AG41" s="7">
        <v>-3.0000000000000001E-3</v>
      </c>
    </row>
    <row r="42" spans="1:33" x14ac:dyDescent="0.25">
      <c r="A42" t="s">
        <v>26</v>
      </c>
      <c r="B42" t="s">
        <v>137</v>
      </c>
      <c r="C42" t="s">
        <v>138</v>
      </c>
      <c r="D42" t="s">
        <v>25</v>
      </c>
      <c r="F42">
        <v>6.3499E-2</v>
      </c>
      <c r="G42">
        <v>6.1038000000000002E-2</v>
      </c>
      <c r="H42">
        <v>6.1463999999999998E-2</v>
      </c>
      <c r="I42">
        <v>6.1531000000000002E-2</v>
      </c>
      <c r="J42">
        <v>6.1383E-2</v>
      </c>
      <c r="K42">
        <v>6.1147E-2</v>
      </c>
      <c r="L42">
        <v>6.0918E-2</v>
      </c>
      <c r="M42">
        <v>6.0664999999999997E-2</v>
      </c>
      <c r="N42">
        <v>6.0394999999999997E-2</v>
      </c>
      <c r="O42">
        <v>6.0146999999999999E-2</v>
      </c>
      <c r="P42">
        <v>5.9927000000000001E-2</v>
      </c>
      <c r="Q42">
        <v>5.9806999999999999E-2</v>
      </c>
      <c r="R42">
        <v>5.9798999999999998E-2</v>
      </c>
      <c r="S42">
        <v>5.9867999999999998E-2</v>
      </c>
      <c r="T42">
        <v>5.9964999999999997E-2</v>
      </c>
      <c r="U42">
        <v>6.0137000000000003E-2</v>
      </c>
      <c r="V42">
        <v>6.0331000000000003E-2</v>
      </c>
      <c r="W42">
        <v>6.0539000000000003E-2</v>
      </c>
      <c r="X42">
        <v>6.0750999999999999E-2</v>
      </c>
      <c r="Y42">
        <v>6.0975000000000001E-2</v>
      </c>
      <c r="Z42">
        <v>6.1196E-2</v>
      </c>
      <c r="AA42">
        <v>6.1400999999999997E-2</v>
      </c>
      <c r="AB42">
        <v>6.1601999999999997E-2</v>
      </c>
      <c r="AC42">
        <v>6.1793000000000001E-2</v>
      </c>
      <c r="AD42">
        <v>6.1996999999999997E-2</v>
      </c>
      <c r="AE42">
        <v>6.2198999999999997E-2</v>
      </c>
      <c r="AF42">
        <v>6.2392000000000003E-2</v>
      </c>
      <c r="AG42" s="7">
        <v>-1E-3</v>
      </c>
    </row>
    <row r="43" spans="1:33" x14ac:dyDescent="0.25">
      <c r="A43" t="s">
        <v>27</v>
      </c>
      <c r="B43" t="s">
        <v>139</v>
      </c>
      <c r="C43" t="s">
        <v>140</v>
      </c>
      <c r="D43" t="s">
        <v>25</v>
      </c>
      <c r="F43">
        <v>1.035874</v>
      </c>
      <c r="G43">
        <v>1.0464979999999999</v>
      </c>
      <c r="H43">
        <v>1.058767</v>
      </c>
      <c r="I43">
        <v>1.0693509999999999</v>
      </c>
      <c r="J43">
        <v>1.0798179999999999</v>
      </c>
      <c r="K43">
        <v>1.080751</v>
      </c>
      <c r="L43">
        <v>1.081037</v>
      </c>
      <c r="M43">
        <v>1.0804959999999999</v>
      </c>
      <c r="N43">
        <v>1.0781130000000001</v>
      </c>
      <c r="O43">
        <v>1.077774</v>
      </c>
      <c r="P43">
        <v>1.0797000000000001</v>
      </c>
      <c r="Q43">
        <v>1.084282</v>
      </c>
      <c r="R43">
        <v>1.0888530000000001</v>
      </c>
      <c r="S43">
        <v>1.0934919999999999</v>
      </c>
      <c r="T43">
        <v>1.09762</v>
      </c>
      <c r="U43">
        <v>1.1012189999999999</v>
      </c>
      <c r="V43">
        <v>1.10365</v>
      </c>
      <c r="W43">
        <v>1.1040369999999999</v>
      </c>
      <c r="X43">
        <v>1.102943</v>
      </c>
      <c r="Y43">
        <v>1.1006469999999999</v>
      </c>
      <c r="Z43">
        <v>1.097807</v>
      </c>
      <c r="AA43">
        <v>1.0944370000000001</v>
      </c>
      <c r="AB43">
        <v>1.09026</v>
      </c>
      <c r="AC43">
        <v>1.0859510000000001</v>
      </c>
      <c r="AD43">
        <v>1.081866</v>
      </c>
      <c r="AE43">
        <v>1.077826</v>
      </c>
      <c r="AF43">
        <v>1.0741050000000001</v>
      </c>
      <c r="AG43" s="7">
        <v>1E-3</v>
      </c>
    </row>
    <row r="44" spans="1:33" x14ac:dyDescent="0.25">
      <c r="A44" t="s">
        <v>29</v>
      </c>
      <c r="B44" t="s">
        <v>141</v>
      </c>
      <c r="C44" t="s">
        <v>142</v>
      </c>
      <c r="D44" t="s">
        <v>25</v>
      </c>
      <c r="F44">
        <v>7.7838000000000004E-2</v>
      </c>
      <c r="G44">
        <v>7.7798999999999993E-2</v>
      </c>
      <c r="H44">
        <v>7.7991000000000005E-2</v>
      </c>
      <c r="I44">
        <v>7.8186000000000005E-2</v>
      </c>
      <c r="J44">
        <v>7.8378000000000003E-2</v>
      </c>
      <c r="K44">
        <v>7.8578999999999996E-2</v>
      </c>
      <c r="L44">
        <v>7.8781000000000004E-2</v>
      </c>
      <c r="M44">
        <v>7.8972000000000001E-2</v>
      </c>
      <c r="N44">
        <v>7.9144999999999993E-2</v>
      </c>
      <c r="O44">
        <v>7.9309000000000004E-2</v>
      </c>
      <c r="P44">
        <v>7.9495999999999997E-2</v>
      </c>
      <c r="Q44">
        <v>7.9723000000000002E-2</v>
      </c>
      <c r="R44">
        <v>7.9999000000000001E-2</v>
      </c>
      <c r="S44">
        <v>8.0325999999999995E-2</v>
      </c>
      <c r="T44">
        <v>8.0726000000000006E-2</v>
      </c>
      <c r="U44">
        <v>8.1166000000000002E-2</v>
      </c>
      <c r="V44">
        <v>8.1647999999999998E-2</v>
      </c>
      <c r="W44">
        <v>8.2161999999999999E-2</v>
      </c>
      <c r="X44">
        <v>8.2699999999999996E-2</v>
      </c>
      <c r="Y44">
        <v>8.3236000000000004E-2</v>
      </c>
      <c r="Z44">
        <v>8.3776000000000003E-2</v>
      </c>
      <c r="AA44">
        <v>8.4326999999999999E-2</v>
      </c>
      <c r="AB44">
        <v>8.4889999999999993E-2</v>
      </c>
      <c r="AC44">
        <v>8.5467000000000001E-2</v>
      </c>
      <c r="AD44">
        <v>8.6058999999999997E-2</v>
      </c>
      <c r="AE44">
        <v>8.6669999999999997E-2</v>
      </c>
      <c r="AF44">
        <v>8.7302000000000005E-2</v>
      </c>
      <c r="AG44" s="7">
        <v>4.0000000000000001E-3</v>
      </c>
    </row>
    <row r="45" spans="1:33" x14ac:dyDescent="0.25">
      <c r="A45" t="s">
        <v>30</v>
      </c>
      <c r="B45" t="s">
        <v>143</v>
      </c>
      <c r="C45" t="s">
        <v>144</v>
      </c>
      <c r="D45" t="s">
        <v>25</v>
      </c>
      <c r="F45">
        <v>3.9583E-2</v>
      </c>
      <c r="G45">
        <v>4.0486000000000001E-2</v>
      </c>
      <c r="H45">
        <v>4.1404999999999997E-2</v>
      </c>
      <c r="I45">
        <v>4.2257000000000003E-2</v>
      </c>
      <c r="J45">
        <v>4.3110000000000002E-2</v>
      </c>
      <c r="K45">
        <v>4.3956000000000002E-2</v>
      </c>
      <c r="L45">
        <v>4.4796999999999997E-2</v>
      </c>
      <c r="M45">
        <v>4.5565000000000001E-2</v>
      </c>
      <c r="N45">
        <v>4.6228999999999999E-2</v>
      </c>
      <c r="O45">
        <v>4.6833E-2</v>
      </c>
      <c r="P45">
        <v>4.7463999999999999E-2</v>
      </c>
      <c r="Q45">
        <v>4.8156999999999998E-2</v>
      </c>
      <c r="R45">
        <v>4.8919999999999998E-2</v>
      </c>
      <c r="S45">
        <v>4.9718999999999999E-2</v>
      </c>
      <c r="T45">
        <v>5.0528000000000003E-2</v>
      </c>
      <c r="U45">
        <v>5.1341999999999999E-2</v>
      </c>
      <c r="V45">
        <v>5.2121000000000001E-2</v>
      </c>
      <c r="W45">
        <v>5.2833999999999999E-2</v>
      </c>
      <c r="X45">
        <v>5.3545000000000002E-2</v>
      </c>
      <c r="Y45">
        <v>5.4265000000000001E-2</v>
      </c>
      <c r="Z45">
        <v>5.5017000000000003E-2</v>
      </c>
      <c r="AA45">
        <v>5.5794000000000003E-2</v>
      </c>
      <c r="AB45">
        <v>5.6573999999999999E-2</v>
      </c>
      <c r="AC45">
        <v>5.7376999999999997E-2</v>
      </c>
      <c r="AD45">
        <v>5.8208000000000003E-2</v>
      </c>
      <c r="AE45">
        <v>5.9040000000000002E-2</v>
      </c>
      <c r="AF45">
        <v>5.9868999999999999E-2</v>
      </c>
      <c r="AG45" s="7">
        <v>1.6E-2</v>
      </c>
    </row>
    <row r="46" spans="1:33" x14ac:dyDescent="0.25">
      <c r="A46" t="s">
        <v>38</v>
      </c>
      <c r="B46" t="s">
        <v>145</v>
      </c>
      <c r="C46" t="s">
        <v>146</v>
      </c>
      <c r="D46" t="s">
        <v>25</v>
      </c>
      <c r="F46">
        <v>0.608734</v>
      </c>
      <c r="G46">
        <v>0.61374700000000004</v>
      </c>
      <c r="H46">
        <v>0.61829100000000004</v>
      </c>
      <c r="I46">
        <v>0.62139999999999995</v>
      </c>
      <c r="J46">
        <v>0.62352600000000002</v>
      </c>
      <c r="K46">
        <v>0.625004</v>
      </c>
      <c r="L46">
        <v>0.62587300000000001</v>
      </c>
      <c r="M46">
        <v>0.62536099999999994</v>
      </c>
      <c r="N46">
        <v>0.62306399999999995</v>
      </c>
      <c r="O46">
        <v>0.62010399999999999</v>
      </c>
      <c r="P46">
        <v>0.61758599999999997</v>
      </c>
      <c r="Q46">
        <v>0.61591799999999997</v>
      </c>
      <c r="R46">
        <v>0.61514500000000005</v>
      </c>
      <c r="S46">
        <v>0.61492000000000002</v>
      </c>
      <c r="T46">
        <v>0.61489300000000002</v>
      </c>
      <c r="U46">
        <v>0.61509499999999995</v>
      </c>
      <c r="V46">
        <v>0.61511800000000005</v>
      </c>
      <c r="W46">
        <v>0.61462099999999997</v>
      </c>
      <c r="X46">
        <v>0.61387800000000003</v>
      </c>
      <c r="Y46">
        <v>0.61306300000000002</v>
      </c>
      <c r="Z46">
        <v>0.61244100000000001</v>
      </c>
      <c r="AA46">
        <v>0.61188200000000004</v>
      </c>
      <c r="AB46">
        <v>0.61119699999999999</v>
      </c>
      <c r="AC46">
        <v>0.61064799999999997</v>
      </c>
      <c r="AD46">
        <v>0.61027100000000001</v>
      </c>
      <c r="AE46">
        <v>0.60981300000000005</v>
      </c>
      <c r="AF46">
        <v>0.60926899999999995</v>
      </c>
      <c r="AG46" s="7">
        <v>0</v>
      </c>
    </row>
    <row r="47" spans="1:33" x14ac:dyDescent="0.25">
      <c r="A47" t="s">
        <v>41</v>
      </c>
      <c r="B47" t="s">
        <v>147</v>
      </c>
      <c r="C47" t="s">
        <v>148</v>
      </c>
      <c r="D47" t="s">
        <v>25</v>
      </c>
      <c r="F47">
        <v>4.60344</v>
      </c>
      <c r="G47">
        <v>4.966208</v>
      </c>
      <c r="H47">
        <v>4.9995219999999998</v>
      </c>
      <c r="I47">
        <v>5.0195169999999996</v>
      </c>
      <c r="J47">
        <v>5.0296079999999996</v>
      </c>
      <c r="K47">
        <v>5.016108</v>
      </c>
      <c r="L47">
        <v>4.9945209999999998</v>
      </c>
      <c r="M47">
        <v>4.9609519999999998</v>
      </c>
      <c r="N47">
        <v>4.9130729999999998</v>
      </c>
      <c r="O47">
        <v>4.8717969999999999</v>
      </c>
      <c r="P47">
        <v>4.830965</v>
      </c>
      <c r="Q47">
        <v>4.8000860000000003</v>
      </c>
      <c r="R47">
        <v>4.7762690000000001</v>
      </c>
      <c r="S47">
        <v>4.7566199999999998</v>
      </c>
      <c r="T47">
        <v>4.738029</v>
      </c>
      <c r="U47">
        <v>4.7204990000000002</v>
      </c>
      <c r="V47">
        <v>4.7006449999999997</v>
      </c>
      <c r="W47">
        <v>4.6752089999999997</v>
      </c>
      <c r="X47">
        <v>4.6475150000000003</v>
      </c>
      <c r="Y47">
        <v>4.6186999999999996</v>
      </c>
      <c r="Z47">
        <v>4.5911010000000001</v>
      </c>
      <c r="AA47">
        <v>4.5650729999999999</v>
      </c>
      <c r="AB47">
        <v>4.5387300000000002</v>
      </c>
      <c r="AC47">
        <v>4.5131389999999998</v>
      </c>
      <c r="AD47">
        <v>4.4889289999999997</v>
      </c>
      <c r="AE47">
        <v>4.4652130000000003</v>
      </c>
      <c r="AF47">
        <v>4.4413049999999998</v>
      </c>
      <c r="AG47" s="7">
        <v>-1E-3</v>
      </c>
    </row>
    <row r="48" spans="1:33" x14ac:dyDescent="0.25">
      <c r="A48" t="s">
        <v>42</v>
      </c>
    </row>
    <row r="49" spans="1:33" x14ac:dyDescent="0.25">
      <c r="A49" t="s">
        <v>24</v>
      </c>
      <c r="B49" t="s">
        <v>149</v>
      </c>
      <c r="C49" t="s">
        <v>150</v>
      </c>
      <c r="D49" t="s">
        <v>25</v>
      </c>
      <c r="F49">
        <v>0.37978200000000001</v>
      </c>
      <c r="G49">
        <v>0.41094700000000001</v>
      </c>
      <c r="H49">
        <v>0.40628999999999998</v>
      </c>
      <c r="I49">
        <v>0.39952599999999999</v>
      </c>
      <c r="J49">
        <v>0.39166800000000002</v>
      </c>
      <c r="K49">
        <v>0.38360499999999997</v>
      </c>
      <c r="L49">
        <v>0.37567499999999998</v>
      </c>
      <c r="M49">
        <v>0.36870599999999998</v>
      </c>
      <c r="N49">
        <v>0.36258000000000001</v>
      </c>
      <c r="O49">
        <v>0.35711599999999999</v>
      </c>
      <c r="P49">
        <v>0.35137699999999999</v>
      </c>
      <c r="Q49">
        <v>0.34575699999999998</v>
      </c>
      <c r="R49">
        <v>0.34038200000000002</v>
      </c>
      <c r="S49">
        <v>0.33507999999999999</v>
      </c>
      <c r="T49">
        <v>0.32994400000000002</v>
      </c>
      <c r="U49">
        <v>0.32495400000000002</v>
      </c>
      <c r="V49">
        <v>0.32000299999999998</v>
      </c>
      <c r="W49">
        <v>0.31509399999999999</v>
      </c>
      <c r="X49">
        <v>0.31032399999999999</v>
      </c>
      <c r="Y49">
        <v>0.30570700000000001</v>
      </c>
      <c r="Z49">
        <v>0.30099999999999999</v>
      </c>
      <c r="AA49">
        <v>0.29680299999999998</v>
      </c>
      <c r="AB49">
        <v>0.29274600000000001</v>
      </c>
      <c r="AC49">
        <v>0.28885499999999997</v>
      </c>
      <c r="AD49">
        <v>0.28507300000000002</v>
      </c>
      <c r="AE49">
        <v>0.281366</v>
      </c>
      <c r="AF49">
        <v>0.27757900000000002</v>
      </c>
      <c r="AG49" s="7">
        <v>-1.2E-2</v>
      </c>
    </row>
    <row r="50" spans="1:33" x14ac:dyDescent="0.25">
      <c r="A50" t="s">
        <v>27</v>
      </c>
      <c r="B50" t="s">
        <v>151</v>
      </c>
      <c r="C50" t="s">
        <v>152</v>
      </c>
      <c r="D50" t="s">
        <v>25</v>
      </c>
      <c r="F50">
        <v>4.0280000000000003E-2</v>
      </c>
      <c r="G50">
        <v>3.8163000000000002E-2</v>
      </c>
      <c r="H50">
        <v>3.5938999999999999E-2</v>
      </c>
      <c r="I50">
        <v>3.3678E-2</v>
      </c>
      <c r="J50">
        <v>3.1549000000000001E-2</v>
      </c>
      <c r="K50">
        <v>2.9547E-2</v>
      </c>
      <c r="L50">
        <v>2.7810999999999999E-2</v>
      </c>
      <c r="M50">
        <v>2.6394000000000001E-2</v>
      </c>
      <c r="N50">
        <v>2.5277000000000001E-2</v>
      </c>
      <c r="O50">
        <v>2.4400000000000002E-2</v>
      </c>
      <c r="P50">
        <v>2.3768000000000001E-2</v>
      </c>
      <c r="Q50">
        <v>2.3373999999999999E-2</v>
      </c>
      <c r="R50">
        <v>2.2939000000000001E-2</v>
      </c>
      <c r="S50">
        <v>2.2478999999999999E-2</v>
      </c>
      <c r="T50">
        <v>2.2013000000000001E-2</v>
      </c>
      <c r="U50">
        <v>2.154E-2</v>
      </c>
      <c r="V50">
        <v>2.1059000000000001E-2</v>
      </c>
      <c r="W50">
        <v>2.0565E-2</v>
      </c>
      <c r="X50">
        <v>2.0063000000000001E-2</v>
      </c>
      <c r="Y50">
        <v>1.9557000000000001E-2</v>
      </c>
      <c r="Z50">
        <v>1.9033999999999999E-2</v>
      </c>
      <c r="AA50">
        <v>1.8539E-2</v>
      </c>
      <c r="AB50">
        <v>1.8051000000000001E-2</v>
      </c>
      <c r="AC50">
        <v>1.7579000000000001E-2</v>
      </c>
      <c r="AD50">
        <v>1.7124E-2</v>
      </c>
      <c r="AE50">
        <v>1.6685999999999999E-2</v>
      </c>
      <c r="AF50">
        <v>1.6261000000000001E-2</v>
      </c>
      <c r="AG50" s="7">
        <v>-3.4000000000000002E-2</v>
      </c>
    </row>
    <row r="51" spans="1:33" x14ac:dyDescent="0.25">
      <c r="A51" t="s">
        <v>38</v>
      </c>
      <c r="B51" t="s">
        <v>153</v>
      </c>
      <c r="C51" t="s">
        <v>154</v>
      </c>
      <c r="D51" t="s">
        <v>25</v>
      </c>
      <c r="F51">
        <v>2.5815000000000001E-2</v>
      </c>
      <c r="G51">
        <v>2.6124999999999999E-2</v>
      </c>
      <c r="H51">
        <v>2.6246999999999999E-2</v>
      </c>
      <c r="I51">
        <v>2.6216E-2</v>
      </c>
      <c r="J51">
        <v>2.6099000000000001E-2</v>
      </c>
      <c r="K51">
        <v>2.5951999999999999E-2</v>
      </c>
      <c r="L51">
        <v>2.5805000000000002E-2</v>
      </c>
      <c r="M51">
        <v>2.5721999999999998E-2</v>
      </c>
      <c r="N51">
        <v>2.5690999999999999E-2</v>
      </c>
      <c r="O51">
        <v>2.5659000000000001E-2</v>
      </c>
      <c r="P51">
        <v>2.5625999999999999E-2</v>
      </c>
      <c r="Q51">
        <v>2.5586000000000001E-2</v>
      </c>
      <c r="R51">
        <v>2.5554E-2</v>
      </c>
      <c r="S51">
        <v>2.5513999999999998E-2</v>
      </c>
      <c r="T51">
        <v>2.5482000000000001E-2</v>
      </c>
      <c r="U51">
        <v>2.5454000000000001E-2</v>
      </c>
      <c r="V51">
        <v>2.5422E-2</v>
      </c>
      <c r="W51">
        <v>2.5382999999999999E-2</v>
      </c>
      <c r="X51">
        <v>2.5340999999999999E-2</v>
      </c>
      <c r="Y51">
        <v>2.5298000000000001E-2</v>
      </c>
      <c r="Z51">
        <v>2.5232999999999998E-2</v>
      </c>
      <c r="AA51">
        <v>2.5201999999999999E-2</v>
      </c>
      <c r="AB51">
        <v>2.5176E-2</v>
      </c>
      <c r="AC51">
        <v>2.5159000000000001E-2</v>
      </c>
      <c r="AD51">
        <v>2.5149000000000001E-2</v>
      </c>
      <c r="AE51">
        <v>2.5135000000000001E-2</v>
      </c>
      <c r="AF51">
        <v>2.5107000000000001E-2</v>
      </c>
      <c r="AG51" s="7">
        <v>-1E-3</v>
      </c>
    </row>
    <row r="52" spans="1:33" x14ac:dyDescent="0.25">
      <c r="A52" t="s">
        <v>41</v>
      </c>
      <c r="B52" t="s">
        <v>155</v>
      </c>
      <c r="C52" t="s">
        <v>156</v>
      </c>
      <c r="D52" t="s">
        <v>25</v>
      </c>
      <c r="F52">
        <v>0.44587700000000002</v>
      </c>
      <c r="G52">
        <v>0.47523500000000002</v>
      </c>
      <c r="H52">
        <v>0.468476</v>
      </c>
      <c r="I52">
        <v>0.45941900000000002</v>
      </c>
      <c r="J52">
        <v>0.44931599999999999</v>
      </c>
      <c r="K52">
        <v>0.43910399999999999</v>
      </c>
      <c r="L52">
        <v>0.42929099999999998</v>
      </c>
      <c r="M52">
        <v>0.42082199999999997</v>
      </c>
      <c r="N52">
        <v>0.413547</v>
      </c>
      <c r="O52">
        <v>0.40717500000000001</v>
      </c>
      <c r="P52">
        <v>0.40077099999999999</v>
      </c>
      <c r="Q52">
        <v>0.39471600000000001</v>
      </c>
      <c r="R52">
        <v>0.388874</v>
      </c>
      <c r="S52">
        <v>0.38307400000000003</v>
      </c>
      <c r="T52">
        <v>0.37743900000000002</v>
      </c>
      <c r="U52">
        <v>0.37194899999999997</v>
      </c>
      <c r="V52">
        <v>0.366483</v>
      </c>
      <c r="W52">
        <v>0.36104199999999997</v>
      </c>
      <c r="X52">
        <v>0.35572900000000002</v>
      </c>
      <c r="Y52">
        <v>0.35056199999999998</v>
      </c>
      <c r="Z52">
        <v>0.34526699999999999</v>
      </c>
      <c r="AA52">
        <v>0.34054400000000001</v>
      </c>
      <c r="AB52">
        <v>0.33597300000000002</v>
      </c>
      <c r="AC52">
        <v>0.331592</v>
      </c>
      <c r="AD52">
        <v>0.32734600000000003</v>
      </c>
      <c r="AE52">
        <v>0.32318799999999998</v>
      </c>
      <c r="AF52">
        <v>0.31897500000000001</v>
      </c>
      <c r="AG52" s="7">
        <v>-1.2999999999999999E-2</v>
      </c>
    </row>
    <row r="53" spans="1:33" x14ac:dyDescent="0.25">
      <c r="A53" t="s">
        <v>43</v>
      </c>
    </row>
    <row r="54" spans="1:33" x14ac:dyDescent="0.25">
      <c r="A54" t="s">
        <v>24</v>
      </c>
      <c r="B54" t="s">
        <v>157</v>
      </c>
      <c r="C54" t="s">
        <v>158</v>
      </c>
      <c r="D54" t="s">
        <v>25</v>
      </c>
      <c r="F54">
        <v>0.30324699999999999</v>
      </c>
      <c r="G54">
        <v>0.33763799999999999</v>
      </c>
      <c r="H54">
        <v>0.33391599999999999</v>
      </c>
      <c r="I54">
        <v>0.32942300000000002</v>
      </c>
      <c r="J54">
        <v>0.324515</v>
      </c>
      <c r="K54">
        <v>0.318994</v>
      </c>
      <c r="L54">
        <v>0.31281999999999999</v>
      </c>
      <c r="M54">
        <v>0.30642200000000003</v>
      </c>
      <c r="N54">
        <v>0.29993300000000001</v>
      </c>
      <c r="O54">
        <v>0.29379100000000002</v>
      </c>
      <c r="P54">
        <v>0.28748099999999999</v>
      </c>
      <c r="Q54">
        <v>0.281694</v>
      </c>
      <c r="R54">
        <v>0.27654000000000001</v>
      </c>
      <c r="S54">
        <v>0.27193099999999998</v>
      </c>
      <c r="T54">
        <v>0.26767600000000003</v>
      </c>
      <c r="U54">
        <v>0.26374500000000001</v>
      </c>
      <c r="V54">
        <v>0.26008100000000001</v>
      </c>
      <c r="W54">
        <v>0.25654700000000003</v>
      </c>
      <c r="X54">
        <v>0.25313799999999997</v>
      </c>
      <c r="Y54">
        <v>0.24981600000000001</v>
      </c>
      <c r="Z54">
        <v>0.24665500000000001</v>
      </c>
      <c r="AA54">
        <v>0.24367</v>
      </c>
      <c r="AB54">
        <v>0.240954</v>
      </c>
      <c r="AC54">
        <v>0.23830699999999999</v>
      </c>
      <c r="AD54">
        <v>0.23568900000000001</v>
      </c>
      <c r="AE54">
        <v>0.23302400000000001</v>
      </c>
      <c r="AF54">
        <v>0.23016200000000001</v>
      </c>
      <c r="AG54" s="7">
        <v>-1.0999999999999999E-2</v>
      </c>
    </row>
    <row r="55" spans="1:33" x14ac:dyDescent="0.25">
      <c r="A55" t="s">
        <v>27</v>
      </c>
      <c r="B55" t="s">
        <v>159</v>
      </c>
      <c r="C55" t="s">
        <v>160</v>
      </c>
      <c r="D55" t="s">
        <v>25</v>
      </c>
      <c r="F55">
        <v>5.6641999999999998E-2</v>
      </c>
      <c r="G55">
        <v>5.4625E-2</v>
      </c>
      <c r="H55">
        <v>5.2684000000000002E-2</v>
      </c>
      <c r="I55">
        <v>5.0775000000000001E-2</v>
      </c>
      <c r="J55">
        <v>4.9030999999999998E-2</v>
      </c>
      <c r="K55">
        <v>4.7142999999999997E-2</v>
      </c>
      <c r="L55">
        <v>4.5398000000000001E-2</v>
      </c>
      <c r="M55">
        <v>4.3867999999999997E-2</v>
      </c>
      <c r="N55">
        <v>4.2520000000000002E-2</v>
      </c>
      <c r="O55">
        <v>4.1422E-2</v>
      </c>
      <c r="P55">
        <v>4.0549000000000002E-2</v>
      </c>
      <c r="Q55">
        <v>3.9944E-2</v>
      </c>
      <c r="R55">
        <v>3.9315000000000003E-2</v>
      </c>
      <c r="S55">
        <v>3.8685999999999998E-2</v>
      </c>
      <c r="T55">
        <v>3.8047999999999998E-2</v>
      </c>
      <c r="U55">
        <v>3.7400999999999997E-2</v>
      </c>
      <c r="V55">
        <v>3.6749999999999998E-2</v>
      </c>
      <c r="W55">
        <v>3.6075000000000003E-2</v>
      </c>
      <c r="X55">
        <v>3.5376999999999999E-2</v>
      </c>
      <c r="Y55">
        <v>3.4657E-2</v>
      </c>
      <c r="Z55">
        <v>3.3936000000000001E-2</v>
      </c>
      <c r="AA55">
        <v>3.3212999999999999E-2</v>
      </c>
      <c r="AB55">
        <v>3.2506E-2</v>
      </c>
      <c r="AC55">
        <v>3.1829000000000003E-2</v>
      </c>
      <c r="AD55">
        <v>3.1182999999999999E-2</v>
      </c>
      <c r="AE55">
        <v>3.0557000000000001E-2</v>
      </c>
      <c r="AF55">
        <v>2.9940999999999999E-2</v>
      </c>
      <c r="AG55" s="7">
        <v>-2.4E-2</v>
      </c>
    </row>
    <row r="56" spans="1:33" x14ac:dyDescent="0.25">
      <c r="A56" t="s">
        <v>29</v>
      </c>
      <c r="B56" t="s">
        <v>161</v>
      </c>
      <c r="C56" t="s">
        <v>162</v>
      </c>
      <c r="D56" t="s">
        <v>25</v>
      </c>
      <c r="F56">
        <v>1.0414E-2</v>
      </c>
      <c r="G56">
        <v>1.0315E-2</v>
      </c>
      <c r="H56">
        <v>1.0248999999999999E-2</v>
      </c>
      <c r="I56">
        <v>1.0179000000000001E-2</v>
      </c>
      <c r="J56">
        <v>1.0102999999999999E-2</v>
      </c>
      <c r="K56">
        <v>1.0024999999999999E-2</v>
      </c>
      <c r="L56">
        <v>9.9439999999999997E-3</v>
      </c>
      <c r="M56">
        <v>9.8589999999999997E-3</v>
      </c>
      <c r="N56">
        <v>9.7669999999999996E-3</v>
      </c>
      <c r="O56">
        <v>9.6710000000000008E-3</v>
      </c>
      <c r="P56">
        <v>9.5709999999999996E-3</v>
      </c>
      <c r="Q56">
        <v>9.4649999999999995E-3</v>
      </c>
      <c r="R56">
        <v>9.3539999999999995E-3</v>
      </c>
      <c r="S56">
        <v>9.2370000000000004E-3</v>
      </c>
      <c r="T56">
        <v>9.1389999999999996E-3</v>
      </c>
      <c r="U56">
        <v>9.0609999999999996E-3</v>
      </c>
      <c r="V56">
        <v>9.0060000000000001E-3</v>
      </c>
      <c r="W56">
        <v>8.9739999999999993E-3</v>
      </c>
      <c r="X56">
        <v>8.966E-3</v>
      </c>
      <c r="Y56">
        <v>8.9560000000000004E-3</v>
      </c>
      <c r="Z56">
        <v>8.9429999999999996E-3</v>
      </c>
      <c r="AA56">
        <v>8.9289999999999994E-3</v>
      </c>
      <c r="AB56">
        <v>8.9119999999999998E-3</v>
      </c>
      <c r="AC56">
        <v>8.8940000000000009E-3</v>
      </c>
      <c r="AD56">
        <v>8.8719999999999997E-3</v>
      </c>
      <c r="AE56">
        <v>8.848E-3</v>
      </c>
      <c r="AF56">
        <v>8.8229999999999992E-3</v>
      </c>
      <c r="AG56" s="7">
        <v>-6.0000000000000001E-3</v>
      </c>
    </row>
    <row r="57" spans="1:33" x14ac:dyDescent="0.25">
      <c r="A57" t="s">
        <v>38</v>
      </c>
      <c r="B57" t="s">
        <v>163</v>
      </c>
      <c r="C57" t="s">
        <v>164</v>
      </c>
      <c r="D57" t="s">
        <v>25</v>
      </c>
      <c r="F57">
        <v>7.5281000000000001E-2</v>
      </c>
      <c r="G57">
        <v>7.8131999999999993E-2</v>
      </c>
      <c r="H57">
        <v>8.0817E-2</v>
      </c>
      <c r="I57">
        <v>8.3364999999999995E-2</v>
      </c>
      <c r="J57">
        <v>8.5863999999999996E-2</v>
      </c>
      <c r="K57">
        <v>8.8322999999999999E-2</v>
      </c>
      <c r="L57">
        <v>9.0687000000000004E-2</v>
      </c>
      <c r="M57">
        <v>9.3015E-2</v>
      </c>
      <c r="N57">
        <v>9.5245999999999997E-2</v>
      </c>
      <c r="O57">
        <v>9.7373000000000001E-2</v>
      </c>
      <c r="P57">
        <v>9.9442000000000003E-2</v>
      </c>
      <c r="Q57">
        <v>0.10158300000000001</v>
      </c>
      <c r="R57">
        <v>0.103856</v>
      </c>
      <c r="S57">
        <v>0.10623</v>
      </c>
      <c r="T57">
        <v>0.108665</v>
      </c>
      <c r="U57">
        <v>0.111141</v>
      </c>
      <c r="V57">
        <v>0.113638</v>
      </c>
      <c r="W57">
        <v>0.116105</v>
      </c>
      <c r="X57">
        <v>0.118547</v>
      </c>
      <c r="Y57">
        <v>0.120947</v>
      </c>
      <c r="Z57">
        <v>0.123361</v>
      </c>
      <c r="AA57">
        <v>0.125781</v>
      </c>
      <c r="AB57">
        <v>0.128248</v>
      </c>
      <c r="AC57">
        <v>0.13078500000000001</v>
      </c>
      <c r="AD57">
        <v>0.13336899999999999</v>
      </c>
      <c r="AE57">
        <v>0.13592000000000001</v>
      </c>
      <c r="AF57">
        <v>0.13836200000000001</v>
      </c>
      <c r="AG57" s="7">
        <v>2.4E-2</v>
      </c>
    </row>
    <row r="58" spans="1:33" x14ac:dyDescent="0.25">
      <c r="A58" t="s">
        <v>41</v>
      </c>
      <c r="B58" t="s">
        <v>165</v>
      </c>
      <c r="C58" t="s">
        <v>166</v>
      </c>
      <c r="D58" t="s">
        <v>25</v>
      </c>
      <c r="F58">
        <v>0.44558500000000001</v>
      </c>
      <c r="G58">
        <v>0.480711</v>
      </c>
      <c r="H58">
        <v>0.47766599999999998</v>
      </c>
      <c r="I58">
        <v>0.47374300000000003</v>
      </c>
      <c r="J58">
        <v>0.46951399999999999</v>
      </c>
      <c r="K58">
        <v>0.46448600000000001</v>
      </c>
      <c r="L58">
        <v>0.45884900000000001</v>
      </c>
      <c r="M58">
        <v>0.45316299999999998</v>
      </c>
      <c r="N58">
        <v>0.44746599999999997</v>
      </c>
      <c r="O58">
        <v>0.44225799999999998</v>
      </c>
      <c r="P58">
        <v>0.43704300000000001</v>
      </c>
      <c r="Q58">
        <v>0.43268699999999999</v>
      </c>
      <c r="R58">
        <v>0.42906499999999997</v>
      </c>
      <c r="S58">
        <v>0.42608400000000002</v>
      </c>
      <c r="T58">
        <v>0.42352899999999999</v>
      </c>
      <c r="U58">
        <v>0.42134700000000003</v>
      </c>
      <c r="V58">
        <v>0.41947600000000002</v>
      </c>
      <c r="W58">
        <v>0.41770099999999999</v>
      </c>
      <c r="X58">
        <v>0.41602899999999998</v>
      </c>
      <c r="Y58">
        <v>0.41437600000000002</v>
      </c>
      <c r="Z58">
        <v>0.41289599999999999</v>
      </c>
      <c r="AA58">
        <v>0.41159299999999999</v>
      </c>
      <c r="AB58">
        <v>0.41061999999999999</v>
      </c>
      <c r="AC58">
        <v>0.40981499999999998</v>
      </c>
      <c r="AD58">
        <v>0.40911399999999998</v>
      </c>
      <c r="AE58">
        <v>0.40834900000000002</v>
      </c>
      <c r="AF58">
        <v>0.40728799999999998</v>
      </c>
      <c r="AG58" s="7">
        <v>-3.0000000000000001E-3</v>
      </c>
    </row>
    <row r="59" spans="1:33" x14ac:dyDescent="0.25">
      <c r="A59" t="s">
        <v>44</v>
      </c>
      <c r="B59" t="s">
        <v>167</v>
      </c>
      <c r="C59" t="s">
        <v>168</v>
      </c>
      <c r="D59" t="s">
        <v>25</v>
      </c>
      <c r="F59">
        <v>0.35758299999999998</v>
      </c>
      <c r="G59">
        <v>0.36509399999999997</v>
      </c>
      <c r="H59">
        <v>0.35265400000000002</v>
      </c>
      <c r="I59">
        <v>0.34729500000000002</v>
      </c>
      <c r="J59">
        <v>0.34571800000000003</v>
      </c>
      <c r="K59">
        <v>0.345503</v>
      </c>
      <c r="L59">
        <v>0.34528999999999999</v>
      </c>
      <c r="M59">
        <v>0.342499</v>
      </c>
      <c r="N59">
        <v>0.33729500000000001</v>
      </c>
      <c r="O59">
        <v>0.33283800000000002</v>
      </c>
      <c r="P59">
        <v>0.32823400000000003</v>
      </c>
      <c r="Q59">
        <v>0.323965</v>
      </c>
      <c r="R59">
        <v>0.31938100000000003</v>
      </c>
      <c r="S59">
        <v>0.31522099999999997</v>
      </c>
      <c r="T59">
        <v>0.31101800000000002</v>
      </c>
      <c r="U59">
        <v>0.306564</v>
      </c>
      <c r="V59">
        <v>0.30218200000000001</v>
      </c>
      <c r="W59">
        <v>0.29809999999999998</v>
      </c>
      <c r="X59">
        <v>0.294377</v>
      </c>
      <c r="Y59">
        <v>0.29094999999999999</v>
      </c>
      <c r="Z59">
        <v>0.28853600000000001</v>
      </c>
      <c r="AA59">
        <v>0.28493499999999999</v>
      </c>
      <c r="AB59">
        <v>0.28137699999999999</v>
      </c>
      <c r="AC59">
        <v>0.27769199999999999</v>
      </c>
      <c r="AD59">
        <v>0.273872</v>
      </c>
      <c r="AE59">
        <v>0.27057199999999998</v>
      </c>
      <c r="AF59">
        <v>0.26805000000000001</v>
      </c>
      <c r="AG59" s="7">
        <v>-1.0999999999999999E-2</v>
      </c>
    </row>
    <row r="60" spans="1:33" x14ac:dyDescent="0.25">
      <c r="A60" t="s">
        <v>45</v>
      </c>
    </row>
    <row r="61" spans="1:33" x14ac:dyDescent="0.25">
      <c r="A61" t="s">
        <v>24</v>
      </c>
      <c r="B61" t="s">
        <v>169</v>
      </c>
      <c r="C61" t="s">
        <v>170</v>
      </c>
      <c r="D61" t="s">
        <v>25</v>
      </c>
      <c r="F61">
        <v>4.3465860000000003</v>
      </c>
      <c r="G61">
        <v>4.8228799999999996</v>
      </c>
      <c r="H61">
        <v>4.8200079999999996</v>
      </c>
      <c r="I61">
        <v>4.8122230000000004</v>
      </c>
      <c r="J61">
        <v>4.7951969999999999</v>
      </c>
      <c r="K61">
        <v>4.7611840000000001</v>
      </c>
      <c r="L61">
        <v>4.7174490000000002</v>
      </c>
      <c r="M61">
        <v>4.6611149999999997</v>
      </c>
      <c r="N61">
        <v>4.5926739999999997</v>
      </c>
      <c r="O61">
        <v>4.5321020000000001</v>
      </c>
      <c r="P61">
        <v>4.4684559999999998</v>
      </c>
      <c r="Q61">
        <v>4.4139229999999996</v>
      </c>
      <c r="R61">
        <v>4.3675110000000004</v>
      </c>
      <c r="S61">
        <v>4.3258219999999996</v>
      </c>
      <c r="T61">
        <v>4.2849760000000003</v>
      </c>
      <c r="U61">
        <v>4.2453950000000003</v>
      </c>
      <c r="V61">
        <v>4.2049940000000001</v>
      </c>
      <c r="W61">
        <v>4.1615849999999996</v>
      </c>
      <c r="X61">
        <v>4.118366</v>
      </c>
      <c r="Y61">
        <v>4.0758530000000004</v>
      </c>
      <c r="Z61">
        <v>4.0353839999999996</v>
      </c>
      <c r="AA61">
        <v>3.9961630000000001</v>
      </c>
      <c r="AB61">
        <v>3.9576319999999998</v>
      </c>
      <c r="AC61">
        <v>3.9196849999999999</v>
      </c>
      <c r="AD61">
        <v>3.8825660000000002</v>
      </c>
      <c r="AE61">
        <v>3.846835</v>
      </c>
      <c r="AF61">
        <v>3.810959</v>
      </c>
      <c r="AG61" s="7">
        <v>-5.0000000000000001E-3</v>
      </c>
    </row>
    <row r="62" spans="1:33" x14ac:dyDescent="0.25">
      <c r="A62" t="s">
        <v>26</v>
      </c>
      <c r="B62" t="s">
        <v>171</v>
      </c>
      <c r="C62" t="s">
        <v>172</v>
      </c>
      <c r="D62" t="s">
        <v>25</v>
      </c>
      <c r="F62">
        <v>1.0605800000000001</v>
      </c>
      <c r="G62">
        <v>1.013512</v>
      </c>
      <c r="H62">
        <v>1.032818</v>
      </c>
      <c r="I62">
        <v>1.051242</v>
      </c>
      <c r="J62">
        <v>1.0633919999999999</v>
      </c>
      <c r="K62">
        <v>1.0681769999999999</v>
      </c>
      <c r="L62">
        <v>1.070424</v>
      </c>
      <c r="M62">
        <v>1.0710580000000001</v>
      </c>
      <c r="N62">
        <v>1.072892</v>
      </c>
      <c r="O62">
        <v>1.0796399999999999</v>
      </c>
      <c r="P62">
        <v>1.0884609999999999</v>
      </c>
      <c r="Q62">
        <v>1.101504</v>
      </c>
      <c r="R62">
        <v>1.1185849999999999</v>
      </c>
      <c r="S62">
        <v>1.1379809999999999</v>
      </c>
      <c r="T62">
        <v>1.1565019999999999</v>
      </c>
      <c r="U62">
        <v>1.1760699999999999</v>
      </c>
      <c r="V62">
        <v>1.1959070000000001</v>
      </c>
      <c r="W62">
        <v>1.216205</v>
      </c>
      <c r="X62">
        <v>1.236335</v>
      </c>
      <c r="Y62">
        <v>1.2568429999999999</v>
      </c>
      <c r="Z62">
        <v>1.2770840000000001</v>
      </c>
      <c r="AA62">
        <v>1.296835</v>
      </c>
      <c r="AB62">
        <v>1.316179</v>
      </c>
      <c r="AC62">
        <v>1.3353330000000001</v>
      </c>
      <c r="AD62">
        <v>1.3544449999999999</v>
      </c>
      <c r="AE62">
        <v>1.37382</v>
      </c>
      <c r="AF62">
        <v>1.3930279999999999</v>
      </c>
      <c r="AG62" s="7">
        <v>1.0999999999999999E-2</v>
      </c>
    </row>
    <row r="63" spans="1:33" x14ac:dyDescent="0.25">
      <c r="A63" t="s">
        <v>27</v>
      </c>
      <c r="B63" t="s">
        <v>173</v>
      </c>
      <c r="C63" t="s">
        <v>174</v>
      </c>
      <c r="D63" t="s">
        <v>25</v>
      </c>
      <c r="F63">
        <v>1.6054889999999999</v>
      </c>
      <c r="G63">
        <v>1.598546</v>
      </c>
      <c r="H63">
        <v>1.597089</v>
      </c>
      <c r="I63">
        <v>1.5942449999999999</v>
      </c>
      <c r="J63">
        <v>1.5889420000000001</v>
      </c>
      <c r="K63">
        <v>1.56559</v>
      </c>
      <c r="L63">
        <v>1.5391919999999999</v>
      </c>
      <c r="M63">
        <v>1.511479</v>
      </c>
      <c r="N63">
        <v>1.484329</v>
      </c>
      <c r="O63">
        <v>1.4618789999999999</v>
      </c>
      <c r="P63">
        <v>1.4445779999999999</v>
      </c>
      <c r="Q63">
        <v>1.4330259999999999</v>
      </c>
      <c r="R63">
        <v>1.423908</v>
      </c>
      <c r="S63">
        <v>1.416868</v>
      </c>
      <c r="T63">
        <v>1.4107289999999999</v>
      </c>
      <c r="U63">
        <v>1.4057539999999999</v>
      </c>
      <c r="V63">
        <v>1.401351</v>
      </c>
      <c r="W63">
        <v>1.3964270000000001</v>
      </c>
      <c r="X63">
        <v>1.3916949999999999</v>
      </c>
      <c r="Y63">
        <v>1.3874219999999999</v>
      </c>
      <c r="Z63">
        <v>1.3823030000000001</v>
      </c>
      <c r="AA63">
        <v>1.376514</v>
      </c>
      <c r="AB63">
        <v>1.3697900000000001</v>
      </c>
      <c r="AC63">
        <v>1.362908</v>
      </c>
      <c r="AD63">
        <v>1.3563510000000001</v>
      </c>
      <c r="AE63">
        <v>1.3500080000000001</v>
      </c>
      <c r="AF63">
        <v>1.3441289999999999</v>
      </c>
      <c r="AG63" s="7">
        <v>-7.0000000000000001E-3</v>
      </c>
    </row>
    <row r="64" spans="1:33" x14ac:dyDescent="0.25">
      <c r="A64" t="s">
        <v>28</v>
      </c>
      <c r="B64" t="s">
        <v>175</v>
      </c>
      <c r="C64" t="s">
        <v>176</v>
      </c>
      <c r="D64" t="s">
        <v>25</v>
      </c>
      <c r="F64">
        <v>0.35147899999999999</v>
      </c>
      <c r="G64">
        <v>0.34973700000000002</v>
      </c>
      <c r="H64">
        <v>0.34897</v>
      </c>
      <c r="I64">
        <v>0.34811799999999998</v>
      </c>
      <c r="J64">
        <v>0.34716799999999998</v>
      </c>
      <c r="K64">
        <v>0.34654499999999999</v>
      </c>
      <c r="L64">
        <v>0.34371699999999999</v>
      </c>
      <c r="M64">
        <v>0.34114699999999998</v>
      </c>
      <c r="N64">
        <v>0.33881600000000001</v>
      </c>
      <c r="O64">
        <v>0.33663500000000002</v>
      </c>
      <c r="P64">
        <v>0.33458100000000002</v>
      </c>
      <c r="Q64">
        <v>0.33278200000000002</v>
      </c>
      <c r="R64">
        <v>0.33139600000000002</v>
      </c>
      <c r="S64">
        <v>0.33041399999999999</v>
      </c>
      <c r="T64">
        <v>0.32984999999999998</v>
      </c>
      <c r="U64">
        <v>0.32970100000000002</v>
      </c>
      <c r="V64">
        <v>0.32997199999999999</v>
      </c>
      <c r="W64">
        <v>0.33063999999999999</v>
      </c>
      <c r="X64">
        <v>0.331706</v>
      </c>
      <c r="Y64">
        <v>0.33316699999999999</v>
      </c>
      <c r="Z64">
        <v>0.335038</v>
      </c>
      <c r="AA64">
        <v>0.33738899999999999</v>
      </c>
      <c r="AB64">
        <v>0.34022799999999997</v>
      </c>
      <c r="AC64">
        <v>0.34354400000000002</v>
      </c>
      <c r="AD64">
        <v>0.34684700000000002</v>
      </c>
      <c r="AE64">
        <v>0.35012599999999999</v>
      </c>
      <c r="AF64">
        <v>0.35335800000000001</v>
      </c>
      <c r="AG64" s="7">
        <v>0</v>
      </c>
    </row>
    <row r="65" spans="1:33" x14ac:dyDescent="0.25">
      <c r="A65" t="s">
        <v>29</v>
      </c>
      <c r="B65" t="s">
        <v>177</v>
      </c>
      <c r="C65" t="s">
        <v>178</v>
      </c>
      <c r="D65" t="s">
        <v>25</v>
      </c>
      <c r="F65">
        <v>0.155616</v>
      </c>
      <c r="G65">
        <v>0.15596599999999999</v>
      </c>
      <c r="H65">
        <v>0.15681</v>
      </c>
      <c r="I65">
        <v>0.157668</v>
      </c>
      <c r="J65">
        <v>0.158521</v>
      </c>
      <c r="K65">
        <v>0.15940099999999999</v>
      </c>
      <c r="L65">
        <v>0.160279</v>
      </c>
      <c r="M65">
        <v>0.16114200000000001</v>
      </c>
      <c r="N65">
        <v>0.161972</v>
      </c>
      <c r="O65">
        <v>0.16275899999999999</v>
      </c>
      <c r="P65">
        <v>0.163526</v>
      </c>
      <c r="Q65">
        <v>0.16431100000000001</v>
      </c>
      <c r="R65">
        <v>0.16511700000000001</v>
      </c>
      <c r="S65">
        <v>0.16592899999999999</v>
      </c>
      <c r="T65">
        <v>0.166792</v>
      </c>
      <c r="U65">
        <v>0.16767000000000001</v>
      </c>
      <c r="V65">
        <v>0.16857900000000001</v>
      </c>
      <c r="W65">
        <v>0.16950399999999999</v>
      </c>
      <c r="X65">
        <v>0.17045199999999999</v>
      </c>
      <c r="Y65">
        <v>0.17136799999999999</v>
      </c>
      <c r="Z65">
        <v>0.17227200000000001</v>
      </c>
      <c r="AA65">
        <v>0.173179</v>
      </c>
      <c r="AB65">
        <v>0.17408699999999999</v>
      </c>
      <c r="AC65">
        <v>0.17499799999999999</v>
      </c>
      <c r="AD65">
        <v>0.17591300000000001</v>
      </c>
      <c r="AE65">
        <v>0.17683499999999999</v>
      </c>
      <c r="AF65">
        <v>0.177762</v>
      </c>
      <c r="AG65" s="7">
        <v>5.0000000000000001E-3</v>
      </c>
    </row>
    <row r="66" spans="1:33" x14ac:dyDescent="0.25">
      <c r="A66" t="s">
        <v>30</v>
      </c>
      <c r="B66" t="s">
        <v>179</v>
      </c>
      <c r="C66" t="s">
        <v>180</v>
      </c>
      <c r="D66" t="s">
        <v>25</v>
      </c>
      <c r="F66">
        <v>0.23139499999999999</v>
      </c>
      <c r="G66">
        <v>0.23356099999999999</v>
      </c>
      <c r="H66">
        <v>0.23794899999999999</v>
      </c>
      <c r="I66">
        <v>0.24311199999999999</v>
      </c>
      <c r="J66">
        <v>0.247172</v>
      </c>
      <c r="K66">
        <v>0.24962599999999999</v>
      </c>
      <c r="L66">
        <v>0.25114199999999998</v>
      </c>
      <c r="M66">
        <v>0.25182100000000002</v>
      </c>
      <c r="N66">
        <v>0.25203799999999998</v>
      </c>
      <c r="O66">
        <v>0.25211699999999998</v>
      </c>
      <c r="P66">
        <v>0.25274000000000002</v>
      </c>
      <c r="Q66">
        <v>0.25444099999999997</v>
      </c>
      <c r="R66">
        <v>0.25719799999999998</v>
      </c>
      <c r="S66">
        <v>0.26063799999999998</v>
      </c>
      <c r="T66">
        <v>0.26424999999999998</v>
      </c>
      <c r="U66">
        <v>0.268266</v>
      </c>
      <c r="V66">
        <v>0.272733</v>
      </c>
      <c r="W66">
        <v>0.27750799999999998</v>
      </c>
      <c r="X66">
        <v>0.28212100000000001</v>
      </c>
      <c r="Y66">
        <v>0.28665000000000002</v>
      </c>
      <c r="Z66">
        <v>0.29098400000000002</v>
      </c>
      <c r="AA66">
        <v>0.295126</v>
      </c>
      <c r="AB66">
        <v>0.29904999999999998</v>
      </c>
      <c r="AC66">
        <v>0.30279099999999998</v>
      </c>
      <c r="AD66">
        <v>0.30644300000000002</v>
      </c>
      <c r="AE66">
        <v>0.31001699999999999</v>
      </c>
      <c r="AF66">
        <v>0.31342700000000001</v>
      </c>
      <c r="AG66" s="7">
        <v>1.2E-2</v>
      </c>
    </row>
    <row r="67" spans="1:33" x14ac:dyDescent="0.25">
      <c r="A67" t="s">
        <v>31</v>
      </c>
      <c r="B67" t="s">
        <v>181</v>
      </c>
      <c r="C67" t="s">
        <v>182</v>
      </c>
      <c r="D67" t="s">
        <v>25</v>
      </c>
      <c r="F67">
        <v>7.9547999999999994E-2</v>
      </c>
      <c r="G67">
        <v>7.9316999999999999E-2</v>
      </c>
      <c r="H67">
        <v>7.9323000000000005E-2</v>
      </c>
      <c r="I67">
        <v>7.9324000000000006E-2</v>
      </c>
      <c r="J67">
        <v>7.9286999999999996E-2</v>
      </c>
      <c r="K67">
        <v>7.9225000000000004E-2</v>
      </c>
      <c r="L67">
        <v>7.8759999999999997E-2</v>
      </c>
      <c r="M67">
        <v>7.8244999999999995E-2</v>
      </c>
      <c r="N67">
        <v>7.7689999999999995E-2</v>
      </c>
      <c r="O67">
        <v>7.7148999999999995E-2</v>
      </c>
      <c r="P67">
        <v>7.6617000000000005E-2</v>
      </c>
      <c r="Q67">
        <v>7.6115000000000002E-2</v>
      </c>
      <c r="R67">
        <v>7.5637999999999997E-2</v>
      </c>
      <c r="S67">
        <v>7.5175000000000006E-2</v>
      </c>
      <c r="T67">
        <v>7.4735999999999997E-2</v>
      </c>
      <c r="U67">
        <v>7.4319999999999997E-2</v>
      </c>
      <c r="V67">
        <v>7.3931999999999998E-2</v>
      </c>
      <c r="W67">
        <v>7.3580999999999994E-2</v>
      </c>
      <c r="X67">
        <v>7.3268E-2</v>
      </c>
      <c r="Y67">
        <v>7.2993000000000002E-2</v>
      </c>
      <c r="Z67">
        <v>7.2761000000000006E-2</v>
      </c>
      <c r="AA67">
        <v>7.2581999999999994E-2</v>
      </c>
      <c r="AB67">
        <v>7.2468000000000005E-2</v>
      </c>
      <c r="AC67">
        <v>7.2414999999999993E-2</v>
      </c>
      <c r="AD67">
        <v>7.2434999999999999E-2</v>
      </c>
      <c r="AE67">
        <v>7.2536000000000003E-2</v>
      </c>
      <c r="AF67">
        <v>7.2717000000000004E-2</v>
      </c>
      <c r="AG67" s="7">
        <v>-3.0000000000000001E-3</v>
      </c>
    </row>
    <row r="68" spans="1:33" x14ac:dyDescent="0.25">
      <c r="A68" t="s">
        <v>32</v>
      </c>
      <c r="B68" t="s">
        <v>183</v>
      </c>
      <c r="C68" t="s">
        <v>184</v>
      </c>
      <c r="D68" t="s">
        <v>25</v>
      </c>
      <c r="F68">
        <v>0.18737100000000001</v>
      </c>
      <c r="G68">
        <v>0.18539</v>
      </c>
      <c r="H68">
        <v>0.18696399999999999</v>
      </c>
      <c r="I68">
        <v>0.190632</v>
      </c>
      <c r="J68">
        <v>0.19372700000000001</v>
      </c>
      <c r="K68">
        <v>0.195604</v>
      </c>
      <c r="L68">
        <v>0.19516600000000001</v>
      </c>
      <c r="M68">
        <v>0.19453100000000001</v>
      </c>
      <c r="N68">
        <v>0.19431999999999999</v>
      </c>
      <c r="O68">
        <v>0.19414899999999999</v>
      </c>
      <c r="P68">
        <v>0.19440399999999999</v>
      </c>
      <c r="Q68">
        <v>0.19527800000000001</v>
      </c>
      <c r="R68">
        <v>0.196599</v>
      </c>
      <c r="S68">
        <v>0.19806699999999999</v>
      </c>
      <c r="T68">
        <v>0.199294</v>
      </c>
      <c r="U68">
        <v>0.200681</v>
      </c>
      <c r="V68">
        <v>0.198798</v>
      </c>
      <c r="W68">
        <v>0.19717199999999999</v>
      </c>
      <c r="X68">
        <v>0.195941</v>
      </c>
      <c r="Y68">
        <v>0.19514000000000001</v>
      </c>
      <c r="Z68">
        <v>0.19470599999999999</v>
      </c>
      <c r="AA68">
        <v>0.194468</v>
      </c>
      <c r="AB68">
        <v>0.19427800000000001</v>
      </c>
      <c r="AC68">
        <v>0.194106</v>
      </c>
      <c r="AD68">
        <v>0.194081</v>
      </c>
      <c r="AE68">
        <v>0.19420699999999999</v>
      </c>
      <c r="AF68">
        <v>0.19436300000000001</v>
      </c>
      <c r="AG68" s="7">
        <v>1E-3</v>
      </c>
    </row>
    <row r="69" spans="1:33" x14ac:dyDescent="0.25">
      <c r="A69" t="s">
        <v>33</v>
      </c>
      <c r="B69" t="s">
        <v>185</v>
      </c>
      <c r="C69" t="s">
        <v>186</v>
      </c>
      <c r="D69" t="s">
        <v>25</v>
      </c>
      <c r="F69">
        <v>4.1806999999999997E-2</v>
      </c>
      <c r="G69">
        <v>4.0731000000000003E-2</v>
      </c>
      <c r="H69">
        <v>3.9766000000000003E-2</v>
      </c>
      <c r="I69">
        <v>3.8787000000000002E-2</v>
      </c>
      <c r="J69">
        <v>3.7633E-2</v>
      </c>
      <c r="K69">
        <v>3.6454E-2</v>
      </c>
      <c r="L69">
        <v>3.5085999999999999E-2</v>
      </c>
      <c r="M69">
        <v>3.3659000000000001E-2</v>
      </c>
      <c r="N69">
        <v>3.2142999999999998E-2</v>
      </c>
      <c r="O69">
        <v>3.0825999999999999E-2</v>
      </c>
      <c r="P69">
        <v>2.971E-2</v>
      </c>
      <c r="Q69">
        <v>2.8801E-2</v>
      </c>
      <c r="R69">
        <v>2.8112000000000002E-2</v>
      </c>
      <c r="S69">
        <v>2.7654999999999999E-2</v>
      </c>
      <c r="T69">
        <v>2.7453000000000002E-2</v>
      </c>
      <c r="U69">
        <v>2.7522000000000001E-2</v>
      </c>
      <c r="V69">
        <v>2.759E-2</v>
      </c>
      <c r="W69">
        <v>2.7657999999999999E-2</v>
      </c>
      <c r="X69">
        <v>2.7733000000000001E-2</v>
      </c>
      <c r="Y69">
        <v>2.7814999999999999E-2</v>
      </c>
      <c r="Z69">
        <v>2.7907999999999999E-2</v>
      </c>
      <c r="AA69">
        <v>2.8015999999999999E-2</v>
      </c>
      <c r="AB69">
        <v>2.8138E-2</v>
      </c>
      <c r="AC69">
        <v>2.8273E-2</v>
      </c>
      <c r="AD69">
        <v>2.8420000000000001E-2</v>
      </c>
      <c r="AE69">
        <v>2.8576000000000001E-2</v>
      </c>
      <c r="AF69">
        <v>2.8739000000000001E-2</v>
      </c>
      <c r="AG69" s="7">
        <v>-1.4E-2</v>
      </c>
    </row>
    <row r="70" spans="1:33" x14ac:dyDescent="0.25">
      <c r="A70" t="s">
        <v>34</v>
      </c>
      <c r="B70" t="s">
        <v>187</v>
      </c>
      <c r="C70" t="s">
        <v>188</v>
      </c>
      <c r="D70" t="s">
        <v>25</v>
      </c>
      <c r="F70">
        <v>3.6366999999999997E-2</v>
      </c>
      <c r="G70">
        <v>3.7219000000000002E-2</v>
      </c>
      <c r="H70">
        <v>3.8216E-2</v>
      </c>
      <c r="I70">
        <v>3.8545999999999997E-2</v>
      </c>
      <c r="J70">
        <v>3.8751000000000001E-2</v>
      </c>
      <c r="K70">
        <v>3.8914999999999998E-2</v>
      </c>
      <c r="L70">
        <v>3.9031999999999997E-2</v>
      </c>
      <c r="M70">
        <v>3.9100999999999997E-2</v>
      </c>
      <c r="N70">
        <v>3.9118E-2</v>
      </c>
      <c r="O70">
        <v>3.9202000000000001E-2</v>
      </c>
      <c r="P70">
        <v>3.9358999999999998E-2</v>
      </c>
      <c r="Q70">
        <v>3.9600999999999997E-2</v>
      </c>
      <c r="R70">
        <v>3.9935999999999999E-2</v>
      </c>
      <c r="S70">
        <v>4.0363999999999997E-2</v>
      </c>
      <c r="T70">
        <v>4.0896000000000002E-2</v>
      </c>
      <c r="U70">
        <v>4.1537999999999999E-2</v>
      </c>
      <c r="V70">
        <v>4.2178E-2</v>
      </c>
      <c r="W70">
        <v>4.2812000000000003E-2</v>
      </c>
      <c r="X70">
        <v>4.3444000000000003E-2</v>
      </c>
      <c r="Y70">
        <v>4.4074000000000002E-2</v>
      </c>
      <c r="Z70">
        <v>4.4707999999999998E-2</v>
      </c>
      <c r="AA70">
        <v>4.5349E-2</v>
      </c>
      <c r="AB70">
        <v>4.5997999999999997E-2</v>
      </c>
      <c r="AC70">
        <v>4.6655000000000002E-2</v>
      </c>
      <c r="AD70">
        <v>4.7317999999999999E-2</v>
      </c>
      <c r="AE70">
        <v>4.7988000000000003E-2</v>
      </c>
      <c r="AF70">
        <v>4.8662999999999998E-2</v>
      </c>
      <c r="AG70" s="7">
        <v>1.0999999999999999E-2</v>
      </c>
    </row>
    <row r="71" spans="1:33" x14ac:dyDescent="0.25">
      <c r="A71" t="s">
        <v>35</v>
      </c>
      <c r="B71" t="s">
        <v>189</v>
      </c>
      <c r="C71" t="s">
        <v>190</v>
      </c>
      <c r="D71" t="s">
        <v>25</v>
      </c>
      <c r="F71">
        <v>0.12937399999999999</v>
      </c>
      <c r="G71">
        <v>0.12654399999999999</v>
      </c>
      <c r="H71">
        <v>0.12521499999999999</v>
      </c>
      <c r="I71">
        <v>0.124316</v>
      </c>
      <c r="J71">
        <v>0.122902</v>
      </c>
      <c r="K71">
        <v>0.120777</v>
      </c>
      <c r="L71">
        <v>0.11837499999999999</v>
      </c>
      <c r="M71">
        <v>0.115926</v>
      </c>
      <c r="N71">
        <v>0.113659</v>
      </c>
      <c r="O71">
        <v>0.11144</v>
      </c>
      <c r="P71">
        <v>0.1095</v>
      </c>
      <c r="Q71">
        <v>0.10799</v>
      </c>
      <c r="R71">
        <v>0.106861</v>
      </c>
      <c r="S71">
        <v>0.10595400000000001</v>
      </c>
      <c r="T71">
        <v>0.10506600000000001</v>
      </c>
      <c r="U71">
        <v>0.104306</v>
      </c>
      <c r="V71">
        <v>0.10369100000000001</v>
      </c>
      <c r="W71">
        <v>0.103142</v>
      </c>
      <c r="X71">
        <v>0.102677</v>
      </c>
      <c r="Y71">
        <v>0.10234500000000001</v>
      </c>
      <c r="Z71">
        <v>0.102119</v>
      </c>
      <c r="AA71">
        <v>0.102036</v>
      </c>
      <c r="AB71">
        <v>0.10208200000000001</v>
      </c>
      <c r="AC71">
        <v>0.102176</v>
      </c>
      <c r="AD71">
        <v>0.10236000000000001</v>
      </c>
      <c r="AE71">
        <v>0.102613</v>
      </c>
      <c r="AF71">
        <v>0.102926</v>
      </c>
      <c r="AG71" s="7">
        <v>-8.9999999999999993E-3</v>
      </c>
    </row>
    <row r="72" spans="1:33" x14ac:dyDescent="0.25">
      <c r="A72" t="s">
        <v>36</v>
      </c>
      <c r="B72" t="s">
        <v>191</v>
      </c>
      <c r="C72" t="s">
        <v>192</v>
      </c>
      <c r="D72" t="s">
        <v>25</v>
      </c>
      <c r="F72">
        <v>0.100147</v>
      </c>
      <c r="G72">
        <v>9.8311999999999997E-2</v>
      </c>
      <c r="H72">
        <v>9.7711999999999993E-2</v>
      </c>
      <c r="I72">
        <v>9.7344E-2</v>
      </c>
      <c r="J72">
        <v>9.6392000000000005E-2</v>
      </c>
      <c r="K72">
        <v>9.4705999999999999E-2</v>
      </c>
      <c r="L72">
        <v>9.2652999999999999E-2</v>
      </c>
      <c r="M72">
        <v>9.0438000000000004E-2</v>
      </c>
      <c r="N72">
        <v>8.8259000000000004E-2</v>
      </c>
      <c r="O72">
        <v>8.6025000000000004E-2</v>
      </c>
      <c r="P72">
        <v>8.3927000000000002E-2</v>
      </c>
      <c r="Q72">
        <v>8.2076999999999997E-2</v>
      </c>
      <c r="R72">
        <v>8.0450999999999995E-2</v>
      </c>
      <c r="S72">
        <v>7.8944E-2</v>
      </c>
      <c r="T72">
        <v>7.7403E-2</v>
      </c>
      <c r="U72">
        <v>7.5929999999999997E-2</v>
      </c>
      <c r="V72">
        <v>7.4545E-2</v>
      </c>
      <c r="W72">
        <v>7.3195999999999997E-2</v>
      </c>
      <c r="X72">
        <v>7.1926000000000004E-2</v>
      </c>
      <c r="Y72">
        <v>7.0762000000000005E-2</v>
      </c>
      <c r="Z72">
        <v>6.9711999999999996E-2</v>
      </c>
      <c r="AA72">
        <v>6.8805000000000005E-2</v>
      </c>
      <c r="AB72">
        <v>6.8054000000000003E-2</v>
      </c>
      <c r="AC72">
        <v>6.7420999999999995E-2</v>
      </c>
      <c r="AD72">
        <v>6.6941000000000001E-2</v>
      </c>
      <c r="AE72">
        <v>6.6635E-2</v>
      </c>
      <c r="AF72">
        <v>6.6464999999999996E-2</v>
      </c>
      <c r="AG72" s="7">
        <v>-1.6E-2</v>
      </c>
    </row>
    <row r="73" spans="1:33" x14ac:dyDescent="0.25">
      <c r="A73" t="s">
        <v>37</v>
      </c>
      <c r="B73" t="s">
        <v>193</v>
      </c>
      <c r="C73" t="s">
        <v>194</v>
      </c>
      <c r="D73" t="s">
        <v>25</v>
      </c>
      <c r="F73">
        <v>0.137569</v>
      </c>
      <c r="G73">
        <v>0.158502</v>
      </c>
      <c r="H73">
        <v>0.16062100000000001</v>
      </c>
      <c r="I73">
        <v>0.16225000000000001</v>
      </c>
      <c r="J73">
        <v>0.16347</v>
      </c>
      <c r="K73">
        <v>0.164468</v>
      </c>
      <c r="L73">
        <v>0.165238</v>
      </c>
      <c r="M73">
        <v>0.16567499999999999</v>
      </c>
      <c r="N73">
        <v>0.16580900000000001</v>
      </c>
      <c r="O73">
        <v>0.165878</v>
      </c>
      <c r="P73">
        <v>0.165686</v>
      </c>
      <c r="Q73">
        <v>0.16552700000000001</v>
      </c>
      <c r="R73">
        <v>0.16533999999999999</v>
      </c>
      <c r="S73">
        <v>0.164941</v>
      </c>
      <c r="T73">
        <v>0.16417499999999999</v>
      </c>
      <c r="U73">
        <v>0.16303300000000001</v>
      </c>
      <c r="V73">
        <v>0.16142300000000001</v>
      </c>
      <c r="W73">
        <v>0.159333</v>
      </c>
      <c r="X73">
        <v>0.156941</v>
      </c>
      <c r="Y73">
        <v>0.15426799999999999</v>
      </c>
      <c r="Z73">
        <v>0.15151400000000001</v>
      </c>
      <c r="AA73">
        <v>0.14884</v>
      </c>
      <c r="AB73">
        <v>0.146261</v>
      </c>
      <c r="AC73">
        <v>0.143757</v>
      </c>
      <c r="AD73">
        <v>0.14143700000000001</v>
      </c>
      <c r="AE73">
        <v>0.13933499999999999</v>
      </c>
      <c r="AF73">
        <v>0.137382</v>
      </c>
      <c r="AG73" s="7">
        <v>0</v>
      </c>
    </row>
    <row r="74" spans="1:33" x14ac:dyDescent="0.25">
      <c r="A74" t="s">
        <v>38</v>
      </c>
      <c r="B74" t="s">
        <v>195</v>
      </c>
      <c r="C74" t="s">
        <v>196</v>
      </c>
      <c r="D74" t="s">
        <v>25</v>
      </c>
      <c r="F74">
        <v>2.6626530000000002</v>
      </c>
      <c r="G74">
        <v>2.6026509999999998</v>
      </c>
      <c r="H74">
        <v>2.657826</v>
      </c>
      <c r="I74">
        <v>2.7135349999999998</v>
      </c>
      <c r="J74">
        <v>2.7614920000000001</v>
      </c>
      <c r="K74">
        <v>2.7996289999999999</v>
      </c>
      <c r="L74">
        <v>2.832198</v>
      </c>
      <c r="M74">
        <v>2.8602289999999999</v>
      </c>
      <c r="N74">
        <v>2.8874970000000002</v>
      </c>
      <c r="O74">
        <v>2.91289</v>
      </c>
      <c r="P74">
        <v>2.9414530000000001</v>
      </c>
      <c r="Q74">
        <v>2.9740549999999999</v>
      </c>
      <c r="R74">
        <v>3.012127</v>
      </c>
      <c r="S74">
        <v>3.0532720000000002</v>
      </c>
      <c r="T74">
        <v>3.0931760000000001</v>
      </c>
      <c r="U74">
        <v>3.1347119999999999</v>
      </c>
      <c r="V74">
        <v>3.1771099999999999</v>
      </c>
      <c r="W74">
        <v>3.2170320000000001</v>
      </c>
      <c r="X74">
        <v>3.2571729999999999</v>
      </c>
      <c r="Y74">
        <v>3.2976610000000002</v>
      </c>
      <c r="Z74">
        <v>3.3382770000000002</v>
      </c>
      <c r="AA74">
        <v>3.3788330000000002</v>
      </c>
      <c r="AB74">
        <v>3.4196040000000001</v>
      </c>
      <c r="AC74">
        <v>3.4605130000000002</v>
      </c>
      <c r="AD74">
        <v>3.5017649999999998</v>
      </c>
      <c r="AE74">
        <v>3.5436749999999999</v>
      </c>
      <c r="AF74">
        <v>3.5856539999999999</v>
      </c>
      <c r="AG74" s="7">
        <v>1.2E-2</v>
      </c>
    </row>
    <row r="75" spans="1:33" x14ac:dyDescent="0.25">
      <c r="A75" t="s">
        <v>124</v>
      </c>
      <c r="B75" t="s">
        <v>197</v>
      </c>
      <c r="C75" t="s">
        <v>198</v>
      </c>
      <c r="D75" t="s">
        <v>25</v>
      </c>
      <c r="F75">
        <v>11.125982</v>
      </c>
      <c r="G75">
        <v>11.502867</v>
      </c>
      <c r="H75">
        <v>11.579288999999999</v>
      </c>
      <c r="I75">
        <v>11.651342</v>
      </c>
      <c r="J75">
        <v>11.694044999999999</v>
      </c>
      <c r="K75">
        <v>11.680301999999999</v>
      </c>
      <c r="L75">
        <v>11.63871</v>
      </c>
      <c r="M75">
        <v>11.575566999999999</v>
      </c>
      <c r="N75">
        <v>11.501217</v>
      </c>
      <c r="O75">
        <v>11.442689</v>
      </c>
      <c r="P75">
        <v>11.392999</v>
      </c>
      <c r="Q75">
        <v>11.369433000000001</v>
      </c>
      <c r="R75">
        <v>11.368779999999999</v>
      </c>
      <c r="S75">
        <v>11.382025000000001</v>
      </c>
      <c r="T75">
        <v>11.395296999999999</v>
      </c>
      <c r="U75">
        <v>11.414899</v>
      </c>
      <c r="V75">
        <v>11.4328</v>
      </c>
      <c r="W75">
        <v>11.445793</v>
      </c>
      <c r="X75">
        <v>11.459778</v>
      </c>
      <c r="Y75">
        <v>11.476362</v>
      </c>
      <c r="Z75">
        <v>11.494769</v>
      </c>
      <c r="AA75">
        <v>11.514135</v>
      </c>
      <c r="AB75">
        <v>11.533847</v>
      </c>
      <c r="AC75">
        <v>11.554574000000001</v>
      </c>
      <c r="AD75">
        <v>11.57732</v>
      </c>
      <c r="AE75">
        <v>11.603204</v>
      </c>
      <c r="AF75">
        <v>11.629573000000001</v>
      </c>
      <c r="AG75" s="7">
        <v>2E-3</v>
      </c>
    </row>
    <row r="76" spans="1:33" x14ac:dyDescent="0.25">
      <c r="A76" t="s">
        <v>127</v>
      </c>
      <c r="B76" t="s">
        <v>199</v>
      </c>
      <c r="C76" t="s">
        <v>200</v>
      </c>
      <c r="D76" t="s">
        <v>25</v>
      </c>
      <c r="F76">
        <v>4.4337000000000001E-2</v>
      </c>
      <c r="G76">
        <v>6.6201999999999997E-2</v>
      </c>
      <c r="H76">
        <v>9.8492999999999997E-2</v>
      </c>
      <c r="I76">
        <v>0.14113400000000001</v>
      </c>
      <c r="J76">
        <v>0.19359399999999999</v>
      </c>
      <c r="K76">
        <v>0.25625700000000001</v>
      </c>
      <c r="L76">
        <v>0.33226899999999998</v>
      </c>
      <c r="M76">
        <v>0.40964400000000001</v>
      </c>
      <c r="N76">
        <v>0.49610599999999999</v>
      </c>
      <c r="O76">
        <v>0.58273399999999997</v>
      </c>
      <c r="P76">
        <v>0.67127199999999998</v>
      </c>
      <c r="Q76">
        <v>0.75774600000000003</v>
      </c>
      <c r="R76">
        <v>0.84255199999999997</v>
      </c>
      <c r="S76">
        <v>0.92561800000000005</v>
      </c>
      <c r="T76">
        <v>1.0052989999999999</v>
      </c>
      <c r="U76">
        <v>1.0807180000000001</v>
      </c>
      <c r="V76">
        <v>1.151586</v>
      </c>
      <c r="W76">
        <v>1.2174419999999999</v>
      </c>
      <c r="X76">
        <v>1.277585</v>
      </c>
      <c r="Y76">
        <v>1.331949</v>
      </c>
      <c r="Z76">
        <v>1.380314</v>
      </c>
      <c r="AA76">
        <v>1.4238759999999999</v>
      </c>
      <c r="AB76">
        <v>1.4637</v>
      </c>
      <c r="AC76">
        <v>1.499768</v>
      </c>
      <c r="AD76">
        <v>1.5314890000000001</v>
      </c>
      <c r="AE76">
        <v>1.559817</v>
      </c>
      <c r="AF76">
        <v>1.58514</v>
      </c>
      <c r="AG76" s="7">
        <v>0.14699999999999999</v>
      </c>
    </row>
    <row r="77" spans="1:33" x14ac:dyDescent="0.25">
      <c r="A77" t="s">
        <v>39</v>
      </c>
      <c r="B77" t="s">
        <v>201</v>
      </c>
      <c r="C77" t="s">
        <v>202</v>
      </c>
      <c r="D77" t="s">
        <v>25</v>
      </c>
      <c r="F77">
        <v>0.175875</v>
      </c>
      <c r="G77">
        <v>0.199964</v>
      </c>
      <c r="H77">
        <v>0.22440399999999999</v>
      </c>
      <c r="I77">
        <v>0.24728700000000001</v>
      </c>
      <c r="J77">
        <v>0.27066400000000002</v>
      </c>
      <c r="K77">
        <v>0.29440899999999998</v>
      </c>
      <c r="L77">
        <v>0.31969599999999998</v>
      </c>
      <c r="M77">
        <v>0.34664099999999998</v>
      </c>
      <c r="N77">
        <v>0.37347900000000001</v>
      </c>
      <c r="O77">
        <v>0.400223</v>
      </c>
      <c r="P77">
        <v>0.42644399999999999</v>
      </c>
      <c r="Q77">
        <v>0.44691599999999998</v>
      </c>
      <c r="R77">
        <v>0.467945</v>
      </c>
      <c r="S77">
        <v>0.48925999999999997</v>
      </c>
      <c r="T77">
        <v>0.51142299999999996</v>
      </c>
      <c r="U77">
        <v>0.53387399999999996</v>
      </c>
      <c r="V77">
        <v>0.556782</v>
      </c>
      <c r="W77">
        <v>0.58001000000000003</v>
      </c>
      <c r="X77">
        <v>0.60384800000000005</v>
      </c>
      <c r="Y77">
        <v>0.62805299999999997</v>
      </c>
      <c r="Z77">
        <v>0.65273000000000003</v>
      </c>
      <c r="AA77">
        <v>0.67815700000000001</v>
      </c>
      <c r="AB77">
        <v>0.70421100000000003</v>
      </c>
      <c r="AC77">
        <v>0.73085999999999995</v>
      </c>
      <c r="AD77">
        <v>0.75824999999999998</v>
      </c>
      <c r="AE77">
        <v>0.78616600000000003</v>
      </c>
      <c r="AF77">
        <v>0.81450900000000004</v>
      </c>
      <c r="AG77" s="7">
        <v>6.0999999999999999E-2</v>
      </c>
    </row>
    <row r="78" spans="1:33" x14ac:dyDescent="0.25">
      <c r="A78" t="s">
        <v>41</v>
      </c>
      <c r="B78" t="s">
        <v>203</v>
      </c>
      <c r="C78" t="s">
        <v>204</v>
      </c>
      <c r="D78" t="s">
        <v>25</v>
      </c>
      <c r="F78">
        <v>10.994444</v>
      </c>
      <c r="G78">
        <v>11.369104999999999</v>
      </c>
      <c r="H78">
        <v>11.453377</v>
      </c>
      <c r="I78">
        <v>11.545189000000001</v>
      </c>
      <c r="J78">
        <v>11.616975</v>
      </c>
      <c r="K78">
        <v>11.642150000000001</v>
      </c>
      <c r="L78">
        <v>11.651282999999999</v>
      </c>
      <c r="M78">
        <v>11.63857</v>
      </c>
      <c r="N78">
        <v>11.623844</v>
      </c>
      <c r="O78">
        <v>11.625201000000001</v>
      </c>
      <c r="P78">
        <v>11.637828000000001</v>
      </c>
      <c r="Q78">
        <v>11.680263999999999</v>
      </c>
      <c r="R78">
        <v>11.743387</v>
      </c>
      <c r="S78">
        <v>11.818383000000001</v>
      </c>
      <c r="T78">
        <v>11.889173</v>
      </c>
      <c r="U78">
        <v>11.961743</v>
      </c>
      <c r="V78">
        <v>12.027604</v>
      </c>
      <c r="W78">
        <v>12.083225000000001</v>
      </c>
      <c r="X78">
        <v>12.133514999999999</v>
      </c>
      <c r="Y78">
        <v>12.180259</v>
      </c>
      <c r="Z78">
        <v>12.222353999999999</v>
      </c>
      <c r="AA78">
        <v>12.259854000000001</v>
      </c>
      <c r="AB78">
        <v>12.293336</v>
      </c>
      <c r="AC78">
        <v>12.323482</v>
      </c>
      <c r="AD78">
        <v>12.350557999999999</v>
      </c>
      <c r="AE78">
        <v>12.376855000000001</v>
      </c>
      <c r="AF78">
        <v>12.400204</v>
      </c>
      <c r="AG78" s="7">
        <v>5.0000000000000001E-3</v>
      </c>
    </row>
    <row r="79" spans="1:33" x14ac:dyDescent="0.25">
      <c r="A79" t="s">
        <v>46</v>
      </c>
      <c r="B79" t="s">
        <v>205</v>
      </c>
      <c r="C79" t="s">
        <v>206</v>
      </c>
      <c r="D79" t="s">
        <v>25</v>
      </c>
      <c r="F79">
        <v>7.3081649999999998</v>
      </c>
      <c r="G79">
        <v>7.0034419999999997</v>
      </c>
      <c r="H79">
        <v>6.6813919999999998</v>
      </c>
      <c r="I79">
        <v>6.5385549999999997</v>
      </c>
      <c r="J79">
        <v>6.4880519999999997</v>
      </c>
      <c r="K79">
        <v>6.4388649999999998</v>
      </c>
      <c r="L79">
        <v>6.2334740000000002</v>
      </c>
      <c r="M79">
        <v>6.0761130000000003</v>
      </c>
      <c r="N79">
        <v>5.7363569999999999</v>
      </c>
      <c r="O79">
        <v>5.6088019999999998</v>
      </c>
      <c r="P79">
        <v>5.4735290000000001</v>
      </c>
      <c r="Q79">
        <v>5.3148520000000001</v>
      </c>
      <c r="R79">
        <v>5.1783020000000004</v>
      </c>
      <c r="S79">
        <v>4.9983519999999997</v>
      </c>
      <c r="T79">
        <v>4.9232310000000004</v>
      </c>
      <c r="U79">
        <v>4.7068469999999998</v>
      </c>
      <c r="V79">
        <v>4.695487</v>
      </c>
      <c r="W79">
        <v>4.7543259999999998</v>
      </c>
      <c r="X79">
        <v>4.8107499999999996</v>
      </c>
      <c r="Y79">
        <v>4.8410310000000001</v>
      </c>
      <c r="Z79">
        <v>4.8741640000000004</v>
      </c>
      <c r="AA79">
        <v>4.8735869999999997</v>
      </c>
      <c r="AB79">
        <v>4.8684510000000003</v>
      </c>
      <c r="AC79">
        <v>4.8768079999999996</v>
      </c>
      <c r="AD79">
        <v>4.8952460000000002</v>
      </c>
      <c r="AE79">
        <v>4.921697</v>
      </c>
      <c r="AF79">
        <v>4.907921</v>
      </c>
      <c r="AG79" s="7">
        <v>-1.4999999999999999E-2</v>
      </c>
    </row>
    <row r="80" spans="1:33" x14ac:dyDescent="0.25">
      <c r="A80" t="s">
        <v>47</v>
      </c>
    </row>
    <row r="81" spans="1:33" x14ac:dyDescent="0.25">
      <c r="A81" t="s">
        <v>24</v>
      </c>
      <c r="B81" t="s">
        <v>207</v>
      </c>
      <c r="C81" t="s">
        <v>208</v>
      </c>
      <c r="D81" t="s">
        <v>25</v>
      </c>
      <c r="F81">
        <v>5.0720770000000002</v>
      </c>
      <c r="G81">
        <v>5.5949439999999999</v>
      </c>
      <c r="H81">
        <v>5.5466759999999997</v>
      </c>
      <c r="I81">
        <v>5.5127509999999997</v>
      </c>
      <c r="J81">
        <v>5.4781969999999998</v>
      </c>
      <c r="K81">
        <v>5.42523</v>
      </c>
      <c r="L81">
        <v>5.3452970000000004</v>
      </c>
      <c r="M81">
        <v>5.2583219999999997</v>
      </c>
      <c r="N81">
        <v>5.1415649999999999</v>
      </c>
      <c r="O81">
        <v>5.054691</v>
      </c>
      <c r="P81">
        <v>4.9640529999999998</v>
      </c>
      <c r="Q81">
        <v>4.8823540000000003</v>
      </c>
      <c r="R81">
        <v>4.8122379999999998</v>
      </c>
      <c r="S81">
        <v>4.7440480000000003</v>
      </c>
      <c r="T81">
        <v>4.6861040000000003</v>
      </c>
      <c r="U81">
        <v>4.6187880000000003</v>
      </c>
      <c r="V81">
        <v>4.5678939999999999</v>
      </c>
      <c r="W81">
        <v>4.5195980000000002</v>
      </c>
      <c r="X81">
        <v>4.4716589999999998</v>
      </c>
      <c r="Y81">
        <v>4.4228120000000004</v>
      </c>
      <c r="Z81">
        <v>4.3763120000000004</v>
      </c>
      <c r="AA81">
        <v>4.3289540000000004</v>
      </c>
      <c r="AB81">
        <v>4.2821319999999998</v>
      </c>
      <c r="AC81">
        <v>4.2370099999999997</v>
      </c>
      <c r="AD81">
        <v>4.1936239999999998</v>
      </c>
      <c r="AE81">
        <v>4.1525160000000003</v>
      </c>
      <c r="AF81">
        <v>4.1088940000000003</v>
      </c>
      <c r="AG81" s="7">
        <v>-8.0000000000000002E-3</v>
      </c>
    </row>
    <row r="82" spans="1:33" x14ac:dyDescent="0.25">
      <c r="A82" t="s">
        <v>26</v>
      </c>
      <c r="B82" t="s">
        <v>209</v>
      </c>
      <c r="C82" t="s">
        <v>210</v>
      </c>
      <c r="D82" t="s">
        <v>25</v>
      </c>
      <c r="F82">
        <v>2.4304489999999999</v>
      </c>
      <c r="G82">
        <v>2.2758150000000001</v>
      </c>
      <c r="H82">
        <v>2.2382770000000001</v>
      </c>
      <c r="I82">
        <v>2.2279779999999998</v>
      </c>
      <c r="J82">
        <v>2.2235339999999999</v>
      </c>
      <c r="K82">
        <v>2.208526</v>
      </c>
      <c r="L82">
        <v>2.1621739999999998</v>
      </c>
      <c r="M82">
        <v>2.123043</v>
      </c>
      <c r="N82">
        <v>2.0535040000000002</v>
      </c>
      <c r="O82">
        <v>2.0297960000000002</v>
      </c>
      <c r="P82">
        <v>2.0076179999999999</v>
      </c>
      <c r="Q82">
        <v>1.988211</v>
      </c>
      <c r="R82">
        <v>1.9783759999999999</v>
      </c>
      <c r="S82">
        <v>1.9648620000000001</v>
      </c>
      <c r="T82">
        <v>1.9679770000000001</v>
      </c>
      <c r="U82">
        <v>1.949721</v>
      </c>
      <c r="V82">
        <v>1.966256</v>
      </c>
      <c r="W82">
        <v>1.9956339999999999</v>
      </c>
      <c r="X82">
        <v>2.024689</v>
      </c>
      <c r="Y82">
        <v>2.0503870000000002</v>
      </c>
      <c r="Z82">
        <v>2.0768300000000002</v>
      </c>
      <c r="AA82">
        <v>2.0974599999999999</v>
      </c>
      <c r="AB82">
        <v>2.117029</v>
      </c>
      <c r="AC82">
        <v>2.1388780000000001</v>
      </c>
      <c r="AD82">
        <v>2.1626949999999998</v>
      </c>
      <c r="AE82">
        <v>2.1883900000000001</v>
      </c>
      <c r="AF82">
        <v>2.2074120000000002</v>
      </c>
      <c r="AG82" s="7">
        <v>-4.0000000000000001E-3</v>
      </c>
    </row>
    <row r="83" spans="1:33" x14ac:dyDescent="0.25">
      <c r="A83" t="s">
        <v>27</v>
      </c>
      <c r="B83" t="s">
        <v>211</v>
      </c>
      <c r="C83" t="s">
        <v>212</v>
      </c>
      <c r="D83" t="s">
        <v>25</v>
      </c>
      <c r="F83">
        <v>2.254912</v>
      </c>
      <c r="G83">
        <v>2.207198</v>
      </c>
      <c r="H83">
        <v>2.15517</v>
      </c>
      <c r="I83">
        <v>2.117918</v>
      </c>
      <c r="J83">
        <v>2.085118</v>
      </c>
      <c r="K83">
        <v>2.0277720000000001</v>
      </c>
      <c r="L83">
        <v>1.9554990000000001</v>
      </c>
      <c r="M83">
        <v>1.8870499999999999</v>
      </c>
      <c r="N83">
        <v>1.812092</v>
      </c>
      <c r="O83">
        <v>1.758513</v>
      </c>
      <c r="P83">
        <v>1.7131769999999999</v>
      </c>
      <c r="Q83">
        <v>1.6759839999999999</v>
      </c>
      <c r="R83">
        <v>1.645438</v>
      </c>
      <c r="S83">
        <v>1.6179760000000001</v>
      </c>
      <c r="T83">
        <v>1.5979920000000001</v>
      </c>
      <c r="U83">
        <v>1.5760190000000001</v>
      </c>
      <c r="V83">
        <v>1.5640879999999999</v>
      </c>
      <c r="W83">
        <v>1.555426</v>
      </c>
      <c r="X83">
        <v>1.5481560000000001</v>
      </c>
      <c r="Y83">
        <v>1.5417419999999999</v>
      </c>
      <c r="Z83">
        <v>1.534589</v>
      </c>
      <c r="AA83">
        <v>1.5257769999999999</v>
      </c>
      <c r="AB83">
        <v>1.5159530000000001</v>
      </c>
      <c r="AC83">
        <v>1.506481</v>
      </c>
      <c r="AD83">
        <v>1.4977940000000001</v>
      </c>
      <c r="AE83">
        <v>1.4897039999999999</v>
      </c>
      <c r="AF83">
        <v>1.4811129999999999</v>
      </c>
      <c r="AG83" s="7">
        <v>-1.6E-2</v>
      </c>
    </row>
    <row r="84" spans="1:33" x14ac:dyDescent="0.25">
      <c r="A84" t="s">
        <v>28</v>
      </c>
      <c r="B84" t="s">
        <v>213</v>
      </c>
      <c r="C84" t="s">
        <v>214</v>
      </c>
      <c r="D84" t="s">
        <v>25</v>
      </c>
      <c r="F84">
        <v>0.83436900000000003</v>
      </c>
      <c r="G84">
        <v>0.81323999999999996</v>
      </c>
      <c r="H84">
        <v>0.78204499999999999</v>
      </c>
      <c r="I84">
        <v>0.76202000000000003</v>
      </c>
      <c r="J84">
        <v>0.74912400000000001</v>
      </c>
      <c r="K84">
        <v>0.73896799999999996</v>
      </c>
      <c r="L84">
        <v>0.71543599999999996</v>
      </c>
      <c r="M84">
        <v>0.69633699999999998</v>
      </c>
      <c r="N84">
        <v>0.66696200000000005</v>
      </c>
      <c r="O84">
        <v>0.65037400000000001</v>
      </c>
      <c r="P84">
        <v>0.63358099999999995</v>
      </c>
      <c r="Q84">
        <v>0.61604999999999999</v>
      </c>
      <c r="R84">
        <v>0.60050700000000001</v>
      </c>
      <c r="S84">
        <v>0.58383200000000002</v>
      </c>
      <c r="T84">
        <v>0.57394999999999996</v>
      </c>
      <c r="U84">
        <v>0.55827599999999999</v>
      </c>
      <c r="V84">
        <v>0.55381800000000003</v>
      </c>
      <c r="W84">
        <v>0.55363700000000005</v>
      </c>
      <c r="X84">
        <v>0.55415000000000003</v>
      </c>
      <c r="Y84">
        <v>0.55424799999999996</v>
      </c>
      <c r="Z84">
        <v>0.55540800000000001</v>
      </c>
      <c r="AA84">
        <v>0.55603400000000003</v>
      </c>
      <c r="AB84">
        <v>0.55740999999999996</v>
      </c>
      <c r="AC84">
        <v>0.56030400000000002</v>
      </c>
      <c r="AD84">
        <v>0.56375200000000003</v>
      </c>
      <c r="AE84">
        <v>0.56756799999999996</v>
      </c>
      <c r="AF84">
        <v>0.56962299999999999</v>
      </c>
      <c r="AG84" s="7">
        <v>-1.4999999999999999E-2</v>
      </c>
    </row>
    <row r="85" spans="1:33" x14ac:dyDescent="0.25">
      <c r="A85" t="s">
        <v>29</v>
      </c>
      <c r="B85" t="s">
        <v>215</v>
      </c>
      <c r="C85" t="s">
        <v>216</v>
      </c>
      <c r="D85" t="s">
        <v>25</v>
      </c>
      <c r="F85">
        <v>0.248167</v>
      </c>
      <c r="G85">
        <v>0.245888</v>
      </c>
      <c r="H85">
        <v>0.24190700000000001</v>
      </c>
      <c r="I85">
        <v>0.240067</v>
      </c>
      <c r="J85">
        <v>0.23961399999999999</v>
      </c>
      <c r="K85">
        <v>0.23957000000000001</v>
      </c>
      <c r="L85">
        <v>0.23766200000000001</v>
      </c>
      <c r="M85">
        <v>0.23643</v>
      </c>
      <c r="N85">
        <v>0.23273099999999999</v>
      </c>
      <c r="O85">
        <v>0.231519</v>
      </c>
      <c r="P85">
        <v>0.23006799999999999</v>
      </c>
      <c r="Q85">
        <v>0.22825699999999999</v>
      </c>
      <c r="R85">
        <v>0.22664200000000001</v>
      </c>
      <c r="S85">
        <v>0.224499</v>
      </c>
      <c r="T85">
        <v>0.22372</v>
      </c>
      <c r="U85">
        <v>0.22136</v>
      </c>
      <c r="V85">
        <v>0.221442</v>
      </c>
      <c r="W85">
        <v>0.22236</v>
      </c>
      <c r="X85">
        <v>0.22328500000000001</v>
      </c>
      <c r="Y85">
        <v>0.223908</v>
      </c>
      <c r="Z85">
        <v>0.22459699999999999</v>
      </c>
      <c r="AA85">
        <v>0.22497300000000001</v>
      </c>
      <c r="AB85">
        <v>0.22533500000000001</v>
      </c>
      <c r="AC85">
        <v>0.22587599999999999</v>
      </c>
      <c r="AD85">
        <v>0.22655600000000001</v>
      </c>
      <c r="AE85">
        <v>0.22733500000000001</v>
      </c>
      <c r="AF85">
        <v>0.22772600000000001</v>
      </c>
      <c r="AG85" s="7">
        <v>-3.0000000000000001E-3</v>
      </c>
    </row>
    <row r="86" spans="1:33" x14ac:dyDescent="0.25">
      <c r="A86" t="s">
        <v>30</v>
      </c>
      <c r="B86" t="s">
        <v>217</v>
      </c>
      <c r="C86" t="s">
        <v>218</v>
      </c>
      <c r="D86" t="s">
        <v>25</v>
      </c>
      <c r="F86">
        <v>0.49492199999999997</v>
      </c>
      <c r="G86">
        <v>0.48944100000000001</v>
      </c>
      <c r="H86">
        <v>0.48186299999999999</v>
      </c>
      <c r="I86">
        <v>0.48192200000000002</v>
      </c>
      <c r="J86">
        <v>0.48343700000000001</v>
      </c>
      <c r="K86">
        <v>0.48252400000000001</v>
      </c>
      <c r="L86">
        <v>0.47429700000000002</v>
      </c>
      <c r="M86">
        <v>0.46656700000000001</v>
      </c>
      <c r="N86">
        <v>0.45136500000000002</v>
      </c>
      <c r="O86">
        <v>0.44343900000000003</v>
      </c>
      <c r="P86">
        <v>0.43618699999999999</v>
      </c>
      <c r="Q86">
        <v>0.430033</v>
      </c>
      <c r="R86">
        <v>0.42633100000000002</v>
      </c>
      <c r="S86">
        <v>0.42240699999999998</v>
      </c>
      <c r="T86">
        <v>0.42241099999999998</v>
      </c>
      <c r="U86">
        <v>0.41865400000000003</v>
      </c>
      <c r="V86">
        <v>0.42238999999999999</v>
      </c>
      <c r="W86">
        <v>0.42903799999999997</v>
      </c>
      <c r="X86">
        <v>0.43540499999999999</v>
      </c>
      <c r="Y86">
        <v>0.440855</v>
      </c>
      <c r="Z86">
        <v>0.44618999999999998</v>
      </c>
      <c r="AA86">
        <v>0.45022600000000002</v>
      </c>
      <c r="AB86">
        <v>0.45383200000000001</v>
      </c>
      <c r="AC86">
        <v>0.45763500000000001</v>
      </c>
      <c r="AD86">
        <v>0.46167999999999998</v>
      </c>
      <c r="AE86">
        <v>0.46588400000000002</v>
      </c>
      <c r="AF86">
        <v>0.46861199999999997</v>
      </c>
      <c r="AG86" s="7">
        <v>-2E-3</v>
      </c>
    </row>
    <row r="87" spans="1:33" x14ac:dyDescent="0.25">
      <c r="A87" t="s">
        <v>31</v>
      </c>
      <c r="B87" t="s">
        <v>219</v>
      </c>
      <c r="C87" t="s">
        <v>220</v>
      </c>
      <c r="D87" t="s">
        <v>25</v>
      </c>
      <c r="F87">
        <v>0.188837</v>
      </c>
      <c r="G87">
        <v>0.18443399999999999</v>
      </c>
      <c r="H87">
        <v>0.17776500000000001</v>
      </c>
      <c r="I87">
        <v>0.17363799999999999</v>
      </c>
      <c r="J87">
        <v>0.17108699999999999</v>
      </c>
      <c r="K87">
        <v>0.16893900000000001</v>
      </c>
      <c r="L87">
        <v>0.163936</v>
      </c>
      <c r="M87">
        <v>0.15971099999999999</v>
      </c>
      <c r="N87">
        <v>0.15293300000000001</v>
      </c>
      <c r="O87">
        <v>0.14905099999999999</v>
      </c>
      <c r="P87">
        <v>0.14508699999999999</v>
      </c>
      <c r="Q87">
        <v>0.140906</v>
      </c>
      <c r="R87">
        <v>0.13705899999999999</v>
      </c>
      <c r="S87">
        <v>0.13283300000000001</v>
      </c>
      <c r="T87">
        <v>0.13004299999999999</v>
      </c>
      <c r="U87">
        <v>0.12584500000000001</v>
      </c>
      <c r="V87">
        <v>0.124086</v>
      </c>
      <c r="W87">
        <v>0.123207</v>
      </c>
      <c r="X87">
        <v>0.122402</v>
      </c>
      <c r="Y87">
        <v>0.121429</v>
      </c>
      <c r="Z87">
        <v>0.120619</v>
      </c>
      <c r="AA87">
        <v>0.119619</v>
      </c>
      <c r="AB87">
        <v>0.118727</v>
      </c>
      <c r="AC87">
        <v>0.118106</v>
      </c>
      <c r="AD87">
        <v>0.11773400000000001</v>
      </c>
      <c r="AE87">
        <v>0.11758299999999999</v>
      </c>
      <c r="AF87">
        <v>0.11722100000000001</v>
      </c>
      <c r="AG87" s="7">
        <v>-1.7999999999999999E-2</v>
      </c>
    </row>
    <row r="88" spans="1:33" x14ac:dyDescent="0.25">
      <c r="A88" t="s">
        <v>32</v>
      </c>
      <c r="B88" t="s">
        <v>221</v>
      </c>
      <c r="C88" t="s">
        <v>222</v>
      </c>
      <c r="D88" t="s">
        <v>25</v>
      </c>
      <c r="F88">
        <v>0.444797</v>
      </c>
      <c r="G88">
        <v>0.431085</v>
      </c>
      <c r="H88">
        <v>0.418989</v>
      </c>
      <c r="I88">
        <v>0.41728799999999999</v>
      </c>
      <c r="J88">
        <v>0.41802699999999998</v>
      </c>
      <c r="K88">
        <v>0.417105</v>
      </c>
      <c r="L88">
        <v>0.40623199999999998</v>
      </c>
      <c r="M88">
        <v>0.39706999999999998</v>
      </c>
      <c r="N88">
        <v>0.382521</v>
      </c>
      <c r="O88">
        <v>0.37509300000000001</v>
      </c>
      <c r="P88">
        <v>0.36813499999999999</v>
      </c>
      <c r="Q88">
        <v>0.36150100000000002</v>
      </c>
      <c r="R88">
        <v>0.35624800000000001</v>
      </c>
      <c r="S88">
        <v>0.34997800000000001</v>
      </c>
      <c r="T88">
        <v>0.346777</v>
      </c>
      <c r="U88">
        <v>0.339808</v>
      </c>
      <c r="V88">
        <v>0.33365800000000001</v>
      </c>
      <c r="W88">
        <v>0.33015299999999997</v>
      </c>
      <c r="X88">
        <v>0.32734099999999999</v>
      </c>
      <c r="Y88">
        <v>0.32462999999999997</v>
      </c>
      <c r="Z88">
        <v>0.322772</v>
      </c>
      <c r="AA88">
        <v>0.320494</v>
      </c>
      <c r="AB88">
        <v>0.31829299999999999</v>
      </c>
      <c r="AC88">
        <v>0.31657800000000003</v>
      </c>
      <c r="AD88">
        <v>0.31545200000000001</v>
      </c>
      <c r="AE88">
        <v>0.31481700000000001</v>
      </c>
      <c r="AF88">
        <v>0.31331799999999999</v>
      </c>
      <c r="AG88" s="7">
        <v>-1.2999999999999999E-2</v>
      </c>
    </row>
    <row r="89" spans="1:33" x14ac:dyDescent="0.25">
      <c r="A89" t="s">
        <v>33</v>
      </c>
      <c r="B89" t="s">
        <v>223</v>
      </c>
      <c r="C89" t="s">
        <v>224</v>
      </c>
      <c r="D89" t="s">
        <v>25</v>
      </c>
      <c r="F89">
        <v>9.9243999999999999E-2</v>
      </c>
      <c r="G89">
        <v>9.4710000000000003E-2</v>
      </c>
      <c r="H89">
        <v>8.9117000000000002E-2</v>
      </c>
      <c r="I89">
        <v>8.4903999999999993E-2</v>
      </c>
      <c r="J89">
        <v>8.1204999999999999E-2</v>
      </c>
      <c r="K89">
        <v>7.7734999999999999E-2</v>
      </c>
      <c r="L89">
        <v>7.3029999999999998E-2</v>
      </c>
      <c r="M89">
        <v>6.8704000000000001E-2</v>
      </c>
      <c r="N89">
        <v>6.3273999999999997E-2</v>
      </c>
      <c r="O89">
        <v>5.9555999999999998E-2</v>
      </c>
      <c r="P89">
        <v>5.6260999999999999E-2</v>
      </c>
      <c r="Q89">
        <v>5.3317000000000003E-2</v>
      </c>
      <c r="R89">
        <v>5.0941E-2</v>
      </c>
      <c r="S89">
        <v>4.8864999999999999E-2</v>
      </c>
      <c r="T89">
        <v>4.7768999999999999E-2</v>
      </c>
      <c r="U89">
        <v>4.6601999999999998E-2</v>
      </c>
      <c r="V89">
        <v>4.6306E-2</v>
      </c>
      <c r="W89">
        <v>4.6311999999999999E-2</v>
      </c>
      <c r="X89">
        <v>4.6330999999999997E-2</v>
      </c>
      <c r="Y89">
        <v>4.6272000000000001E-2</v>
      </c>
      <c r="Z89">
        <v>4.6264E-2</v>
      </c>
      <c r="AA89">
        <v>4.6171999999999998E-2</v>
      </c>
      <c r="AB89">
        <v>4.6100000000000002E-2</v>
      </c>
      <c r="AC89">
        <v>4.6112E-2</v>
      </c>
      <c r="AD89">
        <v>4.6191999999999997E-2</v>
      </c>
      <c r="AE89">
        <v>4.6323000000000003E-2</v>
      </c>
      <c r="AF89">
        <v>4.6328000000000001E-2</v>
      </c>
      <c r="AG89" s="7">
        <v>-2.9000000000000001E-2</v>
      </c>
    </row>
    <row r="90" spans="1:33" x14ac:dyDescent="0.25">
      <c r="A90" t="s">
        <v>34</v>
      </c>
      <c r="B90" t="s">
        <v>225</v>
      </c>
      <c r="C90" t="s">
        <v>226</v>
      </c>
      <c r="D90" t="s">
        <v>25</v>
      </c>
      <c r="F90">
        <v>8.6331000000000005E-2</v>
      </c>
      <c r="G90">
        <v>8.6544999999999997E-2</v>
      </c>
      <c r="H90">
        <v>8.5641999999999996E-2</v>
      </c>
      <c r="I90">
        <v>8.4376000000000007E-2</v>
      </c>
      <c r="J90">
        <v>8.3617999999999998E-2</v>
      </c>
      <c r="K90">
        <v>8.2980999999999999E-2</v>
      </c>
      <c r="L90">
        <v>8.1242999999999996E-2</v>
      </c>
      <c r="M90">
        <v>7.9811000000000007E-2</v>
      </c>
      <c r="N90">
        <v>7.7004000000000003E-2</v>
      </c>
      <c r="O90">
        <v>7.5736999999999999E-2</v>
      </c>
      <c r="P90">
        <v>7.4533000000000002E-2</v>
      </c>
      <c r="Q90">
        <v>7.3311000000000001E-2</v>
      </c>
      <c r="R90">
        <v>7.2366E-2</v>
      </c>
      <c r="S90">
        <v>7.1322999999999998E-2</v>
      </c>
      <c r="T90">
        <v>7.1161000000000002E-2</v>
      </c>
      <c r="U90">
        <v>7.0335999999999996E-2</v>
      </c>
      <c r="V90">
        <v>7.0790000000000006E-2</v>
      </c>
      <c r="W90">
        <v>7.1684999999999999E-2</v>
      </c>
      <c r="X90">
        <v>7.2578000000000004E-2</v>
      </c>
      <c r="Y90">
        <v>7.3320999999999997E-2</v>
      </c>
      <c r="Z90">
        <v>7.4113999999999999E-2</v>
      </c>
      <c r="AA90">
        <v>7.4737999999999999E-2</v>
      </c>
      <c r="AB90">
        <v>7.5360999999999997E-2</v>
      </c>
      <c r="AC90">
        <v>7.6092000000000007E-2</v>
      </c>
      <c r="AD90">
        <v>7.6909000000000005E-2</v>
      </c>
      <c r="AE90">
        <v>7.7789999999999998E-2</v>
      </c>
      <c r="AF90">
        <v>7.8446000000000002E-2</v>
      </c>
      <c r="AG90" s="7">
        <v>-4.0000000000000001E-3</v>
      </c>
    </row>
    <row r="91" spans="1:33" x14ac:dyDescent="0.25">
      <c r="A91" t="s">
        <v>35</v>
      </c>
      <c r="B91" t="s">
        <v>227</v>
      </c>
      <c r="C91" t="s">
        <v>228</v>
      </c>
      <c r="D91" t="s">
        <v>25</v>
      </c>
      <c r="F91">
        <v>0.30711899999999998</v>
      </c>
      <c r="G91">
        <v>0.29425099999999998</v>
      </c>
      <c r="H91">
        <v>0.280609</v>
      </c>
      <c r="I91">
        <v>0.272123</v>
      </c>
      <c r="J91">
        <v>0.26519900000000002</v>
      </c>
      <c r="K91">
        <v>0.257544</v>
      </c>
      <c r="L91">
        <v>0.246393</v>
      </c>
      <c r="M91">
        <v>0.236623</v>
      </c>
      <c r="N91">
        <v>0.22373899999999999</v>
      </c>
      <c r="O91">
        <v>0.21529999999999999</v>
      </c>
      <c r="P91">
        <v>0.20735500000000001</v>
      </c>
      <c r="Q91">
        <v>0.19991300000000001</v>
      </c>
      <c r="R91">
        <v>0.193637</v>
      </c>
      <c r="S91">
        <v>0.18721699999999999</v>
      </c>
      <c r="T91">
        <v>0.18281800000000001</v>
      </c>
      <c r="U91">
        <v>0.17662</v>
      </c>
      <c r="V91">
        <v>0.17403299999999999</v>
      </c>
      <c r="W91">
        <v>0.172705</v>
      </c>
      <c r="X91">
        <v>0.17153199999999999</v>
      </c>
      <c r="Y91">
        <v>0.17025799999999999</v>
      </c>
      <c r="Z91">
        <v>0.16928799999999999</v>
      </c>
      <c r="AA91">
        <v>0.168161</v>
      </c>
      <c r="AB91">
        <v>0.167245</v>
      </c>
      <c r="AC91">
        <v>0.16664399999999999</v>
      </c>
      <c r="AD91">
        <v>0.16637199999999999</v>
      </c>
      <c r="AE91">
        <v>0.16633999999999999</v>
      </c>
      <c r="AF91">
        <v>0.16592000000000001</v>
      </c>
      <c r="AG91" s="7">
        <v>-2.3E-2</v>
      </c>
    </row>
    <row r="92" spans="1:33" x14ac:dyDescent="0.25">
      <c r="A92" t="s">
        <v>36</v>
      </c>
      <c r="B92" t="s">
        <v>229</v>
      </c>
      <c r="C92" t="s">
        <v>230</v>
      </c>
      <c r="D92" t="s">
        <v>25</v>
      </c>
      <c r="F92">
        <v>0.237738</v>
      </c>
      <c r="G92">
        <v>0.228604</v>
      </c>
      <c r="H92">
        <v>0.218973</v>
      </c>
      <c r="I92">
        <v>0.21308299999999999</v>
      </c>
      <c r="J92">
        <v>0.20799599999999999</v>
      </c>
      <c r="K92">
        <v>0.20194999999999999</v>
      </c>
      <c r="L92">
        <v>0.192855</v>
      </c>
      <c r="M92">
        <v>0.18459800000000001</v>
      </c>
      <c r="N92">
        <v>0.173739</v>
      </c>
      <c r="O92">
        <v>0.16619900000000001</v>
      </c>
      <c r="P92">
        <v>0.15892999999999999</v>
      </c>
      <c r="Q92">
        <v>0.15194299999999999</v>
      </c>
      <c r="R92">
        <v>0.14578099999999999</v>
      </c>
      <c r="S92">
        <v>0.139492</v>
      </c>
      <c r="T92">
        <v>0.134683</v>
      </c>
      <c r="U92">
        <v>0.12856999999999999</v>
      </c>
      <c r="V92">
        <v>0.125114</v>
      </c>
      <c r="W92">
        <v>0.122562</v>
      </c>
      <c r="X92">
        <v>0.12016</v>
      </c>
      <c r="Y92">
        <v>0.117718</v>
      </c>
      <c r="Z92">
        <v>0.115565</v>
      </c>
      <c r="AA92">
        <v>0.11339399999999999</v>
      </c>
      <c r="AB92">
        <v>0.111496</v>
      </c>
      <c r="AC92">
        <v>0.109961</v>
      </c>
      <c r="AD92">
        <v>0.108803</v>
      </c>
      <c r="AE92">
        <v>0.108018</v>
      </c>
      <c r="AF92">
        <v>0.107144</v>
      </c>
      <c r="AG92" s="7">
        <v>-0.03</v>
      </c>
    </row>
    <row r="93" spans="1:33" x14ac:dyDescent="0.25">
      <c r="A93" t="s">
        <v>37</v>
      </c>
      <c r="B93" t="s">
        <v>231</v>
      </c>
      <c r="C93" t="s">
        <v>232</v>
      </c>
      <c r="D93" t="s">
        <v>25</v>
      </c>
      <c r="F93">
        <v>0.326573</v>
      </c>
      <c r="G93">
        <v>0.368564</v>
      </c>
      <c r="H93">
        <v>0.35995300000000002</v>
      </c>
      <c r="I93">
        <v>0.35516199999999998</v>
      </c>
      <c r="J93">
        <v>0.35273900000000002</v>
      </c>
      <c r="K93">
        <v>0.35071099999999999</v>
      </c>
      <c r="L93">
        <v>0.34393699999999999</v>
      </c>
      <c r="M93">
        <v>0.33817000000000003</v>
      </c>
      <c r="N93">
        <v>0.32639600000000002</v>
      </c>
      <c r="O93">
        <v>0.32047500000000001</v>
      </c>
      <c r="P93">
        <v>0.31375199999999998</v>
      </c>
      <c r="Q93">
        <v>0.30642599999999998</v>
      </c>
      <c r="R93">
        <v>0.29960599999999998</v>
      </c>
      <c r="S93">
        <v>0.29144599999999998</v>
      </c>
      <c r="T93">
        <v>0.28566900000000001</v>
      </c>
      <c r="U93">
        <v>0.276061</v>
      </c>
      <c r="V93">
        <v>0.270928</v>
      </c>
      <c r="W93">
        <v>0.266793</v>
      </c>
      <c r="X93">
        <v>0.26218599999999997</v>
      </c>
      <c r="Y93">
        <v>0.25663599999999998</v>
      </c>
      <c r="Z93">
        <v>0.25117200000000001</v>
      </c>
      <c r="AA93">
        <v>0.24529599999999999</v>
      </c>
      <c r="AB93">
        <v>0.239625</v>
      </c>
      <c r="AC93">
        <v>0.234462</v>
      </c>
      <c r="AD93">
        <v>0.22988700000000001</v>
      </c>
      <c r="AE93">
        <v>0.22586700000000001</v>
      </c>
      <c r="AF93">
        <v>0.22146399999999999</v>
      </c>
      <c r="AG93" s="7">
        <v>-1.4999999999999999E-2</v>
      </c>
    </row>
    <row r="94" spans="1:33" x14ac:dyDescent="0.25">
      <c r="A94" t="s">
        <v>38</v>
      </c>
      <c r="B94" t="s">
        <v>233</v>
      </c>
      <c r="C94" t="s">
        <v>234</v>
      </c>
      <c r="D94" t="s">
        <v>25</v>
      </c>
      <c r="F94">
        <v>5.3455979999999998</v>
      </c>
      <c r="G94">
        <v>5.1003540000000003</v>
      </c>
      <c r="H94">
        <v>5.0560419999999997</v>
      </c>
      <c r="I94">
        <v>5.0707329999999997</v>
      </c>
      <c r="J94">
        <v>5.1072300000000004</v>
      </c>
      <c r="K94">
        <v>5.1327439999999998</v>
      </c>
      <c r="L94">
        <v>5.0922879999999999</v>
      </c>
      <c r="M94">
        <v>5.0634690000000004</v>
      </c>
      <c r="N94">
        <v>4.9634910000000003</v>
      </c>
      <c r="O94">
        <v>4.935073</v>
      </c>
      <c r="P94">
        <v>4.906428</v>
      </c>
      <c r="Q94">
        <v>4.8730859999999998</v>
      </c>
      <c r="R94">
        <v>4.8535170000000001</v>
      </c>
      <c r="S94">
        <v>4.8223719999999997</v>
      </c>
      <c r="T94">
        <v>4.827915</v>
      </c>
      <c r="U94">
        <v>4.7868079999999997</v>
      </c>
      <c r="V94">
        <v>4.820773</v>
      </c>
      <c r="W94">
        <v>4.8767820000000004</v>
      </c>
      <c r="X94">
        <v>4.9332890000000003</v>
      </c>
      <c r="Y94">
        <v>4.9820409999999997</v>
      </c>
      <c r="Z94">
        <v>5.0334469999999998</v>
      </c>
      <c r="AA94">
        <v>5.0741160000000001</v>
      </c>
      <c r="AB94">
        <v>5.1143939999999999</v>
      </c>
      <c r="AC94">
        <v>5.1602550000000003</v>
      </c>
      <c r="AD94">
        <v>5.2108689999999998</v>
      </c>
      <c r="AE94">
        <v>5.2656999999999998</v>
      </c>
      <c r="AF94">
        <v>5.3072340000000002</v>
      </c>
      <c r="AG94" s="7">
        <v>0</v>
      </c>
    </row>
    <row r="95" spans="1:33" x14ac:dyDescent="0.25">
      <c r="A95" t="s">
        <v>48</v>
      </c>
      <c r="B95" t="s">
        <v>235</v>
      </c>
      <c r="C95" t="s">
        <v>236</v>
      </c>
      <c r="D95" t="s">
        <v>25</v>
      </c>
      <c r="F95">
        <v>18.371131999999999</v>
      </c>
      <c r="G95">
        <v>18.415074000000001</v>
      </c>
      <c r="H95">
        <v>18.133026000000001</v>
      </c>
      <c r="I95">
        <v>18.013961999999999</v>
      </c>
      <c r="J95">
        <v>17.946123</v>
      </c>
      <c r="K95">
        <v>17.8123</v>
      </c>
      <c r="L95">
        <v>17.490281</v>
      </c>
      <c r="M95">
        <v>17.195905</v>
      </c>
      <c r="N95">
        <v>16.721316999999999</v>
      </c>
      <c r="O95">
        <v>16.464817</v>
      </c>
      <c r="P95">
        <v>16.215164000000001</v>
      </c>
      <c r="Q95">
        <v>15.981293000000001</v>
      </c>
      <c r="R95">
        <v>15.798686999999999</v>
      </c>
      <c r="S95">
        <v>15.601150000000001</v>
      </c>
      <c r="T95">
        <v>15.498989999999999</v>
      </c>
      <c r="U95">
        <v>15.293468000000001</v>
      </c>
      <c r="V95">
        <v>15.261576</v>
      </c>
      <c r="W95">
        <v>15.285894000000001</v>
      </c>
      <c r="X95">
        <v>15.313164</v>
      </c>
      <c r="Y95">
        <v>15.326256000000001</v>
      </c>
      <c r="Z95">
        <v>15.347167000000001</v>
      </c>
      <c r="AA95">
        <v>15.345414</v>
      </c>
      <c r="AB95">
        <v>15.342934</v>
      </c>
      <c r="AC95">
        <v>15.354395</v>
      </c>
      <c r="AD95">
        <v>15.378318</v>
      </c>
      <c r="AE95">
        <v>15.413835000000001</v>
      </c>
      <c r="AF95">
        <v>15.420456</v>
      </c>
      <c r="AG95" s="7">
        <v>-7.0000000000000001E-3</v>
      </c>
    </row>
    <row r="96" spans="1:33" x14ac:dyDescent="0.25">
      <c r="A96" t="s">
        <v>127</v>
      </c>
      <c r="B96" t="s">
        <v>237</v>
      </c>
      <c r="C96" t="s">
        <v>238</v>
      </c>
      <c r="D96" t="s">
        <v>25</v>
      </c>
      <c r="F96">
        <v>0.107354</v>
      </c>
      <c r="G96">
        <v>0.157442</v>
      </c>
      <c r="H96">
        <v>0.22615399999999999</v>
      </c>
      <c r="I96">
        <v>0.317077</v>
      </c>
      <c r="J96">
        <v>0.42958099999999999</v>
      </c>
      <c r="K96">
        <v>0.563141</v>
      </c>
      <c r="L96">
        <v>0.71419200000000005</v>
      </c>
      <c r="M96">
        <v>0.86545000000000005</v>
      </c>
      <c r="N96">
        <v>1.0124040000000001</v>
      </c>
      <c r="O96">
        <v>1.1694500000000001</v>
      </c>
      <c r="P96">
        <v>1.322692</v>
      </c>
      <c r="Q96">
        <v>1.4608049999999999</v>
      </c>
      <c r="R96">
        <v>1.591019</v>
      </c>
      <c r="S96">
        <v>1.7049209999999999</v>
      </c>
      <c r="T96">
        <v>1.824918</v>
      </c>
      <c r="U96">
        <v>1.9090819999999999</v>
      </c>
      <c r="V96">
        <v>2.0183990000000001</v>
      </c>
      <c r="W96">
        <v>2.1317659999999998</v>
      </c>
      <c r="X96">
        <v>2.2350590000000001</v>
      </c>
      <c r="Y96">
        <v>2.3232309999999998</v>
      </c>
      <c r="Z96">
        <v>2.4022049999999999</v>
      </c>
      <c r="AA96">
        <v>2.4662980000000001</v>
      </c>
      <c r="AB96">
        <v>2.523196</v>
      </c>
      <c r="AC96">
        <v>2.5768949999999999</v>
      </c>
      <c r="AD96">
        <v>2.6258699999999999</v>
      </c>
      <c r="AE96">
        <v>2.6710289999999999</v>
      </c>
      <c r="AF96">
        <v>2.7023269999999999</v>
      </c>
      <c r="AG96" s="7">
        <v>0.13200000000000001</v>
      </c>
    </row>
    <row r="97" spans="1:33" x14ac:dyDescent="0.25">
      <c r="A97" t="s">
        <v>39</v>
      </c>
      <c r="B97" t="s">
        <v>239</v>
      </c>
      <c r="C97" t="s">
        <v>240</v>
      </c>
      <c r="D97" t="s">
        <v>25</v>
      </c>
      <c r="F97">
        <v>0.175875</v>
      </c>
      <c r="G97">
        <v>0.199964</v>
      </c>
      <c r="H97">
        <v>0.22440399999999999</v>
      </c>
      <c r="I97">
        <v>0.24728700000000001</v>
      </c>
      <c r="J97">
        <v>0.27066400000000002</v>
      </c>
      <c r="K97">
        <v>0.29440899999999998</v>
      </c>
      <c r="L97">
        <v>0.31969599999999998</v>
      </c>
      <c r="M97">
        <v>0.34664099999999998</v>
      </c>
      <c r="N97">
        <v>0.37347900000000001</v>
      </c>
      <c r="O97">
        <v>0.400223</v>
      </c>
      <c r="P97">
        <v>0.42644399999999999</v>
      </c>
      <c r="Q97">
        <v>0.44691599999999998</v>
      </c>
      <c r="R97">
        <v>0.467945</v>
      </c>
      <c r="S97">
        <v>0.48925999999999997</v>
      </c>
      <c r="T97">
        <v>0.51142299999999996</v>
      </c>
      <c r="U97">
        <v>0.53387399999999996</v>
      </c>
      <c r="V97">
        <v>0.556782</v>
      </c>
      <c r="W97">
        <v>0.58001000000000003</v>
      </c>
      <c r="X97">
        <v>0.60384800000000005</v>
      </c>
      <c r="Y97">
        <v>0.62805299999999997</v>
      </c>
      <c r="Z97">
        <v>0.65273000000000003</v>
      </c>
      <c r="AA97">
        <v>0.67815700000000001</v>
      </c>
      <c r="AB97">
        <v>0.70421100000000003</v>
      </c>
      <c r="AC97">
        <v>0.73085999999999995</v>
      </c>
      <c r="AD97">
        <v>0.75824999999999998</v>
      </c>
      <c r="AE97">
        <v>0.78616600000000003</v>
      </c>
      <c r="AF97">
        <v>0.81450900000000004</v>
      </c>
      <c r="AG97" s="7">
        <v>6.0999999999999999E-2</v>
      </c>
    </row>
    <row r="98" spans="1:33" x14ac:dyDescent="0.25">
      <c r="A98" t="s">
        <v>241</v>
      </c>
      <c r="B98" t="s">
        <v>242</v>
      </c>
      <c r="C98" t="s">
        <v>243</v>
      </c>
      <c r="D98" t="s">
        <v>25</v>
      </c>
      <c r="F98">
        <v>18.302610999999999</v>
      </c>
      <c r="G98">
        <v>18.372553</v>
      </c>
      <c r="H98">
        <v>18.134775999999999</v>
      </c>
      <c r="I98">
        <v>18.083752</v>
      </c>
      <c r="J98">
        <v>18.105039999999999</v>
      </c>
      <c r="K98">
        <v>18.081033000000001</v>
      </c>
      <c r="L98">
        <v>17.884775999999999</v>
      </c>
      <c r="M98">
        <v>17.714714000000001</v>
      </c>
      <c r="N98">
        <v>17.360242</v>
      </c>
      <c r="O98">
        <v>17.234044000000001</v>
      </c>
      <c r="P98">
        <v>17.111412000000001</v>
      </c>
      <c r="Q98">
        <v>16.995180999999999</v>
      </c>
      <c r="R98">
        <v>16.921761</v>
      </c>
      <c r="S98">
        <v>16.816811000000001</v>
      </c>
      <c r="T98">
        <v>16.812484999999999</v>
      </c>
      <c r="U98">
        <v>16.668676000000001</v>
      </c>
      <c r="V98">
        <v>16.723192999999998</v>
      </c>
      <c r="W98">
        <v>16.83765</v>
      </c>
      <c r="X98">
        <v>16.944375000000001</v>
      </c>
      <c r="Y98">
        <v>17.021435</v>
      </c>
      <c r="Z98">
        <v>17.096641000000002</v>
      </c>
      <c r="AA98">
        <v>17.133555999999999</v>
      </c>
      <c r="AB98">
        <v>17.161919999999999</v>
      </c>
      <c r="AC98">
        <v>17.200430000000001</v>
      </c>
      <c r="AD98">
        <v>17.245937000000001</v>
      </c>
      <c r="AE98">
        <v>17.298698000000002</v>
      </c>
      <c r="AF98">
        <v>17.308274000000001</v>
      </c>
      <c r="AG98" s="7">
        <v>-2E-3</v>
      </c>
    </row>
    <row r="99" spans="1:33" x14ac:dyDescent="0.25">
      <c r="A99" t="s">
        <v>49</v>
      </c>
    </row>
    <row r="100" spans="1:33" x14ac:dyDescent="0.25">
      <c r="A100" t="s">
        <v>50</v>
      </c>
      <c r="B100" t="s">
        <v>244</v>
      </c>
      <c r="C100" t="s">
        <v>245</v>
      </c>
      <c r="D100" t="s">
        <v>25</v>
      </c>
      <c r="F100">
        <v>3.5525000000000001E-2</v>
      </c>
      <c r="G100">
        <v>4.2154999999999998E-2</v>
      </c>
      <c r="H100">
        <v>4.9197999999999999E-2</v>
      </c>
      <c r="I100">
        <v>5.5101999999999998E-2</v>
      </c>
      <c r="J100">
        <v>6.1130999999999998E-2</v>
      </c>
      <c r="K100">
        <v>6.3326999999999994E-2</v>
      </c>
      <c r="L100">
        <v>6.6035999999999997E-2</v>
      </c>
      <c r="M100">
        <v>6.8473999999999993E-2</v>
      </c>
      <c r="N100">
        <v>7.1068999999999993E-2</v>
      </c>
      <c r="O100">
        <v>7.1028999999999995E-2</v>
      </c>
      <c r="P100">
        <v>7.1830000000000005E-2</v>
      </c>
      <c r="Q100">
        <v>7.1848999999999996E-2</v>
      </c>
      <c r="R100">
        <v>7.1915999999999994E-2</v>
      </c>
      <c r="S100">
        <v>7.1802000000000005E-2</v>
      </c>
      <c r="T100">
        <v>7.1684999999999999E-2</v>
      </c>
      <c r="U100">
        <v>7.1600999999999998E-2</v>
      </c>
      <c r="V100">
        <v>7.0626999999999995E-2</v>
      </c>
      <c r="W100">
        <v>7.0499000000000006E-2</v>
      </c>
      <c r="X100">
        <v>7.0574999999999999E-2</v>
      </c>
      <c r="Y100">
        <v>7.0643999999999998E-2</v>
      </c>
      <c r="Z100">
        <v>7.0710999999999996E-2</v>
      </c>
      <c r="AA100">
        <v>7.0803000000000005E-2</v>
      </c>
      <c r="AB100">
        <v>7.1024000000000004E-2</v>
      </c>
      <c r="AC100">
        <v>7.0883000000000002E-2</v>
      </c>
      <c r="AD100">
        <v>7.0941000000000004E-2</v>
      </c>
      <c r="AE100">
        <v>7.0837999999999998E-2</v>
      </c>
      <c r="AF100">
        <v>7.0930000000000007E-2</v>
      </c>
      <c r="AG100" s="7">
        <v>2.7E-2</v>
      </c>
    </row>
    <row r="101" spans="1:33" x14ac:dyDescent="0.25">
      <c r="A101" t="s">
        <v>51</v>
      </c>
      <c r="B101" t="s">
        <v>246</v>
      </c>
      <c r="C101" t="s">
        <v>247</v>
      </c>
      <c r="D101" t="s">
        <v>25</v>
      </c>
      <c r="F101">
        <v>0.213925</v>
      </c>
      <c r="G101">
        <v>0.243256</v>
      </c>
      <c r="H101">
        <v>0.27293600000000001</v>
      </c>
      <c r="I101">
        <v>0.30086299999999999</v>
      </c>
      <c r="J101">
        <v>0.32933800000000002</v>
      </c>
      <c r="K101">
        <v>0.35815399999999997</v>
      </c>
      <c r="L101">
        <v>0.38893499999999998</v>
      </c>
      <c r="M101">
        <v>0.42200100000000001</v>
      </c>
      <c r="N101">
        <v>0.45467999999999997</v>
      </c>
      <c r="O101">
        <v>0.48855199999999999</v>
      </c>
      <c r="P101">
        <v>0.52208299999999996</v>
      </c>
      <c r="Q101">
        <v>0.54821399999999998</v>
      </c>
      <c r="R101">
        <v>0.57513899999999996</v>
      </c>
      <c r="S101">
        <v>0.602267</v>
      </c>
      <c r="T101">
        <v>0.63071900000000003</v>
      </c>
      <c r="U101">
        <v>0.65929400000000005</v>
      </c>
      <c r="V101">
        <v>0.68840000000000001</v>
      </c>
      <c r="W101">
        <v>0.71765100000000004</v>
      </c>
      <c r="X101">
        <v>0.74772400000000006</v>
      </c>
      <c r="Y101">
        <v>0.77813500000000002</v>
      </c>
      <c r="Z101">
        <v>0.80897300000000005</v>
      </c>
      <c r="AA101">
        <v>0.84084300000000001</v>
      </c>
      <c r="AB101">
        <v>0.87334699999999998</v>
      </c>
      <c r="AC101">
        <v>0.90679200000000004</v>
      </c>
      <c r="AD101">
        <v>0.94099200000000005</v>
      </c>
      <c r="AE101">
        <v>0.97594499999999995</v>
      </c>
      <c r="AF101">
        <v>1.0112620000000001</v>
      </c>
      <c r="AG101" s="7">
        <v>6.2E-2</v>
      </c>
    </row>
    <row r="102" spans="1:33" x14ac:dyDescent="0.25">
      <c r="A102" t="s">
        <v>52</v>
      </c>
      <c r="B102" t="s">
        <v>248</v>
      </c>
      <c r="C102" t="s">
        <v>249</v>
      </c>
      <c r="D102" t="s">
        <v>25</v>
      </c>
      <c r="F102">
        <v>1.2600000000000001E-3</v>
      </c>
      <c r="G102">
        <v>2.14E-3</v>
      </c>
      <c r="H102">
        <v>3.0010000000000002E-3</v>
      </c>
      <c r="I102">
        <v>3.4009999999999999E-3</v>
      </c>
      <c r="J102">
        <v>3.849E-3</v>
      </c>
      <c r="K102">
        <v>4.333E-3</v>
      </c>
      <c r="L102">
        <v>5.2610000000000001E-3</v>
      </c>
      <c r="M102">
        <v>6.483E-3</v>
      </c>
      <c r="N102">
        <v>7.7250000000000001E-3</v>
      </c>
      <c r="O102">
        <v>8.1460000000000005E-3</v>
      </c>
      <c r="P102">
        <v>8.3420000000000005E-3</v>
      </c>
      <c r="Q102">
        <v>8.3470000000000003E-3</v>
      </c>
      <c r="R102">
        <v>8.3529999999999993E-3</v>
      </c>
      <c r="S102">
        <v>8.3590000000000001E-3</v>
      </c>
      <c r="T102">
        <v>8.3669999999999994E-3</v>
      </c>
      <c r="U102">
        <v>8.3750000000000005E-3</v>
      </c>
      <c r="V102">
        <v>8.3850000000000001E-3</v>
      </c>
      <c r="W102">
        <v>8.3949999999999997E-3</v>
      </c>
      <c r="X102">
        <v>8.4060000000000003E-3</v>
      </c>
      <c r="Y102">
        <v>8.4169999999999991E-3</v>
      </c>
      <c r="Z102">
        <v>8.4290000000000007E-3</v>
      </c>
      <c r="AA102">
        <v>8.4410000000000006E-3</v>
      </c>
      <c r="AB102">
        <v>8.4530000000000004E-3</v>
      </c>
      <c r="AC102">
        <v>8.4659999999999996E-3</v>
      </c>
      <c r="AD102">
        <v>8.4799999999999997E-3</v>
      </c>
      <c r="AE102">
        <v>8.4939999999999998E-3</v>
      </c>
      <c r="AF102">
        <v>8.5089999999999992E-3</v>
      </c>
      <c r="AG102" s="7">
        <v>7.5999999999999998E-2</v>
      </c>
    </row>
    <row r="103" spans="1:33" x14ac:dyDescent="0.25">
      <c r="A103" t="s">
        <v>13</v>
      </c>
      <c r="B103" t="s">
        <v>250</v>
      </c>
      <c r="C103" t="s">
        <v>251</v>
      </c>
      <c r="D103" t="s">
        <v>25</v>
      </c>
      <c r="F103">
        <v>0.25070999999999999</v>
      </c>
      <c r="G103">
        <v>0.287551</v>
      </c>
      <c r="H103">
        <v>0.32513500000000001</v>
      </c>
      <c r="I103">
        <v>0.35936699999999999</v>
      </c>
      <c r="J103">
        <v>0.394318</v>
      </c>
      <c r="K103">
        <v>0.42581400000000003</v>
      </c>
      <c r="L103">
        <v>0.46023199999999997</v>
      </c>
      <c r="M103">
        <v>0.49695800000000001</v>
      </c>
      <c r="N103">
        <v>0.53347299999999997</v>
      </c>
      <c r="O103">
        <v>0.56772699999999998</v>
      </c>
      <c r="P103">
        <v>0.60225600000000001</v>
      </c>
      <c r="Q103">
        <v>0.62841100000000005</v>
      </c>
      <c r="R103">
        <v>0.65540699999999996</v>
      </c>
      <c r="S103">
        <v>0.68242899999999995</v>
      </c>
      <c r="T103">
        <v>0.71077199999999996</v>
      </c>
      <c r="U103">
        <v>0.73926999999999998</v>
      </c>
      <c r="V103">
        <v>0.76741099999999995</v>
      </c>
      <c r="W103">
        <v>0.79654499999999995</v>
      </c>
      <c r="X103">
        <v>0.82670600000000005</v>
      </c>
      <c r="Y103">
        <v>0.85719599999999996</v>
      </c>
      <c r="Z103">
        <v>0.88811300000000004</v>
      </c>
      <c r="AA103">
        <v>0.92008699999999999</v>
      </c>
      <c r="AB103">
        <v>0.952824</v>
      </c>
      <c r="AC103">
        <v>0.98614100000000005</v>
      </c>
      <c r="AD103">
        <v>1.0204139999999999</v>
      </c>
      <c r="AE103">
        <v>1.055277</v>
      </c>
      <c r="AF103">
        <v>1.0907009999999999</v>
      </c>
      <c r="AG103" s="7">
        <v>5.8000000000000003E-2</v>
      </c>
    </row>
    <row r="104" spans="1:33" x14ac:dyDescent="0.25">
      <c r="A104" t="s">
        <v>53</v>
      </c>
    </row>
    <row r="105" spans="1:33" x14ac:dyDescent="0.25">
      <c r="A105" t="s">
        <v>54</v>
      </c>
      <c r="B105" t="s">
        <v>252</v>
      </c>
      <c r="C105" t="s">
        <v>253</v>
      </c>
      <c r="D105" t="s">
        <v>55</v>
      </c>
      <c r="F105">
        <v>5643</v>
      </c>
      <c r="G105">
        <v>5924</v>
      </c>
      <c r="H105">
        <v>5901</v>
      </c>
      <c r="I105">
        <v>5879</v>
      </c>
      <c r="J105">
        <v>5856</v>
      </c>
      <c r="K105">
        <v>5833</v>
      </c>
      <c r="L105">
        <v>5810</v>
      </c>
      <c r="M105">
        <v>5787</v>
      </c>
      <c r="N105">
        <v>5764</v>
      </c>
      <c r="O105">
        <v>5741</v>
      </c>
      <c r="P105">
        <v>5718</v>
      </c>
      <c r="Q105">
        <v>5695</v>
      </c>
      <c r="R105">
        <v>5672</v>
      </c>
      <c r="S105">
        <v>5649</v>
      </c>
      <c r="T105">
        <v>5626</v>
      </c>
      <c r="U105">
        <v>5603</v>
      </c>
      <c r="V105">
        <v>5579</v>
      </c>
      <c r="W105">
        <v>5556</v>
      </c>
      <c r="X105">
        <v>5533</v>
      </c>
      <c r="Y105">
        <v>5510</v>
      </c>
      <c r="Z105">
        <v>5487</v>
      </c>
      <c r="AA105">
        <v>5464</v>
      </c>
      <c r="AB105">
        <v>5440</v>
      </c>
      <c r="AC105">
        <v>5417</v>
      </c>
      <c r="AD105">
        <v>5394</v>
      </c>
      <c r="AE105">
        <v>5371</v>
      </c>
      <c r="AF105">
        <v>5348</v>
      </c>
      <c r="AG105" s="7">
        <v>-2E-3</v>
      </c>
    </row>
    <row r="106" spans="1:33" x14ac:dyDescent="0.25">
      <c r="A106" t="s">
        <v>56</v>
      </c>
      <c r="B106" t="s">
        <v>254</v>
      </c>
      <c r="C106" t="s">
        <v>255</v>
      </c>
      <c r="D106" t="s">
        <v>55</v>
      </c>
      <c r="F106">
        <v>4981</v>
      </c>
      <c r="G106">
        <v>5319</v>
      </c>
      <c r="H106">
        <v>5298</v>
      </c>
      <c r="I106">
        <v>5277</v>
      </c>
      <c r="J106">
        <v>5256</v>
      </c>
      <c r="K106">
        <v>5235</v>
      </c>
      <c r="L106">
        <v>5214</v>
      </c>
      <c r="M106">
        <v>5193</v>
      </c>
      <c r="N106">
        <v>5172</v>
      </c>
      <c r="O106">
        <v>5151</v>
      </c>
      <c r="P106">
        <v>5130</v>
      </c>
      <c r="Q106">
        <v>5109</v>
      </c>
      <c r="R106">
        <v>5088</v>
      </c>
      <c r="S106">
        <v>5068</v>
      </c>
      <c r="T106">
        <v>5047</v>
      </c>
      <c r="U106">
        <v>5026</v>
      </c>
      <c r="V106">
        <v>5005</v>
      </c>
      <c r="W106">
        <v>4984</v>
      </c>
      <c r="X106">
        <v>4963</v>
      </c>
      <c r="Y106">
        <v>4943</v>
      </c>
      <c r="Z106">
        <v>4922</v>
      </c>
      <c r="AA106">
        <v>4901</v>
      </c>
      <c r="AB106">
        <v>4880</v>
      </c>
      <c r="AC106">
        <v>4859</v>
      </c>
      <c r="AD106">
        <v>4838</v>
      </c>
      <c r="AE106">
        <v>4818</v>
      </c>
      <c r="AF106">
        <v>4797</v>
      </c>
      <c r="AG106" s="7">
        <v>-1E-3</v>
      </c>
    </row>
    <row r="107" spans="1:33" x14ac:dyDescent="0.25">
      <c r="A107" t="s">
        <v>57</v>
      </c>
      <c r="B107" t="s">
        <v>256</v>
      </c>
      <c r="C107" t="s">
        <v>257</v>
      </c>
      <c r="D107" t="s">
        <v>55</v>
      </c>
      <c r="F107">
        <v>5306</v>
      </c>
      <c r="G107">
        <v>5952</v>
      </c>
      <c r="H107">
        <v>5937</v>
      </c>
      <c r="I107">
        <v>5923</v>
      </c>
      <c r="J107">
        <v>5908</v>
      </c>
      <c r="K107">
        <v>5894</v>
      </c>
      <c r="L107">
        <v>5879</v>
      </c>
      <c r="M107">
        <v>5864</v>
      </c>
      <c r="N107">
        <v>5850</v>
      </c>
      <c r="O107">
        <v>5835</v>
      </c>
      <c r="P107">
        <v>5820</v>
      </c>
      <c r="Q107">
        <v>5806</v>
      </c>
      <c r="R107">
        <v>5791</v>
      </c>
      <c r="S107">
        <v>5776</v>
      </c>
      <c r="T107">
        <v>5762</v>
      </c>
      <c r="U107">
        <v>5747</v>
      </c>
      <c r="V107">
        <v>5732</v>
      </c>
      <c r="W107">
        <v>5717</v>
      </c>
      <c r="X107">
        <v>5703</v>
      </c>
      <c r="Y107">
        <v>5688</v>
      </c>
      <c r="Z107">
        <v>5673</v>
      </c>
      <c r="AA107">
        <v>5658</v>
      </c>
      <c r="AB107">
        <v>5644</v>
      </c>
      <c r="AC107">
        <v>5629</v>
      </c>
      <c r="AD107">
        <v>5614</v>
      </c>
      <c r="AE107">
        <v>5599</v>
      </c>
      <c r="AF107">
        <v>5585</v>
      </c>
      <c r="AG107" s="7">
        <v>2E-3</v>
      </c>
    </row>
    <row r="108" spans="1:33" x14ac:dyDescent="0.25">
      <c r="A108" t="s">
        <v>58</v>
      </c>
      <c r="B108" t="s">
        <v>258</v>
      </c>
      <c r="C108" t="s">
        <v>259</v>
      </c>
      <c r="D108" t="s">
        <v>55</v>
      </c>
      <c r="F108">
        <v>5716</v>
      </c>
      <c r="G108">
        <v>6383</v>
      </c>
      <c r="H108">
        <v>6376</v>
      </c>
      <c r="I108">
        <v>6369</v>
      </c>
      <c r="J108">
        <v>6362</v>
      </c>
      <c r="K108">
        <v>6355</v>
      </c>
      <c r="L108">
        <v>6348</v>
      </c>
      <c r="M108">
        <v>6341</v>
      </c>
      <c r="N108">
        <v>6334</v>
      </c>
      <c r="O108">
        <v>6327</v>
      </c>
      <c r="P108">
        <v>6319</v>
      </c>
      <c r="Q108">
        <v>6312</v>
      </c>
      <c r="R108">
        <v>6304</v>
      </c>
      <c r="S108">
        <v>6297</v>
      </c>
      <c r="T108">
        <v>6289</v>
      </c>
      <c r="U108">
        <v>6282</v>
      </c>
      <c r="V108">
        <v>6274</v>
      </c>
      <c r="W108">
        <v>6267</v>
      </c>
      <c r="X108">
        <v>6259</v>
      </c>
      <c r="Y108">
        <v>6252</v>
      </c>
      <c r="Z108">
        <v>6244</v>
      </c>
      <c r="AA108">
        <v>6236</v>
      </c>
      <c r="AB108">
        <v>6229</v>
      </c>
      <c r="AC108">
        <v>6221</v>
      </c>
      <c r="AD108">
        <v>6213</v>
      </c>
      <c r="AE108">
        <v>6206</v>
      </c>
      <c r="AF108">
        <v>6198</v>
      </c>
      <c r="AG108" s="7">
        <v>3.0000000000000001E-3</v>
      </c>
    </row>
    <row r="109" spans="1:33" x14ac:dyDescent="0.25">
      <c r="A109" t="s">
        <v>59</v>
      </c>
      <c r="B109" t="s">
        <v>260</v>
      </c>
      <c r="C109" t="s">
        <v>261</v>
      </c>
      <c r="D109" t="s">
        <v>55</v>
      </c>
      <c r="F109">
        <v>2271</v>
      </c>
      <c r="G109">
        <v>2344</v>
      </c>
      <c r="H109">
        <v>2329</v>
      </c>
      <c r="I109">
        <v>2313</v>
      </c>
      <c r="J109">
        <v>2298</v>
      </c>
      <c r="K109">
        <v>2283</v>
      </c>
      <c r="L109">
        <v>2267</v>
      </c>
      <c r="M109">
        <v>2251</v>
      </c>
      <c r="N109">
        <v>2235</v>
      </c>
      <c r="O109">
        <v>2220</v>
      </c>
      <c r="P109">
        <v>2204</v>
      </c>
      <c r="Q109">
        <v>2188</v>
      </c>
      <c r="R109">
        <v>2173</v>
      </c>
      <c r="S109">
        <v>2157</v>
      </c>
      <c r="T109">
        <v>2141</v>
      </c>
      <c r="U109">
        <v>2125</v>
      </c>
      <c r="V109">
        <v>2110</v>
      </c>
      <c r="W109">
        <v>2094</v>
      </c>
      <c r="X109">
        <v>2079</v>
      </c>
      <c r="Y109">
        <v>2063</v>
      </c>
      <c r="Z109">
        <v>2047</v>
      </c>
      <c r="AA109">
        <v>2032</v>
      </c>
      <c r="AB109">
        <v>2016</v>
      </c>
      <c r="AC109">
        <v>2001</v>
      </c>
      <c r="AD109">
        <v>1985</v>
      </c>
      <c r="AE109">
        <v>1970</v>
      </c>
      <c r="AF109">
        <v>1955</v>
      </c>
      <c r="AG109" s="7">
        <v>-6.0000000000000001E-3</v>
      </c>
    </row>
    <row r="110" spans="1:33" x14ac:dyDescent="0.25">
      <c r="A110" t="s">
        <v>60</v>
      </c>
      <c r="B110" t="s">
        <v>262</v>
      </c>
      <c r="C110" t="s">
        <v>263</v>
      </c>
      <c r="D110" t="s">
        <v>55</v>
      </c>
      <c r="F110">
        <v>3024</v>
      </c>
      <c r="G110">
        <v>3161</v>
      </c>
      <c r="H110">
        <v>3148</v>
      </c>
      <c r="I110">
        <v>3136</v>
      </c>
      <c r="J110">
        <v>3123</v>
      </c>
      <c r="K110">
        <v>3111</v>
      </c>
      <c r="L110">
        <v>3098</v>
      </c>
      <c r="M110">
        <v>3086</v>
      </c>
      <c r="N110">
        <v>3073</v>
      </c>
      <c r="O110">
        <v>3060</v>
      </c>
      <c r="P110">
        <v>3048</v>
      </c>
      <c r="Q110">
        <v>3035</v>
      </c>
      <c r="R110">
        <v>3022</v>
      </c>
      <c r="S110">
        <v>3009</v>
      </c>
      <c r="T110">
        <v>2996</v>
      </c>
      <c r="U110">
        <v>2984</v>
      </c>
      <c r="V110">
        <v>2971</v>
      </c>
      <c r="W110">
        <v>2958</v>
      </c>
      <c r="X110">
        <v>2945</v>
      </c>
      <c r="Y110">
        <v>2933</v>
      </c>
      <c r="Z110">
        <v>2920</v>
      </c>
      <c r="AA110">
        <v>2907</v>
      </c>
      <c r="AB110">
        <v>2894</v>
      </c>
      <c r="AC110">
        <v>2881</v>
      </c>
      <c r="AD110">
        <v>2869</v>
      </c>
      <c r="AE110">
        <v>2856</v>
      </c>
      <c r="AF110">
        <v>2843</v>
      </c>
      <c r="AG110" s="7">
        <v>-2E-3</v>
      </c>
    </row>
    <row r="111" spans="1:33" x14ac:dyDescent="0.25">
      <c r="A111" t="s">
        <v>61</v>
      </c>
      <c r="B111" t="s">
        <v>264</v>
      </c>
      <c r="C111" t="s">
        <v>265</v>
      </c>
      <c r="D111" t="s">
        <v>55</v>
      </c>
      <c r="F111">
        <v>1844</v>
      </c>
      <c r="G111">
        <v>1949</v>
      </c>
      <c r="H111">
        <v>1942</v>
      </c>
      <c r="I111">
        <v>1935</v>
      </c>
      <c r="J111">
        <v>1928</v>
      </c>
      <c r="K111">
        <v>1921</v>
      </c>
      <c r="L111">
        <v>1914</v>
      </c>
      <c r="M111">
        <v>1907</v>
      </c>
      <c r="N111">
        <v>1900</v>
      </c>
      <c r="O111">
        <v>1893</v>
      </c>
      <c r="P111">
        <v>1886</v>
      </c>
      <c r="Q111">
        <v>1879</v>
      </c>
      <c r="R111">
        <v>1872</v>
      </c>
      <c r="S111">
        <v>1865</v>
      </c>
      <c r="T111">
        <v>1858</v>
      </c>
      <c r="U111">
        <v>1852</v>
      </c>
      <c r="V111">
        <v>1845</v>
      </c>
      <c r="W111">
        <v>1838</v>
      </c>
      <c r="X111">
        <v>1831</v>
      </c>
      <c r="Y111">
        <v>1825</v>
      </c>
      <c r="Z111">
        <v>1818</v>
      </c>
      <c r="AA111">
        <v>1811</v>
      </c>
      <c r="AB111">
        <v>1805</v>
      </c>
      <c r="AC111">
        <v>1798</v>
      </c>
      <c r="AD111">
        <v>1791</v>
      </c>
      <c r="AE111">
        <v>1785</v>
      </c>
      <c r="AF111">
        <v>1778</v>
      </c>
      <c r="AG111" s="7">
        <v>-1E-3</v>
      </c>
    </row>
    <row r="112" spans="1:33" x14ac:dyDescent="0.25">
      <c r="A112" t="s">
        <v>62</v>
      </c>
      <c r="B112" t="s">
        <v>266</v>
      </c>
      <c r="C112" t="s">
        <v>267</v>
      </c>
      <c r="D112" t="s">
        <v>55</v>
      </c>
      <c r="F112">
        <v>4753</v>
      </c>
      <c r="G112">
        <v>4877</v>
      </c>
      <c r="H112">
        <v>4871</v>
      </c>
      <c r="I112">
        <v>4865</v>
      </c>
      <c r="J112">
        <v>4858</v>
      </c>
      <c r="K112">
        <v>4851</v>
      </c>
      <c r="L112">
        <v>4844</v>
      </c>
      <c r="M112">
        <v>4837</v>
      </c>
      <c r="N112">
        <v>4830</v>
      </c>
      <c r="O112">
        <v>4823</v>
      </c>
      <c r="P112">
        <v>4816</v>
      </c>
      <c r="Q112">
        <v>4809</v>
      </c>
      <c r="R112">
        <v>4802</v>
      </c>
      <c r="S112">
        <v>4796</v>
      </c>
      <c r="T112">
        <v>4789</v>
      </c>
      <c r="U112">
        <v>4782</v>
      </c>
      <c r="V112">
        <v>4776</v>
      </c>
      <c r="W112">
        <v>4769</v>
      </c>
      <c r="X112">
        <v>4763</v>
      </c>
      <c r="Y112">
        <v>4756</v>
      </c>
      <c r="Z112">
        <v>4750</v>
      </c>
      <c r="AA112">
        <v>4744</v>
      </c>
      <c r="AB112">
        <v>4737</v>
      </c>
      <c r="AC112">
        <v>4731</v>
      </c>
      <c r="AD112">
        <v>4725</v>
      </c>
      <c r="AE112">
        <v>4718</v>
      </c>
      <c r="AF112">
        <v>4712</v>
      </c>
      <c r="AG112" s="7">
        <v>0</v>
      </c>
    </row>
    <row r="113" spans="1:33" x14ac:dyDescent="0.25">
      <c r="A113" t="s">
        <v>63</v>
      </c>
      <c r="B113" t="s">
        <v>268</v>
      </c>
      <c r="C113" t="s">
        <v>269</v>
      </c>
      <c r="D113" t="s">
        <v>55</v>
      </c>
      <c r="F113">
        <v>3352</v>
      </c>
      <c r="G113">
        <v>3290</v>
      </c>
      <c r="H113">
        <v>3283</v>
      </c>
      <c r="I113">
        <v>3277</v>
      </c>
      <c r="J113">
        <v>3270</v>
      </c>
      <c r="K113">
        <v>3263</v>
      </c>
      <c r="L113">
        <v>3256</v>
      </c>
      <c r="M113">
        <v>3249</v>
      </c>
      <c r="N113">
        <v>3242</v>
      </c>
      <c r="O113">
        <v>3234</v>
      </c>
      <c r="P113">
        <v>3227</v>
      </c>
      <c r="Q113">
        <v>3219</v>
      </c>
      <c r="R113">
        <v>3212</v>
      </c>
      <c r="S113">
        <v>3204</v>
      </c>
      <c r="T113">
        <v>3197</v>
      </c>
      <c r="U113">
        <v>3189</v>
      </c>
      <c r="V113">
        <v>3181</v>
      </c>
      <c r="W113">
        <v>3174</v>
      </c>
      <c r="X113">
        <v>3166</v>
      </c>
      <c r="Y113">
        <v>3158</v>
      </c>
      <c r="Z113">
        <v>3150</v>
      </c>
      <c r="AA113">
        <v>3143</v>
      </c>
      <c r="AB113">
        <v>3135</v>
      </c>
      <c r="AC113">
        <v>3127</v>
      </c>
      <c r="AD113">
        <v>3119</v>
      </c>
      <c r="AE113">
        <v>3112</v>
      </c>
      <c r="AF113">
        <v>3104</v>
      </c>
      <c r="AG113" s="7">
        <v>-3.0000000000000001E-3</v>
      </c>
    </row>
    <row r="114" spans="1:33" x14ac:dyDescent="0.25">
      <c r="A114" t="s">
        <v>64</v>
      </c>
      <c r="B114" t="s">
        <v>270</v>
      </c>
      <c r="C114" t="s">
        <v>271</v>
      </c>
      <c r="D114" t="s">
        <v>55</v>
      </c>
      <c r="F114">
        <v>3753.9636230000001</v>
      </c>
      <c r="G114">
        <v>3970.7402339999999</v>
      </c>
      <c r="H114">
        <v>3953.6770019999999</v>
      </c>
      <c r="I114">
        <v>3936.8808589999999</v>
      </c>
      <c r="J114">
        <v>3919.869385</v>
      </c>
      <c r="K114">
        <v>3903.1020509999998</v>
      </c>
      <c r="L114">
        <v>3885.9797359999998</v>
      </c>
      <c r="M114">
        <v>3868.9492190000001</v>
      </c>
      <c r="N114">
        <v>3852.031982</v>
      </c>
      <c r="O114">
        <v>3835.0634770000001</v>
      </c>
      <c r="P114">
        <v>3818.0864259999998</v>
      </c>
      <c r="Q114">
        <v>3801.1135250000002</v>
      </c>
      <c r="R114">
        <v>3784.3435060000002</v>
      </c>
      <c r="S114">
        <v>3767.477539</v>
      </c>
      <c r="T114">
        <v>3750.6677249999998</v>
      </c>
      <c r="U114">
        <v>3733.826904</v>
      </c>
      <c r="V114">
        <v>3716.998779</v>
      </c>
      <c r="W114">
        <v>3700.1577149999998</v>
      </c>
      <c r="X114">
        <v>3683.5239259999998</v>
      </c>
      <c r="Y114">
        <v>3666.8364259999998</v>
      </c>
      <c r="Z114">
        <v>3649.8879390000002</v>
      </c>
      <c r="AA114">
        <v>3633.3447270000001</v>
      </c>
      <c r="AB114">
        <v>3616.6767580000001</v>
      </c>
      <c r="AC114">
        <v>3600.1342770000001</v>
      </c>
      <c r="AD114">
        <v>3583.570068</v>
      </c>
      <c r="AE114">
        <v>3567.7377929999998</v>
      </c>
      <c r="AF114">
        <v>3551.7458499999998</v>
      </c>
      <c r="AG114" s="7">
        <v>-2E-3</v>
      </c>
    </row>
    <row r="115" spans="1:33" x14ac:dyDescent="0.25">
      <c r="A115" t="s">
        <v>65</v>
      </c>
    </row>
    <row r="116" spans="1:33" x14ac:dyDescent="0.25">
      <c r="A116" t="s">
        <v>54</v>
      </c>
      <c r="B116" t="s">
        <v>272</v>
      </c>
      <c r="C116" t="s">
        <v>273</v>
      </c>
      <c r="D116" t="s">
        <v>66</v>
      </c>
      <c r="F116">
        <v>620</v>
      </c>
      <c r="G116">
        <v>609</v>
      </c>
      <c r="H116">
        <v>615</v>
      </c>
      <c r="I116">
        <v>621</v>
      </c>
      <c r="J116">
        <v>627</v>
      </c>
      <c r="K116">
        <v>633</v>
      </c>
      <c r="L116">
        <v>640</v>
      </c>
      <c r="M116">
        <v>646</v>
      </c>
      <c r="N116">
        <v>652</v>
      </c>
      <c r="O116">
        <v>659</v>
      </c>
      <c r="P116">
        <v>665</v>
      </c>
      <c r="Q116">
        <v>671</v>
      </c>
      <c r="R116">
        <v>678</v>
      </c>
      <c r="S116">
        <v>684</v>
      </c>
      <c r="T116">
        <v>690</v>
      </c>
      <c r="U116">
        <v>697</v>
      </c>
      <c r="V116">
        <v>703</v>
      </c>
      <c r="W116">
        <v>710</v>
      </c>
      <c r="X116">
        <v>716</v>
      </c>
      <c r="Y116">
        <v>722</v>
      </c>
      <c r="Z116">
        <v>729</v>
      </c>
      <c r="AA116">
        <v>735</v>
      </c>
      <c r="AB116">
        <v>741</v>
      </c>
      <c r="AC116">
        <v>748</v>
      </c>
      <c r="AD116">
        <v>754</v>
      </c>
      <c r="AE116">
        <v>760</v>
      </c>
      <c r="AF116">
        <v>767</v>
      </c>
      <c r="AG116" s="7">
        <v>8.0000000000000002E-3</v>
      </c>
    </row>
    <row r="117" spans="1:33" x14ac:dyDescent="0.25">
      <c r="A117" t="s">
        <v>56</v>
      </c>
      <c r="B117" t="s">
        <v>274</v>
      </c>
      <c r="C117" t="s">
        <v>275</v>
      </c>
      <c r="D117" t="s">
        <v>66</v>
      </c>
      <c r="F117">
        <v>867</v>
      </c>
      <c r="G117">
        <v>845</v>
      </c>
      <c r="H117">
        <v>853</v>
      </c>
      <c r="I117">
        <v>860</v>
      </c>
      <c r="J117">
        <v>868</v>
      </c>
      <c r="K117">
        <v>876</v>
      </c>
      <c r="L117">
        <v>884</v>
      </c>
      <c r="M117">
        <v>892</v>
      </c>
      <c r="N117">
        <v>900</v>
      </c>
      <c r="O117">
        <v>908</v>
      </c>
      <c r="P117">
        <v>915</v>
      </c>
      <c r="Q117">
        <v>923</v>
      </c>
      <c r="R117">
        <v>931</v>
      </c>
      <c r="S117">
        <v>939</v>
      </c>
      <c r="T117">
        <v>947</v>
      </c>
      <c r="U117">
        <v>955</v>
      </c>
      <c r="V117">
        <v>963</v>
      </c>
      <c r="W117">
        <v>971</v>
      </c>
      <c r="X117">
        <v>978</v>
      </c>
      <c r="Y117">
        <v>986</v>
      </c>
      <c r="Z117">
        <v>994</v>
      </c>
      <c r="AA117">
        <v>1002</v>
      </c>
      <c r="AB117">
        <v>1010</v>
      </c>
      <c r="AC117">
        <v>1018</v>
      </c>
      <c r="AD117">
        <v>1026</v>
      </c>
      <c r="AE117">
        <v>1033</v>
      </c>
      <c r="AF117">
        <v>1041</v>
      </c>
      <c r="AG117" s="7">
        <v>7.0000000000000001E-3</v>
      </c>
    </row>
    <row r="118" spans="1:33" x14ac:dyDescent="0.25">
      <c r="A118" t="s">
        <v>57</v>
      </c>
      <c r="B118" t="s">
        <v>276</v>
      </c>
      <c r="C118" t="s">
        <v>277</v>
      </c>
      <c r="D118" t="s">
        <v>66</v>
      </c>
      <c r="F118">
        <v>899</v>
      </c>
      <c r="G118">
        <v>851</v>
      </c>
      <c r="H118">
        <v>856</v>
      </c>
      <c r="I118">
        <v>861</v>
      </c>
      <c r="J118">
        <v>866</v>
      </c>
      <c r="K118">
        <v>871</v>
      </c>
      <c r="L118">
        <v>876</v>
      </c>
      <c r="M118">
        <v>881</v>
      </c>
      <c r="N118">
        <v>886</v>
      </c>
      <c r="O118">
        <v>890</v>
      </c>
      <c r="P118">
        <v>895</v>
      </c>
      <c r="Q118">
        <v>900</v>
      </c>
      <c r="R118">
        <v>905</v>
      </c>
      <c r="S118">
        <v>910</v>
      </c>
      <c r="T118">
        <v>915</v>
      </c>
      <c r="U118">
        <v>920</v>
      </c>
      <c r="V118">
        <v>925</v>
      </c>
      <c r="W118">
        <v>930</v>
      </c>
      <c r="X118">
        <v>935</v>
      </c>
      <c r="Y118">
        <v>940</v>
      </c>
      <c r="Z118">
        <v>945</v>
      </c>
      <c r="AA118">
        <v>950</v>
      </c>
      <c r="AB118">
        <v>955</v>
      </c>
      <c r="AC118">
        <v>960</v>
      </c>
      <c r="AD118">
        <v>965</v>
      </c>
      <c r="AE118">
        <v>970</v>
      </c>
      <c r="AF118">
        <v>975</v>
      </c>
      <c r="AG118" s="7">
        <v>3.0000000000000001E-3</v>
      </c>
    </row>
    <row r="119" spans="1:33" x14ac:dyDescent="0.25">
      <c r="A119" t="s">
        <v>58</v>
      </c>
      <c r="B119" t="s">
        <v>278</v>
      </c>
      <c r="C119" t="s">
        <v>279</v>
      </c>
      <c r="D119" t="s">
        <v>66</v>
      </c>
      <c r="F119">
        <v>1046</v>
      </c>
      <c r="G119">
        <v>1046</v>
      </c>
      <c r="H119">
        <v>1051</v>
      </c>
      <c r="I119">
        <v>1056</v>
      </c>
      <c r="J119">
        <v>1061</v>
      </c>
      <c r="K119">
        <v>1066</v>
      </c>
      <c r="L119">
        <v>1071</v>
      </c>
      <c r="M119">
        <v>1076</v>
      </c>
      <c r="N119">
        <v>1081</v>
      </c>
      <c r="O119">
        <v>1086</v>
      </c>
      <c r="P119">
        <v>1092</v>
      </c>
      <c r="Q119">
        <v>1097</v>
      </c>
      <c r="R119">
        <v>1102</v>
      </c>
      <c r="S119">
        <v>1107</v>
      </c>
      <c r="T119">
        <v>1112</v>
      </c>
      <c r="U119">
        <v>1117</v>
      </c>
      <c r="V119">
        <v>1122</v>
      </c>
      <c r="W119">
        <v>1128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1159</v>
      </c>
      <c r="AD119">
        <v>1164</v>
      </c>
      <c r="AE119">
        <v>1169</v>
      </c>
      <c r="AF119">
        <v>1174</v>
      </c>
      <c r="AG119" s="7">
        <v>4.0000000000000001E-3</v>
      </c>
    </row>
    <row r="120" spans="1:33" x14ac:dyDescent="0.25">
      <c r="A120" t="s">
        <v>59</v>
      </c>
      <c r="B120" t="s">
        <v>280</v>
      </c>
      <c r="C120" t="s">
        <v>281</v>
      </c>
      <c r="D120" t="s">
        <v>66</v>
      </c>
      <c r="F120">
        <v>2399</v>
      </c>
      <c r="G120">
        <v>2400</v>
      </c>
      <c r="H120">
        <v>2415</v>
      </c>
      <c r="I120">
        <v>2430</v>
      </c>
      <c r="J120">
        <v>2445</v>
      </c>
      <c r="K120">
        <v>2460</v>
      </c>
      <c r="L120">
        <v>2476</v>
      </c>
      <c r="M120">
        <v>2491</v>
      </c>
      <c r="N120">
        <v>2507</v>
      </c>
      <c r="O120">
        <v>2522</v>
      </c>
      <c r="P120">
        <v>2538</v>
      </c>
      <c r="Q120">
        <v>2553</v>
      </c>
      <c r="R120">
        <v>2569</v>
      </c>
      <c r="S120">
        <v>2585</v>
      </c>
      <c r="T120">
        <v>2600</v>
      </c>
      <c r="U120">
        <v>2616</v>
      </c>
      <c r="V120">
        <v>2632</v>
      </c>
      <c r="W120">
        <v>2648</v>
      </c>
      <c r="X120">
        <v>2663</v>
      </c>
      <c r="Y120">
        <v>2679</v>
      </c>
      <c r="Z120">
        <v>2695</v>
      </c>
      <c r="AA120">
        <v>2711</v>
      </c>
      <c r="AB120">
        <v>2727</v>
      </c>
      <c r="AC120">
        <v>2742</v>
      </c>
      <c r="AD120">
        <v>2758</v>
      </c>
      <c r="AE120">
        <v>2774</v>
      </c>
      <c r="AF120">
        <v>2790</v>
      </c>
      <c r="AG120" s="7">
        <v>6.0000000000000001E-3</v>
      </c>
    </row>
    <row r="121" spans="1:33" x14ac:dyDescent="0.25">
      <c r="A121" t="s">
        <v>60</v>
      </c>
      <c r="B121" t="s">
        <v>282</v>
      </c>
      <c r="C121" t="s">
        <v>283</v>
      </c>
      <c r="D121" t="s">
        <v>66</v>
      </c>
      <c r="F121">
        <v>1859</v>
      </c>
      <c r="G121">
        <v>1773</v>
      </c>
      <c r="H121">
        <v>1781</v>
      </c>
      <c r="I121">
        <v>1788</v>
      </c>
      <c r="J121">
        <v>1796</v>
      </c>
      <c r="K121">
        <v>1803</v>
      </c>
      <c r="L121">
        <v>1811</v>
      </c>
      <c r="M121">
        <v>1818</v>
      </c>
      <c r="N121">
        <v>1826</v>
      </c>
      <c r="O121">
        <v>1834</v>
      </c>
      <c r="P121">
        <v>1841</v>
      </c>
      <c r="Q121">
        <v>1849</v>
      </c>
      <c r="R121">
        <v>1857</v>
      </c>
      <c r="S121">
        <v>1864</v>
      </c>
      <c r="T121">
        <v>1872</v>
      </c>
      <c r="U121">
        <v>1879</v>
      </c>
      <c r="V121">
        <v>1887</v>
      </c>
      <c r="W121">
        <v>1895</v>
      </c>
      <c r="X121">
        <v>1902</v>
      </c>
      <c r="Y121">
        <v>1910</v>
      </c>
      <c r="Z121">
        <v>1918</v>
      </c>
      <c r="AA121">
        <v>1925</v>
      </c>
      <c r="AB121">
        <v>1933</v>
      </c>
      <c r="AC121">
        <v>1940</v>
      </c>
      <c r="AD121">
        <v>1948</v>
      </c>
      <c r="AE121">
        <v>1956</v>
      </c>
      <c r="AF121">
        <v>1963</v>
      </c>
      <c r="AG121" s="7">
        <v>2E-3</v>
      </c>
    </row>
    <row r="122" spans="1:33" x14ac:dyDescent="0.25">
      <c r="A122" t="s">
        <v>61</v>
      </c>
      <c r="B122" t="s">
        <v>284</v>
      </c>
      <c r="C122" t="s">
        <v>285</v>
      </c>
      <c r="D122" t="s">
        <v>66</v>
      </c>
      <c r="F122">
        <v>3073</v>
      </c>
      <c r="G122">
        <v>2901</v>
      </c>
      <c r="H122">
        <v>2915</v>
      </c>
      <c r="I122">
        <v>2928</v>
      </c>
      <c r="J122">
        <v>2942</v>
      </c>
      <c r="K122">
        <v>2955</v>
      </c>
      <c r="L122">
        <v>2969</v>
      </c>
      <c r="M122">
        <v>2982</v>
      </c>
      <c r="N122">
        <v>2996</v>
      </c>
      <c r="O122">
        <v>3010</v>
      </c>
      <c r="P122">
        <v>3023</v>
      </c>
      <c r="Q122">
        <v>3037</v>
      </c>
      <c r="R122">
        <v>3050</v>
      </c>
      <c r="S122">
        <v>3064</v>
      </c>
      <c r="T122">
        <v>3077</v>
      </c>
      <c r="U122">
        <v>3091</v>
      </c>
      <c r="V122">
        <v>3104</v>
      </c>
      <c r="W122">
        <v>3118</v>
      </c>
      <c r="X122">
        <v>3131</v>
      </c>
      <c r="Y122">
        <v>3145</v>
      </c>
      <c r="Z122">
        <v>3158</v>
      </c>
      <c r="AA122">
        <v>3172</v>
      </c>
      <c r="AB122">
        <v>3185</v>
      </c>
      <c r="AC122">
        <v>3199</v>
      </c>
      <c r="AD122">
        <v>3212</v>
      </c>
      <c r="AE122">
        <v>3226</v>
      </c>
      <c r="AF122">
        <v>3239</v>
      </c>
      <c r="AG122" s="7">
        <v>2E-3</v>
      </c>
    </row>
    <row r="123" spans="1:33" x14ac:dyDescent="0.25">
      <c r="A123" t="s">
        <v>62</v>
      </c>
      <c r="B123" t="s">
        <v>286</v>
      </c>
      <c r="C123" t="s">
        <v>287</v>
      </c>
      <c r="D123" t="s">
        <v>66</v>
      </c>
      <c r="F123">
        <v>1710</v>
      </c>
      <c r="G123">
        <v>1568</v>
      </c>
      <c r="H123">
        <v>1575</v>
      </c>
      <c r="I123">
        <v>1583</v>
      </c>
      <c r="J123">
        <v>1591</v>
      </c>
      <c r="K123">
        <v>1598</v>
      </c>
      <c r="L123">
        <v>1606</v>
      </c>
      <c r="M123">
        <v>1613</v>
      </c>
      <c r="N123">
        <v>1621</v>
      </c>
      <c r="O123">
        <v>1629</v>
      </c>
      <c r="P123">
        <v>1636</v>
      </c>
      <c r="Q123">
        <v>1644</v>
      </c>
      <c r="R123">
        <v>1651</v>
      </c>
      <c r="S123">
        <v>1659</v>
      </c>
      <c r="T123">
        <v>1666</v>
      </c>
      <c r="U123">
        <v>1674</v>
      </c>
      <c r="V123">
        <v>1681</v>
      </c>
      <c r="W123">
        <v>1689</v>
      </c>
      <c r="X123">
        <v>1696</v>
      </c>
      <c r="Y123">
        <v>1703</v>
      </c>
      <c r="Z123">
        <v>1711</v>
      </c>
      <c r="AA123">
        <v>1718</v>
      </c>
      <c r="AB123">
        <v>1725</v>
      </c>
      <c r="AC123">
        <v>1733</v>
      </c>
      <c r="AD123">
        <v>1740</v>
      </c>
      <c r="AE123">
        <v>1747</v>
      </c>
      <c r="AF123">
        <v>1755</v>
      </c>
      <c r="AG123" s="7">
        <v>1E-3</v>
      </c>
    </row>
    <row r="124" spans="1:33" x14ac:dyDescent="0.25">
      <c r="A124" t="s">
        <v>63</v>
      </c>
      <c r="B124" t="s">
        <v>288</v>
      </c>
      <c r="C124" t="s">
        <v>289</v>
      </c>
      <c r="D124" t="s">
        <v>66</v>
      </c>
      <c r="F124">
        <v>1056</v>
      </c>
      <c r="G124">
        <v>1023</v>
      </c>
      <c r="H124">
        <v>1032</v>
      </c>
      <c r="I124">
        <v>1040</v>
      </c>
      <c r="J124">
        <v>1049</v>
      </c>
      <c r="K124">
        <v>1057</v>
      </c>
      <c r="L124">
        <v>1066</v>
      </c>
      <c r="M124">
        <v>1075</v>
      </c>
      <c r="N124">
        <v>1083</v>
      </c>
      <c r="O124">
        <v>1092</v>
      </c>
      <c r="P124">
        <v>1101</v>
      </c>
      <c r="Q124">
        <v>1109</v>
      </c>
      <c r="R124">
        <v>1118</v>
      </c>
      <c r="S124">
        <v>1127</v>
      </c>
      <c r="T124">
        <v>1135</v>
      </c>
      <c r="U124">
        <v>1144</v>
      </c>
      <c r="V124">
        <v>1153</v>
      </c>
      <c r="W124">
        <v>1161</v>
      </c>
      <c r="X124">
        <v>1170</v>
      </c>
      <c r="Y124">
        <v>1179</v>
      </c>
      <c r="Z124">
        <v>1188</v>
      </c>
      <c r="AA124">
        <v>1196</v>
      </c>
      <c r="AB124">
        <v>1205</v>
      </c>
      <c r="AC124">
        <v>1214</v>
      </c>
      <c r="AD124">
        <v>1222</v>
      </c>
      <c r="AE124">
        <v>1231</v>
      </c>
      <c r="AF124">
        <v>1240</v>
      </c>
      <c r="AG124" s="7">
        <v>6.0000000000000001E-3</v>
      </c>
    </row>
    <row r="125" spans="1:33" x14ac:dyDescent="0.25">
      <c r="A125" t="s">
        <v>64</v>
      </c>
      <c r="B125" t="s">
        <v>290</v>
      </c>
      <c r="C125" t="s">
        <v>291</v>
      </c>
      <c r="D125" t="s">
        <v>66</v>
      </c>
      <c r="F125">
        <v>1616.899048</v>
      </c>
      <c r="G125">
        <v>1566.3795170000001</v>
      </c>
      <c r="H125">
        <v>1578.3626710000001</v>
      </c>
      <c r="I125">
        <v>1589.9610600000001</v>
      </c>
      <c r="J125">
        <v>1602.0439449999999</v>
      </c>
      <c r="K125">
        <v>1613.705811</v>
      </c>
      <c r="L125">
        <v>1626.0660399999999</v>
      </c>
      <c r="M125">
        <v>1637.9311520000001</v>
      </c>
      <c r="N125">
        <v>1650.1273189999999</v>
      </c>
      <c r="O125">
        <v>1662.213379</v>
      </c>
      <c r="P125">
        <v>1674.2971190000001</v>
      </c>
      <c r="Q125">
        <v>1686.352173</v>
      </c>
      <c r="R125">
        <v>1698.6342770000001</v>
      </c>
      <c r="S125">
        <v>1711.057495</v>
      </c>
      <c r="T125">
        <v>1722.9598390000001</v>
      </c>
      <c r="U125">
        <v>1735.4678960000001</v>
      </c>
      <c r="V125">
        <v>1747.7921140000001</v>
      </c>
      <c r="W125">
        <v>1760.2924800000001</v>
      </c>
      <c r="X125">
        <v>1772.279053</v>
      </c>
      <c r="Y125">
        <v>1784.803711</v>
      </c>
      <c r="Z125">
        <v>1797.338501</v>
      </c>
      <c r="AA125">
        <v>1809.6791989999999</v>
      </c>
      <c r="AB125">
        <v>1822.108643</v>
      </c>
      <c r="AC125">
        <v>1834.5897219999999</v>
      </c>
      <c r="AD125">
        <v>1846.8101810000001</v>
      </c>
      <c r="AE125">
        <v>1859.140259</v>
      </c>
      <c r="AF125">
        <v>1871.4392089999999</v>
      </c>
      <c r="AG125" s="7">
        <v>6.0000000000000001E-3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C2"/>
  <sheetViews>
    <sheetView tabSelected="1" workbookViewId="0">
      <selection activeCell="F16" sqref="F16"/>
    </sheetView>
  </sheetViews>
  <sheetFormatPr defaultRowHeight="15" x14ac:dyDescent="0.25"/>
  <cols>
    <col min="1" max="1" width="17.85546875" customWidth="1"/>
    <col min="2" max="28" width="10" bestFit="1" customWidth="1"/>
  </cols>
  <sheetData>
    <row r="1" spans="1:29" x14ac:dyDescent="0.25">
      <c r="A1" s="1" t="s">
        <v>72</v>
      </c>
      <c r="B1" s="4">
        <v>2024</v>
      </c>
      <c r="C1">
        <v>2025</v>
      </c>
      <c r="D1" s="4">
        <v>2026</v>
      </c>
      <c r="E1">
        <v>2027</v>
      </c>
      <c r="F1" s="4">
        <v>2028</v>
      </c>
      <c r="G1">
        <v>2029</v>
      </c>
      <c r="H1" s="4">
        <v>2030</v>
      </c>
      <c r="I1">
        <v>2031</v>
      </c>
      <c r="J1" s="4">
        <v>2032</v>
      </c>
      <c r="K1">
        <v>2033</v>
      </c>
      <c r="L1" s="4">
        <v>2034</v>
      </c>
      <c r="M1">
        <v>2035</v>
      </c>
      <c r="N1" s="4">
        <v>2036</v>
      </c>
      <c r="O1">
        <v>2037</v>
      </c>
      <c r="P1" s="4">
        <v>2038</v>
      </c>
      <c r="Q1">
        <v>2039</v>
      </c>
      <c r="R1" s="4">
        <v>2040</v>
      </c>
      <c r="S1">
        <v>2041</v>
      </c>
      <c r="T1" s="4">
        <v>2042</v>
      </c>
      <c r="U1">
        <v>2043</v>
      </c>
      <c r="V1" s="4">
        <v>2044</v>
      </c>
      <c r="W1">
        <v>2045</v>
      </c>
      <c r="X1" s="4">
        <v>2046</v>
      </c>
      <c r="Y1">
        <v>2047</v>
      </c>
      <c r="Z1" s="4">
        <v>2048</v>
      </c>
      <c r="AA1">
        <v>2049</v>
      </c>
      <c r="AB1" s="4">
        <v>2050</v>
      </c>
    </row>
    <row r="2" spans="1:29" x14ac:dyDescent="0.25">
      <c r="A2" t="s">
        <v>13</v>
      </c>
      <c r="B2" s="8">
        <f>AEO_Table4!F11*10^6</f>
        <v>129383557</v>
      </c>
      <c r="C2" s="8">
        <f>AEO_Table4!G11*10^6</f>
        <v>130749163.00000001</v>
      </c>
      <c r="D2" s="8">
        <f>AEO_Table4!H11*10^6</f>
        <v>132198918.99999999</v>
      </c>
      <c r="E2" s="8">
        <f>AEO_Table4!I11*10^6</f>
        <v>133665458</v>
      </c>
      <c r="F2" s="8">
        <f>AEO_Table4!J11*10^6</f>
        <v>135137854</v>
      </c>
      <c r="G2" s="8">
        <f>AEO_Table4!K11*10^6</f>
        <v>136647663</v>
      </c>
      <c r="H2" s="8">
        <f>AEO_Table4!L11*10^6</f>
        <v>138157577</v>
      </c>
      <c r="I2" s="8">
        <f>AEO_Table4!M11*10^6</f>
        <v>139669549</v>
      </c>
      <c r="J2" s="8">
        <f>AEO_Table4!N11*10^6</f>
        <v>141166146</v>
      </c>
      <c r="K2" s="8">
        <f>AEO_Table4!O11*10^6</f>
        <v>142610011</v>
      </c>
      <c r="L2" s="8">
        <f>AEO_Table4!P11*10^6</f>
        <v>143989123</v>
      </c>
      <c r="M2" s="8">
        <f>AEO_Table4!Q11*10^6</f>
        <v>145346008</v>
      </c>
      <c r="N2" s="8">
        <f>AEO_Table4!R11*10^6</f>
        <v>146673285</v>
      </c>
      <c r="O2" s="8">
        <f>AEO_Table4!S11*10^6</f>
        <v>147944097</v>
      </c>
      <c r="P2" s="8">
        <f>AEO_Table4!T11*10^6</f>
        <v>149163622</v>
      </c>
      <c r="Q2" s="8">
        <f>AEO_Table4!U11*10^6</f>
        <v>150326981</v>
      </c>
      <c r="R2" s="8">
        <f>AEO_Table4!V11*10^6</f>
        <v>151447508</v>
      </c>
      <c r="S2" s="8">
        <f>AEO_Table4!W11*10^6</f>
        <v>152516623</v>
      </c>
      <c r="T2" s="8">
        <f>AEO_Table4!X11*10^6</f>
        <v>153547685</v>
      </c>
      <c r="U2" s="8">
        <f>AEO_Table4!Y11*10^6</f>
        <v>154538326</v>
      </c>
      <c r="V2" s="8">
        <f>AEO_Table4!Z11*10^6</f>
        <v>155510112</v>
      </c>
      <c r="W2" s="8">
        <f>AEO_Table4!AA11*10^6</f>
        <v>156482000</v>
      </c>
      <c r="X2" s="8">
        <f>AEO_Table4!AB11*10^6</f>
        <v>157450835</v>
      </c>
      <c r="Y2" s="8">
        <f>AEO_Table4!AC11*10^6</f>
        <v>158418340</v>
      </c>
      <c r="Z2" s="8">
        <f>AEO_Table4!AD11*10^6</f>
        <v>159384563</v>
      </c>
      <c r="AA2" s="8">
        <f>AEO_Table4!AE11*10^6</f>
        <v>160350679</v>
      </c>
      <c r="AB2" s="8">
        <f>AEO_Table4!AF11*10^6</f>
        <v>161313367</v>
      </c>
      <c r="AC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AEO_Table4</vt:lpstr>
      <vt:lpstr>NoH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2019-06-04T20:20:37Z</dcterms:created>
  <dcterms:modified xsi:type="dcterms:W3CDTF">2026-03-10T22:45:26Z</dcterms:modified>
</cp:coreProperties>
</file>