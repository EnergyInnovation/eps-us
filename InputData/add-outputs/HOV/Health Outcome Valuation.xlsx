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add-outputs\HOV\"/>
    </mc:Choice>
  </mc:AlternateContent>
  <xr:revisionPtr revIDLastSave="0" documentId="13_ncr:1_{CC9DDD6E-1B0C-452C-974A-DE8B74928645}" xr6:coauthVersionLast="47" xr6:coauthVersionMax="47" xr10:uidLastSave="{00000000-0000-0000-0000-000000000000}"/>
  <bookViews>
    <workbookView xWindow="990" yWindow="1560" windowWidth="24960" windowHeight="14880" xr2:uid="{00000000-000D-0000-FFFF-FFFF00000000}"/>
  </bookViews>
  <sheets>
    <sheet name="About" sheetId="1" r:id="rId1"/>
    <sheet name="Calcs" sheetId="5" r:id="rId2"/>
    <sheet name="HOV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3" i="3" l="1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3" i="5" l="1"/>
  <c r="B9" i="5"/>
  <c r="B8" i="5"/>
  <c r="B7" i="5"/>
  <c r="B6" i="5"/>
  <c r="B17" i="5"/>
  <c r="B4" i="5"/>
  <c r="B3" i="5"/>
</calcChain>
</file>

<file path=xl/sharedStrings.xml><?xml version="1.0" encoding="utf-8"?>
<sst xmlns="http://schemas.openxmlformats.org/spreadsheetml/2006/main" count="95" uniqueCount="58">
  <si>
    <t>Source:</t>
  </si>
  <si>
    <t>U.S. Environmental Protection Agency</t>
  </si>
  <si>
    <t>Notes</t>
  </si>
  <si>
    <t>HOV Health Outcome Valuation</t>
  </si>
  <si>
    <t>This variable contains EPA's core health valuation function input data to</t>
  </si>
  <si>
    <t xml:space="preserve">assign costs to specific health outcomes in EPS in dollars. </t>
  </si>
  <si>
    <t>Unit:</t>
  </si>
  <si>
    <t>2012 USD</t>
  </si>
  <si>
    <t>cost (2012 USD)</t>
  </si>
  <si>
    <t>Health Outcome</t>
  </si>
  <si>
    <t>Premature mortality</t>
  </si>
  <si>
    <t>Infant mortality</t>
  </si>
  <si>
    <t>Asthma incidence</t>
  </si>
  <si>
    <t>Hay fever rhinitis incidence</t>
  </si>
  <si>
    <t>Respiratory emergency room visits</t>
  </si>
  <si>
    <t>Respiratory hospital admissions</t>
  </si>
  <si>
    <t>Non-fatal heart attacks</t>
  </si>
  <si>
    <t>Minor restricted activity days</t>
  </si>
  <si>
    <t>Work loss days</t>
  </si>
  <si>
    <t>Lung cancer incidence</t>
  </si>
  <si>
    <t>Cardiovascular hospital admissions</t>
  </si>
  <si>
    <t>Alzheimers disease hospital admissions</t>
  </si>
  <si>
    <t>Parkinsons disease hospital admissions</t>
  </si>
  <si>
    <t>Stroke incidence</t>
  </si>
  <si>
    <t>Out of hospital cardiac arrest incidence</t>
  </si>
  <si>
    <t>Cardiac emergency room visits</t>
  </si>
  <si>
    <t>School loss days</t>
  </si>
  <si>
    <t>health outcome</t>
  </si>
  <si>
    <t>notes</t>
  </si>
  <si>
    <t>cost ($2023)</t>
  </si>
  <si>
    <t>https://www.epa.gov/system/files/documents/2024-06/cobra-user-manual-v5.1.pdf</t>
  </si>
  <si>
    <t>COBRA User Manual</t>
  </si>
  <si>
    <t>Appendix F</t>
  </si>
  <si>
    <t>85-99</t>
  </si>
  <si>
    <t>30-44</t>
  </si>
  <si>
    <t>35-44</t>
  </si>
  <si>
    <t>45-54</t>
  </si>
  <si>
    <t>55-64</t>
  </si>
  <si>
    <t>65-74</t>
  </si>
  <si>
    <t>75-84</t>
  </si>
  <si>
    <t>BenMAP-CE User's Manual Appendix H, Table H-11</t>
  </si>
  <si>
    <t>0-20</t>
  </si>
  <si>
    <t>20-34</t>
  </si>
  <si>
    <t>% new cases per year</t>
  </si>
  <si>
    <t>COBRA User's Manual Appendix F, Exhibit F-1</t>
  </si>
  <si>
    <t>Age group</t>
  </si>
  <si>
    <t>Age Range</t>
  </si>
  <si>
    <t>Unit Value</t>
  </si>
  <si>
    <t>30-34</t>
  </si>
  <si>
    <t>Asthma symptoms albuturol use</t>
  </si>
  <si>
    <t>Asthma symptoms chest tightness</t>
  </si>
  <si>
    <t>Asthma symptoms cough</t>
  </si>
  <si>
    <t>Asthma symptoms shortness of breath</t>
  </si>
  <si>
    <t>Asthma symptoms wheeze</t>
  </si>
  <si>
    <t>uses value for child age range because COBRA reports incidence only for children</t>
  </si>
  <si>
    <t>split based on BenMAP incidence</t>
  </si>
  <si>
    <t>65/35 split on child/elder values; derived from Appendix C</t>
  </si>
  <si>
    <t>from 2023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</si>
</sst>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1" fontId="0" fillId="0" borderId="0" xfId="0" applyNumberFormat="1"/>
    <xf numFmtId="168" fontId="0" fillId="0" borderId="0" xfId="2" applyNumberFormat="1" applyFont="1"/>
    <xf numFmtId="0" fontId="0" fillId="0" borderId="0" xfId="2" applyNumberFormat="1" applyFont="1"/>
    <xf numFmtId="2" fontId="0" fillId="0" borderId="0" xfId="0" applyNumberFormat="1"/>
    <xf numFmtId="0" fontId="1" fillId="0" borderId="0" xfId="0" applyFont="1" applyAlignment="1">
      <alignment horizontal="right"/>
    </xf>
    <xf numFmtId="0" fontId="4" fillId="0" borderId="0" xfId="0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6" sqref="B16"/>
    </sheetView>
  </sheetViews>
  <sheetFormatPr defaultRowHeight="14.5" x14ac:dyDescent="0.35"/>
  <cols>
    <col min="2" max="2" width="38.26953125" customWidth="1"/>
  </cols>
  <sheetData>
    <row r="1" spans="1:2" x14ac:dyDescent="0.35">
      <c r="A1" s="1" t="s">
        <v>3</v>
      </c>
    </row>
    <row r="3" spans="1:2" x14ac:dyDescent="0.35">
      <c r="A3" s="1" t="s">
        <v>0</v>
      </c>
      <c r="B3" t="s">
        <v>1</v>
      </c>
    </row>
    <row r="4" spans="1:2" x14ac:dyDescent="0.35">
      <c r="B4" s="2">
        <v>2024</v>
      </c>
    </row>
    <row r="5" spans="1:2" x14ac:dyDescent="0.35">
      <c r="B5" t="s">
        <v>31</v>
      </c>
    </row>
    <row r="6" spans="1:2" x14ac:dyDescent="0.35">
      <c r="B6" s="3" t="s">
        <v>30</v>
      </c>
    </row>
    <row r="7" spans="1:2" x14ac:dyDescent="0.35">
      <c r="B7" t="s">
        <v>32</v>
      </c>
    </row>
    <row r="9" spans="1:2" x14ac:dyDescent="0.35">
      <c r="A9" s="1" t="s">
        <v>2</v>
      </c>
    </row>
    <row r="10" spans="1:2" x14ac:dyDescent="0.35">
      <c r="A10" t="s">
        <v>4</v>
      </c>
    </row>
    <row r="11" spans="1:2" x14ac:dyDescent="0.35">
      <c r="A11" t="s">
        <v>5</v>
      </c>
    </row>
    <row r="13" spans="1:2" x14ac:dyDescent="0.35">
      <c r="A13" s="1" t="s">
        <v>6</v>
      </c>
    </row>
    <row r="14" spans="1:2" x14ac:dyDescent="0.35">
      <c r="A14" t="s">
        <v>7</v>
      </c>
    </row>
    <row r="15" spans="1:2" x14ac:dyDescent="0.35">
      <c r="A15">
        <v>0.75350342301658668</v>
      </c>
      <c r="B15" t="s">
        <v>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B9D1-EBD7-4A30-83A6-A446DA873597}">
  <dimension ref="A2:F35"/>
  <sheetViews>
    <sheetView workbookViewId="0">
      <selection activeCell="B10" sqref="B10"/>
    </sheetView>
  </sheetViews>
  <sheetFormatPr defaultRowHeight="14.5" x14ac:dyDescent="0.35"/>
  <cols>
    <col min="1" max="1" width="35.1796875" bestFit="1" customWidth="1"/>
    <col min="2" max="2" width="21.7265625" customWidth="1"/>
    <col min="3" max="3" width="11.81640625" bestFit="1" customWidth="1"/>
    <col min="4" max="4" width="54.26953125" customWidth="1"/>
  </cols>
  <sheetData>
    <row r="2" spans="1:6" x14ac:dyDescent="0.35">
      <c r="A2" s="1" t="s">
        <v>27</v>
      </c>
      <c r="B2" s="9" t="s">
        <v>29</v>
      </c>
      <c r="C2" s="1" t="s">
        <v>28</v>
      </c>
    </row>
    <row r="3" spans="1:6" x14ac:dyDescent="0.35">
      <c r="A3" t="s">
        <v>10</v>
      </c>
      <c r="B3">
        <f>7.4*10^6*About!A16</f>
        <v>0</v>
      </c>
    </row>
    <row r="4" spans="1:6" x14ac:dyDescent="0.35">
      <c r="A4" t="s">
        <v>11</v>
      </c>
      <c r="B4">
        <f>7.4*10^6*About!A17</f>
        <v>0</v>
      </c>
    </row>
    <row r="5" spans="1:6" x14ac:dyDescent="0.35">
      <c r="A5" s="10" t="s">
        <v>49</v>
      </c>
      <c r="B5">
        <v>0.63</v>
      </c>
    </row>
    <row r="6" spans="1:6" x14ac:dyDescent="0.35">
      <c r="A6" s="10" t="s">
        <v>50</v>
      </c>
      <c r="B6">
        <f>AVERAGE(371.19)</f>
        <v>371.19</v>
      </c>
      <c r="C6" t="s">
        <v>54</v>
      </c>
    </row>
    <row r="7" spans="1:6" x14ac:dyDescent="0.35">
      <c r="A7" s="10" t="s">
        <v>51</v>
      </c>
      <c r="B7">
        <f t="shared" ref="B7:B9" si="0">AVERAGE(371.19)</f>
        <v>371.19</v>
      </c>
      <c r="C7" t="s">
        <v>54</v>
      </c>
    </row>
    <row r="8" spans="1:6" x14ac:dyDescent="0.35">
      <c r="A8" s="10" t="s">
        <v>52</v>
      </c>
      <c r="B8">
        <f t="shared" si="0"/>
        <v>371.19</v>
      </c>
      <c r="C8" t="s">
        <v>54</v>
      </c>
    </row>
    <row r="9" spans="1:6" x14ac:dyDescent="0.35">
      <c r="A9" s="10" t="s">
        <v>53</v>
      </c>
      <c r="B9">
        <f t="shared" si="0"/>
        <v>371.19</v>
      </c>
      <c r="C9" t="s">
        <v>54</v>
      </c>
    </row>
    <row r="10" spans="1:6" x14ac:dyDescent="0.35">
      <c r="A10" t="s">
        <v>12</v>
      </c>
      <c r="B10">
        <v>80211.960000000006</v>
      </c>
      <c r="F10" t="s">
        <v>33</v>
      </c>
    </row>
    <row r="11" spans="1:6" x14ac:dyDescent="0.35">
      <c r="A11" t="s">
        <v>13</v>
      </c>
      <c r="B11">
        <v>1095.99</v>
      </c>
      <c r="F11" t="s">
        <v>34</v>
      </c>
    </row>
    <row r="12" spans="1:6" x14ac:dyDescent="0.35">
      <c r="A12" t="s">
        <v>14</v>
      </c>
      <c r="B12">
        <v>1597.78</v>
      </c>
      <c r="F12" t="s">
        <v>35</v>
      </c>
    </row>
    <row r="13" spans="1:6" x14ac:dyDescent="0.35">
      <c r="A13" t="s">
        <v>15</v>
      </c>
      <c r="B13" s="5">
        <f>17653.3*0.65+66539.75*0.35</f>
        <v>34763.557499999995</v>
      </c>
      <c r="C13" t="s">
        <v>56</v>
      </c>
      <c r="F13" t="s">
        <v>36</v>
      </c>
    </row>
    <row r="14" spans="1:6" x14ac:dyDescent="0.35">
      <c r="A14" t="s">
        <v>16</v>
      </c>
      <c r="B14">
        <v>89146.68</v>
      </c>
      <c r="F14" t="s">
        <v>37</v>
      </c>
    </row>
    <row r="15" spans="1:6" x14ac:dyDescent="0.35">
      <c r="A15" t="s">
        <v>17</v>
      </c>
      <c r="B15">
        <v>120.96</v>
      </c>
      <c r="F15" t="s">
        <v>38</v>
      </c>
    </row>
    <row r="16" spans="1:6" x14ac:dyDescent="0.35">
      <c r="A16" t="s">
        <v>18</v>
      </c>
      <c r="B16">
        <v>307.11</v>
      </c>
      <c r="F16" t="s">
        <v>39</v>
      </c>
    </row>
    <row r="17" spans="1:4" x14ac:dyDescent="0.35">
      <c r="A17" t="s">
        <v>19</v>
      </c>
      <c r="B17" s="5">
        <f>SUMPRODUCT(B29:B35,D29:D35)</f>
        <v>47361.337107107101</v>
      </c>
      <c r="C17" t="s">
        <v>55</v>
      </c>
    </row>
    <row r="18" spans="1:4" x14ac:dyDescent="0.35">
      <c r="A18" t="s">
        <v>20</v>
      </c>
      <c r="B18">
        <v>28273.07</v>
      </c>
    </row>
    <row r="19" spans="1:4" x14ac:dyDescent="0.35">
      <c r="A19" t="s">
        <v>21</v>
      </c>
      <c r="B19">
        <v>21983.68</v>
      </c>
    </row>
    <row r="20" spans="1:4" x14ac:dyDescent="0.35">
      <c r="A20" t="s">
        <v>22</v>
      </c>
      <c r="B20">
        <v>23447.29</v>
      </c>
    </row>
    <row r="21" spans="1:4" x14ac:dyDescent="0.35">
      <c r="A21" t="s">
        <v>23</v>
      </c>
      <c r="B21">
        <v>62046.06</v>
      </c>
    </row>
    <row r="22" spans="1:4" x14ac:dyDescent="0.35">
      <c r="A22" t="s">
        <v>24</v>
      </c>
      <c r="B22" s="5">
        <v>65318.080000000002</v>
      </c>
    </row>
    <row r="23" spans="1:4" x14ac:dyDescent="0.35">
      <c r="A23" t="s">
        <v>25</v>
      </c>
      <c r="B23">
        <v>2120.9</v>
      </c>
    </row>
    <row r="24" spans="1:4" x14ac:dyDescent="0.35">
      <c r="A24" t="s">
        <v>26</v>
      </c>
      <c r="B24">
        <v>1776.84</v>
      </c>
    </row>
    <row r="26" spans="1:4" x14ac:dyDescent="0.35">
      <c r="A26" t="s">
        <v>40</v>
      </c>
      <c r="C26" t="s">
        <v>44</v>
      </c>
    </row>
    <row r="27" spans="1:4" x14ac:dyDescent="0.35">
      <c r="A27" t="s">
        <v>45</v>
      </c>
      <c r="B27" t="s">
        <v>43</v>
      </c>
      <c r="C27" t="s">
        <v>46</v>
      </c>
      <c r="D27" t="s">
        <v>47</v>
      </c>
    </row>
    <row r="28" spans="1:4" x14ac:dyDescent="0.35">
      <c r="A28" t="s">
        <v>41</v>
      </c>
      <c r="B28" s="6">
        <v>0</v>
      </c>
      <c r="C28" s="7"/>
    </row>
    <row r="29" spans="1:4" x14ac:dyDescent="0.35">
      <c r="A29" t="s">
        <v>42</v>
      </c>
      <c r="B29" s="6">
        <v>2.002002002002002E-3</v>
      </c>
      <c r="C29" s="7" t="s">
        <v>48</v>
      </c>
      <c r="D29">
        <v>21635.86</v>
      </c>
    </row>
    <row r="30" spans="1:4" x14ac:dyDescent="0.35">
      <c r="A30" t="s">
        <v>35</v>
      </c>
      <c r="B30" s="6">
        <v>9.0090090090090107E-3</v>
      </c>
      <c r="C30" s="7" t="s">
        <v>35</v>
      </c>
      <c r="D30">
        <v>26410.78</v>
      </c>
    </row>
    <row r="31" spans="1:4" x14ac:dyDescent="0.35">
      <c r="A31" t="s">
        <v>36</v>
      </c>
      <c r="B31" s="6">
        <v>6.6066066066066076E-2</v>
      </c>
      <c r="C31" s="7" t="s">
        <v>36</v>
      </c>
      <c r="D31">
        <v>34184.32</v>
      </c>
    </row>
    <row r="32" spans="1:4" x14ac:dyDescent="0.35">
      <c r="A32" t="s">
        <v>37</v>
      </c>
      <c r="B32" s="6">
        <v>0.21821821821821821</v>
      </c>
      <c r="C32" s="7" t="s">
        <v>37</v>
      </c>
      <c r="D32">
        <v>41729.360000000001</v>
      </c>
    </row>
    <row r="33" spans="1:4" x14ac:dyDescent="0.35">
      <c r="A33" t="s">
        <v>38</v>
      </c>
      <c r="B33" s="6">
        <v>0.34134134134134136</v>
      </c>
      <c r="C33" s="7" t="s">
        <v>38</v>
      </c>
      <c r="D33">
        <v>47872.31</v>
      </c>
    </row>
    <row r="34" spans="1:4" x14ac:dyDescent="0.35">
      <c r="A34" t="s">
        <v>39</v>
      </c>
      <c r="B34" s="6">
        <v>0.26626626626626626</v>
      </c>
      <c r="C34" s="7" t="s">
        <v>39</v>
      </c>
      <c r="D34">
        <v>52116.05</v>
      </c>
    </row>
    <row r="35" spans="1:4" x14ac:dyDescent="0.35">
      <c r="A35" t="s">
        <v>33</v>
      </c>
      <c r="B35" s="6">
        <v>9.7097097097097088E-2</v>
      </c>
      <c r="C35" s="7" t="s">
        <v>33</v>
      </c>
      <c r="D35">
        <v>56623.86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3"/>
  <sheetViews>
    <sheetView workbookViewId="0">
      <selection activeCell="B23" sqref="A1:B23"/>
    </sheetView>
  </sheetViews>
  <sheetFormatPr defaultRowHeight="14.5" x14ac:dyDescent="0.35"/>
  <cols>
    <col min="1" max="1" width="35.1796875" bestFit="1" customWidth="1"/>
    <col min="2" max="2" width="16.453125" customWidth="1"/>
  </cols>
  <sheetData>
    <row r="1" spans="1:2" x14ac:dyDescent="0.35">
      <c r="A1" t="s">
        <v>9</v>
      </c>
      <c r="B1" s="4" t="s">
        <v>8</v>
      </c>
    </row>
    <row r="2" spans="1:2" x14ac:dyDescent="0.35">
      <c r="A2" t="s">
        <v>10</v>
      </c>
      <c r="B2" s="8">
        <f>Calcs!B3*About!$A$15</f>
        <v>0</v>
      </c>
    </row>
    <row r="3" spans="1:2" x14ac:dyDescent="0.35">
      <c r="A3" t="s">
        <v>11</v>
      </c>
      <c r="B3" s="8">
        <f>Calcs!B4*About!$A$15</f>
        <v>0</v>
      </c>
    </row>
    <row r="4" spans="1:2" x14ac:dyDescent="0.35">
      <c r="A4" s="10" t="s">
        <v>49</v>
      </c>
      <c r="B4" s="8">
        <f>Calcs!B5*About!$A$15</f>
        <v>0.47470715650044959</v>
      </c>
    </row>
    <row r="5" spans="1:2" x14ac:dyDescent="0.35">
      <c r="A5" s="10" t="s">
        <v>50</v>
      </c>
      <c r="B5" s="8">
        <f>Calcs!B6*About!$A$15</f>
        <v>279.69293558952683</v>
      </c>
    </row>
    <row r="6" spans="1:2" x14ac:dyDescent="0.35">
      <c r="A6" s="10" t="s">
        <v>51</v>
      </c>
      <c r="B6" s="8">
        <f>Calcs!B7*About!$A$15</f>
        <v>279.69293558952683</v>
      </c>
    </row>
    <row r="7" spans="1:2" x14ac:dyDescent="0.35">
      <c r="A7" s="10" t="s">
        <v>52</v>
      </c>
      <c r="B7" s="8">
        <f>Calcs!B8*About!$A$15</f>
        <v>279.69293558952683</v>
      </c>
    </row>
    <row r="8" spans="1:2" x14ac:dyDescent="0.35">
      <c r="A8" s="10" t="s">
        <v>53</v>
      </c>
      <c r="B8" s="8">
        <f>Calcs!B9*About!$A$15</f>
        <v>279.69293558952683</v>
      </c>
    </row>
    <row r="9" spans="1:2" x14ac:dyDescent="0.35">
      <c r="A9" t="s">
        <v>12</v>
      </c>
      <c r="B9" s="8">
        <f>Calcs!B10*About!$A$15</f>
        <v>60439.986426869538</v>
      </c>
    </row>
    <row r="10" spans="1:2" x14ac:dyDescent="0.35">
      <c r="A10" t="s">
        <v>13</v>
      </c>
      <c r="B10" s="8">
        <f>Calcs!B11*About!$A$15</f>
        <v>825.83221659194885</v>
      </c>
    </row>
    <row r="11" spans="1:2" x14ac:dyDescent="0.35">
      <c r="A11" t="s">
        <v>14</v>
      </c>
      <c r="B11" s="8">
        <f>Calcs!B12*About!$A$15</f>
        <v>1203.9326992274418</v>
      </c>
    </row>
    <row r="12" spans="1:2" x14ac:dyDescent="0.35">
      <c r="A12" t="s">
        <v>15</v>
      </c>
      <c r="B12" s="8">
        <f>Calcs!B13*About!$A$15</f>
        <v>26194.459572483931</v>
      </c>
    </row>
    <row r="13" spans="1:2" x14ac:dyDescent="0.35">
      <c r="A13" t="s">
        <v>16</v>
      </c>
      <c r="B13" s="8">
        <f>Calcs!B14*About!$A$15</f>
        <v>67172.328530564278</v>
      </c>
    </row>
    <row r="14" spans="1:2" x14ac:dyDescent="0.35">
      <c r="A14" t="s">
        <v>17</v>
      </c>
      <c r="B14" s="8">
        <f>Calcs!B15*About!$A$15</f>
        <v>91.143774048086314</v>
      </c>
    </row>
    <row r="15" spans="1:2" x14ac:dyDescent="0.35">
      <c r="A15" t="s">
        <v>18</v>
      </c>
      <c r="B15" s="8">
        <f>Calcs!B16*About!$A$15</f>
        <v>231.40843624262394</v>
      </c>
    </row>
    <row r="16" spans="1:2" x14ac:dyDescent="0.35">
      <c r="A16" t="s">
        <v>19</v>
      </c>
      <c r="B16" s="8">
        <f>Calcs!B17*About!$A$15</f>
        <v>35686.929628847683</v>
      </c>
    </row>
    <row r="17" spans="1:2" x14ac:dyDescent="0.35">
      <c r="A17" t="s">
        <v>20</v>
      </c>
      <c r="B17" s="8">
        <f>Calcs!B18*About!$A$15</f>
        <v>21303.855024187567</v>
      </c>
    </row>
    <row r="18" spans="1:2" x14ac:dyDescent="0.35">
      <c r="A18" t="s">
        <v>21</v>
      </c>
      <c r="B18" s="8">
        <f>Calcs!B19*About!$A$15</f>
        <v>16564.778130501276</v>
      </c>
    </row>
    <row r="19" spans="1:2" x14ac:dyDescent="0.35">
      <c r="A19" t="s">
        <v>22</v>
      </c>
      <c r="B19" s="8">
        <f>Calcs!B20*About!$A$15</f>
        <v>17667.613275462583</v>
      </c>
    </row>
    <row r="20" spans="1:2" x14ac:dyDescent="0.35">
      <c r="A20" t="s">
        <v>23</v>
      </c>
      <c r="B20" s="8">
        <f>Calcs!B21*About!$A$15</f>
        <v>46751.918594692514</v>
      </c>
    </row>
    <row r="21" spans="1:2" x14ac:dyDescent="0.35">
      <c r="A21" t="s">
        <v>24</v>
      </c>
      <c r="B21" s="8">
        <f>Calcs!B22*About!$A$15</f>
        <v>49217.396864871254</v>
      </c>
    </row>
    <row r="22" spans="1:2" x14ac:dyDescent="0.35">
      <c r="A22" t="s">
        <v>25</v>
      </c>
      <c r="B22" s="8">
        <f>Calcs!B23*About!$A$15</f>
        <v>1598.1054098758786</v>
      </c>
    </row>
    <row r="23" spans="1:2" x14ac:dyDescent="0.35">
      <c r="A23" t="s">
        <v>26</v>
      </c>
      <c r="B23" s="8">
        <f>Calcs!B24*About!$A$15</f>
        <v>1338.8550221527919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Calcs</vt:lpstr>
      <vt:lpstr>HOV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2016-01-21T23:28:30Z</dcterms:created>
  <dcterms:modified xsi:type="dcterms:W3CDTF">2026-05-21T16:06:09Z</dcterms:modified>
</cp:coreProperties>
</file>