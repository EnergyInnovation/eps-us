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"/>
    </mc:Choice>
  </mc:AlternateContent>
  <xr:revisionPtr revIDLastSave="0" documentId="13_ncr:1_{44EAE9FB-0F21-409F-9AAC-EAA7EA423475}" xr6:coauthVersionLast="47" xr6:coauthVersionMax="47" xr10:uidLastSave="{00000000-0000-0000-0000-000000000000}"/>
  <bookViews>
    <workbookView xWindow="1995" yWindow="1785" windowWidth="24105" windowHeight="13785" activeTab="1" xr2:uid="{00000000-000D-0000-FFFF-FFFF00000000}"/>
  </bookViews>
  <sheets>
    <sheet name="About" sheetId="1" r:id="rId1"/>
    <sheet name="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63" i="2" l="1"/>
  <c r="G62" i="2"/>
  <c r="G61" i="2" l="1"/>
  <c r="G60" i="2" l="1"/>
  <c r="G59" i="2"/>
  <c r="G58" i="2"/>
  <c r="G57" i="2"/>
  <c r="G56" i="2" l="1"/>
  <c r="G29" i="2" l="1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28" i="2"/>
</calcChain>
</file>

<file path=xl/sharedStrings.xml><?xml version="1.0" encoding="utf-8"?>
<sst xmlns="http://schemas.openxmlformats.org/spreadsheetml/2006/main" count="111" uniqueCount="79">
  <si>
    <t>CPI Consumer Price Index</t>
  </si>
  <si>
    <t>Source:</t>
  </si>
  <si>
    <t>U.S. Bureau of Labor Statistics</t>
  </si>
  <si>
    <t>Year</t>
  </si>
  <si>
    <t>Note:</t>
  </si>
  <si>
    <t>We use these CPI data in many input variables to adjust all currency</t>
  </si>
  <si>
    <t>to the same base year.  We use 2012 dollars, the year before the first</t>
  </si>
  <si>
    <t>simulated year in the model.</t>
  </si>
  <si>
    <t>Multiply by to get 2012 Dollars</t>
  </si>
  <si>
    <t>Historical CPI-U</t>
  </si>
  <si>
    <t>Historical Consumer Price Index for All Urban Consumers (CPI-U): U.S. city average, all items, index</t>
  </si>
  <si>
    <t>averages — Continued</t>
  </si>
  <si>
    <t>[1982-84=100, unless otherwise noted]</t>
  </si>
  <si>
    <t>Semiannual averages</t>
  </si>
  <si>
    <t>Annual avg.</t>
  </si>
  <si>
    <t>Percent change from previous</t>
  </si>
  <si>
    <t>1st half</t>
  </si>
  <si>
    <t>2nd half</t>
  </si>
  <si>
    <t>Dec.</t>
  </si>
  <si>
    <t>–</t>
  </si>
  <si>
    <t>1968............................................................................. .</t>
  </si>
  <si>
    <t>1969............................................................................. .</t>
  </si>
  <si>
    <t>1970............................................................................. .</t>
  </si>
  <si>
    <t>1971............................................................................. .</t>
  </si>
  <si>
    <t>1972............................................................................. .</t>
  </si>
  <si>
    <t>1973............................................................................. .</t>
  </si>
  <si>
    <t>1974............................................................................. .</t>
  </si>
  <si>
    <t>1975............................................................................. .</t>
  </si>
  <si>
    <t>1976............................................................................. .</t>
  </si>
  <si>
    <t>1977............................................................................. .</t>
  </si>
  <si>
    <t>1978............................................................................. .</t>
  </si>
  <si>
    <t>1979............................................................................. .</t>
  </si>
  <si>
    <t>1980............................................................................. .</t>
  </si>
  <si>
    <t>1981............................................................................. .</t>
  </si>
  <si>
    <t>1982............................................................................. .</t>
  </si>
  <si>
    <t>1983............................................................................. .</t>
  </si>
  <si>
    <t>1984............................................................................. .</t>
  </si>
  <si>
    <t>1985............................................................................. .</t>
  </si>
  <si>
    <t>1986............................................................................. .</t>
  </si>
  <si>
    <t>1987............................................................................. .</t>
  </si>
  <si>
    <t>1988............................................................................. .</t>
  </si>
  <si>
    <t>1989............................................................................. .</t>
  </si>
  <si>
    <t>1990............................................................................. .</t>
  </si>
  <si>
    <t>1991............................................................................. .</t>
  </si>
  <si>
    <t>1992............................................................................. .</t>
  </si>
  <si>
    <t>1993............................................................................. .</t>
  </si>
  <si>
    <t>1994............................................................................. .</t>
  </si>
  <si>
    <t>1995............................................................................. .</t>
  </si>
  <si>
    <t>1996............................................................................. .</t>
  </si>
  <si>
    <t>1997............................................................................. .</t>
  </si>
  <si>
    <t>1998............................................................................. .</t>
  </si>
  <si>
    <t>1999............................................................................. .</t>
  </si>
  <si>
    <t>2000............................................................................. .</t>
  </si>
  <si>
    <t>2001............................................................................. .</t>
  </si>
  <si>
    <t>2002............................................................................. .</t>
  </si>
  <si>
    <t>2003............................................................................. .</t>
  </si>
  <si>
    <t>2004............................................................................. .</t>
  </si>
  <si>
    <t>2005............................................................................. .</t>
  </si>
  <si>
    <t>2006............................................................................. .</t>
  </si>
  <si>
    <t>2007............................................................................. .</t>
  </si>
  <si>
    <t>2008............................................................................. .</t>
  </si>
  <si>
    <t>2009............................................................................. .</t>
  </si>
  <si>
    <t>2010............................................................................. .</t>
  </si>
  <si>
    <t>2011............................................................................. .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</si>
  <si>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</si>
  <si>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</si>
  <si>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</si>
  <si>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</si>
  <si>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</si>
  <si>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</si>
  <si>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</si>
  <si>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</si>
  <si>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</si>
  <si>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</si>
  <si>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</si>
  <si>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</si>
  <si>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https://data.bls.gov/pdq/SurveyOutputServlet</t>
  </si>
  <si>
    <t>2024............................................................................. .</t>
  </si>
  <si>
    <t>2025............................................................................. .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</si>
</sst>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#0.0"/>
    <numFmt numFmtId="167" formatCode="#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165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5" fontId="0" fillId="0" borderId="0" xfId="0" applyNumberFormat="1"/>
    <xf numFmtId="166" fontId="3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bls.gov/pdq/SurveyOutputServle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selection activeCell="B5" sqref="B5"/>
    </sheetView>
  </sheetViews>
  <sheetFormatPr defaultRowHeight="15" x14ac:dyDescent="0.25"/>
  <sheetData>
    <row r="1" spans="1:2" x14ac:dyDescent="0.25">
      <c r="A1" s="1" t="s">
        <v>0</v>
      </c>
    </row>
    <row r="3" spans="1:2" x14ac:dyDescent="0.25">
      <c r="A3" s="1" t="s">
        <v>1</v>
      </c>
      <c r="B3" t="s">
        <v>2</v>
      </c>
    </row>
    <row r="4" spans="1:2" x14ac:dyDescent="0.25">
      <c r="B4" s="2">
        <v>2024</v>
      </c>
    </row>
    <row r="5" spans="1:2" x14ac:dyDescent="0.25">
      <c r="B5" t="s">
        <v>9</v>
      </c>
    </row>
    <row r="6" spans="1:2" x14ac:dyDescent="0.25">
      <c r="B6" s="3" t="s">
        <v>76</v>
      </c>
    </row>
    <row r="9" spans="1:2" x14ac:dyDescent="0.25">
      <c r="A9" s="1" t="s">
        <v>4</v>
      </c>
    </row>
    <row r="10" spans="1:2" x14ac:dyDescent="0.25">
      <c r="A10" t="s">
        <v>5</v>
      </c>
    </row>
    <row r="11" spans="1:2" x14ac:dyDescent="0.25">
      <c r="A11" t="s">
        <v>6</v>
      </c>
    </row>
    <row r="12" spans="1:2" x14ac:dyDescent="0.25">
      <c r="A12" t="s">
        <v>7</v>
      </c>
    </row>
  </sheetData>
  <hyperlinks>
    <hyperlink ref="B6" r:id="rId1" xr:uid="{F47F918C-32AA-4D20-82C5-543F093B1139}"/>
  </hyperlinks>
  <pageMargins left="0.7" right="0.7" top="0.75" bottom="0.75" header="0.3" footer="0.3"/>
  <pageSetup orientation="portrait" horizontalDpi="0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4"/>
  <sheetViews>
    <sheetView tabSelected="1" topLeftCell="A46" workbookViewId="0">
      <selection activeCell="I61" sqref="I61"/>
    </sheetView>
  </sheetViews>
  <sheetFormatPr defaultRowHeight="15" x14ac:dyDescent="0.25"/>
  <cols>
    <col min="14" max="14" width="10.5703125" customWidth="1"/>
    <col min="15" max="15" width="28.140625" customWidth="1"/>
  </cols>
  <sheetData>
    <row r="1" spans="1:7" x14ac:dyDescent="0.25">
      <c r="A1" t="s">
        <v>10</v>
      </c>
    </row>
    <row r="2" spans="1:7" x14ac:dyDescent="0.25">
      <c r="A2" t="s">
        <v>11</v>
      </c>
    </row>
    <row r="3" spans="1:7" x14ac:dyDescent="0.25">
      <c r="A3" t="s">
        <v>12</v>
      </c>
    </row>
    <row r="4" spans="1:7" x14ac:dyDescent="0.25">
      <c r="A4" t="s">
        <v>3</v>
      </c>
      <c r="B4" t="s">
        <v>13</v>
      </c>
      <c r="D4" t="s">
        <v>14</v>
      </c>
      <c r="E4" t="s">
        <v>15</v>
      </c>
      <c r="G4" s="1" t="s">
        <v>8</v>
      </c>
    </row>
    <row r="5" spans="1:7" x14ac:dyDescent="0.25">
      <c r="B5" t="s">
        <v>16</v>
      </c>
      <c r="C5" t="s">
        <v>17</v>
      </c>
      <c r="E5" t="s">
        <v>18</v>
      </c>
      <c r="F5" t="s">
        <v>14</v>
      </c>
    </row>
    <row r="6" spans="1:7" x14ac:dyDescent="0.25">
      <c r="A6" t="s">
        <v>20</v>
      </c>
      <c r="B6" t="s">
        <v>19</v>
      </c>
      <c r="C6" t="s">
        <v>19</v>
      </c>
      <c r="D6">
        <v>34.799999999999997</v>
      </c>
      <c r="E6">
        <v>4.7</v>
      </c>
      <c r="F6">
        <v>4.2</v>
      </c>
    </row>
    <row r="7" spans="1:7" x14ac:dyDescent="0.25">
      <c r="A7" t="s">
        <v>21</v>
      </c>
      <c r="B7" t="s">
        <v>19</v>
      </c>
      <c r="C7" t="s">
        <v>19</v>
      </c>
      <c r="D7">
        <v>36.700000000000003</v>
      </c>
      <c r="E7">
        <v>6.2</v>
      </c>
      <c r="F7">
        <v>5.5</v>
      </c>
    </row>
    <row r="8" spans="1:7" x14ac:dyDescent="0.25">
      <c r="A8" t="s">
        <v>22</v>
      </c>
      <c r="B8" t="s">
        <v>19</v>
      </c>
      <c r="C8" t="s">
        <v>19</v>
      </c>
      <c r="D8">
        <v>38.799999999999997</v>
      </c>
      <c r="E8">
        <v>5.6</v>
      </c>
      <c r="F8">
        <v>5.7</v>
      </c>
    </row>
    <row r="9" spans="1:7" x14ac:dyDescent="0.25">
      <c r="A9" t="s">
        <v>23</v>
      </c>
      <c r="B9" t="s">
        <v>19</v>
      </c>
      <c r="C9" t="s">
        <v>19</v>
      </c>
      <c r="D9">
        <v>40.5</v>
      </c>
      <c r="E9">
        <v>3.3</v>
      </c>
      <c r="F9">
        <v>4.4000000000000004</v>
      </c>
    </row>
    <row r="10" spans="1:7" x14ac:dyDescent="0.25">
      <c r="A10" t="s">
        <v>24</v>
      </c>
      <c r="B10" t="s">
        <v>19</v>
      </c>
      <c r="C10" t="s">
        <v>19</v>
      </c>
      <c r="D10">
        <v>41.8</v>
      </c>
      <c r="E10">
        <v>3.4</v>
      </c>
      <c r="F10">
        <v>3.2</v>
      </c>
    </row>
    <row r="11" spans="1:7" x14ac:dyDescent="0.25">
      <c r="A11" t="s">
        <v>25</v>
      </c>
      <c r="B11" t="s">
        <v>19</v>
      </c>
      <c r="C11" t="s">
        <v>19</v>
      </c>
      <c r="D11">
        <v>44.4</v>
      </c>
      <c r="E11">
        <v>8.6999999999999993</v>
      </c>
      <c r="F11">
        <v>6.2</v>
      </c>
    </row>
    <row r="12" spans="1:7" x14ac:dyDescent="0.25">
      <c r="A12" t="s">
        <v>26</v>
      </c>
      <c r="B12" t="s">
        <v>19</v>
      </c>
      <c r="C12" t="s">
        <v>19</v>
      </c>
      <c r="D12">
        <v>49.3</v>
      </c>
      <c r="E12">
        <v>12.3</v>
      </c>
      <c r="F12">
        <v>11</v>
      </c>
    </row>
    <row r="13" spans="1:7" x14ac:dyDescent="0.25">
      <c r="A13" t="s">
        <v>27</v>
      </c>
      <c r="B13" t="s">
        <v>19</v>
      </c>
      <c r="C13" t="s">
        <v>19</v>
      </c>
      <c r="D13">
        <v>53.8</v>
      </c>
      <c r="E13">
        <v>6.9</v>
      </c>
      <c r="F13">
        <v>9.1</v>
      </c>
    </row>
    <row r="14" spans="1:7" x14ac:dyDescent="0.25">
      <c r="A14" t="s">
        <v>28</v>
      </c>
      <c r="B14" t="s">
        <v>19</v>
      </c>
      <c r="C14" t="s">
        <v>19</v>
      </c>
      <c r="D14">
        <v>56.9</v>
      </c>
      <c r="E14">
        <v>4.9000000000000004</v>
      </c>
      <c r="F14">
        <v>5.8</v>
      </c>
    </row>
    <row r="15" spans="1:7" x14ac:dyDescent="0.25">
      <c r="A15" t="s">
        <v>29</v>
      </c>
      <c r="B15" t="s">
        <v>19</v>
      </c>
      <c r="C15" t="s">
        <v>19</v>
      </c>
      <c r="D15">
        <v>60.6</v>
      </c>
      <c r="E15">
        <v>6.7</v>
      </c>
      <c r="F15">
        <v>6.5</v>
      </c>
    </row>
    <row r="16" spans="1:7" x14ac:dyDescent="0.25">
      <c r="A16" t="s">
        <v>30</v>
      </c>
      <c r="B16" t="s">
        <v>19</v>
      </c>
      <c r="C16" t="s">
        <v>19</v>
      </c>
      <c r="D16">
        <v>65.2</v>
      </c>
      <c r="E16">
        <v>9</v>
      </c>
      <c r="F16">
        <v>7.6</v>
      </c>
    </row>
    <row r="17" spans="1:15" x14ac:dyDescent="0.25">
      <c r="A17" t="s">
        <v>31</v>
      </c>
      <c r="B17" t="s">
        <v>19</v>
      </c>
      <c r="C17" t="s">
        <v>19</v>
      </c>
      <c r="D17">
        <v>72.599999999999994</v>
      </c>
      <c r="E17">
        <v>13.3</v>
      </c>
      <c r="F17">
        <v>11.3</v>
      </c>
    </row>
    <row r="18" spans="1:15" x14ac:dyDescent="0.25">
      <c r="A18" t="s">
        <v>32</v>
      </c>
      <c r="B18" t="s">
        <v>19</v>
      </c>
      <c r="C18" t="s">
        <v>19</v>
      </c>
      <c r="D18">
        <v>82.4</v>
      </c>
      <c r="E18">
        <v>12.5</v>
      </c>
      <c r="F18">
        <v>13.5</v>
      </c>
    </row>
    <row r="19" spans="1:15" x14ac:dyDescent="0.25">
      <c r="A19" t="s">
        <v>33</v>
      </c>
      <c r="B19" t="s">
        <v>19</v>
      </c>
      <c r="C19" t="s">
        <v>19</v>
      </c>
      <c r="D19">
        <v>90.9</v>
      </c>
      <c r="E19">
        <v>8.9</v>
      </c>
      <c r="F19">
        <v>10.3</v>
      </c>
    </row>
    <row r="20" spans="1:15" x14ac:dyDescent="0.25">
      <c r="A20" t="s">
        <v>34</v>
      </c>
      <c r="B20" t="s">
        <v>19</v>
      </c>
      <c r="C20" t="s">
        <v>19</v>
      </c>
      <c r="D20">
        <v>96.5</v>
      </c>
      <c r="E20">
        <v>3.8</v>
      </c>
      <c r="F20">
        <v>6.2</v>
      </c>
    </row>
    <row r="21" spans="1:15" x14ac:dyDescent="0.25">
      <c r="A21" t="s">
        <v>35</v>
      </c>
      <c r="B21" t="s">
        <v>19</v>
      </c>
      <c r="C21" t="s">
        <v>19</v>
      </c>
      <c r="D21">
        <v>99.6</v>
      </c>
      <c r="E21">
        <v>3.8</v>
      </c>
      <c r="F21">
        <v>3.2</v>
      </c>
    </row>
    <row r="22" spans="1:15" x14ac:dyDescent="0.25">
      <c r="A22" t="s">
        <v>36</v>
      </c>
      <c r="B22" s="7">
        <v>102.9</v>
      </c>
      <c r="C22" s="7">
        <v>104.9</v>
      </c>
      <c r="D22" s="7">
        <v>103.9</v>
      </c>
      <c r="E22">
        <v>3.9</v>
      </c>
      <c r="F22">
        <v>4.3</v>
      </c>
    </row>
    <row r="23" spans="1:15" x14ac:dyDescent="0.25">
      <c r="A23" t="s">
        <v>37</v>
      </c>
      <c r="B23" s="7">
        <v>106.6</v>
      </c>
      <c r="C23" s="7">
        <v>108.5</v>
      </c>
      <c r="D23" s="7">
        <v>107.6</v>
      </c>
      <c r="E23">
        <v>3.8</v>
      </c>
      <c r="F23">
        <v>3.6</v>
      </c>
    </row>
    <row r="24" spans="1:15" x14ac:dyDescent="0.25">
      <c r="A24" t="s">
        <v>38</v>
      </c>
      <c r="B24" s="7">
        <v>109.1</v>
      </c>
      <c r="C24" s="7">
        <v>110.1</v>
      </c>
      <c r="D24" s="7">
        <v>109.6</v>
      </c>
      <c r="E24">
        <v>1.1000000000000001</v>
      </c>
      <c r="F24">
        <v>1.9</v>
      </c>
    </row>
    <row r="25" spans="1:15" x14ac:dyDescent="0.25">
      <c r="A25" t="s">
        <v>39</v>
      </c>
      <c r="B25" s="7">
        <v>112.4</v>
      </c>
      <c r="C25" s="7">
        <v>114.9</v>
      </c>
      <c r="D25" s="7">
        <v>113.6</v>
      </c>
      <c r="E25">
        <v>4.4000000000000004</v>
      </c>
      <c r="F25">
        <v>3.6</v>
      </c>
    </row>
    <row r="26" spans="1:15" x14ac:dyDescent="0.25">
      <c r="A26" t="s">
        <v>40</v>
      </c>
      <c r="B26" s="7">
        <v>116.8</v>
      </c>
      <c r="C26" s="7">
        <v>119.7</v>
      </c>
      <c r="D26" s="7">
        <v>118.3</v>
      </c>
      <c r="E26">
        <v>4.4000000000000004</v>
      </c>
      <c r="F26">
        <v>4.0999999999999996</v>
      </c>
    </row>
    <row r="27" spans="1:15" x14ac:dyDescent="0.25">
      <c r="A27" t="s">
        <v>41</v>
      </c>
      <c r="B27" s="7">
        <v>122.7</v>
      </c>
      <c r="C27" s="7">
        <v>125.3</v>
      </c>
      <c r="D27" s="7">
        <v>124</v>
      </c>
      <c r="E27">
        <v>4.5999999999999996</v>
      </c>
      <c r="F27">
        <v>4.8</v>
      </c>
    </row>
    <row r="28" spans="1:15" x14ac:dyDescent="0.25">
      <c r="A28" t="s">
        <v>42</v>
      </c>
      <c r="B28" s="7">
        <v>128.69999999999999</v>
      </c>
      <c r="C28" s="7">
        <v>132.6</v>
      </c>
      <c r="D28" s="7">
        <v>130.69999999999999</v>
      </c>
      <c r="E28">
        <v>6.1</v>
      </c>
      <c r="F28">
        <v>5.4</v>
      </c>
      <c r="G28" s="6">
        <f>$D$50/D28</f>
        <v>1.7566488140780414</v>
      </c>
    </row>
    <row r="29" spans="1:15" x14ac:dyDescent="0.25">
      <c r="A29" t="s">
        <v>43</v>
      </c>
      <c r="B29" s="7">
        <v>135.19999999999999</v>
      </c>
      <c r="C29" s="7">
        <v>137.19999999999999</v>
      </c>
      <c r="D29" s="7">
        <v>136.19999999999999</v>
      </c>
      <c r="E29">
        <v>3.1</v>
      </c>
      <c r="F29">
        <v>4.2</v>
      </c>
      <c r="G29" s="6">
        <f t="shared" ref="G29:G56" si="0">$D$50/D29</f>
        <v>1.6857121879588841</v>
      </c>
      <c r="M29" s="1"/>
      <c r="N29" s="1"/>
      <c r="O29" s="1"/>
    </row>
    <row r="30" spans="1:15" x14ac:dyDescent="0.25">
      <c r="A30" t="s">
        <v>44</v>
      </c>
      <c r="B30" s="7">
        <v>139.19999999999999</v>
      </c>
      <c r="C30" s="7">
        <v>141.4</v>
      </c>
      <c r="D30" s="7">
        <v>140.30000000000001</v>
      </c>
      <c r="E30">
        <v>2.9</v>
      </c>
      <c r="F30">
        <v>3</v>
      </c>
      <c r="G30" s="6">
        <f t="shared" si="0"/>
        <v>1.6364504632929435</v>
      </c>
      <c r="M30" s="2"/>
      <c r="N30" s="2"/>
      <c r="O30" s="4"/>
    </row>
    <row r="31" spans="1:15" x14ac:dyDescent="0.25">
      <c r="A31" t="s">
        <v>45</v>
      </c>
      <c r="B31" s="7">
        <v>143.69999999999999</v>
      </c>
      <c r="C31" s="7">
        <v>145.30000000000001</v>
      </c>
      <c r="D31" s="7">
        <v>144.5</v>
      </c>
      <c r="E31">
        <v>2.7</v>
      </c>
      <c r="F31">
        <v>3</v>
      </c>
      <c r="G31" s="6">
        <f t="shared" si="0"/>
        <v>1.5888858131487889</v>
      </c>
      <c r="M31" s="2"/>
      <c r="N31" s="2"/>
      <c r="O31" s="4"/>
    </row>
    <row r="32" spans="1:15" x14ac:dyDescent="0.25">
      <c r="A32" t="s">
        <v>46</v>
      </c>
      <c r="B32" s="7">
        <v>147.19999999999999</v>
      </c>
      <c r="C32" s="7">
        <v>149.30000000000001</v>
      </c>
      <c r="D32" s="7">
        <v>148.19999999999999</v>
      </c>
      <c r="E32">
        <v>2.7</v>
      </c>
      <c r="F32">
        <v>2.6</v>
      </c>
      <c r="G32" s="6">
        <f t="shared" si="0"/>
        <v>1.5492172739541161</v>
      </c>
      <c r="M32" s="2"/>
      <c r="N32" s="2"/>
      <c r="O32" s="4"/>
    </row>
    <row r="33" spans="1:15" x14ac:dyDescent="0.25">
      <c r="A33" t="s">
        <v>47</v>
      </c>
      <c r="B33" s="7">
        <v>151.5</v>
      </c>
      <c r="C33" s="7">
        <v>153.19999999999999</v>
      </c>
      <c r="D33" s="7">
        <v>152.4</v>
      </c>
      <c r="E33">
        <v>2.5</v>
      </c>
      <c r="F33">
        <v>2.8</v>
      </c>
      <c r="G33" s="6">
        <f t="shared" si="0"/>
        <v>1.5065223097112861</v>
      </c>
      <c r="M33" s="2"/>
      <c r="N33" s="2"/>
      <c r="O33" s="4"/>
    </row>
    <row r="34" spans="1:15" x14ac:dyDescent="0.25">
      <c r="A34" t="s">
        <v>48</v>
      </c>
      <c r="B34" s="7">
        <v>155.80000000000001</v>
      </c>
      <c r="C34" s="7">
        <v>157.9</v>
      </c>
      <c r="D34" s="7">
        <v>156.9</v>
      </c>
      <c r="E34">
        <v>3.3</v>
      </c>
      <c r="F34">
        <v>3</v>
      </c>
      <c r="G34" s="6">
        <f t="shared" si="0"/>
        <v>1.4633142128744423</v>
      </c>
      <c r="M34" s="2"/>
      <c r="N34" s="2"/>
      <c r="O34" s="4"/>
    </row>
    <row r="35" spans="1:15" x14ac:dyDescent="0.25">
      <c r="A35" t="s">
        <v>49</v>
      </c>
      <c r="B35" s="7">
        <v>159.9</v>
      </c>
      <c r="C35" s="7">
        <v>161.19999999999999</v>
      </c>
      <c r="D35" s="7">
        <v>160.5</v>
      </c>
      <c r="E35">
        <v>1.7</v>
      </c>
      <c r="F35">
        <v>2.2999999999999998</v>
      </c>
      <c r="G35" s="6">
        <f t="shared" si="0"/>
        <v>1.4304922118380061</v>
      </c>
      <c r="M35" s="2"/>
      <c r="N35" s="2"/>
      <c r="O35" s="4"/>
    </row>
    <row r="36" spans="1:15" x14ac:dyDescent="0.25">
      <c r="A36" t="s">
        <v>50</v>
      </c>
      <c r="B36" s="7">
        <v>162.30000000000001</v>
      </c>
      <c r="C36" s="7">
        <v>163.69999999999999</v>
      </c>
      <c r="D36" s="7">
        <v>163</v>
      </c>
      <c r="E36">
        <v>1.6</v>
      </c>
      <c r="F36">
        <v>1.6</v>
      </c>
      <c r="G36" s="6">
        <f t="shared" si="0"/>
        <v>1.4085521472392637</v>
      </c>
      <c r="M36" s="2"/>
      <c r="N36" s="2"/>
      <c r="O36" s="4"/>
    </row>
    <row r="37" spans="1:15" x14ac:dyDescent="0.25">
      <c r="A37" t="s">
        <v>51</v>
      </c>
      <c r="B37" s="7">
        <v>165.4</v>
      </c>
      <c r="C37" s="7">
        <v>167.8</v>
      </c>
      <c r="D37" s="7">
        <v>166.6</v>
      </c>
      <c r="E37">
        <v>2.7</v>
      </c>
      <c r="F37">
        <v>2.2000000000000002</v>
      </c>
      <c r="G37" s="6">
        <f t="shared" si="0"/>
        <v>1.3781152460984394</v>
      </c>
      <c r="M37" s="2"/>
      <c r="N37" s="2"/>
      <c r="O37" s="4"/>
    </row>
    <row r="38" spans="1:15" x14ac:dyDescent="0.25">
      <c r="A38" t="s">
        <v>52</v>
      </c>
      <c r="B38" s="7">
        <v>170.8</v>
      </c>
      <c r="C38" s="7">
        <v>173.6</v>
      </c>
      <c r="D38" s="7">
        <v>172.2</v>
      </c>
      <c r="E38">
        <v>3.4</v>
      </c>
      <c r="F38">
        <v>3.4</v>
      </c>
      <c r="G38" s="6">
        <f t="shared" si="0"/>
        <v>1.3332984901277585</v>
      </c>
      <c r="M38" s="2"/>
      <c r="N38" s="5"/>
      <c r="O38" s="4"/>
    </row>
    <row r="39" spans="1:15" x14ac:dyDescent="0.25">
      <c r="A39" t="s">
        <v>53</v>
      </c>
      <c r="B39" s="7">
        <v>176.6</v>
      </c>
      <c r="C39" s="7">
        <v>177.5</v>
      </c>
      <c r="D39" s="7">
        <v>177.1</v>
      </c>
      <c r="E39">
        <v>1.6</v>
      </c>
      <c r="F39">
        <v>2.8</v>
      </c>
      <c r="G39" s="6">
        <f t="shared" si="0"/>
        <v>1.2964088085827217</v>
      </c>
      <c r="M39" s="2"/>
      <c r="N39" s="2"/>
      <c r="O39" s="4"/>
    </row>
    <row r="40" spans="1:15" x14ac:dyDescent="0.25">
      <c r="A40" t="s">
        <v>54</v>
      </c>
      <c r="B40" s="7">
        <v>178.9</v>
      </c>
      <c r="C40" s="7">
        <v>180.9</v>
      </c>
      <c r="D40" s="7">
        <v>179.9</v>
      </c>
      <c r="E40">
        <v>2.4</v>
      </c>
      <c r="F40">
        <v>1.6</v>
      </c>
      <c r="G40" s="6">
        <f t="shared" si="0"/>
        <v>1.276231239577543</v>
      </c>
      <c r="M40" s="2"/>
      <c r="N40" s="2"/>
      <c r="O40" s="4"/>
    </row>
    <row r="41" spans="1:15" x14ac:dyDescent="0.25">
      <c r="A41" t="s">
        <v>55</v>
      </c>
      <c r="B41" s="7">
        <v>183.3</v>
      </c>
      <c r="C41" s="7">
        <v>184.6</v>
      </c>
      <c r="D41" s="7">
        <v>184</v>
      </c>
      <c r="E41">
        <v>1.9</v>
      </c>
      <c r="F41">
        <v>2.2999999999999998</v>
      </c>
      <c r="G41" s="6">
        <f t="shared" si="0"/>
        <v>1.2477934782608695</v>
      </c>
      <c r="M41" s="2"/>
      <c r="N41" s="2"/>
      <c r="O41" s="4"/>
    </row>
    <row r="42" spans="1:15" x14ac:dyDescent="0.25">
      <c r="A42" t="s">
        <v>56</v>
      </c>
      <c r="B42" s="7">
        <v>187.6</v>
      </c>
      <c r="C42" s="7">
        <v>190.2</v>
      </c>
      <c r="D42" s="7">
        <v>188.9</v>
      </c>
      <c r="E42">
        <v>3.3</v>
      </c>
      <c r="F42">
        <v>2.7</v>
      </c>
      <c r="G42" s="6">
        <f t="shared" si="0"/>
        <v>1.2154261514028586</v>
      </c>
      <c r="M42" s="2"/>
      <c r="N42" s="2"/>
      <c r="O42" s="4"/>
    </row>
    <row r="43" spans="1:15" x14ac:dyDescent="0.25">
      <c r="A43" t="s">
        <v>57</v>
      </c>
      <c r="B43" s="7">
        <v>193.2</v>
      </c>
      <c r="C43" s="7">
        <v>197.4</v>
      </c>
      <c r="D43" s="7">
        <v>195.3</v>
      </c>
      <c r="E43">
        <v>3.4</v>
      </c>
      <c r="F43">
        <v>3.4</v>
      </c>
      <c r="G43" s="6">
        <f t="shared" si="0"/>
        <v>1.1755965181771633</v>
      </c>
      <c r="M43" s="2"/>
      <c r="N43" s="5"/>
      <c r="O43" s="4"/>
    </row>
    <row r="44" spans="1:15" x14ac:dyDescent="0.25">
      <c r="A44" t="s">
        <v>58</v>
      </c>
      <c r="B44" s="7">
        <v>200.6</v>
      </c>
      <c r="C44" s="7">
        <v>202.6</v>
      </c>
      <c r="D44" s="7">
        <v>201.6</v>
      </c>
      <c r="E44">
        <v>2.5</v>
      </c>
      <c r="F44">
        <v>3.2</v>
      </c>
      <c r="G44" s="6">
        <f t="shared" si="0"/>
        <v>1.1388591269841271</v>
      </c>
      <c r="M44" s="2"/>
      <c r="N44" s="2"/>
      <c r="O44" s="4"/>
    </row>
    <row r="45" spans="1:15" x14ac:dyDescent="0.25">
      <c r="A45" t="s">
        <v>59</v>
      </c>
      <c r="B45" s="8">
        <v>205.709</v>
      </c>
      <c r="C45" s="8">
        <v>208.976</v>
      </c>
      <c r="D45" s="8">
        <v>207.34200000000001</v>
      </c>
      <c r="E45">
        <v>4.0999999999999996</v>
      </c>
      <c r="F45">
        <v>2.8</v>
      </c>
      <c r="G45" s="6">
        <f t="shared" si="0"/>
        <v>1.107320272786025</v>
      </c>
      <c r="M45" s="2"/>
      <c r="N45" s="2"/>
      <c r="O45" s="4"/>
    </row>
    <row r="46" spans="1:15" x14ac:dyDescent="0.25">
      <c r="A46" t="s">
        <v>60</v>
      </c>
      <c r="B46" s="8">
        <v>214.429</v>
      </c>
      <c r="C46" s="8">
        <v>216.17699999999999</v>
      </c>
      <c r="D46" s="8">
        <v>215.303</v>
      </c>
      <c r="E46">
        <v>0.1</v>
      </c>
      <c r="F46">
        <v>3.8</v>
      </c>
      <c r="G46" s="6">
        <f t="shared" si="0"/>
        <v>1.0663762232760343</v>
      </c>
      <c r="M46" s="2"/>
      <c r="N46" s="2"/>
      <c r="O46" s="4"/>
    </row>
    <row r="47" spans="1:15" x14ac:dyDescent="0.25">
      <c r="A47" t="s">
        <v>61</v>
      </c>
      <c r="B47" s="8">
        <v>213.13900000000001</v>
      </c>
      <c r="C47" s="8">
        <v>215.935</v>
      </c>
      <c r="D47" s="8">
        <v>214.53700000000001</v>
      </c>
      <c r="E47">
        <v>2.7</v>
      </c>
      <c r="F47">
        <v>-0.4</v>
      </c>
      <c r="G47" s="6">
        <f t="shared" si="0"/>
        <v>1.0701836979169095</v>
      </c>
      <c r="M47" s="2"/>
      <c r="N47" s="2"/>
      <c r="O47" s="4"/>
    </row>
    <row r="48" spans="1:15" x14ac:dyDescent="0.25">
      <c r="A48" t="s">
        <v>62</v>
      </c>
      <c r="B48" s="8">
        <v>217.535</v>
      </c>
      <c r="C48" s="8">
        <v>218.57599999999999</v>
      </c>
      <c r="D48" s="8">
        <v>218.05600000000001</v>
      </c>
      <c r="E48">
        <v>1.5</v>
      </c>
      <c r="F48">
        <v>1.6</v>
      </c>
      <c r="G48" s="6">
        <f t="shared" si="0"/>
        <v>1.0529130131709286</v>
      </c>
      <c r="M48" s="2"/>
      <c r="N48" s="2"/>
      <c r="O48" s="4"/>
    </row>
    <row r="49" spans="1:15" x14ac:dyDescent="0.25">
      <c r="A49" t="s">
        <v>63</v>
      </c>
      <c r="B49" s="8">
        <v>223.59800000000001</v>
      </c>
      <c r="C49" s="8">
        <v>226.28</v>
      </c>
      <c r="D49" s="8">
        <v>224.93899999999999</v>
      </c>
      <c r="E49">
        <v>3</v>
      </c>
      <c r="F49">
        <v>3.2</v>
      </c>
      <c r="G49" s="6">
        <f t="shared" si="0"/>
        <v>1.0206944993976144</v>
      </c>
      <c r="M49" s="2"/>
      <c r="N49" s="2"/>
      <c r="O49" s="4"/>
    </row>
    <row r="50" spans="1:15" x14ac:dyDescent="0.25">
      <c r="A50" t="s">
        <v>64</v>
      </c>
      <c r="B50" s="8">
        <v>228.85</v>
      </c>
      <c r="C50" s="8">
        <v>230.33799999999999</v>
      </c>
      <c r="D50" s="8">
        <v>229.59399999999999</v>
      </c>
      <c r="E50">
        <v>1.7</v>
      </c>
      <c r="F50">
        <v>2.1</v>
      </c>
      <c r="G50" s="6">
        <f t="shared" si="0"/>
        <v>1</v>
      </c>
      <c r="M50" s="2"/>
      <c r="N50" s="2"/>
      <c r="O50" s="4"/>
    </row>
    <row r="51" spans="1:15" x14ac:dyDescent="0.25">
      <c r="A51" t="s">
        <v>65</v>
      </c>
      <c r="B51" s="8">
        <v>232.36600000000001</v>
      </c>
      <c r="C51" s="8">
        <v>233.548</v>
      </c>
      <c r="D51" s="8">
        <v>232.95699999999999</v>
      </c>
      <c r="E51">
        <v>1.5</v>
      </c>
      <c r="F51">
        <v>1.5</v>
      </c>
      <c r="G51" s="6">
        <f t="shared" si="0"/>
        <v>0.98556385942470071</v>
      </c>
      <c r="M51" s="2"/>
      <c r="N51" s="2"/>
      <c r="O51" s="4"/>
    </row>
    <row r="52" spans="1:15" x14ac:dyDescent="0.25">
      <c r="A52" t="s">
        <v>66</v>
      </c>
      <c r="B52" s="8">
        <v>236.38399999999999</v>
      </c>
      <c r="C52" s="8">
        <v>237.08799999999999</v>
      </c>
      <c r="D52" s="8">
        <v>236.73599999999999</v>
      </c>
      <c r="E52">
        <v>0.8</v>
      </c>
      <c r="F52">
        <v>1.6</v>
      </c>
      <c r="G52" s="6">
        <f t="shared" si="0"/>
        <v>0.96983137334414704</v>
      </c>
      <c r="M52" s="2"/>
      <c r="N52" s="2"/>
      <c r="O52" s="4"/>
    </row>
    <row r="53" spans="1:15" x14ac:dyDescent="0.25">
      <c r="A53" t="s">
        <v>67</v>
      </c>
      <c r="B53" s="8">
        <v>236.26499999999999</v>
      </c>
      <c r="C53" s="8">
        <v>237.76900000000001</v>
      </c>
      <c r="D53" s="8">
        <v>237.017</v>
      </c>
      <c r="E53">
        <v>0.7</v>
      </c>
      <c r="F53">
        <v>0.1</v>
      </c>
      <c r="G53" s="6">
        <f t="shared" si="0"/>
        <v>0.9686815713640794</v>
      </c>
      <c r="M53" s="2"/>
      <c r="N53" s="2"/>
      <c r="O53" s="4"/>
    </row>
    <row r="54" spans="1:15" x14ac:dyDescent="0.25">
      <c r="A54" t="s">
        <v>68</v>
      </c>
      <c r="B54" s="8">
        <v>238.77799999999999</v>
      </c>
      <c r="C54" s="8">
        <v>241.23699999999999</v>
      </c>
      <c r="D54" s="8">
        <v>240.00700000000001</v>
      </c>
      <c r="E54">
        <v>2.1</v>
      </c>
      <c r="F54">
        <v>1.3</v>
      </c>
      <c r="G54" s="6">
        <f t="shared" si="0"/>
        <v>0.95661376543184151</v>
      </c>
      <c r="M54" s="2"/>
      <c r="N54" s="2"/>
      <c r="O54" s="4"/>
    </row>
    <row r="55" spans="1:15" x14ac:dyDescent="0.25">
      <c r="A55" t="s">
        <v>69</v>
      </c>
      <c r="B55" s="8">
        <v>244.07599999999999</v>
      </c>
      <c r="C55" s="8">
        <v>246.16300000000001</v>
      </c>
      <c r="D55" s="8">
        <v>245.12</v>
      </c>
      <c r="E55">
        <v>2.1</v>
      </c>
      <c r="F55">
        <v>2.1</v>
      </c>
      <c r="G55" s="6">
        <f t="shared" si="0"/>
        <v>0.93665959530026111</v>
      </c>
      <c r="M55" s="2"/>
      <c r="N55" s="2"/>
      <c r="O55" s="4"/>
    </row>
    <row r="56" spans="1:15" x14ac:dyDescent="0.25">
      <c r="A56" t="s">
        <v>70</v>
      </c>
      <c r="B56" s="8">
        <v>250.089</v>
      </c>
      <c r="C56" s="8">
        <v>252.125</v>
      </c>
      <c r="D56" s="8">
        <v>251.107</v>
      </c>
      <c r="E56">
        <v>1.9</v>
      </c>
      <c r="F56">
        <v>2.4</v>
      </c>
      <c r="G56" s="6">
        <f t="shared" si="0"/>
        <v>0.9143273584567535</v>
      </c>
      <c r="M56" s="2"/>
      <c r="N56" s="2"/>
      <c r="O56" s="4"/>
    </row>
    <row r="57" spans="1:15" x14ac:dyDescent="0.25">
      <c r="A57" t="s">
        <v>71</v>
      </c>
      <c r="B57" s="8">
        <v>254.41200000000001</v>
      </c>
      <c r="C57" s="8">
        <v>256.90300000000002</v>
      </c>
      <c r="D57" s="8">
        <v>255.65700000000001</v>
      </c>
      <c r="E57">
        <v>2.2999999999999998</v>
      </c>
      <c r="F57">
        <v>1.8</v>
      </c>
      <c r="G57" s="6">
        <f t="shared" ref="G57:G64" si="1">$D$50/D57</f>
        <v>0.89805481563188172</v>
      </c>
    </row>
    <row r="58" spans="1:15" x14ac:dyDescent="0.25">
      <c r="A58" t="s">
        <v>72</v>
      </c>
      <c r="B58" s="8">
        <v>257.55700000000002</v>
      </c>
      <c r="C58" s="8">
        <v>260.065</v>
      </c>
      <c r="D58" s="8">
        <v>258.81099999999998</v>
      </c>
      <c r="E58">
        <v>1.4</v>
      </c>
      <c r="F58">
        <v>1.2</v>
      </c>
      <c r="G58" s="6">
        <f t="shared" si="1"/>
        <v>0.88711067149387013</v>
      </c>
    </row>
    <row r="59" spans="1:15" x14ac:dyDescent="0.25">
      <c r="A59" t="s">
        <v>73</v>
      </c>
      <c r="B59" s="8">
        <v>266.23599999999999</v>
      </c>
      <c r="C59" s="8">
        <v>275.70299999999997</v>
      </c>
      <c r="D59" s="8">
        <v>270.97000000000003</v>
      </c>
      <c r="E59">
        <v>7</v>
      </c>
      <c r="F59">
        <v>4.7</v>
      </c>
      <c r="G59" s="6">
        <f t="shared" si="1"/>
        <v>0.84730412960844359</v>
      </c>
    </row>
    <row r="60" spans="1:15" x14ac:dyDescent="0.25">
      <c r="A60" t="s">
        <v>74</v>
      </c>
      <c r="B60" s="8">
        <v>288.34699999999998</v>
      </c>
      <c r="C60" s="8">
        <v>296.96300000000002</v>
      </c>
      <c r="D60" s="8">
        <v>292.65499999999997</v>
      </c>
      <c r="E60">
        <v>6.5</v>
      </c>
      <c r="F60">
        <v>8</v>
      </c>
      <c r="G60" s="6">
        <f t="shared" si="1"/>
        <v>0.78452102304761584</v>
      </c>
    </row>
    <row r="61" spans="1:15" x14ac:dyDescent="0.25">
      <c r="A61" t="s">
        <v>75</v>
      </c>
      <c r="B61" s="8">
        <v>302.40800000000002</v>
      </c>
      <c r="C61" s="8">
        <v>306.99599999999998</v>
      </c>
      <c r="D61" s="8">
        <v>304.702</v>
      </c>
      <c r="G61" s="6">
        <f t="shared" si="1"/>
        <v>0.75350342301658668</v>
      </c>
    </row>
    <row r="62" spans="1:15" x14ac:dyDescent="0.25">
      <c r="A62" t="s">
        <v>77</v>
      </c>
      <c r="B62">
        <v>312.14499999999998</v>
      </c>
      <c r="C62">
        <v>315.233</v>
      </c>
      <c r="D62">
        <v>313.68900000000002</v>
      </c>
      <c r="G62" s="6">
        <f t="shared" si="1"/>
        <v>0.73191600598044548</v>
      </c>
    </row>
    <row r="63" spans="1:15" x14ac:dyDescent="0.25">
      <c r="A63" t="s">
        <v>78</v>
      </c>
      <c r="B63" s="8">
        <v>320.13</v>
      </c>
      <c r="C63" s="8">
        <v>324.16000000000003</v>
      </c>
      <c r="D63" s="8">
        <v>321.96199999999999</v>
      </c>
      <c r="G63" s="6">
        <f t="shared" si="1"/>
        <v>0.71310900044104586</v>
      </c>
    </row>
    <row r="64" spans="1:15" x14ac:dyDescent="0.25">
      <c r="G64" s="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2015-08-14T05:48:44Z</dcterms:created>
  <dcterms:modified xsi:type="dcterms:W3CDTF">2026-03-06T17:05:59Z</dcterms:modified>
</cp:coreProperties>
</file>