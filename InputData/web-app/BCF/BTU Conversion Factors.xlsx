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Olivia Ashmoore\Documents\EPS_Models by Region\United States\us-eps\InputData\web-app\BCF\"/>
    </mc:Choice>
  </mc:AlternateContent>
  <xr:revisionPtr revIDLastSave="0" documentId="13_ncr:1_{2AD158D4-4564-4341-A436-73B4713E8C38}" xr6:coauthVersionLast="47" xr6:coauthVersionMax="47" xr10:uidLastSave="{00000000-0000-0000-0000-000000000000}"/>
  <bookViews>
    <workbookView xWindow="-120" yWindow="-120" windowWidth="29040" windowHeight="17520" xr2:uid="{00000000-000D-0000-FFFF-FFFF00000000}"/>
  </bookViews>
  <sheets>
    <sheet name="About" sheetId="1" r:id="rId1"/>
    <sheet name="AEO Table 73" sheetId="14" r:id="rId2"/>
    <sheet name="GREET1 Fuel_Specs" sheetId="9" r:id="rId3"/>
    <sheet name="BCF-BpLFOU" sheetId="11" r:id="rId4"/>
    <sheet name="BCF-BpSFOU" sheetId="12" r:id="rId5"/>
    <sheet name="BCF-VFEUCF" sheetId="10" r:id="rId6"/>
    <sheet name="BCF-BpEIEOU" sheetId="13" r:id="rId7"/>
    <sheet name="BCF-BpMMTH" sheetId="15" r:id="rId8"/>
  </sheets>
  <definedNames>
    <definedName name="gal_per_barrel">About!$A$75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1" l="1"/>
  <c r="D2" i="11"/>
  <c r="E2" i="11"/>
  <c r="F2" i="11"/>
  <c r="G2" i="11"/>
  <c r="H2" i="11"/>
  <c r="I2" i="11"/>
  <c r="J2" i="11"/>
  <c r="K2" i="11"/>
  <c r="L2" i="11"/>
  <c r="M2" i="11"/>
  <c r="N2" i="11"/>
  <c r="O2" i="11"/>
  <c r="P2" i="11"/>
  <c r="Q2" i="11"/>
  <c r="R2" i="11"/>
  <c r="S2" i="11"/>
  <c r="T2" i="11"/>
  <c r="U2" i="11"/>
  <c r="V2" i="11"/>
  <c r="W2" i="11"/>
  <c r="X2" i="11"/>
  <c r="Y2" i="11"/>
  <c r="Z2" i="11"/>
  <c r="AA2" i="11"/>
  <c r="AB2" i="11"/>
  <c r="C3" i="11"/>
  <c r="D3" i="11"/>
  <c r="E3" i="11"/>
  <c r="F3" i="11"/>
  <c r="G3" i="11"/>
  <c r="H3" i="11"/>
  <c r="I3" i="11"/>
  <c r="J3" i="11"/>
  <c r="K3" i="11"/>
  <c r="L3" i="11"/>
  <c r="M3" i="11"/>
  <c r="N3" i="11"/>
  <c r="O3" i="11"/>
  <c r="P3" i="11"/>
  <c r="Q3" i="11"/>
  <c r="R3" i="11"/>
  <c r="S3" i="11"/>
  <c r="T3" i="11"/>
  <c r="U3" i="11"/>
  <c r="V3" i="11"/>
  <c r="W3" i="11"/>
  <c r="X3" i="11"/>
  <c r="Y3" i="11"/>
  <c r="Z3" i="11"/>
  <c r="AA3" i="11"/>
  <c r="AB3" i="11"/>
  <c r="C4" i="11"/>
  <c r="D4" i="11"/>
  <c r="E4" i="11"/>
  <c r="F4" i="11"/>
  <c r="G4" i="11"/>
  <c r="H4" i="11"/>
  <c r="I4" i="11"/>
  <c r="J4" i="11"/>
  <c r="K4" i="11"/>
  <c r="L4" i="11"/>
  <c r="M4" i="11"/>
  <c r="N4" i="11"/>
  <c r="O4" i="11"/>
  <c r="P4" i="11"/>
  <c r="Q4" i="11"/>
  <c r="R4" i="11"/>
  <c r="S4" i="11"/>
  <c r="T4" i="11"/>
  <c r="U4" i="11"/>
  <c r="V4" i="11"/>
  <c r="W4" i="11"/>
  <c r="X4" i="11"/>
  <c r="Y4" i="11"/>
  <c r="Z4" i="11"/>
  <c r="AA4" i="11"/>
  <c r="AB4" i="11"/>
  <c r="C5" i="11"/>
  <c r="D5" i="11"/>
  <c r="E5" i="11"/>
  <c r="F5" i="11"/>
  <c r="G5" i="11"/>
  <c r="H5" i="11"/>
  <c r="I5" i="11"/>
  <c r="J5" i="11"/>
  <c r="K5" i="11"/>
  <c r="L5" i="11"/>
  <c r="M5" i="11"/>
  <c r="N5" i="11"/>
  <c r="O5" i="11"/>
  <c r="P5" i="11"/>
  <c r="Q5" i="11"/>
  <c r="R5" i="11"/>
  <c r="S5" i="11"/>
  <c r="T5" i="11"/>
  <c r="U5" i="11"/>
  <c r="V5" i="11"/>
  <c r="W5" i="11"/>
  <c r="X5" i="11"/>
  <c r="Y5" i="11"/>
  <c r="Z5" i="11"/>
  <c r="AA5" i="11"/>
  <c r="AB5" i="11"/>
  <c r="C9" i="11"/>
  <c r="D9" i="11"/>
  <c r="E9" i="11"/>
  <c r="F9" i="11"/>
  <c r="G9" i="11"/>
  <c r="H9" i="11"/>
  <c r="I9" i="11"/>
  <c r="J9" i="11"/>
  <c r="K9" i="11"/>
  <c r="L9" i="11"/>
  <c r="M9" i="11"/>
  <c r="N9" i="11"/>
  <c r="O9" i="11"/>
  <c r="P9" i="11"/>
  <c r="Q9" i="11"/>
  <c r="R9" i="11"/>
  <c r="S9" i="11"/>
  <c r="T9" i="11"/>
  <c r="U9" i="11"/>
  <c r="V9" i="11"/>
  <c r="W9" i="11"/>
  <c r="X9" i="11"/>
  <c r="Y9" i="11"/>
  <c r="Z9" i="11"/>
  <c r="AA9" i="11"/>
  <c r="AB9"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B4" i="11"/>
  <c r="B3" i="11"/>
  <c r="C2" i="12"/>
  <c r="D2" i="12"/>
  <c r="E2" i="12"/>
  <c r="F2" i="12"/>
  <c r="G2" i="12"/>
  <c r="H2" i="12"/>
  <c r="I2" i="12"/>
  <c r="J2" i="12"/>
  <c r="K2" i="12"/>
  <c r="L2" i="12"/>
  <c r="M2" i="12"/>
  <c r="N2" i="12"/>
  <c r="O2" i="12"/>
  <c r="P2" i="12"/>
  <c r="Q2" i="12"/>
  <c r="R2" i="12"/>
  <c r="S2" i="12"/>
  <c r="T2" i="12"/>
  <c r="U2" i="12"/>
  <c r="V2" i="12"/>
  <c r="W2" i="12"/>
  <c r="X2" i="12"/>
  <c r="Y2" i="12"/>
  <c r="Z2" i="12"/>
  <c r="AA2" i="12"/>
  <c r="AB2" i="12"/>
  <c r="C3" i="12"/>
  <c r="D3" i="12"/>
  <c r="E3" i="12"/>
  <c r="F3" i="12"/>
  <c r="G3" i="12"/>
  <c r="H3" i="12"/>
  <c r="I3" i="12"/>
  <c r="J3" i="12"/>
  <c r="K3" i="12"/>
  <c r="L3" i="12"/>
  <c r="M3" i="12"/>
  <c r="N3" i="12"/>
  <c r="O3" i="12"/>
  <c r="P3" i="12"/>
  <c r="Q3" i="12"/>
  <c r="R3" i="12"/>
  <c r="S3" i="12"/>
  <c r="T3" i="12"/>
  <c r="U3" i="12"/>
  <c r="V3" i="12"/>
  <c r="W3" i="12"/>
  <c r="X3" i="12"/>
  <c r="Y3" i="12"/>
  <c r="Z3" i="12"/>
  <c r="AA3" i="12"/>
  <c r="AB3" i="12"/>
  <c r="C4" i="12"/>
  <c r="D4" i="12"/>
  <c r="E4" i="12"/>
  <c r="F4" i="12"/>
  <c r="G4" i="12"/>
  <c r="H4" i="12"/>
  <c r="I4" i="12"/>
  <c r="J4" i="12"/>
  <c r="K4" i="12"/>
  <c r="L4" i="12"/>
  <c r="M4" i="12"/>
  <c r="N4" i="12"/>
  <c r="O4" i="12"/>
  <c r="P4" i="12"/>
  <c r="Q4" i="12"/>
  <c r="R4" i="12"/>
  <c r="S4" i="12"/>
  <c r="T4" i="12"/>
  <c r="U4" i="12"/>
  <c r="V4" i="12"/>
  <c r="W4" i="12"/>
  <c r="X4" i="12"/>
  <c r="Y4" i="12"/>
  <c r="Z4" i="12"/>
  <c r="AA4" i="12"/>
  <c r="AB4" i="12"/>
  <c r="C5" i="12"/>
  <c r="D5" i="12"/>
  <c r="E5" i="12"/>
  <c r="F5" i="12"/>
  <c r="G5" i="12"/>
  <c r="H5" i="12"/>
  <c r="I5" i="12"/>
  <c r="J5" i="12"/>
  <c r="K5" i="12"/>
  <c r="L5" i="12"/>
  <c r="M5" i="12"/>
  <c r="N5" i="12"/>
  <c r="O5" i="12"/>
  <c r="P5" i="12"/>
  <c r="Q5" i="12"/>
  <c r="R5" i="12"/>
  <c r="S5" i="12"/>
  <c r="T5" i="12"/>
  <c r="U5" i="12"/>
  <c r="V5" i="12"/>
  <c r="W5" i="12"/>
  <c r="X5" i="12"/>
  <c r="Y5" i="12"/>
  <c r="Z5" i="12"/>
  <c r="AA5" i="12"/>
  <c r="AB5" i="12"/>
  <c r="C9" i="12"/>
  <c r="D9" i="12"/>
  <c r="E9" i="12"/>
  <c r="F9" i="12"/>
  <c r="G9" i="12"/>
  <c r="H9" i="12"/>
  <c r="I9" i="12"/>
  <c r="J9" i="12"/>
  <c r="K9" i="12"/>
  <c r="L9" i="12"/>
  <c r="M9" i="12"/>
  <c r="N9" i="12"/>
  <c r="O9" i="12"/>
  <c r="P9" i="12"/>
  <c r="Q9" i="12"/>
  <c r="R9" i="12"/>
  <c r="S9" i="12"/>
  <c r="T9" i="12"/>
  <c r="U9" i="12"/>
  <c r="V9" i="12"/>
  <c r="W9" i="12"/>
  <c r="X9" i="12"/>
  <c r="Y9" i="12"/>
  <c r="Z9" i="12"/>
  <c r="AA9" i="12"/>
  <c r="AB9" i="12"/>
  <c r="C10" i="12"/>
  <c r="D10" i="12"/>
  <c r="E10" i="12"/>
  <c r="F10" i="12"/>
  <c r="G10" i="12"/>
  <c r="H10" i="12"/>
  <c r="I10" i="12"/>
  <c r="J10" i="12"/>
  <c r="K10" i="12"/>
  <c r="L10" i="12"/>
  <c r="M10" i="12"/>
  <c r="N10" i="12"/>
  <c r="O10" i="12"/>
  <c r="P10" i="12"/>
  <c r="Q10" i="12"/>
  <c r="R10" i="12"/>
  <c r="S10" i="12"/>
  <c r="T10" i="12"/>
  <c r="U10" i="12"/>
  <c r="V10" i="12"/>
  <c r="W10" i="12"/>
  <c r="X10" i="12"/>
  <c r="Y10" i="12"/>
  <c r="Z10" i="12"/>
  <c r="AA10" i="12"/>
  <c r="AB10" i="12"/>
  <c r="C11" i="12"/>
  <c r="D11" i="12"/>
  <c r="E11" i="12"/>
  <c r="F11" i="12"/>
  <c r="G11" i="12"/>
  <c r="H11" i="12"/>
  <c r="I11" i="12"/>
  <c r="J11" i="12"/>
  <c r="K11" i="12"/>
  <c r="L11" i="12"/>
  <c r="M11" i="12"/>
  <c r="N11" i="12"/>
  <c r="O11" i="12"/>
  <c r="P11" i="12"/>
  <c r="Q11" i="12"/>
  <c r="R11" i="12"/>
  <c r="S11" i="12"/>
  <c r="T11" i="12"/>
  <c r="U11" i="12"/>
  <c r="V11" i="12"/>
  <c r="W11" i="12"/>
  <c r="X11" i="12"/>
  <c r="Y11" i="12"/>
  <c r="Z11" i="12"/>
  <c r="AA11" i="12"/>
  <c r="AB11" i="12"/>
  <c r="C12" i="12"/>
  <c r="D12" i="12"/>
  <c r="E12" i="12"/>
  <c r="F12" i="12"/>
  <c r="G12" i="12"/>
  <c r="H12" i="12"/>
  <c r="I12" i="12"/>
  <c r="J12" i="12"/>
  <c r="K12" i="12"/>
  <c r="L12" i="12"/>
  <c r="M12" i="12"/>
  <c r="N12" i="12"/>
  <c r="O12" i="12"/>
  <c r="P12" i="12"/>
  <c r="Q12" i="12"/>
  <c r="R12" i="12"/>
  <c r="S12" i="12"/>
  <c r="T12" i="12"/>
  <c r="U12" i="12"/>
  <c r="V12" i="12"/>
  <c r="W12" i="12"/>
  <c r="X12" i="12"/>
  <c r="Y12" i="12"/>
  <c r="Z12" i="12"/>
  <c r="AA12" i="12"/>
  <c r="AB12" i="12"/>
  <c r="C13" i="12"/>
  <c r="D13" i="12"/>
  <c r="E13" i="12"/>
  <c r="F13" i="12"/>
  <c r="G13" i="12"/>
  <c r="H13" i="12"/>
  <c r="I13" i="12"/>
  <c r="J13" i="12"/>
  <c r="K13" i="12"/>
  <c r="L13" i="12"/>
  <c r="M13" i="12"/>
  <c r="N13" i="12"/>
  <c r="O13" i="12"/>
  <c r="P13" i="12"/>
  <c r="Q13" i="12"/>
  <c r="R13" i="12"/>
  <c r="S13" i="12"/>
  <c r="T13" i="12"/>
  <c r="U13" i="12"/>
  <c r="V13" i="12"/>
  <c r="W13" i="12"/>
  <c r="X13" i="12"/>
  <c r="Y13" i="12"/>
  <c r="Z13" i="12"/>
  <c r="AA13" i="12"/>
  <c r="AB13" i="12"/>
  <c r="C14" i="12"/>
  <c r="D14" i="12"/>
  <c r="E14" i="12"/>
  <c r="F14" i="12"/>
  <c r="G14" i="12"/>
  <c r="H14" i="12"/>
  <c r="I14" i="12"/>
  <c r="J14" i="12"/>
  <c r="K14" i="12"/>
  <c r="L14" i="12"/>
  <c r="M14" i="12"/>
  <c r="N14" i="12"/>
  <c r="O14" i="12"/>
  <c r="P14" i="12"/>
  <c r="Q14" i="12"/>
  <c r="R14" i="12"/>
  <c r="S14" i="12"/>
  <c r="T14" i="12"/>
  <c r="U14" i="12"/>
  <c r="V14" i="12"/>
  <c r="W14" i="12"/>
  <c r="X14" i="12"/>
  <c r="Y14" i="12"/>
  <c r="Z14" i="12"/>
  <c r="AA14" i="12"/>
  <c r="AB14" i="12"/>
  <c r="C15" i="12"/>
  <c r="D15" i="12"/>
  <c r="E15" i="12"/>
  <c r="F15" i="12"/>
  <c r="G15" i="12"/>
  <c r="H15" i="12"/>
  <c r="I15" i="12"/>
  <c r="J15" i="12"/>
  <c r="K15" i="12"/>
  <c r="L15" i="12"/>
  <c r="M15" i="12"/>
  <c r="N15" i="12"/>
  <c r="O15" i="12"/>
  <c r="P15" i="12"/>
  <c r="Q15" i="12"/>
  <c r="R15" i="12"/>
  <c r="S15" i="12"/>
  <c r="T15" i="12"/>
  <c r="U15" i="12"/>
  <c r="V15" i="12"/>
  <c r="W15" i="12"/>
  <c r="X15" i="12"/>
  <c r="Y15" i="12"/>
  <c r="Z15" i="12"/>
  <c r="AA15" i="12"/>
  <c r="AB15" i="12"/>
  <c r="C17" i="12"/>
  <c r="D17" i="12"/>
  <c r="E17" i="12"/>
  <c r="F17" i="12"/>
  <c r="G17" i="12"/>
  <c r="H17" i="12"/>
  <c r="I17" i="12"/>
  <c r="J17" i="12"/>
  <c r="K17" i="12"/>
  <c r="L17" i="12"/>
  <c r="M17" i="12"/>
  <c r="N17" i="12"/>
  <c r="O17" i="12"/>
  <c r="P17" i="12"/>
  <c r="Q17" i="12"/>
  <c r="R17" i="12"/>
  <c r="S17" i="12"/>
  <c r="T17" i="12"/>
  <c r="U17" i="12"/>
  <c r="V17" i="12"/>
  <c r="W17" i="12"/>
  <c r="X17" i="12"/>
  <c r="Y17" i="12"/>
  <c r="Z17" i="12"/>
  <c r="AA17" i="12"/>
  <c r="AB17" i="12"/>
  <c r="C18" i="12"/>
  <c r="D18" i="12"/>
  <c r="E18" i="12"/>
  <c r="F18" i="12"/>
  <c r="G18" i="12"/>
  <c r="H18" i="12"/>
  <c r="I18" i="12"/>
  <c r="J18" i="12"/>
  <c r="K18" i="12"/>
  <c r="L18" i="12"/>
  <c r="M18" i="12"/>
  <c r="N18" i="12"/>
  <c r="O18" i="12"/>
  <c r="P18" i="12"/>
  <c r="Q18" i="12"/>
  <c r="R18" i="12"/>
  <c r="S18" i="12"/>
  <c r="T18" i="12"/>
  <c r="U18" i="12"/>
  <c r="V18" i="12"/>
  <c r="W18" i="12"/>
  <c r="X18" i="12"/>
  <c r="Y18" i="12"/>
  <c r="Z18" i="12"/>
  <c r="AA18" i="12"/>
  <c r="AB18" i="12"/>
  <c r="C19" i="12"/>
  <c r="D19" i="12"/>
  <c r="E19" i="12"/>
  <c r="F19" i="12"/>
  <c r="G19" i="12"/>
  <c r="H19" i="12"/>
  <c r="I19" i="12"/>
  <c r="J19" i="12"/>
  <c r="K19" i="12"/>
  <c r="L19" i="12"/>
  <c r="M19" i="12"/>
  <c r="N19" i="12"/>
  <c r="O19" i="12"/>
  <c r="P19" i="12"/>
  <c r="Q19" i="12"/>
  <c r="R19" i="12"/>
  <c r="S19" i="12"/>
  <c r="T19" i="12"/>
  <c r="U19" i="12"/>
  <c r="V19" i="12"/>
  <c r="W19" i="12"/>
  <c r="X19" i="12"/>
  <c r="Y19" i="12"/>
  <c r="Z19" i="12"/>
  <c r="AA19" i="12"/>
  <c r="AB19" i="12"/>
  <c r="C20" i="12"/>
  <c r="D20" i="12"/>
  <c r="E20" i="12"/>
  <c r="F20" i="12"/>
  <c r="G20" i="12"/>
  <c r="H20" i="12"/>
  <c r="I20" i="12"/>
  <c r="J20" i="12"/>
  <c r="K20" i="12"/>
  <c r="L20" i="12"/>
  <c r="M20" i="12"/>
  <c r="N20" i="12"/>
  <c r="O20" i="12"/>
  <c r="P20" i="12"/>
  <c r="Q20" i="12"/>
  <c r="R20" i="12"/>
  <c r="S20" i="12"/>
  <c r="T20" i="12"/>
  <c r="U20" i="12"/>
  <c r="V20" i="12"/>
  <c r="W20" i="12"/>
  <c r="X20" i="12"/>
  <c r="Y20" i="12"/>
  <c r="Z20" i="12"/>
  <c r="AA20" i="12"/>
  <c r="AB20" i="12"/>
  <c r="C21" i="12"/>
  <c r="D21" i="12"/>
  <c r="E21" i="12"/>
  <c r="F21" i="12"/>
  <c r="G21" i="12"/>
  <c r="H21" i="12"/>
  <c r="I21" i="12"/>
  <c r="J21" i="12"/>
  <c r="K21" i="12"/>
  <c r="L21" i="12"/>
  <c r="M21" i="12"/>
  <c r="N21" i="12"/>
  <c r="O21" i="12"/>
  <c r="P21" i="12"/>
  <c r="Q21" i="12"/>
  <c r="R21" i="12"/>
  <c r="S21" i="12"/>
  <c r="T21" i="12"/>
  <c r="U21" i="12"/>
  <c r="V21" i="12"/>
  <c r="W21" i="12"/>
  <c r="X21" i="12"/>
  <c r="Y21" i="12"/>
  <c r="Z21" i="12"/>
  <c r="AA21" i="12"/>
  <c r="AB21" i="12"/>
  <c r="C22" i="12"/>
  <c r="D22" i="12"/>
  <c r="E22" i="12"/>
  <c r="F22" i="12"/>
  <c r="G22" i="12"/>
  <c r="H22" i="12"/>
  <c r="I22" i="12"/>
  <c r="J22" i="12"/>
  <c r="K22" i="12"/>
  <c r="L22" i="12"/>
  <c r="M22" i="12"/>
  <c r="N22" i="12"/>
  <c r="O22" i="12"/>
  <c r="P22" i="12"/>
  <c r="Q22" i="12"/>
  <c r="R22" i="12"/>
  <c r="S22" i="12"/>
  <c r="T22" i="12"/>
  <c r="U22" i="12"/>
  <c r="V22" i="12"/>
  <c r="W22" i="12"/>
  <c r="X22" i="12"/>
  <c r="Y22" i="12"/>
  <c r="Z22" i="12"/>
  <c r="AA22" i="12"/>
  <c r="AB22" i="12"/>
  <c r="B14" i="12"/>
  <c r="B13" i="12"/>
  <c r="B12" i="12"/>
  <c r="B11" i="12"/>
  <c r="B10" i="12"/>
  <c r="B4" i="12"/>
  <c r="B3" i="12"/>
  <c r="C4" i="10"/>
  <c r="D4" i="10"/>
  <c r="E4" i="10"/>
  <c r="F4" i="10"/>
  <c r="G4" i="10"/>
  <c r="H4" i="10"/>
  <c r="I4" i="10"/>
  <c r="J4" i="10"/>
  <c r="K4" i="10"/>
  <c r="L4" i="10"/>
  <c r="M4" i="10"/>
  <c r="N4" i="10"/>
  <c r="O4" i="10"/>
  <c r="P4" i="10"/>
  <c r="Q4" i="10"/>
  <c r="R4" i="10"/>
  <c r="S4" i="10"/>
  <c r="T4" i="10"/>
  <c r="U4" i="10"/>
  <c r="V4" i="10"/>
  <c r="W4" i="10"/>
  <c r="X4" i="10"/>
  <c r="Y4" i="10"/>
  <c r="Z4" i="10"/>
  <c r="AA4" i="10"/>
  <c r="AC4" i="10"/>
  <c r="C5" i="10"/>
  <c r="D5" i="10"/>
  <c r="E5" i="10"/>
  <c r="F5" i="10"/>
  <c r="G5" i="10"/>
  <c r="H5" i="10"/>
  <c r="I5" i="10"/>
  <c r="J5" i="10"/>
  <c r="K5" i="10"/>
  <c r="L5" i="10"/>
  <c r="M5" i="10"/>
  <c r="N5" i="10"/>
  <c r="O5" i="10"/>
  <c r="P5" i="10"/>
  <c r="Q5" i="10"/>
  <c r="R5" i="10"/>
  <c r="S5" i="10"/>
  <c r="T5" i="10"/>
  <c r="U5" i="10"/>
  <c r="V5" i="10"/>
  <c r="W5" i="10"/>
  <c r="X5" i="10"/>
  <c r="Y5" i="10"/>
  <c r="Z5" i="10"/>
  <c r="AA5" i="10"/>
  <c r="AC5" i="10"/>
  <c r="C8" i="10"/>
  <c r="D8" i="10"/>
  <c r="E8" i="10"/>
  <c r="F8" i="10"/>
  <c r="G8" i="10"/>
  <c r="H8" i="10"/>
  <c r="I8" i="10"/>
  <c r="J8" i="10"/>
  <c r="K8" i="10"/>
  <c r="L8" i="10"/>
  <c r="M8" i="10"/>
  <c r="N8" i="10"/>
  <c r="O8" i="10"/>
  <c r="P8" i="10"/>
  <c r="Q8" i="10"/>
  <c r="R8" i="10"/>
  <c r="S8" i="10"/>
  <c r="T8" i="10"/>
  <c r="U8" i="10"/>
  <c r="V8" i="10"/>
  <c r="W8" i="10"/>
  <c r="X8" i="10"/>
  <c r="Y8" i="10"/>
  <c r="Z8" i="10"/>
  <c r="AA8" i="10"/>
  <c r="AC8" i="10"/>
  <c r="B8" i="10"/>
  <c r="B5" i="10"/>
  <c r="B4" i="10"/>
  <c r="A2" i="15"/>
  <c r="B2" i="13"/>
  <c r="A76" i="1" l="1"/>
  <c r="B18" i="12"/>
  <c r="B19" i="12"/>
  <c r="B10" i="11"/>
  <c r="B11" i="11"/>
  <c r="B12" i="11"/>
  <c r="B13" i="11"/>
  <c r="B14" i="11"/>
  <c r="B18" i="11"/>
  <c r="B19" i="11"/>
  <c r="B22" i="12"/>
  <c r="B22" i="11"/>
  <c r="B5" i="12" l="1"/>
  <c r="B9" i="12"/>
  <c r="B17" i="12"/>
  <c r="B20" i="12"/>
  <c r="B21" i="12"/>
  <c r="B5" i="11"/>
  <c r="B9" i="11"/>
  <c r="B17" i="11"/>
  <c r="B20" i="11"/>
  <c r="B21" i="11"/>
  <c r="B15" i="12" l="1"/>
  <c r="B2" i="11"/>
  <c r="B15" i="11"/>
  <c r="B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0000000-0006-0000-0200-000001000000}">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00000000-0006-0000-0200-000002000000}">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00000000-0006-0000-0200-000003000000}">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00000000-0006-0000-0200-000004000000}">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00000000-0006-0000-0200-000005000000}">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00000000-0006-0000-0200-000006000000}">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00000000-0006-0000-0200-000007000000}">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00000000-0006-0000-0200-000008000000}">
      <text>
        <r>
          <rPr>
            <sz val="9"/>
            <color indexed="81"/>
            <rFont val="Tahoma"/>
            <family val="2"/>
          </rPr>
          <t>For algae-based renewable diesel only</t>
        </r>
      </text>
    </comment>
    <comment ref="A63" authorId="3" shapeId="0" xr:uid="{00000000-0006-0000-0200-000009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00000000-0006-0000-0200-00000A000000}">
      <text>
        <r>
          <rPr>
            <b/>
            <sz val="10"/>
            <color indexed="81"/>
            <rFont val="Tahoma"/>
            <family val="2"/>
          </rPr>
          <t>Btu per (short ton, as received)</t>
        </r>
        <r>
          <rPr>
            <sz val="10"/>
            <color indexed="81"/>
            <rFont val="Tahoma"/>
            <family val="2"/>
          </rPr>
          <t xml:space="preserve">
</t>
        </r>
      </text>
    </comment>
    <comment ref="A66" authorId="0" shapeId="0" xr:uid="{00000000-0006-0000-0200-00000B000000}">
      <text>
        <r>
          <rPr>
            <sz val="8"/>
            <color indexed="81"/>
            <rFont val="Tahoma"/>
            <family val="2"/>
          </rPr>
          <t xml:space="preserve">As feedstock for coal-based H2 and FTD production pathways.
</t>
        </r>
      </text>
    </comment>
    <comment ref="B66" authorId="4" shapeId="0" xr:uid="{00000000-0006-0000-0200-00000C000000}">
      <text>
        <r>
          <rPr>
            <b/>
            <sz val="10"/>
            <color indexed="81"/>
            <rFont val="Tahoma"/>
            <family val="2"/>
          </rPr>
          <t>Btu per (short ton, as received)
Moisture Content: 4.5% wt.</t>
        </r>
        <r>
          <rPr>
            <sz val="10"/>
            <color indexed="81"/>
            <rFont val="Tahoma"/>
            <family val="2"/>
          </rPr>
          <t xml:space="preserve">
</t>
        </r>
      </text>
    </comment>
    <comment ref="D66" authorId="3" shapeId="0" xr:uid="{00000000-0006-0000-0200-00000D000000}">
      <text>
        <r>
          <rPr>
            <sz val="9"/>
            <color indexed="81"/>
            <rFont val="Tahoma"/>
            <family val="2"/>
          </rPr>
          <t>Based on EIA-423</t>
        </r>
      </text>
    </comment>
    <comment ref="F66" authorId="3" shapeId="0" xr:uid="{00000000-0006-0000-0200-00000E000000}">
      <text>
        <r>
          <rPr>
            <sz val="9"/>
            <color indexed="81"/>
            <rFont val="Tahoma"/>
            <family val="2"/>
          </rPr>
          <t>Calculated from the USGS database (2006)</t>
        </r>
      </text>
    </comment>
    <comment ref="G66" authorId="3" shapeId="0" xr:uid="{00000000-0006-0000-0200-00000F000000}">
      <text>
        <r>
          <rPr>
            <sz val="9"/>
            <color indexed="81"/>
            <rFont val="Tahoma"/>
            <family val="2"/>
          </rPr>
          <t>Based on EIA-423</t>
        </r>
      </text>
    </comment>
    <comment ref="I66" authorId="3" shapeId="0" xr:uid="{00000000-0006-0000-0200-000010000000}">
      <text>
        <r>
          <rPr>
            <sz val="9"/>
            <color indexed="81"/>
            <rFont val="Tahoma"/>
            <family val="2"/>
          </rPr>
          <t>Calculated from the USGS database (2006)</t>
        </r>
      </text>
    </comment>
    <comment ref="B67" authorId="4" shapeId="0" xr:uid="{00000000-0006-0000-0200-000011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00000000-0006-0000-0200-000012000000}">
      <text>
        <r>
          <rPr>
            <sz val="9"/>
            <color indexed="81"/>
            <rFont val="Tahoma"/>
            <family val="2"/>
          </rPr>
          <t>Based on EIA-423</t>
        </r>
      </text>
    </comment>
    <comment ref="F67" authorId="3" shapeId="0" xr:uid="{00000000-0006-0000-0200-000013000000}">
      <text>
        <r>
          <rPr>
            <sz val="9"/>
            <color indexed="81"/>
            <rFont val="Tahoma"/>
            <family val="2"/>
          </rPr>
          <t>Calculated from the USGS database (2006)</t>
        </r>
      </text>
    </comment>
    <comment ref="G67" authorId="3" shapeId="0" xr:uid="{00000000-0006-0000-0200-000014000000}">
      <text>
        <r>
          <rPr>
            <sz val="9"/>
            <color indexed="81"/>
            <rFont val="Tahoma"/>
            <family val="2"/>
          </rPr>
          <t>Based on EIA-423</t>
        </r>
      </text>
    </comment>
    <comment ref="I67" authorId="3" shapeId="0" xr:uid="{00000000-0006-0000-0200-000015000000}">
      <text>
        <r>
          <rPr>
            <sz val="9"/>
            <color indexed="81"/>
            <rFont val="Tahoma"/>
            <family val="2"/>
          </rPr>
          <t>Calculated from the USGS database (2006)</t>
        </r>
      </text>
    </comment>
    <comment ref="B68" authorId="4" shapeId="0" xr:uid="{00000000-0006-0000-0200-000016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00000000-0006-0000-0200-000017000000}">
      <text>
        <r>
          <rPr>
            <sz val="9"/>
            <color indexed="81"/>
            <rFont val="Tahoma"/>
            <family val="2"/>
          </rPr>
          <t>Based on EIA-423</t>
        </r>
      </text>
    </comment>
    <comment ref="F68" authorId="3" shapeId="0" xr:uid="{00000000-0006-0000-0200-000018000000}">
      <text>
        <r>
          <rPr>
            <sz val="9"/>
            <color indexed="81"/>
            <rFont val="Tahoma"/>
            <family val="2"/>
          </rPr>
          <t>Calculated from the USGS database (2006)</t>
        </r>
      </text>
    </comment>
    <comment ref="G68" authorId="3" shapeId="0" xr:uid="{00000000-0006-0000-0200-000019000000}">
      <text>
        <r>
          <rPr>
            <sz val="9"/>
            <color indexed="81"/>
            <rFont val="Tahoma"/>
            <family val="2"/>
          </rPr>
          <t>Based on EIA-423</t>
        </r>
      </text>
    </comment>
    <comment ref="I68" authorId="3" shapeId="0" xr:uid="{00000000-0006-0000-0200-00001A000000}">
      <text>
        <r>
          <rPr>
            <sz val="9"/>
            <color indexed="81"/>
            <rFont val="Tahoma"/>
            <family val="2"/>
          </rPr>
          <t>Calculated from the USGS database (2006)</t>
        </r>
      </text>
    </comment>
    <comment ref="B69" authorId="4" shapeId="0" xr:uid="{00000000-0006-0000-0200-00001B000000}">
      <text>
        <r>
          <rPr>
            <b/>
            <sz val="10"/>
            <color indexed="81"/>
            <rFont val="Tahoma"/>
            <family val="2"/>
          </rPr>
          <t>Btu per (short ton, as received)</t>
        </r>
        <r>
          <rPr>
            <sz val="10"/>
            <color indexed="81"/>
            <rFont val="Tahoma"/>
            <family val="2"/>
          </rPr>
          <t xml:space="preserve">
</t>
        </r>
      </text>
    </comment>
    <comment ref="D69" authorId="3" shapeId="0" xr:uid="{00000000-0006-0000-0200-00001C000000}">
      <text>
        <r>
          <rPr>
            <sz val="9"/>
            <color indexed="81"/>
            <rFont val="Tahoma"/>
            <family val="2"/>
          </rPr>
          <t>Assumed to be the same as bituminous coal</t>
        </r>
      </text>
    </comment>
    <comment ref="F69" authorId="3" shapeId="0" xr:uid="{00000000-0006-0000-0200-00001D000000}">
      <text>
        <r>
          <rPr>
            <sz val="9"/>
            <color indexed="81"/>
            <rFont val="Tahoma"/>
            <family val="2"/>
          </rPr>
          <t>Based on EIA-423</t>
        </r>
      </text>
    </comment>
    <comment ref="G69" authorId="3" shapeId="0" xr:uid="{00000000-0006-0000-0200-00001E000000}">
      <text>
        <r>
          <rPr>
            <sz val="9"/>
            <color indexed="81"/>
            <rFont val="Tahoma"/>
            <family val="2"/>
          </rPr>
          <t>Based on EIA-423</t>
        </r>
      </text>
    </comment>
    <comment ref="I69" authorId="3" shapeId="0" xr:uid="{00000000-0006-0000-0200-00001F000000}">
      <text>
        <r>
          <rPr>
            <sz val="9"/>
            <color indexed="81"/>
            <rFont val="Tahoma"/>
            <family val="2"/>
          </rPr>
          <t>Assumed to be the same as bituminous coal</t>
        </r>
      </text>
    </comment>
    <comment ref="B70" authorId="4" shapeId="0" xr:uid="{00000000-0006-0000-0200-000020000000}">
      <text>
        <r>
          <rPr>
            <b/>
            <sz val="10"/>
            <color indexed="81"/>
            <rFont val="Tahoma"/>
            <family val="2"/>
          </rPr>
          <t>Btu per (short ton, as received)</t>
        </r>
        <r>
          <rPr>
            <sz val="10"/>
            <color indexed="81"/>
            <rFont val="Tahoma"/>
            <family val="2"/>
          </rPr>
          <t xml:space="preserve">
</t>
        </r>
      </text>
    </comment>
    <comment ref="D70" authorId="3" shapeId="0" xr:uid="{00000000-0006-0000-0200-000021000000}">
      <text>
        <r>
          <rPr>
            <sz val="9"/>
            <color indexed="81"/>
            <rFont val="Tahoma"/>
            <family val="2"/>
          </rPr>
          <t>Based on EIA-423</t>
        </r>
      </text>
    </comment>
    <comment ref="F70" authorId="3" shapeId="0" xr:uid="{00000000-0006-0000-0200-000022000000}">
      <text>
        <r>
          <rPr>
            <sz val="9"/>
            <color indexed="81"/>
            <rFont val="Tahoma"/>
            <family val="2"/>
          </rPr>
          <t>Based on EIA-423</t>
        </r>
      </text>
    </comment>
    <comment ref="G70" authorId="3" shapeId="0" xr:uid="{00000000-0006-0000-0200-000023000000}">
      <text>
        <r>
          <rPr>
            <sz val="9"/>
            <color indexed="81"/>
            <rFont val="Tahoma"/>
            <family val="2"/>
          </rPr>
          <t>Assumed to be the same as lignite coal</t>
        </r>
      </text>
    </comment>
    <comment ref="I70" authorId="3" shapeId="0" xr:uid="{00000000-0006-0000-0200-000024000000}">
      <text>
        <r>
          <rPr>
            <sz val="9"/>
            <color indexed="81"/>
            <rFont val="Tahoma"/>
            <family val="2"/>
          </rPr>
          <t>Assumed to be the same as lignite coal</t>
        </r>
      </text>
    </comment>
    <comment ref="B71" authorId="4" shapeId="0" xr:uid="{00000000-0006-0000-0200-000025000000}">
      <text>
        <r>
          <rPr>
            <b/>
            <sz val="10"/>
            <color indexed="81"/>
            <rFont val="Tahoma"/>
            <family val="2"/>
          </rPr>
          <t>Btu per (short ton, as received)</t>
        </r>
        <r>
          <rPr>
            <sz val="10"/>
            <color indexed="81"/>
            <rFont val="Tahoma"/>
            <family val="2"/>
          </rPr>
          <t xml:space="preserve">
</t>
        </r>
      </text>
    </comment>
    <comment ref="D71" authorId="3" shapeId="0" xr:uid="{00000000-0006-0000-0200-000026000000}">
      <text>
        <r>
          <rPr>
            <sz val="9"/>
            <color indexed="81"/>
            <rFont val="Tahoma"/>
            <family val="2"/>
          </rPr>
          <t>Based on EIA-423</t>
        </r>
      </text>
    </comment>
    <comment ref="F71" authorId="3" shapeId="0" xr:uid="{00000000-0006-0000-0200-000027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00000000-0006-0000-0200-000028000000}">
      <text>
        <r>
          <rPr>
            <sz val="9"/>
            <color indexed="81"/>
            <rFont val="Tahoma"/>
            <family val="2"/>
          </rPr>
          <t>Based on EIA-423</t>
        </r>
      </text>
    </comment>
    <comment ref="I71" authorId="3" shapeId="0" xr:uid="{00000000-0006-0000-0200-000029000000}">
      <text>
        <r>
          <rPr>
            <sz val="9"/>
            <color indexed="81"/>
            <rFont val="Tahoma"/>
            <family val="2"/>
          </rPr>
          <t>Based on the ratio in the previous GREET</t>
        </r>
      </text>
    </comment>
    <comment ref="B72" authorId="4" shapeId="0" xr:uid="{00000000-0006-0000-0200-00002A000000}">
      <text>
        <r>
          <rPr>
            <b/>
            <sz val="10"/>
            <color indexed="81"/>
            <rFont val="Tahoma"/>
            <family val="2"/>
          </rPr>
          <t>Btu per (short ton, as received)</t>
        </r>
        <r>
          <rPr>
            <sz val="10"/>
            <color indexed="81"/>
            <rFont val="Tahoma"/>
            <family val="2"/>
          </rPr>
          <t xml:space="preserve">
</t>
        </r>
      </text>
    </comment>
    <comment ref="D72" authorId="3" shapeId="0" xr:uid="{00000000-0006-0000-0200-00002B000000}">
      <text>
        <r>
          <rPr>
            <sz val="9"/>
            <color indexed="81"/>
            <rFont val="Tahoma"/>
            <family val="2"/>
          </rPr>
          <t>Based on EIA-423</t>
        </r>
      </text>
    </comment>
    <comment ref="F72" authorId="3" shapeId="0" xr:uid="{00000000-0006-0000-0200-00002C000000}">
      <text>
        <r>
          <rPr>
            <sz val="9"/>
            <color indexed="81"/>
            <rFont val="Tahoma"/>
            <family val="2"/>
          </rPr>
          <t>Based on EIA-423</t>
        </r>
      </text>
    </comment>
    <comment ref="G72" authorId="3" shapeId="0" xr:uid="{00000000-0006-0000-0200-00002D000000}">
      <text>
        <r>
          <rPr>
            <sz val="9"/>
            <color indexed="81"/>
            <rFont val="Tahoma"/>
            <family val="2"/>
          </rPr>
          <t>Assumed to be the same as pet coke</t>
        </r>
      </text>
    </comment>
    <comment ref="I72" authorId="3" shapeId="0" xr:uid="{00000000-0006-0000-0200-00002E000000}">
      <text>
        <r>
          <rPr>
            <sz val="9"/>
            <color indexed="81"/>
            <rFont val="Tahoma"/>
            <family val="2"/>
          </rPr>
          <t>Assumed to be the same as pet coke</t>
        </r>
      </text>
    </comment>
    <comment ref="B73" authorId="4" shapeId="0" xr:uid="{00000000-0006-0000-0200-00002F000000}">
      <text>
        <r>
          <rPr>
            <b/>
            <sz val="10"/>
            <color indexed="81"/>
            <rFont val="Tahoma"/>
            <family val="2"/>
          </rPr>
          <t>Btu per (short ton, as received)</t>
        </r>
        <r>
          <rPr>
            <sz val="10"/>
            <color indexed="81"/>
            <rFont val="Tahoma"/>
            <family val="2"/>
          </rPr>
          <t xml:space="preserve">
</t>
        </r>
      </text>
    </comment>
    <comment ref="B74" authorId="4" shapeId="0" xr:uid="{00000000-0006-0000-0200-000030000000}">
      <text>
        <r>
          <rPr>
            <b/>
            <sz val="10"/>
            <color indexed="81"/>
            <rFont val="Tahoma"/>
            <family val="2"/>
          </rPr>
          <t>Btu per (short ton, dry matter)</t>
        </r>
        <r>
          <rPr>
            <sz val="10"/>
            <color indexed="81"/>
            <rFont val="Tahoma"/>
            <family val="2"/>
          </rPr>
          <t xml:space="preserve">
</t>
        </r>
      </text>
    </comment>
    <comment ref="B76" authorId="4" shapeId="0" xr:uid="{00000000-0006-0000-0200-000031000000}">
      <text>
        <r>
          <rPr>
            <b/>
            <sz val="10"/>
            <color indexed="81"/>
            <rFont val="Tahoma"/>
            <family val="2"/>
          </rPr>
          <t>Btu per (short ton, dry matter)</t>
        </r>
        <r>
          <rPr>
            <sz val="10"/>
            <color indexed="81"/>
            <rFont val="Tahoma"/>
            <family val="2"/>
          </rPr>
          <t xml:space="preserve">
</t>
        </r>
      </text>
    </comment>
    <comment ref="B77" authorId="4" shapeId="0" xr:uid="{00000000-0006-0000-0200-000032000000}">
      <text>
        <r>
          <rPr>
            <b/>
            <sz val="10"/>
            <color indexed="81"/>
            <rFont val="Tahoma"/>
            <family val="2"/>
          </rPr>
          <t>Btu per (short ton, dry matter)</t>
        </r>
        <r>
          <rPr>
            <sz val="10"/>
            <color indexed="81"/>
            <rFont val="Tahoma"/>
            <family val="2"/>
          </rPr>
          <t xml:space="preserve">
</t>
        </r>
      </text>
    </comment>
    <comment ref="B78" authorId="4" shapeId="0" xr:uid="{00000000-0006-0000-0200-000033000000}">
      <text>
        <r>
          <rPr>
            <b/>
            <sz val="10"/>
            <color indexed="81"/>
            <rFont val="Tahoma"/>
            <family val="2"/>
          </rPr>
          <t>Btu per (short ton, dry matter)</t>
        </r>
        <r>
          <rPr>
            <sz val="10"/>
            <color indexed="81"/>
            <rFont val="Tahoma"/>
            <family val="2"/>
          </rPr>
          <t xml:space="preserve">
</t>
        </r>
      </text>
    </comment>
    <comment ref="B79" authorId="4" shapeId="0" xr:uid="{00000000-0006-0000-0200-000034000000}">
      <text>
        <r>
          <rPr>
            <b/>
            <sz val="10"/>
            <color indexed="81"/>
            <rFont val="Tahoma"/>
            <family val="2"/>
          </rPr>
          <t>Btu per (short ton, dry matter)</t>
        </r>
        <r>
          <rPr>
            <sz val="10"/>
            <color indexed="81"/>
            <rFont val="Tahoma"/>
            <family val="2"/>
          </rPr>
          <t xml:space="preserve">
</t>
        </r>
      </text>
    </comment>
    <comment ref="B80" authorId="4" shapeId="0" xr:uid="{00000000-0006-0000-0200-000035000000}">
      <text>
        <r>
          <rPr>
            <b/>
            <sz val="10"/>
            <color indexed="81"/>
            <rFont val="Tahoma"/>
            <family val="2"/>
          </rPr>
          <t>Btu per (short ton, dry matter)</t>
        </r>
        <r>
          <rPr>
            <sz val="10"/>
            <color indexed="81"/>
            <rFont val="Tahoma"/>
            <family val="2"/>
          </rPr>
          <t xml:space="preserve">
</t>
        </r>
      </text>
    </comment>
    <comment ref="B81" authorId="4" shapeId="0" xr:uid="{00000000-0006-0000-0200-000036000000}">
      <text>
        <r>
          <rPr>
            <b/>
            <sz val="10"/>
            <color indexed="81"/>
            <rFont val="Tahoma"/>
            <family val="2"/>
          </rPr>
          <t>Btu per (short ton, dry matter)</t>
        </r>
        <r>
          <rPr>
            <sz val="10"/>
            <color indexed="81"/>
            <rFont val="Tahoma"/>
            <family val="2"/>
          </rPr>
          <t xml:space="preserve">
</t>
        </r>
      </text>
    </comment>
    <comment ref="B82" authorId="4" shapeId="0" xr:uid="{00000000-0006-0000-0200-000037000000}">
      <text>
        <r>
          <rPr>
            <b/>
            <sz val="10"/>
            <color indexed="81"/>
            <rFont val="Tahoma"/>
            <family val="2"/>
          </rPr>
          <t>Btu per (short ton, dry matter)</t>
        </r>
        <r>
          <rPr>
            <sz val="10"/>
            <color indexed="81"/>
            <rFont val="Tahoma"/>
            <family val="2"/>
          </rPr>
          <t xml:space="preserve">
</t>
        </r>
      </text>
    </comment>
    <comment ref="B83" authorId="4" shapeId="0" xr:uid="{00000000-0006-0000-0200-000038000000}">
      <text>
        <r>
          <rPr>
            <b/>
            <sz val="10"/>
            <color indexed="81"/>
            <rFont val="Tahoma"/>
            <family val="2"/>
          </rPr>
          <t>Btu per (short ton, as received)</t>
        </r>
        <r>
          <rPr>
            <sz val="10"/>
            <color indexed="81"/>
            <rFont val="Tahoma"/>
            <family val="2"/>
          </rPr>
          <t xml:space="preserve">
</t>
        </r>
      </text>
    </comment>
    <comment ref="B84" authorId="4" shapeId="0" xr:uid="{00000000-0006-0000-0200-000039000000}">
      <text>
        <r>
          <rPr>
            <b/>
            <sz val="10"/>
            <color indexed="81"/>
            <rFont val="Tahoma"/>
            <family val="2"/>
          </rPr>
          <t>Btu per (short ton, as received)</t>
        </r>
        <r>
          <rPr>
            <sz val="10"/>
            <color indexed="81"/>
            <rFont val="Tahoma"/>
            <family val="2"/>
          </rPr>
          <t xml:space="preserve">
</t>
        </r>
      </text>
    </comment>
    <comment ref="B85" authorId="4" shapeId="0" xr:uid="{00000000-0006-0000-0200-00003A000000}">
      <text>
        <r>
          <rPr>
            <b/>
            <sz val="10"/>
            <color indexed="81"/>
            <rFont val="Tahoma"/>
            <family val="2"/>
          </rPr>
          <t>Btu per (short ton, as received)</t>
        </r>
        <r>
          <rPr>
            <sz val="10"/>
            <color indexed="81"/>
            <rFont val="Tahoma"/>
            <family val="2"/>
          </rPr>
          <t xml:space="preserve">
</t>
        </r>
      </text>
    </comment>
    <comment ref="B86" authorId="4" shapeId="0" xr:uid="{00000000-0006-0000-0200-00003B000000}">
      <text>
        <r>
          <rPr>
            <b/>
            <sz val="10"/>
            <color indexed="81"/>
            <rFont val="Tahoma"/>
            <family val="2"/>
          </rPr>
          <t>Btu per (short ton, as received)</t>
        </r>
        <r>
          <rPr>
            <sz val="10"/>
            <color indexed="81"/>
            <rFont val="Tahoma"/>
            <family val="2"/>
          </rPr>
          <t xml:space="preserve">
</t>
        </r>
      </text>
    </comment>
    <comment ref="B87" authorId="4" shapeId="0" xr:uid="{00000000-0006-0000-0200-00003C000000}">
      <text>
        <r>
          <rPr>
            <b/>
            <sz val="10"/>
            <color indexed="81"/>
            <rFont val="Tahoma"/>
            <family val="2"/>
          </rPr>
          <t>Btu per (short ton, dry matter)</t>
        </r>
        <r>
          <rPr>
            <sz val="10"/>
            <color indexed="81"/>
            <rFont val="Tahoma"/>
            <family val="2"/>
          </rPr>
          <t xml:space="preserve">
</t>
        </r>
      </text>
    </comment>
    <comment ref="B88" authorId="4" shapeId="0" xr:uid="{00000000-0006-0000-0200-00003D000000}">
      <text>
        <r>
          <rPr>
            <b/>
            <sz val="10"/>
            <color indexed="81"/>
            <rFont val="Tahoma"/>
            <family val="2"/>
          </rPr>
          <t>Btu per (short ton, dry matter)</t>
        </r>
        <r>
          <rPr>
            <sz val="10"/>
            <color indexed="81"/>
            <rFont val="Tahoma"/>
            <family val="2"/>
          </rPr>
          <t xml:space="preserve">
</t>
        </r>
      </text>
    </comment>
    <comment ref="A90" authorId="0" shapeId="0" xr:uid="{00000000-0006-0000-0200-00003E000000}">
      <text>
        <r>
          <rPr>
            <sz val="8"/>
            <color indexed="81"/>
            <rFont val="Tahoma"/>
            <family val="2"/>
          </rPr>
          <t>Different global warming potential values can be inputted here and GREET then takes the new values for calculations automatically.</t>
        </r>
      </text>
    </comment>
  </commentList>
</comments>
</file>

<file path=xl/sharedStrings.xml><?xml version="1.0" encoding="utf-8"?>
<sst xmlns="http://schemas.openxmlformats.org/spreadsheetml/2006/main" count="501" uniqueCount="432">
  <si>
    <t xml:space="preserve">  Asphalt and Road Oil</t>
  </si>
  <si>
    <t xml:space="preserve">  Aviation Gasoline</t>
  </si>
  <si>
    <t xml:space="preserve">  Biodiesel</t>
  </si>
  <si>
    <t xml:space="preserve">  Distillate Fuel Oil</t>
  </si>
  <si>
    <t xml:space="preserve">    Residential</t>
  </si>
  <si>
    <t xml:space="preserve">    Commercial</t>
  </si>
  <si>
    <t xml:space="preserve">    Transportation</t>
  </si>
  <si>
    <t xml:space="preserve">    Industrial</t>
  </si>
  <si>
    <t xml:space="preserve">    Electric Power</t>
  </si>
  <si>
    <t xml:space="preserve">      Total Distillate</t>
  </si>
  <si>
    <t xml:space="preserve">  Distillate Fuel Oil - Low Sulfur Diesel</t>
  </si>
  <si>
    <t xml:space="preserve">  Distillate Fuel Oil - Ultra Low Sulfur Diesel</t>
  </si>
  <si>
    <t xml:space="preserve">  Jet Fuel - Kerosene</t>
  </si>
  <si>
    <t xml:space="preserve">  Lubricants</t>
  </si>
  <si>
    <t xml:space="preserve">  Motor Gasoline Average</t>
  </si>
  <si>
    <t xml:space="preserve">     Reformulated Motor Gasoline</t>
  </si>
  <si>
    <t xml:space="preserve">  Natural Gasoline</t>
  </si>
  <si>
    <t xml:space="preserve">  Other Petroleum</t>
  </si>
  <si>
    <t xml:space="preserve">  Petrochemical Feedstocks</t>
  </si>
  <si>
    <t xml:space="preserve">  Petroleum Coke</t>
  </si>
  <si>
    <t xml:space="preserve">  Residual Fuel</t>
  </si>
  <si>
    <t xml:space="preserve">  Still Gas</t>
  </si>
  <si>
    <t xml:space="preserve">  Unfinished Oils</t>
  </si>
  <si>
    <t xml:space="preserve">  Total Petroleum Consumption</t>
  </si>
  <si>
    <t xml:space="preserve">  Petroleum Product Imports</t>
  </si>
  <si>
    <t xml:space="preserve">  Petroleum Product Exports</t>
  </si>
  <si>
    <t xml:space="preserve">  Natural Gas Plant Liquids</t>
  </si>
  <si>
    <t>Natural Gas (thousand Btu per cubic foot)</t>
  </si>
  <si>
    <t xml:space="preserve">  Consumption</t>
  </si>
  <si>
    <t xml:space="preserve">    End-use Sector</t>
  </si>
  <si>
    <t xml:space="preserve">  Production</t>
  </si>
  <si>
    <t xml:space="preserve">  Imports</t>
  </si>
  <si>
    <t xml:space="preserve">  Exports</t>
  </si>
  <si>
    <t xml:space="preserve">  Compressed/Liquefied Natural Gas</t>
  </si>
  <si>
    <t xml:space="preserve">    East of the Mississippi</t>
  </si>
  <si>
    <t xml:space="preserve">    West of the Mississippi</t>
  </si>
  <si>
    <t xml:space="preserve">    Coking</t>
  </si>
  <si>
    <t xml:space="preserve">  Waste Coal</t>
  </si>
  <si>
    <t>Source:</t>
  </si>
  <si>
    <t>Energy Information Administration</t>
  </si>
  <si>
    <t>Petroleum and Other Liquids</t>
  </si>
  <si>
    <t xml:space="preserve">  Crude Oil</t>
  </si>
  <si>
    <t xml:space="preserve">    Production</t>
  </si>
  <si>
    <t xml:space="preserve">    Imports</t>
  </si>
  <si>
    <t xml:space="preserve">    Exports</t>
  </si>
  <si>
    <t xml:space="preserve">    Electric Power Sector 2/</t>
  </si>
  <si>
    <t xml:space="preserve">    Commercial and Institutional</t>
  </si>
  <si>
    <t xml:space="preserve">    Industrial 3/</t>
  </si>
  <si>
    <t xml:space="preserve">    Electric Power 2/</t>
  </si>
  <si>
    <t>CNV000:da_Electricity</t>
  </si>
  <si>
    <t>CNV000:ca_WasteCoal</t>
  </si>
  <si>
    <t>CNV000:ca_Exports</t>
  </si>
  <si>
    <t>CNV000:ca_Imports</t>
  </si>
  <si>
    <t>CNV000:ca_ElectricPower</t>
  </si>
  <si>
    <t>CNV000:ca_Coking</t>
  </si>
  <si>
    <t>CNV000:ca_Industrial</t>
  </si>
  <si>
    <t>CNV000:ca_Residentialan</t>
  </si>
  <si>
    <t>CNV000:ca_Consumption</t>
  </si>
  <si>
    <t>CNV000:ca_WestoftheMiss</t>
  </si>
  <si>
    <t>CNV000:ca_EastoftheMiss</t>
  </si>
  <si>
    <t>CNV000:ca_Production</t>
  </si>
  <si>
    <t>CNV000:ba_CompressedNat</t>
  </si>
  <si>
    <t>CNV000:ba_Exports</t>
  </si>
  <si>
    <t>CNV000:ba_Imports</t>
  </si>
  <si>
    <t>CNV000:ba_Production</t>
  </si>
  <si>
    <t>CNV000:ba_Nonutility</t>
  </si>
  <si>
    <t>CNV000:ba_Utility</t>
  </si>
  <si>
    <t>CNV000:ba_Consumption</t>
  </si>
  <si>
    <t>CNV000:aa_NaturalGasPla</t>
  </si>
  <si>
    <t>CNV000:aa_CrudeOilExpor</t>
  </si>
  <si>
    <t>CNV000:aa_CrudeOilImpor</t>
  </si>
  <si>
    <t>CNV000:aa_CrudeOilProdu</t>
  </si>
  <si>
    <t>CNV000:aa_Exports</t>
  </si>
  <si>
    <t>CNV000:aa_Imports</t>
  </si>
  <si>
    <t>CNV000:aa_TotalPetroleu</t>
  </si>
  <si>
    <t>CNV000:aa_UnfinishOilIm</t>
  </si>
  <si>
    <t>CNV000:aa_StillGas</t>
  </si>
  <si>
    <t>CNV000:aa_ResidualFuel</t>
  </si>
  <si>
    <t>CNV000:aa_PetroleumCoke</t>
  </si>
  <si>
    <t>CNV000:aa_PetrochemFeed</t>
  </si>
  <si>
    <t>CNV000:aa_OtherPetroleu</t>
  </si>
  <si>
    <t>CNV000:aa_PentanesPlus</t>
  </si>
  <si>
    <t>CNV000:aa_ReforMotorGas</t>
  </si>
  <si>
    <t>CNV000:aa_TradMotorGas</t>
  </si>
  <si>
    <t>CNV000:aa_MotorGasoline</t>
  </si>
  <si>
    <t>CNV000:aa_Lubricants</t>
  </si>
  <si>
    <t>CNV000:aa_JetFuel-Keros</t>
  </si>
  <si>
    <t>CNV000:aa_E85</t>
  </si>
  <si>
    <t xml:space="preserve">  Ethanol including denaturant</t>
  </si>
  <si>
    <t>CNV000:aa_Ethanol</t>
  </si>
  <si>
    <t>CNV000:aa_DistUltraLow</t>
  </si>
  <si>
    <t>CNV000:aa_DistLowSulf</t>
  </si>
  <si>
    <t>CNV000:aa_TotalDistilla</t>
  </si>
  <si>
    <t>CNV000:aa_ElectricPower</t>
  </si>
  <si>
    <t>CNV000:aa_Industrial</t>
  </si>
  <si>
    <t>CNV000:aa_Transportatio</t>
  </si>
  <si>
    <t>CNV000:aa_Commercial</t>
  </si>
  <si>
    <t>CNV000:aa_Residential</t>
  </si>
  <si>
    <t>CNV000:aa_Distillate</t>
  </si>
  <si>
    <t>CNV000:ea_Biodiesel</t>
  </si>
  <si>
    <t>CNV000:aa_AviationGasol</t>
  </si>
  <si>
    <t>CNV000:aa_AsphaltandRoa</t>
  </si>
  <si>
    <t>Release Date</t>
  </si>
  <si>
    <t>Datekey</t>
  </si>
  <si>
    <t>Scenario</t>
  </si>
  <si>
    <t>Report</t>
  </si>
  <si>
    <t>Specifications of Fuels, Global Warming Potentials of Greenhouse Gases, and Carbon and Sulfur Ratios of Pollutants</t>
  </si>
  <si>
    <t>1) Specifications of Fuels</t>
  </si>
  <si>
    <t>Fuel</t>
  </si>
  <si>
    <t>Heating Value</t>
  </si>
  <si>
    <t>Density</t>
  </si>
  <si>
    <t>C ratio</t>
  </si>
  <si>
    <t>S ratio</t>
  </si>
  <si>
    <t>LHV</t>
  </si>
  <si>
    <t>HHV</t>
  </si>
  <si>
    <t>(% by wt)</t>
  </si>
  <si>
    <t>(ppm by wt)</t>
  </si>
  <si>
    <t>Actual ratio by wt</t>
  </si>
  <si>
    <t>LHV/HHV</t>
  </si>
  <si>
    <t>Use LHV or HHV in calculations?</t>
  </si>
  <si>
    <t>1 -- LHV; 2 -- HHV</t>
  </si>
  <si>
    <t>Liquid Fuels:</t>
  </si>
  <si>
    <t>Btu/gal</t>
  </si>
  <si>
    <t>grams/gal</t>
  </si>
  <si>
    <t>Crude oil</t>
  </si>
  <si>
    <t>Synthetic crude oil (SCO)</t>
  </si>
  <si>
    <t>Bitumen</t>
  </si>
  <si>
    <t>Dilbit (After Recovery)</t>
  </si>
  <si>
    <t>Dilbit (Before Recovery)</t>
  </si>
  <si>
    <t>Diluent</t>
  </si>
  <si>
    <t>Shale Oil (Bakken)</t>
  </si>
  <si>
    <t>Shale Oil (Eagle Ford)</t>
  </si>
  <si>
    <t>Gasoline blendstock</t>
  </si>
  <si>
    <t>Gasoline</t>
  </si>
  <si>
    <t>CA gasoline</t>
  </si>
  <si>
    <t>High Octane Fuel (E25)</t>
  </si>
  <si>
    <t>High Octane Fuel (E40)</t>
  </si>
  <si>
    <t>Diesel for non-road engines</t>
  </si>
  <si>
    <t>Low-sulfur diesel</t>
  </si>
  <si>
    <t>Petroleum naphtha</t>
  </si>
  <si>
    <t>Conventional Jet Fuel</t>
  </si>
  <si>
    <t>ULS Jet Fuel</t>
  </si>
  <si>
    <t>NG-based FT naphtha</t>
  </si>
  <si>
    <t>Residual oil</t>
  </si>
  <si>
    <t>Bunker fuel for ocean tanker</t>
  </si>
  <si>
    <t>Methanol</t>
  </si>
  <si>
    <t>Ethanol</t>
  </si>
  <si>
    <t>Butanol</t>
  </si>
  <si>
    <t>Acetone</t>
  </si>
  <si>
    <t>E-Diesel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</si>
  <si>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</si>
  <si>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</si>
  <si>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</si>
  <si>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</si>
  <si>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</si>
  <si>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</si>
  <si>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</si>
  <si>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</si>
  <si>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</si>
  <si>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Gasoline</t>
  </si>
  <si>
    <t>Renewable Gasoline (IDL)</t>
  </si>
  <si>
    <t xml:space="preserve">SPK (FT Jet Fuel/HRJ) </t>
  </si>
  <si>
    <t>Liquid hydrogen</t>
  </si>
  <si>
    <t>Methyl tertiary butyl ether (MTBE)</t>
  </si>
  <si>
    <t>Ethyl tertiary butyl ether (ETBE)</t>
  </si>
  <si>
    <t>Tertiary amyl methyl ether (TAME)</t>
  </si>
  <si>
    <t>Butane</t>
  </si>
  <si>
    <t>Isobutane</t>
  </si>
  <si>
    <t>Isobutylene</t>
  </si>
  <si>
    <t>Propane</t>
  </si>
  <si>
    <t>Natural gas liquids</t>
  </si>
  <si>
    <t>n-Hexane</t>
  </si>
  <si>
    <t>Still gas (in refineries)</t>
  </si>
  <si>
    <t>Gaseous Fuels (at 32F and 1atm):</t>
  </si>
  <si>
    <t>Btu/ft3</t>
  </si>
  <si>
    <t>gms/ft3</t>
  </si>
  <si>
    <t>Natural gas</t>
  </si>
  <si>
    <t>Pure Methane</t>
  </si>
  <si>
    <t>Gaseous hydrogen</t>
  </si>
  <si>
    <t>Carbon Dioxide</t>
  </si>
  <si>
    <t>Solid Fuels:</t>
  </si>
  <si>
    <t>Btu/ton</t>
  </si>
  <si>
    <t>Coal Mix for Electricity Generation</t>
  </si>
  <si>
    <t>Bituminous coal</t>
  </si>
  <si>
    <t>Subbituminous coal</t>
  </si>
  <si>
    <t>Lignite coal</t>
  </si>
  <si>
    <t>Synthetic coal</t>
  </si>
  <si>
    <t>Waste coal</t>
  </si>
  <si>
    <t>Pet Coke</t>
  </si>
  <si>
    <t>Tire Derived Fuel</t>
  </si>
  <si>
    <t>Coking coal</t>
  </si>
  <si>
    <t>Willow</t>
  </si>
  <si>
    <t>Poplar</t>
  </si>
  <si>
    <t>Switchgrass</t>
  </si>
  <si>
    <t>Miscanthus</t>
  </si>
  <si>
    <t>Corn stover</t>
  </si>
  <si>
    <t>Forest residue</t>
  </si>
  <si>
    <t>Yard trimming waste</t>
  </si>
  <si>
    <t>Sugarcane straw</t>
  </si>
  <si>
    <t>Sugarcane bagasse</t>
  </si>
  <si>
    <t>Bio-char</t>
  </si>
  <si>
    <t>Grain sorghum bagasse</t>
  </si>
  <si>
    <t>Sweet sorghum bagasse</t>
  </si>
  <si>
    <t>Forage sorghum bagasse</t>
  </si>
  <si>
    <t>Municipal solid waste (defined by EISA)</t>
  </si>
  <si>
    <t>Convertible municipal solid waste</t>
  </si>
  <si>
    <t>2) Global Warming Potentials of Greenhouse Gases: relative to CO2</t>
  </si>
  <si>
    <t>Metrics for Carbon Dioxide, Methane, Nitrous Oxide</t>
  </si>
  <si>
    <t>AR Edition/Type</t>
  </si>
  <si>
    <t>AR5/GWP</t>
  </si>
  <si>
    <t>AR5/GTP</t>
  </si>
  <si>
    <t>AR4/GWP</t>
  </si>
  <si>
    <t>AR3/GWP</t>
  </si>
  <si>
    <t>AR2/GWP</t>
  </si>
  <si>
    <t>AR1/GWP</t>
  </si>
  <si>
    <t>Time Horizon (YR)</t>
  </si>
  <si>
    <t>CO2</t>
  </si>
  <si>
    <t>CH4</t>
  </si>
  <si>
    <t>N2O</t>
  </si>
  <si>
    <t>Metrics for Near Term Climate Forcers</t>
  </si>
  <si>
    <t>Type</t>
  </si>
  <si>
    <t>None</t>
  </si>
  <si>
    <t>GWP</t>
  </si>
  <si>
    <t>GTP</t>
  </si>
  <si>
    <t>VOC</t>
  </si>
  <si>
    <t>CO</t>
  </si>
  <si>
    <t>NOx</t>
  </si>
  <si>
    <t>BC</t>
  </si>
  <si>
    <t>OC</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</si>
  <si>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</si>
  <si>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</si>
  <si>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</si>
  <si>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</si>
  <si>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</si>
  <si>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</si>
  <si>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</si>
  <si>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5-year period</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</si>
  <si>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</si>
  <si>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</si>
  <si>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</si>
  <si>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</si>
  <si>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</si>
  <si>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</si>
  <si>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</si>
  <si>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</si>
  <si>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</si>
  <si>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</si>
  <si>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</si>
  <si>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</si>
  <si>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</si>
  <si>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</si>
  <si>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g</t>
  </si>
  <si>
    <t>kg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</si>
  <si>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</si>
  <si>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</si>
  <si>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</si>
  <si>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</si>
  <si>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</si>
  <si>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</si>
  <si>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</si>
  <si>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</si>
  <si>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</si>
  <si>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</si>
  <si>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</si>
  <si>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</si>
  <si>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</si>
  <si>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</si>
  <si>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</si>
  <si>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</si>
  <si>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</si>
  <si>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</si>
  <si>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</si>
  <si>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</si>
  <si>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</si>
  <si>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</si>
  <si>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</si>
  <si>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</si>
  <si>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</si>
  <si>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</si>
  <si>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</si>
  <si>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kWh</t>
  </si>
  <si>
    <t>BTU</t>
  </si>
  <si>
    <t>mmBTU</t>
  </si>
  <si>
    <t>hph</t>
  </si>
  <si>
    <t>Calculation: LHV</t>
  </si>
  <si>
    <t>U.S. conventional diesel</t>
  </si>
  <si>
    <t>Argonne National Laboratory</t>
  </si>
  <si>
    <t>Tab "Fuel_Specs"</t>
  </si>
  <si>
    <t>https://greet.es.anl.gov/</t>
  </si>
  <si>
    <t>Notes</t>
  </si>
  <si>
    <t>EIA uses higher heating values of fuels in the Annual Energy Outlook, so we</t>
  </si>
  <si>
    <t>use the higher heating value (HHV) for lignite from the GREET1 model.</t>
  </si>
  <si>
    <t>Electricity</t>
  </si>
  <si>
    <t>Natural Gas</t>
  </si>
  <si>
    <t>Biofuel Gasoline</t>
  </si>
  <si>
    <t>Biofuel Diesel</t>
  </si>
  <si>
    <t>gallons per U.S. barrel</t>
  </si>
  <si>
    <t>BCF Vehicle Fuel Economy Unit Conversion Factors</t>
  </si>
  <si>
    <t>Relevant Conversion Factors</t>
  </si>
  <si>
    <t>In the U.S. model:</t>
  </si>
  <si>
    <t>Petroleum Gasoline (fuel economy units)</t>
  </si>
  <si>
    <t>Petroleum Diesel (fuel economy units)</t>
  </si>
  <si>
    <t>Jet Fuel (fuel economy units)</t>
  </si>
  <si>
    <t>BCF BTU per Small Fuel Output Unit</t>
  </si>
  <si>
    <t>BCF BTU per Large Fuel Output Unit</t>
  </si>
  <si>
    <t>hard coal</t>
  </si>
  <si>
    <t>natural gas</t>
  </si>
  <si>
    <t>biomass</t>
  </si>
  <si>
    <t>petroleum gasoline</t>
  </si>
  <si>
    <t>petroleum diesel</t>
  </si>
  <si>
    <t>biofuel gasoline</t>
  </si>
  <si>
    <t>biofuel diesel</t>
  </si>
  <si>
    <t>lignite</t>
  </si>
  <si>
    <t>Large Fuel Output Units</t>
  </si>
  <si>
    <t>millions of short tons</t>
  </si>
  <si>
    <t>trillion cubic feet</t>
  </si>
  <si>
    <t>Fuel Economy Output Unit</t>
  </si>
  <si>
    <t>miles per gallon</t>
  </si>
  <si>
    <t>Small Fuel Output Units</t>
  </si>
  <si>
    <t>short tons</t>
  </si>
  <si>
    <t>thousand cubic feet</t>
  </si>
  <si>
    <t>BTU/MWh (pure unit conversion, not a heat rate)</t>
  </si>
  <si>
    <t>nuclear (not used)</t>
  </si>
  <si>
    <t>hydro (not used)</t>
  </si>
  <si>
    <t>wind (not used)</t>
  </si>
  <si>
    <t>solar (not used)</t>
  </si>
  <si>
    <t>geothermal (not used)</t>
  </si>
  <si>
    <t>hard coal, natural gas, petroleum fuels, liquid biofuels</t>
  </si>
  <si>
    <t>electricity (not used)</t>
  </si>
  <si>
    <t>heat (not used)</t>
  </si>
  <si>
    <t>gallons</t>
  </si>
  <si>
    <t>electricity, district heat</t>
  </si>
  <si>
    <t>TWh</t>
  </si>
  <si>
    <t>MWh</t>
  </si>
  <si>
    <t>electricity</t>
  </si>
  <si>
    <t>heat</t>
  </si>
  <si>
    <t>nuclear fuel (uranium oxide)</t>
  </si>
  <si>
    <t>million BTU</t>
  </si>
  <si>
    <t>nuclear fuel</t>
  </si>
  <si>
    <t>trillion BTU</t>
  </si>
  <si>
    <t>nuclear</t>
  </si>
  <si>
    <t>large output unit not used for these fuels</t>
  </si>
  <si>
    <t>large output unit not used for this fuel</t>
  </si>
  <si>
    <t>The Energy Import Export Output Unit is used to compare all import energy flows on the same graph and to</t>
  </si>
  <si>
    <t>compare all export energy flows on the same graph, so it should be smaller than web-app/BpTPEU, but like BpTPEU,</t>
  </si>
  <si>
    <t>it should be a common unit that works for all energy types.</t>
  </si>
  <si>
    <t>Energy Import Export Output Unit</t>
  </si>
  <si>
    <t>BCF BTU per Energy Import Export Output Unit</t>
  </si>
  <si>
    <t>hydrogen</t>
  </si>
  <si>
    <t>crude oil</t>
  </si>
  <si>
    <t>heavy fuel oil</t>
  </si>
  <si>
    <t>LPG propane or butane</t>
  </si>
  <si>
    <t>municipal solid waste</t>
  </si>
  <si>
    <t>jet fuel or kerosene</t>
  </si>
  <si>
    <t xml:space="preserve">     Reformulated before Blending</t>
  </si>
  <si>
    <t>CNV000:convert_rbob</t>
  </si>
  <si>
    <t xml:space="preserve">     Conventional before Blending</t>
  </si>
  <si>
    <t>CNV000:convert_cbob</t>
  </si>
  <si>
    <t xml:space="preserve">     Conventional Motor Gasoline</t>
  </si>
  <si>
    <t>petroleum gasoline, petroleum diesel, biofuel gasoline, biofuel diesel, jet fuel or kerosene, crude oil, heavy fuel oil</t>
  </si>
  <si>
    <t>crude oil, heavy fuel oil</t>
  </si>
  <si>
    <t>LPG/propane/butane</t>
  </si>
  <si>
    <t>million gallons</t>
  </si>
  <si>
    <t>petroleum gasoline, petroleum diesel, biofuel gasoline, biofuel diesel, jet fuel or kerosene, LPG/propane/butane</t>
  </si>
  <si>
    <t>hard coal, lignite, biomass, municipal solid waste</t>
  </si>
  <si>
    <t>thousand metric tons</t>
  </si>
  <si>
    <t>The Fuel Economy Output Unit is used to help compare fuel economy of different technologies of the same vehicle</t>
  </si>
  <si>
    <t>type (e.g. electric vs. gasoline LDVs).  They will use a common unit, such as miles per gallon, even though electric</t>
  </si>
  <si>
    <t>LDVs do not use liquid fuel.  The only fuel types that need data for Fuel Economy Output Unit are the "reference"</t>
  </si>
  <si>
    <t>fuel types that are used as the basis for comparing all of the vehicles of a given type, across technologies.</t>
  </si>
  <si>
    <t>(for other vehicle types).</t>
  </si>
  <si>
    <t>This could be: petroleum gasoline (for LDVs and motorbikes), jet fuel (for aircraft), and petroleum diesel</t>
  </si>
  <si>
    <t>heavy or residual fuel oil</t>
  </si>
  <si>
    <t>Lignite, Biomass, LPG, municipal solid waste, hydrogen</t>
  </si>
  <si>
    <t>Energy Import Export Output Unit (BTU/energy output unit)</t>
  </si>
  <si>
    <t>Conversion Factor (output fuel economy unit/(miles/BTU))</t>
  </si>
  <si>
    <t>BTU/large fuel output unit</t>
  </si>
  <si>
    <t>BTU/small fuel output unit</t>
  </si>
  <si>
    <t>CA diesel</t>
  </si>
  <si>
    <t>Low Octane Gasoline-Like Fuel (LOF)</t>
  </si>
  <si>
    <t>Renewable Gasoline (Ex Situ CFP)</t>
  </si>
  <si>
    <t>Catalyst Coke</t>
  </si>
  <si>
    <t>Clean Pine</t>
  </si>
  <si>
    <t>Asphalt</t>
  </si>
  <si>
    <t>Lubricants</t>
  </si>
  <si>
    <t>Length</t>
  </si>
  <si>
    <t>mm</t>
  </si>
  <si>
    <t>m</t>
  </si>
  <si>
    <t>km</t>
  </si>
  <si>
    <t>ft</t>
  </si>
  <si>
    <t>mi</t>
  </si>
  <si>
    <t>GREET1 2019</t>
  </si>
  <si>
    <t>Barrels of oil has been used across petroleum fuels to provide a more standardized unit, instead of converting from</t>
  </si>
  <si>
    <t>BTU to barrel of each equivalent fuel.</t>
  </si>
  <si>
    <t>million barrels of oil</t>
  </si>
  <si>
    <t>barrels of oil</t>
  </si>
  <si>
    <t>BCF BTU per MMT Hydrogen</t>
  </si>
  <si>
    <t>Hydrogen Energy Density</t>
  </si>
  <si>
    <t>DOE</t>
  </si>
  <si>
    <t>Alternative Fuels Data Center Fuel Properties Comparison</t>
  </si>
  <si>
    <t>https://afdc.energy.gov/files/u/publication/fuel_comparison_chart.pdf</t>
  </si>
  <si>
    <t>Higher heating value energy content</t>
  </si>
  <si>
    <t>btu/MMT</t>
  </si>
  <si>
    <t>btu/lb H2</t>
  </si>
  <si>
    <t>ref2025.d032025a</t>
  </si>
  <si>
    <t>Annual Energy Outlook 2025</t>
  </si>
  <si>
    <t>ref2025</t>
  </si>
  <si>
    <t>Reference</t>
  </si>
  <si>
    <t>d032025a</t>
  </si>
  <si>
    <t>April 2025</t>
  </si>
  <si>
    <t>69. Conversion Factors</t>
  </si>
  <si>
    <t>(from physical units to MMBtu)</t>
  </si>
  <si>
    <t>Avg Annual Change</t>
  </si>
  <si>
    <t>2024-2050</t>
  </si>
  <si>
    <t>(MMBtu per barrel)</t>
  </si>
  <si>
    <t xml:space="preserve">  E85 1/</t>
  </si>
  <si>
    <t>Coal (MMBtu per short ton)</t>
  </si>
  <si>
    <t>Approximate Heat Rates and Heat Content</t>
  </si>
  <si>
    <t>(Btu per kilowatthour)</t>
  </si>
  <si>
    <t xml:space="preserve">  Electricity Heat Content</t>
  </si>
  <si>
    <t>CNV000:fossil_hr_us</t>
  </si>
  <si>
    <t xml:space="preserve">  Fossil Fuel Heat Rate</t>
  </si>
  <si>
    <t>Data source: 2024: U.S. Energy Information Administration (EIA), Short-Term Energy Outlook, December 2024 and EIA,</t>
  </si>
  <si>
    <t>AEO2025 National Energy Modeling System run ref2025.d032025a. Projections: EIA, AEO2025 National Energy Modeling System run ref2025.d032025a.</t>
  </si>
  <si>
    <t>1/ E85 refers to a blend of 85 percent ethanol (renewable) and 15 percent motor gasoline (nonrenewable). To address cold starting issues,</t>
  </si>
  <si>
    <t>the percentage of ethanol varies seasonally. The annual average ethanol content of 74% is used for these projections.</t>
  </si>
  <si>
    <t>2/ Includes all electricity-only and combined-heat-and-power plants that have a regulatory status.</t>
  </si>
  <si>
    <t>3/ Includes combined-heat-and-power plants that have a non-regulatory status and small on-site generating systems.</t>
  </si>
  <si>
    <t>Btu = British thermal unit</t>
  </si>
  <si>
    <t>- - = Not applicable</t>
  </si>
  <si>
    <t>https://www.eia.gov/outlooks/aeo/tables_ref.php</t>
  </si>
  <si>
    <t>Table 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</si>
</sst>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3" formatCode="_(* #,##0.00_);_(* \(#,##0.00\);_(* &quot;-&quot;??_);_(@_)"/>
    <numFmt numFmtId="164" formatCode="0.0%"/>
    <numFmt numFmtId="165" formatCode="0.000E+00"/>
    <numFmt numFmtId="166" formatCode="#,##0.000"/>
    <numFmt numFmtId="167" formatCode="0.000"/>
    <numFmt numFmtId="168" formatCode="#,##0.000000"/>
    <numFmt numFmtId="169" formatCode="#,##0.0"/>
    <numFmt numFmtId="170" formatCode="0.000000"/>
    <numFmt numFmtId="171" formatCode="0.0"/>
    <numFmt numFmtId="172" formatCode="0.0000"/>
    <numFmt numFmtId="173" formatCode="#,##0.0000"/>
    <numFmt numFmtId="174" formatCode="#,##0.000000000"/>
    <numFmt numFmtId="175" formatCode="#,##0.0000000000"/>
    <numFmt numFmtId="176" formatCode="#,##0.0000000"/>
  </numFmts>
  <fonts count="4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u/>
      <sz val="11"/>
      <color rgb="FF0070C0"/>
      <name val="Calibri"/>
      <family val="2"/>
      <scheme val="minor"/>
    </font>
    <font>
      <b/>
      <sz val="12"/>
      <color indexed="30"/>
      <name val="Calibri"/>
      <family val="2"/>
    </font>
    <font>
      <sz val="9"/>
      <color indexed="8"/>
      <name val="Calibri"/>
      <family val="2"/>
    </font>
    <font>
      <b/>
      <sz val="9"/>
      <color indexed="8"/>
      <name val="Calibri"/>
      <family val="2"/>
    </font>
    <font>
      <b/>
      <sz val="12"/>
      <name val="Arial"/>
      <family val="2"/>
    </font>
    <font>
      <b/>
      <sz val="11"/>
      <name val="Arial"/>
      <family val="2"/>
    </font>
    <font>
      <b/>
      <sz val="10"/>
      <name val="Arial"/>
      <family val="2"/>
    </font>
    <font>
      <sz val="10"/>
      <name val="Arial"/>
      <family val="2"/>
    </font>
    <font>
      <sz val="8"/>
      <color indexed="81"/>
      <name val="Tahoma"/>
      <family val="2"/>
    </font>
    <font>
      <sz val="8"/>
      <color indexed="81"/>
      <name val="Arial"/>
      <family val="2"/>
    </font>
    <font>
      <sz val="9"/>
      <color indexed="81"/>
      <name val="Tahoma"/>
      <family val="2"/>
    </font>
    <font>
      <b/>
      <sz val="10"/>
      <color indexed="81"/>
      <name val="Tahoma"/>
      <family val="2"/>
    </font>
    <font>
      <sz val="10"/>
      <color indexed="81"/>
      <name val="Tahoma"/>
      <family val="2"/>
    </font>
    <font>
      <i/>
      <sz val="11"/>
      <color theme="1"/>
      <name val="Calibri"/>
      <family val="2"/>
      <scheme val="minor"/>
    </font>
    <font>
      <b/>
      <sz val="12"/>
      <color rgb="FF000000"/>
      <name val="Calibri"/>
      <family val="2"/>
      <scheme val="minor"/>
    </font>
    <font>
      <sz val="9"/>
      <color rgb="FF000000"/>
      <name val="Calibri"/>
      <family val="2"/>
      <scheme val="minor"/>
    </font>
    <font>
      <b/>
      <sz val="9"/>
      <color rgb="FF000000"/>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9"/>
        <bgColor indexed="64"/>
      </patternFill>
    </fill>
    <fill>
      <patternFill patternType="solid">
        <fgColor rgb="FF00FF00"/>
        <bgColor indexed="9"/>
      </patternFill>
    </fill>
    <fill>
      <patternFill patternType="solid">
        <fgColor indexed="13"/>
        <bgColor indexed="64"/>
      </patternFill>
    </fill>
    <fill>
      <patternFill patternType="solid">
        <fgColor rgb="FFFFFF00"/>
        <bgColor indexed="9"/>
      </patternFill>
    </fill>
    <fill>
      <patternFill patternType="solid">
        <fgColor theme="1" tint="0.34998626667073579"/>
        <bgColor indexed="64"/>
      </patternFill>
    </fill>
    <fill>
      <patternFill patternType="solid">
        <fgColor rgb="FFFFFF00"/>
        <bgColor indexed="64"/>
      </patternFill>
    </fill>
    <fill>
      <patternFill patternType="solid">
        <fgColor indexed="13"/>
        <bgColor indexed="9"/>
      </patternFill>
    </fill>
    <fill>
      <patternFill patternType="solid">
        <fgColor rgb="FF00FF00"/>
        <bgColor indexed="64"/>
      </patternFill>
    </fill>
    <fill>
      <patternFill patternType="solid">
        <fgColor rgb="FFFF8080"/>
        <bgColor indexed="64"/>
      </patternFill>
    </fill>
    <fill>
      <patternFill patternType="solid">
        <fgColor theme="0" tint="-0.249977111117893"/>
        <bgColor indexed="64"/>
      </patternFill>
    </fill>
    <fill>
      <patternFill patternType="solid">
        <fgColor theme="3" tint="0.59999389629810485"/>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indexed="64"/>
      </right>
      <top style="thin">
        <color indexed="64"/>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s>
  <cellStyleXfs count="6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1" applyNumberFormat="0" applyProtection="0">
      <alignment wrapText="1"/>
    </xf>
    <xf numFmtId="0" fontId="19" fillId="0" borderId="0" applyNumberFormat="0" applyFill="0" applyBorder="0" applyAlignment="0" applyProtection="0"/>
    <xf numFmtId="0" fontId="19" fillId="0" borderId="13" applyNumberFormat="0" applyFont="0" applyFill="0" applyProtection="0">
      <alignment wrapText="1"/>
    </xf>
    <xf numFmtId="0" fontId="19" fillId="0" borderId="11" applyNumberFormat="0" applyProtection="0">
      <alignment vertical="top" wrapText="1"/>
    </xf>
    <xf numFmtId="0" fontId="18" fillId="0" borderId="12" applyNumberFormat="0" applyProtection="0">
      <alignment wrapText="1"/>
    </xf>
    <xf numFmtId="0" fontId="20" fillId="0" borderId="0" applyNumberFormat="0" applyFill="0" applyBorder="0" applyAlignment="0" applyProtection="0">
      <alignment vertical="top"/>
      <protection locked="0"/>
    </xf>
    <xf numFmtId="0" fontId="19" fillId="0" borderId="10" applyNumberFormat="0" applyFont="0" applyProtection="0">
      <alignment wrapText="1"/>
    </xf>
    <xf numFmtId="0" fontId="18" fillId="0" borderId="14" applyNumberFormat="0" applyFill="0" applyProtection="0">
      <alignment wrapText="1"/>
    </xf>
    <xf numFmtId="0" fontId="22" fillId="0" borderId="0" applyNumberFormat="0" applyProtection="0">
      <alignment horizontal="left"/>
    </xf>
    <xf numFmtId="0" fontId="18" fillId="0" borderId="15" applyNumberFormat="0" applyProtection="0">
      <alignment horizontal="left" wrapText="1"/>
    </xf>
    <xf numFmtId="0" fontId="19" fillId="0" borderId="0" applyNumberFormat="0" applyProtection="0">
      <alignment vertical="top" wrapText="1"/>
    </xf>
    <xf numFmtId="0" fontId="21" fillId="0" borderId="0" applyNumberFormat="0" applyFill="0" applyBorder="0" applyAlignment="0" applyProtection="0">
      <alignment vertical="top"/>
      <protection locked="0"/>
    </xf>
    <xf numFmtId="0" fontId="25" fillId="0" borderId="0"/>
    <xf numFmtId="0" fontId="25" fillId="0" borderId="19" applyNumberFormat="0" applyProtection="0">
      <alignment wrapText="1"/>
    </xf>
    <xf numFmtId="0" fontId="26" fillId="0" borderId="17" applyNumberFormat="0" applyProtection="0">
      <alignment wrapText="1"/>
    </xf>
    <xf numFmtId="0" fontId="25" fillId="0" borderId="18" applyNumberFormat="0" applyFont="0" applyProtection="0">
      <alignment wrapText="1"/>
    </xf>
    <xf numFmtId="0" fontId="26" fillId="0" borderId="16" applyNumberFormat="0" applyProtection="0">
      <alignment wrapText="1"/>
    </xf>
    <xf numFmtId="0" fontId="25" fillId="0" borderId="0" applyNumberFormat="0" applyFill="0" applyBorder="0" applyAlignment="0" applyProtection="0"/>
    <xf numFmtId="0" fontId="24" fillId="0" borderId="0" applyNumberFormat="0" applyProtection="0">
      <alignment horizontal="left"/>
    </xf>
    <xf numFmtId="43" fontId="1" fillId="0" borderId="0" applyFont="0" applyFill="0" applyBorder="0" applyAlignment="0" applyProtection="0"/>
    <xf numFmtId="9" fontId="1" fillId="0" borderId="0" applyFont="0" applyFill="0" applyBorder="0" applyAlignment="0" applyProtection="0"/>
  </cellStyleXfs>
  <cellXfs count="174">
    <xf numFmtId="0" fontId="0" fillId="0" borderId="0" xfId="0"/>
    <xf numFmtId="0" fontId="16" fillId="0" borderId="0" xfId="0" applyFont="1"/>
    <xf numFmtId="0" fontId="0" fillId="0" borderId="0" xfId="0" applyAlignment="1">
      <alignment horizontal="left"/>
    </xf>
    <xf numFmtId="0" fontId="23" fillId="0" borderId="0" xfId="47" applyFont="1" applyAlignment="1" applyProtection="1"/>
    <xf numFmtId="165" fontId="0" fillId="0" borderId="0" xfId="0" applyNumberFormat="1"/>
    <xf numFmtId="0" fontId="27" fillId="0" borderId="0" xfId="0" applyFont="1"/>
    <xf numFmtId="0" fontId="28" fillId="0" borderId="0" xfId="0" applyFont="1"/>
    <xf numFmtId="0" fontId="29" fillId="0" borderId="20" xfId="0" applyFont="1" applyBorder="1" applyAlignment="1">
      <alignment horizontal="left"/>
    </xf>
    <xf numFmtId="0" fontId="29" fillId="0" borderId="20" xfId="0" applyFont="1" applyBorder="1" applyAlignment="1">
      <alignment horizontal="centerContinuous"/>
    </xf>
    <xf numFmtId="0" fontId="29" fillId="0" borderId="21" xfId="0" applyFont="1" applyBorder="1" applyAlignment="1">
      <alignment horizontal="centerContinuous"/>
    </xf>
    <xf numFmtId="0" fontId="29" fillId="0" borderId="21" xfId="0" applyFont="1" applyBorder="1" applyAlignment="1">
      <alignment horizontal="right"/>
    </xf>
    <xf numFmtId="167" fontId="29" fillId="0" borderId="22" xfId="0" applyNumberFormat="1" applyFont="1" applyBorder="1" applyAlignment="1">
      <alignment horizontal="right"/>
    </xf>
    <xf numFmtId="0" fontId="29" fillId="0" borderId="23" xfId="0" applyFont="1" applyBorder="1" applyAlignment="1">
      <alignment horizontal="right"/>
    </xf>
    <xf numFmtId="0" fontId="29" fillId="0" borderId="23" xfId="0" applyFont="1" applyBorder="1" applyAlignment="1">
      <alignment horizontal="right" wrapText="1"/>
    </xf>
    <xf numFmtId="0" fontId="29" fillId="0" borderId="0" xfId="0" applyFont="1" applyAlignment="1">
      <alignment horizontal="right"/>
    </xf>
    <xf numFmtId="0" fontId="29" fillId="0" borderId="0" xfId="0" applyFont="1" applyAlignment="1">
      <alignment horizontal="right" wrapText="1"/>
    </xf>
    <xf numFmtId="167" fontId="29" fillId="0" borderId="24" xfId="0" applyNumberFormat="1" applyFont="1" applyBorder="1" applyAlignment="1">
      <alignment horizontal="right" wrapText="1"/>
    </xf>
    <xf numFmtId="0" fontId="29" fillId="0" borderId="23" xfId="0" applyFont="1" applyBorder="1"/>
    <xf numFmtId="0" fontId="29" fillId="33" borderId="23" xfId="0" applyFont="1" applyFill="1" applyBorder="1"/>
    <xf numFmtId="0" fontId="30" fillId="0" borderId="0" xfId="0" applyFont="1"/>
    <xf numFmtId="0" fontId="29" fillId="0" borderId="0" xfId="0" applyFont="1"/>
    <xf numFmtId="167" fontId="29" fillId="0" borderId="24" xfId="0" applyNumberFormat="1" applyFont="1" applyBorder="1"/>
    <xf numFmtId="0" fontId="29" fillId="0" borderId="25" xfId="0" applyFont="1" applyBorder="1"/>
    <xf numFmtId="0" fontId="29" fillId="0" borderId="25" xfId="0" applyFont="1" applyBorder="1" applyAlignment="1">
      <alignment horizontal="right"/>
    </xf>
    <xf numFmtId="0" fontId="29" fillId="0" borderId="26" xfId="0" applyFont="1" applyBorder="1" applyAlignment="1">
      <alignment horizontal="right"/>
    </xf>
    <xf numFmtId="0" fontId="29" fillId="0" borderId="26" xfId="0" applyFont="1" applyBorder="1"/>
    <xf numFmtId="167" fontId="29" fillId="0" borderId="27" xfId="0" applyNumberFormat="1" applyFont="1" applyBorder="1"/>
    <xf numFmtId="0" fontId="0" fillId="0" borderId="23" xfId="0" applyBorder="1"/>
    <xf numFmtId="3" fontId="30" fillId="0" borderId="23" xfId="61" applyNumberFormat="1" applyFont="1" applyFill="1" applyBorder="1" applyAlignment="1"/>
    <xf numFmtId="3" fontId="30" fillId="34" borderId="0" xfId="61" applyNumberFormat="1" applyFont="1" applyFill="1" applyBorder="1" applyAlignment="1"/>
    <xf numFmtId="164" fontId="30" fillId="34" borderId="0" xfId="62" applyNumberFormat="1" applyFont="1" applyFill="1" applyBorder="1" applyAlignment="1"/>
    <xf numFmtId="3" fontId="30" fillId="35" borderId="0" xfId="61" applyNumberFormat="1" applyFont="1" applyFill="1" applyBorder="1" applyAlignment="1"/>
    <xf numFmtId="168" fontId="30" fillId="0" borderId="0" xfId="61" applyNumberFormat="1" applyFont="1" applyFill="1" applyBorder="1" applyAlignment="1"/>
    <xf numFmtId="167" fontId="30" fillId="0" borderId="24" xfId="61" applyNumberFormat="1" applyFont="1" applyFill="1" applyBorder="1" applyAlignment="1"/>
    <xf numFmtId="3" fontId="30" fillId="36" borderId="0" xfId="61" applyNumberFormat="1" applyFont="1" applyFill="1" applyBorder="1" applyAlignment="1"/>
    <xf numFmtId="164" fontId="30" fillId="36" borderId="0" xfId="62" applyNumberFormat="1" applyFont="1" applyFill="1" applyBorder="1" applyAlignment="1"/>
    <xf numFmtId="3" fontId="30" fillId="0" borderId="0" xfId="61" applyNumberFormat="1" applyFont="1" applyFill="1" applyBorder="1" applyAlignment="1"/>
    <xf numFmtId="164" fontId="30" fillId="0" borderId="0" xfId="62" applyNumberFormat="1" applyFont="1" applyFill="1" applyBorder="1" applyAlignment="1"/>
    <xf numFmtId="167" fontId="30" fillId="0" borderId="0" xfId="61" applyNumberFormat="1" applyFont="1" applyFill="1" applyBorder="1" applyAlignment="1"/>
    <xf numFmtId="3" fontId="0" fillId="0" borderId="0" xfId="0" applyNumberFormat="1"/>
    <xf numFmtId="3" fontId="30" fillId="0" borderId="0" xfId="0" applyNumberFormat="1" applyFont="1" applyAlignment="1">
      <alignment vertical="top"/>
    </xf>
    <xf numFmtId="0" fontId="0" fillId="37" borderId="0" xfId="0" applyFill="1"/>
    <xf numFmtId="164" fontId="0" fillId="0" borderId="0" xfId="0" applyNumberFormat="1"/>
    <xf numFmtId="2" fontId="0" fillId="0" borderId="0" xfId="0" applyNumberFormat="1"/>
    <xf numFmtId="1" fontId="30" fillId="0" borderId="0" xfId="62" applyNumberFormat="1" applyFont="1" applyFill="1" applyBorder="1" applyAlignment="1"/>
    <xf numFmtId="0" fontId="30" fillId="0" borderId="23" xfId="0" applyFont="1" applyBorder="1"/>
    <xf numFmtId="164" fontId="30" fillId="0" borderId="0" xfId="61" applyNumberFormat="1" applyFont="1" applyFill="1" applyBorder="1" applyAlignment="1"/>
    <xf numFmtId="3" fontId="30" fillId="38" borderId="0" xfId="61" applyNumberFormat="1" applyFont="1" applyFill="1" applyBorder="1" applyAlignment="1"/>
    <xf numFmtId="164" fontId="30" fillId="35" borderId="0" xfId="62" applyNumberFormat="1" applyFont="1" applyFill="1" applyBorder="1" applyAlignment="1"/>
    <xf numFmtId="3" fontId="0" fillId="38" borderId="0" xfId="0" applyNumberFormat="1" applyFill="1"/>
    <xf numFmtId="164" fontId="0" fillId="38" borderId="0" xfId="0" applyNumberFormat="1" applyFill="1"/>
    <xf numFmtId="164" fontId="30" fillId="38" borderId="0" xfId="62" applyNumberFormat="1" applyFont="1" applyFill="1" applyBorder="1" applyAlignment="1"/>
    <xf numFmtId="3" fontId="30" fillId="0" borderId="0" xfId="62" applyNumberFormat="1" applyFont="1" applyFill="1" applyBorder="1" applyAlignment="1"/>
    <xf numFmtId="3" fontId="30" fillId="0" borderId="0" xfId="61" applyNumberFormat="1" applyFont="1" applyBorder="1" applyAlignment="1"/>
    <xf numFmtId="164" fontId="30" fillId="0" borderId="0" xfId="62" applyNumberFormat="1" applyFont="1" applyBorder="1" applyAlignment="1"/>
    <xf numFmtId="3" fontId="29" fillId="0" borderId="25" xfId="61" applyNumberFormat="1" applyFont="1" applyFill="1" applyBorder="1" applyAlignment="1">
      <alignment horizontal="right"/>
    </xf>
    <xf numFmtId="3" fontId="29" fillId="0" borderId="26" xfId="61" applyNumberFormat="1" applyFont="1" applyFill="1" applyBorder="1" applyAlignment="1">
      <alignment horizontal="right"/>
    </xf>
    <xf numFmtId="164" fontId="29" fillId="0" borderId="26" xfId="62" applyNumberFormat="1" applyFont="1" applyFill="1" applyBorder="1" applyAlignment="1"/>
    <xf numFmtId="3" fontId="29" fillId="0" borderId="26" xfId="61" applyNumberFormat="1" applyFont="1" applyBorder="1" applyAlignment="1"/>
    <xf numFmtId="168" fontId="29" fillId="0" borderId="26" xfId="61" applyNumberFormat="1" applyFont="1" applyFill="1" applyBorder="1" applyAlignment="1"/>
    <xf numFmtId="167" fontId="29" fillId="0" borderId="27" xfId="61" applyNumberFormat="1" applyFont="1" applyFill="1" applyBorder="1" applyAlignment="1"/>
    <xf numFmtId="169" fontId="30" fillId="34" borderId="0" xfId="61" applyNumberFormat="1" applyFont="1" applyFill="1" applyBorder="1" applyAlignment="1"/>
    <xf numFmtId="3" fontId="30" fillId="39" borderId="0" xfId="61" applyNumberFormat="1" applyFont="1" applyFill="1" applyBorder="1" applyAlignment="1"/>
    <xf numFmtId="169" fontId="30" fillId="39" borderId="0" xfId="61" applyNumberFormat="1" applyFont="1" applyFill="1" applyBorder="1" applyAlignment="1"/>
    <xf numFmtId="169" fontId="30" fillId="38" borderId="0" xfId="61" applyNumberFormat="1" applyFont="1" applyFill="1" applyBorder="1" applyAlignment="1"/>
    <xf numFmtId="169" fontId="30" fillId="36" borderId="0" xfId="61" applyNumberFormat="1" applyFont="1" applyFill="1" applyBorder="1" applyAlignment="1"/>
    <xf numFmtId="3" fontId="29" fillId="0" borderId="26" xfId="61" applyNumberFormat="1" applyFont="1" applyBorder="1" applyAlignment="1">
      <alignment horizontal="right"/>
    </xf>
    <xf numFmtId="167" fontId="30" fillId="38" borderId="24" xfId="61" applyNumberFormat="1" applyFont="1" applyFill="1" applyBorder="1" applyAlignment="1"/>
    <xf numFmtId="10" fontId="0" fillId="0" borderId="0" xfId="0" applyNumberFormat="1"/>
    <xf numFmtId="3" fontId="30" fillId="40" borderId="0" xfId="61" applyNumberFormat="1" applyFont="1" applyFill="1" applyBorder="1" applyAlignment="1"/>
    <xf numFmtId="0" fontId="30" fillId="0" borderId="0" xfId="62" applyNumberFormat="1" applyFont="1" applyBorder="1" applyAlignment="1"/>
    <xf numFmtId="170" fontId="30" fillId="0" borderId="0" xfId="61" applyNumberFormat="1" applyFont="1" applyFill="1" applyBorder="1" applyAlignment="1"/>
    <xf numFmtId="164" fontId="30" fillId="35" borderId="0" xfId="0" applyNumberFormat="1" applyFont="1" applyFill="1"/>
    <xf numFmtId="168" fontId="0" fillId="0" borderId="0" xfId="0" applyNumberFormat="1"/>
    <xf numFmtId="167" fontId="0" fillId="0" borderId="24" xfId="0" applyNumberFormat="1" applyBorder="1"/>
    <xf numFmtId="0" fontId="30" fillId="0" borderId="28" xfId="0" applyFont="1" applyBorder="1"/>
    <xf numFmtId="164" fontId="30" fillId="38" borderId="0" xfId="0" applyNumberFormat="1" applyFont="1" applyFill="1"/>
    <xf numFmtId="164" fontId="30" fillId="0" borderId="0" xfId="0" applyNumberFormat="1" applyFont="1"/>
    <xf numFmtId="0" fontId="0" fillId="0" borderId="28" xfId="0" applyBorder="1"/>
    <xf numFmtId="0" fontId="0" fillId="0" borderId="29" xfId="0" applyBorder="1"/>
    <xf numFmtId="3" fontId="30" fillId="0" borderId="30" xfId="61" applyNumberFormat="1" applyFont="1" applyFill="1" applyBorder="1" applyAlignment="1"/>
    <xf numFmtId="3" fontId="30" fillId="38" borderId="30" xfId="61" applyNumberFormat="1" applyFont="1" applyFill="1" applyBorder="1" applyAlignment="1"/>
    <xf numFmtId="164" fontId="30" fillId="38" borderId="30" xfId="0" applyNumberFormat="1" applyFont="1" applyFill="1" applyBorder="1"/>
    <xf numFmtId="168" fontId="0" fillId="0" borderId="30" xfId="0" applyNumberFormat="1" applyBorder="1"/>
    <xf numFmtId="167" fontId="0" fillId="0" borderId="31" xfId="0" applyNumberFormat="1" applyBorder="1"/>
    <xf numFmtId="3" fontId="0" fillId="0" borderId="0" xfId="61" applyNumberFormat="1" applyFont="1" applyFill="1" applyBorder="1" applyAlignment="1"/>
    <xf numFmtId="0" fontId="0" fillId="0" borderId="0" xfId="61" applyNumberFormat="1" applyFont="1" applyFill="1" applyBorder="1" applyAlignment="1"/>
    <xf numFmtId="164" fontId="0" fillId="0" borderId="0" xfId="62" applyNumberFormat="1" applyFont="1" applyFill="1" applyBorder="1" applyAlignment="1"/>
    <xf numFmtId="167" fontId="0" fillId="0" borderId="0" xfId="0" applyNumberFormat="1"/>
    <xf numFmtId="0" fontId="30" fillId="0" borderId="0" xfId="61" applyNumberFormat="1" applyFont="1" applyBorder="1" applyAlignment="1"/>
    <xf numFmtId="0" fontId="0" fillId="0" borderId="20" xfId="0" applyBorder="1" applyAlignment="1">
      <alignment horizontal="right"/>
    </xf>
    <xf numFmtId="0" fontId="30" fillId="41" borderId="32" xfId="61" applyNumberFormat="1" applyFont="1" applyFill="1" applyBorder="1" applyAlignment="1">
      <alignment horizontal="right"/>
    </xf>
    <xf numFmtId="0" fontId="0" fillId="0" borderId="21" xfId="61" applyNumberFormat="1" applyFont="1" applyBorder="1" applyAlignment="1">
      <alignment horizontal="right"/>
    </xf>
    <xf numFmtId="0" fontId="0" fillId="0" borderId="21" xfId="61" applyNumberFormat="1" applyFont="1" applyFill="1" applyBorder="1" applyAlignment="1">
      <alignment horizontal="right"/>
    </xf>
    <xf numFmtId="0" fontId="0" fillId="0" borderId="22" xfId="61" applyNumberFormat="1" applyFont="1" applyFill="1" applyBorder="1" applyAlignment="1">
      <alignment horizontal="right"/>
    </xf>
    <xf numFmtId="0" fontId="0" fillId="0" borderId="33" xfId="0" applyBorder="1" applyAlignment="1">
      <alignment horizontal="right"/>
    </xf>
    <xf numFmtId="0" fontId="30" fillId="41" borderId="29" xfId="61" applyNumberFormat="1" applyFont="1" applyFill="1" applyBorder="1" applyAlignment="1">
      <alignment horizontal="right"/>
    </xf>
    <xf numFmtId="0" fontId="30" fillId="0" borderId="30" xfId="61" applyNumberFormat="1" applyFont="1" applyBorder="1" applyAlignment="1">
      <alignment horizontal="right"/>
    </xf>
    <xf numFmtId="0" fontId="30" fillId="0" borderId="31" xfId="61" applyNumberFormat="1" applyFont="1" applyBorder="1" applyAlignment="1">
      <alignment horizontal="right"/>
    </xf>
    <xf numFmtId="0" fontId="0" fillId="0" borderId="23" xfId="0" applyBorder="1" applyAlignment="1">
      <alignment horizontal="right"/>
    </xf>
    <xf numFmtId="3" fontId="0" fillId="0" borderId="28" xfId="0" applyNumberFormat="1" applyBorder="1"/>
    <xf numFmtId="0" fontId="0" fillId="0" borderId="24" xfId="0" applyBorder="1"/>
    <xf numFmtId="3" fontId="0" fillId="0" borderId="29" xfId="0" applyNumberFormat="1" applyBorder="1"/>
    <xf numFmtId="0" fontId="0" fillId="0" borderId="30" xfId="0" applyBorder="1"/>
    <xf numFmtId="0" fontId="0" fillId="0" borderId="31" xfId="0" applyBorder="1"/>
    <xf numFmtId="0" fontId="0" fillId="0" borderId="0" xfId="0" applyAlignment="1">
      <alignment horizontal="right"/>
    </xf>
    <xf numFmtId="0" fontId="0" fillId="0" borderId="20" xfId="0" applyBorder="1" applyAlignment="1">
      <alignment horizontal="left"/>
    </xf>
    <xf numFmtId="3" fontId="0" fillId="41" borderId="32" xfId="0" applyNumberFormat="1" applyFill="1" applyBorder="1" applyAlignment="1">
      <alignment horizontal="right"/>
    </xf>
    <xf numFmtId="0" fontId="0" fillId="0" borderId="21" xfId="0" applyBorder="1" applyAlignment="1">
      <alignment horizontal="right"/>
    </xf>
    <xf numFmtId="0" fontId="0" fillId="0" borderId="22" xfId="0" applyBorder="1" applyAlignment="1">
      <alignment horizontal="right"/>
    </xf>
    <xf numFmtId="0" fontId="0" fillId="0" borderId="30" xfId="0" applyBorder="1" applyAlignment="1">
      <alignment horizontal="right"/>
    </xf>
    <xf numFmtId="0" fontId="0" fillId="0" borderId="31" xfId="0" applyBorder="1" applyAlignment="1">
      <alignment horizontal="right"/>
    </xf>
    <xf numFmtId="0" fontId="0" fillId="40" borderId="0" xfId="0" applyFill="1"/>
    <xf numFmtId="0" fontId="0" fillId="40" borderId="24" xfId="0" applyFill="1" applyBorder="1"/>
    <xf numFmtId="2" fontId="0" fillId="0" borderId="22" xfId="0" applyNumberFormat="1" applyBorder="1"/>
    <xf numFmtId="2" fontId="0" fillId="0" borderId="24" xfId="0" applyNumberFormat="1" applyBorder="1"/>
    <xf numFmtId="2" fontId="0" fillId="0" borderId="31" xfId="0" applyNumberFormat="1" applyBorder="1"/>
    <xf numFmtId="0" fontId="0" fillId="35" borderId="0" xfId="0" applyFill="1" applyAlignment="1">
      <alignment horizontal="center"/>
    </xf>
    <xf numFmtId="171" fontId="0" fillId="35" borderId="0" xfId="0" applyNumberFormat="1" applyFill="1" applyAlignment="1">
      <alignment horizontal="center"/>
    </xf>
    <xf numFmtId="169" fontId="0" fillId="35" borderId="0" xfId="0" applyNumberFormat="1" applyFill="1" applyAlignment="1">
      <alignment horizontal="center"/>
    </xf>
    <xf numFmtId="0" fontId="0" fillId="0" borderId="0" xfId="0" applyAlignment="1">
      <alignment horizontal="center"/>
    </xf>
    <xf numFmtId="171" fontId="0" fillId="0" borderId="0" xfId="0" applyNumberFormat="1" applyAlignment="1">
      <alignment horizontal="center"/>
    </xf>
    <xf numFmtId="169" fontId="0" fillId="0" borderId="0" xfId="0" applyNumberFormat="1" applyAlignment="1">
      <alignment horizontal="center"/>
    </xf>
    <xf numFmtId="0" fontId="29" fillId="0" borderId="25" xfId="0" applyFont="1" applyBorder="1" applyAlignment="1">
      <alignment horizontal="right" wrapText="1"/>
    </xf>
    <xf numFmtId="0" fontId="29" fillId="0" borderId="26" xfId="0" applyFont="1" applyBorder="1" applyAlignment="1">
      <alignment horizontal="center" wrapText="1"/>
    </xf>
    <xf numFmtId="0" fontId="29" fillId="0" borderId="27" xfId="0" applyFont="1" applyBorder="1" applyAlignment="1">
      <alignment horizontal="right" wrapText="1"/>
    </xf>
    <xf numFmtId="0" fontId="29" fillId="0" borderId="26" xfId="0" applyFont="1" applyBorder="1" applyAlignment="1">
      <alignment horizontal="right" wrapText="1"/>
    </xf>
    <xf numFmtId="0" fontId="0" fillId="0" borderId="20" xfId="0" applyBorder="1" applyAlignment="1">
      <alignment horizontal="center"/>
    </xf>
    <xf numFmtId="169" fontId="0" fillId="0" borderId="21" xfId="0" applyNumberFormat="1" applyBorder="1" applyAlignment="1">
      <alignment horizontal="center"/>
    </xf>
    <xf numFmtId="164" fontId="0" fillId="0" borderId="22" xfId="0" applyNumberFormat="1" applyBorder="1" applyAlignment="1">
      <alignment horizontal="center"/>
    </xf>
    <xf numFmtId="0" fontId="0" fillId="0" borderId="23" xfId="0" applyBorder="1" applyAlignment="1">
      <alignment horizontal="center"/>
    </xf>
    <xf numFmtId="164" fontId="0" fillId="0" borderId="24" xfId="0" applyNumberFormat="1" applyBorder="1" applyAlignment="1">
      <alignment horizontal="center"/>
    </xf>
    <xf numFmtId="0" fontId="29" fillId="0" borderId="23" xfId="0" applyFont="1" applyBorder="1" applyAlignment="1">
      <alignment horizontal="center"/>
    </xf>
    <xf numFmtId="169" fontId="29" fillId="0" borderId="0" xfId="0" applyNumberFormat="1" applyFont="1" applyAlignment="1">
      <alignment horizontal="center"/>
    </xf>
    <xf numFmtId="164" fontId="29" fillId="0" borderId="24" xfId="0" applyNumberFormat="1" applyFont="1" applyBorder="1" applyAlignment="1">
      <alignment horizontal="center"/>
    </xf>
    <xf numFmtId="0" fontId="0" fillId="0" borderId="33" xfId="0" applyBorder="1" applyAlignment="1">
      <alignment horizontal="center"/>
    </xf>
    <xf numFmtId="169" fontId="0" fillId="0" borderId="30" xfId="0" applyNumberFormat="1" applyBorder="1" applyAlignment="1">
      <alignment horizontal="center"/>
    </xf>
    <xf numFmtId="164" fontId="0" fillId="0" borderId="31" xfId="0" applyNumberFormat="1" applyBorder="1" applyAlignment="1">
      <alignment horizontal="center"/>
    </xf>
    <xf numFmtId="0" fontId="29" fillId="0" borderId="34" xfId="0" applyFont="1"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3" fontId="0" fillId="0" borderId="0" xfId="0" applyNumberFormat="1" applyAlignment="1">
      <alignment horizontal="center"/>
    </xf>
    <xf numFmtId="166" fontId="0" fillId="0" borderId="0" xfId="0" applyNumberFormat="1" applyAlignment="1">
      <alignment horizontal="center"/>
    </xf>
    <xf numFmtId="3" fontId="0" fillId="0" borderId="24" xfId="0" applyNumberFormat="1" applyBorder="1" applyAlignment="1">
      <alignment horizontal="center"/>
    </xf>
    <xf numFmtId="168" fontId="0" fillId="0" borderId="0" xfId="0" applyNumberFormat="1" applyAlignment="1">
      <alignment horizontal="center"/>
    </xf>
    <xf numFmtId="166" fontId="0" fillId="0" borderId="24" xfId="0" applyNumberFormat="1" applyBorder="1" applyAlignment="1">
      <alignment horizontal="center"/>
    </xf>
    <xf numFmtId="0" fontId="0" fillId="0" borderId="29" xfId="0" applyBorder="1" applyAlignment="1">
      <alignment horizontal="center"/>
    </xf>
    <xf numFmtId="168" fontId="0" fillId="0" borderId="30" xfId="0" applyNumberFormat="1" applyBorder="1" applyAlignment="1">
      <alignment horizontal="center"/>
    </xf>
    <xf numFmtId="166" fontId="0" fillId="0" borderId="30" xfId="0" applyNumberFormat="1" applyBorder="1" applyAlignment="1">
      <alignment horizontal="center"/>
    </xf>
    <xf numFmtId="3" fontId="0" fillId="0" borderId="31" xfId="0" applyNumberFormat="1" applyBorder="1" applyAlignment="1">
      <alignment horizontal="center"/>
    </xf>
    <xf numFmtId="170" fontId="0" fillId="0" borderId="0" xfId="0" applyNumberFormat="1" applyAlignment="1">
      <alignment horizontal="center"/>
    </xf>
    <xf numFmtId="167" fontId="0" fillId="0" borderId="0" xfId="0" applyNumberFormat="1" applyAlignment="1">
      <alignment horizontal="center"/>
    </xf>
    <xf numFmtId="172" fontId="0" fillId="0" borderId="0" xfId="0" applyNumberFormat="1" applyAlignment="1">
      <alignment horizontal="center"/>
    </xf>
    <xf numFmtId="172" fontId="0" fillId="0" borderId="24" xfId="0" applyNumberFormat="1" applyBorder="1" applyAlignment="1">
      <alignment horizontal="center"/>
    </xf>
    <xf numFmtId="173" fontId="0" fillId="0" borderId="0" xfId="0" applyNumberFormat="1" applyAlignment="1">
      <alignment horizontal="center"/>
    </xf>
    <xf numFmtId="174" fontId="0" fillId="0" borderId="0" xfId="0" applyNumberFormat="1" applyAlignment="1">
      <alignment horizontal="center"/>
    </xf>
    <xf numFmtId="175" fontId="0" fillId="0" borderId="0" xfId="0" applyNumberFormat="1" applyAlignment="1">
      <alignment horizontal="center"/>
    </xf>
    <xf numFmtId="176" fontId="0" fillId="0" borderId="0" xfId="0" applyNumberFormat="1" applyAlignment="1">
      <alignment horizontal="center"/>
    </xf>
    <xf numFmtId="0" fontId="16" fillId="42" borderId="0" xfId="0" applyFont="1" applyFill="1"/>
    <xf numFmtId="0" fontId="16" fillId="43" borderId="0" xfId="0" applyFont="1" applyFill="1"/>
    <xf numFmtId="0" fontId="0" fillId="43" borderId="0" xfId="0" applyFill="1"/>
    <xf numFmtId="0" fontId="0" fillId="0" borderId="0" xfId="0" applyAlignment="1">
      <alignment wrapText="1"/>
    </xf>
    <xf numFmtId="0" fontId="0" fillId="42" borderId="0" xfId="0" applyFill="1"/>
    <xf numFmtId="0" fontId="0" fillId="38" borderId="0" xfId="0" applyFill="1"/>
    <xf numFmtId="11" fontId="0" fillId="0" borderId="0" xfId="0" applyNumberFormat="1"/>
    <xf numFmtId="0" fontId="36" fillId="0" borderId="0" xfId="0" applyFont="1"/>
    <xf numFmtId="3" fontId="37" fillId="0" borderId="0" xfId="0" applyNumberFormat="1" applyFont="1"/>
    <xf numFmtId="3" fontId="38" fillId="0" borderId="0" xfId="0" applyNumberFormat="1" applyFont="1"/>
    <xf numFmtId="166" fontId="37" fillId="0" borderId="0" xfId="0" applyNumberFormat="1" applyFont="1"/>
    <xf numFmtId="166" fontId="38" fillId="0" borderId="0" xfId="0" applyNumberFormat="1" applyFont="1"/>
    <xf numFmtId="1" fontId="39" fillId="0" borderId="0" xfId="0" applyNumberFormat="1" applyFont="1"/>
    <xf numFmtId="166" fontId="39" fillId="0" borderId="0" xfId="0" applyNumberFormat="1" applyFont="1"/>
    <xf numFmtId="0" fontId="0" fillId="0" borderId="16" xfId="0" applyBorder="1"/>
  </cellXfs>
  <cellStyles count="6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Body: normal cell" xfId="48" xr:uid="{00000000-0005-0000-0000-000019000000}"/>
    <cellStyle name="Body: normal cell 2" xfId="57" xr:uid="{00000000-0005-0000-0000-00001A000000}"/>
    <cellStyle name="Calculation" xfId="11" builtinId="22" customBuiltin="1"/>
    <cellStyle name="Check Cell" xfId="13" builtinId="23" customBuiltin="1"/>
    <cellStyle name="Comma" xfId="61" builtinId="3"/>
    <cellStyle name="Explanatory Text" xfId="16" builtinId="53" customBuiltin="1"/>
    <cellStyle name="Followed Hyperlink" xfId="53" builtinId="9" customBuiltin="1"/>
    <cellStyle name="Font: Calibri, 9pt regular" xfId="43" xr:uid="{00000000-0005-0000-0000-000020000000}"/>
    <cellStyle name="Font: Calibri, 9pt regular 2" xfId="59" xr:uid="{00000000-0005-0000-0000-000021000000}"/>
    <cellStyle name="Footnotes: all except top row" xfId="52" xr:uid="{00000000-0005-0000-0000-000022000000}"/>
    <cellStyle name="Footnotes: top row" xfId="45" xr:uid="{00000000-0005-0000-0000-000023000000}"/>
    <cellStyle name="Footnotes: top row 2" xfId="55" xr:uid="{00000000-0005-0000-0000-000024000000}"/>
    <cellStyle name="Good" xfId="6" builtinId="26" customBuiltin="1"/>
    <cellStyle name="Header: bottom row" xfId="42" xr:uid="{00000000-0005-0000-0000-000026000000}"/>
    <cellStyle name="Header: bottom row 2" xfId="58" xr:uid="{00000000-0005-0000-0000-000027000000}"/>
    <cellStyle name="Header: top rows" xfId="51" xr:uid="{00000000-0005-0000-0000-000028000000}"/>
    <cellStyle name="Heading 1" xfId="2" builtinId="16" customBuiltin="1"/>
    <cellStyle name="Heading 2" xfId="3" builtinId="17" customBuiltin="1"/>
    <cellStyle name="Heading 3" xfId="4" builtinId="18" customBuiltin="1"/>
    <cellStyle name="Heading 4" xfId="5" builtinId="19" customBuiltin="1"/>
    <cellStyle name="Hyperlink" xfId="47" builtinId="8" customBuiltin="1"/>
    <cellStyle name="Input" xfId="9" builtinId="20" customBuiltin="1"/>
    <cellStyle name="Linked Cell" xfId="12" builtinId="24" customBuiltin="1"/>
    <cellStyle name="Neutral" xfId="8" builtinId="28" customBuiltin="1"/>
    <cellStyle name="Normal" xfId="0" builtinId="0"/>
    <cellStyle name="Normal 2" xfId="54" xr:uid="{00000000-0005-0000-0000-000032000000}"/>
    <cellStyle name="Note" xfId="15" builtinId="10" customBuiltin="1"/>
    <cellStyle name="Output" xfId="10" builtinId="21" customBuiltin="1"/>
    <cellStyle name="Parent row" xfId="46" xr:uid="{00000000-0005-0000-0000-000035000000}"/>
    <cellStyle name="Parent row 2" xfId="56" xr:uid="{00000000-0005-0000-0000-000036000000}"/>
    <cellStyle name="Percent" xfId="62" builtinId="5"/>
    <cellStyle name="Section Break" xfId="44" xr:uid="{00000000-0005-0000-0000-000038000000}"/>
    <cellStyle name="Section Break: parent row" xfId="49" xr:uid="{00000000-0005-0000-0000-000039000000}"/>
    <cellStyle name="Table title" xfId="50" xr:uid="{00000000-0005-0000-0000-00003A000000}"/>
    <cellStyle name="Table title 2" xfId="60" xr:uid="{00000000-0005-0000-0000-00003B000000}"/>
    <cellStyle name="Title" xfId="1" builtinId="15" customBuiltin="1"/>
    <cellStyle name="Total" xfId="17" builtinId="25" customBuiltin="1"/>
    <cellStyle name="Warning Text" xfId="14" builtinId="11" customBuiltin="1"/>
  </cellStyles>
  <dxfs count="13">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12"/>
      <tableStyleElement type="headerRow"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1"/>
  <sheetViews>
    <sheetView tabSelected="1" workbookViewId="0">
      <selection activeCell="B13" sqref="B13"/>
    </sheetView>
  </sheetViews>
  <sheetFormatPr defaultRowHeight="15" x14ac:dyDescent="0.25"/>
  <cols>
    <col min="1" max="1" width="37.42578125" customWidth="1"/>
    <col min="2" max="2" width="30.5703125" customWidth="1"/>
    <col min="3" max="3" width="39.42578125" customWidth="1"/>
  </cols>
  <sheetData>
    <row r="1" spans="1:3" x14ac:dyDescent="0.25">
      <c r="A1" s="1" t="s">
        <v>303</v>
      </c>
    </row>
    <row r="2" spans="1:3" x14ac:dyDescent="0.25">
      <c r="A2" s="1" t="s">
        <v>304</v>
      </c>
    </row>
    <row r="3" spans="1:3" x14ac:dyDescent="0.25">
      <c r="A3" s="1" t="s">
        <v>297</v>
      </c>
    </row>
    <row r="4" spans="1:3" x14ac:dyDescent="0.25">
      <c r="A4" s="1" t="s">
        <v>347</v>
      </c>
    </row>
    <row r="5" spans="1:3" x14ac:dyDescent="0.25">
      <c r="A5" s="1" t="s">
        <v>396</v>
      </c>
    </row>
    <row r="6" spans="1:3" x14ac:dyDescent="0.25">
      <c r="A6" s="1"/>
    </row>
    <row r="7" spans="1:3" x14ac:dyDescent="0.25">
      <c r="A7" t="s">
        <v>38</v>
      </c>
      <c r="B7" s="159" t="s">
        <v>327</v>
      </c>
      <c r="C7" s="163"/>
    </row>
    <row r="8" spans="1:3" x14ac:dyDescent="0.25">
      <c r="B8" t="s">
        <v>39</v>
      </c>
    </row>
    <row r="9" spans="1:3" x14ac:dyDescent="0.25">
      <c r="B9" s="2">
        <v>2025</v>
      </c>
    </row>
    <row r="10" spans="1:3" x14ac:dyDescent="0.25">
      <c r="B10" t="s">
        <v>405</v>
      </c>
    </row>
    <row r="11" spans="1:3" x14ac:dyDescent="0.25">
      <c r="B11" s="3" t="s">
        <v>430</v>
      </c>
    </row>
    <row r="12" spans="1:3" x14ac:dyDescent="0.25">
      <c r="B12" t="s">
        <v>431</v>
      </c>
    </row>
    <row r="14" spans="1:3" x14ac:dyDescent="0.25">
      <c r="B14" s="159" t="s">
        <v>373</v>
      </c>
      <c r="C14" s="163"/>
    </row>
    <row r="15" spans="1:3" x14ac:dyDescent="0.25">
      <c r="B15" t="s">
        <v>286</v>
      </c>
    </row>
    <row r="16" spans="1:3" x14ac:dyDescent="0.25">
      <c r="B16" s="2">
        <v>2019</v>
      </c>
    </row>
    <row r="17" spans="1:2" x14ac:dyDescent="0.25">
      <c r="B17" t="s">
        <v>391</v>
      </c>
    </row>
    <row r="18" spans="1:2" x14ac:dyDescent="0.25">
      <c r="B18" t="s">
        <v>288</v>
      </c>
    </row>
    <row r="19" spans="1:2" x14ac:dyDescent="0.25">
      <c r="B19" t="s">
        <v>287</v>
      </c>
    </row>
    <row r="21" spans="1:2" x14ac:dyDescent="0.25">
      <c r="B21" s="159" t="s">
        <v>397</v>
      </c>
    </row>
    <row r="22" spans="1:2" x14ac:dyDescent="0.25">
      <c r="B22" t="s">
        <v>398</v>
      </c>
    </row>
    <row r="23" spans="1:2" x14ac:dyDescent="0.25">
      <c r="B23" s="2">
        <v>2021</v>
      </c>
    </row>
    <row r="24" spans="1:2" x14ac:dyDescent="0.25">
      <c r="B24" t="s">
        <v>399</v>
      </c>
    </row>
    <row r="25" spans="1:2" x14ac:dyDescent="0.25">
      <c r="B25" t="s">
        <v>400</v>
      </c>
    </row>
    <row r="26" spans="1:2" x14ac:dyDescent="0.25">
      <c r="B26" t="s">
        <v>401</v>
      </c>
    </row>
    <row r="29" spans="1:2" x14ac:dyDescent="0.25">
      <c r="A29" s="1" t="s">
        <v>289</v>
      </c>
    </row>
    <row r="30" spans="1:2" x14ac:dyDescent="0.25">
      <c r="A30" t="s">
        <v>290</v>
      </c>
    </row>
    <row r="31" spans="1:2" x14ac:dyDescent="0.25">
      <c r="A31" t="s">
        <v>291</v>
      </c>
    </row>
    <row r="33" spans="1:1" x14ac:dyDescent="0.25">
      <c r="A33" t="s">
        <v>366</v>
      </c>
    </row>
    <row r="34" spans="1:1" x14ac:dyDescent="0.25">
      <c r="A34" t="s">
        <v>367</v>
      </c>
    </row>
    <row r="35" spans="1:1" x14ac:dyDescent="0.25">
      <c r="A35" t="s">
        <v>368</v>
      </c>
    </row>
    <row r="36" spans="1:1" x14ac:dyDescent="0.25">
      <c r="A36" t="s">
        <v>369</v>
      </c>
    </row>
    <row r="37" spans="1:1" x14ac:dyDescent="0.25">
      <c r="A37" t="s">
        <v>371</v>
      </c>
    </row>
    <row r="38" spans="1:1" x14ac:dyDescent="0.25">
      <c r="A38" t="s">
        <v>370</v>
      </c>
    </row>
    <row r="40" spans="1:1" x14ac:dyDescent="0.25">
      <c r="A40" t="s">
        <v>343</v>
      </c>
    </row>
    <row r="41" spans="1:1" x14ac:dyDescent="0.25">
      <c r="A41" t="s">
        <v>344</v>
      </c>
    </row>
    <row r="42" spans="1:1" x14ac:dyDescent="0.25">
      <c r="A42" t="s">
        <v>345</v>
      </c>
    </row>
    <row r="44" spans="1:1" x14ac:dyDescent="0.25">
      <c r="A44" t="s">
        <v>392</v>
      </c>
    </row>
    <row r="45" spans="1:1" x14ac:dyDescent="0.25">
      <c r="A45" t="s">
        <v>393</v>
      </c>
    </row>
    <row r="47" spans="1:1" x14ac:dyDescent="0.25">
      <c r="A47" s="1" t="s">
        <v>299</v>
      </c>
    </row>
    <row r="48" spans="1:1" x14ac:dyDescent="0.25">
      <c r="A48" s="1"/>
    </row>
    <row r="49" spans="1:3" x14ac:dyDescent="0.25">
      <c r="A49" s="160" t="s">
        <v>313</v>
      </c>
      <c r="B49" s="161"/>
    </row>
    <row r="50" spans="1:3" x14ac:dyDescent="0.25">
      <c r="A50" t="s">
        <v>331</v>
      </c>
      <c r="B50" t="s">
        <v>332</v>
      </c>
      <c r="C50" s="164" t="s">
        <v>341</v>
      </c>
    </row>
    <row r="51" spans="1:3" ht="30" x14ac:dyDescent="0.25">
      <c r="A51" s="162" t="s">
        <v>364</v>
      </c>
      <c r="B51" t="s">
        <v>314</v>
      </c>
    </row>
    <row r="52" spans="1:3" x14ac:dyDescent="0.25">
      <c r="A52" t="s">
        <v>306</v>
      </c>
      <c r="B52" t="s">
        <v>315</v>
      </c>
    </row>
    <row r="53" spans="1:3" x14ac:dyDescent="0.25">
      <c r="A53" t="s">
        <v>348</v>
      </c>
      <c r="B53" t="s">
        <v>365</v>
      </c>
    </row>
    <row r="54" spans="1:3" ht="45" x14ac:dyDescent="0.25">
      <c r="A54" s="162" t="s">
        <v>359</v>
      </c>
      <c r="B54" t="s">
        <v>394</v>
      </c>
    </row>
    <row r="55" spans="1:3" x14ac:dyDescent="0.25">
      <c r="A55" s="162" t="s">
        <v>361</v>
      </c>
      <c r="B55" t="s">
        <v>362</v>
      </c>
    </row>
    <row r="56" spans="1:3" x14ac:dyDescent="0.25">
      <c r="A56" s="162" t="s">
        <v>338</v>
      </c>
      <c r="B56" t="s">
        <v>339</v>
      </c>
      <c r="C56" s="164" t="s">
        <v>342</v>
      </c>
    </row>
    <row r="57" spans="1:3" x14ac:dyDescent="0.25">
      <c r="A57" s="162"/>
    </row>
    <row r="58" spans="1:3" x14ac:dyDescent="0.25">
      <c r="A58" s="160" t="s">
        <v>318</v>
      </c>
      <c r="B58" s="161"/>
    </row>
    <row r="59" spans="1:3" x14ac:dyDescent="0.25">
      <c r="A59" t="s">
        <v>331</v>
      </c>
      <c r="B59" t="s">
        <v>333</v>
      </c>
    </row>
    <row r="60" spans="1:3" ht="30" x14ac:dyDescent="0.25">
      <c r="A60" s="162" t="s">
        <v>364</v>
      </c>
      <c r="B60" t="s">
        <v>319</v>
      </c>
    </row>
    <row r="61" spans="1:3" x14ac:dyDescent="0.25">
      <c r="A61" t="s">
        <v>306</v>
      </c>
      <c r="B61" t="s">
        <v>320</v>
      </c>
    </row>
    <row r="62" spans="1:3" x14ac:dyDescent="0.25">
      <c r="A62" t="s">
        <v>348</v>
      </c>
      <c r="B62" t="s">
        <v>252</v>
      </c>
    </row>
    <row r="63" spans="1:3" ht="45" x14ac:dyDescent="0.25">
      <c r="A63" s="162" t="s">
        <v>363</v>
      </c>
      <c r="B63" t="s">
        <v>330</v>
      </c>
    </row>
    <row r="64" spans="1:3" x14ac:dyDescent="0.25">
      <c r="A64" s="162" t="s">
        <v>360</v>
      </c>
      <c r="B64" t="s">
        <v>395</v>
      </c>
    </row>
    <row r="65" spans="1:2" x14ac:dyDescent="0.25">
      <c r="A65" s="162" t="s">
        <v>336</v>
      </c>
      <c r="B65" t="s">
        <v>337</v>
      </c>
    </row>
    <row r="67" spans="1:2" x14ac:dyDescent="0.25">
      <c r="A67" s="160" t="s">
        <v>316</v>
      </c>
    </row>
    <row r="68" spans="1:2" x14ac:dyDescent="0.25">
      <c r="A68" t="s">
        <v>317</v>
      </c>
    </row>
    <row r="70" spans="1:2" x14ac:dyDescent="0.25">
      <c r="A70" s="160" t="s">
        <v>346</v>
      </c>
    </row>
    <row r="71" spans="1:2" x14ac:dyDescent="0.25">
      <c r="A71" t="s">
        <v>339</v>
      </c>
    </row>
    <row r="74" spans="1:2" x14ac:dyDescent="0.25">
      <c r="A74" s="159" t="s">
        <v>298</v>
      </c>
      <c r="B74" s="163"/>
    </row>
    <row r="75" spans="1:2" x14ac:dyDescent="0.25">
      <c r="A75">
        <v>42</v>
      </c>
      <c r="B75" t="s">
        <v>296</v>
      </c>
    </row>
    <row r="76" spans="1:2" x14ac:dyDescent="0.25">
      <c r="A76">
        <f>3.41214*10^6</f>
        <v>3412140</v>
      </c>
      <c r="B76" t="s">
        <v>321</v>
      </c>
    </row>
    <row r="77" spans="1:2" x14ac:dyDescent="0.25">
      <c r="A77">
        <v>61013</v>
      </c>
      <c r="B77" t="s">
        <v>403</v>
      </c>
    </row>
    <row r="79" spans="1:2" x14ac:dyDescent="0.25">
      <c r="A79" s="1"/>
    </row>
    <row r="81" spans="1:1" x14ac:dyDescent="0.25">
      <c r="A81" s="166"/>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87"/>
  <sheetViews>
    <sheetView workbookViewId="0">
      <pane xSplit="2" ySplit="1" topLeftCell="C2" activePane="bottomRight" state="frozen"/>
      <selection activeCell="C32" sqref="C32"/>
      <selection pane="topRight" activeCell="C32" sqref="C32"/>
      <selection pane="bottomLeft" activeCell="C32" sqref="C32"/>
      <selection pane="bottomRight" activeCell="A2" sqref="A2"/>
    </sheetView>
  </sheetViews>
  <sheetFormatPr defaultRowHeight="15" customHeight="1" x14ac:dyDescent="0.25"/>
  <cols>
    <col min="1" max="1" width="17.85546875" customWidth="1"/>
    <col min="2" max="2" width="40.7109375" customWidth="1"/>
  </cols>
  <sheetData>
    <row r="1" spans="1:30" s="167" customFormat="1" ht="15.75" x14ac:dyDescent="0.25">
      <c r="B1" s="167" t="s">
        <v>404</v>
      </c>
    </row>
    <row r="2" spans="1:30" s="168" customFormat="1" ht="12" x14ac:dyDescent="0.2"/>
    <row r="3" spans="1:30" s="168" customFormat="1" ht="12" x14ac:dyDescent="0.2">
      <c r="C3" s="168" t="s">
        <v>105</v>
      </c>
      <c r="D3" s="168" t="s">
        <v>405</v>
      </c>
    </row>
    <row r="4" spans="1:30" s="168" customFormat="1" ht="12" x14ac:dyDescent="0.2">
      <c r="C4" s="168" t="s">
        <v>104</v>
      </c>
      <c r="D4" s="168" t="s">
        <v>406</v>
      </c>
      <c r="F4" s="168" t="s">
        <v>407</v>
      </c>
    </row>
    <row r="5" spans="1:30" s="168" customFormat="1" ht="12" x14ac:dyDescent="0.2">
      <c r="C5" s="168" t="s">
        <v>103</v>
      </c>
      <c r="D5" s="168" t="s">
        <v>408</v>
      </c>
    </row>
    <row r="6" spans="1:30" s="168" customFormat="1" ht="12" x14ac:dyDescent="0.2">
      <c r="C6" s="168" t="s">
        <v>102</v>
      </c>
      <c r="E6" s="168" t="s">
        <v>409</v>
      </c>
    </row>
    <row r="7" spans="1:30" s="168" customFormat="1" ht="12" x14ac:dyDescent="0.2"/>
    <row r="8" spans="1:30" s="168" customFormat="1" ht="12" x14ac:dyDescent="0.2"/>
    <row r="9" spans="1:30" s="168" customFormat="1" ht="12" x14ac:dyDescent="0.2"/>
    <row r="10" spans="1:30" s="169" customFormat="1" ht="15.75" x14ac:dyDescent="0.25">
      <c r="B10" s="169" t="s">
        <v>410</v>
      </c>
    </row>
    <row r="11" spans="1:30" s="170" customFormat="1" ht="12" x14ac:dyDescent="0.2">
      <c r="B11" s="170" t="s">
        <v>411</v>
      </c>
    </row>
    <row r="12" spans="1:30" s="168" customFormat="1" ht="12" x14ac:dyDescent="0.2">
      <c r="AD12" s="168" t="s">
        <v>412</v>
      </c>
    </row>
    <row r="13" spans="1:30" s="171" customFormat="1" ht="12" x14ac:dyDescent="0.2">
      <c r="C13" s="171">
        <v>2024</v>
      </c>
      <c r="D13" s="171">
        <v>2025</v>
      </c>
      <c r="E13" s="171">
        <v>2026</v>
      </c>
      <c r="F13" s="171">
        <v>2027</v>
      </c>
      <c r="G13" s="171">
        <v>2028</v>
      </c>
      <c r="H13" s="171">
        <v>2029</v>
      </c>
      <c r="I13" s="171">
        <v>2030</v>
      </c>
      <c r="J13" s="171">
        <v>2031</v>
      </c>
      <c r="K13" s="171">
        <v>2032</v>
      </c>
      <c r="L13" s="171">
        <v>2033</v>
      </c>
      <c r="M13" s="171">
        <v>2034</v>
      </c>
      <c r="N13" s="171">
        <v>2035</v>
      </c>
      <c r="O13" s="171">
        <v>2036</v>
      </c>
      <c r="P13" s="171">
        <v>2037</v>
      </c>
      <c r="Q13" s="171">
        <v>2038</v>
      </c>
      <c r="R13" s="171">
        <v>2039</v>
      </c>
      <c r="S13" s="171">
        <v>2040</v>
      </c>
      <c r="T13" s="171">
        <v>2041</v>
      </c>
      <c r="U13" s="171">
        <v>2042</v>
      </c>
      <c r="V13" s="171">
        <v>2043</v>
      </c>
      <c r="W13" s="171">
        <v>2044</v>
      </c>
      <c r="X13" s="171">
        <v>2045</v>
      </c>
      <c r="Y13" s="171">
        <v>2046</v>
      </c>
      <c r="Z13" s="171">
        <v>2047</v>
      </c>
      <c r="AA13" s="171">
        <v>2048</v>
      </c>
      <c r="AB13" s="171">
        <v>2049</v>
      </c>
      <c r="AC13" s="171">
        <v>2050</v>
      </c>
      <c r="AD13" s="171" t="s">
        <v>413</v>
      </c>
    </row>
    <row r="14" spans="1:30" s="172" customFormat="1" ht="12" x14ac:dyDescent="0.2">
      <c r="B14" s="172" t="s">
        <v>40</v>
      </c>
    </row>
    <row r="15" spans="1:30" s="170" customFormat="1" ht="12" x14ac:dyDescent="0.2">
      <c r="B15" s="170" t="s">
        <v>414</v>
      </c>
    </row>
    <row r="16" spans="1:30" s="170" customFormat="1" ht="12" x14ac:dyDescent="0.2">
      <c r="A16" s="170" t="s">
        <v>101</v>
      </c>
      <c r="B16" s="170" t="s">
        <v>0</v>
      </c>
      <c r="C16" s="170">
        <v>6.6360001564025879</v>
      </c>
      <c r="D16" s="170">
        <v>6.6360001564025879</v>
      </c>
      <c r="E16" s="170">
        <v>6.6360001564025879</v>
      </c>
      <c r="F16" s="170">
        <v>6.6360001564025879</v>
      </c>
      <c r="G16" s="170">
        <v>6.6360001564025879</v>
      </c>
      <c r="H16" s="170">
        <v>6.6360001564025879</v>
      </c>
      <c r="I16" s="170">
        <v>6.6360001564025879</v>
      </c>
      <c r="J16" s="170">
        <v>6.6360001564025879</v>
      </c>
      <c r="K16" s="170">
        <v>6.6360001564025879</v>
      </c>
      <c r="L16" s="170">
        <v>6.6360001564025879</v>
      </c>
      <c r="M16" s="170">
        <v>6.6360001564025879</v>
      </c>
      <c r="N16" s="170">
        <v>6.6360001564025879</v>
      </c>
      <c r="O16" s="170">
        <v>6.6360001564025879</v>
      </c>
      <c r="P16" s="170">
        <v>6.6360001564025879</v>
      </c>
      <c r="Q16" s="170">
        <v>6.6360001564025879</v>
      </c>
      <c r="R16" s="170">
        <v>6.6360001564025879</v>
      </c>
      <c r="S16" s="170">
        <v>6.6360001564025879</v>
      </c>
      <c r="T16" s="170">
        <v>6.6360001564025879</v>
      </c>
      <c r="U16" s="170">
        <v>6.6360001564025879</v>
      </c>
      <c r="V16" s="170">
        <v>6.6360001564025879</v>
      </c>
      <c r="W16" s="170">
        <v>6.6360001564025879</v>
      </c>
      <c r="X16" s="170">
        <v>6.6360001564025879</v>
      </c>
      <c r="Y16" s="170">
        <v>6.6360001564025879</v>
      </c>
      <c r="Z16" s="170">
        <v>6.6360001564025879</v>
      </c>
      <c r="AA16" s="170">
        <v>6.6360001564025879</v>
      </c>
      <c r="AB16" s="170">
        <v>6.6360001564025879</v>
      </c>
      <c r="AC16" s="170">
        <v>6.6360001564025879</v>
      </c>
      <c r="AD16" s="170">
        <v>0</v>
      </c>
    </row>
    <row r="17" spans="1:30" s="170" customFormat="1" ht="12" x14ac:dyDescent="0.2">
      <c r="A17" s="170" t="s">
        <v>100</v>
      </c>
      <c r="B17" s="170" t="s">
        <v>1</v>
      </c>
      <c r="C17" s="170">
        <v>5.0479998588562012</v>
      </c>
      <c r="D17" s="170">
        <v>5.0479998588562012</v>
      </c>
      <c r="E17" s="170">
        <v>5.0479998588562012</v>
      </c>
      <c r="F17" s="170">
        <v>5.0479998588562012</v>
      </c>
      <c r="G17" s="170">
        <v>5.0479998588562012</v>
      </c>
      <c r="H17" s="170">
        <v>5.0479998588562012</v>
      </c>
      <c r="I17" s="170">
        <v>5.0479998588562012</v>
      </c>
      <c r="J17" s="170">
        <v>5.0479998588562012</v>
      </c>
      <c r="K17" s="170">
        <v>5.0479998588562012</v>
      </c>
      <c r="L17" s="170">
        <v>5.0479998588562012</v>
      </c>
      <c r="M17" s="170">
        <v>5.0479998588562012</v>
      </c>
      <c r="N17" s="170">
        <v>5.0479998588562012</v>
      </c>
      <c r="O17" s="170">
        <v>5.0479998588562012</v>
      </c>
      <c r="P17" s="170">
        <v>5.0479998588562012</v>
      </c>
      <c r="Q17" s="170">
        <v>5.0479998588562012</v>
      </c>
      <c r="R17" s="170">
        <v>5.0479998588562012</v>
      </c>
      <c r="S17" s="170">
        <v>5.0479998588562012</v>
      </c>
      <c r="T17" s="170">
        <v>5.0479998588562012</v>
      </c>
      <c r="U17" s="170">
        <v>5.0479998588562012</v>
      </c>
      <c r="V17" s="170">
        <v>5.0479998588562012</v>
      </c>
      <c r="W17" s="170">
        <v>5.0479998588562012</v>
      </c>
      <c r="X17" s="170">
        <v>5.0479998588562012</v>
      </c>
      <c r="Y17" s="170">
        <v>5.0479998588562012</v>
      </c>
      <c r="Z17" s="170">
        <v>5.0479998588562012</v>
      </c>
      <c r="AA17" s="170">
        <v>5.0479998588562012</v>
      </c>
      <c r="AB17" s="170">
        <v>5.0479998588562012</v>
      </c>
      <c r="AC17" s="170">
        <v>5.0479998588562012</v>
      </c>
      <c r="AD17" s="170">
        <v>0</v>
      </c>
    </row>
    <row r="18" spans="1:30" s="170" customFormat="1" ht="12" x14ac:dyDescent="0.2">
      <c r="A18" s="170" t="s">
        <v>99</v>
      </c>
      <c r="B18" s="170" t="s">
        <v>2</v>
      </c>
      <c r="C18" s="170">
        <v>5.3590002059936523</v>
      </c>
      <c r="D18" s="170">
        <v>5.3590002059936523</v>
      </c>
      <c r="E18" s="170">
        <v>5.3590002059936523</v>
      </c>
      <c r="F18" s="170">
        <v>5.3590002059936523</v>
      </c>
      <c r="G18" s="170">
        <v>5.3590002059936523</v>
      </c>
      <c r="H18" s="170">
        <v>5.3590002059936523</v>
      </c>
      <c r="I18" s="170">
        <v>5.3590002059936523</v>
      </c>
      <c r="J18" s="170">
        <v>5.3590002059936523</v>
      </c>
      <c r="K18" s="170">
        <v>5.3590002059936523</v>
      </c>
      <c r="L18" s="170">
        <v>5.3590002059936523</v>
      </c>
      <c r="M18" s="170">
        <v>5.3590002059936523</v>
      </c>
      <c r="N18" s="170">
        <v>5.3590002059936523</v>
      </c>
      <c r="O18" s="170">
        <v>5.3590002059936523</v>
      </c>
      <c r="P18" s="170">
        <v>5.3590002059936523</v>
      </c>
      <c r="Q18" s="170">
        <v>5.3590002059936523</v>
      </c>
      <c r="R18" s="170">
        <v>5.3590002059936523</v>
      </c>
      <c r="S18" s="170">
        <v>5.3590002059936523</v>
      </c>
      <c r="T18" s="170">
        <v>5.3590002059936523</v>
      </c>
      <c r="U18" s="170">
        <v>5.3590002059936523</v>
      </c>
      <c r="V18" s="170">
        <v>5.3590002059936523</v>
      </c>
      <c r="W18" s="170">
        <v>5.3590002059936523</v>
      </c>
      <c r="X18" s="170">
        <v>5.3590002059936523</v>
      </c>
      <c r="Y18" s="170">
        <v>5.3590002059936523</v>
      </c>
      <c r="Z18" s="170">
        <v>5.3590002059936523</v>
      </c>
      <c r="AA18" s="170">
        <v>5.3590002059936523</v>
      </c>
      <c r="AB18" s="170">
        <v>5.3590002059936523</v>
      </c>
      <c r="AC18" s="170">
        <v>5.3590002059936523</v>
      </c>
      <c r="AD18" s="170">
        <v>0</v>
      </c>
    </row>
    <row r="19" spans="1:30" s="170" customFormat="1" ht="12" x14ac:dyDescent="0.2">
      <c r="A19" s="170" t="s">
        <v>98</v>
      </c>
      <c r="B19" s="170" t="s">
        <v>3</v>
      </c>
      <c r="C19" s="170">
        <v>5.8249998092651367</v>
      </c>
      <c r="D19" s="170">
        <v>5.8249998092651367</v>
      </c>
      <c r="E19" s="170">
        <v>5.8249998092651367</v>
      </c>
      <c r="F19" s="170">
        <v>5.8249998092651367</v>
      </c>
      <c r="G19" s="170">
        <v>5.8249998092651367</v>
      </c>
      <c r="H19" s="170">
        <v>5.8249998092651367</v>
      </c>
      <c r="I19" s="170">
        <v>5.8249998092651367</v>
      </c>
      <c r="J19" s="170">
        <v>5.8249998092651367</v>
      </c>
      <c r="K19" s="170">
        <v>5.8249998092651367</v>
      </c>
      <c r="L19" s="170">
        <v>5.8249998092651367</v>
      </c>
      <c r="M19" s="170">
        <v>5.8249998092651367</v>
      </c>
      <c r="N19" s="170">
        <v>5.8249998092651367</v>
      </c>
      <c r="O19" s="170">
        <v>5.8249998092651367</v>
      </c>
      <c r="P19" s="170">
        <v>5.8249998092651367</v>
      </c>
      <c r="Q19" s="170">
        <v>5.8249998092651367</v>
      </c>
      <c r="R19" s="170">
        <v>5.8249998092651367</v>
      </c>
      <c r="S19" s="170">
        <v>5.8249998092651367</v>
      </c>
      <c r="T19" s="170">
        <v>5.8249998092651367</v>
      </c>
      <c r="U19" s="170">
        <v>5.8249998092651367</v>
      </c>
      <c r="V19" s="170">
        <v>5.8249998092651367</v>
      </c>
      <c r="W19" s="170">
        <v>5.8249998092651367</v>
      </c>
      <c r="X19" s="170">
        <v>5.8249998092651367</v>
      </c>
      <c r="Y19" s="170">
        <v>5.8249998092651367</v>
      </c>
      <c r="Z19" s="170">
        <v>5.8249998092651367</v>
      </c>
      <c r="AA19" s="170">
        <v>5.8249998092651367</v>
      </c>
      <c r="AB19" s="170">
        <v>5.8249998092651367</v>
      </c>
      <c r="AC19" s="170">
        <v>5.8249998092651367</v>
      </c>
      <c r="AD19" s="170">
        <v>0</v>
      </c>
    </row>
    <row r="20" spans="1:30" s="170" customFormat="1" ht="12" x14ac:dyDescent="0.2">
      <c r="A20" s="170" t="s">
        <v>97</v>
      </c>
      <c r="B20" s="170" t="s">
        <v>4</v>
      </c>
      <c r="C20" s="170">
        <v>5.7755923271179199</v>
      </c>
      <c r="D20" s="170">
        <v>5.7757983207702637</v>
      </c>
      <c r="E20" s="170">
        <v>5.7763595581054688</v>
      </c>
      <c r="F20" s="170">
        <v>5.7769083976745614</v>
      </c>
      <c r="G20" s="170">
        <v>5.7765970230102539</v>
      </c>
      <c r="H20" s="170">
        <v>5.7766475677490234</v>
      </c>
      <c r="I20" s="170">
        <v>5.7765045166015616</v>
      </c>
      <c r="J20" s="170">
        <v>5.7767424583435059</v>
      </c>
      <c r="K20" s="170">
        <v>5.7769532203674316</v>
      </c>
      <c r="L20" s="170">
        <v>5.777015209197998</v>
      </c>
      <c r="M20" s="170">
        <v>5.7770848274230957</v>
      </c>
      <c r="N20" s="170">
        <v>5.7772822380065918</v>
      </c>
      <c r="O20" s="170">
        <v>5.7772650718688956</v>
      </c>
      <c r="P20" s="170">
        <v>5.7773728370666504</v>
      </c>
      <c r="Q20" s="170">
        <v>5.7773809432983398</v>
      </c>
      <c r="R20" s="170">
        <v>5.7774128913879386</v>
      </c>
      <c r="S20" s="170">
        <v>5.7774543762207031</v>
      </c>
      <c r="T20" s="170">
        <v>5.7775239944458008</v>
      </c>
      <c r="U20" s="170">
        <v>5.7776355743408203</v>
      </c>
      <c r="V20" s="170">
        <v>5.7776851654052734</v>
      </c>
      <c r="W20" s="170">
        <v>5.7776522636413574</v>
      </c>
      <c r="X20" s="170">
        <v>5.7776870727539063</v>
      </c>
      <c r="Y20" s="170">
        <v>5.7776412963867188</v>
      </c>
      <c r="Z20" s="170">
        <v>5.7775740623474121</v>
      </c>
      <c r="AA20" s="170">
        <v>5.77764892578125</v>
      </c>
      <c r="AB20" s="170">
        <v>5.777625560760498</v>
      </c>
      <c r="AC20" s="170">
        <v>5.777587890625</v>
      </c>
      <c r="AD20" s="170">
        <v>1.3286896213271501E-5</v>
      </c>
    </row>
    <row r="21" spans="1:30" s="170" customFormat="1" ht="12" x14ac:dyDescent="0.2">
      <c r="A21" s="170" t="s">
        <v>96</v>
      </c>
      <c r="B21" s="170" t="s">
        <v>5</v>
      </c>
      <c r="C21" s="170">
        <v>5.7755923271179199</v>
      </c>
      <c r="D21" s="170">
        <v>5.7757983207702637</v>
      </c>
      <c r="E21" s="170">
        <v>5.7763595581054688</v>
      </c>
      <c r="F21" s="170">
        <v>5.7769083976745614</v>
      </c>
      <c r="G21" s="170">
        <v>5.7765970230102539</v>
      </c>
      <c r="H21" s="170">
        <v>5.7766475677490234</v>
      </c>
      <c r="I21" s="170">
        <v>5.7765045166015616</v>
      </c>
      <c r="J21" s="170">
        <v>5.7767424583435059</v>
      </c>
      <c r="K21" s="170">
        <v>5.7769532203674316</v>
      </c>
      <c r="L21" s="170">
        <v>5.777015209197998</v>
      </c>
      <c r="M21" s="170">
        <v>5.7770848274230957</v>
      </c>
      <c r="N21" s="170">
        <v>5.7772822380065918</v>
      </c>
      <c r="O21" s="170">
        <v>5.7772650718688956</v>
      </c>
      <c r="P21" s="170">
        <v>5.7773728370666504</v>
      </c>
      <c r="Q21" s="170">
        <v>5.7773809432983398</v>
      </c>
      <c r="R21" s="170">
        <v>5.7774128913879386</v>
      </c>
      <c r="S21" s="170">
        <v>5.7774543762207031</v>
      </c>
      <c r="T21" s="170">
        <v>5.7775239944458008</v>
      </c>
      <c r="U21" s="170">
        <v>5.7776355743408203</v>
      </c>
      <c r="V21" s="170">
        <v>5.7776851654052734</v>
      </c>
      <c r="W21" s="170">
        <v>5.7776522636413574</v>
      </c>
      <c r="X21" s="170">
        <v>5.7776870727539063</v>
      </c>
      <c r="Y21" s="170">
        <v>5.7776412963867188</v>
      </c>
      <c r="Z21" s="170">
        <v>5.7775740623474121</v>
      </c>
      <c r="AA21" s="170">
        <v>5.77764892578125</v>
      </c>
      <c r="AB21" s="170">
        <v>5.777625560760498</v>
      </c>
      <c r="AC21" s="170">
        <v>5.777587890625</v>
      </c>
      <c r="AD21" s="170">
        <v>1.3286896213271501E-5</v>
      </c>
    </row>
    <row r="22" spans="1:30" s="170" customFormat="1" ht="12" x14ac:dyDescent="0.2">
      <c r="A22" s="170" t="s">
        <v>95</v>
      </c>
      <c r="B22" s="170" t="s">
        <v>6</v>
      </c>
      <c r="C22" s="170">
        <v>5.7755923271179199</v>
      </c>
      <c r="D22" s="170">
        <v>5.7757983207702637</v>
      </c>
      <c r="E22" s="170">
        <v>5.7763595581054688</v>
      </c>
      <c r="F22" s="170">
        <v>5.7769083976745614</v>
      </c>
      <c r="G22" s="170">
        <v>5.7765970230102539</v>
      </c>
      <c r="H22" s="170">
        <v>5.7766475677490234</v>
      </c>
      <c r="I22" s="170">
        <v>5.7765045166015616</v>
      </c>
      <c r="J22" s="170">
        <v>5.7767424583435059</v>
      </c>
      <c r="K22" s="170">
        <v>5.7769532203674316</v>
      </c>
      <c r="L22" s="170">
        <v>5.777015209197998</v>
      </c>
      <c r="M22" s="170">
        <v>5.7770848274230957</v>
      </c>
      <c r="N22" s="170">
        <v>5.7772822380065918</v>
      </c>
      <c r="O22" s="170">
        <v>5.7772650718688956</v>
      </c>
      <c r="P22" s="170">
        <v>5.7773728370666504</v>
      </c>
      <c r="Q22" s="170">
        <v>5.7773809432983398</v>
      </c>
      <c r="R22" s="170">
        <v>5.7774128913879386</v>
      </c>
      <c r="S22" s="170">
        <v>5.7774543762207031</v>
      </c>
      <c r="T22" s="170">
        <v>5.7775239944458008</v>
      </c>
      <c r="U22" s="170">
        <v>5.7776355743408203</v>
      </c>
      <c r="V22" s="170">
        <v>5.7776851654052734</v>
      </c>
      <c r="W22" s="170">
        <v>5.7776522636413574</v>
      </c>
      <c r="X22" s="170">
        <v>5.7776870727539063</v>
      </c>
      <c r="Y22" s="170">
        <v>5.7776412963867188</v>
      </c>
      <c r="Z22" s="170">
        <v>5.7775740623474121</v>
      </c>
      <c r="AA22" s="170">
        <v>5.77764892578125</v>
      </c>
      <c r="AB22" s="170">
        <v>5.777625560760498</v>
      </c>
      <c r="AC22" s="170">
        <v>5.777587890625</v>
      </c>
      <c r="AD22" s="170">
        <v>1.3286896213271501E-5</v>
      </c>
    </row>
    <row r="23" spans="1:30" s="170" customFormat="1" ht="12" x14ac:dyDescent="0.2">
      <c r="A23" s="170" t="s">
        <v>94</v>
      </c>
      <c r="B23" s="170" t="s">
        <v>7</v>
      </c>
      <c r="C23" s="170">
        <v>5.7755923271179199</v>
      </c>
      <c r="D23" s="170">
        <v>5.7757983207702637</v>
      </c>
      <c r="E23" s="170">
        <v>5.7763595581054688</v>
      </c>
      <c r="F23" s="170">
        <v>5.7769083976745614</v>
      </c>
      <c r="G23" s="170">
        <v>5.7765970230102539</v>
      </c>
      <c r="H23" s="170">
        <v>5.7766475677490234</v>
      </c>
      <c r="I23" s="170">
        <v>5.7765045166015616</v>
      </c>
      <c r="J23" s="170">
        <v>5.7767424583435059</v>
      </c>
      <c r="K23" s="170">
        <v>5.7769532203674316</v>
      </c>
      <c r="L23" s="170">
        <v>5.777015209197998</v>
      </c>
      <c r="M23" s="170">
        <v>5.7770848274230957</v>
      </c>
      <c r="N23" s="170">
        <v>5.7772822380065918</v>
      </c>
      <c r="O23" s="170">
        <v>5.7772650718688956</v>
      </c>
      <c r="P23" s="170">
        <v>5.7773728370666504</v>
      </c>
      <c r="Q23" s="170">
        <v>5.7773809432983398</v>
      </c>
      <c r="R23" s="170">
        <v>5.7774128913879386</v>
      </c>
      <c r="S23" s="170">
        <v>5.7774543762207031</v>
      </c>
      <c r="T23" s="170">
        <v>5.7775239944458008</v>
      </c>
      <c r="U23" s="170">
        <v>5.7776355743408203</v>
      </c>
      <c r="V23" s="170">
        <v>5.7776851654052734</v>
      </c>
      <c r="W23" s="170">
        <v>5.7776522636413574</v>
      </c>
      <c r="X23" s="170">
        <v>5.7776870727539063</v>
      </c>
      <c r="Y23" s="170">
        <v>5.7776412963867188</v>
      </c>
      <c r="Z23" s="170">
        <v>5.7775740623474121</v>
      </c>
      <c r="AA23" s="170">
        <v>5.77764892578125</v>
      </c>
      <c r="AB23" s="170">
        <v>5.777625560760498</v>
      </c>
      <c r="AC23" s="170">
        <v>5.777587890625</v>
      </c>
      <c r="AD23" s="170">
        <v>1.3286896213271501E-5</v>
      </c>
    </row>
    <row r="24" spans="1:30" s="170" customFormat="1" ht="12" x14ac:dyDescent="0.2">
      <c r="A24" s="170" t="s">
        <v>93</v>
      </c>
      <c r="B24" s="170" t="s">
        <v>8</v>
      </c>
      <c r="C24" s="170">
        <v>5.7755923271179199</v>
      </c>
      <c r="D24" s="170">
        <v>5.7757983207702637</v>
      </c>
      <c r="E24" s="170">
        <v>5.7763595581054688</v>
      </c>
      <c r="F24" s="170">
        <v>5.7769083976745614</v>
      </c>
      <c r="G24" s="170">
        <v>5.7765970230102539</v>
      </c>
      <c r="H24" s="170">
        <v>5.7766475677490234</v>
      </c>
      <c r="I24" s="170">
        <v>5.7765045166015616</v>
      </c>
      <c r="J24" s="170">
        <v>5.7767424583435059</v>
      </c>
      <c r="K24" s="170">
        <v>5.7769532203674316</v>
      </c>
      <c r="L24" s="170">
        <v>5.777015209197998</v>
      </c>
      <c r="M24" s="170">
        <v>5.7770848274230957</v>
      </c>
      <c r="N24" s="170">
        <v>5.7772822380065918</v>
      </c>
      <c r="O24" s="170">
        <v>5.7772650718688956</v>
      </c>
      <c r="P24" s="170">
        <v>5.7773728370666504</v>
      </c>
      <c r="Q24" s="170">
        <v>5.7773809432983398</v>
      </c>
      <c r="R24" s="170">
        <v>5.7774128913879386</v>
      </c>
      <c r="S24" s="170">
        <v>5.7774543762207031</v>
      </c>
      <c r="T24" s="170">
        <v>5.7775239944458008</v>
      </c>
      <c r="U24" s="170">
        <v>5.7776355743408203</v>
      </c>
      <c r="V24" s="170">
        <v>5.7776851654052734</v>
      </c>
      <c r="W24" s="170">
        <v>5.7776522636413574</v>
      </c>
      <c r="X24" s="170">
        <v>5.7776870727539063</v>
      </c>
      <c r="Y24" s="170">
        <v>5.7776412963867188</v>
      </c>
      <c r="Z24" s="170">
        <v>5.7775740623474121</v>
      </c>
      <c r="AA24" s="170">
        <v>5.77764892578125</v>
      </c>
      <c r="AB24" s="170">
        <v>5.777625560760498</v>
      </c>
      <c r="AC24" s="170">
        <v>5.777587890625</v>
      </c>
      <c r="AD24" s="170">
        <v>1.3286896213271501E-5</v>
      </c>
    </row>
    <row r="25" spans="1:30" s="170" customFormat="1" ht="12" x14ac:dyDescent="0.2">
      <c r="A25" s="170" t="s">
        <v>92</v>
      </c>
      <c r="B25" s="170" t="s">
        <v>9</v>
      </c>
      <c r="C25" s="170">
        <v>5.7755923271179199</v>
      </c>
      <c r="D25" s="170">
        <v>5.7757987976074219</v>
      </c>
      <c r="E25" s="170">
        <v>5.7763595581054688</v>
      </c>
      <c r="F25" s="170">
        <v>5.7769088745117188</v>
      </c>
      <c r="G25" s="170">
        <v>5.7765974998474121</v>
      </c>
      <c r="H25" s="170">
        <v>5.7766475677490234</v>
      </c>
      <c r="I25" s="170">
        <v>5.7765045166015616</v>
      </c>
      <c r="J25" s="170">
        <v>5.7767424583435059</v>
      </c>
      <c r="K25" s="170">
        <v>5.7769536972045898</v>
      </c>
      <c r="L25" s="170">
        <v>5.7770147323608398</v>
      </c>
      <c r="M25" s="170">
        <v>5.7770838737487793</v>
      </c>
      <c r="N25" s="170">
        <v>5.7772822380065918</v>
      </c>
      <c r="O25" s="170">
        <v>5.7772650718688956</v>
      </c>
      <c r="P25" s="170">
        <v>5.7773728370666504</v>
      </c>
      <c r="Q25" s="170">
        <v>5.7773809432983398</v>
      </c>
      <c r="R25" s="170">
        <v>5.7774133682250977</v>
      </c>
      <c r="S25" s="170">
        <v>5.7774543762207031</v>
      </c>
      <c r="T25" s="170">
        <v>5.777524471282959</v>
      </c>
      <c r="U25" s="170">
        <v>5.7776350975036621</v>
      </c>
      <c r="V25" s="170">
        <v>5.7776856422424316</v>
      </c>
      <c r="W25" s="170">
        <v>5.7776527404785156</v>
      </c>
      <c r="X25" s="170">
        <v>5.7776875495910636</v>
      </c>
      <c r="Y25" s="170">
        <v>5.7776412963867188</v>
      </c>
      <c r="Z25" s="170">
        <v>5.7775735855102539</v>
      </c>
      <c r="AA25" s="170">
        <v>5.7776484489440918</v>
      </c>
      <c r="AB25" s="170">
        <v>5.777625560760498</v>
      </c>
      <c r="AC25" s="170">
        <v>5.777587890625</v>
      </c>
      <c r="AD25" s="170">
        <v>1.3286896213271501E-5</v>
      </c>
    </row>
    <row r="26" spans="1:30" s="170" customFormat="1" ht="12" x14ac:dyDescent="0.2">
      <c r="A26" s="170" t="s">
        <v>91</v>
      </c>
      <c r="B26" s="170" t="s">
        <v>10</v>
      </c>
      <c r="C26" s="170">
        <v>5.8169999122619629</v>
      </c>
      <c r="D26" s="170">
        <v>5.8169999122619629</v>
      </c>
      <c r="E26" s="170">
        <v>5.8169999122619629</v>
      </c>
      <c r="F26" s="170">
        <v>5.8169999122619629</v>
      </c>
      <c r="G26" s="170">
        <v>5.8169999122619629</v>
      </c>
      <c r="H26" s="170">
        <v>5.8169999122619629</v>
      </c>
      <c r="I26" s="170">
        <v>5.8169999122619629</v>
      </c>
      <c r="J26" s="170">
        <v>5.8169999122619629</v>
      </c>
      <c r="K26" s="170">
        <v>5.8169999122619629</v>
      </c>
      <c r="L26" s="170">
        <v>5.8169999122619629</v>
      </c>
      <c r="M26" s="170">
        <v>5.8169999122619629</v>
      </c>
      <c r="N26" s="170">
        <v>5.8169999122619629</v>
      </c>
      <c r="O26" s="170">
        <v>5.8169999122619629</v>
      </c>
      <c r="P26" s="170">
        <v>5.8169999122619629</v>
      </c>
      <c r="Q26" s="170">
        <v>5.8169999122619629</v>
      </c>
      <c r="R26" s="170">
        <v>5.8169999122619629</v>
      </c>
      <c r="S26" s="170">
        <v>5.8169999122619629</v>
      </c>
      <c r="T26" s="170">
        <v>5.8169999122619629</v>
      </c>
      <c r="U26" s="170">
        <v>5.8169999122619629</v>
      </c>
      <c r="V26" s="170">
        <v>5.8169999122619629</v>
      </c>
      <c r="W26" s="170">
        <v>5.8169999122619629</v>
      </c>
      <c r="X26" s="170">
        <v>5.8169999122619629</v>
      </c>
      <c r="Y26" s="170">
        <v>5.8169999122619629</v>
      </c>
      <c r="Z26" s="170">
        <v>5.8169999122619629</v>
      </c>
      <c r="AA26" s="170">
        <v>5.8169999122619629</v>
      </c>
      <c r="AB26" s="170">
        <v>5.8169999122619629</v>
      </c>
      <c r="AC26" s="170">
        <v>5.8169999122619629</v>
      </c>
      <c r="AD26" s="170">
        <v>0</v>
      </c>
    </row>
    <row r="27" spans="1:30" s="170" customFormat="1" ht="12" x14ac:dyDescent="0.2">
      <c r="A27" s="170" t="s">
        <v>90</v>
      </c>
      <c r="B27" s="170" t="s">
        <v>11</v>
      </c>
      <c r="C27" s="170">
        <v>5.7699999809265137</v>
      </c>
      <c r="D27" s="170">
        <v>5.7699999809265137</v>
      </c>
      <c r="E27" s="170">
        <v>5.7699999809265137</v>
      </c>
      <c r="F27" s="170">
        <v>5.7699999809265137</v>
      </c>
      <c r="G27" s="170">
        <v>5.7699999809265137</v>
      </c>
      <c r="H27" s="170">
        <v>5.7699999809265137</v>
      </c>
      <c r="I27" s="170">
        <v>5.7699999809265137</v>
      </c>
      <c r="J27" s="170">
        <v>5.7699999809265137</v>
      </c>
      <c r="K27" s="170">
        <v>5.7699999809265137</v>
      </c>
      <c r="L27" s="170">
        <v>5.7699999809265137</v>
      </c>
      <c r="M27" s="170">
        <v>5.7699999809265137</v>
      </c>
      <c r="N27" s="170">
        <v>5.7699999809265137</v>
      </c>
      <c r="O27" s="170">
        <v>5.7699999809265137</v>
      </c>
      <c r="P27" s="170">
        <v>5.7699999809265137</v>
      </c>
      <c r="Q27" s="170">
        <v>5.7699999809265137</v>
      </c>
      <c r="R27" s="170">
        <v>5.7699999809265137</v>
      </c>
      <c r="S27" s="170">
        <v>5.7699999809265137</v>
      </c>
      <c r="T27" s="170">
        <v>5.7699999809265137</v>
      </c>
      <c r="U27" s="170">
        <v>5.7699999809265137</v>
      </c>
      <c r="V27" s="170">
        <v>5.7699999809265137</v>
      </c>
      <c r="W27" s="170">
        <v>5.7699999809265137</v>
      </c>
      <c r="X27" s="170">
        <v>5.7699999809265137</v>
      </c>
      <c r="Y27" s="170">
        <v>5.7699999809265137</v>
      </c>
      <c r="Z27" s="170">
        <v>5.7699999809265137</v>
      </c>
      <c r="AA27" s="170">
        <v>5.7699999809265137</v>
      </c>
      <c r="AB27" s="170">
        <v>5.7699999809265137</v>
      </c>
      <c r="AC27" s="170">
        <v>5.7699999809265137</v>
      </c>
      <c r="AD27" s="170">
        <v>0</v>
      </c>
    </row>
    <row r="28" spans="1:30" s="170" customFormat="1" ht="12" x14ac:dyDescent="0.2">
      <c r="A28" s="170" t="s">
        <v>89</v>
      </c>
      <c r="B28" s="170" t="s">
        <v>88</v>
      </c>
      <c r="C28" s="170">
        <v>3.562999963760376</v>
      </c>
      <c r="D28" s="170">
        <v>3.562999963760376</v>
      </c>
      <c r="E28" s="170">
        <v>3.562999963760376</v>
      </c>
      <c r="F28" s="170">
        <v>3.562999963760376</v>
      </c>
      <c r="G28" s="170">
        <v>3.562999963760376</v>
      </c>
      <c r="H28" s="170">
        <v>3.562999963760376</v>
      </c>
      <c r="I28" s="170">
        <v>3.562999963760376</v>
      </c>
      <c r="J28" s="170">
        <v>3.562999963760376</v>
      </c>
      <c r="K28" s="170">
        <v>3.562999963760376</v>
      </c>
      <c r="L28" s="170">
        <v>3.562999963760376</v>
      </c>
      <c r="M28" s="170">
        <v>3.562999963760376</v>
      </c>
      <c r="N28" s="170">
        <v>3.562999963760376</v>
      </c>
      <c r="O28" s="170">
        <v>3.562999963760376</v>
      </c>
      <c r="P28" s="170">
        <v>3.562999963760376</v>
      </c>
      <c r="Q28" s="170">
        <v>3.562999963760376</v>
      </c>
      <c r="R28" s="170">
        <v>3.562999963760376</v>
      </c>
      <c r="S28" s="170">
        <v>3.562999963760376</v>
      </c>
      <c r="T28" s="170">
        <v>3.562999963760376</v>
      </c>
      <c r="U28" s="170">
        <v>3.562999963760376</v>
      </c>
      <c r="V28" s="170">
        <v>3.562999963760376</v>
      </c>
      <c r="W28" s="170">
        <v>3.562999963760376</v>
      </c>
      <c r="X28" s="170">
        <v>3.562999963760376</v>
      </c>
      <c r="Y28" s="170">
        <v>3.562999963760376</v>
      </c>
      <c r="Z28" s="170">
        <v>3.562999963760376</v>
      </c>
      <c r="AA28" s="170">
        <v>3.562999963760376</v>
      </c>
      <c r="AB28" s="170">
        <v>3.562999963760376</v>
      </c>
      <c r="AC28" s="170">
        <v>3.562999963760376</v>
      </c>
      <c r="AD28" s="170">
        <v>0</v>
      </c>
    </row>
    <row r="29" spans="1:30" s="170" customFormat="1" ht="12" x14ac:dyDescent="0.2">
      <c r="A29" s="170" t="s">
        <v>87</v>
      </c>
      <c r="B29" s="170" t="s">
        <v>415</v>
      </c>
      <c r="C29" s="170">
        <v>3.994412899017334</v>
      </c>
      <c r="D29" s="170">
        <v>3.994412899017334</v>
      </c>
      <c r="E29" s="170">
        <v>3.994412899017334</v>
      </c>
      <c r="F29" s="170">
        <v>3.994412899017334</v>
      </c>
      <c r="G29" s="170">
        <v>3.994412899017334</v>
      </c>
      <c r="H29" s="170">
        <v>3.994412899017334</v>
      </c>
      <c r="I29" s="170">
        <v>3.994412899017334</v>
      </c>
      <c r="J29" s="170">
        <v>3.994412899017334</v>
      </c>
      <c r="K29" s="170">
        <v>3.994412899017334</v>
      </c>
      <c r="L29" s="170">
        <v>3.994412899017334</v>
      </c>
      <c r="M29" s="170">
        <v>3.994412899017334</v>
      </c>
      <c r="N29" s="170">
        <v>3.994412899017334</v>
      </c>
      <c r="O29" s="170">
        <v>3.994412899017334</v>
      </c>
      <c r="P29" s="170">
        <v>3.994412899017334</v>
      </c>
      <c r="Q29" s="170">
        <v>3.994412899017334</v>
      </c>
      <c r="R29" s="170">
        <v>3.994412899017334</v>
      </c>
      <c r="S29" s="170">
        <v>3.994412899017334</v>
      </c>
      <c r="T29" s="170">
        <v>3.994412899017334</v>
      </c>
      <c r="U29" s="170">
        <v>3.994412899017334</v>
      </c>
      <c r="V29" s="170">
        <v>3.994412899017334</v>
      </c>
      <c r="W29" s="170">
        <v>3.994412899017334</v>
      </c>
      <c r="X29" s="170">
        <v>3.994412899017334</v>
      </c>
      <c r="Y29" s="170">
        <v>3.994412899017334</v>
      </c>
      <c r="Z29" s="170">
        <v>3.994412899017334</v>
      </c>
      <c r="AA29" s="170">
        <v>3.994412899017334</v>
      </c>
      <c r="AB29" s="170">
        <v>3.994412899017334</v>
      </c>
      <c r="AC29" s="170">
        <v>3.994412899017334</v>
      </c>
      <c r="AD29" s="170">
        <v>0</v>
      </c>
    </row>
    <row r="30" spans="1:30" s="170" customFormat="1" ht="12" x14ac:dyDescent="0.2">
      <c r="A30" s="170" t="s">
        <v>86</v>
      </c>
      <c r="B30" s="170" t="s">
        <v>12</v>
      </c>
      <c r="C30" s="170">
        <v>5.6700000762939453</v>
      </c>
      <c r="D30" s="170">
        <v>5.6700000762939453</v>
      </c>
      <c r="E30" s="170">
        <v>5.6700000762939453</v>
      </c>
      <c r="F30" s="170">
        <v>5.6700000762939453</v>
      </c>
      <c r="G30" s="170">
        <v>5.6700000762939453</v>
      </c>
      <c r="H30" s="170">
        <v>5.6700000762939453</v>
      </c>
      <c r="I30" s="170">
        <v>5.6700000762939453</v>
      </c>
      <c r="J30" s="170">
        <v>5.6700000762939453</v>
      </c>
      <c r="K30" s="170">
        <v>5.6700000762939453</v>
      </c>
      <c r="L30" s="170">
        <v>5.6700000762939453</v>
      </c>
      <c r="M30" s="170">
        <v>5.6700000762939453</v>
      </c>
      <c r="N30" s="170">
        <v>5.6700000762939453</v>
      </c>
      <c r="O30" s="170">
        <v>5.6700000762939453</v>
      </c>
      <c r="P30" s="170">
        <v>5.6700000762939453</v>
      </c>
      <c r="Q30" s="170">
        <v>5.6700000762939453</v>
      </c>
      <c r="R30" s="170">
        <v>5.6700000762939453</v>
      </c>
      <c r="S30" s="170">
        <v>5.6700000762939453</v>
      </c>
      <c r="T30" s="170">
        <v>5.6700000762939453</v>
      </c>
      <c r="U30" s="170">
        <v>5.6700000762939453</v>
      </c>
      <c r="V30" s="170">
        <v>5.6700000762939453</v>
      </c>
      <c r="W30" s="170">
        <v>5.6700000762939453</v>
      </c>
      <c r="X30" s="170">
        <v>5.6700000762939453</v>
      </c>
      <c r="Y30" s="170">
        <v>5.6700000762939453</v>
      </c>
      <c r="Z30" s="170">
        <v>5.6700000762939453</v>
      </c>
      <c r="AA30" s="170">
        <v>5.6700000762939453</v>
      </c>
      <c r="AB30" s="170">
        <v>5.6700000762939453</v>
      </c>
      <c r="AC30" s="170">
        <v>5.6700000762939453</v>
      </c>
      <c r="AD30" s="170">
        <v>0</v>
      </c>
    </row>
    <row r="31" spans="1:30" s="170" customFormat="1" ht="12" x14ac:dyDescent="0.2">
      <c r="A31" s="170" t="s">
        <v>85</v>
      </c>
      <c r="B31" s="170" t="s">
        <v>13</v>
      </c>
      <c r="C31" s="170">
        <v>6.065000057220459</v>
      </c>
      <c r="D31" s="170">
        <v>6.065000057220459</v>
      </c>
      <c r="E31" s="170">
        <v>6.065000057220459</v>
      </c>
      <c r="F31" s="170">
        <v>6.065000057220459</v>
      </c>
      <c r="G31" s="170">
        <v>6.065000057220459</v>
      </c>
      <c r="H31" s="170">
        <v>6.065000057220459</v>
      </c>
      <c r="I31" s="170">
        <v>6.065000057220459</v>
      </c>
      <c r="J31" s="170">
        <v>6.065000057220459</v>
      </c>
      <c r="K31" s="170">
        <v>6.065000057220459</v>
      </c>
      <c r="L31" s="170">
        <v>6.065000057220459</v>
      </c>
      <c r="M31" s="170">
        <v>6.065000057220459</v>
      </c>
      <c r="N31" s="170">
        <v>6.065000057220459</v>
      </c>
      <c r="O31" s="170">
        <v>6.065000057220459</v>
      </c>
      <c r="P31" s="170">
        <v>6.065000057220459</v>
      </c>
      <c r="Q31" s="170">
        <v>6.065000057220459</v>
      </c>
      <c r="R31" s="170">
        <v>6.065000057220459</v>
      </c>
      <c r="S31" s="170">
        <v>6.065000057220459</v>
      </c>
      <c r="T31" s="170">
        <v>6.065000057220459</v>
      </c>
      <c r="U31" s="170">
        <v>6.065000057220459</v>
      </c>
      <c r="V31" s="170">
        <v>6.065000057220459</v>
      </c>
      <c r="W31" s="170">
        <v>6.065000057220459</v>
      </c>
      <c r="X31" s="170">
        <v>6.065000057220459</v>
      </c>
      <c r="Y31" s="170">
        <v>6.065000057220459</v>
      </c>
      <c r="Z31" s="170">
        <v>6.065000057220459</v>
      </c>
      <c r="AA31" s="170">
        <v>6.065000057220459</v>
      </c>
      <c r="AB31" s="170">
        <v>6.065000057220459</v>
      </c>
      <c r="AC31" s="170">
        <v>6.065000057220459</v>
      </c>
      <c r="AD31" s="170">
        <v>0</v>
      </c>
    </row>
    <row r="32" spans="1:30" s="170" customFormat="1" ht="12" x14ac:dyDescent="0.2">
      <c r="A32" s="170" t="s">
        <v>84</v>
      </c>
      <c r="B32" s="170" t="s">
        <v>14</v>
      </c>
      <c r="C32" s="170">
        <v>5.0493683815002441</v>
      </c>
      <c r="D32" s="170">
        <v>5.0481958389282227</v>
      </c>
      <c r="E32" s="170">
        <v>5.0470008850097656</v>
      </c>
      <c r="F32" s="170">
        <v>5.0457987785339364</v>
      </c>
      <c r="G32" s="170">
        <v>5.0445899963378906</v>
      </c>
      <c r="H32" s="170">
        <v>5.0433769226074219</v>
      </c>
      <c r="I32" s="170">
        <v>5.0421528816223136</v>
      </c>
      <c r="J32" s="170">
        <v>5.0409283638000488</v>
      </c>
      <c r="K32" s="170">
        <v>5.0396981239318848</v>
      </c>
      <c r="L32" s="170">
        <v>5.0384631156921387</v>
      </c>
      <c r="M32" s="170">
        <v>5.0372262001037598</v>
      </c>
      <c r="N32" s="170">
        <v>5.0359869003295898</v>
      </c>
      <c r="O32" s="170">
        <v>5.0349283218383789</v>
      </c>
      <c r="P32" s="170">
        <v>5.0338730812072754</v>
      </c>
      <c r="Q32" s="170">
        <v>5.0328555107116699</v>
      </c>
      <c r="R32" s="170">
        <v>5.0318474769592294</v>
      </c>
      <c r="S32" s="170">
        <v>5.0308418273925781</v>
      </c>
      <c r="T32" s="170">
        <v>5.029930591583252</v>
      </c>
      <c r="U32" s="170">
        <v>5.0290074348449707</v>
      </c>
      <c r="V32" s="170">
        <v>5.0280904769897461</v>
      </c>
      <c r="W32" s="170">
        <v>5.027184009552002</v>
      </c>
      <c r="X32" s="170">
        <v>5.026278018951416</v>
      </c>
      <c r="Y32" s="170">
        <v>5.0253777503967294</v>
      </c>
      <c r="Z32" s="170">
        <v>5.0244746208190918</v>
      </c>
      <c r="AA32" s="170">
        <v>5.023557186126709</v>
      </c>
      <c r="AB32" s="170">
        <v>5.0226426124572754</v>
      </c>
      <c r="AC32" s="170">
        <v>5.021735668182373</v>
      </c>
      <c r="AD32" s="170">
        <v>-2.110368791667927E-4</v>
      </c>
    </row>
    <row r="33" spans="1:30" s="170" customFormat="1" ht="12" x14ac:dyDescent="0.2">
      <c r="A33" s="170" t="s">
        <v>83</v>
      </c>
      <c r="B33" s="170" t="s">
        <v>358</v>
      </c>
      <c r="C33" s="170">
        <v>5.2529997825622559</v>
      </c>
      <c r="D33" s="170">
        <v>5.2529997825622559</v>
      </c>
      <c r="E33" s="170">
        <v>5.2529997825622559</v>
      </c>
      <c r="F33" s="170">
        <v>5.2529997825622559</v>
      </c>
      <c r="G33" s="170">
        <v>5.2529997825622559</v>
      </c>
      <c r="H33" s="170">
        <v>5.2529997825622559</v>
      </c>
      <c r="I33" s="170">
        <v>5.2529997825622559</v>
      </c>
      <c r="J33" s="170">
        <v>5.2529997825622559</v>
      </c>
      <c r="K33" s="170">
        <v>5.2529997825622559</v>
      </c>
      <c r="L33" s="170">
        <v>5.2529997825622559</v>
      </c>
      <c r="M33" s="170">
        <v>5.2529997825622559</v>
      </c>
      <c r="N33" s="170">
        <v>5.2529997825622559</v>
      </c>
      <c r="O33" s="170">
        <v>5.2529997825622559</v>
      </c>
      <c r="P33" s="170">
        <v>5.2529997825622559</v>
      </c>
      <c r="Q33" s="170">
        <v>5.2529997825622559</v>
      </c>
      <c r="R33" s="170">
        <v>5.2529997825622559</v>
      </c>
      <c r="S33" s="170">
        <v>5.2529997825622559</v>
      </c>
      <c r="T33" s="170">
        <v>5.2529997825622559</v>
      </c>
      <c r="U33" s="170">
        <v>5.2529997825622559</v>
      </c>
      <c r="V33" s="170">
        <v>5.2529997825622559</v>
      </c>
      <c r="W33" s="170">
        <v>5.2529997825622559</v>
      </c>
      <c r="X33" s="170">
        <v>5.2529997825622559</v>
      </c>
      <c r="Y33" s="170">
        <v>5.2529997825622559</v>
      </c>
      <c r="Z33" s="170">
        <v>5.2529997825622559</v>
      </c>
      <c r="AA33" s="170">
        <v>5.2529997825622559</v>
      </c>
      <c r="AB33" s="170">
        <v>5.2529997825622559</v>
      </c>
      <c r="AC33" s="170">
        <v>5.2529997825622559</v>
      </c>
      <c r="AD33" s="170">
        <v>0</v>
      </c>
    </row>
    <row r="34" spans="1:30" s="170" customFormat="1" ht="12" x14ac:dyDescent="0.2">
      <c r="A34" s="170" t="s">
        <v>82</v>
      </c>
      <c r="B34" s="170" t="s">
        <v>15</v>
      </c>
      <c r="C34" s="170">
        <v>5.1500000953674316</v>
      </c>
      <c r="D34" s="170">
        <v>5.1500000953674316</v>
      </c>
      <c r="E34" s="170">
        <v>5.1500000953674316</v>
      </c>
      <c r="F34" s="170">
        <v>5.1500000953674316</v>
      </c>
      <c r="G34" s="170">
        <v>5.1500000953674316</v>
      </c>
      <c r="H34" s="170">
        <v>5.1500000953674316</v>
      </c>
      <c r="I34" s="170">
        <v>5.1500000953674316</v>
      </c>
      <c r="J34" s="170">
        <v>5.1500000953674316</v>
      </c>
      <c r="K34" s="170">
        <v>5.1500000953674316</v>
      </c>
      <c r="L34" s="170">
        <v>5.1500000953674316</v>
      </c>
      <c r="M34" s="170">
        <v>5.1500000953674316</v>
      </c>
      <c r="N34" s="170">
        <v>5.1500000953674316</v>
      </c>
      <c r="O34" s="170">
        <v>5.1500000953674316</v>
      </c>
      <c r="P34" s="170">
        <v>5.1500000953674316</v>
      </c>
      <c r="Q34" s="170">
        <v>5.1500000953674316</v>
      </c>
      <c r="R34" s="170">
        <v>5.1500000953674316</v>
      </c>
      <c r="S34" s="170">
        <v>5.1500000953674316</v>
      </c>
      <c r="T34" s="170">
        <v>5.1500000953674316</v>
      </c>
      <c r="U34" s="170">
        <v>5.1500000953674316</v>
      </c>
      <c r="V34" s="170">
        <v>5.1500000953674316</v>
      </c>
      <c r="W34" s="170">
        <v>5.1500000953674316</v>
      </c>
      <c r="X34" s="170">
        <v>5.1500000953674316</v>
      </c>
      <c r="Y34" s="170">
        <v>5.1500000953674316</v>
      </c>
      <c r="Z34" s="170">
        <v>5.1500000953674316</v>
      </c>
      <c r="AA34" s="170">
        <v>5.1500000953674316</v>
      </c>
      <c r="AB34" s="170">
        <v>5.1500000953674316</v>
      </c>
      <c r="AC34" s="170">
        <v>5.1500000953674316</v>
      </c>
      <c r="AD34" s="170">
        <v>0</v>
      </c>
    </row>
    <row r="35" spans="1:30" s="170" customFormat="1" ht="12" x14ac:dyDescent="0.2">
      <c r="A35" s="170" t="s">
        <v>357</v>
      </c>
      <c r="B35" s="170" t="s">
        <v>356</v>
      </c>
      <c r="C35" s="170">
        <v>5.2222800254821777</v>
      </c>
      <c r="D35" s="170">
        <v>5.2222800254821777</v>
      </c>
      <c r="E35" s="170">
        <v>5.2222800254821777</v>
      </c>
      <c r="F35" s="170">
        <v>5.2222800254821777</v>
      </c>
      <c r="G35" s="170">
        <v>5.2222800254821777</v>
      </c>
      <c r="H35" s="170">
        <v>5.2222800254821777</v>
      </c>
      <c r="I35" s="170">
        <v>5.2222800254821777</v>
      </c>
      <c r="J35" s="170">
        <v>5.2222800254821777</v>
      </c>
      <c r="K35" s="170">
        <v>5.2222800254821777</v>
      </c>
      <c r="L35" s="170">
        <v>5.2222800254821777</v>
      </c>
      <c r="M35" s="170">
        <v>5.2222800254821777</v>
      </c>
      <c r="N35" s="170">
        <v>5.2222800254821777</v>
      </c>
      <c r="O35" s="170">
        <v>5.2222800254821777</v>
      </c>
      <c r="P35" s="170">
        <v>5.2222800254821777</v>
      </c>
      <c r="Q35" s="170">
        <v>5.2222800254821777</v>
      </c>
      <c r="R35" s="170">
        <v>5.2222800254821777</v>
      </c>
      <c r="S35" s="170">
        <v>5.2222800254821777</v>
      </c>
      <c r="T35" s="170">
        <v>5.2222800254821777</v>
      </c>
      <c r="U35" s="170">
        <v>5.2222800254821777</v>
      </c>
      <c r="V35" s="170">
        <v>5.2222800254821777</v>
      </c>
      <c r="W35" s="170">
        <v>5.2222800254821777</v>
      </c>
      <c r="X35" s="170">
        <v>5.2222800254821777</v>
      </c>
      <c r="Y35" s="170">
        <v>5.2222800254821777</v>
      </c>
      <c r="Z35" s="170">
        <v>5.2222800254821777</v>
      </c>
      <c r="AA35" s="170">
        <v>5.2222800254821777</v>
      </c>
      <c r="AB35" s="170">
        <v>5.2222800254821777</v>
      </c>
      <c r="AC35" s="170">
        <v>5.2222800254821777</v>
      </c>
      <c r="AD35" s="170">
        <v>0</v>
      </c>
    </row>
    <row r="36" spans="1:30" s="170" customFormat="1" ht="12" x14ac:dyDescent="0.2">
      <c r="A36" s="170" t="s">
        <v>355</v>
      </c>
      <c r="B36" s="170" t="s">
        <v>354</v>
      </c>
      <c r="C36" s="170">
        <v>5.2222800254821777</v>
      </c>
      <c r="D36" s="170">
        <v>5.2222800254821777</v>
      </c>
      <c r="E36" s="170">
        <v>5.2222800254821777</v>
      </c>
      <c r="F36" s="170">
        <v>5.2222800254821777</v>
      </c>
      <c r="G36" s="170">
        <v>5.2222800254821777</v>
      </c>
      <c r="H36" s="170">
        <v>5.2222800254821777</v>
      </c>
      <c r="I36" s="170">
        <v>5.2222800254821777</v>
      </c>
      <c r="J36" s="170">
        <v>5.2222800254821777</v>
      </c>
      <c r="K36" s="170">
        <v>5.2222800254821777</v>
      </c>
      <c r="L36" s="170">
        <v>5.2222800254821777</v>
      </c>
      <c r="M36" s="170">
        <v>5.2222800254821777</v>
      </c>
      <c r="N36" s="170">
        <v>5.2222800254821777</v>
      </c>
      <c r="O36" s="170">
        <v>5.2222800254821777</v>
      </c>
      <c r="P36" s="170">
        <v>5.2222800254821777</v>
      </c>
      <c r="Q36" s="170">
        <v>5.2222800254821777</v>
      </c>
      <c r="R36" s="170">
        <v>5.2222800254821777</v>
      </c>
      <c r="S36" s="170">
        <v>5.2222800254821777</v>
      </c>
      <c r="T36" s="170">
        <v>5.2222800254821777</v>
      </c>
      <c r="U36" s="170">
        <v>5.2222800254821777</v>
      </c>
      <c r="V36" s="170">
        <v>5.2222800254821777</v>
      </c>
      <c r="W36" s="170">
        <v>5.2222800254821777</v>
      </c>
      <c r="X36" s="170">
        <v>5.2222800254821777</v>
      </c>
      <c r="Y36" s="170">
        <v>5.2222800254821777</v>
      </c>
      <c r="Z36" s="170">
        <v>5.2222800254821777</v>
      </c>
      <c r="AA36" s="170">
        <v>5.2222800254821777</v>
      </c>
      <c r="AB36" s="170">
        <v>5.2222800254821777</v>
      </c>
      <c r="AC36" s="170">
        <v>5.2222800254821777</v>
      </c>
      <c r="AD36" s="170">
        <v>0</v>
      </c>
    </row>
    <row r="37" spans="1:30" s="170" customFormat="1" ht="12" x14ac:dyDescent="0.2">
      <c r="A37" s="170" t="s">
        <v>81</v>
      </c>
      <c r="B37" s="170" t="s">
        <v>16</v>
      </c>
      <c r="C37" s="170">
        <v>4.6380000114440918</v>
      </c>
      <c r="D37" s="170">
        <v>4.6380000114440918</v>
      </c>
      <c r="E37" s="170">
        <v>4.6380000114440918</v>
      </c>
      <c r="F37" s="170">
        <v>4.6380000114440918</v>
      </c>
      <c r="G37" s="170">
        <v>4.6380000114440918</v>
      </c>
      <c r="H37" s="170">
        <v>4.6380000114440918</v>
      </c>
      <c r="I37" s="170">
        <v>4.6380000114440918</v>
      </c>
      <c r="J37" s="170">
        <v>4.6380000114440918</v>
      </c>
      <c r="K37" s="170">
        <v>4.6380000114440918</v>
      </c>
      <c r="L37" s="170">
        <v>4.6380000114440918</v>
      </c>
      <c r="M37" s="170">
        <v>4.6380000114440918</v>
      </c>
      <c r="N37" s="170">
        <v>4.6380000114440918</v>
      </c>
      <c r="O37" s="170">
        <v>4.6380000114440918</v>
      </c>
      <c r="P37" s="170">
        <v>4.6380000114440918</v>
      </c>
      <c r="Q37" s="170">
        <v>4.6380000114440918</v>
      </c>
      <c r="R37" s="170">
        <v>4.6380000114440918</v>
      </c>
      <c r="S37" s="170">
        <v>4.6380000114440918</v>
      </c>
      <c r="T37" s="170">
        <v>4.6380000114440918</v>
      </c>
      <c r="U37" s="170">
        <v>4.6380000114440918</v>
      </c>
      <c r="V37" s="170">
        <v>4.6380000114440918</v>
      </c>
      <c r="W37" s="170">
        <v>4.6380000114440918</v>
      </c>
      <c r="X37" s="170">
        <v>4.6380000114440918</v>
      </c>
      <c r="Y37" s="170">
        <v>4.6380000114440918</v>
      </c>
      <c r="Z37" s="170">
        <v>4.6380000114440918</v>
      </c>
      <c r="AA37" s="170">
        <v>4.6380000114440918</v>
      </c>
      <c r="AB37" s="170">
        <v>4.6380000114440918</v>
      </c>
      <c r="AC37" s="170">
        <v>4.6380000114440918</v>
      </c>
      <c r="AD37" s="170">
        <v>0</v>
      </c>
    </row>
    <row r="38" spans="1:30" s="170" customFormat="1" ht="12" x14ac:dyDescent="0.2">
      <c r="A38" s="170" t="s">
        <v>80</v>
      </c>
      <c r="B38" s="170" t="s">
        <v>17</v>
      </c>
      <c r="C38" s="170">
        <v>5.8000001907348633</v>
      </c>
      <c r="D38" s="170">
        <v>5.8000001907348633</v>
      </c>
      <c r="E38" s="170">
        <v>5.8000001907348633</v>
      </c>
      <c r="F38" s="170">
        <v>5.8000001907348633</v>
      </c>
      <c r="G38" s="170">
        <v>5.8000001907348633</v>
      </c>
      <c r="H38" s="170">
        <v>5.8000001907348633</v>
      </c>
      <c r="I38" s="170">
        <v>5.8000001907348633</v>
      </c>
      <c r="J38" s="170">
        <v>5.8000001907348633</v>
      </c>
      <c r="K38" s="170">
        <v>5.8000001907348633</v>
      </c>
      <c r="L38" s="170">
        <v>5.8000001907348633</v>
      </c>
      <c r="M38" s="170">
        <v>5.8000001907348633</v>
      </c>
      <c r="N38" s="170">
        <v>5.8000001907348633</v>
      </c>
      <c r="O38" s="170">
        <v>5.8000001907348633</v>
      </c>
      <c r="P38" s="170">
        <v>5.8000001907348633</v>
      </c>
      <c r="Q38" s="170">
        <v>5.8000001907348633</v>
      </c>
      <c r="R38" s="170">
        <v>5.8000001907348633</v>
      </c>
      <c r="S38" s="170">
        <v>5.8000001907348633</v>
      </c>
      <c r="T38" s="170">
        <v>5.8000001907348633</v>
      </c>
      <c r="U38" s="170">
        <v>5.8000001907348633</v>
      </c>
      <c r="V38" s="170">
        <v>5.8000001907348633</v>
      </c>
      <c r="W38" s="170">
        <v>5.8000001907348633</v>
      </c>
      <c r="X38" s="170">
        <v>5.8000001907348633</v>
      </c>
      <c r="Y38" s="170">
        <v>5.8000001907348633</v>
      </c>
      <c r="Z38" s="170">
        <v>5.8000001907348633</v>
      </c>
      <c r="AA38" s="170">
        <v>5.8000001907348633</v>
      </c>
      <c r="AB38" s="170">
        <v>5.8000001907348633</v>
      </c>
      <c r="AC38" s="170">
        <v>5.8000001907348633</v>
      </c>
      <c r="AD38" s="170">
        <v>0</v>
      </c>
    </row>
    <row r="39" spans="1:30" s="170" customFormat="1" ht="12" x14ac:dyDescent="0.2">
      <c r="A39" s="170" t="s">
        <v>79</v>
      </c>
      <c r="B39" s="170" t="s">
        <v>18</v>
      </c>
      <c r="C39" s="170">
        <v>5.4117517471313477</v>
      </c>
      <c r="D39" s="170">
        <v>5.4117517471313477</v>
      </c>
      <c r="E39" s="170">
        <v>5.4117517471313477</v>
      </c>
      <c r="F39" s="170">
        <v>5.4117517471313477</v>
      </c>
      <c r="G39" s="170">
        <v>5.4117517471313477</v>
      </c>
      <c r="H39" s="170">
        <v>5.4117517471313477</v>
      </c>
      <c r="I39" s="170">
        <v>5.4117517471313477</v>
      </c>
      <c r="J39" s="170">
        <v>5.4117517471313477</v>
      </c>
      <c r="K39" s="170">
        <v>5.4117517471313477</v>
      </c>
      <c r="L39" s="170">
        <v>5.4117517471313477</v>
      </c>
      <c r="M39" s="170">
        <v>5.4117517471313477</v>
      </c>
      <c r="N39" s="170">
        <v>5.4117517471313477</v>
      </c>
      <c r="O39" s="170">
        <v>5.4117517471313477</v>
      </c>
      <c r="P39" s="170">
        <v>5.4117517471313477</v>
      </c>
      <c r="Q39" s="170">
        <v>5.4117517471313477</v>
      </c>
      <c r="R39" s="170">
        <v>5.4117517471313477</v>
      </c>
      <c r="S39" s="170">
        <v>5.4117517471313477</v>
      </c>
      <c r="T39" s="170">
        <v>5.4117517471313477</v>
      </c>
      <c r="U39" s="170">
        <v>5.4117517471313477</v>
      </c>
      <c r="V39" s="170">
        <v>5.4117517471313477</v>
      </c>
      <c r="W39" s="170">
        <v>5.4117517471313477</v>
      </c>
      <c r="X39" s="170">
        <v>5.4117517471313477</v>
      </c>
      <c r="Y39" s="170">
        <v>5.4117517471313477</v>
      </c>
      <c r="Z39" s="170">
        <v>5.4117517471313477</v>
      </c>
      <c r="AA39" s="170">
        <v>5.4117517471313477</v>
      </c>
      <c r="AB39" s="170">
        <v>5.4117517471313477</v>
      </c>
      <c r="AC39" s="170">
        <v>5.4117517471313477</v>
      </c>
      <c r="AD39" s="170">
        <v>0</v>
      </c>
    </row>
    <row r="40" spans="1:30" s="170" customFormat="1" ht="12" x14ac:dyDescent="0.2">
      <c r="A40" s="170" t="s">
        <v>78</v>
      </c>
      <c r="B40" s="170" t="s">
        <v>19</v>
      </c>
      <c r="C40" s="170">
        <v>6.2870001792907706</v>
      </c>
      <c r="D40" s="170">
        <v>6.2870001792907706</v>
      </c>
      <c r="E40" s="170">
        <v>6.2870001792907706</v>
      </c>
      <c r="F40" s="170">
        <v>6.2870001792907706</v>
      </c>
      <c r="G40" s="170">
        <v>6.2870001792907706</v>
      </c>
      <c r="H40" s="170">
        <v>6.2870001792907706</v>
      </c>
      <c r="I40" s="170">
        <v>6.2870001792907706</v>
      </c>
      <c r="J40" s="170">
        <v>6.2870001792907706</v>
      </c>
      <c r="K40" s="170">
        <v>6.2870001792907706</v>
      </c>
      <c r="L40" s="170">
        <v>6.2870001792907706</v>
      </c>
      <c r="M40" s="170">
        <v>6.2870001792907706</v>
      </c>
      <c r="N40" s="170">
        <v>6.2870001792907706</v>
      </c>
      <c r="O40" s="170">
        <v>6.2870001792907706</v>
      </c>
      <c r="P40" s="170">
        <v>6.2870001792907706</v>
      </c>
      <c r="Q40" s="170">
        <v>6.2870001792907706</v>
      </c>
      <c r="R40" s="170">
        <v>6.2870001792907706</v>
      </c>
      <c r="S40" s="170">
        <v>6.2870001792907706</v>
      </c>
      <c r="T40" s="170">
        <v>6.2870001792907706</v>
      </c>
      <c r="U40" s="170">
        <v>6.2870001792907706</v>
      </c>
      <c r="V40" s="170">
        <v>6.2870001792907706</v>
      </c>
      <c r="W40" s="170">
        <v>6.2870001792907706</v>
      </c>
      <c r="X40" s="170">
        <v>6.2870001792907706</v>
      </c>
      <c r="Y40" s="170">
        <v>6.2870001792907706</v>
      </c>
      <c r="Z40" s="170">
        <v>6.2870001792907706</v>
      </c>
      <c r="AA40" s="170">
        <v>6.2870001792907706</v>
      </c>
      <c r="AB40" s="170">
        <v>6.2870001792907706</v>
      </c>
      <c r="AC40" s="170">
        <v>6.2870001792907706</v>
      </c>
      <c r="AD40" s="170">
        <v>0</v>
      </c>
    </row>
    <row r="41" spans="1:30" s="170" customFormat="1" ht="12" x14ac:dyDescent="0.2">
      <c r="A41" s="170" t="s">
        <v>77</v>
      </c>
      <c r="B41" s="170" t="s">
        <v>20</v>
      </c>
      <c r="C41" s="170">
        <v>6.2870001792907706</v>
      </c>
      <c r="D41" s="170">
        <v>6.2870001792907706</v>
      </c>
      <c r="E41" s="170">
        <v>6.2870001792907706</v>
      </c>
      <c r="F41" s="170">
        <v>6.2870001792907706</v>
      </c>
      <c r="G41" s="170">
        <v>6.2870001792907706</v>
      </c>
      <c r="H41" s="170">
        <v>6.2870001792907706</v>
      </c>
      <c r="I41" s="170">
        <v>6.2870001792907706</v>
      </c>
      <c r="J41" s="170">
        <v>6.2870001792907706</v>
      </c>
      <c r="K41" s="170">
        <v>6.2870001792907706</v>
      </c>
      <c r="L41" s="170">
        <v>6.2870001792907706</v>
      </c>
      <c r="M41" s="170">
        <v>6.2870001792907706</v>
      </c>
      <c r="N41" s="170">
        <v>6.2870001792907706</v>
      </c>
      <c r="O41" s="170">
        <v>6.2870001792907706</v>
      </c>
      <c r="P41" s="170">
        <v>6.2870001792907706</v>
      </c>
      <c r="Q41" s="170">
        <v>6.2870001792907706</v>
      </c>
      <c r="R41" s="170">
        <v>6.2870001792907706</v>
      </c>
      <c r="S41" s="170">
        <v>6.2870001792907706</v>
      </c>
      <c r="T41" s="170">
        <v>6.2870001792907706</v>
      </c>
      <c r="U41" s="170">
        <v>6.2870001792907706</v>
      </c>
      <c r="V41" s="170">
        <v>6.2870001792907706</v>
      </c>
      <c r="W41" s="170">
        <v>6.2870001792907706</v>
      </c>
      <c r="X41" s="170">
        <v>6.2870001792907706</v>
      </c>
      <c r="Y41" s="170">
        <v>6.2870001792907706</v>
      </c>
      <c r="Z41" s="170">
        <v>6.2870001792907706</v>
      </c>
      <c r="AA41" s="170">
        <v>6.2870001792907706</v>
      </c>
      <c r="AB41" s="170">
        <v>6.2870001792907706</v>
      </c>
      <c r="AC41" s="170">
        <v>6.2870001792907706</v>
      </c>
      <c r="AD41" s="170">
        <v>0</v>
      </c>
    </row>
    <row r="42" spans="1:30" s="170" customFormat="1" ht="12" x14ac:dyDescent="0.2">
      <c r="A42" s="170" t="s">
        <v>76</v>
      </c>
      <c r="B42" s="170" t="s">
        <v>21</v>
      </c>
      <c r="C42" s="170">
        <v>6.2870001792907706</v>
      </c>
      <c r="D42" s="170">
        <v>6.2870001792907706</v>
      </c>
      <c r="E42" s="170">
        <v>6.2870001792907706</v>
      </c>
      <c r="F42" s="170">
        <v>6.2870001792907706</v>
      </c>
      <c r="G42" s="170">
        <v>6.2870001792907706</v>
      </c>
      <c r="H42" s="170">
        <v>6.2870001792907706</v>
      </c>
      <c r="I42" s="170">
        <v>6.2870001792907706</v>
      </c>
      <c r="J42" s="170">
        <v>6.2870001792907706</v>
      </c>
      <c r="K42" s="170">
        <v>6.2870001792907706</v>
      </c>
      <c r="L42" s="170">
        <v>6.2870001792907706</v>
      </c>
      <c r="M42" s="170">
        <v>6.2870001792907706</v>
      </c>
      <c r="N42" s="170">
        <v>6.2870001792907706</v>
      </c>
      <c r="O42" s="170">
        <v>6.2870001792907706</v>
      </c>
      <c r="P42" s="170">
        <v>6.2870001792907706</v>
      </c>
      <c r="Q42" s="170">
        <v>6.2870001792907706</v>
      </c>
      <c r="R42" s="170">
        <v>6.2870001792907706</v>
      </c>
      <c r="S42" s="170">
        <v>6.2870001792907706</v>
      </c>
      <c r="T42" s="170">
        <v>6.2870001792907706</v>
      </c>
      <c r="U42" s="170">
        <v>6.2870001792907706</v>
      </c>
      <c r="V42" s="170">
        <v>6.2870001792907706</v>
      </c>
      <c r="W42" s="170">
        <v>6.2870001792907706</v>
      </c>
      <c r="X42" s="170">
        <v>6.2870001792907706</v>
      </c>
      <c r="Y42" s="170">
        <v>6.2870001792907706</v>
      </c>
      <c r="Z42" s="170">
        <v>6.2870001792907706</v>
      </c>
      <c r="AA42" s="170">
        <v>6.2870001792907706</v>
      </c>
      <c r="AB42" s="170">
        <v>6.2870001792907706</v>
      </c>
      <c r="AC42" s="170">
        <v>6.2870001792907706</v>
      </c>
      <c r="AD42" s="170">
        <v>0</v>
      </c>
    </row>
    <row r="43" spans="1:30" s="170" customFormat="1" ht="12" x14ac:dyDescent="0.2">
      <c r="A43" s="170" t="s">
        <v>75</v>
      </c>
      <c r="B43" s="170" t="s">
        <v>22</v>
      </c>
      <c r="C43" s="170">
        <v>6.195885181427002</v>
      </c>
      <c r="D43" s="170">
        <v>6.1630558967590332</v>
      </c>
      <c r="E43" s="170">
        <v>6.1548161506652832</v>
      </c>
      <c r="F43" s="170">
        <v>6.1558933258056641</v>
      </c>
      <c r="G43" s="170">
        <v>6.157473087310791</v>
      </c>
      <c r="H43" s="170">
        <v>6.1633291244506836</v>
      </c>
      <c r="I43" s="170">
        <v>6.15966796875</v>
      </c>
      <c r="J43" s="170">
        <v>6.1607761383056641</v>
      </c>
      <c r="K43" s="170">
        <v>6.1666955947875977</v>
      </c>
      <c r="L43" s="170">
        <v>6.1630148887634277</v>
      </c>
      <c r="M43" s="170">
        <v>6.1636366844177246</v>
      </c>
      <c r="N43" s="170">
        <v>6.1652836799621582</v>
      </c>
      <c r="O43" s="170">
        <v>6.1666984558105469</v>
      </c>
      <c r="P43" s="170">
        <v>6.1679635047912598</v>
      </c>
      <c r="Q43" s="170">
        <v>6.1692013740539551</v>
      </c>
      <c r="R43" s="170">
        <v>6.1704044342041016</v>
      </c>
      <c r="S43" s="170">
        <v>6.1718206405639648</v>
      </c>
      <c r="T43" s="170">
        <v>6.1728448867797852</v>
      </c>
      <c r="U43" s="170">
        <v>6.1742486953735352</v>
      </c>
      <c r="V43" s="170">
        <v>6.1757597923278809</v>
      </c>
      <c r="W43" s="170">
        <v>6.1769766807556152</v>
      </c>
      <c r="X43" s="170">
        <v>6.1782016754150391</v>
      </c>
      <c r="Y43" s="170">
        <v>6.1794352531433114</v>
      </c>
      <c r="Z43" s="170">
        <v>6.1801557540893546</v>
      </c>
      <c r="AA43" s="170">
        <v>6.1807355880737296</v>
      </c>
      <c r="AB43" s="170">
        <v>6.1822752952575684</v>
      </c>
      <c r="AC43" s="170">
        <v>6.1844558715820313</v>
      </c>
      <c r="AD43" s="170">
        <v>-7.1011510114016296E-5</v>
      </c>
    </row>
    <row r="44" spans="1:30" s="170" customFormat="1" ht="12" x14ac:dyDescent="0.2">
      <c r="A44" s="170" t="s">
        <v>74</v>
      </c>
      <c r="B44" s="170" t="s">
        <v>23</v>
      </c>
      <c r="C44" s="170">
        <v>5.0255236625671387</v>
      </c>
      <c r="D44" s="170">
        <v>5.0129537582397461</v>
      </c>
      <c r="E44" s="170">
        <v>5.030240535736084</v>
      </c>
      <c r="F44" s="170">
        <v>5.0290317535400391</v>
      </c>
      <c r="G44" s="170">
        <v>5.0283393859863281</v>
      </c>
      <c r="H44" s="170">
        <v>5.0268502235412598</v>
      </c>
      <c r="I44" s="170">
        <v>5.0252237319946289</v>
      </c>
      <c r="J44" s="170">
        <v>5.023430347442627</v>
      </c>
      <c r="K44" s="170">
        <v>5.0158548355102539</v>
      </c>
      <c r="L44" s="170">
        <v>5.008814811706543</v>
      </c>
      <c r="M44" s="170">
        <v>4.9967560768127441</v>
      </c>
      <c r="N44" s="170">
        <v>4.9871444702148438</v>
      </c>
      <c r="O44" s="170">
        <v>4.9817585945129386</v>
      </c>
      <c r="P44" s="170">
        <v>4.9708943367004386</v>
      </c>
      <c r="Q44" s="170">
        <v>4.9598522186279297</v>
      </c>
      <c r="R44" s="170">
        <v>4.9467482566833496</v>
      </c>
      <c r="S44" s="170">
        <v>4.9339561462402344</v>
      </c>
      <c r="T44" s="170">
        <v>4.9237899780273438</v>
      </c>
      <c r="U44" s="170">
        <v>4.9112973213195801</v>
      </c>
      <c r="V44" s="170">
        <v>4.9062666893005371</v>
      </c>
      <c r="W44" s="170">
        <v>4.9120597839355469</v>
      </c>
      <c r="X44" s="170">
        <v>4.9217591285705566</v>
      </c>
      <c r="Y44" s="170">
        <v>4.9193172454833984</v>
      </c>
      <c r="Z44" s="170">
        <v>4.9098258018493652</v>
      </c>
      <c r="AA44" s="170">
        <v>4.8988471031188956</v>
      </c>
      <c r="AB44" s="170">
        <v>4.8965067863464364</v>
      </c>
      <c r="AC44" s="170">
        <v>4.8963446617126456</v>
      </c>
      <c r="AD44" s="170">
        <v>-1.001064778762051E-3</v>
      </c>
    </row>
    <row r="45" spans="1:30" s="170" customFormat="1" ht="12" x14ac:dyDescent="0.2">
      <c r="A45" s="170" t="s">
        <v>73</v>
      </c>
      <c r="B45" s="170" t="s">
        <v>24</v>
      </c>
      <c r="C45" s="170">
        <v>5.6631460189819336</v>
      </c>
      <c r="D45" s="170">
        <v>5.8158788681030273</v>
      </c>
      <c r="E45" s="170">
        <v>5.5501112937927246</v>
      </c>
      <c r="F45" s="170">
        <v>5.5557584762573242</v>
      </c>
      <c r="G45" s="170">
        <v>5.5853700637817383</v>
      </c>
      <c r="H45" s="170">
        <v>5.5885157585144043</v>
      </c>
      <c r="I45" s="170">
        <v>5.592033863067627</v>
      </c>
      <c r="J45" s="170">
        <v>5.5952463150024414</v>
      </c>
      <c r="K45" s="170">
        <v>5.6354804039001456</v>
      </c>
      <c r="L45" s="170">
        <v>5.6367959976196289</v>
      </c>
      <c r="M45" s="170">
        <v>5.6391415596008301</v>
      </c>
      <c r="N45" s="170">
        <v>5.6405496597290039</v>
      </c>
      <c r="O45" s="170">
        <v>5.636713981628418</v>
      </c>
      <c r="P45" s="170">
        <v>5.6345572471618652</v>
      </c>
      <c r="Q45" s="170">
        <v>5.6306710243225098</v>
      </c>
      <c r="R45" s="170">
        <v>5.6264023780822754</v>
      </c>
      <c r="S45" s="170">
        <v>5.621241569519043</v>
      </c>
      <c r="T45" s="170">
        <v>5.6192131042480469</v>
      </c>
      <c r="U45" s="170">
        <v>5.6153116226196289</v>
      </c>
      <c r="V45" s="170">
        <v>5.6079692840576172</v>
      </c>
      <c r="W45" s="170">
        <v>5.6029572486877441</v>
      </c>
      <c r="X45" s="170">
        <v>5.6011786460876456</v>
      </c>
      <c r="Y45" s="170">
        <v>5.5904440879821777</v>
      </c>
      <c r="Z45" s="170">
        <v>5.5849089622497559</v>
      </c>
      <c r="AA45" s="170">
        <v>5.5809216499328613</v>
      </c>
      <c r="AB45" s="170">
        <v>5.5741763114929199</v>
      </c>
      <c r="AC45" s="170">
        <v>5.5645818710327148</v>
      </c>
      <c r="AD45" s="170">
        <v>-6.7506915814830037E-4</v>
      </c>
    </row>
    <row r="46" spans="1:30" s="170" customFormat="1" ht="12" x14ac:dyDescent="0.2">
      <c r="A46" s="170" t="s">
        <v>72</v>
      </c>
      <c r="B46" s="170" t="s">
        <v>25</v>
      </c>
      <c r="C46" s="170">
        <v>4.977806568145752</v>
      </c>
      <c r="D46" s="170">
        <v>5.0571794509887704</v>
      </c>
      <c r="E46" s="170">
        <v>4.8657002449035636</v>
      </c>
      <c r="F46" s="170">
        <v>4.8269815444946289</v>
      </c>
      <c r="G46" s="170">
        <v>4.8110780715942383</v>
      </c>
      <c r="H46" s="170">
        <v>4.8033814430236816</v>
      </c>
      <c r="I46" s="170">
        <v>4.7998723983764648</v>
      </c>
      <c r="J46" s="170">
        <v>4.8292980194091797</v>
      </c>
      <c r="K46" s="170">
        <v>4.844818115234375</v>
      </c>
      <c r="L46" s="170">
        <v>4.8458347320556641</v>
      </c>
      <c r="M46" s="170">
        <v>4.8520894050598136</v>
      </c>
      <c r="N46" s="170">
        <v>4.8538675308227539</v>
      </c>
      <c r="O46" s="170">
        <v>4.8541936874389648</v>
      </c>
      <c r="P46" s="170">
        <v>4.8758258819580078</v>
      </c>
      <c r="Q46" s="170">
        <v>4.8941693305969238</v>
      </c>
      <c r="R46" s="170">
        <v>4.9231071472167969</v>
      </c>
      <c r="S46" s="170">
        <v>4.9604687690734863</v>
      </c>
      <c r="T46" s="170">
        <v>4.9841818809509277</v>
      </c>
      <c r="U46" s="170">
        <v>4.995847225189209</v>
      </c>
      <c r="V46" s="170">
        <v>5.010622501373291</v>
      </c>
      <c r="W46" s="170">
        <v>5.0007915496826172</v>
      </c>
      <c r="X46" s="170">
        <v>4.980412483215332</v>
      </c>
      <c r="Y46" s="170">
        <v>4.9765944480895996</v>
      </c>
      <c r="Z46" s="170">
        <v>4.9863767623901367</v>
      </c>
      <c r="AA46" s="170">
        <v>4.9984707832336426</v>
      </c>
      <c r="AB46" s="170">
        <v>5.001347541809082</v>
      </c>
      <c r="AC46" s="170">
        <v>4.9966673851013184</v>
      </c>
      <c r="AD46" s="170">
        <v>1.4546524757763629E-4</v>
      </c>
    </row>
    <row r="47" spans="1:30" s="170" customFormat="1" ht="12" x14ac:dyDescent="0.2">
      <c r="B47" s="170" t="s">
        <v>41</v>
      </c>
    </row>
    <row r="48" spans="1:30" s="170" customFormat="1" ht="12" x14ac:dyDescent="0.2">
      <c r="A48" s="170" t="s">
        <v>71</v>
      </c>
      <c r="B48" s="170" t="s">
        <v>42</v>
      </c>
      <c r="C48" s="170">
        <v>5.6718835830688477</v>
      </c>
      <c r="D48" s="170">
        <v>5.6544742584228516</v>
      </c>
      <c r="E48" s="170">
        <v>5.6519918441772461</v>
      </c>
      <c r="F48" s="170">
        <v>5.6493263244628906</v>
      </c>
      <c r="G48" s="170">
        <v>5.6487727165222168</v>
      </c>
      <c r="H48" s="170">
        <v>5.6491818428039551</v>
      </c>
      <c r="I48" s="170">
        <v>5.6493139266967773</v>
      </c>
      <c r="J48" s="170">
        <v>5.6481771469116211</v>
      </c>
      <c r="K48" s="170">
        <v>5.6463475227355957</v>
      </c>
      <c r="L48" s="170">
        <v>5.6454071998596191</v>
      </c>
      <c r="M48" s="170">
        <v>5.6438169479370117</v>
      </c>
      <c r="N48" s="170">
        <v>5.6415157318115234</v>
      </c>
      <c r="O48" s="170">
        <v>5.6399321556091309</v>
      </c>
      <c r="P48" s="170">
        <v>5.6388916969299316</v>
      </c>
      <c r="Q48" s="170">
        <v>5.6373214721679688</v>
      </c>
      <c r="R48" s="170">
        <v>5.6360483169555664</v>
      </c>
      <c r="S48" s="170">
        <v>5.6351127624511719</v>
      </c>
      <c r="T48" s="170">
        <v>5.6349844932556152</v>
      </c>
      <c r="U48" s="170">
        <v>5.6346445083618164</v>
      </c>
      <c r="V48" s="170">
        <v>5.6338644027709961</v>
      </c>
      <c r="W48" s="170">
        <v>5.6332345008850098</v>
      </c>
      <c r="X48" s="170">
        <v>5.6326956748962402</v>
      </c>
      <c r="Y48" s="170">
        <v>5.6318950653076172</v>
      </c>
      <c r="Z48" s="170">
        <v>5.6307177543640137</v>
      </c>
      <c r="AA48" s="170">
        <v>5.6279406547546387</v>
      </c>
      <c r="AB48" s="170">
        <v>5.6278853416442871</v>
      </c>
      <c r="AC48" s="170">
        <v>5.6268963813781738</v>
      </c>
      <c r="AD48" s="170">
        <v>-3.0623150277819811E-4</v>
      </c>
    </row>
    <row r="49" spans="1:30" s="170" customFormat="1" ht="12" x14ac:dyDescent="0.2">
      <c r="A49" s="170" t="s">
        <v>70</v>
      </c>
      <c r="B49" s="170" t="s">
        <v>43</v>
      </c>
      <c r="C49" s="170">
        <v>6.0371513366699219</v>
      </c>
      <c r="D49" s="170">
        <v>6.0394158363342294</v>
      </c>
      <c r="E49" s="170">
        <v>6.0639920234680176</v>
      </c>
      <c r="F49" s="170">
        <v>6.0575299263000488</v>
      </c>
      <c r="G49" s="170">
        <v>6.0694408416748047</v>
      </c>
      <c r="H49" s="170">
        <v>6.0674619674682617</v>
      </c>
      <c r="I49" s="170">
        <v>6.0692586898803711</v>
      </c>
      <c r="J49" s="170">
        <v>6.0777578353881836</v>
      </c>
      <c r="K49" s="170">
        <v>6.0875287055969238</v>
      </c>
      <c r="L49" s="170">
        <v>6.0830535888671884</v>
      </c>
      <c r="M49" s="170">
        <v>6.0917191505432129</v>
      </c>
      <c r="N49" s="170">
        <v>6.0896081924438477</v>
      </c>
      <c r="O49" s="170">
        <v>6.0988235473632813</v>
      </c>
      <c r="P49" s="170">
        <v>6.1107029914855957</v>
      </c>
      <c r="Q49" s="170">
        <v>6.1158199310302734</v>
      </c>
      <c r="R49" s="170">
        <v>6.111992359161377</v>
      </c>
      <c r="S49" s="170">
        <v>6.1124606132507324</v>
      </c>
      <c r="T49" s="170">
        <v>6.1183300018310547</v>
      </c>
      <c r="U49" s="170">
        <v>6.1123785972595206</v>
      </c>
      <c r="V49" s="170">
        <v>6.1122770309448242</v>
      </c>
      <c r="W49" s="170">
        <v>6.1152939796447754</v>
      </c>
      <c r="X49" s="170">
        <v>6.1151466369628906</v>
      </c>
      <c r="Y49" s="170">
        <v>6.1146221160888672</v>
      </c>
      <c r="Z49" s="170">
        <v>6.1107850074768066</v>
      </c>
      <c r="AA49" s="170">
        <v>6.113335132598877</v>
      </c>
      <c r="AB49" s="170">
        <v>6.1106171607971191</v>
      </c>
      <c r="AC49" s="170">
        <v>6.1120543479919434</v>
      </c>
      <c r="AD49" s="170">
        <v>4.7436925244181971E-4</v>
      </c>
    </row>
    <row r="50" spans="1:30" s="170" customFormat="1" ht="12" x14ac:dyDescent="0.2">
      <c r="A50" s="170" t="s">
        <v>69</v>
      </c>
      <c r="B50" s="170" t="s">
        <v>44</v>
      </c>
      <c r="C50" s="170">
        <v>5.5800976753234863</v>
      </c>
      <c r="D50" s="170">
        <v>5.5956592559814453</v>
      </c>
      <c r="E50" s="170">
        <v>5.5872883796691886</v>
      </c>
      <c r="F50" s="170">
        <v>5.5813760757446289</v>
      </c>
      <c r="G50" s="170">
        <v>5.5769867897033691</v>
      </c>
      <c r="H50" s="170">
        <v>5.5765957832336426</v>
      </c>
      <c r="I50" s="170">
        <v>5.5815944671630859</v>
      </c>
      <c r="J50" s="170">
        <v>5.582420825958252</v>
      </c>
      <c r="K50" s="170">
        <v>5.5884156227111816</v>
      </c>
      <c r="L50" s="170">
        <v>5.5852947235107422</v>
      </c>
      <c r="M50" s="170">
        <v>5.5885353088378906</v>
      </c>
      <c r="N50" s="170">
        <v>5.5873608589172363</v>
      </c>
      <c r="O50" s="170">
        <v>5.5936002731323242</v>
      </c>
      <c r="P50" s="170">
        <v>5.5935845375061044</v>
      </c>
      <c r="Q50" s="170">
        <v>5.5935177803039551</v>
      </c>
      <c r="R50" s="170">
        <v>5.5934667587280273</v>
      </c>
      <c r="S50" s="170">
        <v>5.5934042930603027</v>
      </c>
      <c r="T50" s="170">
        <v>5.5933113098144531</v>
      </c>
      <c r="U50" s="170">
        <v>5.5878686904907227</v>
      </c>
      <c r="V50" s="170">
        <v>5.5861358642578116</v>
      </c>
      <c r="W50" s="170">
        <v>5.5839605331420898</v>
      </c>
      <c r="X50" s="170">
        <v>5.5834016799926758</v>
      </c>
      <c r="Y50" s="170">
        <v>5.5831046104431152</v>
      </c>
      <c r="Z50" s="170">
        <v>5.5805096626281738</v>
      </c>
      <c r="AA50" s="170">
        <v>5.5765671730041504</v>
      </c>
      <c r="AB50" s="170">
        <v>5.5778594017028809</v>
      </c>
      <c r="AC50" s="170">
        <v>5.5782318115234384</v>
      </c>
      <c r="AD50" s="170">
        <v>-1.286277332468444E-5</v>
      </c>
    </row>
    <row r="51" spans="1:30" s="170" customFormat="1" ht="12" x14ac:dyDescent="0.2">
      <c r="A51" s="170" t="s">
        <v>68</v>
      </c>
      <c r="B51" s="170" t="s">
        <v>26</v>
      </c>
      <c r="C51" s="170">
        <v>3.5781934261322021</v>
      </c>
      <c r="D51" s="170">
        <v>3.5825648307800289</v>
      </c>
      <c r="E51" s="170">
        <v>3.5525672435760498</v>
      </c>
      <c r="F51" s="170">
        <v>3.544095516204834</v>
      </c>
      <c r="G51" s="170">
        <v>3.531386137008667</v>
      </c>
      <c r="H51" s="170">
        <v>3.5250973701477051</v>
      </c>
      <c r="I51" s="170">
        <v>3.526360034942627</v>
      </c>
      <c r="J51" s="170">
        <v>3.5151104927062988</v>
      </c>
      <c r="K51" s="170">
        <v>3.518548965454102</v>
      </c>
      <c r="L51" s="170">
        <v>3.5119144916534419</v>
      </c>
      <c r="M51" s="170">
        <v>3.497998714447021</v>
      </c>
      <c r="N51" s="170">
        <v>3.5005652904510498</v>
      </c>
      <c r="O51" s="170">
        <v>3.4908521175384521</v>
      </c>
      <c r="P51" s="170">
        <v>3.4919037818908691</v>
      </c>
      <c r="Q51" s="170">
        <v>3.4997210502624512</v>
      </c>
      <c r="R51" s="170">
        <v>3.4978682994842529</v>
      </c>
      <c r="S51" s="170">
        <v>3.4975557327270508</v>
      </c>
      <c r="T51" s="170">
        <v>3.4975252151489258</v>
      </c>
      <c r="U51" s="170">
        <v>3.4972908496856689</v>
      </c>
      <c r="V51" s="170">
        <v>3.4950892925262451</v>
      </c>
      <c r="W51" s="170">
        <v>3.4939315319061279</v>
      </c>
      <c r="X51" s="170">
        <v>3.492056131362915</v>
      </c>
      <c r="Y51" s="170">
        <v>3.490825891494751</v>
      </c>
      <c r="Z51" s="170">
        <v>3.4894566535949711</v>
      </c>
      <c r="AA51" s="170">
        <v>3.4881761074066162</v>
      </c>
      <c r="AB51" s="170">
        <v>3.4871325492858891</v>
      </c>
      <c r="AC51" s="170">
        <v>3.4856052398681641</v>
      </c>
      <c r="AD51" s="170">
        <v>-1.0078127522675779E-3</v>
      </c>
    </row>
    <row r="52" spans="1:30" s="170" customFormat="1" ht="12" x14ac:dyDescent="0.2"/>
    <row r="53" spans="1:30" s="172" customFormat="1" ht="12" x14ac:dyDescent="0.2">
      <c r="B53" s="172" t="s">
        <v>27</v>
      </c>
    </row>
    <row r="54" spans="1:30" s="170" customFormat="1" ht="12" x14ac:dyDescent="0.2">
      <c r="A54" s="170" t="s">
        <v>67</v>
      </c>
      <c r="B54" s="170" t="s">
        <v>28</v>
      </c>
      <c r="C54" s="170">
        <v>1.03600001335144</v>
      </c>
      <c r="D54" s="170">
        <v>1.03600001335144</v>
      </c>
      <c r="E54" s="170">
        <v>1.03600001335144</v>
      </c>
      <c r="F54" s="170">
        <v>1.03600001335144</v>
      </c>
      <c r="G54" s="170">
        <v>1.03600001335144</v>
      </c>
      <c r="H54" s="170">
        <v>1.03600001335144</v>
      </c>
      <c r="I54" s="170">
        <v>1.03600001335144</v>
      </c>
      <c r="J54" s="170">
        <v>1.03600001335144</v>
      </c>
      <c r="K54" s="170">
        <v>1.03600001335144</v>
      </c>
      <c r="L54" s="170">
        <v>1.03600001335144</v>
      </c>
      <c r="M54" s="170">
        <v>1.03600001335144</v>
      </c>
      <c r="N54" s="170">
        <v>1.03600001335144</v>
      </c>
      <c r="O54" s="170">
        <v>1.03600001335144</v>
      </c>
      <c r="P54" s="170">
        <v>1.03600001335144</v>
      </c>
      <c r="Q54" s="170">
        <v>1.03600001335144</v>
      </c>
      <c r="R54" s="170">
        <v>1.03600001335144</v>
      </c>
      <c r="S54" s="170">
        <v>1.03600001335144</v>
      </c>
      <c r="T54" s="170">
        <v>1.03600001335144</v>
      </c>
      <c r="U54" s="170">
        <v>1.03600001335144</v>
      </c>
      <c r="V54" s="170">
        <v>1.03600001335144</v>
      </c>
      <c r="W54" s="170">
        <v>1.03600001335144</v>
      </c>
      <c r="X54" s="170">
        <v>1.03600001335144</v>
      </c>
      <c r="Y54" s="170">
        <v>1.03600001335144</v>
      </c>
      <c r="Z54" s="170">
        <v>1.03600001335144</v>
      </c>
      <c r="AA54" s="170">
        <v>1.03600001335144</v>
      </c>
      <c r="AB54" s="170">
        <v>1.03600001335144</v>
      </c>
      <c r="AC54" s="170">
        <v>1.03600001335144</v>
      </c>
      <c r="AD54" s="170">
        <v>0</v>
      </c>
    </row>
    <row r="55" spans="1:30" s="170" customFormat="1" ht="12" x14ac:dyDescent="0.2">
      <c r="A55" s="170" t="s">
        <v>66</v>
      </c>
      <c r="B55" s="170" t="s">
        <v>45</v>
      </c>
      <c r="C55" s="170">
        <v>1.032999992370605</v>
      </c>
      <c r="D55" s="170">
        <v>1.032999992370605</v>
      </c>
      <c r="E55" s="170">
        <v>1.032999992370605</v>
      </c>
      <c r="F55" s="170">
        <v>1.032999992370605</v>
      </c>
      <c r="G55" s="170">
        <v>1.032999992370605</v>
      </c>
      <c r="H55" s="170">
        <v>1.032999992370605</v>
      </c>
      <c r="I55" s="170">
        <v>1.032999992370605</v>
      </c>
      <c r="J55" s="170">
        <v>1.032999992370605</v>
      </c>
      <c r="K55" s="170">
        <v>1.032999992370605</v>
      </c>
      <c r="L55" s="170">
        <v>1.032999992370605</v>
      </c>
      <c r="M55" s="170">
        <v>1.032999992370605</v>
      </c>
      <c r="N55" s="170">
        <v>1.032999992370605</v>
      </c>
      <c r="O55" s="170">
        <v>1.032999992370605</v>
      </c>
      <c r="P55" s="170">
        <v>1.032999992370605</v>
      </c>
      <c r="Q55" s="170">
        <v>1.032999992370605</v>
      </c>
      <c r="R55" s="170">
        <v>1.032999992370605</v>
      </c>
      <c r="S55" s="170">
        <v>1.032999992370605</v>
      </c>
      <c r="T55" s="170">
        <v>1.032999992370605</v>
      </c>
      <c r="U55" s="170">
        <v>1.032999992370605</v>
      </c>
      <c r="V55" s="170">
        <v>1.032999992370605</v>
      </c>
      <c r="W55" s="170">
        <v>1.032999992370605</v>
      </c>
      <c r="X55" s="170">
        <v>1.032999992370605</v>
      </c>
      <c r="Y55" s="170">
        <v>1.032999992370605</v>
      </c>
      <c r="Z55" s="170">
        <v>1.032999992370605</v>
      </c>
      <c r="AA55" s="170">
        <v>1.032999992370605</v>
      </c>
      <c r="AB55" s="170">
        <v>1.032999992370605</v>
      </c>
      <c r="AC55" s="170">
        <v>1.032999992370605</v>
      </c>
      <c r="AD55" s="170">
        <v>0</v>
      </c>
    </row>
    <row r="56" spans="1:30" s="170" customFormat="1" ht="12" x14ac:dyDescent="0.2">
      <c r="A56" s="170" t="s">
        <v>65</v>
      </c>
      <c r="B56" s="170" t="s">
        <v>29</v>
      </c>
      <c r="C56" s="170">
        <v>1.0379999876022341</v>
      </c>
      <c r="D56" s="170">
        <v>1.0379999876022341</v>
      </c>
      <c r="E56" s="170">
        <v>1.0379999876022341</v>
      </c>
      <c r="F56" s="170">
        <v>1.0379999876022341</v>
      </c>
      <c r="G56" s="170">
        <v>1.0379999876022341</v>
      </c>
      <c r="H56" s="170">
        <v>1.0379999876022341</v>
      </c>
      <c r="I56" s="170">
        <v>1.0379999876022341</v>
      </c>
      <c r="J56" s="170">
        <v>1.0379999876022341</v>
      </c>
      <c r="K56" s="170">
        <v>1.0379999876022341</v>
      </c>
      <c r="L56" s="170">
        <v>1.0379999876022341</v>
      </c>
      <c r="M56" s="170">
        <v>1.0379999876022341</v>
      </c>
      <c r="N56" s="170">
        <v>1.0379999876022341</v>
      </c>
      <c r="O56" s="170">
        <v>1.0379999876022341</v>
      </c>
      <c r="P56" s="170">
        <v>1.0379999876022341</v>
      </c>
      <c r="Q56" s="170">
        <v>1.0379999876022341</v>
      </c>
      <c r="R56" s="170">
        <v>1.0379999876022341</v>
      </c>
      <c r="S56" s="170">
        <v>1.0379999876022341</v>
      </c>
      <c r="T56" s="170">
        <v>1.0379999876022341</v>
      </c>
      <c r="U56" s="170">
        <v>1.0379999876022341</v>
      </c>
      <c r="V56" s="170">
        <v>1.0379999876022341</v>
      </c>
      <c r="W56" s="170">
        <v>1.0379999876022341</v>
      </c>
      <c r="X56" s="170">
        <v>1.0379999876022341</v>
      </c>
      <c r="Y56" s="170">
        <v>1.0379999876022341</v>
      </c>
      <c r="Z56" s="170">
        <v>1.0379999876022341</v>
      </c>
      <c r="AA56" s="170">
        <v>1.0379999876022341</v>
      </c>
      <c r="AB56" s="170">
        <v>1.0379999876022341</v>
      </c>
      <c r="AC56" s="170">
        <v>1.0379999876022341</v>
      </c>
      <c r="AD56" s="170">
        <v>0</v>
      </c>
    </row>
    <row r="57" spans="1:30" s="170" customFormat="1" ht="12" x14ac:dyDescent="0.2">
      <c r="A57" s="170" t="s">
        <v>64</v>
      </c>
      <c r="B57" s="170" t="s">
        <v>30</v>
      </c>
      <c r="C57" s="170">
        <v>1.03600001335144</v>
      </c>
      <c r="D57" s="170">
        <v>1.03600001335144</v>
      </c>
      <c r="E57" s="170">
        <v>1.03600001335144</v>
      </c>
      <c r="F57" s="170">
        <v>1.03600001335144</v>
      </c>
      <c r="G57" s="170">
        <v>1.03600001335144</v>
      </c>
      <c r="H57" s="170">
        <v>1.03600001335144</v>
      </c>
      <c r="I57" s="170">
        <v>1.03600001335144</v>
      </c>
      <c r="J57" s="170">
        <v>1.03600001335144</v>
      </c>
      <c r="K57" s="170">
        <v>1.03600001335144</v>
      </c>
      <c r="L57" s="170">
        <v>1.03600001335144</v>
      </c>
      <c r="M57" s="170">
        <v>1.03600001335144</v>
      </c>
      <c r="N57" s="170">
        <v>1.03600001335144</v>
      </c>
      <c r="O57" s="170">
        <v>1.03600001335144</v>
      </c>
      <c r="P57" s="170">
        <v>1.03600001335144</v>
      </c>
      <c r="Q57" s="170">
        <v>1.03600001335144</v>
      </c>
      <c r="R57" s="170">
        <v>1.03600001335144</v>
      </c>
      <c r="S57" s="170">
        <v>1.03600001335144</v>
      </c>
      <c r="T57" s="170">
        <v>1.03600001335144</v>
      </c>
      <c r="U57" s="170">
        <v>1.03600001335144</v>
      </c>
      <c r="V57" s="170">
        <v>1.03600001335144</v>
      </c>
      <c r="W57" s="170">
        <v>1.03600001335144</v>
      </c>
      <c r="X57" s="170">
        <v>1.03600001335144</v>
      </c>
      <c r="Y57" s="170">
        <v>1.03600001335144</v>
      </c>
      <c r="Z57" s="170">
        <v>1.03600001335144</v>
      </c>
      <c r="AA57" s="170">
        <v>1.03600001335144</v>
      </c>
      <c r="AB57" s="170">
        <v>1.03600001335144</v>
      </c>
      <c r="AC57" s="170">
        <v>1.03600001335144</v>
      </c>
      <c r="AD57" s="170">
        <v>0</v>
      </c>
    </row>
    <row r="58" spans="1:30" s="170" customFormat="1" ht="12" x14ac:dyDescent="0.2">
      <c r="A58" s="170" t="s">
        <v>63</v>
      </c>
      <c r="B58" s="170" t="s">
        <v>31</v>
      </c>
      <c r="C58" s="170">
        <v>1.0249999761581421</v>
      </c>
      <c r="D58" s="170">
        <v>1.0249999761581421</v>
      </c>
      <c r="E58" s="170">
        <v>1.0249999761581421</v>
      </c>
      <c r="F58" s="170">
        <v>1.0249999761581421</v>
      </c>
      <c r="G58" s="170">
        <v>1.0249999761581421</v>
      </c>
      <c r="H58" s="170">
        <v>1.0249999761581421</v>
      </c>
      <c r="I58" s="170">
        <v>1.0249999761581421</v>
      </c>
      <c r="J58" s="170">
        <v>1.0249999761581421</v>
      </c>
      <c r="K58" s="170">
        <v>1.0249999761581421</v>
      </c>
      <c r="L58" s="170">
        <v>1.0249999761581421</v>
      </c>
      <c r="M58" s="170">
        <v>1.0249999761581421</v>
      </c>
      <c r="N58" s="170">
        <v>1.0249999761581421</v>
      </c>
      <c r="O58" s="170">
        <v>1.0249999761581421</v>
      </c>
      <c r="P58" s="170">
        <v>1.0249999761581421</v>
      </c>
      <c r="Q58" s="170">
        <v>1.0249999761581421</v>
      </c>
      <c r="R58" s="170">
        <v>1.0249999761581421</v>
      </c>
      <c r="S58" s="170">
        <v>1.0249999761581421</v>
      </c>
      <c r="T58" s="170">
        <v>1.0249999761581421</v>
      </c>
      <c r="U58" s="170">
        <v>1.0249999761581421</v>
      </c>
      <c r="V58" s="170">
        <v>1.0249999761581421</v>
      </c>
      <c r="W58" s="170">
        <v>1.0249999761581421</v>
      </c>
      <c r="X58" s="170">
        <v>1.0249999761581421</v>
      </c>
      <c r="Y58" s="170">
        <v>1.0249999761581421</v>
      </c>
      <c r="Z58" s="170">
        <v>1.0249999761581421</v>
      </c>
      <c r="AA58" s="170">
        <v>1.0249999761581421</v>
      </c>
      <c r="AB58" s="170">
        <v>1.0249999761581421</v>
      </c>
      <c r="AC58" s="170">
        <v>1.0249999761581421</v>
      </c>
      <c r="AD58" s="170">
        <v>0</v>
      </c>
    </row>
    <row r="59" spans="1:30" s="170" customFormat="1" ht="12" x14ac:dyDescent="0.2">
      <c r="A59" s="170" t="s">
        <v>62</v>
      </c>
      <c r="B59" s="170" t="s">
        <v>32</v>
      </c>
      <c r="C59" s="170">
        <v>1.0089999437332151</v>
      </c>
      <c r="D59" s="170">
        <v>1.0089999437332151</v>
      </c>
      <c r="E59" s="170">
        <v>1.0089999437332151</v>
      </c>
      <c r="F59" s="170">
        <v>1.0089999437332151</v>
      </c>
      <c r="G59" s="170">
        <v>1.0089999437332151</v>
      </c>
      <c r="H59" s="170">
        <v>1.0089999437332151</v>
      </c>
      <c r="I59" s="170">
        <v>1.0089999437332151</v>
      </c>
      <c r="J59" s="170">
        <v>1.0089999437332151</v>
      </c>
      <c r="K59" s="170">
        <v>1.0089999437332151</v>
      </c>
      <c r="L59" s="170">
        <v>1.0089999437332151</v>
      </c>
      <c r="M59" s="170">
        <v>1.0089999437332151</v>
      </c>
      <c r="N59" s="170">
        <v>1.0089999437332151</v>
      </c>
      <c r="O59" s="170">
        <v>1.0089999437332151</v>
      </c>
      <c r="P59" s="170">
        <v>1.0089999437332151</v>
      </c>
      <c r="Q59" s="170">
        <v>1.0089999437332151</v>
      </c>
      <c r="R59" s="170">
        <v>1.0089999437332151</v>
      </c>
      <c r="S59" s="170">
        <v>1.0089999437332151</v>
      </c>
      <c r="T59" s="170">
        <v>1.0089999437332151</v>
      </c>
      <c r="U59" s="170">
        <v>1.0089999437332151</v>
      </c>
      <c r="V59" s="170">
        <v>1.0089999437332151</v>
      </c>
      <c r="W59" s="170">
        <v>1.0089999437332151</v>
      </c>
      <c r="X59" s="170">
        <v>1.0089999437332151</v>
      </c>
      <c r="Y59" s="170">
        <v>1.0089999437332151</v>
      </c>
      <c r="Z59" s="170">
        <v>1.0089999437332151</v>
      </c>
      <c r="AA59" s="170">
        <v>1.0089999437332151</v>
      </c>
      <c r="AB59" s="170">
        <v>1.0089999437332151</v>
      </c>
      <c r="AC59" s="170">
        <v>1.0089999437332151</v>
      </c>
      <c r="AD59" s="170">
        <v>0</v>
      </c>
    </row>
    <row r="60" spans="1:30" s="170" customFormat="1" ht="12" x14ac:dyDescent="0.2">
      <c r="A60" s="170" t="s">
        <v>61</v>
      </c>
      <c r="B60" s="170" t="s">
        <v>33</v>
      </c>
      <c r="C60" s="170">
        <v>0.95999997854232788</v>
      </c>
      <c r="D60" s="170">
        <v>0.95999997854232788</v>
      </c>
      <c r="E60" s="170">
        <v>0.95999997854232788</v>
      </c>
      <c r="F60" s="170">
        <v>0.95999997854232788</v>
      </c>
      <c r="G60" s="170">
        <v>0.95999997854232788</v>
      </c>
      <c r="H60" s="170">
        <v>0.95999997854232788</v>
      </c>
      <c r="I60" s="170">
        <v>0.95999997854232788</v>
      </c>
      <c r="J60" s="170">
        <v>0.95999997854232788</v>
      </c>
      <c r="K60" s="170">
        <v>0.95999997854232788</v>
      </c>
      <c r="L60" s="170">
        <v>0.95999997854232788</v>
      </c>
      <c r="M60" s="170">
        <v>0.95999997854232788</v>
      </c>
      <c r="N60" s="170">
        <v>0.95999997854232788</v>
      </c>
      <c r="O60" s="170">
        <v>0.95999997854232788</v>
      </c>
      <c r="P60" s="170">
        <v>0.95999997854232788</v>
      </c>
      <c r="Q60" s="170">
        <v>0.95999997854232788</v>
      </c>
      <c r="R60" s="170">
        <v>0.95999997854232788</v>
      </c>
      <c r="S60" s="170">
        <v>0.95999997854232788</v>
      </c>
      <c r="T60" s="170">
        <v>0.95999997854232788</v>
      </c>
      <c r="U60" s="170">
        <v>0.95999997854232788</v>
      </c>
      <c r="V60" s="170">
        <v>0.95999997854232788</v>
      </c>
      <c r="W60" s="170">
        <v>0.95999997854232788</v>
      </c>
      <c r="X60" s="170">
        <v>0.95999997854232788</v>
      </c>
      <c r="Y60" s="170">
        <v>0.95999997854232788</v>
      </c>
      <c r="Z60" s="170">
        <v>0.95999997854232788</v>
      </c>
      <c r="AA60" s="170">
        <v>0.95999997854232788</v>
      </c>
      <c r="AB60" s="170">
        <v>0.95999997854232788</v>
      </c>
      <c r="AC60" s="170">
        <v>0.95999997854232788</v>
      </c>
      <c r="AD60" s="170">
        <v>0</v>
      </c>
    </row>
    <row r="61" spans="1:30" s="170" customFormat="1" ht="12" x14ac:dyDescent="0.2"/>
    <row r="62" spans="1:30" s="172" customFormat="1" ht="12" x14ac:dyDescent="0.2">
      <c r="B62" s="172" t="s">
        <v>416</v>
      </c>
    </row>
    <row r="63" spans="1:30" s="170" customFormat="1" ht="12" x14ac:dyDescent="0.2">
      <c r="A63" s="170" t="s">
        <v>60</v>
      </c>
      <c r="B63" s="170" t="s">
        <v>30</v>
      </c>
      <c r="C63" s="170">
        <v>21.114740371704102</v>
      </c>
      <c r="D63" s="170">
        <v>21.0429573059082</v>
      </c>
      <c r="E63" s="170">
        <v>21.124723434448239</v>
      </c>
      <c r="F63" s="170">
        <v>21.361576080322269</v>
      </c>
      <c r="G63" s="170">
        <v>21.523605346679691</v>
      </c>
      <c r="H63" s="170">
        <v>21.362909317016602</v>
      </c>
      <c r="I63" s="170">
        <v>21.862710952758789</v>
      </c>
      <c r="J63" s="170">
        <v>21.889633178710941</v>
      </c>
      <c r="K63" s="170">
        <v>23.731817245483398</v>
      </c>
      <c r="L63" s="170">
        <v>23.729841232299801</v>
      </c>
      <c r="M63" s="170">
        <v>24.36976432800293</v>
      </c>
      <c r="N63" s="170">
        <v>24.67011833190918</v>
      </c>
      <c r="O63" s="170">
        <v>24.752544403076168</v>
      </c>
      <c r="P63" s="170">
        <v>24.846464157104489</v>
      </c>
      <c r="Q63" s="170">
        <v>24.579656600952148</v>
      </c>
      <c r="R63" s="170">
        <v>25.281843185424801</v>
      </c>
      <c r="S63" s="170">
        <v>25.410068511962891</v>
      </c>
      <c r="T63" s="170">
        <v>25.61362266540527</v>
      </c>
      <c r="U63" s="170">
        <v>25.618438720703121</v>
      </c>
      <c r="V63" s="170">
        <v>25.58206939697266</v>
      </c>
      <c r="W63" s="170">
        <v>25.669820785522461</v>
      </c>
      <c r="X63" s="170">
        <v>25.620912551879879</v>
      </c>
      <c r="Y63" s="170">
        <v>25.91024208068848</v>
      </c>
      <c r="Z63" s="170">
        <v>25.792461395263668</v>
      </c>
      <c r="AA63" s="170">
        <v>25.723293304443359</v>
      </c>
      <c r="AB63" s="170">
        <v>25.665987014770511</v>
      </c>
      <c r="AC63" s="170">
        <v>25.775941848754879</v>
      </c>
      <c r="AD63" s="170">
        <v>7.7014345823755992E-3</v>
      </c>
    </row>
    <row r="64" spans="1:30" s="170" customFormat="1" ht="12" x14ac:dyDescent="0.2">
      <c r="A64" s="170" t="s">
        <v>59</v>
      </c>
      <c r="B64" s="170" t="s">
        <v>34</v>
      </c>
      <c r="C64" s="170">
        <v>24.21415901184082</v>
      </c>
      <c r="D64" s="170">
        <v>24.321151733398441</v>
      </c>
      <c r="E64" s="170">
        <v>24.09797286987305</v>
      </c>
      <c r="F64" s="170">
        <v>24.022565841674801</v>
      </c>
      <c r="G64" s="170">
        <v>24.160699844360352</v>
      </c>
      <c r="H64" s="170">
        <v>24.042327880859379</v>
      </c>
      <c r="I64" s="170">
        <v>24.05690765380859</v>
      </c>
      <c r="J64" s="170">
        <v>24.11930084228516</v>
      </c>
      <c r="K64" s="170">
        <v>26.897493362426761</v>
      </c>
      <c r="L64" s="170">
        <v>26.903408050537109</v>
      </c>
      <c r="M64" s="170">
        <v>26.733852386474609</v>
      </c>
      <c r="N64" s="170">
        <v>26.747039794921879</v>
      </c>
      <c r="O64" s="170">
        <v>26.769777297973629</v>
      </c>
      <c r="P64" s="170">
        <v>26.779170989990231</v>
      </c>
      <c r="Q64" s="170">
        <v>26.85209846496582</v>
      </c>
      <c r="R64" s="170">
        <v>26.821298599243161</v>
      </c>
      <c r="S64" s="170">
        <v>26.807010650634769</v>
      </c>
      <c r="T64" s="170">
        <v>26.75649261474609</v>
      </c>
      <c r="U64" s="170">
        <v>26.741901397705082</v>
      </c>
      <c r="V64" s="170">
        <v>26.69290733337402</v>
      </c>
      <c r="W64" s="170">
        <v>26.690603256225589</v>
      </c>
      <c r="X64" s="170">
        <v>26.673883438110352</v>
      </c>
      <c r="Y64" s="170">
        <v>26.65020751953125</v>
      </c>
      <c r="Z64" s="170">
        <v>26.663301467895511</v>
      </c>
      <c r="AA64" s="170">
        <v>26.671718597412109</v>
      </c>
      <c r="AB64" s="170">
        <v>26.699850082397461</v>
      </c>
      <c r="AC64" s="170">
        <v>26.704647064208981</v>
      </c>
      <c r="AD64" s="170">
        <v>3.7724846054023602E-3</v>
      </c>
    </row>
    <row r="65" spans="1:30" s="170" customFormat="1" ht="12" x14ac:dyDescent="0.2">
      <c r="A65" s="170" t="s">
        <v>58</v>
      </c>
      <c r="B65" s="170" t="s">
        <v>35</v>
      </c>
      <c r="C65" s="170">
        <v>17.676956176757809</v>
      </c>
      <c r="D65" s="170">
        <v>17.634555816650391</v>
      </c>
      <c r="E65" s="170">
        <v>17.57747650146484</v>
      </c>
      <c r="F65" s="170">
        <v>17.60294151306152</v>
      </c>
      <c r="G65" s="170">
        <v>17.56455039978027</v>
      </c>
      <c r="H65" s="170">
        <v>17.597970962524411</v>
      </c>
      <c r="I65" s="170">
        <v>17.607389450073239</v>
      </c>
      <c r="J65" s="170">
        <v>17.623622894287109</v>
      </c>
      <c r="K65" s="170">
        <v>17.650251388549801</v>
      </c>
      <c r="L65" s="170">
        <v>17.659076690673832</v>
      </c>
      <c r="M65" s="170">
        <v>17.759492874145511</v>
      </c>
      <c r="N65" s="170">
        <v>17.806222915649411</v>
      </c>
      <c r="O65" s="170">
        <v>17.835023880004879</v>
      </c>
      <c r="P65" s="170">
        <v>17.84903717041016</v>
      </c>
      <c r="Q65" s="170">
        <v>17.728691101074219</v>
      </c>
      <c r="R65" s="170">
        <v>17.897825241088871</v>
      </c>
      <c r="S65" s="170">
        <v>17.948284149169918</v>
      </c>
      <c r="T65" s="170">
        <v>18.064519882202148</v>
      </c>
      <c r="U65" s="170">
        <v>18.074016571044918</v>
      </c>
      <c r="V65" s="170">
        <v>18.074453353881839</v>
      </c>
      <c r="W65" s="170">
        <v>18.1350212097168</v>
      </c>
      <c r="X65" s="170">
        <v>18.10353851318359</v>
      </c>
      <c r="Y65" s="170">
        <v>18.388931274414059</v>
      </c>
      <c r="Z65" s="170">
        <v>18.433412551879879</v>
      </c>
      <c r="AA65" s="170">
        <v>18.381488800048832</v>
      </c>
      <c r="AB65" s="170">
        <v>18.33187103271484</v>
      </c>
      <c r="AC65" s="170">
        <v>18.46714019775391</v>
      </c>
      <c r="AD65" s="170">
        <v>1.6833794024782021E-3</v>
      </c>
    </row>
    <row r="66" spans="1:30" s="170" customFormat="1" ht="12" x14ac:dyDescent="0.2">
      <c r="A66" s="170" t="s">
        <v>57</v>
      </c>
      <c r="B66" s="170" t="s">
        <v>28</v>
      </c>
      <c r="C66" s="170">
        <v>19.939119338989261</v>
      </c>
      <c r="D66" s="170">
        <v>19.975200653076168</v>
      </c>
      <c r="E66" s="170">
        <v>19.849454879760739</v>
      </c>
      <c r="F66" s="170">
        <v>19.910884857177731</v>
      </c>
      <c r="G66" s="170">
        <v>19.778657913208011</v>
      </c>
      <c r="H66" s="170">
        <v>19.802286148071289</v>
      </c>
      <c r="I66" s="170">
        <v>20.229091644287109</v>
      </c>
      <c r="J66" s="170">
        <v>20.27164459228516</v>
      </c>
      <c r="K66" s="170">
        <v>22.370437622070309</v>
      </c>
      <c r="L66" s="170">
        <v>22.339384078979489</v>
      </c>
      <c r="M66" s="170">
        <v>22.438327789306641</v>
      </c>
      <c r="N66" s="170">
        <v>22.461183547973629</v>
      </c>
      <c r="O66" s="170">
        <v>22.56822395324707</v>
      </c>
      <c r="P66" s="170">
        <v>22.65365028381348</v>
      </c>
      <c r="Q66" s="170">
        <v>22.789302825927731</v>
      </c>
      <c r="R66" s="170">
        <v>23.70911979675293</v>
      </c>
      <c r="S66" s="170">
        <v>23.68636512756348</v>
      </c>
      <c r="T66" s="170">
        <v>23.65628623962402</v>
      </c>
      <c r="U66" s="170">
        <v>23.62624359130859</v>
      </c>
      <c r="V66" s="170">
        <v>23.601253509521481</v>
      </c>
      <c r="W66" s="170">
        <v>23.8217887878418</v>
      </c>
      <c r="X66" s="170">
        <v>23.805074691772461</v>
      </c>
      <c r="Y66" s="170">
        <v>24.641916275024411</v>
      </c>
      <c r="Z66" s="170">
        <v>24.624423980712891</v>
      </c>
      <c r="AA66" s="170">
        <v>24.585569381713871</v>
      </c>
      <c r="AB66" s="170">
        <v>24.554073333740231</v>
      </c>
      <c r="AC66" s="170">
        <v>24.554193496704102</v>
      </c>
      <c r="AD66" s="170">
        <v>8.0398030341273241E-3</v>
      </c>
    </row>
    <row r="67" spans="1:30" s="170" customFormat="1" ht="12" x14ac:dyDescent="0.2">
      <c r="A67" s="170" t="s">
        <v>56</v>
      </c>
      <c r="B67" s="170" t="s">
        <v>46</v>
      </c>
      <c r="C67" s="170">
        <v>23.302165985107418</v>
      </c>
      <c r="D67" s="170">
        <v>24.020647048950199</v>
      </c>
      <c r="E67" s="170">
        <v>24.048711776733398</v>
      </c>
      <c r="F67" s="170">
        <v>24.08781814575195</v>
      </c>
      <c r="G67" s="170">
        <v>24.167119979858398</v>
      </c>
      <c r="H67" s="170">
        <v>24.10988616943359</v>
      </c>
      <c r="I67" s="170">
        <v>24.136215209960941</v>
      </c>
      <c r="J67" s="170">
        <v>24.104656219482418</v>
      </c>
      <c r="K67" s="170">
        <v>24.092494964599609</v>
      </c>
      <c r="L67" s="170">
        <v>24.095827102661129</v>
      </c>
      <c r="M67" s="170">
        <v>24.160919189453121</v>
      </c>
      <c r="N67" s="170">
        <v>24.21501350402832</v>
      </c>
      <c r="O67" s="170">
        <v>24.21891975402832</v>
      </c>
      <c r="P67" s="170">
        <v>24.21735763549805</v>
      </c>
      <c r="Q67" s="170">
        <v>24.19794845581055</v>
      </c>
      <c r="R67" s="170">
        <v>24.238784790039059</v>
      </c>
      <c r="S67" s="170">
        <v>24.238185882568359</v>
      </c>
      <c r="T67" s="170">
        <v>24.21335411071777</v>
      </c>
      <c r="U67" s="170">
        <v>24.2046012878418</v>
      </c>
      <c r="V67" s="170">
        <v>24.19687461853027</v>
      </c>
      <c r="W67" s="170">
        <v>24.197818756103519</v>
      </c>
      <c r="X67" s="170">
        <v>24.194717407226559</v>
      </c>
      <c r="Y67" s="170">
        <v>24.187643051147461</v>
      </c>
      <c r="Z67" s="170">
        <v>24.186540603637699</v>
      </c>
      <c r="AA67" s="170">
        <v>24.18171501159668</v>
      </c>
      <c r="AB67" s="170">
        <v>24.176017761230469</v>
      </c>
      <c r="AC67" s="170">
        <v>24.16746711730957</v>
      </c>
      <c r="AD67" s="170">
        <v>1.403332895756781E-3</v>
      </c>
    </row>
    <row r="68" spans="1:30" s="170" customFormat="1" ht="12" x14ac:dyDescent="0.2">
      <c r="A68" s="170" t="s">
        <v>55</v>
      </c>
      <c r="B68" s="170" t="s">
        <v>47</v>
      </c>
      <c r="C68" s="170">
        <v>21.858968734741211</v>
      </c>
      <c r="D68" s="170">
        <v>21.944820404052731</v>
      </c>
      <c r="E68" s="170">
        <v>21.881746292114261</v>
      </c>
      <c r="F68" s="170">
        <v>21.878086090087891</v>
      </c>
      <c r="G68" s="170">
        <v>21.874271392822269</v>
      </c>
      <c r="H68" s="170">
        <v>21.875003814697269</v>
      </c>
      <c r="I68" s="170">
        <v>21.879350662231449</v>
      </c>
      <c r="J68" s="170">
        <v>21.89699745178223</v>
      </c>
      <c r="K68" s="170">
        <v>21.890117645263668</v>
      </c>
      <c r="L68" s="170">
        <v>21.89553260803223</v>
      </c>
      <c r="M68" s="170">
        <v>21.900449752807621</v>
      </c>
      <c r="N68" s="170">
        <v>21.902132034301761</v>
      </c>
      <c r="O68" s="170">
        <v>21.9046516418457</v>
      </c>
      <c r="P68" s="170">
        <v>21.908004760742191</v>
      </c>
      <c r="Q68" s="170">
        <v>21.902894973754879</v>
      </c>
      <c r="R68" s="170">
        <v>21.907196044921879</v>
      </c>
      <c r="S68" s="170">
        <v>21.90934944152832</v>
      </c>
      <c r="T68" s="170">
        <v>21.910810470581051</v>
      </c>
      <c r="U68" s="170">
        <v>21.9114990234375</v>
      </c>
      <c r="V68" s="170">
        <v>21.913339614868161</v>
      </c>
      <c r="W68" s="170">
        <v>21.913631439208981</v>
      </c>
      <c r="X68" s="170">
        <v>21.913473129272461</v>
      </c>
      <c r="Y68" s="170">
        <v>21.913686752319339</v>
      </c>
      <c r="Z68" s="170">
        <v>21.913970947265621</v>
      </c>
      <c r="AA68" s="170">
        <v>21.9134635925293</v>
      </c>
      <c r="AB68" s="170">
        <v>21.912015914916989</v>
      </c>
      <c r="AC68" s="170">
        <v>21.91026496887207</v>
      </c>
      <c r="AD68" s="170">
        <v>9.0155652840318012E-5</v>
      </c>
    </row>
    <row r="69" spans="1:30" s="170" customFormat="1" ht="12" x14ac:dyDescent="0.2">
      <c r="A69" s="170" t="s">
        <v>54</v>
      </c>
      <c r="B69" s="170" t="s">
        <v>36</v>
      </c>
      <c r="C69" s="170">
        <v>28.607538223266602</v>
      </c>
      <c r="D69" s="170">
        <v>28.557693481445309</v>
      </c>
      <c r="E69" s="170">
        <v>28.558612823486332</v>
      </c>
      <c r="F69" s="170">
        <v>28.555070877075199</v>
      </c>
      <c r="G69" s="170">
        <v>28.547548294067379</v>
      </c>
      <c r="H69" s="170">
        <v>28.54273796081543</v>
      </c>
      <c r="I69" s="170">
        <v>28.538761138916019</v>
      </c>
      <c r="J69" s="170">
        <v>28.536163330078121</v>
      </c>
      <c r="K69" s="170">
        <v>28.533185958862301</v>
      </c>
      <c r="L69" s="170">
        <v>28.528196334838871</v>
      </c>
      <c r="M69" s="170">
        <v>28.523420333862301</v>
      </c>
      <c r="N69" s="170">
        <v>28.519424438476559</v>
      </c>
      <c r="O69" s="170">
        <v>28.514703750610352</v>
      </c>
      <c r="P69" s="170">
        <v>28.511520385742191</v>
      </c>
      <c r="Q69" s="170">
        <v>28.508163452148441</v>
      </c>
      <c r="R69" s="170">
        <v>28.5039176940918</v>
      </c>
      <c r="S69" s="170">
        <v>28.500589370727539</v>
      </c>
      <c r="T69" s="170">
        <v>28.496452331542969</v>
      </c>
      <c r="U69" s="170">
        <v>28.491558074951168</v>
      </c>
      <c r="V69" s="170">
        <v>28.48763275146484</v>
      </c>
      <c r="W69" s="170">
        <v>28.48249626159668</v>
      </c>
      <c r="X69" s="170">
        <v>28.477024078369141</v>
      </c>
      <c r="Y69" s="170">
        <v>28.469602584838871</v>
      </c>
      <c r="Z69" s="170">
        <v>28.463632583618161</v>
      </c>
      <c r="AA69" s="170">
        <v>28.45822715759277</v>
      </c>
      <c r="AB69" s="170">
        <v>28.451639175415039</v>
      </c>
      <c r="AC69" s="170">
        <v>28.44515419006348</v>
      </c>
      <c r="AD69" s="170">
        <v>-2.189159770861204E-4</v>
      </c>
    </row>
    <row r="70" spans="1:30" s="170" customFormat="1" ht="12" x14ac:dyDescent="0.2">
      <c r="A70" s="170" t="s">
        <v>53</v>
      </c>
      <c r="B70" s="170" t="s">
        <v>48</v>
      </c>
      <c r="C70" s="170">
        <v>19.271638870239261</v>
      </c>
      <c r="D70" s="170">
        <v>19.30937385559082</v>
      </c>
      <c r="E70" s="170">
        <v>19.051338195800781</v>
      </c>
      <c r="F70" s="170">
        <v>18.972848892211911</v>
      </c>
      <c r="G70" s="170">
        <v>18.801227569580082</v>
      </c>
      <c r="H70" s="170">
        <v>18.769792556762699</v>
      </c>
      <c r="I70" s="170">
        <v>19.085927963256839</v>
      </c>
      <c r="J70" s="170">
        <v>19.0309944152832</v>
      </c>
      <c r="K70" s="170">
        <v>18.676235198974609</v>
      </c>
      <c r="L70" s="170">
        <v>18.662544250488281</v>
      </c>
      <c r="M70" s="170">
        <v>18.686916351318359</v>
      </c>
      <c r="N70" s="170">
        <v>18.664506912231449</v>
      </c>
      <c r="O70" s="170">
        <v>18.677793502807621</v>
      </c>
      <c r="P70" s="170">
        <v>18.502603530883789</v>
      </c>
      <c r="Q70" s="170">
        <v>18.537395477294918</v>
      </c>
      <c r="R70" s="170">
        <v>18.858892440795898</v>
      </c>
      <c r="S70" s="170">
        <v>18.858369827270511</v>
      </c>
      <c r="T70" s="170">
        <v>18.85774040222168</v>
      </c>
      <c r="U70" s="170">
        <v>18.795892715454102</v>
      </c>
      <c r="V70" s="170">
        <v>18.796941757202148</v>
      </c>
      <c r="W70" s="170">
        <v>18.586944580078121</v>
      </c>
      <c r="X70" s="170">
        <v>18.304195404052731</v>
      </c>
      <c r="Y70" s="170">
        <v>20.85986328125</v>
      </c>
      <c r="Z70" s="170">
        <v>19.46113395690918</v>
      </c>
      <c r="AA70" s="170">
        <v>19.115640640258789</v>
      </c>
      <c r="AB70" s="170">
        <v>19.098075866699219</v>
      </c>
      <c r="AC70" s="170">
        <v>19.657163619995121</v>
      </c>
      <c r="AD70" s="170">
        <v>7.621097246217623E-4</v>
      </c>
    </row>
    <row r="71" spans="1:30" s="170" customFormat="1" ht="12" x14ac:dyDescent="0.2">
      <c r="A71" s="170" t="s">
        <v>52</v>
      </c>
      <c r="B71" s="170" t="s">
        <v>31</v>
      </c>
      <c r="C71" s="170">
        <v>24.02485275268555</v>
      </c>
      <c r="D71" s="170">
        <v>24.076810836791989</v>
      </c>
      <c r="E71" s="170">
        <v>24.131755828857418</v>
      </c>
      <c r="F71" s="170">
        <v>24.125980377197269</v>
      </c>
      <c r="G71" s="170">
        <v>24.1209602355957</v>
      </c>
      <c r="H71" s="170">
        <v>24.11892127990723</v>
      </c>
      <c r="I71" s="170">
        <v>24.11617279052734</v>
      </c>
      <c r="J71" s="170">
        <v>24.248298645019531</v>
      </c>
      <c r="K71" s="170">
        <v>24.110294342041019</v>
      </c>
      <c r="L71" s="170">
        <v>24.10966873168945</v>
      </c>
      <c r="M71" s="170">
        <v>24.11099815368652</v>
      </c>
      <c r="N71" s="170">
        <v>24.11481857299805</v>
      </c>
      <c r="O71" s="170">
        <v>24.120647430419918</v>
      </c>
      <c r="P71" s="170">
        <v>24.127151489257809</v>
      </c>
      <c r="Q71" s="170">
        <v>24.135377883911129</v>
      </c>
      <c r="R71" s="170">
        <v>24.139242172241211</v>
      </c>
      <c r="S71" s="170">
        <v>24.143583297729489</v>
      </c>
      <c r="T71" s="170">
        <v>24.148103713989261</v>
      </c>
      <c r="U71" s="170">
        <v>24.152894973754879</v>
      </c>
      <c r="V71" s="170">
        <v>24.157461166381839</v>
      </c>
      <c r="W71" s="170">
        <v>24.162815093994141</v>
      </c>
      <c r="X71" s="170">
        <v>24.16786956787109</v>
      </c>
      <c r="Y71" s="170">
        <v>24.172578811645511</v>
      </c>
      <c r="Z71" s="170">
        <v>24.1768798828125</v>
      </c>
      <c r="AA71" s="170">
        <v>24.18131065368652</v>
      </c>
      <c r="AB71" s="170">
        <v>24.186347961425781</v>
      </c>
      <c r="AC71" s="170">
        <v>24.192451477050781</v>
      </c>
      <c r="AD71" s="170">
        <v>2.6741406229446868E-4</v>
      </c>
    </row>
    <row r="72" spans="1:30" s="170" customFormat="1" ht="12" x14ac:dyDescent="0.2">
      <c r="A72" s="170" t="s">
        <v>51</v>
      </c>
      <c r="B72" s="170" t="s">
        <v>32</v>
      </c>
      <c r="C72" s="170">
        <v>25.331892013549801</v>
      </c>
      <c r="D72" s="170">
        <v>24.99903678894043</v>
      </c>
      <c r="E72" s="170">
        <v>25.095947265625</v>
      </c>
      <c r="F72" s="170">
        <v>25.07594108581543</v>
      </c>
      <c r="G72" s="170">
        <v>25.777101516723629</v>
      </c>
      <c r="H72" s="170">
        <v>24.895635604858398</v>
      </c>
      <c r="I72" s="170">
        <v>24.780544281005859</v>
      </c>
      <c r="J72" s="170">
        <v>24.490537643432621</v>
      </c>
      <c r="K72" s="170">
        <v>24.87583160400391</v>
      </c>
      <c r="L72" s="170">
        <v>24.889680862426761</v>
      </c>
      <c r="M72" s="170">
        <v>25.7852897644043</v>
      </c>
      <c r="N72" s="170">
        <v>26.173110961914059</v>
      </c>
      <c r="O72" s="170">
        <v>26.176395416259769</v>
      </c>
      <c r="P72" s="170">
        <v>26.161647796630859</v>
      </c>
      <c r="Q72" s="170">
        <v>25.632986068725589</v>
      </c>
      <c r="R72" s="170">
        <v>26.006887435913089</v>
      </c>
      <c r="S72" s="170">
        <v>26.173149108886719</v>
      </c>
      <c r="T72" s="170">
        <v>26.461782455444339</v>
      </c>
      <c r="U72" s="170">
        <v>26.462579727172852</v>
      </c>
      <c r="V72" s="170">
        <v>26.40660285949707</v>
      </c>
      <c r="W72" s="170">
        <v>26.378507614135739</v>
      </c>
      <c r="X72" s="170">
        <v>26.289899826049801</v>
      </c>
      <c r="Y72" s="170">
        <v>26.280910491943359</v>
      </c>
      <c r="Z72" s="170">
        <v>26.128677368164059</v>
      </c>
      <c r="AA72" s="170">
        <v>26.047849655151371</v>
      </c>
      <c r="AB72" s="170">
        <v>25.976837158203121</v>
      </c>
      <c r="AC72" s="170">
        <v>26.105216979980469</v>
      </c>
      <c r="AD72" s="170">
        <v>1.157246895848729E-3</v>
      </c>
    </row>
    <row r="73" spans="1:30" s="170" customFormat="1" ht="12" x14ac:dyDescent="0.2">
      <c r="A73" s="170" t="s">
        <v>50</v>
      </c>
      <c r="B73" s="170" t="s">
        <v>37</v>
      </c>
      <c r="C73" s="170">
        <v>10.829999923706049</v>
      </c>
      <c r="D73" s="170">
        <v>10.829999923706049</v>
      </c>
      <c r="E73" s="170">
        <v>10.829999923706049</v>
      </c>
      <c r="F73" s="170">
        <v>10.830000877380369</v>
      </c>
      <c r="G73" s="170">
        <v>10.829999923706049</v>
      </c>
      <c r="H73" s="170">
        <v>10.829999923706049</v>
      </c>
      <c r="I73" s="170">
        <v>10.830000877380369</v>
      </c>
      <c r="J73" s="170">
        <v>10.829999923706049</v>
      </c>
      <c r="K73" s="170">
        <v>10.829999923706049</v>
      </c>
      <c r="L73" s="170">
        <v>10.829999923706049</v>
      </c>
      <c r="M73" s="170">
        <v>10.829999923706049</v>
      </c>
      <c r="N73" s="170">
        <v>10.829999923706049</v>
      </c>
      <c r="O73" s="170">
        <v>10.829999923706049</v>
      </c>
      <c r="P73" s="170">
        <v>10.829999923706049</v>
      </c>
      <c r="Q73" s="170">
        <v>10.829999923706049</v>
      </c>
      <c r="R73" s="170">
        <v>0</v>
      </c>
      <c r="S73" s="170">
        <v>0</v>
      </c>
      <c r="T73" s="170">
        <v>0</v>
      </c>
      <c r="U73" s="170">
        <v>0</v>
      </c>
      <c r="V73" s="170">
        <v>0</v>
      </c>
      <c r="W73" s="170">
        <v>0</v>
      </c>
      <c r="X73" s="170">
        <v>0</v>
      </c>
      <c r="Y73" s="170">
        <v>0</v>
      </c>
      <c r="Z73" s="170">
        <v>0</v>
      </c>
      <c r="AA73" s="170">
        <v>0</v>
      </c>
      <c r="AB73" s="170">
        <v>0</v>
      </c>
      <c r="AC73" s="170">
        <v>0</v>
      </c>
      <c r="AD73" s="170">
        <v>-1</v>
      </c>
    </row>
    <row r="74" spans="1:30" s="170" customFormat="1" ht="12" x14ac:dyDescent="0.2"/>
    <row r="75" spans="1:30" s="170" customFormat="1" ht="12" x14ac:dyDescent="0.2">
      <c r="B75" s="170" t="s">
        <v>417</v>
      </c>
    </row>
    <row r="76" spans="1:30" s="170" customFormat="1" ht="12" x14ac:dyDescent="0.2">
      <c r="B76" s="170" t="s">
        <v>418</v>
      </c>
    </row>
    <row r="77" spans="1:30" s="170" customFormat="1" ht="12" x14ac:dyDescent="0.2">
      <c r="A77" s="170" t="s">
        <v>49</v>
      </c>
      <c r="B77" s="170" t="s">
        <v>419</v>
      </c>
      <c r="C77" s="170">
        <v>3412</v>
      </c>
      <c r="D77" s="170">
        <v>3412</v>
      </c>
      <c r="E77" s="170">
        <v>3412</v>
      </c>
      <c r="F77" s="170">
        <v>3412</v>
      </c>
      <c r="G77" s="170">
        <v>3412</v>
      </c>
      <c r="H77" s="170">
        <v>3412</v>
      </c>
      <c r="I77" s="170">
        <v>3412</v>
      </c>
      <c r="J77" s="170">
        <v>3412</v>
      </c>
      <c r="K77" s="170">
        <v>3412</v>
      </c>
      <c r="L77" s="170">
        <v>3412</v>
      </c>
      <c r="M77" s="170">
        <v>3412</v>
      </c>
      <c r="N77" s="170">
        <v>3412</v>
      </c>
      <c r="O77" s="170">
        <v>3412</v>
      </c>
      <c r="P77" s="170">
        <v>3412</v>
      </c>
      <c r="Q77" s="170">
        <v>3412</v>
      </c>
      <c r="R77" s="170">
        <v>3412</v>
      </c>
      <c r="S77" s="170">
        <v>3412</v>
      </c>
      <c r="T77" s="170">
        <v>3412</v>
      </c>
      <c r="U77" s="170">
        <v>3412</v>
      </c>
      <c r="V77" s="170">
        <v>3412</v>
      </c>
      <c r="W77" s="170">
        <v>3412</v>
      </c>
      <c r="X77" s="170">
        <v>3412</v>
      </c>
      <c r="Y77" s="170">
        <v>3412</v>
      </c>
      <c r="Z77" s="170">
        <v>3412</v>
      </c>
      <c r="AA77" s="170">
        <v>3412</v>
      </c>
      <c r="AB77" s="170">
        <v>3412</v>
      </c>
      <c r="AC77" s="170">
        <v>3412</v>
      </c>
      <c r="AD77" s="170">
        <v>0</v>
      </c>
    </row>
    <row r="78" spans="1:30" s="170" customFormat="1" ht="12" x14ac:dyDescent="0.2">
      <c r="A78" s="170" t="s">
        <v>420</v>
      </c>
      <c r="B78" s="170" t="s">
        <v>421</v>
      </c>
      <c r="C78" s="170">
        <v>8679.5302734375</v>
      </c>
      <c r="D78" s="170">
        <v>8486.115234375</v>
      </c>
      <c r="E78" s="170">
        <v>8477.712890625</v>
      </c>
      <c r="F78" s="170">
        <v>8336.1875</v>
      </c>
      <c r="G78" s="170">
        <v>8252.0478515625</v>
      </c>
      <c r="H78" s="170">
        <v>8191.9951171875</v>
      </c>
      <c r="I78" s="170">
        <v>8175.638671875</v>
      </c>
      <c r="J78" s="170">
        <v>8097.12451171875</v>
      </c>
      <c r="K78" s="170">
        <v>8063.76220703125</v>
      </c>
      <c r="L78" s="170">
        <v>7759.59912109375</v>
      </c>
      <c r="M78" s="170">
        <v>7736.6240234375</v>
      </c>
      <c r="N78" s="170">
        <v>7707.1552734375</v>
      </c>
      <c r="O78" s="170">
        <v>7700.40380859375</v>
      </c>
      <c r="P78" s="170">
        <v>7682.99951171875</v>
      </c>
      <c r="Q78" s="170">
        <v>7696.494140625</v>
      </c>
      <c r="R78" s="170">
        <v>7700.10546875</v>
      </c>
      <c r="S78" s="170">
        <v>7619.47705078125</v>
      </c>
      <c r="T78" s="170">
        <v>7639.10693359375</v>
      </c>
      <c r="U78" s="170">
        <v>7642.04345703125</v>
      </c>
      <c r="V78" s="170">
        <v>7655.73876953125</v>
      </c>
      <c r="W78" s="170">
        <v>7659.853515625</v>
      </c>
      <c r="X78" s="170">
        <v>7647.55810546875</v>
      </c>
      <c r="Y78" s="170">
        <v>7634.58642578125</v>
      </c>
      <c r="Z78" s="170">
        <v>7614.64990234375</v>
      </c>
      <c r="AA78" s="170">
        <v>7578.09619140625</v>
      </c>
      <c r="AB78" s="170">
        <v>7573.9267578125</v>
      </c>
      <c r="AC78" s="170">
        <v>7557.6611328125</v>
      </c>
      <c r="AD78" s="170">
        <v>-5.3091503358779768E-3</v>
      </c>
    </row>
    <row r="79" spans="1:30" s="170" customFormat="1" ht="15.75" thickBot="1" x14ac:dyDescent="0.3">
      <c r="B79" s="173"/>
      <c r="C79" s="173"/>
      <c r="D79" s="173"/>
      <c r="E79" s="173"/>
      <c r="F79" s="173"/>
      <c r="G79" s="173"/>
      <c r="H79" s="173"/>
      <c r="I79" s="173"/>
      <c r="J79" s="173"/>
      <c r="K79" s="173"/>
      <c r="L79" s="173"/>
      <c r="M79" s="173"/>
      <c r="N79" s="173"/>
      <c r="O79" s="173"/>
      <c r="P79" s="173"/>
      <c r="Q79" s="173"/>
      <c r="R79" s="173"/>
      <c r="S79" s="173"/>
      <c r="T79" s="173"/>
      <c r="U79" s="173"/>
      <c r="V79" s="173"/>
      <c r="W79" s="173"/>
      <c r="X79" s="173"/>
      <c r="Y79" s="173"/>
      <c r="Z79" s="173"/>
      <c r="AA79" s="173"/>
      <c r="AB79" s="173"/>
      <c r="AC79" s="173"/>
      <c r="AD79" s="173"/>
    </row>
    <row r="80" spans="1:30" s="170" customFormat="1" ht="12.75" thickTop="1" x14ac:dyDescent="0.2">
      <c r="B80" s="170" t="s">
        <v>422</v>
      </c>
    </row>
    <row r="81" spans="2:2" s="170" customFormat="1" ht="12" x14ac:dyDescent="0.2">
      <c r="B81" s="170" t="s">
        <v>423</v>
      </c>
    </row>
    <row r="82" spans="2:2" s="170" customFormat="1" ht="12" x14ac:dyDescent="0.2">
      <c r="B82" s="170" t="s">
        <v>424</v>
      </c>
    </row>
    <row r="83" spans="2:2" s="170" customFormat="1" ht="12" x14ac:dyDescent="0.2">
      <c r="B83" s="170" t="s">
        <v>425</v>
      </c>
    </row>
    <row r="84" spans="2:2" s="170" customFormat="1" ht="12" x14ac:dyDescent="0.2">
      <c r="B84" s="170" t="s">
        <v>426</v>
      </c>
    </row>
    <row r="85" spans="2:2" s="170" customFormat="1" ht="12" x14ac:dyDescent="0.2">
      <c r="B85" s="170" t="s">
        <v>427</v>
      </c>
    </row>
    <row r="86" spans="2:2" s="170" customFormat="1" ht="12" x14ac:dyDescent="0.2">
      <c r="B86" s="170" t="s">
        <v>428</v>
      </c>
    </row>
    <row r="87" spans="2:2" s="170" customFormat="1" ht="12" x14ac:dyDescent="0.2">
      <c r="B87" s="170" t="s">
        <v>429</v>
      </c>
    </row>
  </sheetData>
  <conditionalFormatting sqref="A13:AD13">
    <cfRule type="notContainsBlanks" dxfId="10" priority="5">
      <formula>LEN(TRIM(A13))&gt;0</formula>
    </cfRule>
  </conditionalFormatting>
  <conditionalFormatting sqref="AD1">
    <cfRule type="notContainsBlanks" dxfId="9" priority="1">
      <formula>LEN(TRIM(AD1))&gt;0</formula>
    </cfRule>
  </conditionalFormatting>
  <conditionalFormatting sqref="AD2:AD9">
    <cfRule type="notContainsBlanks" dxfId="8" priority="2">
      <formula>LEN(TRIM(AD2))&gt;0</formula>
    </cfRule>
  </conditionalFormatting>
  <conditionalFormatting sqref="AD10">
    <cfRule type="notContainsBlanks" dxfId="7" priority="3">
      <formula>LEN(TRIM(AD10))&gt;0</formula>
    </cfRule>
  </conditionalFormatting>
  <conditionalFormatting sqref="AD11:AD12">
    <cfRule type="notContainsBlanks" dxfId="6" priority="4">
      <formula>LEN(TRIM(AD11))&gt;0</formula>
    </cfRule>
  </conditionalFormatting>
  <conditionalFormatting sqref="AD13:AD14">
    <cfRule type="notContainsBlanks" dxfId="5" priority="6">
      <formula>LEN(TRIM(AD13))&gt;0</formula>
    </cfRule>
  </conditionalFormatting>
  <conditionalFormatting sqref="AD15:AD52">
    <cfRule type="notContainsBlanks" dxfId="4" priority="7">
      <formula>LEN(TRIM(AD15))&gt;0</formula>
    </cfRule>
  </conditionalFormatting>
  <conditionalFormatting sqref="AD53">
    <cfRule type="notContainsBlanks" dxfId="3" priority="8">
      <formula>LEN(TRIM(AD53))&gt;0</formula>
    </cfRule>
  </conditionalFormatting>
  <conditionalFormatting sqref="AD54:AD61">
    <cfRule type="notContainsBlanks" dxfId="2" priority="9">
      <formula>LEN(TRIM(AD54))&gt;0</formula>
    </cfRule>
  </conditionalFormatting>
  <conditionalFormatting sqref="AD62">
    <cfRule type="notContainsBlanks" dxfId="1" priority="10">
      <formula>LEN(TRIM(AD62))&gt;0</formula>
    </cfRule>
  </conditionalFormatting>
  <conditionalFormatting sqref="AD63:AD87">
    <cfRule type="notContainsBlanks" dxfId="0" priority="11">
      <formula>LEN(TRIM(AD63))&gt;0</formula>
    </cfRule>
  </conditionalFormatting>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63"/>
  <sheetViews>
    <sheetView zoomScale="80" zoomScaleNormal="80" workbookViewId="0"/>
  </sheetViews>
  <sheetFormatPr defaultColWidth="9.140625" defaultRowHeight="15" x14ac:dyDescent="0.25"/>
  <cols>
    <col min="1" max="1" width="33.140625" customWidth="1"/>
    <col min="2" max="2" width="13.42578125" bestFit="1" customWidth="1"/>
    <col min="3" max="3" width="11.5703125" customWidth="1"/>
    <col min="4" max="4" width="12.85546875" bestFit="1" customWidth="1"/>
    <col min="5" max="5" width="10.42578125" bestFit="1" customWidth="1"/>
    <col min="6" max="6" width="11.28515625" customWidth="1"/>
    <col min="7" max="7" width="13.42578125" customWidth="1"/>
    <col min="8" max="8" width="12.7109375" bestFit="1" customWidth="1"/>
    <col min="9" max="9" width="9.7109375" bestFit="1" customWidth="1"/>
    <col min="11" max="11" width="10.42578125" customWidth="1"/>
    <col min="12" max="12" width="12.42578125" bestFit="1" customWidth="1"/>
    <col min="15" max="15" width="12.85546875" bestFit="1" customWidth="1"/>
    <col min="19" max="19" width="10.42578125" customWidth="1"/>
    <col min="23" max="23" width="10.7109375" customWidth="1"/>
  </cols>
  <sheetData>
    <row r="1" spans="1:23" ht="15.75" x14ac:dyDescent="0.25">
      <c r="A1" s="5" t="s">
        <v>106</v>
      </c>
    </row>
    <row r="2" spans="1:23" x14ac:dyDescent="0.25">
      <c r="A2" s="6" t="s">
        <v>107</v>
      </c>
    </row>
    <row r="3" spans="1:23" ht="12.75" customHeight="1" x14ac:dyDescent="0.25">
      <c r="A3" s="7" t="s">
        <v>108</v>
      </c>
      <c r="B3" s="8" t="s">
        <v>109</v>
      </c>
      <c r="C3" s="9"/>
      <c r="D3" s="9"/>
      <c r="E3" s="10" t="s">
        <v>110</v>
      </c>
      <c r="F3" s="10" t="s">
        <v>111</v>
      </c>
      <c r="G3" s="10" t="s">
        <v>112</v>
      </c>
      <c r="H3" s="10" t="s">
        <v>112</v>
      </c>
      <c r="I3" s="11"/>
    </row>
    <row r="4" spans="1:23" ht="26.25" x14ac:dyDescent="0.25">
      <c r="A4" s="12"/>
      <c r="B4" s="13" t="s">
        <v>284</v>
      </c>
      <c r="C4" s="14" t="s">
        <v>113</v>
      </c>
      <c r="D4" s="14" t="s">
        <v>114</v>
      </c>
      <c r="E4" s="14"/>
      <c r="F4" s="14" t="s">
        <v>115</v>
      </c>
      <c r="G4" s="14" t="s">
        <v>116</v>
      </c>
      <c r="H4" s="15" t="s">
        <v>117</v>
      </c>
      <c r="I4" s="16" t="s">
        <v>118</v>
      </c>
    </row>
    <row r="5" spans="1:23" x14ac:dyDescent="0.25">
      <c r="A5" s="17" t="s">
        <v>119</v>
      </c>
      <c r="B5" s="18">
        <v>1</v>
      </c>
      <c r="C5" s="19" t="s">
        <v>120</v>
      </c>
      <c r="D5" s="19"/>
      <c r="E5" s="20"/>
      <c r="F5" s="20"/>
      <c r="G5" s="20"/>
      <c r="H5" s="20"/>
      <c r="I5" s="21"/>
    </row>
    <row r="6" spans="1:23" x14ac:dyDescent="0.25">
      <c r="A6" s="22" t="s">
        <v>121</v>
      </c>
      <c r="B6" s="23" t="s">
        <v>122</v>
      </c>
      <c r="C6" s="24" t="s">
        <v>122</v>
      </c>
      <c r="D6" s="24" t="s">
        <v>122</v>
      </c>
      <c r="E6" s="24" t="s">
        <v>123</v>
      </c>
      <c r="F6" s="25"/>
      <c r="G6" s="25"/>
      <c r="H6" s="25"/>
      <c r="I6" s="26"/>
    </row>
    <row r="7" spans="1:23" x14ac:dyDescent="0.25">
      <c r="A7" s="27" t="s">
        <v>124</v>
      </c>
      <c r="B7" s="28">
        <v>129670</v>
      </c>
      <c r="C7" s="29">
        <v>129670</v>
      </c>
      <c r="D7" s="29">
        <v>138350</v>
      </c>
      <c r="E7" s="29">
        <v>3205</v>
      </c>
      <c r="F7" s="30">
        <v>0.85299999999999998</v>
      </c>
      <c r="G7" s="31">
        <v>16000</v>
      </c>
      <c r="H7" s="32">
        <v>1.6E-2</v>
      </c>
      <c r="I7" s="33">
        <v>0.93726057101554028</v>
      </c>
    </row>
    <row r="8" spans="1:23" x14ac:dyDescent="0.25">
      <c r="A8" s="27" t="s">
        <v>125</v>
      </c>
      <c r="B8" s="28">
        <v>135084.91292306196</v>
      </c>
      <c r="C8" s="34">
        <v>135084.91292306196</v>
      </c>
      <c r="D8" s="34">
        <v>144475.84269846199</v>
      </c>
      <c r="E8" s="34">
        <v>3266</v>
      </c>
      <c r="F8" s="35">
        <v>0.85562068501529054</v>
      </c>
      <c r="G8" s="31">
        <v>1800</v>
      </c>
      <c r="H8" s="32">
        <v>1.8E-3</v>
      </c>
      <c r="I8" s="33">
        <v>0.93500000000000005</v>
      </c>
    </row>
    <row r="9" spans="1:23" x14ac:dyDescent="0.25">
      <c r="A9" s="27" t="s">
        <v>126</v>
      </c>
      <c r="B9" s="28">
        <v>152370.90134048002</v>
      </c>
      <c r="C9" s="34">
        <v>152370.90134048002</v>
      </c>
      <c r="D9" s="34">
        <v>162963.53084543315</v>
      </c>
      <c r="E9" s="34">
        <v>3839.6821254480283</v>
      </c>
      <c r="F9" s="35">
        <v>0.83</v>
      </c>
      <c r="G9" s="31">
        <v>48000</v>
      </c>
      <c r="H9" s="32">
        <v>4.8000000000000001E-2</v>
      </c>
      <c r="I9" s="33">
        <v>0.93500000000000016</v>
      </c>
    </row>
    <row r="10" spans="1:23" x14ac:dyDescent="0.25">
      <c r="A10" s="27" t="s">
        <v>127</v>
      </c>
      <c r="B10" s="28">
        <v>152370.90134048002</v>
      </c>
      <c r="C10" s="36">
        <v>152370.90134048002</v>
      </c>
      <c r="D10" s="36">
        <v>162963.53084543315</v>
      </c>
      <c r="E10" s="36">
        <v>3839.6821254480283</v>
      </c>
      <c r="F10" s="37">
        <v>0.83</v>
      </c>
      <c r="G10" s="36">
        <v>48000</v>
      </c>
      <c r="H10" s="32">
        <v>4.8000000000000001E-2</v>
      </c>
      <c r="I10" s="33">
        <v>0.93500000000000016</v>
      </c>
    </row>
    <row r="11" spans="1:23" x14ac:dyDescent="0.25">
      <c r="A11" s="27" t="s">
        <v>128</v>
      </c>
      <c r="B11" s="28">
        <v>145194.18901496602</v>
      </c>
      <c r="C11" s="36">
        <v>145194.18901496602</v>
      </c>
      <c r="D11" s="36">
        <v>155287.90268980322</v>
      </c>
      <c r="E11" s="36">
        <v>3500.47748781362</v>
      </c>
      <c r="F11" s="37">
        <v>0.83245885654014951</v>
      </c>
      <c r="G11" s="36">
        <v>37227.389654331695</v>
      </c>
      <c r="H11" s="32">
        <v>3.7227389654331693E-2</v>
      </c>
      <c r="I11" s="33">
        <v>0.93500000000000005</v>
      </c>
      <c r="L11" s="36"/>
      <c r="M11" s="36"/>
      <c r="N11" s="36"/>
      <c r="O11" s="36"/>
      <c r="P11" s="37"/>
      <c r="Q11" s="36"/>
      <c r="R11" s="32"/>
      <c r="S11" s="38"/>
    </row>
    <row r="12" spans="1:23" x14ac:dyDescent="0.25">
      <c r="A12" s="27" t="s">
        <v>129</v>
      </c>
      <c r="B12" s="28">
        <v>128448.52692210001</v>
      </c>
      <c r="C12" s="34">
        <v>128448.52692210001</v>
      </c>
      <c r="D12" s="34">
        <v>137378.10365999999</v>
      </c>
      <c r="E12" s="34">
        <v>2709</v>
      </c>
      <c r="F12" s="35">
        <v>0.84059083544303792</v>
      </c>
      <c r="G12" s="31">
        <v>1600</v>
      </c>
      <c r="H12" s="32">
        <v>1.6000000000000001E-3</v>
      </c>
      <c r="I12" s="33">
        <v>0.93500000000000005</v>
      </c>
    </row>
    <row r="13" spans="1:23" x14ac:dyDescent="0.25">
      <c r="A13" t="s">
        <v>130</v>
      </c>
      <c r="B13" s="28">
        <v>125600.90733399388</v>
      </c>
      <c r="C13" s="39">
        <v>125600.90733399388</v>
      </c>
      <c r="D13" s="39">
        <v>134008.52571649614</v>
      </c>
      <c r="E13" s="40">
        <v>3087.2372132564833</v>
      </c>
      <c r="F13" s="41">
        <v>0.85299999999999998</v>
      </c>
      <c r="G13" s="41">
        <v>16000</v>
      </c>
      <c r="H13" s="32">
        <v>1.6E-2</v>
      </c>
      <c r="I13" s="33">
        <v>0.93726057101554028</v>
      </c>
    </row>
    <row r="14" spans="1:23" x14ac:dyDescent="0.25">
      <c r="A14" t="s">
        <v>131</v>
      </c>
      <c r="B14" s="28">
        <v>122492.60888766299</v>
      </c>
      <c r="C14" s="39">
        <v>122492.60888766299</v>
      </c>
      <c r="D14" s="39">
        <v>130692.16040416578</v>
      </c>
      <c r="E14" s="40">
        <v>2984.0426545960995</v>
      </c>
      <c r="F14" s="41">
        <v>0.85299999999999998</v>
      </c>
      <c r="G14" s="41">
        <v>16000</v>
      </c>
      <c r="H14" s="32">
        <v>1.6E-2</v>
      </c>
      <c r="I14" s="33">
        <v>0.93726057101554017</v>
      </c>
    </row>
    <row r="15" spans="1:23" x14ac:dyDescent="0.25">
      <c r="A15" s="27" t="s">
        <v>132</v>
      </c>
      <c r="B15" s="28">
        <v>116090</v>
      </c>
      <c r="C15" s="29">
        <v>116090</v>
      </c>
      <c r="D15" s="29">
        <v>124340</v>
      </c>
      <c r="E15" s="29">
        <v>2819</v>
      </c>
      <c r="F15" s="30">
        <v>0.86299999999999999</v>
      </c>
      <c r="G15" s="36">
        <v>10</v>
      </c>
      <c r="H15" s="32">
        <v>1.0000000000000001E-5</v>
      </c>
      <c r="I15" s="33">
        <v>0.93364967025896739</v>
      </c>
      <c r="P15" s="42"/>
      <c r="Q15" s="42"/>
      <c r="R15" s="42"/>
      <c r="S15" s="42"/>
      <c r="T15" s="42"/>
      <c r="U15" s="42"/>
      <c r="V15" s="43"/>
      <c r="W15" s="39"/>
    </row>
    <row r="16" spans="1:23" x14ac:dyDescent="0.25">
      <c r="A16" s="27" t="s">
        <v>133</v>
      </c>
      <c r="B16" s="28">
        <v>112193.52</v>
      </c>
      <c r="C16" s="36">
        <v>112193.52</v>
      </c>
      <c r="D16" s="36">
        <v>120438.62000000001</v>
      </c>
      <c r="E16" s="36">
        <v>2835.5620000000004</v>
      </c>
      <c r="F16" s="37">
        <v>0.82778546968819577</v>
      </c>
      <c r="G16" s="44">
        <v>9.0261788360871336</v>
      </c>
      <c r="H16" s="32">
        <v>9.0261788360871334E-6</v>
      </c>
      <c r="I16" s="33">
        <v>0.931541062160958</v>
      </c>
      <c r="S16" s="42"/>
      <c r="T16" s="42"/>
      <c r="U16" s="42"/>
      <c r="V16" s="43"/>
      <c r="W16" s="39"/>
    </row>
    <row r="17" spans="1:23" x14ac:dyDescent="0.25">
      <c r="A17" s="27" t="s">
        <v>134</v>
      </c>
      <c r="B17" s="28">
        <v>112193.52</v>
      </c>
      <c r="C17" s="36">
        <v>112193.52</v>
      </c>
      <c r="D17" s="36">
        <v>120438.62000000001</v>
      </c>
      <c r="E17" s="36">
        <v>2835.5620000000004</v>
      </c>
      <c r="F17" s="37">
        <v>0.82778546968819577</v>
      </c>
      <c r="G17" s="44">
        <v>9.0261788360871336</v>
      </c>
      <c r="H17" s="32">
        <v>9.0261788360871334E-6</v>
      </c>
      <c r="I17" s="33">
        <v>0.931541062160958</v>
      </c>
      <c r="P17" s="42"/>
      <c r="Q17" s="42"/>
      <c r="R17" s="42"/>
      <c r="S17" s="42"/>
      <c r="T17" s="42"/>
      <c r="U17" s="42"/>
      <c r="V17" s="43"/>
      <c r="W17" s="39"/>
    </row>
    <row r="18" spans="1:23" x14ac:dyDescent="0.25">
      <c r="A18" s="27" t="s">
        <v>135</v>
      </c>
      <c r="B18" s="28">
        <v>106150</v>
      </c>
      <c r="C18" s="36">
        <v>106150</v>
      </c>
      <c r="D18" s="36">
        <v>114387.5</v>
      </c>
      <c r="E18" s="36">
        <v>2861.25</v>
      </c>
      <c r="F18" s="37">
        <v>0.77774999999999994</v>
      </c>
      <c r="G18" s="44">
        <v>7.642500028014183</v>
      </c>
      <c r="H18" s="32">
        <v>7.6425000280141833E-6</v>
      </c>
      <c r="I18" s="33">
        <v>0.92798601245765489</v>
      </c>
      <c r="S18" s="42"/>
      <c r="T18" s="42"/>
      <c r="U18" s="42"/>
      <c r="V18" s="43"/>
      <c r="W18" s="39"/>
    </row>
    <row r="19" spans="1:23" x14ac:dyDescent="0.25">
      <c r="A19" s="27" t="s">
        <v>136</v>
      </c>
      <c r="B19" s="28">
        <v>100186</v>
      </c>
      <c r="C19" s="36">
        <v>100186</v>
      </c>
      <c r="D19" s="36">
        <v>108416</v>
      </c>
      <c r="E19" s="36">
        <v>2886.6</v>
      </c>
      <c r="F19" s="37">
        <v>0.72659999999999991</v>
      </c>
      <c r="G19" s="44">
        <v>6.2280000448226929</v>
      </c>
      <c r="H19" s="32">
        <v>6.2280000448226927E-6</v>
      </c>
      <c r="I19" s="33">
        <v>0.92408869539551353</v>
      </c>
      <c r="J19" s="42"/>
      <c r="K19" s="42"/>
      <c r="L19" s="42"/>
      <c r="M19" s="43"/>
      <c r="N19" s="39"/>
    </row>
    <row r="20" spans="1:23" x14ac:dyDescent="0.25">
      <c r="A20" s="27" t="s">
        <v>285</v>
      </c>
      <c r="B20" s="28">
        <v>128450</v>
      </c>
      <c r="C20" s="29">
        <v>128450</v>
      </c>
      <c r="D20" s="29">
        <v>137380</v>
      </c>
      <c r="E20" s="29">
        <v>3167</v>
      </c>
      <c r="F20" s="30">
        <v>0.86499999999999999</v>
      </c>
      <c r="G20" s="36">
        <v>200</v>
      </c>
      <c r="H20" s="32">
        <v>2.0000000000000001E-4</v>
      </c>
      <c r="I20" s="33">
        <v>0.93499781627602274</v>
      </c>
      <c r="W20" s="39"/>
    </row>
    <row r="21" spans="1:23" x14ac:dyDescent="0.25">
      <c r="A21" s="45" t="s">
        <v>378</v>
      </c>
      <c r="B21" s="28">
        <v>129487.84757606639</v>
      </c>
      <c r="C21" s="36">
        <v>129487.84757606639</v>
      </c>
      <c r="D21" s="36">
        <v>138490</v>
      </c>
      <c r="E21" s="36">
        <v>3206</v>
      </c>
      <c r="F21" s="46">
        <v>0.871</v>
      </c>
      <c r="G21" s="36">
        <v>11</v>
      </c>
      <c r="H21" s="32">
        <v>1.1E-5</v>
      </c>
      <c r="I21" s="33"/>
    </row>
    <row r="22" spans="1:23" x14ac:dyDescent="0.25">
      <c r="A22" s="27" t="s">
        <v>137</v>
      </c>
      <c r="B22" s="28">
        <v>128450</v>
      </c>
      <c r="C22" s="36">
        <v>128450</v>
      </c>
      <c r="D22" s="36">
        <v>137380</v>
      </c>
      <c r="E22" s="36">
        <v>3167</v>
      </c>
      <c r="F22" s="37">
        <v>0.86499999999999999</v>
      </c>
      <c r="G22" s="36">
        <v>11</v>
      </c>
      <c r="H22" s="32">
        <v>1.1E-5</v>
      </c>
      <c r="I22" s="33">
        <v>0.93499781627602274</v>
      </c>
    </row>
    <row r="23" spans="1:23" x14ac:dyDescent="0.25">
      <c r="A23" s="27" t="s">
        <v>138</v>
      </c>
      <c r="B23" s="28">
        <v>129487.84757606639</v>
      </c>
      <c r="C23" s="36">
        <v>129487.84757606639</v>
      </c>
      <c r="D23" s="29">
        <v>138490</v>
      </c>
      <c r="E23" s="29">
        <v>3206</v>
      </c>
      <c r="F23" s="30">
        <v>0.871</v>
      </c>
      <c r="G23" s="31">
        <v>11</v>
      </c>
      <c r="H23" s="32">
        <v>1.1E-5</v>
      </c>
      <c r="I23" s="33">
        <v>0.93499781627602274</v>
      </c>
    </row>
    <row r="24" spans="1:23" x14ac:dyDescent="0.25">
      <c r="A24" s="27" t="s">
        <v>139</v>
      </c>
      <c r="B24" s="28">
        <v>116920</v>
      </c>
      <c r="C24" s="29">
        <v>116920</v>
      </c>
      <c r="D24" s="29">
        <v>125080</v>
      </c>
      <c r="E24" s="29">
        <v>2745</v>
      </c>
      <c r="F24" s="30">
        <v>0.85</v>
      </c>
      <c r="G24" s="31">
        <v>1</v>
      </c>
      <c r="H24" s="32">
        <v>9.9999999999999995E-7</v>
      </c>
      <c r="I24" s="33">
        <v>0.93476175247841387</v>
      </c>
    </row>
    <row r="25" spans="1:23" x14ac:dyDescent="0.25">
      <c r="A25" s="27" t="s">
        <v>379</v>
      </c>
      <c r="B25" s="28">
        <v>118237.434842673</v>
      </c>
      <c r="C25" s="36">
        <v>118237.434842673</v>
      </c>
      <c r="D25" s="36">
        <v>126586.157141156</v>
      </c>
      <c r="E25" s="36">
        <v>2833.8569764657</v>
      </c>
      <c r="F25" s="37">
        <v>0.85315638757897505</v>
      </c>
      <c r="G25" s="36">
        <v>10</v>
      </c>
      <c r="H25" s="32">
        <v>1.0000000000000001E-5</v>
      </c>
      <c r="I25" s="33">
        <v>0.93404711473172097</v>
      </c>
    </row>
    <row r="26" spans="1:23" x14ac:dyDescent="0.25">
      <c r="A26" s="27" t="s">
        <v>140</v>
      </c>
      <c r="B26" s="28">
        <v>124307.03423937227</v>
      </c>
      <c r="C26" s="36">
        <v>124307.03423937227</v>
      </c>
      <c r="D26" s="36">
        <v>132948.69438683367</v>
      </c>
      <c r="E26" s="36">
        <v>3035.8996219999995</v>
      </c>
      <c r="F26" s="37">
        <v>0.86199999999999999</v>
      </c>
      <c r="G26" s="36">
        <v>700</v>
      </c>
      <c r="H26" s="32">
        <v>6.9999999999999999E-4</v>
      </c>
      <c r="I26" s="33">
        <v>0.93500003751584637</v>
      </c>
    </row>
    <row r="27" spans="1:23" x14ac:dyDescent="0.25">
      <c r="A27" s="27" t="s">
        <v>141</v>
      </c>
      <c r="B27" s="28">
        <v>123041.23110601204</v>
      </c>
      <c r="C27" s="29">
        <v>123041.23110601204</v>
      </c>
      <c r="D27" s="29">
        <v>131594.89429852215</v>
      </c>
      <c r="E27" s="47">
        <v>2998.0455119999997</v>
      </c>
      <c r="F27" s="30">
        <v>0.86</v>
      </c>
      <c r="G27" s="31">
        <v>11</v>
      </c>
      <c r="H27" s="32">
        <v>1.1E-5</v>
      </c>
      <c r="I27" s="33">
        <v>0.93500003751584626</v>
      </c>
    </row>
    <row r="28" spans="1:23" x14ac:dyDescent="0.25">
      <c r="A28" s="27" t="s">
        <v>142</v>
      </c>
      <c r="B28" s="28">
        <v>111520</v>
      </c>
      <c r="C28" s="36">
        <v>111520</v>
      </c>
      <c r="D28" s="29">
        <v>119740</v>
      </c>
      <c r="E28" s="29">
        <v>2651</v>
      </c>
      <c r="F28" s="30">
        <v>0.84199999999999997</v>
      </c>
      <c r="G28" s="31">
        <v>0</v>
      </c>
      <c r="H28" s="32">
        <v>0</v>
      </c>
      <c r="I28" s="33">
        <v>0.93135126106564226</v>
      </c>
    </row>
    <row r="29" spans="1:23" x14ac:dyDescent="0.25">
      <c r="A29" s="27" t="s">
        <v>143</v>
      </c>
      <c r="B29" s="28">
        <v>140352.52220119376</v>
      </c>
      <c r="C29" s="36">
        <v>140352.52220119376</v>
      </c>
      <c r="D29" s="36">
        <v>150110</v>
      </c>
      <c r="E29" s="36">
        <v>3752</v>
      </c>
      <c r="F29" s="37">
        <v>0.86799999999999999</v>
      </c>
      <c r="G29" s="31">
        <v>5000</v>
      </c>
      <c r="H29" s="32">
        <v>5.0000000000000001E-3</v>
      </c>
      <c r="I29" s="33">
        <v>0.93499781627602263</v>
      </c>
    </row>
    <row r="30" spans="1:23" x14ac:dyDescent="0.25">
      <c r="A30" s="27" t="s">
        <v>144</v>
      </c>
      <c r="B30" s="28">
        <v>140352.52220119376</v>
      </c>
      <c r="C30" s="29">
        <v>140352.52220119376</v>
      </c>
      <c r="D30" s="29">
        <v>150110</v>
      </c>
      <c r="E30" s="29">
        <v>3752</v>
      </c>
      <c r="F30" s="48">
        <v>0.86799999999999999</v>
      </c>
      <c r="G30" s="31">
        <v>27000</v>
      </c>
      <c r="H30" s="32">
        <v>2.7E-2</v>
      </c>
      <c r="I30" s="33">
        <v>0.93499781627602263</v>
      </c>
    </row>
    <row r="31" spans="1:23" x14ac:dyDescent="0.25">
      <c r="A31" s="27" t="s">
        <v>145</v>
      </c>
      <c r="B31" s="28">
        <v>57250</v>
      </c>
      <c r="C31" s="29">
        <v>57250</v>
      </c>
      <c r="D31" s="29">
        <v>65200</v>
      </c>
      <c r="E31" s="29">
        <v>3006</v>
      </c>
      <c r="F31" s="48">
        <v>0.375</v>
      </c>
      <c r="G31" s="36">
        <v>0</v>
      </c>
      <c r="H31" s="32">
        <v>0</v>
      </c>
      <c r="I31" s="33">
        <v>0.87806748466257667</v>
      </c>
    </row>
    <row r="32" spans="1:23" x14ac:dyDescent="0.25">
      <c r="A32" s="27" t="s">
        <v>146</v>
      </c>
      <c r="B32" s="28">
        <v>76330</v>
      </c>
      <c r="C32" s="49">
        <v>76330</v>
      </c>
      <c r="D32" s="47">
        <v>84530</v>
      </c>
      <c r="E32" s="49">
        <v>2988</v>
      </c>
      <c r="F32" s="50">
        <v>0.52200000000000002</v>
      </c>
      <c r="G32" s="39">
        <v>0.57000011205673218</v>
      </c>
      <c r="H32" s="32">
        <v>5.7000011205673218E-7</v>
      </c>
      <c r="I32" s="33">
        <v>0.90299302022950434</v>
      </c>
    </row>
    <row r="33" spans="1:9" x14ac:dyDescent="0.25">
      <c r="A33" s="27" t="s">
        <v>147</v>
      </c>
      <c r="B33" s="28">
        <v>99837</v>
      </c>
      <c r="C33" s="49">
        <v>99837</v>
      </c>
      <c r="D33" s="47">
        <v>108458</v>
      </c>
      <c r="E33" s="49">
        <v>3065</v>
      </c>
      <c r="F33" s="50">
        <v>0.64859999999999995</v>
      </c>
      <c r="G33" s="39">
        <v>0</v>
      </c>
      <c r="H33" s="32">
        <v>0</v>
      </c>
      <c r="I33" s="33">
        <v>0.92051300964428628</v>
      </c>
    </row>
    <row r="34" spans="1:9" x14ac:dyDescent="0.25">
      <c r="A34" s="27" t="s">
        <v>148</v>
      </c>
      <c r="B34" s="28">
        <v>83127</v>
      </c>
      <c r="C34" s="36">
        <v>83127</v>
      </c>
      <c r="D34" s="36">
        <v>89511</v>
      </c>
      <c r="E34" s="36">
        <v>2964</v>
      </c>
      <c r="F34" s="37">
        <v>0.61980000000000002</v>
      </c>
      <c r="G34" s="36">
        <v>0</v>
      </c>
      <c r="H34" s="32">
        <v>0</v>
      </c>
      <c r="I34" s="33">
        <v>0.92867915675168411</v>
      </c>
    </row>
    <row r="35" spans="1:9" x14ac:dyDescent="0.25">
      <c r="A35" s="27" t="s">
        <v>149</v>
      </c>
      <c r="B35" s="28">
        <v>116090</v>
      </c>
      <c r="C35" s="29">
        <v>116090</v>
      </c>
      <c r="D35" s="29">
        <v>124340</v>
      </c>
      <c r="E35" s="31">
        <v>2819</v>
      </c>
      <c r="F35" s="48">
        <v>0.86299999999999999</v>
      </c>
      <c r="G35" s="31">
        <v>10</v>
      </c>
      <c r="H35" s="32">
        <v>1.0000000000000001E-5</v>
      </c>
      <c r="I35" s="33">
        <v>0.93364967025896739</v>
      </c>
    </row>
    <row r="36" spans="1:9" x14ac:dyDescent="0.25">
      <c r="A36" s="27" t="s">
        <v>150</v>
      </c>
      <c r="B36" s="28">
        <v>84950</v>
      </c>
      <c r="C36" s="29">
        <v>84950</v>
      </c>
      <c r="D36" s="29">
        <v>91410</v>
      </c>
      <c r="E36" s="29">
        <v>1923</v>
      </c>
      <c r="F36" s="30">
        <v>0.82</v>
      </c>
      <c r="G36" s="31">
        <v>0</v>
      </c>
      <c r="H36" s="32">
        <v>0</v>
      </c>
      <c r="I36" s="33">
        <v>0.9293293950333662</v>
      </c>
    </row>
    <row r="37" spans="1:9" x14ac:dyDescent="0.25">
      <c r="A37" s="27" t="s">
        <v>151</v>
      </c>
      <c r="B37" s="28">
        <v>74720</v>
      </c>
      <c r="C37" s="29">
        <v>74720</v>
      </c>
      <c r="D37" s="29">
        <v>84820</v>
      </c>
      <c r="E37" s="29">
        <v>1621</v>
      </c>
      <c r="F37" s="51">
        <v>0.75</v>
      </c>
      <c r="G37" s="31">
        <v>0</v>
      </c>
      <c r="H37" s="32">
        <v>0</v>
      </c>
      <c r="I37" s="33">
        <v>0.88092431030417351</v>
      </c>
    </row>
    <row r="38" spans="1:9" x14ac:dyDescent="0.25">
      <c r="A38" s="27" t="s">
        <v>152</v>
      </c>
      <c r="B38" s="28">
        <v>68930</v>
      </c>
      <c r="C38" s="31">
        <v>68930</v>
      </c>
      <c r="D38" s="36">
        <v>75610</v>
      </c>
      <c r="E38" s="31">
        <v>2518</v>
      </c>
      <c r="F38" s="48">
        <v>0.52200000000000002</v>
      </c>
      <c r="G38" s="31">
        <v>0</v>
      </c>
      <c r="H38" s="32">
        <v>0</v>
      </c>
      <c r="I38" s="33">
        <v>0.91165189789710355</v>
      </c>
    </row>
    <row r="39" spans="1:9" x14ac:dyDescent="0.25">
      <c r="A39" s="27" t="s">
        <v>153</v>
      </c>
      <c r="B39" s="28">
        <v>72200</v>
      </c>
      <c r="C39" s="29">
        <v>72200</v>
      </c>
      <c r="D39" s="29">
        <v>79196.89540113158</v>
      </c>
      <c r="E39" s="29">
        <v>3255</v>
      </c>
      <c r="F39" s="30">
        <v>0.47399999999999998</v>
      </c>
      <c r="G39" s="31">
        <v>0</v>
      </c>
      <c r="H39" s="32">
        <v>0</v>
      </c>
      <c r="I39" s="33">
        <v>0.91165189789710355</v>
      </c>
    </row>
    <row r="40" spans="1:9" x14ac:dyDescent="0.25">
      <c r="A40" s="27" t="s">
        <v>154</v>
      </c>
      <c r="B40" s="28">
        <v>119550</v>
      </c>
      <c r="C40" s="29">
        <v>119550</v>
      </c>
      <c r="D40" s="29">
        <v>127960</v>
      </c>
      <c r="E40" s="29">
        <v>3361</v>
      </c>
      <c r="F40" s="30">
        <v>0.77600000000000002</v>
      </c>
      <c r="G40" s="31">
        <v>0</v>
      </c>
      <c r="H40" s="32">
        <v>0</v>
      </c>
      <c r="I40" s="33">
        <v>0.93427633635511098</v>
      </c>
    </row>
    <row r="41" spans="1:9" x14ac:dyDescent="0.25">
      <c r="A41" s="27" t="s">
        <v>155</v>
      </c>
      <c r="B41" s="28">
        <v>123670</v>
      </c>
      <c r="C41" s="31">
        <v>123670</v>
      </c>
      <c r="D41" s="31">
        <v>130030</v>
      </c>
      <c r="E41" s="31">
        <v>3017</v>
      </c>
      <c r="F41" s="48">
        <v>0.85299999999999998</v>
      </c>
      <c r="G41" s="36">
        <v>0</v>
      </c>
      <c r="H41" s="32">
        <v>0</v>
      </c>
      <c r="I41" s="33">
        <v>0.95108821041298164</v>
      </c>
    </row>
    <row r="42" spans="1:9" x14ac:dyDescent="0.25">
      <c r="A42" s="27" t="s">
        <v>156</v>
      </c>
      <c r="B42" s="28">
        <v>117059</v>
      </c>
      <c r="C42" s="47">
        <v>117059</v>
      </c>
      <c r="D42" s="47">
        <v>125293.76528649101</v>
      </c>
      <c r="E42" s="47">
        <v>2835</v>
      </c>
      <c r="F42" s="48">
        <v>0.871</v>
      </c>
      <c r="G42" s="36">
        <v>0</v>
      </c>
      <c r="H42" s="32">
        <v>0</v>
      </c>
      <c r="I42" s="33">
        <v>0.93427633635511098</v>
      </c>
    </row>
    <row r="43" spans="1:9" x14ac:dyDescent="0.25">
      <c r="A43" s="27" t="s">
        <v>157</v>
      </c>
      <c r="B43" s="28">
        <v>122887</v>
      </c>
      <c r="C43" s="47">
        <v>122887</v>
      </c>
      <c r="D43" s="47">
        <v>130817</v>
      </c>
      <c r="E43" s="47">
        <v>2948</v>
      </c>
      <c r="F43" s="48">
        <v>0.871</v>
      </c>
      <c r="G43" s="36">
        <v>0</v>
      </c>
      <c r="H43" s="32">
        <v>0</v>
      </c>
      <c r="I43" s="33">
        <v>0.93938096730547249</v>
      </c>
    </row>
    <row r="44" spans="1:9" x14ac:dyDescent="0.25">
      <c r="A44" s="27" t="s">
        <v>158</v>
      </c>
      <c r="B44" s="28">
        <v>123542.426446789</v>
      </c>
      <c r="C44" s="47">
        <v>123542.426446789</v>
      </c>
      <c r="D44" s="47">
        <v>133070.13702382601</v>
      </c>
      <c r="E44" s="47">
        <v>3003.2639480974099</v>
      </c>
      <c r="F44" s="48">
        <v>0.871</v>
      </c>
      <c r="G44" s="36">
        <v>0</v>
      </c>
      <c r="H44" s="32">
        <v>0</v>
      </c>
      <c r="I44" s="33">
        <v>0.92840083590406852</v>
      </c>
    </row>
    <row r="45" spans="1:9" x14ac:dyDescent="0.25">
      <c r="A45" t="s">
        <v>159</v>
      </c>
      <c r="B45" s="28">
        <v>115983</v>
      </c>
      <c r="C45" s="34">
        <v>115983</v>
      </c>
      <c r="D45" s="36">
        <v>124230</v>
      </c>
      <c r="E45" s="34">
        <v>2830</v>
      </c>
      <c r="F45" s="35">
        <v>0.84</v>
      </c>
      <c r="G45" s="31">
        <v>0</v>
      </c>
      <c r="H45" s="32">
        <v>0</v>
      </c>
      <c r="I45" s="33">
        <v>0.93361506882395562</v>
      </c>
    </row>
    <row r="46" spans="1:9" x14ac:dyDescent="0.25">
      <c r="A46" s="27" t="s">
        <v>160</v>
      </c>
      <c r="B46" s="28">
        <v>113309</v>
      </c>
      <c r="C46" s="36">
        <v>113309</v>
      </c>
      <c r="D46" s="36">
        <v>121365.86456635887</v>
      </c>
      <c r="E46" s="36">
        <v>2713</v>
      </c>
      <c r="F46" s="37">
        <v>0.83109999999999995</v>
      </c>
      <c r="G46" s="52">
        <v>10</v>
      </c>
      <c r="H46" s="32">
        <v>1.0000000000000001E-5</v>
      </c>
      <c r="I46" s="33">
        <v>0.93361506882395551</v>
      </c>
    </row>
    <row r="47" spans="1:9" x14ac:dyDescent="0.25">
      <c r="A47" s="27" t="s">
        <v>380</v>
      </c>
      <c r="B47" s="28">
        <v>112060.7</v>
      </c>
      <c r="C47" s="29">
        <v>112060.7</v>
      </c>
      <c r="D47" s="29">
        <v>120028.80388505213</v>
      </c>
      <c r="E47" s="29">
        <v>2819</v>
      </c>
      <c r="F47" s="48">
        <v>0.86430000000000007</v>
      </c>
      <c r="G47" s="31">
        <v>10</v>
      </c>
      <c r="H47" s="32">
        <v>1.0000000000000001E-5</v>
      </c>
      <c r="I47" s="33">
        <v>0.93361506882395551</v>
      </c>
    </row>
    <row r="48" spans="1:9" x14ac:dyDescent="0.25">
      <c r="A48" s="27" t="s">
        <v>161</v>
      </c>
      <c r="B48" s="28">
        <v>119776.6214942081</v>
      </c>
      <c r="C48" s="29">
        <v>119776.6214942081</v>
      </c>
      <c r="D48" s="29">
        <v>128103.33335647394</v>
      </c>
      <c r="E48" s="29">
        <v>2865.5561269999994</v>
      </c>
      <c r="F48" s="48">
        <v>0.84699999999999998</v>
      </c>
      <c r="G48" s="31">
        <v>0</v>
      </c>
      <c r="H48" s="32">
        <v>0</v>
      </c>
      <c r="I48" s="33">
        <v>0.93500003751584626</v>
      </c>
    </row>
    <row r="49" spans="1:9" x14ac:dyDescent="0.25">
      <c r="A49" s="27" t="s">
        <v>162</v>
      </c>
      <c r="B49" s="28">
        <v>30500</v>
      </c>
      <c r="C49" s="29">
        <v>30500</v>
      </c>
      <c r="D49" s="29">
        <v>36020</v>
      </c>
      <c r="E49" s="29">
        <v>268</v>
      </c>
      <c r="F49" s="48">
        <v>0</v>
      </c>
      <c r="G49" s="31">
        <v>0</v>
      </c>
      <c r="H49" s="32">
        <v>0</v>
      </c>
      <c r="I49" s="33">
        <v>0.84675180455302612</v>
      </c>
    </row>
    <row r="50" spans="1:9" x14ac:dyDescent="0.25">
      <c r="A50" s="27" t="s">
        <v>163</v>
      </c>
      <c r="B50" s="28">
        <v>93540</v>
      </c>
      <c r="C50" s="29">
        <v>93540</v>
      </c>
      <c r="D50" s="29">
        <v>101130</v>
      </c>
      <c r="E50" s="29">
        <v>2811</v>
      </c>
      <c r="F50" s="48">
        <v>0.68100000000000005</v>
      </c>
      <c r="G50" s="31">
        <v>0</v>
      </c>
      <c r="H50" s="32">
        <v>0</v>
      </c>
      <c r="I50" s="33">
        <v>0.92494808662118067</v>
      </c>
    </row>
    <row r="51" spans="1:9" x14ac:dyDescent="0.25">
      <c r="A51" s="27" t="s">
        <v>164</v>
      </c>
      <c r="B51" s="28">
        <v>96720</v>
      </c>
      <c r="C51" s="29">
        <v>96720</v>
      </c>
      <c r="D51" s="29">
        <v>104530</v>
      </c>
      <c r="E51" s="29">
        <v>2810</v>
      </c>
      <c r="F51" s="48">
        <v>0.70599999999999996</v>
      </c>
      <c r="G51" s="31">
        <v>0</v>
      </c>
      <c r="H51" s="32">
        <v>0</v>
      </c>
      <c r="I51" s="33">
        <v>0.92528460728977324</v>
      </c>
    </row>
    <row r="52" spans="1:9" x14ac:dyDescent="0.25">
      <c r="A52" s="27" t="s">
        <v>165</v>
      </c>
      <c r="B52" s="28">
        <v>100480</v>
      </c>
      <c r="C52" s="29">
        <v>100480</v>
      </c>
      <c r="D52" s="29">
        <v>108570</v>
      </c>
      <c r="E52" s="29">
        <v>2913</v>
      </c>
      <c r="F52" s="48">
        <v>0.70599999999999996</v>
      </c>
      <c r="G52" s="31">
        <v>0</v>
      </c>
      <c r="H52" s="32">
        <v>0</v>
      </c>
      <c r="I52" s="33">
        <v>0.92548586165607438</v>
      </c>
    </row>
    <row r="53" spans="1:9" x14ac:dyDescent="0.25">
      <c r="A53" s="27" t="s">
        <v>166</v>
      </c>
      <c r="B53" s="28">
        <v>94970</v>
      </c>
      <c r="C53" s="29">
        <v>94970</v>
      </c>
      <c r="D53" s="29">
        <v>103220</v>
      </c>
      <c r="E53" s="29">
        <v>2213</v>
      </c>
      <c r="F53" s="48">
        <v>0.82799999999999996</v>
      </c>
      <c r="G53" s="31">
        <v>0</v>
      </c>
      <c r="H53" s="32">
        <v>0</v>
      </c>
      <c r="I53" s="33">
        <v>0.92007362914163926</v>
      </c>
    </row>
    <row r="54" spans="1:9" x14ac:dyDescent="0.25">
      <c r="A54" s="27" t="s">
        <v>167</v>
      </c>
      <c r="B54" s="28">
        <v>90060</v>
      </c>
      <c r="C54" s="29">
        <v>90060</v>
      </c>
      <c r="D54" s="29">
        <v>98560</v>
      </c>
      <c r="E54" s="29">
        <v>2118</v>
      </c>
      <c r="F54" s="48">
        <v>0.82799999999999996</v>
      </c>
      <c r="G54" s="31">
        <v>0</v>
      </c>
      <c r="H54" s="32">
        <v>0</v>
      </c>
      <c r="I54" s="33">
        <v>0.91375811688311692</v>
      </c>
    </row>
    <row r="55" spans="1:9" x14ac:dyDescent="0.25">
      <c r="A55" s="27" t="s">
        <v>168</v>
      </c>
      <c r="B55" s="28">
        <v>95720</v>
      </c>
      <c r="C55" s="36">
        <v>95720</v>
      </c>
      <c r="D55" s="29">
        <v>103010</v>
      </c>
      <c r="E55" s="36">
        <v>2253</v>
      </c>
      <c r="F55" s="37">
        <v>0.85699999999999998</v>
      </c>
      <c r="G55" s="31">
        <v>0</v>
      </c>
      <c r="H55" s="32">
        <v>0</v>
      </c>
      <c r="I55" s="33">
        <v>0.92923017182797785</v>
      </c>
    </row>
    <row r="56" spans="1:9" x14ac:dyDescent="0.25">
      <c r="A56" s="27" t="s">
        <v>169</v>
      </c>
      <c r="B56" s="28">
        <v>84250</v>
      </c>
      <c r="C56" s="53">
        <v>84250</v>
      </c>
      <c r="D56" s="36">
        <v>91420</v>
      </c>
      <c r="E56" s="53">
        <v>1920</v>
      </c>
      <c r="F56" s="54">
        <v>0.81799999999999995</v>
      </c>
      <c r="G56" s="31">
        <v>0</v>
      </c>
      <c r="H56" s="32">
        <v>0</v>
      </c>
      <c r="I56" s="33">
        <v>0.92157077225989936</v>
      </c>
    </row>
    <row r="57" spans="1:9" x14ac:dyDescent="0.25">
      <c r="A57" s="27" t="s">
        <v>170</v>
      </c>
      <c r="B57" s="28">
        <v>83686.11202275462</v>
      </c>
      <c r="C57" s="31">
        <v>83686.11202275462</v>
      </c>
      <c r="D57" s="31">
        <v>90050</v>
      </c>
      <c r="E57" s="53">
        <v>2532</v>
      </c>
      <c r="F57" s="54"/>
      <c r="G57" s="31">
        <v>0</v>
      </c>
      <c r="H57" s="32">
        <v>0</v>
      </c>
      <c r="I57" s="33">
        <v>0.92932939503336609</v>
      </c>
    </row>
    <row r="58" spans="1:9" x14ac:dyDescent="0.25">
      <c r="A58" s="22" t="s">
        <v>171</v>
      </c>
      <c r="B58" s="55">
        <v>105124.8</v>
      </c>
      <c r="C58" s="56">
        <v>105124.8</v>
      </c>
      <c r="D58" s="56">
        <v>112166.3</v>
      </c>
      <c r="E58" s="56">
        <v>2478.6999999999998</v>
      </c>
      <c r="F58" s="57">
        <v>0.83625099999999997</v>
      </c>
      <c r="G58" s="58">
        <v>0</v>
      </c>
      <c r="H58" s="59">
        <v>0</v>
      </c>
      <c r="I58" s="60">
        <v>0.93722267739953979</v>
      </c>
    </row>
    <row r="59" spans="1:9" x14ac:dyDescent="0.25">
      <c r="A59" s="27" t="s">
        <v>173</v>
      </c>
      <c r="B59" s="28" t="s">
        <v>174</v>
      </c>
      <c r="C59" s="29" t="s">
        <v>174</v>
      </c>
      <c r="D59" s="29" t="s">
        <v>174</v>
      </c>
      <c r="E59" s="61" t="s">
        <v>175</v>
      </c>
      <c r="F59" s="30"/>
      <c r="G59" s="31"/>
      <c r="H59" s="32"/>
      <c r="I59" s="33" t="s">
        <v>118</v>
      </c>
    </row>
    <row r="60" spans="1:9" x14ac:dyDescent="0.25">
      <c r="A60" s="27" t="s">
        <v>176</v>
      </c>
      <c r="B60" s="28">
        <v>983</v>
      </c>
      <c r="C60" s="62">
        <v>983</v>
      </c>
      <c r="D60" s="62">
        <v>1089</v>
      </c>
      <c r="E60" s="63">
        <v>22</v>
      </c>
      <c r="F60" s="48">
        <v>0.72399999999999998</v>
      </c>
      <c r="G60" s="31">
        <v>6</v>
      </c>
      <c r="H60" s="32">
        <v>6.0000000000000002E-6</v>
      </c>
      <c r="I60" s="33">
        <v>0.90266299357208446</v>
      </c>
    </row>
    <row r="61" spans="1:9" x14ac:dyDescent="0.25">
      <c r="A61" s="27" t="s">
        <v>177</v>
      </c>
      <c r="B61" s="28">
        <v>962.18504920853229</v>
      </c>
      <c r="C61" s="62">
        <v>962.18504920853229</v>
      </c>
      <c r="D61" s="62">
        <v>1068.0254046214709</v>
      </c>
      <c r="E61" s="63">
        <v>20.303179298999996</v>
      </c>
      <c r="F61" s="48">
        <v>0.75</v>
      </c>
      <c r="G61" s="31">
        <v>0</v>
      </c>
      <c r="H61" s="32">
        <v>0</v>
      </c>
      <c r="I61" s="33">
        <v>0.9009009009009008</v>
      </c>
    </row>
    <row r="62" spans="1:9" x14ac:dyDescent="0.25">
      <c r="A62" s="27" t="s">
        <v>178</v>
      </c>
      <c r="B62" s="28">
        <v>290</v>
      </c>
      <c r="C62" s="36">
        <v>290</v>
      </c>
      <c r="D62" s="36">
        <v>343</v>
      </c>
      <c r="E62" s="64">
        <v>2.5499999999999998</v>
      </c>
      <c r="F62" s="51">
        <v>0</v>
      </c>
      <c r="G62" s="31">
        <v>0</v>
      </c>
      <c r="H62" s="32">
        <v>0</v>
      </c>
      <c r="I62" s="33">
        <v>0.84548104956268222</v>
      </c>
    </row>
    <row r="63" spans="1:9" x14ac:dyDescent="0.25">
      <c r="A63" s="27" t="s">
        <v>179</v>
      </c>
      <c r="B63" s="28"/>
      <c r="C63" s="34"/>
      <c r="D63" s="34"/>
      <c r="E63" s="65">
        <v>55.977829999999997</v>
      </c>
      <c r="F63" s="51">
        <v>0.27272727272727271</v>
      </c>
      <c r="G63" s="47">
        <v>0</v>
      </c>
      <c r="H63" s="32">
        <v>0</v>
      </c>
      <c r="I63" s="33"/>
    </row>
    <row r="64" spans="1:9" x14ac:dyDescent="0.25">
      <c r="A64" s="22" t="s">
        <v>172</v>
      </c>
      <c r="B64" s="55">
        <v>1159.2737122826286</v>
      </c>
      <c r="C64" s="66">
        <v>1159.2737122826286</v>
      </c>
      <c r="D64" s="56">
        <v>1279.7381453012381</v>
      </c>
      <c r="E64" s="58">
        <v>25.019852271678111</v>
      </c>
      <c r="F64" s="57">
        <v>0.76981385823883608</v>
      </c>
      <c r="G64" s="58">
        <v>6</v>
      </c>
      <c r="H64" s="59">
        <v>6.0000000000000002E-6</v>
      </c>
      <c r="I64" s="60">
        <v>0.90586790472651468</v>
      </c>
    </row>
    <row r="65" spans="1:12" x14ac:dyDescent="0.25">
      <c r="A65" s="27" t="s">
        <v>180</v>
      </c>
      <c r="B65" s="28" t="s">
        <v>181</v>
      </c>
      <c r="C65" s="36" t="s">
        <v>181</v>
      </c>
      <c r="D65" s="36" t="s">
        <v>181</v>
      </c>
      <c r="E65" s="36"/>
      <c r="F65" s="37"/>
      <c r="G65" s="36"/>
      <c r="H65" s="32"/>
      <c r="I65" s="33" t="s">
        <v>118</v>
      </c>
    </row>
    <row r="66" spans="1:12" x14ac:dyDescent="0.25">
      <c r="A66" s="45" t="s">
        <v>182</v>
      </c>
      <c r="B66" s="28">
        <v>19474169.219601419</v>
      </c>
      <c r="C66" s="36">
        <v>19474169.219601419</v>
      </c>
      <c r="D66" s="29">
        <v>20673610.116392747</v>
      </c>
      <c r="E66" s="53"/>
      <c r="F66" s="30">
        <v>0.58571109877499994</v>
      </c>
      <c r="G66" s="47">
        <v>10455.988337376644</v>
      </c>
      <c r="H66" s="32">
        <v>1.0455988337376645E-2</v>
      </c>
      <c r="I66" s="67"/>
      <c r="K66" s="68"/>
    </row>
    <row r="67" spans="1:12" x14ac:dyDescent="0.25">
      <c r="A67" s="45" t="s">
        <v>183</v>
      </c>
      <c r="B67" s="28">
        <v>22639319.979813498</v>
      </c>
      <c r="C67" s="36">
        <v>22639319.979813498</v>
      </c>
      <c r="D67" s="29">
        <v>23633492.9618803</v>
      </c>
      <c r="E67" s="53"/>
      <c r="F67" s="51">
        <v>0.61199999999999999</v>
      </c>
      <c r="G67" s="47">
        <v>15352.092718927001</v>
      </c>
      <c r="H67" s="32">
        <v>1.5352092718927001E-2</v>
      </c>
      <c r="I67" s="67">
        <v>0.95793372635732021</v>
      </c>
      <c r="K67" s="68"/>
    </row>
    <row r="68" spans="1:12" x14ac:dyDescent="0.25">
      <c r="A68" s="45" t="s">
        <v>184</v>
      </c>
      <c r="B68" s="28">
        <v>16085444.010446707</v>
      </c>
      <c r="C68" s="36">
        <v>16085444.010446707</v>
      </c>
      <c r="D68" s="47">
        <v>17449319.671483699</v>
      </c>
      <c r="E68" s="53"/>
      <c r="F68" s="51">
        <v>0.53700000000000003</v>
      </c>
      <c r="G68" s="47">
        <v>3568.253687975</v>
      </c>
      <c r="H68" s="32">
        <v>3.5682536879749998E-3</v>
      </c>
      <c r="I68" s="67">
        <v>0.92183788899999997</v>
      </c>
      <c r="K68" s="68"/>
    </row>
    <row r="69" spans="1:12" x14ac:dyDescent="0.25">
      <c r="A69" s="45" t="s">
        <v>185</v>
      </c>
      <c r="B69" s="28">
        <v>10805182.822031699</v>
      </c>
      <c r="C69" s="36">
        <v>10805182.822031699</v>
      </c>
      <c r="D69" s="47">
        <v>12992301.9717196</v>
      </c>
      <c r="E69" s="53"/>
      <c r="F69" s="35">
        <v>0.49099999999999999</v>
      </c>
      <c r="G69" s="47">
        <v>9064.2347162629994</v>
      </c>
      <c r="H69" s="32">
        <v>9.0642347162629994E-3</v>
      </c>
      <c r="I69" s="33">
        <v>0.83166038209020898</v>
      </c>
      <c r="K69" s="68"/>
    </row>
    <row r="70" spans="1:12" x14ac:dyDescent="0.25">
      <c r="A70" s="45" t="s">
        <v>186</v>
      </c>
      <c r="B70" s="28">
        <v>22639319.979813498</v>
      </c>
      <c r="C70" s="36">
        <v>22639319.979813498</v>
      </c>
      <c r="D70" s="34">
        <v>23633492.9618803</v>
      </c>
      <c r="E70" s="53"/>
      <c r="F70" s="35">
        <v>0.80642049800000004</v>
      </c>
      <c r="G70" s="47">
        <v>16142.739251388</v>
      </c>
      <c r="H70" s="32">
        <v>1.6142739251388E-2</v>
      </c>
      <c r="I70" s="33">
        <v>0.95793372635732021</v>
      </c>
      <c r="K70" s="68"/>
    </row>
    <row r="71" spans="1:12" x14ac:dyDescent="0.25">
      <c r="A71" s="27" t="s">
        <v>187</v>
      </c>
      <c r="B71" s="28">
        <v>9945646.340310514</v>
      </c>
      <c r="C71" s="36">
        <v>9945646.340310514</v>
      </c>
      <c r="D71" s="47">
        <v>11958783.362163</v>
      </c>
      <c r="E71" s="36"/>
      <c r="F71" s="51">
        <v>0.32642858499999999</v>
      </c>
      <c r="G71" s="69">
        <v>9064.2347162629994</v>
      </c>
      <c r="H71" s="32">
        <v>9.0642347162629994E-3</v>
      </c>
      <c r="I71" s="67">
        <v>0.83166038209020898</v>
      </c>
      <c r="K71" s="68"/>
      <c r="L71" s="68"/>
    </row>
    <row r="72" spans="1:12" x14ac:dyDescent="0.25">
      <c r="A72" s="27" t="s">
        <v>188</v>
      </c>
      <c r="B72" s="28">
        <v>26949428.734871496</v>
      </c>
      <c r="C72" s="36">
        <v>26949428.734871496</v>
      </c>
      <c r="D72" s="47">
        <v>28595925.1717753</v>
      </c>
      <c r="E72" s="36"/>
      <c r="F72" s="51">
        <v>0.86670000000000003</v>
      </c>
      <c r="G72" s="36">
        <v>45137.714412408997</v>
      </c>
      <c r="H72" s="32">
        <v>4.5137714412408998E-2</v>
      </c>
      <c r="I72" s="33">
        <v>0.94242199100000001</v>
      </c>
      <c r="K72" s="68"/>
    </row>
    <row r="73" spans="1:12" x14ac:dyDescent="0.25">
      <c r="A73" s="27" t="s">
        <v>189</v>
      </c>
      <c r="B73" s="28">
        <v>26664354.295994278</v>
      </c>
      <c r="C73" s="36">
        <v>26664354.295994278</v>
      </c>
      <c r="D73" s="29">
        <v>28293433.886979699</v>
      </c>
      <c r="E73" s="53"/>
      <c r="F73" s="51">
        <v>0.48798697000000002</v>
      </c>
      <c r="G73" s="31">
        <v>45137.714412408997</v>
      </c>
      <c r="H73" s="32">
        <v>4.5137714412408998E-2</v>
      </c>
      <c r="I73" s="33">
        <v>0.94242199100000001</v>
      </c>
    </row>
    <row r="74" spans="1:12" ht="12.6" customHeight="1" x14ac:dyDescent="0.25">
      <c r="A74" s="27" t="s">
        <v>190</v>
      </c>
      <c r="B74" s="28">
        <v>24599421.97472629</v>
      </c>
      <c r="C74" s="47">
        <v>24599421.97472629</v>
      </c>
      <c r="D74" s="47">
        <v>25679670</v>
      </c>
      <c r="E74" s="53"/>
      <c r="F74" s="51">
        <v>0.747</v>
      </c>
      <c r="G74" s="31">
        <v>11800</v>
      </c>
      <c r="H74" s="32">
        <v>1.18E-2</v>
      </c>
      <c r="I74" s="33">
        <v>0.95793372635732044</v>
      </c>
      <c r="K74" s="70"/>
    </row>
    <row r="75" spans="1:12" x14ac:dyDescent="0.25">
      <c r="A75" s="27" t="s">
        <v>381</v>
      </c>
      <c r="B75" s="28">
        <v>28385750.368920002</v>
      </c>
      <c r="C75" s="47">
        <v>28385750.368920002</v>
      </c>
      <c r="D75" s="47">
        <v>30120000</v>
      </c>
      <c r="E75" s="36"/>
      <c r="F75" s="51">
        <v>0.8641323406231759</v>
      </c>
      <c r="G75" s="47">
        <v>45137.714412408997</v>
      </c>
      <c r="H75" s="32">
        <v>4.5137714412408998E-2</v>
      </c>
      <c r="I75" s="33">
        <v>0.94242199100000001</v>
      </c>
      <c r="K75" s="70"/>
    </row>
    <row r="76" spans="1:12" x14ac:dyDescent="0.25">
      <c r="A76" s="27" t="s">
        <v>191</v>
      </c>
      <c r="B76" s="28">
        <v>15396000</v>
      </c>
      <c r="C76" s="47">
        <v>15396000</v>
      </c>
      <c r="D76" s="29">
        <v>16524000</v>
      </c>
      <c r="E76" s="53"/>
      <c r="F76" s="30">
        <v>0.48699999999999999</v>
      </c>
      <c r="G76" s="31">
        <v>500</v>
      </c>
      <c r="H76" s="32">
        <v>5.0000000000000001E-4</v>
      </c>
      <c r="I76" s="33">
        <v>0.93173565722585328</v>
      </c>
    </row>
    <row r="77" spans="1:12" x14ac:dyDescent="0.25">
      <c r="A77" s="27" t="s">
        <v>192</v>
      </c>
      <c r="B77" s="28">
        <v>15929000</v>
      </c>
      <c r="C77" s="69">
        <v>15929000</v>
      </c>
      <c r="D77" s="29">
        <v>17062000</v>
      </c>
      <c r="E77" s="53"/>
      <c r="F77" s="30">
        <v>0.501</v>
      </c>
      <c r="G77" s="31">
        <v>200</v>
      </c>
      <c r="H77" s="32">
        <v>2.0000000000000001E-4</v>
      </c>
      <c r="I77" s="33">
        <v>0.93359512366662756</v>
      </c>
      <c r="K77" s="71"/>
    </row>
    <row r="78" spans="1:12" x14ac:dyDescent="0.25">
      <c r="A78" s="27" t="s">
        <v>193</v>
      </c>
      <c r="B78" s="28">
        <v>14447000</v>
      </c>
      <c r="C78" s="31">
        <v>14447000</v>
      </c>
      <c r="D78" s="31">
        <v>15583000</v>
      </c>
      <c r="E78" s="36"/>
      <c r="F78" s="48">
        <v>0.46600000000000003</v>
      </c>
      <c r="G78" s="31">
        <v>1100</v>
      </c>
      <c r="H78" s="32">
        <v>1.1000000000000001E-3</v>
      </c>
      <c r="I78" s="33">
        <v>0.92710004492074694</v>
      </c>
      <c r="K78" s="70"/>
    </row>
    <row r="79" spans="1:12" x14ac:dyDescent="0.25">
      <c r="A79" s="27" t="s">
        <v>194</v>
      </c>
      <c r="B79" s="28">
        <v>15342000</v>
      </c>
      <c r="C79" s="31">
        <v>15342000</v>
      </c>
      <c r="D79" s="31">
        <v>16377000</v>
      </c>
      <c r="E79" s="36"/>
      <c r="F79" s="48">
        <v>0.47599999999999998</v>
      </c>
      <c r="G79" s="31">
        <v>800</v>
      </c>
      <c r="H79" s="32">
        <v>8.0000000000000004E-4</v>
      </c>
      <c r="I79" s="33">
        <v>0.93680161201685286</v>
      </c>
    </row>
    <row r="80" spans="1:12" x14ac:dyDescent="0.25">
      <c r="A80" s="27" t="s">
        <v>195</v>
      </c>
      <c r="B80" s="28">
        <v>14716000</v>
      </c>
      <c r="C80" s="31">
        <v>14716000</v>
      </c>
      <c r="D80" s="36">
        <v>15774000</v>
      </c>
      <c r="E80" s="36"/>
      <c r="F80" s="48">
        <v>0.46700000000000003</v>
      </c>
      <c r="G80" s="31">
        <v>1000</v>
      </c>
      <c r="H80" s="32">
        <v>1E-3</v>
      </c>
      <c r="I80" s="33">
        <v>0.93292760238366934</v>
      </c>
    </row>
    <row r="81" spans="1:14" x14ac:dyDescent="0.25">
      <c r="A81" s="27" t="s">
        <v>196</v>
      </c>
      <c r="B81" s="28">
        <v>17289000</v>
      </c>
      <c r="C81" s="47">
        <v>17289000</v>
      </c>
      <c r="D81" s="36">
        <v>17906000</v>
      </c>
      <c r="E81" s="36"/>
      <c r="F81" s="48">
        <v>0.503</v>
      </c>
      <c r="G81" s="36">
        <v>400</v>
      </c>
      <c r="H81" s="32">
        <v>4.0000000000000002E-4</v>
      </c>
      <c r="I81" s="33">
        <v>0.96554227633195577</v>
      </c>
    </row>
    <row r="82" spans="1:14" x14ac:dyDescent="0.25">
      <c r="A82" s="27" t="s">
        <v>382</v>
      </c>
      <c r="B82" s="28">
        <v>15929000</v>
      </c>
      <c r="C82" s="31">
        <v>15929000</v>
      </c>
      <c r="D82" s="47">
        <v>17062000</v>
      </c>
      <c r="E82" s="36"/>
      <c r="F82" s="48">
        <v>0.501</v>
      </c>
      <c r="G82" s="36">
        <v>200</v>
      </c>
      <c r="H82" s="32">
        <v>2.0000000000000001E-4</v>
      </c>
      <c r="I82" s="33">
        <v>0.93359512366662756</v>
      </c>
    </row>
    <row r="83" spans="1:14" x14ac:dyDescent="0.25">
      <c r="A83" s="45" t="s">
        <v>197</v>
      </c>
      <c r="B83" s="28">
        <v>14999999.999999998</v>
      </c>
      <c r="C83" s="31">
        <v>14999999.999999998</v>
      </c>
      <c r="D83" s="31"/>
      <c r="E83" s="36"/>
      <c r="F83" s="72">
        <v>0.47799999999999998</v>
      </c>
      <c r="G83" s="31">
        <v>400</v>
      </c>
      <c r="H83" s="73">
        <v>4.0000000000000002E-4</v>
      </c>
      <c r="I83" s="74"/>
    </row>
    <row r="84" spans="1:14" x14ac:dyDescent="0.25">
      <c r="A84" s="75" t="s">
        <v>198</v>
      </c>
      <c r="B84" s="36">
        <v>13454048.892850777</v>
      </c>
      <c r="C84" s="47">
        <v>13454048.892850777</v>
      </c>
      <c r="D84" s="47">
        <v>15774000</v>
      </c>
      <c r="E84" s="36"/>
      <c r="F84" s="76">
        <v>0.5</v>
      </c>
      <c r="G84" s="31"/>
      <c r="H84" s="73"/>
      <c r="I84" s="74">
        <v>0.85292563033160751</v>
      </c>
    </row>
    <row r="85" spans="1:14" x14ac:dyDescent="0.25">
      <c r="A85" s="75" t="s">
        <v>199</v>
      </c>
      <c r="B85" s="36">
        <v>12381771.311916806</v>
      </c>
      <c r="C85" s="47">
        <v>12381771.311916806</v>
      </c>
      <c r="D85" s="47">
        <v>14062678</v>
      </c>
      <c r="E85" s="36"/>
      <c r="F85" s="76">
        <v>0.46300000000000002</v>
      </c>
      <c r="G85" s="31"/>
      <c r="H85" s="73"/>
      <c r="I85" s="74">
        <v>0.88047037071579148</v>
      </c>
    </row>
    <row r="86" spans="1:14" x14ac:dyDescent="0.25">
      <c r="A86" s="75" t="s">
        <v>200</v>
      </c>
      <c r="B86" s="36">
        <v>18916910.5715716</v>
      </c>
      <c r="C86" s="36">
        <v>18916910.5715716</v>
      </c>
      <c r="D86" s="36">
        <v>18916910.5715716</v>
      </c>
      <c r="E86" s="36"/>
      <c r="F86" s="77">
        <v>0.51200000000000001</v>
      </c>
      <c r="G86" s="47">
        <v>0</v>
      </c>
      <c r="H86" s="73">
        <v>0</v>
      </c>
      <c r="I86" s="74">
        <v>1</v>
      </c>
    </row>
    <row r="87" spans="1:14" x14ac:dyDescent="0.25">
      <c r="A87" s="78" t="s">
        <v>201</v>
      </c>
      <c r="B87" s="36">
        <v>12781599.343864119</v>
      </c>
      <c r="C87" s="47">
        <v>12781599.343864119</v>
      </c>
      <c r="D87" s="47">
        <v>14131556.354955051</v>
      </c>
      <c r="E87" s="36"/>
      <c r="F87" s="76">
        <v>0.39339999999999997</v>
      </c>
      <c r="G87" s="31">
        <v>0</v>
      </c>
      <c r="H87" s="73">
        <v>0</v>
      </c>
      <c r="I87" s="74">
        <v>0.90447216306662592</v>
      </c>
    </row>
    <row r="88" spans="1:14" x14ac:dyDescent="0.25">
      <c r="A88" s="79" t="s">
        <v>202</v>
      </c>
      <c r="B88" s="80">
        <v>14409931.248165678</v>
      </c>
      <c r="C88" s="81">
        <v>14409931.248165678</v>
      </c>
      <c r="D88" s="81">
        <v>15305245.093897162</v>
      </c>
      <c r="E88" s="80"/>
      <c r="F88" s="82">
        <v>0.41985</v>
      </c>
      <c r="G88" s="81">
        <v>0</v>
      </c>
      <c r="H88" s="83">
        <v>0</v>
      </c>
      <c r="I88" s="84">
        <v>0.94150280898876404</v>
      </c>
    </row>
    <row r="89" spans="1:14" x14ac:dyDescent="0.25">
      <c r="A89" t="s">
        <v>203</v>
      </c>
      <c r="B89" s="36">
        <v>14409931.248165678</v>
      </c>
      <c r="C89" s="85">
        <v>14409931.248165678</v>
      </c>
      <c r="D89" s="85">
        <v>15305245.093897162</v>
      </c>
      <c r="E89" s="86"/>
      <c r="F89" s="87">
        <v>0.41985</v>
      </c>
      <c r="G89" s="39">
        <v>0</v>
      </c>
      <c r="H89" s="73">
        <v>0</v>
      </c>
      <c r="I89" s="88">
        <v>0.94150280898876404</v>
      </c>
    </row>
    <row r="90" spans="1:14" x14ac:dyDescent="0.25">
      <c r="A90" s="6" t="s">
        <v>204</v>
      </c>
      <c r="B90" s="89">
        <v>11209638.734587256</v>
      </c>
      <c r="C90" s="89">
        <v>11209638.734587256</v>
      </c>
      <c r="D90" s="89">
        <v>13583444.58426456</v>
      </c>
      <c r="E90" s="89"/>
      <c r="F90" s="89">
        <v>0.49161518093556933</v>
      </c>
      <c r="G90">
        <v>1765.2250661959399</v>
      </c>
      <c r="H90">
        <v>1.7652250661959398E-3</v>
      </c>
      <c r="I90">
        <v>0.8252427184466018</v>
      </c>
    </row>
    <row r="91" spans="1:14" x14ac:dyDescent="0.25">
      <c r="A91" t="s">
        <v>205</v>
      </c>
      <c r="B91" s="89">
        <v>14155275.214870876</v>
      </c>
      <c r="C91" s="89">
        <v>14155275.214870876</v>
      </c>
      <c r="D91" s="89">
        <v>16144032.889687445</v>
      </c>
      <c r="E91" s="89"/>
      <c r="F91" s="89">
        <v>0.50491510277033058</v>
      </c>
      <c r="G91">
        <v>1787.3100983020554</v>
      </c>
      <c r="H91">
        <v>1.7873100983020554E-3</v>
      </c>
      <c r="I91">
        <v>0.87681159420289856</v>
      </c>
    </row>
    <row r="92" spans="1:14" x14ac:dyDescent="0.25">
      <c r="A92" s="90" t="s">
        <v>383</v>
      </c>
      <c r="B92" s="91">
        <v>152370.90134048002</v>
      </c>
      <c r="C92" s="92">
        <v>152370.90134048002</v>
      </c>
      <c r="D92" s="92">
        <v>162963.53084543315</v>
      </c>
      <c r="E92" s="92">
        <v>3839.6821254480283</v>
      </c>
      <c r="F92" s="92">
        <v>0.83</v>
      </c>
      <c r="G92" s="93">
        <v>48000</v>
      </c>
      <c r="H92" s="93">
        <v>4.8000000000000001E-2</v>
      </c>
      <c r="I92" s="93">
        <v>0.93500000000000016</v>
      </c>
      <c r="J92" s="93"/>
      <c r="K92" s="93"/>
      <c r="L92" s="93"/>
      <c r="M92" s="93"/>
      <c r="N92" s="94"/>
    </row>
    <row r="93" spans="1:14" x14ac:dyDescent="0.25">
      <c r="A93" s="95" t="s">
        <v>384</v>
      </c>
      <c r="B93" s="96">
        <v>144230</v>
      </c>
      <c r="C93" s="97"/>
      <c r="D93" s="97"/>
      <c r="E93" s="97">
        <v>3785.4109999999991</v>
      </c>
      <c r="F93" s="97">
        <v>0.80800504236780391</v>
      </c>
      <c r="G93" s="97">
        <v>3510</v>
      </c>
      <c r="H93" s="97"/>
      <c r="I93" s="97"/>
      <c r="J93" s="97"/>
      <c r="K93" s="97"/>
      <c r="L93" s="97"/>
      <c r="M93" s="97"/>
      <c r="N93" s="98"/>
    </row>
    <row r="94" spans="1:14" x14ac:dyDescent="0.25">
      <c r="A94" s="99"/>
      <c r="B94" s="100"/>
      <c r="N94" s="101"/>
    </row>
    <row r="95" spans="1:14" x14ac:dyDescent="0.25">
      <c r="A95" s="99" t="s">
        <v>206</v>
      </c>
      <c r="B95" s="100"/>
      <c r="N95" s="101"/>
    </row>
    <row r="96" spans="1:14" x14ac:dyDescent="0.25">
      <c r="A96" s="95" t="s">
        <v>207</v>
      </c>
      <c r="B96" s="102"/>
      <c r="C96" s="103"/>
      <c r="D96" s="103"/>
      <c r="E96" s="103"/>
      <c r="F96" s="103"/>
      <c r="G96" s="103"/>
      <c r="H96" s="103"/>
      <c r="I96" s="103"/>
      <c r="J96" s="103"/>
      <c r="K96" s="103"/>
      <c r="L96" s="103"/>
      <c r="M96" s="103"/>
      <c r="N96" s="104"/>
    </row>
    <row r="97" spans="1:14" x14ac:dyDescent="0.25">
      <c r="A97" s="105" t="s">
        <v>208</v>
      </c>
      <c r="B97" s="39" t="s">
        <v>209</v>
      </c>
      <c r="C97" t="s">
        <v>209</v>
      </c>
      <c r="D97" t="s">
        <v>209</v>
      </c>
      <c r="E97" t="s">
        <v>210</v>
      </c>
      <c r="F97" t="s">
        <v>210</v>
      </c>
      <c r="G97" t="s">
        <v>211</v>
      </c>
      <c r="H97" t="s">
        <v>211</v>
      </c>
      <c r="I97" t="s">
        <v>212</v>
      </c>
      <c r="J97" t="s">
        <v>212</v>
      </c>
      <c r="K97" t="s">
        <v>213</v>
      </c>
      <c r="L97" t="s">
        <v>213</v>
      </c>
      <c r="M97" t="s">
        <v>214</v>
      </c>
      <c r="N97" t="s">
        <v>214</v>
      </c>
    </row>
    <row r="98" spans="1:14" x14ac:dyDescent="0.25">
      <c r="A98" s="2" t="s">
        <v>215</v>
      </c>
      <c r="B98" s="39">
        <v>100</v>
      </c>
      <c r="C98">
        <v>100</v>
      </c>
      <c r="D98">
        <v>20</v>
      </c>
      <c r="E98">
        <v>100</v>
      </c>
      <c r="F98">
        <v>20</v>
      </c>
      <c r="G98">
        <v>100</v>
      </c>
      <c r="H98">
        <v>20</v>
      </c>
      <c r="I98">
        <v>100</v>
      </c>
      <c r="J98">
        <v>20</v>
      </c>
      <c r="K98">
        <v>100</v>
      </c>
      <c r="L98">
        <v>20</v>
      </c>
      <c r="M98">
        <v>100</v>
      </c>
      <c r="N98">
        <v>20</v>
      </c>
    </row>
    <row r="99" spans="1:14" x14ac:dyDescent="0.25">
      <c r="A99" s="106" t="s">
        <v>216</v>
      </c>
      <c r="B99" s="107">
        <v>1</v>
      </c>
      <c r="C99" s="108">
        <v>1</v>
      </c>
      <c r="D99" s="108">
        <v>1</v>
      </c>
      <c r="E99" s="108">
        <v>1</v>
      </c>
      <c r="F99" s="108">
        <v>1</v>
      </c>
      <c r="G99" s="109">
        <v>1</v>
      </c>
      <c r="H99">
        <v>1</v>
      </c>
      <c r="I99">
        <v>1</v>
      </c>
      <c r="J99">
        <v>1</v>
      </c>
      <c r="K99">
        <v>1</v>
      </c>
      <c r="L99">
        <v>1</v>
      </c>
      <c r="M99">
        <v>1</v>
      </c>
      <c r="N99">
        <v>1</v>
      </c>
    </row>
    <row r="100" spans="1:14" x14ac:dyDescent="0.25">
      <c r="A100" s="95" t="s">
        <v>217</v>
      </c>
      <c r="B100" s="96">
        <v>30</v>
      </c>
      <c r="C100" s="110">
        <v>30</v>
      </c>
      <c r="D100" s="110">
        <v>85</v>
      </c>
      <c r="E100" s="110">
        <v>6</v>
      </c>
      <c r="F100" s="110">
        <v>68</v>
      </c>
      <c r="G100" s="111">
        <v>25</v>
      </c>
      <c r="H100">
        <v>72</v>
      </c>
      <c r="I100">
        <v>23</v>
      </c>
      <c r="J100">
        <v>62</v>
      </c>
      <c r="K100">
        <v>21</v>
      </c>
      <c r="L100">
        <v>56</v>
      </c>
      <c r="M100">
        <v>21</v>
      </c>
      <c r="N100">
        <v>63</v>
      </c>
    </row>
    <row r="101" spans="1:14" x14ac:dyDescent="0.25">
      <c r="A101" s="99" t="s">
        <v>218</v>
      </c>
      <c r="B101" s="100">
        <v>265</v>
      </c>
      <c r="C101">
        <v>265</v>
      </c>
      <c r="D101">
        <v>264</v>
      </c>
      <c r="E101" s="39">
        <v>234</v>
      </c>
      <c r="F101">
        <v>277</v>
      </c>
      <c r="G101" s="101">
        <v>298</v>
      </c>
      <c r="H101">
        <v>289</v>
      </c>
      <c r="I101">
        <v>296</v>
      </c>
      <c r="J101">
        <v>275</v>
      </c>
      <c r="K101">
        <v>310</v>
      </c>
      <c r="L101">
        <v>280</v>
      </c>
      <c r="M101">
        <v>290</v>
      </c>
      <c r="N101">
        <v>270</v>
      </c>
    </row>
    <row r="102" spans="1:14" x14ac:dyDescent="0.25">
      <c r="A102" s="99"/>
      <c r="B102" s="100"/>
      <c r="G102" s="101"/>
    </row>
    <row r="103" spans="1:14" x14ac:dyDescent="0.25">
      <c r="A103" s="99" t="s">
        <v>219</v>
      </c>
      <c r="B103" s="100"/>
      <c r="G103" s="101"/>
    </row>
    <row r="104" spans="1:14" x14ac:dyDescent="0.25">
      <c r="A104" s="99" t="s">
        <v>220</v>
      </c>
      <c r="B104" s="100" t="s">
        <v>221</v>
      </c>
      <c r="C104" t="s">
        <v>221</v>
      </c>
      <c r="D104" s="112" t="s">
        <v>222</v>
      </c>
      <c r="E104" s="112" t="s">
        <v>222</v>
      </c>
      <c r="F104" s="112" t="s">
        <v>223</v>
      </c>
      <c r="G104" s="113" t="s">
        <v>223</v>
      </c>
    </row>
    <row r="105" spans="1:14" x14ac:dyDescent="0.25">
      <c r="A105" s="95" t="s">
        <v>215</v>
      </c>
      <c r="B105" s="102">
        <v>100</v>
      </c>
      <c r="C105" s="103"/>
      <c r="D105" s="103">
        <v>100</v>
      </c>
      <c r="E105" s="103">
        <v>20</v>
      </c>
      <c r="F105" s="103">
        <v>100</v>
      </c>
      <c r="G105" s="104">
        <v>20</v>
      </c>
    </row>
    <row r="106" spans="1:14" x14ac:dyDescent="0.25">
      <c r="A106" t="s">
        <v>224</v>
      </c>
      <c r="B106">
        <v>0</v>
      </c>
      <c r="C106">
        <v>0</v>
      </c>
      <c r="D106">
        <v>4.5</v>
      </c>
      <c r="E106">
        <v>14</v>
      </c>
      <c r="F106">
        <v>0.66</v>
      </c>
      <c r="G106">
        <v>7.5</v>
      </c>
    </row>
    <row r="107" spans="1:14" x14ac:dyDescent="0.25">
      <c r="A107" s="6" t="s">
        <v>225</v>
      </c>
      <c r="B107">
        <v>0</v>
      </c>
      <c r="C107">
        <v>0</v>
      </c>
      <c r="D107">
        <v>2.65</v>
      </c>
      <c r="E107">
        <v>7.65</v>
      </c>
      <c r="F107">
        <v>0.42</v>
      </c>
      <c r="G107">
        <v>4.9000000000000004</v>
      </c>
    </row>
    <row r="108" spans="1:14" x14ac:dyDescent="0.25">
      <c r="A108" s="90" t="s">
        <v>226</v>
      </c>
      <c r="B108" s="114">
        <v>0</v>
      </c>
      <c r="C108">
        <v>0</v>
      </c>
      <c r="D108">
        <v>-11</v>
      </c>
      <c r="E108">
        <v>19</v>
      </c>
      <c r="F108">
        <v>-2.9</v>
      </c>
      <c r="G108">
        <v>-87</v>
      </c>
    </row>
    <row r="109" spans="1:14" x14ac:dyDescent="0.25">
      <c r="A109" s="99" t="s">
        <v>227</v>
      </c>
      <c r="B109" s="115">
        <v>0</v>
      </c>
      <c r="C109">
        <v>0</v>
      </c>
      <c r="D109">
        <v>900</v>
      </c>
      <c r="E109">
        <v>3200</v>
      </c>
      <c r="F109">
        <v>130</v>
      </c>
      <c r="G109">
        <v>920</v>
      </c>
    </row>
    <row r="110" spans="1:14" x14ac:dyDescent="0.25">
      <c r="A110" s="99" t="s">
        <v>228</v>
      </c>
      <c r="B110" s="115">
        <v>0</v>
      </c>
      <c r="C110">
        <v>0</v>
      </c>
      <c r="D110">
        <v>-69</v>
      </c>
      <c r="E110">
        <v>-240</v>
      </c>
      <c r="F110">
        <v>-10</v>
      </c>
      <c r="G110">
        <v>-71</v>
      </c>
    </row>
    <row r="111" spans="1:14" x14ac:dyDescent="0.25">
      <c r="A111" s="99"/>
      <c r="B111" s="115"/>
    </row>
    <row r="112" spans="1:14" x14ac:dyDescent="0.25">
      <c r="A112" s="95" t="s">
        <v>229</v>
      </c>
      <c r="B112" s="116"/>
    </row>
    <row r="113" spans="1:24" x14ac:dyDescent="0.25">
      <c r="A113" t="s">
        <v>230</v>
      </c>
      <c r="B113">
        <v>0.85</v>
      </c>
    </row>
    <row r="114" spans="1:24" x14ac:dyDescent="0.25">
      <c r="A114" s="6" t="s">
        <v>231</v>
      </c>
      <c r="B114">
        <v>0.42857142857142855</v>
      </c>
    </row>
    <row r="115" spans="1:24" x14ac:dyDescent="0.25">
      <c r="A115" t="s">
        <v>232</v>
      </c>
      <c r="B115">
        <v>0.75</v>
      </c>
    </row>
    <row r="116" spans="1:24" x14ac:dyDescent="0.25">
      <c r="A116" t="s">
        <v>233</v>
      </c>
      <c r="B116" s="117">
        <v>0.27272727272727271</v>
      </c>
      <c r="F116" s="118"/>
      <c r="J116" s="118"/>
      <c r="N116" s="118"/>
      <c r="R116" s="119"/>
      <c r="V116" s="119"/>
    </row>
    <row r="117" spans="1:24" x14ac:dyDescent="0.25">
      <c r="A117" t="s">
        <v>234</v>
      </c>
      <c r="B117" s="120">
        <v>0.5</v>
      </c>
      <c r="F117" s="121"/>
      <c r="J117" s="121"/>
      <c r="N117" s="121"/>
      <c r="R117" s="122"/>
      <c r="V117" s="122"/>
    </row>
    <row r="118" spans="1:24" x14ac:dyDescent="0.25">
      <c r="B118" s="123"/>
      <c r="C118" s="124"/>
      <c r="D118" s="125"/>
      <c r="F118" s="123"/>
      <c r="G118" s="124"/>
      <c r="H118" s="125"/>
      <c r="J118" s="123"/>
      <c r="K118" s="126"/>
      <c r="L118" s="125"/>
      <c r="N118" s="123"/>
      <c r="O118" s="126"/>
      <c r="P118" s="125"/>
      <c r="R118" s="123"/>
      <c r="S118" s="126"/>
      <c r="T118" s="125"/>
      <c r="V118" s="123"/>
      <c r="W118" s="126"/>
      <c r="X118" s="125"/>
    </row>
    <row r="119" spans="1:24" x14ac:dyDescent="0.25">
      <c r="A119" t="s">
        <v>235</v>
      </c>
      <c r="B119" s="127"/>
      <c r="C119" s="128"/>
      <c r="D119" s="129"/>
      <c r="F119" s="127"/>
      <c r="G119" s="128"/>
      <c r="H119" s="129"/>
      <c r="J119" s="127"/>
      <c r="K119" s="128"/>
      <c r="L119" s="129"/>
      <c r="N119" s="127"/>
      <c r="O119" s="128"/>
      <c r="P119" s="129"/>
      <c r="R119" s="127"/>
      <c r="S119" s="128"/>
      <c r="T119" s="129"/>
      <c r="V119" s="127"/>
      <c r="W119" s="128"/>
      <c r="X119" s="129"/>
    </row>
    <row r="120" spans="1:24" x14ac:dyDescent="0.25">
      <c r="B120" s="130"/>
      <c r="C120" s="122"/>
      <c r="D120" s="131"/>
      <c r="F120" s="130"/>
      <c r="G120" s="122"/>
      <c r="H120" s="131"/>
      <c r="J120" s="130"/>
      <c r="K120" s="122"/>
      <c r="L120" s="131"/>
      <c r="N120" s="130"/>
      <c r="O120" s="122"/>
      <c r="P120" s="131"/>
      <c r="R120" s="130"/>
      <c r="S120" s="122"/>
      <c r="T120" s="131"/>
      <c r="V120" s="130"/>
      <c r="W120" s="122"/>
      <c r="X120" s="131"/>
    </row>
    <row r="121" spans="1:24" x14ac:dyDescent="0.25">
      <c r="B121" s="130">
        <v>10</v>
      </c>
      <c r="C121" s="122"/>
      <c r="D121" s="131"/>
      <c r="F121" s="130">
        <v>200</v>
      </c>
      <c r="G121" s="122"/>
      <c r="H121" s="131"/>
      <c r="J121" s="130">
        <v>11</v>
      </c>
      <c r="K121" s="122"/>
      <c r="L121" s="131"/>
      <c r="N121" s="130">
        <v>11</v>
      </c>
      <c r="O121" s="122"/>
      <c r="P121" s="131"/>
      <c r="R121" s="130">
        <v>27000</v>
      </c>
      <c r="S121" s="122"/>
      <c r="T121" s="131"/>
      <c r="V121" s="130">
        <v>1000</v>
      </c>
      <c r="W121" s="122"/>
      <c r="X121" s="131"/>
    </row>
    <row r="122" spans="1:24" x14ac:dyDescent="0.25">
      <c r="B122" s="130">
        <v>10</v>
      </c>
      <c r="C122" s="122"/>
      <c r="D122" s="131"/>
      <c r="F122" s="130">
        <v>200</v>
      </c>
      <c r="G122" s="122"/>
      <c r="H122" s="131"/>
      <c r="J122" s="130">
        <v>11</v>
      </c>
      <c r="K122" s="122"/>
      <c r="L122" s="131"/>
      <c r="N122" s="130">
        <v>11</v>
      </c>
      <c r="O122" s="122"/>
      <c r="P122" s="131"/>
      <c r="R122" s="130">
        <v>27000</v>
      </c>
      <c r="S122" s="122"/>
      <c r="T122" s="131"/>
      <c r="V122" s="130">
        <v>1000</v>
      </c>
      <c r="W122" s="122"/>
      <c r="X122" s="131"/>
    </row>
    <row r="123" spans="1:24" x14ac:dyDescent="0.25">
      <c r="B123" s="130" t="s">
        <v>236</v>
      </c>
      <c r="C123" s="122" t="s">
        <v>237</v>
      </c>
      <c r="D123" s="131" t="s">
        <v>238</v>
      </c>
      <c r="F123" s="132" t="s">
        <v>236</v>
      </c>
      <c r="G123" s="133" t="s">
        <v>239</v>
      </c>
      <c r="H123" s="134" t="s">
        <v>238</v>
      </c>
      <c r="J123" s="132" t="s">
        <v>236</v>
      </c>
      <c r="K123" s="133" t="s">
        <v>240</v>
      </c>
      <c r="L123" s="134" t="s">
        <v>238</v>
      </c>
      <c r="N123" s="132" t="s">
        <v>236</v>
      </c>
      <c r="O123" s="133" t="s">
        <v>241</v>
      </c>
      <c r="P123" s="134" t="s">
        <v>238</v>
      </c>
      <c r="R123" s="132" t="s">
        <v>236</v>
      </c>
      <c r="S123" s="133" t="s">
        <v>242</v>
      </c>
      <c r="T123" s="134" t="s">
        <v>238</v>
      </c>
      <c r="V123" s="132" t="s">
        <v>236</v>
      </c>
      <c r="W123" s="133" t="s">
        <v>243</v>
      </c>
      <c r="X123" s="134" t="s">
        <v>238</v>
      </c>
    </row>
    <row r="124" spans="1:24" x14ac:dyDescent="0.25">
      <c r="B124" s="130">
        <v>1990</v>
      </c>
      <c r="C124" s="122">
        <v>500</v>
      </c>
      <c r="D124" s="131">
        <v>19.607843137254903</v>
      </c>
      <c r="F124" s="130">
        <v>1990</v>
      </c>
      <c r="G124" s="122">
        <v>600</v>
      </c>
      <c r="H124" s="131">
        <v>3</v>
      </c>
      <c r="J124" s="130">
        <v>1990</v>
      </c>
      <c r="K124" s="122">
        <v>350</v>
      </c>
      <c r="L124" s="131">
        <v>31.818181818181817</v>
      </c>
      <c r="N124" s="130">
        <v>1990</v>
      </c>
      <c r="O124" s="122">
        <v>2283</v>
      </c>
      <c r="P124" s="131">
        <v>14.006134969325153</v>
      </c>
      <c r="R124" s="130">
        <v>1990</v>
      </c>
      <c r="S124" s="122">
        <v>27000</v>
      </c>
      <c r="T124" s="131">
        <v>1</v>
      </c>
      <c r="V124" s="130">
        <v>1990</v>
      </c>
      <c r="W124" s="122">
        <v>2000</v>
      </c>
      <c r="X124" s="131">
        <v>1</v>
      </c>
    </row>
    <row r="125" spans="1:24" x14ac:dyDescent="0.25">
      <c r="B125" s="130">
        <v>1995</v>
      </c>
      <c r="C125" s="122">
        <v>340</v>
      </c>
      <c r="D125" s="131">
        <v>13.333333333333334</v>
      </c>
      <c r="F125" s="135">
        <v>1995</v>
      </c>
      <c r="G125" s="136">
        <v>350</v>
      </c>
      <c r="H125" s="137">
        <v>1.75</v>
      </c>
      <c r="J125" s="135">
        <v>1995</v>
      </c>
      <c r="K125" s="136">
        <v>200</v>
      </c>
      <c r="L125" s="137">
        <v>18.181818181818183</v>
      </c>
      <c r="N125" s="135">
        <v>1995</v>
      </c>
      <c r="O125" s="136">
        <v>2283</v>
      </c>
      <c r="P125" s="137">
        <v>14.006134969325153</v>
      </c>
      <c r="R125" s="135">
        <v>1995</v>
      </c>
      <c r="S125" s="136">
        <v>27000</v>
      </c>
      <c r="T125" s="137">
        <v>1</v>
      </c>
      <c r="V125" s="135">
        <v>1995</v>
      </c>
      <c r="W125" s="136">
        <v>2000</v>
      </c>
      <c r="X125" s="137">
        <v>1</v>
      </c>
    </row>
    <row r="126" spans="1:24" x14ac:dyDescent="0.25">
      <c r="B126" s="135">
        <v>2000</v>
      </c>
      <c r="C126" s="136">
        <v>200</v>
      </c>
      <c r="D126" s="137">
        <v>7.8431372549019605</v>
      </c>
      <c r="F126">
        <v>2000</v>
      </c>
      <c r="G126">
        <v>200</v>
      </c>
      <c r="H126">
        <v>1</v>
      </c>
      <c r="J126">
        <v>2000</v>
      </c>
      <c r="K126">
        <v>120</v>
      </c>
      <c r="L126">
        <v>10.909090909090908</v>
      </c>
      <c r="N126">
        <v>2000</v>
      </c>
      <c r="O126">
        <v>2283</v>
      </c>
      <c r="P126">
        <v>14.006134969325153</v>
      </c>
      <c r="R126">
        <v>2000</v>
      </c>
      <c r="S126">
        <v>27000</v>
      </c>
      <c r="T126">
        <v>1</v>
      </c>
      <c r="V126">
        <v>2000</v>
      </c>
      <c r="W126">
        <v>2000</v>
      </c>
      <c r="X126">
        <v>1</v>
      </c>
    </row>
    <row r="127" spans="1:24" x14ac:dyDescent="0.25">
      <c r="B127">
        <v>2005</v>
      </c>
      <c r="C127">
        <v>25.5</v>
      </c>
      <c r="D127">
        <v>1</v>
      </c>
      <c r="F127">
        <v>2005</v>
      </c>
      <c r="G127">
        <v>200</v>
      </c>
      <c r="H127">
        <v>1</v>
      </c>
      <c r="J127">
        <v>2005</v>
      </c>
      <c r="K127">
        <v>120</v>
      </c>
      <c r="L127">
        <v>10.909090909090908</v>
      </c>
      <c r="N127">
        <v>2005</v>
      </c>
      <c r="O127">
        <v>2283</v>
      </c>
      <c r="P127">
        <v>14.006134969325153</v>
      </c>
      <c r="R127">
        <v>2005</v>
      </c>
      <c r="S127">
        <v>27000</v>
      </c>
      <c r="T127">
        <v>1</v>
      </c>
      <c r="V127">
        <v>2005</v>
      </c>
      <c r="W127">
        <v>2000</v>
      </c>
      <c r="X127">
        <v>1</v>
      </c>
    </row>
    <row r="128" spans="1:24" x14ac:dyDescent="0.25">
      <c r="A128" s="6"/>
      <c r="B128">
        <v>2010</v>
      </c>
      <c r="C128">
        <v>25.5</v>
      </c>
      <c r="D128">
        <v>1</v>
      </c>
      <c r="F128">
        <v>2010</v>
      </c>
      <c r="G128">
        <v>200</v>
      </c>
      <c r="H128">
        <v>1</v>
      </c>
      <c r="J128">
        <v>2010</v>
      </c>
      <c r="K128">
        <v>11</v>
      </c>
      <c r="L128">
        <v>1</v>
      </c>
      <c r="N128">
        <v>2010</v>
      </c>
      <c r="O128">
        <v>163</v>
      </c>
      <c r="P128">
        <v>1</v>
      </c>
      <c r="R128">
        <v>2010</v>
      </c>
      <c r="S128">
        <v>27000</v>
      </c>
      <c r="T128">
        <v>1</v>
      </c>
      <c r="V128">
        <v>2010</v>
      </c>
      <c r="W128">
        <v>2000</v>
      </c>
      <c r="X128">
        <v>1</v>
      </c>
    </row>
    <row r="129" spans="1:24" x14ac:dyDescent="0.25">
      <c r="A129" s="138"/>
      <c r="B129" s="139">
        <v>2015</v>
      </c>
      <c r="C129" s="139">
        <v>25.5</v>
      </c>
      <c r="D129" s="139">
        <v>1</v>
      </c>
      <c r="E129" s="139"/>
      <c r="F129" s="140">
        <v>2015</v>
      </c>
      <c r="G129">
        <v>200</v>
      </c>
      <c r="H129">
        <v>1</v>
      </c>
      <c r="J129">
        <v>2015</v>
      </c>
      <c r="K129">
        <v>11</v>
      </c>
      <c r="L129">
        <v>1</v>
      </c>
      <c r="N129">
        <v>2015</v>
      </c>
      <c r="O129">
        <v>11</v>
      </c>
      <c r="P129">
        <v>6.7484662576687116E-2</v>
      </c>
      <c r="R129">
        <v>2015</v>
      </c>
      <c r="S129">
        <v>27000</v>
      </c>
      <c r="T129">
        <v>1</v>
      </c>
      <c r="V129">
        <v>2015</v>
      </c>
      <c r="W129">
        <v>1000</v>
      </c>
      <c r="X129">
        <v>0.5</v>
      </c>
    </row>
    <row r="130" spans="1:24" x14ac:dyDescent="0.25">
      <c r="A130" s="141"/>
      <c r="B130" s="142">
        <v>2017</v>
      </c>
      <c r="C130" s="142">
        <v>10</v>
      </c>
      <c r="D130" s="142">
        <v>0.39215686274509803</v>
      </c>
      <c r="E130" s="143"/>
      <c r="F130" s="144">
        <v>2020</v>
      </c>
      <c r="G130">
        <v>200</v>
      </c>
      <c r="H130">
        <v>1</v>
      </c>
      <c r="J130">
        <v>2020</v>
      </c>
      <c r="K130">
        <v>11</v>
      </c>
      <c r="L130">
        <v>1</v>
      </c>
      <c r="N130">
        <v>2020</v>
      </c>
      <c r="O130">
        <v>11</v>
      </c>
      <c r="P130">
        <v>6.7484662576687116E-2</v>
      </c>
      <c r="R130">
        <v>2020</v>
      </c>
      <c r="S130">
        <v>5000</v>
      </c>
      <c r="T130">
        <v>0.185</v>
      </c>
      <c r="V130">
        <v>2020</v>
      </c>
      <c r="W130">
        <v>1000</v>
      </c>
      <c r="X130">
        <v>0.5</v>
      </c>
    </row>
    <row r="131" spans="1:24" x14ac:dyDescent="0.25">
      <c r="A131" s="141"/>
      <c r="B131" s="145">
        <v>2020</v>
      </c>
      <c r="C131" s="142">
        <v>10</v>
      </c>
      <c r="D131" s="142">
        <v>0.39215686274509803</v>
      </c>
      <c r="E131" s="143"/>
      <c r="F131" s="146"/>
    </row>
    <row r="132" spans="1:24" x14ac:dyDescent="0.25">
      <c r="A132" s="141"/>
      <c r="B132" s="145"/>
      <c r="C132" s="145"/>
      <c r="D132" s="142"/>
      <c r="E132" s="145"/>
      <c r="F132" s="146"/>
    </row>
    <row r="133" spans="1:24" x14ac:dyDescent="0.25">
      <c r="A133" s="141" t="s">
        <v>244</v>
      </c>
      <c r="B133" s="145"/>
      <c r="C133" s="143"/>
      <c r="D133" s="142"/>
      <c r="E133" s="142"/>
      <c r="F133" s="144"/>
    </row>
    <row r="134" spans="1:24" x14ac:dyDescent="0.25">
      <c r="A134" s="147" t="s">
        <v>245</v>
      </c>
      <c r="B134" s="148" t="s">
        <v>246</v>
      </c>
      <c r="C134" s="148" t="s">
        <v>247</v>
      </c>
      <c r="D134" s="149" t="s">
        <v>248</v>
      </c>
      <c r="E134" s="148" t="s">
        <v>249</v>
      </c>
      <c r="F134" s="150" t="s">
        <v>250</v>
      </c>
    </row>
    <row r="135" spans="1:24" x14ac:dyDescent="0.25">
      <c r="A135" t="s">
        <v>251</v>
      </c>
      <c r="B135">
        <v>1</v>
      </c>
      <c r="C135">
        <v>1000</v>
      </c>
      <c r="D135">
        <v>1000000</v>
      </c>
      <c r="E135">
        <v>453.59237000000002</v>
      </c>
      <c r="F135">
        <v>907184.74</v>
      </c>
    </row>
    <row r="136" spans="1:24" x14ac:dyDescent="0.25">
      <c r="A136" s="138" t="s">
        <v>252</v>
      </c>
      <c r="B136" s="139">
        <v>1E-3</v>
      </c>
      <c r="C136" s="139">
        <v>1</v>
      </c>
      <c r="D136" s="139">
        <v>1000</v>
      </c>
      <c r="E136" s="139">
        <v>0.45359237000000002</v>
      </c>
      <c r="F136" s="140">
        <v>907.18474000000003</v>
      </c>
    </row>
    <row r="137" spans="1:24" x14ac:dyDescent="0.25">
      <c r="A137" s="141" t="s">
        <v>253</v>
      </c>
      <c r="B137" s="120">
        <v>9.9999999999999995E-7</v>
      </c>
      <c r="C137" s="151">
        <v>1E-3</v>
      </c>
      <c r="D137" s="152">
        <v>1</v>
      </c>
      <c r="E137" s="153">
        <v>4.5359237000000004E-4</v>
      </c>
      <c r="F137" s="154">
        <v>0.90718474000000004</v>
      </c>
    </row>
    <row r="138" spans="1:24" x14ac:dyDescent="0.25">
      <c r="A138" s="141" t="s">
        <v>254</v>
      </c>
      <c r="B138" s="142">
        <v>2.2046226218487759E-3</v>
      </c>
      <c r="C138" s="142">
        <v>2.2046226218487757</v>
      </c>
      <c r="D138" s="142">
        <v>2204.6226218487759</v>
      </c>
      <c r="E138" s="142">
        <v>1</v>
      </c>
      <c r="F138" s="144">
        <v>2000</v>
      </c>
    </row>
    <row r="139" spans="1:24" x14ac:dyDescent="0.25">
      <c r="A139" s="141" t="s">
        <v>255</v>
      </c>
      <c r="B139" s="142">
        <v>1.102311310924388E-6</v>
      </c>
      <c r="C139" s="143">
        <v>1.1023113109243879E-3</v>
      </c>
      <c r="D139" s="142">
        <v>1.1023113109243878</v>
      </c>
      <c r="E139" s="143">
        <v>5.0000000000000001E-4</v>
      </c>
      <c r="F139" s="146">
        <v>1</v>
      </c>
    </row>
    <row r="140" spans="1:24" x14ac:dyDescent="0.25">
      <c r="A140" s="141"/>
      <c r="B140" s="122"/>
      <c r="C140" s="145"/>
      <c r="D140" s="143"/>
      <c r="E140" s="142"/>
      <c r="F140" s="146"/>
    </row>
    <row r="141" spans="1:24" x14ac:dyDescent="0.25">
      <c r="A141" s="147" t="s">
        <v>256</v>
      </c>
      <c r="B141" s="136" t="s">
        <v>257</v>
      </c>
      <c r="C141" s="148" t="s">
        <v>258</v>
      </c>
      <c r="D141" s="149" t="s">
        <v>259</v>
      </c>
      <c r="E141" s="149" t="s">
        <v>260</v>
      </c>
      <c r="F141" s="150" t="s">
        <v>261</v>
      </c>
    </row>
    <row r="142" spans="1:24" x14ac:dyDescent="0.25">
      <c r="A142" t="s">
        <v>262</v>
      </c>
      <c r="B142">
        <v>1</v>
      </c>
      <c r="C142">
        <v>9.9999999999999995E-7</v>
      </c>
      <c r="D142">
        <v>1E-3</v>
      </c>
      <c r="E142">
        <v>3.7854109999999998E-3</v>
      </c>
      <c r="F142">
        <v>2.8316846999999999E-2</v>
      </c>
    </row>
    <row r="143" spans="1:24" x14ac:dyDescent="0.25">
      <c r="A143" s="138" t="s">
        <v>263</v>
      </c>
      <c r="B143" s="139">
        <v>1000000</v>
      </c>
      <c r="C143" s="139">
        <v>1</v>
      </c>
      <c r="D143" s="139">
        <v>1000.0000000000001</v>
      </c>
      <c r="E143" s="139">
        <v>3785.4110000000001</v>
      </c>
      <c r="F143" s="139">
        <v>28316.847000000002</v>
      </c>
      <c r="G143" s="139"/>
      <c r="H143" s="139"/>
      <c r="I143" s="140"/>
    </row>
    <row r="144" spans="1:24" x14ac:dyDescent="0.25">
      <c r="A144" s="141" t="s">
        <v>264</v>
      </c>
      <c r="B144" s="142">
        <v>1000</v>
      </c>
      <c r="C144" s="142">
        <v>1E-3</v>
      </c>
      <c r="D144" s="142">
        <v>1</v>
      </c>
      <c r="E144" s="142">
        <v>3.7854109999999999</v>
      </c>
      <c r="F144" s="142">
        <v>28.316846999999999</v>
      </c>
      <c r="G144" s="142"/>
      <c r="H144" s="142"/>
      <c r="I144" s="101"/>
    </row>
    <row r="145" spans="1:9" x14ac:dyDescent="0.25">
      <c r="A145" s="141" t="s">
        <v>265</v>
      </c>
      <c r="B145" s="143">
        <v>264.17210707106841</v>
      </c>
      <c r="C145" s="142">
        <v>2.6417210707106839E-4</v>
      </c>
      <c r="D145" s="142">
        <v>0.26417210707106842</v>
      </c>
      <c r="E145" s="122">
        <v>1</v>
      </c>
      <c r="F145" s="142">
        <v>7.4805211375990615</v>
      </c>
      <c r="G145" s="143"/>
      <c r="H145" s="142"/>
      <c r="I145" s="101"/>
    </row>
    <row r="146" spans="1:9" x14ac:dyDescent="0.25">
      <c r="A146" s="141" t="s">
        <v>266</v>
      </c>
      <c r="B146" s="145">
        <v>35.314666212661322</v>
      </c>
      <c r="C146" s="143">
        <v>3.5314666212661319E-5</v>
      </c>
      <c r="D146" s="142">
        <v>3.5314666212661321E-2</v>
      </c>
      <c r="E146" s="155">
        <v>0.13368052594273649</v>
      </c>
      <c r="F146" s="122">
        <v>1</v>
      </c>
      <c r="G146" s="145"/>
      <c r="H146" s="142"/>
      <c r="I146" s="101"/>
    </row>
    <row r="147" spans="1:9" x14ac:dyDescent="0.25">
      <c r="A147" s="141"/>
      <c r="B147" s="145"/>
      <c r="C147" s="143"/>
      <c r="D147" s="142"/>
      <c r="E147" s="142"/>
      <c r="F147" s="142"/>
      <c r="G147" s="143"/>
      <c r="H147" s="142"/>
      <c r="I147" s="101"/>
    </row>
    <row r="148" spans="1:9" x14ac:dyDescent="0.25">
      <c r="A148" s="141" t="s">
        <v>267</v>
      </c>
      <c r="B148" s="156" t="s">
        <v>268</v>
      </c>
      <c r="C148" s="145" t="s">
        <v>269</v>
      </c>
      <c r="D148" s="143" t="s">
        <v>270</v>
      </c>
      <c r="E148" s="143" t="s">
        <v>271</v>
      </c>
      <c r="F148" s="142" t="s">
        <v>272</v>
      </c>
      <c r="G148" s="145" t="s">
        <v>273</v>
      </c>
      <c r="H148" s="142" t="s">
        <v>274</v>
      </c>
      <c r="I148" s="101" t="s">
        <v>275</v>
      </c>
    </row>
    <row r="149" spans="1:9" x14ac:dyDescent="0.25">
      <c r="A149" s="141" t="s">
        <v>276</v>
      </c>
      <c r="B149" s="145">
        <v>1</v>
      </c>
      <c r="C149" s="143">
        <v>1000</v>
      </c>
      <c r="D149" s="142">
        <v>1000000</v>
      </c>
      <c r="E149" s="143">
        <v>3600</v>
      </c>
      <c r="F149" s="142">
        <v>3600000</v>
      </c>
      <c r="G149" s="142">
        <v>1055.05585</v>
      </c>
      <c r="H149" s="142">
        <v>1055055850</v>
      </c>
      <c r="I149" s="101">
        <v>2684519.5376862194</v>
      </c>
    </row>
    <row r="150" spans="1:9" x14ac:dyDescent="0.25">
      <c r="A150" s="141" t="s">
        <v>277</v>
      </c>
      <c r="B150" s="157">
        <v>1E-3</v>
      </c>
      <c r="C150" s="145">
        <v>1</v>
      </c>
      <c r="D150" s="145">
        <v>1000</v>
      </c>
      <c r="E150" s="158">
        <v>3.6</v>
      </c>
      <c r="F150" s="145">
        <v>3600</v>
      </c>
      <c r="G150" s="145">
        <v>1.05505585</v>
      </c>
      <c r="H150" s="142">
        <v>1055055.8500000001</v>
      </c>
      <c r="I150" s="101">
        <v>2684.5195376862198</v>
      </c>
    </row>
    <row r="151" spans="1:9" x14ac:dyDescent="0.25">
      <c r="A151" s="147" t="s">
        <v>278</v>
      </c>
      <c r="B151" s="103">
        <v>9.9999999999999995E-7</v>
      </c>
      <c r="C151" s="103">
        <v>1E-3</v>
      </c>
      <c r="D151" s="103">
        <v>1</v>
      </c>
      <c r="E151" s="103">
        <v>3.5999999999999999E-3</v>
      </c>
      <c r="F151" s="103">
        <v>3.6</v>
      </c>
      <c r="G151" s="103">
        <v>1.0550558499999999E-3</v>
      </c>
      <c r="H151" s="103">
        <v>1055.05585</v>
      </c>
      <c r="I151" s="104">
        <v>2.6845195376862194</v>
      </c>
    </row>
    <row r="152" spans="1:9" x14ac:dyDescent="0.25">
      <c r="A152" t="s">
        <v>279</v>
      </c>
      <c r="B152">
        <v>2.7777777777777778E-4</v>
      </c>
      <c r="C152">
        <v>0.27777777777777779</v>
      </c>
      <c r="D152">
        <v>277.77777777777777</v>
      </c>
      <c r="E152">
        <v>1</v>
      </c>
      <c r="F152">
        <v>1000</v>
      </c>
      <c r="G152">
        <v>0.29307106944444444</v>
      </c>
      <c r="H152">
        <v>293071.06944444444</v>
      </c>
      <c r="I152">
        <v>745.69987157950538</v>
      </c>
    </row>
    <row r="153" spans="1:9" x14ac:dyDescent="0.25">
      <c r="A153" t="s">
        <v>280</v>
      </c>
      <c r="B153">
        <v>2.7777777777777776E-7</v>
      </c>
      <c r="C153">
        <v>2.7777777777777778E-4</v>
      </c>
      <c r="D153">
        <v>0.27777777777777779</v>
      </c>
      <c r="E153">
        <v>1E-3</v>
      </c>
      <c r="F153">
        <v>1</v>
      </c>
      <c r="G153">
        <v>2.9307106944444444E-4</v>
      </c>
      <c r="H153">
        <v>293.07106944444445</v>
      </c>
      <c r="I153">
        <v>0.74569987157950535</v>
      </c>
    </row>
    <row r="154" spans="1:9" x14ac:dyDescent="0.25">
      <c r="A154" t="s">
        <v>281</v>
      </c>
      <c r="B154">
        <v>9.4781712266701337E-4</v>
      </c>
      <c r="C154">
        <v>0.94781712266701335</v>
      </c>
      <c r="D154">
        <v>947.81712266701334</v>
      </c>
      <c r="E154">
        <v>3.4121416416012482</v>
      </c>
      <c r="F154">
        <v>3412.141641601248</v>
      </c>
      <c r="G154">
        <v>1</v>
      </c>
      <c r="H154">
        <v>1000000</v>
      </c>
      <c r="I154">
        <v>2544.4335839531336</v>
      </c>
    </row>
    <row r="155" spans="1:9" x14ac:dyDescent="0.25">
      <c r="A155" t="s">
        <v>282</v>
      </c>
      <c r="B155">
        <v>9.4781712266701324E-10</v>
      </c>
      <c r="C155">
        <v>9.4781712266701326E-7</v>
      </c>
      <c r="D155">
        <v>9.4781712266701326E-4</v>
      </c>
      <c r="E155">
        <v>3.4121416416012478E-6</v>
      </c>
      <c r="F155">
        <v>3.4121416416012479E-3</v>
      </c>
      <c r="G155">
        <v>9.9999999999999995E-7</v>
      </c>
      <c r="H155">
        <v>1</v>
      </c>
      <c r="I155">
        <v>2.5444335839531337E-3</v>
      </c>
    </row>
    <row r="156" spans="1:9" x14ac:dyDescent="0.25">
      <c r="A156" t="s">
        <v>283</v>
      </c>
      <c r="B156">
        <v>3.72506136E-7</v>
      </c>
      <c r="C156">
        <v>3.7250613599999999E-4</v>
      </c>
      <c r="D156">
        <v>0.37250613599999999</v>
      </c>
      <c r="E156">
        <v>1.3410220896E-3</v>
      </c>
      <c r="F156">
        <v>1.3410220896</v>
      </c>
      <c r="G156">
        <v>3.9301477794769559E-4</v>
      </c>
      <c r="H156">
        <v>393.01477794769556</v>
      </c>
      <c r="I156">
        <v>1</v>
      </c>
    </row>
    <row r="158" spans="1:9" x14ac:dyDescent="0.25">
      <c r="A158" t="s">
        <v>385</v>
      </c>
      <c r="B158" t="s">
        <v>386</v>
      </c>
      <c r="C158" t="s">
        <v>387</v>
      </c>
      <c r="D158" t="s">
        <v>388</v>
      </c>
      <c r="E158" t="s">
        <v>389</v>
      </c>
      <c r="F158" t="s">
        <v>390</v>
      </c>
    </row>
    <row r="159" spans="1:9" x14ac:dyDescent="0.25">
      <c r="A159" t="s">
        <v>386</v>
      </c>
      <c r="B159">
        <v>1</v>
      </c>
      <c r="C159">
        <v>1000</v>
      </c>
      <c r="D159">
        <v>1000000</v>
      </c>
      <c r="E159">
        <v>304.8</v>
      </c>
      <c r="F159">
        <v>1609340</v>
      </c>
    </row>
    <row r="160" spans="1:9" x14ac:dyDescent="0.25">
      <c r="A160" t="s">
        <v>387</v>
      </c>
      <c r="B160">
        <v>1E-3</v>
      </c>
      <c r="C160">
        <v>1</v>
      </c>
      <c r="D160">
        <v>1000</v>
      </c>
      <c r="E160">
        <v>0.30480000000000002</v>
      </c>
      <c r="F160">
        <v>1609.34</v>
      </c>
    </row>
    <row r="161" spans="1:6" x14ac:dyDescent="0.25">
      <c r="A161" t="s">
        <v>388</v>
      </c>
      <c r="B161">
        <v>9.9999999999999995E-7</v>
      </c>
      <c r="C161">
        <v>1E-3</v>
      </c>
      <c r="D161">
        <v>1</v>
      </c>
      <c r="E161">
        <v>3.0480000000000004E-4</v>
      </c>
      <c r="F161">
        <v>1.60934</v>
      </c>
    </row>
    <row r="162" spans="1:6" x14ac:dyDescent="0.25">
      <c r="A162" t="s">
        <v>389</v>
      </c>
      <c r="B162">
        <v>3.2808398950131233E-3</v>
      </c>
      <c r="C162">
        <v>3.2808398950131235</v>
      </c>
      <c r="D162">
        <v>3280.8398950131236</v>
      </c>
      <c r="E162">
        <v>1</v>
      </c>
      <c r="F162">
        <v>5280</v>
      </c>
    </row>
    <row r="163" spans="1:6" x14ac:dyDescent="0.25">
      <c r="A163" t="s">
        <v>390</v>
      </c>
      <c r="B163">
        <v>6.2137273664980671E-7</v>
      </c>
      <c r="C163">
        <v>6.2137273664980672E-4</v>
      </c>
      <c r="D163">
        <v>0.62137273664980675</v>
      </c>
      <c r="E163">
        <v>1.8939393939393939E-4</v>
      </c>
      <c r="F163">
        <v>1</v>
      </c>
    </row>
  </sheetData>
  <dataValidations count="5">
    <dataValidation type="list" allowBlank="1" showInputMessage="1" showErrorMessage="1" sqref="B100" xr:uid="{00000000-0002-0000-0200-000000000000}">
      <formula1>$D$100:$E$100</formula1>
    </dataValidation>
    <dataValidation type="list" allowBlank="1" showInputMessage="1" showErrorMessage="1" sqref="B99" xr:uid="{00000000-0002-0000-0200-000001000000}">
      <formula1>"None, GWP, GTP"</formula1>
    </dataValidation>
    <dataValidation type="list" allowBlank="1" showInputMessage="1" showErrorMessage="1" sqref="B93" xr:uid="{00000000-0002-0000-0200-000002000000}">
      <formula1>$C$93:$D$93</formula1>
    </dataValidation>
    <dataValidation type="list" allowBlank="1" showInputMessage="1" showErrorMessage="1" sqref="B92" xr:uid="{00000000-0002-0000-0200-000003000000}">
      <formula1>"AR5/GWP,AR5/GTP,AR4/GWP,AR3/GWP,AR2/GWP,AR1/GWP"</formula1>
    </dataValidation>
    <dataValidation type="list" allowBlank="1" showInputMessage="1" showErrorMessage="1" sqref="B5" xr:uid="{00000000-0002-0000-0200-000004000000}">
      <formula1>"1,2"</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B22"/>
  <sheetViews>
    <sheetView zoomScale="90" zoomScaleNormal="90" workbookViewId="0">
      <selection activeCell="B18" sqref="B18"/>
    </sheetView>
  </sheetViews>
  <sheetFormatPr defaultRowHeight="15" x14ac:dyDescent="0.25"/>
  <cols>
    <col min="1" max="1" width="30.85546875" customWidth="1"/>
    <col min="2" max="28" width="10" bestFit="1" customWidth="1"/>
  </cols>
  <sheetData>
    <row r="1" spans="1:28" x14ac:dyDescent="0.25">
      <c r="A1" s="1" t="s">
        <v>376</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328</v>
      </c>
      <c r="B2">
        <f>About!$A$76*10^6</f>
        <v>3412140000000</v>
      </c>
      <c r="C2">
        <f>About!$A$76*10^6</f>
        <v>3412140000000</v>
      </c>
      <c r="D2">
        <f>About!$A$76*10^6</f>
        <v>3412140000000</v>
      </c>
      <c r="E2">
        <f>About!$A$76*10^6</f>
        <v>3412140000000</v>
      </c>
      <c r="F2">
        <f>About!$A$76*10^6</f>
        <v>3412140000000</v>
      </c>
      <c r="G2">
        <f>About!$A$76*10^6</f>
        <v>3412140000000</v>
      </c>
      <c r="H2">
        <f>About!$A$76*10^6</f>
        <v>3412140000000</v>
      </c>
      <c r="I2">
        <f>About!$A$76*10^6</f>
        <v>3412140000000</v>
      </c>
      <c r="J2">
        <f>About!$A$76*10^6</f>
        <v>3412140000000</v>
      </c>
      <c r="K2">
        <f>About!$A$76*10^6</f>
        <v>3412140000000</v>
      </c>
      <c r="L2">
        <f>About!$A$76*10^6</f>
        <v>3412140000000</v>
      </c>
      <c r="M2">
        <f>About!$A$76*10^6</f>
        <v>3412140000000</v>
      </c>
      <c r="N2">
        <f>About!$A$76*10^6</f>
        <v>3412140000000</v>
      </c>
      <c r="O2">
        <f>About!$A$76*10^6</f>
        <v>3412140000000</v>
      </c>
      <c r="P2">
        <f>About!$A$76*10^6</f>
        <v>3412140000000</v>
      </c>
      <c r="Q2">
        <f>About!$A$76*10^6</f>
        <v>3412140000000</v>
      </c>
      <c r="R2">
        <f>About!$A$76*10^6</f>
        <v>3412140000000</v>
      </c>
      <c r="S2">
        <f>About!$A$76*10^6</f>
        <v>3412140000000</v>
      </c>
      <c r="T2">
        <f>About!$A$76*10^6</f>
        <v>3412140000000</v>
      </c>
      <c r="U2">
        <f>About!$A$76*10^6</f>
        <v>3412140000000</v>
      </c>
      <c r="V2">
        <f>About!$A$76*10^6</f>
        <v>3412140000000</v>
      </c>
      <c r="W2">
        <f>About!$A$76*10^6</f>
        <v>3412140000000</v>
      </c>
      <c r="X2">
        <f>About!$A$76*10^6</f>
        <v>3412140000000</v>
      </c>
      <c r="Y2">
        <f>About!$A$76*10^6</f>
        <v>3412140000000</v>
      </c>
      <c r="Z2">
        <f>About!$A$76*10^6</f>
        <v>3412140000000</v>
      </c>
      <c r="AA2">
        <f>About!$A$76*10^6</f>
        <v>3412140000000</v>
      </c>
      <c r="AB2">
        <f>About!$A$76*10^6</f>
        <v>3412140000000</v>
      </c>
    </row>
    <row r="3" spans="1:28" x14ac:dyDescent="0.25">
      <c r="A3" t="s">
        <v>305</v>
      </c>
      <c r="B3">
        <f>'AEO Table 73'!C66*10^12</f>
        <v>19939119338989.262</v>
      </c>
      <c r="C3">
        <f>'AEO Table 73'!D66*10^12</f>
        <v>19975200653076.168</v>
      </c>
      <c r="D3">
        <f>'AEO Table 73'!E66*10^12</f>
        <v>19849454879760.738</v>
      </c>
      <c r="E3">
        <f>'AEO Table 73'!F66*10^12</f>
        <v>19910884857177.73</v>
      </c>
      <c r="F3">
        <f>'AEO Table 73'!G66*10^12</f>
        <v>19778657913208.012</v>
      </c>
      <c r="G3">
        <f>'AEO Table 73'!H66*10^12</f>
        <v>19802286148071.289</v>
      </c>
      <c r="H3">
        <f>'AEO Table 73'!I66*10^12</f>
        <v>20229091644287.109</v>
      </c>
      <c r="I3">
        <f>'AEO Table 73'!J66*10^12</f>
        <v>20271644592285.16</v>
      </c>
      <c r="J3">
        <f>'AEO Table 73'!K66*10^12</f>
        <v>22370437622070.309</v>
      </c>
      <c r="K3">
        <f>'AEO Table 73'!L66*10^12</f>
        <v>22339384078979.488</v>
      </c>
      <c r="L3">
        <f>'AEO Table 73'!M66*10^12</f>
        <v>22438327789306.641</v>
      </c>
      <c r="M3">
        <f>'AEO Table 73'!N66*10^12</f>
        <v>22461183547973.629</v>
      </c>
      <c r="N3">
        <f>'AEO Table 73'!O66*10^12</f>
        <v>22568223953247.07</v>
      </c>
      <c r="O3">
        <f>'AEO Table 73'!P66*10^12</f>
        <v>22653650283813.48</v>
      </c>
      <c r="P3">
        <f>'AEO Table 73'!Q66*10^12</f>
        <v>22789302825927.73</v>
      </c>
      <c r="Q3">
        <f>'AEO Table 73'!R66*10^12</f>
        <v>23709119796752.93</v>
      </c>
      <c r="R3">
        <f>'AEO Table 73'!S66*10^12</f>
        <v>23686365127563.48</v>
      </c>
      <c r="S3">
        <f>'AEO Table 73'!T66*10^12</f>
        <v>23656286239624.02</v>
      </c>
      <c r="T3">
        <f>'AEO Table 73'!U66*10^12</f>
        <v>23626243591308.59</v>
      </c>
      <c r="U3">
        <f>'AEO Table 73'!V66*10^12</f>
        <v>23601253509521.48</v>
      </c>
      <c r="V3">
        <f>'AEO Table 73'!W66*10^12</f>
        <v>23821788787841.801</v>
      </c>
      <c r="W3">
        <f>'AEO Table 73'!X66*10^12</f>
        <v>23805074691772.461</v>
      </c>
      <c r="X3">
        <f>'AEO Table 73'!Y66*10^12</f>
        <v>24641916275024.41</v>
      </c>
      <c r="Y3">
        <f>'AEO Table 73'!Z66*10^12</f>
        <v>24624423980712.891</v>
      </c>
      <c r="Z3">
        <f>'AEO Table 73'!AA66*10^12</f>
        <v>24585569381713.871</v>
      </c>
      <c r="AA3">
        <f>'AEO Table 73'!AB66*10^12</f>
        <v>24554073333740.23</v>
      </c>
      <c r="AB3">
        <f>'AEO Table 73'!AC66*10^12</f>
        <v>24554193496704.102</v>
      </c>
    </row>
    <row r="4" spans="1:28" x14ac:dyDescent="0.25">
      <c r="A4" t="s">
        <v>306</v>
      </c>
      <c r="B4">
        <f>'AEO Table 73'!C54*10^15</f>
        <v>1036000013351440</v>
      </c>
      <c r="C4">
        <f>'AEO Table 73'!D54*10^15</f>
        <v>1036000013351440</v>
      </c>
      <c r="D4">
        <f>'AEO Table 73'!E54*10^15</f>
        <v>1036000013351440</v>
      </c>
      <c r="E4">
        <f>'AEO Table 73'!F54*10^15</f>
        <v>1036000013351440</v>
      </c>
      <c r="F4">
        <f>'AEO Table 73'!G54*10^15</f>
        <v>1036000013351440</v>
      </c>
      <c r="G4">
        <f>'AEO Table 73'!H54*10^15</f>
        <v>1036000013351440</v>
      </c>
      <c r="H4">
        <f>'AEO Table 73'!I54*10^15</f>
        <v>1036000013351440</v>
      </c>
      <c r="I4">
        <f>'AEO Table 73'!J54*10^15</f>
        <v>1036000013351440</v>
      </c>
      <c r="J4">
        <f>'AEO Table 73'!K54*10^15</f>
        <v>1036000013351440</v>
      </c>
      <c r="K4">
        <f>'AEO Table 73'!L54*10^15</f>
        <v>1036000013351440</v>
      </c>
      <c r="L4">
        <f>'AEO Table 73'!M54*10^15</f>
        <v>1036000013351440</v>
      </c>
      <c r="M4">
        <f>'AEO Table 73'!N54*10^15</f>
        <v>1036000013351440</v>
      </c>
      <c r="N4">
        <f>'AEO Table 73'!O54*10^15</f>
        <v>1036000013351440</v>
      </c>
      <c r="O4">
        <f>'AEO Table 73'!P54*10^15</f>
        <v>1036000013351440</v>
      </c>
      <c r="P4">
        <f>'AEO Table 73'!Q54*10^15</f>
        <v>1036000013351440</v>
      </c>
      <c r="Q4">
        <f>'AEO Table 73'!R54*10^15</f>
        <v>1036000013351440</v>
      </c>
      <c r="R4">
        <f>'AEO Table 73'!S54*10^15</f>
        <v>1036000013351440</v>
      </c>
      <c r="S4">
        <f>'AEO Table 73'!T54*10^15</f>
        <v>1036000013351440</v>
      </c>
      <c r="T4">
        <f>'AEO Table 73'!U54*10^15</f>
        <v>1036000013351440</v>
      </c>
      <c r="U4">
        <f>'AEO Table 73'!V54*10^15</f>
        <v>1036000013351440</v>
      </c>
      <c r="V4">
        <f>'AEO Table 73'!W54*10^15</f>
        <v>1036000013351440</v>
      </c>
      <c r="W4">
        <f>'AEO Table 73'!X54*10^15</f>
        <v>1036000013351440</v>
      </c>
      <c r="X4">
        <f>'AEO Table 73'!Y54*10^15</f>
        <v>1036000013351440</v>
      </c>
      <c r="Y4">
        <f>'AEO Table 73'!Z54*10^15</f>
        <v>1036000013351440</v>
      </c>
      <c r="Z4">
        <f>'AEO Table 73'!AA54*10^15</f>
        <v>1036000013351440</v>
      </c>
      <c r="AA4">
        <f>'AEO Table 73'!AB54*10^15</f>
        <v>1036000013351440</v>
      </c>
      <c r="AB4">
        <f>'AEO Table 73'!AC54*10^15</f>
        <v>1036000013351440</v>
      </c>
    </row>
    <row r="5" spans="1:28" x14ac:dyDescent="0.25">
      <c r="A5" t="s">
        <v>322</v>
      </c>
      <c r="B5">
        <f t="shared" ref="B5:AB5" si="0">10^12</f>
        <v>1000000000000</v>
      </c>
      <c r="C5">
        <f t="shared" si="0"/>
        <v>1000000000000</v>
      </c>
      <c r="D5">
        <f t="shared" si="0"/>
        <v>1000000000000</v>
      </c>
      <c r="E5">
        <f t="shared" si="0"/>
        <v>1000000000000</v>
      </c>
      <c r="F5">
        <f t="shared" si="0"/>
        <v>1000000000000</v>
      </c>
      <c r="G5">
        <f t="shared" si="0"/>
        <v>1000000000000</v>
      </c>
      <c r="H5">
        <f t="shared" si="0"/>
        <v>1000000000000</v>
      </c>
      <c r="I5">
        <f t="shared" si="0"/>
        <v>1000000000000</v>
      </c>
      <c r="J5">
        <f t="shared" si="0"/>
        <v>1000000000000</v>
      </c>
      <c r="K5">
        <f t="shared" si="0"/>
        <v>1000000000000</v>
      </c>
      <c r="L5">
        <f t="shared" si="0"/>
        <v>1000000000000</v>
      </c>
      <c r="M5">
        <f t="shared" si="0"/>
        <v>1000000000000</v>
      </c>
      <c r="N5">
        <f t="shared" si="0"/>
        <v>1000000000000</v>
      </c>
      <c r="O5">
        <f t="shared" si="0"/>
        <v>1000000000000</v>
      </c>
      <c r="P5">
        <f t="shared" si="0"/>
        <v>1000000000000</v>
      </c>
      <c r="Q5">
        <f t="shared" si="0"/>
        <v>1000000000000</v>
      </c>
      <c r="R5">
        <f t="shared" si="0"/>
        <v>1000000000000</v>
      </c>
      <c r="S5">
        <f t="shared" si="0"/>
        <v>1000000000000</v>
      </c>
      <c r="T5">
        <f t="shared" si="0"/>
        <v>1000000000000</v>
      </c>
      <c r="U5">
        <f t="shared" si="0"/>
        <v>1000000000000</v>
      </c>
      <c r="V5">
        <f t="shared" si="0"/>
        <v>1000000000000</v>
      </c>
      <c r="W5">
        <f t="shared" si="0"/>
        <v>1000000000000</v>
      </c>
      <c r="X5">
        <f t="shared" si="0"/>
        <v>1000000000000</v>
      </c>
      <c r="Y5">
        <f t="shared" si="0"/>
        <v>1000000000000</v>
      </c>
      <c r="Z5">
        <f t="shared" si="0"/>
        <v>1000000000000</v>
      </c>
      <c r="AA5">
        <f t="shared" si="0"/>
        <v>1000000000000</v>
      </c>
      <c r="AB5">
        <f t="shared" si="0"/>
        <v>1000000000000</v>
      </c>
    </row>
    <row r="6" spans="1:28" x14ac:dyDescent="0.25">
      <c r="A6" t="s">
        <v>323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25">
      <c r="A7" t="s">
        <v>324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25">
      <c r="A8" t="s">
        <v>325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25">
      <c r="A9" t="s">
        <v>307</v>
      </c>
      <c r="B9">
        <f>'GREET1 Fuel_Specs'!$D$81*10^6</f>
        <v>17906000000000</v>
      </c>
      <c r="C9">
        <f>'GREET1 Fuel_Specs'!$D$81*10^6</f>
        <v>17906000000000</v>
      </c>
      <c r="D9">
        <f>'GREET1 Fuel_Specs'!$D$81*10^6</f>
        <v>17906000000000</v>
      </c>
      <c r="E9">
        <f>'GREET1 Fuel_Specs'!$D$81*10^6</f>
        <v>17906000000000</v>
      </c>
      <c r="F9">
        <f>'GREET1 Fuel_Specs'!$D$81*10^6</f>
        <v>17906000000000</v>
      </c>
      <c r="G9">
        <f>'GREET1 Fuel_Specs'!$D$81*10^6</f>
        <v>17906000000000</v>
      </c>
      <c r="H9">
        <f>'GREET1 Fuel_Specs'!$D$81*10^6</f>
        <v>17906000000000</v>
      </c>
      <c r="I9">
        <f>'GREET1 Fuel_Specs'!$D$81*10^6</f>
        <v>17906000000000</v>
      </c>
      <c r="J9">
        <f>'GREET1 Fuel_Specs'!$D$81*10^6</f>
        <v>17906000000000</v>
      </c>
      <c r="K9">
        <f>'GREET1 Fuel_Specs'!$D$81*10^6</f>
        <v>17906000000000</v>
      </c>
      <c r="L9">
        <f>'GREET1 Fuel_Specs'!$D$81*10^6</f>
        <v>17906000000000</v>
      </c>
      <c r="M9">
        <f>'GREET1 Fuel_Specs'!$D$81*10^6</f>
        <v>17906000000000</v>
      </c>
      <c r="N9">
        <f>'GREET1 Fuel_Specs'!$D$81*10^6</f>
        <v>17906000000000</v>
      </c>
      <c r="O9">
        <f>'GREET1 Fuel_Specs'!$D$81*10^6</f>
        <v>17906000000000</v>
      </c>
      <c r="P9">
        <f>'GREET1 Fuel_Specs'!$D$81*10^6</f>
        <v>17906000000000</v>
      </c>
      <c r="Q9">
        <f>'GREET1 Fuel_Specs'!$D$81*10^6</f>
        <v>17906000000000</v>
      </c>
      <c r="R9">
        <f>'GREET1 Fuel_Specs'!$D$81*10^6</f>
        <v>17906000000000</v>
      </c>
      <c r="S9">
        <f>'GREET1 Fuel_Specs'!$D$81*10^6</f>
        <v>17906000000000</v>
      </c>
      <c r="T9">
        <f>'GREET1 Fuel_Specs'!$D$81*10^6</f>
        <v>17906000000000</v>
      </c>
      <c r="U9">
        <f>'GREET1 Fuel_Specs'!$D$81*10^6</f>
        <v>17906000000000</v>
      </c>
      <c r="V9">
        <f>'GREET1 Fuel_Specs'!$D$81*10^6</f>
        <v>17906000000000</v>
      </c>
      <c r="W9">
        <f>'GREET1 Fuel_Specs'!$D$81*10^6</f>
        <v>17906000000000</v>
      </c>
      <c r="X9">
        <f>'GREET1 Fuel_Specs'!$D$81*10^6</f>
        <v>17906000000000</v>
      </c>
      <c r="Y9">
        <f>'GREET1 Fuel_Specs'!$D$81*10^6</f>
        <v>17906000000000</v>
      </c>
      <c r="Z9">
        <f>'GREET1 Fuel_Specs'!$D$81*10^6</f>
        <v>17906000000000</v>
      </c>
      <c r="AA9">
        <f>'GREET1 Fuel_Specs'!$D$81*10^6</f>
        <v>17906000000000</v>
      </c>
      <c r="AB9">
        <f>'GREET1 Fuel_Specs'!$D$81*10^6</f>
        <v>17906000000000</v>
      </c>
    </row>
    <row r="10" spans="1:28" x14ac:dyDescent="0.25">
      <c r="A10" t="s">
        <v>308</v>
      </c>
      <c r="B10">
        <f>'GREET1 Fuel_Specs'!$D$7*gal_per_barrel*10^6</f>
        <v>5810700000000</v>
      </c>
      <c r="C10">
        <f>'GREET1 Fuel_Specs'!$D$7*gal_per_barrel*10^6</f>
        <v>5810700000000</v>
      </c>
      <c r="D10">
        <f>'GREET1 Fuel_Specs'!$D$7*gal_per_barrel*10^6</f>
        <v>5810700000000</v>
      </c>
      <c r="E10">
        <f>'GREET1 Fuel_Specs'!$D$7*gal_per_barrel*10^6</f>
        <v>5810700000000</v>
      </c>
      <c r="F10">
        <f>'GREET1 Fuel_Specs'!$D$7*gal_per_barrel*10^6</f>
        <v>5810700000000</v>
      </c>
      <c r="G10">
        <f>'GREET1 Fuel_Specs'!$D$7*gal_per_barrel*10^6</f>
        <v>5810700000000</v>
      </c>
      <c r="H10">
        <f>'GREET1 Fuel_Specs'!$D$7*gal_per_barrel*10^6</f>
        <v>5810700000000</v>
      </c>
      <c r="I10">
        <f>'GREET1 Fuel_Specs'!$D$7*gal_per_barrel*10^6</f>
        <v>5810700000000</v>
      </c>
      <c r="J10">
        <f>'GREET1 Fuel_Specs'!$D$7*gal_per_barrel*10^6</f>
        <v>5810700000000</v>
      </c>
      <c r="K10">
        <f>'GREET1 Fuel_Specs'!$D$7*gal_per_barrel*10^6</f>
        <v>5810700000000</v>
      </c>
      <c r="L10">
        <f>'GREET1 Fuel_Specs'!$D$7*gal_per_barrel*10^6</f>
        <v>5810700000000</v>
      </c>
      <c r="M10">
        <f>'GREET1 Fuel_Specs'!$D$7*gal_per_barrel*10^6</f>
        <v>5810700000000</v>
      </c>
      <c r="N10">
        <f>'GREET1 Fuel_Specs'!$D$7*gal_per_barrel*10^6</f>
        <v>5810700000000</v>
      </c>
      <c r="O10">
        <f>'GREET1 Fuel_Specs'!$D$7*gal_per_barrel*10^6</f>
        <v>5810700000000</v>
      </c>
      <c r="P10">
        <f>'GREET1 Fuel_Specs'!$D$7*gal_per_barrel*10^6</f>
        <v>5810700000000</v>
      </c>
      <c r="Q10">
        <f>'GREET1 Fuel_Specs'!$D$7*gal_per_barrel*10^6</f>
        <v>5810700000000</v>
      </c>
      <c r="R10">
        <f>'GREET1 Fuel_Specs'!$D$7*gal_per_barrel*10^6</f>
        <v>5810700000000</v>
      </c>
      <c r="S10">
        <f>'GREET1 Fuel_Specs'!$D$7*gal_per_barrel*10^6</f>
        <v>5810700000000</v>
      </c>
      <c r="T10">
        <f>'GREET1 Fuel_Specs'!$D$7*gal_per_barrel*10^6</f>
        <v>5810700000000</v>
      </c>
      <c r="U10">
        <f>'GREET1 Fuel_Specs'!$D$7*gal_per_barrel*10^6</f>
        <v>5810700000000</v>
      </c>
      <c r="V10">
        <f>'GREET1 Fuel_Specs'!$D$7*gal_per_barrel*10^6</f>
        <v>5810700000000</v>
      </c>
      <c r="W10">
        <f>'GREET1 Fuel_Specs'!$D$7*gal_per_barrel*10^6</f>
        <v>5810700000000</v>
      </c>
      <c r="X10">
        <f>'GREET1 Fuel_Specs'!$D$7*gal_per_barrel*10^6</f>
        <v>5810700000000</v>
      </c>
      <c r="Y10">
        <f>'GREET1 Fuel_Specs'!$D$7*gal_per_barrel*10^6</f>
        <v>5810700000000</v>
      </c>
      <c r="Z10">
        <f>'GREET1 Fuel_Specs'!$D$7*gal_per_barrel*10^6</f>
        <v>5810700000000</v>
      </c>
      <c r="AA10">
        <f>'GREET1 Fuel_Specs'!$D$7*gal_per_barrel*10^6</f>
        <v>5810700000000</v>
      </c>
      <c r="AB10">
        <f>'GREET1 Fuel_Specs'!$D$7*gal_per_barrel*10^6</f>
        <v>5810700000000</v>
      </c>
    </row>
    <row r="11" spans="1:28" x14ac:dyDescent="0.25">
      <c r="A11" t="s">
        <v>309</v>
      </c>
      <c r="B11">
        <f>'GREET1 Fuel_Specs'!$D$7*gal_per_barrel*10^6</f>
        <v>5810700000000</v>
      </c>
      <c r="C11">
        <f>'GREET1 Fuel_Specs'!$D$7*gal_per_barrel*10^6</f>
        <v>5810700000000</v>
      </c>
      <c r="D11">
        <f>'GREET1 Fuel_Specs'!$D$7*gal_per_barrel*10^6</f>
        <v>5810700000000</v>
      </c>
      <c r="E11">
        <f>'GREET1 Fuel_Specs'!$D$7*gal_per_barrel*10^6</f>
        <v>5810700000000</v>
      </c>
      <c r="F11">
        <f>'GREET1 Fuel_Specs'!$D$7*gal_per_barrel*10^6</f>
        <v>5810700000000</v>
      </c>
      <c r="G11">
        <f>'GREET1 Fuel_Specs'!$D$7*gal_per_barrel*10^6</f>
        <v>5810700000000</v>
      </c>
      <c r="H11">
        <f>'GREET1 Fuel_Specs'!$D$7*gal_per_barrel*10^6</f>
        <v>5810700000000</v>
      </c>
      <c r="I11">
        <f>'GREET1 Fuel_Specs'!$D$7*gal_per_barrel*10^6</f>
        <v>5810700000000</v>
      </c>
      <c r="J11">
        <f>'GREET1 Fuel_Specs'!$D$7*gal_per_barrel*10^6</f>
        <v>5810700000000</v>
      </c>
      <c r="K11">
        <f>'GREET1 Fuel_Specs'!$D$7*gal_per_barrel*10^6</f>
        <v>5810700000000</v>
      </c>
      <c r="L11">
        <f>'GREET1 Fuel_Specs'!$D$7*gal_per_barrel*10^6</f>
        <v>5810700000000</v>
      </c>
      <c r="M11">
        <f>'GREET1 Fuel_Specs'!$D$7*gal_per_barrel*10^6</f>
        <v>5810700000000</v>
      </c>
      <c r="N11">
        <f>'GREET1 Fuel_Specs'!$D$7*gal_per_barrel*10^6</f>
        <v>5810700000000</v>
      </c>
      <c r="O11">
        <f>'GREET1 Fuel_Specs'!$D$7*gal_per_barrel*10^6</f>
        <v>5810700000000</v>
      </c>
      <c r="P11">
        <f>'GREET1 Fuel_Specs'!$D$7*gal_per_barrel*10^6</f>
        <v>5810700000000</v>
      </c>
      <c r="Q11">
        <f>'GREET1 Fuel_Specs'!$D$7*gal_per_barrel*10^6</f>
        <v>5810700000000</v>
      </c>
      <c r="R11">
        <f>'GREET1 Fuel_Specs'!$D$7*gal_per_barrel*10^6</f>
        <v>5810700000000</v>
      </c>
      <c r="S11">
        <f>'GREET1 Fuel_Specs'!$D$7*gal_per_barrel*10^6</f>
        <v>5810700000000</v>
      </c>
      <c r="T11">
        <f>'GREET1 Fuel_Specs'!$D$7*gal_per_barrel*10^6</f>
        <v>5810700000000</v>
      </c>
      <c r="U11">
        <f>'GREET1 Fuel_Specs'!$D$7*gal_per_barrel*10^6</f>
        <v>5810700000000</v>
      </c>
      <c r="V11">
        <f>'GREET1 Fuel_Specs'!$D$7*gal_per_barrel*10^6</f>
        <v>5810700000000</v>
      </c>
      <c r="W11">
        <f>'GREET1 Fuel_Specs'!$D$7*gal_per_barrel*10^6</f>
        <v>5810700000000</v>
      </c>
      <c r="X11">
        <f>'GREET1 Fuel_Specs'!$D$7*gal_per_barrel*10^6</f>
        <v>5810700000000</v>
      </c>
      <c r="Y11">
        <f>'GREET1 Fuel_Specs'!$D$7*gal_per_barrel*10^6</f>
        <v>5810700000000</v>
      </c>
      <c r="Z11">
        <f>'GREET1 Fuel_Specs'!$D$7*gal_per_barrel*10^6</f>
        <v>5810700000000</v>
      </c>
      <c r="AA11">
        <f>'GREET1 Fuel_Specs'!$D$7*gal_per_barrel*10^6</f>
        <v>5810700000000</v>
      </c>
      <c r="AB11">
        <f>'GREET1 Fuel_Specs'!$D$7*gal_per_barrel*10^6</f>
        <v>5810700000000</v>
      </c>
    </row>
    <row r="12" spans="1:28" x14ac:dyDescent="0.25">
      <c r="A12" t="s">
        <v>310</v>
      </c>
      <c r="B12">
        <f>'GREET1 Fuel_Specs'!$D$7*gal_per_barrel*10^6</f>
        <v>5810700000000</v>
      </c>
      <c r="C12">
        <f>'GREET1 Fuel_Specs'!$D$7*gal_per_barrel*10^6</f>
        <v>5810700000000</v>
      </c>
      <c r="D12">
        <f>'GREET1 Fuel_Specs'!$D$7*gal_per_barrel*10^6</f>
        <v>5810700000000</v>
      </c>
      <c r="E12">
        <f>'GREET1 Fuel_Specs'!$D$7*gal_per_barrel*10^6</f>
        <v>5810700000000</v>
      </c>
      <c r="F12">
        <f>'GREET1 Fuel_Specs'!$D$7*gal_per_barrel*10^6</f>
        <v>5810700000000</v>
      </c>
      <c r="G12">
        <f>'GREET1 Fuel_Specs'!$D$7*gal_per_barrel*10^6</f>
        <v>5810700000000</v>
      </c>
      <c r="H12">
        <f>'GREET1 Fuel_Specs'!$D$7*gal_per_barrel*10^6</f>
        <v>5810700000000</v>
      </c>
      <c r="I12">
        <f>'GREET1 Fuel_Specs'!$D$7*gal_per_barrel*10^6</f>
        <v>5810700000000</v>
      </c>
      <c r="J12">
        <f>'GREET1 Fuel_Specs'!$D$7*gal_per_barrel*10^6</f>
        <v>5810700000000</v>
      </c>
      <c r="K12">
        <f>'GREET1 Fuel_Specs'!$D$7*gal_per_barrel*10^6</f>
        <v>5810700000000</v>
      </c>
      <c r="L12">
        <f>'GREET1 Fuel_Specs'!$D$7*gal_per_barrel*10^6</f>
        <v>5810700000000</v>
      </c>
      <c r="M12">
        <f>'GREET1 Fuel_Specs'!$D$7*gal_per_barrel*10^6</f>
        <v>5810700000000</v>
      </c>
      <c r="N12">
        <f>'GREET1 Fuel_Specs'!$D$7*gal_per_barrel*10^6</f>
        <v>5810700000000</v>
      </c>
      <c r="O12">
        <f>'GREET1 Fuel_Specs'!$D$7*gal_per_barrel*10^6</f>
        <v>5810700000000</v>
      </c>
      <c r="P12">
        <f>'GREET1 Fuel_Specs'!$D$7*gal_per_barrel*10^6</f>
        <v>5810700000000</v>
      </c>
      <c r="Q12">
        <f>'GREET1 Fuel_Specs'!$D$7*gal_per_barrel*10^6</f>
        <v>5810700000000</v>
      </c>
      <c r="R12">
        <f>'GREET1 Fuel_Specs'!$D$7*gal_per_barrel*10^6</f>
        <v>5810700000000</v>
      </c>
      <c r="S12">
        <f>'GREET1 Fuel_Specs'!$D$7*gal_per_barrel*10^6</f>
        <v>5810700000000</v>
      </c>
      <c r="T12">
        <f>'GREET1 Fuel_Specs'!$D$7*gal_per_barrel*10^6</f>
        <v>5810700000000</v>
      </c>
      <c r="U12">
        <f>'GREET1 Fuel_Specs'!$D$7*gal_per_barrel*10^6</f>
        <v>5810700000000</v>
      </c>
      <c r="V12">
        <f>'GREET1 Fuel_Specs'!$D$7*gal_per_barrel*10^6</f>
        <v>5810700000000</v>
      </c>
      <c r="W12">
        <f>'GREET1 Fuel_Specs'!$D$7*gal_per_barrel*10^6</f>
        <v>5810700000000</v>
      </c>
      <c r="X12">
        <f>'GREET1 Fuel_Specs'!$D$7*gal_per_barrel*10^6</f>
        <v>5810700000000</v>
      </c>
      <c r="Y12">
        <f>'GREET1 Fuel_Specs'!$D$7*gal_per_barrel*10^6</f>
        <v>5810700000000</v>
      </c>
      <c r="Z12">
        <f>'GREET1 Fuel_Specs'!$D$7*gal_per_barrel*10^6</f>
        <v>5810700000000</v>
      </c>
      <c r="AA12">
        <f>'GREET1 Fuel_Specs'!$D$7*gal_per_barrel*10^6</f>
        <v>5810700000000</v>
      </c>
      <c r="AB12">
        <f>'GREET1 Fuel_Specs'!$D$7*gal_per_barrel*10^6</f>
        <v>5810700000000</v>
      </c>
    </row>
    <row r="13" spans="1:28" x14ac:dyDescent="0.25">
      <c r="A13" t="s">
        <v>311</v>
      </c>
      <c r="B13">
        <f>'GREET1 Fuel_Specs'!$D$7*gal_per_barrel*10^6</f>
        <v>5810700000000</v>
      </c>
      <c r="C13">
        <f>'GREET1 Fuel_Specs'!$D$7*gal_per_barrel*10^6</f>
        <v>5810700000000</v>
      </c>
      <c r="D13">
        <f>'GREET1 Fuel_Specs'!$D$7*gal_per_barrel*10^6</f>
        <v>5810700000000</v>
      </c>
      <c r="E13">
        <f>'GREET1 Fuel_Specs'!$D$7*gal_per_barrel*10^6</f>
        <v>5810700000000</v>
      </c>
      <c r="F13">
        <f>'GREET1 Fuel_Specs'!$D$7*gal_per_barrel*10^6</f>
        <v>5810700000000</v>
      </c>
      <c r="G13">
        <f>'GREET1 Fuel_Specs'!$D$7*gal_per_barrel*10^6</f>
        <v>5810700000000</v>
      </c>
      <c r="H13">
        <f>'GREET1 Fuel_Specs'!$D$7*gal_per_barrel*10^6</f>
        <v>5810700000000</v>
      </c>
      <c r="I13">
        <f>'GREET1 Fuel_Specs'!$D$7*gal_per_barrel*10^6</f>
        <v>5810700000000</v>
      </c>
      <c r="J13">
        <f>'GREET1 Fuel_Specs'!$D$7*gal_per_barrel*10^6</f>
        <v>5810700000000</v>
      </c>
      <c r="K13">
        <f>'GREET1 Fuel_Specs'!$D$7*gal_per_barrel*10^6</f>
        <v>5810700000000</v>
      </c>
      <c r="L13">
        <f>'GREET1 Fuel_Specs'!$D$7*gal_per_barrel*10^6</f>
        <v>5810700000000</v>
      </c>
      <c r="M13">
        <f>'GREET1 Fuel_Specs'!$D$7*gal_per_barrel*10^6</f>
        <v>5810700000000</v>
      </c>
      <c r="N13">
        <f>'GREET1 Fuel_Specs'!$D$7*gal_per_barrel*10^6</f>
        <v>5810700000000</v>
      </c>
      <c r="O13">
        <f>'GREET1 Fuel_Specs'!$D$7*gal_per_barrel*10^6</f>
        <v>5810700000000</v>
      </c>
      <c r="P13">
        <f>'GREET1 Fuel_Specs'!$D$7*gal_per_barrel*10^6</f>
        <v>5810700000000</v>
      </c>
      <c r="Q13">
        <f>'GREET1 Fuel_Specs'!$D$7*gal_per_barrel*10^6</f>
        <v>5810700000000</v>
      </c>
      <c r="R13">
        <f>'GREET1 Fuel_Specs'!$D$7*gal_per_barrel*10^6</f>
        <v>5810700000000</v>
      </c>
      <c r="S13">
        <f>'GREET1 Fuel_Specs'!$D$7*gal_per_barrel*10^6</f>
        <v>5810700000000</v>
      </c>
      <c r="T13">
        <f>'GREET1 Fuel_Specs'!$D$7*gal_per_barrel*10^6</f>
        <v>5810700000000</v>
      </c>
      <c r="U13">
        <f>'GREET1 Fuel_Specs'!$D$7*gal_per_barrel*10^6</f>
        <v>5810700000000</v>
      </c>
      <c r="V13">
        <f>'GREET1 Fuel_Specs'!$D$7*gal_per_barrel*10^6</f>
        <v>5810700000000</v>
      </c>
      <c r="W13">
        <f>'GREET1 Fuel_Specs'!$D$7*gal_per_barrel*10^6</f>
        <v>5810700000000</v>
      </c>
      <c r="X13">
        <f>'GREET1 Fuel_Specs'!$D$7*gal_per_barrel*10^6</f>
        <v>5810700000000</v>
      </c>
      <c r="Y13">
        <f>'GREET1 Fuel_Specs'!$D$7*gal_per_barrel*10^6</f>
        <v>5810700000000</v>
      </c>
      <c r="Z13">
        <f>'GREET1 Fuel_Specs'!$D$7*gal_per_barrel*10^6</f>
        <v>5810700000000</v>
      </c>
      <c r="AA13">
        <f>'GREET1 Fuel_Specs'!$D$7*gal_per_barrel*10^6</f>
        <v>5810700000000</v>
      </c>
      <c r="AB13">
        <f>'GREET1 Fuel_Specs'!$D$7*gal_per_barrel*10^6</f>
        <v>5810700000000</v>
      </c>
    </row>
    <row r="14" spans="1:28" x14ac:dyDescent="0.25">
      <c r="A14" t="s">
        <v>353</v>
      </c>
      <c r="B14">
        <f>'GREET1 Fuel_Specs'!$D$7*gal_per_barrel*10^6</f>
        <v>5810700000000</v>
      </c>
      <c r="C14">
        <f>'GREET1 Fuel_Specs'!$D$7*gal_per_barrel*10^6</f>
        <v>5810700000000</v>
      </c>
      <c r="D14">
        <f>'GREET1 Fuel_Specs'!$D$7*gal_per_barrel*10^6</f>
        <v>5810700000000</v>
      </c>
      <c r="E14">
        <f>'GREET1 Fuel_Specs'!$D$7*gal_per_barrel*10^6</f>
        <v>5810700000000</v>
      </c>
      <c r="F14">
        <f>'GREET1 Fuel_Specs'!$D$7*gal_per_barrel*10^6</f>
        <v>5810700000000</v>
      </c>
      <c r="G14">
        <f>'GREET1 Fuel_Specs'!$D$7*gal_per_barrel*10^6</f>
        <v>5810700000000</v>
      </c>
      <c r="H14">
        <f>'GREET1 Fuel_Specs'!$D$7*gal_per_barrel*10^6</f>
        <v>5810700000000</v>
      </c>
      <c r="I14">
        <f>'GREET1 Fuel_Specs'!$D$7*gal_per_barrel*10^6</f>
        <v>5810700000000</v>
      </c>
      <c r="J14">
        <f>'GREET1 Fuel_Specs'!$D$7*gal_per_barrel*10^6</f>
        <v>5810700000000</v>
      </c>
      <c r="K14">
        <f>'GREET1 Fuel_Specs'!$D$7*gal_per_barrel*10^6</f>
        <v>5810700000000</v>
      </c>
      <c r="L14">
        <f>'GREET1 Fuel_Specs'!$D$7*gal_per_barrel*10^6</f>
        <v>5810700000000</v>
      </c>
      <c r="M14">
        <f>'GREET1 Fuel_Specs'!$D$7*gal_per_barrel*10^6</f>
        <v>5810700000000</v>
      </c>
      <c r="N14">
        <f>'GREET1 Fuel_Specs'!$D$7*gal_per_barrel*10^6</f>
        <v>5810700000000</v>
      </c>
      <c r="O14">
        <f>'GREET1 Fuel_Specs'!$D$7*gal_per_barrel*10^6</f>
        <v>5810700000000</v>
      </c>
      <c r="P14">
        <f>'GREET1 Fuel_Specs'!$D$7*gal_per_barrel*10^6</f>
        <v>5810700000000</v>
      </c>
      <c r="Q14">
        <f>'GREET1 Fuel_Specs'!$D$7*gal_per_barrel*10^6</f>
        <v>5810700000000</v>
      </c>
      <c r="R14">
        <f>'GREET1 Fuel_Specs'!$D$7*gal_per_barrel*10^6</f>
        <v>5810700000000</v>
      </c>
      <c r="S14">
        <f>'GREET1 Fuel_Specs'!$D$7*gal_per_barrel*10^6</f>
        <v>5810700000000</v>
      </c>
      <c r="T14">
        <f>'GREET1 Fuel_Specs'!$D$7*gal_per_barrel*10^6</f>
        <v>5810700000000</v>
      </c>
      <c r="U14">
        <f>'GREET1 Fuel_Specs'!$D$7*gal_per_barrel*10^6</f>
        <v>5810700000000</v>
      </c>
      <c r="V14">
        <f>'GREET1 Fuel_Specs'!$D$7*gal_per_barrel*10^6</f>
        <v>5810700000000</v>
      </c>
      <c r="W14">
        <f>'GREET1 Fuel_Specs'!$D$7*gal_per_barrel*10^6</f>
        <v>5810700000000</v>
      </c>
      <c r="X14">
        <f>'GREET1 Fuel_Specs'!$D$7*gal_per_barrel*10^6</f>
        <v>5810700000000</v>
      </c>
      <c r="Y14">
        <f>'GREET1 Fuel_Specs'!$D$7*gal_per_barrel*10^6</f>
        <v>5810700000000</v>
      </c>
      <c r="Z14">
        <f>'GREET1 Fuel_Specs'!$D$7*gal_per_barrel*10^6</f>
        <v>5810700000000</v>
      </c>
      <c r="AA14">
        <f>'GREET1 Fuel_Specs'!$D$7*gal_per_barrel*10^6</f>
        <v>5810700000000</v>
      </c>
      <c r="AB14">
        <f>'GREET1 Fuel_Specs'!$D$7*gal_per_barrel*10^6</f>
        <v>5810700000000</v>
      </c>
    </row>
    <row r="15" spans="1:28" x14ac:dyDescent="0.25">
      <c r="A15" t="s">
        <v>329</v>
      </c>
      <c r="B15">
        <f>About!$A$76*10^6</f>
        <v>3412140000000</v>
      </c>
      <c r="C15">
        <f>About!$A$76*10^6</f>
        <v>3412140000000</v>
      </c>
      <c r="D15">
        <f>About!$A$76*10^6</f>
        <v>3412140000000</v>
      </c>
      <c r="E15">
        <f>About!$A$76*10^6</f>
        <v>3412140000000</v>
      </c>
      <c r="F15">
        <f>About!$A$76*10^6</f>
        <v>3412140000000</v>
      </c>
      <c r="G15">
        <f>About!$A$76*10^6</f>
        <v>3412140000000</v>
      </c>
      <c r="H15">
        <f>About!$A$76*10^6</f>
        <v>3412140000000</v>
      </c>
      <c r="I15">
        <f>About!$A$76*10^6</f>
        <v>3412140000000</v>
      </c>
      <c r="J15">
        <f>About!$A$76*10^6</f>
        <v>3412140000000</v>
      </c>
      <c r="K15">
        <f>About!$A$76*10^6</f>
        <v>3412140000000</v>
      </c>
      <c r="L15">
        <f>About!$A$76*10^6</f>
        <v>3412140000000</v>
      </c>
      <c r="M15">
        <f>About!$A$76*10^6</f>
        <v>3412140000000</v>
      </c>
      <c r="N15">
        <f>About!$A$76*10^6</f>
        <v>3412140000000</v>
      </c>
      <c r="O15">
        <f>About!$A$76*10^6</f>
        <v>3412140000000</v>
      </c>
      <c r="P15">
        <f>About!$A$76*10^6</f>
        <v>3412140000000</v>
      </c>
      <c r="Q15">
        <f>About!$A$76*10^6</f>
        <v>3412140000000</v>
      </c>
      <c r="R15">
        <f>About!$A$76*10^6</f>
        <v>3412140000000</v>
      </c>
      <c r="S15">
        <f>About!$A$76*10^6</f>
        <v>3412140000000</v>
      </c>
      <c r="T15">
        <f>About!$A$76*10^6</f>
        <v>3412140000000</v>
      </c>
      <c r="U15">
        <f>About!$A$76*10^6</f>
        <v>3412140000000</v>
      </c>
      <c r="V15">
        <f>About!$A$76*10^6</f>
        <v>3412140000000</v>
      </c>
      <c r="W15">
        <f>About!$A$76*10^6</f>
        <v>3412140000000</v>
      </c>
      <c r="X15">
        <f>About!$A$76*10^6</f>
        <v>3412140000000</v>
      </c>
      <c r="Y15">
        <f>About!$A$76*10^6</f>
        <v>3412140000000</v>
      </c>
      <c r="Z15">
        <f>About!$A$76*10^6</f>
        <v>3412140000000</v>
      </c>
      <c r="AA15">
        <f>About!$A$76*10^6</f>
        <v>3412140000000</v>
      </c>
      <c r="AB15">
        <f>About!$A$76*10^6</f>
        <v>3412140000000</v>
      </c>
    </row>
    <row r="16" spans="1:28" x14ac:dyDescent="0.25">
      <c r="A16" t="s">
        <v>326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x14ac:dyDescent="0.25">
      <c r="A17" t="s">
        <v>312</v>
      </c>
      <c r="B17">
        <f>'GREET1 Fuel_Specs'!$D$69*10^6</f>
        <v>12992301971719.6</v>
      </c>
      <c r="C17">
        <f>'GREET1 Fuel_Specs'!$D$69*10^6</f>
        <v>12992301971719.6</v>
      </c>
      <c r="D17">
        <f>'GREET1 Fuel_Specs'!$D$69*10^6</f>
        <v>12992301971719.6</v>
      </c>
      <c r="E17">
        <f>'GREET1 Fuel_Specs'!$D$69*10^6</f>
        <v>12992301971719.6</v>
      </c>
      <c r="F17">
        <f>'GREET1 Fuel_Specs'!$D$69*10^6</f>
        <v>12992301971719.6</v>
      </c>
      <c r="G17">
        <f>'GREET1 Fuel_Specs'!$D$69*10^6</f>
        <v>12992301971719.6</v>
      </c>
      <c r="H17">
        <f>'GREET1 Fuel_Specs'!$D$69*10^6</f>
        <v>12992301971719.6</v>
      </c>
      <c r="I17">
        <f>'GREET1 Fuel_Specs'!$D$69*10^6</f>
        <v>12992301971719.6</v>
      </c>
      <c r="J17">
        <f>'GREET1 Fuel_Specs'!$D$69*10^6</f>
        <v>12992301971719.6</v>
      </c>
      <c r="K17">
        <f>'GREET1 Fuel_Specs'!$D$69*10^6</f>
        <v>12992301971719.6</v>
      </c>
      <c r="L17">
        <f>'GREET1 Fuel_Specs'!$D$69*10^6</f>
        <v>12992301971719.6</v>
      </c>
      <c r="M17">
        <f>'GREET1 Fuel_Specs'!$D$69*10^6</f>
        <v>12992301971719.6</v>
      </c>
      <c r="N17">
        <f>'GREET1 Fuel_Specs'!$D$69*10^6</f>
        <v>12992301971719.6</v>
      </c>
      <c r="O17">
        <f>'GREET1 Fuel_Specs'!$D$69*10^6</f>
        <v>12992301971719.6</v>
      </c>
      <c r="P17">
        <f>'GREET1 Fuel_Specs'!$D$69*10^6</f>
        <v>12992301971719.6</v>
      </c>
      <c r="Q17">
        <f>'GREET1 Fuel_Specs'!$D$69*10^6</f>
        <v>12992301971719.6</v>
      </c>
      <c r="R17">
        <f>'GREET1 Fuel_Specs'!$D$69*10^6</f>
        <v>12992301971719.6</v>
      </c>
      <c r="S17">
        <f>'GREET1 Fuel_Specs'!$D$69*10^6</f>
        <v>12992301971719.6</v>
      </c>
      <c r="T17">
        <f>'GREET1 Fuel_Specs'!$D$69*10^6</f>
        <v>12992301971719.6</v>
      </c>
      <c r="U17">
        <f>'GREET1 Fuel_Specs'!$D$69*10^6</f>
        <v>12992301971719.6</v>
      </c>
      <c r="V17">
        <f>'GREET1 Fuel_Specs'!$D$69*10^6</f>
        <v>12992301971719.6</v>
      </c>
      <c r="W17">
        <f>'GREET1 Fuel_Specs'!$D$69*10^6</f>
        <v>12992301971719.6</v>
      </c>
      <c r="X17">
        <f>'GREET1 Fuel_Specs'!$D$69*10^6</f>
        <v>12992301971719.6</v>
      </c>
      <c r="Y17">
        <f>'GREET1 Fuel_Specs'!$D$69*10^6</f>
        <v>12992301971719.6</v>
      </c>
      <c r="Z17">
        <f>'GREET1 Fuel_Specs'!$D$69*10^6</f>
        <v>12992301971719.6</v>
      </c>
      <c r="AA17">
        <f>'GREET1 Fuel_Specs'!$D$69*10^6</f>
        <v>12992301971719.6</v>
      </c>
      <c r="AB17">
        <f>'GREET1 Fuel_Specs'!$D$69*10^6</f>
        <v>12992301971719.6</v>
      </c>
    </row>
    <row r="18" spans="1:28" x14ac:dyDescent="0.25">
      <c r="A18" t="s">
        <v>349</v>
      </c>
      <c r="B18">
        <f>'GREET1 Fuel_Specs'!$D$7*gal_per_barrel*10^6</f>
        <v>5810700000000</v>
      </c>
      <c r="C18">
        <f>'GREET1 Fuel_Specs'!$D$7*gal_per_barrel*10^6</f>
        <v>5810700000000</v>
      </c>
      <c r="D18">
        <f>'GREET1 Fuel_Specs'!$D$7*gal_per_barrel*10^6</f>
        <v>5810700000000</v>
      </c>
      <c r="E18">
        <f>'GREET1 Fuel_Specs'!$D$7*gal_per_barrel*10^6</f>
        <v>5810700000000</v>
      </c>
      <c r="F18">
        <f>'GREET1 Fuel_Specs'!$D$7*gal_per_barrel*10^6</f>
        <v>5810700000000</v>
      </c>
      <c r="G18">
        <f>'GREET1 Fuel_Specs'!$D$7*gal_per_barrel*10^6</f>
        <v>5810700000000</v>
      </c>
      <c r="H18">
        <f>'GREET1 Fuel_Specs'!$D$7*gal_per_barrel*10^6</f>
        <v>5810700000000</v>
      </c>
      <c r="I18">
        <f>'GREET1 Fuel_Specs'!$D$7*gal_per_barrel*10^6</f>
        <v>5810700000000</v>
      </c>
      <c r="J18">
        <f>'GREET1 Fuel_Specs'!$D$7*gal_per_barrel*10^6</f>
        <v>5810700000000</v>
      </c>
      <c r="K18">
        <f>'GREET1 Fuel_Specs'!$D$7*gal_per_barrel*10^6</f>
        <v>5810700000000</v>
      </c>
      <c r="L18">
        <f>'GREET1 Fuel_Specs'!$D$7*gal_per_barrel*10^6</f>
        <v>5810700000000</v>
      </c>
      <c r="M18">
        <f>'GREET1 Fuel_Specs'!$D$7*gal_per_barrel*10^6</f>
        <v>5810700000000</v>
      </c>
      <c r="N18">
        <f>'GREET1 Fuel_Specs'!$D$7*gal_per_barrel*10^6</f>
        <v>5810700000000</v>
      </c>
      <c r="O18">
        <f>'GREET1 Fuel_Specs'!$D$7*gal_per_barrel*10^6</f>
        <v>5810700000000</v>
      </c>
      <c r="P18">
        <f>'GREET1 Fuel_Specs'!$D$7*gal_per_barrel*10^6</f>
        <v>5810700000000</v>
      </c>
      <c r="Q18">
        <f>'GREET1 Fuel_Specs'!$D$7*gal_per_barrel*10^6</f>
        <v>5810700000000</v>
      </c>
      <c r="R18">
        <f>'GREET1 Fuel_Specs'!$D$7*gal_per_barrel*10^6</f>
        <v>5810700000000</v>
      </c>
      <c r="S18">
        <f>'GREET1 Fuel_Specs'!$D$7*gal_per_barrel*10^6</f>
        <v>5810700000000</v>
      </c>
      <c r="T18">
        <f>'GREET1 Fuel_Specs'!$D$7*gal_per_barrel*10^6</f>
        <v>5810700000000</v>
      </c>
      <c r="U18">
        <f>'GREET1 Fuel_Specs'!$D$7*gal_per_barrel*10^6</f>
        <v>5810700000000</v>
      </c>
      <c r="V18">
        <f>'GREET1 Fuel_Specs'!$D$7*gal_per_barrel*10^6</f>
        <v>5810700000000</v>
      </c>
      <c r="W18">
        <f>'GREET1 Fuel_Specs'!$D$7*gal_per_barrel*10^6</f>
        <v>5810700000000</v>
      </c>
      <c r="X18">
        <f>'GREET1 Fuel_Specs'!$D$7*gal_per_barrel*10^6</f>
        <v>5810700000000</v>
      </c>
      <c r="Y18">
        <f>'GREET1 Fuel_Specs'!$D$7*gal_per_barrel*10^6</f>
        <v>5810700000000</v>
      </c>
      <c r="Z18">
        <f>'GREET1 Fuel_Specs'!$D$7*gal_per_barrel*10^6</f>
        <v>5810700000000</v>
      </c>
      <c r="AA18">
        <f>'GREET1 Fuel_Specs'!$D$7*gal_per_barrel*10^6</f>
        <v>5810700000000</v>
      </c>
      <c r="AB18">
        <f>'GREET1 Fuel_Specs'!$D$7*gal_per_barrel*10^6</f>
        <v>5810700000000</v>
      </c>
    </row>
    <row r="19" spans="1:28" x14ac:dyDescent="0.25">
      <c r="A19" t="s">
        <v>350</v>
      </c>
      <c r="B19">
        <f>'GREET1 Fuel_Specs'!$D$7*gal_per_barrel*10^6</f>
        <v>5810700000000</v>
      </c>
      <c r="C19">
        <f>'GREET1 Fuel_Specs'!$D$7*gal_per_barrel*10^6</f>
        <v>5810700000000</v>
      </c>
      <c r="D19">
        <f>'GREET1 Fuel_Specs'!$D$7*gal_per_barrel*10^6</f>
        <v>5810700000000</v>
      </c>
      <c r="E19">
        <f>'GREET1 Fuel_Specs'!$D$7*gal_per_barrel*10^6</f>
        <v>5810700000000</v>
      </c>
      <c r="F19">
        <f>'GREET1 Fuel_Specs'!$D$7*gal_per_barrel*10^6</f>
        <v>5810700000000</v>
      </c>
      <c r="G19">
        <f>'GREET1 Fuel_Specs'!$D$7*gal_per_barrel*10^6</f>
        <v>5810700000000</v>
      </c>
      <c r="H19">
        <f>'GREET1 Fuel_Specs'!$D$7*gal_per_barrel*10^6</f>
        <v>5810700000000</v>
      </c>
      <c r="I19">
        <f>'GREET1 Fuel_Specs'!$D$7*gal_per_barrel*10^6</f>
        <v>5810700000000</v>
      </c>
      <c r="J19">
        <f>'GREET1 Fuel_Specs'!$D$7*gal_per_barrel*10^6</f>
        <v>5810700000000</v>
      </c>
      <c r="K19">
        <f>'GREET1 Fuel_Specs'!$D$7*gal_per_barrel*10^6</f>
        <v>5810700000000</v>
      </c>
      <c r="L19">
        <f>'GREET1 Fuel_Specs'!$D$7*gal_per_barrel*10^6</f>
        <v>5810700000000</v>
      </c>
      <c r="M19">
        <f>'GREET1 Fuel_Specs'!$D$7*gal_per_barrel*10^6</f>
        <v>5810700000000</v>
      </c>
      <c r="N19">
        <f>'GREET1 Fuel_Specs'!$D$7*gal_per_barrel*10^6</f>
        <v>5810700000000</v>
      </c>
      <c r="O19">
        <f>'GREET1 Fuel_Specs'!$D$7*gal_per_barrel*10^6</f>
        <v>5810700000000</v>
      </c>
      <c r="P19">
        <f>'GREET1 Fuel_Specs'!$D$7*gal_per_barrel*10^6</f>
        <v>5810700000000</v>
      </c>
      <c r="Q19">
        <f>'GREET1 Fuel_Specs'!$D$7*gal_per_barrel*10^6</f>
        <v>5810700000000</v>
      </c>
      <c r="R19">
        <f>'GREET1 Fuel_Specs'!$D$7*gal_per_barrel*10^6</f>
        <v>5810700000000</v>
      </c>
      <c r="S19">
        <f>'GREET1 Fuel_Specs'!$D$7*gal_per_barrel*10^6</f>
        <v>5810700000000</v>
      </c>
      <c r="T19">
        <f>'GREET1 Fuel_Specs'!$D$7*gal_per_barrel*10^6</f>
        <v>5810700000000</v>
      </c>
      <c r="U19">
        <f>'GREET1 Fuel_Specs'!$D$7*gal_per_barrel*10^6</f>
        <v>5810700000000</v>
      </c>
      <c r="V19">
        <f>'GREET1 Fuel_Specs'!$D$7*gal_per_barrel*10^6</f>
        <v>5810700000000</v>
      </c>
      <c r="W19">
        <f>'GREET1 Fuel_Specs'!$D$7*gal_per_barrel*10^6</f>
        <v>5810700000000</v>
      </c>
      <c r="X19">
        <f>'GREET1 Fuel_Specs'!$D$7*gal_per_barrel*10^6</f>
        <v>5810700000000</v>
      </c>
      <c r="Y19">
        <f>'GREET1 Fuel_Specs'!$D$7*gal_per_barrel*10^6</f>
        <v>5810700000000</v>
      </c>
      <c r="Z19">
        <f>'GREET1 Fuel_Specs'!$D$7*gal_per_barrel*10^6</f>
        <v>5810700000000</v>
      </c>
      <c r="AA19">
        <f>'GREET1 Fuel_Specs'!$D$7*gal_per_barrel*10^6</f>
        <v>5810700000000</v>
      </c>
      <c r="AB19">
        <f>'GREET1 Fuel_Specs'!$D$7*gal_per_barrel*10^6</f>
        <v>5810700000000</v>
      </c>
    </row>
    <row r="20" spans="1:28" x14ac:dyDescent="0.25">
      <c r="A20" t="s">
        <v>351</v>
      </c>
      <c r="B20" s="4">
        <f>'GREET1 Fuel_Specs'!$D$36*10^6</f>
        <v>91410000000</v>
      </c>
      <c r="C20" s="4">
        <f>'GREET1 Fuel_Specs'!$D$36*10^6</f>
        <v>91410000000</v>
      </c>
      <c r="D20" s="4">
        <f>'GREET1 Fuel_Specs'!$D$36*10^6</f>
        <v>91410000000</v>
      </c>
      <c r="E20" s="4">
        <f>'GREET1 Fuel_Specs'!$D$36*10^6</f>
        <v>91410000000</v>
      </c>
      <c r="F20" s="4">
        <f>'GREET1 Fuel_Specs'!$D$36*10^6</f>
        <v>91410000000</v>
      </c>
      <c r="G20" s="4">
        <f>'GREET1 Fuel_Specs'!$D$36*10^6</f>
        <v>91410000000</v>
      </c>
      <c r="H20" s="4">
        <f>'GREET1 Fuel_Specs'!$D$36*10^6</f>
        <v>91410000000</v>
      </c>
      <c r="I20" s="4">
        <f>'GREET1 Fuel_Specs'!$D$36*10^6</f>
        <v>91410000000</v>
      </c>
      <c r="J20" s="4">
        <f>'GREET1 Fuel_Specs'!$D$36*10^6</f>
        <v>91410000000</v>
      </c>
      <c r="K20" s="4">
        <f>'GREET1 Fuel_Specs'!$D$36*10^6</f>
        <v>91410000000</v>
      </c>
      <c r="L20" s="4">
        <f>'GREET1 Fuel_Specs'!$D$36*10^6</f>
        <v>91410000000</v>
      </c>
      <c r="M20" s="4">
        <f>'GREET1 Fuel_Specs'!$D$36*10^6</f>
        <v>91410000000</v>
      </c>
      <c r="N20" s="4">
        <f>'GREET1 Fuel_Specs'!$D$36*10^6</f>
        <v>91410000000</v>
      </c>
      <c r="O20" s="4">
        <f>'GREET1 Fuel_Specs'!$D$36*10^6</f>
        <v>91410000000</v>
      </c>
      <c r="P20" s="4">
        <f>'GREET1 Fuel_Specs'!$D$36*10^6</f>
        <v>91410000000</v>
      </c>
      <c r="Q20" s="4">
        <f>'GREET1 Fuel_Specs'!$D$36*10^6</f>
        <v>91410000000</v>
      </c>
      <c r="R20" s="4">
        <f>'GREET1 Fuel_Specs'!$D$36*10^6</f>
        <v>91410000000</v>
      </c>
      <c r="S20" s="4">
        <f>'GREET1 Fuel_Specs'!$D$36*10^6</f>
        <v>91410000000</v>
      </c>
      <c r="T20" s="4">
        <f>'GREET1 Fuel_Specs'!$D$36*10^6</f>
        <v>91410000000</v>
      </c>
      <c r="U20" s="4">
        <f>'GREET1 Fuel_Specs'!$D$36*10^6</f>
        <v>91410000000</v>
      </c>
      <c r="V20" s="4">
        <f>'GREET1 Fuel_Specs'!$D$36*10^6</f>
        <v>91410000000</v>
      </c>
      <c r="W20" s="4">
        <f>'GREET1 Fuel_Specs'!$D$36*10^6</f>
        <v>91410000000</v>
      </c>
      <c r="X20" s="4">
        <f>'GREET1 Fuel_Specs'!$D$36*10^6</f>
        <v>91410000000</v>
      </c>
      <c r="Y20" s="4">
        <f>'GREET1 Fuel_Specs'!$D$36*10^6</f>
        <v>91410000000</v>
      </c>
      <c r="Z20" s="4">
        <f>'GREET1 Fuel_Specs'!$D$36*10^6</f>
        <v>91410000000</v>
      </c>
      <c r="AA20" s="4">
        <f>'GREET1 Fuel_Specs'!$D$36*10^6</f>
        <v>91410000000</v>
      </c>
      <c r="AB20" s="4">
        <f>'GREET1 Fuel_Specs'!$D$36*10^6</f>
        <v>91410000000</v>
      </c>
    </row>
    <row r="21" spans="1:28" x14ac:dyDescent="0.25">
      <c r="A21" t="s">
        <v>352</v>
      </c>
      <c r="B21">
        <f>'GREET1 Fuel_Specs'!$D$90*10^6</f>
        <v>13583444584264.561</v>
      </c>
      <c r="C21">
        <f>'GREET1 Fuel_Specs'!$D$90*10^6</f>
        <v>13583444584264.561</v>
      </c>
      <c r="D21">
        <f>'GREET1 Fuel_Specs'!$D$90*10^6</f>
        <v>13583444584264.561</v>
      </c>
      <c r="E21">
        <f>'GREET1 Fuel_Specs'!$D$90*10^6</f>
        <v>13583444584264.561</v>
      </c>
      <c r="F21">
        <f>'GREET1 Fuel_Specs'!$D$90*10^6</f>
        <v>13583444584264.561</v>
      </c>
      <c r="G21">
        <f>'GREET1 Fuel_Specs'!$D$90*10^6</f>
        <v>13583444584264.561</v>
      </c>
      <c r="H21">
        <f>'GREET1 Fuel_Specs'!$D$90*10^6</f>
        <v>13583444584264.561</v>
      </c>
      <c r="I21">
        <f>'GREET1 Fuel_Specs'!$D$90*10^6</f>
        <v>13583444584264.561</v>
      </c>
      <c r="J21">
        <f>'GREET1 Fuel_Specs'!$D$90*10^6</f>
        <v>13583444584264.561</v>
      </c>
      <c r="K21">
        <f>'GREET1 Fuel_Specs'!$D$90*10^6</f>
        <v>13583444584264.561</v>
      </c>
      <c r="L21">
        <f>'GREET1 Fuel_Specs'!$D$90*10^6</f>
        <v>13583444584264.561</v>
      </c>
      <c r="M21">
        <f>'GREET1 Fuel_Specs'!$D$90*10^6</f>
        <v>13583444584264.561</v>
      </c>
      <c r="N21">
        <f>'GREET1 Fuel_Specs'!$D$90*10^6</f>
        <v>13583444584264.561</v>
      </c>
      <c r="O21">
        <f>'GREET1 Fuel_Specs'!$D$90*10^6</f>
        <v>13583444584264.561</v>
      </c>
      <c r="P21">
        <f>'GREET1 Fuel_Specs'!$D$90*10^6</f>
        <v>13583444584264.561</v>
      </c>
      <c r="Q21">
        <f>'GREET1 Fuel_Specs'!$D$90*10^6</f>
        <v>13583444584264.561</v>
      </c>
      <c r="R21">
        <f>'GREET1 Fuel_Specs'!$D$90*10^6</f>
        <v>13583444584264.561</v>
      </c>
      <c r="S21">
        <f>'GREET1 Fuel_Specs'!$D$90*10^6</f>
        <v>13583444584264.561</v>
      </c>
      <c r="T21">
        <f>'GREET1 Fuel_Specs'!$D$90*10^6</f>
        <v>13583444584264.561</v>
      </c>
      <c r="U21">
        <f>'GREET1 Fuel_Specs'!$D$90*10^6</f>
        <v>13583444584264.561</v>
      </c>
      <c r="V21">
        <f>'GREET1 Fuel_Specs'!$D$90*10^6</f>
        <v>13583444584264.561</v>
      </c>
      <c r="W21">
        <f>'GREET1 Fuel_Specs'!$D$90*10^6</f>
        <v>13583444584264.561</v>
      </c>
      <c r="X21">
        <f>'GREET1 Fuel_Specs'!$D$90*10^6</f>
        <v>13583444584264.561</v>
      </c>
      <c r="Y21">
        <f>'GREET1 Fuel_Specs'!$D$90*10^6</f>
        <v>13583444584264.561</v>
      </c>
      <c r="Z21">
        <f>'GREET1 Fuel_Specs'!$D$90*10^6</f>
        <v>13583444584264.561</v>
      </c>
      <c r="AA21">
        <f>'GREET1 Fuel_Specs'!$D$90*10^6</f>
        <v>13583444584264.561</v>
      </c>
      <c r="AB21">
        <f>'GREET1 Fuel_Specs'!$D$90*10^6</f>
        <v>13583444584264.561</v>
      </c>
    </row>
    <row r="22" spans="1:28" x14ac:dyDescent="0.25">
      <c r="A22" t="s">
        <v>348</v>
      </c>
      <c r="B22" s="165">
        <f>'GREET1 Fuel_Specs'!$D$62/'GREET1 Fuel_Specs'!$E$62*10^9</f>
        <v>134509803921.56865</v>
      </c>
      <c r="C22" s="165">
        <f>'GREET1 Fuel_Specs'!$D$62/'GREET1 Fuel_Specs'!$E$62*10^9</f>
        <v>134509803921.56865</v>
      </c>
      <c r="D22" s="165">
        <f>'GREET1 Fuel_Specs'!$D$62/'GREET1 Fuel_Specs'!$E$62*10^9</f>
        <v>134509803921.56865</v>
      </c>
      <c r="E22" s="165">
        <f>'GREET1 Fuel_Specs'!$D$62/'GREET1 Fuel_Specs'!$E$62*10^9</f>
        <v>134509803921.56865</v>
      </c>
      <c r="F22" s="165">
        <f>'GREET1 Fuel_Specs'!$D$62/'GREET1 Fuel_Specs'!$E$62*10^9</f>
        <v>134509803921.56865</v>
      </c>
      <c r="G22" s="165">
        <f>'GREET1 Fuel_Specs'!$D$62/'GREET1 Fuel_Specs'!$E$62*10^9</f>
        <v>134509803921.56865</v>
      </c>
      <c r="H22" s="165">
        <f>'GREET1 Fuel_Specs'!$D$62/'GREET1 Fuel_Specs'!$E$62*10^9</f>
        <v>134509803921.56865</v>
      </c>
      <c r="I22" s="165">
        <f>'GREET1 Fuel_Specs'!$D$62/'GREET1 Fuel_Specs'!$E$62*10^9</f>
        <v>134509803921.56865</v>
      </c>
      <c r="J22" s="165">
        <f>'GREET1 Fuel_Specs'!$D$62/'GREET1 Fuel_Specs'!$E$62*10^9</f>
        <v>134509803921.56865</v>
      </c>
      <c r="K22" s="165">
        <f>'GREET1 Fuel_Specs'!$D$62/'GREET1 Fuel_Specs'!$E$62*10^9</f>
        <v>134509803921.56865</v>
      </c>
      <c r="L22" s="165">
        <f>'GREET1 Fuel_Specs'!$D$62/'GREET1 Fuel_Specs'!$E$62*10^9</f>
        <v>134509803921.56865</v>
      </c>
      <c r="M22" s="165">
        <f>'GREET1 Fuel_Specs'!$D$62/'GREET1 Fuel_Specs'!$E$62*10^9</f>
        <v>134509803921.56865</v>
      </c>
      <c r="N22" s="165">
        <f>'GREET1 Fuel_Specs'!$D$62/'GREET1 Fuel_Specs'!$E$62*10^9</f>
        <v>134509803921.56865</v>
      </c>
      <c r="O22" s="165">
        <f>'GREET1 Fuel_Specs'!$D$62/'GREET1 Fuel_Specs'!$E$62*10^9</f>
        <v>134509803921.56865</v>
      </c>
      <c r="P22" s="165">
        <f>'GREET1 Fuel_Specs'!$D$62/'GREET1 Fuel_Specs'!$E$62*10^9</f>
        <v>134509803921.56865</v>
      </c>
      <c r="Q22" s="165">
        <f>'GREET1 Fuel_Specs'!$D$62/'GREET1 Fuel_Specs'!$E$62*10^9</f>
        <v>134509803921.56865</v>
      </c>
      <c r="R22" s="165">
        <f>'GREET1 Fuel_Specs'!$D$62/'GREET1 Fuel_Specs'!$E$62*10^9</f>
        <v>134509803921.56865</v>
      </c>
      <c r="S22" s="165">
        <f>'GREET1 Fuel_Specs'!$D$62/'GREET1 Fuel_Specs'!$E$62*10^9</f>
        <v>134509803921.56865</v>
      </c>
      <c r="T22" s="165">
        <f>'GREET1 Fuel_Specs'!$D$62/'GREET1 Fuel_Specs'!$E$62*10^9</f>
        <v>134509803921.56865</v>
      </c>
      <c r="U22" s="165">
        <f>'GREET1 Fuel_Specs'!$D$62/'GREET1 Fuel_Specs'!$E$62*10^9</f>
        <v>134509803921.56865</v>
      </c>
      <c r="V22" s="165">
        <f>'GREET1 Fuel_Specs'!$D$62/'GREET1 Fuel_Specs'!$E$62*10^9</f>
        <v>134509803921.56865</v>
      </c>
      <c r="W22" s="165">
        <f>'GREET1 Fuel_Specs'!$D$62/'GREET1 Fuel_Specs'!$E$62*10^9</f>
        <v>134509803921.56865</v>
      </c>
      <c r="X22" s="165">
        <f>'GREET1 Fuel_Specs'!$D$62/'GREET1 Fuel_Specs'!$E$62*10^9</f>
        <v>134509803921.56865</v>
      </c>
      <c r="Y22" s="165">
        <f>'GREET1 Fuel_Specs'!$D$62/'GREET1 Fuel_Specs'!$E$62*10^9</f>
        <v>134509803921.56865</v>
      </c>
      <c r="Z22" s="165">
        <f>'GREET1 Fuel_Specs'!$D$62/'GREET1 Fuel_Specs'!$E$62*10^9</f>
        <v>134509803921.56865</v>
      </c>
      <c r="AA22" s="165">
        <f>'GREET1 Fuel_Specs'!$D$62/'GREET1 Fuel_Specs'!$E$62*10^9</f>
        <v>134509803921.56865</v>
      </c>
      <c r="AB22" s="165">
        <f>'GREET1 Fuel_Specs'!$D$62/'GREET1 Fuel_Specs'!$E$62*10^9</f>
        <v>134509803921.56865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AB22"/>
  <sheetViews>
    <sheetView workbookViewId="0">
      <selection activeCell="B10" sqref="B10"/>
    </sheetView>
  </sheetViews>
  <sheetFormatPr defaultColWidth="9.140625" defaultRowHeight="15" x14ac:dyDescent="0.25"/>
  <cols>
    <col min="1" max="1" width="30.85546875" customWidth="1"/>
    <col min="2" max="28" width="10" customWidth="1"/>
  </cols>
  <sheetData>
    <row r="1" spans="1:28" x14ac:dyDescent="0.25">
      <c r="A1" s="1" t="s">
        <v>377</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334</v>
      </c>
      <c r="B2">
        <f>About!$A$76</f>
        <v>3412140</v>
      </c>
      <c r="C2">
        <f>About!$A$76</f>
        <v>3412140</v>
      </c>
      <c r="D2">
        <f>About!$A$76</f>
        <v>3412140</v>
      </c>
      <c r="E2">
        <f>About!$A$76</f>
        <v>3412140</v>
      </c>
      <c r="F2">
        <f>About!$A$76</f>
        <v>3412140</v>
      </c>
      <c r="G2">
        <f>About!$A$76</f>
        <v>3412140</v>
      </c>
      <c r="H2">
        <f>About!$A$76</f>
        <v>3412140</v>
      </c>
      <c r="I2">
        <f>About!$A$76</f>
        <v>3412140</v>
      </c>
      <c r="J2">
        <f>About!$A$76</f>
        <v>3412140</v>
      </c>
      <c r="K2">
        <f>About!$A$76</f>
        <v>3412140</v>
      </c>
      <c r="L2">
        <f>About!$A$76</f>
        <v>3412140</v>
      </c>
      <c r="M2">
        <f>About!$A$76</f>
        <v>3412140</v>
      </c>
      <c r="N2">
        <f>About!$A$76</f>
        <v>3412140</v>
      </c>
      <c r="O2">
        <f>About!$A$76</f>
        <v>3412140</v>
      </c>
      <c r="P2">
        <f>About!$A$76</f>
        <v>3412140</v>
      </c>
      <c r="Q2">
        <f>About!$A$76</f>
        <v>3412140</v>
      </c>
      <c r="R2">
        <f>About!$A$76</f>
        <v>3412140</v>
      </c>
      <c r="S2">
        <f>About!$A$76</f>
        <v>3412140</v>
      </c>
      <c r="T2">
        <f>About!$A$76</f>
        <v>3412140</v>
      </c>
      <c r="U2">
        <f>About!$A$76</f>
        <v>3412140</v>
      </c>
      <c r="V2">
        <f>About!$A$76</f>
        <v>3412140</v>
      </c>
      <c r="W2">
        <f>About!$A$76</f>
        <v>3412140</v>
      </c>
      <c r="X2">
        <f>About!$A$76</f>
        <v>3412140</v>
      </c>
      <c r="Y2">
        <f>About!$A$76</f>
        <v>3412140</v>
      </c>
      <c r="Z2">
        <f>About!$A$76</f>
        <v>3412140</v>
      </c>
      <c r="AA2">
        <f>About!$A$76</f>
        <v>3412140</v>
      </c>
      <c r="AB2">
        <f>About!$A$76</f>
        <v>3412140</v>
      </c>
    </row>
    <row r="3" spans="1:28" x14ac:dyDescent="0.25">
      <c r="A3" t="s">
        <v>305</v>
      </c>
      <c r="B3">
        <f>'AEO Table 73'!C66*10^6</f>
        <v>19939119.338989262</v>
      </c>
      <c r="C3">
        <f>'AEO Table 73'!D66*10^6</f>
        <v>19975200.653076168</v>
      </c>
      <c r="D3">
        <f>'AEO Table 73'!E66*10^6</f>
        <v>19849454.879760738</v>
      </c>
      <c r="E3">
        <f>'AEO Table 73'!F66*10^6</f>
        <v>19910884.857177731</v>
      </c>
      <c r="F3">
        <f>'AEO Table 73'!G66*10^6</f>
        <v>19778657.913208012</v>
      </c>
      <c r="G3">
        <f>'AEO Table 73'!H66*10^6</f>
        <v>19802286.148071289</v>
      </c>
      <c r="H3">
        <f>'AEO Table 73'!I66*10^6</f>
        <v>20229091.644287109</v>
      </c>
      <c r="I3">
        <f>'AEO Table 73'!J66*10^6</f>
        <v>20271644.59228516</v>
      </c>
      <c r="J3">
        <f>'AEO Table 73'!K66*10^6</f>
        <v>22370437.622070309</v>
      </c>
      <c r="K3">
        <f>'AEO Table 73'!L66*10^6</f>
        <v>22339384.078979488</v>
      </c>
      <c r="L3">
        <f>'AEO Table 73'!M66*10^6</f>
        <v>22438327.789306641</v>
      </c>
      <c r="M3">
        <f>'AEO Table 73'!N66*10^6</f>
        <v>22461183.547973629</v>
      </c>
      <c r="N3">
        <f>'AEO Table 73'!O66*10^6</f>
        <v>22568223.95324707</v>
      </c>
      <c r="O3">
        <f>'AEO Table 73'!P66*10^6</f>
        <v>22653650.28381348</v>
      </c>
      <c r="P3">
        <f>'AEO Table 73'!Q66*10^6</f>
        <v>22789302.825927731</v>
      </c>
      <c r="Q3">
        <f>'AEO Table 73'!R66*10^6</f>
        <v>23709119.79675293</v>
      </c>
      <c r="R3">
        <f>'AEO Table 73'!S66*10^6</f>
        <v>23686365.12756348</v>
      </c>
      <c r="S3">
        <f>'AEO Table 73'!T66*10^6</f>
        <v>23656286.23962402</v>
      </c>
      <c r="T3">
        <f>'AEO Table 73'!U66*10^6</f>
        <v>23626243.59130859</v>
      </c>
      <c r="U3">
        <f>'AEO Table 73'!V66*10^6</f>
        <v>23601253.509521481</v>
      </c>
      <c r="V3">
        <f>'AEO Table 73'!W66*10^6</f>
        <v>23821788.787841801</v>
      </c>
      <c r="W3">
        <f>'AEO Table 73'!X66*10^6</f>
        <v>23805074.691772461</v>
      </c>
      <c r="X3">
        <f>'AEO Table 73'!Y66*10^6</f>
        <v>24641916.27502441</v>
      </c>
      <c r="Y3">
        <f>'AEO Table 73'!Z66*10^6</f>
        <v>24624423.980712891</v>
      </c>
      <c r="Z3">
        <f>'AEO Table 73'!AA66*10^6</f>
        <v>24585569.381713871</v>
      </c>
      <c r="AA3">
        <f>'AEO Table 73'!AB66*10^6</f>
        <v>24554073.333740231</v>
      </c>
      <c r="AB3">
        <f>'AEO Table 73'!AC66*10^6</f>
        <v>24554193.496704102</v>
      </c>
    </row>
    <row r="4" spans="1:28" x14ac:dyDescent="0.25">
      <c r="A4" t="s">
        <v>306</v>
      </c>
      <c r="B4">
        <f>'AEO Table 73'!C54*10^6</f>
        <v>1036000.01335144</v>
      </c>
      <c r="C4">
        <f>'AEO Table 73'!D54*10^6</f>
        <v>1036000.01335144</v>
      </c>
      <c r="D4">
        <f>'AEO Table 73'!E54*10^6</f>
        <v>1036000.01335144</v>
      </c>
      <c r="E4">
        <f>'AEO Table 73'!F54*10^6</f>
        <v>1036000.01335144</v>
      </c>
      <c r="F4">
        <f>'AEO Table 73'!G54*10^6</f>
        <v>1036000.01335144</v>
      </c>
      <c r="G4">
        <f>'AEO Table 73'!H54*10^6</f>
        <v>1036000.01335144</v>
      </c>
      <c r="H4">
        <f>'AEO Table 73'!I54*10^6</f>
        <v>1036000.01335144</v>
      </c>
      <c r="I4">
        <f>'AEO Table 73'!J54*10^6</f>
        <v>1036000.01335144</v>
      </c>
      <c r="J4">
        <f>'AEO Table 73'!K54*10^6</f>
        <v>1036000.01335144</v>
      </c>
      <c r="K4">
        <f>'AEO Table 73'!L54*10^6</f>
        <v>1036000.01335144</v>
      </c>
      <c r="L4">
        <f>'AEO Table 73'!M54*10^6</f>
        <v>1036000.01335144</v>
      </c>
      <c r="M4">
        <f>'AEO Table 73'!N54*10^6</f>
        <v>1036000.01335144</v>
      </c>
      <c r="N4">
        <f>'AEO Table 73'!O54*10^6</f>
        <v>1036000.01335144</v>
      </c>
      <c r="O4">
        <f>'AEO Table 73'!P54*10^6</f>
        <v>1036000.01335144</v>
      </c>
      <c r="P4">
        <f>'AEO Table 73'!Q54*10^6</f>
        <v>1036000.01335144</v>
      </c>
      <c r="Q4">
        <f>'AEO Table 73'!R54*10^6</f>
        <v>1036000.01335144</v>
      </c>
      <c r="R4">
        <f>'AEO Table 73'!S54*10^6</f>
        <v>1036000.01335144</v>
      </c>
      <c r="S4">
        <f>'AEO Table 73'!T54*10^6</f>
        <v>1036000.01335144</v>
      </c>
      <c r="T4">
        <f>'AEO Table 73'!U54*10^6</f>
        <v>1036000.01335144</v>
      </c>
      <c r="U4">
        <f>'AEO Table 73'!V54*10^6</f>
        <v>1036000.01335144</v>
      </c>
      <c r="V4">
        <f>'AEO Table 73'!W54*10^6</f>
        <v>1036000.01335144</v>
      </c>
      <c r="W4">
        <f>'AEO Table 73'!X54*10^6</f>
        <v>1036000.01335144</v>
      </c>
      <c r="X4">
        <f>'AEO Table 73'!Y54*10^6</f>
        <v>1036000.01335144</v>
      </c>
      <c r="Y4">
        <f>'AEO Table 73'!Z54*10^6</f>
        <v>1036000.01335144</v>
      </c>
      <c r="Z4">
        <f>'AEO Table 73'!AA54*10^6</f>
        <v>1036000.01335144</v>
      </c>
      <c r="AA4">
        <f>'AEO Table 73'!AB54*10^6</f>
        <v>1036000.01335144</v>
      </c>
      <c r="AB4">
        <f>'AEO Table 73'!AC54*10^6</f>
        <v>1036000.01335144</v>
      </c>
    </row>
    <row r="5" spans="1:28" x14ac:dyDescent="0.25">
      <c r="A5" t="s">
        <v>340</v>
      </c>
      <c r="B5">
        <f t="shared" ref="B5:AB5" si="0">10^6</f>
        <v>1000000</v>
      </c>
      <c r="C5">
        <f t="shared" si="0"/>
        <v>1000000</v>
      </c>
      <c r="D5">
        <f t="shared" si="0"/>
        <v>1000000</v>
      </c>
      <c r="E5">
        <f t="shared" si="0"/>
        <v>1000000</v>
      </c>
      <c r="F5">
        <f t="shared" si="0"/>
        <v>1000000</v>
      </c>
      <c r="G5">
        <f t="shared" si="0"/>
        <v>1000000</v>
      </c>
      <c r="H5">
        <f t="shared" si="0"/>
        <v>1000000</v>
      </c>
      <c r="I5">
        <f t="shared" si="0"/>
        <v>1000000</v>
      </c>
      <c r="J5">
        <f t="shared" si="0"/>
        <v>1000000</v>
      </c>
      <c r="K5">
        <f t="shared" si="0"/>
        <v>1000000</v>
      </c>
      <c r="L5">
        <f t="shared" si="0"/>
        <v>1000000</v>
      </c>
      <c r="M5">
        <f t="shared" si="0"/>
        <v>1000000</v>
      </c>
      <c r="N5">
        <f t="shared" si="0"/>
        <v>1000000</v>
      </c>
      <c r="O5">
        <f t="shared" si="0"/>
        <v>1000000</v>
      </c>
      <c r="P5">
        <f t="shared" si="0"/>
        <v>1000000</v>
      </c>
      <c r="Q5">
        <f t="shared" si="0"/>
        <v>1000000</v>
      </c>
      <c r="R5">
        <f t="shared" si="0"/>
        <v>1000000</v>
      </c>
      <c r="S5">
        <f t="shared" si="0"/>
        <v>1000000</v>
      </c>
      <c r="T5">
        <f t="shared" si="0"/>
        <v>1000000</v>
      </c>
      <c r="U5">
        <f t="shared" si="0"/>
        <v>1000000</v>
      </c>
      <c r="V5">
        <f t="shared" si="0"/>
        <v>1000000</v>
      </c>
      <c r="W5">
        <f t="shared" si="0"/>
        <v>1000000</v>
      </c>
      <c r="X5">
        <f t="shared" si="0"/>
        <v>1000000</v>
      </c>
      <c r="Y5">
        <f t="shared" si="0"/>
        <v>1000000</v>
      </c>
      <c r="Z5">
        <f t="shared" si="0"/>
        <v>1000000</v>
      </c>
      <c r="AA5">
        <f t="shared" si="0"/>
        <v>1000000</v>
      </c>
      <c r="AB5">
        <f t="shared" si="0"/>
        <v>1000000</v>
      </c>
    </row>
    <row r="6" spans="1:28" x14ac:dyDescent="0.25">
      <c r="A6" t="s">
        <v>323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25">
      <c r="A7" t="s">
        <v>324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25">
      <c r="A8" t="s">
        <v>325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25">
      <c r="A9" t="s">
        <v>307</v>
      </c>
      <c r="B9">
        <f>'GREET1 Fuel_Specs'!$D$81</f>
        <v>17906000</v>
      </c>
      <c r="C9">
        <f>'GREET1 Fuel_Specs'!$D$81</f>
        <v>17906000</v>
      </c>
      <c r="D9">
        <f>'GREET1 Fuel_Specs'!$D$81</f>
        <v>17906000</v>
      </c>
      <c r="E9">
        <f>'GREET1 Fuel_Specs'!$D$81</f>
        <v>17906000</v>
      </c>
      <c r="F9">
        <f>'GREET1 Fuel_Specs'!$D$81</f>
        <v>17906000</v>
      </c>
      <c r="G9">
        <f>'GREET1 Fuel_Specs'!$D$81</f>
        <v>17906000</v>
      </c>
      <c r="H9">
        <f>'GREET1 Fuel_Specs'!$D$81</f>
        <v>17906000</v>
      </c>
      <c r="I9">
        <f>'GREET1 Fuel_Specs'!$D$81</f>
        <v>17906000</v>
      </c>
      <c r="J9">
        <f>'GREET1 Fuel_Specs'!$D$81</f>
        <v>17906000</v>
      </c>
      <c r="K9">
        <f>'GREET1 Fuel_Specs'!$D$81</f>
        <v>17906000</v>
      </c>
      <c r="L9">
        <f>'GREET1 Fuel_Specs'!$D$81</f>
        <v>17906000</v>
      </c>
      <c r="M9">
        <f>'GREET1 Fuel_Specs'!$D$81</f>
        <v>17906000</v>
      </c>
      <c r="N9">
        <f>'GREET1 Fuel_Specs'!$D$81</f>
        <v>17906000</v>
      </c>
      <c r="O9">
        <f>'GREET1 Fuel_Specs'!$D$81</f>
        <v>17906000</v>
      </c>
      <c r="P9">
        <f>'GREET1 Fuel_Specs'!$D$81</f>
        <v>17906000</v>
      </c>
      <c r="Q9">
        <f>'GREET1 Fuel_Specs'!$D$81</f>
        <v>17906000</v>
      </c>
      <c r="R9">
        <f>'GREET1 Fuel_Specs'!$D$81</f>
        <v>17906000</v>
      </c>
      <c r="S9">
        <f>'GREET1 Fuel_Specs'!$D$81</f>
        <v>17906000</v>
      </c>
      <c r="T9">
        <f>'GREET1 Fuel_Specs'!$D$81</f>
        <v>17906000</v>
      </c>
      <c r="U9">
        <f>'GREET1 Fuel_Specs'!$D$81</f>
        <v>17906000</v>
      </c>
      <c r="V9">
        <f>'GREET1 Fuel_Specs'!$D$81</f>
        <v>17906000</v>
      </c>
      <c r="W9">
        <f>'GREET1 Fuel_Specs'!$D$81</f>
        <v>17906000</v>
      </c>
      <c r="X9">
        <f>'GREET1 Fuel_Specs'!$D$81</f>
        <v>17906000</v>
      </c>
      <c r="Y9">
        <f>'GREET1 Fuel_Specs'!$D$81</f>
        <v>17906000</v>
      </c>
      <c r="Z9">
        <f>'GREET1 Fuel_Specs'!$D$81</f>
        <v>17906000</v>
      </c>
      <c r="AA9">
        <f>'GREET1 Fuel_Specs'!$D$81</f>
        <v>17906000</v>
      </c>
      <c r="AB9">
        <f>'GREET1 Fuel_Specs'!$D$81</f>
        <v>17906000</v>
      </c>
    </row>
    <row r="10" spans="1:28" x14ac:dyDescent="0.25">
      <c r="A10" t="s">
        <v>308</v>
      </c>
      <c r="B10">
        <f>'AEO Table 73'!C32*10^6/gal_per_barrel</f>
        <v>120223.05670238676</v>
      </c>
      <c r="C10">
        <f>'AEO Table 73'!D32*10^6/gal_per_barrel</f>
        <v>120195.13902210054</v>
      </c>
      <c r="D10">
        <f>'AEO Table 73'!E32*10^6/gal_per_barrel</f>
        <v>120166.68773832775</v>
      </c>
      <c r="E10">
        <f>'AEO Table 73'!F32*10^6/gal_per_barrel</f>
        <v>120138.06615556992</v>
      </c>
      <c r="F10">
        <f>'AEO Table 73'!G32*10^6/gal_per_barrel</f>
        <v>120109.28562709263</v>
      </c>
      <c r="G10">
        <f>'AEO Table 73'!H32*10^6/gal_per_barrel</f>
        <v>120080.40291922433</v>
      </c>
      <c r="H10">
        <f>'AEO Table 73'!I32*10^6/gal_per_barrel</f>
        <v>120051.25908624555</v>
      </c>
      <c r="I10">
        <f>'AEO Table 73'!J32*10^6/gal_per_barrel</f>
        <v>120022.10390000117</v>
      </c>
      <c r="J10">
        <f>'AEO Table 73'!K32*10^6/gal_per_barrel</f>
        <v>119992.81247456868</v>
      </c>
      <c r="K10">
        <f>'AEO Table 73'!L32*10^6/gal_per_barrel</f>
        <v>119963.40751647949</v>
      </c>
      <c r="L10">
        <f>'AEO Table 73'!M32*10^6/gal_per_barrel</f>
        <v>119933.95714532761</v>
      </c>
      <c r="M10">
        <f>'AEO Table 73'!N32*10^6/gal_per_barrel</f>
        <v>119904.45000784738</v>
      </c>
      <c r="N10">
        <f>'AEO Table 73'!O32*10^6/gal_per_barrel</f>
        <v>119879.24575805664</v>
      </c>
      <c r="O10">
        <f>'AEO Table 73'!P32*10^6/gal_per_barrel</f>
        <v>119854.1209811256</v>
      </c>
      <c r="P10">
        <f>'AEO Table 73'!Q32*10^6/gal_per_barrel</f>
        <v>119829.89311218262</v>
      </c>
      <c r="Q10">
        <f>'AEO Table 73'!R32*10^6/gal_per_barrel</f>
        <v>119805.89230855308</v>
      </c>
      <c r="R10">
        <f>'AEO Table 73'!S32*10^6/gal_per_barrel</f>
        <v>119781.94827125187</v>
      </c>
      <c r="S10">
        <f>'AEO Table 73'!T32*10^6/gal_per_barrel</f>
        <v>119760.25218055362</v>
      </c>
      <c r="T10">
        <f>'AEO Table 73'!U32*10^6/gal_per_barrel</f>
        <v>119738.27225821359</v>
      </c>
      <c r="U10">
        <f>'AEO Table 73'!V32*10^6/gal_per_barrel</f>
        <v>119716.43992832729</v>
      </c>
      <c r="V10">
        <f>'AEO Table 73'!W32*10^6/gal_per_barrel</f>
        <v>119694.85737028575</v>
      </c>
      <c r="W10">
        <f>'AEO Table 73'!X32*10^6/gal_per_barrel</f>
        <v>119673.28616550991</v>
      </c>
      <c r="X10">
        <f>'AEO Table 73'!Y32*10^6/gal_per_barrel</f>
        <v>119651.85119992212</v>
      </c>
      <c r="Y10">
        <f>'AEO Table 73'!Z32*10^6/gal_per_barrel</f>
        <v>119630.34811474028</v>
      </c>
      <c r="Z10">
        <f>'AEO Table 73'!AA32*10^6/gal_per_barrel</f>
        <v>119608.50443158831</v>
      </c>
      <c r="AA10">
        <f>'AEO Table 73'!AB32*10^6/gal_per_barrel</f>
        <v>119586.72886803036</v>
      </c>
      <c r="AB10">
        <f>'AEO Table 73'!AC32*10^6/gal_per_barrel</f>
        <v>119565.13495672317</v>
      </c>
    </row>
    <row r="11" spans="1:28" x14ac:dyDescent="0.25">
      <c r="A11" t="s">
        <v>309</v>
      </c>
      <c r="B11">
        <f>'AEO Table 73'!C19*10^6/gal_per_barrel</f>
        <v>138690.47164916992</v>
      </c>
      <c r="C11">
        <f>'AEO Table 73'!D19*10^6/gal_per_barrel</f>
        <v>138690.47164916992</v>
      </c>
      <c r="D11">
        <f>'AEO Table 73'!E19*10^6/gal_per_barrel</f>
        <v>138690.47164916992</v>
      </c>
      <c r="E11">
        <f>'AEO Table 73'!F19*10^6/gal_per_barrel</f>
        <v>138690.47164916992</v>
      </c>
      <c r="F11">
        <f>'AEO Table 73'!G19*10^6/gal_per_barrel</f>
        <v>138690.47164916992</v>
      </c>
      <c r="G11">
        <f>'AEO Table 73'!H19*10^6/gal_per_barrel</f>
        <v>138690.47164916992</v>
      </c>
      <c r="H11">
        <f>'AEO Table 73'!I19*10^6/gal_per_barrel</f>
        <v>138690.47164916992</v>
      </c>
      <c r="I11">
        <f>'AEO Table 73'!J19*10^6/gal_per_barrel</f>
        <v>138690.47164916992</v>
      </c>
      <c r="J11">
        <f>'AEO Table 73'!K19*10^6/gal_per_barrel</f>
        <v>138690.47164916992</v>
      </c>
      <c r="K11">
        <f>'AEO Table 73'!L19*10^6/gal_per_barrel</f>
        <v>138690.47164916992</v>
      </c>
      <c r="L11">
        <f>'AEO Table 73'!M19*10^6/gal_per_barrel</f>
        <v>138690.47164916992</v>
      </c>
      <c r="M11">
        <f>'AEO Table 73'!N19*10^6/gal_per_barrel</f>
        <v>138690.47164916992</v>
      </c>
      <c r="N11">
        <f>'AEO Table 73'!O19*10^6/gal_per_barrel</f>
        <v>138690.47164916992</v>
      </c>
      <c r="O11">
        <f>'AEO Table 73'!P19*10^6/gal_per_barrel</f>
        <v>138690.47164916992</v>
      </c>
      <c r="P11">
        <f>'AEO Table 73'!Q19*10^6/gal_per_barrel</f>
        <v>138690.47164916992</v>
      </c>
      <c r="Q11">
        <f>'AEO Table 73'!R19*10^6/gal_per_barrel</f>
        <v>138690.47164916992</v>
      </c>
      <c r="R11">
        <f>'AEO Table 73'!S19*10^6/gal_per_barrel</f>
        <v>138690.47164916992</v>
      </c>
      <c r="S11">
        <f>'AEO Table 73'!T19*10^6/gal_per_barrel</f>
        <v>138690.47164916992</v>
      </c>
      <c r="T11">
        <f>'AEO Table 73'!U19*10^6/gal_per_barrel</f>
        <v>138690.47164916992</v>
      </c>
      <c r="U11">
        <f>'AEO Table 73'!V19*10^6/gal_per_barrel</f>
        <v>138690.47164916992</v>
      </c>
      <c r="V11">
        <f>'AEO Table 73'!W19*10^6/gal_per_barrel</f>
        <v>138690.47164916992</v>
      </c>
      <c r="W11">
        <f>'AEO Table 73'!X19*10^6/gal_per_barrel</f>
        <v>138690.47164916992</v>
      </c>
      <c r="X11">
        <f>'AEO Table 73'!Y19*10^6/gal_per_barrel</f>
        <v>138690.47164916992</v>
      </c>
      <c r="Y11">
        <f>'AEO Table 73'!Z19*10^6/gal_per_barrel</f>
        <v>138690.47164916992</v>
      </c>
      <c r="Z11">
        <f>'AEO Table 73'!AA19*10^6/gal_per_barrel</f>
        <v>138690.47164916992</v>
      </c>
      <c r="AA11">
        <f>'AEO Table 73'!AB19*10^6/gal_per_barrel</f>
        <v>138690.47164916992</v>
      </c>
      <c r="AB11">
        <f>'AEO Table 73'!AC19*10^6/gal_per_barrel</f>
        <v>138690.47164916992</v>
      </c>
    </row>
    <row r="12" spans="1:28" x14ac:dyDescent="0.25">
      <c r="A12" t="s">
        <v>310</v>
      </c>
      <c r="B12">
        <f>'AEO Table 73'!C29*10^6/gal_per_barrel</f>
        <v>95105.069024222234</v>
      </c>
      <c r="C12">
        <f>'AEO Table 73'!D29*10^6/gal_per_barrel</f>
        <v>95105.069024222234</v>
      </c>
      <c r="D12">
        <f>'AEO Table 73'!E29*10^6/gal_per_barrel</f>
        <v>95105.069024222234</v>
      </c>
      <c r="E12">
        <f>'AEO Table 73'!F29*10^6/gal_per_barrel</f>
        <v>95105.069024222234</v>
      </c>
      <c r="F12">
        <f>'AEO Table 73'!G29*10^6/gal_per_barrel</f>
        <v>95105.069024222234</v>
      </c>
      <c r="G12">
        <f>'AEO Table 73'!H29*10^6/gal_per_barrel</f>
        <v>95105.069024222234</v>
      </c>
      <c r="H12">
        <f>'AEO Table 73'!I29*10^6/gal_per_barrel</f>
        <v>95105.069024222234</v>
      </c>
      <c r="I12">
        <f>'AEO Table 73'!J29*10^6/gal_per_barrel</f>
        <v>95105.069024222234</v>
      </c>
      <c r="J12">
        <f>'AEO Table 73'!K29*10^6/gal_per_barrel</f>
        <v>95105.069024222234</v>
      </c>
      <c r="K12">
        <f>'AEO Table 73'!L29*10^6/gal_per_barrel</f>
        <v>95105.069024222234</v>
      </c>
      <c r="L12">
        <f>'AEO Table 73'!M29*10^6/gal_per_barrel</f>
        <v>95105.069024222234</v>
      </c>
      <c r="M12">
        <f>'AEO Table 73'!N29*10^6/gal_per_barrel</f>
        <v>95105.069024222234</v>
      </c>
      <c r="N12">
        <f>'AEO Table 73'!O29*10^6/gal_per_barrel</f>
        <v>95105.069024222234</v>
      </c>
      <c r="O12">
        <f>'AEO Table 73'!P29*10^6/gal_per_barrel</f>
        <v>95105.069024222234</v>
      </c>
      <c r="P12">
        <f>'AEO Table 73'!Q29*10^6/gal_per_barrel</f>
        <v>95105.069024222234</v>
      </c>
      <c r="Q12">
        <f>'AEO Table 73'!R29*10^6/gal_per_barrel</f>
        <v>95105.069024222234</v>
      </c>
      <c r="R12">
        <f>'AEO Table 73'!S29*10^6/gal_per_barrel</f>
        <v>95105.069024222234</v>
      </c>
      <c r="S12">
        <f>'AEO Table 73'!T29*10^6/gal_per_barrel</f>
        <v>95105.069024222234</v>
      </c>
      <c r="T12">
        <f>'AEO Table 73'!U29*10^6/gal_per_barrel</f>
        <v>95105.069024222234</v>
      </c>
      <c r="U12">
        <f>'AEO Table 73'!V29*10^6/gal_per_barrel</f>
        <v>95105.069024222234</v>
      </c>
      <c r="V12">
        <f>'AEO Table 73'!W29*10^6/gal_per_barrel</f>
        <v>95105.069024222234</v>
      </c>
      <c r="W12">
        <f>'AEO Table 73'!X29*10^6/gal_per_barrel</f>
        <v>95105.069024222234</v>
      </c>
      <c r="X12">
        <f>'AEO Table 73'!Y29*10^6/gal_per_barrel</f>
        <v>95105.069024222234</v>
      </c>
      <c r="Y12">
        <f>'AEO Table 73'!Z29*10^6/gal_per_barrel</f>
        <v>95105.069024222234</v>
      </c>
      <c r="Z12">
        <f>'AEO Table 73'!AA29*10^6/gal_per_barrel</f>
        <v>95105.069024222234</v>
      </c>
      <c r="AA12">
        <f>'AEO Table 73'!AB29*10^6/gal_per_barrel</f>
        <v>95105.069024222234</v>
      </c>
      <c r="AB12">
        <f>'AEO Table 73'!AC29*10^6/gal_per_barrel</f>
        <v>95105.069024222234</v>
      </c>
    </row>
    <row r="13" spans="1:28" x14ac:dyDescent="0.25">
      <c r="A13" t="s">
        <v>311</v>
      </c>
      <c r="B13">
        <f>'AEO Table 73'!C18*10^6/gal_per_barrel</f>
        <v>127595.24299984887</v>
      </c>
      <c r="C13">
        <f>'AEO Table 73'!D18*10^6/gal_per_barrel</f>
        <v>127595.24299984887</v>
      </c>
      <c r="D13">
        <f>'AEO Table 73'!E18*10^6/gal_per_barrel</f>
        <v>127595.24299984887</v>
      </c>
      <c r="E13">
        <f>'AEO Table 73'!F18*10^6/gal_per_barrel</f>
        <v>127595.24299984887</v>
      </c>
      <c r="F13">
        <f>'AEO Table 73'!G18*10^6/gal_per_barrel</f>
        <v>127595.24299984887</v>
      </c>
      <c r="G13">
        <f>'AEO Table 73'!H18*10^6/gal_per_barrel</f>
        <v>127595.24299984887</v>
      </c>
      <c r="H13">
        <f>'AEO Table 73'!I18*10^6/gal_per_barrel</f>
        <v>127595.24299984887</v>
      </c>
      <c r="I13">
        <f>'AEO Table 73'!J18*10^6/gal_per_barrel</f>
        <v>127595.24299984887</v>
      </c>
      <c r="J13">
        <f>'AEO Table 73'!K18*10^6/gal_per_barrel</f>
        <v>127595.24299984887</v>
      </c>
      <c r="K13">
        <f>'AEO Table 73'!L18*10^6/gal_per_barrel</f>
        <v>127595.24299984887</v>
      </c>
      <c r="L13">
        <f>'AEO Table 73'!M18*10^6/gal_per_barrel</f>
        <v>127595.24299984887</v>
      </c>
      <c r="M13">
        <f>'AEO Table 73'!N18*10^6/gal_per_barrel</f>
        <v>127595.24299984887</v>
      </c>
      <c r="N13">
        <f>'AEO Table 73'!O18*10^6/gal_per_barrel</f>
        <v>127595.24299984887</v>
      </c>
      <c r="O13">
        <f>'AEO Table 73'!P18*10^6/gal_per_barrel</f>
        <v>127595.24299984887</v>
      </c>
      <c r="P13">
        <f>'AEO Table 73'!Q18*10^6/gal_per_barrel</f>
        <v>127595.24299984887</v>
      </c>
      <c r="Q13">
        <f>'AEO Table 73'!R18*10^6/gal_per_barrel</f>
        <v>127595.24299984887</v>
      </c>
      <c r="R13">
        <f>'AEO Table 73'!S18*10^6/gal_per_barrel</f>
        <v>127595.24299984887</v>
      </c>
      <c r="S13">
        <f>'AEO Table 73'!T18*10^6/gal_per_barrel</f>
        <v>127595.24299984887</v>
      </c>
      <c r="T13">
        <f>'AEO Table 73'!U18*10^6/gal_per_barrel</f>
        <v>127595.24299984887</v>
      </c>
      <c r="U13">
        <f>'AEO Table 73'!V18*10^6/gal_per_barrel</f>
        <v>127595.24299984887</v>
      </c>
      <c r="V13">
        <f>'AEO Table 73'!W18*10^6/gal_per_barrel</f>
        <v>127595.24299984887</v>
      </c>
      <c r="W13">
        <f>'AEO Table 73'!X18*10^6/gal_per_barrel</f>
        <v>127595.24299984887</v>
      </c>
      <c r="X13">
        <f>'AEO Table 73'!Y18*10^6/gal_per_barrel</f>
        <v>127595.24299984887</v>
      </c>
      <c r="Y13">
        <f>'AEO Table 73'!Z18*10^6/gal_per_barrel</f>
        <v>127595.24299984887</v>
      </c>
      <c r="Z13">
        <f>'AEO Table 73'!AA18*10^6/gal_per_barrel</f>
        <v>127595.24299984887</v>
      </c>
      <c r="AA13">
        <f>'AEO Table 73'!AB18*10^6/gal_per_barrel</f>
        <v>127595.24299984887</v>
      </c>
      <c r="AB13">
        <f>'AEO Table 73'!AC18*10^6/gal_per_barrel</f>
        <v>127595.24299984887</v>
      </c>
    </row>
    <row r="14" spans="1:28" x14ac:dyDescent="0.25">
      <c r="A14" t="s">
        <v>353</v>
      </c>
      <c r="B14">
        <f>'AEO Table 73'!C30*10^6/gal_per_barrel</f>
        <v>135000.0018165225</v>
      </c>
      <c r="C14">
        <f>'AEO Table 73'!D30*10^6/gal_per_barrel</f>
        <v>135000.0018165225</v>
      </c>
      <c r="D14">
        <f>'AEO Table 73'!E30*10^6/gal_per_barrel</f>
        <v>135000.0018165225</v>
      </c>
      <c r="E14">
        <f>'AEO Table 73'!F30*10^6/gal_per_barrel</f>
        <v>135000.0018165225</v>
      </c>
      <c r="F14">
        <f>'AEO Table 73'!G30*10^6/gal_per_barrel</f>
        <v>135000.0018165225</v>
      </c>
      <c r="G14">
        <f>'AEO Table 73'!H30*10^6/gal_per_barrel</f>
        <v>135000.0018165225</v>
      </c>
      <c r="H14">
        <f>'AEO Table 73'!I30*10^6/gal_per_barrel</f>
        <v>135000.0018165225</v>
      </c>
      <c r="I14">
        <f>'AEO Table 73'!J30*10^6/gal_per_barrel</f>
        <v>135000.0018165225</v>
      </c>
      <c r="J14">
        <f>'AEO Table 73'!K30*10^6/gal_per_barrel</f>
        <v>135000.0018165225</v>
      </c>
      <c r="K14">
        <f>'AEO Table 73'!L30*10^6/gal_per_barrel</f>
        <v>135000.0018165225</v>
      </c>
      <c r="L14">
        <f>'AEO Table 73'!M30*10^6/gal_per_barrel</f>
        <v>135000.0018165225</v>
      </c>
      <c r="M14">
        <f>'AEO Table 73'!N30*10^6/gal_per_barrel</f>
        <v>135000.0018165225</v>
      </c>
      <c r="N14">
        <f>'AEO Table 73'!O30*10^6/gal_per_barrel</f>
        <v>135000.0018165225</v>
      </c>
      <c r="O14">
        <f>'AEO Table 73'!P30*10^6/gal_per_barrel</f>
        <v>135000.0018165225</v>
      </c>
      <c r="P14">
        <f>'AEO Table 73'!Q30*10^6/gal_per_barrel</f>
        <v>135000.0018165225</v>
      </c>
      <c r="Q14">
        <f>'AEO Table 73'!R30*10^6/gal_per_barrel</f>
        <v>135000.0018165225</v>
      </c>
      <c r="R14">
        <f>'AEO Table 73'!S30*10^6/gal_per_barrel</f>
        <v>135000.0018165225</v>
      </c>
      <c r="S14">
        <f>'AEO Table 73'!T30*10^6/gal_per_barrel</f>
        <v>135000.0018165225</v>
      </c>
      <c r="T14">
        <f>'AEO Table 73'!U30*10^6/gal_per_barrel</f>
        <v>135000.0018165225</v>
      </c>
      <c r="U14">
        <f>'AEO Table 73'!V30*10^6/gal_per_barrel</f>
        <v>135000.0018165225</v>
      </c>
      <c r="V14">
        <f>'AEO Table 73'!W30*10^6/gal_per_barrel</f>
        <v>135000.0018165225</v>
      </c>
      <c r="W14">
        <f>'AEO Table 73'!X30*10^6/gal_per_barrel</f>
        <v>135000.0018165225</v>
      </c>
      <c r="X14">
        <f>'AEO Table 73'!Y30*10^6/gal_per_barrel</f>
        <v>135000.0018165225</v>
      </c>
      <c r="Y14">
        <f>'AEO Table 73'!Z30*10^6/gal_per_barrel</f>
        <v>135000.0018165225</v>
      </c>
      <c r="Z14">
        <f>'AEO Table 73'!AA30*10^6/gal_per_barrel</f>
        <v>135000.0018165225</v>
      </c>
      <c r="AA14">
        <f>'AEO Table 73'!AB30*10^6/gal_per_barrel</f>
        <v>135000.0018165225</v>
      </c>
      <c r="AB14">
        <f>'AEO Table 73'!AC30*10^6/gal_per_barrel</f>
        <v>135000.0018165225</v>
      </c>
    </row>
    <row r="15" spans="1:28" x14ac:dyDescent="0.25">
      <c r="A15" t="s">
        <v>335</v>
      </c>
      <c r="B15">
        <f>About!$A$76</f>
        <v>3412140</v>
      </c>
      <c r="C15">
        <f>About!$A$76</f>
        <v>3412140</v>
      </c>
      <c r="D15">
        <f>About!$A$76</f>
        <v>3412140</v>
      </c>
      <c r="E15">
        <f>About!$A$76</f>
        <v>3412140</v>
      </c>
      <c r="F15">
        <f>About!$A$76</f>
        <v>3412140</v>
      </c>
      <c r="G15">
        <f>About!$A$76</f>
        <v>3412140</v>
      </c>
      <c r="H15">
        <f>About!$A$76</f>
        <v>3412140</v>
      </c>
      <c r="I15">
        <f>About!$A$76</f>
        <v>3412140</v>
      </c>
      <c r="J15">
        <f>About!$A$76</f>
        <v>3412140</v>
      </c>
      <c r="K15">
        <f>About!$A$76</f>
        <v>3412140</v>
      </c>
      <c r="L15">
        <f>About!$A$76</f>
        <v>3412140</v>
      </c>
      <c r="M15">
        <f>About!$A$76</f>
        <v>3412140</v>
      </c>
      <c r="N15">
        <f>About!$A$76</f>
        <v>3412140</v>
      </c>
      <c r="O15">
        <f>About!$A$76</f>
        <v>3412140</v>
      </c>
      <c r="P15">
        <f>About!$A$76</f>
        <v>3412140</v>
      </c>
      <c r="Q15">
        <f>About!$A$76</f>
        <v>3412140</v>
      </c>
      <c r="R15">
        <f>About!$A$76</f>
        <v>3412140</v>
      </c>
      <c r="S15">
        <f>About!$A$76</f>
        <v>3412140</v>
      </c>
      <c r="T15">
        <f>About!$A$76</f>
        <v>3412140</v>
      </c>
      <c r="U15">
        <f>About!$A$76</f>
        <v>3412140</v>
      </c>
      <c r="V15">
        <f>About!$A$76</f>
        <v>3412140</v>
      </c>
      <c r="W15">
        <f>About!$A$76</f>
        <v>3412140</v>
      </c>
      <c r="X15">
        <f>About!$A$76</f>
        <v>3412140</v>
      </c>
      <c r="Y15">
        <f>About!$A$76</f>
        <v>3412140</v>
      </c>
      <c r="Z15">
        <f>About!$A$76</f>
        <v>3412140</v>
      </c>
      <c r="AA15">
        <f>About!$A$76</f>
        <v>3412140</v>
      </c>
      <c r="AB15">
        <f>About!$A$76</f>
        <v>3412140</v>
      </c>
    </row>
    <row r="16" spans="1:28" x14ac:dyDescent="0.25">
      <c r="A16" t="s">
        <v>326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x14ac:dyDescent="0.25">
      <c r="A17" t="s">
        <v>312</v>
      </c>
      <c r="B17">
        <f>'GREET1 Fuel_Specs'!$D$69</f>
        <v>12992301.9717196</v>
      </c>
      <c r="C17">
        <f>'GREET1 Fuel_Specs'!$D$69</f>
        <v>12992301.9717196</v>
      </c>
      <c r="D17">
        <f>'GREET1 Fuel_Specs'!$D$69</f>
        <v>12992301.9717196</v>
      </c>
      <c r="E17">
        <f>'GREET1 Fuel_Specs'!$D$69</f>
        <v>12992301.9717196</v>
      </c>
      <c r="F17">
        <f>'GREET1 Fuel_Specs'!$D$69</f>
        <v>12992301.9717196</v>
      </c>
      <c r="G17">
        <f>'GREET1 Fuel_Specs'!$D$69</f>
        <v>12992301.9717196</v>
      </c>
      <c r="H17">
        <f>'GREET1 Fuel_Specs'!$D$69</f>
        <v>12992301.9717196</v>
      </c>
      <c r="I17">
        <f>'GREET1 Fuel_Specs'!$D$69</f>
        <v>12992301.9717196</v>
      </c>
      <c r="J17">
        <f>'GREET1 Fuel_Specs'!$D$69</f>
        <v>12992301.9717196</v>
      </c>
      <c r="K17">
        <f>'GREET1 Fuel_Specs'!$D$69</f>
        <v>12992301.9717196</v>
      </c>
      <c r="L17">
        <f>'GREET1 Fuel_Specs'!$D$69</f>
        <v>12992301.9717196</v>
      </c>
      <c r="M17">
        <f>'GREET1 Fuel_Specs'!$D$69</f>
        <v>12992301.9717196</v>
      </c>
      <c r="N17">
        <f>'GREET1 Fuel_Specs'!$D$69</f>
        <v>12992301.9717196</v>
      </c>
      <c r="O17">
        <f>'GREET1 Fuel_Specs'!$D$69</f>
        <v>12992301.9717196</v>
      </c>
      <c r="P17">
        <f>'GREET1 Fuel_Specs'!$D$69</f>
        <v>12992301.9717196</v>
      </c>
      <c r="Q17">
        <f>'GREET1 Fuel_Specs'!$D$69</f>
        <v>12992301.9717196</v>
      </c>
      <c r="R17">
        <f>'GREET1 Fuel_Specs'!$D$69</f>
        <v>12992301.9717196</v>
      </c>
      <c r="S17">
        <f>'GREET1 Fuel_Specs'!$D$69</f>
        <v>12992301.9717196</v>
      </c>
      <c r="T17">
        <f>'GREET1 Fuel_Specs'!$D$69</f>
        <v>12992301.9717196</v>
      </c>
      <c r="U17">
        <f>'GREET1 Fuel_Specs'!$D$69</f>
        <v>12992301.9717196</v>
      </c>
      <c r="V17">
        <f>'GREET1 Fuel_Specs'!$D$69</f>
        <v>12992301.9717196</v>
      </c>
      <c r="W17">
        <f>'GREET1 Fuel_Specs'!$D$69</f>
        <v>12992301.9717196</v>
      </c>
      <c r="X17">
        <f>'GREET1 Fuel_Specs'!$D$69</f>
        <v>12992301.9717196</v>
      </c>
      <c r="Y17">
        <f>'GREET1 Fuel_Specs'!$D$69</f>
        <v>12992301.9717196</v>
      </c>
      <c r="Z17">
        <f>'GREET1 Fuel_Specs'!$D$69</f>
        <v>12992301.9717196</v>
      </c>
      <c r="AA17">
        <f>'GREET1 Fuel_Specs'!$D$69</f>
        <v>12992301.9717196</v>
      </c>
      <c r="AB17">
        <f>'GREET1 Fuel_Specs'!$D$69</f>
        <v>12992301.9717196</v>
      </c>
    </row>
    <row r="18" spans="1:28" x14ac:dyDescent="0.25">
      <c r="A18" t="s">
        <v>349</v>
      </c>
      <c r="B18">
        <f>'GREET1 Fuel_Specs'!$D$7*gal_per_barrel</f>
        <v>5810700</v>
      </c>
      <c r="C18">
        <f>'GREET1 Fuel_Specs'!$D$7*gal_per_barrel</f>
        <v>5810700</v>
      </c>
      <c r="D18">
        <f>'GREET1 Fuel_Specs'!$D$7*gal_per_barrel</f>
        <v>5810700</v>
      </c>
      <c r="E18">
        <f>'GREET1 Fuel_Specs'!$D$7*gal_per_barrel</f>
        <v>5810700</v>
      </c>
      <c r="F18">
        <f>'GREET1 Fuel_Specs'!$D$7*gal_per_barrel</f>
        <v>5810700</v>
      </c>
      <c r="G18">
        <f>'GREET1 Fuel_Specs'!$D$7*gal_per_barrel</f>
        <v>5810700</v>
      </c>
      <c r="H18">
        <f>'GREET1 Fuel_Specs'!$D$7*gal_per_barrel</f>
        <v>5810700</v>
      </c>
      <c r="I18">
        <f>'GREET1 Fuel_Specs'!$D$7*gal_per_barrel</f>
        <v>5810700</v>
      </c>
      <c r="J18">
        <f>'GREET1 Fuel_Specs'!$D$7*gal_per_barrel</f>
        <v>5810700</v>
      </c>
      <c r="K18">
        <f>'GREET1 Fuel_Specs'!$D$7*gal_per_barrel</f>
        <v>5810700</v>
      </c>
      <c r="L18">
        <f>'GREET1 Fuel_Specs'!$D$7*gal_per_barrel</f>
        <v>5810700</v>
      </c>
      <c r="M18">
        <f>'GREET1 Fuel_Specs'!$D$7*gal_per_barrel</f>
        <v>5810700</v>
      </c>
      <c r="N18">
        <f>'GREET1 Fuel_Specs'!$D$7*gal_per_barrel</f>
        <v>5810700</v>
      </c>
      <c r="O18">
        <f>'GREET1 Fuel_Specs'!$D$7*gal_per_barrel</f>
        <v>5810700</v>
      </c>
      <c r="P18">
        <f>'GREET1 Fuel_Specs'!$D$7*gal_per_barrel</f>
        <v>5810700</v>
      </c>
      <c r="Q18">
        <f>'GREET1 Fuel_Specs'!$D$7*gal_per_barrel</f>
        <v>5810700</v>
      </c>
      <c r="R18">
        <f>'GREET1 Fuel_Specs'!$D$7*gal_per_barrel</f>
        <v>5810700</v>
      </c>
      <c r="S18">
        <f>'GREET1 Fuel_Specs'!$D$7*gal_per_barrel</f>
        <v>5810700</v>
      </c>
      <c r="T18">
        <f>'GREET1 Fuel_Specs'!$D$7*gal_per_barrel</f>
        <v>5810700</v>
      </c>
      <c r="U18">
        <f>'GREET1 Fuel_Specs'!$D$7*gal_per_barrel</f>
        <v>5810700</v>
      </c>
      <c r="V18">
        <f>'GREET1 Fuel_Specs'!$D$7*gal_per_barrel</f>
        <v>5810700</v>
      </c>
      <c r="W18">
        <f>'GREET1 Fuel_Specs'!$D$7*gal_per_barrel</f>
        <v>5810700</v>
      </c>
      <c r="X18">
        <f>'GREET1 Fuel_Specs'!$D$7*gal_per_barrel</f>
        <v>5810700</v>
      </c>
      <c r="Y18">
        <f>'GREET1 Fuel_Specs'!$D$7*gal_per_barrel</f>
        <v>5810700</v>
      </c>
      <c r="Z18">
        <f>'GREET1 Fuel_Specs'!$D$7*gal_per_barrel</f>
        <v>5810700</v>
      </c>
      <c r="AA18">
        <f>'GREET1 Fuel_Specs'!$D$7*gal_per_barrel</f>
        <v>5810700</v>
      </c>
      <c r="AB18">
        <f>'GREET1 Fuel_Specs'!$D$7*gal_per_barrel</f>
        <v>5810700</v>
      </c>
    </row>
    <row r="19" spans="1:28" x14ac:dyDescent="0.25">
      <c r="A19" t="s">
        <v>350</v>
      </c>
      <c r="B19">
        <f>'GREET1 Fuel_Specs'!$D$7*gal_per_barrel</f>
        <v>5810700</v>
      </c>
      <c r="C19">
        <f>'GREET1 Fuel_Specs'!$D$7*gal_per_barrel</f>
        <v>5810700</v>
      </c>
      <c r="D19">
        <f>'GREET1 Fuel_Specs'!$D$7*gal_per_barrel</f>
        <v>5810700</v>
      </c>
      <c r="E19">
        <f>'GREET1 Fuel_Specs'!$D$7*gal_per_barrel</f>
        <v>5810700</v>
      </c>
      <c r="F19">
        <f>'GREET1 Fuel_Specs'!$D$7*gal_per_barrel</f>
        <v>5810700</v>
      </c>
      <c r="G19">
        <f>'GREET1 Fuel_Specs'!$D$7*gal_per_barrel</f>
        <v>5810700</v>
      </c>
      <c r="H19">
        <f>'GREET1 Fuel_Specs'!$D$7*gal_per_barrel</f>
        <v>5810700</v>
      </c>
      <c r="I19">
        <f>'GREET1 Fuel_Specs'!$D$7*gal_per_barrel</f>
        <v>5810700</v>
      </c>
      <c r="J19">
        <f>'GREET1 Fuel_Specs'!$D$7*gal_per_barrel</f>
        <v>5810700</v>
      </c>
      <c r="K19">
        <f>'GREET1 Fuel_Specs'!$D$7*gal_per_barrel</f>
        <v>5810700</v>
      </c>
      <c r="L19">
        <f>'GREET1 Fuel_Specs'!$D$7*gal_per_barrel</f>
        <v>5810700</v>
      </c>
      <c r="M19">
        <f>'GREET1 Fuel_Specs'!$D$7*gal_per_barrel</f>
        <v>5810700</v>
      </c>
      <c r="N19">
        <f>'GREET1 Fuel_Specs'!$D$7*gal_per_barrel</f>
        <v>5810700</v>
      </c>
      <c r="O19">
        <f>'GREET1 Fuel_Specs'!$D$7*gal_per_barrel</f>
        <v>5810700</v>
      </c>
      <c r="P19">
        <f>'GREET1 Fuel_Specs'!$D$7*gal_per_barrel</f>
        <v>5810700</v>
      </c>
      <c r="Q19">
        <f>'GREET1 Fuel_Specs'!$D$7*gal_per_barrel</f>
        <v>5810700</v>
      </c>
      <c r="R19">
        <f>'GREET1 Fuel_Specs'!$D$7*gal_per_barrel</f>
        <v>5810700</v>
      </c>
      <c r="S19">
        <f>'GREET1 Fuel_Specs'!$D$7*gal_per_barrel</f>
        <v>5810700</v>
      </c>
      <c r="T19">
        <f>'GREET1 Fuel_Specs'!$D$7*gal_per_barrel</f>
        <v>5810700</v>
      </c>
      <c r="U19">
        <f>'GREET1 Fuel_Specs'!$D$7*gal_per_barrel</f>
        <v>5810700</v>
      </c>
      <c r="V19">
        <f>'GREET1 Fuel_Specs'!$D$7*gal_per_barrel</f>
        <v>5810700</v>
      </c>
      <c r="W19">
        <f>'GREET1 Fuel_Specs'!$D$7*gal_per_barrel</f>
        <v>5810700</v>
      </c>
      <c r="X19">
        <f>'GREET1 Fuel_Specs'!$D$7*gal_per_barrel</f>
        <v>5810700</v>
      </c>
      <c r="Y19">
        <f>'GREET1 Fuel_Specs'!$D$7*gal_per_barrel</f>
        <v>5810700</v>
      </c>
      <c r="Z19">
        <f>'GREET1 Fuel_Specs'!$D$7*gal_per_barrel</f>
        <v>5810700</v>
      </c>
      <c r="AA19">
        <f>'GREET1 Fuel_Specs'!$D$7*gal_per_barrel</f>
        <v>5810700</v>
      </c>
      <c r="AB19">
        <f>'GREET1 Fuel_Specs'!$D$7*gal_per_barrel</f>
        <v>5810700</v>
      </c>
    </row>
    <row r="20" spans="1:28" x14ac:dyDescent="0.25">
      <c r="A20" t="s">
        <v>351</v>
      </c>
      <c r="B20">
        <f>'GREET1 Fuel_Specs'!$D$36</f>
        <v>91410</v>
      </c>
      <c r="C20">
        <f>'GREET1 Fuel_Specs'!$D$36</f>
        <v>91410</v>
      </c>
      <c r="D20">
        <f>'GREET1 Fuel_Specs'!$D$36</f>
        <v>91410</v>
      </c>
      <c r="E20">
        <f>'GREET1 Fuel_Specs'!$D$36</f>
        <v>91410</v>
      </c>
      <c r="F20">
        <f>'GREET1 Fuel_Specs'!$D$36</f>
        <v>91410</v>
      </c>
      <c r="G20">
        <f>'GREET1 Fuel_Specs'!$D$36</f>
        <v>91410</v>
      </c>
      <c r="H20">
        <f>'GREET1 Fuel_Specs'!$D$36</f>
        <v>91410</v>
      </c>
      <c r="I20">
        <f>'GREET1 Fuel_Specs'!$D$36</f>
        <v>91410</v>
      </c>
      <c r="J20">
        <f>'GREET1 Fuel_Specs'!$D$36</f>
        <v>91410</v>
      </c>
      <c r="K20">
        <f>'GREET1 Fuel_Specs'!$D$36</f>
        <v>91410</v>
      </c>
      <c r="L20">
        <f>'GREET1 Fuel_Specs'!$D$36</f>
        <v>91410</v>
      </c>
      <c r="M20">
        <f>'GREET1 Fuel_Specs'!$D$36</f>
        <v>91410</v>
      </c>
      <c r="N20">
        <f>'GREET1 Fuel_Specs'!$D$36</f>
        <v>91410</v>
      </c>
      <c r="O20">
        <f>'GREET1 Fuel_Specs'!$D$36</f>
        <v>91410</v>
      </c>
      <c r="P20">
        <f>'GREET1 Fuel_Specs'!$D$36</f>
        <v>91410</v>
      </c>
      <c r="Q20">
        <f>'GREET1 Fuel_Specs'!$D$36</f>
        <v>91410</v>
      </c>
      <c r="R20">
        <f>'GREET1 Fuel_Specs'!$D$36</f>
        <v>91410</v>
      </c>
      <c r="S20">
        <f>'GREET1 Fuel_Specs'!$D$36</f>
        <v>91410</v>
      </c>
      <c r="T20">
        <f>'GREET1 Fuel_Specs'!$D$36</f>
        <v>91410</v>
      </c>
      <c r="U20">
        <f>'GREET1 Fuel_Specs'!$D$36</f>
        <v>91410</v>
      </c>
      <c r="V20">
        <f>'GREET1 Fuel_Specs'!$D$36</f>
        <v>91410</v>
      </c>
      <c r="W20">
        <f>'GREET1 Fuel_Specs'!$D$36</f>
        <v>91410</v>
      </c>
      <c r="X20">
        <f>'GREET1 Fuel_Specs'!$D$36</f>
        <v>91410</v>
      </c>
      <c r="Y20">
        <f>'GREET1 Fuel_Specs'!$D$36</f>
        <v>91410</v>
      </c>
      <c r="Z20">
        <f>'GREET1 Fuel_Specs'!$D$36</f>
        <v>91410</v>
      </c>
      <c r="AA20">
        <f>'GREET1 Fuel_Specs'!$D$36</f>
        <v>91410</v>
      </c>
      <c r="AB20">
        <f>'GREET1 Fuel_Specs'!$D$36</f>
        <v>91410</v>
      </c>
    </row>
    <row r="21" spans="1:28" x14ac:dyDescent="0.25">
      <c r="A21" t="s">
        <v>352</v>
      </c>
      <c r="B21">
        <f>'GREET1 Fuel_Specs'!$D$90</f>
        <v>13583444.58426456</v>
      </c>
      <c r="C21">
        <f>'GREET1 Fuel_Specs'!$D$90</f>
        <v>13583444.58426456</v>
      </c>
      <c r="D21">
        <f>'GREET1 Fuel_Specs'!$D$90</f>
        <v>13583444.58426456</v>
      </c>
      <c r="E21">
        <f>'GREET1 Fuel_Specs'!$D$90</f>
        <v>13583444.58426456</v>
      </c>
      <c r="F21">
        <f>'GREET1 Fuel_Specs'!$D$90</f>
        <v>13583444.58426456</v>
      </c>
      <c r="G21">
        <f>'GREET1 Fuel_Specs'!$D$90</f>
        <v>13583444.58426456</v>
      </c>
      <c r="H21">
        <f>'GREET1 Fuel_Specs'!$D$90</f>
        <v>13583444.58426456</v>
      </c>
      <c r="I21">
        <f>'GREET1 Fuel_Specs'!$D$90</f>
        <v>13583444.58426456</v>
      </c>
      <c r="J21">
        <f>'GREET1 Fuel_Specs'!$D$90</f>
        <v>13583444.58426456</v>
      </c>
      <c r="K21">
        <f>'GREET1 Fuel_Specs'!$D$90</f>
        <v>13583444.58426456</v>
      </c>
      <c r="L21">
        <f>'GREET1 Fuel_Specs'!$D$90</f>
        <v>13583444.58426456</v>
      </c>
      <c r="M21">
        <f>'GREET1 Fuel_Specs'!$D$90</f>
        <v>13583444.58426456</v>
      </c>
      <c r="N21">
        <f>'GREET1 Fuel_Specs'!$D$90</f>
        <v>13583444.58426456</v>
      </c>
      <c r="O21">
        <f>'GREET1 Fuel_Specs'!$D$90</f>
        <v>13583444.58426456</v>
      </c>
      <c r="P21">
        <f>'GREET1 Fuel_Specs'!$D$90</f>
        <v>13583444.58426456</v>
      </c>
      <c r="Q21">
        <f>'GREET1 Fuel_Specs'!$D$90</f>
        <v>13583444.58426456</v>
      </c>
      <c r="R21">
        <f>'GREET1 Fuel_Specs'!$D$90</f>
        <v>13583444.58426456</v>
      </c>
      <c r="S21">
        <f>'GREET1 Fuel_Specs'!$D$90</f>
        <v>13583444.58426456</v>
      </c>
      <c r="T21">
        <f>'GREET1 Fuel_Specs'!$D$90</f>
        <v>13583444.58426456</v>
      </c>
      <c r="U21">
        <f>'GREET1 Fuel_Specs'!$D$90</f>
        <v>13583444.58426456</v>
      </c>
      <c r="V21">
        <f>'GREET1 Fuel_Specs'!$D$90</f>
        <v>13583444.58426456</v>
      </c>
      <c r="W21">
        <f>'GREET1 Fuel_Specs'!$D$90</f>
        <v>13583444.58426456</v>
      </c>
      <c r="X21">
        <f>'GREET1 Fuel_Specs'!$D$90</f>
        <v>13583444.58426456</v>
      </c>
      <c r="Y21">
        <f>'GREET1 Fuel_Specs'!$D$90</f>
        <v>13583444.58426456</v>
      </c>
      <c r="Z21">
        <f>'GREET1 Fuel_Specs'!$D$90</f>
        <v>13583444.58426456</v>
      </c>
      <c r="AA21">
        <f>'GREET1 Fuel_Specs'!$D$90</f>
        <v>13583444.58426456</v>
      </c>
      <c r="AB21">
        <f>'GREET1 Fuel_Specs'!$D$90</f>
        <v>13583444.58426456</v>
      </c>
    </row>
    <row r="22" spans="1:28" x14ac:dyDescent="0.25">
      <c r="A22" t="s">
        <v>348</v>
      </c>
      <c r="B22">
        <f>'GREET1 Fuel_Specs'!$D$62/'GREET1 Fuel_Specs'!$E$62*10^3</f>
        <v>134509.80392156864</v>
      </c>
      <c r="C22">
        <f>'GREET1 Fuel_Specs'!$D$62/'GREET1 Fuel_Specs'!$E$62*10^3</f>
        <v>134509.80392156864</v>
      </c>
      <c r="D22">
        <f>'GREET1 Fuel_Specs'!$D$62/'GREET1 Fuel_Specs'!$E$62*10^3</f>
        <v>134509.80392156864</v>
      </c>
      <c r="E22">
        <f>'GREET1 Fuel_Specs'!$D$62/'GREET1 Fuel_Specs'!$E$62*10^3</f>
        <v>134509.80392156864</v>
      </c>
      <c r="F22">
        <f>'GREET1 Fuel_Specs'!$D$62/'GREET1 Fuel_Specs'!$E$62*10^3</f>
        <v>134509.80392156864</v>
      </c>
      <c r="G22">
        <f>'GREET1 Fuel_Specs'!$D$62/'GREET1 Fuel_Specs'!$E$62*10^3</f>
        <v>134509.80392156864</v>
      </c>
      <c r="H22">
        <f>'GREET1 Fuel_Specs'!$D$62/'GREET1 Fuel_Specs'!$E$62*10^3</f>
        <v>134509.80392156864</v>
      </c>
      <c r="I22">
        <f>'GREET1 Fuel_Specs'!$D$62/'GREET1 Fuel_Specs'!$E$62*10^3</f>
        <v>134509.80392156864</v>
      </c>
      <c r="J22">
        <f>'GREET1 Fuel_Specs'!$D$62/'GREET1 Fuel_Specs'!$E$62*10^3</f>
        <v>134509.80392156864</v>
      </c>
      <c r="K22">
        <f>'GREET1 Fuel_Specs'!$D$62/'GREET1 Fuel_Specs'!$E$62*10^3</f>
        <v>134509.80392156864</v>
      </c>
      <c r="L22">
        <f>'GREET1 Fuel_Specs'!$D$62/'GREET1 Fuel_Specs'!$E$62*10^3</f>
        <v>134509.80392156864</v>
      </c>
      <c r="M22">
        <f>'GREET1 Fuel_Specs'!$D$62/'GREET1 Fuel_Specs'!$E$62*10^3</f>
        <v>134509.80392156864</v>
      </c>
      <c r="N22">
        <f>'GREET1 Fuel_Specs'!$D$62/'GREET1 Fuel_Specs'!$E$62*10^3</f>
        <v>134509.80392156864</v>
      </c>
      <c r="O22">
        <f>'GREET1 Fuel_Specs'!$D$62/'GREET1 Fuel_Specs'!$E$62*10^3</f>
        <v>134509.80392156864</v>
      </c>
      <c r="P22">
        <f>'GREET1 Fuel_Specs'!$D$62/'GREET1 Fuel_Specs'!$E$62*10^3</f>
        <v>134509.80392156864</v>
      </c>
      <c r="Q22">
        <f>'GREET1 Fuel_Specs'!$D$62/'GREET1 Fuel_Specs'!$E$62*10^3</f>
        <v>134509.80392156864</v>
      </c>
      <c r="R22">
        <f>'GREET1 Fuel_Specs'!$D$62/'GREET1 Fuel_Specs'!$E$62*10^3</f>
        <v>134509.80392156864</v>
      </c>
      <c r="S22">
        <f>'GREET1 Fuel_Specs'!$D$62/'GREET1 Fuel_Specs'!$E$62*10^3</f>
        <v>134509.80392156864</v>
      </c>
      <c r="T22">
        <f>'GREET1 Fuel_Specs'!$D$62/'GREET1 Fuel_Specs'!$E$62*10^3</f>
        <v>134509.80392156864</v>
      </c>
      <c r="U22">
        <f>'GREET1 Fuel_Specs'!$D$62/'GREET1 Fuel_Specs'!$E$62*10^3</f>
        <v>134509.80392156864</v>
      </c>
      <c r="V22">
        <f>'GREET1 Fuel_Specs'!$D$62/'GREET1 Fuel_Specs'!$E$62*10^3</f>
        <v>134509.80392156864</v>
      </c>
      <c r="W22">
        <f>'GREET1 Fuel_Specs'!$D$62/'GREET1 Fuel_Specs'!$E$62*10^3</f>
        <v>134509.80392156864</v>
      </c>
      <c r="X22">
        <f>'GREET1 Fuel_Specs'!$D$62/'GREET1 Fuel_Specs'!$E$62*10^3</f>
        <v>134509.80392156864</v>
      </c>
      <c r="Y22">
        <f>'GREET1 Fuel_Specs'!$D$62/'GREET1 Fuel_Specs'!$E$62*10^3</f>
        <v>134509.80392156864</v>
      </c>
      <c r="Z22">
        <f>'GREET1 Fuel_Specs'!$D$62/'GREET1 Fuel_Specs'!$E$62*10^3</f>
        <v>134509.80392156864</v>
      </c>
      <c r="AA22">
        <f>'GREET1 Fuel_Specs'!$D$62/'GREET1 Fuel_Specs'!$E$62*10^3</f>
        <v>134509.80392156864</v>
      </c>
      <c r="AB22">
        <f>'GREET1 Fuel_Specs'!$D$62/'GREET1 Fuel_Specs'!$E$62*10^3</f>
        <v>134509.80392156864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C11"/>
  <sheetViews>
    <sheetView workbookViewId="0">
      <selection activeCell="B5" sqref="B5"/>
    </sheetView>
  </sheetViews>
  <sheetFormatPr defaultRowHeight="15" x14ac:dyDescent="0.25"/>
  <cols>
    <col min="1" max="1" width="38.28515625" customWidth="1"/>
    <col min="2" max="29" width="11" customWidth="1"/>
  </cols>
  <sheetData>
    <row r="1" spans="1:29" x14ac:dyDescent="0.25">
      <c r="A1" s="1" t="s">
        <v>375</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row>
    <row r="2" spans="1:29" x14ac:dyDescent="0.25">
      <c r="A2" t="s">
        <v>292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C2">
        <v>0</v>
      </c>
    </row>
    <row r="3" spans="1:29" x14ac:dyDescent="0.25">
      <c r="A3" t="s">
        <v>293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C3">
        <v>0</v>
      </c>
    </row>
    <row r="4" spans="1:29" x14ac:dyDescent="0.25">
      <c r="A4" t="s">
        <v>300</v>
      </c>
      <c r="B4" s="4">
        <f>'AEO Table 73'!C32*10^6/gal_per_barrel</f>
        <v>120223.05670238676</v>
      </c>
      <c r="C4" s="4">
        <f>'AEO Table 73'!D32*10^6/gal_per_barrel</f>
        <v>120195.13902210054</v>
      </c>
      <c r="D4" s="4">
        <f>'AEO Table 73'!E32*10^6/gal_per_barrel</f>
        <v>120166.68773832775</v>
      </c>
      <c r="E4" s="4">
        <f>'AEO Table 73'!F32*10^6/gal_per_barrel</f>
        <v>120138.06615556992</v>
      </c>
      <c r="F4" s="4">
        <f>'AEO Table 73'!G32*10^6/gal_per_barrel</f>
        <v>120109.28562709263</v>
      </c>
      <c r="G4" s="4">
        <f>'AEO Table 73'!H32*10^6/gal_per_barrel</f>
        <v>120080.40291922433</v>
      </c>
      <c r="H4" s="4">
        <f>'AEO Table 73'!I32*10^6/gal_per_barrel</f>
        <v>120051.25908624555</v>
      </c>
      <c r="I4" s="4">
        <f>'AEO Table 73'!J32*10^6/gal_per_barrel</f>
        <v>120022.10390000117</v>
      </c>
      <c r="J4" s="4">
        <f>'AEO Table 73'!K32*10^6/gal_per_barrel</f>
        <v>119992.81247456868</v>
      </c>
      <c r="K4" s="4">
        <f>'AEO Table 73'!L32*10^6/gal_per_barrel</f>
        <v>119963.40751647949</v>
      </c>
      <c r="L4" s="4">
        <f>'AEO Table 73'!M32*10^6/gal_per_barrel</f>
        <v>119933.95714532761</v>
      </c>
      <c r="M4" s="4">
        <f>'AEO Table 73'!N32*10^6/gal_per_barrel</f>
        <v>119904.45000784738</v>
      </c>
      <c r="N4" s="4">
        <f>'AEO Table 73'!O32*10^6/gal_per_barrel</f>
        <v>119879.24575805664</v>
      </c>
      <c r="O4" s="4">
        <f>'AEO Table 73'!P32*10^6/gal_per_barrel</f>
        <v>119854.1209811256</v>
      </c>
      <c r="P4" s="4">
        <f>'AEO Table 73'!Q32*10^6/gal_per_barrel</f>
        <v>119829.89311218262</v>
      </c>
      <c r="Q4" s="4">
        <f>'AEO Table 73'!R32*10^6/gal_per_barrel</f>
        <v>119805.89230855308</v>
      </c>
      <c r="R4" s="4">
        <f>'AEO Table 73'!S32*10^6/gal_per_barrel</f>
        <v>119781.94827125187</v>
      </c>
      <c r="S4" s="4">
        <f>'AEO Table 73'!T32*10^6/gal_per_barrel</f>
        <v>119760.25218055362</v>
      </c>
      <c r="T4" s="4">
        <f>'AEO Table 73'!U32*10^6/gal_per_barrel</f>
        <v>119738.27225821359</v>
      </c>
      <c r="U4" s="4">
        <f>'AEO Table 73'!V32*10^6/gal_per_barrel</f>
        <v>119716.43992832729</v>
      </c>
      <c r="V4" s="4">
        <f>'AEO Table 73'!W32*10^6/gal_per_barrel</f>
        <v>119694.85737028575</v>
      </c>
      <c r="W4" s="4">
        <f>'AEO Table 73'!X32*10^6/gal_per_barrel</f>
        <v>119673.28616550991</v>
      </c>
      <c r="X4" s="4">
        <f>'AEO Table 73'!Y32*10^6/gal_per_barrel</f>
        <v>119651.85119992212</v>
      </c>
      <c r="Y4" s="4">
        <f>'AEO Table 73'!Z32*10^6/gal_per_barrel</f>
        <v>119630.34811474028</v>
      </c>
      <c r="Z4" s="4">
        <f>'AEO Table 73'!AA32*10^6/gal_per_barrel</f>
        <v>119608.50443158831</v>
      </c>
      <c r="AA4" s="4">
        <f>'AEO Table 73'!AB32*10^6/gal_per_barrel</f>
        <v>119586.72886803036</v>
      </c>
      <c r="AB4" s="4"/>
      <c r="AC4" s="4">
        <f>'AEO Table 73'!AD32*10^6/gal_per_barrel</f>
        <v>-5.0246875992093498</v>
      </c>
    </row>
    <row r="5" spans="1:29" x14ac:dyDescent="0.25">
      <c r="A5" t="s">
        <v>301</v>
      </c>
      <c r="B5" s="4">
        <f>'AEO Table 73'!C19*10^6/gal_per_barrel</f>
        <v>138690.47164916992</v>
      </c>
      <c r="C5" s="4">
        <f>'AEO Table 73'!D19*10^6/gal_per_barrel</f>
        <v>138690.47164916992</v>
      </c>
      <c r="D5" s="4">
        <f>'AEO Table 73'!E19*10^6/gal_per_barrel</f>
        <v>138690.47164916992</v>
      </c>
      <c r="E5" s="4">
        <f>'AEO Table 73'!F19*10^6/gal_per_barrel</f>
        <v>138690.47164916992</v>
      </c>
      <c r="F5" s="4">
        <f>'AEO Table 73'!G19*10^6/gal_per_barrel</f>
        <v>138690.47164916992</v>
      </c>
      <c r="G5" s="4">
        <f>'AEO Table 73'!H19*10^6/gal_per_barrel</f>
        <v>138690.47164916992</v>
      </c>
      <c r="H5" s="4">
        <f>'AEO Table 73'!I19*10^6/gal_per_barrel</f>
        <v>138690.47164916992</v>
      </c>
      <c r="I5" s="4">
        <f>'AEO Table 73'!J19*10^6/gal_per_barrel</f>
        <v>138690.47164916992</v>
      </c>
      <c r="J5" s="4">
        <f>'AEO Table 73'!K19*10^6/gal_per_barrel</f>
        <v>138690.47164916992</v>
      </c>
      <c r="K5" s="4">
        <f>'AEO Table 73'!L19*10^6/gal_per_barrel</f>
        <v>138690.47164916992</v>
      </c>
      <c r="L5" s="4">
        <f>'AEO Table 73'!M19*10^6/gal_per_barrel</f>
        <v>138690.47164916992</v>
      </c>
      <c r="M5" s="4">
        <f>'AEO Table 73'!N19*10^6/gal_per_barrel</f>
        <v>138690.47164916992</v>
      </c>
      <c r="N5" s="4">
        <f>'AEO Table 73'!O19*10^6/gal_per_barrel</f>
        <v>138690.47164916992</v>
      </c>
      <c r="O5" s="4">
        <f>'AEO Table 73'!P19*10^6/gal_per_barrel</f>
        <v>138690.47164916992</v>
      </c>
      <c r="P5" s="4">
        <f>'AEO Table 73'!Q19*10^6/gal_per_barrel</f>
        <v>138690.47164916992</v>
      </c>
      <c r="Q5" s="4">
        <f>'AEO Table 73'!R19*10^6/gal_per_barrel</f>
        <v>138690.47164916992</v>
      </c>
      <c r="R5" s="4">
        <f>'AEO Table 73'!S19*10^6/gal_per_barrel</f>
        <v>138690.47164916992</v>
      </c>
      <c r="S5" s="4">
        <f>'AEO Table 73'!T19*10^6/gal_per_barrel</f>
        <v>138690.47164916992</v>
      </c>
      <c r="T5" s="4">
        <f>'AEO Table 73'!U19*10^6/gal_per_barrel</f>
        <v>138690.47164916992</v>
      </c>
      <c r="U5" s="4">
        <f>'AEO Table 73'!V19*10^6/gal_per_barrel</f>
        <v>138690.47164916992</v>
      </c>
      <c r="V5" s="4">
        <f>'AEO Table 73'!W19*10^6/gal_per_barrel</f>
        <v>138690.47164916992</v>
      </c>
      <c r="W5" s="4">
        <f>'AEO Table 73'!X19*10^6/gal_per_barrel</f>
        <v>138690.47164916992</v>
      </c>
      <c r="X5" s="4">
        <f>'AEO Table 73'!Y19*10^6/gal_per_barrel</f>
        <v>138690.47164916992</v>
      </c>
      <c r="Y5" s="4">
        <f>'AEO Table 73'!Z19*10^6/gal_per_barrel</f>
        <v>138690.47164916992</v>
      </c>
      <c r="Z5" s="4">
        <f>'AEO Table 73'!AA19*10^6/gal_per_barrel</f>
        <v>138690.47164916992</v>
      </c>
      <c r="AA5" s="4">
        <f>'AEO Table 73'!AB19*10^6/gal_per_barrel</f>
        <v>138690.47164916992</v>
      </c>
      <c r="AB5" s="4"/>
      <c r="AC5" s="4">
        <f>'AEO Table 73'!AD19*10^6/gal_per_barrel</f>
        <v>0</v>
      </c>
    </row>
    <row r="6" spans="1:29" x14ac:dyDescent="0.25">
      <c r="A6" t="s">
        <v>294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C6">
        <v>0</v>
      </c>
    </row>
    <row r="7" spans="1:29" x14ac:dyDescent="0.25">
      <c r="A7" t="s">
        <v>295</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C7">
        <v>0</v>
      </c>
    </row>
    <row r="8" spans="1:29" x14ac:dyDescent="0.25">
      <c r="A8" t="s">
        <v>302</v>
      </c>
      <c r="B8" s="4">
        <f>'AEO Table 73'!C30*10^6/gal_per_barrel</f>
        <v>135000.0018165225</v>
      </c>
      <c r="C8" s="4">
        <f>'AEO Table 73'!D30*10^6/gal_per_barrel</f>
        <v>135000.0018165225</v>
      </c>
      <c r="D8" s="4">
        <f>'AEO Table 73'!E30*10^6/gal_per_barrel</f>
        <v>135000.0018165225</v>
      </c>
      <c r="E8" s="4">
        <f>'AEO Table 73'!F30*10^6/gal_per_barrel</f>
        <v>135000.0018165225</v>
      </c>
      <c r="F8" s="4">
        <f>'AEO Table 73'!G30*10^6/gal_per_barrel</f>
        <v>135000.0018165225</v>
      </c>
      <c r="G8" s="4">
        <f>'AEO Table 73'!H30*10^6/gal_per_barrel</f>
        <v>135000.0018165225</v>
      </c>
      <c r="H8" s="4">
        <f>'AEO Table 73'!I30*10^6/gal_per_barrel</f>
        <v>135000.0018165225</v>
      </c>
      <c r="I8" s="4">
        <f>'AEO Table 73'!J30*10^6/gal_per_barrel</f>
        <v>135000.0018165225</v>
      </c>
      <c r="J8" s="4">
        <f>'AEO Table 73'!K30*10^6/gal_per_barrel</f>
        <v>135000.0018165225</v>
      </c>
      <c r="K8" s="4">
        <f>'AEO Table 73'!L30*10^6/gal_per_barrel</f>
        <v>135000.0018165225</v>
      </c>
      <c r="L8" s="4">
        <f>'AEO Table 73'!M30*10^6/gal_per_barrel</f>
        <v>135000.0018165225</v>
      </c>
      <c r="M8" s="4">
        <f>'AEO Table 73'!N30*10^6/gal_per_barrel</f>
        <v>135000.0018165225</v>
      </c>
      <c r="N8" s="4">
        <f>'AEO Table 73'!O30*10^6/gal_per_barrel</f>
        <v>135000.0018165225</v>
      </c>
      <c r="O8" s="4">
        <f>'AEO Table 73'!P30*10^6/gal_per_barrel</f>
        <v>135000.0018165225</v>
      </c>
      <c r="P8" s="4">
        <f>'AEO Table 73'!Q30*10^6/gal_per_barrel</f>
        <v>135000.0018165225</v>
      </c>
      <c r="Q8" s="4">
        <f>'AEO Table 73'!R30*10^6/gal_per_barrel</f>
        <v>135000.0018165225</v>
      </c>
      <c r="R8" s="4">
        <f>'AEO Table 73'!S30*10^6/gal_per_barrel</f>
        <v>135000.0018165225</v>
      </c>
      <c r="S8" s="4">
        <f>'AEO Table 73'!T30*10^6/gal_per_barrel</f>
        <v>135000.0018165225</v>
      </c>
      <c r="T8" s="4">
        <f>'AEO Table 73'!U30*10^6/gal_per_barrel</f>
        <v>135000.0018165225</v>
      </c>
      <c r="U8" s="4">
        <f>'AEO Table 73'!V30*10^6/gal_per_barrel</f>
        <v>135000.0018165225</v>
      </c>
      <c r="V8" s="4">
        <f>'AEO Table 73'!W30*10^6/gal_per_barrel</f>
        <v>135000.0018165225</v>
      </c>
      <c r="W8" s="4">
        <f>'AEO Table 73'!X30*10^6/gal_per_barrel</f>
        <v>135000.0018165225</v>
      </c>
      <c r="X8" s="4">
        <f>'AEO Table 73'!Y30*10^6/gal_per_barrel</f>
        <v>135000.0018165225</v>
      </c>
      <c r="Y8" s="4">
        <f>'AEO Table 73'!Z30*10^6/gal_per_barrel</f>
        <v>135000.0018165225</v>
      </c>
      <c r="Z8" s="4">
        <f>'AEO Table 73'!AA30*10^6/gal_per_barrel</f>
        <v>135000.0018165225</v>
      </c>
      <c r="AA8" s="4">
        <f>'AEO Table 73'!AB30*10^6/gal_per_barrel</f>
        <v>135000.0018165225</v>
      </c>
      <c r="AB8" s="4"/>
      <c r="AC8" s="4">
        <f>'AEO Table 73'!AD30*10^6/gal_per_barrel</f>
        <v>0</v>
      </c>
    </row>
    <row r="9" spans="1:29" x14ac:dyDescent="0.25">
      <c r="A9" t="s">
        <v>372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C9">
        <v>0</v>
      </c>
    </row>
    <row r="10" spans="1:29" x14ac:dyDescent="0.25">
      <c r="A10" t="s">
        <v>351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C10">
        <v>0</v>
      </c>
    </row>
    <row r="11" spans="1:29" x14ac:dyDescent="0.25">
      <c r="A11" t="s">
        <v>348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C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B2"/>
  <sheetViews>
    <sheetView workbookViewId="0">
      <selection activeCell="B2" sqref="B2"/>
    </sheetView>
  </sheetViews>
  <sheetFormatPr defaultRowHeight="15" x14ac:dyDescent="0.25"/>
  <cols>
    <col min="2" max="2" width="12" bestFit="1" customWidth="1"/>
  </cols>
  <sheetData>
    <row r="1" spans="1:2" x14ac:dyDescent="0.25">
      <c r="B1" t="s">
        <v>374</v>
      </c>
    </row>
    <row r="2" spans="1:2" x14ac:dyDescent="0.25">
      <c r="A2" t="s">
        <v>281</v>
      </c>
      <c r="B2">
        <f>CONVERT(About!A77,"kg","lbm")*1000000000</f>
        <v>134510640026859.36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7D541-9B8A-44C9-8F50-D7BD086C4684}">
  <sheetPr>
    <tabColor theme="3"/>
  </sheetPr>
  <dimension ref="A1:A3"/>
  <sheetViews>
    <sheetView workbookViewId="0">
      <selection activeCell="A2" sqref="A2"/>
    </sheetView>
  </sheetViews>
  <sheetFormatPr defaultRowHeight="15" x14ac:dyDescent="0.25"/>
  <cols>
    <col min="1" max="1" width="12" bestFit="1" customWidth="1"/>
  </cols>
  <sheetData>
    <row r="1" spans="1:1" x14ac:dyDescent="0.25">
      <c r="A1" t="s">
        <v>402</v>
      </c>
    </row>
    <row r="2" spans="1:1" x14ac:dyDescent="0.25">
      <c r="A2">
        <f>CONVERT(About!A77,"kg","lbm")*1000000000</f>
        <v>134510640026859.36</v>
      </c>
    </row>
    <row r="3" spans="1:1" x14ac:dyDescent="0.25">
      <c r="A3" s="16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About</vt:lpstr>
      <vt:lpstr>AEO Table 73</vt:lpstr>
      <vt:lpstr>GREET1 Fuel_Specs</vt:lpstr>
      <vt:lpstr>BCF-BpLFOU</vt:lpstr>
      <vt:lpstr>BCF-BpSFOU</vt:lpstr>
      <vt:lpstr>BCF-VFEUCF</vt:lpstr>
      <vt:lpstr>BCF-BpEIEOU</vt:lpstr>
      <vt:lpstr>BCF-BpMMTH</vt:lpstr>
      <vt:lpstr>gal_per_barrel</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2014-08-06T22:04:45Z</dcterms:created>
  <dcterms:modified xsi:type="dcterms:W3CDTF">2025-12-12T23:04:08Z</dcterms:modified>
</cp:coreProperties>
</file>