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DanO'Brien\Models\EPS\US\eps-us\InputData\"/>
    </mc:Choice>
  </mc:AlternateContent>
  <xr:revisionPtr revIDLastSave="0" documentId="13_ncr:1_{B52FB289-400C-459F-81A0-EAAC49ACCC0C}" xr6:coauthVersionLast="47" xr6:coauthVersionMax="47" xr10:uidLastSave="{00000000-0000-0000-0000-000000000000}"/>
  <bookViews>
    <workbookView xWindow="120" yWindow="20" windowWidth="19180" windowHeight="1126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12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51" i="1" l="1"/>
  <c r="I1151" i="1" s="1"/>
  <c r="G1151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G1000" i="1"/>
  <c r="H999" i="1"/>
  <c r="I999" i="1" s="1"/>
  <c r="G999" i="1"/>
  <c r="H998" i="1"/>
  <c r="I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G981" i="1"/>
  <c r="H980" i="1"/>
  <c r="I980" i="1" s="1"/>
  <c r="G980" i="1"/>
  <c r="H979" i="1"/>
  <c r="I979" i="1" s="1"/>
  <c r="G979" i="1"/>
  <c r="H978" i="1"/>
  <c r="I978" i="1" s="1"/>
  <c r="G978" i="1"/>
  <c r="H977" i="1"/>
  <c r="I977" i="1" s="1"/>
  <c r="G977" i="1"/>
  <c r="H976" i="1"/>
  <c r="I976" i="1" s="1"/>
  <c r="G976" i="1"/>
  <c r="H975" i="1"/>
  <c r="I975" i="1" s="1"/>
  <c r="G975" i="1"/>
  <c r="H974" i="1"/>
  <c r="I974" i="1" s="1"/>
  <c r="G974" i="1"/>
  <c r="H973" i="1"/>
  <c r="I973" i="1" s="1"/>
  <c r="G973" i="1"/>
  <c r="H972" i="1"/>
  <c r="I972" i="1" s="1"/>
  <c r="G972" i="1"/>
  <c r="H971" i="1"/>
  <c r="I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G967" i="1"/>
  <c r="H966" i="1"/>
  <c r="I966" i="1" s="1"/>
  <c r="G966" i="1"/>
  <c r="H965" i="1"/>
  <c r="I965" i="1" s="1"/>
  <c r="G965" i="1"/>
  <c r="H964" i="1"/>
  <c r="I964" i="1" s="1"/>
  <c r="G964" i="1"/>
  <c r="H963" i="1"/>
  <c r="I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G959" i="1"/>
  <c r="H958" i="1"/>
  <c r="I958" i="1" s="1"/>
  <c r="G958" i="1"/>
  <c r="H957" i="1"/>
  <c r="I957" i="1" s="1"/>
  <c r="G957" i="1"/>
  <c r="H956" i="1"/>
  <c r="I956" i="1" s="1"/>
  <c r="G956" i="1"/>
  <c r="H955" i="1"/>
  <c r="I955" i="1" s="1"/>
  <c r="G955" i="1"/>
  <c r="H954" i="1"/>
  <c r="I954" i="1" s="1"/>
  <c r="G954" i="1"/>
  <c r="H953" i="1"/>
  <c r="I953" i="1" s="1"/>
  <c r="G953" i="1"/>
  <c r="H952" i="1"/>
  <c r="I952" i="1" s="1"/>
  <c r="G952" i="1"/>
  <c r="H951" i="1"/>
  <c r="I951" i="1" s="1"/>
  <c r="G951" i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G918" i="1"/>
  <c r="H918" i="1"/>
  <c r="I918" i="1" s="1"/>
  <c r="J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J938" i="1" s="1"/>
  <c r="G939" i="1"/>
  <c r="H939" i="1"/>
  <c r="I939" i="1" s="1"/>
  <c r="G940" i="1"/>
  <c r="H940" i="1"/>
  <c r="I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G945" i="1"/>
  <c r="H945" i="1"/>
  <c r="I945" i="1" s="1"/>
  <c r="G946" i="1"/>
  <c r="H946" i="1"/>
  <c r="I946" i="1" s="1"/>
  <c r="G947" i="1"/>
  <c r="H947" i="1"/>
  <c r="I947" i="1" s="1"/>
  <c r="J947" i="1" s="1"/>
  <c r="G948" i="1"/>
  <c r="H948" i="1"/>
  <c r="I948" i="1" s="1"/>
  <c r="G949" i="1"/>
  <c r="H949" i="1"/>
  <c r="I949" i="1" s="1"/>
  <c r="G950" i="1"/>
  <c r="H950" i="1"/>
  <c r="I950" i="1" s="1"/>
  <c r="J945" i="1" l="1"/>
  <c r="J960" i="1"/>
  <c r="J970" i="1"/>
  <c r="J926" i="1"/>
  <c r="J906" i="1"/>
  <c r="J886" i="1"/>
  <c r="J958" i="1"/>
  <c r="J978" i="1"/>
  <c r="J968" i="1"/>
  <c r="J949" i="1"/>
  <c r="J940" i="1"/>
  <c r="J930" i="1"/>
  <c r="J910" i="1"/>
  <c r="J890" i="1"/>
  <c r="J934" i="1"/>
  <c r="J894" i="1"/>
  <c r="J991" i="1"/>
  <c r="J993" i="1"/>
  <c r="J956" i="1"/>
  <c r="J966" i="1"/>
  <c r="J964" i="1"/>
  <c r="J974" i="1"/>
  <c r="J942" i="1"/>
  <c r="J952" i="1"/>
  <c r="J972" i="1"/>
  <c r="J1029" i="1"/>
  <c r="J1027" i="1"/>
  <c r="J1031" i="1"/>
  <c r="J1035" i="1"/>
  <c r="J1115" i="1"/>
  <c r="J1127" i="1"/>
  <c r="J1131" i="1"/>
  <c r="J1003" i="1"/>
  <c r="J1117" i="1"/>
  <c r="J1061" i="1"/>
  <c r="J1120" i="1"/>
  <c r="J1075" i="1"/>
  <c r="J1045" i="1"/>
  <c r="J1093" i="1"/>
  <c r="J977" i="1"/>
  <c r="J981" i="1"/>
  <c r="J1011" i="1"/>
  <c r="J1076" i="1"/>
  <c r="J951" i="1"/>
  <c r="J955" i="1"/>
  <c r="J1024" i="1"/>
  <c r="J1043" i="1"/>
  <c r="J1088" i="1"/>
  <c r="J1095" i="1"/>
  <c r="J1099" i="1"/>
  <c r="J1111" i="1"/>
  <c r="J975" i="1"/>
  <c r="J979" i="1"/>
  <c r="J1005" i="1"/>
  <c r="J1021" i="1"/>
  <c r="J1044" i="1"/>
  <c r="J1139" i="1"/>
  <c r="J1147" i="1"/>
  <c r="J983" i="1"/>
  <c r="J989" i="1"/>
  <c r="J1053" i="1"/>
  <c r="J1090" i="1"/>
  <c r="J1108" i="1"/>
  <c r="J999" i="1"/>
  <c r="J1013" i="1"/>
  <c r="J1028" i="1"/>
  <c r="J1072" i="1"/>
  <c r="J1079" i="1"/>
  <c r="J1083" i="1"/>
  <c r="J1101" i="1"/>
  <c r="J1123" i="1"/>
  <c r="J1138" i="1"/>
  <c r="J1141" i="1"/>
  <c r="J1149" i="1"/>
  <c r="J954" i="1"/>
  <c r="J965" i="1"/>
  <c r="J976" i="1"/>
  <c r="J980" i="1"/>
  <c r="J997" i="1"/>
  <c r="J1047" i="1"/>
  <c r="J1051" i="1"/>
  <c r="J1069" i="1"/>
  <c r="J1091" i="1"/>
  <c r="J1106" i="1"/>
  <c r="J1109" i="1"/>
  <c r="J1124" i="1"/>
  <c r="J959" i="1"/>
  <c r="J962" i="1"/>
  <c r="J1008" i="1"/>
  <c r="J1015" i="1"/>
  <c r="J1019" i="1"/>
  <c r="J1037" i="1"/>
  <c r="J1059" i="1"/>
  <c r="J1077" i="1"/>
  <c r="J1092" i="1"/>
  <c r="J1136" i="1"/>
  <c r="J1143" i="1"/>
  <c r="J963" i="1"/>
  <c r="J985" i="1"/>
  <c r="J992" i="1"/>
  <c r="J1012" i="1"/>
  <c r="J1056" i="1"/>
  <c r="J1063" i="1"/>
  <c r="J1067" i="1"/>
  <c r="J1085" i="1"/>
  <c r="J1107" i="1"/>
  <c r="J1122" i="1"/>
  <c r="J1125" i="1"/>
  <c r="J1140" i="1"/>
  <c r="J1060" i="1"/>
  <c r="J1133" i="1"/>
  <c r="J953" i="1"/>
  <c r="J969" i="1"/>
  <c r="J973" i="1"/>
  <c r="J987" i="1"/>
  <c r="J1040" i="1"/>
  <c r="J957" i="1"/>
  <c r="J967" i="1"/>
  <c r="J961" i="1"/>
  <c r="J971" i="1"/>
  <c r="J1104" i="1"/>
  <c r="J1018" i="1"/>
  <c r="J1050" i="1"/>
  <c r="J1098" i="1"/>
  <c r="J990" i="1"/>
  <c r="J1000" i="1"/>
  <c r="J1006" i="1"/>
  <c r="J1009" i="1"/>
  <c r="J1022" i="1"/>
  <c r="J1025" i="1"/>
  <c r="J1038" i="1"/>
  <c r="J1041" i="1"/>
  <c r="J1054" i="1"/>
  <c r="J1057" i="1"/>
  <c r="J1070" i="1"/>
  <c r="J1073" i="1"/>
  <c r="J1086" i="1"/>
  <c r="J1089" i="1"/>
  <c r="J1102" i="1"/>
  <c r="J1105" i="1"/>
  <c r="J1118" i="1"/>
  <c r="J1121" i="1"/>
  <c r="J1134" i="1"/>
  <c r="J1137" i="1"/>
  <c r="J1150" i="1"/>
  <c r="J1066" i="1"/>
  <c r="J1082" i="1"/>
  <c r="J1114" i="1"/>
  <c r="J988" i="1"/>
  <c r="J1032" i="1"/>
  <c r="J1064" i="1"/>
  <c r="J1080" i="1"/>
  <c r="J1096" i="1"/>
  <c r="J1112" i="1"/>
  <c r="J1128" i="1"/>
  <c r="J1144" i="1"/>
  <c r="J1146" i="1"/>
  <c r="J998" i="1"/>
  <c r="J1026" i="1"/>
  <c r="J1042" i="1"/>
  <c r="J1058" i="1"/>
  <c r="J1074" i="1"/>
  <c r="J994" i="1"/>
  <c r="J1002" i="1"/>
  <c r="J995" i="1"/>
  <c r="J1016" i="1"/>
  <c r="J1048" i="1"/>
  <c r="J986" i="1"/>
  <c r="J1010" i="1"/>
  <c r="J984" i="1"/>
  <c r="J1001" i="1"/>
  <c r="J1004" i="1"/>
  <c r="J1007" i="1"/>
  <c r="J1020" i="1"/>
  <c r="J1023" i="1"/>
  <c r="J1036" i="1"/>
  <c r="J1039" i="1"/>
  <c r="J1052" i="1"/>
  <c r="J1055" i="1"/>
  <c r="J1068" i="1"/>
  <c r="J1071" i="1"/>
  <c r="J1084" i="1"/>
  <c r="J1087" i="1"/>
  <c r="J1100" i="1"/>
  <c r="J1103" i="1"/>
  <c r="J1116" i="1"/>
  <c r="J1119" i="1"/>
  <c r="J1132" i="1"/>
  <c r="J1135" i="1"/>
  <c r="J1148" i="1"/>
  <c r="J1151" i="1"/>
  <c r="J1034" i="1"/>
  <c r="J1130" i="1"/>
  <c r="J982" i="1"/>
  <c r="J996" i="1"/>
  <c r="J1014" i="1"/>
  <c r="J1017" i="1"/>
  <c r="J1030" i="1"/>
  <c r="J1033" i="1"/>
  <c r="J1046" i="1"/>
  <c r="J1049" i="1"/>
  <c r="J1062" i="1"/>
  <c r="J1065" i="1"/>
  <c r="J1078" i="1"/>
  <c r="J1081" i="1"/>
  <c r="J1094" i="1"/>
  <c r="J1097" i="1"/>
  <c r="J1110" i="1"/>
  <c r="J1113" i="1"/>
  <c r="J1126" i="1"/>
  <c r="J1129" i="1"/>
  <c r="J1142" i="1"/>
  <c r="J1145" i="1"/>
  <c r="J928" i="1"/>
  <c r="J916" i="1"/>
  <c r="J900" i="1"/>
  <c r="J896" i="1"/>
  <c r="J892" i="1"/>
  <c r="J932" i="1"/>
  <c r="J912" i="1"/>
  <c r="J908" i="1"/>
  <c r="J907" i="1"/>
  <c r="J902" i="1"/>
  <c r="J924" i="1"/>
  <c r="J914" i="1"/>
  <c r="J950" i="1"/>
  <c r="J904" i="1"/>
  <c r="J931" i="1"/>
  <c r="J911" i="1"/>
  <c r="J922" i="1"/>
  <c r="J903" i="1"/>
  <c r="J923" i="1"/>
  <c r="J919" i="1"/>
  <c r="J895" i="1"/>
  <c r="J943" i="1"/>
  <c r="J920" i="1"/>
  <c r="J946" i="1"/>
  <c r="J936" i="1"/>
  <c r="J899" i="1"/>
  <c r="J888" i="1"/>
  <c r="J939" i="1"/>
  <c r="J935" i="1"/>
  <c r="J898" i="1"/>
  <c r="J891" i="1"/>
  <c r="J887" i="1"/>
  <c r="J927" i="1"/>
  <c r="J915" i="1"/>
  <c r="J944" i="1"/>
  <c r="J929" i="1"/>
  <c r="J913" i="1"/>
  <c r="J897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836" i="1"/>
  <c r="J941" i="1"/>
  <c r="J925" i="1"/>
  <c r="J909" i="1"/>
  <c r="J893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J835" i="1"/>
  <c r="J937" i="1"/>
  <c r="J921" i="1"/>
  <c r="J905" i="1"/>
  <c r="J889" i="1"/>
  <c r="J882" i="1"/>
  <c r="J878" i="1"/>
  <c r="J874" i="1"/>
  <c r="J870" i="1"/>
  <c r="J866" i="1"/>
  <c r="J862" i="1"/>
  <c r="J858" i="1"/>
  <c r="J854" i="1"/>
  <c r="J850" i="1"/>
  <c r="J846" i="1"/>
  <c r="J842" i="1"/>
  <c r="J838" i="1"/>
  <c r="J834" i="1"/>
  <c r="J948" i="1"/>
  <c r="J933" i="1"/>
  <c r="J917" i="1"/>
  <c r="J901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837" i="1"/>
  <c r="J833" i="1"/>
  <c r="G770" i="1"/>
  <c r="H770" i="1"/>
  <c r="I770" i="1" s="1"/>
  <c r="G771" i="1"/>
  <c r="H771" i="1"/>
  <c r="I771" i="1" s="1"/>
  <c r="G772" i="1"/>
  <c r="H772" i="1"/>
  <c r="I772" i="1" s="1"/>
  <c r="G773" i="1"/>
  <c r="H773" i="1"/>
  <c r="I773" i="1" s="1"/>
  <c r="G774" i="1"/>
  <c r="H774" i="1"/>
  <c r="I774" i="1" s="1"/>
  <c r="G775" i="1"/>
  <c r="H775" i="1"/>
  <c r="I775" i="1" s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J829" i="1" l="1"/>
  <c r="J825" i="1"/>
  <c r="J821" i="1"/>
  <c r="J817" i="1"/>
  <c r="J813" i="1"/>
  <c r="J810" i="1"/>
  <c r="J808" i="1"/>
  <c r="J805" i="1"/>
  <c r="J801" i="1"/>
  <c r="J797" i="1"/>
  <c r="J793" i="1"/>
  <c r="J789" i="1"/>
  <c r="J785" i="1"/>
  <c r="J781" i="1"/>
  <c r="J777" i="1"/>
  <c r="J773" i="1"/>
  <c r="J832" i="1"/>
  <c r="J828" i="1"/>
  <c r="J824" i="1"/>
  <c r="J820" i="1"/>
  <c r="J816" i="1"/>
  <c r="J807" i="1"/>
  <c r="J804" i="1"/>
  <c r="J800" i="1"/>
  <c r="J796" i="1"/>
  <c r="J792" i="1"/>
  <c r="J788" i="1"/>
  <c r="J784" i="1"/>
  <c r="J780" i="1"/>
  <c r="J776" i="1"/>
  <c r="J772" i="1"/>
  <c r="J831" i="1"/>
  <c r="J827" i="1"/>
  <c r="J823" i="1"/>
  <c r="J819" i="1"/>
  <c r="J815" i="1"/>
  <c r="J812" i="1"/>
  <c r="J809" i="1"/>
  <c r="J806" i="1"/>
  <c r="J803" i="1"/>
  <c r="J799" i="1"/>
  <c r="J795" i="1"/>
  <c r="J791" i="1"/>
  <c r="J787" i="1"/>
  <c r="J783" i="1"/>
  <c r="J779" i="1"/>
  <c r="J775" i="1"/>
  <c r="J771" i="1"/>
  <c r="J830" i="1"/>
  <c r="J826" i="1"/>
  <c r="J822" i="1"/>
  <c r="J818" i="1"/>
  <c r="J814" i="1"/>
  <c r="J811" i="1"/>
  <c r="J802" i="1"/>
  <c r="J798" i="1"/>
  <c r="J794" i="1"/>
  <c r="J790" i="1"/>
  <c r="J786" i="1"/>
  <c r="J782" i="1"/>
  <c r="J778" i="1"/>
  <c r="J774" i="1"/>
  <c r="J770" i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59" i="1"/>
  <c r="I459" i="1" s="1"/>
  <c r="H460" i="1"/>
  <c r="I460" i="1" s="1"/>
  <c r="H461" i="1"/>
  <c r="I461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522" i="1"/>
  <c r="I522" i="1" s="1"/>
  <c r="H523" i="1"/>
  <c r="I523" i="1" s="1"/>
  <c r="H524" i="1"/>
  <c r="I524" i="1" s="1"/>
  <c r="H537" i="1"/>
  <c r="I537" i="1" s="1"/>
  <c r="H538" i="1"/>
  <c r="I538" i="1" s="1"/>
  <c r="H539" i="1"/>
  <c r="I539" i="1" s="1"/>
  <c r="H540" i="1"/>
  <c r="I540" i="1" s="1"/>
  <c r="H541" i="1"/>
  <c r="I541" i="1" s="1"/>
  <c r="H577" i="1"/>
  <c r="I577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6" i="1"/>
  <c r="I6" i="1" s="1"/>
  <c r="G709" i="1" l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08" i="1"/>
  <c r="J708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J459" i="1" s="1"/>
  <c r="G460" i="1"/>
  <c r="J460" i="1" s="1"/>
  <c r="G461" i="1"/>
  <c r="J461" i="1" s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J522" i="1" s="1"/>
  <c r="G523" i="1"/>
  <c r="J523" i="1" s="1"/>
  <c r="G524" i="1"/>
  <c r="J524" i="1" s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J537" i="1" s="1"/>
  <c r="G538" i="1"/>
  <c r="J538" i="1" s="1"/>
  <c r="G539" i="1"/>
  <c r="J539" i="1" s="1"/>
  <c r="G540" i="1"/>
  <c r="J540" i="1" s="1"/>
  <c r="G541" i="1"/>
  <c r="J541" i="1" s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J577" i="1" s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G612" i="1"/>
  <c r="G613" i="1"/>
  <c r="G614" i="1"/>
  <c r="G615" i="1"/>
  <c r="G616" i="1"/>
  <c r="G617" i="1"/>
  <c r="G618" i="1"/>
  <c r="G619" i="1"/>
  <c r="G620" i="1"/>
  <c r="G621" i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J6" i="1" l="1"/>
  <c r="H437" i="1" l="1"/>
  <c r="I437" i="1" s="1"/>
  <c r="J437" i="1" s="1"/>
  <c r="H438" i="1"/>
  <c r="I438" i="1" s="1"/>
  <c r="J438" i="1" s="1"/>
  <c r="H436" i="1" l="1"/>
  <c r="I436" i="1" s="1"/>
  <c r="J436" i="1" s="1"/>
  <c r="H445" i="1" l="1"/>
  <c r="I445" i="1" s="1"/>
  <c r="J445" i="1" s="1"/>
  <c r="H443" i="1"/>
  <c r="I443" i="1" s="1"/>
  <c r="J443" i="1" s="1"/>
  <c r="H444" i="1"/>
  <c r="I444" i="1" s="1"/>
  <c r="J444" i="1" s="1"/>
  <c r="H446" i="1"/>
  <c r="I446" i="1" s="1"/>
  <c r="J446" i="1" s="1"/>
  <c r="H439" i="1"/>
  <c r="I439" i="1" s="1"/>
  <c r="J439" i="1" s="1"/>
  <c r="H440" i="1" l="1"/>
  <c r="I440" i="1" s="1"/>
  <c r="J440" i="1" s="1"/>
  <c r="H441" i="1"/>
  <c r="I441" i="1" s="1"/>
  <c r="J441" i="1" s="1"/>
  <c r="H442" i="1"/>
  <c r="I442" i="1" s="1"/>
  <c r="J442" i="1" s="1"/>
  <c r="H449" i="1"/>
  <c r="I449" i="1" s="1"/>
  <c r="J449" i="1" s="1"/>
  <c r="H452" i="1" l="1"/>
  <c r="I452" i="1" s="1"/>
  <c r="J452" i="1" s="1"/>
  <c r="H450" i="1"/>
  <c r="I450" i="1" s="1"/>
  <c r="J450" i="1" s="1"/>
  <c r="H448" i="1"/>
  <c r="I448" i="1" s="1"/>
  <c r="J448" i="1" s="1"/>
  <c r="H451" i="1"/>
  <c r="I451" i="1" s="1"/>
  <c r="J451" i="1" s="1"/>
  <c r="H447" i="1"/>
  <c r="I447" i="1" s="1"/>
  <c r="J447" i="1" s="1"/>
  <c r="H458" i="1" l="1"/>
  <c r="I458" i="1" s="1"/>
  <c r="J458" i="1" s="1"/>
  <c r="H455" i="1"/>
  <c r="I455" i="1" s="1"/>
  <c r="J455" i="1" s="1"/>
  <c r="H454" i="1"/>
  <c r="I454" i="1" s="1"/>
  <c r="J454" i="1" s="1"/>
  <c r="H457" i="1"/>
  <c r="I457" i="1" s="1"/>
  <c r="J457" i="1" s="1"/>
  <c r="H456" i="1"/>
  <c r="I456" i="1" s="1"/>
  <c r="J456" i="1" s="1"/>
  <c r="H453" i="1"/>
  <c r="I453" i="1" s="1"/>
  <c r="J453" i="1" s="1"/>
  <c r="H506" i="1" l="1"/>
  <c r="I506" i="1" s="1"/>
  <c r="J506" i="1" s="1"/>
  <c r="H501" i="1"/>
  <c r="I501" i="1" s="1"/>
  <c r="J501" i="1" s="1"/>
  <c r="H499" i="1"/>
  <c r="I499" i="1" s="1"/>
  <c r="J499" i="1" s="1"/>
  <c r="H503" i="1"/>
  <c r="I503" i="1" s="1"/>
  <c r="J503" i="1" s="1"/>
  <c r="H500" i="1"/>
  <c r="I500" i="1" s="1"/>
  <c r="J500" i="1" s="1"/>
  <c r="H502" i="1"/>
  <c r="I502" i="1" s="1"/>
  <c r="J502" i="1" s="1"/>
  <c r="H504" i="1" l="1"/>
  <c r="I504" i="1" s="1"/>
  <c r="J504" i="1" s="1"/>
  <c r="H505" i="1"/>
  <c r="I505" i="1" s="1"/>
  <c r="J505" i="1" s="1"/>
  <c r="H507" i="1"/>
  <c r="I507" i="1" s="1"/>
  <c r="J507" i="1" s="1"/>
  <c r="H508" i="1"/>
  <c r="I508" i="1" s="1"/>
  <c r="J508" i="1" s="1"/>
  <c r="H509" i="1"/>
  <c r="I509" i="1" s="1"/>
  <c r="J509" i="1" s="1"/>
  <c r="H515" i="1" l="1"/>
  <c r="I515" i="1" s="1"/>
  <c r="J515" i="1" s="1"/>
  <c r="H514" i="1"/>
  <c r="I514" i="1" s="1"/>
  <c r="J514" i="1" s="1"/>
  <c r="H512" i="1"/>
  <c r="I512" i="1" s="1"/>
  <c r="J512" i="1" s="1"/>
  <c r="H511" i="1"/>
  <c r="I511" i="1" s="1"/>
  <c r="J511" i="1" s="1"/>
  <c r="H513" i="1"/>
  <c r="I513" i="1" s="1"/>
  <c r="J513" i="1" s="1"/>
  <c r="H510" i="1"/>
  <c r="I510" i="1" s="1"/>
  <c r="J510" i="1" s="1"/>
  <c r="H516" i="1" l="1"/>
  <c r="I516" i="1" s="1"/>
  <c r="J516" i="1" s="1"/>
  <c r="H519" i="1"/>
  <c r="I519" i="1" s="1"/>
  <c r="J519" i="1" s="1"/>
  <c r="H518" i="1"/>
  <c r="I518" i="1" s="1"/>
  <c r="J518" i="1" s="1"/>
  <c r="H520" i="1"/>
  <c r="I520" i="1" s="1"/>
  <c r="J520" i="1" s="1"/>
  <c r="H517" i="1"/>
  <c r="I517" i="1" s="1"/>
  <c r="J517" i="1" s="1"/>
  <c r="H521" i="1"/>
  <c r="I521" i="1" s="1"/>
  <c r="J521" i="1" s="1"/>
  <c r="H532" i="1" l="1"/>
  <c r="I532" i="1" s="1"/>
  <c r="J532" i="1" s="1"/>
  <c r="H526" i="1"/>
  <c r="I526" i="1" s="1"/>
  <c r="J526" i="1" s="1"/>
  <c r="H528" i="1"/>
  <c r="I528" i="1" s="1"/>
  <c r="J528" i="1" s="1"/>
  <c r="H529" i="1"/>
  <c r="I529" i="1" s="1"/>
  <c r="J529" i="1" s="1"/>
  <c r="H527" i="1"/>
  <c r="I527" i="1" s="1"/>
  <c r="J527" i="1" s="1"/>
  <c r="H530" i="1"/>
  <c r="I530" i="1" s="1"/>
  <c r="J530" i="1" s="1"/>
  <c r="H525" i="1"/>
  <c r="I525" i="1" s="1"/>
  <c r="J525" i="1" s="1"/>
  <c r="H536" i="1" l="1"/>
  <c r="I536" i="1" s="1"/>
  <c r="J536" i="1" s="1"/>
  <c r="H531" i="1"/>
  <c r="I531" i="1" s="1"/>
  <c r="J531" i="1" s="1"/>
  <c r="H535" i="1"/>
  <c r="I535" i="1" s="1"/>
  <c r="J535" i="1" s="1"/>
  <c r="H533" i="1"/>
  <c r="I533" i="1" s="1"/>
  <c r="J533" i="1" s="1"/>
  <c r="H534" i="1"/>
  <c r="I534" i="1" s="1"/>
  <c r="J534" i="1" s="1"/>
  <c r="H542" i="1" l="1"/>
  <c r="I542" i="1" s="1"/>
  <c r="J542" i="1" s="1"/>
  <c r="H543" i="1" l="1"/>
  <c r="I543" i="1" s="1"/>
  <c r="J543" i="1" s="1"/>
  <c r="H554" i="1"/>
  <c r="I554" i="1" s="1"/>
  <c r="J554" i="1" s="1"/>
  <c r="H547" i="1" l="1"/>
  <c r="I547" i="1" s="1"/>
  <c r="J547" i="1" s="1"/>
  <c r="H546" i="1"/>
  <c r="I546" i="1" s="1"/>
  <c r="J546" i="1" s="1"/>
  <c r="H545" i="1"/>
  <c r="I545" i="1" s="1"/>
  <c r="J545" i="1" s="1"/>
  <c r="H544" i="1"/>
  <c r="I544" i="1" s="1"/>
  <c r="J544" i="1" s="1"/>
  <c r="H548" i="1" l="1"/>
  <c r="I548" i="1" s="1"/>
  <c r="J548" i="1" s="1"/>
  <c r="H550" i="1"/>
  <c r="I550" i="1" s="1"/>
  <c r="J550" i="1" s="1"/>
  <c r="H553" i="1"/>
  <c r="I553" i="1" s="1"/>
  <c r="J553" i="1" s="1"/>
  <c r="H549" i="1"/>
  <c r="I549" i="1" s="1"/>
  <c r="J549" i="1" s="1"/>
  <c r="H551" i="1"/>
  <c r="I551" i="1" s="1"/>
  <c r="J551" i="1" s="1"/>
  <c r="H552" i="1"/>
  <c r="I552" i="1" s="1"/>
  <c r="J552" i="1" s="1"/>
  <c r="H570" i="1" l="1"/>
  <c r="I570" i="1" s="1"/>
  <c r="J570" i="1" s="1"/>
  <c r="H571" i="1"/>
  <c r="I571" i="1" s="1"/>
  <c r="J571" i="1" s="1"/>
  <c r="H572" i="1"/>
  <c r="I572" i="1" s="1"/>
  <c r="J572" i="1" s="1"/>
  <c r="H573" i="1"/>
  <c r="I573" i="1" s="1"/>
  <c r="J573" i="1" s="1"/>
  <c r="H574" i="1"/>
  <c r="I574" i="1" s="1"/>
  <c r="J574" i="1" s="1"/>
  <c r="H575" i="1"/>
  <c r="I575" i="1" s="1"/>
  <c r="J575" i="1" s="1"/>
  <c r="H576" i="1" l="1"/>
  <c r="I576" i="1" s="1"/>
  <c r="J576" i="1" s="1"/>
  <c r="H555" i="1" l="1"/>
  <c r="I555" i="1" s="1"/>
  <c r="J555" i="1" s="1"/>
  <c r="H557" i="1"/>
  <c r="I557" i="1" s="1"/>
  <c r="J557" i="1" s="1"/>
  <c r="H556" i="1"/>
  <c r="I556" i="1" s="1"/>
  <c r="J556" i="1" s="1"/>
  <c r="H559" i="1" l="1"/>
  <c r="I559" i="1" s="1"/>
  <c r="J559" i="1" s="1"/>
  <c r="H562" i="1"/>
  <c r="I562" i="1" s="1"/>
  <c r="J562" i="1" s="1"/>
  <c r="H560" i="1"/>
  <c r="I560" i="1" s="1"/>
  <c r="J560" i="1" s="1"/>
  <c r="H561" i="1"/>
  <c r="I561" i="1" s="1"/>
  <c r="J561" i="1" s="1"/>
  <c r="H563" i="1"/>
  <c r="I563" i="1" s="1"/>
  <c r="J563" i="1" s="1"/>
  <c r="H558" i="1"/>
  <c r="I558" i="1" s="1"/>
  <c r="J558" i="1" s="1"/>
  <c r="H565" i="1" l="1"/>
  <c r="I565" i="1" s="1"/>
  <c r="J565" i="1" s="1"/>
  <c r="H566" i="1"/>
  <c r="I566" i="1" s="1"/>
  <c r="J566" i="1" s="1"/>
  <c r="H568" i="1"/>
  <c r="I568" i="1" s="1"/>
  <c r="J568" i="1" s="1"/>
  <c r="H567" i="1"/>
  <c r="I567" i="1" s="1"/>
  <c r="J567" i="1" s="1"/>
  <c r="H564" i="1"/>
  <c r="I564" i="1" s="1"/>
  <c r="J564" i="1" s="1"/>
  <c r="H569" i="1"/>
  <c r="I569" i="1" s="1"/>
  <c r="J569" i="1" s="1"/>
  <c r="H611" i="1" l="1"/>
  <c r="I611" i="1" s="1"/>
  <c r="J611" i="1" s="1"/>
  <c r="H621" i="1"/>
  <c r="I621" i="1" s="1"/>
  <c r="J621" i="1" s="1"/>
  <c r="H617" i="1"/>
  <c r="I617" i="1" s="1"/>
  <c r="J617" i="1" s="1"/>
  <c r="H612" i="1"/>
  <c r="I612" i="1" s="1"/>
  <c r="J612" i="1" s="1"/>
  <c r="H620" i="1"/>
  <c r="I620" i="1" s="1"/>
  <c r="J620" i="1" s="1"/>
  <c r="H619" i="1"/>
  <c r="I619" i="1" s="1"/>
  <c r="J619" i="1" s="1"/>
  <c r="H616" i="1"/>
  <c r="I616" i="1" s="1"/>
  <c r="J616" i="1" s="1"/>
  <c r="H615" i="1"/>
  <c r="I615" i="1" s="1"/>
  <c r="J615" i="1" s="1"/>
  <c r="H618" i="1"/>
  <c r="I618" i="1" s="1"/>
  <c r="J618" i="1" s="1"/>
  <c r="H614" i="1"/>
  <c r="I614" i="1" s="1"/>
  <c r="J614" i="1" s="1"/>
  <c r="H613" i="1"/>
  <c r="I613" i="1" s="1"/>
  <c r="J613" i="1" s="1"/>
</calcChain>
</file>

<file path=xl/sharedStrings.xml><?xml version="1.0" encoding="utf-8"?>
<sst xmlns="http://schemas.openxmlformats.org/spreadsheetml/2006/main" count="5796" uniqueCount="1948">
  <si>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</si>
  <si>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</si>
  <si>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</si>
  <si>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</si>
  <si>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</si>
  <si>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</si>
  <si>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</si>
  <si>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</si>
  <si>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</si>
  <si>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</si>
  <si>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</si>
  <si>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</si>
  <si>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</si>
  <si>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</si>
  <si>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</si>
  <si>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</si>
  <si>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</si>
  <si>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</si>
  <si>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</si>
  <si>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</si>
  <si>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</si>
  <si>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</si>
  <si>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</si>
  <si>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</si>
  <si>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</si>
  <si>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</si>
  <si>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</si>
  <si>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</si>
  <si>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</si>
  <si>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</si>
  <si>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</si>
  <si>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</si>
  <si>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</si>
  <si>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</si>
  <si>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</si>
  <si>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</si>
  <si>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</si>
  <si>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</si>
  <si>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</si>
  <si>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</si>
  <si>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</si>
  <si>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</si>
  <si>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</si>
  <si>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</si>
  <si>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</si>
  <si>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</si>
  <si>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</si>
  <si>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</si>
  <si>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</si>
  <si>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</si>
  <si>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</si>
  <si>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</si>
  <si>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</si>
  <si>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</si>
  <si>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</si>
  <si>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</si>
  <si>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</si>
  <si>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</si>
  <si>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</si>
  <si>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</si>
  <si>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</si>
  <si>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</si>
  <si>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</si>
  <si>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</si>
  <si>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</si>
  <si>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</si>
  <si>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</si>
  <si>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</si>
  <si>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</si>
  <si>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</si>
  <si>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</si>
  <si>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</si>
  <si>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</si>
  <si>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</si>
  <si>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</si>
  <si>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</si>
  <si>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</si>
  <si>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</si>
  <si>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</si>
  <si>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</si>
  <si>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</si>
  <si>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</si>
  <si>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</si>
  <si>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</si>
  <si>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</si>
  <si>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</si>
  <si>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</si>
  <si>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</si>
  <si>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</si>
  <si>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</si>
  <si>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</si>
  <si>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</si>
  <si>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</si>
  <si>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</si>
  <si>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</si>
  <si>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</si>
  <si>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</si>
  <si>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</si>
  <si>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</si>
  <si>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</si>
  <si>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</si>
  <si>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</si>
  <si>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BCpUC</t>
  </si>
  <si>
    <t>Battery Cost per Unit Cap.xlsx</t>
  </si>
  <si>
    <t>BCRbQ</t>
  </si>
  <si>
    <t>BAU Cap Retirements before Quantization.xlsx</t>
  </si>
  <si>
    <t>BCRbQ.csv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</si>
  <si>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</si>
  <si>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</si>
  <si>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</si>
  <si>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</si>
  <si>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</si>
  <si>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</si>
  <si>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</si>
  <si>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</si>
  <si>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</si>
  <si>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</si>
  <si>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</si>
  <si>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</si>
  <si>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</si>
  <si>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</si>
  <si>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</si>
  <si>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</si>
  <si>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</si>
  <si>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</si>
  <si>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</si>
  <si>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</si>
  <si>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</si>
  <si>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</si>
  <si>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</si>
  <si>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</si>
  <si>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</si>
  <si>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</si>
  <si>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</si>
  <si>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</si>
  <si>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</si>
  <si>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</si>
  <si>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</si>
  <si>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</si>
  <si>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</si>
  <si>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</si>
  <si>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</si>
  <si>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</si>
  <si>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</si>
  <si>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</si>
  <si>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</si>
  <si>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</si>
  <si>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</si>
  <si>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</si>
  <si>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PMCCS</t>
  </si>
  <si>
    <t>PMCCS.csv</t>
  </si>
  <si>
    <t>Pol Mandated Cap Const Sched.xlsx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</si>
  <si>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</si>
  <si>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</si>
  <si>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</si>
  <si>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</si>
  <si>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</si>
  <si>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</si>
  <si>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</si>
  <si>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</si>
  <si>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</si>
  <si>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</si>
  <si>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</si>
  <si>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</si>
  <si>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</si>
  <si>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</si>
  <si>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</si>
  <si>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</si>
  <si>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</si>
  <si>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</si>
  <si>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</si>
  <si>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</si>
  <si>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</si>
  <si>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</si>
  <si>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</si>
  <si>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</si>
  <si>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</si>
  <si>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</si>
  <si>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</si>
  <si>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</si>
  <si>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</si>
  <si>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</si>
  <si>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</si>
  <si>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</si>
  <si>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</si>
  <si>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</si>
  <si>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</si>
  <si>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</si>
  <si>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</si>
  <si>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</si>
  <si>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</si>
  <si>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</si>
  <si>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</si>
  <si>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</si>
  <si>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</si>
  <si>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</si>
  <si>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</si>
  <si>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</si>
  <si>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</si>
  <si>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</si>
  <si>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</si>
  <si>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</si>
  <si>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</si>
  <si>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</si>
  <si>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</si>
  <si>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</si>
  <si>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</si>
  <si>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</si>
  <si>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</si>
  <si>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</si>
  <si>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</si>
  <si>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</si>
  <si>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</si>
  <si>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</si>
  <si>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</si>
  <si>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</si>
  <si>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</si>
  <si>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</si>
  <si>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</si>
  <si>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</si>
  <si>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</si>
  <si>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</si>
  <si>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</si>
  <si>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</si>
  <si>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</si>
  <si>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</si>
  <si>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</si>
  <si>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</si>
  <si>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</si>
  <si>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</si>
  <si>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</si>
  <si>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</si>
  <si>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</si>
  <si>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EHPpUC</t>
  </si>
  <si>
    <t>EHPpUC.csv</t>
  </si>
  <si>
    <t>Electrolyzer Hydrogen Production per Unit Capacity.xlsx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</si>
  <si>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</si>
  <si>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</si>
  <si>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</si>
  <si>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</si>
  <si>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</si>
  <si>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</si>
  <si>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</si>
  <si>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indst</t>
  </si>
  <si>
    <t>BSoAIGtAP</t>
  </si>
  <si>
    <t>BAU Shr of Ag Indst Going to Anml Prdcts.xlsx</t>
  </si>
  <si>
    <t>BSoAIGtAP.csv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</si>
  <si>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</si>
  <si>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</si>
  <si>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</si>
  <si>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</si>
  <si>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</si>
  <si>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</si>
  <si>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</si>
  <si>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</si>
  <si>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</si>
  <si>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</si>
  <si>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</si>
  <si>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</si>
  <si>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</si>
  <si>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</si>
  <si>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</si>
  <si>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</si>
  <si>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</si>
  <si>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</si>
  <si>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</si>
  <si>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</si>
  <si>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</si>
  <si>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</si>
  <si>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</si>
  <si>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</si>
  <si>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</si>
  <si>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</si>
  <si>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</si>
  <si>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</si>
  <si>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</si>
  <si>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</si>
  <si>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</si>
  <si>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</si>
  <si>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</si>
  <si>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</si>
  <si>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</si>
  <si>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</si>
  <si>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</si>
  <si>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</si>
  <si>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</si>
  <si>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</si>
  <si>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</si>
  <si>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</si>
  <si>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</si>
  <si>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</si>
  <si>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</si>
  <si>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</si>
  <si>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</si>
  <si>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</si>
  <si>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</si>
  <si>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</si>
  <si>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</si>
  <si>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</si>
  <si>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</si>
  <si>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</si>
  <si>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</si>
  <si>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</si>
  <si>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</si>
  <si>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</si>
  <si>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</si>
  <si>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</si>
  <si>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</si>
  <si>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</si>
  <si>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</si>
  <si>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</si>
  <si>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</si>
  <si>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</si>
  <si>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</si>
  <si>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</si>
  <si>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</si>
  <si>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</si>
  <si>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</si>
  <si>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</si>
  <si>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</si>
  <si>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</si>
  <si>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</si>
  <si>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</si>
  <si>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</si>
  <si>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</si>
  <si>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</si>
  <si>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</si>
  <si>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</si>
  <si>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</si>
  <si>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</si>
  <si>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</si>
  <si>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</si>
  <si>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</si>
  <si>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</si>
  <si>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</si>
  <si>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</si>
  <si>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</si>
  <si>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</si>
  <si>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</si>
  <si>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</si>
  <si>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</si>
  <si>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</si>
  <si>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</si>
  <si>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</si>
  <si>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</si>
  <si>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</si>
  <si>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</si>
  <si>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</si>
  <si>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</si>
  <si>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</si>
  <si>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</si>
  <si>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</si>
  <si>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</si>
  <si>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</si>
  <si>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</si>
  <si>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</si>
  <si>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</si>
  <si>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</si>
  <si>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</si>
  <si>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</si>
  <si>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</si>
  <si>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</si>
  <si>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</si>
  <si>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</si>
  <si>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</si>
  <si>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</si>
  <si>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</si>
  <si>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</si>
  <si>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</si>
  <si>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</si>
  <si>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</si>
  <si>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</si>
  <si>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</si>
  <si>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</si>
  <si>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</si>
  <si>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</si>
  <si>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</si>
  <si>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</si>
  <si>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</si>
  <si>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</si>
  <si>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</si>
  <si>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</si>
  <si>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</si>
  <si>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</si>
  <si>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</si>
  <si>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</si>
  <si>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</si>
  <si>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</si>
  <si>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</si>
  <si>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</si>
  <si>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</si>
  <si>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</si>
  <si>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</si>
  <si>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</si>
  <si>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</si>
  <si>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</si>
  <si>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</si>
  <si>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</si>
  <si>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</si>
  <si>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</si>
  <si>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</si>
  <si>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</si>
  <si>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</si>
  <si>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</si>
  <si>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</si>
  <si>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</si>
  <si>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</si>
  <si>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</si>
  <si>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</si>
  <si>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</si>
  <si>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</si>
  <si>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</si>
  <si>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</si>
  <si>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</si>
  <si>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</si>
  <si>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</si>
  <si>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</si>
  <si>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</si>
  <si>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</si>
  <si>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</si>
  <si>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</si>
  <si>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</si>
  <si>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</si>
  <si>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</si>
  <si>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</si>
  <si>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</si>
  <si>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</si>
  <si>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</si>
  <si>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</si>
  <si>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</si>
  <si>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</si>
  <si>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</si>
  <si>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</si>
  <si>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</si>
  <si>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</si>
  <si>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</si>
  <si>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</si>
  <si>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</si>
  <si>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</si>
  <si>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</si>
  <si>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</si>
  <si>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</si>
  <si>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</si>
  <si>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</si>
  <si>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</si>
  <si>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</si>
  <si>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</si>
  <si>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</si>
  <si>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</si>
  <si>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</si>
  <si>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</si>
  <si>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</si>
  <si>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</si>
  <si>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</si>
  <si>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</si>
  <si>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</si>
  <si>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</si>
  <si>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</si>
  <si>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</si>
  <si>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</si>
  <si>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</si>
  <si>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</si>
  <si>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</si>
  <si>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</si>
  <si>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</si>
  <si>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</si>
  <si>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</si>
  <si>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</si>
  <si>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</si>
  <si>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</si>
  <si>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</si>
  <si>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</si>
  <si>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</si>
  <si>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</si>
  <si>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</si>
  <si>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</si>
  <si>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</si>
  <si>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</si>
  <si>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</si>
  <si>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</si>
  <si>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</si>
  <si>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</si>
  <si>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</si>
  <si>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</si>
  <si>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</si>
  <si>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</si>
  <si>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</si>
  <si>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</si>
  <si>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</si>
  <si>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</si>
  <si>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</si>
  <si>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</si>
  <si>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</si>
  <si>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</si>
  <si>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</si>
  <si>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</si>
  <si>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</si>
  <si>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</si>
  <si>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</si>
  <si>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</si>
  <si>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</si>
  <si>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</si>
  <si>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</si>
  <si>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</si>
  <si>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</si>
  <si>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</si>
  <si>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</si>
  <si>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</si>
  <si>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</si>
  <si>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</si>
  <si>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</si>
  <si>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</si>
  <si>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</si>
  <si>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</si>
  <si>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</si>
  <si>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</si>
  <si>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</si>
  <si>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</si>
  <si>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</si>
  <si>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</si>
  <si>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</si>
  <si>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</si>
  <si>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</si>
  <si>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</si>
  <si>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</si>
  <si>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</si>
  <si>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</si>
  <si>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</si>
  <si>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</si>
  <si>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</si>
  <si>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</si>
  <si>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</si>
  <si>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</si>
  <si>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</si>
  <si>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</si>
  <si>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</si>
  <si>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</si>
  <si>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</si>
  <si>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</si>
  <si>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</si>
  <si>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</si>
  <si>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</si>
  <si>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</si>
  <si>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</si>
  <si>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</si>
  <si>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</si>
  <si>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</si>
  <si>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</si>
  <si>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</si>
  <si>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</si>
  <si>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</si>
  <si>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</si>
  <si>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</si>
  <si>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</si>
  <si>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</si>
  <si>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</si>
  <si>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</si>
  <si>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</si>
  <si>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</si>
  <si>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</si>
  <si>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</si>
  <si>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</si>
  <si>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</si>
  <si>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</si>
  <si>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</si>
  <si>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</si>
  <si>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</si>
  <si>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</si>
  <si>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</si>
  <si>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</si>
  <si>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</si>
  <si>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</si>
  <si>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</si>
  <si>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</si>
  <si>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</si>
  <si>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</si>
  <si>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</si>
  <si>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</si>
  <si>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</si>
  <si>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</si>
  <si>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</si>
  <si>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</si>
  <si>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</si>
  <si>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</si>
  <si>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</si>
  <si>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</si>
  <si>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</si>
  <si>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</si>
  <si>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</si>
  <si>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</si>
  <si>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</si>
  <si>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</si>
  <si>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</si>
  <si>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</si>
  <si>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</si>
  <si>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</si>
  <si>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</si>
  <si>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</si>
  <si>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</si>
  <si>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</si>
  <si>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</si>
  <si>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</si>
  <si>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</si>
  <si>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</si>
  <si>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</si>
  <si>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</si>
  <si>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</si>
  <si>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</si>
  <si>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</si>
  <si>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</si>
  <si>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</si>
  <si>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</si>
  <si>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</si>
  <si>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</si>
  <si>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</si>
  <si>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</si>
  <si>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</si>
  <si>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</si>
  <si>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</si>
  <si>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</si>
  <si>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</si>
  <si>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</si>
  <si>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</si>
  <si>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</si>
  <si>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</si>
  <si>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</si>
  <si>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</si>
  <si>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</si>
  <si>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</si>
  <si>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</si>
  <si>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</si>
  <si>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</si>
  <si>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</si>
  <si>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</si>
  <si>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</si>
  <si>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</si>
  <si>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</si>
  <si>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</si>
  <si>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</si>
  <si>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</si>
  <si>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</si>
  <si>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</si>
  <si>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</si>
  <si>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</si>
  <si>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</si>
  <si>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</si>
  <si>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</si>
  <si>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</si>
  <si>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</si>
  <si>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</si>
  <si>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</si>
  <si>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</si>
  <si>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</si>
  <si>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</si>
  <si>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</si>
  <si>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</si>
  <si>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</si>
  <si>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</si>
  <si>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</si>
  <si>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</si>
  <si>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</si>
  <si>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</si>
  <si>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</si>
  <si>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</si>
  <si>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</si>
  <si>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</si>
  <si>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</si>
  <si>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</si>
  <si>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</si>
  <si>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</si>
  <si>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</si>
  <si>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</si>
  <si>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</si>
  <si>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</si>
  <si>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</si>
  <si>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</si>
  <si>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</si>
  <si>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</si>
  <si>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</si>
  <si>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</si>
  <si>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</si>
  <si>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</si>
  <si>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</si>
  <si>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</si>
  <si>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</si>
  <si>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</si>
  <si>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</si>
  <si>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</si>
  <si>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</si>
  <si>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</si>
  <si>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</si>
  <si>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</si>
  <si>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</si>
  <si>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</si>
  <si>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</si>
  <si>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</si>
  <si>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</si>
  <si>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</si>
  <si>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</si>
  <si>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</si>
  <si>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</si>
  <si>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</si>
  <si>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</si>
  <si>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</si>
  <si>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</si>
  <si>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</si>
  <si>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</si>
  <si>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</si>
  <si>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</si>
  <si>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</si>
  <si>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</si>
  <si>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</si>
  <si>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</si>
  <si>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</si>
  <si>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</si>
  <si>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</si>
  <si>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</si>
  <si>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</si>
  <si>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</si>
  <si>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</si>
  <si>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</si>
  <si>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</si>
  <si>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</si>
  <si>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</si>
  <si>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</si>
  <si>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</si>
  <si>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</si>
  <si>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</si>
  <si>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</si>
  <si>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</si>
  <si>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</si>
  <si>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</si>
  <si>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</si>
  <si>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</si>
  <si>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</si>
  <si>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</si>
  <si>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</si>
  <si>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</si>
  <si>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</si>
  <si>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BCTR</t>
  </si>
  <si>
    <t>BAU Carbon Tax Rate.xlsx</t>
  </si>
  <si>
    <t>BCTR.csv</t>
  </si>
  <si>
    <t>BFPaT</t>
  </si>
  <si>
    <t>BAU Fuel Prices and Taxes.xlsx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</si>
  <si>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</si>
  <si>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</si>
  <si>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</si>
  <si>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</si>
  <si>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</si>
  <si>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</si>
  <si>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</si>
  <si>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</si>
  <si>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</si>
  <si>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</si>
  <si>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</si>
  <si>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</si>
  <si>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</si>
  <si>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</si>
  <si>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</si>
  <si>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</si>
  <si>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</si>
  <si>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</si>
  <si>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</si>
  <si>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</si>
  <si>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</si>
  <si>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</si>
  <si>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</si>
  <si>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</si>
  <si>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</si>
  <si>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</si>
  <si>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</si>
  <si>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</si>
  <si>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</si>
  <si>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</si>
  <si>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</si>
  <si>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</si>
  <si>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</si>
  <si>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</si>
  <si>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</si>
  <si>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</si>
  <si>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</si>
  <si>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</si>
  <si>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</si>
  <si>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</si>
  <si>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</si>
  <si>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</si>
  <si>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</si>
  <si>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</si>
  <si>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</si>
  <si>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</si>
  <si>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</si>
  <si>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</si>
  <si>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</si>
  <si>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</si>
  <si>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</si>
  <si>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</si>
  <si>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</si>
  <si>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</si>
  <si>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</si>
  <si>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</si>
  <si>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</si>
  <si>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</si>
  <si>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</si>
  <si>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</si>
  <si>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</si>
  <si>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</si>
  <si>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</si>
  <si>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</si>
  <si>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</si>
  <si>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</si>
  <si>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</si>
  <si>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</si>
  <si>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</si>
  <si>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</si>
  <si>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</si>
  <si>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</si>
  <si>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</si>
  <si>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</si>
  <si>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</si>
  <si>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</si>
  <si>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</si>
  <si>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</si>
  <si>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</si>
  <si>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</si>
  <si>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</si>
  <si>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</si>
  <si>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</si>
  <si>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</si>
  <si>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</si>
  <si>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</si>
  <si>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</si>
  <si>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</si>
  <si>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</si>
  <si>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</si>
  <si>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</si>
  <si>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</si>
  <si>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</si>
  <si>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</si>
  <si>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</si>
  <si>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</si>
  <si>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</si>
  <si>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</si>
  <si>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</si>
  <si>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</si>
  <si>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</si>
  <si>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</si>
  <si>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</si>
  <si>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</si>
  <si>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</si>
  <si>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</si>
  <si>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</si>
  <si>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</si>
  <si>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</si>
  <si>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</si>
  <si>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</si>
  <si>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</si>
  <si>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</si>
  <si>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</si>
  <si>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</si>
  <si>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</si>
  <si>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</si>
  <si>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</si>
  <si>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</si>
  <si>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</si>
  <si>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</si>
  <si>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</si>
  <si>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</si>
  <si>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</si>
  <si>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</si>
  <si>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</si>
  <si>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</si>
  <si>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</si>
  <si>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</si>
  <si>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</si>
  <si>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</si>
  <si>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</si>
  <si>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</si>
  <si>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</si>
  <si>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</si>
  <si>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</si>
  <si>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</si>
  <si>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</si>
  <si>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</si>
  <si>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</si>
  <si>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</si>
  <si>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</si>
  <si>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</si>
  <si>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</si>
  <si>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</si>
  <si>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</si>
  <si>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</si>
  <si>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</si>
  <si>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</si>
  <si>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</si>
  <si>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</si>
  <si>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</si>
  <si>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</si>
  <si>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</si>
  <si>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</si>
  <si>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</si>
  <si>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</si>
  <si>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</si>
  <si>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</si>
  <si>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</si>
  <si>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</si>
  <si>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</si>
  <si>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</si>
  <si>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</si>
  <si>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</si>
  <si>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</si>
  <si>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</si>
  <si>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</si>
  <si>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</si>
  <si>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</si>
  <si>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</si>
  <si>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</si>
  <si>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</si>
  <si>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</si>
  <si>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</si>
  <si>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</si>
  <si>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</si>
  <si>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</si>
  <si>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</si>
  <si>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</si>
  <si>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</si>
  <si>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</si>
  <si>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</si>
  <si>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</si>
  <si>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</si>
  <si>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</si>
  <si>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</si>
  <si>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</si>
  <si>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</si>
  <si>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</si>
  <si>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</si>
  <si>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</si>
  <si>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</si>
  <si>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</si>
  <si>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</si>
  <si>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</si>
  <si>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</si>
  <si>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</si>
  <si>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</si>
  <si>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</si>
  <si>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</si>
  <si>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</si>
  <si>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</si>
  <si>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</si>
  <si>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</si>
  <si>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</si>
  <si>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</si>
  <si>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</si>
  <si>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</si>
  <si>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</si>
  <si>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</si>
  <si>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</si>
  <si>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</si>
  <si>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</si>
  <si>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</si>
  <si>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</si>
  <si>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</si>
  <si>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</si>
  <si>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</si>
  <si>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</si>
  <si>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</si>
  <si>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</si>
  <si>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</si>
  <si>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</si>
  <si>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</si>
  <si>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</si>
  <si>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</si>
  <si>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</si>
  <si>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</si>
  <si>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</si>
  <si>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</si>
  <si>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</si>
  <si>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</si>
  <si>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</si>
  <si>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</si>
  <si>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</si>
  <si>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</si>
  <si>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</si>
  <si>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</si>
  <si>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</si>
  <si>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</si>
  <si>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</si>
  <si>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</si>
  <si>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</si>
  <si>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</si>
  <si>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</si>
  <si>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</si>
  <si>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</si>
  <si>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</si>
  <si>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</si>
  <si>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</si>
  <si>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</si>
  <si>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</si>
  <si>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</si>
  <si>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</si>
  <si>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</si>
  <si>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</si>
  <si>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</si>
  <si>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</si>
  <si>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</si>
  <si>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</si>
  <si>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</si>
  <si>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</si>
  <si>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</si>
  <si>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</si>
  <si>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</si>
  <si>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</si>
  <si>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</si>
  <si>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</si>
  <si>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</si>
  <si>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</si>
  <si>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</si>
  <si>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</si>
  <si>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</si>
  <si>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</si>
  <si>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</si>
  <si>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</si>
  <si>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</si>
  <si>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</si>
  <si>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</si>
  <si>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BPSfDSPC</t>
  </si>
  <si>
    <t>BAU Perc Subsidy for Distributed Solar PV Capacity.xlsx</t>
  </si>
  <si>
    <t>BPSfDSPC.csv</t>
  </si>
  <si>
    <t>BCS</t>
  </si>
  <si>
    <t>BAU CCS Subsidy.xlsx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</si>
  <si>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</si>
  <si>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</si>
  <si>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</si>
  <si>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</si>
  <si>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</si>
  <si>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</si>
  <si>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</si>
  <si>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GRA-vehbatsubsidy.csv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</si>
  <si>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</si>
  <si>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</si>
  <si>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</si>
  <si>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</si>
  <si>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</si>
  <si>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</si>
  <si>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</si>
  <si>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BHRaSYC</t>
  </si>
  <si>
    <t>BAU Heat Rates and Start Year Capacities.xlsx</t>
  </si>
  <si>
    <t>BHRaSYC-HeatRates.csv</t>
  </si>
  <si>
    <t>BHRaSYC-StartYearCapacities.csv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</si>
  <si>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</si>
  <si>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</si>
  <si>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</si>
  <si>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</si>
  <si>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</si>
  <si>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</si>
  <si>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</si>
  <si>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DCCpUIiPL</t>
  </si>
  <si>
    <t>DCCpUIiPL.csv</t>
  </si>
  <si>
    <t>Dist Construction Cost per Unit Increase in Peak Load.xlsx</t>
  </si>
  <si>
    <t>DRC-ADRHpDRE.csv</t>
  </si>
  <si>
    <t>EDWP</t>
  </si>
  <si>
    <t>EDWP-ParameterA.csv</t>
  </si>
  <si>
    <t>EDWP-ParameterB.csv</t>
  </si>
  <si>
    <t>Electricity Dispatch Weibull Parameters.xlsx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</si>
  <si>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</si>
  <si>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</si>
  <si>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</si>
  <si>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</si>
  <si>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</si>
  <si>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</si>
  <si>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</si>
  <si>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</si>
  <si>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</si>
  <si>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</si>
  <si>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</si>
  <si>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</si>
  <si>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</si>
  <si>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</si>
  <si>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</si>
  <si>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</si>
  <si>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</si>
  <si>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</si>
  <si>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</si>
  <si>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</si>
  <si>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</si>
  <si>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</si>
  <si>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</si>
  <si>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</si>
  <si>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</si>
  <si>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</si>
  <si>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</si>
  <si>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</si>
  <si>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</si>
  <si>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</si>
  <si>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</si>
  <si>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</si>
  <si>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</si>
  <si>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</si>
  <si>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</si>
  <si>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</si>
  <si>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</si>
  <si>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</si>
  <si>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</si>
  <si>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</si>
  <si>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</si>
  <si>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</si>
  <si>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</si>
  <si>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</si>
  <si>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</si>
  <si>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</si>
  <si>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</si>
  <si>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</si>
  <si>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</si>
  <si>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</si>
  <si>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</si>
  <si>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</si>
  <si>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</si>
  <si>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</si>
  <si>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</si>
  <si>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</si>
  <si>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</si>
  <si>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</si>
  <si>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</si>
  <si>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</si>
  <si>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</si>
  <si>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</si>
  <si>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</si>
  <si>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</si>
  <si>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</si>
  <si>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</si>
  <si>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</si>
  <si>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</si>
  <si>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</si>
  <si>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</si>
  <si>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</si>
  <si>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</si>
  <si>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</si>
  <si>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</si>
  <si>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</si>
  <si>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</si>
  <si>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</si>
  <si>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</si>
  <si>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</si>
  <si>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</si>
  <si>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</si>
  <si>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</si>
  <si>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</si>
  <si>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</si>
  <si>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</si>
  <si>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</si>
  <si>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</si>
  <si>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</si>
  <si>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</si>
  <si>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</si>
  <si>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</si>
  <si>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</si>
  <si>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</si>
  <si>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</si>
  <si>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</si>
  <si>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</si>
  <si>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</si>
  <si>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</si>
  <si>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</si>
  <si>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</si>
  <si>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</si>
  <si>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</si>
  <si>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</si>
  <si>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</si>
  <si>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</si>
  <si>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</si>
  <si>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</si>
  <si>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</si>
  <si>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</si>
  <si>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</si>
  <si>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</si>
  <si>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</si>
  <si>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</si>
  <si>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</si>
  <si>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</si>
  <si>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</si>
  <si>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</si>
  <si>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</si>
  <si>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</si>
  <si>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</si>
  <si>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</si>
  <si>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</si>
  <si>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</si>
  <si>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</si>
  <si>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</si>
  <si>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</si>
  <si>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</si>
  <si>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</si>
  <si>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</si>
  <si>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</si>
  <si>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</si>
  <si>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</si>
  <si>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</si>
  <si>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</si>
  <si>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</si>
  <si>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</si>
  <si>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</si>
  <si>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</si>
  <si>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</si>
  <si>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</si>
  <si>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</si>
  <si>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</si>
  <si>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</si>
  <si>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</si>
  <si>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</si>
  <si>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</si>
  <si>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</si>
  <si>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</si>
  <si>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</si>
  <si>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</si>
  <si>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</si>
  <si>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</si>
  <si>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</si>
  <si>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</si>
  <si>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</si>
  <si>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</si>
  <si>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</si>
  <si>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</si>
  <si>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BSpUESttGbGB</t>
  </si>
  <si>
    <t>BAU Subsidy per Unit Electricity Supplied to the Grid by Grid Batteries.xlsx</t>
  </si>
  <si>
    <t>BSpUESttGbGB.csv</t>
  </si>
  <si>
    <t>CCaMC-BCCUSRCpUC.csv</t>
  </si>
  <si>
    <t>ESTRTE</t>
  </si>
  <si>
    <t>Elec Storage Tech Round Trip Efficiency.xlsx</t>
  </si>
  <si>
    <t>ESTRTE-grid-batteries.csv</t>
  </si>
  <si>
    <t>ESTRTE-pumped-hydro.csv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</si>
  <si>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</si>
  <si>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</si>
  <si>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</si>
  <si>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</si>
  <si>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</si>
  <si>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</si>
  <si>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</si>
  <si>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</si>
  <si>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</si>
  <si>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</si>
  <si>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</si>
  <si>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</si>
  <si>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</si>
  <si>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</si>
  <si>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SYSHECF-hydrogen-CC.csv</t>
  </si>
  <si>
    <t>SYSHECF-hydrogen-CT.csv</t>
  </si>
  <si>
    <t>SYSHECF-solar-pv-dist.csv</t>
  </si>
  <si>
    <t>AVOP</t>
  </si>
  <si>
    <t>Avg Veh Ownership Period.xlsx</t>
  </si>
  <si>
    <t>AVOP.csv</t>
  </si>
  <si>
    <t>BDESC</t>
  </si>
  <si>
    <t>BAU Distribued Electricity Source Capacities.xlsx</t>
  </si>
  <si>
    <t>BDESC-commercial.csv</t>
  </si>
  <si>
    <t>BDESC-rural-residential.csv</t>
  </si>
  <si>
    <t>BDESC-urban-residential.csv</t>
  </si>
  <si>
    <t>CC-CCoHSCE.csv</t>
  </si>
  <si>
    <t>CC-CCoIECE.csv</t>
  </si>
  <si>
    <t>CC-CCoIPCE.csv</t>
  </si>
  <si>
    <t>CC-EUpTHSCS.csv</t>
  </si>
  <si>
    <t>CC-EUpTIECS.csv</t>
  </si>
  <si>
    <t>CC-EUpTIPCS.csv</t>
  </si>
  <si>
    <t>CC-TOMCpTHSCS.csv</t>
  </si>
  <si>
    <t>CC-TOMCpTIECS.csv</t>
  </si>
  <si>
    <t>CC-TOMCpTIPCS.csv</t>
  </si>
  <si>
    <t>CPPbHS.csv</t>
  </si>
  <si>
    <t>SoCTaSCbRIC</t>
  </si>
  <si>
    <t>Share of CCS Transportation and Storage Costs by Recipient ISIC Code.xlsx</t>
  </si>
  <si>
    <t>SoCTaSCbRIC.csv</t>
  </si>
  <si>
    <t>FoICbCTBA</t>
  </si>
  <si>
    <t>FoICbCTBA.csv</t>
  </si>
  <si>
    <t>Fraction of Industry Covered by Carbon Tax Border Adjustment.xlsx</t>
  </si>
  <si>
    <t>Fraction of Vehicle Types Subject to Carbon Tax.xlsx</t>
  </si>
  <si>
    <t>RACP</t>
  </si>
  <si>
    <t>RPS Alternative Compliance Payment.xlsx</t>
  </si>
  <si>
    <t>BBoSCaSoFYC.csv</t>
  </si>
  <si>
    <t>BCpUC-energy.csv</t>
  </si>
  <si>
    <t>BCpUC-power.csv</t>
  </si>
  <si>
    <t>CDRDfRCP</t>
  </si>
  <si>
    <t>CDRDfRCP.csv</t>
  </si>
  <si>
    <t>Cln Dsptchble Rsrc Dmnd for Rlbty Curve Param.xlsx</t>
  </si>
  <si>
    <t>CRpUNL</t>
  </si>
  <si>
    <t>Cap Ret per Unit Net Loss.xlsx</t>
  </si>
  <si>
    <t>CRpUNL.csv</t>
  </si>
  <si>
    <t>CSC</t>
  </si>
  <si>
    <t>Capacity Supply Curve.xlsx</t>
  </si>
  <si>
    <t>CSC-CSCCCMvSoECBtY.csv</t>
  </si>
  <si>
    <t>CSC-CSCMBCfPTwNEC.csv</t>
  </si>
  <si>
    <t>CSC-CSCSoCECBiaSY.csv</t>
  </si>
  <si>
    <t>ESUfRaLCD</t>
  </si>
  <si>
    <t>Elec Sources Used for Rlbty and Lst Cst Dsptch.xlsx</t>
  </si>
  <si>
    <t>ESUfRaLCD-dispatch.csv</t>
  </si>
  <si>
    <t>ESUfRaLCD-reliability.csv</t>
  </si>
  <si>
    <t>GBCGpUNR</t>
  </si>
  <si>
    <t>GBCGpUNR.csv</t>
  </si>
  <si>
    <t>Grid Bat Cap Growth per Unit Net Revenue.xlsx</t>
  </si>
  <si>
    <t>HESBCpUEC</t>
  </si>
  <si>
    <t>HESBCpUEC.csv</t>
  </si>
  <si>
    <t>Hybrid Electricity Source Battery Capacity per Unit Electricity Capacity.xlsx</t>
  </si>
  <si>
    <t>HOC</t>
  </si>
  <si>
    <t>HOC Hydro Opportunity Costs.xlsx</t>
  </si>
  <si>
    <t>HOC.csv</t>
  </si>
  <si>
    <t>RAF-capacity.csv</t>
  </si>
  <si>
    <t>SYSHECF-pumped-hydro.csv</t>
  </si>
  <si>
    <t>SYTaDC</t>
  </si>
  <si>
    <t>Start Year Transmission and Distribution Costs.xlsx</t>
  </si>
  <si>
    <t>SYTaDC-Distribution Capital.csv</t>
  </si>
  <si>
    <t>SYTaDC-Distribution OM.csv</t>
  </si>
  <si>
    <t>SYTaDC-Transmission Capital.csv</t>
  </si>
  <si>
    <t>SYTaDC-Transmission OM.csv</t>
  </si>
  <si>
    <t>TCCpUNEC</t>
  </si>
  <si>
    <t>TCCpUNEC.csv</t>
  </si>
  <si>
    <t>Trans Const Cost per Unit New Electricity Capacity.xlsx</t>
  </si>
  <si>
    <t>SYBCSG.csv</t>
  </si>
  <si>
    <t>BPFUbIP-electricity.csv</t>
  </si>
  <si>
    <t>BEaCP</t>
  </si>
  <si>
    <t>BAU Employment and Compensation Projections.xlsx</t>
  </si>
  <si>
    <t>BEaCP-employedpop.csv</t>
  </si>
  <si>
    <t>BEaCP-employeecomp.csv</t>
  </si>
  <si>
    <t>FY</t>
  </si>
  <si>
    <t>FY Future Years.xlsx</t>
  </si>
  <si>
    <t>FY.csv</t>
  </si>
  <si>
    <t>SYAVLo-freight.csv</t>
  </si>
  <si>
    <t>SYAVLo-passengers.csv</t>
  </si>
  <si>
    <t>SYAADTbVT-freight.csv</t>
  </si>
  <si>
    <t>SYAADTbVT-passengers.csv</t>
  </si>
  <si>
    <t>BRZSPbS-frgt-aircraft.csv</t>
  </si>
  <si>
    <t>BRZSPbS-frgt-rail.csv</t>
  </si>
  <si>
    <t>BRZSPbS-frgt-ships.csv</t>
  </si>
  <si>
    <t>BRZSPbS-psgr-aircraft.csv</t>
  </si>
  <si>
    <t>BRZSPbS-psgr-rail.csv</t>
  </si>
  <si>
    <t>BRZSPbS-psgr-ships.csv</t>
  </si>
  <si>
    <t>NBPoNVP</t>
  </si>
  <si>
    <t>NBPoNVP-aircraft-frgt.csv</t>
  </si>
  <si>
    <t>NBPoNVP-aircraft-psgr.csv</t>
  </si>
  <si>
    <t>NBPoNVP-HDVs-frgt.csv</t>
  </si>
  <si>
    <t>NBPoNVP-HDVs-psgr.csv</t>
  </si>
  <si>
    <t>NBPoNVP-LDVs-frgt.csv</t>
  </si>
  <si>
    <t>NBPoNVP-LDVs-psgr.csv</t>
  </si>
  <si>
    <t>NBPoNVP-motorbikes-frgt.csv</t>
  </si>
  <si>
    <t>NBPoNVP-motorbikes-psgr.csv</t>
  </si>
  <si>
    <t>NBPoNVP-rail-frgt.csv</t>
  </si>
  <si>
    <t>NBPoNVP-rail-psgr.csv</t>
  </si>
  <si>
    <t>NBPoNVP-ships-frgt.csv</t>
  </si>
  <si>
    <t>NBPoNVP-ships-psgr.csv</t>
  </si>
  <si>
    <t>Non-Battery Portion of New Vehicle Price.xlsx</t>
  </si>
  <si>
    <t>PVTStL</t>
  </si>
  <si>
    <t>Policy Veh Types Subject to LCFS.xlsx</t>
  </si>
  <si>
    <t>PVTStL.csv</t>
  </si>
  <si>
    <t>BCF-BpMMTH.csv</t>
  </si>
  <si>
    <t>BCS-BCS.csv</t>
  </si>
  <si>
    <t>BCS-DoSfCS.csv</t>
  </si>
  <si>
    <t>BBNPPTY</t>
  </si>
  <si>
    <t>BAU Ban New Power Plants This Year.xlsx</t>
  </si>
  <si>
    <t>BBNPPTY.csv</t>
  </si>
  <si>
    <t>BBPPRTY</t>
  </si>
  <si>
    <t>BAU Ban Power Plant Retrofits This Year.xlsx</t>
  </si>
  <si>
    <t>BBPPRTY.csv</t>
  </si>
  <si>
    <t>BPMCRS</t>
  </si>
  <si>
    <t>BAU Pol Mandated Cap Retro Sched.xlsx</t>
  </si>
  <si>
    <t>BPMCRS.csv</t>
  </si>
  <si>
    <t>MaMHEIaE</t>
  </si>
  <si>
    <t>MaMHEIaE-exports.csv</t>
  </si>
  <si>
    <t>MaMHEIaE-imports.csv</t>
  </si>
  <si>
    <t>Max and Min Hourly Elec Imp and Exp.xlsx</t>
  </si>
  <si>
    <t>PMCRS</t>
  </si>
  <si>
    <t>PMCRS.csv</t>
  </si>
  <si>
    <t>Pol Mandated Cap Retro Sched.xlsx</t>
  </si>
  <si>
    <t>SoCtMbCtbDP</t>
  </si>
  <si>
    <t>BFoICbCTBA</t>
  </si>
  <si>
    <t>BAU Fraction of Industry Covered by Carbon Tax Border Adjustment.xlsx</t>
  </si>
  <si>
    <t>BFoICbCTBA.csv</t>
  </si>
  <si>
    <t>BFoICStCT</t>
  </si>
  <si>
    <t>BAU Fraction of Industry Category Subject to Carbon Tax.xlsx</t>
  </si>
  <si>
    <t>BFoICStCT.csv</t>
  </si>
  <si>
    <t>BFoVTStCT</t>
  </si>
  <si>
    <t>BAU Fraction of Vehicle Types Subject to Carbon Tax.xlsx</t>
  </si>
  <si>
    <t>BFoVTStCT.csv</t>
  </si>
  <si>
    <t>BS-DoSpUEO.csv</t>
  </si>
  <si>
    <t>FoVTStCT</t>
  </si>
  <si>
    <t>FoVTStCT.csv</t>
  </si>
  <si>
    <t>ERWD</t>
  </si>
  <si>
    <t>Enhanced Rock Weathering Data.xlsx</t>
  </si>
  <si>
    <t>ERWD-capex.csv</t>
  </si>
  <si>
    <t>ERWD-energyintensity.csv</t>
  </si>
  <si>
    <t>ERWD-potential.csv</t>
  </si>
  <si>
    <t>ACTR</t>
  </si>
  <si>
    <t>ACTR.csv</t>
  </si>
  <si>
    <t>Avg Corp Tax Rate.xlsx</t>
  </si>
  <si>
    <t>CID</t>
  </si>
  <si>
    <t>Check Input Data.xlsx</t>
  </si>
  <si>
    <t>BDbDT-infant.csv</t>
  </si>
  <si>
    <t>BDbDT-other.csv</t>
  </si>
  <si>
    <t>FoCaAPMbDT</t>
  </si>
  <si>
    <t>FoCaAPMbDT-NOx-asian.csv</t>
  </si>
  <si>
    <t>FoCaAPMbDT-NOx-black.csv</t>
  </si>
  <si>
    <t>FoCaAPMbDT-NOx-female.csv</t>
  </si>
  <si>
    <t>FoCaAPMbDT-NOx-hispanic.csv</t>
  </si>
  <si>
    <t>FoCaAPMbDT-NOx-male.csv</t>
  </si>
  <si>
    <t>FoCaAPMbDT-NOx-nonhispanic.csv</t>
  </si>
  <si>
    <t>FoCaAPMbDT-NOx-otherrace.csv</t>
  </si>
  <si>
    <t>FoCaAPMbDT-NOx-white.csv</t>
  </si>
  <si>
    <t>FoCaAPMbDT-PM25-asian.csv</t>
  </si>
  <si>
    <t>FoCaAPMbDT-PM25-black.csv</t>
  </si>
  <si>
    <t>FoCaAPMbDT-PM25-female.csv</t>
  </si>
  <si>
    <t>FoCaAPMbDT-PM25-hispanic.csv</t>
  </si>
  <si>
    <t>FoCaAPMbDT-PM25-male.csv</t>
  </si>
  <si>
    <t>FoCaAPMbDT-PM25-nonhispanic.csv</t>
  </si>
  <si>
    <t>FoCaAPMbDT-PM25-otherrace.csv</t>
  </si>
  <si>
    <t>FoCaAPMbDT-PM25-white.csv</t>
  </si>
  <si>
    <t>FoCaAPMbDT-SOx-asian.csv</t>
  </si>
  <si>
    <t>FoCaAPMbDT-SOx-black.csv</t>
  </si>
  <si>
    <t>FoCaAPMbDT-SOx-female.csv</t>
  </si>
  <si>
    <t>FoCaAPMbDT-SOx-hispanic.csv</t>
  </si>
  <si>
    <t>FoCaAPMbDT-SOx-male.csv</t>
  </si>
  <si>
    <t>FoCaAPMbDT-SOx-nonhispanic.csv</t>
  </si>
  <si>
    <t>FoCaAPMbDT-SOx-otherrace.csv</t>
  </si>
  <si>
    <t>FoCaAPMbDT-SOx-white.csv</t>
  </si>
  <si>
    <t>Frac of Child and Adult Prem Mort by Demo Trait.xlsx</t>
  </si>
  <si>
    <t>FoIPMbDT</t>
  </si>
  <si>
    <t>FoIPMbDT-NOx-asian.csv</t>
  </si>
  <si>
    <t>FoIPMbDT-NOx-black.csv</t>
  </si>
  <si>
    <t>FoIPMbDT-NOx-female.csv</t>
  </si>
  <si>
    <t>FoIPMbDT-NOx-hispanic.csv</t>
  </si>
  <si>
    <t>FoIPMbDT-NOx-male.csv</t>
  </si>
  <si>
    <t>FoIPMbDT-NOx-nonhispanic.csv</t>
  </si>
  <si>
    <t>FoIPMbDT-NOx-otherrace.csv</t>
  </si>
  <si>
    <t>FoIPMbDT-NOx-white.csv</t>
  </si>
  <si>
    <t>FoIPMbDT-PM25-asian.csv</t>
  </si>
  <si>
    <t>FoIPMbDT-PM25-black.csv</t>
  </si>
  <si>
    <t>FoIPMbDT-PM25-female.csv</t>
  </si>
  <si>
    <t>FoIPMbDT-PM25-hispanic.csv</t>
  </si>
  <si>
    <t>FoIPMbDT-PM25-male.csv</t>
  </si>
  <si>
    <t>FoIPMbDT-PM25-nonhispanic.csv</t>
  </si>
  <si>
    <t>FoIPMbDT-PM25-otherrace.csv</t>
  </si>
  <si>
    <t>FoIPMbDT-PM25-white.csv</t>
  </si>
  <si>
    <t>FoIPMbDT-SOx-asian.csv</t>
  </si>
  <si>
    <t>FoIPMbDT-SOx-black.csv</t>
  </si>
  <si>
    <t>FoIPMbDT-SOx-female.csv</t>
  </si>
  <si>
    <t>FoIPMbDT-SOx-hispanic.csv</t>
  </si>
  <si>
    <t>FoIPMbDT-SOx-male.csv</t>
  </si>
  <si>
    <t>FoIPMbDT-SOx-nonhispanic.csv</t>
  </si>
  <si>
    <t>FoIPMbDT-SOx-otherrace.csv</t>
  </si>
  <si>
    <t>FoIPMbDT-SOx-white.csv</t>
  </si>
  <si>
    <t>Frac of Infant Prem Mort by Demo Trait.xlsx</t>
  </si>
  <si>
    <t>Generator.py</t>
  </si>
  <si>
    <t>CiDESCTY</t>
  </si>
  <si>
    <t>Change in Distributed Electricity Source Capacities This Year.xlsx</t>
  </si>
  <si>
    <t>CiDESCTY-commercial.csv</t>
  </si>
  <si>
    <t>CiDESCTY-rural-residential.csv</t>
  </si>
  <si>
    <t>CiDESCTY-urban-residential.csv</t>
  </si>
  <si>
    <t>MDSC</t>
  </si>
  <si>
    <t>Max Distrib Solar Capacity.xlsx</t>
  </si>
  <si>
    <t>MDSC.csv</t>
  </si>
  <si>
    <t>RPfFBSCC</t>
  </si>
  <si>
    <t>RPfFBSCC.csv</t>
  </si>
  <si>
    <t>RPfFESCC Repayment Period for Financed Buildings Sector Capital Costs.xlsx</t>
  </si>
  <si>
    <t>CCSTaSCaS</t>
  </si>
  <si>
    <t>CCS Transportation and Storage Costs and Subsidies.xlsx</t>
  </si>
  <si>
    <t>CCSTaSCaS-costs.csv</t>
  </si>
  <si>
    <t>CCSTaSCaS-subsidies.csv</t>
  </si>
  <si>
    <t>CECRCbI</t>
  </si>
  <si>
    <t>CECRCbI-energy.csv</t>
  </si>
  <si>
    <t>CECRCbI-process.csv</t>
  </si>
  <si>
    <t>Cost Effective CCS Retrofit Capacity by Industry.xlsx</t>
  </si>
  <si>
    <t>CRDT</t>
  </si>
  <si>
    <t>CCS Retrofit Detployment Time.xlsx</t>
  </si>
  <si>
    <t>CRDT.csv</t>
  </si>
  <si>
    <t>SoCECRCSiaY</t>
  </si>
  <si>
    <t>Share of Cost Effective CCS Retrofit Construction Started in a Year.xlsx</t>
  </si>
  <si>
    <t>SoCECRCSiaY.csv</t>
  </si>
  <si>
    <t>BNoH</t>
  </si>
  <si>
    <t>BAU Number of Households.xlsx</t>
  </si>
  <si>
    <t>BNoH.csv</t>
  </si>
  <si>
    <t>BUCMfNCR</t>
  </si>
  <si>
    <t>Boolean Use Capacity Market for New Capacity Revenue.xlsx</t>
  </si>
  <si>
    <t>BUCMfNCR.csv</t>
  </si>
  <si>
    <t>EA</t>
  </si>
  <si>
    <t>EA.csv</t>
  </si>
  <si>
    <t>Equipment Age.xlsx</t>
  </si>
  <si>
    <t>FYIbFP</t>
  </si>
  <si>
    <t>First Year Impacted by Future Policies.xlsx</t>
  </si>
  <si>
    <t>FYIbFP.csv</t>
  </si>
  <si>
    <t>MV</t>
  </si>
  <si>
    <t>FMV.csv</t>
  </si>
  <si>
    <t>Modeled Vintages.xlsx</t>
  </si>
  <si>
    <t>MV-current.csv</t>
  </si>
  <si>
    <t>MV-preceding.csv</t>
  </si>
  <si>
    <t>MV.csv</t>
  </si>
  <si>
    <t>CECpUES</t>
  </si>
  <si>
    <t>CECpUES.csv</t>
  </si>
  <si>
    <t>CHP Eqpt Cost per Unit Energy Shifted.xlsx</t>
  </si>
  <si>
    <t>APPL</t>
  </si>
  <si>
    <t>APPL.csv</t>
  </si>
  <si>
    <t>Average Power Plant Lifetime.xlsx</t>
  </si>
  <si>
    <t>BCoESC-dist-solar.csv</t>
  </si>
  <si>
    <t>BPPEOUP</t>
  </si>
  <si>
    <t>BAU Pwr Plnt Elec Own Use Perc.xlsx</t>
  </si>
  <si>
    <t>BPPEOUP.csv</t>
  </si>
  <si>
    <t>CiPPOAPSE</t>
  </si>
  <si>
    <t>Change in Power Plant Output After Production Subsidy Expires.xlsx</t>
  </si>
  <si>
    <t>CiPPOAPSE.csv</t>
  </si>
  <si>
    <t>GHESLE</t>
  </si>
  <si>
    <t>GHESLE.csv</t>
  </si>
  <si>
    <t>Green Hydrogen Electricity Supply Logit Exponent.xlsx</t>
  </si>
  <si>
    <t>GHESS</t>
  </si>
  <si>
    <t>GHESS.csv</t>
  </si>
  <si>
    <t>Green Hydrogen Electricity Supply Shareweights.xlsx</t>
  </si>
  <si>
    <t>RACP-BRACP.csv</t>
  </si>
  <si>
    <t>RACP-RACP.csv</t>
  </si>
  <si>
    <t>BPTbCP</t>
  </si>
  <si>
    <t>BAU Pollutants Taxed by Carbon Pricing.xlsx</t>
  </si>
  <si>
    <t>BPTbCP-buildings.csv</t>
  </si>
  <si>
    <t>BPTbCP-districtheat.csv</t>
  </si>
  <si>
    <t>BPTbCP-electricity.csv</t>
  </si>
  <si>
    <t>BPTbCP-hydrogen.csv</t>
  </si>
  <si>
    <t>BPTbCP-industry.csv</t>
  </si>
  <si>
    <t>BPTbCP-transportation.csv</t>
  </si>
  <si>
    <t>BS-BSfTFpEUP-com-bldgs.csv</t>
  </si>
  <si>
    <t>BS-BSfTFpEUP-dist-heat-hydgn.csv</t>
  </si>
  <si>
    <t>BS-BSfTFpEUP-electricity.csv</t>
  </si>
  <si>
    <t>BS-BSfTFpEUP-geoeng.csv</t>
  </si>
  <si>
    <t>BS-BSfTFpEUP-industry.csv</t>
  </si>
  <si>
    <t>BS-BSfTFpEUP-res-bldgs.csv</t>
  </si>
  <si>
    <t>BS-BSfTFpEUP-transportation.csv</t>
  </si>
  <si>
    <t>PTbCP</t>
  </si>
  <si>
    <t>Pollutants Taxed by Carbon Pricing.xlsx</t>
  </si>
  <si>
    <t>PTbCP-buildings.csv</t>
  </si>
  <si>
    <t>PTbCP-districtheat.csv</t>
  </si>
  <si>
    <t>PTbCP-electricity.csv</t>
  </si>
  <si>
    <t>PTbCP-hydrogen.csv</t>
  </si>
  <si>
    <t>PTbCP-industry.csv</t>
  </si>
  <si>
    <t>PTbCP-transportation.csv</t>
  </si>
  <si>
    <t>BCoHSC</t>
  </si>
  <si>
    <t>BAU Cost of Hydrogen Sector Capital.xlsx</t>
  </si>
  <si>
    <t>BCoHSC.csv</t>
  </si>
  <si>
    <t>FIoHP</t>
  </si>
  <si>
    <t>FIoHP-biomass-gasification.csv</t>
  </si>
  <si>
    <t>FIoHP-coal-gasification.csv</t>
  </si>
  <si>
    <t>FIoHP-electrolysis.csv</t>
  </si>
  <si>
    <t>FIoHP-green-electrolysis.csv</t>
  </si>
  <si>
    <t>FIoHP-hydrocarbon-POx.csv</t>
  </si>
  <si>
    <t>FIoHP-ng-reforming-CCS.csv</t>
  </si>
  <si>
    <t>FIoHP-ng-reforming.csv</t>
  </si>
  <si>
    <t>Fuel Intensity of Hydrogen Production.xlsx</t>
  </si>
  <si>
    <t>HPLC</t>
  </si>
  <si>
    <t>HPLC.csv</t>
  </si>
  <si>
    <t>Hydrogen Production Logit Coefficient.xlsx</t>
  </si>
  <si>
    <t>HPS</t>
  </si>
  <si>
    <t>HPS.csv</t>
  </si>
  <si>
    <t>Hydrogen Production Shareweights.xlsx</t>
  </si>
  <si>
    <t>RPfFHSCC</t>
  </si>
  <si>
    <t>RPfFHSCC Repayment Period for Financed Hydgn Sector Capital Costs.xlsx</t>
  </si>
  <si>
    <t>RPfFHSCC.csv</t>
  </si>
  <si>
    <t>SoHDTiGaLCbS</t>
  </si>
  <si>
    <t>Share of Hydgn Demand That is Green and Low Carbon by Sector.xlsx</t>
  </si>
  <si>
    <t>SoHDTiGaLCbS-green.csv</t>
  </si>
  <si>
    <t>SoHDTiGaLCbS-lowcarbon.csv</t>
  </si>
  <si>
    <t>SYAHPC</t>
  </si>
  <si>
    <t>Start Year Annual Hydrogen Production Capacity.xlsx</t>
  </si>
  <si>
    <t>SYAHPC.csv</t>
  </si>
  <si>
    <t>BCHPD</t>
  </si>
  <si>
    <t>BAU Clean Heat PTC Duration.xlsx</t>
  </si>
  <si>
    <t>BCHPD.csv</t>
  </si>
  <si>
    <t>BCHSR</t>
  </si>
  <si>
    <t>BAU Clean Heat Subsidy Rate.xlsx</t>
  </si>
  <si>
    <t>BCoISC</t>
  </si>
  <si>
    <t>BAU Cost of Industry Sector Capital.xlsx</t>
  </si>
  <si>
    <t>BCoISC-RPfE.csv</t>
  </si>
  <si>
    <t>BCoISC-WACCbI.csv</t>
  </si>
  <si>
    <t>BIEEI</t>
  </si>
  <si>
    <t>BAU Industrial Equipment Efficiency Improvement.xlsx</t>
  </si>
  <si>
    <t>BIEEI-elec.csv</t>
  </si>
  <si>
    <t>BIEEI-other.csv</t>
  </si>
  <si>
    <t>BIEURfPEI</t>
  </si>
  <si>
    <t>BAU Industrial Energy Use Reduction from Process Efficiency Improvements.xlsx</t>
  </si>
  <si>
    <t>BIEURfPEI-biomass.csv</t>
  </si>
  <si>
    <t>BIEURfPEI-coal.csv</t>
  </si>
  <si>
    <t>BIEURfPEI-crude-oil.csv</t>
  </si>
  <si>
    <t>BIEURfPEI-electricity.csv</t>
  </si>
  <si>
    <t>BIEURfPEI-green-hydrogen.csv</t>
  </si>
  <si>
    <t>BIEURfPEI-heat.csv</t>
  </si>
  <si>
    <t>BIEURfPEI-heavy-or-residual-oil.csv</t>
  </si>
  <si>
    <t>BIEURfPEI-hydrogen.csv</t>
  </si>
  <si>
    <t>BIEURfPEI-lowcarbon-hydrogen.csv</t>
  </si>
  <si>
    <t>BIEURfPEI-LPG-propane-or-butane.csv</t>
  </si>
  <si>
    <t>BIEURfPEI-natural-gas.csv</t>
  </si>
  <si>
    <t>BIEURfPEI-petroleum-diesel.csv</t>
  </si>
  <si>
    <t>BIFU</t>
  </si>
  <si>
    <t>BAU Industrial Fuel Use.xlsx</t>
  </si>
  <si>
    <t>BIFUaF-biomass.csv</t>
  </si>
  <si>
    <t>BIFUaF-coal.csv</t>
  </si>
  <si>
    <t>BIFUaF-crude-oil.csv</t>
  </si>
  <si>
    <t>BIFUaF-electricity.csv</t>
  </si>
  <si>
    <t>BIFUaF-green-hydrogen.csv</t>
  </si>
  <si>
    <t>BIFUaF-heat.csv</t>
  </si>
  <si>
    <t>BIFUaF-heavy-or-residual-oil.csv</t>
  </si>
  <si>
    <t>BIFUaF-hydrogen.csv</t>
  </si>
  <si>
    <t>BIFUaF-lowcarbon-hydrogen.csv</t>
  </si>
  <si>
    <t>BIFUaF-LPG-propane-or-butane.csv</t>
  </si>
  <si>
    <t>BIFUaF-natural-gas.csv</t>
  </si>
  <si>
    <t>BIFUaF-petroleum-diesel.csv</t>
  </si>
  <si>
    <t>BIFUfE-biomass.csv</t>
  </si>
  <si>
    <t>BIFUfE-coal.csv</t>
  </si>
  <si>
    <t>BIFUfE-crude-oil.csv</t>
  </si>
  <si>
    <t>BIFUfE-electricity.csv</t>
  </si>
  <si>
    <t>BIFUfE-green-hydrogen.csv</t>
  </si>
  <si>
    <t>BIFUfE-heat.csv</t>
  </si>
  <si>
    <t>BIFUfE-heavy-or-residual-oil.csv</t>
  </si>
  <si>
    <t>BIFUfE-hydrogen.csv</t>
  </si>
  <si>
    <t>BIFUfE-lowcarbon-hydrogen.csv</t>
  </si>
  <si>
    <t>BIFUfE-LPG-propane-or-butane.csv</t>
  </si>
  <si>
    <t>BIFUfE-natural-gas.csv</t>
  </si>
  <si>
    <t>BIFUfE-petroleum-diesel.csv</t>
  </si>
  <si>
    <t>BPFUbIP-biomass.csv</t>
  </si>
  <si>
    <t>BPFUbIP-crude-oil.csv</t>
  </si>
  <si>
    <t>BPFUbIP-fallback.csv</t>
  </si>
  <si>
    <t>BPFUbIP-green-hydrogen.csv</t>
  </si>
  <si>
    <t>BPFUbIP-hard-coal.csv</t>
  </si>
  <si>
    <t>BPFUbIP-heat.csv</t>
  </si>
  <si>
    <t>BPFUbIP-hvy-resid-fuel-oil.csv</t>
  </si>
  <si>
    <t>BPFUbIP-hydrogen.csv</t>
  </si>
  <si>
    <t>BPFUbIP-lowcarbon-hydrogen.csv</t>
  </si>
  <si>
    <t>BPFUbIP-LPG.csv</t>
  </si>
  <si>
    <t>BPFUbIP-natural-gas.csv</t>
  </si>
  <si>
    <t>BPFUbIP-petroleum-diesel.csv</t>
  </si>
  <si>
    <t>EoIEECwEC</t>
  </si>
  <si>
    <t>Elasticity of Ind Eqpt E Cons wrt E Cost.xlsx</t>
  </si>
  <si>
    <t>EoIEECwEC.csv</t>
  </si>
  <si>
    <t>IECCpUAEU</t>
  </si>
  <si>
    <t>IECCpUAEU.csv</t>
  </si>
  <si>
    <t>Indst Eqpt Cap Cost per Unit Ann E Use.xlsx</t>
  </si>
  <si>
    <t>IELC</t>
  </si>
  <si>
    <t>IELC.csv</t>
  </si>
  <si>
    <t>Industrial Eqpt Logit Coefficient.xlsx</t>
  </si>
  <si>
    <t>IEMUEF</t>
  </si>
  <si>
    <t>IEMUEF.csv</t>
  </si>
  <si>
    <t>IES</t>
  </si>
  <si>
    <t>IES-boilers-biomass.csv</t>
  </si>
  <si>
    <t>IES-boilers-coal.csv</t>
  </si>
  <si>
    <t>IES-boilers-crudeoil.csv</t>
  </si>
  <si>
    <t>IES-boilers-elec.csv</t>
  </si>
  <si>
    <t>IES-boilers-green-hydgn.csv</t>
  </si>
  <si>
    <t>IES-boilers-heat.csv</t>
  </si>
  <si>
    <t>IES-boilers-heavyresidoil.csv</t>
  </si>
  <si>
    <t>IES-boilers-hydrogen.csv</t>
  </si>
  <si>
    <t>IES-boilers-lc-hydgn.csv</t>
  </si>
  <si>
    <t>IES-boilers-lpgpropbut.csv</t>
  </si>
  <si>
    <t>IES-boilers-natgas.csv</t>
  </si>
  <si>
    <t>IES-boilers-petdiesel.csv</t>
  </si>
  <si>
    <t>IES-cooling-biomass.csv</t>
  </si>
  <si>
    <t>IES-cooling-coal.csv</t>
  </si>
  <si>
    <t>IES-cooling-crudeoil.csv</t>
  </si>
  <si>
    <t>IES-cooling-elec.csv</t>
  </si>
  <si>
    <t>IES-cooling-green-hydgn.csv</t>
  </si>
  <si>
    <t>IES-cooling-heat.csv</t>
  </si>
  <si>
    <t>IES-cooling-heavyresidoil.csv</t>
  </si>
  <si>
    <t>IES-cooling-hydrogen.csv</t>
  </si>
  <si>
    <t>IES-cooling-lc-hydgn.csv</t>
  </si>
  <si>
    <t>IES-cooling-lpgpropbut.csv</t>
  </si>
  <si>
    <t>IES-cooling-natgas.csv</t>
  </si>
  <si>
    <t>IES-cooling-petdiesel.csv</t>
  </si>
  <si>
    <t>IES-machinedrive-biomass.csv</t>
  </si>
  <si>
    <t>IES-machinedrive-coal.csv</t>
  </si>
  <si>
    <t>IES-machinedrive-crudeoil.csv</t>
  </si>
  <si>
    <t>IES-machinedrive-elec.csv</t>
  </si>
  <si>
    <t>IES-machinedrive-green-hydgn.csv</t>
  </si>
  <si>
    <t>IES-machinedrive-heat.csv</t>
  </si>
  <si>
    <t>IES-machinedrive-heavyresidoil.csv</t>
  </si>
  <si>
    <t>IES-machinedrive-hydrogen.csv</t>
  </si>
  <si>
    <t>IES-machinedrive-lc-hydgn.csv</t>
  </si>
  <si>
    <t>IES-machinedrive-lpgpropbut.csv</t>
  </si>
  <si>
    <t>IES-machinedrive-natgas.csv</t>
  </si>
  <si>
    <t>IES-machinedrive-petdiesel.csv</t>
  </si>
  <si>
    <t>IES-nonboilerhigh-biomass.csv</t>
  </si>
  <si>
    <t>IES-nonboilerhigh-coal.csv</t>
  </si>
  <si>
    <t>IES-nonboilerhigh-crudeoil.csv</t>
  </si>
  <si>
    <t>IES-nonboilerhigh-elec.csv</t>
  </si>
  <si>
    <t>IES-nonboilerhigh-green-hydgn.csv</t>
  </si>
  <si>
    <t>IES-nonboilerhigh-heat.csv</t>
  </si>
  <si>
    <t>IES-nonboilerhigh-heavyresidoil.csv</t>
  </si>
  <si>
    <t>IES-nonboilerhigh-hydrogen.csv</t>
  </si>
  <si>
    <t>IES-nonboilerhigh-lc-hydgn.csv</t>
  </si>
  <si>
    <t>IES-nonboilerhigh-lpgpropbut.csv</t>
  </si>
  <si>
    <t>IES-nonboilerhigh-natgas.csv</t>
  </si>
  <si>
    <t>IES-nonboilerhigh-petdiesel.csv</t>
  </si>
  <si>
    <t>IES-nonboilerlow-biomass.csv</t>
  </si>
  <si>
    <t>IES-nonboilerlow-coal.csv</t>
  </si>
  <si>
    <t>IES-nonboilerlow-crudeoil.csv</t>
  </si>
  <si>
    <t>IES-nonboilerlow-elec.csv</t>
  </si>
  <si>
    <t>IES-nonboilerlow-green-hydgn.csv</t>
  </si>
  <si>
    <t>IES-nonboilerlow-heat.csv</t>
  </si>
  <si>
    <t>IES-nonboilerlow-heavyresidoil.csv</t>
  </si>
  <si>
    <t>IES-nonboilerlow-hydrogen.csv</t>
  </si>
  <si>
    <t>IES-nonboilerlow-lc-hydgn.csv</t>
  </si>
  <si>
    <t>IES-nonboilerlow-lpgpropbut.csv</t>
  </si>
  <si>
    <t>IES-nonboilerlow-natgas.csv</t>
  </si>
  <si>
    <t>IES-nonboilerlow-petdiesel.csv</t>
  </si>
  <si>
    <t>IES-nonboilermed-biomass.csv</t>
  </si>
  <si>
    <t>IES-nonboilermed-coal.csv</t>
  </si>
  <si>
    <t>IES-nonboilermed-crudeoil.csv</t>
  </si>
  <si>
    <t>IES-nonboilermed-elec.csv</t>
  </si>
  <si>
    <t>IES-nonboilermed-green-hydgn.csv</t>
  </si>
  <si>
    <t>IES-nonboilermed-heat.csv</t>
  </si>
  <si>
    <t>IES-nonboilermed-heavyresidoil.csv</t>
  </si>
  <si>
    <t>IES-nonboilermed-hydrogen.csv</t>
  </si>
  <si>
    <t>IES-nonboilermed-lc-hydgn.csv</t>
  </si>
  <si>
    <t>IES-nonboilermed-lpgpropbut.csv</t>
  </si>
  <si>
    <t>IES-nonboilermed-natgas.csv</t>
  </si>
  <si>
    <t>IES-nonboilermed-petdiesel.csv</t>
  </si>
  <si>
    <t>IES-other-biomass.csv</t>
  </si>
  <si>
    <t>IES-other-coal.csv</t>
  </si>
  <si>
    <t>IES-other-crudeoil.csv</t>
  </si>
  <si>
    <t>IES-other-elec.csv</t>
  </si>
  <si>
    <t>IES-other-green-hydgn.csv</t>
  </si>
  <si>
    <t>IES-other-heat.csv</t>
  </si>
  <si>
    <t>IES-other-heavyresidoil.csv</t>
  </si>
  <si>
    <t>IES-other-hydrogen.csv</t>
  </si>
  <si>
    <t>IES-other-lc-hydgn.csv</t>
  </si>
  <si>
    <t>IES-other-lpgpropbut.csv</t>
  </si>
  <si>
    <t>IES-other-natgas.csv</t>
  </si>
  <si>
    <t>IES-other-petdiesel.csv</t>
  </si>
  <si>
    <t>Industrial Equipment Shareweights.xlsm</t>
  </si>
  <si>
    <t>Industrial Equipment Shareweights.xlsx</t>
  </si>
  <si>
    <t>IESD</t>
  </si>
  <si>
    <t>IESD-AAaWER.csv</t>
  </si>
  <si>
    <t>IESD-FoIERbA.csv</t>
  </si>
  <si>
    <t>Industrial Equipment Survival Data.xlsx</t>
  </si>
  <si>
    <t>IFSR</t>
  </si>
  <si>
    <t>IFSR-chemicals.csv</t>
  </si>
  <si>
    <t>IFSR-ironsteel.csv</t>
  </si>
  <si>
    <t>Industrial Fuel Shifting Ratio.xlsx</t>
  </si>
  <si>
    <t>IFSRF</t>
  </si>
  <si>
    <t>IFSRF.csv</t>
  </si>
  <si>
    <t>Industrial Feedstock Switching Recipient Fuel.xlsx</t>
  </si>
  <si>
    <t>IFTQfS</t>
  </si>
  <si>
    <t>IFTQfS-investment.csv</t>
  </si>
  <si>
    <t>IFTQfS-loans.csv</t>
  </si>
  <si>
    <t>IFTQfS-production.csv</t>
  </si>
  <si>
    <t>Indst Fuels Qualifying for Support.xlsx</t>
  </si>
  <si>
    <t>PEAAC</t>
  </si>
  <si>
    <t>PEAAC-alum-inspctmaintretrofit.csv</t>
  </si>
  <si>
    <t>PEAAC-cement.csv</t>
  </si>
  <si>
    <t>PEAAC-chem-inspctmaintretrofit.csv</t>
  </si>
  <si>
    <t>PEAAC-chemicals-N2Oabatement.csv</t>
  </si>
  <si>
    <t>PEAAC-coalmining-mthncptr.csv</t>
  </si>
  <si>
    <t>PEAAC-coalmining-mthndstr.csv</t>
  </si>
  <si>
    <t>PEAAC-cropsrice.csv</t>
  </si>
  <si>
    <t>PEAAC-fgasdestruction.csv</t>
  </si>
  <si>
    <t>PEAAC-fgasrecovery.csv</t>
  </si>
  <si>
    <t>PEAAC-fgassubstitution.csv</t>
  </si>
  <si>
    <t>PEAAC-livestock.csv</t>
  </si>
  <si>
    <t>PEAAC-ngpPrcsTnD-mthncptr.csv</t>
  </si>
  <si>
    <t>PEAAC-ngpPrcsTnD-mthndstr.csv</t>
  </si>
  <si>
    <t>PEAAC-ngpProd-mthncptr.csv</t>
  </si>
  <si>
    <t>PEAAC-ngpProd-mthndstr.csv</t>
  </si>
  <si>
    <t>PEAAC-tillage.csv</t>
  </si>
  <si>
    <t>PEAAC-waste-mthncptr.csv</t>
  </si>
  <si>
    <t>PEAAC-waste-mthndstr.csv</t>
  </si>
  <si>
    <t>Proc Emis Additions and Costs.xlsx</t>
  </si>
  <si>
    <t>RPfFISCC</t>
  </si>
  <si>
    <t>RPfFISCC Repayment Period for Financed Indst Sector Capital Costs.xlsx</t>
  </si>
  <si>
    <t>RPfFISCC.csv</t>
  </si>
  <si>
    <t>SoFCTiBoSFbI</t>
  </si>
  <si>
    <t>Share of Fuel Cons that is Byproduct or Secondary Fuel by Indst.xlsx</t>
  </si>
  <si>
    <t>SoFCTiBoSFbI.csv</t>
  </si>
  <si>
    <t>SYIEUEFbIPaF</t>
  </si>
  <si>
    <t>Start Year Indst Eqpt Unit E Factor by Indst Proc and Fuel.xlsx</t>
  </si>
  <si>
    <t>SYIEUEFbIPaF.csv</t>
  </si>
  <si>
    <t>FoPITY.xlsx</t>
  </si>
  <si>
    <t>FFY.csv</t>
  </si>
  <si>
    <t>V</t>
  </si>
  <si>
    <t>CV.csv</t>
  </si>
  <si>
    <t>FV.csv</t>
  </si>
  <si>
    <t>PV.csv</t>
  </si>
  <si>
    <t>V.csv</t>
  </si>
  <si>
    <t>Vintage.xlsx</t>
  </si>
  <si>
    <t>BRZSPbMR</t>
  </si>
  <si>
    <t>BAU Required ZEV Sales Percentage by Model Region.xlsx</t>
  </si>
  <si>
    <t>BRZSPbMR-freight.csv</t>
  </si>
  <si>
    <t>BRZSPbMR-passenger.csv</t>
  </si>
  <si>
    <t>BVTQaZ-aircraft.csv</t>
  </si>
  <si>
    <t>BVTQaZ-HDVs.csv</t>
  </si>
  <si>
    <t>BVTQaZ-LDVs.csv</t>
  </si>
  <si>
    <t>BVTQaZ-motorbikes.csv</t>
  </si>
  <si>
    <t>BVTQaZ-rail.csv</t>
  </si>
  <si>
    <t>BVTQaZ-ships.csv</t>
  </si>
  <si>
    <t>RZSPbS</t>
  </si>
  <si>
    <t>Required ZEV Sales Perc by Subregion.xlsx</t>
  </si>
  <si>
    <t>RZSPbS-frgt-aircraft.csv</t>
  </si>
  <si>
    <t>RZSPbS-frgt-hdv.csv</t>
  </si>
  <si>
    <t>RZSPbS-frgt-ldv.csv</t>
  </si>
  <si>
    <t>RZSPbS-frgt-mtrbk.csv</t>
  </si>
  <si>
    <t>RZSPbS-frgt-rail.csv</t>
  </si>
  <si>
    <t>RZSPbS-frgt-ships.csv</t>
  </si>
  <si>
    <t>RZSPbS-psgr-aircraft.csv</t>
  </si>
  <si>
    <t>RZSPbS-psgr-hdv.csv</t>
  </si>
  <si>
    <t>RZSPbS-psgr-ldv.csv</t>
  </si>
  <si>
    <t>RZSPbS-psgr-mtrbk.csv</t>
  </si>
  <si>
    <t>RZSPbS-psgr-rail.csv</t>
  </si>
  <si>
    <t>RZSPbS-psgr-ships.csv</t>
  </si>
  <si>
    <t>VTQaZ-aircraft.csv</t>
  </si>
  <si>
    <t>VTQaZ-HDVs.csv</t>
  </si>
  <si>
    <t>VTQaZ-LDVs.csv</t>
  </si>
  <si>
    <t>VTQaZ-motorbikes.csv</t>
  </si>
  <si>
    <t>VTQaZ-rail.csv</t>
  </si>
  <si>
    <t>VTQaZ-ships.csv</t>
  </si>
  <si>
    <t>BpTPEU-medium.csv</t>
  </si>
  <si>
    <t>NoH</t>
  </si>
  <si>
    <t>NoH.csv</t>
  </si>
  <si>
    <t>Number of Households.xlsx</t>
  </si>
  <si>
    <t>BDCL</t>
  </si>
  <si>
    <t>BAU Data Center Load.xlsx</t>
  </si>
  <si>
    <t>BDCL-high.csv</t>
  </si>
  <si>
    <t>BDCL-low.csv</t>
  </si>
  <si>
    <t>BDCL-mid.csv</t>
  </si>
  <si>
    <t>Change in Distribued Electricity Source Capacities This Year.xlsx</t>
  </si>
  <si>
    <t>NBICS</t>
  </si>
  <si>
    <t>NBICS.csv</t>
  </si>
  <si>
    <t>Non BAU Industry CCS Subsidy.xlsx</t>
  </si>
  <si>
    <t>DCLGA</t>
  </si>
  <si>
    <t>Data Center Load Growth Assumption.xlsx</t>
  </si>
  <si>
    <t>DCLGA.csv</t>
  </si>
  <si>
    <t>GRA-batconsubsidy.csv</t>
  </si>
  <si>
    <t>GRA-hydgnprodsubs.csv</t>
  </si>
  <si>
    <t>GRA-indstcleanheat.csv</t>
  </si>
  <si>
    <t>GRA-indstprocemiss.csv</t>
  </si>
  <si>
    <t>MRV</t>
  </si>
  <si>
    <t>Model Run Vintages.xlsx</t>
  </si>
  <si>
    <t>MRV.csv</t>
  </si>
  <si>
    <t>MV-historical.csv</t>
  </si>
  <si>
    <t>MV-run.csv</t>
  </si>
  <si>
    <t>BSfGBP</t>
  </si>
  <si>
    <t>BAU Subsidy for Grid Battery Production.xlsx</t>
  </si>
  <si>
    <t>BSfGBP.csv</t>
  </si>
  <si>
    <t>FoGBPD</t>
  </si>
  <si>
    <t>FoGBPD.csv</t>
  </si>
  <si>
    <t>Fraction of Grid Batteries Produced Domestically.xlsx</t>
  </si>
  <si>
    <t>NSDoDC</t>
  </si>
  <si>
    <t>Normalized Std Dev of Dispatch Costs.xlsx</t>
  </si>
  <si>
    <t>NSDoDC.csv</t>
  </si>
  <si>
    <t>SHELF-datacenters.csv</t>
  </si>
  <si>
    <t>TACFMfPBTY</t>
  </si>
  <si>
    <t>TACFMfPBTY.csv</t>
  </si>
  <si>
    <t>Time Adjusted Capacity Factor Multiplier for Plants Built This Year.xlsx</t>
  </si>
  <si>
    <t>BFPaT-SYPFP.csv</t>
  </si>
  <si>
    <t>BFPIaE-SYFE.csv</t>
  </si>
  <si>
    <t>BFPIaE-SYFP.csv</t>
  </si>
  <si>
    <t>BS-BSpUEOfEP.csv</t>
  </si>
  <si>
    <t>IMFPbFT-SYIMFPIE.csv</t>
  </si>
  <si>
    <t>BSfHPbP</t>
  </si>
  <si>
    <t>BAU Subsidy for Hydgn Prod by Pathway.xlsx</t>
  </si>
  <si>
    <t>BSfHPbP.csv</t>
  </si>
  <si>
    <t>FoHERbA</t>
  </si>
  <si>
    <t>FoHERbA.csv</t>
  </si>
  <si>
    <t>Frac of Hydgn Eqpt Retiring by Age.xlsx</t>
  </si>
  <si>
    <t>LHPEC.csv</t>
  </si>
  <si>
    <t>LHPEO.csv</t>
  </si>
  <si>
    <t>HPSD</t>
  </si>
  <si>
    <t>HPSD.csv</t>
  </si>
  <si>
    <t>Hydgn Prod Subsidy Duration.xlsx</t>
  </si>
  <si>
    <t>PHERP</t>
  </si>
  <si>
    <t>PHERP.csv</t>
  </si>
  <si>
    <t>Preexisting Hydgn Eqpt Retirement Profiles.xlsx</t>
  </si>
  <si>
    <t>WCoHPbP</t>
  </si>
  <si>
    <t>Water Consumption of Hydgn Prod by Pathway.xlsx</t>
  </si>
  <si>
    <t>WCoHPbP.csv</t>
  </si>
  <si>
    <t>BCHSR-investment.csv</t>
  </si>
  <si>
    <t>BCHSR-production.csv</t>
  </si>
  <si>
    <t>BDGPfPEP</t>
  </si>
  <si>
    <t>BDGPfPEP.csv</t>
  </si>
  <si>
    <t>Bool Does Govt Pay for Process Emissions Policies.xlsx</t>
  </si>
  <si>
    <t>BIFU-SYIFU.csv</t>
  </si>
  <si>
    <t>BIISRP</t>
  </si>
  <si>
    <t>BAU Individual Industrial Site Retirement Profiles.xlsx</t>
  </si>
  <si>
    <t>BIISRP-boolean.csv</t>
  </si>
  <si>
    <t>BIISRP.csv</t>
  </si>
  <si>
    <t>MECS_aggregator.py</t>
  </si>
  <si>
    <t>Table5_2.xlsx</t>
  </si>
  <si>
    <t>Table5_2_long.csv</t>
  </si>
  <si>
    <t>EoIEPwEEI</t>
  </si>
  <si>
    <t>Elasticity of Ind Eqpt Price wrt E Eff Improvements.xlsx</t>
  </si>
  <si>
    <t>EoIEPwEEI.csv</t>
  </si>
  <si>
    <t>IECCpUAEU-mobile.csv</t>
  </si>
  <si>
    <t>~$Indst Eqpt Cap Cost per Unit Ann E Use.xlsx</t>
  </si>
  <si>
    <t>Indst Eqpt Min Unit E Factor.xlsx</t>
  </si>
  <si>
    <t>~$Indst Eqpt Min Unit E Factor.xlsx</t>
  </si>
  <si>
    <t>IES-HVAC-biomass.csv</t>
  </si>
  <si>
    <t>IES-HVAC-coal.csv</t>
  </si>
  <si>
    <t>IES-HVAC-crudeoil.csv</t>
  </si>
  <si>
    <t>IES-HVAC-elec.csv</t>
  </si>
  <si>
    <t>IES-HVAC-green-hydgn.csv</t>
  </si>
  <si>
    <t>IES-HVAC-heat.csv</t>
  </si>
  <si>
    <t>IES-HVAC-heavyresidoil.csv</t>
  </si>
  <si>
    <t>IES-HVAC-hydrogen.csv</t>
  </si>
  <si>
    <t>IES-HVAC-lc-hydgn.csv</t>
  </si>
  <si>
    <t>IES-HVAC-lpgpropbut.csv</t>
  </si>
  <si>
    <t>IES-HVAC-natgas.csv</t>
  </si>
  <si>
    <t>IES-HVAC-petdiesel.csv</t>
  </si>
  <si>
    <t>IES-lighting-biomass.csv</t>
  </si>
  <si>
    <t>IES-lighting-coal.csv</t>
  </si>
  <si>
    <t>IES-lighting-crudeoil.csv</t>
  </si>
  <si>
    <t>IES-lighting-elec.csv</t>
  </si>
  <si>
    <t>IES-lighting-green-hydgn.csv</t>
  </si>
  <si>
    <t>IES-lighting-heat.csv</t>
  </si>
  <si>
    <t>IES-lighting-heavyresidoil.csv</t>
  </si>
  <si>
    <t>IES-lighting-hydrogen.csv</t>
  </si>
  <si>
    <t>IES-lighting-lc-hydgn.csv</t>
  </si>
  <si>
    <t>IES-lighting-lpgpropbut.csv</t>
  </si>
  <si>
    <t>IES-lighting-natgas.csv</t>
  </si>
  <si>
    <t>IES-lighting-petdiesel.csv</t>
  </si>
  <si>
    <t>IES-nonprocess-biomass.csv</t>
  </si>
  <si>
    <t>IES-nonprocess-coal.csv</t>
  </si>
  <si>
    <t>IES-nonprocess-crudeoil.csv</t>
  </si>
  <si>
    <t>IES-nonprocess-elec.csv</t>
  </si>
  <si>
    <t>IES-nonprocess-green-hydgn.csv</t>
  </si>
  <si>
    <t>IES-nonprocess-heat.csv</t>
  </si>
  <si>
    <t>IES-nonprocess-heavyresidoil.csv</t>
  </si>
  <si>
    <t>IES-nonprocess-hydrogen.csv</t>
  </si>
  <si>
    <t>IES-nonprocess-lc-hydgn.csv</t>
  </si>
  <si>
    <t>IES-nonprocess-lpgpropbut.csv</t>
  </si>
  <si>
    <t>IES-nonprocess-natgas.csv</t>
  </si>
  <si>
    <t>IES-nonprocess-petdiesel.csv</t>
  </si>
  <si>
    <t>IESD-FoPERNbA.csv</t>
  </si>
  <si>
    <t>IFStE</t>
  </si>
  <si>
    <t>IFStE.csv</t>
  </si>
  <si>
    <t>Indst Fuels Subject to Electrification.xlsx</t>
  </si>
  <si>
    <t>IFTQfEERP</t>
  </si>
  <si>
    <t>IFTQfEERP.csv</t>
  </si>
  <si>
    <t>Indst Fuel Types Qual for Early Eqpt Retirement Policy.xlsx</t>
  </si>
  <si>
    <t>NIEAFSM</t>
  </si>
  <si>
    <t>New Indst Eqpt Alt Fuel Shifting Matrix.xlsx</t>
  </si>
  <si>
    <t>NIEAFSM.csv</t>
  </si>
  <si>
    <t>PoOPEUTiMEbIC</t>
  </si>
  <si>
    <t>Perc of Other Proc Eqpt E Use That is Mobile Eqpt by Indst Cat.xlsx</t>
  </si>
  <si>
    <t>PoOPEUTiMEbIC.csv</t>
  </si>
  <si>
    <t>~$BAU Perc Fuel Use by Industrial Process.xlsx</t>
  </si>
  <si>
    <t>WHRCC</t>
  </si>
  <si>
    <t>Waste Heat Recovery Capital Costs.xlsx</t>
  </si>
  <si>
    <t>WHRCC.csv</t>
  </si>
  <si>
    <t>WHRPbI</t>
  </si>
  <si>
    <t>Waste Heat Recovery Potl by Indst.xlsx</t>
  </si>
  <si>
    <t>WHRPbI.csv</t>
  </si>
  <si>
    <t>~$BAU Employment by ISIC Code.xlsx</t>
  </si>
  <si>
    <t>SYObIC.csv</t>
  </si>
  <si>
    <t>~$BAU Output by ISIC Code.xlsx</t>
  </si>
  <si>
    <t>fix_block.py</t>
  </si>
  <si>
    <t>fix_block.txt</t>
  </si>
  <si>
    <t>FractionOfPolicyImplementedThisYearnew.py</t>
  </si>
  <si>
    <t>HV.csv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</si>
</sst>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 O'Brien" refreshedDate="46056.286759606483" createdVersion="6" refreshedVersion="8" minRefreshableVersion="3" recordCount="1564" xr:uid="{00000000-000A-0000-FFFF-FFFF0F000000}">
  <cacheSource type="worksheet">
    <worksheetSource ref="A1:C1048576" sheet="Sheet1"/>
  </cacheSource>
  <cacheFields count="3">
    <cacheField name="Sector Folder" numFmtId="0">
      <sharedItems containsBlank="1" count="31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~$cpi.xlsx" u="1"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470">
        <m/>
        <s v="BDbDT"/>
        <s v="FoCaAPMbDT"/>
        <s v="FoIPMbDT"/>
        <s v="HOIpTP"/>
        <s v="NoH"/>
        <s v="QSfHO"/>
        <s v="SCoC"/>
        <s v="VoaSL"/>
        <s v="BASoBC"/>
        <s v="BCEU"/>
        <s v="BDCL"/>
        <s v="BDESC"/>
        <s v="BFoCSbQL"/>
        <s v="BPSfDSPC"/>
        <s v="BRESaC"/>
        <s v="CiDESCTY"/>
        <s v="CL"/>
        <s v="CpUDSC"/>
        <s v="EoBSDwEC"/>
        <s v="EoCEDwEC"/>
        <s v="EoCPwEU"/>
        <s v="EoDSDwSP"/>
        <s v="FoBObE"/>
        <s v="ICpUEfEBE"/>
        <s v="MDSC"/>
        <s v="MSCdtRPbQL"/>
        <s v="PCFURfE"/>
        <s v="PEUDfSbQL"/>
        <s v="PPEIdtICEaT"/>
        <s v="PPEIdtIL"/>
        <s v="RBFF"/>
        <s v="RPbBCT"/>
        <s v="RPfFBSCC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CCSTaSCaS"/>
        <s v="CECRCbI"/>
        <s v="CRDT"/>
        <s v="NBICS"/>
        <s v="SoCECRCSiaY"/>
        <s v="SoCTaSCbRIC"/>
        <s v="DR"/>
        <s v="QSfCF"/>
        <s v="BNoH"/>
        <s v="QSfP"/>
        <s v="BAEPAbCiPC"/>
        <s v="BDCTBA"/>
        <s v="BDMFL"/>
        <s v="BENCEfCT"/>
        <s v="BEPEfCT"/>
        <s v="BESHFoFRV"/>
        <s v="BIEfEE"/>
        <s v="BIEfIE"/>
        <s v="BRCToEP"/>
        <s v="BUCMfNCR"/>
        <s v="BUTYGV"/>
        <s v="DCLGA"/>
        <s v="EA"/>
        <s v="EGGRA"/>
        <s v="EoSEUwGDPiR"/>
        <s v="FYIbFP"/>
        <s v="GRA"/>
        <s v="MRV"/>
        <s v="MV"/>
        <s v="BFoHfC"/>
        <s v="BFoHPbF"/>
        <s v="CECpUES"/>
        <s v="EoCtUH"/>
        <s v="HDL"/>
        <s v="RHFF"/>
        <s v="APPL"/>
        <s v="BBNPPTY"/>
        <s v="BBPPRTY"/>
        <s v="BCoESC"/>
        <s v="BCpUC"/>
        <s v="BCRbQ"/>
        <s v="BDTPTUMCF"/>
        <s v="BEVGB"/>
        <s v="BGDPbES"/>
        <s v="BHRaSYC"/>
        <s v="BPHC"/>
        <s v="BPMCCS"/>
        <s v="BPMCRS"/>
        <s v="BPPEOUP"/>
        <s v="BPSpUGBCD"/>
        <s v="BRPSDbS"/>
        <s v="BSfGBP"/>
        <s v="BSpUESttGbGB"/>
        <s v="BTaDLP"/>
        <s v="BZECfNP"/>
        <s v="CCaMC"/>
        <s v="CDRDfRCP"/>
        <s v="CiPPOAPSE"/>
        <s v="CRbQ"/>
        <s v="CRpUNL"/>
        <s v="CSC"/>
        <s v="DCCpUIiPL"/>
        <s v="DCpUC"/>
        <s v="DPbES"/>
        <s v="DRC"/>
        <s v="DRCo"/>
        <s v="EDWP"/>
        <s v="EIaE"/>
        <s v="ESTRTE"/>
        <s v="ESUfRaLCD"/>
        <s v="FoGBPD"/>
        <s v="GBCGpUNR"/>
        <s v="GBSC"/>
        <s v="GDPbES"/>
        <s v="GHESLE"/>
        <s v="GHESS"/>
        <s v="HESBCpUEC"/>
        <s v="HOC"/>
        <s v="IiCFfNPdtTI"/>
        <s v="LFHVM"/>
        <s v="MaMHEIaE"/>
        <s v="MCF"/>
        <s v="MLfPPR"/>
        <s v="MPCbS"/>
        <s v="MPPC"/>
        <s v="NSDoDC"/>
        <s v="PMCCS"/>
        <s v="PMCRS"/>
        <s v="RACP"/>
        <s v="RAF"/>
        <s v="RM"/>
        <s v="RPfFESCC"/>
        <s v="RQSD"/>
        <s v="SES"/>
        <s v="SHELF"/>
        <s v="SoCtMbCtbDP"/>
        <s v="SoESCaOMCbIC"/>
        <s v="SoFCtMbCtPR"/>
        <s v="SoTaDCCbIC"/>
        <s v="SoTaDOMCbIC"/>
        <s v="STfESCE"/>
        <s v="SYPEL"/>
        <s v="SYSHECF"/>
        <s v="SYTaDC"/>
        <s v="TACFMfPBTY"/>
        <s v="TCCpUNEC"/>
        <s v="WUbPPT"/>
        <s v="BCSG"/>
        <s v="BGBSC"/>
        <s v="BGSaWC"/>
        <s v="FoTOMRAEL"/>
        <s v="PDiBCpDoC"/>
        <s v="PDiCCpDoC"/>
        <s v="PDiCECpDoC"/>
        <s v="BCTR"/>
        <s v="BFoICbCTBA"/>
        <s v="BFoICStCT"/>
        <s v="BFoVTStCT"/>
        <s v="BFPaT"/>
        <s v="BFPIaE"/>
        <s v="BPTbCP"/>
        <s v="BS"/>
        <s v="ETRbF"/>
        <s v="FoICbCTBA"/>
        <s v="FoICStCT"/>
        <s v="FoPTaFbIC"/>
        <s v="FoVTStCT"/>
        <s v="FPIEBP"/>
        <s v="FSPbPPT"/>
        <s v="GbPbT"/>
        <s v="IMFPbFT"/>
        <s v="MPIiFE"/>
        <s v="MPIiFI"/>
        <s v="MPIiFP"/>
        <s v="PEI"/>
        <s v="PEIIR"/>
        <s v="PoFDCtAE"/>
        <s v="PTbCP"/>
        <s v="QSfE"/>
        <s v="DACD"/>
        <s v="ERWD"/>
        <s v="BCoHSC"/>
        <s v="BSfHPbP"/>
        <s v="EHPpUC"/>
        <s v="FIoHP"/>
        <s v="FoHERbA"/>
        <s v="HPEC"/>
        <s v="HPLC"/>
        <s v="HPPECbP"/>
        <s v="HPS"/>
        <s v="HPSD"/>
        <s v="PHERP"/>
        <s v="RPfFHSCC"/>
        <s v="SoHDTiGaLCbS"/>
        <s v="SoHPCCbRIC"/>
        <s v="SYAHPC"/>
        <s v="WCoHPbP"/>
        <s v="BCHPD"/>
        <s v="BCHSR"/>
        <s v="BCoISC"/>
        <s v="BDGPfPEP"/>
        <s v="BIEEI"/>
        <s v="BIEURfPEI"/>
        <s v="BIFU"/>
        <s v="BIISRP"/>
        <s v="BPE"/>
        <s v="BPFUbIP"/>
        <s v="BSoAIGtAP"/>
        <s v="EoDfIP"/>
        <s v="EoIEECwEC"/>
        <s v="EoIEPwEEI"/>
        <s v="FLRbI"/>
        <s v="IECCpUAEU"/>
        <s v="IELC"/>
        <s v="IEMUEF"/>
        <s v="IES"/>
        <s v="IESD"/>
        <s v="IESE"/>
        <s v="IFSR"/>
        <s v="IFSRF"/>
        <s v="IFStE"/>
        <s v="IFTQfEERP"/>
        <s v="IFTQfS"/>
        <s v="MHV"/>
        <s v="NIEAFSM"/>
        <s v="PEAAC"/>
        <s v="PERAC"/>
        <s v="PIFURfE"/>
        <s v="PoOPEUTiMEbIC"/>
        <s v="RoNEPtAPPpULA"/>
        <s v="RPfFISCC"/>
        <s v="SoCaOMSbRIC"/>
        <s v="SoCiIEPTtB"/>
        <s v="SoFCTiBoSFbI"/>
        <s v="SoPEASbRIC"/>
        <s v="SYIEUEFbIPaF"/>
        <s v="WHRCC"/>
        <s v="WHRPbI"/>
        <s v="ACTR"/>
        <s v="BDCSoCaESoPbIC"/>
        <s v="BEaCP"/>
        <s v="BEbIC"/>
        <s v="BECbIC"/>
        <s v="BGDP"/>
        <s v="BObIC"/>
        <s v="BPCiOaDCSbIC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FY"/>
        <s v="IT"/>
        <s v="V"/>
        <s v="AIiBCbVT"/>
        <s v="AVIC"/>
        <s v="AVL"/>
        <s v="AVLo"/>
        <s v="AVLRaPTC"/>
        <s v="AVMC"/>
        <s v="AVOP"/>
        <s v="AVPC"/>
        <s v="BAADTbVT"/>
        <s v="BCDTRtSY"/>
        <s v="BHNVFEAL"/>
        <s v="BLP"/>
        <s v="BNoEVC"/>
        <s v="BNoGP"/>
        <s v="BNVFE"/>
        <s v="BPoEFUbVT"/>
        <s v="BPP"/>
        <s v="BRASC"/>
        <s v="BRZSPbMR"/>
        <s v="BRZSPbS"/>
        <s v="BSfVBP"/>
        <s v="BVS"/>
        <s v="BVTQaZ"/>
        <s v="BVTStL"/>
        <s v="CIRbTF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LCPC"/>
        <s v="MPoEFUbVT"/>
        <s v="NBPoNVP"/>
        <s v="PTFURfE"/>
        <s v="PVTStL"/>
        <s v="QSfV"/>
        <s v="RPEF"/>
        <s v="RTMF"/>
        <s v="RZSPbS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CID"/>
        <s v="LpWOU"/>
        <s v="MOU"/>
        <s v="OCCF"/>
        <s v="NBICP" u="1"/>
        <s v="STfCCE" u="1"/>
        <s v="BHPSbP" u="1"/>
        <s v="HESD" u="1"/>
        <s v="HPEbP" u="1"/>
        <s v="HPPQ" u="1"/>
        <s v="HPtFM" u="1"/>
        <s v="SoHPAtOMbA" u="1"/>
        <s v="IFStFS" u="1"/>
        <s v="FoHObDT" u="1"/>
        <s v="CCSTaSC" u="1"/>
        <s v="RHPF" u="1"/>
        <s v="BIFUbC" u="1"/>
        <s v="BPoIFUfE" u="1"/>
        <s v="CtIEPpUESoS" u="1"/>
        <s v="PPRiFUfERoIF" u="1"/>
        <s v="PPRiFUfICaWHR" u="1"/>
        <s v="PPRiFUfIIaIoE" u="1"/>
        <s v="EBFE" u="1"/>
        <s v="SoEIaEbH" u="1"/>
        <s v="DATAiRC" u="1"/>
        <s v="BDEQ" u="1"/>
        <s v="ARpUIiRC" u="1"/>
        <s v="BDPbES" u="1"/>
        <s v="BDSBaPCF" u="1"/>
        <s v="BECF" u="1"/>
        <s v="BGCL" u="1"/>
        <s v="BPTBfRN" u="1"/>
        <s v="BTC" u="1"/>
        <s v="CRtPaL" u="1"/>
        <s v="DRCF" u="1"/>
        <s v="ELF" u="1"/>
        <s v="EoPPFTSwFP" u="1"/>
        <s v="ETCMbTCT" u="1"/>
        <s v="ETLE" u="1"/>
        <s v="ETS" u="1"/>
        <s v="FoIaEEUfDB" u="1"/>
        <s v="FoPNDtBAoT" u="1"/>
        <s v="FoSYCRpUNL" u="1"/>
        <s v="FoTCAMRBtPF" u="1"/>
        <s v="FSCaFoCC" u="1"/>
        <s v="PTCF" u="1"/>
        <s v="PTTMbC" u="1"/>
        <s v="PTUfIGaMDC" u="1"/>
        <s v="SoFCRfP" u="1"/>
        <s v="SoLYECbTCT" u="1"/>
        <s v="STfFCCfR" u="1"/>
        <s v="SYTaDOMC" u="1"/>
        <s v="TCAMRB" u="1"/>
        <s v="TCCpUNEG" u="1"/>
        <s v="GBEtPR" u="1"/>
        <s v="BPEaCP" u="1"/>
        <s v="BBSoEVP" u="1"/>
        <s v="BESP" u="1"/>
        <s v="BNVP" u="1"/>
        <s v="EoCSoEVMS" u="1"/>
        <s v="IiNBMFC" u="1"/>
        <s v="DSCF" u="1"/>
        <s v="BFoCPAbS" u="1"/>
        <s v="BRPSPTY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2104">
        <m/>
        <s v="BAU Deaths by Demographic Trait.xlsx"/>
        <s v="BDbDT-infant.csv"/>
        <s v="BDbDT-other.csv"/>
        <s v="FoCaAPMbDT-NOx-asian.csv"/>
        <s v="FoCaAPMbDT-NOx-black.csv"/>
        <s v="FoCaAPMbDT-NOx-female.csv"/>
        <s v="FoCaAPMbDT-NOx-hispanic.csv"/>
        <s v="FoCaAPMbDT-NOx-male.csv"/>
        <s v="FoCaAPMbDT-NOx-nonhispanic.csv"/>
        <s v="FoCaAPMbDT-NOx-otherrace.csv"/>
        <s v="FoCaAPMbDT-NOx-white.csv"/>
        <s v="FoCaAPMbDT-PM25-asian.csv"/>
        <s v="FoCaAPMbDT-PM25-black.csv"/>
        <s v="FoCaAPMbDT-PM25-female.csv"/>
        <s v="FoCaAPMbDT-PM25-hispanic.csv"/>
        <s v="FoCaAPMbDT-PM25-male.csv"/>
        <s v="FoCaAPMbDT-PM25-nonhispanic.csv"/>
        <s v="FoCaAPMbDT-PM25-otherrace.csv"/>
        <s v="FoCaAPMbDT-PM25-white.csv"/>
        <s v="FoCaAPMbDT-SOx-asian.csv"/>
        <s v="FoCaAPMbDT-SOx-black.csv"/>
        <s v="FoCaAPMbDT-SOx-female.csv"/>
        <s v="FoCaAPMbDT-SOx-hispanic.csv"/>
        <s v="FoCaAPMbDT-SOx-male.csv"/>
        <s v="FoCaAPMbDT-SOx-nonhispanic.csv"/>
        <s v="FoCaAPMbDT-SOx-otherrace.csv"/>
        <s v="FoCaAPMbDT-SOx-white.csv"/>
        <s v="Frac of Child and Adult Prem Mort by Demo Trait.xlsx"/>
        <s v="FoIPMbDT-NOx-asian.csv"/>
        <s v="FoIPMbDT-NOx-black.csv"/>
        <s v="FoIPMbDT-NOx-female.csv"/>
        <s v="FoIPMbDT-NOx-hispanic.csv"/>
        <s v="FoIPMbDT-NOx-male.csv"/>
        <s v="FoIPMbDT-NOx-nonhispanic.csv"/>
        <s v="FoIPMbDT-NOx-otherrace.csv"/>
        <s v="FoIPMbDT-NOx-white.csv"/>
        <s v="FoIPMbDT-PM25-asian.csv"/>
        <s v="FoIPMbDT-PM25-black.csv"/>
        <s v="FoIPMbDT-PM25-female.csv"/>
        <s v="FoIPMbDT-PM25-hispanic.csv"/>
        <s v="FoIPMbDT-PM25-male.csv"/>
        <s v="FoIPMbDT-PM25-nonhispanic.csv"/>
        <s v="FoIPMbDT-PM25-otherrace.csv"/>
        <s v="FoIPMbDT-PM25-white.csv"/>
        <s v="FoIPMbDT-SOx-asian.csv"/>
        <s v="FoIPMbDT-SOx-black.csv"/>
        <s v="FoIPMbDT-SOx-female.csv"/>
        <s v="FoIPMbDT-SOx-hispanic.csv"/>
        <s v="FoIPMbDT-SOx-male.csv"/>
        <s v="FoIPMbDT-SOx-nonhispanic.csv"/>
        <s v="FoIPMbDT-SOx-otherrace.csv"/>
        <s v="FoIPMbDT-SOx-white.csv"/>
        <s v="Frac of Infant Prem Mort by Demo Trait.xlsx"/>
        <s v="Generator.py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NoH.csv"/>
        <s v="Number of Households.xlsx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ata Center Load.xlsx"/>
        <s v="BDCL-high.csv"/>
        <s v="BDCL-low.csv"/>
        <s v="BDCL-mid.csv"/>
        <s v="BAU Distribued Electricity Source Capacities.xlsx"/>
        <s v="BDESC-commercial.csv"/>
        <s v="BDESC-rural-residential.csv"/>
        <s v="BDESC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hange in Distribued Electricity Source Capacities This Year.xlsx"/>
        <s v="Change in Distributed Electricity Source Capacities This Year.xlsx"/>
        <s v="CiDESCTY-commercial.csv"/>
        <s v="CiDESCTY-rural-residential.csv"/>
        <s v="CiDESCTY-urban-residential.csv"/>
        <s v="CL.csv"/>
        <s v="Component Lifetime.xlsx"/>
        <s v="Cost per Unit Dist Solar Cap.xlsx"/>
        <s v="CpUDSC-softcosts.csv"/>
        <s v="CpUDSC-totalcost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x Distrib Solar Capacity.xlsx"/>
        <s v="MDSC.csv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RPfFBSCC.csv"/>
        <s v="RPfFESCC Repayment Period for Financed Buildings Sector Capital Costs.xlsx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-BCS.csv"/>
        <s v="BCS-DoSfCS.csv"/>
        <s v="BAU Fraction of CCS Potential Achieved by Industry.xlsx"/>
        <s v="BFoCPAbI-energyEmis.csv"/>
        <s v="BFoCPAbI-processEmis.csv"/>
        <s v="Biomass with CCS Storage per MWh.xlsx"/>
        <s v="BwCCSSpM.csv"/>
        <s v="CC-CCoHSCE.csv"/>
        <s v="CC-CCoIECE.csv"/>
        <s v="CC-CCoIPCE.csv"/>
        <s v="CC-EUpTHSCS.csv"/>
        <s v="CC-EUpTIECS.csv"/>
        <s v="CC-EUpTIPCS.csv"/>
        <s v="CC-TOMCpTHSCS.csv"/>
        <s v="CC-TOMCpTIECS.csv"/>
        <s v="CC-TOMCpTIPCS.csv"/>
        <s v="CCS Calculations.xlsx"/>
        <s v="CO2 Capture Potentials.xlsx"/>
        <s v="CPPbES.csv"/>
        <s v="CPPbHS.csv"/>
        <s v="CCS Transportation and Storage Costs and Subsidies.xlsx"/>
        <s v="CCSTaSCaS-costs.csv"/>
        <s v="CCSTaSCaS-subsidies.csv"/>
        <s v="CECRCbI-energy.csv"/>
        <s v="CECRCbI-process.csv"/>
        <s v="Cost Effective CCS Retrofit Capacity by Industry.xlsx"/>
        <s v="CCS Retrofit Detployment Time.xlsx"/>
        <s v="CRDT.csv"/>
        <s v="NBICS.csv"/>
        <s v="Non BAU Industry CCS Subsidy.xlsx"/>
        <s v="Share of Cost Effective CCS Retrofit Construction Started in a Year.xlsx"/>
        <s v="SoCECRCSiaY.csv"/>
        <s v="Share of CCS Transportation and Storage Costs by Recipient ISIC Code.xlsx"/>
        <s v="SoCTaSCbRIC.csv"/>
        <s v="Discount Rate.xlsx"/>
        <s v="DR.csv"/>
        <s v="QSfCF.csv"/>
        <s v="Quantization Size for Cash Flows.xlsx"/>
        <s v="BAU Number of Households.xlsx"/>
        <s v="BNoH.csv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Capacity Market for New Capacity Revenue.xlsx"/>
        <s v="BUCMfNCR.csv"/>
        <s v="Boolean Use Twenty Year GWP Values.xlsx"/>
        <s v="BUTYGV.csv"/>
        <s v="Data Center Load Growth Assumption.xlsx"/>
        <s v="DCLGA.csv"/>
        <s v="EA.csv"/>
        <s v="Equipment Age.xlsx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First Year Impacted by Future Policies.xlsx"/>
        <s v="FYIbFP.csv"/>
        <s v="Government Revenue Accounting.xlsx"/>
        <s v="GRA-batconsubsidy.csv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hydgnprodsubs.csv"/>
        <s v="GRA-indstcleanheat.csv"/>
        <s v="GRA-indstprocemiss.csv"/>
        <s v="GRA-ntnldebtinterest.csv"/>
        <s v="GRA-remainder.csv"/>
        <s v="GRA-vehbatsubsidy.csv"/>
        <s v="Model Run Vintages.xlsx"/>
        <s v="MRV.csv"/>
        <s v="FMV.csv"/>
        <s v="Modeled Vintages.xlsx"/>
        <s v="MV-current.csv"/>
        <s v="MV-historical.csv"/>
        <s v="MV-preceding.csv"/>
        <s v="MV-run.csv"/>
        <s v="MV.csv"/>
        <s v="BAU Fraction of Heat from CHP.xlsx"/>
        <s v="BFoHfC.csv"/>
        <s v="BAU Frac of Heat Provided by Fuel.xlsx"/>
        <s v="BFoHPbF.csv"/>
        <s v="CECpUES.csv"/>
        <s v="CHP Eqpt Cost per Unit Energy Shifted.xlsx"/>
        <s v="Efficiency of Conversion to Usable Heat.xlsx"/>
        <s v="EoCtUH.csv"/>
        <s v="HDL.csv"/>
        <s v="Heat Distribution Losses.xlsx"/>
        <s v="Recipient Heat Fuel Fractions.xlsx"/>
        <s v="RHFF.csv"/>
        <s v="APPL.csv"/>
        <s v="Average Power Plant Lifetime.xlsx"/>
        <s v="BAU Ban New Power Plants This Year.xlsx"/>
        <s v="BBNPPTY.csv"/>
        <s v="BAU Ban Power Plant Retrofits This Year.xlsx"/>
        <s v="BBPPRTY.csv"/>
        <s v="BAU Cost of Electricity Sector Capital.xlsx"/>
        <s v="BCoESC-dist-solar.csv"/>
        <s v="BCoESC-other.csv"/>
        <s v="BCoESC-power-plants.csv"/>
        <s v="Battery Cost per Unit Cap.xlsx"/>
        <s v="BBoSCaSoFYC.csv"/>
        <s v="BCpUC-energy.csv"/>
        <s v="BCpUC-power.csv"/>
        <s v="BAU Cap Retirements before Quantization.xlsx"/>
        <s v="BCRbQ.csv"/>
        <s v="BDTPTUMCF.csv"/>
        <s v="Boolean Does This Plant Type Use Maximum Capacity Factor.xlsx"/>
        <s v="BAU EV Grid Balancing.xlsx"/>
        <s v="BEVGB-fraction-of-bat-cap.csv"/>
        <s v="BEVGB-fraction-of-EVs.csv"/>
        <s v="BAU Guaranteed Dispatch Perc by Elec Source.xlsx"/>
        <s v="BGDPbES.csv"/>
        <s v="BAU Heat Rates and Start Year Capacities.xlsx"/>
        <s v="BHRaSYC-HeatRates.csv"/>
        <s v="BHRaSYC-StartYearCapacities.csv"/>
        <s v="BAU Pumped Hydro Cap.xlsx"/>
        <s v="BPHC.csv"/>
        <s v="BAU Pol Mandated Cap Const Sched.xlsx"/>
        <s v="BPMCCS.csv"/>
        <s v="BAU Pol Mandated Cap Retro Sched.xlsx"/>
        <s v="BPMCRS.csv"/>
        <s v="BAU Pwr Plnt Elec Own Use Perc.xlsx"/>
        <s v="BPPEOUP.csv"/>
        <s v="BAU Subsidy per Unit Grid Battery Capacity Deployed.xlsx"/>
        <s v="BPSpUGBCD.csv"/>
        <s v="BAU RPS Data by Subregion.xlsx"/>
        <s v="BRPSDbS-electricity-shares.csv"/>
        <s v="BRPSDbS-RPS-percentages.csv"/>
        <s v="BAU Subsidy for Grid Battery Production.xlsx"/>
        <s v="BSfGBP.csv"/>
        <s v="BAU Subsidy per Unit Electricity Supplied to the Grid by Grid Batteries.xlsx"/>
        <s v="BSpUESttGbGB.csv"/>
        <s v="BAU Trans and Distr Loss Perc.xlsx"/>
        <s v="BTaDLP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DRDfRCP.csv"/>
        <s v="Cln Dsptchble Rsrc Dmnd for Rlbty Curve Param.xlsx"/>
        <s v="Change in Power Plant Output After Production Subsidy Expires.xlsx"/>
        <s v="CiPPOAPSE.csv"/>
        <s v="Cap Retirements before Quantization.xlsx"/>
        <s v="CRbQ.csv"/>
        <s v="Cap Ret per Unit Net Loss.xlsx"/>
        <s v="CRpUNL.csv"/>
        <s v="Capacity Supply Curve.xlsx"/>
        <s v="CSC-CSCCCMvSoECBtY.csv"/>
        <s v="CSC-CSCMBCfPTwNEC.csv"/>
        <s v="CSC-CSCSoCECBiaSY.csv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PADRC.csv"/>
        <s v="Demand Response Costs.xlsx"/>
        <s v="DRCo-ACpUDRC.csv"/>
        <s v="DRCo-SoDRbP.csv"/>
        <s v="EDWP-ParameterA.csv"/>
        <s v="EDWP-ParameterB.csv"/>
        <s v="Electricity Dispatch Weibull Parameters.xlsx"/>
        <s v="EIaE-BEE.csv"/>
        <s v="EIaE-BEEP.csv"/>
        <s v="EIaE-BIE.csv"/>
        <s v="EIaE-IEP.csv"/>
        <s v="Elec Imports and Exports.xlsx"/>
        <s v="Elec Storage Tech Round Trip Efficiency.xlsx"/>
        <s v="ESTRTE-grid-batteries.csv"/>
        <s v="ESTRTE-pumped-hydro.csv"/>
        <s v="Elec Sources Used for Rlbty and Lst Cst Dsptch.xlsx"/>
        <s v="ESUfRaLCD-dispatch.csv"/>
        <s v="ESUfRaLCD-reliability.csv"/>
        <s v="FoGBPD.csv"/>
        <s v="Fraction of Grid Batteries Produced Domestically.xlsx"/>
        <s v="GBCGpUNR.csv"/>
        <s v="Grid Bat Cap Growth per Unit Net Revenue.xlsx"/>
        <s v="GBDSD.csv"/>
        <s v="Grid Battery Storage Capacities.xlsx"/>
        <s v="SYGBSC.csv"/>
        <s v="GDPbES.csv"/>
        <s v="Guaranteed Dispatch Perc by Elec Source.xlsx"/>
        <s v="GHESLE.csv"/>
        <s v="Green Hydrogen Electricity Supply Logit Exponent.xlsx"/>
        <s v="GHESS.csv"/>
        <s v="Green Hydrogen Electricity Supply Shareweights.xlsx"/>
        <s v="HESBCpUEC.csv"/>
        <s v="Hybrid Electricity Source Battery Capacity per Unit Electricity Capacity.xlsx"/>
        <s v="HOC Hydro Opportunity Costs.xlsx"/>
        <s v="HOC.csv"/>
        <s v="IiCFfNPdtTI.csv"/>
        <s v="Inc in Cap Factors due to Tech Imprv.xlsx"/>
        <s v="LFHVM.csv"/>
        <s v="Load Factor Hourly Variance Multiplier.xlsx"/>
        <s v="MaMHEIaE-exports.csv"/>
        <s v="MaMHEIaE-imports.csv"/>
        <s v="Max and Min Hourly Elec Imp and Exp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Normalized Std Dev of Dispatch Costs.xlsx"/>
        <s v="NSDoDC.csv"/>
        <s v="PMCCS.csv"/>
        <s v="Pol Mandated Cap Const Sched.xlsx"/>
        <s v="PMCRS.csv"/>
        <s v="Pol Mandated Cap Retro Sched.xlsx"/>
        <s v="RACP-BRACP.csv"/>
        <s v="RACP-RACP.csv"/>
        <s v="RPS Alternative Compliance Payment.xlsx"/>
        <s v="RAF-capacity.csv"/>
        <s v="RAF-demand-altering-techs.csv"/>
        <s v="RAF-generation.csv"/>
        <s v="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tacenters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tricity Sector Capital and OM Costs by ISIC Code.xlsx"/>
        <s v="SoESCaOMCbIC-capital.csv"/>
        <s v="SoESCaOMCbIC-fixedOM.csv"/>
        <s v="SoESCaOMCbIC-variableOM.csv"/>
        <s v="Shr of Fwd Costs that Must be Covered to be Prevent Retirement.xlsx"/>
        <s v="SoFCtMbCtPR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pumped-hydro.csv"/>
        <s v="SYSHECF-SMR.csv"/>
        <s v="SYSHECF-solar-pv-dist.csv"/>
        <s v="SYSHECF-solar-pv.csv"/>
        <s v="SYSHECF-solar-thermal.csv"/>
        <s v="SYSHECF-steam-turbine.csv"/>
        <s v="Start Year Transmission and Distribution Costs.xlsx"/>
        <s v="SYTaDC-Distribution Capital.csv"/>
        <s v="SYTaDC-Distribution OM.csv"/>
        <s v="SYTaDC-Transmission Capital.csv"/>
        <s v="SYTaDC-Transmission OM.csv"/>
        <s v="TACFMfPBTY.csv"/>
        <s v="Time Adjusted Capacity Factor Multiplier for Plants Built This Year.xlsx"/>
        <s v="TCCpUNEC.csv"/>
        <s v="Trans Const Cost per Unit New Electricity Capacity.xlsx"/>
        <s v="Water Use by Power Plant Type.xlsx"/>
        <s v="WUbPPT-consumption.csv"/>
        <s v="WUbPPT-withdrawals.csv"/>
        <s v="BAU CO2 Sequestered Globally.xlsx"/>
        <s v="BCSG.csv"/>
        <s v="SYBCSG.csv"/>
        <s v="BAU Global Battery Storage Cap.xlsx"/>
        <s v="BGBSC.csv"/>
        <s v="BAU Global Solar and Wind Cap.xlsx"/>
        <s v="BGSaWC.csv"/>
        <s v="SYBGSaWC.csv"/>
        <s v="FoTOMRAEL.csv"/>
        <s v="Frac of Tech Outside Modeled Region Affecting Endo Learning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raction of Industry Covered by Carbon Tax Border Adjustment.xlsx"/>
        <s v="BFoICbCTBA.csv"/>
        <s v="BAU Fraction of Industry Category Subject to Carbon Tax.xlsx"/>
        <s v="BFoICStCT.csv"/>
        <s v="BAU Fraction of Vehicle Types Subject to Carbon Tax.xlsx"/>
        <s v="BFoVTStCT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FPaT-SYPFP.csv"/>
        <s v="BAU Fuel Production Imports and Exports.xlsx"/>
        <s v="BFPIaE-exports.csv"/>
        <s v="BFPIaE-imports.csv"/>
        <s v="BFPIaE-production.csv"/>
        <s v="BFPIaE-SYFE.csv"/>
        <s v="BFPIaE-SYFP.csv"/>
        <s v="BAU Pollutants Taxed by Carbon Pricing.xlsx"/>
        <s v="BPTbCP-buildings.csv"/>
        <s v="BPTbCP-districtheat.csv"/>
        <s v="BPTbCP-electricity.csv"/>
        <s v="BPTbCP-hydrogen.csv"/>
        <s v="BPTbCP-industry.csv"/>
        <s v="BPTbCP-transportation.csv"/>
        <s v="BAU Subsidies.xlsx"/>
        <s v="BS-BSfTFpEUP-com-bldgs.csv"/>
        <s v="BS-BSfTFpEUP-dist-heat-hydgn.csv"/>
        <s v="BS-BSfTFpEUP-electricity.csv"/>
        <s v="BS-BSfTFpEUP-geoeng.csv"/>
        <s v="BS-BSfTFpEUP-industry.csv"/>
        <s v="BS-BSfTFpEUP-res-bldgs.csv"/>
        <s v="BS-BSfTFpEUP-transportation.csv"/>
        <s v="BS-BSpUECB.csv"/>
        <s v="BS-BSpUEO.csv"/>
        <s v="BS-BSpUEOfEP.csv"/>
        <s v="BS-DoSpUEO.csv"/>
        <s v="ETRbF.csv"/>
        <s v="Export Tax Rate by Fuel.xlsx"/>
        <s v="FoICbCTBA.csv"/>
        <s v="Fraction of Industry Covered by Carbon Tax Border Adjustment.xlsx"/>
        <s v="FoICStCT.csv"/>
        <s v="Fraction of Industry Category Subject to Carbon Tax.xlsx"/>
        <s v="FoPTaFbIC.csv"/>
        <s v="Fractions of Products That are Fuels by ISIC Code.xlsx"/>
        <s v="FoVTStCT.csv"/>
        <s v="Fraction of Vehicle Types Subject to Carbon Tax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-SYIMFPIE.csv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Pollutants Taxed by Carbon Pricing.xlsx"/>
        <s v="PTbCP-buildings.csv"/>
        <s v="PTbCP-districtheat.csv"/>
        <s v="PTbCP-electricity.csv"/>
        <s v="PTbCP-hydrogen.csv"/>
        <s v="PTbCP-industry.csv"/>
        <s v="PTbCP-transportation.csv"/>
        <s v="QSfE.csv"/>
        <s v="Quantization Size for Energy.xlsx"/>
        <s v="DACD-capex.csv"/>
        <s v="DACD-energyintensity.csv"/>
        <s v="DACD-potential.csv"/>
        <s v="Direct Air Capture Data.xlsx"/>
        <s v="Enhanced Rock Weathering Data.xlsx"/>
        <s v="ERWD-capex.csv"/>
        <s v="ERWD-energyintensity.csv"/>
        <s v="ERWD-potential.csv"/>
        <s v="BAU Cost of Hydrogen Sector Capital.xlsx"/>
        <s v="BCoHSC.csv"/>
        <s v="BAU Subsidy for Hydgn Prod by Pathway.xlsx"/>
        <s v="BSfHPbP.csv"/>
        <s v="EHPpUC.csv"/>
        <s v="Electrolyzer Hydrogen Production per Unit Capacity.xlsx"/>
        <s v="FIoHP-biomass-gasification.csv"/>
        <s v="FIoHP-coal-gasification.csv"/>
        <s v="FIoHP-electrolysis.csv"/>
        <s v="FIoHP-green-electrolysis.csv"/>
        <s v="FIoHP-hydrocarbon-POx.csv"/>
        <s v="FIoHP-ng-reforming-CCS.csv"/>
        <s v="FIoHP-ng-reforming.csv"/>
        <s v="Fuel Intensity of Hydrogen Production.xlsx"/>
        <s v="FoHERbA.csv"/>
        <s v="Frac of Hydgn Eqpt Retiring by Age.xlsx"/>
        <s v="HPEC.csv"/>
        <s v="HPEO.csv"/>
        <s v="Hydrogen Production Eqpt Costs.xlsx"/>
        <s v="LHPEC.csv"/>
        <s v="LHPEO.csv"/>
        <s v="HPLC.csv"/>
        <s v="Hydrogen Production Logit Coefficient.xlsx"/>
        <s v="HPPECbP.csv"/>
        <s v="Hydgn Prod Perc Excess Cap by Pathway.xlsx"/>
        <s v="HPS.csv"/>
        <s v="Hydrogen Production Shareweights.xlsx"/>
        <s v="HPSD.csv"/>
        <s v="Hydgn Prod Subsidy Duration.xlsx"/>
        <s v="PHERP.csv"/>
        <s v="Preexisting Hydgn Eqpt Retirement Profiles.xlsx"/>
        <s v="RPfFHSCC Repayment Period for Financed Hydgn Sector Capital Costs.xlsx"/>
        <s v="RPfFHSCC.csv"/>
        <s v="Share of Hydgn Demand That is Green and Low Carbon by Sector.xlsx"/>
        <s v="SoHDTiGaLCbS-green.csv"/>
        <s v="SoHDTiGaLCbS-lowcarbon.csv"/>
        <s v="Share of Hydrogen Production Capital Costs by Recipient ISIC Code.xlsx"/>
        <s v="SoHPCCbRIC.csv"/>
        <s v="Start Year Annual Hydrogen Production Capacity.xlsx"/>
        <s v="SYAHPC.csv"/>
        <s v="Water Consumption of Hydgn Prod by Pathway.xlsx"/>
        <s v="WCoHPbP.csv"/>
        <s v="BAU Clean Heat PTC Duration.xlsx"/>
        <s v="BCHPD.csv"/>
        <s v="BAU Clean Heat Subsidy Rate.xlsx"/>
        <s v="BCHSR-investment.csv"/>
        <s v="BCHSR-production.csv"/>
        <s v="BAU Cost of Industry Sector Capital.xlsx"/>
        <s v="BCoISC-RPfE.csv"/>
        <s v="BCoISC-WACCbI.csv"/>
        <s v="BDGPfPEP.csv"/>
        <s v="Bool Does Govt Pay for Process Emissions Policies.xlsx"/>
        <s v="BAU Industrial Equipment Efficiency Improvement.xlsx"/>
        <s v="BIEEI-elec.csv"/>
        <s v="BIEEI-other.csv"/>
        <s v="BAU Industrial Energy Use Reduction from Process Efficiency Improvements.xlsx"/>
        <s v="BIEURfPEI-biomass.csv"/>
        <s v="BIEURfPEI-coal.csv"/>
        <s v="BIEURfPEI-crude-oil.csv"/>
        <s v="BIEURfPEI-electricity.csv"/>
        <s v="BIEURfPEI-green-hydrogen.csv"/>
        <s v="BIEURfPEI-heat.csv"/>
        <s v="BIEURfPEI-heavy-or-residual-oil.csv"/>
        <s v="BIEURfPEI-hydrogen.csv"/>
        <s v="BIEURfPEI-lowcarbon-hydrogen.csv"/>
        <s v="BIEURfPEI-LPG-propane-or-butane.csv"/>
        <s v="BIEURfPEI-natural-gas.csv"/>
        <s v="BIEURfPEI-petroleum-diesel.csv"/>
        <s v="BAU Industrial Fuel Use.xlsx"/>
        <s v="BIFU-SYIFU.csv"/>
        <s v="BIFUaF-biomass.csv"/>
        <s v="BIFUaF-coal.csv"/>
        <s v="BIFUaF-crude-oil.csv"/>
        <s v="BIFUaF-electricity.csv"/>
        <s v="BIFUaF-green-hydrogen.csv"/>
        <s v="BIFUaF-heat.csv"/>
        <s v="BIFUaF-heavy-or-residual-oil.csv"/>
        <s v="BIFUaF-hydrogen.csv"/>
        <s v="BIFUaF-lowcarbon-hydrogen.csv"/>
        <s v="BIFUaF-LPG-propane-or-butane.csv"/>
        <s v="BIFUaF-natural-gas.csv"/>
        <s v="BIFUaF-petroleum-diesel.csv"/>
        <s v="BIFUfE-biomass.csv"/>
        <s v="BIFUfE-coal.csv"/>
        <s v="BIFUfE-crude-oil.csv"/>
        <s v="BIFUfE-electricity.csv"/>
        <s v="BIFUfE-green-hydrogen.csv"/>
        <s v="BIFUfE-heat.csv"/>
        <s v="BIFUfE-heavy-or-residual-oil.csv"/>
        <s v="BIFUfE-hydrogen.csv"/>
        <s v="BIFUfE-lowcarbon-hydrogen.csv"/>
        <s v="BIFUfE-LPG-propane-or-butane.csv"/>
        <s v="BIFUfE-natural-gas.csv"/>
        <s v="BIFUfE-petroleum-diesel.csv"/>
        <s v="BAU Individual Industrial Site Retirement Profiles.xlsx"/>
        <s v="BIISRP-boolean.csv"/>
        <s v="BIISRP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erc Fuel Use by Industrial Process.xlsx"/>
        <s v="BPFUbIP-biomass.csv"/>
        <s v="BPFUbIP-crude-oil.csv"/>
        <s v="BPFUbIP-electricity.csv"/>
        <s v="BPFUbIP-fallback.csv"/>
        <s v="BPFUbIP-green-hydrogen.csv"/>
        <s v="BPFUbIP-hard-coal.csv"/>
        <s v="BPFUbIP-heat.csv"/>
        <s v="BPFUbIP-hvy-resid-fuel-oil.csv"/>
        <s v="BPFUbIP-hydrogen.csv"/>
        <s v="BPFUbIP-lowcarbon-hydrogen.csv"/>
        <s v="BPFUbIP-LPG.csv"/>
        <s v="BPFUbIP-natural-gas.csv"/>
        <s v="BPFUbIP-petroleum-diesel.csv"/>
        <s v="MECS_aggregator.py"/>
        <s v="Table5_2.xlsx"/>
        <s v="Table5_2_long.csv"/>
        <s v="BAU Shr of Ag Indst Going to Anml Prdcts.xlsx"/>
        <s v="BSoAIGtAP.csv"/>
        <s v="Elasticities of Demand for Industrial Products.xlsx"/>
        <s v="EoDfIP.csv"/>
        <s v="Elasticity of Ind Eqpt E Cons wrt E Cost.xlsx"/>
        <s v="EoIEECwEC.csv"/>
        <s v="Elasticity of Ind Eqpt Price wrt E Eff Improvements.xlsx"/>
        <s v="EoIEPwEEI.csv"/>
        <s v="FLRbI.csv"/>
        <s v="Foreign Leakage Rate by Industry.xlsx"/>
        <s v="IECCpUAEU-mobile.csv"/>
        <s v="IECCpUAEU.csv"/>
        <s v="Indst Eqpt Cap Cost per Unit Ann E Use.xlsx"/>
        <s v="~$Indst Eqpt Cap Cost per Unit Ann E Use.xlsx"/>
        <s v="IELC.csv"/>
        <s v="Industrial Eqpt Logit Coefficient.xlsx"/>
        <s v="IEMUEF.csv"/>
        <s v="Indst Eqpt Min Unit E Factor.xlsx"/>
        <s v="~$Indst Eqpt Min Unit E Factor.xlsx"/>
        <s v="IES-boilers-biomass.csv"/>
        <s v="IES-boilers-coal.csv"/>
        <s v="IES-boilers-crudeoil.csv"/>
        <s v="IES-boilers-elec.csv"/>
        <s v="IES-boilers-green-hydgn.csv"/>
        <s v="IES-boilers-heat.csv"/>
        <s v="IES-boilers-heavyresidoil.csv"/>
        <s v="IES-boilers-hydrogen.csv"/>
        <s v="IES-boilers-lc-hydgn.csv"/>
        <s v="IES-boilers-lpgpropbut.csv"/>
        <s v="IES-boilers-natgas.csv"/>
        <s v="IES-boilers-petdiesel.csv"/>
        <s v="IES-cooling-biomass.csv"/>
        <s v="IES-cooling-coal.csv"/>
        <s v="IES-cooling-crudeoil.csv"/>
        <s v="IES-cooling-elec.csv"/>
        <s v="IES-cooling-green-hydgn.csv"/>
        <s v="IES-cooling-heat.csv"/>
        <s v="IES-cooling-heavyresidoil.csv"/>
        <s v="IES-cooling-hydrogen.csv"/>
        <s v="IES-cooling-lc-hydgn.csv"/>
        <s v="IES-cooling-lpgpropbut.csv"/>
        <s v="IES-cooling-natgas.csv"/>
        <s v="IES-cooling-petdiesel.csv"/>
        <s v="IES-HVAC-biomass.csv"/>
        <s v="IES-HVAC-coal.csv"/>
        <s v="IES-HVAC-crudeoil.csv"/>
        <s v="IES-HVAC-elec.csv"/>
        <s v="IES-HVAC-green-hydgn.csv"/>
        <s v="IES-HVAC-heat.csv"/>
        <s v="IES-HVAC-heavyresidoil.csv"/>
        <s v="IES-HVAC-hydrogen.csv"/>
        <s v="IES-HVAC-lc-hydgn.csv"/>
        <s v="IES-HVAC-lpgpropbut.csv"/>
        <s v="IES-HVAC-natgas.csv"/>
        <s v="IES-HVAC-petdiesel.csv"/>
        <s v="IES-lighting-biomass.csv"/>
        <s v="IES-lighting-coal.csv"/>
        <s v="IES-lighting-crudeoil.csv"/>
        <s v="IES-lighting-elec.csv"/>
        <s v="IES-lighting-green-hydgn.csv"/>
        <s v="IES-lighting-heat.csv"/>
        <s v="IES-lighting-heavyresidoil.csv"/>
        <s v="IES-lighting-hydrogen.csv"/>
        <s v="IES-lighting-lc-hydgn.csv"/>
        <s v="IES-lighting-lpgpropbut.csv"/>
        <s v="IES-lighting-natgas.csv"/>
        <s v="IES-lighting-petdiesel.csv"/>
        <s v="IES-machinedrive-biomass.csv"/>
        <s v="IES-machinedrive-coal.csv"/>
        <s v="IES-machinedrive-crudeoil.csv"/>
        <s v="IES-machinedrive-elec.csv"/>
        <s v="IES-machinedrive-green-hydgn.csv"/>
        <s v="IES-machinedrive-heat.csv"/>
        <s v="IES-machinedrive-heavyresidoil.csv"/>
        <s v="IES-machinedrive-hydrogen.csv"/>
        <s v="IES-machinedrive-lc-hydgn.csv"/>
        <s v="IES-machinedrive-lpgpropbut.csv"/>
        <s v="IES-machinedrive-natgas.csv"/>
        <s v="IES-machinedrive-petdiesel.csv"/>
        <s v="IES-nonboilerhigh-biomass.csv"/>
        <s v="IES-nonboilerhigh-coal.csv"/>
        <s v="IES-nonboilerhigh-crudeoil.csv"/>
        <s v="IES-nonboilerhigh-elec.csv"/>
        <s v="IES-nonboilerhigh-green-hydgn.csv"/>
        <s v="IES-nonboilerhigh-heat.csv"/>
        <s v="IES-nonboilerhigh-heavyresidoil.csv"/>
        <s v="IES-nonboilerhigh-hydrogen.csv"/>
        <s v="IES-nonboilerhigh-lc-hydgn.csv"/>
        <s v="IES-nonboilerhigh-lpgpropbut.csv"/>
        <s v="IES-nonboilerhigh-natgas.csv"/>
        <s v="IES-nonboilerhigh-petdiesel.csv"/>
        <s v="IES-nonboilerlow-biomass.csv"/>
        <s v="IES-nonboilerlow-coal.csv"/>
        <s v="IES-nonboilerlow-crudeoil.csv"/>
        <s v="IES-nonboilerlow-elec.csv"/>
        <s v="IES-nonboilerlow-green-hydgn.csv"/>
        <s v="IES-nonboilerlow-heat.csv"/>
        <s v="IES-nonboilerlow-heavyresidoil.csv"/>
        <s v="IES-nonboilerlow-hydrogen.csv"/>
        <s v="IES-nonboilerlow-lc-hydgn.csv"/>
        <s v="IES-nonboilerlow-lpgpropbut.csv"/>
        <s v="IES-nonboilerlow-natgas.csv"/>
        <s v="IES-nonboilerlow-petdiesel.csv"/>
        <s v="IES-nonboilermed-biomass.csv"/>
        <s v="IES-nonboilermed-coal.csv"/>
        <s v="IES-nonboilermed-crudeoil.csv"/>
        <s v="IES-nonboilermed-elec.csv"/>
        <s v="IES-nonboilermed-green-hydgn.csv"/>
        <s v="IES-nonboilermed-heat.csv"/>
        <s v="IES-nonboilermed-heavyresidoil.csv"/>
        <s v="IES-nonboilermed-hydrogen.csv"/>
        <s v="IES-nonboilermed-lc-hydgn.csv"/>
        <s v="IES-nonboilermed-lpgpropbut.csv"/>
        <s v="IES-nonboilermed-natgas.csv"/>
        <s v="IES-nonboilermed-petdiesel.csv"/>
        <s v="IES-nonprocess-biomass.csv"/>
        <s v="IES-nonprocess-coal.csv"/>
        <s v="IES-nonprocess-crudeoil.csv"/>
        <s v="IES-nonprocess-elec.csv"/>
        <s v="IES-nonprocess-green-hydgn.csv"/>
        <s v="IES-nonprocess-heat.csv"/>
        <s v="IES-nonprocess-heavyresidoil.csv"/>
        <s v="IES-nonprocess-hydrogen.csv"/>
        <s v="IES-nonprocess-lc-hydgn.csv"/>
        <s v="IES-nonprocess-lpgpropbut.csv"/>
        <s v="IES-nonprocess-natgas.csv"/>
        <s v="IES-nonprocess-petdiesel.csv"/>
        <s v="IES-other-biomass.csv"/>
        <s v="IES-other-coal.csv"/>
        <s v="IES-other-crudeoil.csv"/>
        <s v="IES-other-elec.csv"/>
        <s v="IES-other-green-hydgn.csv"/>
        <s v="IES-other-heat.csv"/>
        <s v="IES-other-heavyresidoil.csv"/>
        <s v="IES-other-hydrogen.csv"/>
        <s v="IES-other-lc-hydgn.csv"/>
        <s v="IES-other-lpgpropbut.csv"/>
        <s v="IES-other-natgas.csv"/>
        <s v="IES-other-petdiesel.csv"/>
        <s v="Industrial Equipment Shareweights.xlsm"/>
        <s v="Industrial Equipment Shareweights.xlsx"/>
        <s v="IESD-AAaWER.csv"/>
        <s v="IESD-FoIERbA.csv"/>
        <s v="IESD-FoPERNbA.csv"/>
        <s v="Industrial Equipment Survival Data.xlsx"/>
        <s v="IESE Import Export Substitution Elasticities.xlsx"/>
        <s v="IESE.csv"/>
        <s v="IFSR-chemicals.csv"/>
        <s v="IFSR-ironsteel.csv"/>
        <s v="Industrial Fuel Shifting Ratio.xlsx"/>
        <s v="IFSRF.csv"/>
        <s v="Industrial Feedstock Switching Recipient Fuel.xlsx"/>
        <s v="IFStE.csv"/>
        <s v="Indst Fuels Subject to Electrification.xlsx"/>
        <s v="IFTQfEERP.csv"/>
        <s v="Indst Fuel Types Qual for Early Eqpt Retirement Policy.xlsx"/>
        <s v="IFTQfS-investment.csv"/>
        <s v="IFTQfS-loans.csv"/>
        <s v="IFTQfS-production.csv"/>
        <s v="Indst Fuels Qualifying for Support.xlsx"/>
        <s v="Methane Heating Value.xlsx"/>
        <s v="MHV.csv"/>
        <s v="New Indst Eqpt Alt Fuel Shifting Matrix.xlsx"/>
        <s v="NIEAFSM.csv"/>
        <s v="PEAAC-alum-inspctmaintretrofit.csv"/>
        <s v="PEAAC-cement.csv"/>
        <s v="PEAAC-chem-inspctmaintretrofit.csv"/>
        <s v="PEAAC-chemicals-N2Oabatement.csv"/>
        <s v="PEAAC-coalmining-mthncptr.csv"/>
        <s v="PEAAC-coalmining-mthndstr.csv"/>
        <s v="PEAAC-cropsrice.csv"/>
        <s v="PEAAC-fgasdestruction.csv"/>
        <s v="PEAAC-fgasrecovery.csv"/>
        <s v="PEAAC-fgassubstitution.csv"/>
        <s v="PEAAC-livestock.csv"/>
        <s v="PEAAC-ngpPrcsTnD-mthncptr.csv"/>
        <s v="PEAAC-ngpPrcsTnD-mthndstr.csv"/>
        <s v="PEAAC-ngpProd-mthncptr.csv"/>
        <s v="PEAAC-ngpProd-mthndstr.csv"/>
        <s v="PEAAC-tillage.csv"/>
        <s v="PEAAC-waste-mthncptr.csv"/>
        <s v="PEAAC-waste-mthndstr.csv"/>
        <s v="Proc Emis Additions and Costs.xlsx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erc of Other Proc Eqpt E Use That is Mobile Eqpt by Indst Cat.xlsx"/>
        <s v="PoOPEUTiMEbIC.csv"/>
        <s v="~$BAU Perc Fuel Use by Industrial Process.xlsx"/>
        <s v="Ratio of Nutr Eqiv Plant to Anim Products Prd per Unit Land Area.xlsx"/>
        <s v="RoNEPtAPPpULA.csv"/>
        <s v="RPfFISCC Repayment Period for Financed Indst Sector Capital Costs.xlsx"/>
        <s v="RPfFISCC.csv"/>
        <s v="Share of Capital and OM Spending by ISIC Code.xlsx"/>
        <s v="SoCaOMSbRIC.csv"/>
        <s v="Shr of Cng in Indst Expenses Passed Thr to Buyers.xlsx"/>
        <s v="SoCiIEPTtB.csv"/>
        <s v="Share of Fuel Cons that is Byproduct or Secondary Fuel by Indst.xlsx"/>
        <s v="SoFCTiBoSFbI.csv"/>
        <s v="Share of Process Emis Abatement Spending by ISIC Code.xlsx"/>
        <s v="SoPEASbRIC.csv"/>
        <s v="Start Year Indst Eqpt Unit E Factor by Indst Proc and Fuel.xlsx"/>
        <s v="SYIEUEFbIPaF.csv"/>
        <s v="Waste Heat Recovery Capital Costs.xlsx"/>
        <s v="WHRCC.csv"/>
        <s v="Waste Heat Recovery Potl by Indst.xlsx"/>
        <s v="WHRPbI.csv"/>
        <s v="ACTR.csv"/>
        <s v="Avg Corp Tax Rate.xlsx"/>
        <s v="BAU Dmst Cnt Shr of Cnsmptn and Exp Shr of Prdtn by ISIC Code.xlsx"/>
        <s v="BDCSoCbIC.csv"/>
        <s v="BESoP.csv"/>
        <s v="BAU Employment and Compensation Projections.xlsx"/>
        <s v="BEaCP-employedpop.csv"/>
        <s v="BEaCP-employeecomp.csv"/>
        <s v="BAU Employment by ISIC Code.xlsx"/>
        <s v="BEbIC.csv"/>
        <s v="~$BAU Employment by ISIC Code.xlsx"/>
        <s v="BAU Employee Compensation by ISIC Code.xlsx"/>
        <s v="BECbIC.csv"/>
        <s v="BAU GDP.xlsx"/>
        <s v="BGDP.csv"/>
        <s v="BAU Output by ISIC Code.xlsx"/>
        <s v="BObIC.csv"/>
        <s v="SYObIC.csv"/>
        <s v="~$BAU Output by ISIC Code.xlsx"/>
        <s v="BAU Perc Cng in Output and Domestic Content Share by ISIC Code.xlsx"/>
        <s v="BPCiDCSbIC.csv"/>
        <s v="BPCiObIC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ix_block.py"/>
        <s v="fix_block.txt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oPITY.xlsx"/>
        <s v="FractionOfPolicyImplementedThisYear.py"/>
        <s v="FractionOfPolicyImplementedThisYearnew.py"/>
        <s v="Supporting Calculations for Policy Schedules.xlsx"/>
        <s v="Final Time.xlsx"/>
        <s v="FT.csv"/>
        <s v="FFY.csv"/>
        <s v="FY Future Years.xlsx"/>
        <s v="FY.csv"/>
        <s v="Initial Time.xlsx"/>
        <s v="IT.csv"/>
        <s v="CV.csv"/>
        <s v="FV.csv"/>
        <s v="HV.csv"/>
        <s v="PV.csv"/>
        <s v="V.csv"/>
        <s v="Vintage.xlsx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SYAVLo-freight.csv"/>
        <s v="SYAVLo-passengers.csv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SYAADTbVT-freight.csv"/>
        <s v="SYAADTbVT-passengers.csv"/>
        <s v="BAU Cargo Dist Transported Relative to Start Yr.xlsx"/>
        <s v="BCDTRtSY-frgt.csv"/>
        <s v="BCDTRtSY-psgr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Shadow Costs.xlsx"/>
        <s v="BRASC.csv"/>
        <s v="BAU Required ZEV Sales Percentage by Model Region.xlsx"/>
        <s v="BRZSPbMR-freight.csv"/>
        <s v="BRZSPbMR-passenger.csv"/>
        <s v="BAU Required ZEV Sales Perc by Subregion.xlsx"/>
        <s v="BRZSPbS-frgt-aircraft.csv"/>
        <s v="BRZSPbS-frgt-hdv.csv"/>
        <s v="BRZSPbS-frgt-ldv.csv"/>
        <s v="BRZSPbS-frgt-mtrbk.csv"/>
        <s v="BRZSPbS-frgt-rail.csv"/>
        <s v="BRZSPbS-frgt-ships.csv"/>
        <s v="BRZSPbS-psgr-aircraft.csv"/>
        <s v="BRZSPbS-psgr-hdv.csv"/>
        <s v="BRZSPbS-psgr-ldv.csv"/>
        <s v="BRZSPbS-psgr-mtrbk.csv"/>
        <s v="BRZSPbS-psgr-rail.csv"/>
        <s v="BRZSPbS-psgr-ships.csv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-aircraft.csv"/>
        <s v="BVTQaZ-HDVs.csv"/>
        <s v="BVTQaZ-LDVs.csv"/>
        <s v="BVTQaZ-motorbikes.csv"/>
        <s v="BVTQaZ-rail.csv"/>
        <s v="BVTQaZ-ships.csv"/>
        <s v="Boolean Veh Types Subject to LCFS.xlsx"/>
        <s v="BVTStL.csv"/>
        <s v="Carbon Intensity Ratios by Transport Fuel.xlsx"/>
        <s v="CIRbTF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NBPoNVP-aircraft-frgt.csv"/>
        <s v="NBPoNVP-aircraft-psgr.csv"/>
        <s v="NBPoNVP-HDVs-frgt.csv"/>
        <s v="NBPoNVP-HDVs-psgr.csv"/>
        <s v="NBPoNVP-LDVs-frgt.csv"/>
        <s v="NBPoNVP-LDVs-psgr.csv"/>
        <s v="NBPoNVP-motorbikes-frgt.csv"/>
        <s v="NBPoNVP-motorbikes-psgr.csv"/>
        <s v="NBPoNVP-rail-frgt.csv"/>
        <s v="NBPoNVP-rail-psgr.csv"/>
        <s v="NBPoNVP-ships-frgt.csv"/>
        <s v="NBPoNVP-ships-psgr.csv"/>
        <s v="Non-Battery Portion of New Vehicle Price.xlsx"/>
        <s v="Perc Trans Fuel Use Reduction for Elec.xlsx"/>
        <s v="PTFURfE.csv"/>
        <s v="Policy Veh Types Subject to LCFS.xlsx"/>
        <s v="PVTStL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Required ZEV Sales Perc by Subregion.xlsx"/>
        <s v="RZSPbS-frgt-aircraft.csv"/>
        <s v="RZSPbS-frgt-hdv.csv"/>
        <s v="RZSPbS-frgt-ldv.csv"/>
        <s v="RZSPbS-frgt-mtrbk.csv"/>
        <s v="RZSPbS-frgt-rail.csv"/>
        <s v="RZSPbS-frgt-ships.csv"/>
        <s v="RZSPbS-psgr-aircraft.csv"/>
        <s v="RZSPbS-psgr-hdv.csv"/>
        <s v="RZSPbS-psgr-ldv.csv"/>
        <s v="RZSPbS-psgr-mtrbk.csv"/>
        <s v="RZSPbS-psgr-rail.csv"/>
        <s v="RZSPbS-psgr-ship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-aircraft.csv"/>
        <s v="VTQaZ-HDVs.csv"/>
        <s v="VTQaZ-LDVs.csv"/>
        <s v="VTQaZ-motorbikes.csv"/>
        <s v="VTQaZ-rail.csv"/>
        <s v="VTQaZ-ships.csv"/>
        <s v="Veh Techs Subject to Fuel Econ Std.xlsx"/>
        <s v="VTStFES.csv"/>
        <s v="BCF-BpEIEOU.csv"/>
        <s v="BCF-BpLFOU.csv"/>
        <s v="BCF-BpMMTH.csv"/>
        <s v="BCF-BpSFOU.csv"/>
        <s v="BCF-VFEUCF.csv"/>
        <s v="BTU Conversion Factors.xlsx"/>
        <s v="BpTPEU-large.csv"/>
        <s v="BpTPEU-medium.csv"/>
        <s v="BpTPEU-small.csv"/>
        <s v="BTU per Total Primary Energy Unit.xlsx"/>
        <s v="Cargo Dist Conversion Factors.xlsx"/>
        <s v="CDCF-FTMpFDOU.csv"/>
        <s v="CDCF-PMpPDOU.csv"/>
        <s v="Check Input Data.xlsx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~$Industrial Equipment Shareweights.xlsm" u="1"/>
        <s v="CPPbI.csv" u="1"/>
        <s v="NBICP-CS.csv" u="1"/>
        <s v="NBICP-FoCPAbI-energyEmis.csv" u="1"/>
        <s v="NBICP-FoCPAbI-processEmis.csv" u="1"/>
        <s v="Non BAU Industry CCS Parameters.xlsx" u="1"/>
        <s v="STfCCE Smoothing Time for CCS Capital Expenditures.xlsx" u="1"/>
        <s v="STfCCE.csv" u="1"/>
        <s v="BAU Hydrogen Production Shr by Pathway.xlsx" u="1"/>
        <s v="BHPSbP.csv" u="1"/>
        <s v="HESD-FoHERbA.csv" u="1"/>
        <s v="HESD-SYSoHEbV.csv" u="1"/>
        <s v="Hydrogen Equipment Survival Data.xlsx" u="1"/>
        <s v="HPEbP.csv" u="1"/>
        <s v="Hydgn Production Eff by Pathway.xlsx" u="1"/>
        <s v="HPPQ-green.csv" u="1"/>
        <s v="HPPQ-lowcarbon.csv" u="1"/>
        <s v="Hydrogen Production Pathway Qualifications.xlsx" u="1"/>
        <s v="HPtFM.csv" u="1"/>
        <s v="Hydrogen Pathway to Fuel Mappings.xlsx" u="1"/>
        <s v="Share of Hydrogen Prodcution Available to Open Market by Age.xlsx" u="1"/>
        <s v="SoHPAtOMbA.csv" u="1"/>
        <s v="SYAHPC-green.csv" u="1"/>
        <s v="SYAHPC-lowcarbon.csv" u="1"/>
        <s v="SYAHPC-unspecified.csv" u="1"/>
        <s v="BCHSR.csv" u="1"/>
        <s v="Industrial Equipment Minimum Unit Energy Factor.xlsx" u="1"/>
        <s v="IES-electrochem-biomass.csv" u="1"/>
        <s v="IES-electrochem-coal.csv" u="1"/>
        <s v="IES-electrochem-crudeoil.csv" u="1"/>
        <s v="IES-electrochem-elec.csv" u="1"/>
        <s v="IES-electrochem-green-hydgn.csv" u="1"/>
        <s v="IES-electrochem-heat.csv" u="1"/>
        <s v="IES-electrochem-heavyresidoil.csv" u="1"/>
        <s v="IES-electrochem-hydrogen.csv" u="1"/>
        <s v="IES-electrochem-lc-hydgn.csv" u="1"/>
        <s v="IES-electrochem-lpgpropbut.csv" u="1"/>
        <s v="IES-electrochem-natgas.csv" u="1"/>
        <s v="IES-electrochem-petdiesel.csv" u="1"/>
        <s v="~$Industrial Equipment Shareweights.xlsx" u="1"/>
        <s v="IESD-SYSoIEbV.csv" u="1"/>
        <s v="IFStFS.csv" u="1"/>
        <s v="Indst Fuels Subject to Fuel Shifting.xlsx" u="1"/>
        <s v="~$Domestic Leontief Inverse Matrix.xlsx" u="1"/>
        <s v="BDbDT.csv" u="1"/>
        <s v="FoHObDT-NOx-asian.csv" u="1"/>
        <s v="FoHObDT-NOx-black.csv" u="1"/>
        <s v="FoHObDT-NOx-female.csv" u="1"/>
        <s v="FoHObDT-NOx-hispanic.csv" u="1"/>
        <s v="FoHObDT-NOx-male.csv" u="1"/>
        <s v="FoHObDT-NOx-nonhispanic.csv" u="1"/>
        <s v="FoHObDT-NOx-otherrace.csv" u="1"/>
        <s v="FoHObDT-NOx-white.csv" u="1"/>
        <s v="FoHObDT-PM25-asian.csv" u="1"/>
        <s v="FoHObDT-PM25-black.csv" u="1"/>
        <s v="FoHObDT-PM25-female.csv" u="1"/>
        <s v="FoHObDT-PM25-hispanic.csv" u="1"/>
        <s v="FoHObDT-PM25-male.csv" u="1"/>
        <s v="FoHObDT-PM25-nonhispanic.csv" u="1"/>
        <s v="FoHObDT-PM25-otherrace.csv" u="1"/>
        <s v="FoHObDT-PM25-white.csv" u="1"/>
        <s v="FoHObDT-SOx-asian.csv" u="1"/>
        <s v="FoHObDT-SOx-black.csv" u="1"/>
        <s v="FoHObDT-SOx-female.csv" u="1"/>
        <s v="FoHObDT-SOx-hispanic.csv" u="1"/>
        <s v="FoHObDT-SOx-male.csv" u="1"/>
        <s v="FoHObDT-SOx-nonhispanic.csv" u="1"/>
        <s v="FoHObDT-SOx-otherrace.csv" u="1"/>
        <s v="FoHObDT-SOx-white.csv" u="1"/>
        <s v="Frac of Health Outcomes by Demographic Trait.xlsx" u="1"/>
        <s v="CCS Transportation and Storage Cost.xlsx" u="1"/>
        <s v="CCSTaSC.csv" u="1"/>
        <s v="RACP.csv" u="1"/>
        <s v="~$BAU Guaranteed Dispatch Perc by Elec Source.xlsx" u="1"/>
        <s v="CSC-CSCSoCEHCBiaSY.csv" u="1"/>
        <s v="~$Regional Availability Factor.xlsx" u="1"/>
        <s v="~$Trans Const Cost per Unit New Electricity Capacity.xlsx" u="1"/>
        <s v="BS-BSfTFpEUP.csv" u="1"/>
        <s v="~$Direct Air Capture Data.xlsx" u="1"/>
        <s v="Recipient Hydrogen Pathway Fractions.xlsx" u="1"/>
        <s v="RHPF.csv" u="1"/>
        <s v="BAU Industrial Fuel Use before CCS.xlsx" u="1"/>
        <s v="BIFUbC-biomass.csv" u="1"/>
        <s v="BIFUbC-coal.csv" u="1"/>
        <s v="BIFUbC-crude-oil.csv" u="1"/>
        <s v="BIFUbC-electricity.csv" u="1"/>
        <s v="BIFUbC-heat.csv" u="1"/>
        <s v="BIFUbC-heavy-or-residual-oil.csv" u="1"/>
        <s v="BIFUbC-hydrogen.csv" u="1"/>
        <s v="BIFUbC-LPG-propane-or-butane.csv" u="1"/>
        <s v="BIFUbC-natural-gas.csv" u="1"/>
        <s v="BIFUbC-petroleum-diesel.csv" u="1"/>
        <s v="~$BAU Industrial Fuel Use before CCS.xlsx" u="1"/>
        <s v="~$BAU Process Emissions.xlsx" u="1"/>
        <s v="BPFUbIP-thermal-fuels.csv" u="1"/>
        <s v="BAU Proportion of Industrial Fuel Used for Energy.xlsx" u="1"/>
        <s v="BPoIFUfE-biomass.csv" u="1"/>
        <s v="BPoIFUfE-coal.csv" u="1"/>
        <s v="BPoIFUfE-crude-oil.csv" u="1"/>
        <s v="BPoIFUfE-electricity.csv" u="1"/>
        <s v="BPoIFUfE-heat.csv" u="1"/>
        <s v="BPoIFUfE-heavy-or-residual-oil.csv" u="1"/>
        <s v="BPoIFUfE-hydrogen.csv" u="1"/>
        <s v="BPoIFUfE-LPG-propane-or-butane.csv" u="1"/>
        <s v="BPoIFUfE-natural-gas.csv" u="1"/>
        <s v="BPoIFUfE-petroleum-diesel.csv" u="1"/>
        <s v="Cost to Impl Eff Policy per Unit E Saved or Shifted.xlsx" u="1"/>
        <s v="CtIEPpUESoS.csv" u="1"/>
        <s v="Pot Perc Reduction in Fuel Use from Early Retirement.xlsx" u="1"/>
        <s v="PPRiFUfERoIF.csv" u="1"/>
        <s v="Pot Perc Red in Fuel Use fr Inc Cogen and WHR.xlsx" u="1"/>
        <s v="PPRiFUfICaWHR.csv" u="1"/>
        <s v="Pot Perc Red in Fuel Use fr Impr Inst and Integ of Eqpt.xlsx" u="1"/>
        <s v="PPRiFUfIIaIoE.csv" u="1"/>
        <s v="~$BAU Required ZEV Sales Perc by Subregion.xlsx" u="1"/>
        <s v="BVTQaZ.csv" u="1"/>
        <s v="Estimated Bunker Fuel Emissions.xlsx" u="1"/>
        <s v="VTQaZ.csv" u="1"/>
        <s v="BCS.csv" u="1"/>
        <s v="Share of Elec Imp and Exp by Hour.xlsx" u="1"/>
        <s v="SoEIaEbH-exports.csv" u="1"/>
        <s v="SoEIaEbH-imports.csv" u="1"/>
        <s v="DATAiRC.csv" u="1"/>
        <s v="Demand Altering Tech Assistance in RPS Compliance.xlsx" u="1"/>
        <s v="BAU Distribued Electricity Quantities.xlsx" u="1"/>
        <s v="BDEQ-BDESC-commercial.csv" u="1"/>
        <s v="BDEQ-BDESC-rural-residential.csv" u="1"/>
        <s v="BDEQ-BDESC-urban-residential.csv" u="1"/>
        <s v="BDEQ-BEOfDS-commercial.csv" u="1"/>
        <s v="BDEQ-BEOfDS-rural-residential.csv" u="1"/>
        <s v="BDEQ-BEOfDS-urban-residential.csv" u="1"/>
        <s v="CC-CCoEtSOToCpY.csv" u="1"/>
        <s v="CC-EUpTCS.csv" u="1"/>
        <s v="CC-TOMCpTS.csv" u="1"/>
        <s v="Ann Ret per Unit Inc in Relative Cost.xlsx" u="1"/>
        <s v="ARpUIiRC.csv" u="1"/>
        <s v="BBoSCpUC.csv" u="1"/>
        <s v="BCpUC.csv" u="1"/>
        <s v="BAU Dispatch Priority by Elec Source.xlsx" u="1"/>
        <s v="BDPbES.csv" u="1"/>
        <s v="BDSBaPCF.csv" u="1"/>
        <s v="Boolean Do Suppliers Bid at Peak Capacity Factors.xlsx" u="1"/>
        <s v="BAU Expected Capacity Factors.xlsx" u="1"/>
        <s v="BECF.csv" u="1"/>
        <s v="BAU Generation Capacity Lifetime.xlsx" u="1"/>
        <s v="BGCL.csv" u="1"/>
        <s v="BPHC-PHCaDHpD.csv" u="1"/>
        <s v="Boolean Plant Types Built for Reliability Needs.xlsx" u="1"/>
        <s v="BPTBfRN.csv" u="1"/>
        <s v="BAU Transmission Capacity.xlsx" u="1"/>
        <s v="BTC.csv" u="1"/>
        <s v="Capacity Responses to Profits and Losses.xlsx" u="1"/>
        <s v="CRtPaL-batteries.csv" u="1"/>
        <s v="CRtPaL-losses.csv" u="1"/>
        <s v="CRtPaL-profits.csv" u="1"/>
        <s v="DRC-HoDRAUMCUpY.csv" u="1"/>
        <s v="Demand Response Capacity Factor.xlsx" u="1"/>
        <s v="DRCF.csv" u="1"/>
        <s v="ELF-bldg-summer.csv" u="1"/>
        <s v="ELF-bldg-winter.csv" u="1"/>
        <s v="ELF-sectors.csv" u="1"/>
        <s v="ELF-vehicles.csv" u="1"/>
        <s v="Equipment Load Factors.xlsx" u="1"/>
        <s v="Elasticity of Power Plant Fuel Type Shifting wrt Fuel Price.xlsx" u="1"/>
        <s v="EoPPFTSwFP.csv" u="1"/>
        <s v="Elec Tech Cost Multiplier by Tech Cost Tier.xlsx" u="1"/>
        <s v="ETCMbTCT.csv" u="1"/>
        <s v="Electricity Technology Logit Exponent.xlsx" u="1"/>
        <s v="ETLE-capacity.csv" u="1"/>
        <s v="ETLE-output.csv" u="1"/>
        <s v="Electricity Technology Shareweights.xlsx" u="1"/>
        <s v="ETS.csv" u="1"/>
        <s v="FoIaEEUfDB.csv" u="1"/>
        <s v="Frac of Imp-Exp Elec Used for Diurnal Balancing.xlsx" u="1"/>
        <s v="FoPNDtBAoT.csv" u="1"/>
        <s v="Fraction of Predicted Net Demand to Build Ahead of Time.xlsx" u="1"/>
        <s v="FoSYCRpUNL.csv" u="1"/>
        <s v="Frac of Start Year Cap Ret per Unit Net Loss.xlsx" u="1"/>
        <s v="FoTCAMRBtPF.csv" u="1"/>
        <s v="Frac of TCAMRB that Provides Flexibility.xlsx" u="1"/>
        <s v="FSCaFoCC.csv" u="1"/>
        <s v="Fuel Shifting Cost as Frac of Const Cost.xlsx" u="1"/>
        <s v="PAGBSC.csv" u="1"/>
        <s v="Normalized Standard Deviation of Dispatch Costs.xlsx" u="1"/>
        <s v="~$Normalized Standard Deviation of Dispatch Costs.xlsx" u="1"/>
        <s v="Peak Time Capacity Factors.xlsx" u="1"/>
        <s v="PTCF.csv" u="1"/>
        <s v="Plant Types That May be Curtailed.xlsx" u="1"/>
        <s v="PTTMbC.csv" u="1"/>
        <s v="Plant Type Used for Initial Guess at Marginal Dispatch Cost.xlsx" u="1"/>
        <s v="PTUfIGaMDC.csv" u="1"/>
        <s v="Share of Fwd Cost Reqd for Profitability.xlsx" u="1"/>
        <s v="SoFCRfP.csv" u="1"/>
        <s v="Shr of Lst Yr Elec Cap by Tech Cost Tier.xlsx" u="1"/>
        <s v="SoLYECbTCT.csv" u="1"/>
        <s v="Smoothing Time for Forecast Capacity Construction for Reliability.xlsx" u="1"/>
        <s v="STfFCCfR.csv" u="1"/>
        <s v="Start Year Transmission and Distribution OM Costs.xlsx" u="1"/>
        <s v="SYTaDOMC-Distribution.csv" u="1"/>
        <s v="SYTaDOMC-Transmission.csv" u="1"/>
        <s v="TCAMRB.csv" u="1"/>
        <s v="Trans Cap Across Modeled Region Border.xlsx" u="1"/>
        <s v="TCCpUNEG.csv" u="1"/>
        <s v="Trans Const Cost per Unit New Electricity Generation.xlsx" u="1"/>
        <s v="GBEtPR.csv" u="1"/>
        <s v="Grid Battery Energy to Power Ratio.xlsx" u="1"/>
        <s v="~$BAU Fuel Prices and Taxes.xlsx" u="1"/>
        <s v="BAU Pop Employment and Compensation Projections.xlsx" u="1"/>
        <s v="BPEaCP-employedpop.csv" u="1"/>
        <s v="BPEaCP-employeecomp.csv" u="1"/>
        <s v="BPEaCP-population.csv" u="1"/>
        <s v="BBSoEVP BAU Battery Share of Electric Vehicle Price.xlsx" u="1"/>
        <s v="BBSoEVP-freight.csv" u="1"/>
        <s v="BBSoEVP-passenger.csv" u="1"/>
        <s v="BAU EV Subsidy Perc.xlsx" u="1"/>
        <s v="BAU New Vehicle Price.xlsx" u="1"/>
        <s v="BNVP-aircraft-frgt.csv" u="1"/>
        <s v="BNVP-aircraft-psgr.csv" u="1"/>
        <s v="BNVP-HDVs-frgt.csv" u="1"/>
        <s v="BNVP-HDVs-psgr.csv" u="1"/>
        <s v="BNVP-LDVs-frgt.csv" u="1"/>
        <s v="BNVP-LDVs-psgr.csv" u="1"/>
        <s v="BNVP-motorbikes-frgt.csv" u="1"/>
        <s v="BNVP-motorbikes-psgr.csv" u="1"/>
        <s v="BNVP-rail-frgt.csv" u="1"/>
        <s v="BNVP-rail-psgr.csv" u="1"/>
        <s v="BNVP-ships-frgt.csv" u="1"/>
        <s v="BNVP-ships-psgr.csv" u="1"/>
        <s v="Effect of Charging Stations on EV Market Share.xlsx" u="1"/>
        <s v="EoCSoEVMS.csv" u="1"/>
        <s v="IiNBMFC-freight-BEV.csv" u="1"/>
        <s v="IiNBMFC-freight-PHEV.csv" u="1"/>
        <s v="IiNBMFC-passenger-BEV.csv" u="1"/>
        <s v="IiNBMFC-passenger-PHEV.csv" u="1"/>
        <s v="Impvmt in Non Batt Mfg Costs.xlsx" u="1"/>
        <s v="Distributed Solar Cap Factor.xlsx" u="1"/>
        <s v="DSCF.csv" u="1"/>
        <s v="BAU Fraction of CCS Potential Achieved by Sector.xlsx" u="1"/>
        <s v="BFoCPAbS-electricity.csv" u="1"/>
        <s v="BFoCPAbS-industry-energyEmis.csv" u="1"/>
        <s v="BFoCPAbS-industry-processEmis.csv" u="1"/>
        <s v="BAU RPS Percentage This Year.xlsx" u="1"/>
        <s v="BRPSPTY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64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1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2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3"/>
    <x v="44"/>
  </r>
  <r>
    <x v="6"/>
    <x v="3"/>
    <x v="45"/>
  </r>
  <r>
    <x v="6"/>
    <x v="3"/>
    <x v="46"/>
  </r>
  <r>
    <x v="6"/>
    <x v="3"/>
    <x v="47"/>
  </r>
  <r>
    <x v="6"/>
    <x v="3"/>
    <x v="48"/>
  </r>
  <r>
    <x v="6"/>
    <x v="3"/>
    <x v="49"/>
  </r>
  <r>
    <x v="6"/>
    <x v="3"/>
    <x v="50"/>
  </r>
  <r>
    <x v="6"/>
    <x v="3"/>
    <x v="51"/>
  </r>
  <r>
    <x v="6"/>
    <x v="3"/>
    <x v="52"/>
  </r>
  <r>
    <x v="6"/>
    <x v="3"/>
    <x v="53"/>
  </r>
  <r>
    <x v="6"/>
    <x v="3"/>
    <x v="54"/>
  </r>
  <r>
    <x v="6"/>
    <x v="4"/>
    <x v="55"/>
  </r>
  <r>
    <x v="6"/>
    <x v="4"/>
    <x v="56"/>
  </r>
  <r>
    <x v="6"/>
    <x v="4"/>
    <x v="57"/>
  </r>
  <r>
    <x v="6"/>
    <x v="4"/>
    <x v="58"/>
  </r>
  <r>
    <x v="6"/>
    <x v="4"/>
    <x v="59"/>
  </r>
  <r>
    <x v="6"/>
    <x v="4"/>
    <x v="60"/>
  </r>
  <r>
    <x v="6"/>
    <x v="4"/>
    <x v="61"/>
  </r>
  <r>
    <x v="6"/>
    <x v="4"/>
    <x v="62"/>
  </r>
  <r>
    <x v="6"/>
    <x v="4"/>
    <x v="63"/>
  </r>
  <r>
    <x v="6"/>
    <x v="4"/>
    <x v="64"/>
  </r>
  <r>
    <x v="6"/>
    <x v="4"/>
    <x v="65"/>
  </r>
  <r>
    <x v="6"/>
    <x v="4"/>
    <x v="66"/>
  </r>
  <r>
    <x v="6"/>
    <x v="4"/>
    <x v="67"/>
  </r>
  <r>
    <x v="6"/>
    <x v="4"/>
    <x v="68"/>
  </r>
  <r>
    <x v="6"/>
    <x v="4"/>
    <x v="69"/>
  </r>
  <r>
    <x v="6"/>
    <x v="4"/>
    <x v="70"/>
  </r>
  <r>
    <x v="6"/>
    <x v="5"/>
    <x v="71"/>
  </r>
  <r>
    <x v="6"/>
    <x v="5"/>
    <x v="72"/>
  </r>
  <r>
    <x v="6"/>
    <x v="6"/>
    <x v="73"/>
  </r>
  <r>
    <x v="6"/>
    <x v="6"/>
    <x v="74"/>
  </r>
  <r>
    <x v="6"/>
    <x v="7"/>
    <x v="75"/>
  </r>
  <r>
    <x v="6"/>
    <x v="7"/>
    <x v="76"/>
  </r>
  <r>
    <x v="6"/>
    <x v="8"/>
    <x v="77"/>
  </r>
  <r>
    <x v="6"/>
    <x v="8"/>
    <x v="78"/>
  </r>
  <r>
    <x v="7"/>
    <x v="9"/>
    <x v="79"/>
  </r>
  <r>
    <x v="7"/>
    <x v="9"/>
    <x v="80"/>
  </r>
  <r>
    <x v="7"/>
    <x v="9"/>
    <x v="81"/>
  </r>
  <r>
    <x v="7"/>
    <x v="9"/>
    <x v="82"/>
  </r>
  <r>
    <x v="7"/>
    <x v="10"/>
    <x v="83"/>
  </r>
  <r>
    <x v="7"/>
    <x v="10"/>
    <x v="84"/>
  </r>
  <r>
    <x v="7"/>
    <x v="10"/>
    <x v="85"/>
  </r>
  <r>
    <x v="7"/>
    <x v="10"/>
    <x v="86"/>
  </r>
  <r>
    <x v="7"/>
    <x v="10"/>
    <x v="87"/>
  </r>
  <r>
    <x v="7"/>
    <x v="10"/>
    <x v="88"/>
  </r>
  <r>
    <x v="7"/>
    <x v="10"/>
    <x v="89"/>
  </r>
  <r>
    <x v="7"/>
    <x v="10"/>
    <x v="90"/>
  </r>
  <r>
    <x v="7"/>
    <x v="10"/>
    <x v="91"/>
  </r>
  <r>
    <x v="7"/>
    <x v="10"/>
    <x v="92"/>
  </r>
  <r>
    <x v="7"/>
    <x v="10"/>
    <x v="93"/>
  </r>
  <r>
    <x v="7"/>
    <x v="10"/>
    <x v="94"/>
  </r>
  <r>
    <x v="7"/>
    <x v="10"/>
    <x v="95"/>
  </r>
  <r>
    <x v="7"/>
    <x v="10"/>
    <x v="96"/>
  </r>
  <r>
    <x v="7"/>
    <x v="10"/>
    <x v="97"/>
  </r>
  <r>
    <x v="7"/>
    <x v="10"/>
    <x v="98"/>
  </r>
  <r>
    <x v="7"/>
    <x v="10"/>
    <x v="99"/>
  </r>
  <r>
    <x v="7"/>
    <x v="11"/>
    <x v="100"/>
  </r>
  <r>
    <x v="7"/>
    <x v="11"/>
    <x v="101"/>
  </r>
  <r>
    <x v="7"/>
    <x v="11"/>
    <x v="102"/>
  </r>
  <r>
    <x v="7"/>
    <x v="11"/>
    <x v="103"/>
  </r>
  <r>
    <x v="7"/>
    <x v="12"/>
    <x v="104"/>
  </r>
  <r>
    <x v="7"/>
    <x v="12"/>
    <x v="105"/>
  </r>
  <r>
    <x v="7"/>
    <x v="12"/>
    <x v="106"/>
  </r>
  <r>
    <x v="7"/>
    <x v="12"/>
    <x v="107"/>
  </r>
  <r>
    <x v="7"/>
    <x v="13"/>
    <x v="108"/>
  </r>
  <r>
    <x v="7"/>
    <x v="13"/>
    <x v="109"/>
  </r>
  <r>
    <x v="7"/>
    <x v="13"/>
    <x v="110"/>
  </r>
  <r>
    <x v="7"/>
    <x v="13"/>
    <x v="111"/>
  </r>
  <r>
    <x v="7"/>
    <x v="14"/>
    <x v="112"/>
  </r>
  <r>
    <x v="7"/>
    <x v="14"/>
    <x v="113"/>
  </r>
  <r>
    <x v="7"/>
    <x v="15"/>
    <x v="114"/>
  </r>
  <r>
    <x v="7"/>
    <x v="15"/>
    <x v="115"/>
  </r>
  <r>
    <x v="7"/>
    <x v="15"/>
    <x v="116"/>
  </r>
  <r>
    <x v="7"/>
    <x v="16"/>
    <x v="117"/>
  </r>
  <r>
    <x v="7"/>
    <x v="16"/>
    <x v="118"/>
  </r>
  <r>
    <x v="7"/>
    <x v="16"/>
    <x v="119"/>
  </r>
  <r>
    <x v="7"/>
    <x v="16"/>
    <x v="120"/>
  </r>
  <r>
    <x v="7"/>
    <x v="16"/>
    <x v="121"/>
  </r>
  <r>
    <x v="7"/>
    <x v="17"/>
    <x v="122"/>
  </r>
  <r>
    <x v="7"/>
    <x v="17"/>
    <x v="123"/>
  </r>
  <r>
    <x v="7"/>
    <x v="18"/>
    <x v="124"/>
  </r>
  <r>
    <x v="7"/>
    <x v="18"/>
    <x v="125"/>
  </r>
  <r>
    <x v="7"/>
    <x v="18"/>
    <x v="126"/>
  </r>
  <r>
    <x v="7"/>
    <x v="19"/>
    <x v="127"/>
  </r>
  <r>
    <x v="7"/>
    <x v="19"/>
    <x v="128"/>
  </r>
  <r>
    <x v="7"/>
    <x v="20"/>
    <x v="129"/>
  </r>
  <r>
    <x v="7"/>
    <x v="20"/>
    <x v="130"/>
  </r>
  <r>
    <x v="7"/>
    <x v="21"/>
    <x v="131"/>
  </r>
  <r>
    <x v="7"/>
    <x v="21"/>
    <x v="132"/>
  </r>
  <r>
    <x v="7"/>
    <x v="22"/>
    <x v="133"/>
  </r>
  <r>
    <x v="7"/>
    <x v="22"/>
    <x v="134"/>
  </r>
  <r>
    <x v="7"/>
    <x v="23"/>
    <x v="135"/>
  </r>
  <r>
    <x v="7"/>
    <x v="23"/>
    <x v="136"/>
  </r>
  <r>
    <x v="7"/>
    <x v="24"/>
    <x v="137"/>
  </r>
  <r>
    <x v="7"/>
    <x v="24"/>
    <x v="138"/>
  </r>
  <r>
    <x v="7"/>
    <x v="24"/>
    <x v="139"/>
  </r>
  <r>
    <x v="7"/>
    <x v="24"/>
    <x v="140"/>
  </r>
  <r>
    <x v="7"/>
    <x v="24"/>
    <x v="141"/>
  </r>
  <r>
    <x v="7"/>
    <x v="24"/>
    <x v="142"/>
  </r>
  <r>
    <x v="7"/>
    <x v="24"/>
    <x v="143"/>
  </r>
  <r>
    <x v="7"/>
    <x v="24"/>
    <x v="144"/>
  </r>
  <r>
    <x v="7"/>
    <x v="24"/>
    <x v="145"/>
  </r>
  <r>
    <x v="7"/>
    <x v="24"/>
    <x v="146"/>
  </r>
  <r>
    <x v="7"/>
    <x v="25"/>
    <x v="147"/>
  </r>
  <r>
    <x v="7"/>
    <x v="25"/>
    <x v="148"/>
  </r>
  <r>
    <x v="7"/>
    <x v="26"/>
    <x v="149"/>
  </r>
  <r>
    <x v="7"/>
    <x v="26"/>
    <x v="150"/>
  </r>
  <r>
    <x v="7"/>
    <x v="27"/>
    <x v="151"/>
  </r>
  <r>
    <x v="7"/>
    <x v="27"/>
    <x v="152"/>
  </r>
  <r>
    <x v="7"/>
    <x v="28"/>
    <x v="153"/>
  </r>
  <r>
    <x v="7"/>
    <x v="28"/>
    <x v="154"/>
  </r>
  <r>
    <x v="7"/>
    <x v="29"/>
    <x v="155"/>
  </r>
  <r>
    <x v="7"/>
    <x v="29"/>
    <x v="156"/>
  </r>
  <r>
    <x v="7"/>
    <x v="30"/>
    <x v="157"/>
  </r>
  <r>
    <x v="7"/>
    <x v="30"/>
    <x v="158"/>
  </r>
  <r>
    <x v="7"/>
    <x v="31"/>
    <x v="159"/>
  </r>
  <r>
    <x v="7"/>
    <x v="31"/>
    <x v="160"/>
  </r>
  <r>
    <x v="7"/>
    <x v="32"/>
    <x v="161"/>
  </r>
  <r>
    <x v="7"/>
    <x v="32"/>
    <x v="162"/>
  </r>
  <r>
    <x v="7"/>
    <x v="33"/>
    <x v="163"/>
  </r>
  <r>
    <x v="7"/>
    <x v="33"/>
    <x v="164"/>
  </r>
  <r>
    <x v="7"/>
    <x v="34"/>
    <x v="165"/>
  </r>
  <r>
    <x v="7"/>
    <x v="34"/>
    <x v="166"/>
  </r>
  <r>
    <x v="7"/>
    <x v="34"/>
    <x v="167"/>
  </r>
  <r>
    <x v="7"/>
    <x v="34"/>
    <x v="168"/>
  </r>
  <r>
    <x v="7"/>
    <x v="35"/>
    <x v="169"/>
  </r>
  <r>
    <x v="7"/>
    <x v="35"/>
    <x v="170"/>
  </r>
  <r>
    <x v="7"/>
    <x v="36"/>
    <x v="171"/>
  </r>
  <r>
    <x v="7"/>
    <x v="36"/>
    <x v="172"/>
  </r>
  <r>
    <x v="7"/>
    <x v="37"/>
    <x v="173"/>
  </r>
  <r>
    <x v="7"/>
    <x v="37"/>
    <x v="174"/>
  </r>
  <r>
    <x v="7"/>
    <x v="38"/>
    <x v="175"/>
  </r>
  <r>
    <x v="7"/>
    <x v="38"/>
    <x v="176"/>
  </r>
  <r>
    <x v="7"/>
    <x v="38"/>
    <x v="177"/>
  </r>
  <r>
    <x v="7"/>
    <x v="38"/>
    <x v="178"/>
  </r>
  <r>
    <x v="7"/>
    <x v="39"/>
    <x v="179"/>
  </r>
  <r>
    <x v="7"/>
    <x v="39"/>
    <x v="180"/>
  </r>
  <r>
    <x v="8"/>
    <x v="40"/>
    <x v="181"/>
  </r>
  <r>
    <x v="8"/>
    <x v="40"/>
    <x v="182"/>
  </r>
  <r>
    <x v="8"/>
    <x v="40"/>
    <x v="183"/>
  </r>
  <r>
    <x v="8"/>
    <x v="41"/>
    <x v="184"/>
  </r>
  <r>
    <x v="8"/>
    <x v="41"/>
    <x v="185"/>
  </r>
  <r>
    <x v="8"/>
    <x v="41"/>
    <x v="186"/>
  </r>
  <r>
    <x v="8"/>
    <x v="42"/>
    <x v="187"/>
  </r>
  <r>
    <x v="8"/>
    <x v="42"/>
    <x v="188"/>
  </r>
  <r>
    <x v="8"/>
    <x v="43"/>
    <x v="189"/>
  </r>
  <r>
    <x v="8"/>
    <x v="43"/>
    <x v="190"/>
  </r>
  <r>
    <x v="8"/>
    <x v="43"/>
    <x v="191"/>
  </r>
  <r>
    <x v="8"/>
    <x v="43"/>
    <x v="192"/>
  </r>
  <r>
    <x v="8"/>
    <x v="43"/>
    <x v="193"/>
  </r>
  <r>
    <x v="8"/>
    <x v="43"/>
    <x v="194"/>
  </r>
  <r>
    <x v="8"/>
    <x v="43"/>
    <x v="195"/>
  </r>
  <r>
    <x v="8"/>
    <x v="43"/>
    <x v="196"/>
  </r>
  <r>
    <x v="8"/>
    <x v="43"/>
    <x v="197"/>
  </r>
  <r>
    <x v="8"/>
    <x v="43"/>
    <x v="198"/>
  </r>
  <r>
    <x v="8"/>
    <x v="44"/>
    <x v="199"/>
  </r>
  <r>
    <x v="8"/>
    <x v="44"/>
    <x v="200"/>
  </r>
  <r>
    <x v="8"/>
    <x v="44"/>
    <x v="201"/>
  </r>
  <r>
    <x v="8"/>
    <x v="45"/>
    <x v="202"/>
  </r>
  <r>
    <x v="8"/>
    <x v="45"/>
    <x v="203"/>
  </r>
  <r>
    <x v="8"/>
    <x v="45"/>
    <x v="204"/>
  </r>
  <r>
    <x v="8"/>
    <x v="46"/>
    <x v="205"/>
  </r>
  <r>
    <x v="8"/>
    <x v="46"/>
    <x v="206"/>
  </r>
  <r>
    <x v="8"/>
    <x v="46"/>
    <x v="207"/>
  </r>
  <r>
    <x v="8"/>
    <x v="47"/>
    <x v="208"/>
  </r>
  <r>
    <x v="8"/>
    <x v="47"/>
    <x v="209"/>
  </r>
  <r>
    <x v="8"/>
    <x v="48"/>
    <x v="210"/>
  </r>
  <r>
    <x v="8"/>
    <x v="48"/>
    <x v="211"/>
  </r>
  <r>
    <x v="8"/>
    <x v="49"/>
    <x v="212"/>
  </r>
  <r>
    <x v="8"/>
    <x v="49"/>
    <x v="213"/>
  </r>
  <r>
    <x v="8"/>
    <x v="50"/>
    <x v="214"/>
  </r>
  <r>
    <x v="8"/>
    <x v="50"/>
    <x v="215"/>
  </r>
  <r>
    <x v="9"/>
    <x v="51"/>
    <x v="216"/>
  </r>
  <r>
    <x v="9"/>
    <x v="51"/>
    <x v="217"/>
  </r>
  <r>
    <x v="9"/>
    <x v="52"/>
    <x v="218"/>
  </r>
  <r>
    <x v="9"/>
    <x v="52"/>
    <x v="219"/>
  </r>
  <r>
    <x v="10"/>
    <x v="53"/>
    <x v="220"/>
  </r>
  <r>
    <x v="10"/>
    <x v="53"/>
    <x v="221"/>
  </r>
  <r>
    <x v="10"/>
    <x v="54"/>
    <x v="222"/>
  </r>
  <r>
    <x v="10"/>
    <x v="54"/>
    <x v="223"/>
  </r>
  <r>
    <x v="11"/>
    <x v="55"/>
    <x v="224"/>
  </r>
  <r>
    <x v="11"/>
    <x v="55"/>
    <x v="225"/>
  </r>
  <r>
    <x v="11"/>
    <x v="56"/>
    <x v="226"/>
  </r>
  <r>
    <x v="11"/>
    <x v="56"/>
    <x v="227"/>
  </r>
  <r>
    <x v="11"/>
    <x v="57"/>
    <x v="228"/>
  </r>
  <r>
    <x v="11"/>
    <x v="57"/>
    <x v="229"/>
  </r>
  <r>
    <x v="11"/>
    <x v="58"/>
    <x v="230"/>
  </r>
  <r>
    <x v="11"/>
    <x v="58"/>
    <x v="231"/>
  </r>
  <r>
    <x v="11"/>
    <x v="59"/>
    <x v="232"/>
  </r>
  <r>
    <x v="11"/>
    <x v="59"/>
    <x v="233"/>
  </r>
  <r>
    <x v="11"/>
    <x v="60"/>
    <x v="234"/>
  </r>
  <r>
    <x v="11"/>
    <x v="60"/>
    <x v="235"/>
  </r>
  <r>
    <x v="11"/>
    <x v="61"/>
    <x v="236"/>
  </r>
  <r>
    <x v="11"/>
    <x v="61"/>
    <x v="237"/>
  </r>
  <r>
    <x v="11"/>
    <x v="62"/>
    <x v="238"/>
  </r>
  <r>
    <x v="11"/>
    <x v="62"/>
    <x v="239"/>
  </r>
  <r>
    <x v="11"/>
    <x v="63"/>
    <x v="240"/>
  </r>
  <r>
    <x v="11"/>
    <x v="63"/>
    <x v="241"/>
  </r>
  <r>
    <x v="11"/>
    <x v="64"/>
    <x v="242"/>
  </r>
  <r>
    <x v="11"/>
    <x v="64"/>
    <x v="243"/>
  </r>
  <r>
    <x v="11"/>
    <x v="65"/>
    <x v="244"/>
  </r>
  <r>
    <x v="11"/>
    <x v="65"/>
    <x v="245"/>
  </r>
  <r>
    <x v="11"/>
    <x v="66"/>
    <x v="246"/>
  </r>
  <r>
    <x v="11"/>
    <x v="66"/>
    <x v="247"/>
  </r>
  <r>
    <x v="11"/>
    <x v="67"/>
    <x v="248"/>
  </r>
  <r>
    <x v="11"/>
    <x v="67"/>
    <x v="249"/>
  </r>
  <r>
    <x v="11"/>
    <x v="68"/>
    <x v="250"/>
  </r>
  <r>
    <x v="11"/>
    <x v="68"/>
    <x v="251"/>
  </r>
  <r>
    <x v="11"/>
    <x v="68"/>
    <x v="252"/>
  </r>
  <r>
    <x v="11"/>
    <x v="69"/>
    <x v="253"/>
  </r>
  <r>
    <x v="11"/>
    <x v="69"/>
    <x v="254"/>
  </r>
  <r>
    <x v="11"/>
    <x v="70"/>
    <x v="255"/>
  </r>
  <r>
    <x v="11"/>
    <x v="70"/>
    <x v="256"/>
  </r>
  <r>
    <x v="11"/>
    <x v="71"/>
    <x v="257"/>
  </r>
  <r>
    <x v="11"/>
    <x v="71"/>
    <x v="258"/>
  </r>
  <r>
    <x v="11"/>
    <x v="71"/>
    <x v="259"/>
  </r>
  <r>
    <x v="11"/>
    <x v="71"/>
    <x v="260"/>
  </r>
  <r>
    <x v="11"/>
    <x v="71"/>
    <x v="261"/>
  </r>
  <r>
    <x v="11"/>
    <x v="71"/>
    <x v="262"/>
  </r>
  <r>
    <x v="11"/>
    <x v="71"/>
    <x v="263"/>
  </r>
  <r>
    <x v="11"/>
    <x v="71"/>
    <x v="264"/>
  </r>
  <r>
    <x v="11"/>
    <x v="71"/>
    <x v="265"/>
  </r>
  <r>
    <x v="11"/>
    <x v="71"/>
    <x v="266"/>
  </r>
  <r>
    <x v="11"/>
    <x v="71"/>
    <x v="267"/>
  </r>
  <r>
    <x v="11"/>
    <x v="71"/>
    <x v="268"/>
  </r>
  <r>
    <x v="11"/>
    <x v="71"/>
    <x v="269"/>
  </r>
  <r>
    <x v="11"/>
    <x v="71"/>
    <x v="270"/>
  </r>
  <r>
    <x v="11"/>
    <x v="71"/>
    <x v="271"/>
  </r>
  <r>
    <x v="11"/>
    <x v="71"/>
    <x v="272"/>
  </r>
  <r>
    <x v="11"/>
    <x v="72"/>
    <x v="273"/>
  </r>
  <r>
    <x v="11"/>
    <x v="72"/>
    <x v="274"/>
  </r>
  <r>
    <x v="11"/>
    <x v="73"/>
    <x v="275"/>
  </r>
  <r>
    <x v="11"/>
    <x v="73"/>
    <x v="276"/>
  </r>
  <r>
    <x v="11"/>
    <x v="73"/>
    <x v="277"/>
  </r>
  <r>
    <x v="11"/>
    <x v="73"/>
    <x v="278"/>
  </r>
  <r>
    <x v="11"/>
    <x v="73"/>
    <x v="279"/>
  </r>
  <r>
    <x v="11"/>
    <x v="73"/>
    <x v="280"/>
  </r>
  <r>
    <x v="11"/>
    <x v="73"/>
    <x v="281"/>
  </r>
  <r>
    <x v="12"/>
    <x v="74"/>
    <x v="282"/>
  </r>
  <r>
    <x v="12"/>
    <x v="74"/>
    <x v="283"/>
  </r>
  <r>
    <x v="12"/>
    <x v="75"/>
    <x v="284"/>
  </r>
  <r>
    <x v="12"/>
    <x v="75"/>
    <x v="285"/>
  </r>
  <r>
    <x v="12"/>
    <x v="76"/>
    <x v="286"/>
  </r>
  <r>
    <x v="12"/>
    <x v="76"/>
    <x v="287"/>
  </r>
  <r>
    <x v="12"/>
    <x v="77"/>
    <x v="288"/>
  </r>
  <r>
    <x v="12"/>
    <x v="77"/>
    <x v="289"/>
  </r>
  <r>
    <x v="12"/>
    <x v="78"/>
    <x v="290"/>
  </r>
  <r>
    <x v="12"/>
    <x v="78"/>
    <x v="291"/>
  </r>
  <r>
    <x v="12"/>
    <x v="79"/>
    <x v="292"/>
  </r>
  <r>
    <x v="12"/>
    <x v="79"/>
    <x v="293"/>
  </r>
  <r>
    <x v="13"/>
    <x v="80"/>
    <x v="294"/>
  </r>
  <r>
    <x v="13"/>
    <x v="80"/>
    <x v="295"/>
  </r>
  <r>
    <x v="13"/>
    <x v="81"/>
    <x v="296"/>
  </r>
  <r>
    <x v="13"/>
    <x v="81"/>
    <x v="297"/>
  </r>
  <r>
    <x v="13"/>
    <x v="82"/>
    <x v="298"/>
  </r>
  <r>
    <x v="13"/>
    <x v="82"/>
    <x v="299"/>
  </r>
  <r>
    <x v="13"/>
    <x v="83"/>
    <x v="300"/>
  </r>
  <r>
    <x v="13"/>
    <x v="83"/>
    <x v="301"/>
  </r>
  <r>
    <x v="13"/>
    <x v="83"/>
    <x v="302"/>
  </r>
  <r>
    <x v="13"/>
    <x v="83"/>
    <x v="303"/>
  </r>
  <r>
    <x v="13"/>
    <x v="84"/>
    <x v="304"/>
  </r>
  <r>
    <x v="13"/>
    <x v="84"/>
    <x v="305"/>
  </r>
  <r>
    <x v="13"/>
    <x v="84"/>
    <x v="306"/>
  </r>
  <r>
    <x v="13"/>
    <x v="84"/>
    <x v="307"/>
  </r>
  <r>
    <x v="13"/>
    <x v="85"/>
    <x v="308"/>
  </r>
  <r>
    <x v="13"/>
    <x v="85"/>
    <x v="309"/>
  </r>
  <r>
    <x v="13"/>
    <x v="86"/>
    <x v="310"/>
  </r>
  <r>
    <x v="13"/>
    <x v="86"/>
    <x v="311"/>
  </r>
  <r>
    <x v="13"/>
    <x v="87"/>
    <x v="312"/>
  </r>
  <r>
    <x v="13"/>
    <x v="87"/>
    <x v="313"/>
  </r>
  <r>
    <x v="13"/>
    <x v="87"/>
    <x v="314"/>
  </r>
  <r>
    <x v="13"/>
    <x v="88"/>
    <x v="315"/>
  </r>
  <r>
    <x v="13"/>
    <x v="88"/>
    <x v="316"/>
  </r>
  <r>
    <x v="13"/>
    <x v="89"/>
    <x v="317"/>
  </r>
  <r>
    <x v="13"/>
    <x v="89"/>
    <x v="318"/>
  </r>
  <r>
    <x v="13"/>
    <x v="89"/>
    <x v="319"/>
  </r>
  <r>
    <x v="13"/>
    <x v="90"/>
    <x v="320"/>
  </r>
  <r>
    <x v="13"/>
    <x v="90"/>
    <x v="321"/>
  </r>
  <r>
    <x v="13"/>
    <x v="91"/>
    <x v="322"/>
  </r>
  <r>
    <x v="13"/>
    <x v="91"/>
    <x v="323"/>
  </r>
  <r>
    <x v="13"/>
    <x v="92"/>
    <x v="324"/>
  </r>
  <r>
    <x v="13"/>
    <x v="92"/>
    <x v="325"/>
  </r>
  <r>
    <x v="13"/>
    <x v="93"/>
    <x v="326"/>
  </r>
  <r>
    <x v="13"/>
    <x v="93"/>
    <x v="327"/>
  </r>
  <r>
    <x v="13"/>
    <x v="94"/>
    <x v="328"/>
  </r>
  <r>
    <x v="13"/>
    <x v="94"/>
    <x v="329"/>
  </r>
  <r>
    <x v="13"/>
    <x v="95"/>
    <x v="330"/>
  </r>
  <r>
    <x v="13"/>
    <x v="95"/>
    <x v="331"/>
  </r>
  <r>
    <x v="13"/>
    <x v="95"/>
    <x v="332"/>
  </r>
  <r>
    <x v="13"/>
    <x v="96"/>
    <x v="333"/>
  </r>
  <r>
    <x v="13"/>
    <x v="96"/>
    <x v="334"/>
  </r>
  <r>
    <x v="13"/>
    <x v="97"/>
    <x v="335"/>
  </r>
  <r>
    <x v="13"/>
    <x v="97"/>
    <x v="336"/>
  </r>
  <r>
    <x v="13"/>
    <x v="98"/>
    <x v="337"/>
  </r>
  <r>
    <x v="13"/>
    <x v="98"/>
    <x v="338"/>
  </r>
  <r>
    <x v="13"/>
    <x v="99"/>
    <x v="339"/>
  </r>
  <r>
    <x v="13"/>
    <x v="99"/>
    <x v="340"/>
  </r>
  <r>
    <x v="13"/>
    <x v="100"/>
    <x v="341"/>
  </r>
  <r>
    <x v="13"/>
    <x v="100"/>
    <x v="342"/>
  </r>
  <r>
    <x v="13"/>
    <x v="100"/>
    <x v="343"/>
  </r>
  <r>
    <x v="13"/>
    <x v="100"/>
    <x v="344"/>
  </r>
  <r>
    <x v="13"/>
    <x v="100"/>
    <x v="345"/>
  </r>
  <r>
    <x v="13"/>
    <x v="100"/>
    <x v="346"/>
  </r>
  <r>
    <x v="13"/>
    <x v="100"/>
    <x v="347"/>
  </r>
  <r>
    <x v="13"/>
    <x v="100"/>
    <x v="348"/>
  </r>
  <r>
    <x v="13"/>
    <x v="101"/>
    <x v="349"/>
  </r>
  <r>
    <x v="13"/>
    <x v="101"/>
    <x v="350"/>
  </r>
  <r>
    <x v="13"/>
    <x v="102"/>
    <x v="351"/>
  </r>
  <r>
    <x v="13"/>
    <x v="102"/>
    <x v="352"/>
  </r>
  <r>
    <x v="13"/>
    <x v="103"/>
    <x v="353"/>
  </r>
  <r>
    <x v="13"/>
    <x v="103"/>
    <x v="354"/>
  </r>
  <r>
    <x v="13"/>
    <x v="104"/>
    <x v="355"/>
  </r>
  <r>
    <x v="13"/>
    <x v="104"/>
    <x v="356"/>
  </r>
  <r>
    <x v="13"/>
    <x v="105"/>
    <x v="357"/>
  </r>
  <r>
    <x v="13"/>
    <x v="105"/>
    <x v="358"/>
  </r>
  <r>
    <x v="13"/>
    <x v="105"/>
    <x v="359"/>
  </r>
  <r>
    <x v="13"/>
    <x v="105"/>
    <x v="360"/>
  </r>
  <r>
    <x v="13"/>
    <x v="106"/>
    <x v="361"/>
  </r>
  <r>
    <x v="13"/>
    <x v="106"/>
    <x v="362"/>
  </r>
  <r>
    <x v="13"/>
    <x v="107"/>
    <x v="363"/>
  </r>
  <r>
    <x v="13"/>
    <x v="107"/>
    <x v="364"/>
  </r>
  <r>
    <x v="13"/>
    <x v="108"/>
    <x v="365"/>
  </r>
  <r>
    <x v="13"/>
    <x v="108"/>
    <x v="366"/>
  </r>
  <r>
    <x v="13"/>
    <x v="109"/>
    <x v="367"/>
  </r>
  <r>
    <x v="13"/>
    <x v="109"/>
    <x v="368"/>
  </r>
  <r>
    <x v="13"/>
    <x v="109"/>
    <x v="369"/>
  </r>
  <r>
    <x v="13"/>
    <x v="109"/>
    <x v="370"/>
  </r>
  <r>
    <x v="13"/>
    <x v="110"/>
    <x v="371"/>
  </r>
  <r>
    <x v="13"/>
    <x v="110"/>
    <x v="372"/>
  </r>
  <r>
    <x v="13"/>
    <x v="110"/>
    <x v="373"/>
  </r>
  <r>
    <x v="13"/>
    <x v="111"/>
    <x v="374"/>
  </r>
  <r>
    <x v="13"/>
    <x v="111"/>
    <x v="375"/>
  </r>
  <r>
    <x v="13"/>
    <x v="111"/>
    <x v="376"/>
  </r>
  <r>
    <x v="13"/>
    <x v="112"/>
    <x v="377"/>
  </r>
  <r>
    <x v="13"/>
    <x v="112"/>
    <x v="378"/>
  </r>
  <r>
    <x v="13"/>
    <x v="112"/>
    <x v="379"/>
  </r>
  <r>
    <x v="13"/>
    <x v="112"/>
    <x v="380"/>
  </r>
  <r>
    <x v="13"/>
    <x v="112"/>
    <x v="381"/>
  </r>
  <r>
    <x v="13"/>
    <x v="113"/>
    <x v="382"/>
  </r>
  <r>
    <x v="13"/>
    <x v="113"/>
    <x v="383"/>
  </r>
  <r>
    <x v="13"/>
    <x v="113"/>
    <x v="384"/>
  </r>
  <r>
    <x v="13"/>
    <x v="114"/>
    <x v="385"/>
  </r>
  <r>
    <x v="13"/>
    <x v="114"/>
    <x v="386"/>
  </r>
  <r>
    <x v="13"/>
    <x v="114"/>
    <x v="387"/>
  </r>
  <r>
    <x v="13"/>
    <x v="115"/>
    <x v="388"/>
  </r>
  <r>
    <x v="13"/>
    <x v="115"/>
    <x v="389"/>
  </r>
  <r>
    <x v="13"/>
    <x v="116"/>
    <x v="390"/>
  </r>
  <r>
    <x v="13"/>
    <x v="116"/>
    <x v="391"/>
  </r>
  <r>
    <x v="13"/>
    <x v="117"/>
    <x v="392"/>
  </r>
  <r>
    <x v="13"/>
    <x v="117"/>
    <x v="393"/>
  </r>
  <r>
    <x v="13"/>
    <x v="117"/>
    <x v="394"/>
  </r>
  <r>
    <x v="13"/>
    <x v="118"/>
    <x v="395"/>
  </r>
  <r>
    <x v="13"/>
    <x v="118"/>
    <x v="396"/>
  </r>
  <r>
    <x v="13"/>
    <x v="119"/>
    <x v="397"/>
  </r>
  <r>
    <x v="13"/>
    <x v="119"/>
    <x v="398"/>
  </r>
  <r>
    <x v="13"/>
    <x v="120"/>
    <x v="399"/>
  </r>
  <r>
    <x v="13"/>
    <x v="120"/>
    <x v="400"/>
  </r>
  <r>
    <x v="13"/>
    <x v="121"/>
    <x v="401"/>
  </r>
  <r>
    <x v="13"/>
    <x v="121"/>
    <x v="402"/>
  </r>
  <r>
    <x v="13"/>
    <x v="122"/>
    <x v="403"/>
  </r>
  <r>
    <x v="13"/>
    <x v="122"/>
    <x v="404"/>
  </r>
  <r>
    <x v="13"/>
    <x v="123"/>
    <x v="405"/>
  </r>
  <r>
    <x v="13"/>
    <x v="123"/>
    <x v="406"/>
  </r>
  <r>
    <x v="13"/>
    <x v="124"/>
    <x v="407"/>
  </r>
  <r>
    <x v="13"/>
    <x v="124"/>
    <x v="408"/>
  </r>
  <r>
    <x v="13"/>
    <x v="125"/>
    <x v="409"/>
  </r>
  <r>
    <x v="13"/>
    <x v="125"/>
    <x v="410"/>
  </r>
  <r>
    <x v="13"/>
    <x v="125"/>
    <x v="411"/>
  </r>
  <r>
    <x v="13"/>
    <x v="126"/>
    <x v="412"/>
  </r>
  <r>
    <x v="13"/>
    <x v="126"/>
    <x v="413"/>
  </r>
  <r>
    <x v="13"/>
    <x v="127"/>
    <x v="414"/>
  </r>
  <r>
    <x v="13"/>
    <x v="127"/>
    <x v="415"/>
  </r>
  <r>
    <x v="13"/>
    <x v="128"/>
    <x v="416"/>
  </r>
  <r>
    <x v="13"/>
    <x v="128"/>
    <x v="417"/>
  </r>
  <r>
    <x v="13"/>
    <x v="129"/>
    <x v="418"/>
  </r>
  <r>
    <x v="13"/>
    <x v="129"/>
    <x v="419"/>
  </r>
  <r>
    <x v="13"/>
    <x v="130"/>
    <x v="420"/>
  </r>
  <r>
    <x v="13"/>
    <x v="130"/>
    <x v="421"/>
  </r>
  <r>
    <x v="13"/>
    <x v="131"/>
    <x v="422"/>
  </r>
  <r>
    <x v="13"/>
    <x v="131"/>
    <x v="423"/>
  </r>
  <r>
    <x v="13"/>
    <x v="132"/>
    <x v="424"/>
  </r>
  <r>
    <x v="13"/>
    <x v="132"/>
    <x v="425"/>
  </r>
  <r>
    <x v="13"/>
    <x v="133"/>
    <x v="426"/>
  </r>
  <r>
    <x v="13"/>
    <x v="133"/>
    <x v="427"/>
  </r>
  <r>
    <x v="13"/>
    <x v="133"/>
    <x v="428"/>
  </r>
  <r>
    <x v="13"/>
    <x v="134"/>
    <x v="429"/>
  </r>
  <r>
    <x v="13"/>
    <x v="134"/>
    <x v="430"/>
  </r>
  <r>
    <x v="13"/>
    <x v="134"/>
    <x v="431"/>
  </r>
  <r>
    <x v="13"/>
    <x v="134"/>
    <x v="432"/>
  </r>
  <r>
    <x v="13"/>
    <x v="135"/>
    <x v="433"/>
  </r>
  <r>
    <x v="13"/>
    <x v="135"/>
    <x v="434"/>
  </r>
  <r>
    <x v="13"/>
    <x v="136"/>
    <x v="435"/>
  </r>
  <r>
    <x v="13"/>
    <x v="136"/>
    <x v="436"/>
  </r>
  <r>
    <x v="13"/>
    <x v="137"/>
    <x v="437"/>
  </r>
  <r>
    <x v="13"/>
    <x v="137"/>
    <x v="438"/>
  </r>
  <r>
    <x v="13"/>
    <x v="137"/>
    <x v="439"/>
  </r>
  <r>
    <x v="13"/>
    <x v="138"/>
    <x v="440"/>
  </r>
  <r>
    <x v="13"/>
    <x v="138"/>
    <x v="441"/>
  </r>
  <r>
    <x v="13"/>
    <x v="138"/>
    <x v="442"/>
  </r>
  <r>
    <x v="13"/>
    <x v="138"/>
    <x v="443"/>
  </r>
  <r>
    <x v="13"/>
    <x v="139"/>
    <x v="444"/>
  </r>
  <r>
    <x v="13"/>
    <x v="139"/>
    <x v="445"/>
  </r>
  <r>
    <x v="13"/>
    <x v="139"/>
    <x v="446"/>
  </r>
  <r>
    <x v="13"/>
    <x v="139"/>
    <x v="447"/>
  </r>
  <r>
    <x v="13"/>
    <x v="139"/>
    <x v="448"/>
  </r>
  <r>
    <x v="13"/>
    <x v="139"/>
    <x v="449"/>
  </r>
  <r>
    <x v="13"/>
    <x v="139"/>
    <x v="450"/>
  </r>
  <r>
    <x v="13"/>
    <x v="139"/>
    <x v="451"/>
  </r>
  <r>
    <x v="13"/>
    <x v="139"/>
    <x v="452"/>
  </r>
  <r>
    <x v="13"/>
    <x v="139"/>
    <x v="453"/>
  </r>
  <r>
    <x v="13"/>
    <x v="139"/>
    <x v="454"/>
  </r>
  <r>
    <x v="13"/>
    <x v="139"/>
    <x v="455"/>
  </r>
  <r>
    <x v="13"/>
    <x v="139"/>
    <x v="456"/>
  </r>
  <r>
    <x v="13"/>
    <x v="139"/>
    <x v="457"/>
  </r>
  <r>
    <x v="13"/>
    <x v="139"/>
    <x v="458"/>
  </r>
  <r>
    <x v="13"/>
    <x v="139"/>
    <x v="459"/>
  </r>
  <r>
    <x v="13"/>
    <x v="139"/>
    <x v="460"/>
  </r>
  <r>
    <x v="13"/>
    <x v="139"/>
    <x v="461"/>
  </r>
  <r>
    <x v="13"/>
    <x v="139"/>
    <x v="462"/>
  </r>
  <r>
    <x v="13"/>
    <x v="139"/>
    <x v="463"/>
  </r>
  <r>
    <x v="13"/>
    <x v="139"/>
    <x v="464"/>
  </r>
  <r>
    <x v="13"/>
    <x v="139"/>
    <x v="465"/>
  </r>
  <r>
    <x v="13"/>
    <x v="139"/>
    <x v="466"/>
  </r>
  <r>
    <x v="13"/>
    <x v="139"/>
    <x v="467"/>
  </r>
  <r>
    <x v="13"/>
    <x v="140"/>
    <x v="468"/>
  </r>
  <r>
    <x v="13"/>
    <x v="140"/>
    <x v="469"/>
  </r>
  <r>
    <x v="13"/>
    <x v="141"/>
    <x v="470"/>
  </r>
  <r>
    <x v="13"/>
    <x v="141"/>
    <x v="471"/>
  </r>
  <r>
    <x v="13"/>
    <x v="141"/>
    <x v="472"/>
  </r>
  <r>
    <x v="13"/>
    <x v="141"/>
    <x v="473"/>
  </r>
  <r>
    <x v="13"/>
    <x v="142"/>
    <x v="474"/>
  </r>
  <r>
    <x v="13"/>
    <x v="142"/>
    <x v="475"/>
  </r>
  <r>
    <x v="13"/>
    <x v="143"/>
    <x v="476"/>
  </r>
  <r>
    <x v="13"/>
    <x v="143"/>
    <x v="477"/>
  </r>
  <r>
    <x v="13"/>
    <x v="144"/>
    <x v="478"/>
  </r>
  <r>
    <x v="13"/>
    <x v="144"/>
    <x v="479"/>
  </r>
  <r>
    <x v="13"/>
    <x v="145"/>
    <x v="480"/>
  </r>
  <r>
    <x v="13"/>
    <x v="145"/>
    <x v="481"/>
  </r>
  <r>
    <x v="13"/>
    <x v="146"/>
    <x v="482"/>
  </r>
  <r>
    <x v="13"/>
    <x v="146"/>
    <x v="483"/>
  </r>
  <r>
    <x v="13"/>
    <x v="147"/>
    <x v="484"/>
  </r>
  <r>
    <x v="13"/>
    <x v="147"/>
    <x v="485"/>
  </r>
  <r>
    <x v="13"/>
    <x v="147"/>
    <x v="486"/>
  </r>
  <r>
    <x v="13"/>
    <x v="147"/>
    <x v="487"/>
  </r>
  <r>
    <x v="13"/>
    <x v="147"/>
    <x v="488"/>
  </r>
  <r>
    <x v="13"/>
    <x v="147"/>
    <x v="489"/>
  </r>
  <r>
    <x v="13"/>
    <x v="147"/>
    <x v="490"/>
  </r>
  <r>
    <x v="13"/>
    <x v="147"/>
    <x v="491"/>
  </r>
  <r>
    <x v="13"/>
    <x v="147"/>
    <x v="492"/>
  </r>
  <r>
    <x v="13"/>
    <x v="147"/>
    <x v="493"/>
  </r>
  <r>
    <x v="13"/>
    <x v="147"/>
    <x v="494"/>
  </r>
  <r>
    <x v="13"/>
    <x v="147"/>
    <x v="495"/>
  </r>
  <r>
    <x v="13"/>
    <x v="147"/>
    <x v="496"/>
  </r>
  <r>
    <x v="13"/>
    <x v="147"/>
    <x v="497"/>
  </r>
  <r>
    <x v="13"/>
    <x v="147"/>
    <x v="498"/>
  </r>
  <r>
    <x v="13"/>
    <x v="147"/>
    <x v="499"/>
  </r>
  <r>
    <x v="13"/>
    <x v="147"/>
    <x v="500"/>
  </r>
  <r>
    <x v="13"/>
    <x v="147"/>
    <x v="501"/>
  </r>
  <r>
    <x v="13"/>
    <x v="147"/>
    <x v="502"/>
  </r>
  <r>
    <x v="13"/>
    <x v="147"/>
    <x v="503"/>
  </r>
  <r>
    <x v="13"/>
    <x v="147"/>
    <x v="504"/>
  </r>
  <r>
    <x v="13"/>
    <x v="147"/>
    <x v="505"/>
  </r>
  <r>
    <x v="13"/>
    <x v="147"/>
    <x v="506"/>
  </r>
  <r>
    <x v="13"/>
    <x v="147"/>
    <x v="507"/>
  </r>
  <r>
    <x v="13"/>
    <x v="147"/>
    <x v="508"/>
  </r>
  <r>
    <x v="13"/>
    <x v="147"/>
    <x v="509"/>
  </r>
  <r>
    <x v="13"/>
    <x v="147"/>
    <x v="510"/>
  </r>
  <r>
    <x v="13"/>
    <x v="148"/>
    <x v="511"/>
  </r>
  <r>
    <x v="13"/>
    <x v="148"/>
    <x v="512"/>
  </r>
  <r>
    <x v="13"/>
    <x v="148"/>
    <x v="513"/>
  </r>
  <r>
    <x v="13"/>
    <x v="148"/>
    <x v="514"/>
  </r>
  <r>
    <x v="13"/>
    <x v="148"/>
    <x v="515"/>
  </r>
  <r>
    <x v="13"/>
    <x v="149"/>
    <x v="516"/>
  </r>
  <r>
    <x v="13"/>
    <x v="149"/>
    <x v="517"/>
  </r>
  <r>
    <x v="13"/>
    <x v="150"/>
    <x v="518"/>
  </r>
  <r>
    <x v="13"/>
    <x v="150"/>
    <x v="519"/>
  </r>
  <r>
    <x v="13"/>
    <x v="151"/>
    <x v="520"/>
  </r>
  <r>
    <x v="13"/>
    <x v="151"/>
    <x v="521"/>
  </r>
  <r>
    <x v="13"/>
    <x v="151"/>
    <x v="522"/>
  </r>
  <r>
    <x v="14"/>
    <x v="152"/>
    <x v="523"/>
  </r>
  <r>
    <x v="14"/>
    <x v="152"/>
    <x v="524"/>
  </r>
  <r>
    <x v="14"/>
    <x v="152"/>
    <x v="525"/>
  </r>
  <r>
    <x v="14"/>
    <x v="153"/>
    <x v="526"/>
  </r>
  <r>
    <x v="14"/>
    <x v="153"/>
    <x v="527"/>
  </r>
  <r>
    <x v="14"/>
    <x v="153"/>
    <x v="394"/>
  </r>
  <r>
    <x v="14"/>
    <x v="154"/>
    <x v="528"/>
  </r>
  <r>
    <x v="14"/>
    <x v="154"/>
    <x v="529"/>
  </r>
  <r>
    <x v="14"/>
    <x v="154"/>
    <x v="530"/>
  </r>
  <r>
    <x v="14"/>
    <x v="155"/>
    <x v="531"/>
  </r>
  <r>
    <x v="14"/>
    <x v="155"/>
    <x v="532"/>
  </r>
  <r>
    <x v="14"/>
    <x v="156"/>
    <x v="533"/>
  </r>
  <r>
    <x v="14"/>
    <x v="156"/>
    <x v="534"/>
  </r>
  <r>
    <x v="14"/>
    <x v="157"/>
    <x v="535"/>
  </r>
  <r>
    <x v="14"/>
    <x v="157"/>
    <x v="536"/>
  </r>
  <r>
    <x v="14"/>
    <x v="158"/>
    <x v="537"/>
  </r>
  <r>
    <x v="14"/>
    <x v="158"/>
    <x v="538"/>
  </r>
  <r>
    <x v="15"/>
    <x v="159"/>
    <x v="539"/>
  </r>
  <r>
    <x v="15"/>
    <x v="159"/>
    <x v="540"/>
  </r>
  <r>
    <x v="15"/>
    <x v="160"/>
    <x v="541"/>
  </r>
  <r>
    <x v="15"/>
    <x v="160"/>
    <x v="542"/>
  </r>
  <r>
    <x v="15"/>
    <x v="161"/>
    <x v="543"/>
  </r>
  <r>
    <x v="15"/>
    <x v="161"/>
    <x v="544"/>
  </r>
  <r>
    <x v="15"/>
    <x v="162"/>
    <x v="545"/>
  </r>
  <r>
    <x v="15"/>
    <x v="162"/>
    <x v="546"/>
  </r>
  <r>
    <x v="15"/>
    <x v="163"/>
    <x v="547"/>
  </r>
  <r>
    <x v="15"/>
    <x v="163"/>
    <x v="548"/>
  </r>
  <r>
    <x v="15"/>
    <x v="163"/>
    <x v="549"/>
  </r>
  <r>
    <x v="15"/>
    <x v="163"/>
    <x v="550"/>
  </r>
  <r>
    <x v="15"/>
    <x v="163"/>
    <x v="551"/>
  </r>
  <r>
    <x v="15"/>
    <x v="163"/>
    <x v="552"/>
  </r>
  <r>
    <x v="15"/>
    <x v="163"/>
    <x v="553"/>
  </r>
  <r>
    <x v="15"/>
    <x v="163"/>
    <x v="554"/>
  </r>
  <r>
    <x v="15"/>
    <x v="163"/>
    <x v="555"/>
  </r>
  <r>
    <x v="15"/>
    <x v="163"/>
    <x v="556"/>
  </r>
  <r>
    <x v="15"/>
    <x v="163"/>
    <x v="557"/>
  </r>
  <r>
    <x v="15"/>
    <x v="163"/>
    <x v="558"/>
  </r>
  <r>
    <x v="15"/>
    <x v="163"/>
    <x v="559"/>
  </r>
  <r>
    <x v="15"/>
    <x v="163"/>
    <x v="560"/>
  </r>
  <r>
    <x v="15"/>
    <x v="163"/>
    <x v="561"/>
  </r>
  <r>
    <x v="15"/>
    <x v="163"/>
    <x v="562"/>
  </r>
  <r>
    <x v="15"/>
    <x v="163"/>
    <x v="563"/>
  </r>
  <r>
    <x v="15"/>
    <x v="163"/>
    <x v="564"/>
  </r>
  <r>
    <x v="15"/>
    <x v="163"/>
    <x v="565"/>
  </r>
  <r>
    <x v="15"/>
    <x v="163"/>
    <x v="566"/>
  </r>
  <r>
    <x v="15"/>
    <x v="163"/>
    <x v="567"/>
  </r>
  <r>
    <x v="15"/>
    <x v="163"/>
    <x v="568"/>
  </r>
  <r>
    <x v="15"/>
    <x v="163"/>
    <x v="569"/>
  </r>
  <r>
    <x v="15"/>
    <x v="163"/>
    <x v="570"/>
  </r>
  <r>
    <x v="15"/>
    <x v="163"/>
    <x v="571"/>
  </r>
  <r>
    <x v="15"/>
    <x v="163"/>
    <x v="572"/>
  </r>
  <r>
    <x v="15"/>
    <x v="163"/>
    <x v="573"/>
  </r>
  <r>
    <x v="15"/>
    <x v="163"/>
    <x v="574"/>
  </r>
  <r>
    <x v="15"/>
    <x v="163"/>
    <x v="575"/>
  </r>
  <r>
    <x v="15"/>
    <x v="163"/>
    <x v="576"/>
  </r>
  <r>
    <x v="15"/>
    <x v="163"/>
    <x v="577"/>
  </r>
  <r>
    <x v="15"/>
    <x v="163"/>
    <x v="578"/>
  </r>
  <r>
    <x v="15"/>
    <x v="163"/>
    <x v="579"/>
  </r>
  <r>
    <x v="15"/>
    <x v="163"/>
    <x v="580"/>
  </r>
  <r>
    <x v="15"/>
    <x v="163"/>
    <x v="581"/>
  </r>
  <r>
    <x v="15"/>
    <x v="163"/>
    <x v="582"/>
  </r>
  <r>
    <x v="15"/>
    <x v="163"/>
    <x v="583"/>
  </r>
  <r>
    <x v="15"/>
    <x v="163"/>
    <x v="584"/>
  </r>
  <r>
    <x v="15"/>
    <x v="163"/>
    <x v="585"/>
  </r>
  <r>
    <x v="15"/>
    <x v="163"/>
    <x v="586"/>
  </r>
  <r>
    <x v="15"/>
    <x v="163"/>
    <x v="587"/>
  </r>
  <r>
    <x v="15"/>
    <x v="163"/>
    <x v="588"/>
  </r>
  <r>
    <x v="15"/>
    <x v="163"/>
    <x v="589"/>
  </r>
  <r>
    <x v="15"/>
    <x v="163"/>
    <x v="590"/>
  </r>
  <r>
    <x v="15"/>
    <x v="164"/>
    <x v="591"/>
  </r>
  <r>
    <x v="15"/>
    <x v="164"/>
    <x v="592"/>
  </r>
  <r>
    <x v="15"/>
    <x v="164"/>
    <x v="593"/>
  </r>
  <r>
    <x v="15"/>
    <x v="164"/>
    <x v="594"/>
  </r>
  <r>
    <x v="15"/>
    <x v="164"/>
    <x v="595"/>
  </r>
  <r>
    <x v="15"/>
    <x v="164"/>
    <x v="596"/>
  </r>
  <r>
    <x v="15"/>
    <x v="165"/>
    <x v="597"/>
  </r>
  <r>
    <x v="15"/>
    <x v="165"/>
    <x v="598"/>
  </r>
  <r>
    <x v="15"/>
    <x v="165"/>
    <x v="599"/>
  </r>
  <r>
    <x v="15"/>
    <x v="165"/>
    <x v="600"/>
  </r>
  <r>
    <x v="15"/>
    <x v="165"/>
    <x v="601"/>
  </r>
  <r>
    <x v="15"/>
    <x v="165"/>
    <x v="602"/>
  </r>
  <r>
    <x v="15"/>
    <x v="165"/>
    <x v="603"/>
  </r>
  <r>
    <x v="15"/>
    <x v="166"/>
    <x v="604"/>
  </r>
  <r>
    <x v="15"/>
    <x v="166"/>
    <x v="605"/>
  </r>
  <r>
    <x v="15"/>
    <x v="166"/>
    <x v="606"/>
  </r>
  <r>
    <x v="15"/>
    <x v="166"/>
    <x v="607"/>
  </r>
  <r>
    <x v="15"/>
    <x v="166"/>
    <x v="608"/>
  </r>
  <r>
    <x v="15"/>
    <x v="166"/>
    <x v="609"/>
  </r>
  <r>
    <x v="15"/>
    <x v="166"/>
    <x v="610"/>
  </r>
  <r>
    <x v="15"/>
    <x v="166"/>
    <x v="611"/>
  </r>
  <r>
    <x v="15"/>
    <x v="166"/>
    <x v="612"/>
  </r>
  <r>
    <x v="15"/>
    <x v="166"/>
    <x v="613"/>
  </r>
  <r>
    <x v="15"/>
    <x v="166"/>
    <x v="614"/>
  </r>
  <r>
    <x v="15"/>
    <x v="166"/>
    <x v="615"/>
  </r>
  <r>
    <x v="15"/>
    <x v="167"/>
    <x v="616"/>
  </r>
  <r>
    <x v="15"/>
    <x v="167"/>
    <x v="617"/>
  </r>
  <r>
    <x v="15"/>
    <x v="168"/>
    <x v="618"/>
  </r>
  <r>
    <x v="15"/>
    <x v="168"/>
    <x v="619"/>
  </r>
  <r>
    <x v="15"/>
    <x v="169"/>
    <x v="620"/>
  </r>
  <r>
    <x v="15"/>
    <x v="169"/>
    <x v="621"/>
  </r>
  <r>
    <x v="15"/>
    <x v="170"/>
    <x v="622"/>
  </r>
  <r>
    <x v="15"/>
    <x v="170"/>
    <x v="623"/>
  </r>
  <r>
    <x v="15"/>
    <x v="171"/>
    <x v="624"/>
  </r>
  <r>
    <x v="15"/>
    <x v="171"/>
    <x v="625"/>
  </r>
  <r>
    <x v="15"/>
    <x v="172"/>
    <x v="626"/>
  </r>
  <r>
    <x v="15"/>
    <x v="172"/>
    <x v="627"/>
  </r>
  <r>
    <x v="15"/>
    <x v="173"/>
    <x v="628"/>
  </r>
  <r>
    <x v="15"/>
    <x v="173"/>
    <x v="629"/>
  </r>
  <r>
    <x v="15"/>
    <x v="174"/>
    <x v="630"/>
  </r>
  <r>
    <x v="15"/>
    <x v="174"/>
    <x v="631"/>
  </r>
  <r>
    <x v="15"/>
    <x v="175"/>
    <x v="632"/>
  </r>
  <r>
    <x v="15"/>
    <x v="175"/>
    <x v="633"/>
  </r>
  <r>
    <x v="15"/>
    <x v="175"/>
    <x v="634"/>
  </r>
  <r>
    <x v="15"/>
    <x v="176"/>
    <x v="635"/>
  </r>
  <r>
    <x v="15"/>
    <x v="176"/>
    <x v="636"/>
  </r>
  <r>
    <x v="15"/>
    <x v="177"/>
    <x v="637"/>
  </r>
  <r>
    <x v="15"/>
    <x v="177"/>
    <x v="638"/>
  </r>
  <r>
    <x v="15"/>
    <x v="178"/>
    <x v="639"/>
  </r>
  <r>
    <x v="15"/>
    <x v="178"/>
    <x v="640"/>
  </r>
  <r>
    <x v="15"/>
    <x v="179"/>
    <x v="641"/>
  </r>
  <r>
    <x v="15"/>
    <x v="179"/>
    <x v="642"/>
  </r>
  <r>
    <x v="15"/>
    <x v="179"/>
    <x v="643"/>
  </r>
  <r>
    <x v="15"/>
    <x v="179"/>
    <x v="644"/>
  </r>
  <r>
    <x v="15"/>
    <x v="179"/>
    <x v="645"/>
  </r>
  <r>
    <x v="15"/>
    <x v="179"/>
    <x v="646"/>
  </r>
  <r>
    <x v="15"/>
    <x v="179"/>
    <x v="647"/>
  </r>
  <r>
    <x v="15"/>
    <x v="179"/>
    <x v="648"/>
  </r>
  <r>
    <x v="15"/>
    <x v="179"/>
    <x v="649"/>
  </r>
  <r>
    <x v="15"/>
    <x v="179"/>
    <x v="650"/>
  </r>
  <r>
    <x v="15"/>
    <x v="180"/>
    <x v="651"/>
  </r>
  <r>
    <x v="15"/>
    <x v="180"/>
    <x v="652"/>
  </r>
  <r>
    <x v="15"/>
    <x v="180"/>
    <x v="653"/>
  </r>
  <r>
    <x v="15"/>
    <x v="180"/>
    <x v="654"/>
  </r>
  <r>
    <x v="15"/>
    <x v="180"/>
    <x v="655"/>
  </r>
  <r>
    <x v="15"/>
    <x v="180"/>
    <x v="656"/>
  </r>
  <r>
    <x v="15"/>
    <x v="180"/>
    <x v="657"/>
  </r>
  <r>
    <x v="15"/>
    <x v="180"/>
    <x v="658"/>
  </r>
  <r>
    <x v="15"/>
    <x v="180"/>
    <x v="659"/>
  </r>
  <r>
    <x v="15"/>
    <x v="180"/>
    <x v="660"/>
  </r>
  <r>
    <x v="15"/>
    <x v="181"/>
    <x v="661"/>
  </r>
  <r>
    <x v="15"/>
    <x v="181"/>
    <x v="662"/>
  </r>
  <r>
    <x v="15"/>
    <x v="182"/>
    <x v="663"/>
  </r>
  <r>
    <x v="15"/>
    <x v="182"/>
    <x v="664"/>
  </r>
  <r>
    <x v="15"/>
    <x v="182"/>
    <x v="665"/>
  </r>
  <r>
    <x v="15"/>
    <x v="182"/>
    <x v="666"/>
  </r>
  <r>
    <x v="15"/>
    <x v="182"/>
    <x v="667"/>
  </r>
  <r>
    <x v="15"/>
    <x v="182"/>
    <x v="668"/>
  </r>
  <r>
    <x v="15"/>
    <x v="182"/>
    <x v="669"/>
  </r>
  <r>
    <x v="15"/>
    <x v="183"/>
    <x v="670"/>
  </r>
  <r>
    <x v="15"/>
    <x v="183"/>
    <x v="671"/>
  </r>
  <r>
    <x v="16"/>
    <x v="184"/>
    <x v="672"/>
  </r>
  <r>
    <x v="16"/>
    <x v="184"/>
    <x v="673"/>
  </r>
  <r>
    <x v="16"/>
    <x v="184"/>
    <x v="674"/>
  </r>
  <r>
    <x v="16"/>
    <x v="184"/>
    <x v="675"/>
  </r>
  <r>
    <x v="16"/>
    <x v="185"/>
    <x v="676"/>
  </r>
  <r>
    <x v="16"/>
    <x v="185"/>
    <x v="677"/>
  </r>
  <r>
    <x v="16"/>
    <x v="185"/>
    <x v="678"/>
  </r>
  <r>
    <x v="16"/>
    <x v="185"/>
    <x v="679"/>
  </r>
  <r>
    <x v="17"/>
    <x v="186"/>
    <x v="680"/>
  </r>
  <r>
    <x v="17"/>
    <x v="186"/>
    <x v="681"/>
  </r>
  <r>
    <x v="17"/>
    <x v="187"/>
    <x v="682"/>
  </r>
  <r>
    <x v="17"/>
    <x v="187"/>
    <x v="683"/>
  </r>
  <r>
    <x v="17"/>
    <x v="188"/>
    <x v="684"/>
  </r>
  <r>
    <x v="17"/>
    <x v="188"/>
    <x v="685"/>
  </r>
  <r>
    <x v="17"/>
    <x v="189"/>
    <x v="686"/>
  </r>
  <r>
    <x v="17"/>
    <x v="189"/>
    <x v="687"/>
  </r>
  <r>
    <x v="17"/>
    <x v="189"/>
    <x v="688"/>
  </r>
  <r>
    <x v="17"/>
    <x v="189"/>
    <x v="689"/>
  </r>
  <r>
    <x v="17"/>
    <x v="189"/>
    <x v="690"/>
  </r>
  <r>
    <x v="17"/>
    <x v="189"/>
    <x v="691"/>
  </r>
  <r>
    <x v="17"/>
    <x v="189"/>
    <x v="692"/>
  </r>
  <r>
    <x v="17"/>
    <x v="189"/>
    <x v="693"/>
  </r>
  <r>
    <x v="17"/>
    <x v="190"/>
    <x v="694"/>
  </r>
  <r>
    <x v="17"/>
    <x v="190"/>
    <x v="695"/>
  </r>
  <r>
    <x v="17"/>
    <x v="191"/>
    <x v="696"/>
  </r>
  <r>
    <x v="17"/>
    <x v="191"/>
    <x v="697"/>
  </r>
  <r>
    <x v="17"/>
    <x v="191"/>
    <x v="698"/>
  </r>
  <r>
    <x v="17"/>
    <x v="191"/>
    <x v="699"/>
  </r>
  <r>
    <x v="17"/>
    <x v="191"/>
    <x v="700"/>
  </r>
  <r>
    <x v="17"/>
    <x v="192"/>
    <x v="701"/>
  </r>
  <r>
    <x v="17"/>
    <x v="192"/>
    <x v="702"/>
  </r>
  <r>
    <x v="17"/>
    <x v="193"/>
    <x v="703"/>
  </r>
  <r>
    <x v="17"/>
    <x v="193"/>
    <x v="704"/>
  </r>
  <r>
    <x v="17"/>
    <x v="194"/>
    <x v="705"/>
  </r>
  <r>
    <x v="17"/>
    <x v="194"/>
    <x v="706"/>
  </r>
  <r>
    <x v="17"/>
    <x v="195"/>
    <x v="707"/>
  </r>
  <r>
    <x v="17"/>
    <x v="195"/>
    <x v="708"/>
  </r>
  <r>
    <x v="17"/>
    <x v="196"/>
    <x v="709"/>
  </r>
  <r>
    <x v="17"/>
    <x v="196"/>
    <x v="710"/>
  </r>
  <r>
    <x v="17"/>
    <x v="197"/>
    <x v="711"/>
  </r>
  <r>
    <x v="17"/>
    <x v="197"/>
    <x v="712"/>
  </r>
  <r>
    <x v="17"/>
    <x v="198"/>
    <x v="713"/>
  </r>
  <r>
    <x v="17"/>
    <x v="198"/>
    <x v="714"/>
  </r>
  <r>
    <x v="17"/>
    <x v="198"/>
    <x v="715"/>
  </r>
  <r>
    <x v="17"/>
    <x v="199"/>
    <x v="716"/>
  </r>
  <r>
    <x v="17"/>
    <x v="199"/>
    <x v="717"/>
  </r>
  <r>
    <x v="17"/>
    <x v="200"/>
    <x v="718"/>
  </r>
  <r>
    <x v="17"/>
    <x v="200"/>
    <x v="719"/>
  </r>
  <r>
    <x v="17"/>
    <x v="201"/>
    <x v="720"/>
  </r>
  <r>
    <x v="17"/>
    <x v="201"/>
    <x v="721"/>
  </r>
  <r>
    <x v="18"/>
    <x v="202"/>
    <x v="722"/>
  </r>
  <r>
    <x v="18"/>
    <x v="202"/>
    <x v="723"/>
  </r>
  <r>
    <x v="18"/>
    <x v="203"/>
    <x v="724"/>
  </r>
  <r>
    <x v="18"/>
    <x v="203"/>
    <x v="725"/>
  </r>
  <r>
    <x v="18"/>
    <x v="203"/>
    <x v="726"/>
  </r>
  <r>
    <x v="18"/>
    <x v="204"/>
    <x v="727"/>
  </r>
  <r>
    <x v="18"/>
    <x v="204"/>
    <x v="728"/>
  </r>
  <r>
    <x v="18"/>
    <x v="204"/>
    <x v="729"/>
  </r>
  <r>
    <x v="18"/>
    <x v="205"/>
    <x v="730"/>
  </r>
  <r>
    <x v="18"/>
    <x v="205"/>
    <x v="731"/>
  </r>
  <r>
    <x v="18"/>
    <x v="206"/>
    <x v="732"/>
  </r>
  <r>
    <x v="18"/>
    <x v="206"/>
    <x v="733"/>
  </r>
  <r>
    <x v="18"/>
    <x v="206"/>
    <x v="734"/>
  </r>
  <r>
    <x v="18"/>
    <x v="207"/>
    <x v="735"/>
  </r>
  <r>
    <x v="18"/>
    <x v="207"/>
    <x v="736"/>
  </r>
  <r>
    <x v="18"/>
    <x v="207"/>
    <x v="737"/>
  </r>
  <r>
    <x v="18"/>
    <x v="207"/>
    <x v="738"/>
  </r>
  <r>
    <x v="18"/>
    <x v="207"/>
    <x v="739"/>
  </r>
  <r>
    <x v="18"/>
    <x v="207"/>
    <x v="740"/>
  </r>
  <r>
    <x v="18"/>
    <x v="207"/>
    <x v="741"/>
  </r>
  <r>
    <x v="18"/>
    <x v="207"/>
    <x v="742"/>
  </r>
  <r>
    <x v="18"/>
    <x v="207"/>
    <x v="743"/>
  </r>
  <r>
    <x v="18"/>
    <x v="207"/>
    <x v="744"/>
  </r>
  <r>
    <x v="18"/>
    <x v="207"/>
    <x v="745"/>
  </r>
  <r>
    <x v="18"/>
    <x v="207"/>
    <x v="746"/>
  </r>
  <r>
    <x v="18"/>
    <x v="207"/>
    <x v="747"/>
  </r>
  <r>
    <x v="18"/>
    <x v="208"/>
    <x v="748"/>
  </r>
  <r>
    <x v="18"/>
    <x v="208"/>
    <x v="749"/>
  </r>
  <r>
    <x v="18"/>
    <x v="208"/>
    <x v="750"/>
  </r>
  <r>
    <x v="18"/>
    <x v="208"/>
    <x v="751"/>
  </r>
  <r>
    <x v="18"/>
    <x v="208"/>
    <x v="752"/>
  </r>
  <r>
    <x v="18"/>
    <x v="208"/>
    <x v="753"/>
  </r>
  <r>
    <x v="18"/>
    <x v="208"/>
    <x v="754"/>
  </r>
  <r>
    <x v="18"/>
    <x v="208"/>
    <x v="755"/>
  </r>
  <r>
    <x v="18"/>
    <x v="208"/>
    <x v="756"/>
  </r>
  <r>
    <x v="18"/>
    <x v="208"/>
    <x v="757"/>
  </r>
  <r>
    <x v="18"/>
    <x v="208"/>
    <x v="758"/>
  </r>
  <r>
    <x v="18"/>
    <x v="208"/>
    <x v="759"/>
  </r>
  <r>
    <x v="18"/>
    <x v="208"/>
    <x v="760"/>
  </r>
  <r>
    <x v="18"/>
    <x v="208"/>
    <x v="761"/>
  </r>
  <r>
    <x v="18"/>
    <x v="208"/>
    <x v="762"/>
  </r>
  <r>
    <x v="18"/>
    <x v="208"/>
    <x v="763"/>
  </r>
  <r>
    <x v="18"/>
    <x v="208"/>
    <x v="764"/>
  </r>
  <r>
    <x v="18"/>
    <x v="208"/>
    <x v="765"/>
  </r>
  <r>
    <x v="18"/>
    <x v="208"/>
    <x v="766"/>
  </r>
  <r>
    <x v="18"/>
    <x v="208"/>
    <x v="767"/>
  </r>
  <r>
    <x v="18"/>
    <x v="208"/>
    <x v="768"/>
  </r>
  <r>
    <x v="18"/>
    <x v="208"/>
    <x v="769"/>
  </r>
  <r>
    <x v="18"/>
    <x v="208"/>
    <x v="770"/>
  </r>
  <r>
    <x v="18"/>
    <x v="208"/>
    <x v="771"/>
  </r>
  <r>
    <x v="18"/>
    <x v="208"/>
    <x v="772"/>
  </r>
  <r>
    <x v="18"/>
    <x v="208"/>
    <x v="773"/>
  </r>
  <r>
    <x v="18"/>
    <x v="209"/>
    <x v="774"/>
  </r>
  <r>
    <x v="18"/>
    <x v="209"/>
    <x v="775"/>
  </r>
  <r>
    <x v="18"/>
    <x v="209"/>
    <x v="776"/>
  </r>
  <r>
    <x v="18"/>
    <x v="210"/>
    <x v="777"/>
  </r>
  <r>
    <x v="18"/>
    <x v="210"/>
    <x v="778"/>
  </r>
  <r>
    <x v="18"/>
    <x v="210"/>
    <x v="779"/>
  </r>
  <r>
    <x v="18"/>
    <x v="210"/>
    <x v="780"/>
  </r>
  <r>
    <x v="18"/>
    <x v="210"/>
    <x v="781"/>
  </r>
  <r>
    <x v="18"/>
    <x v="210"/>
    <x v="782"/>
  </r>
  <r>
    <x v="18"/>
    <x v="210"/>
    <x v="783"/>
  </r>
  <r>
    <x v="18"/>
    <x v="210"/>
    <x v="784"/>
  </r>
  <r>
    <x v="18"/>
    <x v="210"/>
    <x v="785"/>
  </r>
  <r>
    <x v="18"/>
    <x v="210"/>
    <x v="786"/>
  </r>
  <r>
    <x v="18"/>
    <x v="210"/>
    <x v="787"/>
  </r>
  <r>
    <x v="18"/>
    <x v="210"/>
    <x v="788"/>
  </r>
  <r>
    <x v="18"/>
    <x v="210"/>
    <x v="789"/>
  </r>
  <r>
    <x v="18"/>
    <x v="210"/>
    <x v="790"/>
  </r>
  <r>
    <x v="18"/>
    <x v="211"/>
    <x v="791"/>
  </r>
  <r>
    <x v="18"/>
    <x v="211"/>
    <x v="792"/>
  </r>
  <r>
    <x v="18"/>
    <x v="211"/>
    <x v="793"/>
  </r>
  <r>
    <x v="18"/>
    <x v="211"/>
    <x v="794"/>
  </r>
  <r>
    <x v="18"/>
    <x v="211"/>
    <x v="795"/>
  </r>
  <r>
    <x v="18"/>
    <x v="211"/>
    <x v="796"/>
  </r>
  <r>
    <x v="18"/>
    <x v="211"/>
    <x v="797"/>
  </r>
  <r>
    <x v="18"/>
    <x v="211"/>
    <x v="798"/>
  </r>
  <r>
    <x v="18"/>
    <x v="211"/>
    <x v="799"/>
  </r>
  <r>
    <x v="18"/>
    <x v="211"/>
    <x v="800"/>
  </r>
  <r>
    <x v="18"/>
    <x v="211"/>
    <x v="801"/>
  </r>
  <r>
    <x v="18"/>
    <x v="211"/>
    <x v="802"/>
  </r>
  <r>
    <x v="18"/>
    <x v="211"/>
    <x v="803"/>
  </r>
  <r>
    <x v="18"/>
    <x v="211"/>
    <x v="804"/>
  </r>
  <r>
    <x v="18"/>
    <x v="211"/>
    <x v="805"/>
  </r>
  <r>
    <x v="18"/>
    <x v="211"/>
    <x v="806"/>
  </r>
  <r>
    <x v="18"/>
    <x v="211"/>
    <x v="807"/>
  </r>
  <r>
    <x v="18"/>
    <x v="212"/>
    <x v="808"/>
  </r>
  <r>
    <x v="18"/>
    <x v="212"/>
    <x v="809"/>
  </r>
  <r>
    <x v="18"/>
    <x v="213"/>
    <x v="810"/>
  </r>
  <r>
    <x v="18"/>
    <x v="213"/>
    <x v="811"/>
  </r>
  <r>
    <x v="18"/>
    <x v="214"/>
    <x v="812"/>
  </r>
  <r>
    <x v="18"/>
    <x v="214"/>
    <x v="813"/>
  </r>
  <r>
    <x v="18"/>
    <x v="215"/>
    <x v="814"/>
  </r>
  <r>
    <x v="18"/>
    <x v="215"/>
    <x v="815"/>
  </r>
  <r>
    <x v="18"/>
    <x v="216"/>
    <x v="816"/>
  </r>
  <r>
    <x v="18"/>
    <x v="216"/>
    <x v="817"/>
  </r>
  <r>
    <x v="18"/>
    <x v="217"/>
    <x v="818"/>
  </r>
  <r>
    <x v="18"/>
    <x v="217"/>
    <x v="819"/>
  </r>
  <r>
    <x v="18"/>
    <x v="217"/>
    <x v="820"/>
  </r>
  <r>
    <x v="18"/>
    <x v="217"/>
    <x v="821"/>
  </r>
  <r>
    <x v="18"/>
    <x v="218"/>
    <x v="822"/>
  </r>
  <r>
    <x v="18"/>
    <x v="218"/>
    <x v="823"/>
  </r>
  <r>
    <x v="18"/>
    <x v="219"/>
    <x v="824"/>
  </r>
  <r>
    <x v="18"/>
    <x v="219"/>
    <x v="825"/>
  </r>
  <r>
    <x v="18"/>
    <x v="219"/>
    <x v="826"/>
  </r>
  <r>
    <x v="18"/>
    <x v="220"/>
    <x v="827"/>
  </r>
  <r>
    <x v="18"/>
    <x v="220"/>
    <x v="828"/>
  </r>
  <r>
    <x v="18"/>
    <x v="220"/>
    <x v="829"/>
  </r>
  <r>
    <x v="18"/>
    <x v="220"/>
    <x v="830"/>
  </r>
  <r>
    <x v="18"/>
    <x v="220"/>
    <x v="831"/>
  </r>
  <r>
    <x v="18"/>
    <x v="220"/>
    <x v="832"/>
  </r>
  <r>
    <x v="18"/>
    <x v="220"/>
    <x v="833"/>
  </r>
  <r>
    <x v="18"/>
    <x v="220"/>
    <x v="834"/>
  </r>
  <r>
    <x v="18"/>
    <x v="220"/>
    <x v="835"/>
  </r>
  <r>
    <x v="18"/>
    <x v="220"/>
    <x v="836"/>
  </r>
  <r>
    <x v="18"/>
    <x v="220"/>
    <x v="837"/>
  </r>
  <r>
    <x v="18"/>
    <x v="220"/>
    <x v="838"/>
  </r>
  <r>
    <x v="18"/>
    <x v="220"/>
    <x v="839"/>
  </r>
  <r>
    <x v="18"/>
    <x v="220"/>
    <x v="840"/>
  </r>
  <r>
    <x v="18"/>
    <x v="220"/>
    <x v="841"/>
  </r>
  <r>
    <x v="18"/>
    <x v="220"/>
    <x v="842"/>
  </r>
  <r>
    <x v="18"/>
    <x v="220"/>
    <x v="843"/>
  </r>
  <r>
    <x v="18"/>
    <x v="220"/>
    <x v="844"/>
  </r>
  <r>
    <x v="18"/>
    <x v="220"/>
    <x v="845"/>
  </r>
  <r>
    <x v="18"/>
    <x v="220"/>
    <x v="846"/>
  </r>
  <r>
    <x v="18"/>
    <x v="220"/>
    <x v="847"/>
  </r>
  <r>
    <x v="18"/>
    <x v="220"/>
    <x v="848"/>
  </r>
  <r>
    <x v="18"/>
    <x v="220"/>
    <x v="849"/>
  </r>
  <r>
    <x v="18"/>
    <x v="220"/>
    <x v="850"/>
  </r>
  <r>
    <x v="18"/>
    <x v="220"/>
    <x v="851"/>
  </r>
  <r>
    <x v="18"/>
    <x v="220"/>
    <x v="852"/>
  </r>
  <r>
    <x v="18"/>
    <x v="220"/>
    <x v="853"/>
  </r>
  <r>
    <x v="18"/>
    <x v="220"/>
    <x v="854"/>
  </r>
  <r>
    <x v="18"/>
    <x v="220"/>
    <x v="855"/>
  </r>
  <r>
    <x v="18"/>
    <x v="220"/>
    <x v="856"/>
  </r>
  <r>
    <x v="18"/>
    <x v="220"/>
    <x v="857"/>
  </r>
  <r>
    <x v="18"/>
    <x v="220"/>
    <x v="858"/>
  </r>
  <r>
    <x v="18"/>
    <x v="220"/>
    <x v="859"/>
  </r>
  <r>
    <x v="18"/>
    <x v="220"/>
    <x v="860"/>
  </r>
  <r>
    <x v="18"/>
    <x v="220"/>
    <x v="861"/>
  </r>
  <r>
    <x v="18"/>
    <x v="220"/>
    <x v="862"/>
  </r>
  <r>
    <x v="18"/>
    <x v="220"/>
    <x v="863"/>
  </r>
  <r>
    <x v="18"/>
    <x v="220"/>
    <x v="864"/>
  </r>
  <r>
    <x v="18"/>
    <x v="220"/>
    <x v="865"/>
  </r>
  <r>
    <x v="18"/>
    <x v="220"/>
    <x v="866"/>
  </r>
  <r>
    <x v="18"/>
    <x v="220"/>
    <x v="867"/>
  </r>
  <r>
    <x v="18"/>
    <x v="220"/>
    <x v="868"/>
  </r>
  <r>
    <x v="18"/>
    <x v="220"/>
    <x v="869"/>
  </r>
  <r>
    <x v="18"/>
    <x v="220"/>
    <x v="870"/>
  </r>
  <r>
    <x v="18"/>
    <x v="220"/>
    <x v="871"/>
  </r>
  <r>
    <x v="18"/>
    <x v="220"/>
    <x v="872"/>
  </r>
  <r>
    <x v="18"/>
    <x v="220"/>
    <x v="873"/>
  </r>
  <r>
    <x v="18"/>
    <x v="220"/>
    <x v="874"/>
  </r>
  <r>
    <x v="18"/>
    <x v="220"/>
    <x v="875"/>
  </r>
  <r>
    <x v="18"/>
    <x v="220"/>
    <x v="876"/>
  </r>
  <r>
    <x v="18"/>
    <x v="220"/>
    <x v="877"/>
  </r>
  <r>
    <x v="18"/>
    <x v="220"/>
    <x v="878"/>
  </r>
  <r>
    <x v="18"/>
    <x v="220"/>
    <x v="879"/>
  </r>
  <r>
    <x v="18"/>
    <x v="220"/>
    <x v="880"/>
  </r>
  <r>
    <x v="18"/>
    <x v="220"/>
    <x v="881"/>
  </r>
  <r>
    <x v="18"/>
    <x v="220"/>
    <x v="882"/>
  </r>
  <r>
    <x v="18"/>
    <x v="220"/>
    <x v="883"/>
  </r>
  <r>
    <x v="18"/>
    <x v="220"/>
    <x v="884"/>
  </r>
  <r>
    <x v="18"/>
    <x v="220"/>
    <x v="885"/>
  </r>
  <r>
    <x v="18"/>
    <x v="220"/>
    <x v="886"/>
  </r>
  <r>
    <x v="18"/>
    <x v="220"/>
    <x v="887"/>
  </r>
  <r>
    <x v="18"/>
    <x v="220"/>
    <x v="888"/>
  </r>
  <r>
    <x v="18"/>
    <x v="220"/>
    <x v="889"/>
  </r>
  <r>
    <x v="18"/>
    <x v="220"/>
    <x v="890"/>
  </r>
  <r>
    <x v="18"/>
    <x v="220"/>
    <x v="891"/>
  </r>
  <r>
    <x v="18"/>
    <x v="220"/>
    <x v="892"/>
  </r>
  <r>
    <x v="18"/>
    <x v="220"/>
    <x v="893"/>
  </r>
  <r>
    <x v="18"/>
    <x v="220"/>
    <x v="894"/>
  </r>
  <r>
    <x v="18"/>
    <x v="220"/>
    <x v="895"/>
  </r>
  <r>
    <x v="18"/>
    <x v="220"/>
    <x v="896"/>
  </r>
  <r>
    <x v="18"/>
    <x v="220"/>
    <x v="897"/>
  </r>
  <r>
    <x v="18"/>
    <x v="220"/>
    <x v="898"/>
  </r>
  <r>
    <x v="18"/>
    <x v="220"/>
    <x v="899"/>
  </r>
  <r>
    <x v="18"/>
    <x v="220"/>
    <x v="900"/>
  </r>
  <r>
    <x v="18"/>
    <x v="220"/>
    <x v="901"/>
  </r>
  <r>
    <x v="18"/>
    <x v="220"/>
    <x v="902"/>
  </r>
  <r>
    <x v="18"/>
    <x v="220"/>
    <x v="903"/>
  </r>
  <r>
    <x v="18"/>
    <x v="220"/>
    <x v="904"/>
  </r>
  <r>
    <x v="18"/>
    <x v="220"/>
    <x v="905"/>
  </r>
  <r>
    <x v="18"/>
    <x v="220"/>
    <x v="906"/>
  </r>
  <r>
    <x v="18"/>
    <x v="220"/>
    <x v="907"/>
  </r>
  <r>
    <x v="18"/>
    <x v="220"/>
    <x v="908"/>
  </r>
  <r>
    <x v="18"/>
    <x v="220"/>
    <x v="909"/>
  </r>
  <r>
    <x v="18"/>
    <x v="220"/>
    <x v="910"/>
  </r>
  <r>
    <x v="18"/>
    <x v="220"/>
    <x v="911"/>
  </r>
  <r>
    <x v="18"/>
    <x v="220"/>
    <x v="912"/>
  </r>
  <r>
    <x v="18"/>
    <x v="220"/>
    <x v="913"/>
  </r>
  <r>
    <x v="18"/>
    <x v="220"/>
    <x v="914"/>
  </r>
  <r>
    <x v="18"/>
    <x v="220"/>
    <x v="915"/>
  </r>
  <r>
    <x v="18"/>
    <x v="220"/>
    <x v="916"/>
  </r>
  <r>
    <x v="18"/>
    <x v="220"/>
    <x v="917"/>
  </r>
  <r>
    <x v="18"/>
    <x v="220"/>
    <x v="918"/>
  </r>
  <r>
    <x v="18"/>
    <x v="220"/>
    <x v="919"/>
  </r>
  <r>
    <x v="18"/>
    <x v="220"/>
    <x v="920"/>
  </r>
  <r>
    <x v="18"/>
    <x v="220"/>
    <x v="921"/>
  </r>
  <r>
    <x v="18"/>
    <x v="220"/>
    <x v="922"/>
  </r>
  <r>
    <x v="18"/>
    <x v="220"/>
    <x v="923"/>
  </r>
  <r>
    <x v="18"/>
    <x v="220"/>
    <x v="924"/>
  </r>
  <r>
    <x v="18"/>
    <x v="220"/>
    <x v="925"/>
  </r>
  <r>
    <x v="18"/>
    <x v="220"/>
    <x v="926"/>
  </r>
  <r>
    <x v="18"/>
    <x v="220"/>
    <x v="927"/>
  </r>
  <r>
    <x v="18"/>
    <x v="220"/>
    <x v="928"/>
  </r>
  <r>
    <x v="18"/>
    <x v="220"/>
    <x v="929"/>
  </r>
  <r>
    <x v="18"/>
    <x v="220"/>
    <x v="930"/>
  </r>
  <r>
    <x v="18"/>
    <x v="220"/>
    <x v="931"/>
  </r>
  <r>
    <x v="18"/>
    <x v="220"/>
    <x v="932"/>
  </r>
  <r>
    <x v="18"/>
    <x v="220"/>
    <x v="933"/>
  </r>
  <r>
    <x v="18"/>
    <x v="220"/>
    <x v="934"/>
  </r>
  <r>
    <x v="18"/>
    <x v="220"/>
    <x v="935"/>
  </r>
  <r>
    <x v="18"/>
    <x v="220"/>
    <x v="936"/>
  </r>
  <r>
    <x v="18"/>
    <x v="220"/>
    <x v="937"/>
  </r>
  <r>
    <x v="18"/>
    <x v="220"/>
    <x v="938"/>
  </r>
  <r>
    <x v="18"/>
    <x v="220"/>
    <x v="939"/>
  </r>
  <r>
    <x v="18"/>
    <x v="220"/>
    <x v="940"/>
  </r>
  <r>
    <x v="18"/>
    <x v="220"/>
    <x v="941"/>
  </r>
  <r>
    <x v="18"/>
    <x v="220"/>
    <x v="942"/>
  </r>
  <r>
    <x v="18"/>
    <x v="220"/>
    <x v="943"/>
  </r>
  <r>
    <x v="18"/>
    <x v="220"/>
    <x v="944"/>
  </r>
  <r>
    <x v="18"/>
    <x v="220"/>
    <x v="945"/>
  </r>
  <r>
    <x v="18"/>
    <x v="220"/>
    <x v="946"/>
  </r>
  <r>
    <x v="18"/>
    <x v="220"/>
    <x v="947"/>
  </r>
  <r>
    <x v="18"/>
    <x v="220"/>
    <x v="948"/>
  </r>
  <r>
    <x v="18"/>
    <x v="221"/>
    <x v="949"/>
  </r>
  <r>
    <x v="18"/>
    <x v="221"/>
    <x v="950"/>
  </r>
  <r>
    <x v="18"/>
    <x v="221"/>
    <x v="951"/>
  </r>
  <r>
    <x v="18"/>
    <x v="221"/>
    <x v="952"/>
  </r>
  <r>
    <x v="18"/>
    <x v="222"/>
    <x v="953"/>
  </r>
  <r>
    <x v="18"/>
    <x v="222"/>
    <x v="954"/>
  </r>
  <r>
    <x v="18"/>
    <x v="223"/>
    <x v="955"/>
  </r>
  <r>
    <x v="18"/>
    <x v="223"/>
    <x v="956"/>
  </r>
  <r>
    <x v="18"/>
    <x v="223"/>
    <x v="957"/>
  </r>
  <r>
    <x v="18"/>
    <x v="224"/>
    <x v="958"/>
  </r>
  <r>
    <x v="18"/>
    <x v="224"/>
    <x v="959"/>
  </r>
  <r>
    <x v="18"/>
    <x v="225"/>
    <x v="960"/>
  </r>
  <r>
    <x v="18"/>
    <x v="225"/>
    <x v="961"/>
  </r>
  <r>
    <x v="18"/>
    <x v="226"/>
    <x v="962"/>
  </r>
  <r>
    <x v="18"/>
    <x v="226"/>
    <x v="963"/>
  </r>
  <r>
    <x v="18"/>
    <x v="227"/>
    <x v="964"/>
  </r>
  <r>
    <x v="18"/>
    <x v="227"/>
    <x v="965"/>
  </r>
  <r>
    <x v="18"/>
    <x v="227"/>
    <x v="966"/>
  </r>
  <r>
    <x v="18"/>
    <x v="227"/>
    <x v="967"/>
  </r>
  <r>
    <x v="18"/>
    <x v="228"/>
    <x v="968"/>
  </r>
  <r>
    <x v="18"/>
    <x v="228"/>
    <x v="969"/>
  </r>
  <r>
    <x v="18"/>
    <x v="229"/>
    <x v="970"/>
  </r>
  <r>
    <x v="18"/>
    <x v="229"/>
    <x v="971"/>
  </r>
  <r>
    <x v="18"/>
    <x v="230"/>
    <x v="972"/>
  </r>
  <r>
    <x v="18"/>
    <x v="230"/>
    <x v="973"/>
  </r>
  <r>
    <x v="18"/>
    <x v="230"/>
    <x v="974"/>
  </r>
  <r>
    <x v="18"/>
    <x v="230"/>
    <x v="975"/>
  </r>
  <r>
    <x v="18"/>
    <x v="230"/>
    <x v="976"/>
  </r>
  <r>
    <x v="18"/>
    <x v="230"/>
    <x v="977"/>
  </r>
  <r>
    <x v="18"/>
    <x v="230"/>
    <x v="978"/>
  </r>
  <r>
    <x v="18"/>
    <x v="230"/>
    <x v="979"/>
  </r>
  <r>
    <x v="18"/>
    <x v="230"/>
    <x v="980"/>
  </r>
  <r>
    <x v="18"/>
    <x v="230"/>
    <x v="981"/>
  </r>
  <r>
    <x v="18"/>
    <x v="230"/>
    <x v="982"/>
  </r>
  <r>
    <x v="18"/>
    <x v="230"/>
    <x v="983"/>
  </r>
  <r>
    <x v="18"/>
    <x v="230"/>
    <x v="984"/>
  </r>
  <r>
    <x v="18"/>
    <x v="230"/>
    <x v="985"/>
  </r>
  <r>
    <x v="18"/>
    <x v="230"/>
    <x v="986"/>
  </r>
  <r>
    <x v="18"/>
    <x v="230"/>
    <x v="987"/>
  </r>
  <r>
    <x v="18"/>
    <x v="230"/>
    <x v="988"/>
  </r>
  <r>
    <x v="18"/>
    <x v="230"/>
    <x v="989"/>
  </r>
  <r>
    <x v="18"/>
    <x v="230"/>
    <x v="990"/>
  </r>
  <r>
    <x v="18"/>
    <x v="231"/>
    <x v="991"/>
  </r>
  <r>
    <x v="18"/>
    <x v="231"/>
    <x v="992"/>
  </r>
  <r>
    <x v="18"/>
    <x v="231"/>
    <x v="993"/>
  </r>
  <r>
    <x v="18"/>
    <x v="231"/>
    <x v="994"/>
  </r>
  <r>
    <x v="18"/>
    <x v="231"/>
    <x v="995"/>
  </r>
  <r>
    <x v="18"/>
    <x v="231"/>
    <x v="996"/>
  </r>
  <r>
    <x v="18"/>
    <x v="231"/>
    <x v="997"/>
  </r>
  <r>
    <x v="18"/>
    <x v="231"/>
    <x v="998"/>
  </r>
  <r>
    <x v="18"/>
    <x v="231"/>
    <x v="999"/>
  </r>
  <r>
    <x v="18"/>
    <x v="231"/>
    <x v="1000"/>
  </r>
  <r>
    <x v="18"/>
    <x v="231"/>
    <x v="1001"/>
  </r>
  <r>
    <x v="18"/>
    <x v="231"/>
    <x v="1002"/>
  </r>
  <r>
    <x v="18"/>
    <x v="231"/>
    <x v="1003"/>
  </r>
  <r>
    <x v="18"/>
    <x v="231"/>
    <x v="1004"/>
  </r>
  <r>
    <x v="18"/>
    <x v="231"/>
    <x v="1005"/>
  </r>
  <r>
    <x v="18"/>
    <x v="231"/>
    <x v="1006"/>
  </r>
  <r>
    <x v="18"/>
    <x v="231"/>
    <x v="1007"/>
  </r>
  <r>
    <x v="18"/>
    <x v="231"/>
    <x v="1008"/>
  </r>
  <r>
    <x v="18"/>
    <x v="231"/>
    <x v="1009"/>
  </r>
  <r>
    <x v="18"/>
    <x v="231"/>
    <x v="1010"/>
  </r>
  <r>
    <x v="18"/>
    <x v="232"/>
    <x v="1011"/>
  </r>
  <r>
    <x v="18"/>
    <x v="232"/>
    <x v="1012"/>
  </r>
  <r>
    <x v="18"/>
    <x v="233"/>
    <x v="1013"/>
  </r>
  <r>
    <x v="18"/>
    <x v="233"/>
    <x v="1014"/>
  </r>
  <r>
    <x v="18"/>
    <x v="233"/>
    <x v="1015"/>
  </r>
  <r>
    <x v="18"/>
    <x v="234"/>
    <x v="1016"/>
  </r>
  <r>
    <x v="18"/>
    <x v="234"/>
    <x v="1017"/>
  </r>
  <r>
    <x v="18"/>
    <x v="235"/>
    <x v="1018"/>
  </r>
  <r>
    <x v="18"/>
    <x v="235"/>
    <x v="1019"/>
  </r>
  <r>
    <x v="18"/>
    <x v="236"/>
    <x v="1020"/>
  </r>
  <r>
    <x v="18"/>
    <x v="236"/>
    <x v="1021"/>
  </r>
  <r>
    <x v="18"/>
    <x v="237"/>
    <x v="1022"/>
  </r>
  <r>
    <x v="18"/>
    <x v="237"/>
    <x v="1023"/>
  </r>
  <r>
    <x v="18"/>
    <x v="238"/>
    <x v="1024"/>
  </r>
  <r>
    <x v="18"/>
    <x v="238"/>
    <x v="1025"/>
  </r>
  <r>
    <x v="18"/>
    <x v="239"/>
    <x v="1026"/>
  </r>
  <r>
    <x v="18"/>
    <x v="239"/>
    <x v="1027"/>
  </r>
  <r>
    <x v="18"/>
    <x v="240"/>
    <x v="1028"/>
  </r>
  <r>
    <x v="18"/>
    <x v="240"/>
    <x v="1029"/>
  </r>
  <r>
    <x v="18"/>
    <x v="241"/>
    <x v="1030"/>
  </r>
  <r>
    <x v="18"/>
    <x v="241"/>
    <x v="1031"/>
  </r>
  <r>
    <x v="18"/>
    <x v="242"/>
    <x v="1032"/>
  </r>
  <r>
    <x v="18"/>
    <x v="242"/>
    <x v="1033"/>
  </r>
  <r>
    <x v="19"/>
    <x v="243"/>
    <x v="1034"/>
  </r>
  <r>
    <x v="19"/>
    <x v="243"/>
    <x v="1035"/>
  </r>
  <r>
    <x v="19"/>
    <x v="244"/>
    <x v="1036"/>
  </r>
  <r>
    <x v="19"/>
    <x v="244"/>
    <x v="1037"/>
  </r>
  <r>
    <x v="19"/>
    <x v="244"/>
    <x v="1038"/>
  </r>
  <r>
    <x v="19"/>
    <x v="245"/>
    <x v="1039"/>
  </r>
  <r>
    <x v="19"/>
    <x v="245"/>
    <x v="1040"/>
  </r>
  <r>
    <x v="19"/>
    <x v="245"/>
    <x v="1041"/>
  </r>
  <r>
    <x v="19"/>
    <x v="246"/>
    <x v="1042"/>
  </r>
  <r>
    <x v="19"/>
    <x v="246"/>
    <x v="1043"/>
  </r>
  <r>
    <x v="19"/>
    <x v="246"/>
    <x v="1044"/>
  </r>
  <r>
    <x v="19"/>
    <x v="247"/>
    <x v="1045"/>
  </r>
  <r>
    <x v="19"/>
    <x v="247"/>
    <x v="1046"/>
  </r>
  <r>
    <x v="19"/>
    <x v="248"/>
    <x v="1047"/>
  </r>
  <r>
    <x v="19"/>
    <x v="248"/>
    <x v="1048"/>
  </r>
  <r>
    <x v="19"/>
    <x v="249"/>
    <x v="1049"/>
  </r>
  <r>
    <x v="19"/>
    <x v="249"/>
    <x v="1050"/>
  </r>
  <r>
    <x v="19"/>
    <x v="249"/>
    <x v="1051"/>
  </r>
  <r>
    <x v="19"/>
    <x v="249"/>
    <x v="1052"/>
  </r>
  <r>
    <x v="19"/>
    <x v="250"/>
    <x v="1053"/>
  </r>
  <r>
    <x v="19"/>
    <x v="250"/>
    <x v="1054"/>
  </r>
  <r>
    <x v="19"/>
    <x v="250"/>
    <x v="1055"/>
  </r>
  <r>
    <x v="19"/>
    <x v="251"/>
    <x v="1056"/>
  </r>
  <r>
    <x v="19"/>
    <x v="251"/>
    <x v="1057"/>
  </r>
  <r>
    <x v="19"/>
    <x v="252"/>
    <x v="1058"/>
  </r>
  <r>
    <x v="19"/>
    <x v="252"/>
    <x v="1059"/>
  </r>
  <r>
    <x v="19"/>
    <x v="253"/>
    <x v="1060"/>
  </r>
  <r>
    <x v="19"/>
    <x v="253"/>
    <x v="1061"/>
  </r>
  <r>
    <x v="19"/>
    <x v="253"/>
    <x v="1062"/>
  </r>
  <r>
    <x v="19"/>
    <x v="253"/>
    <x v="1063"/>
  </r>
  <r>
    <x v="19"/>
    <x v="253"/>
    <x v="1064"/>
  </r>
  <r>
    <x v="19"/>
    <x v="253"/>
    <x v="1065"/>
  </r>
  <r>
    <x v="19"/>
    <x v="253"/>
    <x v="1066"/>
  </r>
  <r>
    <x v="19"/>
    <x v="253"/>
    <x v="1067"/>
  </r>
  <r>
    <x v="19"/>
    <x v="253"/>
    <x v="1068"/>
  </r>
  <r>
    <x v="19"/>
    <x v="253"/>
    <x v="1069"/>
  </r>
  <r>
    <x v="19"/>
    <x v="253"/>
    <x v="1070"/>
  </r>
  <r>
    <x v="19"/>
    <x v="253"/>
    <x v="1071"/>
  </r>
  <r>
    <x v="19"/>
    <x v="253"/>
    <x v="1072"/>
  </r>
  <r>
    <x v="19"/>
    <x v="253"/>
    <x v="1073"/>
  </r>
  <r>
    <x v="19"/>
    <x v="253"/>
    <x v="1074"/>
  </r>
  <r>
    <x v="19"/>
    <x v="253"/>
    <x v="1075"/>
  </r>
  <r>
    <x v="19"/>
    <x v="254"/>
    <x v="1076"/>
  </r>
  <r>
    <x v="19"/>
    <x v="254"/>
    <x v="1077"/>
  </r>
  <r>
    <x v="19"/>
    <x v="254"/>
    <x v="1078"/>
  </r>
  <r>
    <x v="19"/>
    <x v="255"/>
    <x v="1079"/>
  </r>
  <r>
    <x v="19"/>
    <x v="255"/>
    <x v="1080"/>
  </r>
  <r>
    <x v="19"/>
    <x v="256"/>
    <x v="1081"/>
  </r>
  <r>
    <x v="19"/>
    <x v="256"/>
    <x v="1082"/>
  </r>
  <r>
    <x v="19"/>
    <x v="256"/>
    <x v="1083"/>
  </r>
  <r>
    <x v="19"/>
    <x v="257"/>
    <x v="1084"/>
  </r>
  <r>
    <x v="19"/>
    <x v="257"/>
    <x v="1085"/>
  </r>
  <r>
    <x v="19"/>
    <x v="258"/>
    <x v="1086"/>
  </r>
  <r>
    <x v="19"/>
    <x v="258"/>
    <x v="1087"/>
  </r>
  <r>
    <x v="19"/>
    <x v="259"/>
    <x v="1088"/>
  </r>
  <r>
    <x v="19"/>
    <x v="259"/>
    <x v="1089"/>
  </r>
  <r>
    <x v="19"/>
    <x v="260"/>
    <x v="1090"/>
  </r>
  <r>
    <x v="19"/>
    <x v="260"/>
    <x v="1091"/>
  </r>
  <r>
    <x v="19"/>
    <x v="261"/>
    <x v="1092"/>
  </r>
  <r>
    <x v="19"/>
    <x v="261"/>
    <x v="1093"/>
  </r>
  <r>
    <x v="19"/>
    <x v="262"/>
    <x v="1094"/>
  </r>
  <r>
    <x v="19"/>
    <x v="262"/>
    <x v="1095"/>
  </r>
  <r>
    <x v="19"/>
    <x v="263"/>
    <x v="1096"/>
  </r>
  <r>
    <x v="19"/>
    <x v="263"/>
    <x v="1097"/>
  </r>
  <r>
    <x v="19"/>
    <x v="264"/>
    <x v="1098"/>
  </r>
  <r>
    <x v="19"/>
    <x v="264"/>
    <x v="1099"/>
  </r>
  <r>
    <x v="20"/>
    <x v="265"/>
    <x v="1100"/>
  </r>
  <r>
    <x v="20"/>
    <x v="265"/>
    <x v="1101"/>
  </r>
  <r>
    <x v="20"/>
    <x v="266"/>
    <x v="1102"/>
  </r>
  <r>
    <x v="20"/>
    <x v="266"/>
    <x v="1103"/>
  </r>
  <r>
    <x v="20"/>
    <x v="267"/>
    <x v="1104"/>
  </r>
  <r>
    <x v="20"/>
    <x v="267"/>
    <x v="1105"/>
  </r>
  <r>
    <x v="20"/>
    <x v="268"/>
    <x v="1106"/>
  </r>
  <r>
    <x v="20"/>
    <x v="268"/>
    <x v="1107"/>
  </r>
  <r>
    <x v="20"/>
    <x v="269"/>
    <x v="1108"/>
  </r>
  <r>
    <x v="20"/>
    <x v="269"/>
    <x v="1109"/>
  </r>
  <r>
    <x v="20"/>
    <x v="270"/>
    <x v="1110"/>
  </r>
  <r>
    <x v="20"/>
    <x v="270"/>
    <x v="1111"/>
  </r>
  <r>
    <x v="20"/>
    <x v="271"/>
    <x v="1112"/>
  </r>
  <r>
    <x v="20"/>
    <x v="271"/>
    <x v="1113"/>
  </r>
  <r>
    <x v="20"/>
    <x v="272"/>
    <x v="1114"/>
  </r>
  <r>
    <x v="20"/>
    <x v="272"/>
    <x v="1115"/>
  </r>
  <r>
    <x v="20"/>
    <x v="273"/>
    <x v="1116"/>
  </r>
  <r>
    <x v="20"/>
    <x v="273"/>
    <x v="1117"/>
  </r>
  <r>
    <x v="21"/>
    <x v="274"/>
    <x v="1118"/>
  </r>
  <r>
    <x v="21"/>
    <x v="274"/>
    <x v="1119"/>
  </r>
  <r>
    <x v="21"/>
    <x v="274"/>
    <x v="1120"/>
  </r>
  <r>
    <x v="21"/>
    <x v="274"/>
    <x v="1121"/>
  </r>
  <r>
    <x v="21"/>
    <x v="274"/>
    <x v="1122"/>
  </r>
  <r>
    <x v="21"/>
    <x v="274"/>
    <x v="1123"/>
  </r>
  <r>
    <x v="21"/>
    <x v="274"/>
    <x v="1124"/>
  </r>
  <r>
    <x v="21"/>
    <x v="274"/>
    <x v="1125"/>
  </r>
  <r>
    <x v="21"/>
    <x v="274"/>
    <x v="1126"/>
  </r>
  <r>
    <x v="21"/>
    <x v="274"/>
    <x v="1127"/>
  </r>
  <r>
    <x v="21"/>
    <x v="274"/>
    <x v="1128"/>
  </r>
  <r>
    <x v="21"/>
    <x v="274"/>
    <x v="1129"/>
  </r>
  <r>
    <x v="21"/>
    <x v="274"/>
    <x v="1130"/>
  </r>
  <r>
    <x v="21"/>
    <x v="274"/>
    <x v="1131"/>
  </r>
  <r>
    <x v="21"/>
    <x v="274"/>
    <x v="1132"/>
  </r>
  <r>
    <x v="21"/>
    <x v="274"/>
    <x v="1133"/>
  </r>
  <r>
    <x v="21"/>
    <x v="274"/>
    <x v="1134"/>
  </r>
  <r>
    <x v="21"/>
    <x v="274"/>
    <x v="1135"/>
  </r>
  <r>
    <x v="21"/>
    <x v="274"/>
    <x v="1136"/>
  </r>
  <r>
    <x v="21"/>
    <x v="274"/>
    <x v="1137"/>
  </r>
  <r>
    <x v="21"/>
    <x v="274"/>
    <x v="1138"/>
  </r>
  <r>
    <x v="21"/>
    <x v="274"/>
    <x v="1139"/>
  </r>
  <r>
    <x v="21"/>
    <x v="274"/>
    <x v="1140"/>
  </r>
  <r>
    <x v="21"/>
    <x v="274"/>
    <x v="1141"/>
  </r>
  <r>
    <x v="21"/>
    <x v="274"/>
    <x v="1142"/>
  </r>
  <r>
    <x v="21"/>
    <x v="274"/>
    <x v="1143"/>
  </r>
  <r>
    <x v="21"/>
    <x v="275"/>
    <x v="1144"/>
  </r>
  <r>
    <x v="21"/>
    <x v="275"/>
    <x v="1145"/>
  </r>
  <r>
    <x v="21"/>
    <x v="276"/>
    <x v="1146"/>
  </r>
  <r>
    <x v="21"/>
    <x v="276"/>
    <x v="1147"/>
  </r>
  <r>
    <x v="21"/>
    <x v="276"/>
    <x v="1148"/>
  </r>
  <r>
    <x v="21"/>
    <x v="277"/>
    <x v="1149"/>
  </r>
  <r>
    <x v="21"/>
    <x v="277"/>
    <x v="1150"/>
  </r>
  <r>
    <x v="21"/>
    <x v="278"/>
    <x v="1151"/>
  </r>
  <r>
    <x v="21"/>
    <x v="278"/>
    <x v="1152"/>
  </r>
  <r>
    <x v="21"/>
    <x v="278"/>
    <x v="1153"/>
  </r>
  <r>
    <x v="21"/>
    <x v="278"/>
    <x v="1154"/>
  </r>
  <r>
    <x v="21"/>
    <x v="278"/>
    <x v="1155"/>
  </r>
  <r>
    <x v="21"/>
    <x v="278"/>
    <x v="1156"/>
  </r>
  <r>
    <x v="22"/>
    <x v="279"/>
    <x v="1157"/>
  </r>
  <r>
    <x v="22"/>
    <x v="279"/>
    <x v="1158"/>
  </r>
  <r>
    <x v="22"/>
    <x v="279"/>
    <x v="1159"/>
  </r>
  <r>
    <x v="22"/>
    <x v="279"/>
    <x v="1160"/>
  </r>
  <r>
    <x v="22"/>
    <x v="279"/>
    <x v="1161"/>
  </r>
  <r>
    <x v="22"/>
    <x v="280"/>
    <x v="1162"/>
  </r>
  <r>
    <x v="22"/>
    <x v="280"/>
    <x v="1163"/>
  </r>
  <r>
    <x v="22"/>
    <x v="281"/>
    <x v="1164"/>
  </r>
  <r>
    <x v="22"/>
    <x v="281"/>
    <x v="1165"/>
  </r>
  <r>
    <x v="22"/>
    <x v="282"/>
    <x v="1166"/>
  </r>
  <r>
    <x v="22"/>
    <x v="282"/>
    <x v="1167"/>
  </r>
  <r>
    <x v="22"/>
    <x v="282"/>
    <x v="1168"/>
  </r>
  <r>
    <x v="22"/>
    <x v="282"/>
    <x v="1169"/>
  </r>
  <r>
    <x v="22"/>
    <x v="282"/>
    <x v="1170"/>
  </r>
  <r>
    <x v="22"/>
    <x v="283"/>
    <x v="1171"/>
  </r>
  <r>
    <x v="22"/>
    <x v="283"/>
    <x v="1172"/>
  </r>
  <r>
    <x v="22"/>
    <x v="284"/>
    <x v="1173"/>
  </r>
  <r>
    <x v="22"/>
    <x v="284"/>
    <x v="1174"/>
  </r>
  <r>
    <x v="22"/>
    <x v="284"/>
    <x v="1175"/>
  </r>
  <r>
    <x v="22"/>
    <x v="285"/>
    <x v="1176"/>
  </r>
  <r>
    <x v="22"/>
    <x v="285"/>
    <x v="1177"/>
  </r>
  <r>
    <x v="22"/>
    <x v="286"/>
    <x v="1178"/>
  </r>
  <r>
    <x v="22"/>
    <x v="286"/>
    <x v="1179"/>
  </r>
  <r>
    <x v="22"/>
    <x v="287"/>
    <x v="1180"/>
  </r>
  <r>
    <x v="22"/>
    <x v="287"/>
    <x v="1181"/>
  </r>
  <r>
    <x v="22"/>
    <x v="287"/>
    <x v="1182"/>
  </r>
  <r>
    <x v="22"/>
    <x v="287"/>
    <x v="1183"/>
  </r>
  <r>
    <x v="22"/>
    <x v="287"/>
    <x v="1184"/>
  </r>
  <r>
    <x v="22"/>
    <x v="288"/>
    <x v="1185"/>
  </r>
  <r>
    <x v="22"/>
    <x v="288"/>
    <x v="1186"/>
  </r>
  <r>
    <x v="22"/>
    <x v="288"/>
    <x v="1187"/>
  </r>
  <r>
    <x v="22"/>
    <x v="289"/>
    <x v="1188"/>
  </r>
  <r>
    <x v="22"/>
    <x v="289"/>
    <x v="1189"/>
  </r>
  <r>
    <x v="22"/>
    <x v="289"/>
    <x v="1190"/>
  </r>
  <r>
    <x v="22"/>
    <x v="289"/>
    <x v="1191"/>
  </r>
  <r>
    <x v="22"/>
    <x v="289"/>
    <x v="1192"/>
  </r>
  <r>
    <x v="22"/>
    <x v="289"/>
    <x v="1193"/>
  </r>
  <r>
    <x v="22"/>
    <x v="289"/>
    <x v="1194"/>
  </r>
  <r>
    <x v="22"/>
    <x v="289"/>
    <x v="1195"/>
  </r>
  <r>
    <x v="22"/>
    <x v="289"/>
    <x v="1196"/>
  </r>
  <r>
    <x v="22"/>
    <x v="289"/>
    <x v="1197"/>
  </r>
  <r>
    <x v="22"/>
    <x v="289"/>
    <x v="1198"/>
  </r>
  <r>
    <x v="22"/>
    <x v="289"/>
    <x v="1199"/>
  </r>
  <r>
    <x v="22"/>
    <x v="289"/>
    <x v="1200"/>
  </r>
  <r>
    <x v="22"/>
    <x v="290"/>
    <x v="1201"/>
  </r>
  <r>
    <x v="22"/>
    <x v="290"/>
    <x v="1202"/>
  </r>
  <r>
    <x v="22"/>
    <x v="291"/>
    <x v="1203"/>
  </r>
  <r>
    <x v="22"/>
    <x v="291"/>
    <x v="1204"/>
  </r>
  <r>
    <x v="22"/>
    <x v="292"/>
    <x v="1205"/>
  </r>
  <r>
    <x v="22"/>
    <x v="292"/>
    <x v="1206"/>
  </r>
  <r>
    <x v="22"/>
    <x v="293"/>
    <x v="1207"/>
  </r>
  <r>
    <x v="22"/>
    <x v="293"/>
    <x v="1208"/>
  </r>
  <r>
    <x v="22"/>
    <x v="293"/>
    <x v="1209"/>
  </r>
  <r>
    <x v="22"/>
    <x v="293"/>
    <x v="1210"/>
  </r>
  <r>
    <x v="22"/>
    <x v="293"/>
    <x v="1211"/>
  </r>
  <r>
    <x v="22"/>
    <x v="293"/>
    <x v="1212"/>
  </r>
  <r>
    <x v="22"/>
    <x v="293"/>
    <x v="1213"/>
  </r>
  <r>
    <x v="22"/>
    <x v="293"/>
    <x v="1214"/>
  </r>
  <r>
    <x v="22"/>
    <x v="293"/>
    <x v="1215"/>
  </r>
  <r>
    <x v="22"/>
    <x v="293"/>
    <x v="1216"/>
  </r>
  <r>
    <x v="22"/>
    <x v="293"/>
    <x v="1217"/>
  </r>
  <r>
    <x v="22"/>
    <x v="293"/>
    <x v="1218"/>
  </r>
  <r>
    <x v="22"/>
    <x v="293"/>
    <x v="1219"/>
  </r>
  <r>
    <x v="22"/>
    <x v="294"/>
    <x v="1220"/>
  </r>
  <r>
    <x v="22"/>
    <x v="294"/>
    <x v="1221"/>
  </r>
  <r>
    <x v="22"/>
    <x v="294"/>
    <x v="1222"/>
  </r>
  <r>
    <x v="22"/>
    <x v="294"/>
    <x v="1223"/>
  </r>
  <r>
    <x v="22"/>
    <x v="294"/>
    <x v="1224"/>
  </r>
  <r>
    <x v="22"/>
    <x v="294"/>
    <x v="1225"/>
  </r>
  <r>
    <x v="22"/>
    <x v="294"/>
    <x v="1226"/>
  </r>
  <r>
    <x v="22"/>
    <x v="294"/>
    <x v="1227"/>
  </r>
  <r>
    <x v="22"/>
    <x v="294"/>
    <x v="1228"/>
  </r>
  <r>
    <x v="22"/>
    <x v="294"/>
    <x v="1229"/>
  </r>
  <r>
    <x v="22"/>
    <x v="294"/>
    <x v="1230"/>
  </r>
  <r>
    <x v="22"/>
    <x v="294"/>
    <x v="1231"/>
  </r>
  <r>
    <x v="22"/>
    <x v="294"/>
    <x v="1232"/>
  </r>
  <r>
    <x v="22"/>
    <x v="294"/>
    <x v="1233"/>
  </r>
  <r>
    <x v="22"/>
    <x v="294"/>
    <x v="1234"/>
  </r>
  <r>
    <x v="22"/>
    <x v="294"/>
    <x v="1235"/>
  </r>
  <r>
    <x v="22"/>
    <x v="294"/>
    <x v="1236"/>
  </r>
  <r>
    <x v="22"/>
    <x v="294"/>
    <x v="1237"/>
  </r>
  <r>
    <x v="22"/>
    <x v="294"/>
    <x v="1238"/>
  </r>
  <r>
    <x v="22"/>
    <x v="294"/>
    <x v="1239"/>
  </r>
  <r>
    <x v="22"/>
    <x v="294"/>
    <x v="1240"/>
  </r>
  <r>
    <x v="22"/>
    <x v="294"/>
    <x v="1241"/>
  </r>
  <r>
    <x v="22"/>
    <x v="294"/>
    <x v="1242"/>
  </r>
  <r>
    <x v="22"/>
    <x v="294"/>
    <x v="1243"/>
  </r>
  <r>
    <x v="22"/>
    <x v="294"/>
    <x v="1244"/>
  </r>
  <r>
    <x v="22"/>
    <x v="294"/>
    <x v="1245"/>
  </r>
  <r>
    <x v="22"/>
    <x v="294"/>
    <x v="1246"/>
  </r>
  <r>
    <x v="22"/>
    <x v="294"/>
    <x v="1247"/>
  </r>
  <r>
    <x v="22"/>
    <x v="294"/>
    <x v="1248"/>
  </r>
  <r>
    <x v="22"/>
    <x v="294"/>
    <x v="1249"/>
  </r>
  <r>
    <x v="22"/>
    <x v="294"/>
    <x v="1250"/>
  </r>
  <r>
    <x v="22"/>
    <x v="294"/>
    <x v="1251"/>
  </r>
  <r>
    <x v="22"/>
    <x v="294"/>
    <x v="1252"/>
  </r>
  <r>
    <x v="22"/>
    <x v="294"/>
    <x v="1253"/>
  </r>
  <r>
    <x v="22"/>
    <x v="294"/>
    <x v="1254"/>
  </r>
  <r>
    <x v="22"/>
    <x v="294"/>
    <x v="1255"/>
  </r>
  <r>
    <x v="22"/>
    <x v="294"/>
    <x v="1256"/>
  </r>
  <r>
    <x v="22"/>
    <x v="294"/>
    <x v="1257"/>
  </r>
  <r>
    <x v="22"/>
    <x v="294"/>
    <x v="1258"/>
  </r>
  <r>
    <x v="22"/>
    <x v="294"/>
    <x v="1259"/>
  </r>
  <r>
    <x v="22"/>
    <x v="294"/>
    <x v="1260"/>
  </r>
  <r>
    <x v="22"/>
    <x v="294"/>
    <x v="1261"/>
  </r>
  <r>
    <x v="22"/>
    <x v="294"/>
    <x v="1262"/>
  </r>
  <r>
    <x v="22"/>
    <x v="294"/>
    <x v="1263"/>
  </r>
  <r>
    <x v="22"/>
    <x v="294"/>
    <x v="1264"/>
  </r>
  <r>
    <x v="22"/>
    <x v="294"/>
    <x v="1265"/>
  </r>
  <r>
    <x v="22"/>
    <x v="294"/>
    <x v="1266"/>
  </r>
  <r>
    <x v="22"/>
    <x v="294"/>
    <x v="1267"/>
  </r>
  <r>
    <x v="22"/>
    <x v="294"/>
    <x v="1268"/>
  </r>
  <r>
    <x v="22"/>
    <x v="294"/>
    <x v="1269"/>
  </r>
  <r>
    <x v="22"/>
    <x v="294"/>
    <x v="1270"/>
  </r>
  <r>
    <x v="22"/>
    <x v="294"/>
    <x v="1271"/>
  </r>
  <r>
    <x v="22"/>
    <x v="294"/>
    <x v="1272"/>
  </r>
  <r>
    <x v="22"/>
    <x v="294"/>
    <x v="1273"/>
  </r>
  <r>
    <x v="22"/>
    <x v="294"/>
    <x v="1274"/>
  </r>
  <r>
    <x v="22"/>
    <x v="294"/>
    <x v="1275"/>
  </r>
  <r>
    <x v="22"/>
    <x v="294"/>
    <x v="1276"/>
  </r>
  <r>
    <x v="22"/>
    <x v="294"/>
    <x v="1277"/>
  </r>
  <r>
    <x v="22"/>
    <x v="294"/>
    <x v="1278"/>
  </r>
  <r>
    <x v="22"/>
    <x v="294"/>
    <x v="1279"/>
  </r>
  <r>
    <x v="22"/>
    <x v="294"/>
    <x v="1280"/>
  </r>
  <r>
    <x v="22"/>
    <x v="294"/>
    <x v="1281"/>
  </r>
  <r>
    <x v="22"/>
    <x v="294"/>
    <x v="1282"/>
  </r>
  <r>
    <x v="22"/>
    <x v="294"/>
    <x v="1283"/>
  </r>
  <r>
    <x v="22"/>
    <x v="294"/>
    <x v="1284"/>
  </r>
  <r>
    <x v="22"/>
    <x v="294"/>
    <x v="1285"/>
  </r>
  <r>
    <x v="22"/>
    <x v="294"/>
    <x v="1286"/>
  </r>
  <r>
    <x v="22"/>
    <x v="294"/>
    <x v="1287"/>
  </r>
  <r>
    <x v="22"/>
    <x v="294"/>
    <x v="1288"/>
  </r>
  <r>
    <x v="22"/>
    <x v="294"/>
    <x v="1289"/>
  </r>
  <r>
    <x v="22"/>
    <x v="294"/>
    <x v="1290"/>
  </r>
  <r>
    <x v="22"/>
    <x v="294"/>
    <x v="1291"/>
  </r>
  <r>
    <x v="22"/>
    <x v="294"/>
    <x v="1292"/>
  </r>
  <r>
    <x v="22"/>
    <x v="295"/>
    <x v="1293"/>
  </r>
  <r>
    <x v="22"/>
    <x v="295"/>
    <x v="1294"/>
  </r>
  <r>
    <x v="22"/>
    <x v="295"/>
    <x v="1295"/>
  </r>
  <r>
    <x v="22"/>
    <x v="296"/>
    <x v="1296"/>
  </r>
  <r>
    <x v="22"/>
    <x v="296"/>
    <x v="1297"/>
  </r>
  <r>
    <x v="22"/>
    <x v="297"/>
    <x v="1298"/>
  </r>
  <r>
    <x v="22"/>
    <x v="297"/>
    <x v="1299"/>
  </r>
  <r>
    <x v="22"/>
    <x v="297"/>
    <x v="1300"/>
  </r>
  <r>
    <x v="22"/>
    <x v="298"/>
    <x v="1301"/>
  </r>
  <r>
    <x v="22"/>
    <x v="298"/>
    <x v="1302"/>
  </r>
  <r>
    <x v="22"/>
    <x v="298"/>
    <x v="1303"/>
  </r>
  <r>
    <x v="22"/>
    <x v="298"/>
    <x v="1304"/>
  </r>
  <r>
    <x v="22"/>
    <x v="298"/>
    <x v="1305"/>
  </r>
  <r>
    <x v="22"/>
    <x v="298"/>
    <x v="1306"/>
  </r>
  <r>
    <x v="22"/>
    <x v="298"/>
    <x v="1307"/>
  </r>
  <r>
    <x v="22"/>
    <x v="298"/>
    <x v="1308"/>
  </r>
  <r>
    <x v="22"/>
    <x v="298"/>
    <x v="1309"/>
  </r>
  <r>
    <x v="22"/>
    <x v="298"/>
    <x v="1310"/>
  </r>
  <r>
    <x v="22"/>
    <x v="298"/>
    <x v="1311"/>
  </r>
  <r>
    <x v="22"/>
    <x v="298"/>
    <x v="1312"/>
  </r>
  <r>
    <x v="22"/>
    <x v="298"/>
    <x v="1313"/>
  </r>
  <r>
    <x v="22"/>
    <x v="299"/>
    <x v="1314"/>
  </r>
  <r>
    <x v="22"/>
    <x v="299"/>
    <x v="1315"/>
  </r>
  <r>
    <x v="22"/>
    <x v="300"/>
    <x v="1316"/>
  </r>
  <r>
    <x v="22"/>
    <x v="300"/>
    <x v="1317"/>
  </r>
  <r>
    <x v="22"/>
    <x v="300"/>
    <x v="1318"/>
  </r>
  <r>
    <x v="22"/>
    <x v="300"/>
    <x v="1319"/>
  </r>
  <r>
    <x v="22"/>
    <x v="300"/>
    <x v="1320"/>
  </r>
  <r>
    <x v="22"/>
    <x v="300"/>
    <x v="1321"/>
  </r>
  <r>
    <x v="22"/>
    <x v="300"/>
    <x v="1322"/>
  </r>
  <r>
    <x v="22"/>
    <x v="300"/>
    <x v="1323"/>
  </r>
  <r>
    <x v="22"/>
    <x v="300"/>
    <x v="1324"/>
  </r>
  <r>
    <x v="22"/>
    <x v="300"/>
    <x v="1325"/>
  </r>
  <r>
    <x v="22"/>
    <x v="300"/>
    <x v="1326"/>
  </r>
  <r>
    <x v="22"/>
    <x v="300"/>
    <x v="1327"/>
  </r>
  <r>
    <x v="22"/>
    <x v="300"/>
    <x v="1328"/>
  </r>
  <r>
    <x v="22"/>
    <x v="301"/>
    <x v="1329"/>
  </r>
  <r>
    <x v="22"/>
    <x v="301"/>
    <x v="1330"/>
  </r>
  <r>
    <x v="22"/>
    <x v="301"/>
    <x v="1331"/>
  </r>
  <r>
    <x v="22"/>
    <x v="301"/>
    <x v="1332"/>
  </r>
  <r>
    <x v="22"/>
    <x v="301"/>
    <x v="1333"/>
  </r>
  <r>
    <x v="22"/>
    <x v="301"/>
    <x v="1334"/>
  </r>
  <r>
    <x v="22"/>
    <x v="301"/>
    <x v="1335"/>
  </r>
  <r>
    <x v="22"/>
    <x v="302"/>
    <x v="1336"/>
  </r>
  <r>
    <x v="22"/>
    <x v="302"/>
    <x v="1337"/>
  </r>
  <r>
    <x v="22"/>
    <x v="303"/>
    <x v="1338"/>
  </r>
  <r>
    <x v="22"/>
    <x v="303"/>
    <x v="1339"/>
  </r>
  <r>
    <x v="22"/>
    <x v="304"/>
    <x v="1340"/>
  </r>
  <r>
    <x v="22"/>
    <x v="304"/>
    <x v="1341"/>
  </r>
  <r>
    <x v="22"/>
    <x v="305"/>
    <x v="1342"/>
  </r>
  <r>
    <x v="22"/>
    <x v="305"/>
    <x v="1343"/>
  </r>
  <r>
    <x v="22"/>
    <x v="306"/>
    <x v="1344"/>
  </r>
  <r>
    <x v="22"/>
    <x v="306"/>
    <x v="1345"/>
  </r>
  <r>
    <x v="22"/>
    <x v="306"/>
    <x v="1346"/>
  </r>
  <r>
    <x v="22"/>
    <x v="306"/>
    <x v="1347"/>
  </r>
  <r>
    <x v="22"/>
    <x v="306"/>
    <x v="1348"/>
  </r>
  <r>
    <x v="22"/>
    <x v="306"/>
    <x v="1349"/>
  </r>
  <r>
    <x v="22"/>
    <x v="306"/>
    <x v="1350"/>
  </r>
  <r>
    <x v="22"/>
    <x v="307"/>
    <x v="1351"/>
  </r>
  <r>
    <x v="22"/>
    <x v="307"/>
    <x v="1352"/>
  </r>
  <r>
    <x v="22"/>
    <x v="308"/>
    <x v="1353"/>
  </r>
  <r>
    <x v="22"/>
    <x v="308"/>
    <x v="1354"/>
  </r>
  <r>
    <x v="22"/>
    <x v="308"/>
    <x v="1355"/>
  </r>
  <r>
    <x v="22"/>
    <x v="309"/>
    <x v="1356"/>
  </r>
  <r>
    <x v="22"/>
    <x v="309"/>
    <x v="1357"/>
  </r>
  <r>
    <x v="22"/>
    <x v="310"/>
    <x v="1358"/>
  </r>
  <r>
    <x v="22"/>
    <x v="310"/>
    <x v="1359"/>
  </r>
  <r>
    <x v="22"/>
    <x v="311"/>
    <x v="1360"/>
  </r>
  <r>
    <x v="22"/>
    <x v="311"/>
    <x v="1361"/>
  </r>
  <r>
    <x v="22"/>
    <x v="312"/>
    <x v="1362"/>
  </r>
  <r>
    <x v="22"/>
    <x v="312"/>
    <x v="1363"/>
  </r>
  <r>
    <x v="22"/>
    <x v="313"/>
    <x v="1364"/>
  </r>
  <r>
    <x v="22"/>
    <x v="313"/>
    <x v="1365"/>
  </r>
  <r>
    <x v="22"/>
    <x v="313"/>
    <x v="1366"/>
  </r>
  <r>
    <x v="22"/>
    <x v="314"/>
    <x v="1367"/>
  </r>
  <r>
    <x v="22"/>
    <x v="314"/>
    <x v="1368"/>
  </r>
  <r>
    <x v="22"/>
    <x v="314"/>
    <x v="1369"/>
  </r>
  <r>
    <x v="22"/>
    <x v="315"/>
    <x v="1370"/>
  </r>
  <r>
    <x v="22"/>
    <x v="315"/>
    <x v="1371"/>
  </r>
  <r>
    <x v="22"/>
    <x v="316"/>
    <x v="1372"/>
  </r>
  <r>
    <x v="22"/>
    <x v="316"/>
    <x v="1373"/>
  </r>
  <r>
    <x v="22"/>
    <x v="317"/>
    <x v="1374"/>
  </r>
  <r>
    <x v="22"/>
    <x v="317"/>
    <x v="1375"/>
  </r>
  <r>
    <x v="22"/>
    <x v="318"/>
    <x v="1376"/>
  </r>
  <r>
    <x v="22"/>
    <x v="318"/>
    <x v="1377"/>
  </r>
  <r>
    <x v="22"/>
    <x v="318"/>
    <x v="1378"/>
  </r>
  <r>
    <x v="22"/>
    <x v="318"/>
    <x v="1379"/>
  </r>
  <r>
    <x v="22"/>
    <x v="318"/>
    <x v="1380"/>
  </r>
  <r>
    <x v="22"/>
    <x v="318"/>
    <x v="1381"/>
  </r>
  <r>
    <x v="22"/>
    <x v="318"/>
    <x v="1382"/>
  </r>
  <r>
    <x v="22"/>
    <x v="318"/>
    <x v="1383"/>
  </r>
  <r>
    <x v="22"/>
    <x v="318"/>
    <x v="1384"/>
  </r>
  <r>
    <x v="22"/>
    <x v="318"/>
    <x v="1385"/>
  </r>
  <r>
    <x v="22"/>
    <x v="318"/>
    <x v="1386"/>
  </r>
  <r>
    <x v="22"/>
    <x v="318"/>
    <x v="1387"/>
  </r>
  <r>
    <x v="22"/>
    <x v="318"/>
    <x v="1388"/>
  </r>
  <r>
    <x v="22"/>
    <x v="318"/>
    <x v="1389"/>
  </r>
  <r>
    <x v="22"/>
    <x v="318"/>
    <x v="1390"/>
  </r>
  <r>
    <x v="22"/>
    <x v="318"/>
    <x v="1391"/>
  </r>
  <r>
    <x v="22"/>
    <x v="318"/>
    <x v="1392"/>
  </r>
  <r>
    <x v="22"/>
    <x v="318"/>
    <x v="1393"/>
  </r>
  <r>
    <x v="22"/>
    <x v="318"/>
    <x v="1394"/>
  </r>
  <r>
    <x v="22"/>
    <x v="318"/>
    <x v="1395"/>
  </r>
  <r>
    <x v="22"/>
    <x v="318"/>
    <x v="1396"/>
  </r>
  <r>
    <x v="22"/>
    <x v="318"/>
    <x v="1397"/>
  </r>
  <r>
    <x v="22"/>
    <x v="318"/>
    <x v="1398"/>
  </r>
  <r>
    <x v="22"/>
    <x v="318"/>
    <x v="1399"/>
  </r>
  <r>
    <x v="22"/>
    <x v="318"/>
    <x v="1400"/>
  </r>
  <r>
    <x v="22"/>
    <x v="318"/>
    <x v="1401"/>
  </r>
  <r>
    <x v="22"/>
    <x v="318"/>
    <x v="1402"/>
  </r>
  <r>
    <x v="22"/>
    <x v="318"/>
    <x v="1403"/>
  </r>
  <r>
    <x v="22"/>
    <x v="318"/>
    <x v="1404"/>
  </r>
  <r>
    <x v="22"/>
    <x v="318"/>
    <x v="1405"/>
  </r>
  <r>
    <x v="22"/>
    <x v="318"/>
    <x v="1406"/>
  </r>
  <r>
    <x v="22"/>
    <x v="318"/>
    <x v="1407"/>
  </r>
  <r>
    <x v="22"/>
    <x v="318"/>
    <x v="1408"/>
  </r>
  <r>
    <x v="22"/>
    <x v="318"/>
    <x v="1409"/>
  </r>
  <r>
    <x v="22"/>
    <x v="318"/>
    <x v="1410"/>
  </r>
  <r>
    <x v="22"/>
    <x v="318"/>
    <x v="1411"/>
  </r>
  <r>
    <x v="22"/>
    <x v="318"/>
    <x v="1412"/>
  </r>
  <r>
    <x v="22"/>
    <x v="318"/>
    <x v="1413"/>
  </r>
  <r>
    <x v="22"/>
    <x v="318"/>
    <x v="1414"/>
  </r>
  <r>
    <x v="22"/>
    <x v="318"/>
    <x v="1415"/>
  </r>
  <r>
    <x v="22"/>
    <x v="318"/>
    <x v="1416"/>
  </r>
  <r>
    <x v="22"/>
    <x v="318"/>
    <x v="1417"/>
  </r>
  <r>
    <x v="22"/>
    <x v="318"/>
    <x v="1418"/>
  </r>
  <r>
    <x v="22"/>
    <x v="318"/>
    <x v="1419"/>
  </r>
  <r>
    <x v="22"/>
    <x v="318"/>
    <x v="1420"/>
  </r>
  <r>
    <x v="22"/>
    <x v="318"/>
    <x v="1421"/>
  </r>
  <r>
    <x v="22"/>
    <x v="318"/>
    <x v="1422"/>
  </r>
  <r>
    <x v="22"/>
    <x v="318"/>
    <x v="1423"/>
  </r>
  <r>
    <x v="22"/>
    <x v="318"/>
    <x v="1424"/>
  </r>
  <r>
    <x v="22"/>
    <x v="318"/>
    <x v="1425"/>
  </r>
  <r>
    <x v="22"/>
    <x v="318"/>
    <x v="1426"/>
  </r>
  <r>
    <x v="22"/>
    <x v="318"/>
    <x v="1427"/>
  </r>
  <r>
    <x v="22"/>
    <x v="318"/>
    <x v="1428"/>
  </r>
  <r>
    <x v="22"/>
    <x v="318"/>
    <x v="1429"/>
  </r>
  <r>
    <x v="22"/>
    <x v="318"/>
    <x v="1430"/>
  </r>
  <r>
    <x v="22"/>
    <x v="318"/>
    <x v="1431"/>
  </r>
  <r>
    <x v="22"/>
    <x v="318"/>
    <x v="1432"/>
  </r>
  <r>
    <x v="22"/>
    <x v="318"/>
    <x v="1433"/>
  </r>
  <r>
    <x v="22"/>
    <x v="318"/>
    <x v="1434"/>
  </r>
  <r>
    <x v="22"/>
    <x v="318"/>
    <x v="1435"/>
  </r>
  <r>
    <x v="22"/>
    <x v="318"/>
    <x v="1436"/>
  </r>
  <r>
    <x v="22"/>
    <x v="318"/>
    <x v="1437"/>
  </r>
  <r>
    <x v="22"/>
    <x v="318"/>
    <x v="1438"/>
  </r>
  <r>
    <x v="22"/>
    <x v="318"/>
    <x v="1439"/>
  </r>
  <r>
    <x v="22"/>
    <x v="318"/>
    <x v="1440"/>
  </r>
  <r>
    <x v="22"/>
    <x v="318"/>
    <x v="1441"/>
  </r>
  <r>
    <x v="22"/>
    <x v="318"/>
    <x v="1442"/>
  </r>
  <r>
    <x v="22"/>
    <x v="318"/>
    <x v="1443"/>
  </r>
  <r>
    <x v="22"/>
    <x v="318"/>
    <x v="1444"/>
  </r>
  <r>
    <x v="22"/>
    <x v="318"/>
    <x v="1445"/>
  </r>
  <r>
    <x v="22"/>
    <x v="318"/>
    <x v="1446"/>
  </r>
  <r>
    <x v="22"/>
    <x v="318"/>
    <x v="1447"/>
  </r>
  <r>
    <x v="22"/>
    <x v="318"/>
    <x v="1448"/>
  </r>
  <r>
    <x v="22"/>
    <x v="319"/>
    <x v="1449"/>
  </r>
  <r>
    <x v="22"/>
    <x v="319"/>
    <x v="1450"/>
  </r>
  <r>
    <x v="22"/>
    <x v="319"/>
    <x v="1451"/>
  </r>
  <r>
    <x v="22"/>
    <x v="319"/>
    <x v="1452"/>
  </r>
  <r>
    <x v="22"/>
    <x v="319"/>
    <x v="1453"/>
  </r>
  <r>
    <x v="22"/>
    <x v="319"/>
    <x v="1454"/>
  </r>
  <r>
    <x v="22"/>
    <x v="319"/>
    <x v="1455"/>
  </r>
  <r>
    <x v="22"/>
    <x v="319"/>
    <x v="1456"/>
  </r>
  <r>
    <x v="22"/>
    <x v="319"/>
    <x v="1457"/>
  </r>
  <r>
    <x v="22"/>
    <x v="319"/>
    <x v="1458"/>
  </r>
  <r>
    <x v="22"/>
    <x v="319"/>
    <x v="1459"/>
  </r>
  <r>
    <x v="22"/>
    <x v="319"/>
    <x v="1460"/>
  </r>
  <r>
    <x v="22"/>
    <x v="319"/>
    <x v="1461"/>
  </r>
  <r>
    <x v="22"/>
    <x v="320"/>
    <x v="1462"/>
  </r>
  <r>
    <x v="22"/>
    <x v="320"/>
    <x v="1463"/>
  </r>
  <r>
    <x v="22"/>
    <x v="321"/>
    <x v="1464"/>
  </r>
  <r>
    <x v="22"/>
    <x v="321"/>
    <x v="1465"/>
  </r>
  <r>
    <x v="22"/>
    <x v="322"/>
    <x v="1466"/>
  </r>
  <r>
    <x v="22"/>
    <x v="322"/>
    <x v="1467"/>
  </r>
  <r>
    <x v="22"/>
    <x v="323"/>
    <x v="1468"/>
  </r>
  <r>
    <x v="22"/>
    <x v="323"/>
    <x v="1469"/>
  </r>
  <r>
    <x v="22"/>
    <x v="324"/>
    <x v="1470"/>
  </r>
  <r>
    <x v="22"/>
    <x v="324"/>
    <x v="1471"/>
  </r>
  <r>
    <x v="22"/>
    <x v="324"/>
    <x v="1472"/>
  </r>
  <r>
    <x v="22"/>
    <x v="325"/>
    <x v="1473"/>
  </r>
  <r>
    <x v="22"/>
    <x v="325"/>
    <x v="1474"/>
  </r>
  <r>
    <x v="22"/>
    <x v="325"/>
    <x v="1475"/>
  </r>
  <r>
    <x v="22"/>
    <x v="325"/>
    <x v="1476"/>
  </r>
  <r>
    <x v="22"/>
    <x v="325"/>
    <x v="1477"/>
  </r>
  <r>
    <x v="22"/>
    <x v="325"/>
    <x v="1478"/>
  </r>
  <r>
    <x v="22"/>
    <x v="325"/>
    <x v="1479"/>
  </r>
  <r>
    <x v="22"/>
    <x v="325"/>
    <x v="1480"/>
  </r>
  <r>
    <x v="22"/>
    <x v="325"/>
    <x v="1481"/>
  </r>
  <r>
    <x v="22"/>
    <x v="325"/>
    <x v="1482"/>
  </r>
  <r>
    <x v="22"/>
    <x v="325"/>
    <x v="1483"/>
  </r>
  <r>
    <x v="22"/>
    <x v="325"/>
    <x v="1484"/>
  </r>
  <r>
    <x v="22"/>
    <x v="325"/>
    <x v="1485"/>
  </r>
  <r>
    <x v="22"/>
    <x v="326"/>
    <x v="1486"/>
  </r>
  <r>
    <x v="22"/>
    <x v="326"/>
    <x v="1487"/>
  </r>
  <r>
    <x v="22"/>
    <x v="326"/>
    <x v="1488"/>
  </r>
  <r>
    <x v="22"/>
    <x v="327"/>
    <x v="1489"/>
  </r>
  <r>
    <x v="22"/>
    <x v="327"/>
    <x v="1490"/>
  </r>
  <r>
    <x v="22"/>
    <x v="328"/>
    <x v="1491"/>
  </r>
  <r>
    <x v="22"/>
    <x v="328"/>
    <x v="1492"/>
  </r>
  <r>
    <x v="22"/>
    <x v="328"/>
    <x v="1493"/>
  </r>
  <r>
    <x v="22"/>
    <x v="329"/>
    <x v="1494"/>
  </r>
  <r>
    <x v="22"/>
    <x v="329"/>
    <x v="1495"/>
  </r>
  <r>
    <x v="22"/>
    <x v="329"/>
    <x v="1496"/>
  </r>
  <r>
    <x v="22"/>
    <x v="330"/>
    <x v="1497"/>
  </r>
  <r>
    <x v="22"/>
    <x v="330"/>
    <x v="1498"/>
  </r>
  <r>
    <x v="22"/>
    <x v="331"/>
    <x v="1499"/>
  </r>
  <r>
    <x v="22"/>
    <x v="331"/>
    <x v="1500"/>
  </r>
  <r>
    <x v="22"/>
    <x v="331"/>
    <x v="1501"/>
  </r>
  <r>
    <x v="22"/>
    <x v="332"/>
    <x v="1502"/>
  </r>
  <r>
    <x v="22"/>
    <x v="332"/>
    <x v="1503"/>
  </r>
  <r>
    <x v="22"/>
    <x v="333"/>
    <x v="1504"/>
  </r>
  <r>
    <x v="22"/>
    <x v="333"/>
    <x v="1505"/>
  </r>
  <r>
    <x v="22"/>
    <x v="333"/>
    <x v="1506"/>
  </r>
  <r>
    <x v="22"/>
    <x v="333"/>
    <x v="1507"/>
  </r>
  <r>
    <x v="22"/>
    <x v="333"/>
    <x v="1508"/>
  </r>
  <r>
    <x v="22"/>
    <x v="333"/>
    <x v="1509"/>
  </r>
  <r>
    <x v="22"/>
    <x v="333"/>
    <x v="1510"/>
  </r>
  <r>
    <x v="22"/>
    <x v="333"/>
    <x v="1511"/>
  </r>
  <r>
    <x v="22"/>
    <x v="333"/>
    <x v="1512"/>
  </r>
  <r>
    <x v="22"/>
    <x v="333"/>
    <x v="1513"/>
  </r>
  <r>
    <x v="22"/>
    <x v="333"/>
    <x v="1514"/>
  </r>
  <r>
    <x v="22"/>
    <x v="333"/>
    <x v="1515"/>
  </r>
  <r>
    <x v="22"/>
    <x v="333"/>
    <x v="1516"/>
  </r>
  <r>
    <x v="22"/>
    <x v="334"/>
    <x v="1517"/>
  </r>
  <r>
    <x v="22"/>
    <x v="334"/>
    <x v="1518"/>
  </r>
  <r>
    <x v="22"/>
    <x v="335"/>
    <x v="1519"/>
  </r>
  <r>
    <x v="22"/>
    <x v="335"/>
    <x v="1520"/>
  </r>
  <r>
    <x v="22"/>
    <x v="336"/>
    <x v="1521"/>
  </r>
  <r>
    <x v="22"/>
    <x v="336"/>
    <x v="1522"/>
  </r>
  <r>
    <x v="22"/>
    <x v="336"/>
    <x v="1523"/>
  </r>
  <r>
    <x v="22"/>
    <x v="337"/>
    <x v="1524"/>
  </r>
  <r>
    <x v="22"/>
    <x v="337"/>
    <x v="1525"/>
  </r>
  <r>
    <x v="22"/>
    <x v="337"/>
    <x v="1526"/>
  </r>
  <r>
    <x v="22"/>
    <x v="337"/>
    <x v="1527"/>
  </r>
  <r>
    <x v="22"/>
    <x v="337"/>
    <x v="1528"/>
  </r>
  <r>
    <x v="22"/>
    <x v="337"/>
    <x v="1529"/>
  </r>
  <r>
    <x v="22"/>
    <x v="337"/>
    <x v="1530"/>
  </r>
  <r>
    <x v="22"/>
    <x v="338"/>
    <x v="1531"/>
  </r>
  <r>
    <x v="22"/>
    <x v="338"/>
    <x v="1532"/>
  </r>
  <r>
    <x v="23"/>
    <x v="339"/>
    <x v="1533"/>
  </r>
  <r>
    <x v="23"/>
    <x v="339"/>
    <x v="1534"/>
  </r>
  <r>
    <x v="23"/>
    <x v="339"/>
    <x v="1535"/>
  </r>
  <r>
    <x v="23"/>
    <x v="339"/>
    <x v="1536"/>
  </r>
  <r>
    <x v="23"/>
    <x v="339"/>
    <x v="1537"/>
  </r>
  <r>
    <x v="23"/>
    <x v="339"/>
    <x v="1538"/>
  </r>
  <r>
    <x v="23"/>
    <x v="340"/>
    <x v="1539"/>
  </r>
  <r>
    <x v="23"/>
    <x v="340"/>
    <x v="1540"/>
  </r>
  <r>
    <x v="23"/>
    <x v="340"/>
    <x v="1541"/>
  </r>
  <r>
    <x v="23"/>
    <x v="340"/>
    <x v="1542"/>
  </r>
  <r>
    <x v="23"/>
    <x v="341"/>
    <x v="1543"/>
  </r>
  <r>
    <x v="23"/>
    <x v="341"/>
    <x v="1544"/>
  </r>
  <r>
    <x v="23"/>
    <x v="341"/>
    <x v="1545"/>
  </r>
  <r>
    <x v="23"/>
    <x v="342"/>
    <x v="1546"/>
  </r>
  <r>
    <x v="23"/>
    <x v="343"/>
    <x v="1547"/>
  </r>
  <r>
    <x v="23"/>
    <x v="343"/>
    <x v="1548"/>
  </r>
  <r>
    <x v="23"/>
    <x v="344"/>
    <x v="1549"/>
  </r>
  <r>
    <x v="23"/>
    <x v="344"/>
    <x v="1550"/>
  </r>
  <r>
    <x v="23"/>
    <x v="344"/>
    <x v="1551"/>
  </r>
  <r>
    <x v="23"/>
    <x v="345"/>
    <x v="1552"/>
  </r>
  <r>
    <x v="23"/>
    <x v="345"/>
    <x v="1553"/>
  </r>
  <r>
    <x v="23"/>
    <x v="345"/>
    <x v="1554"/>
  </r>
  <r>
    <x v="23"/>
    <x v="345"/>
    <x v="1555"/>
  </r>
  <r>
    <x v="23"/>
    <x v="345"/>
    <x v="1555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88" firstHeaderRow="1" firstDataRow="1" firstDataCol="3"/>
  <pivotFields count="3">
    <pivotField axis="axisRow" compact="0" outline="0" showAll="0" sortType="ascending" defaultSubtotal="0">
      <items count="31">
        <item m="1" x="25"/>
        <item x="5"/>
        <item x="0"/>
        <item x="6"/>
        <item x="7"/>
        <item x="8"/>
        <item x="9"/>
        <item x="1"/>
        <item x="10"/>
        <item m="1" x="29"/>
        <item x="2"/>
        <item x="11"/>
        <item m="1" x="27"/>
        <item x="12"/>
        <item x="13"/>
        <item x="14"/>
        <item x="3"/>
        <item m="1" x="26"/>
        <item x="15"/>
        <item x="16"/>
        <item x="17"/>
        <item x="18"/>
        <item x="19"/>
        <item x="20"/>
        <item m="1" x="28"/>
        <item m="1" x="30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470">
        <item x="243"/>
        <item m="1" x="440"/>
        <item x="279"/>
        <item x="265"/>
        <item x="80"/>
        <item m="1" x="368"/>
        <item x="280"/>
        <item x="281"/>
        <item x="282"/>
        <item x="283"/>
        <item x="284"/>
        <item x="285"/>
        <item x="286"/>
        <item x="287"/>
        <item x="55"/>
        <item x="9"/>
        <item x="81"/>
        <item x="82"/>
        <item m="1" x="398"/>
        <item m="1" x="410"/>
        <item x="288"/>
        <item x="10"/>
        <item x="339"/>
        <item x="202"/>
        <item x="203"/>
        <item x="83"/>
        <item x="186"/>
        <item x="204"/>
        <item x="84"/>
        <item x="85"/>
        <item x="40"/>
        <item x="152"/>
        <item x="159"/>
        <item x="1"/>
        <item x="11"/>
        <item x="244"/>
        <item m="1" x="462"/>
        <item x="56"/>
        <item m="1" x="367"/>
        <item x="12"/>
        <item x="205"/>
        <item x="57"/>
        <item m="1" x="369"/>
        <item m="1" x="370"/>
        <item x="86"/>
        <item x="245"/>
        <item x="246"/>
        <item x="247"/>
        <item m="1" x="371"/>
        <item x="58"/>
        <item x="59"/>
        <item x="60"/>
        <item m="1" x="399"/>
        <item x="87"/>
        <item m="1" x="467"/>
        <item x="41"/>
        <item m="1" x="404"/>
        <item x="13"/>
        <item x="74"/>
        <item x="75"/>
        <item x="160"/>
        <item x="161"/>
        <item x="162"/>
        <item x="163"/>
        <item x="164"/>
        <item x="153"/>
        <item m="1" x="372"/>
        <item x="248"/>
        <item x="88"/>
        <item m="1" x="428"/>
        <item x="154"/>
        <item x="289"/>
        <item m="1" x="348"/>
        <item x="89"/>
        <item m="1" x="457"/>
        <item x="206"/>
        <item x="61"/>
        <item x="62"/>
        <item x="207"/>
        <item x="208"/>
        <item m="1" x="358"/>
        <item x="209"/>
        <item x="266"/>
        <item x="290"/>
        <item m="1" x="424"/>
        <item x="291"/>
        <item x="292"/>
        <item x="53"/>
        <item m="1" x="468"/>
        <item x="293"/>
        <item m="1" x="400"/>
        <item x="249"/>
        <item m="1" x="437"/>
        <item x="250"/>
        <item m="1" x="445"/>
        <item x="210"/>
        <item m="1" x="397"/>
        <item m="1" x="441"/>
        <item x="211"/>
        <item x="90"/>
        <item x="91"/>
        <item x="92"/>
        <item x="294"/>
        <item m="1" x="359"/>
        <item x="295"/>
        <item x="93"/>
        <item x="14"/>
        <item x="94"/>
        <item x="165"/>
        <item m="1" x="373"/>
        <item x="340"/>
        <item m="1" x="438"/>
        <item x="296"/>
        <item x="63"/>
        <item x="15"/>
        <item x="95"/>
        <item m="1" x="405"/>
        <item x="297"/>
        <item x="298"/>
        <item x="166"/>
        <item x="96"/>
        <item x="187"/>
        <item x="299"/>
        <item x="212"/>
        <item m="1" x="420"/>
        <item x="97"/>
        <item x="98"/>
        <item m="1" x="374"/>
        <item m="1" x="435"/>
        <item x="64"/>
        <item x="65"/>
        <item x="251"/>
        <item x="300"/>
        <item x="301"/>
        <item x="302"/>
        <item x="42"/>
        <item x="99"/>
        <item x="267"/>
        <item x="43"/>
        <item x="100"/>
        <item x="44"/>
        <item m="1" x="356"/>
        <item x="45"/>
        <item x="341"/>
        <item x="101"/>
        <item x="76"/>
        <item x="46"/>
        <item m="1" x="469"/>
        <item m="1" x="464"/>
        <item x="342"/>
        <item x="16"/>
        <item x="268"/>
        <item x="102"/>
        <item x="303"/>
        <item x="17"/>
        <item m="1" x="417"/>
        <item m="1" x="450"/>
        <item m="1" x="465"/>
        <item x="18"/>
        <item x="103"/>
        <item x="47"/>
        <item x="104"/>
        <item m="1" x="375"/>
        <item m="1" x="433"/>
        <item x="105"/>
        <item x="269"/>
        <item m="1" x="360"/>
        <item x="184"/>
        <item m="1" x="366"/>
        <item x="106"/>
        <item x="66"/>
        <item x="107"/>
        <item m="1" x="432"/>
        <item x="252"/>
        <item x="253"/>
        <item x="108"/>
        <item x="51"/>
        <item x="109"/>
        <item m="1" x="376"/>
        <item x="110"/>
        <item m="1" x="403"/>
        <item m="1" x="466"/>
        <item x="67"/>
        <item m="1" x="364"/>
        <item m="1" x="408"/>
        <item m="1" x="423"/>
        <item x="111"/>
        <item x="68"/>
        <item x="188"/>
        <item x="112"/>
        <item m="1" x="377"/>
        <item x="19"/>
        <item x="20"/>
        <item x="21"/>
        <item m="1" x="401"/>
        <item x="77"/>
        <item x="213"/>
        <item x="304"/>
        <item x="22"/>
        <item x="305"/>
        <item x="214"/>
        <item x="215"/>
        <item x="306"/>
        <item m="1" x="436"/>
        <item m="1" x="378"/>
        <item x="69"/>
        <item m="1" x="461"/>
        <item x="307"/>
        <item m="1" x="407"/>
        <item x="185"/>
        <item x="113"/>
        <item x="114"/>
        <item m="1" x="379"/>
        <item m="1" x="380"/>
        <item x="167"/>
        <item m="1" x="381"/>
        <item x="308"/>
        <item x="309"/>
        <item m="1" x="429"/>
        <item m="1" x="449"/>
        <item x="310"/>
        <item m="1" x="406"/>
        <item x="189"/>
        <item x="216"/>
        <item x="23"/>
        <item x="2"/>
        <item m="1" x="439"/>
        <item x="270"/>
        <item x="115"/>
        <item x="254"/>
        <item x="190"/>
        <item m="1" x="355"/>
        <item m="1" x="382"/>
        <item x="168"/>
        <item x="169"/>
        <item x="3"/>
        <item m="1" x="409"/>
        <item m="1" x="411"/>
        <item m="1" x="452"/>
        <item x="274"/>
        <item m="1" x="383"/>
        <item x="170"/>
        <item x="311"/>
        <item m="1" x="384"/>
        <item m="1" x="385"/>
        <item x="155"/>
        <item x="312"/>
        <item x="313"/>
        <item x="171"/>
        <item m="1" x="422"/>
        <item m="1" x="446"/>
        <item x="172"/>
        <item x="314"/>
        <item m="1" x="386"/>
        <item x="173"/>
        <item x="275"/>
        <item x="255"/>
        <item x="276"/>
        <item x="70"/>
        <item x="256"/>
        <item x="116"/>
        <item m="1" x="396"/>
        <item x="174"/>
        <item x="117"/>
        <item x="315"/>
        <item x="118"/>
        <item m="1" x="427"/>
        <item m="1" x="431"/>
        <item x="119"/>
        <item x="120"/>
        <item x="71"/>
        <item x="78"/>
        <item m="1" x="463"/>
        <item x="121"/>
        <item m="1" x="349"/>
        <item x="122"/>
        <item x="4"/>
        <item m="1" x="350"/>
        <item x="191"/>
        <item x="192"/>
        <item x="193"/>
        <item m="1" x="351"/>
        <item x="194"/>
        <item x="195"/>
        <item m="1" x="352"/>
        <item x="257"/>
        <item x="271"/>
        <item x="24"/>
        <item x="316"/>
        <item x="217"/>
        <item x="218"/>
        <item x="219"/>
        <item x="220"/>
        <item x="221"/>
        <item x="222"/>
        <item x="223"/>
        <item x="224"/>
        <item x="225"/>
        <item m="1" x="354"/>
        <item x="226"/>
        <item x="227"/>
        <item m="1" x="418"/>
        <item x="123"/>
        <item m="1" x="402"/>
        <item x="175"/>
        <item x="258"/>
        <item x="277"/>
        <item m="1" x="413"/>
        <item x="317"/>
        <item x="124"/>
        <item x="259"/>
        <item x="343"/>
        <item x="125"/>
        <item x="126"/>
        <item m="1" x="425"/>
        <item x="25"/>
        <item x="228"/>
        <item x="127"/>
        <item x="344"/>
        <item x="128"/>
        <item x="176"/>
        <item x="177"/>
        <item x="178"/>
        <item m="1" x="460"/>
        <item x="318"/>
        <item x="129"/>
        <item x="72"/>
        <item x="26"/>
        <item x="73"/>
        <item m="1" x="346"/>
        <item x="48"/>
        <item x="319"/>
        <item m="1" x="454"/>
        <item x="229"/>
        <item x="5"/>
        <item x="130"/>
        <item m="1" x="455"/>
        <item x="345"/>
        <item m="1" x="443"/>
        <item x="27"/>
        <item m="1" x="458"/>
        <item x="156"/>
        <item x="157"/>
        <item x="158"/>
        <item x="230"/>
        <item x="179"/>
        <item x="180"/>
        <item x="231"/>
        <item x="28"/>
        <item x="196"/>
        <item x="232"/>
        <item x="272"/>
        <item x="131"/>
        <item x="132"/>
        <item x="181"/>
        <item x="260"/>
        <item x="233"/>
        <item x="29"/>
        <item x="30"/>
        <item m="1" x="361"/>
        <item m="1" x="362"/>
        <item m="1" x="363"/>
        <item m="1" x="444"/>
        <item x="182"/>
        <item m="1" x="387"/>
        <item x="320"/>
        <item m="1" x="388"/>
        <item m="1" x="389"/>
        <item x="321"/>
        <item x="52"/>
        <item x="183"/>
        <item x="6"/>
        <item x="54"/>
        <item x="322"/>
        <item x="133"/>
        <item x="134"/>
        <item x="31"/>
        <item x="79"/>
        <item m="1" x="357"/>
        <item m="1" x="456"/>
        <item x="135"/>
        <item x="234"/>
        <item m="1" x="421"/>
        <item x="32"/>
        <item x="323"/>
        <item x="273"/>
        <item x="33"/>
        <item x="136"/>
        <item x="197"/>
        <item x="235"/>
        <item x="137"/>
        <item x="324"/>
        <item x="325"/>
        <item x="7"/>
        <item m="1" x="451"/>
        <item m="1" x="434"/>
        <item x="138"/>
        <item x="139"/>
        <item m="1" x="442"/>
        <item m="1" x="459"/>
        <item x="34"/>
        <item x="35"/>
        <item x="236"/>
        <item x="326"/>
        <item x="49"/>
        <item x="36"/>
        <item x="237"/>
        <item x="50"/>
        <item x="140"/>
        <item x="37"/>
        <item m="1" x="365"/>
        <item x="141"/>
        <item m="1" x="390"/>
        <item x="238"/>
        <item x="142"/>
        <item x="198"/>
        <item m="1" x="353"/>
        <item x="199"/>
        <item m="1" x="391"/>
        <item x="239"/>
        <item x="143"/>
        <item x="144"/>
        <item m="1" x="448"/>
        <item x="327"/>
        <item m="1" x="347"/>
        <item m="1" x="419"/>
        <item x="145"/>
        <item m="1" x="392"/>
        <item x="200"/>
        <item x="328"/>
        <item m="1" x="415"/>
        <item m="1" x="412"/>
        <item x="38"/>
        <item x="39"/>
        <item x="329"/>
        <item m="1" x="430"/>
        <item x="240"/>
        <item x="330"/>
        <item x="146"/>
        <item x="147"/>
        <item m="1" x="426"/>
        <item x="148"/>
        <item m="1" x="393"/>
        <item x="331"/>
        <item x="149"/>
        <item m="1" x="394"/>
        <item m="1" x="414"/>
        <item x="150"/>
        <item m="1" x="395"/>
        <item x="261"/>
        <item m="1" x="416"/>
        <item x="332"/>
        <item x="333"/>
        <item x="262"/>
        <item x="278"/>
        <item x="334"/>
        <item x="8"/>
        <item x="263"/>
        <item m="1" x="447"/>
        <item m="1" x="453"/>
        <item x="335"/>
        <item x="336"/>
        <item x="337"/>
        <item x="338"/>
        <item x="201"/>
        <item x="241"/>
        <item x="242"/>
        <item x="264"/>
        <item x="15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2104">
        <item m="1" x="1690"/>
        <item x="1100"/>
        <item x="1101"/>
        <item m="1" x="1691"/>
        <item x="1164"/>
        <item x="1166"/>
        <item x="1165"/>
        <item x="1167"/>
        <item x="1168"/>
        <item x="1180"/>
        <item x="1181"/>
        <item x="224"/>
        <item x="79"/>
        <item x="80"/>
        <item x="81"/>
        <item m="1" x="1857"/>
        <item x="304"/>
        <item x="82"/>
        <item x="1182"/>
        <item x="308"/>
        <item x="1185"/>
        <item x="523"/>
        <item x="83"/>
        <item m="1" x="1694"/>
        <item m="1" x="1680"/>
        <item m="1" x="1770"/>
        <item m="1" x="1698"/>
        <item x="108"/>
        <item x="284"/>
        <item x="282"/>
        <item m="1" x="1849"/>
        <item x="591"/>
        <item m="1" x="1700"/>
        <item x="526"/>
        <item x="528"/>
        <item m="1" x="1949"/>
        <item x="315"/>
        <item m="1" x="2071"/>
        <item x="1188"/>
        <item m="1" x="1564"/>
        <item m="1" x="1637"/>
        <item x="1201"/>
        <item x="1102"/>
        <item m="1" x="1832"/>
        <item x="1207"/>
        <item m="1" x="1771"/>
        <item x="1220"/>
        <item x="322"/>
        <item m="1" x="1955"/>
        <item m="1" x="1651"/>
        <item x="320"/>
        <item m="1" x="1927"/>
        <item m="1" x="1797"/>
        <item m="1" x="1904"/>
        <item x="808"/>
        <item x="604"/>
        <item x="337"/>
        <item m="1" x="1705"/>
        <item m="1" x="2085"/>
        <item m="1" x="1816"/>
        <item x="1186"/>
        <item x="1187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533"/>
        <item x="1534"/>
        <item x="1536"/>
        <item x="1537"/>
        <item m="1" x="1693"/>
        <item x="309"/>
        <item x="524"/>
        <item m="1" x="1681"/>
        <item m="1" x="1682"/>
        <item m="1" x="1683"/>
        <item m="1" x="1684"/>
        <item m="1" x="1685"/>
        <item m="1" x="1686"/>
        <item m="1" x="1695"/>
        <item m="1" x="1696"/>
        <item m="1" x="1817"/>
        <item m="1" x="2018"/>
        <item m="1" x="1883"/>
        <item x="230"/>
        <item x="232"/>
        <item m="1" x="1982"/>
        <item m="1" x="2083"/>
        <item m="1" x="2002"/>
        <item m="1" x="2029"/>
        <item m="1" x="1902"/>
        <item m="1" x="1948"/>
        <item m="1" x="2013"/>
        <item m="1" x="2101"/>
        <item m="1" x="1819"/>
        <item m="1" x="2069"/>
        <item m="1" x="1965"/>
        <item m="1" x="1870"/>
        <item m="1" x="2044"/>
        <item m="1" x="2096"/>
        <item m="1" x="1973"/>
        <item m="1" x="2022"/>
        <item m="1" x="1807"/>
        <item m="1" x="2003"/>
        <item m="1" x="1884"/>
        <item m="1" x="2074"/>
        <item m="1" x="1806"/>
        <item m="1" x="2058"/>
        <item m="1" x="1894"/>
        <item x="109"/>
        <item x="110"/>
        <item x="111"/>
        <item x="283"/>
        <item x="285"/>
        <item x="592"/>
        <item x="593"/>
        <item x="594"/>
        <item x="527"/>
        <item m="1" x="1701"/>
        <item x="316"/>
        <item m="1" x="2055"/>
        <item x="529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m="1" x="1565"/>
        <item m="1" x="1906"/>
        <item x="238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x="1103"/>
        <item x="114"/>
        <item x="1202"/>
        <item m="1" x="1862"/>
        <item m="1" x="2095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m="1" x="1772"/>
        <item m="1" x="1773"/>
        <item m="1" x="1774"/>
        <item m="1" x="1775"/>
        <item m="1" x="1776"/>
        <item m="1" x="1777"/>
        <item m="1" x="1778"/>
        <item m="1" x="1779"/>
        <item m="1" x="1780"/>
        <item m="1" x="1781"/>
        <item m="1" x="1782"/>
        <item m="1" x="1783"/>
        <item x="225"/>
        <item m="1" x="1697"/>
        <item x="231"/>
        <item x="233"/>
        <item x="239"/>
        <item m="1" x="1887"/>
        <item x="244"/>
        <item x="1336"/>
        <item m="1" x="1866"/>
        <item m="1" x="2072"/>
        <item m="1" x="1905"/>
        <item m="1" x="2014"/>
        <item m="1" x="1959"/>
        <item m="1" x="2042"/>
        <item m="1" x="1829"/>
        <item x="321"/>
        <item x="323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m="1" x="1956"/>
        <item m="1" x="1855"/>
        <item m="1" x="1841"/>
        <item x="115"/>
        <item x="116"/>
        <item m="1" x="1798"/>
        <item m="1" x="1633"/>
        <item x="612"/>
        <item x="613"/>
        <item x="809"/>
        <item m="1" x="2034"/>
        <item x="338"/>
        <item m="1" x="1706"/>
        <item x="1538"/>
        <item x="1542"/>
        <item x="245"/>
        <item x="1337"/>
        <item x="341"/>
        <item m="1" x="1917"/>
        <item x="1104"/>
        <item x="1338"/>
        <item m="1" x="1941"/>
        <item x="1543"/>
        <item m="1" x="1895"/>
        <item x="343"/>
        <item x="344"/>
        <item x="348"/>
        <item m="1" x="1687"/>
        <item m="1" x="1688"/>
        <item m="1" x="2100"/>
        <item m="1" x="1825"/>
        <item m="1" x="1689"/>
        <item x="1544"/>
        <item x="1545"/>
        <item m="1" x="1993"/>
        <item m="1" x="1875"/>
        <item x="1106"/>
        <item x="1107"/>
        <item x="1339"/>
        <item x="122"/>
        <item x="1105"/>
        <item x="1108"/>
        <item x="123"/>
        <item x="124"/>
        <item m="1" x="1662"/>
        <item m="1" x="1864"/>
        <item m="1" x="1863"/>
        <item m="1" x="2087"/>
        <item m="1" x="1988"/>
        <item m="1" x="2103"/>
        <item m="1" x="1868"/>
        <item x="1109"/>
        <item m="1" x="1663"/>
        <item x="363"/>
        <item x="364"/>
        <item x="367"/>
        <item x="371"/>
        <item x="216"/>
        <item x="365"/>
        <item m="1" x="1791"/>
        <item x="366"/>
        <item x="217"/>
        <item x="369"/>
        <item x="372"/>
        <item x="373"/>
        <item x="370"/>
        <item m="1" x="1792"/>
        <item m="1" x="1808"/>
        <item m="1" x="1810"/>
        <item m="1" x="2061"/>
        <item m="1" x="1784"/>
        <item x="1342"/>
        <item x="288"/>
        <item x="684"/>
        <item x="377"/>
        <item x="379"/>
        <item x="127"/>
        <item x="129"/>
        <item x="131"/>
        <item x="1340"/>
        <item x="1344"/>
        <item m="1" x="1836"/>
        <item x="133"/>
        <item x="1351"/>
        <item x="381"/>
        <item x="685"/>
        <item m="1" x="2063"/>
        <item m="1" x="1824"/>
        <item m="1" x="1811"/>
        <item x="128"/>
        <item x="130"/>
        <item x="132"/>
        <item m="1" x="1785"/>
        <item x="289"/>
        <item x="1341"/>
        <item x="134"/>
        <item x="1343"/>
        <item x="1345"/>
        <item x="1346"/>
        <item x="1347"/>
        <item x="1348"/>
        <item x="1349"/>
        <item x="1350"/>
        <item m="1" x="1971"/>
        <item m="1" x="2062"/>
        <item x="1352"/>
        <item m="1" x="1947"/>
        <item x="616"/>
        <item m="1" x="1940"/>
        <item m="1" x="1924"/>
        <item m="1" x="1826"/>
        <item m="1" x="1899"/>
        <item x="617"/>
        <item x="1144"/>
        <item m="1" x="2091"/>
        <item m="1" x="2046"/>
        <item x="816"/>
        <item x="135"/>
        <item m="1" x="1951"/>
        <item x="1110"/>
        <item m="1" x="1856"/>
        <item m="1" x="2102"/>
        <item m="1" x="1983"/>
        <item m="1" x="1903"/>
        <item x="1122"/>
        <item x="1121"/>
        <item x="1124"/>
        <item x="1123"/>
        <item x="1126"/>
        <item x="1128"/>
        <item x="1130"/>
        <item x="1132"/>
        <item x="1134"/>
        <item x="1136"/>
        <item x="1138"/>
        <item x="817"/>
        <item m="1" x="1734"/>
        <item x="1364"/>
        <item x="1365"/>
        <item m="1" x="1891"/>
        <item m="1" x="2097"/>
        <item m="1" x="1848"/>
        <item m="1" x="1950"/>
        <item m="1" x="1809"/>
        <item m="1" x="2090"/>
        <item m="1" x="1823"/>
        <item m="1" x="1853"/>
        <item m="1" x="1881"/>
        <item m="1" x="2056"/>
        <item m="1" x="2059"/>
        <item m="1" x="1840"/>
        <item m="1" x="1843"/>
        <item x="136"/>
        <item m="1" x="1861"/>
        <item m="1" x="1889"/>
        <item m="1" x="1888"/>
        <item m="1" x="2031"/>
        <item m="1" x="1735"/>
        <item x="1111"/>
        <item m="1" x="2009"/>
        <item m="1" x="2038"/>
        <item x="1366"/>
        <item x="1145"/>
        <item m="1" x="1760"/>
        <item x="630"/>
        <item x="1370"/>
        <item x="395"/>
        <item x="1371"/>
        <item m="1" x="1761"/>
        <item x="396"/>
        <item x="631"/>
        <item m="1" x="1569"/>
        <item x="696"/>
        <item x="697"/>
        <item x="703"/>
        <item m="1" x="1574"/>
        <item x="704"/>
        <item m="1" x="1570"/>
        <item m="1" x="1575"/>
        <item x="698"/>
        <item x="1112"/>
        <item x="1372"/>
        <item x="633"/>
        <item x="1113"/>
        <item x="1373"/>
        <item x="1149"/>
        <item x="634"/>
        <item x="1150"/>
        <item x="1374"/>
        <item x="1375"/>
        <item x="1547"/>
        <item x="1548"/>
        <item x="149"/>
        <item m="1" x="1916"/>
        <item x="635"/>
        <item x="637"/>
        <item x="639"/>
        <item m="1" x="1914"/>
        <item x="1376"/>
        <item x="416"/>
        <item m="1" x="1805"/>
        <item x="968"/>
        <item x="969"/>
        <item x="418"/>
        <item x="417"/>
        <item x="636"/>
        <item x="638"/>
        <item x="640"/>
        <item m="1" x="2021"/>
        <item m="1" x="2089"/>
        <item m="1" x="1933"/>
        <item m="1" x="1952"/>
        <item m="1" x="1934"/>
        <item m="1" x="1953"/>
        <item m="1" x="1908"/>
        <item m="1" x="1812"/>
        <item m="1" x="1935"/>
        <item m="1" x="1954"/>
        <item m="1" x="1923"/>
        <item m="1" x="2057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419"/>
        <item x="150"/>
        <item m="1" x="1890"/>
        <item m="1" x="2088"/>
        <item m="1" x="2078"/>
        <item m="1" x="1739"/>
        <item x="421"/>
        <item m="1" x="2045"/>
        <item x="1552"/>
        <item x="1553"/>
        <item x="1554"/>
        <item x="1555"/>
        <item m="1" x="2081"/>
        <item x="151"/>
        <item m="1" x="2040"/>
        <item x="533"/>
        <item x="535"/>
        <item x="537"/>
        <item m="1" x="1741"/>
        <item x="641"/>
        <item x="642"/>
        <item m="1" x="1858"/>
        <item m="1" x="2079"/>
        <item m="1" x="1995"/>
        <item m="1" x="1827"/>
        <item m="1" x="1943"/>
        <item m="1" x="2086"/>
        <item m="1" x="2099"/>
        <item m="1" x="1873"/>
        <item x="651"/>
        <item x="652"/>
        <item m="1" x="1847"/>
        <item m="1" x="1871"/>
        <item m="1" x="1845"/>
        <item m="1" x="2020"/>
        <item m="1" x="1885"/>
        <item m="1" x="2007"/>
        <item m="1" x="1893"/>
        <item m="1" x="1879"/>
        <item x="654"/>
        <item x="655"/>
        <item x="656"/>
        <item x="657"/>
        <item x="658"/>
        <item x="659"/>
        <item x="644"/>
        <item x="645"/>
        <item x="646"/>
        <item x="647"/>
        <item x="648"/>
        <item x="649"/>
        <item m="1" x="1837"/>
        <item m="1" x="1872"/>
        <item m="1" x="2082"/>
        <item m="1" x="2093"/>
        <item m="1" x="2033"/>
        <item m="1" x="1877"/>
        <item m="1" x="1882"/>
        <item m="1" x="1932"/>
        <item m="1" x="1981"/>
        <item m="1" x="1919"/>
        <item m="1" x="1957"/>
        <item m="1" x="1909"/>
        <item m="1" x="2039"/>
        <item m="1" x="1898"/>
        <item m="1" x="2054"/>
        <item x="152"/>
        <item x="534"/>
        <item x="536"/>
        <item x="538"/>
        <item x="153"/>
        <item x="1011"/>
        <item x="661"/>
        <item x="1462"/>
        <item x="154"/>
        <item x="1012"/>
        <item x="1114"/>
        <item x="422"/>
        <item x="662"/>
        <item x="423"/>
        <item x="650"/>
        <item x="660"/>
        <item m="1" x="2073"/>
        <item x="155"/>
        <item m="1" x="1668"/>
        <item m="1" x="1666"/>
        <item m="1" x="1664"/>
        <item x="1115"/>
        <item x="157"/>
        <item x="156"/>
        <item x="158"/>
        <item m="1" x="1665"/>
        <item m="1" x="1667"/>
        <item m="1" x="1669"/>
        <item m="1" x="1742"/>
        <item x="1463"/>
        <item m="1" x="1913"/>
        <item x="159"/>
        <item x="1116"/>
        <item x="160"/>
        <item x="292"/>
        <item m="1" x="1635"/>
        <item m="1" x="1886"/>
        <item x="433"/>
        <item x="293"/>
        <item m="1" x="1636"/>
        <item m="1" x="2012"/>
        <item m="1" x="1987"/>
        <item m="1" x="2028"/>
        <item m="1" x="2006"/>
        <item m="1" x="1814"/>
        <item m="1" x="1972"/>
        <item m="1" x="2030"/>
        <item m="1" x="1994"/>
        <item x="434"/>
        <item m="1" x="1869"/>
        <item x="1117"/>
        <item x="437"/>
        <item x="438"/>
        <item x="439"/>
        <item x="75"/>
        <item m="1" x="2043"/>
        <item m="1" x="2050"/>
        <item m="1" x="1968"/>
        <item m="1" x="1846"/>
        <item m="1" x="1915"/>
        <item m="1" x="1918"/>
        <item m="1" x="1928"/>
        <item x="1489"/>
        <item x="1486"/>
        <item x="171"/>
        <item m="1" x="1912"/>
        <item m="1" x="1970"/>
        <item x="172"/>
        <item x="76"/>
        <item m="1" x="1931"/>
        <item x="1490"/>
        <item m="1" x="1907"/>
        <item m="1" x="1838"/>
        <item x="1494"/>
        <item x="1499"/>
        <item m="1" x="1822"/>
        <item m="1" x="2041"/>
        <item m="1" x="1854"/>
        <item m="1" x="1859"/>
        <item m="1" x="2000"/>
        <item m="1" x="1944"/>
        <item m="1" x="1978"/>
        <item x="1495"/>
        <item x="1496"/>
        <item m="1" x="1892"/>
        <item m="1" x="1901"/>
        <item x="1500"/>
        <item x="1501"/>
        <item m="1" x="1756"/>
        <item m="1" x="1830"/>
        <item m="1" x="2032"/>
        <item m="1" x="2047"/>
        <item m="1" x="1757"/>
        <item m="1" x="2084"/>
        <item x="77"/>
        <item x="1517"/>
        <item x="1518"/>
        <item x="1531"/>
        <item m="1" x="2017"/>
        <item x="78"/>
        <item m="1" x="1851"/>
        <item x="1532"/>
        <item x="520"/>
        <item x="1098"/>
        <item x="1099"/>
        <item x="521"/>
        <item x="522"/>
        <item x="0"/>
        <item m="1" x="1996"/>
        <item m="1" x="1850"/>
        <item m="1" x="1925"/>
        <item x="1125"/>
        <item n="Frac of Pol Impl This Yr - 2 - NDC.xlsx" m="1" x="1975"/>
        <item m="1" x="1938"/>
        <item x="1047"/>
        <item x="1048"/>
        <item m="1" x="1945"/>
        <item m="1" x="1835"/>
        <item m="1" x="1719"/>
        <item m="1" x="1720"/>
        <item m="1" x="1736"/>
        <item m="1" x="1737"/>
        <item x="672"/>
        <item x="673"/>
        <item x="674"/>
        <item x="675"/>
        <item x="992"/>
        <item x="995"/>
        <item x="996"/>
        <item x="997"/>
        <item x="998"/>
        <item x="999"/>
        <item x="1000"/>
        <item m="1" x="1842"/>
        <item x="1001"/>
        <item x="1002"/>
        <item m="1" x="1860"/>
        <item m="1" x="2035"/>
        <item x="1008"/>
        <item x="1009"/>
        <item x="1010"/>
        <item x="1487"/>
        <item x="1488"/>
        <item x="1539"/>
        <item x="1541"/>
        <item m="1" x="1793"/>
        <item m="1" x="1831"/>
        <item x="199"/>
        <item x="200"/>
        <item m="1" x="1557"/>
        <item x="253"/>
        <item x="254"/>
        <item m="1" x="1921"/>
        <item m="1" x="1930"/>
        <item m="1" x="2004"/>
        <item m="1" x="1942"/>
        <item m="1" x="1804"/>
        <item x="1173"/>
        <item x="1174"/>
        <item x="1175"/>
        <item m="1" x="1852"/>
        <item m="1" x="1874"/>
        <item m="1" x="1958"/>
        <item m="1" x="1839"/>
        <item m="1" x="2092"/>
        <item m="1" x="1828"/>
        <item m="1" x="2036"/>
        <item m="1" x="2019"/>
        <item m="1" x="1936"/>
        <item m="1" x="1896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161"/>
        <item x="162"/>
        <item x="165"/>
        <item x="166"/>
        <item x="167"/>
        <item x="168"/>
        <item x="175"/>
        <item x="176"/>
        <item x="177"/>
        <item x="178"/>
        <item x="179"/>
        <item x="180"/>
        <item x="198"/>
        <item x="218"/>
        <item x="219"/>
        <item x="228"/>
        <item x="229"/>
        <item x="222"/>
        <item x="223"/>
        <item m="1" x="1692"/>
        <item x="378"/>
        <item x="380"/>
        <item x="470"/>
        <item x="471"/>
        <item x="472"/>
        <item x="473"/>
        <item m="1" x="1867"/>
        <item x="394"/>
        <item x="531"/>
        <item x="532"/>
        <item x="670"/>
        <item x="671"/>
        <item m="1" x="2048"/>
        <item m="1" x="2025"/>
        <item m="1" x="2052"/>
        <item m="1" x="1920"/>
        <item m="1" x="2010"/>
        <item x="1042"/>
        <item x="1043"/>
        <item x="1045"/>
        <item x="1046"/>
        <item x="1049"/>
        <item x="1050"/>
        <item m="1" x="1985"/>
        <item m="1" x="1997"/>
        <item x="1056"/>
        <item x="1057"/>
        <item m="1" x="1818"/>
        <item m="1" x="1937"/>
        <item x="1058"/>
        <item x="1059"/>
        <item m="1" x="2076"/>
        <item m="1" x="1834"/>
        <item m="1" x="1833"/>
        <item m="1" x="1929"/>
        <item m="1" x="1976"/>
        <item m="1" x="2098"/>
        <item x="1088"/>
        <item x="1089"/>
        <item x="1092"/>
        <item x="1093"/>
        <item x="1094"/>
        <item x="1095"/>
        <item x="1356"/>
        <item x="1357"/>
        <item x="1466"/>
        <item x="1467"/>
        <item x="84"/>
        <item x="125"/>
        <item x="126"/>
        <item x="257"/>
        <item m="1" x="2001"/>
        <item m="1" x="1910"/>
        <item m="1" x="1966"/>
        <item m="1" x="2026"/>
        <item m="1" x="1911"/>
        <item x="346"/>
        <item m="1" x="1714"/>
        <item m="1" x="1715"/>
        <item m="1" x="1716"/>
        <item m="1" x="1717"/>
        <item m="1" x="1718"/>
        <item x="539"/>
        <item x="540"/>
        <item x="547"/>
        <item m="1" x="2053"/>
        <item m="1" x="1865"/>
        <item m="1" x="1763"/>
        <item m="1" x="1764"/>
        <item m="1" x="1765"/>
        <item m="1" x="1766"/>
        <item x="1086"/>
        <item x="1087"/>
        <item x="1090"/>
        <item x="1091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137"/>
        <item m="1" x="1815"/>
        <item x="138"/>
        <item m="1" x="1939"/>
        <item x="139"/>
        <item x="140"/>
        <item m="1" x="2015"/>
        <item x="141"/>
        <item m="1" x="1990"/>
        <item x="142"/>
        <item x="143"/>
        <item m="1" x="2016"/>
        <item x="144"/>
        <item m="1" x="1991"/>
        <item x="145"/>
        <item x="146"/>
        <item x="259"/>
        <item x="261"/>
        <item x="262"/>
        <item x="263"/>
        <item x="264"/>
        <item x="265"/>
        <item x="266"/>
        <item x="270"/>
        <item x="271"/>
        <item x="1020"/>
        <item x="1021"/>
        <item x="1076"/>
        <item x="1077"/>
        <item m="1" x="1969"/>
        <item x="1358"/>
        <item x="1359"/>
        <item x="173"/>
        <item x="174"/>
        <item x="393"/>
        <item m="1" x="1738"/>
        <item x="716"/>
        <item x="717"/>
        <item m="1" x="2051"/>
        <item m="1" x="1992"/>
        <item m="1" x="1820"/>
        <item m="1" x="1986"/>
        <item x="810"/>
        <item x="811"/>
        <item x="1022"/>
        <item x="1023"/>
        <item x="1026"/>
        <item x="1027"/>
        <item x="1084"/>
        <item x="1085"/>
        <item x="1078"/>
        <item x="1081"/>
        <item x="1082"/>
        <item x="1083"/>
        <item m="1" x="2024"/>
        <item x="169"/>
        <item x="170"/>
        <item m="1" x="1794"/>
        <item m="1" x="1880"/>
        <item x="236"/>
        <item x="237"/>
        <item m="1" x="1979"/>
        <item m="1" x="2066"/>
        <item m="1" x="1844"/>
        <item m="1" x="2011"/>
        <item m="1" x="2094"/>
        <item m="1" x="2075"/>
        <item x="353"/>
        <item x="354"/>
        <item m="1" x="1926"/>
        <item m="1" x="1989"/>
        <item m="1" x="1876"/>
        <item m="1" x="1803"/>
        <item m="1" x="1813"/>
        <item m="1" x="2070"/>
        <item m="1" x="1962"/>
        <item m="1" x="1821"/>
        <item x="1052"/>
        <item m="1" x="2068"/>
        <item m="1" x="1980"/>
        <item m="1" x="1897"/>
        <item x="1139"/>
        <item n="Frac of Pol Impl This Yr - 3 - Example Scenario.xlsx" m="1" x="1922"/>
        <item m="1" x="1960"/>
        <item x="1470"/>
        <item x="1471"/>
        <item x="1472"/>
        <item m="1" x="1723"/>
        <item m="1" x="1878"/>
        <item m="1" x="1726"/>
        <item m="1" x="1727"/>
        <item x="622"/>
        <item x="623"/>
        <item x="643"/>
        <item x="653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m="1" x="1652"/>
        <item m="1" x="1653"/>
        <item m="1" x="1654"/>
        <item m="1" x="1655"/>
        <item m="1" x="1656"/>
        <item m="1" x="1657"/>
        <item m="1" x="1658"/>
        <item m="1" x="1659"/>
        <item m="1" x="1660"/>
        <item m="1" x="1661"/>
        <item m="1" x="1597"/>
        <item m="1" x="1598"/>
        <item x="1003"/>
        <item x="1004"/>
        <item x="1005"/>
        <item x="1006"/>
        <item x="1079"/>
        <item x="1080"/>
        <item m="1" x="1999"/>
        <item m="1" x="1946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"/>
        <item m="1" x="1600"/>
        <item m="1" x="1601"/>
        <item m="1" x="1602"/>
        <item m="1" x="1603"/>
        <item m="1" x="1604"/>
        <item m="1" x="1605"/>
        <item m="1" x="1606"/>
        <item m="1" x="1607"/>
        <item m="1" x="1608"/>
        <item m="1" x="1609"/>
        <item m="1" x="1610"/>
        <item m="1" x="1611"/>
        <item m="1" x="1612"/>
        <item m="1" x="1613"/>
        <item m="1" x="1614"/>
        <item m="1" x="1615"/>
        <item m="1" x="1616"/>
        <item m="1" x="1617"/>
        <item m="1" x="1618"/>
        <item m="1" x="1619"/>
        <item m="1" x="1620"/>
        <item m="1" x="1621"/>
        <item m="1" x="1622"/>
        <item m="1" x="1623"/>
        <item m="1" x="1624"/>
        <item m="1" x="1625"/>
        <item x="290"/>
        <item x="291"/>
        <item x="626"/>
        <item x="627"/>
        <item x="994"/>
        <item m="1" x="2067"/>
        <item x="1037"/>
        <item m="1" x="2060"/>
        <item x="1055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n="Frac of Pol Impl This Yr - 2 - NDC.xlsx2" m="1" x="1974"/>
        <item n="Frac of Pol Impl This Yr - 3 - Example Scenario.xlsx2" m="1" x="1964"/>
        <item m="1" x="1767"/>
        <item m="1" x="2037"/>
        <item m="1" x="1900"/>
        <item m="1" x="1795"/>
        <item m="1" x="1796"/>
        <item x="226"/>
        <item x="227"/>
        <item x="240"/>
        <item x="241"/>
        <item m="1" x="1961"/>
        <item m="1" x="2077"/>
        <item m="1" x="2064"/>
        <item m="1" x="1712"/>
        <item m="1" x="1713"/>
        <item m="1" x="2080"/>
        <item m="1" x="1998"/>
        <item m="1" x="2008"/>
        <item x="480"/>
        <item x="481"/>
        <item m="1" x="2027"/>
        <item m="1" x="1977"/>
        <item m="1" x="1967"/>
        <item m="1" x="1963"/>
        <item m="1" x="1649"/>
        <item x="953"/>
        <item x="954"/>
        <item m="1" x="2065"/>
        <item m="1" x="2023"/>
        <item x="991"/>
        <item x="993"/>
        <item x="1007"/>
        <item m="1" x="2005"/>
        <item x="1016"/>
        <item x="1017"/>
        <item x="1036"/>
        <item x="1038"/>
        <item x="1096"/>
        <item x="1097"/>
        <item x="1127"/>
        <item x="1129"/>
        <item x="1131"/>
        <item x="1133"/>
        <item x="1135"/>
        <item x="1137"/>
        <item x="1141"/>
        <item x="1143"/>
        <item x="1162"/>
        <item x="1163"/>
        <item x="1171"/>
        <item x="1172"/>
        <item x="1178"/>
        <item x="1179"/>
        <item m="1" x="1768"/>
        <item m="1" x="1769"/>
        <item x="1367"/>
        <item x="1368"/>
        <item x="1369"/>
        <item x="1549"/>
        <item x="1550"/>
        <item x="1551"/>
        <item x="73"/>
        <item x="74"/>
        <item x="250"/>
        <item x="251"/>
        <item x="252"/>
        <item m="1" x="2049"/>
        <item m="1" x="1984"/>
        <item x="435"/>
        <item x="436"/>
        <item x="1301"/>
        <item x="1303"/>
        <item x="1304"/>
        <item x="1305"/>
        <item x="1309"/>
        <item x="1310"/>
        <item x="1311"/>
        <item x="1329"/>
        <item m="1" x="1671"/>
        <item x="1521"/>
        <item x="1522"/>
        <item x="1523"/>
        <item x="1524"/>
        <item m="1" x="1673"/>
        <item x="112"/>
        <item x="113"/>
        <item x="181"/>
        <item m="1" x="1674"/>
        <item x="234"/>
        <item x="235"/>
        <item x="620"/>
        <item x="621"/>
        <item x="260"/>
        <item x="272"/>
        <item x="300"/>
        <item x="302"/>
        <item x="303"/>
        <item x="310"/>
        <item x="311"/>
        <item m="1" x="1699"/>
        <item x="317"/>
        <item x="318"/>
        <item x="319"/>
        <item m="1" x="1702"/>
        <item m="1" x="1703"/>
        <item m="1" x="1704"/>
        <item x="339"/>
        <item x="340"/>
        <item x="342"/>
        <item x="347"/>
        <item m="1" x="1707"/>
        <item m="1" x="1709"/>
        <item m="1" x="1710"/>
        <item x="361"/>
        <item x="362"/>
        <item x="368"/>
        <item m="1" x="1711"/>
        <item x="374"/>
        <item x="375"/>
        <item x="376"/>
        <item m="1" x="1724"/>
        <item m="1" x="1725"/>
        <item m="1" x="1799"/>
        <item m="1" x="1800"/>
        <item m="1" x="1801"/>
        <item m="1" x="1730"/>
        <item m="1" x="1731"/>
        <item m="1" x="1732"/>
        <item m="1" x="1733"/>
        <item x="392"/>
        <item x="405"/>
        <item x="406"/>
        <item x="407"/>
        <item x="408"/>
        <item x="412"/>
        <item x="413"/>
        <item x="414"/>
        <item x="415"/>
        <item m="1" x="1743"/>
        <item m="1" x="1744"/>
        <item m="1" x="1745"/>
        <item m="1" x="1746"/>
        <item x="444"/>
        <item x="445"/>
        <item x="446"/>
        <item x="447"/>
        <item x="448"/>
        <item x="449"/>
        <item x="450"/>
        <item x="451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m="1" x="1747"/>
        <item m="1" x="1748"/>
        <item x="476"/>
        <item x="477"/>
        <item x="478"/>
        <item x="479"/>
        <item m="1" x="1751"/>
        <item m="1" x="1752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m="1" x="1802"/>
        <item x="497"/>
        <item x="498"/>
        <item x="499"/>
        <item x="500"/>
        <item x="501"/>
        <item x="502"/>
        <item x="503"/>
        <item x="504"/>
        <item x="506"/>
        <item x="508"/>
        <item x="509"/>
        <item x="510"/>
        <item m="1" x="1753"/>
        <item m="1" x="1754"/>
        <item m="1" x="1755"/>
        <item m="1" x="1758"/>
        <item m="1" x="1759"/>
        <item x="530"/>
        <item x="628"/>
        <item x="629"/>
        <item x="791"/>
        <item x="794"/>
        <item m="1" x="1650"/>
        <item x="1053"/>
        <item x="1054"/>
        <item x="1118"/>
        <item x="1157"/>
        <item x="1158"/>
        <item x="1159"/>
        <item x="1160"/>
        <item x="1161"/>
        <item x="1203"/>
        <item x="1204"/>
        <item x="1205"/>
        <item x="1206"/>
        <item x="1293"/>
        <item x="1294"/>
        <item x="1295"/>
        <item x="1296"/>
        <item x="1297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53"/>
        <item x="1354"/>
        <item x="1355"/>
        <item x="1360"/>
        <item x="1361"/>
        <item x="1362"/>
        <item x="1363"/>
        <item m="1" x="1786"/>
        <item m="1" x="1787"/>
        <item m="1" x="1788"/>
        <item m="1" x="1789"/>
        <item m="1" x="1790"/>
        <item x="1468"/>
        <item x="1469"/>
        <item x="1491"/>
        <item x="1492"/>
        <item x="1493"/>
        <item x="1497"/>
        <item x="1498"/>
        <item x="1519"/>
        <item x="1520"/>
        <item x="184"/>
        <item x="185"/>
        <item x="186"/>
        <item x="187"/>
        <item x="188"/>
        <item x="312"/>
        <item x="313"/>
        <item x="314"/>
        <item x="328"/>
        <item x="329"/>
        <item x="330"/>
        <item x="331"/>
        <item x="332"/>
        <item x="335"/>
        <item x="336"/>
        <item x="345"/>
        <item m="1" x="1626"/>
        <item m="1" x="1627"/>
        <item m="1" x="1708"/>
        <item m="1" x="1678"/>
        <item m="1" x="1679"/>
        <item x="382"/>
        <item x="383"/>
        <item x="384"/>
        <item m="1" x="1721"/>
        <item m="1" x="1722"/>
        <item m="1" x="1728"/>
        <item m="1" x="1729"/>
        <item m="1" x="1740"/>
        <item x="430"/>
        <item x="431"/>
        <item x="432"/>
        <item x="440"/>
        <item x="441"/>
        <item x="442"/>
        <item x="443"/>
        <item x="468"/>
        <item x="469"/>
        <item x="474"/>
        <item x="475"/>
        <item m="1" x="1749"/>
        <item m="1" x="1750"/>
        <item x="495"/>
        <item x="496"/>
        <item x="507"/>
        <item m="1" x="1762"/>
        <item x="1176"/>
        <item x="1177"/>
        <item x="104"/>
        <item x="105"/>
        <item x="106"/>
        <item x="107"/>
        <item x="189"/>
        <item x="190"/>
        <item x="191"/>
        <item x="192"/>
        <item x="193"/>
        <item x="194"/>
        <item x="195"/>
        <item x="196"/>
        <item x="197"/>
        <item x="201"/>
        <item x="214"/>
        <item x="215"/>
        <item m="1" x="1562"/>
        <item m="1" x="1563"/>
        <item x="618"/>
        <item x="619"/>
        <item x="624"/>
        <item x="625"/>
        <item m="1" x="1628"/>
        <item x="428"/>
        <item x="305"/>
        <item x="306"/>
        <item x="307"/>
        <item x="349"/>
        <item x="350"/>
        <item x="355"/>
        <item x="356"/>
        <item x="357"/>
        <item x="358"/>
        <item x="359"/>
        <item x="360"/>
        <item x="385"/>
        <item x="386"/>
        <item x="387"/>
        <item x="390"/>
        <item x="391"/>
        <item x="401"/>
        <item x="402"/>
        <item x="403"/>
        <item x="404"/>
        <item x="429"/>
        <item m="1" x="1675"/>
        <item m="1" x="1676"/>
        <item m="1" x="1677"/>
        <item x="505"/>
        <item x="511"/>
        <item x="512"/>
        <item x="513"/>
        <item x="514"/>
        <item x="515"/>
        <item x="518"/>
        <item x="519"/>
        <item x="525"/>
        <item x="1039"/>
        <item x="1040"/>
        <item x="1041"/>
        <item x="1147"/>
        <item x="1148"/>
        <item x="1169"/>
        <item x="1170"/>
        <item x="1183"/>
        <item x="1184"/>
        <item x="1302"/>
        <item x="1306"/>
        <item x="1307"/>
        <item x="1308"/>
        <item x="1312"/>
        <item x="1313"/>
        <item m="1" x="1672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4"/>
        <item x="1465"/>
        <item x="1535"/>
        <item x="182"/>
        <item x="183"/>
        <item x="296"/>
        <item x="297"/>
        <item x="298"/>
        <item x="299"/>
        <item m="1" x="1629"/>
        <item x="324"/>
        <item x="325"/>
        <item m="1" x="1630"/>
        <item x="409"/>
        <item x="410"/>
        <item x="411"/>
        <item x="424"/>
        <item x="425"/>
        <item m="1" x="1631"/>
        <item m="1" x="1632"/>
        <item x="541"/>
        <item x="542"/>
        <item x="543"/>
        <item x="544"/>
        <item x="545"/>
        <item x="546"/>
        <item x="615"/>
        <item x="676"/>
        <item x="677"/>
        <item x="678"/>
        <item x="679"/>
        <item m="1" x="1634"/>
        <item m="1" x="1648"/>
        <item x="1034"/>
        <item x="1035"/>
        <item m="1" x="1670"/>
        <item x="1546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118"/>
        <item x="119"/>
        <item x="120"/>
        <item x="121"/>
        <item x="147"/>
        <item x="148"/>
        <item x="163"/>
        <item x="164"/>
        <item x="202"/>
        <item x="203"/>
        <item x="204"/>
        <item x="205"/>
        <item x="206"/>
        <item x="207"/>
        <item x="208"/>
        <item x="209"/>
        <item m="1" x="1558"/>
        <item m="1" x="1559"/>
        <item m="1" x="1560"/>
        <item m="1" x="1561"/>
        <item x="212"/>
        <item x="213"/>
        <item x="220"/>
        <item x="221"/>
        <item x="242"/>
        <item x="243"/>
        <item x="248"/>
        <item x="249"/>
        <item x="255"/>
        <item x="256"/>
        <item x="275"/>
        <item x="276"/>
        <item x="277"/>
        <item x="279"/>
        <item x="281"/>
        <item x="286"/>
        <item x="287"/>
        <item x="294"/>
        <item x="295"/>
        <item x="301"/>
        <item x="326"/>
        <item x="327"/>
        <item x="351"/>
        <item x="352"/>
        <item x="397"/>
        <item x="398"/>
        <item x="399"/>
        <item x="400"/>
        <item x="426"/>
        <item x="427"/>
        <item x="597"/>
        <item x="598"/>
        <item x="599"/>
        <item x="600"/>
        <item x="601"/>
        <item x="602"/>
        <item x="603"/>
        <item x="605"/>
        <item x="606"/>
        <item x="607"/>
        <item x="608"/>
        <item x="609"/>
        <item x="610"/>
        <item x="611"/>
        <item x="663"/>
        <item x="664"/>
        <item x="665"/>
        <item x="666"/>
        <item x="667"/>
        <item x="668"/>
        <item x="669"/>
        <item x="680"/>
        <item x="681"/>
        <item x="686"/>
        <item x="687"/>
        <item x="688"/>
        <item x="689"/>
        <item x="690"/>
        <item x="691"/>
        <item x="692"/>
        <item x="693"/>
        <item m="1" x="1566"/>
        <item m="1" x="1567"/>
        <item m="1" x="1568"/>
        <item x="701"/>
        <item x="702"/>
        <item m="1" x="1571"/>
        <item m="1" x="1572"/>
        <item m="1" x="1573"/>
        <item x="705"/>
        <item x="706"/>
        <item x="711"/>
        <item x="712"/>
        <item x="713"/>
        <item x="714"/>
        <item x="715"/>
        <item m="1" x="1576"/>
        <item m="1" x="1577"/>
        <item x="718"/>
        <item m="1" x="1578"/>
        <item m="1" x="1579"/>
        <item m="1" x="1580"/>
        <item x="719"/>
        <item x="722"/>
        <item x="723"/>
        <item x="724"/>
        <item m="1" x="1581"/>
        <item x="727"/>
        <item x="728"/>
        <item x="729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92"/>
        <item x="793"/>
        <item x="795"/>
        <item x="796"/>
        <item x="797"/>
        <item x="798"/>
        <item x="799"/>
        <item x="800"/>
        <item x="801"/>
        <item x="802"/>
        <item x="803"/>
        <item x="804"/>
        <item x="812"/>
        <item x="813"/>
        <item x="819"/>
        <item x="820"/>
        <item x="822"/>
        <item x="823"/>
        <item x="824"/>
        <item m="1" x="1582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m="1" x="1583"/>
        <item m="1" x="1584"/>
        <item m="1" x="1585"/>
        <item m="1" x="1586"/>
        <item m="1" x="1587"/>
        <item m="1" x="1588"/>
        <item m="1" x="1589"/>
        <item m="1" x="1590"/>
        <item m="1" x="1591"/>
        <item m="1" x="1592"/>
        <item m="1" x="1593"/>
        <item m="1" x="159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m="1" x="1595"/>
        <item x="949"/>
        <item x="950"/>
        <item m="1" x="1596"/>
        <item x="952"/>
        <item x="955"/>
        <item x="956"/>
        <item x="957"/>
        <item x="958"/>
        <item x="959"/>
        <item x="964"/>
        <item x="965"/>
        <item x="966"/>
        <item x="967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1018"/>
        <item x="1019"/>
        <item x="1024"/>
        <item x="1025"/>
        <item x="1028"/>
        <item x="1029"/>
        <item m="1" x="1599"/>
        <item x="1140"/>
        <item x="1146"/>
        <item x="1151"/>
        <item x="1152"/>
        <item x="1154"/>
        <item x="1155"/>
        <item x="1156"/>
        <item x="1298"/>
        <item x="1299"/>
        <item x="1300"/>
        <item x="1330"/>
        <item x="1331"/>
        <item x="1332"/>
        <item x="1333"/>
        <item x="1334"/>
        <item x="1335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525"/>
        <item x="1526"/>
        <item x="1527"/>
        <item x="1528"/>
        <item x="1529"/>
        <item x="1530"/>
        <item x="1540"/>
        <item x="71"/>
        <item x="72"/>
        <item x="100"/>
        <item x="101"/>
        <item x="102"/>
        <item x="103"/>
        <item x="117"/>
        <item x="210"/>
        <item x="211"/>
        <item x="246"/>
        <item x="247"/>
        <item x="258"/>
        <item x="267"/>
        <item x="268"/>
        <item x="269"/>
        <item x="273"/>
        <item x="274"/>
        <item x="278"/>
        <item x="280"/>
        <item x="333"/>
        <item x="334"/>
        <item x="388"/>
        <item x="389"/>
        <item x="420"/>
        <item x="452"/>
        <item x="516"/>
        <item x="517"/>
        <item x="590"/>
        <item x="595"/>
        <item x="596"/>
        <item x="614"/>
        <item x="632"/>
        <item x="682"/>
        <item x="683"/>
        <item x="694"/>
        <item x="695"/>
        <item x="699"/>
        <item x="700"/>
        <item x="707"/>
        <item x="708"/>
        <item x="709"/>
        <item x="710"/>
        <item x="720"/>
        <item x="721"/>
        <item x="725"/>
        <item x="726"/>
        <item x="730"/>
        <item x="731"/>
        <item x="749"/>
        <item x="774"/>
        <item x="775"/>
        <item x="776"/>
        <item x="805"/>
        <item x="806"/>
        <item x="807"/>
        <item x="814"/>
        <item x="815"/>
        <item x="818"/>
        <item x="821"/>
        <item x="825"/>
        <item x="826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m="1" x="1556"/>
        <item x="951"/>
        <item x="960"/>
        <item x="961"/>
        <item x="962"/>
        <item x="963"/>
        <item x="970"/>
        <item x="971"/>
        <item x="1013"/>
        <item x="1014"/>
        <item x="1015"/>
        <item x="1030"/>
        <item x="1031"/>
        <item x="1032"/>
        <item x="1033"/>
        <item x="1044"/>
        <item x="1051"/>
        <item x="1119"/>
        <item x="1120"/>
        <item x="1142"/>
        <item x="115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364">
    <i>
      <x v="3"/>
      <x v="33"/>
      <x v="1101"/>
    </i>
    <i r="1">
      <x v="225"/>
      <x v="1614"/>
    </i>
    <i r="1">
      <x v="235"/>
      <x v="1639"/>
    </i>
    <i r="2">
      <x v="1640"/>
    </i>
    <i r="1">
      <x v="276"/>
      <x v="804"/>
    </i>
    <i r="1">
      <x v="334"/>
      <x v="1987"/>
    </i>
    <i r="1">
      <x v="371"/>
      <x v="1216"/>
    </i>
    <i r="1">
      <x v="393"/>
      <x v="702"/>
    </i>
    <i r="1">
      <x v="456"/>
      <x v="728"/>
    </i>
    <i>
      <x v="4"/>
      <x v="15"/>
      <x v="17"/>
    </i>
    <i r="1">
      <x v="21"/>
      <x v="22"/>
    </i>
    <i r="1">
      <x v="34"/>
      <x v="1988"/>
    </i>
    <i r="1">
      <x v="39"/>
      <x v="1465"/>
    </i>
    <i r="1">
      <x v="57"/>
      <x v="27"/>
    </i>
    <i r="1">
      <x v="106"/>
      <x v="1238"/>
    </i>
    <i r="1">
      <x v="114"/>
      <x v="159"/>
    </i>
    <i r="1">
      <x v="150"/>
      <x v="1641"/>
    </i>
    <i r="2">
      <x v="1992"/>
    </i>
    <i r="1">
      <x v="154"/>
      <x v="318"/>
    </i>
    <i r="1">
      <x v="158"/>
      <x v="319"/>
    </i>
    <i r="1">
      <x v="191"/>
      <x v="352"/>
    </i>
    <i r="1">
      <x v="192"/>
      <x v="353"/>
    </i>
    <i r="1">
      <x v="193"/>
      <x v="354"/>
    </i>
    <i r="1">
      <x v="198"/>
      <x v="358"/>
    </i>
    <i r="1">
      <x v="224"/>
      <x v="428"/>
    </i>
    <i r="1">
      <x v="287"/>
      <x v="972"/>
    </i>
    <i r="1">
      <x v="315"/>
      <x v="1645"/>
    </i>
    <i r="1">
      <x v="327"/>
      <x v="468"/>
    </i>
    <i r="1">
      <x v="339"/>
      <x v="634"/>
    </i>
    <i r="1">
      <x v="348"/>
      <x v="638"/>
    </i>
    <i r="1">
      <x v="357"/>
      <x v="651"/>
    </i>
    <i r="1">
      <x v="358"/>
      <x v="656"/>
    </i>
    <i r="1">
      <x v="376"/>
      <x v="667"/>
    </i>
    <i r="1">
      <x v="383"/>
      <x v="820"/>
    </i>
    <i r="1">
      <x v="386"/>
      <x v="1648"/>
    </i>
    <i r="1">
      <x v="400"/>
      <x v="822"/>
    </i>
    <i r="1">
      <x v="401"/>
      <x v="1012"/>
    </i>
    <i r="1">
      <x v="405"/>
      <x v="698"/>
    </i>
    <i r="1">
      <x v="409"/>
      <x v="989"/>
    </i>
    <i r="1">
      <x v="432"/>
      <x v="826"/>
    </i>
    <i r="1">
      <x v="433"/>
      <x v="830"/>
    </i>
    <i>
      <x v="5"/>
      <x v="30"/>
      <x v="1240"/>
    </i>
    <i r="1">
      <x v="55"/>
      <x v="1417"/>
    </i>
    <i r="1">
      <x v="135"/>
      <x v="1420"/>
    </i>
    <i r="1">
      <x v="138"/>
      <x v="832"/>
    </i>
    <i r="1">
      <x v="140"/>
      <x v="781"/>
    </i>
    <i r="1">
      <x v="142"/>
      <x v="1649"/>
    </i>
    <i r="1">
      <x v="146"/>
      <x v="1654"/>
    </i>
    <i r="1">
      <x v="160"/>
      <x v="1655"/>
    </i>
    <i r="1">
      <x v="330"/>
      <x v="1994"/>
    </i>
    <i r="1">
      <x v="404"/>
      <x v="1661"/>
    </i>
    <i r="1">
      <x v="407"/>
      <x v="1479"/>
    </i>
    <i>
      <x v="6"/>
      <x v="176"/>
      <x v="333"/>
    </i>
    <i r="1">
      <x v="369"/>
      <x v="834"/>
    </i>
    <i>
      <x v="8"/>
      <x v="87"/>
      <x v="1663"/>
    </i>
    <i r="1">
      <x v="372"/>
      <x v="838"/>
    </i>
    <i>
      <x v="11"/>
      <x v="14"/>
      <x v="187"/>
    </i>
    <i r="1">
      <x v="37"/>
      <x v="1161"/>
    </i>
    <i r="1">
      <x v="41"/>
      <x v="836"/>
    </i>
    <i r="1">
      <x v="49"/>
      <x v="189"/>
    </i>
    <i r="1">
      <x v="50"/>
      <x v="190"/>
    </i>
    <i r="1">
      <x v="51"/>
      <x v="1243"/>
    </i>
    <i r="1">
      <x v="76"/>
      <x v="1017"/>
    </i>
    <i r="1">
      <x v="77"/>
      <x v="191"/>
    </i>
    <i r="1">
      <x v="113"/>
      <x v="1162"/>
    </i>
    <i r="1">
      <x v="129"/>
      <x v="1665"/>
    </i>
    <i r="1">
      <x v="130"/>
      <x v="193"/>
    </i>
    <i r="1">
      <x v="170"/>
      <x v="1995"/>
    </i>
    <i r="1">
      <x v="182"/>
      <x v="1668"/>
    </i>
    <i r="1">
      <x v="187"/>
      <x v="1219"/>
    </i>
    <i r="1">
      <x v="205"/>
      <x v="784"/>
    </i>
    <i r="1">
      <x v="258"/>
      <x v="1669"/>
    </i>
    <i r="1">
      <x v="270"/>
      <x v="890"/>
    </i>
    <i r="1">
      <x v="326"/>
      <x v="2001"/>
    </i>
    <i r="1">
      <x v="328"/>
      <x v="1672"/>
    </i>
    <i>
      <x v="13"/>
      <x v="58"/>
      <x v="29"/>
    </i>
    <i r="1">
      <x v="59"/>
      <x v="28"/>
    </i>
    <i r="1">
      <x v="145"/>
      <x v="1677"/>
    </i>
    <i r="1">
      <x v="195"/>
      <x v="348"/>
    </i>
    <i r="1">
      <x v="271"/>
      <x v="1129"/>
    </i>
    <i r="1">
      <x v="377"/>
      <x v="668"/>
    </i>
    <i>
      <x v="14"/>
      <x v="4"/>
      <x v="1679"/>
    </i>
    <i r="1">
      <x v="16"/>
      <x v="1556"/>
    </i>
    <i r="1">
      <x v="17"/>
      <x v="1558"/>
    </i>
    <i r="1">
      <x v="25"/>
      <x v="1248"/>
    </i>
    <i r="1">
      <x v="28"/>
      <x v="16"/>
    </i>
    <i r="1">
      <x v="29"/>
      <x v="19"/>
    </i>
    <i r="1">
      <x v="44"/>
      <x v="1252"/>
    </i>
    <i r="1">
      <x v="53"/>
      <x v="1422"/>
    </i>
    <i r="1">
      <x v="68"/>
      <x v="36"/>
    </i>
    <i r="1">
      <x v="73"/>
      <x v="1254"/>
    </i>
    <i r="1">
      <x v="99"/>
      <x v="50"/>
    </i>
    <i r="1">
      <x v="100"/>
      <x v="47"/>
    </i>
    <i r="1">
      <x v="101"/>
      <x v="1561"/>
    </i>
    <i r="1">
      <x v="105"/>
      <x v="1681"/>
    </i>
    <i r="1">
      <x v="107"/>
      <x v="1425"/>
    </i>
    <i r="1">
      <x v="115"/>
      <x v="1427"/>
    </i>
    <i r="1">
      <x v="120"/>
      <x v="2005"/>
    </i>
    <i r="1">
      <x v="125"/>
      <x v="1430"/>
    </i>
    <i r="1">
      <x v="126"/>
      <x v="56"/>
    </i>
    <i r="1">
      <x v="136"/>
      <x v="1260"/>
    </i>
    <i r="1">
      <x v="139"/>
      <x v="293"/>
    </i>
    <i r="1">
      <x v="144"/>
      <x v="1493"/>
    </i>
    <i r="1">
      <x v="152"/>
      <x v="1683"/>
    </i>
    <i r="1">
      <x v="159"/>
      <x v="1024"/>
    </i>
    <i r="1">
      <x v="161"/>
      <x v="1494"/>
    </i>
    <i r="1">
      <x v="164"/>
      <x v="1496"/>
    </i>
    <i r="1">
      <x v="169"/>
      <x v="1268"/>
    </i>
    <i r="1">
      <x v="171"/>
      <x v="330"/>
    </i>
    <i r="1">
      <x v="175"/>
      <x v="334"/>
    </i>
    <i r="1">
      <x v="177"/>
      <x v="331"/>
    </i>
    <i r="1">
      <x v="179"/>
      <x v="332"/>
    </i>
    <i r="1">
      <x v="186"/>
      <x v="1273"/>
    </i>
    <i r="1">
      <x v="189"/>
      <x v="360"/>
    </i>
    <i r="1">
      <x v="210"/>
      <x v="1438"/>
    </i>
    <i r="1">
      <x v="211"/>
      <x v="1500"/>
    </i>
    <i r="1">
      <x v="228"/>
      <x v="2008"/>
    </i>
    <i r="1">
      <x v="260"/>
      <x v="1504"/>
    </i>
    <i r="1">
      <x v="263"/>
      <x v="991"/>
    </i>
    <i r="1">
      <x v="265"/>
      <x v="445"/>
    </i>
    <i r="1">
      <x v="268"/>
      <x v="1686"/>
    </i>
    <i r="1">
      <x v="269"/>
      <x v="1688"/>
    </i>
    <i r="1">
      <x v="273"/>
      <x v="1506"/>
    </i>
    <i r="1">
      <x v="275"/>
      <x v="1507"/>
    </i>
    <i r="1">
      <x v="302"/>
      <x v="1285"/>
    </i>
    <i r="1">
      <x v="309"/>
      <x v="1287"/>
    </i>
    <i r="1">
      <x v="312"/>
      <x v="1566"/>
    </i>
    <i r="1">
      <x v="313"/>
      <x v="1288"/>
    </i>
    <i r="1">
      <x v="317"/>
      <x v="1290"/>
    </i>
    <i r="1">
      <x v="319"/>
      <x v="475"/>
    </i>
    <i r="1">
      <x v="325"/>
      <x v="479"/>
    </i>
    <i r="1">
      <x v="335"/>
      <x v="2009"/>
    </i>
    <i r="1">
      <x v="352"/>
      <x v="647"/>
    </i>
    <i r="1">
      <x v="353"/>
      <x v="1568"/>
    </i>
    <i r="1">
      <x v="374"/>
      <x v="1488"/>
    </i>
    <i r="1">
      <x v="375"/>
      <x v="1448"/>
    </i>
    <i r="1">
      <x v="380"/>
      <x v="671"/>
    </i>
    <i r="1">
      <x v="387"/>
      <x v="1222"/>
    </i>
    <i r="1">
      <x v="390"/>
      <x v="685"/>
    </i>
    <i r="1">
      <x v="396"/>
      <x v="1449"/>
    </i>
    <i r="1">
      <x v="397"/>
      <x v="1296"/>
    </i>
    <i r="1">
      <x v="408"/>
      <x v="1453"/>
    </i>
    <i r="1">
      <x v="411"/>
      <x v="842"/>
    </i>
    <i r="1">
      <x v="414"/>
      <x v="1455"/>
    </i>
    <i r="1">
      <x v="420"/>
      <x v="1321"/>
    </i>
    <i r="1">
      <x v="421"/>
      <x v="1323"/>
    </i>
    <i r="1">
      <x v="426"/>
      <x v="1172"/>
    </i>
    <i r="1">
      <x v="438"/>
      <x v="1327"/>
    </i>
    <i r="1">
      <x v="439"/>
      <x v="1329"/>
    </i>
    <i r="1">
      <x v="441"/>
      <x v="1514"/>
    </i>
    <i r="1">
      <x v="444"/>
      <x v="2012"/>
    </i>
    <i r="1">
      <x v="447"/>
      <x v="1520"/>
    </i>
    <i r="1">
      <x v="468"/>
      <x v="736"/>
    </i>
    <i>
      <x v="15"/>
      <x v="31"/>
      <x v="21"/>
    </i>
    <i r="1">
      <x v="65"/>
      <x v="33"/>
    </i>
    <i r="1">
      <x v="70"/>
      <x v="34"/>
    </i>
    <i r="1">
      <x v="245"/>
      <x v="849"/>
    </i>
    <i r="1">
      <x v="341"/>
      <x v="635"/>
    </i>
    <i r="1">
      <x v="342"/>
      <x v="636"/>
    </i>
    <i r="1">
      <x v="343"/>
      <x v="637"/>
    </i>
    <i>
      <x v="16"/>
      <x v="469"/>
      <x v="741"/>
    </i>
    <i>
      <x v="18"/>
      <x v="32"/>
      <x v="902"/>
    </i>
    <i r="1">
      <x v="60"/>
      <x v="1571"/>
    </i>
    <i r="1">
      <x v="61"/>
      <x v="1573"/>
    </i>
    <i r="1">
      <x v="62"/>
      <x v="1575"/>
    </i>
    <i r="1">
      <x v="63"/>
      <x v="904"/>
    </i>
    <i r="1">
      <x v="64"/>
      <x v="31"/>
    </i>
    <i r="1">
      <x v="108"/>
      <x v="1691"/>
    </i>
    <i r="1">
      <x v="119"/>
      <x v="55"/>
    </i>
    <i r="1">
      <x v="214"/>
      <x v="388"/>
    </i>
    <i r="1">
      <x v="233"/>
      <x v="1484"/>
    </i>
    <i r="1">
      <x v="234"/>
      <x v="1245"/>
    </i>
    <i r="1">
      <x v="241"/>
      <x v="1049"/>
    </i>
    <i r="1">
      <x v="248"/>
      <x v="1486"/>
    </i>
    <i r="1">
      <x v="251"/>
      <x v="1131"/>
    </i>
    <i r="1">
      <x v="254"/>
      <x v="1360"/>
    </i>
    <i r="1">
      <x v="262"/>
      <x v="446"/>
    </i>
    <i r="1">
      <x v="304"/>
      <x v="462"/>
    </i>
    <i r="1">
      <x v="320"/>
      <x v="470"/>
    </i>
    <i r="1">
      <x v="321"/>
      <x v="471"/>
    </i>
    <i r="1">
      <x v="322"/>
      <x v="472"/>
    </i>
    <i r="1">
      <x v="345"/>
      <x v="648"/>
    </i>
    <i r="1">
      <x v="346"/>
      <x v="649"/>
    </i>
    <i r="1">
      <x v="354"/>
      <x v="640"/>
    </i>
    <i r="1">
      <x v="363"/>
      <x v="1705"/>
    </i>
    <i r="1">
      <x v="370"/>
      <x v="851"/>
    </i>
    <i>
      <x v="19"/>
      <x v="167"/>
      <x v="759"/>
    </i>
    <i r="1">
      <x v="209"/>
      <x v="1578"/>
    </i>
    <i>
      <x v="20"/>
      <x v="26"/>
      <x v="1712"/>
    </i>
    <i r="1">
      <x v="121"/>
      <x v="2018"/>
    </i>
    <i r="1">
      <x v="188"/>
      <x v="361"/>
    </i>
    <i r="1">
      <x v="222"/>
      <x v="1721"/>
    </i>
    <i r="1">
      <x v="230"/>
      <x v="2021"/>
    </i>
    <i r="1">
      <x v="278"/>
      <x v="455"/>
    </i>
    <i r="1">
      <x v="279"/>
      <x v="1726"/>
    </i>
    <i r="1">
      <x v="280"/>
      <x v="452"/>
    </i>
    <i r="1">
      <x v="282"/>
      <x v="1731"/>
    </i>
    <i r="1">
      <x v="283"/>
      <x v="2025"/>
    </i>
    <i r="1">
      <x v="349"/>
      <x v="2027"/>
    </i>
    <i r="1">
      <x v="388"/>
      <x v="1732"/>
    </i>
    <i r="1">
      <x v="415"/>
      <x v="1734"/>
    </i>
    <i r="1">
      <x v="417"/>
      <x v="993"/>
    </i>
    <i r="1">
      <x v="428"/>
      <x v="1739"/>
    </i>
    <i r="1">
      <x v="464"/>
      <x v="2028"/>
    </i>
    <i>
      <x v="21"/>
      <x v="23"/>
      <x v="1744"/>
    </i>
    <i r="1">
      <x v="24"/>
      <x v="1746"/>
    </i>
    <i r="1">
      <x v="27"/>
      <x v="1748"/>
    </i>
    <i r="1">
      <x v="40"/>
      <x v="2033"/>
    </i>
    <i r="1">
      <x v="75"/>
      <x v="1751"/>
    </i>
    <i r="1">
      <x v="78"/>
      <x v="1754"/>
    </i>
    <i r="1">
      <x v="79"/>
      <x v="1767"/>
    </i>
    <i r="1">
      <x v="81"/>
      <x v="2035"/>
    </i>
    <i r="1">
      <x v="95"/>
      <x v="1052"/>
    </i>
    <i r="1">
      <x v="98"/>
      <x v="1361"/>
    </i>
    <i r="2">
      <x v="2038"/>
    </i>
    <i r="2">
      <x v="2039"/>
    </i>
    <i r="1">
      <x v="123"/>
      <x v="54"/>
    </i>
    <i r="1">
      <x v="196"/>
      <x v="999"/>
    </i>
    <i r="1">
      <x v="200"/>
      <x v="1804"/>
    </i>
    <i r="1">
      <x v="201"/>
      <x v="2041"/>
    </i>
    <i r="1">
      <x v="223"/>
      <x v="411"/>
    </i>
    <i r="1">
      <x v="289"/>
      <x v="1807"/>
    </i>
    <i r="2">
      <x v="2044"/>
    </i>
    <i r="1">
      <x v="290"/>
      <x v="1809"/>
    </i>
    <i r="1">
      <x v="291"/>
      <x v="2045"/>
    </i>
    <i r="2">
      <x v="2046"/>
    </i>
    <i r="1">
      <x v="292"/>
      <x v="1908"/>
    </i>
    <i r="2">
      <x v="1909"/>
    </i>
    <i r="1">
      <x v="293"/>
      <x v="1914"/>
    </i>
    <i r="1">
      <x v="294"/>
      <x v="1179"/>
    </i>
    <i r="1">
      <x v="295"/>
      <x v="1917"/>
    </i>
    <i r="1">
      <x v="296"/>
      <x v="1919"/>
    </i>
    <i r="1">
      <x v="297"/>
      <x v="2086"/>
    </i>
    <i r="1">
      <x v="299"/>
      <x v="2088"/>
    </i>
    <i r="1">
      <x v="300"/>
      <x v="1923"/>
    </i>
    <i r="1">
      <x v="316"/>
      <x v="477"/>
    </i>
    <i r="1">
      <x v="333"/>
      <x v="2089"/>
    </i>
    <i r="1">
      <x v="344"/>
      <x v="1942"/>
    </i>
    <i r="1">
      <x v="347"/>
      <x v="774"/>
    </i>
    <i r="1">
      <x v="350"/>
      <x v="639"/>
    </i>
    <i r="1">
      <x v="356"/>
      <x v="2091"/>
    </i>
    <i r="2">
      <x v="2093"/>
    </i>
    <i r="1">
      <x v="381"/>
      <x v="1187"/>
    </i>
    <i r="1">
      <x v="389"/>
      <x v="1943"/>
    </i>
    <i r="1">
      <x v="402"/>
      <x v="982"/>
    </i>
    <i r="1">
      <x v="406"/>
      <x v="1001"/>
    </i>
    <i r="1">
      <x v="413"/>
      <x v="1945"/>
    </i>
    <i r="1">
      <x v="419"/>
      <x v="1003"/>
    </i>
    <i r="1">
      <x v="436"/>
      <x v="1947"/>
    </i>
    <i r="1">
      <x v="465"/>
      <x v="2094"/>
    </i>
    <i r="1">
      <x v="466"/>
      <x v="2096"/>
    </i>
    <i>
      <x v="22"/>
      <x/>
      <x v="1585"/>
    </i>
    <i r="1">
      <x v="35"/>
      <x v="1189"/>
    </i>
    <i r="1">
      <x v="45"/>
      <x v="1522"/>
    </i>
    <i r="1">
      <x v="46"/>
      <x v="857"/>
    </i>
    <i r="2">
      <x v="2098"/>
    </i>
    <i r="1">
      <x v="47"/>
      <x v="859"/>
    </i>
    <i r="1">
      <x v="67"/>
      <x v="748"/>
    </i>
    <i r="1">
      <x v="91"/>
      <x v="861"/>
    </i>
    <i r="2">
      <x v="1034"/>
    </i>
    <i r="1">
      <x v="93"/>
      <x v="1364"/>
    </i>
    <i r="1">
      <x v="131"/>
      <x v="865"/>
    </i>
    <i r="1">
      <x v="173"/>
      <x v="870"/>
    </i>
    <i r="1">
      <x v="174"/>
      <x v="1137"/>
    </i>
    <i r="1">
      <x v="229"/>
      <x v="1007"/>
    </i>
    <i r="1">
      <x v="256"/>
      <x v="1083"/>
    </i>
    <i r="1">
      <x v="259"/>
      <x v="1010"/>
    </i>
    <i r="1">
      <x v="285"/>
      <x v="1005"/>
    </i>
    <i r="1">
      <x v="305"/>
      <x v="911"/>
    </i>
    <i r="1">
      <x v="310"/>
      <x v="877"/>
    </i>
    <i r="1">
      <x v="355"/>
      <x v="913"/>
    </i>
    <i r="1">
      <x v="449"/>
      <x v="880"/>
    </i>
    <i r="1">
      <x v="453"/>
      <x v="881"/>
    </i>
    <i r="1">
      <x v="457"/>
      <x v="1191"/>
    </i>
    <i r="1">
      <x v="467"/>
      <x v="738"/>
    </i>
    <i>
      <x v="23"/>
      <x v="3"/>
      <x v="1"/>
    </i>
    <i r="1">
      <x v="82"/>
      <x v="42"/>
    </i>
    <i r="1">
      <x v="137"/>
      <x v="316"/>
    </i>
    <i r="1">
      <x v="151"/>
      <x v="312"/>
    </i>
    <i r="1">
      <x v="165"/>
      <x v="317"/>
    </i>
    <i r="1">
      <x v="227"/>
      <x v="434"/>
    </i>
    <i r="1">
      <x v="286"/>
      <x v="459"/>
    </i>
    <i r="1">
      <x v="351"/>
      <x v="655"/>
    </i>
    <i r="1">
      <x v="385"/>
      <x v="666"/>
    </i>
    <i>
      <x v="26"/>
      <x v="239"/>
      <x v="1199"/>
    </i>
    <i r="2">
      <x v="1200"/>
    </i>
    <i r="2">
      <x v="1366"/>
    </i>
    <i r="2">
      <x v="1950"/>
    </i>
    <i r="2">
      <x v="2100"/>
    </i>
    <i r="2">
      <x v="2101"/>
    </i>
    <i r="2">
      <x v="2102"/>
    </i>
    <i r="1">
      <x v="255"/>
      <x v="389"/>
    </i>
    <i r="1">
      <x v="257"/>
      <x v="1525"/>
    </i>
    <i r="1">
      <x v="306"/>
      <x v="461"/>
    </i>
    <i r="1">
      <x v="454"/>
      <x v="1956"/>
    </i>
    <i>
      <x v="27"/>
      <x v="2"/>
      <x v="1371"/>
    </i>
    <i r="1">
      <x v="6"/>
      <x v="1201"/>
    </i>
    <i r="1">
      <x v="7"/>
      <x v="4"/>
    </i>
    <i r="1">
      <x v="8"/>
      <x v="5"/>
    </i>
    <i r="1">
      <x v="9"/>
      <x v="1203"/>
    </i>
    <i r="1">
      <x v="10"/>
      <x v="791"/>
    </i>
    <i r="1">
      <x v="11"/>
      <x v="1463"/>
    </i>
    <i r="1">
      <x v="12"/>
      <x v="1205"/>
    </i>
    <i r="1">
      <x v="13"/>
      <x v="18"/>
    </i>
    <i r="1">
      <x v="20"/>
      <x v="20"/>
    </i>
    <i r="1">
      <x v="71"/>
      <x v="38"/>
    </i>
    <i r="1">
      <x v="83"/>
      <x v="41"/>
    </i>
    <i r="1">
      <x v="85"/>
      <x v="1372"/>
    </i>
    <i r="1">
      <x v="86"/>
      <x v="1374"/>
    </i>
    <i r="1">
      <x v="89"/>
      <x v="44"/>
    </i>
    <i r="1">
      <x v="102"/>
      <x v="46"/>
    </i>
    <i r="1">
      <x v="104"/>
      <x v="1376"/>
    </i>
    <i r="1">
      <x v="112"/>
      <x v="1379"/>
    </i>
    <i r="1">
      <x v="117"/>
      <x v="1957"/>
    </i>
    <i r="1">
      <x v="118"/>
      <x v="1224"/>
    </i>
    <i r="1">
      <x v="122"/>
      <x v="1381"/>
    </i>
    <i r="1">
      <x v="132"/>
      <x v="1383"/>
    </i>
    <i r="1">
      <x v="133"/>
      <x v="1231"/>
    </i>
    <i r="1">
      <x v="134"/>
      <x v="194"/>
    </i>
    <i r="1">
      <x v="153"/>
      <x v="296"/>
    </i>
    <i r="1">
      <x v="197"/>
      <x v="355"/>
    </i>
    <i r="1">
      <x v="199"/>
      <x v="347"/>
    </i>
    <i r="1">
      <x v="202"/>
      <x v="356"/>
    </i>
    <i r="1">
      <x v="207"/>
      <x v="359"/>
    </i>
    <i r="1">
      <x v="216"/>
      <x v="1396"/>
    </i>
    <i r="1">
      <x v="217"/>
      <x v="883"/>
    </i>
    <i r="1">
      <x v="220"/>
      <x v="987"/>
    </i>
    <i r="1">
      <x v="242"/>
      <x v="1400"/>
    </i>
    <i r="1">
      <x v="246"/>
      <x v="1402"/>
    </i>
    <i r="1">
      <x v="247"/>
      <x v="437"/>
    </i>
    <i r="1">
      <x v="252"/>
      <x v="1209"/>
    </i>
    <i r="1">
      <x v="264"/>
      <x v="443"/>
    </i>
    <i r="1">
      <x v="288"/>
      <x v="460"/>
    </i>
    <i r="1">
      <x v="308"/>
      <x v="464"/>
    </i>
    <i r="1">
      <x v="324"/>
      <x v="474"/>
    </i>
    <i r="1">
      <x v="331"/>
      <x v="1550"/>
    </i>
    <i r="1">
      <x v="365"/>
      <x v="641"/>
    </i>
    <i r="1">
      <x v="368"/>
      <x v="1551"/>
    </i>
    <i r="1">
      <x v="373"/>
      <x v="886"/>
    </i>
    <i r="1">
      <x v="384"/>
      <x v="1408"/>
    </i>
    <i r="1">
      <x v="391"/>
      <x v="1041"/>
    </i>
    <i r="1">
      <x v="392"/>
      <x v="1966"/>
    </i>
    <i r="1">
      <x v="403"/>
      <x v="697"/>
    </i>
    <i r="1">
      <x v="423"/>
      <x v="696"/>
    </i>
    <i r="1">
      <x v="429"/>
      <x v="1410"/>
    </i>
    <i r="1">
      <x v="434"/>
      <x v="707"/>
    </i>
    <i r="1">
      <x v="437"/>
      <x v="1413"/>
    </i>
    <i r="1">
      <x v="443"/>
      <x v="708"/>
    </i>
    <i r="1">
      <x v="451"/>
      <x v="1086"/>
    </i>
    <i r="1">
      <x v="452"/>
      <x v="1088"/>
    </i>
    <i r="1">
      <x v="455"/>
      <x v="730"/>
    </i>
    <i r="1">
      <x v="460"/>
      <x v="1415"/>
    </i>
    <i r="1">
      <x v="461"/>
      <x v="1233"/>
    </i>
    <i r="1">
      <x v="462"/>
      <x v="1236"/>
    </i>
    <i r="1">
      <x v="463"/>
      <x v="731"/>
    </i>
    <i>
      <x v="28"/>
      <x v="469"/>
      <x v="741"/>
    </i>
    <i>
      <x v="29"/>
      <x v="22"/>
      <x v="289"/>
    </i>
    <i r="1">
      <x v="110"/>
      <x v="290"/>
    </i>
    <i r="1">
      <x v="143"/>
      <x v="298"/>
    </i>
    <i r="1">
      <x v="149"/>
      <x v="1587"/>
    </i>
    <i r="1">
      <x v="311"/>
      <x v="466"/>
    </i>
    <i r="1">
      <x v="318"/>
      <x v="1212"/>
    </i>
    <i r="1">
      <x v="337"/>
      <x v="579"/>
    </i>
    <i>
      <x v="30"/>
      <x v="469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1"/>
          </reference>
          <reference field="1" count="1">
            <x v="347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239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39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239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39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1"/>
          </reference>
          <reference field="1" count="1">
            <x v="347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347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347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6"/>
          </reference>
          <reference field="1" count="1">
            <x v="239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39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347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347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8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89"/>
  <sheetViews>
    <sheetView tabSelected="1" zoomScale="66" workbookViewId="0">
      <selection activeCell="C16" sqref="C16"/>
    </sheetView>
  </sheetViews>
  <sheetFormatPr defaultRowHeight="14.5" x14ac:dyDescent="0.35"/>
  <cols>
    <col min="1" max="1" width="72.26953125" bestFit="1" customWidth="1"/>
    <col min="2" max="2" width="59.453125" bestFit="1" customWidth="1"/>
    <col min="3" max="3" width="70.90625" bestFit="1" customWidth="1"/>
    <col min="4" max="4" width="16.26953125" customWidth="1"/>
  </cols>
  <sheetData>
    <row r="1" spans="1:1" x14ac:dyDescent="0.35">
      <c r="A1" s="2" t="s">
        <v>589</v>
      </c>
    </row>
    <row r="3" spans="1:1" x14ac:dyDescent="0.35">
      <c r="A3" s="2" t="s">
        <v>599</v>
      </c>
    </row>
    <row r="4" spans="1:1" x14ac:dyDescent="0.35">
      <c r="A4" t="s">
        <v>593</v>
      </c>
    </row>
    <row r="5" spans="1:1" x14ac:dyDescent="0.35">
      <c r="A5" t="s">
        <v>632</v>
      </c>
    </row>
    <row r="7" spans="1:1" x14ac:dyDescent="0.35">
      <c r="A7" t="s">
        <v>590</v>
      </c>
    </row>
    <row r="8" spans="1:1" x14ac:dyDescent="0.35">
      <c r="A8" t="s">
        <v>591</v>
      </c>
    </row>
    <row r="9" spans="1:1" x14ac:dyDescent="0.35">
      <c r="A9" t="s">
        <v>598</v>
      </c>
    </row>
    <row r="11" spans="1:1" x14ac:dyDescent="0.35">
      <c r="A11" t="s">
        <v>601</v>
      </c>
    </row>
    <row r="12" spans="1:1" x14ac:dyDescent="0.35">
      <c r="A12" t="s">
        <v>592</v>
      </c>
    </row>
    <row r="14" spans="1:1" x14ac:dyDescent="0.35">
      <c r="A14" s="2" t="s">
        <v>600</v>
      </c>
    </row>
    <row r="15" spans="1:1" x14ac:dyDescent="0.35">
      <c r="A15" t="s">
        <v>594</v>
      </c>
    </row>
    <row r="16" spans="1:1" x14ac:dyDescent="0.35">
      <c r="A16" t="s">
        <v>595</v>
      </c>
    </row>
    <row r="17" spans="1:4" x14ac:dyDescent="0.35">
      <c r="A17" t="s">
        <v>596</v>
      </c>
    </row>
    <row r="18" spans="1:4" x14ac:dyDescent="0.35">
      <c r="A18" t="s">
        <v>597</v>
      </c>
    </row>
    <row r="20" spans="1:4" x14ac:dyDescent="0.35">
      <c r="A20" t="s">
        <v>631</v>
      </c>
    </row>
    <row r="21" spans="1:4" x14ac:dyDescent="0.35">
      <c r="A21" t="s">
        <v>630</v>
      </c>
    </row>
    <row r="24" spans="1:4" x14ac:dyDescent="0.35">
      <c r="A24" s="1" t="s">
        <v>584</v>
      </c>
      <c r="B24" s="1" t="s">
        <v>585</v>
      </c>
      <c r="C24" s="1" t="s">
        <v>586</v>
      </c>
      <c r="D24" s="4" t="s">
        <v>587</v>
      </c>
    </row>
    <row r="25" spans="1:4" x14ac:dyDescent="0.35">
      <c r="A25" t="s">
        <v>2</v>
      </c>
      <c r="B25" t="s">
        <v>904</v>
      </c>
      <c r="C25" t="s">
        <v>905</v>
      </c>
      <c r="D25">
        <v>0</v>
      </c>
    </row>
    <row r="26" spans="1:4" x14ac:dyDescent="0.35">
      <c r="A26" t="s">
        <v>2</v>
      </c>
      <c r="B26" t="s">
        <v>1391</v>
      </c>
      <c r="C26" t="s">
        <v>1416</v>
      </c>
      <c r="D26">
        <v>0</v>
      </c>
    </row>
    <row r="27" spans="1:4" x14ac:dyDescent="0.35">
      <c r="A27" t="s">
        <v>2</v>
      </c>
      <c r="B27" t="s">
        <v>1417</v>
      </c>
      <c r="C27" t="s">
        <v>1442</v>
      </c>
      <c r="D27">
        <v>0</v>
      </c>
    </row>
    <row r="28" spans="1:4" x14ac:dyDescent="0.35">
      <c r="A28" t="s">
        <v>2</v>
      </c>
      <c r="B28" t="s">
        <v>1417</v>
      </c>
      <c r="C28" t="s">
        <v>1443</v>
      </c>
      <c r="D28">
        <v>0</v>
      </c>
    </row>
    <row r="29" spans="1:4" x14ac:dyDescent="0.35">
      <c r="A29" t="s">
        <v>2</v>
      </c>
      <c r="B29" t="s">
        <v>648</v>
      </c>
      <c r="C29" t="s">
        <v>649</v>
      </c>
      <c r="D29">
        <v>0</v>
      </c>
    </row>
    <row r="30" spans="1:4" x14ac:dyDescent="0.35">
      <c r="A30" t="s">
        <v>2</v>
      </c>
      <c r="B30" t="s">
        <v>1806</v>
      </c>
      <c r="C30" t="s">
        <v>1808</v>
      </c>
      <c r="D30">
        <v>0</v>
      </c>
    </row>
    <row r="31" spans="1:4" x14ac:dyDescent="0.35">
      <c r="A31" t="s">
        <v>2</v>
      </c>
      <c r="B31" t="s">
        <v>976</v>
      </c>
      <c r="C31" t="s">
        <v>978</v>
      </c>
      <c r="D31">
        <v>0</v>
      </c>
    </row>
    <row r="32" spans="1:4" x14ac:dyDescent="0.35">
      <c r="A32" t="s">
        <v>2</v>
      </c>
      <c r="B32" t="s">
        <v>3</v>
      </c>
      <c r="C32" t="s">
        <v>5</v>
      </c>
      <c r="D32">
        <v>0</v>
      </c>
    </row>
    <row r="33" spans="1:4" x14ac:dyDescent="0.35">
      <c r="A33" t="s">
        <v>2</v>
      </c>
      <c r="B33" t="s">
        <v>6</v>
      </c>
      <c r="C33" t="s">
        <v>7</v>
      </c>
      <c r="D33">
        <v>0</v>
      </c>
    </row>
    <row r="34" spans="1:4" x14ac:dyDescent="0.35">
      <c r="A34" t="s">
        <v>9</v>
      </c>
      <c r="B34" t="s">
        <v>10</v>
      </c>
      <c r="C34" t="s">
        <v>14</v>
      </c>
      <c r="D34">
        <v>0</v>
      </c>
    </row>
    <row r="35" spans="1:4" x14ac:dyDescent="0.35">
      <c r="A35" t="s">
        <v>9</v>
      </c>
      <c r="B35" t="s">
        <v>15</v>
      </c>
      <c r="C35" t="s">
        <v>16</v>
      </c>
      <c r="D35">
        <v>0</v>
      </c>
    </row>
    <row r="36" spans="1:4" x14ac:dyDescent="0.35">
      <c r="A36" t="s">
        <v>9</v>
      </c>
      <c r="B36" t="s">
        <v>1809</v>
      </c>
      <c r="C36" t="s">
        <v>1810</v>
      </c>
      <c r="D36">
        <v>0</v>
      </c>
    </row>
    <row r="37" spans="1:4" x14ac:dyDescent="0.35">
      <c r="A37" t="s">
        <v>9</v>
      </c>
      <c r="B37" t="s">
        <v>1249</v>
      </c>
      <c r="C37" t="s">
        <v>1250</v>
      </c>
      <c r="D37">
        <v>0</v>
      </c>
    </row>
    <row r="38" spans="1:4" x14ac:dyDescent="0.35">
      <c r="A38" t="s">
        <v>9</v>
      </c>
      <c r="B38" t="s">
        <v>32</v>
      </c>
      <c r="C38" t="s">
        <v>33</v>
      </c>
      <c r="D38">
        <v>0</v>
      </c>
    </row>
    <row r="39" spans="1:4" x14ac:dyDescent="0.35">
      <c r="A39" t="s">
        <v>9</v>
      </c>
      <c r="B39" t="s">
        <v>1024</v>
      </c>
      <c r="C39" t="s">
        <v>1025</v>
      </c>
      <c r="D39">
        <v>0</v>
      </c>
    </row>
    <row r="40" spans="1:4" x14ac:dyDescent="0.35">
      <c r="A40" t="s">
        <v>9</v>
      </c>
      <c r="B40" t="s">
        <v>37</v>
      </c>
      <c r="C40" t="s">
        <v>38</v>
      </c>
      <c r="D40">
        <v>0</v>
      </c>
    </row>
    <row r="41" spans="1:4" x14ac:dyDescent="0.35">
      <c r="A41" t="s">
        <v>9</v>
      </c>
      <c r="B41" t="s">
        <v>1444</v>
      </c>
      <c r="C41" t="s">
        <v>1445</v>
      </c>
      <c r="D41">
        <v>0</v>
      </c>
    </row>
    <row r="42" spans="1:4" x14ac:dyDescent="0.35">
      <c r="A42" t="s">
        <v>9</v>
      </c>
      <c r="B42" t="s">
        <v>1444</v>
      </c>
      <c r="C42" t="s">
        <v>1814</v>
      </c>
      <c r="D42">
        <v>0</v>
      </c>
    </row>
    <row r="43" spans="1:4" x14ac:dyDescent="0.35">
      <c r="A43" t="s">
        <v>9</v>
      </c>
      <c r="B43" t="s">
        <v>41</v>
      </c>
      <c r="C43" t="s">
        <v>43</v>
      </c>
      <c r="D43">
        <v>0</v>
      </c>
    </row>
    <row r="44" spans="1:4" x14ac:dyDescent="0.35">
      <c r="A44" t="s">
        <v>9</v>
      </c>
      <c r="B44" t="s">
        <v>44</v>
      </c>
      <c r="C44" t="s">
        <v>45</v>
      </c>
      <c r="D44">
        <v>0</v>
      </c>
    </row>
    <row r="45" spans="1:4" x14ac:dyDescent="0.35">
      <c r="A45" t="s">
        <v>9</v>
      </c>
      <c r="B45" t="s">
        <v>46</v>
      </c>
      <c r="C45" t="s">
        <v>47</v>
      </c>
      <c r="D45">
        <v>0</v>
      </c>
    </row>
    <row r="46" spans="1:4" x14ac:dyDescent="0.35">
      <c r="A46" t="s">
        <v>9</v>
      </c>
      <c r="B46" t="s">
        <v>49</v>
      </c>
      <c r="C46" t="s">
        <v>50</v>
      </c>
      <c r="D46">
        <v>0</v>
      </c>
    </row>
    <row r="47" spans="1:4" x14ac:dyDescent="0.35">
      <c r="A47" t="s">
        <v>9</v>
      </c>
      <c r="B47" t="s">
        <v>52</v>
      </c>
      <c r="C47" t="s">
        <v>53</v>
      </c>
      <c r="D47">
        <v>0</v>
      </c>
    </row>
    <row r="48" spans="1:4" x14ac:dyDescent="0.35">
      <c r="A48" t="s">
        <v>9</v>
      </c>
      <c r="B48" t="s">
        <v>55</v>
      </c>
      <c r="C48" t="s">
        <v>56</v>
      </c>
      <c r="D48">
        <v>0</v>
      </c>
    </row>
    <row r="49" spans="1:4" x14ac:dyDescent="0.35">
      <c r="A49" t="s">
        <v>9</v>
      </c>
      <c r="B49" t="s">
        <v>58</v>
      </c>
      <c r="C49" t="s">
        <v>60</v>
      </c>
      <c r="D49">
        <v>0</v>
      </c>
    </row>
    <row r="50" spans="1:4" x14ac:dyDescent="0.35">
      <c r="A50" t="s">
        <v>9</v>
      </c>
      <c r="B50" t="s">
        <v>792</v>
      </c>
      <c r="C50" t="s">
        <v>802</v>
      </c>
      <c r="D50">
        <v>0</v>
      </c>
    </row>
    <row r="51" spans="1:4" x14ac:dyDescent="0.35">
      <c r="A51" t="s">
        <v>9</v>
      </c>
      <c r="B51" t="s">
        <v>1449</v>
      </c>
      <c r="C51" t="s">
        <v>1450</v>
      </c>
      <c r="D51">
        <v>0</v>
      </c>
    </row>
    <row r="52" spans="1:4" x14ac:dyDescent="0.35">
      <c r="A52" t="s">
        <v>9</v>
      </c>
      <c r="B52" t="s">
        <v>61</v>
      </c>
      <c r="C52" t="s">
        <v>62</v>
      </c>
      <c r="D52">
        <v>0</v>
      </c>
    </row>
    <row r="53" spans="1:4" x14ac:dyDescent="0.35">
      <c r="A53" t="s">
        <v>9</v>
      </c>
      <c r="B53" t="s">
        <v>64</v>
      </c>
      <c r="C53" t="s">
        <v>66</v>
      </c>
      <c r="D53">
        <v>0</v>
      </c>
    </row>
    <row r="54" spans="1:4" x14ac:dyDescent="0.35">
      <c r="A54" t="s">
        <v>9</v>
      </c>
      <c r="B54" t="s">
        <v>67</v>
      </c>
      <c r="C54" t="s">
        <v>68</v>
      </c>
      <c r="D54">
        <v>0</v>
      </c>
    </row>
    <row r="55" spans="1:4" x14ac:dyDescent="0.35">
      <c r="A55" t="s">
        <v>9</v>
      </c>
      <c r="B55" t="s">
        <v>70</v>
      </c>
      <c r="C55" t="s">
        <v>71</v>
      </c>
      <c r="D55">
        <v>0</v>
      </c>
    </row>
    <row r="56" spans="1:4" x14ac:dyDescent="0.35">
      <c r="A56" t="s">
        <v>9</v>
      </c>
      <c r="B56" t="s">
        <v>73</v>
      </c>
      <c r="C56" t="s">
        <v>74</v>
      </c>
      <c r="D56">
        <v>0</v>
      </c>
    </row>
    <row r="57" spans="1:4" x14ac:dyDescent="0.35">
      <c r="A57" t="s">
        <v>9</v>
      </c>
      <c r="B57" t="s">
        <v>76</v>
      </c>
      <c r="C57" t="s">
        <v>78</v>
      </c>
      <c r="D57">
        <v>0</v>
      </c>
    </row>
    <row r="58" spans="1:4" x14ac:dyDescent="0.35">
      <c r="A58" t="s">
        <v>9</v>
      </c>
      <c r="B58" t="s">
        <v>665</v>
      </c>
      <c r="C58" t="s">
        <v>666</v>
      </c>
      <c r="D58">
        <v>0</v>
      </c>
    </row>
    <row r="59" spans="1:4" x14ac:dyDescent="0.35">
      <c r="A59" t="s">
        <v>9</v>
      </c>
      <c r="B59" t="s">
        <v>1452</v>
      </c>
      <c r="C59" t="s">
        <v>1454</v>
      </c>
      <c r="D59">
        <v>0</v>
      </c>
    </row>
    <row r="60" spans="1:4" x14ac:dyDescent="0.35">
      <c r="A60" t="s">
        <v>9</v>
      </c>
      <c r="B60" t="s">
        <v>668</v>
      </c>
      <c r="C60" t="s">
        <v>669</v>
      </c>
      <c r="D60">
        <v>0</v>
      </c>
    </row>
    <row r="61" spans="1:4" x14ac:dyDescent="0.35">
      <c r="A61" t="s">
        <v>9</v>
      </c>
      <c r="B61" t="s">
        <v>847</v>
      </c>
      <c r="C61" t="s">
        <v>848</v>
      </c>
      <c r="D61">
        <v>0</v>
      </c>
    </row>
    <row r="62" spans="1:4" x14ac:dyDescent="0.35">
      <c r="A62" t="s">
        <v>9</v>
      </c>
      <c r="B62" t="s">
        <v>79</v>
      </c>
      <c r="C62" t="s">
        <v>80</v>
      </c>
      <c r="D62">
        <v>0</v>
      </c>
    </row>
    <row r="63" spans="1:4" x14ac:dyDescent="0.35">
      <c r="A63" t="s">
        <v>9</v>
      </c>
      <c r="B63" t="s">
        <v>822</v>
      </c>
      <c r="C63" t="s">
        <v>823</v>
      </c>
      <c r="D63">
        <v>0</v>
      </c>
    </row>
    <row r="64" spans="1:4" x14ac:dyDescent="0.35">
      <c r="A64" t="s">
        <v>9</v>
      </c>
      <c r="B64" t="s">
        <v>673</v>
      </c>
      <c r="C64" t="s">
        <v>674</v>
      </c>
      <c r="D64">
        <v>0</v>
      </c>
    </row>
    <row r="65" spans="1:4" x14ac:dyDescent="0.35">
      <c r="A65" t="s">
        <v>9</v>
      </c>
      <c r="B65" t="s">
        <v>678</v>
      </c>
      <c r="C65" t="s">
        <v>679</v>
      </c>
      <c r="D65">
        <v>0</v>
      </c>
    </row>
    <row r="66" spans="1:4" x14ac:dyDescent="0.35">
      <c r="A66" t="s">
        <v>82</v>
      </c>
      <c r="B66" t="s">
        <v>1027</v>
      </c>
      <c r="C66" t="s">
        <v>1028</v>
      </c>
      <c r="D66">
        <v>0</v>
      </c>
    </row>
    <row r="67" spans="1:4" x14ac:dyDescent="0.35">
      <c r="A67" t="s">
        <v>82</v>
      </c>
      <c r="B67" t="s">
        <v>1203</v>
      </c>
      <c r="C67" t="s">
        <v>1204</v>
      </c>
      <c r="D67">
        <v>0</v>
      </c>
    </row>
    <row r="68" spans="1:4" x14ac:dyDescent="0.35">
      <c r="A68" t="s">
        <v>82</v>
      </c>
      <c r="B68" t="s">
        <v>1207</v>
      </c>
      <c r="C68" t="s">
        <v>1208</v>
      </c>
      <c r="D68">
        <v>0</v>
      </c>
    </row>
    <row r="69" spans="1:4" x14ac:dyDescent="0.35">
      <c r="A69" t="s">
        <v>82</v>
      </c>
      <c r="B69" t="s">
        <v>83</v>
      </c>
      <c r="C69" t="s">
        <v>681</v>
      </c>
      <c r="D69">
        <v>0</v>
      </c>
    </row>
    <row r="70" spans="1:4" x14ac:dyDescent="0.35">
      <c r="A70" t="s">
        <v>82</v>
      </c>
      <c r="B70" t="s">
        <v>633</v>
      </c>
      <c r="C70" t="s">
        <v>634</v>
      </c>
      <c r="D70">
        <v>0</v>
      </c>
    </row>
    <row r="71" spans="1:4" x14ac:dyDescent="0.35">
      <c r="A71" t="s">
        <v>82</v>
      </c>
      <c r="B71" t="s">
        <v>1455</v>
      </c>
      <c r="C71" t="s">
        <v>1456</v>
      </c>
      <c r="D71">
        <v>0</v>
      </c>
    </row>
    <row r="72" spans="1:4" x14ac:dyDescent="0.35">
      <c r="A72" t="s">
        <v>82</v>
      </c>
      <c r="B72" t="s">
        <v>1459</v>
      </c>
      <c r="C72" t="s">
        <v>1462</v>
      </c>
      <c r="D72">
        <v>0</v>
      </c>
    </row>
    <row r="73" spans="1:4" x14ac:dyDescent="0.35">
      <c r="A73" t="s">
        <v>82</v>
      </c>
      <c r="B73" t="s">
        <v>1463</v>
      </c>
      <c r="C73" t="s">
        <v>1464</v>
      </c>
      <c r="D73">
        <v>0</v>
      </c>
    </row>
    <row r="74" spans="1:4" x14ac:dyDescent="0.35">
      <c r="A74" t="s">
        <v>82</v>
      </c>
      <c r="B74" t="s">
        <v>1815</v>
      </c>
      <c r="C74" t="s">
        <v>1817</v>
      </c>
      <c r="D74">
        <v>0</v>
      </c>
    </row>
    <row r="75" spans="1:4" x14ac:dyDescent="0.35">
      <c r="A75" t="s">
        <v>82</v>
      </c>
      <c r="B75" t="s">
        <v>1466</v>
      </c>
      <c r="C75" t="s">
        <v>1467</v>
      </c>
      <c r="D75">
        <v>0</v>
      </c>
    </row>
    <row r="76" spans="1:4" x14ac:dyDescent="0.35">
      <c r="A76" t="s">
        <v>82</v>
      </c>
      <c r="B76" t="s">
        <v>1264</v>
      </c>
      <c r="C76" t="s">
        <v>1265</v>
      </c>
      <c r="D76">
        <v>0</v>
      </c>
    </row>
    <row r="77" spans="1:4" x14ac:dyDescent="0.35">
      <c r="A77" t="s">
        <v>84</v>
      </c>
      <c r="B77" t="s">
        <v>85</v>
      </c>
      <c r="C77" t="s">
        <v>86</v>
      </c>
      <c r="D77">
        <v>0</v>
      </c>
    </row>
    <row r="78" spans="1:4" x14ac:dyDescent="0.35">
      <c r="A78" t="s">
        <v>84</v>
      </c>
      <c r="B78" t="s">
        <v>682</v>
      </c>
      <c r="C78" t="s">
        <v>684</v>
      </c>
      <c r="D78">
        <v>0</v>
      </c>
    </row>
    <row r="79" spans="1:4" x14ac:dyDescent="0.35">
      <c r="A79" t="s">
        <v>821</v>
      </c>
      <c r="B79" t="s">
        <v>1469</v>
      </c>
      <c r="C79" t="s">
        <v>1470</v>
      </c>
      <c r="D79">
        <v>0</v>
      </c>
    </row>
    <row r="80" spans="1:4" x14ac:dyDescent="0.35">
      <c r="A80" t="s">
        <v>821</v>
      </c>
      <c r="B80" t="s">
        <v>688</v>
      </c>
      <c r="C80" t="s">
        <v>690</v>
      </c>
      <c r="D80">
        <v>0</v>
      </c>
    </row>
    <row r="81" spans="1:4" x14ac:dyDescent="0.35">
      <c r="A81" t="s">
        <v>636</v>
      </c>
      <c r="B81" t="s">
        <v>288</v>
      </c>
      <c r="C81" t="s">
        <v>290</v>
      </c>
      <c r="D81">
        <v>0</v>
      </c>
    </row>
    <row r="82" spans="1:4" x14ac:dyDescent="0.35">
      <c r="A82" t="s">
        <v>636</v>
      </c>
      <c r="B82" t="s">
        <v>935</v>
      </c>
      <c r="C82" t="s">
        <v>937</v>
      </c>
      <c r="D82">
        <v>0</v>
      </c>
    </row>
    <row r="83" spans="1:4" x14ac:dyDescent="0.35">
      <c r="A83" t="s">
        <v>636</v>
      </c>
      <c r="B83" t="s">
        <v>685</v>
      </c>
      <c r="C83" t="s">
        <v>687</v>
      </c>
      <c r="D83">
        <v>0</v>
      </c>
    </row>
    <row r="84" spans="1:4" x14ac:dyDescent="0.35">
      <c r="A84" t="s">
        <v>636</v>
      </c>
      <c r="B84" t="s">
        <v>291</v>
      </c>
      <c r="C84" t="s">
        <v>293</v>
      </c>
      <c r="D84">
        <v>0</v>
      </c>
    </row>
    <row r="85" spans="1:4" x14ac:dyDescent="0.35">
      <c r="A85" t="s">
        <v>636</v>
      </c>
      <c r="B85" t="s">
        <v>637</v>
      </c>
      <c r="C85" t="s">
        <v>638</v>
      </c>
      <c r="D85">
        <v>0</v>
      </c>
    </row>
    <row r="86" spans="1:4" x14ac:dyDescent="0.35">
      <c r="A86" t="s">
        <v>636</v>
      </c>
      <c r="B86" t="s">
        <v>1029</v>
      </c>
      <c r="C86" t="s">
        <v>1031</v>
      </c>
      <c r="D86">
        <v>0</v>
      </c>
    </row>
    <row r="87" spans="1:4" x14ac:dyDescent="0.35">
      <c r="A87" t="s">
        <v>636</v>
      </c>
      <c r="B87" t="s">
        <v>850</v>
      </c>
      <c r="C87" t="s">
        <v>852</v>
      </c>
      <c r="D87">
        <v>0</v>
      </c>
    </row>
    <row r="88" spans="1:4" x14ac:dyDescent="0.35">
      <c r="A88" t="s">
        <v>636</v>
      </c>
      <c r="B88" t="s">
        <v>295</v>
      </c>
      <c r="C88" t="s">
        <v>297</v>
      </c>
      <c r="D88">
        <v>0</v>
      </c>
    </row>
    <row r="89" spans="1:4" x14ac:dyDescent="0.35">
      <c r="A89" t="s">
        <v>636</v>
      </c>
      <c r="B89" t="s">
        <v>938</v>
      </c>
      <c r="C89" t="s">
        <v>939</v>
      </c>
      <c r="D89">
        <v>0</v>
      </c>
    </row>
    <row r="90" spans="1:4" x14ac:dyDescent="0.35">
      <c r="A90" t="s">
        <v>636</v>
      </c>
      <c r="B90" t="s">
        <v>1472</v>
      </c>
      <c r="C90" t="s">
        <v>1473</v>
      </c>
      <c r="D90">
        <v>0</v>
      </c>
    </row>
    <row r="91" spans="1:4" x14ac:dyDescent="0.35">
      <c r="A91" t="s">
        <v>636</v>
      </c>
      <c r="B91" t="s">
        <v>298</v>
      </c>
      <c r="C91" t="s">
        <v>299</v>
      </c>
      <c r="D91">
        <v>0</v>
      </c>
    </row>
    <row r="92" spans="1:4" x14ac:dyDescent="0.35">
      <c r="A92" t="s">
        <v>636</v>
      </c>
      <c r="B92" t="s">
        <v>1818</v>
      </c>
      <c r="C92" t="s">
        <v>1819</v>
      </c>
      <c r="D92">
        <v>0</v>
      </c>
    </row>
    <row r="93" spans="1:4" x14ac:dyDescent="0.35">
      <c r="A93" t="s">
        <v>636</v>
      </c>
      <c r="B93" t="s">
        <v>1475</v>
      </c>
      <c r="C93" t="s">
        <v>1477</v>
      </c>
      <c r="D93">
        <v>0</v>
      </c>
    </row>
    <row r="94" spans="1:4" x14ac:dyDescent="0.35">
      <c r="A94" t="s">
        <v>636</v>
      </c>
      <c r="B94" t="s">
        <v>979</v>
      </c>
      <c r="C94" t="s">
        <v>982</v>
      </c>
      <c r="D94">
        <v>0</v>
      </c>
    </row>
    <row r="95" spans="1:4" x14ac:dyDescent="0.35">
      <c r="A95" t="s">
        <v>636</v>
      </c>
      <c r="B95" t="s">
        <v>639</v>
      </c>
      <c r="C95" t="s">
        <v>640</v>
      </c>
      <c r="D95">
        <v>0</v>
      </c>
    </row>
    <row r="96" spans="1:4" x14ac:dyDescent="0.35">
      <c r="A96" t="s">
        <v>636</v>
      </c>
      <c r="B96" t="s">
        <v>1478</v>
      </c>
      <c r="C96" t="s">
        <v>1479</v>
      </c>
      <c r="D96">
        <v>0</v>
      </c>
    </row>
    <row r="97" spans="1:4" x14ac:dyDescent="0.35">
      <c r="A97" t="s">
        <v>636</v>
      </c>
      <c r="B97" t="s">
        <v>736</v>
      </c>
      <c r="C97" t="s">
        <v>737</v>
      </c>
      <c r="D97">
        <v>0</v>
      </c>
    </row>
    <row r="98" spans="1:4" x14ac:dyDescent="0.35">
      <c r="A98" t="s">
        <v>636</v>
      </c>
      <c r="B98" t="s">
        <v>1825</v>
      </c>
      <c r="C98" t="s">
        <v>1826</v>
      </c>
      <c r="D98">
        <v>0</v>
      </c>
    </row>
    <row r="99" spans="1:4" x14ac:dyDescent="0.35">
      <c r="A99" t="s">
        <v>636</v>
      </c>
      <c r="B99" t="s">
        <v>1481</v>
      </c>
      <c r="C99" t="s">
        <v>1483</v>
      </c>
      <c r="D99">
        <v>0</v>
      </c>
    </row>
    <row r="100" spans="1:4" x14ac:dyDescent="0.35">
      <c r="A100" t="s">
        <v>88</v>
      </c>
      <c r="B100" t="s">
        <v>89</v>
      </c>
      <c r="C100" t="s">
        <v>90</v>
      </c>
      <c r="D100">
        <v>0</v>
      </c>
    </row>
    <row r="101" spans="1:4" x14ac:dyDescent="0.35">
      <c r="A101" t="s">
        <v>88</v>
      </c>
      <c r="B101" t="s">
        <v>92</v>
      </c>
      <c r="C101" t="s">
        <v>93</v>
      </c>
      <c r="D101">
        <v>0</v>
      </c>
    </row>
    <row r="102" spans="1:4" x14ac:dyDescent="0.35">
      <c r="A102" t="s">
        <v>88</v>
      </c>
      <c r="B102" t="s">
        <v>1487</v>
      </c>
      <c r="C102" t="s">
        <v>1489</v>
      </c>
      <c r="D102">
        <v>0</v>
      </c>
    </row>
    <row r="103" spans="1:4" x14ac:dyDescent="0.35">
      <c r="A103" t="s">
        <v>88</v>
      </c>
      <c r="B103" t="s">
        <v>95</v>
      </c>
      <c r="C103" t="s">
        <v>96</v>
      </c>
      <c r="D103">
        <v>0</v>
      </c>
    </row>
    <row r="104" spans="1:4" x14ac:dyDescent="0.35">
      <c r="A104" t="s">
        <v>88</v>
      </c>
      <c r="B104" t="s">
        <v>906</v>
      </c>
      <c r="C104" t="s">
        <v>908</v>
      </c>
      <c r="D104">
        <v>0</v>
      </c>
    </row>
    <row r="105" spans="1:4" x14ac:dyDescent="0.35">
      <c r="A105" t="s">
        <v>88</v>
      </c>
      <c r="B105" t="s">
        <v>98</v>
      </c>
      <c r="C105" t="s">
        <v>99</v>
      </c>
      <c r="D105">
        <v>0</v>
      </c>
    </row>
    <row r="106" spans="1:4" x14ac:dyDescent="0.35">
      <c r="A106" t="s">
        <v>101</v>
      </c>
      <c r="B106" t="s">
        <v>1490</v>
      </c>
      <c r="C106" t="s">
        <v>1492</v>
      </c>
      <c r="D106">
        <v>0</v>
      </c>
    </row>
    <row r="107" spans="1:4" x14ac:dyDescent="0.35">
      <c r="A107" t="s">
        <v>101</v>
      </c>
      <c r="B107" t="s">
        <v>1350</v>
      </c>
      <c r="C107" t="s">
        <v>1351</v>
      </c>
      <c r="D107">
        <v>0</v>
      </c>
    </row>
    <row r="108" spans="1:4" x14ac:dyDescent="0.35">
      <c r="A108" t="s">
        <v>101</v>
      </c>
      <c r="B108" t="s">
        <v>1353</v>
      </c>
      <c r="C108" t="s">
        <v>1354</v>
      </c>
      <c r="D108">
        <v>0</v>
      </c>
    </row>
    <row r="109" spans="1:4" x14ac:dyDescent="0.35">
      <c r="A109" t="s">
        <v>101</v>
      </c>
      <c r="B109" t="s">
        <v>1037</v>
      </c>
      <c r="C109" t="s">
        <v>1038</v>
      </c>
      <c r="D109">
        <v>0</v>
      </c>
    </row>
    <row r="110" spans="1:4" x14ac:dyDescent="0.35">
      <c r="A110" t="s">
        <v>101</v>
      </c>
      <c r="B110" t="s">
        <v>102</v>
      </c>
      <c r="C110" t="s">
        <v>103</v>
      </c>
      <c r="D110">
        <v>0</v>
      </c>
    </row>
    <row r="111" spans="1:4" x14ac:dyDescent="0.35">
      <c r="A111" t="s">
        <v>101</v>
      </c>
      <c r="B111" t="s">
        <v>104</v>
      </c>
      <c r="C111" t="s">
        <v>105</v>
      </c>
      <c r="D111">
        <v>0</v>
      </c>
    </row>
    <row r="112" spans="1:4" x14ac:dyDescent="0.35">
      <c r="A112" t="s">
        <v>101</v>
      </c>
      <c r="B112" t="s">
        <v>1041</v>
      </c>
      <c r="C112" t="s">
        <v>1043</v>
      </c>
      <c r="D112">
        <v>0</v>
      </c>
    </row>
    <row r="113" spans="1:4" x14ac:dyDescent="0.35">
      <c r="A113" t="s">
        <v>101</v>
      </c>
      <c r="B113" t="s">
        <v>1210</v>
      </c>
      <c r="C113" t="s">
        <v>1211</v>
      </c>
      <c r="D113">
        <v>0</v>
      </c>
    </row>
    <row r="114" spans="1:4" x14ac:dyDescent="0.35">
      <c r="A114" t="s">
        <v>101</v>
      </c>
      <c r="B114" t="s">
        <v>107</v>
      </c>
      <c r="C114" t="s">
        <v>108</v>
      </c>
      <c r="D114">
        <v>0</v>
      </c>
    </row>
    <row r="115" spans="1:4" x14ac:dyDescent="0.35">
      <c r="A115" t="s">
        <v>101</v>
      </c>
      <c r="B115" t="s">
        <v>1044</v>
      </c>
      <c r="C115" t="s">
        <v>1045</v>
      </c>
      <c r="D115">
        <v>0</v>
      </c>
    </row>
    <row r="116" spans="1:4" x14ac:dyDescent="0.35">
      <c r="A116" t="s">
        <v>101</v>
      </c>
      <c r="B116" t="s">
        <v>110</v>
      </c>
      <c r="C116" t="s">
        <v>111</v>
      </c>
      <c r="D116">
        <v>0</v>
      </c>
    </row>
    <row r="117" spans="1:4" x14ac:dyDescent="0.35">
      <c r="A117" t="s">
        <v>101</v>
      </c>
      <c r="B117" t="s">
        <v>113</v>
      </c>
      <c r="C117" t="s">
        <v>114</v>
      </c>
      <c r="D117">
        <v>0</v>
      </c>
    </row>
    <row r="118" spans="1:4" x14ac:dyDescent="0.35">
      <c r="A118" t="s">
        <v>101</v>
      </c>
      <c r="B118" t="s">
        <v>1356</v>
      </c>
      <c r="C118" t="s">
        <v>1357</v>
      </c>
      <c r="D118">
        <v>0</v>
      </c>
    </row>
    <row r="119" spans="1:4" x14ac:dyDescent="0.35">
      <c r="A119" t="s">
        <v>101</v>
      </c>
      <c r="B119" t="s">
        <v>1494</v>
      </c>
      <c r="C119" t="s">
        <v>1495</v>
      </c>
      <c r="D119">
        <v>0</v>
      </c>
    </row>
    <row r="120" spans="1:4" x14ac:dyDescent="0.35">
      <c r="A120" t="s">
        <v>101</v>
      </c>
      <c r="B120" t="s">
        <v>1214</v>
      </c>
      <c r="C120" t="s">
        <v>1215</v>
      </c>
      <c r="D120">
        <v>0</v>
      </c>
    </row>
    <row r="121" spans="1:4" x14ac:dyDescent="0.35">
      <c r="A121" t="s">
        <v>101</v>
      </c>
      <c r="B121" t="s">
        <v>1217</v>
      </c>
      <c r="C121" t="s">
        <v>1218</v>
      </c>
      <c r="D121">
        <v>0</v>
      </c>
    </row>
    <row r="122" spans="1:4" x14ac:dyDescent="0.35">
      <c r="A122" t="s">
        <v>101</v>
      </c>
      <c r="B122" t="s">
        <v>1830</v>
      </c>
      <c r="C122" t="s">
        <v>1831</v>
      </c>
      <c r="D122">
        <v>0</v>
      </c>
    </row>
    <row r="123" spans="1:4" x14ac:dyDescent="0.35">
      <c r="A123" t="s">
        <v>101</v>
      </c>
      <c r="B123" t="s">
        <v>1221</v>
      </c>
      <c r="C123" t="s">
        <v>1222</v>
      </c>
      <c r="D123">
        <v>0</v>
      </c>
    </row>
    <row r="124" spans="1:4" x14ac:dyDescent="0.35">
      <c r="A124" t="s">
        <v>101</v>
      </c>
      <c r="B124" t="s">
        <v>116</v>
      </c>
      <c r="C124" t="s">
        <v>117</v>
      </c>
      <c r="D124">
        <v>0</v>
      </c>
    </row>
    <row r="125" spans="1:4" x14ac:dyDescent="0.35">
      <c r="A125" t="s">
        <v>101</v>
      </c>
      <c r="B125" t="s">
        <v>1048</v>
      </c>
      <c r="C125" t="s">
        <v>1049</v>
      </c>
      <c r="D125">
        <v>0</v>
      </c>
    </row>
    <row r="126" spans="1:4" x14ac:dyDescent="0.35">
      <c r="A126" t="s">
        <v>101</v>
      </c>
      <c r="B126" t="s">
        <v>119</v>
      </c>
      <c r="C126" t="s">
        <v>120</v>
      </c>
      <c r="D126">
        <v>0</v>
      </c>
    </row>
    <row r="127" spans="1:4" x14ac:dyDescent="0.35">
      <c r="A127" t="s">
        <v>101</v>
      </c>
      <c r="B127" t="s">
        <v>1276</v>
      </c>
      <c r="C127" t="s">
        <v>1278</v>
      </c>
      <c r="D127">
        <v>0</v>
      </c>
    </row>
    <row r="128" spans="1:4" x14ac:dyDescent="0.35">
      <c r="A128" t="s">
        <v>101</v>
      </c>
      <c r="B128" t="s">
        <v>1497</v>
      </c>
      <c r="C128" t="s">
        <v>1498</v>
      </c>
      <c r="D128">
        <v>0</v>
      </c>
    </row>
    <row r="129" spans="1:4" x14ac:dyDescent="0.35">
      <c r="A129" t="s">
        <v>101</v>
      </c>
      <c r="B129" t="s">
        <v>853</v>
      </c>
      <c r="C129" t="s">
        <v>854</v>
      </c>
      <c r="D129">
        <v>0</v>
      </c>
    </row>
    <row r="130" spans="1:4" x14ac:dyDescent="0.35">
      <c r="A130" t="s">
        <v>101</v>
      </c>
      <c r="B130" t="s">
        <v>1279</v>
      </c>
      <c r="C130" t="s">
        <v>1280</v>
      </c>
      <c r="D130">
        <v>0</v>
      </c>
    </row>
    <row r="131" spans="1:4" x14ac:dyDescent="0.35">
      <c r="A131" t="s">
        <v>101</v>
      </c>
      <c r="B131" t="s">
        <v>1282</v>
      </c>
      <c r="C131" t="s">
        <v>1283</v>
      </c>
      <c r="D131">
        <v>0</v>
      </c>
    </row>
    <row r="132" spans="1:4" x14ac:dyDescent="0.35">
      <c r="A132" t="s">
        <v>101</v>
      </c>
      <c r="B132" t="s">
        <v>1055</v>
      </c>
      <c r="C132" t="s">
        <v>1057</v>
      </c>
      <c r="D132">
        <v>0</v>
      </c>
    </row>
    <row r="133" spans="1:4" x14ac:dyDescent="0.35">
      <c r="A133" t="s">
        <v>101</v>
      </c>
      <c r="B133" t="s">
        <v>122</v>
      </c>
      <c r="C133" t="s">
        <v>124</v>
      </c>
      <c r="D133">
        <v>0</v>
      </c>
    </row>
    <row r="134" spans="1:4" x14ac:dyDescent="0.35">
      <c r="A134" t="s">
        <v>101</v>
      </c>
      <c r="B134" t="s">
        <v>125</v>
      </c>
      <c r="C134" t="s">
        <v>126</v>
      </c>
      <c r="D134">
        <v>0</v>
      </c>
    </row>
    <row r="135" spans="1:4" x14ac:dyDescent="0.35">
      <c r="A135" t="s">
        <v>101</v>
      </c>
      <c r="B135" t="s">
        <v>128</v>
      </c>
      <c r="C135" t="s">
        <v>129</v>
      </c>
      <c r="D135">
        <v>0</v>
      </c>
    </row>
    <row r="136" spans="1:4" x14ac:dyDescent="0.35">
      <c r="A136" t="s">
        <v>101</v>
      </c>
      <c r="B136" t="s">
        <v>132</v>
      </c>
      <c r="C136" t="s">
        <v>133</v>
      </c>
      <c r="D136">
        <v>0</v>
      </c>
    </row>
    <row r="137" spans="1:4" x14ac:dyDescent="0.35">
      <c r="A137" t="s">
        <v>101</v>
      </c>
      <c r="B137" t="s">
        <v>1059</v>
      </c>
      <c r="C137" t="s">
        <v>1062</v>
      </c>
      <c r="D137">
        <v>0</v>
      </c>
    </row>
    <row r="138" spans="1:4" x14ac:dyDescent="0.35">
      <c r="A138" t="s">
        <v>101</v>
      </c>
      <c r="B138" t="s">
        <v>136</v>
      </c>
      <c r="C138" t="s">
        <v>139</v>
      </c>
      <c r="D138">
        <v>0</v>
      </c>
    </row>
    <row r="139" spans="1:4" x14ac:dyDescent="0.35">
      <c r="A139" t="s">
        <v>101</v>
      </c>
      <c r="B139" t="s">
        <v>1225</v>
      </c>
      <c r="C139" t="s">
        <v>1226</v>
      </c>
      <c r="D139">
        <v>0</v>
      </c>
    </row>
    <row r="140" spans="1:4" x14ac:dyDescent="0.35">
      <c r="A140" t="s">
        <v>101</v>
      </c>
      <c r="B140" t="s">
        <v>1287</v>
      </c>
      <c r="C140" t="s">
        <v>1288</v>
      </c>
      <c r="D140">
        <v>0</v>
      </c>
    </row>
    <row r="141" spans="1:4" x14ac:dyDescent="0.35">
      <c r="A141" t="s">
        <v>101</v>
      </c>
      <c r="B141" t="s">
        <v>1833</v>
      </c>
      <c r="C141" t="s">
        <v>1835</v>
      </c>
      <c r="D141">
        <v>0</v>
      </c>
    </row>
    <row r="142" spans="1:4" x14ac:dyDescent="0.35">
      <c r="A142" t="s">
        <v>101</v>
      </c>
      <c r="B142" t="s">
        <v>1291</v>
      </c>
      <c r="C142" t="s">
        <v>1293</v>
      </c>
      <c r="D142">
        <v>0</v>
      </c>
    </row>
    <row r="143" spans="1:4" x14ac:dyDescent="0.35">
      <c r="A143" t="s">
        <v>101</v>
      </c>
      <c r="B143" t="s">
        <v>825</v>
      </c>
      <c r="C143" t="s">
        <v>826</v>
      </c>
      <c r="D143">
        <v>0</v>
      </c>
    </row>
    <row r="144" spans="1:4" x14ac:dyDescent="0.35">
      <c r="A144" t="s">
        <v>101</v>
      </c>
      <c r="B144" t="s">
        <v>140</v>
      </c>
      <c r="C144" t="s">
        <v>142</v>
      </c>
      <c r="D144">
        <v>0</v>
      </c>
    </row>
    <row r="145" spans="1:4" x14ac:dyDescent="0.35">
      <c r="A145" t="s">
        <v>101</v>
      </c>
      <c r="B145" t="s">
        <v>1500</v>
      </c>
      <c r="C145" t="s">
        <v>1502</v>
      </c>
      <c r="D145">
        <v>0</v>
      </c>
    </row>
    <row r="146" spans="1:4" x14ac:dyDescent="0.35">
      <c r="A146" t="s">
        <v>101</v>
      </c>
      <c r="B146" t="s">
        <v>1503</v>
      </c>
      <c r="C146" t="s">
        <v>1505</v>
      </c>
      <c r="D146">
        <v>0</v>
      </c>
    </row>
    <row r="147" spans="1:4" x14ac:dyDescent="0.35">
      <c r="A147" t="s">
        <v>101</v>
      </c>
      <c r="B147" t="s">
        <v>1294</v>
      </c>
      <c r="C147" t="s">
        <v>1296</v>
      </c>
      <c r="D147">
        <v>0</v>
      </c>
    </row>
    <row r="148" spans="1:4" x14ac:dyDescent="0.35">
      <c r="A148" t="s">
        <v>101</v>
      </c>
      <c r="B148" t="s">
        <v>1297</v>
      </c>
      <c r="C148" t="s">
        <v>1298</v>
      </c>
      <c r="D148">
        <v>0</v>
      </c>
    </row>
    <row r="149" spans="1:4" x14ac:dyDescent="0.35">
      <c r="A149" t="s">
        <v>101</v>
      </c>
      <c r="B149" t="s">
        <v>1064</v>
      </c>
      <c r="C149" t="s">
        <v>1066</v>
      </c>
      <c r="D149">
        <v>0</v>
      </c>
    </row>
    <row r="150" spans="1:4" x14ac:dyDescent="0.35">
      <c r="A150" t="s">
        <v>101</v>
      </c>
      <c r="B150" t="s">
        <v>1067</v>
      </c>
      <c r="C150" t="s">
        <v>1069</v>
      </c>
      <c r="D150">
        <v>0</v>
      </c>
    </row>
    <row r="151" spans="1:4" x14ac:dyDescent="0.35">
      <c r="A151" t="s">
        <v>101</v>
      </c>
      <c r="B151" t="s">
        <v>1359</v>
      </c>
      <c r="C151" t="s">
        <v>1362</v>
      </c>
      <c r="D151">
        <v>0</v>
      </c>
    </row>
    <row r="152" spans="1:4" x14ac:dyDescent="0.35">
      <c r="A152" t="s">
        <v>101</v>
      </c>
      <c r="B152" t="s">
        <v>1070</v>
      </c>
      <c r="C152" t="s">
        <v>1071</v>
      </c>
      <c r="D152">
        <v>0</v>
      </c>
    </row>
    <row r="153" spans="1:4" x14ac:dyDescent="0.35">
      <c r="A153" t="s">
        <v>101</v>
      </c>
      <c r="B153" t="s">
        <v>1073</v>
      </c>
      <c r="C153" t="s">
        <v>1074</v>
      </c>
      <c r="D153">
        <v>0</v>
      </c>
    </row>
    <row r="154" spans="1:4" x14ac:dyDescent="0.35">
      <c r="A154" t="s">
        <v>101</v>
      </c>
      <c r="B154" t="s">
        <v>143</v>
      </c>
      <c r="C154" t="s">
        <v>144</v>
      </c>
      <c r="D154">
        <v>0</v>
      </c>
    </row>
    <row r="155" spans="1:4" x14ac:dyDescent="0.35">
      <c r="A155" t="s">
        <v>101</v>
      </c>
      <c r="B155" t="s">
        <v>146</v>
      </c>
      <c r="C155" t="s">
        <v>147</v>
      </c>
      <c r="D155">
        <v>0</v>
      </c>
    </row>
    <row r="156" spans="1:4" x14ac:dyDescent="0.35">
      <c r="A156" t="s">
        <v>101</v>
      </c>
      <c r="B156" t="s">
        <v>1836</v>
      </c>
      <c r="C156" t="s">
        <v>1837</v>
      </c>
      <c r="D156">
        <v>0</v>
      </c>
    </row>
    <row r="157" spans="1:4" x14ac:dyDescent="0.35">
      <c r="A157" t="s">
        <v>101</v>
      </c>
      <c r="B157" t="s">
        <v>149</v>
      </c>
      <c r="C157" t="s">
        <v>151</v>
      </c>
      <c r="D157">
        <v>0</v>
      </c>
    </row>
    <row r="158" spans="1:4" x14ac:dyDescent="0.35">
      <c r="A158" t="s">
        <v>101</v>
      </c>
      <c r="B158" t="s">
        <v>1363</v>
      </c>
      <c r="C158" t="s">
        <v>1365</v>
      </c>
      <c r="D158">
        <v>0</v>
      </c>
    </row>
    <row r="159" spans="1:4" x14ac:dyDescent="0.35">
      <c r="A159" t="s">
        <v>101</v>
      </c>
      <c r="B159" t="s">
        <v>1271</v>
      </c>
      <c r="C159" t="s">
        <v>1272</v>
      </c>
      <c r="D159">
        <v>0</v>
      </c>
    </row>
    <row r="160" spans="1:4" x14ac:dyDescent="0.35">
      <c r="A160" t="s">
        <v>101</v>
      </c>
      <c r="B160" t="s">
        <v>1229</v>
      </c>
      <c r="C160" t="s">
        <v>1232</v>
      </c>
      <c r="D160">
        <v>0</v>
      </c>
    </row>
    <row r="161" spans="1:4" x14ac:dyDescent="0.35">
      <c r="A161" t="s">
        <v>101</v>
      </c>
      <c r="B161" t="s">
        <v>152</v>
      </c>
      <c r="C161" t="s">
        <v>153</v>
      </c>
      <c r="D161">
        <v>0</v>
      </c>
    </row>
    <row r="162" spans="1:4" x14ac:dyDescent="0.35">
      <c r="A162" t="s">
        <v>101</v>
      </c>
      <c r="B162" t="s">
        <v>983</v>
      </c>
      <c r="C162" t="s">
        <v>984</v>
      </c>
      <c r="D162">
        <v>0</v>
      </c>
    </row>
    <row r="163" spans="1:4" x14ac:dyDescent="0.35">
      <c r="A163" t="s">
        <v>101</v>
      </c>
      <c r="B163" t="s">
        <v>155</v>
      </c>
      <c r="C163" t="s">
        <v>156</v>
      </c>
      <c r="D163">
        <v>0</v>
      </c>
    </row>
    <row r="164" spans="1:4" x14ac:dyDescent="0.35">
      <c r="A164" t="s">
        <v>101</v>
      </c>
      <c r="B164" t="s">
        <v>1233</v>
      </c>
      <c r="C164" t="s">
        <v>1234</v>
      </c>
      <c r="D164">
        <v>0</v>
      </c>
    </row>
    <row r="165" spans="1:4" x14ac:dyDescent="0.35">
      <c r="A165" t="s">
        <v>101</v>
      </c>
      <c r="B165" t="s">
        <v>1076</v>
      </c>
      <c r="C165" t="s">
        <v>1077</v>
      </c>
      <c r="D165">
        <v>0</v>
      </c>
    </row>
    <row r="166" spans="1:4" x14ac:dyDescent="0.35">
      <c r="A166" t="s">
        <v>101</v>
      </c>
      <c r="B166" t="s">
        <v>1366</v>
      </c>
      <c r="C166" t="s">
        <v>1238</v>
      </c>
      <c r="D166">
        <v>0</v>
      </c>
    </row>
    <row r="167" spans="1:4" x14ac:dyDescent="0.35">
      <c r="A167" t="s">
        <v>101</v>
      </c>
      <c r="B167" t="s">
        <v>693</v>
      </c>
      <c r="C167" t="s">
        <v>694</v>
      </c>
      <c r="D167">
        <v>0</v>
      </c>
    </row>
    <row r="168" spans="1:4" x14ac:dyDescent="0.35">
      <c r="A168" t="s">
        <v>101</v>
      </c>
      <c r="B168" t="s">
        <v>1240</v>
      </c>
      <c r="C168" t="s">
        <v>1241</v>
      </c>
      <c r="D168">
        <v>0</v>
      </c>
    </row>
    <row r="169" spans="1:4" x14ac:dyDescent="0.35">
      <c r="A169" t="s">
        <v>101</v>
      </c>
      <c r="B169" t="s">
        <v>1100</v>
      </c>
      <c r="C169" t="s">
        <v>1101</v>
      </c>
      <c r="D169">
        <v>0</v>
      </c>
    </row>
    <row r="170" spans="1:4" x14ac:dyDescent="0.35">
      <c r="A170" t="s">
        <v>101</v>
      </c>
      <c r="B170" t="s">
        <v>1103</v>
      </c>
      <c r="C170" t="s">
        <v>1104</v>
      </c>
      <c r="D170">
        <v>0</v>
      </c>
    </row>
    <row r="171" spans="1:4" x14ac:dyDescent="0.35">
      <c r="A171" t="s">
        <v>101</v>
      </c>
      <c r="B171" t="s">
        <v>941</v>
      </c>
      <c r="C171" t="s">
        <v>942</v>
      </c>
      <c r="D171">
        <v>0</v>
      </c>
    </row>
    <row r="172" spans="1:4" x14ac:dyDescent="0.35">
      <c r="A172" t="s">
        <v>101</v>
      </c>
      <c r="B172" t="s">
        <v>1106</v>
      </c>
      <c r="C172" t="s">
        <v>1107</v>
      </c>
      <c r="D172">
        <v>0</v>
      </c>
    </row>
    <row r="173" spans="1:4" x14ac:dyDescent="0.35">
      <c r="A173" t="s">
        <v>101</v>
      </c>
      <c r="B173" t="s">
        <v>1109</v>
      </c>
      <c r="C173" t="s">
        <v>1110</v>
      </c>
      <c r="D173">
        <v>0</v>
      </c>
    </row>
    <row r="174" spans="1:4" x14ac:dyDescent="0.35">
      <c r="A174" t="s">
        <v>101</v>
      </c>
      <c r="B174" t="s">
        <v>1302</v>
      </c>
      <c r="C174" t="s">
        <v>1303</v>
      </c>
      <c r="D174">
        <v>0</v>
      </c>
    </row>
    <row r="175" spans="1:4" x14ac:dyDescent="0.35">
      <c r="A175" t="s">
        <v>101</v>
      </c>
      <c r="B175" t="s">
        <v>1840</v>
      </c>
      <c r="C175" t="s">
        <v>1842</v>
      </c>
      <c r="D175">
        <v>0</v>
      </c>
    </row>
    <row r="176" spans="1:4" x14ac:dyDescent="0.35">
      <c r="A176" t="s">
        <v>101</v>
      </c>
      <c r="B176" t="s">
        <v>1308</v>
      </c>
      <c r="C176" t="s">
        <v>1310</v>
      </c>
      <c r="D176">
        <v>0</v>
      </c>
    </row>
    <row r="177" spans="1:4" x14ac:dyDescent="0.35">
      <c r="A177" t="s">
        <v>101</v>
      </c>
      <c r="B177" t="s">
        <v>159</v>
      </c>
      <c r="C177" t="s">
        <v>160</v>
      </c>
      <c r="D177">
        <v>0</v>
      </c>
    </row>
    <row r="178" spans="1:4" x14ac:dyDescent="0.35">
      <c r="A178" t="s">
        <v>163</v>
      </c>
      <c r="B178" t="s">
        <v>164</v>
      </c>
      <c r="C178" t="s">
        <v>165</v>
      </c>
      <c r="D178">
        <v>0</v>
      </c>
    </row>
    <row r="179" spans="1:4" x14ac:dyDescent="0.35">
      <c r="A179" t="s">
        <v>163</v>
      </c>
      <c r="B179" t="s">
        <v>167</v>
      </c>
      <c r="C179" t="s">
        <v>168</v>
      </c>
      <c r="D179">
        <v>0</v>
      </c>
    </row>
    <row r="180" spans="1:4" x14ac:dyDescent="0.35">
      <c r="A180" t="s">
        <v>163</v>
      </c>
      <c r="B180" t="s">
        <v>170</v>
      </c>
      <c r="C180" t="s">
        <v>171</v>
      </c>
      <c r="D180">
        <v>0</v>
      </c>
    </row>
    <row r="181" spans="1:4" x14ac:dyDescent="0.35">
      <c r="A181" t="s">
        <v>163</v>
      </c>
      <c r="B181" t="s">
        <v>699</v>
      </c>
      <c r="C181" t="s">
        <v>701</v>
      </c>
      <c r="D181">
        <v>0</v>
      </c>
    </row>
    <row r="182" spans="1:4" x14ac:dyDescent="0.35">
      <c r="A182" t="s">
        <v>163</v>
      </c>
      <c r="B182" t="s">
        <v>173</v>
      </c>
      <c r="C182" t="s">
        <v>175</v>
      </c>
      <c r="D182">
        <v>0</v>
      </c>
    </row>
    <row r="183" spans="1:4" x14ac:dyDescent="0.35">
      <c r="A183" t="s">
        <v>163</v>
      </c>
      <c r="B183" t="s">
        <v>176</v>
      </c>
      <c r="C183" t="s">
        <v>178</v>
      </c>
      <c r="D183">
        <v>0</v>
      </c>
    </row>
    <row r="184" spans="1:4" x14ac:dyDescent="0.35">
      <c r="A184" t="s">
        <v>163</v>
      </c>
      <c r="B184" t="s">
        <v>179</v>
      </c>
      <c r="C184" t="s">
        <v>181</v>
      </c>
      <c r="D184">
        <v>0</v>
      </c>
    </row>
    <row r="185" spans="1:4" x14ac:dyDescent="0.35">
      <c r="A185" t="s">
        <v>629</v>
      </c>
      <c r="B185" t="s">
        <v>646</v>
      </c>
      <c r="C185" t="s">
        <v>646</v>
      </c>
      <c r="D185">
        <v>0</v>
      </c>
    </row>
    <row r="186" spans="1:4" x14ac:dyDescent="0.35">
      <c r="A186" t="s">
        <v>182</v>
      </c>
      <c r="B186" t="s">
        <v>739</v>
      </c>
      <c r="C186" t="s">
        <v>740</v>
      </c>
      <c r="D186">
        <v>0</v>
      </c>
    </row>
    <row r="187" spans="1:4" x14ac:dyDescent="0.35">
      <c r="A187" t="s">
        <v>182</v>
      </c>
      <c r="B187" t="s">
        <v>1367</v>
      </c>
      <c r="C187" t="s">
        <v>1368</v>
      </c>
      <c r="D187">
        <v>0</v>
      </c>
    </row>
    <row r="188" spans="1:4" x14ac:dyDescent="0.35">
      <c r="A188" t="s">
        <v>182</v>
      </c>
      <c r="B188" t="s">
        <v>1370</v>
      </c>
      <c r="C188" t="s">
        <v>1371</v>
      </c>
      <c r="D188">
        <v>0</v>
      </c>
    </row>
    <row r="189" spans="1:4" x14ac:dyDescent="0.35">
      <c r="A189" t="s">
        <v>182</v>
      </c>
      <c r="B189" t="s">
        <v>1373</v>
      </c>
      <c r="C189" t="s">
        <v>1374</v>
      </c>
      <c r="D189">
        <v>0</v>
      </c>
    </row>
    <row r="190" spans="1:4" x14ac:dyDescent="0.35">
      <c r="A190" t="s">
        <v>182</v>
      </c>
      <c r="B190" t="s">
        <v>742</v>
      </c>
      <c r="C190" t="s">
        <v>743</v>
      </c>
      <c r="D190">
        <v>0</v>
      </c>
    </row>
    <row r="191" spans="1:4" x14ac:dyDescent="0.35">
      <c r="A191" t="s">
        <v>182</v>
      </c>
      <c r="B191" t="s">
        <v>183</v>
      </c>
      <c r="C191" t="s">
        <v>184</v>
      </c>
      <c r="D191">
        <v>0</v>
      </c>
    </row>
    <row r="192" spans="1:4" x14ac:dyDescent="0.35">
      <c r="A192" t="s">
        <v>182</v>
      </c>
      <c r="B192" t="s">
        <v>1508</v>
      </c>
      <c r="C192" t="s">
        <v>1509</v>
      </c>
      <c r="D192">
        <v>0</v>
      </c>
    </row>
    <row r="193" spans="1:4" x14ac:dyDescent="0.35">
      <c r="A193" t="s">
        <v>182</v>
      </c>
      <c r="B193" t="s">
        <v>188</v>
      </c>
      <c r="C193" t="s">
        <v>189</v>
      </c>
      <c r="D193">
        <v>0</v>
      </c>
    </row>
    <row r="194" spans="1:4" x14ac:dyDescent="0.35">
      <c r="A194" t="s">
        <v>182</v>
      </c>
      <c r="B194" t="s">
        <v>191</v>
      </c>
      <c r="C194" t="s">
        <v>193</v>
      </c>
      <c r="D194">
        <v>0</v>
      </c>
    </row>
    <row r="195" spans="1:4" x14ac:dyDescent="0.35">
      <c r="A195" t="s">
        <v>182</v>
      </c>
      <c r="B195" t="s">
        <v>1267</v>
      </c>
      <c r="C195" t="s">
        <v>1269</v>
      </c>
      <c r="D195">
        <v>0</v>
      </c>
    </row>
    <row r="196" spans="1:4" x14ac:dyDescent="0.35">
      <c r="A196" t="s">
        <v>182</v>
      </c>
      <c r="B196" t="s">
        <v>1032</v>
      </c>
      <c r="C196" t="s">
        <v>1034</v>
      </c>
      <c r="D196">
        <v>0</v>
      </c>
    </row>
    <row r="197" spans="1:4" x14ac:dyDescent="0.35">
      <c r="A197" t="s">
        <v>182</v>
      </c>
      <c r="B197" t="s">
        <v>860</v>
      </c>
      <c r="C197" t="s">
        <v>862</v>
      </c>
      <c r="D197">
        <v>0</v>
      </c>
    </row>
    <row r="198" spans="1:4" x14ac:dyDescent="0.35">
      <c r="A198" t="s">
        <v>182</v>
      </c>
      <c r="B198" t="s">
        <v>1377</v>
      </c>
      <c r="C198" t="s">
        <v>1270</v>
      </c>
      <c r="D198">
        <v>0</v>
      </c>
    </row>
    <row r="199" spans="1:4" x14ac:dyDescent="0.35">
      <c r="A199" t="s">
        <v>182</v>
      </c>
      <c r="B199" t="s">
        <v>909</v>
      </c>
      <c r="C199" t="s">
        <v>911</v>
      </c>
      <c r="D199">
        <v>0</v>
      </c>
    </row>
    <row r="200" spans="1:4" x14ac:dyDescent="0.35">
      <c r="A200" t="s">
        <v>182</v>
      </c>
      <c r="B200" t="s">
        <v>1135</v>
      </c>
      <c r="C200" t="s">
        <v>1137</v>
      </c>
      <c r="D200">
        <v>0</v>
      </c>
    </row>
    <row r="201" spans="1:4" x14ac:dyDescent="0.35">
      <c r="A201" t="s">
        <v>182</v>
      </c>
      <c r="B201" t="s">
        <v>194</v>
      </c>
      <c r="C201" t="s">
        <v>196</v>
      </c>
      <c r="D201">
        <v>0</v>
      </c>
    </row>
    <row r="202" spans="1:4" x14ac:dyDescent="0.35">
      <c r="A202" t="s">
        <v>182</v>
      </c>
      <c r="B202" t="s">
        <v>197</v>
      </c>
      <c r="C202" t="s">
        <v>199</v>
      </c>
      <c r="D202">
        <v>0</v>
      </c>
    </row>
    <row r="203" spans="1:4" x14ac:dyDescent="0.35">
      <c r="A203" t="s">
        <v>182</v>
      </c>
      <c r="B203" t="s">
        <v>200</v>
      </c>
      <c r="C203" t="s">
        <v>201</v>
      </c>
      <c r="D203">
        <v>0</v>
      </c>
    </row>
    <row r="204" spans="1:4" x14ac:dyDescent="0.35">
      <c r="A204" t="s">
        <v>182</v>
      </c>
      <c r="B204" t="s">
        <v>203</v>
      </c>
      <c r="C204" t="s">
        <v>204</v>
      </c>
      <c r="D204">
        <v>0</v>
      </c>
    </row>
    <row r="205" spans="1:4" x14ac:dyDescent="0.35">
      <c r="A205" t="s">
        <v>182</v>
      </c>
      <c r="B205" t="s">
        <v>206</v>
      </c>
      <c r="C205" t="s">
        <v>207</v>
      </c>
      <c r="D205">
        <v>0</v>
      </c>
    </row>
    <row r="206" spans="1:4" x14ac:dyDescent="0.35">
      <c r="A206" t="s">
        <v>182</v>
      </c>
      <c r="B206" t="s">
        <v>209</v>
      </c>
      <c r="C206" t="s">
        <v>218</v>
      </c>
      <c r="D206">
        <v>0</v>
      </c>
    </row>
    <row r="207" spans="1:4" x14ac:dyDescent="0.35">
      <c r="A207" t="s">
        <v>182</v>
      </c>
      <c r="B207" t="s">
        <v>219</v>
      </c>
      <c r="C207" t="s">
        <v>228</v>
      </c>
      <c r="D207">
        <v>0</v>
      </c>
    </row>
    <row r="208" spans="1:4" x14ac:dyDescent="0.35">
      <c r="A208" t="s">
        <v>182</v>
      </c>
      <c r="B208" t="s">
        <v>229</v>
      </c>
      <c r="C208" t="s">
        <v>230</v>
      </c>
      <c r="D208">
        <v>0</v>
      </c>
    </row>
    <row r="209" spans="1:4" x14ac:dyDescent="0.35">
      <c r="A209" t="s">
        <v>182</v>
      </c>
      <c r="B209" t="s">
        <v>1523</v>
      </c>
      <c r="C209" t="s">
        <v>1524</v>
      </c>
      <c r="D209">
        <v>0</v>
      </c>
    </row>
    <row r="210" spans="1:4" x14ac:dyDescent="0.35">
      <c r="A210" t="s">
        <v>182</v>
      </c>
      <c r="B210" t="s">
        <v>702</v>
      </c>
      <c r="C210" t="s">
        <v>704</v>
      </c>
      <c r="D210">
        <v>0</v>
      </c>
    </row>
    <row r="211" spans="1:4" x14ac:dyDescent="0.35">
      <c r="A211" t="s">
        <v>607</v>
      </c>
      <c r="B211" t="s">
        <v>608</v>
      </c>
      <c r="C211" t="s">
        <v>612</v>
      </c>
      <c r="D211">
        <v>0</v>
      </c>
    </row>
    <row r="212" spans="1:4" x14ac:dyDescent="0.35">
      <c r="A212" t="s">
        <v>607</v>
      </c>
      <c r="B212" t="s">
        <v>1379</v>
      </c>
      <c r="C212" t="s">
        <v>1380</v>
      </c>
      <c r="D212">
        <v>0</v>
      </c>
    </row>
    <row r="213" spans="1:4" x14ac:dyDescent="0.35">
      <c r="A213" t="s">
        <v>232</v>
      </c>
      <c r="B213" t="s">
        <v>1531</v>
      </c>
      <c r="C213" t="s">
        <v>1532</v>
      </c>
      <c r="D213">
        <v>0</v>
      </c>
    </row>
    <row r="214" spans="1:4" x14ac:dyDescent="0.35">
      <c r="A214" t="s">
        <v>232</v>
      </c>
      <c r="B214" t="s">
        <v>1848</v>
      </c>
      <c r="C214" t="s">
        <v>1849</v>
      </c>
      <c r="D214">
        <v>0</v>
      </c>
    </row>
    <row r="215" spans="1:4" x14ac:dyDescent="0.35">
      <c r="A215" t="s">
        <v>232</v>
      </c>
      <c r="B215" t="s">
        <v>233</v>
      </c>
      <c r="C215" t="s">
        <v>235</v>
      </c>
      <c r="D215">
        <v>0</v>
      </c>
    </row>
    <row r="216" spans="1:4" x14ac:dyDescent="0.35">
      <c r="A216" t="s">
        <v>232</v>
      </c>
      <c r="B216" t="s">
        <v>1534</v>
      </c>
      <c r="C216" t="s">
        <v>1542</v>
      </c>
      <c r="D216">
        <v>0</v>
      </c>
    </row>
    <row r="217" spans="1:4" x14ac:dyDescent="0.35">
      <c r="A217" t="s">
        <v>232</v>
      </c>
      <c r="B217" t="s">
        <v>1851</v>
      </c>
      <c r="C217" t="s">
        <v>1853</v>
      </c>
      <c r="D217">
        <v>0</v>
      </c>
    </row>
    <row r="218" spans="1:4" x14ac:dyDescent="0.35">
      <c r="A218" t="s">
        <v>232</v>
      </c>
      <c r="B218" t="s">
        <v>236</v>
      </c>
      <c r="C218" t="s">
        <v>239</v>
      </c>
      <c r="D218">
        <v>0</v>
      </c>
    </row>
    <row r="219" spans="1:4" x14ac:dyDescent="0.35">
      <c r="A219" t="s">
        <v>232</v>
      </c>
      <c r="B219" t="s">
        <v>1543</v>
      </c>
      <c r="C219" t="s">
        <v>1545</v>
      </c>
      <c r="D219">
        <v>0</v>
      </c>
    </row>
    <row r="220" spans="1:4" x14ac:dyDescent="0.35">
      <c r="A220" t="s">
        <v>232</v>
      </c>
      <c r="B220" t="s">
        <v>240</v>
      </c>
      <c r="C220" t="s">
        <v>242</v>
      </c>
      <c r="D220">
        <v>0</v>
      </c>
    </row>
    <row r="221" spans="1:4" x14ac:dyDescent="0.35">
      <c r="A221" t="s">
        <v>232</v>
      </c>
      <c r="B221" t="s">
        <v>1546</v>
      </c>
      <c r="C221" t="s">
        <v>1548</v>
      </c>
      <c r="D221">
        <v>0</v>
      </c>
    </row>
    <row r="222" spans="1:4" x14ac:dyDescent="0.35">
      <c r="A222" t="s">
        <v>232</v>
      </c>
      <c r="B222" t="s">
        <v>1856</v>
      </c>
      <c r="C222" t="s">
        <v>1858</v>
      </c>
      <c r="D222">
        <v>0</v>
      </c>
    </row>
    <row r="223" spans="1:4" x14ac:dyDescent="0.35">
      <c r="A223" t="s">
        <v>232</v>
      </c>
      <c r="B223" t="s">
        <v>1859</v>
      </c>
      <c r="C223" t="s">
        <v>1861</v>
      </c>
      <c r="D223">
        <v>0</v>
      </c>
    </row>
    <row r="224" spans="1:4" x14ac:dyDescent="0.35">
      <c r="A224" t="s">
        <v>232</v>
      </c>
      <c r="B224" t="s">
        <v>1549</v>
      </c>
      <c r="C224" t="s">
        <v>1550</v>
      </c>
      <c r="D224">
        <v>0</v>
      </c>
    </row>
    <row r="225" spans="1:4" x14ac:dyDescent="0.35">
      <c r="A225" t="s">
        <v>232</v>
      </c>
      <c r="B225" t="s">
        <v>1552</v>
      </c>
      <c r="C225" t="s">
        <v>1553</v>
      </c>
      <c r="D225">
        <v>0</v>
      </c>
    </row>
    <row r="226" spans="1:4" x14ac:dyDescent="0.35">
      <c r="A226" t="s">
        <v>232</v>
      </c>
      <c r="B226" t="s">
        <v>827</v>
      </c>
      <c r="C226" t="s">
        <v>828</v>
      </c>
      <c r="D226">
        <v>0</v>
      </c>
    </row>
    <row r="227" spans="1:4" x14ac:dyDescent="0.35">
      <c r="A227" t="s">
        <v>232</v>
      </c>
      <c r="B227" t="s">
        <v>1556</v>
      </c>
      <c r="C227" t="s">
        <v>1557</v>
      </c>
      <c r="D227">
        <v>0</v>
      </c>
    </row>
    <row r="228" spans="1:4" x14ac:dyDescent="0.35">
      <c r="A228" t="s">
        <v>232</v>
      </c>
      <c r="B228" t="s">
        <v>1862</v>
      </c>
      <c r="C228" t="s">
        <v>1863</v>
      </c>
      <c r="D228">
        <v>0</v>
      </c>
    </row>
    <row r="229" spans="1:4" x14ac:dyDescent="0.35">
      <c r="A229" t="s">
        <v>243</v>
      </c>
      <c r="B229" t="s">
        <v>1559</v>
      </c>
      <c r="C229" t="s">
        <v>1560</v>
      </c>
      <c r="D229">
        <v>0</v>
      </c>
    </row>
    <row r="230" spans="1:4" x14ac:dyDescent="0.35">
      <c r="A230" t="s">
        <v>243</v>
      </c>
      <c r="B230" t="s">
        <v>1562</v>
      </c>
      <c r="C230" t="s">
        <v>1563</v>
      </c>
      <c r="D230">
        <v>0</v>
      </c>
    </row>
    <row r="231" spans="1:4" x14ac:dyDescent="0.35">
      <c r="A231" t="s">
        <v>243</v>
      </c>
      <c r="B231" t="s">
        <v>1564</v>
      </c>
      <c r="C231" t="s">
        <v>1565</v>
      </c>
      <c r="D231">
        <v>0</v>
      </c>
    </row>
    <row r="232" spans="1:4" x14ac:dyDescent="0.35">
      <c r="A232" t="s">
        <v>243</v>
      </c>
      <c r="B232" t="s">
        <v>1867</v>
      </c>
      <c r="C232" t="s">
        <v>1869</v>
      </c>
      <c r="D232">
        <v>0</v>
      </c>
    </row>
    <row r="233" spans="1:4" x14ac:dyDescent="0.35">
      <c r="A233" t="s">
        <v>243</v>
      </c>
      <c r="B233" t="s">
        <v>1568</v>
      </c>
      <c r="C233" t="s">
        <v>1569</v>
      </c>
      <c r="D233">
        <v>0</v>
      </c>
    </row>
    <row r="234" spans="1:4" x14ac:dyDescent="0.35">
      <c r="A234" t="s">
        <v>243</v>
      </c>
      <c r="B234" t="s">
        <v>1572</v>
      </c>
      <c r="C234" t="s">
        <v>1573</v>
      </c>
      <c r="D234">
        <v>0</v>
      </c>
    </row>
    <row r="235" spans="1:4" x14ac:dyDescent="0.35">
      <c r="A235" t="s">
        <v>243</v>
      </c>
      <c r="B235" t="s">
        <v>1586</v>
      </c>
      <c r="C235" t="s">
        <v>1587</v>
      </c>
      <c r="D235">
        <v>0</v>
      </c>
    </row>
    <row r="236" spans="1:4" x14ac:dyDescent="0.35">
      <c r="A236" t="s">
        <v>243</v>
      </c>
      <c r="B236" t="s">
        <v>1871</v>
      </c>
      <c r="C236" t="s">
        <v>1872</v>
      </c>
      <c r="D236">
        <v>0</v>
      </c>
    </row>
    <row r="237" spans="1:4" x14ac:dyDescent="0.35">
      <c r="A237" t="s">
        <v>243</v>
      </c>
      <c r="B237" t="s">
        <v>865</v>
      </c>
      <c r="C237" t="s">
        <v>866</v>
      </c>
      <c r="D237">
        <v>0</v>
      </c>
    </row>
    <row r="238" spans="1:4" x14ac:dyDescent="0.35">
      <c r="A238" t="s">
        <v>243</v>
      </c>
      <c r="B238" t="s">
        <v>1138</v>
      </c>
      <c r="C238" t="s">
        <v>1139</v>
      </c>
      <c r="D238">
        <v>0</v>
      </c>
    </row>
    <row r="239" spans="1:4" x14ac:dyDescent="0.35">
      <c r="A239" t="s">
        <v>243</v>
      </c>
      <c r="B239" t="s">
        <v>1138</v>
      </c>
      <c r="C239" t="s">
        <v>1875</v>
      </c>
      <c r="D239">
        <v>0</v>
      </c>
    </row>
    <row r="240" spans="1:4" x14ac:dyDescent="0.35">
      <c r="A240" s="7" t="s">
        <v>243</v>
      </c>
      <c r="B240" t="s">
        <v>1138</v>
      </c>
      <c r="C240" t="s">
        <v>1876</v>
      </c>
      <c r="D240">
        <v>0</v>
      </c>
    </row>
    <row r="241" spans="1:4" x14ac:dyDescent="0.35">
      <c r="A241" s="7" t="s">
        <v>243</v>
      </c>
      <c r="B241" t="s">
        <v>244</v>
      </c>
      <c r="C241" t="s">
        <v>245</v>
      </c>
      <c r="D241">
        <v>0</v>
      </c>
    </row>
    <row r="242" spans="1:4" x14ac:dyDescent="0.35">
      <c r="A242" s="7" t="s">
        <v>243</v>
      </c>
      <c r="B242" t="s">
        <v>830</v>
      </c>
      <c r="C242" t="s">
        <v>831</v>
      </c>
      <c r="D242">
        <v>0</v>
      </c>
    </row>
    <row r="243" spans="1:4" x14ac:dyDescent="0.35">
      <c r="A243" t="s">
        <v>243</v>
      </c>
      <c r="B243" t="s">
        <v>1624</v>
      </c>
      <c r="C243" t="s">
        <v>1625</v>
      </c>
      <c r="D243">
        <v>0</v>
      </c>
    </row>
    <row r="244" spans="1:4" x14ac:dyDescent="0.35">
      <c r="A244" t="s">
        <v>243</v>
      </c>
      <c r="B244" t="s">
        <v>1878</v>
      </c>
      <c r="C244" t="s">
        <v>1879</v>
      </c>
      <c r="D244">
        <v>0</v>
      </c>
    </row>
    <row r="245" spans="1:4" x14ac:dyDescent="0.35">
      <c r="A245" t="s">
        <v>243</v>
      </c>
      <c r="B245" t="s">
        <v>247</v>
      </c>
      <c r="C245" t="s">
        <v>249</v>
      </c>
      <c r="D245">
        <v>0</v>
      </c>
    </row>
    <row r="246" spans="1:4" x14ac:dyDescent="0.35">
      <c r="A246" t="s">
        <v>243</v>
      </c>
      <c r="B246" t="s">
        <v>1627</v>
      </c>
      <c r="C246" t="s">
        <v>1629</v>
      </c>
      <c r="D246">
        <v>0</v>
      </c>
    </row>
    <row r="247" spans="1:4" x14ac:dyDescent="0.35">
      <c r="A247" t="s">
        <v>243</v>
      </c>
      <c r="B247" t="s">
        <v>1627</v>
      </c>
      <c r="C247" t="s">
        <v>1882</v>
      </c>
      <c r="D247">
        <v>0</v>
      </c>
    </row>
    <row r="248" spans="1:4" x14ac:dyDescent="0.35">
      <c r="A248" t="s">
        <v>243</v>
      </c>
      <c r="B248" t="s">
        <v>1630</v>
      </c>
      <c r="C248" t="s">
        <v>1632</v>
      </c>
      <c r="D248">
        <v>0</v>
      </c>
    </row>
    <row r="249" spans="1:4" x14ac:dyDescent="0.35">
      <c r="A249" t="s">
        <v>243</v>
      </c>
      <c r="B249" t="s">
        <v>1633</v>
      </c>
      <c r="C249" t="s">
        <v>1883</v>
      </c>
      <c r="D249">
        <v>0</v>
      </c>
    </row>
    <row r="250" spans="1:4" x14ac:dyDescent="0.35">
      <c r="A250" t="s">
        <v>243</v>
      </c>
      <c r="B250" t="s">
        <v>1633</v>
      </c>
      <c r="C250" t="s">
        <v>1884</v>
      </c>
      <c r="D250">
        <v>0</v>
      </c>
    </row>
    <row r="251" spans="1:4" x14ac:dyDescent="0.35">
      <c r="A251" t="s">
        <v>243</v>
      </c>
      <c r="B251" t="s">
        <v>1635</v>
      </c>
      <c r="C251" t="s">
        <v>1720</v>
      </c>
      <c r="D251">
        <v>1</v>
      </c>
    </row>
    <row r="252" spans="1:4" x14ac:dyDescent="0.35">
      <c r="A252" t="s">
        <v>243</v>
      </c>
      <c r="B252" t="s">
        <v>1635</v>
      </c>
      <c r="C252" t="s">
        <v>1721</v>
      </c>
      <c r="D252">
        <v>0</v>
      </c>
    </row>
    <row r="253" spans="1:4" x14ac:dyDescent="0.35">
      <c r="A253" t="s">
        <v>243</v>
      </c>
      <c r="B253" t="s">
        <v>1722</v>
      </c>
      <c r="C253" t="s">
        <v>1725</v>
      </c>
      <c r="D253">
        <v>0</v>
      </c>
    </row>
    <row r="254" spans="1:4" x14ac:dyDescent="0.35">
      <c r="A254" t="s">
        <v>243</v>
      </c>
      <c r="B254" t="s">
        <v>944</v>
      </c>
      <c r="C254" t="s">
        <v>945</v>
      </c>
      <c r="D254">
        <v>0</v>
      </c>
    </row>
    <row r="255" spans="1:4" x14ac:dyDescent="0.35">
      <c r="A255" t="s">
        <v>243</v>
      </c>
      <c r="B255" t="s">
        <v>1726</v>
      </c>
      <c r="C255" t="s">
        <v>1729</v>
      </c>
      <c r="D255">
        <v>0</v>
      </c>
    </row>
    <row r="256" spans="1:4" x14ac:dyDescent="0.35">
      <c r="A256" t="s">
        <v>243</v>
      </c>
      <c r="B256" t="s">
        <v>1730</v>
      </c>
      <c r="C256" t="s">
        <v>1732</v>
      </c>
      <c r="D256">
        <v>0</v>
      </c>
    </row>
    <row r="257" spans="1:4" x14ac:dyDescent="0.35">
      <c r="A257" t="s">
        <v>243</v>
      </c>
      <c r="B257" t="s">
        <v>1922</v>
      </c>
      <c r="C257" t="s">
        <v>1924</v>
      </c>
      <c r="D257">
        <v>0</v>
      </c>
    </row>
    <row r="258" spans="1:4" x14ac:dyDescent="0.35">
      <c r="A258" t="s">
        <v>243</v>
      </c>
      <c r="B258" t="s">
        <v>1925</v>
      </c>
      <c r="C258" t="s">
        <v>1927</v>
      </c>
      <c r="D258">
        <v>0</v>
      </c>
    </row>
    <row r="259" spans="1:4" x14ac:dyDescent="0.35">
      <c r="A259" t="s">
        <v>243</v>
      </c>
      <c r="B259" t="s">
        <v>1733</v>
      </c>
      <c r="C259" t="s">
        <v>1737</v>
      </c>
      <c r="D259">
        <v>0</v>
      </c>
    </row>
    <row r="260" spans="1:4" x14ac:dyDescent="0.35">
      <c r="A260" t="s">
        <v>243</v>
      </c>
      <c r="B260" t="s">
        <v>250</v>
      </c>
      <c r="C260" t="s">
        <v>251</v>
      </c>
      <c r="D260">
        <v>0</v>
      </c>
    </row>
    <row r="261" spans="1:4" x14ac:dyDescent="0.35">
      <c r="A261" t="s">
        <v>243</v>
      </c>
      <c r="B261" t="s">
        <v>1928</v>
      </c>
      <c r="C261" t="s">
        <v>1929</v>
      </c>
      <c r="D261">
        <v>0</v>
      </c>
    </row>
    <row r="262" spans="1:4" x14ac:dyDescent="0.35">
      <c r="A262" t="s">
        <v>243</v>
      </c>
      <c r="B262" t="s">
        <v>1738</v>
      </c>
      <c r="C262" t="s">
        <v>1757</v>
      </c>
      <c r="D262">
        <v>0</v>
      </c>
    </row>
    <row r="263" spans="1:4" x14ac:dyDescent="0.35">
      <c r="A263" t="s">
        <v>243</v>
      </c>
      <c r="B263" s="7" t="s">
        <v>253</v>
      </c>
      <c r="C263" t="s">
        <v>624</v>
      </c>
      <c r="D263">
        <v>0</v>
      </c>
    </row>
    <row r="264" spans="1:4" x14ac:dyDescent="0.35">
      <c r="A264" t="s">
        <v>243</v>
      </c>
      <c r="B264" t="s">
        <v>254</v>
      </c>
      <c r="C264" t="s">
        <v>255</v>
      </c>
      <c r="D264">
        <v>0</v>
      </c>
    </row>
    <row r="265" spans="1:4" x14ac:dyDescent="0.35">
      <c r="A265" t="s">
        <v>243</v>
      </c>
      <c r="B265" t="s">
        <v>1931</v>
      </c>
      <c r="C265" t="s">
        <v>1932</v>
      </c>
      <c r="D265">
        <v>0</v>
      </c>
    </row>
    <row r="266" spans="1:4" x14ac:dyDescent="0.35">
      <c r="A266" t="s">
        <v>243</v>
      </c>
      <c r="B266" t="s">
        <v>1931</v>
      </c>
      <c r="C266" t="s">
        <v>1934</v>
      </c>
      <c r="D266">
        <v>0</v>
      </c>
    </row>
    <row r="267" spans="1:4" x14ac:dyDescent="0.35">
      <c r="A267" t="s">
        <v>243</v>
      </c>
      <c r="B267" t="s">
        <v>950</v>
      </c>
      <c r="C267" t="s">
        <v>951</v>
      </c>
      <c r="D267">
        <v>0</v>
      </c>
    </row>
    <row r="268" spans="1:4" x14ac:dyDescent="0.35">
      <c r="A268" t="s">
        <v>243</v>
      </c>
      <c r="B268" t="s">
        <v>1758</v>
      </c>
      <c r="C268" t="s">
        <v>1759</v>
      </c>
      <c r="D268">
        <v>0</v>
      </c>
    </row>
    <row r="269" spans="1:4" x14ac:dyDescent="0.35">
      <c r="A269" t="s">
        <v>243</v>
      </c>
      <c r="B269" t="s">
        <v>812</v>
      </c>
      <c r="C269" t="s">
        <v>813</v>
      </c>
      <c r="D269">
        <v>0</v>
      </c>
    </row>
    <row r="270" spans="1:4" x14ac:dyDescent="0.35">
      <c r="A270" t="s">
        <v>243</v>
      </c>
      <c r="B270" t="s">
        <v>833</v>
      </c>
      <c r="C270" t="s">
        <v>834</v>
      </c>
      <c r="D270">
        <v>0</v>
      </c>
    </row>
    <row r="271" spans="1:4" x14ac:dyDescent="0.35">
      <c r="A271" t="s">
        <v>243</v>
      </c>
      <c r="B271" t="s">
        <v>1761</v>
      </c>
      <c r="C271" t="s">
        <v>1762</v>
      </c>
      <c r="D271">
        <v>0</v>
      </c>
    </row>
    <row r="272" spans="1:4" x14ac:dyDescent="0.35">
      <c r="A272" t="s">
        <v>243</v>
      </c>
      <c r="B272" t="s">
        <v>836</v>
      </c>
      <c r="C272" t="s">
        <v>837</v>
      </c>
      <c r="D272">
        <v>0</v>
      </c>
    </row>
    <row r="273" spans="1:4" x14ac:dyDescent="0.35">
      <c r="A273" t="s">
        <v>243</v>
      </c>
      <c r="B273" t="s">
        <v>1764</v>
      </c>
      <c r="C273" t="s">
        <v>1765</v>
      </c>
      <c r="D273">
        <v>0</v>
      </c>
    </row>
    <row r="274" spans="1:4" x14ac:dyDescent="0.35">
      <c r="A274" t="s">
        <v>243</v>
      </c>
      <c r="B274" t="s">
        <v>1935</v>
      </c>
      <c r="C274" t="s">
        <v>1936</v>
      </c>
      <c r="D274">
        <v>0</v>
      </c>
    </row>
    <row r="275" spans="1:4" x14ac:dyDescent="0.35">
      <c r="A275" t="s">
        <v>243</v>
      </c>
      <c r="B275" t="s">
        <v>1938</v>
      </c>
      <c r="C275" t="s">
        <v>1939</v>
      </c>
      <c r="D275">
        <v>0</v>
      </c>
    </row>
    <row r="276" spans="1:4" x14ac:dyDescent="0.35">
      <c r="A276" t="s">
        <v>705</v>
      </c>
      <c r="B276" t="s">
        <v>1384</v>
      </c>
      <c r="C276" t="s">
        <v>1386</v>
      </c>
      <c r="D276">
        <v>0</v>
      </c>
    </row>
    <row r="277" spans="1:4" x14ac:dyDescent="0.35">
      <c r="A277" t="s">
        <v>705</v>
      </c>
      <c r="B277" t="s">
        <v>953</v>
      </c>
      <c r="C277" t="s">
        <v>954</v>
      </c>
      <c r="D277">
        <v>0</v>
      </c>
    </row>
    <row r="278" spans="1:4" x14ac:dyDescent="0.35">
      <c r="A278" t="s">
        <v>705</v>
      </c>
      <c r="B278" t="s">
        <v>1313</v>
      </c>
      <c r="C278" t="s">
        <v>1314</v>
      </c>
      <c r="D278">
        <v>0</v>
      </c>
    </row>
    <row r="279" spans="1:4" x14ac:dyDescent="0.35">
      <c r="A279" t="s">
        <v>705</v>
      </c>
      <c r="B279" t="s">
        <v>706</v>
      </c>
      <c r="C279" t="s">
        <v>707</v>
      </c>
      <c r="D279">
        <v>0</v>
      </c>
    </row>
    <row r="280" spans="1:4" x14ac:dyDescent="0.35">
      <c r="A280" t="s">
        <v>705</v>
      </c>
      <c r="B280" t="s">
        <v>706</v>
      </c>
      <c r="C280" t="s">
        <v>1941</v>
      </c>
      <c r="D280">
        <v>0</v>
      </c>
    </row>
    <row r="281" spans="1:4" x14ac:dyDescent="0.35">
      <c r="A281" t="s">
        <v>705</v>
      </c>
      <c r="B281" t="s">
        <v>709</v>
      </c>
      <c r="C281" t="s">
        <v>710</v>
      </c>
      <c r="D281">
        <v>0</v>
      </c>
    </row>
    <row r="282" spans="1:4" x14ac:dyDescent="0.35">
      <c r="A282" t="s">
        <v>705</v>
      </c>
      <c r="B282" t="s">
        <v>604</v>
      </c>
      <c r="C282" t="s">
        <v>605</v>
      </c>
      <c r="D282">
        <v>0</v>
      </c>
    </row>
    <row r="283" spans="1:4" x14ac:dyDescent="0.35">
      <c r="A283" t="s">
        <v>705</v>
      </c>
      <c r="B283" t="s">
        <v>712</v>
      </c>
      <c r="C283" t="s">
        <v>713</v>
      </c>
      <c r="D283">
        <v>0</v>
      </c>
    </row>
    <row r="284" spans="1:4" x14ac:dyDescent="0.35">
      <c r="A284" t="s">
        <v>705</v>
      </c>
      <c r="B284" t="s">
        <v>712</v>
      </c>
      <c r="C284" t="s">
        <v>1943</v>
      </c>
      <c r="D284">
        <v>0</v>
      </c>
    </row>
    <row r="285" spans="1:4" x14ac:dyDescent="0.35">
      <c r="A285" t="s">
        <v>705</v>
      </c>
      <c r="B285" t="s">
        <v>1140</v>
      </c>
      <c r="C285" t="s">
        <v>1141</v>
      </c>
      <c r="D285">
        <v>0</v>
      </c>
    </row>
    <row r="286" spans="1:4" x14ac:dyDescent="0.35">
      <c r="A286" t="s">
        <v>705</v>
      </c>
      <c r="B286" t="s">
        <v>715</v>
      </c>
      <c r="C286" t="s">
        <v>716</v>
      </c>
      <c r="D286">
        <v>0</v>
      </c>
    </row>
    <row r="287" spans="1:4" x14ac:dyDescent="0.35">
      <c r="A287" t="s">
        <v>705</v>
      </c>
      <c r="B287" t="s">
        <v>718</v>
      </c>
      <c r="C287" t="s">
        <v>720</v>
      </c>
      <c r="D287">
        <v>0</v>
      </c>
    </row>
    <row r="288" spans="1:4" x14ac:dyDescent="0.35">
      <c r="A288" t="s">
        <v>705</v>
      </c>
      <c r="B288" t="s">
        <v>915</v>
      </c>
      <c r="C288" t="s">
        <v>916</v>
      </c>
      <c r="D288">
        <v>0</v>
      </c>
    </row>
    <row r="289" spans="1:4" x14ac:dyDescent="0.35">
      <c r="A289" t="s">
        <v>705</v>
      </c>
      <c r="B289" t="s">
        <v>815</v>
      </c>
      <c r="C289" t="s">
        <v>842</v>
      </c>
      <c r="D289">
        <v>0</v>
      </c>
    </row>
    <row r="290" spans="1:4" x14ac:dyDescent="0.35">
      <c r="A290" t="s">
        <v>705</v>
      </c>
      <c r="B290" t="s">
        <v>884</v>
      </c>
      <c r="C290" t="s">
        <v>886</v>
      </c>
      <c r="D290">
        <v>0</v>
      </c>
    </row>
    <row r="291" spans="1:4" x14ac:dyDescent="0.35">
      <c r="A291" t="s">
        <v>705</v>
      </c>
      <c r="B291" t="s">
        <v>843</v>
      </c>
      <c r="C291" t="s">
        <v>846</v>
      </c>
      <c r="D291">
        <v>0</v>
      </c>
    </row>
    <row r="292" spans="1:4" x14ac:dyDescent="0.35">
      <c r="A292" t="s">
        <v>705</v>
      </c>
      <c r="B292" t="s">
        <v>839</v>
      </c>
      <c r="C292" t="s">
        <v>840</v>
      </c>
      <c r="D292">
        <v>0</v>
      </c>
    </row>
    <row r="293" spans="1:4" x14ac:dyDescent="0.35">
      <c r="A293" t="s">
        <v>705</v>
      </c>
      <c r="B293" t="s">
        <v>744</v>
      </c>
      <c r="C293" t="s">
        <v>745</v>
      </c>
      <c r="D293">
        <v>0</v>
      </c>
    </row>
    <row r="294" spans="1:4" x14ac:dyDescent="0.35">
      <c r="A294" t="s">
        <v>705</v>
      </c>
      <c r="B294" t="s">
        <v>721</v>
      </c>
      <c r="C294" t="s">
        <v>722</v>
      </c>
      <c r="D294">
        <v>0</v>
      </c>
    </row>
    <row r="295" spans="1:4" x14ac:dyDescent="0.35">
      <c r="A295" t="s">
        <v>705</v>
      </c>
      <c r="B295" t="s">
        <v>747</v>
      </c>
      <c r="C295" t="s">
        <v>748</v>
      </c>
      <c r="D295">
        <v>0</v>
      </c>
    </row>
    <row r="296" spans="1:4" x14ac:dyDescent="0.35">
      <c r="A296" t="s">
        <v>705</v>
      </c>
      <c r="B296" t="s">
        <v>932</v>
      </c>
      <c r="C296" t="s">
        <v>934</v>
      </c>
      <c r="D296">
        <v>0</v>
      </c>
    </row>
    <row r="297" spans="1:4" x14ac:dyDescent="0.35">
      <c r="A297" t="s">
        <v>705</v>
      </c>
      <c r="B297" t="s">
        <v>724</v>
      </c>
      <c r="C297" t="s">
        <v>725</v>
      </c>
      <c r="D297">
        <v>0</v>
      </c>
    </row>
    <row r="298" spans="1:4" x14ac:dyDescent="0.35">
      <c r="A298" t="s">
        <v>705</v>
      </c>
      <c r="B298" t="s">
        <v>956</v>
      </c>
      <c r="C298" t="s">
        <v>957</v>
      </c>
      <c r="D298">
        <v>0</v>
      </c>
    </row>
    <row r="299" spans="1:4" x14ac:dyDescent="0.35">
      <c r="A299" t="s">
        <v>705</v>
      </c>
      <c r="B299" t="s">
        <v>257</v>
      </c>
      <c r="C299" t="s">
        <v>259</v>
      </c>
      <c r="D299">
        <v>0</v>
      </c>
    </row>
    <row r="300" spans="1:4" x14ac:dyDescent="0.35">
      <c r="A300" t="s">
        <v>260</v>
      </c>
      <c r="B300" t="s">
        <v>261</v>
      </c>
      <c r="C300" t="s">
        <v>262</v>
      </c>
      <c r="D300">
        <v>0</v>
      </c>
    </row>
    <row r="301" spans="1:4" x14ac:dyDescent="0.35">
      <c r="A301" t="s">
        <v>260</v>
      </c>
      <c r="B301" t="s">
        <v>264</v>
      </c>
      <c r="C301" t="s">
        <v>265</v>
      </c>
      <c r="D301">
        <v>0</v>
      </c>
    </row>
    <row r="302" spans="1:4" x14ac:dyDescent="0.35">
      <c r="A302" t="s">
        <v>260</v>
      </c>
      <c r="B302" t="s">
        <v>267</v>
      </c>
      <c r="C302" t="s">
        <v>269</v>
      </c>
      <c r="D302">
        <v>0</v>
      </c>
    </row>
    <row r="303" spans="1:4" x14ac:dyDescent="0.35">
      <c r="A303" t="s">
        <v>260</v>
      </c>
      <c r="B303" t="s">
        <v>270</v>
      </c>
      <c r="C303" t="s">
        <v>271</v>
      </c>
      <c r="D303">
        <v>0</v>
      </c>
    </row>
    <row r="304" spans="1:4" x14ac:dyDescent="0.35">
      <c r="A304" t="s">
        <v>260</v>
      </c>
      <c r="B304" t="s">
        <v>273</v>
      </c>
      <c r="C304" t="s">
        <v>274</v>
      </c>
      <c r="D304">
        <v>0</v>
      </c>
    </row>
    <row r="305" spans="1:4" x14ac:dyDescent="0.35">
      <c r="A305" t="s">
        <v>260</v>
      </c>
      <c r="B305" t="s">
        <v>276</v>
      </c>
      <c r="C305" t="s">
        <v>278</v>
      </c>
      <c r="D305">
        <v>0</v>
      </c>
    </row>
    <row r="306" spans="1:4" x14ac:dyDescent="0.35">
      <c r="A306" t="s">
        <v>260</v>
      </c>
      <c r="B306" t="s">
        <v>279</v>
      </c>
      <c r="C306" t="s">
        <v>281</v>
      </c>
      <c r="D306">
        <v>0</v>
      </c>
    </row>
    <row r="307" spans="1:4" x14ac:dyDescent="0.35">
      <c r="A307" t="s">
        <v>260</v>
      </c>
      <c r="B307" t="s">
        <v>282</v>
      </c>
      <c r="C307" t="s">
        <v>284</v>
      </c>
      <c r="D307">
        <v>0</v>
      </c>
    </row>
    <row r="308" spans="1:4" x14ac:dyDescent="0.35">
      <c r="A308" t="s">
        <v>260</v>
      </c>
      <c r="B308" t="s">
        <v>285</v>
      </c>
      <c r="C308" t="s">
        <v>286</v>
      </c>
      <c r="D308">
        <v>0</v>
      </c>
    </row>
    <row r="309" spans="1:4" x14ac:dyDescent="0.35">
      <c r="A309" s="7" t="s">
        <v>301</v>
      </c>
      <c r="B309" s="7" t="s">
        <v>986</v>
      </c>
      <c r="C309" t="s">
        <v>1006</v>
      </c>
      <c r="D309">
        <v>0</v>
      </c>
    </row>
    <row r="310" spans="1:4" x14ac:dyDescent="0.35">
      <c r="A310" s="7" t="s">
        <v>301</v>
      </c>
      <c r="B310" s="7" t="s">
        <v>986</v>
      </c>
      <c r="C310" t="s">
        <v>1007</v>
      </c>
      <c r="D310">
        <v>0</v>
      </c>
    </row>
    <row r="311" spans="1:4" x14ac:dyDescent="0.35">
      <c r="A311" s="7" t="s">
        <v>301</v>
      </c>
      <c r="B311" s="7" t="s">
        <v>986</v>
      </c>
      <c r="C311" t="s">
        <v>1143</v>
      </c>
      <c r="D311">
        <v>0</v>
      </c>
    </row>
    <row r="312" spans="1:4" x14ac:dyDescent="0.35">
      <c r="A312" t="s">
        <v>301</v>
      </c>
      <c r="B312" s="7" t="s">
        <v>986</v>
      </c>
      <c r="C312" t="s">
        <v>1767</v>
      </c>
      <c r="D312">
        <v>0</v>
      </c>
    </row>
    <row r="313" spans="1:4" x14ac:dyDescent="0.35">
      <c r="A313" t="s">
        <v>301</v>
      </c>
      <c r="B313" s="7" t="s">
        <v>986</v>
      </c>
      <c r="C313" t="s">
        <v>1944</v>
      </c>
      <c r="D313">
        <v>0</v>
      </c>
    </row>
    <row r="314" spans="1:4" x14ac:dyDescent="0.35">
      <c r="A314" t="s">
        <v>301</v>
      </c>
      <c r="B314" s="7" t="s">
        <v>986</v>
      </c>
      <c r="C314" t="s">
        <v>1945</v>
      </c>
      <c r="D314">
        <v>0</v>
      </c>
    </row>
    <row r="315" spans="1:4" x14ac:dyDescent="0.35">
      <c r="A315" t="s">
        <v>301</v>
      </c>
      <c r="B315" s="7" t="s">
        <v>986</v>
      </c>
      <c r="C315" t="s">
        <v>1946</v>
      </c>
      <c r="D315">
        <v>0</v>
      </c>
    </row>
    <row r="316" spans="1:4" x14ac:dyDescent="0.35">
      <c r="A316" t="s">
        <v>301</v>
      </c>
      <c r="B316" t="s">
        <v>302</v>
      </c>
      <c r="C316" t="s">
        <v>303</v>
      </c>
      <c r="D316">
        <v>0</v>
      </c>
    </row>
    <row r="317" spans="1:4" x14ac:dyDescent="0.35">
      <c r="A317" t="s">
        <v>301</v>
      </c>
      <c r="B317" t="s">
        <v>1317</v>
      </c>
      <c r="C317" t="s">
        <v>1318</v>
      </c>
      <c r="D317">
        <v>0</v>
      </c>
    </row>
    <row r="318" spans="1:4" x14ac:dyDescent="0.35">
      <c r="A318" t="s">
        <v>301</v>
      </c>
      <c r="B318" t="s">
        <v>305</v>
      </c>
      <c r="C318" t="s">
        <v>306</v>
      </c>
      <c r="D318">
        <v>0</v>
      </c>
    </row>
    <row r="319" spans="1:4" x14ac:dyDescent="0.35">
      <c r="A319" t="s">
        <v>301</v>
      </c>
      <c r="B319" t="s">
        <v>1769</v>
      </c>
      <c r="C319" t="s">
        <v>1774</v>
      </c>
      <c r="D319">
        <v>0</v>
      </c>
    </row>
    <row r="320" spans="1:4" x14ac:dyDescent="0.35">
      <c r="A320" t="s">
        <v>308</v>
      </c>
      <c r="B320" t="s">
        <v>1144</v>
      </c>
      <c r="C320" t="s">
        <v>1149</v>
      </c>
      <c r="D320">
        <v>0</v>
      </c>
    </row>
    <row r="321" spans="1:4" x14ac:dyDescent="0.35">
      <c r="A321" t="s">
        <v>308</v>
      </c>
      <c r="B321" t="s">
        <v>959</v>
      </c>
      <c r="C321" t="s">
        <v>960</v>
      </c>
      <c r="D321">
        <v>0</v>
      </c>
    </row>
    <row r="322" spans="1:4" x14ac:dyDescent="0.35">
      <c r="A322" t="s">
        <v>308</v>
      </c>
      <c r="B322" t="s">
        <v>309</v>
      </c>
      <c r="C322" t="s">
        <v>310</v>
      </c>
      <c r="D322">
        <v>0</v>
      </c>
    </row>
    <row r="323" spans="1:4" x14ac:dyDescent="0.35">
      <c r="A323" t="s">
        <v>308</v>
      </c>
      <c r="B323" t="s">
        <v>312</v>
      </c>
      <c r="C323" t="s">
        <v>313</v>
      </c>
      <c r="D323">
        <v>0</v>
      </c>
    </row>
    <row r="324" spans="1:4" x14ac:dyDescent="0.35">
      <c r="A324" t="s">
        <v>308</v>
      </c>
      <c r="B324" t="s">
        <v>962</v>
      </c>
      <c r="C324" t="s">
        <v>963</v>
      </c>
      <c r="D324">
        <v>0</v>
      </c>
    </row>
    <row r="325" spans="1:4" x14ac:dyDescent="0.35">
      <c r="A325" t="s">
        <v>308</v>
      </c>
      <c r="B325" t="s">
        <v>642</v>
      </c>
      <c r="C325" t="s">
        <v>643</v>
      </c>
      <c r="D325">
        <v>0</v>
      </c>
    </row>
    <row r="326" spans="1:4" x14ac:dyDescent="0.35">
      <c r="A326" t="s">
        <v>308</v>
      </c>
      <c r="B326" t="s">
        <v>1246</v>
      </c>
      <c r="C326" t="s">
        <v>1247</v>
      </c>
      <c r="D326">
        <v>0</v>
      </c>
    </row>
    <row r="327" spans="1:4" x14ac:dyDescent="0.35">
      <c r="A327" t="s">
        <v>308</v>
      </c>
      <c r="B327" t="s">
        <v>965</v>
      </c>
      <c r="C327" t="s">
        <v>966</v>
      </c>
      <c r="D327">
        <v>0</v>
      </c>
    </row>
    <row r="328" spans="1:4" x14ac:dyDescent="0.35">
      <c r="A328" t="s">
        <v>308</v>
      </c>
      <c r="B328" t="s">
        <v>316</v>
      </c>
      <c r="C328" t="s">
        <v>319</v>
      </c>
      <c r="D328">
        <v>0</v>
      </c>
    </row>
    <row r="329" spans="1:4" x14ac:dyDescent="0.35">
      <c r="A329" t="s">
        <v>308</v>
      </c>
      <c r="B329" t="s">
        <v>320</v>
      </c>
      <c r="C329" t="s">
        <v>321</v>
      </c>
      <c r="D329">
        <v>0</v>
      </c>
    </row>
    <row r="330" spans="1:4" x14ac:dyDescent="0.35">
      <c r="A330" t="s">
        <v>308</v>
      </c>
      <c r="B330" t="s">
        <v>324</v>
      </c>
      <c r="C330" t="s">
        <v>325</v>
      </c>
      <c r="D330">
        <v>0</v>
      </c>
    </row>
    <row r="331" spans="1:4" x14ac:dyDescent="0.35">
      <c r="A331" t="s">
        <v>308</v>
      </c>
      <c r="B331" t="s">
        <v>338</v>
      </c>
      <c r="C331" t="s">
        <v>339</v>
      </c>
      <c r="D331">
        <v>0</v>
      </c>
    </row>
    <row r="332" spans="1:4" x14ac:dyDescent="0.35">
      <c r="A332" t="s">
        <v>308</v>
      </c>
      <c r="B332" t="s">
        <v>1150</v>
      </c>
      <c r="C332" t="s">
        <v>1151</v>
      </c>
      <c r="D332">
        <v>0</v>
      </c>
    </row>
    <row r="333" spans="1:4" x14ac:dyDescent="0.35">
      <c r="A333" t="s">
        <v>308</v>
      </c>
      <c r="B333" t="s">
        <v>1153</v>
      </c>
      <c r="C333" t="s">
        <v>1154</v>
      </c>
      <c r="D333">
        <v>0</v>
      </c>
    </row>
    <row r="334" spans="1:4" x14ac:dyDescent="0.35">
      <c r="A334" t="s">
        <v>308</v>
      </c>
      <c r="B334" t="s">
        <v>341</v>
      </c>
      <c r="C334" t="s">
        <v>342</v>
      </c>
      <c r="D334">
        <v>0</v>
      </c>
    </row>
    <row r="335" spans="1:4" x14ac:dyDescent="0.35">
      <c r="A335" t="s">
        <v>308</v>
      </c>
      <c r="B335" t="s">
        <v>355</v>
      </c>
      <c r="C335" t="s">
        <v>356</v>
      </c>
      <c r="D335">
        <v>0</v>
      </c>
    </row>
    <row r="336" spans="1:4" x14ac:dyDescent="0.35">
      <c r="A336" t="s">
        <v>308</v>
      </c>
      <c r="B336" t="s">
        <v>1156</v>
      </c>
      <c r="C336" t="s">
        <v>1157</v>
      </c>
      <c r="D336">
        <v>0</v>
      </c>
    </row>
    <row r="337" spans="1:4" x14ac:dyDescent="0.35">
      <c r="A337" t="s">
        <v>308</v>
      </c>
      <c r="B337" t="s">
        <v>1160</v>
      </c>
      <c r="C337" t="s">
        <v>1161</v>
      </c>
      <c r="D337">
        <v>0</v>
      </c>
    </row>
    <row r="338" spans="1:4" x14ac:dyDescent="0.35">
      <c r="A338" t="s">
        <v>308</v>
      </c>
      <c r="B338" t="s">
        <v>1775</v>
      </c>
      <c r="C338" t="s">
        <v>1776</v>
      </c>
      <c r="D338">
        <v>0</v>
      </c>
    </row>
    <row r="339" spans="1:4" x14ac:dyDescent="0.35">
      <c r="A339" t="s">
        <v>308</v>
      </c>
      <c r="B339" t="s">
        <v>1008</v>
      </c>
      <c r="C339" t="s">
        <v>1009</v>
      </c>
      <c r="D339">
        <v>0</v>
      </c>
    </row>
    <row r="340" spans="1:4" x14ac:dyDescent="0.35">
      <c r="A340" t="s">
        <v>308</v>
      </c>
      <c r="B340" t="s">
        <v>1163</v>
      </c>
      <c r="C340" t="s">
        <v>1164</v>
      </c>
      <c r="D340">
        <v>0</v>
      </c>
    </row>
    <row r="341" spans="1:4" x14ac:dyDescent="0.35">
      <c r="A341" t="s">
        <v>308</v>
      </c>
      <c r="B341" t="s">
        <v>1166</v>
      </c>
      <c r="C341" t="s">
        <v>1167</v>
      </c>
      <c r="D341">
        <v>0</v>
      </c>
    </row>
    <row r="342" spans="1:4" x14ac:dyDescent="0.35">
      <c r="A342" t="s">
        <v>308</v>
      </c>
      <c r="B342" t="s">
        <v>1016</v>
      </c>
      <c r="C342" t="s">
        <v>1017</v>
      </c>
      <c r="D342">
        <v>0</v>
      </c>
    </row>
    <row r="343" spans="1:4" x14ac:dyDescent="0.35">
      <c r="A343" t="s">
        <v>308</v>
      </c>
      <c r="B343" t="s">
        <v>429</v>
      </c>
      <c r="C343" t="s">
        <v>430</v>
      </c>
      <c r="D343">
        <v>0</v>
      </c>
    </row>
    <row r="344" spans="1:4" x14ac:dyDescent="0.35">
      <c r="A344" t="s">
        <v>308</v>
      </c>
      <c r="B344" t="s">
        <v>432</v>
      </c>
      <c r="C344" t="s">
        <v>433</v>
      </c>
      <c r="D344">
        <v>0</v>
      </c>
    </row>
    <row r="345" spans="1:4" x14ac:dyDescent="0.35">
      <c r="A345" t="s">
        <v>308</v>
      </c>
      <c r="B345" t="s">
        <v>435</v>
      </c>
      <c r="C345" t="s">
        <v>436</v>
      </c>
      <c r="D345">
        <v>0</v>
      </c>
    </row>
    <row r="346" spans="1:4" x14ac:dyDescent="0.35">
      <c r="A346" t="s">
        <v>308</v>
      </c>
      <c r="B346" t="s">
        <v>438</v>
      </c>
      <c r="C346" t="s">
        <v>439</v>
      </c>
      <c r="D346">
        <v>0</v>
      </c>
    </row>
    <row r="347" spans="1:4" x14ac:dyDescent="0.35">
      <c r="A347" t="s">
        <v>308</v>
      </c>
      <c r="B347" t="s">
        <v>441</v>
      </c>
      <c r="C347" t="s">
        <v>442</v>
      </c>
      <c r="D347">
        <v>0</v>
      </c>
    </row>
    <row r="348" spans="1:4" x14ac:dyDescent="0.35">
      <c r="A348" t="s">
        <v>308</v>
      </c>
      <c r="B348" t="s">
        <v>449</v>
      </c>
      <c r="C348" t="s">
        <v>450</v>
      </c>
      <c r="D348">
        <v>0</v>
      </c>
    </row>
    <row r="349" spans="1:4" x14ac:dyDescent="0.35">
      <c r="A349" t="s">
        <v>308</v>
      </c>
      <c r="B349" t="s">
        <v>1180</v>
      </c>
      <c r="C349" t="s">
        <v>1181</v>
      </c>
      <c r="D349">
        <v>0</v>
      </c>
    </row>
    <row r="350" spans="1:4" x14ac:dyDescent="0.35">
      <c r="A350" t="s">
        <v>308</v>
      </c>
      <c r="B350" t="s">
        <v>727</v>
      </c>
      <c r="C350" t="s">
        <v>728</v>
      </c>
      <c r="D350">
        <v>0</v>
      </c>
    </row>
    <row r="351" spans="1:4" x14ac:dyDescent="0.35">
      <c r="A351" t="s">
        <v>308</v>
      </c>
      <c r="B351" t="s">
        <v>818</v>
      </c>
      <c r="C351" t="s">
        <v>819</v>
      </c>
      <c r="D351">
        <v>0</v>
      </c>
    </row>
    <row r="352" spans="1:4" x14ac:dyDescent="0.35">
      <c r="A352" t="s">
        <v>308</v>
      </c>
      <c r="B352" t="s">
        <v>1184</v>
      </c>
      <c r="C352" t="s">
        <v>1186</v>
      </c>
      <c r="D352">
        <v>0</v>
      </c>
    </row>
    <row r="353" spans="1:4" x14ac:dyDescent="0.35">
      <c r="A353" t="s">
        <v>308</v>
      </c>
      <c r="B353" t="s">
        <v>1187</v>
      </c>
      <c r="C353" t="s">
        <v>1189</v>
      </c>
      <c r="D353">
        <v>0</v>
      </c>
    </row>
    <row r="354" spans="1:4" x14ac:dyDescent="0.35">
      <c r="A354" t="s">
        <v>308</v>
      </c>
      <c r="B354" t="s">
        <v>452</v>
      </c>
      <c r="C354" t="s">
        <v>455</v>
      </c>
      <c r="D354">
        <v>0</v>
      </c>
    </row>
    <row r="355" spans="1:4" x14ac:dyDescent="0.35">
      <c r="A355" t="s">
        <v>308</v>
      </c>
      <c r="B355" t="s">
        <v>968</v>
      </c>
      <c r="C355" t="s">
        <v>969</v>
      </c>
      <c r="D355">
        <v>0</v>
      </c>
    </row>
    <row r="356" spans="1:4" x14ac:dyDescent="0.35">
      <c r="A356" t="s">
        <v>308</v>
      </c>
      <c r="B356" t="s">
        <v>456</v>
      </c>
      <c r="C356" t="s">
        <v>458</v>
      </c>
      <c r="D356">
        <v>0</v>
      </c>
    </row>
    <row r="357" spans="1:4" x14ac:dyDescent="0.35">
      <c r="A357" t="s">
        <v>308</v>
      </c>
      <c r="B357" t="s">
        <v>459</v>
      </c>
      <c r="C357" t="s">
        <v>461</v>
      </c>
      <c r="D357">
        <v>0</v>
      </c>
    </row>
    <row r="358" spans="1:4" x14ac:dyDescent="0.35">
      <c r="A358" t="s">
        <v>308</v>
      </c>
      <c r="B358" t="s">
        <v>462</v>
      </c>
      <c r="C358" t="s">
        <v>463</v>
      </c>
      <c r="D358">
        <v>0</v>
      </c>
    </row>
    <row r="359" spans="1:4" x14ac:dyDescent="0.35">
      <c r="A359" t="s">
        <v>308</v>
      </c>
      <c r="B359" t="s">
        <v>465</v>
      </c>
      <c r="C359" t="s">
        <v>466</v>
      </c>
      <c r="D359">
        <v>0</v>
      </c>
    </row>
    <row r="360" spans="1:4" x14ac:dyDescent="0.35">
      <c r="A360" t="s">
        <v>308</v>
      </c>
      <c r="B360" t="s">
        <v>1330</v>
      </c>
      <c r="C360" t="s">
        <v>1343</v>
      </c>
      <c r="D360">
        <v>0</v>
      </c>
    </row>
    <row r="361" spans="1:4" x14ac:dyDescent="0.35">
      <c r="A361" t="s">
        <v>308</v>
      </c>
      <c r="B361" t="s">
        <v>539</v>
      </c>
      <c r="C361" t="s">
        <v>540</v>
      </c>
      <c r="D361">
        <v>0</v>
      </c>
    </row>
    <row r="362" spans="1:4" x14ac:dyDescent="0.35">
      <c r="A362" t="s">
        <v>308</v>
      </c>
      <c r="B362" t="s">
        <v>1344</v>
      </c>
      <c r="C362" t="s">
        <v>1345</v>
      </c>
      <c r="D362">
        <v>0</v>
      </c>
    </row>
    <row r="363" spans="1:4" x14ac:dyDescent="0.35">
      <c r="A363" t="s">
        <v>308</v>
      </c>
      <c r="B363" t="s">
        <v>730</v>
      </c>
      <c r="C363" t="s">
        <v>732</v>
      </c>
      <c r="D363">
        <v>0</v>
      </c>
    </row>
    <row r="364" spans="1:4" x14ac:dyDescent="0.35">
      <c r="A364" t="s">
        <v>308</v>
      </c>
      <c r="B364" t="s">
        <v>1190</v>
      </c>
      <c r="C364" t="s">
        <v>1191</v>
      </c>
      <c r="D364">
        <v>0</v>
      </c>
    </row>
    <row r="365" spans="1:4" x14ac:dyDescent="0.35">
      <c r="A365" t="s">
        <v>308</v>
      </c>
      <c r="B365" t="s">
        <v>856</v>
      </c>
      <c r="C365" t="s">
        <v>857</v>
      </c>
      <c r="D365">
        <v>0</v>
      </c>
    </row>
    <row r="366" spans="1:4" x14ac:dyDescent="0.35">
      <c r="A366" t="s">
        <v>308</v>
      </c>
      <c r="B366" t="s">
        <v>1785</v>
      </c>
      <c r="C366" t="s">
        <v>1786</v>
      </c>
      <c r="D366">
        <v>0</v>
      </c>
    </row>
    <row r="367" spans="1:4" x14ac:dyDescent="0.35">
      <c r="A367" t="s">
        <v>308</v>
      </c>
      <c r="B367" t="s">
        <v>542</v>
      </c>
      <c r="C367" t="s">
        <v>543</v>
      </c>
      <c r="D367">
        <v>0</v>
      </c>
    </row>
    <row r="368" spans="1:4" x14ac:dyDescent="0.35">
      <c r="A368" t="s">
        <v>308</v>
      </c>
      <c r="B368" t="s">
        <v>544</v>
      </c>
      <c r="C368" t="s">
        <v>545</v>
      </c>
      <c r="D368">
        <v>0</v>
      </c>
    </row>
    <row r="369" spans="1:4" x14ac:dyDescent="0.35">
      <c r="A369" t="s">
        <v>308</v>
      </c>
      <c r="B369" t="s">
        <v>1193</v>
      </c>
      <c r="C369" t="s">
        <v>1194</v>
      </c>
      <c r="D369">
        <v>0</v>
      </c>
    </row>
    <row r="370" spans="1:4" x14ac:dyDescent="0.35">
      <c r="A370" t="s">
        <v>308</v>
      </c>
      <c r="B370" t="s">
        <v>547</v>
      </c>
      <c r="C370" t="s">
        <v>548</v>
      </c>
      <c r="D370">
        <v>0</v>
      </c>
    </row>
    <row r="371" spans="1:4" x14ac:dyDescent="0.35">
      <c r="A371" t="s">
        <v>308</v>
      </c>
      <c r="B371" t="s">
        <v>1197</v>
      </c>
      <c r="C371" t="s">
        <v>1198</v>
      </c>
      <c r="D371">
        <v>0</v>
      </c>
    </row>
    <row r="372" spans="1:4" x14ac:dyDescent="0.35">
      <c r="A372" t="s">
        <v>308</v>
      </c>
      <c r="B372" t="s">
        <v>551</v>
      </c>
      <c r="C372" t="s">
        <v>552</v>
      </c>
      <c r="D372">
        <v>0</v>
      </c>
    </row>
    <row r="373" spans="1:4" x14ac:dyDescent="0.35">
      <c r="A373" t="s">
        <v>308</v>
      </c>
      <c r="B373" t="s">
        <v>887</v>
      </c>
      <c r="C373" t="s">
        <v>888</v>
      </c>
      <c r="D373">
        <v>0</v>
      </c>
    </row>
    <row r="374" spans="1:4" x14ac:dyDescent="0.35">
      <c r="A374" t="s">
        <v>308</v>
      </c>
      <c r="B374" t="s">
        <v>890</v>
      </c>
      <c r="C374" t="s">
        <v>891</v>
      </c>
      <c r="D374">
        <v>0</v>
      </c>
    </row>
    <row r="375" spans="1:4" x14ac:dyDescent="0.35">
      <c r="A375" t="s">
        <v>308</v>
      </c>
      <c r="B375" t="s">
        <v>555</v>
      </c>
      <c r="C375" t="s">
        <v>557</v>
      </c>
      <c r="D375">
        <v>0</v>
      </c>
    </row>
    <row r="376" spans="1:4" x14ac:dyDescent="0.35">
      <c r="A376" t="s">
        <v>308</v>
      </c>
      <c r="B376" t="s">
        <v>1200</v>
      </c>
      <c r="C376" t="s">
        <v>1201</v>
      </c>
      <c r="D376">
        <v>0</v>
      </c>
    </row>
    <row r="377" spans="1:4" x14ac:dyDescent="0.35">
      <c r="A377" t="s">
        <v>308</v>
      </c>
      <c r="B377" t="s">
        <v>1018</v>
      </c>
      <c r="C377" t="s">
        <v>1019</v>
      </c>
      <c r="D377">
        <v>0</v>
      </c>
    </row>
    <row r="378" spans="1:4" x14ac:dyDescent="0.35">
      <c r="A378" t="s">
        <v>308</v>
      </c>
      <c r="B378" t="s">
        <v>1022</v>
      </c>
      <c r="C378" t="s">
        <v>1023</v>
      </c>
      <c r="D378">
        <v>0</v>
      </c>
    </row>
    <row r="379" spans="1:4" x14ac:dyDescent="0.35">
      <c r="A379" t="s">
        <v>308</v>
      </c>
      <c r="B379" t="s">
        <v>558</v>
      </c>
      <c r="C379" t="s">
        <v>559</v>
      </c>
      <c r="D379">
        <v>0</v>
      </c>
    </row>
    <row r="380" spans="1:4" x14ac:dyDescent="0.35">
      <c r="A380" t="s">
        <v>647</v>
      </c>
      <c r="B380" t="s">
        <v>646</v>
      </c>
      <c r="C380" t="s">
        <v>646</v>
      </c>
      <c r="D380">
        <v>0</v>
      </c>
    </row>
    <row r="381" spans="1:4" x14ac:dyDescent="0.35">
      <c r="A381" t="s">
        <v>561</v>
      </c>
      <c r="B381" t="s">
        <v>562</v>
      </c>
      <c r="C381" t="s">
        <v>567</v>
      </c>
      <c r="D381">
        <v>0</v>
      </c>
    </row>
    <row r="382" spans="1:4" x14ac:dyDescent="0.35">
      <c r="A382" t="s">
        <v>561</v>
      </c>
      <c r="B382" t="s">
        <v>568</v>
      </c>
      <c r="C382" t="s">
        <v>569</v>
      </c>
      <c r="D382">
        <v>0</v>
      </c>
    </row>
    <row r="383" spans="1:4" x14ac:dyDescent="0.35">
      <c r="A383" t="s">
        <v>561</v>
      </c>
      <c r="B383" t="s">
        <v>570</v>
      </c>
      <c r="C383" t="s">
        <v>571</v>
      </c>
      <c r="D383">
        <v>0</v>
      </c>
    </row>
    <row r="384" spans="1:4" x14ac:dyDescent="0.35">
      <c r="A384" t="s">
        <v>561</v>
      </c>
      <c r="B384" t="s">
        <v>1387</v>
      </c>
      <c r="C384" t="s">
        <v>1388</v>
      </c>
      <c r="D384">
        <v>0</v>
      </c>
    </row>
    <row r="385" spans="1:4" x14ac:dyDescent="0.35">
      <c r="A385" t="s">
        <v>561</v>
      </c>
      <c r="B385" t="s">
        <v>574</v>
      </c>
      <c r="C385" t="s">
        <v>575</v>
      </c>
      <c r="D385">
        <v>0</v>
      </c>
    </row>
    <row r="386" spans="1:4" x14ac:dyDescent="0.35">
      <c r="A386" t="s">
        <v>561</v>
      </c>
      <c r="B386" t="s">
        <v>972</v>
      </c>
      <c r="C386" t="s">
        <v>973</v>
      </c>
      <c r="D386">
        <v>0</v>
      </c>
    </row>
    <row r="387" spans="1:4" x14ac:dyDescent="0.35">
      <c r="A387" t="s">
        <v>561</v>
      </c>
      <c r="B387" t="s">
        <v>577</v>
      </c>
      <c r="C387" t="s">
        <v>581</v>
      </c>
      <c r="D387">
        <v>0</v>
      </c>
    </row>
    <row r="388" spans="1:4" x14ac:dyDescent="0.35">
      <c r="A388" t="s">
        <v>646</v>
      </c>
      <c r="B388" t="s">
        <v>646</v>
      </c>
      <c r="C388" t="s">
        <v>646</v>
      </c>
      <c r="D388">
        <v>0</v>
      </c>
    </row>
    <row r="389" spans="1:4" x14ac:dyDescent="0.35">
      <c r="D389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564"/>
  <sheetViews>
    <sheetView topLeftCell="A816" workbookViewId="0">
      <selection activeCell="A835" sqref="A835"/>
    </sheetView>
  </sheetViews>
  <sheetFormatPr defaultRowHeight="14.5" x14ac:dyDescent="0.35"/>
  <cols>
    <col min="1" max="1" width="29.81640625" bestFit="1" customWidth="1"/>
    <col min="3" max="3" width="59.453125" bestFit="1" customWidth="1"/>
    <col min="8" max="8" width="59.453125" bestFit="1" customWidth="1"/>
  </cols>
  <sheetData>
    <row r="1" spans="1:10" x14ac:dyDescent="0.35">
      <c r="A1" t="s">
        <v>584</v>
      </c>
      <c r="B1" t="s">
        <v>585</v>
      </c>
      <c r="C1" t="s">
        <v>586</v>
      </c>
      <c r="G1" t="s">
        <v>582</v>
      </c>
      <c r="H1" t="s">
        <v>583</v>
      </c>
      <c r="I1" s="3" t="s">
        <v>588</v>
      </c>
      <c r="J1" t="s">
        <v>587</v>
      </c>
    </row>
    <row r="2" spans="1:10" x14ac:dyDescent="0.35">
      <c r="A2" t="s">
        <v>0</v>
      </c>
    </row>
    <row r="3" spans="1:10" x14ac:dyDescent="0.35">
      <c r="A3" t="s">
        <v>1</v>
      </c>
    </row>
    <row r="4" spans="1:10" x14ac:dyDescent="0.35">
      <c r="A4" t="s">
        <v>602</v>
      </c>
    </row>
    <row r="5" spans="1:10" x14ac:dyDescent="0.35">
      <c r="A5" t="s">
        <v>629</v>
      </c>
    </row>
    <row r="6" spans="1:10" x14ac:dyDescent="0.35">
      <c r="A6" t="s">
        <v>647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35">
      <c r="A7" t="s">
        <v>603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35">
      <c r="A8" t="s">
        <v>2</v>
      </c>
      <c r="B8" t="s">
        <v>904</v>
      </c>
      <c r="C8" t="s">
        <v>905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35">
      <c r="A9" t="s">
        <v>2</v>
      </c>
      <c r="B9" t="s">
        <v>904</v>
      </c>
      <c r="C9" t="s">
        <v>1389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35">
      <c r="A10" t="s">
        <v>2</v>
      </c>
      <c r="B10" t="s">
        <v>904</v>
      </c>
      <c r="C10" t="s">
        <v>1390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BAU Deaths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35">
      <c r="A11" t="s">
        <v>2</v>
      </c>
      <c r="B11" t="s">
        <v>1391</v>
      </c>
      <c r="C11" t="s">
        <v>1392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Child and Adult Prem Mort by Demo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35">
      <c r="A12" t="s">
        <v>2</v>
      </c>
      <c r="B12" t="s">
        <v>1391</v>
      </c>
      <c r="C12" t="s">
        <v>1393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Child and Adult Prem Mort by Demo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35">
      <c r="A13" t="s">
        <v>2</v>
      </c>
      <c r="B13" t="s">
        <v>1391</v>
      </c>
      <c r="C13" t="s">
        <v>1394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Child and Adult Prem Mort by Demo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35">
      <c r="A14" t="s">
        <v>2</v>
      </c>
      <c r="B14" t="s">
        <v>1391</v>
      </c>
      <c r="C14" t="s">
        <v>1395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Child and Adult Prem Mort by Demo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35">
      <c r="A15" t="s">
        <v>2</v>
      </c>
      <c r="B15" t="s">
        <v>1391</v>
      </c>
      <c r="C15" t="s">
        <v>1396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Child and Adult Prem Mort by Demo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35">
      <c r="A16" t="s">
        <v>2</v>
      </c>
      <c r="B16" t="s">
        <v>1391</v>
      </c>
      <c r="C16" t="s">
        <v>1397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Child and Adult Prem Mort by Demo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35">
      <c r="A17" t="s">
        <v>2</v>
      </c>
      <c r="B17" t="s">
        <v>1391</v>
      </c>
      <c r="C17" t="s">
        <v>1398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Child and Adult Prem Mort by Demo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35">
      <c r="A18" t="s">
        <v>2</v>
      </c>
      <c r="B18" t="s">
        <v>1391</v>
      </c>
      <c r="C18" t="s">
        <v>1399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Child and Adult Prem Mort by Demo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35">
      <c r="A19" t="s">
        <v>2</v>
      </c>
      <c r="B19" t="s">
        <v>1391</v>
      </c>
      <c r="C19" t="s">
        <v>1400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Child and Adult Prem Mort by Demo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35">
      <c r="A20" t="s">
        <v>2</v>
      </c>
      <c r="B20" t="s">
        <v>1391</v>
      </c>
      <c r="C20" t="s">
        <v>1401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Child and Adult Prem Mort by Demo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35">
      <c r="A21" t="s">
        <v>2</v>
      </c>
      <c r="B21" t="s">
        <v>1391</v>
      </c>
      <c r="C21" t="s">
        <v>1402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Child and Adult Prem Mort by Demo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35">
      <c r="A22" t="s">
        <v>2</v>
      </c>
      <c r="B22" t="s">
        <v>1391</v>
      </c>
      <c r="C22" t="s">
        <v>1403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Child and Adult Prem Mort by Demo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35">
      <c r="A23" t="s">
        <v>2</v>
      </c>
      <c r="B23" t="s">
        <v>1391</v>
      </c>
      <c r="C23" t="s">
        <v>1404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Child and Adult Prem Mort by Demo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35">
      <c r="A24" t="s">
        <v>2</v>
      </c>
      <c r="B24" t="s">
        <v>1391</v>
      </c>
      <c r="C24" t="s">
        <v>1405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Child and Adult Prem Mort by Demo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35">
      <c r="A25" t="s">
        <v>2</v>
      </c>
      <c r="B25" t="s">
        <v>1391</v>
      </c>
      <c r="C25" t="s">
        <v>1406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Child and Adult Prem Mort by Demo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35">
      <c r="A26" t="s">
        <v>2</v>
      </c>
      <c r="B26" t="s">
        <v>1391</v>
      </c>
      <c r="C26" t="s">
        <v>1407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Child and Adult Prem Mort by Demo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35">
      <c r="A27" t="s">
        <v>2</v>
      </c>
      <c r="B27" t="s">
        <v>1391</v>
      </c>
      <c r="C27" t="s">
        <v>1408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Child and Adult Prem Mort by Demo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35">
      <c r="A28" t="s">
        <v>2</v>
      </c>
      <c r="B28" t="s">
        <v>1391</v>
      </c>
      <c r="C28" t="s">
        <v>1409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Child and Adult Prem Mort by Demo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35">
      <c r="A29" t="s">
        <v>2</v>
      </c>
      <c r="B29" t="s">
        <v>1391</v>
      </c>
      <c r="C29" t="s">
        <v>1410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Child and Adult Prem Mort by Demo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35">
      <c r="A30" t="s">
        <v>2</v>
      </c>
      <c r="B30" t="s">
        <v>1391</v>
      </c>
      <c r="C30" t="s">
        <v>1411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Child and Adult Prem Mort by Demo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35">
      <c r="A31" t="s">
        <v>2</v>
      </c>
      <c r="B31" t="s">
        <v>1391</v>
      </c>
      <c r="C31" t="s">
        <v>1412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Child and Adult Prem Mort by Demo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35">
      <c r="A32" t="s">
        <v>2</v>
      </c>
      <c r="B32" t="s">
        <v>1391</v>
      </c>
      <c r="C32" t="s">
        <v>1413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Child and Adult Prem Mort by Demo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35">
      <c r="A33" t="s">
        <v>2</v>
      </c>
      <c r="B33" t="s">
        <v>1391</v>
      </c>
      <c r="C33" t="s">
        <v>1414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Child and Adult Prem Mort by Demo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35">
      <c r="A34" t="s">
        <v>2</v>
      </c>
      <c r="B34" t="s">
        <v>1391</v>
      </c>
      <c r="C34" t="s">
        <v>1415</v>
      </c>
      <c r="G34" t="str">
        <f t="shared" si="0"/>
        <v>.csv</v>
      </c>
      <c r="H34" s="5" t="str">
        <f>IFERROR(IF(B34="FoPITY",INDEX(Customizations!$C$2:$C$19,MATCH(Sheet1!C34,Customizations!$B$2:$B$19,0),1),INDEX(About!C:C,MATCH(Sheet1!B34,About!B:B,0),1)),"")</f>
        <v>Frac of Child and Adult Prem Mort by Demo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35">
      <c r="A35" t="s">
        <v>2</v>
      </c>
      <c r="B35" t="s">
        <v>1391</v>
      </c>
      <c r="C35" t="s">
        <v>1416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Frac of Child and Adult Prem Mort by Demo Trait.xlsx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35">
      <c r="A36" t="s">
        <v>2</v>
      </c>
      <c r="B36" t="s">
        <v>1417</v>
      </c>
      <c r="C36" t="s">
        <v>1418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Frac of Infant Prem Mort by Demo Trait.xlsx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35">
      <c r="A37" t="s">
        <v>2</v>
      </c>
      <c r="B37" t="s">
        <v>1417</v>
      </c>
      <c r="C37" t="s">
        <v>1419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Frac of Infant Prem Mort by Demo Trait.xlsx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35">
      <c r="A38" t="s">
        <v>2</v>
      </c>
      <c r="B38" t="s">
        <v>1417</v>
      </c>
      <c r="C38" t="s">
        <v>1420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Frac of Infant Prem Mort by Demo Trait.xlsx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35">
      <c r="A39" t="s">
        <v>2</v>
      </c>
      <c r="B39" t="s">
        <v>1417</v>
      </c>
      <c r="C39" t="s">
        <v>1421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Frac of Infant Prem Mort by Demo Trait.xlsx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35">
      <c r="A40" t="s">
        <v>2</v>
      </c>
      <c r="B40" t="s">
        <v>1417</v>
      </c>
      <c r="C40" t="s">
        <v>1422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Frac of Infant Prem Mort by Demo Trait.xlsx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35">
      <c r="A41" t="s">
        <v>2</v>
      </c>
      <c r="B41" t="s">
        <v>1417</v>
      </c>
      <c r="C41" t="s">
        <v>1423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Frac of Infant Prem Mort by Demo Trait.xlsx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35">
      <c r="A42" t="s">
        <v>2</v>
      </c>
      <c r="B42" t="s">
        <v>1417</v>
      </c>
      <c r="C42" t="s">
        <v>1424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Frac of Infant Prem Mort by Demo Trait.xlsx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35">
      <c r="A43" t="s">
        <v>2</v>
      </c>
      <c r="B43" t="s">
        <v>1417</v>
      </c>
      <c r="C43" t="s">
        <v>1425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Frac of Infant Prem Mort by Demo Trait.xlsx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35">
      <c r="A44" t="s">
        <v>2</v>
      </c>
      <c r="B44" t="s">
        <v>1417</v>
      </c>
      <c r="C44" t="s">
        <v>1426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Frac of Infant Prem Mort by Demo Trait.xlsx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35">
      <c r="A45" t="s">
        <v>2</v>
      </c>
      <c r="B45" t="s">
        <v>1417</v>
      </c>
      <c r="C45" t="s">
        <v>1427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Frac of Infant Prem Mort by Demo Trait.xlsx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35">
      <c r="A46" t="s">
        <v>2</v>
      </c>
      <c r="B46" t="s">
        <v>1417</v>
      </c>
      <c r="C46" t="s">
        <v>1428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Frac of Infant Prem Mort by Demo Trait.xlsx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35">
      <c r="A47" t="s">
        <v>2</v>
      </c>
      <c r="B47" t="s">
        <v>1417</v>
      </c>
      <c r="C47" t="s">
        <v>1429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Frac of Infant Prem Mort by Demo Trait.xlsx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35">
      <c r="A48" t="s">
        <v>2</v>
      </c>
      <c r="B48" t="s">
        <v>1417</v>
      </c>
      <c r="C48" t="s">
        <v>1430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Frac of Infant Prem Mort by Demo Trait.xlsx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35">
      <c r="A49" t="s">
        <v>2</v>
      </c>
      <c r="B49" t="s">
        <v>1417</v>
      </c>
      <c r="C49" t="s">
        <v>1431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Frac of Infant Prem Mort by Demo Trait.xlsx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35">
      <c r="A50" t="s">
        <v>2</v>
      </c>
      <c r="B50" t="s">
        <v>1417</v>
      </c>
      <c r="C50" t="s">
        <v>1432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Frac of Infant Prem Mort by Demo Trait.xlsx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35">
      <c r="A51" t="s">
        <v>2</v>
      </c>
      <c r="B51" t="s">
        <v>1417</v>
      </c>
      <c r="C51" t="s">
        <v>1433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Frac of Infant Prem Mort by Demo Trait.xlsx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35">
      <c r="A52" t="s">
        <v>2</v>
      </c>
      <c r="B52" t="s">
        <v>1417</v>
      </c>
      <c r="C52" t="s">
        <v>1434</v>
      </c>
      <c r="G52" t="str">
        <f t="shared" si="0"/>
        <v>.csv</v>
      </c>
      <c r="H52" s="5" t="str">
        <f>IFERROR(IF(B52="FoPITY",INDEX(Customizations!$C$2:$C$19,MATCH(Sheet1!C52,Customizations!$B$2:$B$19,0),1),INDEX(About!C:C,MATCH(Sheet1!B52,About!B:B,0),1)),"")</f>
        <v>Frac of Infant Prem Mort by Demo Trait.xlsx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35">
      <c r="A53" t="s">
        <v>2</v>
      </c>
      <c r="B53" t="s">
        <v>1417</v>
      </c>
      <c r="C53" t="s">
        <v>1435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Frac of Infant Prem Mort by Demo Trait.xlsx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35">
      <c r="A54" t="s">
        <v>2</v>
      </c>
      <c r="B54" t="s">
        <v>1417</v>
      </c>
      <c r="C54" t="s">
        <v>1436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Frac of Infant Prem Mort by Demo Trait.xlsx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35">
      <c r="A55" t="s">
        <v>2</v>
      </c>
      <c r="B55" t="s">
        <v>1417</v>
      </c>
      <c r="C55" t="s">
        <v>1437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Frac of Infant Prem Mort by Demo Trait.xlsx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35">
      <c r="A56" t="s">
        <v>2</v>
      </c>
      <c r="B56" t="s">
        <v>1417</v>
      </c>
      <c r="C56" t="s">
        <v>1438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Frac of Infant Prem Mort by Demo Trait.xlsx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35">
      <c r="A57" t="s">
        <v>2</v>
      </c>
      <c r="B57" t="s">
        <v>1417</v>
      </c>
      <c r="C57" t="s">
        <v>1439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Frac of Infant Prem Mort by Demo Trait.xlsx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35">
      <c r="A58" t="s">
        <v>2</v>
      </c>
      <c r="B58" t="s">
        <v>1417</v>
      </c>
      <c r="C58" t="s">
        <v>1440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Frac of Infant Prem Mort by Demo Trait.xlsx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35">
      <c r="A59" t="s">
        <v>2</v>
      </c>
      <c r="B59" t="s">
        <v>1417</v>
      </c>
      <c r="C59" t="s">
        <v>1441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Frac of Infant Prem Mort by Demo Trait.xlsx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35">
      <c r="A60" t="s">
        <v>2</v>
      </c>
      <c r="B60" t="s">
        <v>1417</v>
      </c>
      <c r="C60" t="s">
        <v>1442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Frac of Infant Prem Mort by Demo Trait.xlsx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35">
      <c r="A61" t="s">
        <v>2</v>
      </c>
      <c r="B61" t="s">
        <v>1417</v>
      </c>
      <c r="C61" t="s">
        <v>1443</v>
      </c>
      <c r="G61" t="str">
        <f t="shared" si="0"/>
        <v>r.py</v>
      </c>
      <c r="H61" s="5" t="str">
        <f>IFERROR(IF(B61="FoPITY",INDEX(Customizations!$C$2:$C$19,MATCH(Sheet1!C61,Customizations!$B$2:$B$19,0),1),INDEX(About!C:C,MATCH(Sheet1!B61,About!B:B,0),1)),"")</f>
        <v>Frac of Infant Prem Mort by Demo Trait.xlsx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35">
      <c r="A62" t="s">
        <v>2</v>
      </c>
      <c r="B62" t="s">
        <v>648</v>
      </c>
      <c r="C62" t="s">
        <v>649</v>
      </c>
      <c r="G62" t="str">
        <f t="shared" si="0"/>
        <v>xlsx</v>
      </c>
      <c r="H62" s="5" t="str">
        <f>IFERROR(IF(B62="FoPITY",INDEX(Customizations!$C$2:$C$19,MATCH(Sheet1!C62,Customizations!$B$2:$B$19,0),1),INDEX(About!C:C,MATCH(Sheet1!B62,About!B:B,0),1)),"")</f>
        <v>Health Outcome Incidence per Ton Pollutant.xlsx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35">
      <c r="A63" t="s">
        <v>2</v>
      </c>
      <c r="B63" t="s">
        <v>648</v>
      </c>
      <c r="C63" t="s">
        <v>650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Health Outcome Incidence per Ton Pollutant.xlsx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35">
      <c r="A64" t="s">
        <v>2</v>
      </c>
      <c r="B64" t="s">
        <v>648</v>
      </c>
      <c r="C64" t="s">
        <v>651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Health Outcome Incidence per Ton Pollutant.xlsx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35">
      <c r="A65" t="s">
        <v>2</v>
      </c>
      <c r="B65" t="s">
        <v>648</v>
      </c>
      <c r="C65" t="s">
        <v>652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Health Outcome Incidence per Ton Pollutant.xlsx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35">
      <c r="A66" t="s">
        <v>2</v>
      </c>
      <c r="B66" t="s">
        <v>648</v>
      </c>
      <c r="C66" t="s">
        <v>653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Health Outcome Incidence per Ton Pollutant.xlsx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35">
      <c r="A67" t="s">
        <v>2</v>
      </c>
      <c r="B67" t="s">
        <v>648</v>
      </c>
      <c r="C67" t="s">
        <v>654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Health Outcome Incidence per Ton Pollutant.xlsx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35">
      <c r="A68" t="s">
        <v>2</v>
      </c>
      <c r="B68" t="s">
        <v>648</v>
      </c>
      <c r="C68" t="s">
        <v>655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Health Outcome Incidence per Ton Pollutant.xlsx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35">
      <c r="A69" t="s">
        <v>2</v>
      </c>
      <c r="B69" t="s">
        <v>648</v>
      </c>
      <c r="C69" t="s">
        <v>656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Health Outcome Incidence per Ton Pollutant.xlsx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35">
      <c r="A70" t="s">
        <v>2</v>
      </c>
      <c r="B70" t="s">
        <v>648</v>
      </c>
      <c r="C70" t="s">
        <v>657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Health Outcome Incidence per Ton Pollutant.xlsx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35">
      <c r="A71" t="s">
        <v>2</v>
      </c>
      <c r="B71" t="s">
        <v>648</v>
      </c>
      <c r="C71" t="s">
        <v>658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Health Outcome Incidence per Ton Pollutant.xlsx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35">
      <c r="A72" t="s">
        <v>2</v>
      </c>
      <c r="B72" t="s">
        <v>648</v>
      </c>
      <c r="C72" t="s">
        <v>659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Health Outcome Incidence per Ton Pollutant.xlsx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35">
      <c r="A73" t="s">
        <v>2</v>
      </c>
      <c r="B73" t="s">
        <v>648</v>
      </c>
      <c r="C73" t="s">
        <v>660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Health Outcome Incidence per Ton Pollutant.xlsx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35">
      <c r="A74" t="s">
        <v>2</v>
      </c>
      <c r="B74" t="s">
        <v>648</v>
      </c>
      <c r="C74" t="s">
        <v>661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Health Outcome Incidence per Ton Pollutant.xlsx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35">
      <c r="A75" t="s">
        <v>2</v>
      </c>
      <c r="B75" t="s">
        <v>648</v>
      </c>
      <c r="C75" t="s">
        <v>662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Health Outcome Incidence per Ton Pollutant.xlsx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35">
      <c r="A76" t="s">
        <v>2</v>
      </c>
      <c r="B76" t="s">
        <v>648</v>
      </c>
      <c r="C76" t="s">
        <v>663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Health Outcome Incidence per Ton Pollutant.xlsx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35">
      <c r="A77" t="s">
        <v>2</v>
      </c>
      <c r="B77" t="s">
        <v>648</v>
      </c>
      <c r="C77" t="s">
        <v>664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Health Outcome Incidence per Ton Pollutant.xlsx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35">
      <c r="A78" t="s">
        <v>2</v>
      </c>
      <c r="B78" t="s">
        <v>1806</v>
      </c>
      <c r="C78" t="s">
        <v>1807</v>
      </c>
      <c r="G78" t="str">
        <f t="shared" si="2"/>
        <v>.csv</v>
      </c>
      <c r="H78" s="5" t="str">
        <f>IFERROR(IF(B78="FoPITY",INDEX(Customizations!$C$2:$C$19,MATCH(Sheet1!C78,Customizations!$B$2:$B$19,0),1),INDEX(About!C:C,MATCH(Sheet1!B78,About!B:B,0),1)),"")</f>
        <v>Number of Households.xlsx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35">
      <c r="A79" t="s">
        <v>2</v>
      </c>
      <c r="B79" t="s">
        <v>1806</v>
      </c>
      <c r="C79" t="s">
        <v>1808</v>
      </c>
      <c r="G79" t="str">
        <f t="shared" si="2"/>
        <v>xlsx</v>
      </c>
      <c r="H79" s="5" t="str">
        <f>IFERROR(IF(B79="FoPITY",INDEX(Customizations!$C$2:$C$19,MATCH(Sheet1!C79,Customizations!$B$2:$B$19,0),1),INDEX(About!C:C,MATCH(Sheet1!B79,About!B:B,0),1)),"")</f>
        <v>Number of Households.xlsx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35">
      <c r="A80" t="s">
        <v>2</v>
      </c>
      <c r="B80" t="s">
        <v>976</v>
      </c>
      <c r="C80" t="s">
        <v>977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Quantization Size for Health Outcomes.xlsx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35">
      <c r="A81" t="s">
        <v>2</v>
      </c>
      <c r="B81" t="s">
        <v>976</v>
      </c>
      <c r="C81" t="s">
        <v>978</v>
      </c>
      <c r="G81" t="str">
        <f t="shared" si="2"/>
        <v>xlsx</v>
      </c>
      <c r="H81" s="5" t="str">
        <f>IFERROR(IF(B81="FoPITY",INDEX(Customizations!$C$2:$C$19,MATCH(Sheet1!C81,Customizations!$B$2:$B$19,0),1),INDEX(About!C:C,MATCH(Sheet1!B81,About!B:B,0),1)),"")</f>
        <v>Quantization Size for Health Outcomes.xlsx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35">
      <c r="A82" t="s">
        <v>2</v>
      </c>
      <c r="B82" t="s">
        <v>3</v>
      </c>
      <c r="C82" t="s">
        <v>4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Social Cost of Carbon.xlsx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35">
      <c r="A83" t="s">
        <v>2</v>
      </c>
      <c r="B83" t="s">
        <v>3</v>
      </c>
      <c r="C83" t="s">
        <v>5</v>
      </c>
      <c r="G83" t="str">
        <f t="shared" si="2"/>
        <v>xlsx</v>
      </c>
      <c r="H83" s="5" t="str">
        <f>IFERROR(IF(B83="FoPITY",INDEX(Customizations!$C$2:$C$19,MATCH(Sheet1!C83,Customizations!$B$2:$B$19,0),1),INDEX(About!C:C,MATCH(Sheet1!B83,About!B:B,0),1)),"")</f>
        <v>Social Cost of Carbon.xlsx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35">
      <c r="A84" t="s">
        <v>2</v>
      </c>
      <c r="B84" t="s">
        <v>6</v>
      </c>
      <c r="C84" t="s">
        <v>7</v>
      </c>
      <c r="G84" t="str">
        <f t="shared" si="2"/>
        <v>xlsx</v>
      </c>
      <c r="H84" s="5" t="str">
        <f>IFERROR(IF(B84="FoPITY",INDEX(Customizations!$C$2:$C$19,MATCH(Sheet1!C84,Customizations!$B$2:$B$19,0),1),INDEX(About!C:C,MATCH(Sheet1!B84,About!B:B,0),1)),"")</f>
        <v>Value of a Statistical Life.xlsx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35">
      <c r="A85" t="s">
        <v>2</v>
      </c>
      <c r="B85" t="s">
        <v>6</v>
      </c>
      <c r="C85" t="s">
        <v>8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Value of a Statistical Life.xlsx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35">
      <c r="A86" t="s">
        <v>9</v>
      </c>
      <c r="B86" t="s">
        <v>10</v>
      </c>
      <c r="C86" t="s">
        <v>11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BAU Amt Spent on Bldg Components.xlsx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35">
      <c r="A87" t="s">
        <v>9</v>
      </c>
      <c r="B87" t="s">
        <v>10</v>
      </c>
      <c r="C87" t="s">
        <v>12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Amt Spent on Bldg Components.xlsx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35">
      <c r="A88" t="s">
        <v>9</v>
      </c>
      <c r="B88" t="s">
        <v>10</v>
      </c>
      <c r="C88" t="s">
        <v>13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BAU Amt Spent on Bldg Components.xlsx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35">
      <c r="A89" t="s">
        <v>9</v>
      </c>
      <c r="B89" t="s">
        <v>10</v>
      </c>
      <c r="C89" t="s">
        <v>14</v>
      </c>
      <c r="G89" t="str">
        <f t="shared" si="2"/>
        <v>xlsx</v>
      </c>
      <c r="H89" s="5" t="str">
        <f>IFERROR(IF(B89="FoPITY",INDEX(Customizations!$C$2:$C$19,MATCH(Sheet1!C89,Customizations!$B$2:$B$19,0),1),INDEX(About!C:C,MATCH(Sheet1!B89,About!B:B,0),1)),"")</f>
        <v>BAU Amt Spent on Bldg Components.xlsx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35">
      <c r="A90" t="s">
        <v>9</v>
      </c>
      <c r="B90" t="s">
        <v>15</v>
      </c>
      <c r="C90" t="s">
        <v>16</v>
      </c>
      <c r="G90" t="str">
        <f t="shared" si="2"/>
        <v>xlsx</v>
      </c>
      <c r="H90" s="5" t="str">
        <f>IFERROR(IF(B90="FoPITY",INDEX(Customizations!$C$2:$C$19,MATCH(Sheet1!C90,Customizations!$B$2:$B$19,0),1),INDEX(About!C:C,MATCH(Sheet1!B90,About!B:B,0),1)),"")</f>
        <v>BAU Components Energy Use.xlsx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35">
      <c r="A91" t="s">
        <v>9</v>
      </c>
      <c r="B91" t="s">
        <v>15</v>
      </c>
      <c r="C91" t="s">
        <v>733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BAU Components Energy Use.xlsx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35">
      <c r="A92" t="s">
        <v>9</v>
      </c>
      <c r="B92" t="s">
        <v>15</v>
      </c>
      <c r="C92" t="s">
        <v>17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BAU Components Energy Use.xlsx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35">
      <c r="A93" t="s">
        <v>9</v>
      </c>
      <c r="B93" t="s">
        <v>15</v>
      </c>
      <c r="C93" t="s">
        <v>18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BAU Components Energy Use.xlsx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35">
      <c r="A94" t="s">
        <v>9</v>
      </c>
      <c r="B94" t="s">
        <v>15</v>
      </c>
      <c r="C94" t="s">
        <v>19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BAU Components Energy Use.xlsx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35">
      <c r="A95" t="s">
        <v>9</v>
      </c>
      <c r="B95" t="s">
        <v>15</v>
      </c>
      <c r="C95" t="s">
        <v>20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BAU Components Energy Use.xlsx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35">
      <c r="A96" t="s">
        <v>9</v>
      </c>
      <c r="B96" t="s">
        <v>15</v>
      </c>
      <c r="C96" t="s">
        <v>21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BAU Components Energy Use.xlsx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35">
      <c r="A97" t="s">
        <v>9</v>
      </c>
      <c r="B97" t="s">
        <v>15</v>
      </c>
      <c r="C97" t="s">
        <v>22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BAU Components Energy Use.xlsx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35">
      <c r="A98" t="s">
        <v>9</v>
      </c>
      <c r="B98" t="s">
        <v>15</v>
      </c>
      <c r="C98" t="s">
        <v>23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BAU Components Energy Use.xlsx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35">
      <c r="A99" t="s">
        <v>9</v>
      </c>
      <c r="B99" t="s">
        <v>15</v>
      </c>
      <c r="C99" t="s">
        <v>24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BAU Components Energy Use.xlsx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35">
      <c r="A100" t="s">
        <v>9</v>
      </c>
      <c r="B100" t="s">
        <v>15</v>
      </c>
      <c r="C100" t="s">
        <v>25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BAU Components Energy Use.xlsx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35">
      <c r="A101" t="s">
        <v>9</v>
      </c>
      <c r="B101" t="s">
        <v>15</v>
      </c>
      <c r="C101" t="s">
        <v>26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BAU Components Energy Use.xlsx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35">
      <c r="A102" t="s">
        <v>9</v>
      </c>
      <c r="B102" t="s">
        <v>15</v>
      </c>
      <c r="C102" t="s">
        <v>27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BAU Components Energy Use.xlsx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35">
      <c r="A103" t="s">
        <v>9</v>
      </c>
      <c r="B103" t="s">
        <v>15</v>
      </c>
      <c r="C103" t="s">
        <v>28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BAU Components Energy Use.xlsx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35">
      <c r="A104" t="s">
        <v>9</v>
      </c>
      <c r="B104" t="s">
        <v>15</v>
      </c>
      <c r="C104" t="s">
        <v>29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BAU Components Energy Use.xlsx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35">
      <c r="A105" t="s">
        <v>9</v>
      </c>
      <c r="B105" t="s">
        <v>15</v>
      </c>
      <c r="C105" t="s">
        <v>30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BAU Components Energy Use.xlsx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35">
      <c r="A106" t="s">
        <v>9</v>
      </c>
      <c r="B106" t="s">
        <v>15</v>
      </c>
      <c r="C106" t="s">
        <v>31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BAU Components Energy Use.xlsx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35">
      <c r="A107" t="s">
        <v>9</v>
      </c>
      <c r="B107" t="s">
        <v>1809</v>
      </c>
      <c r="C107" t="s">
        <v>1810</v>
      </c>
      <c r="G107" t="str">
        <f t="shared" si="2"/>
        <v>xlsx</v>
      </c>
      <c r="H107" s="5" t="str">
        <f>IFERROR(IF(B107="FoPITY",INDEX(Customizations!$C$2:$C$19,MATCH(Sheet1!C107,Customizations!$B$2:$B$19,0),1),INDEX(About!C:C,MATCH(Sheet1!B107,About!B:B,0),1)),"")</f>
        <v>BAU Data Center Load.xlsx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35">
      <c r="A108" t="s">
        <v>9</v>
      </c>
      <c r="B108" t="s">
        <v>1809</v>
      </c>
      <c r="C108" t="s">
        <v>1811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BAU Data Center Load.xlsx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35">
      <c r="A109" t="s">
        <v>9</v>
      </c>
      <c r="B109" t="s">
        <v>1809</v>
      </c>
      <c r="C109" t="s">
        <v>1812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BAU Data Center Load.xlsx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35">
      <c r="A110" t="s">
        <v>9</v>
      </c>
      <c r="B110" t="s">
        <v>1809</v>
      </c>
      <c r="C110" t="s">
        <v>1813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BAU Data Center Load.xlsx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35">
      <c r="A111" t="s">
        <v>9</v>
      </c>
      <c r="B111" t="s">
        <v>1249</v>
      </c>
      <c r="C111" t="s">
        <v>1250</v>
      </c>
      <c r="G111" t="str">
        <f t="shared" si="2"/>
        <v>xlsx</v>
      </c>
      <c r="H111" s="5" t="str">
        <f>IFERROR(IF(B111="FoPITY",INDEX(Customizations!$C$2:$C$19,MATCH(Sheet1!C111,Customizations!$B$2:$B$19,0),1),INDEX(About!C:C,MATCH(Sheet1!B111,About!B:B,0),1)),"")</f>
        <v>BAU Distribued Electricity Source Capacities.xlsx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35">
      <c r="A112" t="s">
        <v>9</v>
      </c>
      <c r="B112" t="s">
        <v>1249</v>
      </c>
      <c r="C112" t="s">
        <v>1251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BAU Distribued Electricity Source Capacities.xlsx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35">
      <c r="A113" t="s">
        <v>9</v>
      </c>
      <c r="B113" t="s">
        <v>1249</v>
      </c>
      <c r="C113" t="s">
        <v>1252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BAU Distribued Electricity Source Capacities.xlsx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35">
      <c r="A114" t="s">
        <v>9</v>
      </c>
      <c r="B114" t="s">
        <v>1249</v>
      </c>
      <c r="C114" t="s">
        <v>1253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BAU Distribued Electricity Source Capacities.xlsx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35">
      <c r="A115" t="s">
        <v>9</v>
      </c>
      <c r="B115" t="s">
        <v>32</v>
      </c>
      <c r="C115" t="s">
        <v>33</v>
      </c>
      <c r="G115" t="str">
        <f t="shared" si="2"/>
        <v>xlsx</v>
      </c>
      <c r="H115" s="5" t="str">
        <f>IFERROR(IF(B115="FoPITY",INDEX(Customizations!$C$2:$C$19,MATCH(Sheet1!C115,Customizations!$B$2:$B$19,0),1),INDEX(About!C:C,MATCH(Sheet1!B115,About!B:B,0),1)),"")</f>
        <v>BAU Frac of Components Sold by Quality Lvl.xlsx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35">
      <c r="A116" t="s">
        <v>9</v>
      </c>
      <c r="B116" t="s">
        <v>32</v>
      </c>
      <c r="C116" t="s">
        <v>34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BAU Frac of Components Sold by Quality Lvl.xlsx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35">
      <c r="A117" t="s">
        <v>9</v>
      </c>
      <c r="B117" t="s">
        <v>32</v>
      </c>
      <c r="C117" t="s">
        <v>35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BAU Frac of Components Sold by Quality Lvl.xlsx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35">
      <c r="A118" t="s">
        <v>9</v>
      </c>
      <c r="B118" t="s">
        <v>32</v>
      </c>
      <c r="C118" t="s">
        <v>36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BAU Frac of Components Sold by Quality Lvl.xlsx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35">
      <c r="A119" t="s">
        <v>9</v>
      </c>
      <c r="B119" t="s">
        <v>1024</v>
      </c>
      <c r="C119" t="s">
        <v>1025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BAU Perc Subsidy for Distributed Solar PV Capacity.xlsx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35">
      <c r="A120" t="s">
        <v>9</v>
      </c>
      <c r="B120" t="s">
        <v>1024</v>
      </c>
      <c r="C120" t="s">
        <v>1026</v>
      </c>
      <c r="G120" t="str">
        <f t="shared" si="2"/>
        <v>.csv</v>
      </c>
      <c r="H120" s="5" t="str">
        <f>IFERROR(IF(B120="FoPITY",INDEX(Customizations!$C$2:$C$19,MATCH(Sheet1!C120,Customizations!$B$2:$B$19,0),1),INDEX(About!C:C,MATCH(Sheet1!B120,About!B:B,0),1)),"")</f>
        <v>BAU Perc Subsidy for Distributed Solar PV Capacity.xlsx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35">
      <c r="A121" t="s">
        <v>9</v>
      </c>
      <c r="B121" t="s">
        <v>37</v>
      </c>
      <c r="C121" t="s">
        <v>38</v>
      </c>
      <c r="G121" t="str">
        <f t="shared" si="2"/>
        <v>xlsx</v>
      </c>
      <c r="H121" s="5" t="str">
        <f>IFERROR(IF(B121="FoPITY",INDEX(Customizations!$C$2:$C$19,MATCH(Sheet1!C121,Customizations!$B$2:$B$19,0),1),INDEX(About!C:C,MATCH(Sheet1!B121,About!B:B,0),1)),"")</f>
        <v>Bldg Retrofitting E Savings and Costs.xlsx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35">
      <c r="A122" t="s">
        <v>9</v>
      </c>
      <c r="B122" t="s">
        <v>37</v>
      </c>
      <c r="C122" t="s">
        <v>39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Bldg Retrofitting E Savings and Costs.xlsx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35">
      <c r="A123" t="s">
        <v>9</v>
      </c>
      <c r="B123" t="s">
        <v>37</v>
      </c>
      <c r="C123" t="s">
        <v>40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Bldg Retrofitting E Savings and Costs.xlsx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35">
      <c r="A124" t="s">
        <v>9</v>
      </c>
      <c r="B124" t="s">
        <v>1444</v>
      </c>
      <c r="C124" t="s">
        <v>1814</v>
      </c>
      <c r="G124" t="str">
        <f t="shared" si="2"/>
        <v>xlsx</v>
      </c>
      <c r="H124" s="5" t="str">
        <f>IFERROR(IF(B124="FoPITY",INDEX(Customizations!$C$2:$C$19,MATCH(Sheet1!C124,Customizations!$B$2:$B$19,0),1),INDEX(About!C:C,MATCH(Sheet1!B124,About!B:B,0),1)),"")</f>
        <v>Change in Distributed Electricity Source Capacities This Year.xlsx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35">
      <c r="A125" t="s">
        <v>9</v>
      </c>
      <c r="B125" t="s">
        <v>1444</v>
      </c>
      <c r="C125" t="s">
        <v>1445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Change in Distributed Electricity Source Capacities This Year.xlsx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35">
      <c r="A126" t="s">
        <v>9</v>
      </c>
      <c r="B126" t="s">
        <v>1444</v>
      </c>
      <c r="C126" t="s">
        <v>1446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Change in Distributed Electricity Source Capacities This Year.xlsx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35">
      <c r="A127" t="s">
        <v>9</v>
      </c>
      <c r="B127" t="s">
        <v>1444</v>
      </c>
      <c r="C127" t="s">
        <v>1447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Change in Distributed Electricity Source Capacities This Year.xlsx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35">
      <c r="A128" t="s">
        <v>9</v>
      </c>
      <c r="B128" t="s">
        <v>1444</v>
      </c>
      <c r="C128" t="s">
        <v>1448</v>
      </c>
      <c r="G128" t="str">
        <f t="shared" si="2"/>
        <v>.csv</v>
      </c>
      <c r="H128" s="5" t="str">
        <f>IFERROR(IF(B128="FoPITY",INDEX(Customizations!$C$2:$C$19,MATCH(Sheet1!C128,Customizations!$B$2:$B$19,0),1),INDEX(About!C:C,MATCH(Sheet1!B128,About!B:B,0),1)),"")</f>
        <v>Change in Distributed Electricity Source Capacities This Year.xlsx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35">
      <c r="A129" t="s">
        <v>9</v>
      </c>
      <c r="B129" t="s">
        <v>41</v>
      </c>
      <c r="C129" t="s">
        <v>42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Component Lifetime.xlsx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35">
      <c r="A130" t="s">
        <v>9</v>
      </c>
      <c r="B130" t="s">
        <v>41</v>
      </c>
      <c r="C130" t="s">
        <v>43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Component Lifetime.xlsx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35">
      <c r="A131" t="s">
        <v>9</v>
      </c>
      <c r="B131" t="s">
        <v>44</v>
      </c>
      <c r="C131" t="s">
        <v>45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Cost per Unit Dist Solar Cap.xlsx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35">
      <c r="A132" t="s">
        <v>9</v>
      </c>
      <c r="B132" t="s">
        <v>44</v>
      </c>
      <c r="C132" t="s">
        <v>734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Cost per Unit Dist Solar Cap.xlsx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35">
      <c r="A133" t="s">
        <v>9</v>
      </c>
      <c r="B133" t="s">
        <v>44</v>
      </c>
      <c r="C133" t="s">
        <v>735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Cost per Unit Dist Solar Cap.xlsx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35">
      <c r="A134" t="s">
        <v>9</v>
      </c>
      <c r="B134" t="s">
        <v>46</v>
      </c>
      <c r="C134" t="s">
        <v>47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Elast of Bldg Svc Demand wrt E Cost.xlsx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35">
      <c r="A135" t="s">
        <v>9</v>
      </c>
      <c r="B135" t="s">
        <v>46</v>
      </c>
      <c r="C135" t="s">
        <v>48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Elast of Bldg Svc Demand wrt E Cost.xlsx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35">
      <c r="A136" t="s">
        <v>9</v>
      </c>
      <c r="B136" t="s">
        <v>49</v>
      </c>
      <c r="C136" t="s">
        <v>50</v>
      </c>
      <c r="G136" t="str">
        <f t="shared" si="4"/>
        <v>xlsx</v>
      </c>
      <c r="H136" s="5" t="str">
        <f>IFERROR(IF(B136="FoPITY",INDEX(Customizations!$C$2:$C$19,MATCH(Sheet1!C136,Customizations!$B$2:$B$19,0),1),INDEX(About!C:C,MATCH(Sheet1!B136,About!B:B,0),1)),"")</f>
        <v>Elast of Component E Demand wrt E Cost.xlsx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35">
      <c r="A137" t="s">
        <v>9</v>
      </c>
      <c r="B137" t="s">
        <v>49</v>
      </c>
      <c r="C137" t="s">
        <v>51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Elast of Component E Demand wrt E Cost.xlsx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35">
      <c r="A138" t="s">
        <v>9</v>
      </c>
      <c r="B138" t="s">
        <v>52</v>
      </c>
      <c r="C138" t="s">
        <v>53</v>
      </c>
      <c r="G138" t="str">
        <f t="shared" si="4"/>
        <v>xlsx</v>
      </c>
      <c r="H138" s="5" t="str">
        <f>IFERROR(IF(B138="FoPITY",INDEX(Customizations!$C$2:$C$19,MATCH(Sheet1!C138,Customizations!$B$2:$B$19,0),1),INDEX(About!C:C,MATCH(Sheet1!B138,About!B:B,0),1)),"")</f>
        <v>Elast of Component Price wrt E Use.xlsx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35">
      <c r="A139" t="s">
        <v>9</v>
      </c>
      <c r="B139" t="s">
        <v>52</v>
      </c>
      <c r="C139" t="s">
        <v>54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Elast of Component Price wrt E Use.xlsx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35">
      <c r="A140" t="s">
        <v>9</v>
      </c>
      <c r="B140" t="s">
        <v>55</v>
      </c>
      <c r="C140" t="s">
        <v>56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Elasticity of Dist Solar Deployment wrt Subsidy Perc.xlsx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35">
      <c r="A141" t="s">
        <v>9</v>
      </c>
      <c r="B141" t="s">
        <v>55</v>
      </c>
      <c r="C141" t="s">
        <v>57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Elasticity of Dist Solar Deployment wrt Subsidy Perc.xlsx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35">
      <c r="A142" t="s">
        <v>9</v>
      </c>
      <c r="B142" t="s">
        <v>58</v>
      </c>
      <c r="C142" t="s">
        <v>59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Frac of Bldgs Owned by Entity.xlsx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35">
      <c r="A143" t="s">
        <v>9</v>
      </c>
      <c r="B143" t="s">
        <v>58</v>
      </c>
      <c r="C143" t="s">
        <v>60</v>
      </c>
      <c r="G143" t="str">
        <f t="shared" si="4"/>
        <v>xlsx</v>
      </c>
      <c r="H143" s="5" t="str">
        <f>IFERROR(IF(B143="FoPITY",INDEX(Customizations!$C$2:$C$19,MATCH(Sheet1!C143,Customizations!$B$2:$B$19,0),1),INDEX(About!C:C,MATCH(Sheet1!B143,About!B:B,0),1)),"")</f>
        <v>Frac of Bldgs Owned by Entity.xlsx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35">
      <c r="A144" t="s">
        <v>9</v>
      </c>
      <c r="B144" t="s">
        <v>792</v>
      </c>
      <c r="C144" t="s">
        <v>793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Incr Cost per Unit E for Electrified Building Equipment.xlsx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35">
      <c r="A145" t="s">
        <v>9</v>
      </c>
      <c r="B145" t="s">
        <v>792</v>
      </c>
      <c r="C145" t="s">
        <v>794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Incr Cost per Unit E for Electrified Building Equipment.xlsx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35">
      <c r="A146" t="s">
        <v>9</v>
      </c>
      <c r="B146" t="s">
        <v>792</v>
      </c>
      <c r="C146" t="s">
        <v>795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Incr Cost per Unit E for Electrified Building Equipment.xlsx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35">
      <c r="A147" t="s">
        <v>9</v>
      </c>
      <c r="B147" t="s">
        <v>792</v>
      </c>
      <c r="C147" t="s">
        <v>796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Incr Cost per Unit E for Electrified Building Equipment.xlsx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35">
      <c r="A148" t="s">
        <v>9</v>
      </c>
      <c r="B148" t="s">
        <v>792</v>
      </c>
      <c r="C148" t="s">
        <v>797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Incr Cost per Unit E for Electrified Building Equipment.xlsx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35">
      <c r="A149" t="s">
        <v>9</v>
      </c>
      <c r="B149" t="s">
        <v>792</v>
      </c>
      <c r="C149" t="s">
        <v>798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Incr Cost per Unit E for Electrified Building Equipment.xlsx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35">
      <c r="A150" t="s">
        <v>9</v>
      </c>
      <c r="B150" t="s">
        <v>792</v>
      </c>
      <c r="C150" t="s">
        <v>799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Incr Cost per Unit E for Electrified Building Equipment.xlsx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35">
      <c r="A151" t="s">
        <v>9</v>
      </c>
      <c r="B151" t="s">
        <v>792</v>
      </c>
      <c r="C151" t="s">
        <v>800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Incr Cost per Unit E for Electrified Building Equipment.xlsx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35">
      <c r="A152" t="s">
        <v>9</v>
      </c>
      <c r="B152" t="s">
        <v>792</v>
      </c>
      <c r="C152" t="s">
        <v>801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Incr Cost per Unit E for Electrified Building Equipment.xlsx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35">
      <c r="A153" t="s">
        <v>9</v>
      </c>
      <c r="B153" t="s">
        <v>792</v>
      </c>
      <c r="C153" t="s">
        <v>802</v>
      </c>
      <c r="G153" t="str">
        <f t="shared" si="4"/>
        <v>xlsx</v>
      </c>
      <c r="H153" s="5" t="str">
        <f>IFERROR(IF(B153="FoPITY",INDEX(Customizations!$C$2:$C$19,MATCH(Sheet1!C153,Customizations!$B$2:$B$19,0),1),INDEX(About!C:C,MATCH(Sheet1!B153,About!B:B,0),1)),"")</f>
        <v>Incr Cost per Unit E for Electrified Building Equipment.xlsx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35">
      <c r="A154" t="s">
        <v>9</v>
      </c>
      <c r="B154" t="s">
        <v>1449</v>
      </c>
      <c r="C154" t="s">
        <v>1450</v>
      </c>
      <c r="G154" t="str">
        <f t="shared" si="4"/>
        <v>xlsx</v>
      </c>
      <c r="H154" s="5" t="str">
        <f>IFERROR(IF(B154="FoPITY",INDEX(Customizations!$C$2:$C$19,MATCH(Sheet1!C154,Customizations!$B$2:$B$19,0),1),INDEX(About!C:C,MATCH(Sheet1!B154,About!B:B,0),1)),"")</f>
        <v>Max Distrib Solar Capacity.xlsx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35">
      <c r="A155" t="s">
        <v>9</v>
      </c>
      <c r="B155" t="s">
        <v>1449</v>
      </c>
      <c r="C155" t="s">
        <v>1451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Max Distrib Solar Capacity.xlsx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35">
      <c r="A156" t="s">
        <v>9</v>
      </c>
      <c r="B156" t="s">
        <v>61</v>
      </c>
      <c r="C156" t="s">
        <v>62</v>
      </c>
      <c r="G156" t="str">
        <f t="shared" si="4"/>
        <v>xlsx</v>
      </c>
      <c r="H156" s="5" t="str">
        <f>IFERROR(IF(B156="FoPITY",INDEX(Customizations!$C$2:$C$19,MATCH(Sheet1!C156,Customizations!$B$2:$B$19,0),1),INDEX(About!C:C,MATCH(Sheet1!B156,About!B:B,0),1)),"")</f>
        <v>Market Share Changes due to Rebate Prog by Qual Lvl.xlsx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35">
      <c r="A157" t="s">
        <v>9</v>
      </c>
      <c r="B157" t="s">
        <v>61</v>
      </c>
      <c r="C157" t="s">
        <v>63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Market Share Changes due to Rebate Prog by Qual Lvl.xlsx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35">
      <c r="A158" t="s">
        <v>9</v>
      </c>
      <c r="B158" t="s">
        <v>64</v>
      </c>
      <c r="C158" t="s">
        <v>65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Perc Components Fuel Use Reduction for Electricity.xlsx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35">
      <c r="A159" t="s">
        <v>9</v>
      </c>
      <c r="B159" t="s">
        <v>64</v>
      </c>
      <c r="C159" t="s">
        <v>66</v>
      </c>
      <c r="G159" t="str">
        <f t="shared" si="4"/>
        <v>xlsx</v>
      </c>
      <c r="H159" s="5" t="str">
        <f>IFERROR(IF(B159="FoPITY",INDEX(Customizations!$C$2:$C$19,MATCH(Sheet1!C159,Customizations!$B$2:$B$19,0),1),INDEX(About!C:C,MATCH(Sheet1!B159,About!B:B,0),1)),"")</f>
        <v>Perc Components Fuel Use Reduction for Electricity.xlsx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35">
      <c r="A160" t="s">
        <v>9</v>
      </c>
      <c r="B160" t="s">
        <v>67</v>
      </c>
      <c r="C160" t="s">
        <v>68</v>
      </c>
      <c r="G160" t="str">
        <f t="shared" si="4"/>
        <v>xlsx</v>
      </c>
      <c r="H160" s="5" t="str">
        <f>IFERROR(IF(B160="FoPITY",INDEX(Customizations!$C$2:$C$19,MATCH(Sheet1!C160,Customizations!$B$2:$B$19,0),1),INDEX(About!C:C,MATCH(Sheet1!B160,About!B:B,0),1)),"")</f>
        <v>Perc E Use Difference from Std by Qual Level.xlsx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35">
      <c r="A161" t="s">
        <v>9</v>
      </c>
      <c r="B161" t="s">
        <v>67</v>
      </c>
      <c r="C161" t="s">
        <v>69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Perc E Use Difference from Std by Qual Level.xlsx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35">
      <c r="A162" t="s">
        <v>9</v>
      </c>
      <c r="B162" t="s">
        <v>70</v>
      </c>
      <c r="C162" t="s">
        <v>71</v>
      </c>
      <c r="G162" t="str">
        <f t="shared" si="4"/>
        <v>xlsx</v>
      </c>
      <c r="H162" s="5" t="str">
        <f>IFERROR(IF(B162="FoPITY",INDEX(Customizations!$C$2:$C$19,MATCH(Sheet1!C162,Customizations!$B$2:$B$19,0),1),INDEX(About!C:C,MATCH(Sheet1!B162,About!B:B,0),1)),"")</f>
        <v>Pot Perc Eff Impr due to Impr Contractor Edu and Training.xlsx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35">
      <c r="A163" t="s">
        <v>9</v>
      </c>
      <c r="B163" t="s">
        <v>70</v>
      </c>
      <c r="C163" t="s">
        <v>72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Pot Perc Eff Impr due to Impr Contractor Edu and Training.xlsx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35">
      <c r="A164" t="s">
        <v>9</v>
      </c>
      <c r="B164" t="s">
        <v>73</v>
      </c>
      <c r="C164" t="s">
        <v>74</v>
      </c>
      <c r="G164" t="str">
        <f t="shared" si="4"/>
        <v>xlsx</v>
      </c>
      <c r="H164" s="5" t="str">
        <f>IFERROR(IF(B164="FoPITY",INDEX(Customizations!$C$2:$C$19,MATCH(Sheet1!C164,Customizations!$B$2:$B$19,0),1),INDEX(About!C:C,MATCH(Sheet1!B164,About!B:B,0),1)),"")</f>
        <v>Potential Perc Eff Improvement due to Impr Labeling.xlsx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35">
      <c r="A165" t="s">
        <v>9</v>
      </c>
      <c r="B165" t="s">
        <v>73</v>
      </c>
      <c r="C165" t="s">
        <v>75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Potential Perc Eff Improvement due to Impr Labeling.xlsx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35">
      <c r="A166" t="s">
        <v>9</v>
      </c>
      <c r="B166" t="s">
        <v>76</v>
      </c>
      <c r="C166" t="s">
        <v>77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Recipient Buildings Fuel Fractions.xlsx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35">
      <c r="A167" t="s">
        <v>9</v>
      </c>
      <c r="B167" t="s">
        <v>76</v>
      </c>
      <c r="C167" t="s">
        <v>78</v>
      </c>
      <c r="G167" t="str">
        <f t="shared" si="4"/>
        <v>xlsx</v>
      </c>
      <c r="H167" s="5" t="str">
        <f>IFERROR(IF(B167="FoPITY",INDEX(Customizations!$C$2:$C$19,MATCH(Sheet1!C167,Customizations!$B$2:$B$19,0),1),INDEX(About!C:C,MATCH(Sheet1!B167,About!B:B,0),1)),"")</f>
        <v>Recipient Buildings Fuel Fractions.xlsx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35">
      <c r="A168" t="s">
        <v>9</v>
      </c>
      <c r="B168" t="s">
        <v>665</v>
      </c>
      <c r="C168" t="s">
        <v>666</v>
      </c>
      <c r="G168" t="str">
        <f t="shared" si="4"/>
        <v>xlsx</v>
      </c>
      <c r="H168" s="5" t="str">
        <f>IFERROR(IF(B168="FoPITY",INDEX(Customizations!$C$2:$C$19,MATCH(Sheet1!C168,Customizations!$B$2:$B$19,0),1),INDEX(About!C:C,MATCH(Sheet1!B168,About!B:B,0),1)),"")</f>
        <v>Rebate Perc by Building Component Type.xlsx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35">
      <c r="A169" t="s">
        <v>9</v>
      </c>
      <c r="B169" t="s">
        <v>665</v>
      </c>
      <c r="C169" t="s">
        <v>667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Rebate Perc by Building Component Type.xlsx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35">
      <c r="A170" t="s">
        <v>9</v>
      </c>
      <c r="B170" t="s">
        <v>1452</v>
      </c>
      <c r="C170" t="s">
        <v>1453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RPfFESCC Repayment Period for Financed Buildings Sector Capital Costs.xlsx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35">
      <c r="A171" t="s">
        <v>9</v>
      </c>
      <c r="B171" t="s">
        <v>1452</v>
      </c>
      <c r="C171" t="s">
        <v>1454</v>
      </c>
      <c r="G171" t="str">
        <f t="shared" si="4"/>
        <v>xlsx</v>
      </c>
      <c r="H171" s="5" t="str">
        <f>IFERROR(IF(B171="FoPITY",INDEX(Customizations!$C$2:$C$19,MATCH(Sheet1!C171,Customizations!$B$2:$B$19,0),1),INDEX(About!C:C,MATCH(Sheet1!B171,About!B:B,0),1)),"")</f>
        <v>RPfFESCC Repayment Period for Financed Buildings Sector Capital Costs.xlsx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35">
      <c r="A172" t="s">
        <v>9</v>
      </c>
      <c r="B172" t="s">
        <v>668</v>
      </c>
      <c r="C172" t="s">
        <v>669</v>
      </c>
      <c r="G172" t="str">
        <f t="shared" si="4"/>
        <v>xlsx</v>
      </c>
      <c r="H172" s="5" t="str">
        <f>IFERROR(IF(B172="FoPITY",INDEX(Customizations!$C$2:$C$19,MATCH(Sheet1!C172,Customizations!$B$2:$B$19,0),1),INDEX(About!C:C,MATCH(Sheet1!B172,About!B:B,0),1)),"")</f>
        <v>Shr of Bldg Cap and Instl Costs by ISIC Code.xlsx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35">
      <c r="A173" t="s">
        <v>9</v>
      </c>
      <c r="B173" t="s">
        <v>668</v>
      </c>
      <c r="C173" t="s">
        <v>670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Shr of Bldg Cap and Instl Costs by ISIC Code.xlsx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35">
      <c r="A174" t="s">
        <v>9</v>
      </c>
      <c r="B174" t="s">
        <v>668</v>
      </c>
      <c r="C174" t="s">
        <v>671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Shr of Bldg Cap and Instl Costs by ISIC Code.xlsx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35">
      <c r="A175" t="s">
        <v>9</v>
      </c>
      <c r="B175" t="s">
        <v>668</v>
      </c>
      <c r="C175" t="s">
        <v>672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Shr of Bldg Cap and Instl Costs by ISIC Code.xlsx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35">
      <c r="A176" t="s">
        <v>9</v>
      </c>
      <c r="B176" t="s">
        <v>847</v>
      </c>
      <c r="C176" t="s">
        <v>848</v>
      </c>
      <c r="G176" t="str">
        <f t="shared" si="4"/>
        <v>xlsx</v>
      </c>
      <c r="H176" s="5" t="str">
        <f>IFERROR(IF(B176="FoPITY",INDEX(Customizations!$C$2:$C$19,MATCH(Sheet1!C176,Customizations!$B$2:$B$19,0),1),INDEX(About!C:C,MATCH(Sheet1!B176,About!B:B,0),1)),"")</f>
        <v>Shr of Blgd Rtrft Cost Borne by Govt.xlsx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35">
      <c r="A177" t="s">
        <v>9</v>
      </c>
      <c r="B177" t="s">
        <v>847</v>
      </c>
      <c r="C177" t="s">
        <v>849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Shr of Blgd Rtrft Cost Borne by Govt.xlsx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35">
      <c r="A178" t="s">
        <v>9</v>
      </c>
      <c r="B178" t="s">
        <v>79</v>
      </c>
      <c r="C178" t="s">
        <v>80</v>
      </c>
      <c r="G178" t="str">
        <f t="shared" si="4"/>
        <v>xlsx</v>
      </c>
      <c r="H178" s="5" t="str">
        <f>IFERROR(IF(B178="FoPITY",INDEX(Customizations!$C$2:$C$19,MATCH(Sheet1!C178,Customizations!$B$2:$B$19,0),1),INDEX(About!C:C,MATCH(Sheet1!B178,About!B:B,0),1)),"")</f>
        <v>Share of Cpnt E Use that is New This Year.xlsx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35">
      <c r="A179" t="s">
        <v>9</v>
      </c>
      <c r="B179" t="s">
        <v>79</v>
      </c>
      <c r="C179" t="s">
        <v>81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Share of Cpnt E Use that is New This Year.xlsx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35">
      <c r="A180" t="s">
        <v>9</v>
      </c>
      <c r="B180" t="s">
        <v>822</v>
      </c>
      <c r="C180" t="s">
        <v>823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Shr of Dist Solar Costs by Rcpnt ISIC Code.xlsx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35">
      <c r="A181" t="s">
        <v>9</v>
      </c>
      <c r="B181" t="s">
        <v>822</v>
      </c>
      <c r="C181" t="s">
        <v>824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Shr of Dist Solar Costs by Rcpnt ISIC Code.xlsx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35">
      <c r="A182" t="s">
        <v>9</v>
      </c>
      <c r="B182" t="s">
        <v>673</v>
      </c>
      <c r="C182" t="s">
        <v>674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Start Year Components Energy Use.xlsx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35">
      <c r="A183" t="s">
        <v>9</v>
      </c>
      <c r="B183" t="s">
        <v>673</v>
      </c>
      <c r="C183" t="s">
        <v>675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Start Year Components Energy Use.xlsx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35">
      <c r="A184" t="s">
        <v>9</v>
      </c>
      <c r="B184" t="s">
        <v>673</v>
      </c>
      <c r="C184" t="s">
        <v>676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Start Year Components Energy Use.xlsx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35">
      <c r="A185" t="s">
        <v>9</v>
      </c>
      <c r="B185" t="s">
        <v>673</v>
      </c>
      <c r="C185" t="s">
        <v>677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Start Year Components Energy Use.xlsx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35">
      <c r="A186" t="s">
        <v>9</v>
      </c>
      <c r="B186" t="s">
        <v>678</v>
      </c>
      <c r="C186" t="s">
        <v>679</v>
      </c>
      <c r="G186" t="str">
        <f t="shared" si="4"/>
        <v>xlsx</v>
      </c>
      <c r="H186" s="5" t="str">
        <f>IFERROR(IF(B186="FoPITY",INDEX(Customizations!$C$2:$C$19,MATCH(Sheet1!C186,Customizations!$B$2:$B$19,0),1),INDEX(About!C:C,MATCH(Sheet1!B186,About!B:B,0),1)),"")</f>
        <v>Start Year Distributed Electricity Capacity.xlsx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35">
      <c r="A187" t="s">
        <v>9</v>
      </c>
      <c r="B187" t="s">
        <v>678</v>
      </c>
      <c r="C187" t="s">
        <v>680</v>
      </c>
      <c r="G187" t="str">
        <f t="shared" si="4"/>
        <v>.csv</v>
      </c>
      <c r="H187" s="5" t="str">
        <f>IFERROR(IF(B187="FoPITY",INDEX(Customizations!$C$2:$C$19,MATCH(Sheet1!C187,Customizations!$B$2:$B$19,0),1),INDEX(About!C:C,MATCH(Sheet1!B187,About!B:B,0),1)),"")</f>
        <v>Start Year Distributed Electricity Capacity.xlsx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35">
      <c r="A188" t="s">
        <v>82</v>
      </c>
      <c r="B188" t="s">
        <v>1027</v>
      </c>
      <c r="C188" t="s">
        <v>1028</v>
      </c>
      <c r="G188" t="str">
        <f t="shared" si="4"/>
        <v>xlsx</v>
      </c>
      <c r="H188" s="5" t="str">
        <f>IFERROR(IF(B188="FoPITY",INDEX(Customizations!$C$2:$C$19,MATCH(Sheet1!C188,Customizations!$B$2:$B$19,0),1),INDEX(About!C:C,MATCH(Sheet1!B188,About!B:B,0),1)),"")</f>
        <v>BAU CCS Subsidy.xlsx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35">
      <c r="A189" t="s">
        <v>82</v>
      </c>
      <c r="B189" t="s">
        <v>1027</v>
      </c>
      <c r="C189" t="s">
        <v>1348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BAU CCS Subsidy.xlsx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35">
      <c r="A190" t="s">
        <v>82</v>
      </c>
      <c r="B190" t="s">
        <v>1027</v>
      </c>
      <c r="C190" t="s">
        <v>1349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BAU CCS Subsidy.xlsx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35">
      <c r="A191" t="s">
        <v>82</v>
      </c>
      <c r="B191" t="s">
        <v>1203</v>
      </c>
      <c r="C191" t="s">
        <v>1204</v>
      </c>
      <c r="G191" t="str">
        <f t="shared" si="4"/>
        <v>xlsx</v>
      </c>
      <c r="H191" s="5" t="str">
        <f>IFERROR(IF(B191="FoPITY",INDEX(Customizations!$C$2:$C$19,MATCH(Sheet1!C191,Customizations!$B$2:$B$19,0),1),INDEX(About!C:C,MATCH(Sheet1!B191,About!B:B,0),1)),"")</f>
        <v>BAU Fraction of CCS Potential Achieved by Industry.xlsx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35">
      <c r="A192" t="s">
        <v>82</v>
      </c>
      <c r="B192" t="s">
        <v>1203</v>
      </c>
      <c r="C192" t="s">
        <v>1205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BAU Fraction of CCS Potential Achieved by Industry.xlsx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35">
      <c r="A193" t="s">
        <v>82</v>
      </c>
      <c r="B193" t="s">
        <v>1203</v>
      </c>
      <c r="C193" t="s">
        <v>1206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BAU Fraction of CCS Potential Achieved by Industry.xlsx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35">
      <c r="A194" t="s">
        <v>82</v>
      </c>
      <c r="B194" t="s">
        <v>1207</v>
      </c>
      <c r="C194" t="s">
        <v>1208</v>
      </c>
      <c r="G194" t="str">
        <f t="shared" si="4"/>
        <v>xlsx</v>
      </c>
      <c r="H194" s="5" t="str">
        <f>IFERROR(IF(B194="FoPITY",INDEX(Customizations!$C$2:$C$19,MATCH(Sheet1!C194,Customizations!$B$2:$B$19,0),1),INDEX(About!C:C,MATCH(Sheet1!B194,About!B:B,0),1)),"")</f>
        <v>Biomass with CCS Storage per MWh.xlsx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35">
      <c r="A195" t="s">
        <v>82</v>
      </c>
      <c r="B195" t="s">
        <v>1207</v>
      </c>
      <c r="C195" t="s">
        <v>1209</v>
      </c>
      <c r="G195" t="str">
        <f t="shared" si="4"/>
        <v>.csv</v>
      </c>
      <c r="H195" s="5" t="str">
        <f>IFERROR(IF(B195="FoPITY",INDEX(Customizations!$C$2:$C$19,MATCH(Sheet1!C195,Customizations!$B$2:$B$19,0),1),INDEX(About!C:C,MATCH(Sheet1!B195,About!B:B,0),1)),"")</f>
        <v>Biomass with CCS Storage per MWh.xlsx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35">
      <c r="A196" t="s">
        <v>82</v>
      </c>
      <c r="B196" t="s">
        <v>83</v>
      </c>
      <c r="C196" t="s">
        <v>1254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CCS Calculations.xlsx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35">
      <c r="A197" t="s">
        <v>82</v>
      </c>
      <c r="B197" t="s">
        <v>83</v>
      </c>
      <c r="C197" t="s">
        <v>1255</v>
      </c>
      <c r="G197" t="str">
        <f t="shared" ref="G197:G256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CCS Calculations.xlsx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35">
      <c r="A198" t="s">
        <v>82</v>
      </c>
      <c r="B198" t="s">
        <v>83</v>
      </c>
      <c r="C198" t="s">
        <v>1256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CCS Calculations.xlsx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35">
      <c r="A199" t="s">
        <v>82</v>
      </c>
      <c r="B199" t="s">
        <v>83</v>
      </c>
      <c r="C199" t="s">
        <v>1257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CCS Calculations.xlsx</v>
      </c>
      <c r="I199" s="5">
        <f>IFERROR(INDEX(About!$D:$D,MATCH(Sheet1!H199,About!$C:$C,0),1),0)</f>
        <v>0</v>
      </c>
      <c r="J199" s="6">
        <f t="shared" ref="J199:J258" si="7">IF(G199=".csv",1,0)*I199</f>
        <v>0</v>
      </c>
    </row>
    <row r="200" spans="1:10" x14ac:dyDescent="0.35">
      <c r="A200" t="s">
        <v>82</v>
      </c>
      <c r="B200" t="s">
        <v>83</v>
      </c>
      <c r="C200" t="s">
        <v>1258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CCS Calculations.xlsx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35">
      <c r="A201" t="s">
        <v>82</v>
      </c>
      <c r="B201" t="s">
        <v>83</v>
      </c>
      <c r="C201" t="s">
        <v>1259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CCS Calculations.xlsx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35">
      <c r="A202" t="s">
        <v>82</v>
      </c>
      <c r="B202" t="s">
        <v>83</v>
      </c>
      <c r="C202" t="s">
        <v>1260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CCS Calculations.xlsx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35">
      <c r="A203" t="s">
        <v>82</v>
      </c>
      <c r="B203" t="s">
        <v>83</v>
      </c>
      <c r="C203" t="s">
        <v>1261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CCS Calculations.xlsx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35">
      <c r="A204" t="s">
        <v>82</v>
      </c>
      <c r="B204" t="s">
        <v>83</v>
      </c>
      <c r="C204" t="s">
        <v>1262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CCS Calculations.xlsx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35">
      <c r="A205" t="s">
        <v>82</v>
      </c>
      <c r="B205" t="s">
        <v>83</v>
      </c>
      <c r="C205" t="s">
        <v>681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CCS Calculations.xlsx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35">
      <c r="A206" t="s">
        <v>82</v>
      </c>
      <c r="B206" t="s">
        <v>633</v>
      </c>
      <c r="C206" t="s">
        <v>634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CO2 Capture Potentials.xlsx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35">
      <c r="A207" t="s">
        <v>82</v>
      </c>
      <c r="B207" t="s">
        <v>633</v>
      </c>
      <c r="C207" t="s">
        <v>635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CO2 Capture Potentials.xlsx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35">
      <c r="A208" t="s">
        <v>82</v>
      </c>
      <c r="B208" t="s">
        <v>633</v>
      </c>
      <c r="C208" t="s">
        <v>1263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CO2 Capture Potentials.xlsx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35">
      <c r="A209" t="s">
        <v>82</v>
      </c>
      <c r="B209" t="s">
        <v>1455</v>
      </c>
      <c r="C209" t="s">
        <v>1456</v>
      </c>
      <c r="G209" t="str">
        <f t="shared" si="6"/>
        <v>xlsx</v>
      </c>
      <c r="H209" s="5" t="str">
        <f>IFERROR(IF(B209="FoPITY",INDEX(Customizations!$C$2:$C$19,MATCH(Sheet1!C209,Customizations!$B$2:$B$19,0),1),INDEX(About!C:C,MATCH(Sheet1!B209,About!B:B,0),1)),"")</f>
        <v>CCS Transportation and Storage Costs and Subsidies.xlsx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35">
      <c r="A210" t="s">
        <v>82</v>
      </c>
      <c r="B210" t="s">
        <v>1455</v>
      </c>
      <c r="C210" t="s">
        <v>1457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CCS Transportation and Storage Costs and Subsidies.xlsx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35">
      <c r="A211" t="s">
        <v>82</v>
      </c>
      <c r="B211" t="s">
        <v>1455</v>
      </c>
      <c r="C211" t="s">
        <v>1458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CCS Transportation and Storage Costs and Subsidies.xlsx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35">
      <c r="A212" t="s">
        <v>82</v>
      </c>
      <c r="B212" t="s">
        <v>1459</v>
      </c>
      <c r="C212" t="s">
        <v>1460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Cost Effective CCS Retrofit Capacity by Industry.xlsx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35">
      <c r="A213" t="s">
        <v>82</v>
      </c>
      <c r="B213" t="s">
        <v>1459</v>
      </c>
      <c r="C213" t="s">
        <v>1461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Cost Effective CCS Retrofit Capacity by Industry.xlsx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35">
      <c r="A214" t="s">
        <v>82</v>
      </c>
      <c r="B214" t="s">
        <v>1459</v>
      </c>
      <c r="C214" t="s">
        <v>1462</v>
      </c>
      <c r="G214" t="str">
        <f t="shared" si="6"/>
        <v>xlsx</v>
      </c>
      <c r="H214" s="5" t="str">
        <f>IFERROR(IF(B214="FoPITY",INDEX(Customizations!$C$2:$C$19,MATCH(Sheet1!C214,Customizations!$B$2:$B$19,0),1),INDEX(About!C:C,MATCH(Sheet1!B214,About!B:B,0),1)),"")</f>
        <v>Cost Effective CCS Retrofit Capacity by Industry.xlsx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35">
      <c r="A215" t="s">
        <v>82</v>
      </c>
      <c r="B215" t="s">
        <v>1463</v>
      </c>
      <c r="C215" t="s">
        <v>1464</v>
      </c>
      <c r="G215" t="str">
        <f t="shared" si="6"/>
        <v>xlsx</v>
      </c>
      <c r="H215" s="5" t="str">
        <f>IFERROR(IF(B215="FoPITY",INDEX(Customizations!$C$2:$C$19,MATCH(Sheet1!C215,Customizations!$B$2:$B$19,0),1),INDEX(About!C:C,MATCH(Sheet1!B215,About!B:B,0),1)),"")</f>
        <v>CCS Retrofit Detployment Time.xlsx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35">
      <c r="A216" t="s">
        <v>82</v>
      </c>
      <c r="B216" t="s">
        <v>1463</v>
      </c>
      <c r="C216" t="s">
        <v>1465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CCS Retrofit Detployment Time.xlsx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35">
      <c r="A217" t="s">
        <v>82</v>
      </c>
      <c r="B217" t="s">
        <v>1815</v>
      </c>
      <c r="C217" t="s">
        <v>1816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Non BAU Industry CCS Subsidy.xlsx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35">
      <c r="A218" t="s">
        <v>82</v>
      </c>
      <c r="B218" t="s">
        <v>1815</v>
      </c>
      <c r="C218" t="s">
        <v>1817</v>
      </c>
      <c r="G218" t="str">
        <f t="shared" si="6"/>
        <v>xlsx</v>
      </c>
      <c r="H218" s="5" t="str">
        <f>IFERROR(IF(B218="FoPITY",INDEX(Customizations!$C$2:$C$19,MATCH(Sheet1!C218,Customizations!$B$2:$B$19,0),1),INDEX(About!C:C,MATCH(Sheet1!B218,About!B:B,0),1)),"")</f>
        <v>Non BAU Industry CCS Subsidy.xlsx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35">
      <c r="A219" t="s">
        <v>82</v>
      </c>
      <c r="B219" t="s">
        <v>1466</v>
      </c>
      <c r="C219" t="s">
        <v>1467</v>
      </c>
      <c r="G219" t="str">
        <f t="shared" si="6"/>
        <v>xlsx</v>
      </c>
      <c r="H219" s="5" t="str">
        <f>IFERROR(IF(B219="FoPITY",INDEX(Customizations!$C$2:$C$19,MATCH(Sheet1!C219,Customizations!$B$2:$B$19,0),1),INDEX(About!C:C,MATCH(Sheet1!B219,About!B:B,0),1)),"")</f>
        <v>Share of Cost Effective CCS Retrofit Construction Started in a Year.xlsx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35">
      <c r="A220" t="s">
        <v>82</v>
      </c>
      <c r="B220" t="s">
        <v>1466</v>
      </c>
      <c r="C220" t="s">
        <v>1468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Share of Cost Effective CCS Retrofit Construction Started in a Year.xlsx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35">
      <c r="A221" t="s">
        <v>82</v>
      </c>
      <c r="B221" t="s">
        <v>1264</v>
      </c>
      <c r="C221" t="s">
        <v>1265</v>
      </c>
      <c r="G221" t="str">
        <f t="shared" si="6"/>
        <v>xlsx</v>
      </c>
      <c r="H221" s="5" t="str">
        <f>IFERROR(IF(B221="FoPITY",INDEX(Customizations!$C$2:$C$19,MATCH(Sheet1!C221,Customizations!$B$2:$B$19,0),1),INDEX(About!C:C,MATCH(Sheet1!B221,About!B:B,0),1)),"")</f>
        <v>Share of CCS Transportation and Storage Costs by Recipient ISIC Code.xlsx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35">
      <c r="A222" t="s">
        <v>82</v>
      </c>
      <c r="B222" t="s">
        <v>1264</v>
      </c>
      <c r="C222" t="s">
        <v>1266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Share of CCS Transportation and Storage Costs by Recipient ISIC Code.xlsx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35">
      <c r="A223" t="s">
        <v>84</v>
      </c>
      <c r="B223" t="s">
        <v>85</v>
      </c>
      <c r="C223" t="s">
        <v>86</v>
      </c>
      <c r="G223" t="str">
        <f t="shared" si="6"/>
        <v>xlsx</v>
      </c>
      <c r="H223" s="5" t="str">
        <f>IFERROR(IF(B223="FoPITY",INDEX(Customizations!$C$2:$C$19,MATCH(Sheet1!C223,Customizations!$B$2:$B$19,0),1),INDEX(About!C:C,MATCH(Sheet1!B223,About!B:B,0),1)),"")</f>
        <v>Discount Rate.xlsx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35">
      <c r="A224" t="s">
        <v>84</v>
      </c>
      <c r="B224" t="s">
        <v>85</v>
      </c>
      <c r="C224" t="s">
        <v>87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Discount Rate.xlsx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35">
      <c r="A225" t="s">
        <v>84</v>
      </c>
      <c r="B225" t="s">
        <v>682</v>
      </c>
      <c r="C225" t="s">
        <v>683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Quantization Size for Cash Flows.xlsx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35">
      <c r="A226" t="s">
        <v>84</v>
      </c>
      <c r="B226" t="s">
        <v>682</v>
      </c>
      <c r="C226" t="s">
        <v>684</v>
      </c>
      <c r="G226" t="str">
        <f t="shared" si="6"/>
        <v>xlsx</v>
      </c>
      <c r="H226" s="5" t="str">
        <f>IFERROR(IF(B226="FoPITY",INDEX(Customizations!$C$2:$C$19,MATCH(Sheet1!C226,Customizations!$B$2:$B$19,0),1),INDEX(About!C:C,MATCH(Sheet1!B226,About!B:B,0),1)),"")</f>
        <v>Quantization Size for Cash Flows.xlsx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35">
      <c r="A227" t="s">
        <v>821</v>
      </c>
      <c r="B227" t="s">
        <v>1469</v>
      </c>
      <c r="C227" t="s">
        <v>1470</v>
      </c>
      <c r="G227" t="str">
        <f t="shared" si="6"/>
        <v>xlsx</v>
      </c>
      <c r="H227" s="5" t="str">
        <f>IFERROR(IF(B227="FoPITY",INDEX(Customizations!$C$2:$C$19,MATCH(Sheet1!C227,Customizations!$B$2:$B$19,0),1),INDEX(About!C:C,MATCH(Sheet1!B227,About!B:B,0),1)),"")</f>
        <v>BAU Number of Households.xlsx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35">
      <c r="A228" t="s">
        <v>821</v>
      </c>
      <c r="B228" t="s">
        <v>1469</v>
      </c>
      <c r="C228" t="s">
        <v>1471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BAU Number of Households.xlsx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35">
      <c r="A229" t="s">
        <v>821</v>
      </c>
      <c r="B229" t="s">
        <v>688</v>
      </c>
      <c r="C229" t="s">
        <v>689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Quantization Size for Pollutants.xlsx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35">
      <c r="A230" t="s">
        <v>821</v>
      </c>
      <c r="B230" t="s">
        <v>688</v>
      </c>
      <c r="C230" t="s">
        <v>690</v>
      </c>
      <c r="G230" t="str">
        <f t="shared" si="6"/>
        <v>xlsx</v>
      </c>
      <c r="H230" s="5" t="str">
        <f>IFERROR(IF(B230="FoPITY",INDEX(Customizations!$C$2:$C$19,MATCH(Sheet1!C230,Customizations!$B$2:$B$19,0),1),INDEX(About!C:C,MATCH(Sheet1!B230,About!B:B,0),1)),"")</f>
        <v>Quantization Size for Pollutants.xlsx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35">
      <c r="A231" t="s">
        <v>636</v>
      </c>
      <c r="B231" t="s">
        <v>288</v>
      </c>
      <c r="C231" t="s">
        <v>289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Bool Are Energy Prices Affected by Chng in Production Costs.xlsx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35">
      <c r="A232" t="s">
        <v>636</v>
      </c>
      <c r="B232" t="s">
        <v>288</v>
      </c>
      <c r="C232" t="s">
        <v>290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Bool Are Energy Prices Affected by Chng in Production Costs.xlsx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35">
      <c r="A233" t="s">
        <v>636</v>
      </c>
      <c r="B233" t="s">
        <v>935</v>
      </c>
      <c r="C233" t="s">
        <v>936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Boolean Disable Carbon Tax Border Adjustment.xlsx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35">
      <c r="A234" t="s">
        <v>636</v>
      </c>
      <c r="B234" t="s">
        <v>935</v>
      </c>
      <c r="C234" t="s">
        <v>937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Boolean Disable Carbon Tax Border Adjustment.xlsx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35">
      <c r="A235" t="s">
        <v>636</v>
      </c>
      <c r="B235" t="s">
        <v>685</v>
      </c>
      <c r="C235" t="s">
        <v>686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Boolean Disable Macroecon Feedback Loops.xlsx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35">
      <c r="A236" t="s">
        <v>636</v>
      </c>
      <c r="B236" t="s">
        <v>685</v>
      </c>
      <c r="C236" t="s">
        <v>687</v>
      </c>
      <c r="G236" t="str">
        <f t="shared" si="6"/>
        <v>xlsx</v>
      </c>
      <c r="H236" s="5" t="str">
        <f>IFERROR(IF(B236="FoPITY",INDEX(Customizations!$C$2:$C$19,MATCH(Sheet1!C236,Customizations!$B$2:$B$19,0),1),INDEX(About!C:C,MATCH(Sheet1!B236,About!B:B,0),1)),"")</f>
        <v>Boolean Disable Macroecon Feedback Loops.xlsx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35">
      <c r="A237" t="s">
        <v>636</v>
      </c>
      <c r="B237" t="s">
        <v>291</v>
      </c>
      <c r="C237" t="s">
        <v>292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Boolean Exempt Non CO2 Emissions from Carbon Tax.xlsx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35">
      <c r="A238" t="s">
        <v>636</v>
      </c>
      <c r="B238" t="s">
        <v>291</v>
      </c>
      <c r="C238" t="s">
        <v>293</v>
      </c>
      <c r="G238" t="str">
        <f t="shared" si="6"/>
        <v>xlsx</v>
      </c>
      <c r="H238" s="5" t="str">
        <f>IFERROR(IF(B238="FoPITY",INDEX(Customizations!$C$2:$C$19,MATCH(Sheet1!C238,Customizations!$B$2:$B$19,0),1),INDEX(About!C:C,MATCH(Sheet1!B238,About!B:B,0),1)),"")</f>
        <v>Boolean Exempt Non CO2 Emissions from Carbon Tax.xlsx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35">
      <c r="A239" t="s">
        <v>636</v>
      </c>
      <c r="B239" t="s">
        <v>637</v>
      </c>
      <c r="C239" t="s">
        <v>294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Boolean Exempt Process Emissions From Carbon Tax.xlsx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35">
      <c r="A240" t="s">
        <v>636</v>
      </c>
      <c r="B240" t="s">
        <v>637</v>
      </c>
      <c r="C240" t="s">
        <v>638</v>
      </c>
      <c r="G240" t="str">
        <f t="shared" si="6"/>
        <v>xlsx</v>
      </c>
      <c r="H240" s="5" t="str">
        <f>IFERROR(IF(B240="FoPITY",INDEX(Customizations!$C$2:$C$19,MATCH(Sheet1!C240,Customizations!$B$2:$B$19,0),1),INDEX(About!C:C,MATCH(Sheet1!B240,About!B:B,0),1)),"")</f>
        <v>Boolean Exempt Process Emissions From Carbon Tax.xlsx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35">
      <c r="A241" t="s">
        <v>636</v>
      </c>
      <c r="B241" t="s">
        <v>1029</v>
      </c>
      <c r="C241" t="s">
        <v>1030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Boolean Elec Suppliers Have Foresight of Future RPS Values.xlsx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35">
      <c r="A242" t="s">
        <v>636</v>
      </c>
      <c r="B242" t="s">
        <v>1029</v>
      </c>
      <c r="C242" t="s">
        <v>1031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Boolean Elec Suppliers Have Foresight of Future RPS Values.xlsx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35">
      <c r="A243" t="s">
        <v>636</v>
      </c>
      <c r="B243" t="s">
        <v>850</v>
      </c>
      <c r="C243" t="s">
        <v>851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Boolean Include Emissions from Exported Electricity.xlsx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35">
      <c r="A244" t="s">
        <v>636</v>
      </c>
      <c r="B244" t="s">
        <v>850</v>
      </c>
      <c r="C244" t="s">
        <v>852</v>
      </c>
      <c r="G244" t="str">
        <f t="shared" si="6"/>
        <v>xlsx</v>
      </c>
      <c r="H244" s="5" t="str">
        <f>IFERROR(IF(B244="FoPITY",INDEX(Customizations!$C$2:$C$19,MATCH(Sheet1!C244,Customizations!$B$2:$B$19,0),1),INDEX(About!C:C,MATCH(Sheet1!B244,About!B:B,0),1)),"")</f>
        <v>Boolean Include Emissions from Exported Electricity.xlsx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35">
      <c r="A245" t="s">
        <v>636</v>
      </c>
      <c r="B245" t="s">
        <v>295</v>
      </c>
      <c r="C245" t="s">
        <v>296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Boolean Include Emissions from Imported Electricity.xlsx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35">
      <c r="A246" t="s">
        <v>636</v>
      </c>
      <c r="B246" t="s">
        <v>295</v>
      </c>
      <c r="C246" t="s">
        <v>297</v>
      </c>
      <c r="G246" t="str">
        <f t="shared" si="6"/>
        <v>xlsx</v>
      </c>
      <c r="H246" s="5" t="str">
        <f>IFERROR(IF(B246="FoPITY",INDEX(Customizations!$C$2:$C$19,MATCH(Sheet1!C246,Customizations!$B$2:$B$19,0),1),INDEX(About!C:C,MATCH(Sheet1!B246,About!B:B,0),1)),"")</f>
        <v>Boolean Include Emissions from Imported Electricity.xlsx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35">
      <c r="A247" t="s">
        <v>636</v>
      </c>
      <c r="B247" t="s">
        <v>938</v>
      </c>
      <c r="C247" t="s">
        <v>939</v>
      </c>
      <c r="G247" t="str">
        <f t="shared" si="6"/>
        <v>xlsx</v>
      </c>
      <c r="H247" s="5" t="str">
        <f>IFERROR(IF(B247="FoPITY",INDEX(Customizations!$C$2:$C$19,MATCH(Sheet1!C247,Customizations!$B$2:$B$19,0),1),INDEX(About!C:C,MATCH(Sheet1!B247,About!B:B,0),1)),"")</f>
        <v>Bool Rebate Carbon Tax on Exported Products.xlsx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35">
      <c r="A248" t="s">
        <v>636</v>
      </c>
      <c r="B248" t="s">
        <v>938</v>
      </c>
      <c r="C248" t="s">
        <v>940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Bool Rebate Carbon Tax on Exported Products.xlsx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35">
      <c r="A249" t="s">
        <v>636</v>
      </c>
      <c r="B249" t="s">
        <v>1472</v>
      </c>
      <c r="C249" t="s">
        <v>1473</v>
      </c>
      <c r="G249" t="str">
        <f t="shared" si="6"/>
        <v>xlsx</v>
      </c>
      <c r="H249" s="5" t="str">
        <f>IFERROR(IF(B249="FoPITY",INDEX(Customizations!$C$2:$C$19,MATCH(Sheet1!C249,Customizations!$B$2:$B$19,0),1),INDEX(About!C:C,MATCH(Sheet1!B249,About!B:B,0),1)),"")</f>
        <v>Boolean Use Capacity Market for New Capacity Revenue.xlsx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35">
      <c r="A250" t="s">
        <v>636</v>
      </c>
      <c r="B250" t="s">
        <v>1472</v>
      </c>
      <c r="C250" t="s">
        <v>1474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Boolean Use Capacity Market for New Capacity Revenue.xlsx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35">
      <c r="A251" t="s">
        <v>636</v>
      </c>
      <c r="B251" t="s">
        <v>298</v>
      </c>
      <c r="C251" t="s">
        <v>299</v>
      </c>
      <c r="G251" t="str">
        <f t="shared" si="6"/>
        <v>xlsx</v>
      </c>
      <c r="H251" s="5" t="str">
        <f>IFERROR(IF(B251="FoPITY",INDEX(Customizations!$C$2:$C$19,MATCH(Sheet1!C251,Customizations!$B$2:$B$19,0),1),INDEX(About!C:C,MATCH(Sheet1!B251,About!B:B,0),1)),"")</f>
        <v>Boolean Use Twenty Year GWP Values.xlsx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35">
      <c r="A252" t="s">
        <v>636</v>
      </c>
      <c r="B252" t="s">
        <v>298</v>
      </c>
      <c r="C252" t="s">
        <v>300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Boolean Use Twenty Year GWP Values.xlsx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35">
      <c r="A253" t="s">
        <v>636</v>
      </c>
      <c r="B253" t="s">
        <v>1818</v>
      </c>
      <c r="C253" t="s">
        <v>1819</v>
      </c>
      <c r="G253" t="str">
        <f t="shared" si="6"/>
        <v>xlsx</v>
      </c>
      <c r="H253" s="5" t="str">
        <f>IFERROR(IF(B253="FoPITY",INDEX(Customizations!$C$2:$C$19,MATCH(Sheet1!C253,Customizations!$B$2:$B$19,0),1),INDEX(About!C:C,MATCH(Sheet1!B253,About!B:B,0),1)),"")</f>
        <v>Data Center Load Growth Assumption.xlsx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35">
      <c r="A254" t="s">
        <v>636</v>
      </c>
      <c r="B254" t="s">
        <v>1818</v>
      </c>
      <c r="C254" t="s">
        <v>1820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Data Center Load Growth Assumption.xlsx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35">
      <c r="A255" t="s">
        <v>636</v>
      </c>
      <c r="B255" t="s">
        <v>1475</v>
      </c>
      <c r="C255" t="s">
        <v>1476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Equipment Age.xlsx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35">
      <c r="A256" t="s">
        <v>636</v>
      </c>
      <c r="B256" t="s">
        <v>1475</v>
      </c>
      <c r="C256" t="s">
        <v>1477</v>
      </c>
      <c r="G256" t="str">
        <f t="shared" si="6"/>
        <v>xlsx</v>
      </c>
      <c r="H256" s="5" t="str">
        <f>IFERROR(IF(B256="FoPITY",INDEX(Customizations!$C$2:$C$19,MATCH(Sheet1!C256,Customizations!$B$2:$B$19,0),1),INDEX(About!C:C,MATCH(Sheet1!B256,About!B:B,0),1)),"")</f>
        <v>Equipment Age.xlsx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35">
      <c r="A257" t="s">
        <v>636</v>
      </c>
      <c r="B257" t="s">
        <v>979</v>
      </c>
      <c r="C257" t="s">
        <v>980</v>
      </c>
      <c r="G257" t="str">
        <f t="shared" ref="G257:G319" si="8">RIGHT(C257,"4")</f>
        <v>.csv</v>
      </c>
      <c r="H257" s="5" t="str">
        <f>IFERROR(IF(B257="FoPITY",INDEX(Customizations!$C$2:$C$19,MATCH(Sheet1!C257,Customizations!$B$2:$B$19,0),1),INDEX(About!C:C,MATCH(Sheet1!B257,About!B:B,0),1)),"")</f>
        <v>Exogenous GDP Growth Rate Adjustment.xlsx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35">
      <c r="A258" t="s">
        <v>636</v>
      </c>
      <c r="B258" t="s">
        <v>979</v>
      </c>
      <c r="C258" t="s">
        <v>981</v>
      </c>
      <c r="G258" t="str">
        <f t="shared" si="8"/>
        <v>.csv</v>
      </c>
      <c r="H258" s="5" t="str">
        <f>IFERROR(IF(B258="FoPITY",INDEX(Customizations!$C$2:$C$19,MATCH(Sheet1!C258,Customizations!$B$2:$B$19,0),1),INDEX(About!C:C,MATCH(Sheet1!B258,About!B:B,0),1)),"")</f>
        <v>Exogenous GDP Growth Rate Adjustment.xlsx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35">
      <c r="A259" t="s">
        <v>636</v>
      </c>
      <c r="B259" t="s">
        <v>979</v>
      </c>
      <c r="C259" t="s">
        <v>982</v>
      </c>
      <c r="G259" t="str">
        <f t="shared" si="8"/>
        <v>xlsx</v>
      </c>
      <c r="H259" s="5" t="str">
        <f>IFERROR(IF(B259="FoPITY",INDEX(Customizations!$C$2:$C$19,MATCH(Sheet1!C259,Customizations!$B$2:$B$19,0),1),INDEX(About!C:C,MATCH(Sheet1!B259,About!B:B,0),1)),"")</f>
        <v>Exogenous GDP Growth Rate Adjustment.xlsx</v>
      </c>
      <c r="I259" s="5">
        <f>IFERROR(INDEX(About!$D:$D,MATCH(Sheet1!H259,About!$C:$C,0),1),0)</f>
        <v>0</v>
      </c>
      <c r="J259" s="6">
        <f t="shared" ref="J259:J321" si="9">IF(G259=".csv",1,0)*I259</f>
        <v>0</v>
      </c>
    </row>
    <row r="260" spans="1:10" x14ac:dyDescent="0.35">
      <c r="A260" t="s">
        <v>636</v>
      </c>
      <c r="B260" t="s">
        <v>639</v>
      </c>
      <c r="C260" t="s">
        <v>640</v>
      </c>
      <c r="G260" t="str">
        <f t="shared" si="8"/>
        <v>xlsx</v>
      </c>
      <c r="H260" s="5" t="str">
        <f>IFERROR(IF(B260="FoPITY",INDEX(Customizations!$C$2:$C$19,MATCH(Sheet1!C260,Customizations!$B$2:$B$19,0),1),INDEX(About!C:C,MATCH(Sheet1!B260,About!B:B,0),1)),"")</f>
        <v>Elasticity of Sectoral Energy Use wrt Per Capita GDP in Recession.xlsx</v>
      </c>
      <c r="I260" s="5">
        <f>IFERROR(INDEX(About!$D:$D,MATCH(Sheet1!H260,About!$C:$C,0),1),0)</f>
        <v>0</v>
      </c>
      <c r="J260" s="6">
        <f t="shared" si="9"/>
        <v>0</v>
      </c>
    </row>
    <row r="261" spans="1:10" x14ac:dyDescent="0.35">
      <c r="A261" t="s">
        <v>636</v>
      </c>
      <c r="B261" t="s">
        <v>639</v>
      </c>
      <c r="C261" t="s">
        <v>641</v>
      </c>
      <c r="G261" t="str">
        <f t="shared" si="8"/>
        <v>.csv</v>
      </c>
      <c r="H261" s="5" t="str">
        <f>IFERROR(IF(B261="FoPITY",INDEX(Customizations!$C$2:$C$19,MATCH(Sheet1!C261,Customizations!$B$2:$B$19,0),1),INDEX(About!C:C,MATCH(Sheet1!B261,About!B:B,0),1)),"")</f>
        <v>Elasticity of Sectoral Energy Use wrt Per Capita GDP in Recession.xlsx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35">
      <c r="A262" t="s">
        <v>636</v>
      </c>
      <c r="B262" t="s">
        <v>1478</v>
      </c>
      <c r="C262" t="s">
        <v>1479</v>
      </c>
      <c r="G262" t="str">
        <f t="shared" si="8"/>
        <v>xlsx</v>
      </c>
      <c r="H262" s="5" t="str">
        <f>IFERROR(IF(B262="FoPITY",INDEX(Customizations!$C$2:$C$19,MATCH(Sheet1!C262,Customizations!$B$2:$B$19,0),1),INDEX(About!C:C,MATCH(Sheet1!B262,About!B:B,0),1)),"")</f>
        <v>First Year Impacted by Future Policies.xlsx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35">
      <c r="A263" t="s">
        <v>636</v>
      </c>
      <c r="B263" t="s">
        <v>1478</v>
      </c>
      <c r="C263" t="s">
        <v>1480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First Year Impacted by Future Policies.xlsx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35">
      <c r="A264" t="s">
        <v>636</v>
      </c>
      <c r="B264" t="s">
        <v>736</v>
      </c>
      <c r="C264" t="s">
        <v>737</v>
      </c>
      <c r="G264" t="str">
        <f t="shared" si="8"/>
        <v>xlsx</v>
      </c>
      <c r="H264" s="5" t="str">
        <f>IFERROR(IF(B264="FoPITY",INDEX(Customizations!$C$2:$C$19,MATCH(Sheet1!C264,Customizations!$B$2:$B$19,0),1),INDEX(About!C:C,MATCH(Sheet1!B264,About!B:B,0),1)),"")</f>
        <v>Government Revenue Accounting.xlsx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35">
      <c r="A265" t="s">
        <v>636</v>
      </c>
      <c r="B265" t="s">
        <v>736</v>
      </c>
      <c r="C265" t="s">
        <v>1821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Government Revenue Accounting.xlsx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35">
      <c r="A266" t="s">
        <v>636</v>
      </c>
      <c r="B266" t="s">
        <v>736</v>
      </c>
      <c r="C266" t="s">
        <v>803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Government Revenue Accounting.xlsx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35">
      <c r="A267" t="s">
        <v>636</v>
      </c>
      <c r="B267" t="s">
        <v>736</v>
      </c>
      <c r="C267" t="s">
        <v>1035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Government Revenue Accounting.xlsx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35">
      <c r="A268" t="s">
        <v>636</v>
      </c>
      <c r="B268" t="s">
        <v>736</v>
      </c>
      <c r="C268" t="s">
        <v>804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Government Revenue Accounting.xlsx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35">
      <c r="A269" t="s">
        <v>636</v>
      </c>
      <c r="B269" t="s">
        <v>736</v>
      </c>
      <c r="C269" t="s">
        <v>805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Government Revenue Accounting.xlsx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35">
      <c r="A270" t="s">
        <v>636</v>
      </c>
      <c r="B270" t="s">
        <v>736</v>
      </c>
      <c r="C270" t="s">
        <v>806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Government Revenue Accounting.xlsx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35">
      <c r="A271" t="s">
        <v>636</v>
      </c>
      <c r="B271" t="s">
        <v>736</v>
      </c>
      <c r="C271" t="s">
        <v>807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Government Revenue Accounting.xlsx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35">
      <c r="A272" t="s">
        <v>636</v>
      </c>
      <c r="B272" t="s">
        <v>736</v>
      </c>
      <c r="C272" t="s">
        <v>808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Government Revenue Accounting.xlsx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35">
      <c r="A273" t="s">
        <v>636</v>
      </c>
      <c r="B273" t="s">
        <v>736</v>
      </c>
      <c r="C273" t="s">
        <v>809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Government Revenue Accounting.xlsx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35">
      <c r="A274" t="s">
        <v>636</v>
      </c>
      <c r="B274" t="s">
        <v>736</v>
      </c>
      <c r="C274" t="s">
        <v>1822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Government Revenue Accounting.xlsx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35">
      <c r="A275" t="s">
        <v>636</v>
      </c>
      <c r="B275" t="s">
        <v>736</v>
      </c>
      <c r="C275" t="s">
        <v>1823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Government Revenue Accounting.xlsx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35">
      <c r="A276" t="s">
        <v>636</v>
      </c>
      <c r="B276" t="s">
        <v>736</v>
      </c>
      <c r="C276" t="s">
        <v>1824</v>
      </c>
      <c r="G276" t="str">
        <f t="shared" si="8"/>
        <v>.csv</v>
      </c>
      <c r="H276" s="5" t="str">
        <f>IFERROR(IF(B276="FoPITY",INDEX(Customizations!$C$2:$C$19,MATCH(Sheet1!C276,Customizations!$B$2:$B$19,0),1),INDEX(About!C:C,MATCH(Sheet1!B276,About!B:B,0),1)),"")</f>
        <v>Government Revenue Accounting.xlsx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35">
      <c r="A277" t="s">
        <v>636</v>
      </c>
      <c r="B277" t="s">
        <v>736</v>
      </c>
      <c r="C277" t="s">
        <v>810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Government Revenue Accounting.xlsx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35">
      <c r="A278" t="s">
        <v>636</v>
      </c>
      <c r="B278" t="s">
        <v>736</v>
      </c>
      <c r="C278" t="s">
        <v>811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Government Revenue Accounting.xlsx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35">
      <c r="A279" t="s">
        <v>636</v>
      </c>
      <c r="B279" t="s">
        <v>736</v>
      </c>
      <c r="C279" t="s">
        <v>1036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Government Revenue Accounting.xlsx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35">
      <c r="A280" t="s">
        <v>636</v>
      </c>
      <c r="B280" t="s">
        <v>1825</v>
      </c>
      <c r="C280" t="s">
        <v>1826</v>
      </c>
      <c r="G280" t="str">
        <f t="shared" si="8"/>
        <v>xlsx</v>
      </c>
      <c r="H280" s="5" t="str">
        <f>IFERROR(IF(B280="FoPITY",INDEX(Customizations!$C$2:$C$19,MATCH(Sheet1!C280,Customizations!$B$2:$B$19,0),1),INDEX(About!C:C,MATCH(Sheet1!B280,About!B:B,0),1)),"")</f>
        <v>Model Run Vintages.xlsx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35">
      <c r="A281" t="s">
        <v>636</v>
      </c>
      <c r="B281" t="s">
        <v>1825</v>
      </c>
      <c r="C281" t="s">
        <v>1827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Model Run Vintages.xlsx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35">
      <c r="A282" t="s">
        <v>636</v>
      </c>
      <c r="B282" t="s">
        <v>1481</v>
      </c>
      <c r="C282" t="s">
        <v>1482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Modeled Vintages.xlsx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35">
      <c r="A283" t="s">
        <v>636</v>
      </c>
      <c r="B283" t="s">
        <v>1481</v>
      </c>
      <c r="C283" t="s">
        <v>1483</v>
      </c>
      <c r="G283" t="str">
        <f t="shared" si="8"/>
        <v>xlsx</v>
      </c>
      <c r="H283" s="5" t="str">
        <f>IFERROR(IF(B283="FoPITY",INDEX(Customizations!$C$2:$C$19,MATCH(Sheet1!C283,Customizations!$B$2:$B$19,0),1),INDEX(About!C:C,MATCH(Sheet1!B283,About!B:B,0),1)),"")</f>
        <v>Modeled Vintages.xlsx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35">
      <c r="A284" t="s">
        <v>636</v>
      </c>
      <c r="B284" t="s">
        <v>1481</v>
      </c>
      <c r="C284" t="s">
        <v>1484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Modeled Vintages.xlsx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35">
      <c r="A285" t="s">
        <v>636</v>
      </c>
      <c r="B285" t="s">
        <v>1481</v>
      </c>
      <c r="C285" t="s">
        <v>1828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Modeled Vintages.xlsx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35">
      <c r="A286" t="s">
        <v>636</v>
      </c>
      <c r="B286" t="s">
        <v>1481</v>
      </c>
      <c r="C286" t="s">
        <v>1485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Modeled Vintages.xlsx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35">
      <c r="A287" t="s">
        <v>636</v>
      </c>
      <c r="B287" t="s">
        <v>1481</v>
      </c>
      <c r="C287" t="s">
        <v>1829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Modeled Vintages.xlsx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35">
      <c r="A288" t="s">
        <v>636</v>
      </c>
      <c r="B288" t="s">
        <v>1481</v>
      </c>
      <c r="C288" t="s">
        <v>1486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Modeled Vintages.xlsx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35">
      <c r="A289" t="s">
        <v>88</v>
      </c>
      <c r="B289" t="s">
        <v>89</v>
      </c>
      <c r="C289" t="s">
        <v>90</v>
      </c>
      <c r="G289" t="str">
        <f t="shared" si="8"/>
        <v>xlsx</v>
      </c>
      <c r="H289" s="5" t="str">
        <f>IFERROR(IF(B289="FoPITY",INDEX(Customizations!$C$2:$C$19,MATCH(Sheet1!C289,Customizations!$B$2:$B$19,0),1),INDEX(About!C:C,MATCH(Sheet1!B289,About!B:B,0),1)),"")</f>
        <v>BAU Fraction of Heat from CHP.xlsx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35">
      <c r="A290" t="s">
        <v>88</v>
      </c>
      <c r="B290" t="s">
        <v>89</v>
      </c>
      <c r="C290" t="s">
        <v>91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BAU Fraction of Heat from CHP.xlsx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35">
      <c r="A291" t="s">
        <v>88</v>
      </c>
      <c r="B291" t="s">
        <v>92</v>
      </c>
      <c r="C291" t="s">
        <v>93</v>
      </c>
      <c r="G291" t="str">
        <f t="shared" si="8"/>
        <v>xlsx</v>
      </c>
      <c r="H291" s="5" t="str">
        <f>IFERROR(IF(B291="FoPITY",INDEX(Customizations!$C$2:$C$19,MATCH(Sheet1!C291,Customizations!$B$2:$B$19,0),1),INDEX(About!C:C,MATCH(Sheet1!B291,About!B:B,0),1)),"")</f>
        <v>BAU Frac of Heat Provided by Fuel.xlsx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35">
      <c r="A292" t="s">
        <v>88</v>
      </c>
      <c r="B292" t="s">
        <v>92</v>
      </c>
      <c r="C292" t="s">
        <v>94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BAU Frac of Heat Provided by Fuel.xlsx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35">
      <c r="A293" t="s">
        <v>88</v>
      </c>
      <c r="B293" t="s">
        <v>1487</v>
      </c>
      <c r="C293" t="s">
        <v>1488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CHP Eqpt Cost per Unit Energy Shifted.xlsx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35">
      <c r="A294" t="s">
        <v>88</v>
      </c>
      <c r="B294" t="s">
        <v>1487</v>
      </c>
      <c r="C294" t="s">
        <v>1489</v>
      </c>
      <c r="G294" t="str">
        <f t="shared" si="8"/>
        <v>xlsx</v>
      </c>
      <c r="H294" s="5" t="str">
        <f>IFERROR(IF(B294="FoPITY",INDEX(Customizations!$C$2:$C$19,MATCH(Sheet1!C294,Customizations!$B$2:$B$19,0),1),INDEX(About!C:C,MATCH(Sheet1!B294,About!B:B,0),1)),"")</f>
        <v>CHP Eqpt Cost per Unit Energy Shifted.xlsx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35">
      <c r="A295" t="s">
        <v>88</v>
      </c>
      <c r="B295" t="s">
        <v>95</v>
      </c>
      <c r="C295" t="s">
        <v>96</v>
      </c>
      <c r="G295" t="str">
        <f t="shared" si="8"/>
        <v>xlsx</v>
      </c>
      <c r="H295" s="5" t="str">
        <f>IFERROR(IF(B295="FoPITY",INDEX(Customizations!$C$2:$C$19,MATCH(Sheet1!C295,Customizations!$B$2:$B$19,0),1),INDEX(About!C:C,MATCH(Sheet1!B295,About!B:B,0),1)),"")</f>
        <v>Efficiency of Conversion to Usable Heat.xlsx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35">
      <c r="A296" t="s">
        <v>88</v>
      </c>
      <c r="B296" t="s">
        <v>95</v>
      </c>
      <c r="C296" t="s">
        <v>97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Efficiency of Conversion to Usable Heat.xlsx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35">
      <c r="A297" t="s">
        <v>88</v>
      </c>
      <c r="B297" t="s">
        <v>906</v>
      </c>
      <c r="C297" t="s">
        <v>907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Heat Distribution Losses.xlsx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35">
      <c r="A298" t="s">
        <v>88</v>
      </c>
      <c r="B298" t="s">
        <v>906</v>
      </c>
      <c r="C298" t="s">
        <v>908</v>
      </c>
      <c r="G298" t="str">
        <f t="shared" si="8"/>
        <v>xlsx</v>
      </c>
      <c r="H298" s="5" t="str">
        <f>IFERROR(IF(B298="FoPITY",INDEX(Customizations!$C$2:$C$19,MATCH(Sheet1!C298,Customizations!$B$2:$B$19,0),1),INDEX(About!C:C,MATCH(Sheet1!B298,About!B:B,0),1)),"")</f>
        <v>Heat Distribution Losses.xlsx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35">
      <c r="A299" t="s">
        <v>88</v>
      </c>
      <c r="B299" t="s">
        <v>98</v>
      </c>
      <c r="C299" t="s">
        <v>99</v>
      </c>
      <c r="G299" t="str">
        <f t="shared" si="8"/>
        <v>xlsx</v>
      </c>
      <c r="H299" s="5" t="str">
        <f>IFERROR(IF(B299="FoPITY",INDEX(Customizations!$C$2:$C$19,MATCH(Sheet1!C299,Customizations!$B$2:$B$19,0),1),INDEX(About!C:C,MATCH(Sheet1!B299,About!B:B,0),1)),"")</f>
        <v>Recipient Heat Fuel Fractions.xlsx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35">
      <c r="A300" t="s">
        <v>88</v>
      </c>
      <c r="B300" t="s">
        <v>98</v>
      </c>
      <c r="C300" t="s">
        <v>100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Recipient Heat Fuel Fractions.xlsx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35">
      <c r="A301" t="s">
        <v>101</v>
      </c>
      <c r="B301" t="s">
        <v>1490</v>
      </c>
      <c r="C301" t="s">
        <v>1491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Average Power Plant Lifetime.xlsx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35">
      <c r="A302" t="s">
        <v>101</v>
      </c>
      <c r="B302" t="s">
        <v>1490</v>
      </c>
      <c r="C302" t="s">
        <v>1492</v>
      </c>
      <c r="G302" t="str">
        <f t="shared" si="8"/>
        <v>xlsx</v>
      </c>
      <c r="H302" s="5" t="str">
        <f>IFERROR(IF(B302="FoPITY",INDEX(Customizations!$C$2:$C$19,MATCH(Sheet1!C302,Customizations!$B$2:$B$19,0),1),INDEX(About!C:C,MATCH(Sheet1!B302,About!B:B,0),1)),"")</f>
        <v>Average Power Plant Lifetime.xlsx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35">
      <c r="A303" t="s">
        <v>101</v>
      </c>
      <c r="B303" t="s">
        <v>1350</v>
      </c>
      <c r="C303" t="s">
        <v>1351</v>
      </c>
      <c r="G303" t="str">
        <f t="shared" si="8"/>
        <v>xlsx</v>
      </c>
      <c r="H303" s="5" t="str">
        <f>IFERROR(IF(B303="FoPITY",INDEX(Customizations!$C$2:$C$19,MATCH(Sheet1!C303,Customizations!$B$2:$B$19,0),1),INDEX(About!C:C,MATCH(Sheet1!B303,About!B:B,0),1)),"")</f>
        <v>BAU Ban New Power Plants This Year.xlsx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35">
      <c r="A304" t="s">
        <v>101</v>
      </c>
      <c r="B304" t="s">
        <v>1350</v>
      </c>
      <c r="C304" t="s">
        <v>1352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BAU Ban New Power Plants This Year.xlsx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35">
      <c r="A305" t="s">
        <v>101</v>
      </c>
      <c r="B305" t="s">
        <v>1353</v>
      </c>
      <c r="C305" t="s">
        <v>1354</v>
      </c>
      <c r="G305" t="str">
        <f t="shared" si="8"/>
        <v>xlsx</v>
      </c>
      <c r="H305" s="5" t="str">
        <f>IFERROR(IF(B305="FoPITY",INDEX(Customizations!$C$2:$C$19,MATCH(Sheet1!C305,Customizations!$B$2:$B$19,0),1),INDEX(About!C:C,MATCH(Sheet1!B305,About!B:B,0),1)),"")</f>
        <v>BAU Ban Power Plant Retrofits This Year.xlsx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35">
      <c r="A306" t="s">
        <v>101</v>
      </c>
      <c r="B306" t="s">
        <v>1353</v>
      </c>
      <c r="C306" t="s">
        <v>1355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BAU Ban Power Plant Retrofits This Year.xlsx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35">
      <c r="A307" t="s">
        <v>101</v>
      </c>
      <c r="B307" t="s">
        <v>1037</v>
      </c>
      <c r="C307" t="s">
        <v>1038</v>
      </c>
      <c r="G307" t="str">
        <f t="shared" si="8"/>
        <v>xlsx</v>
      </c>
      <c r="H307" s="5" t="str">
        <f>IFERROR(IF(B307="FoPITY",INDEX(Customizations!$C$2:$C$19,MATCH(Sheet1!C307,Customizations!$B$2:$B$19,0),1),INDEX(About!C:C,MATCH(Sheet1!B307,About!B:B,0),1)),"")</f>
        <v>BAU Cost of Electricity Sector Capital.xlsx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35">
      <c r="A308" t="s">
        <v>101</v>
      </c>
      <c r="B308" t="s">
        <v>1037</v>
      </c>
      <c r="C308" t="s">
        <v>1493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BAU Cost of Electricity Sector Capital.xlsx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35">
      <c r="A309" t="s">
        <v>101</v>
      </c>
      <c r="B309" t="s">
        <v>1037</v>
      </c>
      <c r="C309" t="s">
        <v>1039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BAU Cost of Electricity Sector Capital.xlsx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35">
      <c r="A310" t="s">
        <v>101</v>
      </c>
      <c r="B310" t="s">
        <v>1037</v>
      </c>
      <c r="C310" t="s">
        <v>1040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BAU Cost of Electricity Sector Capital.xlsx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35">
      <c r="A311" t="s">
        <v>101</v>
      </c>
      <c r="B311" t="s">
        <v>102</v>
      </c>
      <c r="C311" t="s">
        <v>103</v>
      </c>
      <c r="G311" t="str">
        <f t="shared" si="8"/>
        <v>xlsx</v>
      </c>
      <c r="H311" s="5" t="str">
        <f>IFERROR(IF(B311="FoPITY",INDEX(Customizations!$C$2:$C$19,MATCH(Sheet1!C311,Customizations!$B$2:$B$19,0),1),INDEX(About!C:C,MATCH(Sheet1!B311,About!B:B,0),1)),"")</f>
        <v>Battery Cost per Unit Cap.xlsx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35">
      <c r="A312" t="s">
        <v>101</v>
      </c>
      <c r="B312" t="s">
        <v>102</v>
      </c>
      <c r="C312" t="s">
        <v>1273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Battery Cost per Unit Cap.xlsx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35">
      <c r="A313" t="s">
        <v>101</v>
      </c>
      <c r="B313" t="s">
        <v>102</v>
      </c>
      <c r="C313" t="s">
        <v>1274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Battery Cost per Unit Cap.xlsx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35">
      <c r="A314" t="s">
        <v>101</v>
      </c>
      <c r="B314" t="s">
        <v>102</v>
      </c>
      <c r="C314" t="s">
        <v>1275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Battery Cost per Unit Cap.xlsx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35">
      <c r="A315" t="s">
        <v>101</v>
      </c>
      <c r="B315" t="s">
        <v>104</v>
      </c>
      <c r="C315" t="s">
        <v>105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BAU Cap Retirements before Quantization.xlsx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35">
      <c r="A316" t="s">
        <v>101</v>
      </c>
      <c r="B316" t="s">
        <v>104</v>
      </c>
      <c r="C316" t="s">
        <v>106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BAU Cap Retirements before Quantization.xlsx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35">
      <c r="A317" t="s">
        <v>101</v>
      </c>
      <c r="B317" t="s">
        <v>1041</v>
      </c>
      <c r="C317" t="s">
        <v>1042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Boolean Does This Plant Type Use Maximum Capacity Factor.xlsx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35">
      <c r="A318" t="s">
        <v>101</v>
      </c>
      <c r="B318" t="s">
        <v>1041</v>
      </c>
      <c r="C318" t="s">
        <v>1043</v>
      </c>
      <c r="G318" t="str">
        <f t="shared" si="8"/>
        <v>xlsx</v>
      </c>
      <c r="H318" s="5" t="str">
        <f>IFERROR(IF(B318="FoPITY",INDEX(Customizations!$C$2:$C$19,MATCH(Sheet1!C318,Customizations!$B$2:$B$19,0),1),INDEX(About!C:C,MATCH(Sheet1!B318,About!B:B,0),1)),"")</f>
        <v>Boolean Does This Plant Type Use Maximum Capacity Factor.xlsx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35">
      <c r="A319" t="s">
        <v>101</v>
      </c>
      <c r="B319" t="s">
        <v>1210</v>
      </c>
      <c r="C319" t="s">
        <v>1211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BAU EV Grid Balancing.xlsx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35">
      <c r="A320" t="s">
        <v>101</v>
      </c>
      <c r="B320" t="s">
        <v>1210</v>
      </c>
      <c r="C320" t="s">
        <v>1212</v>
      </c>
      <c r="G320" t="str">
        <f t="shared" ref="G320:G379" si="10">RIGHT(C320,"4")</f>
        <v>.csv</v>
      </c>
      <c r="H320" s="5" t="str">
        <f>IFERROR(IF(B320="FoPITY",INDEX(Customizations!$C$2:$C$19,MATCH(Sheet1!C320,Customizations!$B$2:$B$19,0),1),INDEX(About!C:C,MATCH(Sheet1!B320,About!B:B,0),1)),"")</f>
        <v>BAU EV Grid Balancing.xlsx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35">
      <c r="A321" t="s">
        <v>101</v>
      </c>
      <c r="B321" t="s">
        <v>1210</v>
      </c>
      <c r="C321" t="s">
        <v>1213</v>
      </c>
      <c r="G321" t="str">
        <f t="shared" si="10"/>
        <v>.csv</v>
      </c>
      <c r="H321" s="5" t="str">
        <f>IFERROR(IF(B321="FoPITY",INDEX(Customizations!$C$2:$C$19,MATCH(Sheet1!C321,Customizations!$B$2:$B$19,0),1),INDEX(About!C:C,MATCH(Sheet1!B321,About!B:B,0),1)),"")</f>
        <v>BAU EV Grid Balancing.xlsx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35">
      <c r="A322" t="s">
        <v>101</v>
      </c>
      <c r="B322" t="s">
        <v>107</v>
      </c>
      <c r="C322" t="s">
        <v>108</v>
      </c>
      <c r="G322" t="str">
        <f t="shared" si="10"/>
        <v>xlsx</v>
      </c>
      <c r="H322" s="5" t="str">
        <f>IFERROR(IF(B322="FoPITY",INDEX(Customizations!$C$2:$C$19,MATCH(Sheet1!C322,Customizations!$B$2:$B$19,0),1),INDEX(About!C:C,MATCH(Sheet1!B322,About!B:B,0),1)),"")</f>
        <v>BAU Guaranteed Dispatch Perc by Elec Source.xlsx</v>
      </c>
      <c r="I322" s="5">
        <f>IFERROR(INDEX(About!$D:$D,MATCH(Sheet1!H322,About!$C:$C,0),1),0)</f>
        <v>0</v>
      </c>
      <c r="J322" s="6">
        <f t="shared" ref="J322:J381" si="11">IF(G322=".csv",1,0)*I322</f>
        <v>0</v>
      </c>
    </row>
    <row r="323" spans="1:10" x14ac:dyDescent="0.35">
      <c r="A323" t="s">
        <v>101</v>
      </c>
      <c r="B323" t="s">
        <v>107</v>
      </c>
      <c r="C323" t="s">
        <v>109</v>
      </c>
      <c r="G323" t="str">
        <f t="shared" si="10"/>
        <v>.csv</v>
      </c>
      <c r="H323" s="5" t="str">
        <f>IFERROR(IF(B323="FoPITY",INDEX(Customizations!$C$2:$C$19,MATCH(Sheet1!C323,Customizations!$B$2:$B$19,0),1),INDEX(About!C:C,MATCH(Sheet1!B323,About!B:B,0),1)),"")</f>
        <v>BAU Guaranteed Dispatch Perc by Elec Source.xlsx</v>
      </c>
      <c r="I323" s="5">
        <f>IFERROR(INDEX(About!$D:$D,MATCH(Sheet1!H323,About!$C:$C,0),1),0)</f>
        <v>0</v>
      </c>
      <c r="J323" s="6">
        <f t="shared" si="11"/>
        <v>0</v>
      </c>
    </row>
    <row r="324" spans="1:10" x14ac:dyDescent="0.35">
      <c r="A324" t="s">
        <v>101</v>
      </c>
      <c r="B324" t="s">
        <v>1044</v>
      </c>
      <c r="C324" t="s">
        <v>1045</v>
      </c>
      <c r="G324" t="str">
        <f t="shared" si="10"/>
        <v>xlsx</v>
      </c>
      <c r="H324" s="5" t="str">
        <f>IFERROR(IF(B324="FoPITY",INDEX(Customizations!$C$2:$C$19,MATCH(Sheet1!C324,Customizations!$B$2:$B$19,0),1),INDEX(About!C:C,MATCH(Sheet1!B324,About!B:B,0),1)),"")</f>
        <v>BAU Heat Rates and Start Year Capacities.xlsx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35">
      <c r="A325" t="s">
        <v>101</v>
      </c>
      <c r="B325" t="s">
        <v>1044</v>
      </c>
      <c r="C325" t="s">
        <v>1046</v>
      </c>
      <c r="G325" t="str">
        <f t="shared" si="10"/>
        <v>.csv</v>
      </c>
      <c r="H325" s="5" t="str">
        <f>IFERROR(IF(B325="FoPITY",INDEX(Customizations!$C$2:$C$19,MATCH(Sheet1!C325,Customizations!$B$2:$B$19,0),1),INDEX(About!C:C,MATCH(Sheet1!B325,About!B:B,0),1)),"")</f>
        <v>BAU Heat Rates and Start Year Capacities.xlsx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35">
      <c r="A326" t="s">
        <v>101</v>
      </c>
      <c r="B326" t="s">
        <v>1044</v>
      </c>
      <c r="C326" t="s">
        <v>1047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BAU Heat Rates and Start Year Capacities.xlsx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35">
      <c r="A327" t="s">
        <v>101</v>
      </c>
      <c r="B327" t="s">
        <v>110</v>
      </c>
      <c r="C327" t="s">
        <v>111</v>
      </c>
      <c r="G327" t="str">
        <f t="shared" si="10"/>
        <v>xlsx</v>
      </c>
      <c r="H327" s="5" t="str">
        <f>IFERROR(IF(B327="FoPITY",INDEX(Customizations!$C$2:$C$19,MATCH(Sheet1!C327,Customizations!$B$2:$B$19,0),1),INDEX(About!C:C,MATCH(Sheet1!B327,About!B:B,0),1)),"")</f>
        <v>BAU Pumped Hydro Cap.xlsx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35">
      <c r="A328" t="s">
        <v>101</v>
      </c>
      <c r="B328" t="s">
        <v>110</v>
      </c>
      <c r="C328" t="s">
        <v>112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BAU Pumped Hydro Cap.xlsx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35">
      <c r="A329" t="s">
        <v>101</v>
      </c>
      <c r="B329" t="s">
        <v>113</v>
      </c>
      <c r="C329" t="s">
        <v>114</v>
      </c>
      <c r="G329" t="str">
        <f t="shared" si="10"/>
        <v>xlsx</v>
      </c>
      <c r="H329" s="5" t="str">
        <f>IFERROR(IF(B329="FoPITY",INDEX(Customizations!$C$2:$C$19,MATCH(Sheet1!C329,Customizations!$B$2:$B$19,0),1),INDEX(About!C:C,MATCH(Sheet1!B329,About!B:B,0),1)),"")</f>
        <v>BAU Pol Mandated Cap Const Sched.xlsx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35">
      <c r="A330" t="s">
        <v>101</v>
      </c>
      <c r="B330" t="s">
        <v>113</v>
      </c>
      <c r="C330" t="s">
        <v>115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BAU Pol Mandated Cap Const Sched.xlsx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35">
      <c r="A331" t="s">
        <v>101</v>
      </c>
      <c r="B331" t="s">
        <v>1356</v>
      </c>
      <c r="C331" t="s">
        <v>1357</v>
      </c>
      <c r="G331" t="str">
        <f t="shared" si="10"/>
        <v>xlsx</v>
      </c>
      <c r="H331" s="5" t="str">
        <f>IFERROR(IF(B331="FoPITY",INDEX(Customizations!$C$2:$C$19,MATCH(Sheet1!C331,Customizations!$B$2:$B$19,0),1),INDEX(About!C:C,MATCH(Sheet1!B331,About!B:B,0),1)),"")</f>
        <v>BAU Pol Mandated Cap Retro Sched.xlsx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35">
      <c r="A332" t="s">
        <v>101</v>
      </c>
      <c r="B332" t="s">
        <v>1356</v>
      </c>
      <c r="C332" t="s">
        <v>1358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BAU Pol Mandated Cap Retro Sched.xlsx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35">
      <c r="A333" t="s">
        <v>101</v>
      </c>
      <c r="B333" t="s">
        <v>1494</v>
      </c>
      <c r="C333" t="s">
        <v>1495</v>
      </c>
      <c r="G333" t="str">
        <f t="shared" si="10"/>
        <v>xlsx</v>
      </c>
      <c r="H333" s="5" t="str">
        <f>IFERROR(IF(B333="FoPITY",INDEX(Customizations!$C$2:$C$19,MATCH(Sheet1!C333,Customizations!$B$2:$B$19,0),1),INDEX(About!C:C,MATCH(Sheet1!B333,About!B:B,0),1)),"")</f>
        <v>BAU Pwr Plnt Elec Own Use Perc.xlsx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35">
      <c r="A334" t="s">
        <v>101</v>
      </c>
      <c r="B334" t="s">
        <v>1494</v>
      </c>
      <c r="C334" t="s">
        <v>1496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BAU Pwr Plnt Elec Own Use Perc.xlsx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35">
      <c r="A335" t="s">
        <v>101</v>
      </c>
      <c r="B335" t="s">
        <v>1214</v>
      </c>
      <c r="C335" t="s">
        <v>1215</v>
      </c>
      <c r="G335" t="str">
        <f t="shared" si="10"/>
        <v>xlsx</v>
      </c>
      <c r="H335" s="5" t="str">
        <f>IFERROR(IF(B335="FoPITY",INDEX(Customizations!$C$2:$C$19,MATCH(Sheet1!C335,Customizations!$B$2:$B$19,0),1),INDEX(About!C:C,MATCH(Sheet1!B335,About!B:B,0),1)),"")</f>
        <v>BAU Subsidy per Unit Grid Battery Capacity Deployed.xlsx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35">
      <c r="A336" t="s">
        <v>101</v>
      </c>
      <c r="B336" t="s">
        <v>1214</v>
      </c>
      <c r="C336" t="s">
        <v>1216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BAU Subsidy per Unit Grid Battery Capacity Deployed.xlsx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35">
      <c r="A337" t="s">
        <v>101</v>
      </c>
      <c r="B337" t="s">
        <v>1217</v>
      </c>
      <c r="C337" t="s">
        <v>1218</v>
      </c>
      <c r="G337" t="str">
        <f t="shared" si="10"/>
        <v>xlsx</v>
      </c>
      <c r="H337" s="5" t="str">
        <f>IFERROR(IF(B337="FoPITY",INDEX(Customizations!$C$2:$C$19,MATCH(Sheet1!C337,Customizations!$B$2:$B$19,0),1),INDEX(About!C:C,MATCH(Sheet1!B337,About!B:B,0),1)),"")</f>
        <v>BAU RPS Data by Subregion.xlsx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35">
      <c r="A338" t="s">
        <v>101</v>
      </c>
      <c r="B338" t="s">
        <v>1217</v>
      </c>
      <c r="C338" t="s">
        <v>1219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BAU RPS Data by Subregion.xlsx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35">
      <c r="A339" t="s">
        <v>101</v>
      </c>
      <c r="B339" t="s">
        <v>1217</v>
      </c>
      <c r="C339" t="s">
        <v>1220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BAU RPS Data by Subregion.xlsx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35">
      <c r="A340" t="s">
        <v>101</v>
      </c>
      <c r="B340" t="s">
        <v>1830</v>
      </c>
      <c r="C340" t="s">
        <v>1831</v>
      </c>
      <c r="G340" t="str">
        <f t="shared" si="10"/>
        <v>xlsx</v>
      </c>
      <c r="H340" s="5" t="str">
        <f>IFERROR(IF(B340="FoPITY",INDEX(Customizations!$C$2:$C$19,MATCH(Sheet1!C340,Customizations!$B$2:$B$19,0),1),INDEX(About!C:C,MATCH(Sheet1!B340,About!B:B,0),1)),"")</f>
        <v>BAU Subsidy for Grid Battery Production.xlsx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35">
      <c r="A341" t="s">
        <v>101</v>
      </c>
      <c r="B341" t="s">
        <v>1830</v>
      </c>
      <c r="C341" t="s">
        <v>1832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BAU Subsidy for Grid Battery Production.xlsx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35">
      <c r="A342" t="s">
        <v>101</v>
      </c>
      <c r="B342" t="s">
        <v>1221</v>
      </c>
      <c r="C342" t="s">
        <v>1222</v>
      </c>
      <c r="G342" t="str">
        <f t="shared" si="10"/>
        <v>xlsx</v>
      </c>
      <c r="H342" s="5" t="str">
        <f>IFERROR(IF(B342="FoPITY",INDEX(Customizations!$C$2:$C$19,MATCH(Sheet1!C342,Customizations!$B$2:$B$19,0),1),INDEX(About!C:C,MATCH(Sheet1!B342,About!B:B,0),1)),"")</f>
        <v>BAU Subsidy per Unit Electricity Supplied to the Grid by Grid Batteries.xlsx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35">
      <c r="A343" t="s">
        <v>101</v>
      </c>
      <c r="B343" t="s">
        <v>1221</v>
      </c>
      <c r="C343" t="s">
        <v>1223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BAU Subsidy per Unit Electricity Supplied to the Grid by Grid Batteries.xlsx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35">
      <c r="A344" t="s">
        <v>101</v>
      </c>
      <c r="B344" t="s">
        <v>116</v>
      </c>
      <c r="C344" t="s">
        <v>117</v>
      </c>
      <c r="G344" t="str">
        <f t="shared" si="10"/>
        <v>xlsx</v>
      </c>
      <c r="H344" s="5" t="str">
        <f>IFERROR(IF(B344="FoPITY",INDEX(Customizations!$C$2:$C$19,MATCH(Sheet1!C344,Customizations!$B$2:$B$19,0),1),INDEX(About!C:C,MATCH(Sheet1!B344,About!B:B,0),1)),"")</f>
        <v>BAU Trans and Distr Loss Perc.xlsx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35">
      <c r="A345" t="s">
        <v>101</v>
      </c>
      <c r="B345" t="s">
        <v>116</v>
      </c>
      <c r="C345" t="s">
        <v>118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BAU Trans and Distr Loss Perc.xlsx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35">
      <c r="A346" t="s">
        <v>101</v>
      </c>
      <c r="B346" t="s">
        <v>1048</v>
      </c>
      <c r="C346" t="s">
        <v>1049</v>
      </c>
      <c r="G346" t="str">
        <f t="shared" si="10"/>
        <v>xlsx</v>
      </c>
      <c r="H346" s="5" t="str">
        <f>IFERROR(IF(B346="FoPITY",INDEX(Customizations!$C$2:$C$19,MATCH(Sheet1!C346,Customizations!$B$2:$B$19,0),1),INDEX(About!C:C,MATCH(Sheet1!B346,About!B:B,0),1)),"")</f>
        <v>BAU Zero Emis Credit for Nuc Plants.xlsx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35">
      <c r="A347" t="s">
        <v>101</v>
      </c>
      <c r="B347" t="s">
        <v>1048</v>
      </c>
      <c r="C347" t="s">
        <v>1050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BAU Zero Emis Credit for Nuc Plants.xlsx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35">
      <c r="A348" t="s">
        <v>101</v>
      </c>
      <c r="B348" t="s">
        <v>119</v>
      </c>
      <c r="C348" t="s">
        <v>120</v>
      </c>
      <c r="G348" t="str">
        <f t="shared" si="10"/>
        <v>xlsx</v>
      </c>
      <c r="H348" s="5" t="str">
        <f>IFERROR(IF(B348="FoPITY",INDEX(Customizations!$C$2:$C$19,MATCH(Sheet1!C348,Customizations!$B$2:$B$19,0),1),INDEX(About!C:C,MATCH(Sheet1!B348,About!B:B,0),1)),"")</f>
        <v>Capacity Construction and Maint Costs.xlsx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35">
      <c r="A349" t="s">
        <v>101</v>
      </c>
      <c r="B349" t="s">
        <v>119</v>
      </c>
      <c r="C349" t="s">
        <v>1051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Capacity Construction and Maint Costs.xlsx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35">
      <c r="A350" t="s">
        <v>101</v>
      </c>
      <c r="B350" t="s">
        <v>119</v>
      </c>
      <c r="C350" t="s">
        <v>1052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Capacity Construction and Maint Costs.xlsx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35">
      <c r="A351" t="s">
        <v>101</v>
      </c>
      <c r="B351" t="s">
        <v>119</v>
      </c>
      <c r="C351" t="s">
        <v>121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Capacity Construction and Maint Costs.xlsx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35">
      <c r="A352" t="s">
        <v>101</v>
      </c>
      <c r="B352" t="s">
        <v>119</v>
      </c>
      <c r="C352" t="s">
        <v>1224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Capacity Construction and Maint Costs.xlsx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35">
      <c r="A353" t="s">
        <v>101</v>
      </c>
      <c r="B353" t="s">
        <v>119</v>
      </c>
      <c r="C353" t="s">
        <v>738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Capacity Construction and Maint Costs.xlsx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35">
      <c r="A354" t="s">
        <v>101</v>
      </c>
      <c r="B354" t="s">
        <v>119</v>
      </c>
      <c r="C354" t="s">
        <v>1053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Capacity Construction and Maint Costs.xlsx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35">
      <c r="A355" t="s">
        <v>101</v>
      </c>
      <c r="B355" t="s">
        <v>119</v>
      </c>
      <c r="C355" t="s">
        <v>1054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Capacity Construction and Maint Costs.xlsx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35">
      <c r="A356" t="s">
        <v>101</v>
      </c>
      <c r="B356" t="s">
        <v>1276</v>
      </c>
      <c r="C356" t="s">
        <v>1277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Cln Dsptchble Rsrc Dmnd for Rlbty Curve Param.xlsx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35">
      <c r="A357" t="s">
        <v>101</v>
      </c>
      <c r="B357" t="s">
        <v>1276</v>
      </c>
      <c r="C357" t="s">
        <v>1278</v>
      </c>
      <c r="G357" t="str">
        <f t="shared" si="10"/>
        <v>xlsx</v>
      </c>
      <c r="H357" s="5" t="str">
        <f>IFERROR(IF(B357="FoPITY",INDEX(Customizations!$C$2:$C$19,MATCH(Sheet1!C357,Customizations!$B$2:$B$19,0),1),INDEX(About!C:C,MATCH(Sheet1!B357,About!B:B,0),1)),"")</f>
        <v>Cln Dsptchble Rsrc Dmnd for Rlbty Curve Param.xlsx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35">
      <c r="A358" t="s">
        <v>101</v>
      </c>
      <c r="B358" t="s">
        <v>1497</v>
      </c>
      <c r="C358" t="s">
        <v>1498</v>
      </c>
      <c r="G358" t="str">
        <f t="shared" si="10"/>
        <v>xlsx</v>
      </c>
      <c r="H358" s="5" t="str">
        <f>IFERROR(IF(B358="FoPITY",INDEX(Customizations!$C$2:$C$19,MATCH(Sheet1!C358,Customizations!$B$2:$B$19,0),1),INDEX(About!C:C,MATCH(Sheet1!B358,About!B:B,0),1)),"")</f>
        <v>Change in Power Plant Output After Production Subsidy Expires.xlsx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35">
      <c r="A359" t="s">
        <v>101</v>
      </c>
      <c r="B359" t="s">
        <v>1497</v>
      </c>
      <c r="C359" t="s">
        <v>1499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Change in Power Plant Output After Production Subsidy Expires.xlsx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35">
      <c r="A360" t="s">
        <v>101</v>
      </c>
      <c r="B360" t="s">
        <v>853</v>
      </c>
      <c r="C360" t="s">
        <v>854</v>
      </c>
      <c r="G360" t="str">
        <f t="shared" si="10"/>
        <v>xlsx</v>
      </c>
      <c r="H360" s="5" t="str">
        <f>IFERROR(IF(B360="FoPITY",INDEX(Customizations!$C$2:$C$19,MATCH(Sheet1!C360,Customizations!$B$2:$B$19,0),1),INDEX(About!C:C,MATCH(Sheet1!B360,About!B:B,0),1)),"")</f>
        <v>Cap Retirements before Quantization.xlsx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35">
      <c r="A361" t="s">
        <v>101</v>
      </c>
      <c r="B361" t="s">
        <v>853</v>
      </c>
      <c r="C361" t="s">
        <v>855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Cap Retirements before Quantization.xlsx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35">
      <c r="A362" t="s">
        <v>101</v>
      </c>
      <c r="B362" t="s">
        <v>1279</v>
      </c>
      <c r="C362" t="s">
        <v>1280</v>
      </c>
      <c r="G362" t="str">
        <f t="shared" si="10"/>
        <v>xlsx</v>
      </c>
      <c r="H362" s="5" t="str">
        <f>IFERROR(IF(B362="FoPITY",INDEX(Customizations!$C$2:$C$19,MATCH(Sheet1!C362,Customizations!$B$2:$B$19,0),1),INDEX(About!C:C,MATCH(Sheet1!B362,About!B:B,0),1)),"")</f>
        <v>Cap Ret per Unit Net Loss.xlsx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35">
      <c r="A363" t="s">
        <v>101</v>
      </c>
      <c r="B363" t="s">
        <v>1279</v>
      </c>
      <c r="C363" t="s">
        <v>1281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Cap Ret per Unit Net Loss.xlsx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35">
      <c r="A364" t="s">
        <v>101</v>
      </c>
      <c r="B364" t="s">
        <v>1282</v>
      </c>
      <c r="C364" t="s">
        <v>1283</v>
      </c>
      <c r="G364" t="str">
        <f t="shared" si="10"/>
        <v>xlsx</v>
      </c>
      <c r="H364" s="5" t="str">
        <f>IFERROR(IF(B364="FoPITY",INDEX(Customizations!$C$2:$C$19,MATCH(Sheet1!C364,Customizations!$B$2:$B$19,0),1),INDEX(About!C:C,MATCH(Sheet1!B364,About!B:B,0),1)),"")</f>
        <v>Capacity Supply Curve.xlsx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35">
      <c r="A365" t="s">
        <v>101</v>
      </c>
      <c r="B365" t="s">
        <v>1282</v>
      </c>
      <c r="C365" t="s">
        <v>1284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Capacity Supply Curve.xlsx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35">
      <c r="A366" t="s">
        <v>101</v>
      </c>
      <c r="B366" t="s">
        <v>1282</v>
      </c>
      <c r="C366" t="s">
        <v>1285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Capacity Supply Curve.xlsx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35">
      <c r="A367" t="s">
        <v>101</v>
      </c>
      <c r="B367" t="s">
        <v>1282</v>
      </c>
      <c r="C367" t="s">
        <v>1286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Capacity Supply Curve.xlsx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35">
      <c r="A368" t="s">
        <v>101</v>
      </c>
      <c r="B368" t="s">
        <v>1055</v>
      </c>
      <c r="C368" t="s">
        <v>1056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Dist Construction Cost per Unit Increase in Peak Load.xlsx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35">
      <c r="A369" t="s">
        <v>101</v>
      </c>
      <c r="B369" t="s">
        <v>1055</v>
      </c>
      <c r="C369" t="s">
        <v>1057</v>
      </c>
      <c r="G369" t="str">
        <f t="shared" si="10"/>
        <v>xlsx</v>
      </c>
      <c r="H369" s="5" t="str">
        <f>IFERROR(IF(B369="FoPITY",INDEX(Customizations!$C$2:$C$19,MATCH(Sheet1!C369,Customizations!$B$2:$B$19,0),1),INDEX(About!C:C,MATCH(Sheet1!B369,About!B:B,0),1)),"")</f>
        <v>Dist Construction Cost per Unit Increase in Peak Load.xlsx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35">
      <c r="A370" t="s">
        <v>101</v>
      </c>
      <c r="B370" t="s">
        <v>122</v>
      </c>
      <c r="C370" t="s">
        <v>123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Decommissioning Cost per Unit Cap.xlsx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35">
      <c r="A371" t="s">
        <v>101</v>
      </c>
      <c r="B371" t="s">
        <v>122</v>
      </c>
      <c r="C371" t="s">
        <v>124</v>
      </c>
      <c r="G371" t="str">
        <f t="shared" si="10"/>
        <v>xlsx</v>
      </c>
      <c r="H371" s="5" t="str">
        <f>IFERROR(IF(B371="FoPITY",INDEX(Customizations!$C$2:$C$19,MATCH(Sheet1!C371,Customizations!$B$2:$B$19,0),1),INDEX(About!C:C,MATCH(Sheet1!B371,About!B:B,0),1)),"")</f>
        <v>Decommissioning Cost per Unit Cap.xlsx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35">
      <c r="A372" t="s">
        <v>101</v>
      </c>
      <c r="B372" t="s">
        <v>125</v>
      </c>
      <c r="C372" t="s">
        <v>126</v>
      </c>
      <c r="G372" t="str">
        <f t="shared" si="10"/>
        <v>xlsx</v>
      </c>
      <c r="H372" s="5" t="str">
        <f>IFERROR(IF(B372="FoPITY",INDEX(Customizations!$C$2:$C$19,MATCH(Sheet1!C372,Customizations!$B$2:$B$19,0),1),INDEX(About!C:C,MATCH(Sheet1!B372,About!B:B,0),1)),"")</f>
        <v>Dispatch Priority by Elec Source.xlsx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35">
      <c r="A373" t="s">
        <v>101</v>
      </c>
      <c r="B373" t="s">
        <v>125</v>
      </c>
      <c r="C373" t="s">
        <v>127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Dispatch Priority by Elec Source.xlsx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35">
      <c r="A374" t="s">
        <v>101</v>
      </c>
      <c r="B374" t="s">
        <v>128</v>
      </c>
      <c r="C374" t="s">
        <v>129</v>
      </c>
      <c r="G374" t="str">
        <f t="shared" si="10"/>
        <v>xlsx</v>
      </c>
      <c r="H374" s="5" t="str">
        <f>IFERROR(IF(B374="FoPITY",INDEX(Customizations!$C$2:$C$19,MATCH(Sheet1!C374,Customizations!$B$2:$B$19,0),1),INDEX(About!C:C,MATCH(Sheet1!B374,About!B:B,0),1)),"")</f>
        <v>Demand Response Capacity.xlsx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35">
      <c r="A375" t="s">
        <v>101</v>
      </c>
      <c r="B375" t="s">
        <v>128</v>
      </c>
      <c r="C375" t="s">
        <v>1058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Demand Response Capacity.xlsx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35">
      <c r="A376" t="s">
        <v>101</v>
      </c>
      <c r="B376" t="s">
        <v>128</v>
      </c>
      <c r="C376" t="s">
        <v>130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Demand Response Capacity.xlsx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35">
      <c r="A377" t="s">
        <v>101</v>
      </c>
      <c r="B377" t="s">
        <v>128</v>
      </c>
      <c r="C377" t="s">
        <v>131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Demand Response Capacity.xlsx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35">
      <c r="A378" t="s">
        <v>101</v>
      </c>
      <c r="B378" t="s">
        <v>132</v>
      </c>
      <c r="C378" t="s">
        <v>133</v>
      </c>
      <c r="G378" t="str">
        <f t="shared" si="10"/>
        <v>xlsx</v>
      </c>
      <c r="H378" s="5" t="str">
        <f>IFERROR(IF(B378="FoPITY",INDEX(Customizations!$C$2:$C$19,MATCH(Sheet1!C378,Customizations!$B$2:$B$19,0),1),INDEX(About!C:C,MATCH(Sheet1!B378,About!B:B,0),1)),"")</f>
        <v>Demand Response Costs.xlsx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35">
      <c r="A379" t="s">
        <v>101</v>
      </c>
      <c r="B379" t="s">
        <v>132</v>
      </c>
      <c r="C379" t="s">
        <v>134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Demand Response Costs.xlsx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35">
      <c r="A380" t="s">
        <v>101</v>
      </c>
      <c r="B380" t="s">
        <v>132</v>
      </c>
      <c r="C380" t="s">
        <v>135</v>
      </c>
      <c r="G380" t="str">
        <f t="shared" ref="G380:G442" si="12">RIGHT(C380,"4")</f>
        <v>.csv</v>
      </c>
      <c r="H380" s="5" t="str">
        <f>IFERROR(IF(B380="FoPITY",INDEX(Customizations!$C$2:$C$19,MATCH(Sheet1!C380,Customizations!$B$2:$B$19,0),1),INDEX(About!C:C,MATCH(Sheet1!B380,About!B:B,0),1)),"")</f>
        <v>Demand Response Costs.xlsx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35">
      <c r="A381" t="s">
        <v>101</v>
      </c>
      <c r="B381" t="s">
        <v>1059</v>
      </c>
      <c r="C381" t="s">
        <v>1060</v>
      </c>
      <c r="G381" t="str">
        <f t="shared" si="12"/>
        <v>.csv</v>
      </c>
      <c r="H381" s="5" t="str">
        <f>IFERROR(IF(B381="FoPITY",INDEX(Customizations!$C$2:$C$19,MATCH(Sheet1!C381,Customizations!$B$2:$B$19,0),1),INDEX(About!C:C,MATCH(Sheet1!B381,About!B:B,0),1)),"")</f>
        <v>Electricity Dispatch Weibull Parameters.xlsx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35">
      <c r="A382" t="s">
        <v>101</v>
      </c>
      <c r="B382" t="s">
        <v>1059</v>
      </c>
      <c r="C382" t="s">
        <v>1061</v>
      </c>
      <c r="G382" t="str">
        <f t="shared" si="12"/>
        <v>.csv</v>
      </c>
      <c r="H382" s="5" t="str">
        <f>IFERROR(IF(B382="FoPITY",INDEX(Customizations!$C$2:$C$19,MATCH(Sheet1!C382,Customizations!$B$2:$B$19,0),1),INDEX(About!C:C,MATCH(Sheet1!B382,About!B:B,0),1)),"")</f>
        <v>Electricity Dispatch Weibull Parameters.xlsx</v>
      </c>
      <c r="I382" s="5">
        <f>IFERROR(INDEX(About!$D:$D,MATCH(Sheet1!H382,About!$C:$C,0),1),0)</f>
        <v>0</v>
      </c>
      <c r="J382" s="6">
        <f t="shared" ref="J382:J443" si="13">IF(G382=".csv",1,0)*I382</f>
        <v>0</v>
      </c>
    </row>
    <row r="383" spans="1:10" x14ac:dyDescent="0.35">
      <c r="A383" t="s">
        <v>101</v>
      </c>
      <c r="B383" t="s">
        <v>1059</v>
      </c>
      <c r="C383" t="s">
        <v>1062</v>
      </c>
      <c r="G383" t="str">
        <f t="shared" si="12"/>
        <v>xlsx</v>
      </c>
      <c r="H383" s="5" t="str">
        <f>IFERROR(IF(B383="FoPITY",INDEX(Customizations!$C$2:$C$19,MATCH(Sheet1!C383,Customizations!$B$2:$B$19,0),1),INDEX(About!C:C,MATCH(Sheet1!B383,About!B:B,0),1)),"")</f>
        <v>Electricity Dispatch Weibull Parameters.xlsx</v>
      </c>
      <c r="I383" s="5">
        <f>IFERROR(INDEX(About!$D:$D,MATCH(Sheet1!H383,About!$C:$C,0),1),0)</f>
        <v>0</v>
      </c>
      <c r="J383" s="6">
        <f t="shared" si="13"/>
        <v>0</v>
      </c>
    </row>
    <row r="384" spans="1:10" x14ac:dyDescent="0.35">
      <c r="A384" t="s">
        <v>101</v>
      </c>
      <c r="B384" t="s">
        <v>136</v>
      </c>
      <c r="C384" t="s">
        <v>137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Elec Imports and Exports.xlsx</v>
      </c>
      <c r="I384" s="5">
        <f>IFERROR(INDEX(About!$D:$D,MATCH(Sheet1!H384,About!$C:$C,0),1),0)</f>
        <v>0</v>
      </c>
      <c r="J384" s="6">
        <f t="shared" si="13"/>
        <v>0</v>
      </c>
    </row>
    <row r="385" spans="1:10" x14ac:dyDescent="0.35">
      <c r="A385" t="s">
        <v>101</v>
      </c>
      <c r="B385" t="s">
        <v>136</v>
      </c>
      <c r="C385" t="s">
        <v>691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Elec Imports and Exports.xlsx</v>
      </c>
      <c r="I385" s="5">
        <f>IFERROR(INDEX(About!$D:$D,MATCH(Sheet1!H385,About!$C:$C,0),1),0)</f>
        <v>0</v>
      </c>
      <c r="J385" s="6">
        <f t="shared" si="13"/>
        <v>0</v>
      </c>
    </row>
    <row r="386" spans="1:10" x14ac:dyDescent="0.35">
      <c r="A386" t="s">
        <v>101</v>
      </c>
      <c r="B386" t="s">
        <v>136</v>
      </c>
      <c r="C386" t="s">
        <v>138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Elec Imports and Exports.xlsx</v>
      </c>
      <c r="I386" s="5">
        <f>IFERROR(INDEX(About!$D:$D,MATCH(Sheet1!H386,About!$C:$C,0),1),0)</f>
        <v>0</v>
      </c>
      <c r="J386" s="6">
        <f t="shared" si="13"/>
        <v>0</v>
      </c>
    </row>
    <row r="387" spans="1:10" x14ac:dyDescent="0.35">
      <c r="A387" t="s">
        <v>101</v>
      </c>
      <c r="B387" t="s">
        <v>136</v>
      </c>
      <c r="C387" t="s">
        <v>692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Elec Imports and Exports.xlsx</v>
      </c>
      <c r="I387" s="5">
        <f>IFERROR(INDEX(About!$D:$D,MATCH(Sheet1!H387,About!$C:$C,0),1),0)</f>
        <v>0</v>
      </c>
      <c r="J387" s="6">
        <f t="shared" si="13"/>
        <v>0</v>
      </c>
    </row>
    <row r="388" spans="1:10" x14ac:dyDescent="0.35">
      <c r="A388" t="s">
        <v>101</v>
      </c>
      <c r="B388" t="s">
        <v>136</v>
      </c>
      <c r="C388" t="s">
        <v>139</v>
      </c>
      <c r="G388" t="str">
        <f t="shared" si="12"/>
        <v>xlsx</v>
      </c>
      <c r="H388" s="5" t="str">
        <f>IFERROR(IF(B388="FoPITY",INDEX(Customizations!$C$2:$C$19,MATCH(Sheet1!C388,Customizations!$B$2:$B$19,0),1),INDEX(About!C:C,MATCH(Sheet1!B388,About!B:B,0),1)),"")</f>
        <v>Elec Imports and Exports.xlsx</v>
      </c>
      <c r="I388" s="5">
        <f>IFERROR(INDEX(About!$D:$D,MATCH(Sheet1!H388,About!$C:$C,0),1),0)</f>
        <v>0</v>
      </c>
      <c r="J388" s="6">
        <f t="shared" si="13"/>
        <v>0</v>
      </c>
    </row>
    <row r="389" spans="1:10" x14ac:dyDescent="0.35">
      <c r="A389" t="s">
        <v>101</v>
      </c>
      <c r="B389" t="s">
        <v>1225</v>
      </c>
      <c r="C389" t="s">
        <v>1226</v>
      </c>
      <c r="G389" t="str">
        <f t="shared" si="12"/>
        <v>xlsx</v>
      </c>
      <c r="H389" s="5" t="str">
        <f>IFERROR(IF(B389="FoPITY",INDEX(Customizations!$C$2:$C$19,MATCH(Sheet1!C389,Customizations!$B$2:$B$19,0),1),INDEX(About!C:C,MATCH(Sheet1!B389,About!B:B,0),1)),"")</f>
        <v>Elec Storage Tech Round Trip Efficiency.xlsx</v>
      </c>
      <c r="I389" s="5">
        <f>IFERROR(INDEX(About!$D:$D,MATCH(Sheet1!H389,About!$C:$C,0),1),0)</f>
        <v>0</v>
      </c>
      <c r="J389" s="6">
        <f t="shared" si="13"/>
        <v>0</v>
      </c>
    </row>
    <row r="390" spans="1:10" x14ac:dyDescent="0.35">
      <c r="A390" t="s">
        <v>101</v>
      </c>
      <c r="B390" t="s">
        <v>1225</v>
      </c>
      <c r="C390" t="s">
        <v>1227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Elec Storage Tech Round Trip Efficiency.xlsx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35">
      <c r="A391" t="s">
        <v>101</v>
      </c>
      <c r="B391" t="s">
        <v>1225</v>
      </c>
      <c r="C391" t="s">
        <v>1228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Elec Storage Tech Round Trip Efficiency.xlsx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35">
      <c r="A392" t="s">
        <v>101</v>
      </c>
      <c r="B392" t="s">
        <v>1287</v>
      </c>
      <c r="C392" t="s">
        <v>1288</v>
      </c>
      <c r="G392" t="str">
        <f t="shared" si="12"/>
        <v>xlsx</v>
      </c>
      <c r="H392" s="5" t="str">
        <f>IFERROR(IF(B392="FoPITY",INDEX(Customizations!$C$2:$C$19,MATCH(Sheet1!C392,Customizations!$B$2:$B$19,0),1),INDEX(About!C:C,MATCH(Sheet1!B392,About!B:B,0),1)),"")</f>
        <v>Elec Sources Used for Rlbty and Lst Cst Dsptch.xlsx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35">
      <c r="A393" t="s">
        <v>101</v>
      </c>
      <c r="B393" t="s">
        <v>1287</v>
      </c>
      <c r="C393" t="s">
        <v>1289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Elec Sources Used for Rlbty and Lst Cst Dsptch.xlsx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35">
      <c r="A394" t="s">
        <v>101</v>
      </c>
      <c r="B394" t="s">
        <v>1287</v>
      </c>
      <c r="C394" t="s">
        <v>1290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Elec Sources Used for Rlbty and Lst Cst Dsptch.xlsx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35">
      <c r="A395" t="s">
        <v>101</v>
      </c>
      <c r="B395" t="s">
        <v>1833</v>
      </c>
      <c r="C395" t="s">
        <v>1834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Fraction of Grid Batteries Produced Domestically.xlsx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35">
      <c r="A396" t="s">
        <v>101</v>
      </c>
      <c r="B396" t="s">
        <v>1833</v>
      </c>
      <c r="C396" t="s">
        <v>1835</v>
      </c>
      <c r="G396" t="str">
        <f t="shared" si="12"/>
        <v>xlsx</v>
      </c>
      <c r="H396" s="5" t="str">
        <f>IFERROR(IF(B396="FoPITY",INDEX(Customizations!$C$2:$C$19,MATCH(Sheet1!C396,Customizations!$B$2:$B$19,0),1),INDEX(About!C:C,MATCH(Sheet1!B396,About!B:B,0),1)),"")</f>
        <v>Fraction of Grid Batteries Produced Domestically.xlsx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35">
      <c r="A397" t="s">
        <v>101</v>
      </c>
      <c r="B397" t="s">
        <v>1291</v>
      </c>
      <c r="C397" t="s">
        <v>1292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Grid Bat Cap Growth per Unit Net Revenue.xlsx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35">
      <c r="A398" t="s">
        <v>101</v>
      </c>
      <c r="B398" t="s">
        <v>1291</v>
      </c>
      <c r="C398" t="s">
        <v>1293</v>
      </c>
      <c r="G398" t="str">
        <f t="shared" si="12"/>
        <v>xlsx</v>
      </c>
      <c r="H398" s="5" t="str">
        <f>IFERROR(IF(B398="FoPITY",INDEX(Customizations!$C$2:$C$19,MATCH(Sheet1!C398,Customizations!$B$2:$B$19,0),1),INDEX(About!C:C,MATCH(Sheet1!B398,About!B:B,0),1)),"")</f>
        <v>Grid Bat Cap Growth per Unit Net Revenue.xlsx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35">
      <c r="A399" t="s">
        <v>101</v>
      </c>
      <c r="B399" t="s">
        <v>825</v>
      </c>
      <c r="C399" t="s">
        <v>1063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Grid Battery Storage Capacities.xlsx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35">
      <c r="A400" t="s">
        <v>101</v>
      </c>
      <c r="B400" t="s">
        <v>825</v>
      </c>
      <c r="C400" t="s">
        <v>826</v>
      </c>
      <c r="G400" t="str">
        <f t="shared" si="12"/>
        <v>xlsx</v>
      </c>
      <c r="H400" s="5" t="str">
        <f>IFERROR(IF(B400="FoPITY",INDEX(Customizations!$C$2:$C$19,MATCH(Sheet1!C400,Customizations!$B$2:$B$19,0),1),INDEX(About!C:C,MATCH(Sheet1!B400,About!B:B,0),1)),"")</f>
        <v>Grid Battery Storage Capacities.xlsx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35">
      <c r="A401" t="s">
        <v>101</v>
      </c>
      <c r="B401" t="s">
        <v>825</v>
      </c>
      <c r="C401" t="s">
        <v>698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Grid Battery Storage Capacities.xlsx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35">
      <c r="A402" t="s">
        <v>101</v>
      </c>
      <c r="B402" t="s">
        <v>140</v>
      </c>
      <c r="C402" t="s">
        <v>141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Guaranteed Dispatch Perc by Elec Source.xlsx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35">
      <c r="A403" t="s">
        <v>101</v>
      </c>
      <c r="B403" t="s">
        <v>140</v>
      </c>
      <c r="C403" t="s">
        <v>142</v>
      </c>
      <c r="G403" t="str">
        <f t="shared" si="12"/>
        <v>xlsx</v>
      </c>
      <c r="H403" s="5" t="str">
        <f>IFERROR(IF(B403="FoPITY",INDEX(Customizations!$C$2:$C$19,MATCH(Sheet1!C403,Customizations!$B$2:$B$19,0),1),INDEX(About!C:C,MATCH(Sheet1!B403,About!B:B,0),1)),"")</f>
        <v>Guaranteed Dispatch Perc by Elec Source.xlsx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35">
      <c r="A404" t="s">
        <v>101</v>
      </c>
      <c r="B404" t="s">
        <v>1500</v>
      </c>
      <c r="C404" t="s">
        <v>1501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Green Hydrogen Electricity Supply Logit Exponent.xlsx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35">
      <c r="A405" t="s">
        <v>101</v>
      </c>
      <c r="B405" t="s">
        <v>1500</v>
      </c>
      <c r="C405" t="s">
        <v>1502</v>
      </c>
      <c r="G405" t="str">
        <f t="shared" si="12"/>
        <v>xlsx</v>
      </c>
      <c r="H405" s="5" t="str">
        <f>IFERROR(IF(B405="FoPITY",INDEX(Customizations!$C$2:$C$19,MATCH(Sheet1!C405,Customizations!$B$2:$B$19,0),1),INDEX(About!C:C,MATCH(Sheet1!B405,About!B:B,0),1)),"")</f>
        <v>Green Hydrogen Electricity Supply Logit Exponent.xlsx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35">
      <c r="A406" t="s">
        <v>101</v>
      </c>
      <c r="B406" t="s">
        <v>1503</v>
      </c>
      <c r="C406" t="s">
        <v>1504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Green Hydrogen Electricity Supply Shareweights.xlsx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35">
      <c r="A407" t="s">
        <v>101</v>
      </c>
      <c r="B407" t="s">
        <v>1503</v>
      </c>
      <c r="C407" t="s">
        <v>1505</v>
      </c>
      <c r="G407" t="str">
        <f t="shared" si="12"/>
        <v>xlsx</v>
      </c>
      <c r="H407" s="5" t="str">
        <f>IFERROR(IF(B407="FoPITY",INDEX(Customizations!$C$2:$C$19,MATCH(Sheet1!C407,Customizations!$B$2:$B$19,0),1),INDEX(About!C:C,MATCH(Sheet1!B407,About!B:B,0),1)),"")</f>
        <v>Green Hydrogen Electricity Supply Shareweights.xlsx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35">
      <c r="A408" t="s">
        <v>101</v>
      </c>
      <c r="B408" t="s">
        <v>1294</v>
      </c>
      <c r="C408" t="s">
        <v>1295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Hybrid Electricity Source Battery Capacity per Unit Electricity Capacity.xlsx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35">
      <c r="A409" t="s">
        <v>101</v>
      </c>
      <c r="B409" t="s">
        <v>1294</v>
      </c>
      <c r="C409" t="s">
        <v>1296</v>
      </c>
      <c r="G409" t="str">
        <f t="shared" si="12"/>
        <v>xlsx</v>
      </c>
      <c r="H409" s="5" t="str">
        <f>IFERROR(IF(B409="FoPITY",INDEX(Customizations!$C$2:$C$19,MATCH(Sheet1!C409,Customizations!$B$2:$B$19,0),1),INDEX(About!C:C,MATCH(Sheet1!B409,About!B:B,0),1)),"")</f>
        <v>Hybrid Electricity Source Battery Capacity per Unit Electricity Capacity.xlsx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35">
      <c r="A410" t="s">
        <v>101</v>
      </c>
      <c r="B410" t="s">
        <v>1297</v>
      </c>
      <c r="C410" t="s">
        <v>1298</v>
      </c>
      <c r="G410" t="str">
        <f t="shared" si="12"/>
        <v>xlsx</v>
      </c>
      <c r="H410" s="5" t="str">
        <f>IFERROR(IF(B410="FoPITY",INDEX(Customizations!$C$2:$C$19,MATCH(Sheet1!C410,Customizations!$B$2:$B$19,0),1),INDEX(About!C:C,MATCH(Sheet1!B410,About!B:B,0),1)),"")</f>
        <v>HOC Hydro Opportunity Costs.xlsx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35">
      <c r="A411" t="s">
        <v>101</v>
      </c>
      <c r="B411" t="s">
        <v>1297</v>
      </c>
      <c r="C411" t="s">
        <v>1299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HOC Hydro Opportunity Costs.xlsx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35">
      <c r="A412" t="s">
        <v>101</v>
      </c>
      <c r="B412" t="s">
        <v>1064</v>
      </c>
      <c r="C412" t="s">
        <v>1065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Inc in Cap Factors due to Tech Imprv.xlsx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35">
      <c r="A413" t="s">
        <v>101</v>
      </c>
      <c r="B413" t="s">
        <v>1064</v>
      </c>
      <c r="C413" t="s">
        <v>1066</v>
      </c>
      <c r="G413" t="str">
        <f t="shared" si="12"/>
        <v>xlsx</v>
      </c>
      <c r="H413" s="5" t="str">
        <f>IFERROR(IF(B413="FoPITY",INDEX(Customizations!$C$2:$C$19,MATCH(Sheet1!C413,Customizations!$B$2:$B$19,0),1),INDEX(About!C:C,MATCH(Sheet1!B413,About!B:B,0),1)),"")</f>
        <v>Inc in Cap Factors due to Tech Imprv.xlsx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35">
      <c r="A414" t="s">
        <v>101</v>
      </c>
      <c r="B414" t="s">
        <v>1067</v>
      </c>
      <c r="C414" t="s">
        <v>1068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Load Factor Hourly Variance Multiplier.xlsx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35">
      <c r="A415" t="s">
        <v>101</v>
      </c>
      <c r="B415" t="s">
        <v>1067</v>
      </c>
      <c r="C415" t="s">
        <v>1069</v>
      </c>
      <c r="G415" t="str">
        <f t="shared" si="12"/>
        <v>xlsx</v>
      </c>
      <c r="H415" s="5" t="str">
        <f>IFERROR(IF(B415="FoPITY",INDEX(Customizations!$C$2:$C$19,MATCH(Sheet1!C415,Customizations!$B$2:$B$19,0),1),INDEX(About!C:C,MATCH(Sheet1!B415,About!B:B,0),1)),"")</f>
        <v>Load Factor Hourly Variance Multiplier.xlsx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35">
      <c r="A416" t="s">
        <v>101</v>
      </c>
      <c r="B416" t="s">
        <v>1359</v>
      </c>
      <c r="C416" t="s">
        <v>1360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Max and Min Hourly Elec Imp and Exp.xlsx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35">
      <c r="A417" t="s">
        <v>101</v>
      </c>
      <c r="B417" t="s">
        <v>1359</v>
      </c>
      <c r="C417" t="s">
        <v>1361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Max and Min Hourly Elec Imp and Exp.xlsx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35">
      <c r="A418" t="s">
        <v>101</v>
      </c>
      <c r="B418" t="s">
        <v>1359</v>
      </c>
      <c r="C418" t="s">
        <v>1362</v>
      </c>
      <c r="G418" t="str">
        <f t="shared" si="12"/>
        <v>xlsx</v>
      </c>
      <c r="H418" s="5" t="str">
        <f>IFERROR(IF(B418="FoPITY",INDEX(Customizations!$C$2:$C$19,MATCH(Sheet1!C418,Customizations!$B$2:$B$19,0),1),INDEX(About!C:C,MATCH(Sheet1!B418,About!B:B,0),1)),"")</f>
        <v>Max and Min Hourly Elec Imp and Exp.xlsx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35">
      <c r="A419" t="s">
        <v>101</v>
      </c>
      <c r="B419" t="s">
        <v>1070</v>
      </c>
      <c r="C419" t="s">
        <v>1071</v>
      </c>
      <c r="G419" t="str">
        <f t="shared" si="12"/>
        <v>xlsx</v>
      </c>
      <c r="H419" s="5" t="str">
        <f>IFERROR(IF(B419="FoPITY",INDEX(Customizations!$C$2:$C$19,MATCH(Sheet1!C419,Customizations!$B$2:$B$19,0),1),INDEX(About!C:C,MATCH(Sheet1!B419,About!B:B,0),1)),"")</f>
        <v>Maximum Capacity Factor.xlsx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35">
      <c r="A420" t="s">
        <v>101</v>
      </c>
      <c r="B420" t="s">
        <v>1070</v>
      </c>
      <c r="C420" t="s">
        <v>1072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Maximum Capacity Factor.xlsx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35">
      <c r="A421" t="s">
        <v>101</v>
      </c>
      <c r="B421" t="s">
        <v>1073</v>
      </c>
      <c r="C421" t="s">
        <v>1074</v>
      </c>
      <c r="G421" t="str">
        <f t="shared" si="12"/>
        <v>xlsx</v>
      </c>
      <c r="H421" s="5" t="str">
        <f>IFERROR(IF(B421="FoPITY",INDEX(Customizations!$C$2:$C$19,MATCH(Sheet1!C421,Customizations!$B$2:$B$19,0),1),INDEX(About!C:C,MATCH(Sheet1!B421,About!B:B,0),1)),"")</f>
        <v>Min Life for Pwr Plnt Rtmnts.xlsx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35">
      <c r="A422" t="s">
        <v>101</v>
      </c>
      <c r="B422" t="s">
        <v>1073</v>
      </c>
      <c r="C422" t="s">
        <v>1075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Min Life for Pwr Plnt Rtmnts.xlsx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35">
      <c r="A423" t="s">
        <v>101</v>
      </c>
      <c r="B423" t="s">
        <v>143</v>
      </c>
      <c r="C423" t="s">
        <v>144</v>
      </c>
      <c r="G423" t="str">
        <f t="shared" si="12"/>
        <v>xlsx</v>
      </c>
      <c r="H423" s="5" t="str">
        <f>IFERROR(IF(B423="FoPITY",INDEX(Customizations!$C$2:$C$19,MATCH(Sheet1!C423,Customizations!$B$2:$B$19,0),1),INDEX(About!C:C,MATCH(Sheet1!B423,About!B:B,0),1)),"")</f>
        <v>Max Potential Capacity by Source.xlsx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35">
      <c r="A424" t="s">
        <v>101</v>
      </c>
      <c r="B424" t="s">
        <v>143</v>
      </c>
      <c r="C424" t="s">
        <v>145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Max Potential Capacity by Source.xlsx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35">
      <c r="A425" t="s">
        <v>101</v>
      </c>
      <c r="B425" t="s">
        <v>146</v>
      </c>
      <c r="C425" t="s">
        <v>147</v>
      </c>
      <c r="G425" t="str">
        <f t="shared" si="12"/>
        <v>xlsx</v>
      </c>
      <c r="H425" s="5" t="str">
        <f>IFERROR(IF(B425="FoPITY",INDEX(Customizations!$C$2:$C$19,MATCH(Sheet1!C425,Customizations!$B$2:$B$19,0),1),INDEX(About!C:C,MATCH(Sheet1!B425,About!B:B,0),1)),"")</f>
        <v>Minimum Power Plant Capacity.xlsx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35">
      <c r="A426" t="s">
        <v>101</v>
      </c>
      <c r="B426" t="s">
        <v>146</v>
      </c>
      <c r="C426" t="s">
        <v>148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Minimum Power Plant Capacity.xlsx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35">
      <c r="A427" t="s">
        <v>101</v>
      </c>
      <c r="B427" t="s">
        <v>1836</v>
      </c>
      <c r="C427" t="s">
        <v>1837</v>
      </c>
      <c r="G427" t="str">
        <f t="shared" si="12"/>
        <v>xlsx</v>
      </c>
      <c r="H427" s="5" t="str">
        <f>IFERROR(IF(B427="FoPITY",INDEX(Customizations!$C$2:$C$19,MATCH(Sheet1!C427,Customizations!$B$2:$B$19,0),1),INDEX(About!C:C,MATCH(Sheet1!B427,About!B:B,0),1)),"")</f>
        <v>Normalized Std Dev of Dispatch Costs.xlsx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35">
      <c r="A428" t="s">
        <v>101</v>
      </c>
      <c r="B428" t="s">
        <v>1836</v>
      </c>
      <c r="C428" t="s">
        <v>1838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Normalized Std Dev of Dispatch Costs.xlsx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35">
      <c r="A429" t="s">
        <v>101</v>
      </c>
      <c r="B429" t="s">
        <v>149</v>
      </c>
      <c r="C429" t="s">
        <v>150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Pol Mandated Cap Const Sched.xlsx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35">
      <c r="A430" t="s">
        <v>101</v>
      </c>
      <c r="B430" t="s">
        <v>149</v>
      </c>
      <c r="C430" t="s">
        <v>151</v>
      </c>
      <c r="G430" t="str">
        <f t="shared" si="12"/>
        <v>xlsx</v>
      </c>
      <c r="H430" s="5" t="str">
        <f>IFERROR(IF(B430="FoPITY",INDEX(Customizations!$C$2:$C$19,MATCH(Sheet1!C430,Customizations!$B$2:$B$19,0),1),INDEX(About!C:C,MATCH(Sheet1!B430,About!B:B,0),1)),"")</f>
        <v>Pol Mandated Cap Const Sched.xlsx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35">
      <c r="A431" t="s">
        <v>101</v>
      </c>
      <c r="B431" t="s">
        <v>1363</v>
      </c>
      <c r="C431" t="s">
        <v>1364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Pol Mandated Cap Retro Sched.xlsx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35">
      <c r="A432" t="s">
        <v>101</v>
      </c>
      <c r="B432" t="s">
        <v>1363</v>
      </c>
      <c r="C432" t="s">
        <v>1365</v>
      </c>
      <c r="G432" t="str">
        <f t="shared" si="12"/>
        <v>xlsx</v>
      </c>
      <c r="H432" s="5" t="str">
        <f>IFERROR(IF(B432="FoPITY",INDEX(Customizations!$C$2:$C$19,MATCH(Sheet1!C432,Customizations!$B$2:$B$19,0),1),INDEX(About!C:C,MATCH(Sheet1!B432,About!B:B,0),1)),"")</f>
        <v>Pol Mandated Cap Retro Sched.xlsx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35">
      <c r="A433" t="s">
        <v>101</v>
      </c>
      <c r="B433" t="s">
        <v>1271</v>
      </c>
      <c r="C433" t="s">
        <v>1506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RPS Alternative Compliance Payment.xlsx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35">
      <c r="A434" t="s">
        <v>101</v>
      </c>
      <c r="B434" t="s">
        <v>1271</v>
      </c>
      <c r="C434" t="s">
        <v>1507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RPS Alternative Compliance Payment.xlsx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35">
      <c r="A435" t="s">
        <v>101</v>
      </c>
      <c r="B435" t="s">
        <v>1271</v>
      </c>
      <c r="C435" t="s">
        <v>1272</v>
      </c>
      <c r="G435" t="str">
        <f t="shared" si="12"/>
        <v>xlsx</v>
      </c>
      <c r="H435" s="5" t="str">
        <f>IFERROR(IF(B435="FoPITY",INDEX(Customizations!$C$2:$C$19,MATCH(Sheet1!C435,Customizations!$B$2:$B$19,0),1),INDEX(About!C:C,MATCH(Sheet1!B435,About!B:B,0),1)),"")</f>
        <v>RPS Alternative Compliance Payment.xlsx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35">
      <c r="A436" t="s">
        <v>101</v>
      </c>
      <c r="B436" t="s">
        <v>1229</v>
      </c>
      <c r="C436" t="s">
        <v>1300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Regional Availability Factor.xlsx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35">
      <c r="A437" t="s">
        <v>101</v>
      </c>
      <c r="B437" t="s">
        <v>1229</v>
      </c>
      <c r="C437" t="s">
        <v>1230</v>
      </c>
      <c r="G437" t="str">
        <f t="shared" ref="G437" si="14">RIGHT(C437,"4")</f>
        <v>.csv</v>
      </c>
      <c r="H437" s="5" t="str">
        <f>IFERROR(IF(B437="FoPITY",INDEX(Customizations!$C$2:$C$19,MATCH(Sheet1!C437,Customizations!$B$2:$B$19,0),1),INDEX(About!C:C,MATCH(Sheet1!B437,About!B:B,0),1)),"")</f>
        <v>Regional Availability Factor.xlsx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35">
      <c r="A438" t="s">
        <v>101</v>
      </c>
      <c r="B438" t="s">
        <v>1229</v>
      </c>
      <c r="C438" t="s">
        <v>1231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Regional Availability Factor.xlsx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35">
      <c r="A439" t="s">
        <v>101</v>
      </c>
      <c r="B439" t="s">
        <v>1229</v>
      </c>
      <c r="C439" t="s">
        <v>1232</v>
      </c>
      <c r="G439" t="str">
        <f t="shared" si="12"/>
        <v>xlsx</v>
      </c>
      <c r="H439" s="5" t="str">
        <f>IFERROR(IF(B439="FoPITY",INDEX(Customizations!$C$2:$C$19,MATCH(Sheet1!C439,Customizations!$B$2:$B$19,0),1),INDEX(About!C:C,MATCH(Sheet1!B439,About!B:B,0),1)),"")</f>
        <v>Regional Availability Factor.xlsx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35">
      <c r="A440" t="s">
        <v>101</v>
      </c>
      <c r="B440" t="s">
        <v>152</v>
      </c>
      <c r="C440" t="s">
        <v>153</v>
      </c>
      <c r="G440" t="str">
        <f t="shared" si="12"/>
        <v>xlsx</v>
      </c>
      <c r="H440" s="5" t="str">
        <f>IFERROR(IF(B440="FoPITY",INDEX(Customizations!$C$2:$C$19,MATCH(Sheet1!C440,Customizations!$B$2:$B$19,0),1),INDEX(About!C:C,MATCH(Sheet1!B440,About!B:B,0),1)),"")</f>
        <v>Reserve Margin.xlsx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35">
      <c r="A441" t="s">
        <v>101</v>
      </c>
      <c r="B441" t="s">
        <v>152</v>
      </c>
      <c r="C441" t="s">
        <v>154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Reserve Margin.xlsx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35">
      <c r="A442" t="s">
        <v>101</v>
      </c>
      <c r="B442" t="s">
        <v>983</v>
      </c>
      <c r="C442" t="s">
        <v>984</v>
      </c>
      <c r="G442" t="str">
        <f t="shared" si="12"/>
        <v>xlsx</v>
      </c>
      <c r="H442" s="5" t="str">
        <f>IFERROR(IF(B442="FoPITY",INDEX(Customizations!$C$2:$C$19,MATCH(Sheet1!C442,Customizations!$B$2:$B$19,0),1),INDEX(About!C:C,MATCH(Sheet1!B442,About!B:B,0),1)),"")</f>
        <v>RPfFESCC Repayment Period for Financed Elec Sector Capital Costs.xlsx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35">
      <c r="A443" t="s">
        <v>101</v>
      </c>
      <c r="B443" t="s">
        <v>983</v>
      </c>
      <c r="C443" t="s">
        <v>985</v>
      </c>
      <c r="G443" t="str">
        <f t="shared" ref="G443:G502" si="15">RIGHT(C443,"4")</f>
        <v>.csv</v>
      </c>
      <c r="H443" s="5" t="str">
        <f>IFERROR(IF(B443="FoPITY",INDEX(Customizations!$C$2:$C$19,MATCH(Sheet1!C443,Customizations!$B$2:$B$19,0),1),INDEX(About!C:C,MATCH(Sheet1!B443,About!B:B,0),1)),"")</f>
        <v>RPfFESCC Repayment Period for Financed Elec Sector Capital Costs.xlsx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35">
      <c r="A444" t="s">
        <v>101</v>
      </c>
      <c r="B444" t="s">
        <v>155</v>
      </c>
      <c r="C444" t="s">
        <v>156</v>
      </c>
      <c r="G444" t="str">
        <f t="shared" si="15"/>
        <v>xlsx</v>
      </c>
      <c r="H444" s="5" t="str">
        <f>IFERROR(IF(B444="FoPITY",INDEX(Customizations!$C$2:$C$19,MATCH(Sheet1!C444,Customizations!$B$2:$B$19,0),1),INDEX(About!C:C,MATCH(Sheet1!B444,About!B:B,0),1)),"")</f>
        <v>RPS Qualifying Source Definitions.xlsx</v>
      </c>
      <c r="I444" s="5">
        <f>IFERROR(INDEX(About!$D:$D,MATCH(Sheet1!H444,About!$C:$C,0),1),0)</f>
        <v>0</v>
      </c>
      <c r="J444" s="6">
        <f t="shared" ref="J444:J502" si="16">IF(G444=".csv",1,0)*I444</f>
        <v>0</v>
      </c>
    </row>
    <row r="445" spans="1:10" x14ac:dyDescent="0.35">
      <c r="A445" t="s">
        <v>101</v>
      </c>
      <c r="B445" t="s">
        <v>155</v>
      </c>
      <c r="C445" t="s">
        <v>157</v>
      </c>
      <c r="G445" t="str">
        <f t="shared" si="15"/>
        <v>.csv</v>
      </c>
      <c r="H445" s="5" t="str">
        <f>IFERROR(IF(B445="FoPITY",INDEX(Customizations!$C$2:$C$19,MATCH(Sheet1!C445,Customizations!$B$2:$B$19,0),1),INDEX(About!C:C,MATCH(Sheet1!B445,About!B:B,0),1)),"")</f>
        <v>RPS Qualifying Source Definitions.xlsx</v>
      </c>
      <c r="I445" s="5">
        <f>IFERROR(INDEX(About!$D:$D,MATCH(Sheet1!H445,About!$C:$C,0),1),0)</f>
        <v>0</v>
      </c>
      <c r="J445" s="6">
        <f t="shared" si="16"/>
        <v>0</v>
      </c>
    </row>
    <row r="446" spans="1:10" x14ac:dyDescent="0.35">
      <c r="A446" t="s">
        <v>101</v>
      </c>
      <c r="B446" t="s">
        <v>155</v>
      </c>
      <c r="C446" t="s">
        <v>158</v>
      </c>
      <c r="G446" t="str">
        <f t="shared" ref="G446" si="17">RIGHT(C446,"4")</f>
        <v>.csv</v>
      </c>
      <c r="H446" s="5" t="str">
        <f>IFERROR(IF(B446="FoPITY",INDEX(Customizations!$C$2:$C$19,MATCH(Sheet1!C446,Customizations!$B$2:$B$19,0),1),INDEX(About!C:C,MATCH(Sheet1!B446,About!B:B,0),1)),"")</f>
        <v>RPS Qualifying Source Definitions.xlsx</v>
      </c>
      <c r="I446" s="5">
        <f>IFERROR(INDEX(About!$D:$D,MATCH(Sheet1!H446,About!$C:$C,0),1),0)</f>
        <v>0</v>
      </c>
      <c r="J446" s="6">
        <f t="shared" si="16"/>
        <v>0</v>
      </c>
    </row>
    <row r="447" spans="1:10" x14ac:dyDescent="0.35">
      <c r="A447" t="s">
        <v>101</v>
      </c>
      <c r="B447" t="s">
        <v>1233</v>
      </c>
      <c r="C447" t="s">
        <v>1234</v>
      </c>
      <c r="G447" t="str">
        <f t="shared" si="15"/>
        <v>xlsx</v>
      </c>
      <c r="H447" s="5" t="str">
        <f>IFERROR(IF(B447="FoPITY",INDEX(Customizations!$C$2:$C$19,MATCH(Sheet1!C447,Customizations!$B$2:$B$19,0),1),INDEX(About!C:C,MATCH(Sheet1!B447,About!B:B,0),1)),"")</f>
        <v>Seasonal Electricity Storage.xlsx</v>
      </c>
      <c r="I447" s="5">
        <f>IFERROR(INDEX(About!$D:$D,MATCH(Sheet1!H447,About!$C:$C,0),1),0)</f>
        <v>0</v>
      </c>
      <c r="J447" s="6">
        <f t="shared" si="16"/>
        <v>0</v>
      </c>
    </row>
    <row r="448" spans="1:10" x14ac:dyDescent="0.35">
      <c r="A448" t="s">
        <v>101</v>
      </c>
      <c r="B448" t="s">
        <v>1233</v>
      </c>
      <c r="C448" t="s">
        <v>1235</v>
      </c>
      <c r="G448" t="str">
        <f t="shared" si="15"/>
        <v>.csv</v>
      </c>
      <c r="H448" s="5" t="str">
        <f>IFERROR(IF(B448="FoPITY",INDEX(Customizations!$C$2:$C$19,MATCH(Sheet1!C448,Customizations!$B$2:$B$19,0),1),INDEX(About!C:C,MATCH(Sheet1!B448,About!B:B,0),1)),"")</f>
        <v>Seasonal Electricity Storage.xlsx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35">
      <c r="A449" t="s">
        <v>101</v>
      </c>
      <c r="B449" t="s">
        <v>1233</v>
      </c>
      <c r="C449" t="s">
        <v>1236</v>
      </c>
      <c r="G449" t="str">
        <f t="shared" si="15"/>
        <v>.csv</v>
      </c>
      <c r="H449" s="5" t="str">
        <f>IFERROR(IF(B449="FoPITY",INDEX(Customizations!$C$2:$C$19,MATCH(Sheet1!C449,Customizations!$B$2:$B$19,0),1),INDEX(About!C:C,MATCH(Sheet1!B449,About!B:B,0),1)),"")</f>
        <v>Seasonal Electricity Storage.xlsx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35">
      <c r="A450" t="s">
        <v>101</v>
      </c>
      <c r="B450" t="s">
        <v>1233</v>
      </c>
      <c r="C450" t="s">
        <v>1237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Seasonal Electricity Storage.xlsx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35">
      <c r="A451" t="s">
        <v>101</v>
      </c>
      <c r="B451" t="s">
        <v>1076</v>
      </c>
      <c r="C451" t="s">
        <v>1077</v>
      </c>
      <c r="G451" t="str">
        <f t="shared" si="15"/>
        <v>xlsx</v>
      </c>
      <c r="H451" s="5" t="str">
        <f>IFERROR(IF(B451="FoPITY",INDEX(Customizations!$C$2:$C$19,MATCH(Sheet1!C451,Customizations!$B$2:$B$19,0),1),INDEX(About!C:C,MATCH(Sheet1!B451,About!B:B,0),1)),"")</f>
        <v>Seasonal Hourly Equipment Load Factors by End Use.xlsx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35">
      <c r="A452" t="s">
        <v>101</v>
      </c>
      <c r="B452" t="s">
        <v>1076</v>
      </c>
      <c r="C452" t="s">
        <v>1078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Seasonal Hourly Equipment Load Factors by End Use.xlsx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35">
      <c r="A453" t="s">
        <v>101</v>
      </c>
      <c r="B453" t="s">
        <v>1076</v>
      </c>
      <c r="C453" t="s">
        <v>1079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Seasonal Hourly Equipment Load Factors by End Use.xlsx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35">
      <c r="A454" t="s">
        <v>101</v>
      </c>
      <c r="B454" t="s">
        <v>1076</v>
      </c>
      <c r="C454" t="s">
        <v>1080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Seasonal Hourly Equipment Load Factors by End Use.xlsx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35">
      <c r="A455" t="s">
        <v>101</v>
      </c>
      <c r="B455" t="s">
        <v>1076</v>
      </c>
      <c r="C455" t="s">
        <v>1081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Seasonal Hourly Equipment Load Factors by End Use.xlsx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35">
      <c r="A456" t="s">
        <v>101</v>
      </c>
      <c r="B456" t="s">
        <v>1076</v>
      </c>
      <c r="C456" t="s">
        <v>1082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Seasonal Hourly Equipment Load Factors by End Use.xlsx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35">
      <c r="A457" t="s">
        <v>101</v>
      </c>
      <c r="B457" t="s">
        <v>1076</v>
      </c>
      <c r="C457" t="s">
        <v>1083</v>
      </c>
      <c r="G457" t="str">
        <f t="shared" si="15"/>
        <v>.csv</v>
      </c>
      <c r="H457" s="5" t="str">
        <f>IFERROR(IF(B457="FoPITY",INDEX(Customizations!$C$2:$C$19,MATCH(Sheet1!C457,Customizations!$B$2:$B$19,0),1),INDEX(About!C:C,MATCH(Sheet1!B457,About!B:B,0),1)),"")</f>
        <v>Seasonal Hourly Equipment Load Factors by End Use.xlsx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35">
      <c r="A458" t="s">
        <v>101</v>
      </c>
      <c r="B458" t="s">
        <v>1076</v>
      </c>
      <c r="C458" t="s">
        <v>1084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Seasonal Hourly Equipment Load Factors by End Use.xlsx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35">
      <c r="A459" t="s">
        <v>101</v>
      </c>
      <c r="B459" t="s">
        <v>1076</v>
      </c>
      <c r="C459" t="s">
        <v>1839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Seasonal Hourly Equipment Load Factors by End Use.xlsx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35">
      <c r="A460" t="s">
        <v>101</v>
      </c>
      <c r="B460" t="s">
        <v>1076</v>
      </c>
      <c r="C460" t="s">
        <v>1085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Seasonal Hourly Equipment Load Factors by End Use.xlsx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35">
      <c r="A461" t="s">
        <v>101</v>
      </c>
      <c r="B461" t="s">
        <v>1076</v>
      </c>
      <c r="C461" t="s">
        <v>1086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Seasonal Hourly Equipment Load Factors by End Use.xlsx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35">
      <c r="A462" t="s">
        <v>101</v>
      </c>
      <c r="B462" t="s">
        <v>1076</v>
      </c>
      <c r="C462" t="s">
        <v>1087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Seasonal Hourly Equipment Load Factors by End Use.xlsx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35">
      <c r="A463" t="s">
        <v>101</v>
      </c>
      <c r="B463" t="s">
        <v>1076</v>
      </c>
      <c r="C463" t="s">
        <v>1088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Seasonal Hourly Equipment Load Factors by End Use.xlsx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35">
      <c r="A464" t="s">
        <v>101</v>
      </c>
      <c r="B464" t="s">
        <v>1076</v>
      </c>
      <c r="C464" t="s">
        <v>1089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Seasonal Hourly Equipment Load Factors by End Use.xlsx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35">
      <c r="A465" t="s">
        <v>101</v>
      </c>
      <c r="B465" t="s">
        <v>1076</v>
      </c>
      <c r="C465" t="s">
        <v>1090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Seasonal Hourly Equipment Load Factors by End Use.xlsx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35">
      <c r="A466" t="s">
        <v>101</v>
      </c>
      <c r="B466" t="s">
        <v>1076</v>
      </c>
      <c r="C466" t="s">
        <v>1091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Seasonal Hourly Equipment Load Factors by End Use.xlsx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35">
      <c r="A467" t="s">
        <v>101</v>
      </c>
      <c r="B467" t="s">
        <v>1076</v>
      </c>
      <c r="C467" t="s">
        <v>1092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Seasonal Hourly Equipment Load Factors by End Use.xlsx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35">
      <c r="A468" t="s">
        <v>101</v>
      </c>
      <c r="B468" t="s">
        <v>1076</v>
      </c>
      <c r="C468" t="s">
        <v>1093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Seasonal Hourly Equipment Load Factors by End Use.xlsx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35">
      <c r="A469" t="s">
        <v>101</v>
      </c>
      <c r="B469" t="s">
        <v>1076</v>
      </c>
      <c r="C469" t="s">
        <v>1094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Seasonal Hourly Equipment Load Factors by End Use.xlsx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35">
      <c r="A470" t="s">
        <v>101</v>
      </c>
      <c r="B470" t="s">
        <v>1076</v>
      </c>
      <c r="C470" t="s">
        <v>1095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Seasonal Hourly Equipment Load Factors by End Use.xlsx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35">
      <c r="A471" t="s">
        <v>101</v>
      </c>
      <c r="B471" t="s">
        <v>1076</v>
      </c>
      <c r="C471" t="s">
        <v>1096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Seasonal Hourly Equipment Load Factors by End Use.xlsx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35">
      <c r="A472" t="s">
        <v>101</v>
      </c>
      <c r="B472" t="s">
        <v>1076</v>
      </c>
      <c r="C472" t="s">
        <v>1097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Seasonal Hourly Equipment Load Factors by End Use.xlsx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35">
      <c r="A473" t="s">
        <v>101</v>
      </c>
      <c r="B473" t="s">
        <v>1076</v>
      </c>
      <c r="C473" t="s">
        <v>1098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Seasonal Hourly Equipment Load Factors by End Use.xlsx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35">
      <c r="A474" t="s">
        <v>101</v>
      </c>
      <c r="B474" t="s">
        <v>1076</v>
      </c>
      <c r="C474" t="s">
        <v>1099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Seasonal Hourly Equipment Load Factors by End Use.xlsx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35">
      <c r="A475" t="s">
        <v>101</v>
      </c>
      <c r="B475" t="s">
        <v>1366</v>
      </c>
      <c r="C475" t="s">
        <v>1238</v>
      </c>
      <c r="G475" t="str">
        <f t="shared" si="15"/>
        <v>xlsx</v>
      </c>
      <c r="H475" s="5" t="str">
        <f>IFERROR(IF(B475="FoPITY",INDEX(Customizations!$C$2:$C$19,MATCH(Sheet1!C475,Customizations!$B$2:$B$19,0),1),INDEX(About!C:C,MATCH(Sheet1!B475,About!B:B,0),1)),"")</f>
        <v>Shr of Costs that Must be Covered to be Deemed Profitable.xlsx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35">
      <c r="A476" t="s">
        <v>101</v>
      </c>
      <c r="B476" t="s">
        <v>1366</v>
      </c>
      <c r="C476" t="s">
        <v>1239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Shr of Costs that Must be Covered to be Deemed Profitable.xlsx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35">
      <c r="A477" t="s">
        <v>101</v>
      </c>
      <c r="B477" t="s">
        <v>693</v>
      </c>
      <c r="C477" t="s">
        <v>694</v>
      </c>
      <c r="G477" t="str">
        <f t="shared" si="15"/>
        <v>xlsx</v>
      </c>
      <c r="H477" s="5" t="str">
        <f>IFERROR(IF(B477="FoPITY",INDEX(Customizations!$C$2:$C$19,MATCH(Sheet1!C477,Customizations!$B$2:$B$19,0),1),INDEX(About!C:C,MATCH(Sheet1!B477,About!B:B,0),1)),"")</f>
        <v>Share of Electricity Sector Capital and OM Costs by ISIC Code.xlsx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35">
      <c r="A478" t="s">
        <v>101</v>
      </c>
      <c r="B478" t="s">
        <v>693</v>
      </c>
      <c r="C478" t="s">
        <v>695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Share of Electricity Sector Capital and OM Costs by ISIC Code.xlsx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35">
      <c r="A479" t="s">
        <v>101</v>
      </c>
      <c r="B479" t="s">
        <v>693</v>
      </c>
      <c r="C479" t="s">
        <v>696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Share of Electricity Sector Capital and OM Costs by ISIC Code.xlsx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35">
      <c r="A480" t="s">
        <v>101</v>
      </c>
      <c r="B480" t="s">
        <v>693</v>
      </c>
      <c r="C480" t="s">
        <v>697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Share of Electricity Sector Capital and OM Costs by ISIC Code.xlsx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35">
      <c r="A481" t="s">
        <v>101</v>
      </c>
      <c r="B481" t="s">
        <v>1240</v>
      </c>
      <c r="C481" t="s">
        <v>1241</v>
      </c>
      <c r="G481" t="str">
        <f t="shared" si="15"/>
        <v>xlsx</v>
      </c>
      <c r="H481" s="5" t="str">
        <f>IFERROR(IF(B481="FoPITY",INDEX(Customizations!$C$2:$C$19,MATCH(Sheet1!C481,Customizations!$B$2:$B$19,0),1),INDEX(About!C:C,MATCH(Sheet1!B481,About!B:B,0),1)),"")</f>
        <v>Shr of Fwd Costs that Must be Covered to be Prevent Retirement.xlsx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35">
      <c r="A482" t="s">
        <v>101</v>
      </c>
      <c r="B482" t="s">
        <v>1240</v>
      </c>
      <c r="C482" t="s">
        <v>1242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Shr of Fwd Costs that Must be Covered to be Prevent Retirement.xlsx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35">
      <c r="A483" t="s">
        <v>101</v>
      </c>
      <c r="B483" t="s">
        <v>1100</v>
      </c>
      <c r="C483" t="s">
        <v>1101</v>
      </c>
      <c r="G483" t="str">
        <f t="shared" si="15"/>
        <v>xlsx</v>
      </c>
      <c r="H483" s="5" t="str">
        <f>IFERROR(IF(B483="FoPITY",INDEX(Customizations!$C$2:$C$19,MATCH(Sheet1!C483,Customizations!$B$2:$B$19,0),1),INDEX(About!C:C,MATCH(Sheet1!B483,About!B:B,0),1)),"")</f>
        <v>Share of Transmission and Distribution Capital Costs by ISIC Code.xlsx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35">
      <c r="A484" t="s">
        <v>101</v>
      </c>
      <c r="B484" t="s">
        <v>1100</v>
      </c>
      <c r="C484" t="s">
        <v>1102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Share of Transmission and Distribution Capital Costs by ISIC Code.xlsx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35">
      <c r="A485" t="s">
        <v>101</v>
      </c>
      <c r="B485" t="s">
        <v>1103</v>
      </c>
      <c r="C485" t="s">
        <v>1104</v>
      </c>
      <c r="G485" t="str">
        <f t="shared" si="15"/>
        <v>xlsx</v>
      </c>
      <c r="H485" s="5" t="str">
        <f>IFERROR(IF(B485="FoPITY",INDEX(Customizations!$C$2:$C$19,MATCH(Sheet1!C485,Customizations!$B$2:$B$19,0),1),INDEX(About!C:C,MATCH(Sheet1!B485,About!B:B,0),1)),"")</f>
        <v>Share of Transmission and Distribution OM Costs by ISIC Code.xlsx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35">
      <c r="A486" t="s">
        <v>101</v>
      </c>
      <c r="B486" t="s">
        <v>1103</v>
      </c>
      <c r="C486" t="s">
        <v>1105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Share of Transmission and Distribution OM Costs by ISIC Code.xlsx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35">
      <c r="A487" t="s">
        <v>101</v>
      </c>
      <c r="B487" t="s">
        <v>941</v>
      </c>
      <c r="C487" t="s">
        <v>942</v>
      </c>
      <c r="G487" t="str">
        <f t="shared" si="15"/>
        <v>xlsx</v>
      </c>
      <c r="H487" s="5" t="str">
        <f>IFERROR(IF(B487="FoPITY",INDEX(Customizations!$C$2:$C$19,MATCH(Sheet1!C487,Customizations!$B$2:$B$19,0),1),INDEX(About!C:C,MATCH(Sheet1!B487,About!B:B,0),1)),"")</f>
        <v>STfESCE Smoothing Time for Electricity Sector Capital Expenditures.xlsx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35">
      <c r="A488" t="s">
        <v>101</v>
      </c>
      <c r="B488" t="s">
        <v>941</v>
      </c>
      <c r="C488" t="s">
        <v>943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STfESCE Smoothing Time for Electricity Sector Capital Expenditures.xlsx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35">
      <c r="A489" t="s">
        <v>101</v>
      </c>
      <c r="B489" t="s">
        <v>1106</v>
      </c>
      <c r="C489" t="s">
        <v>1107</v>
      </c>
      <c r="G489" t="str">
        <f t="shared" si="15"/>
        <v>xlsx</v>
      </c>
      <c r="H489" s="5" t="str">
        <f>IFERROR(IF(B489="FoPITY",INDEX(Customizations!$C$2:$C$19,MATCH(Sheet1!C489,Customizations!$B$2:$B$19,0),1),INDEX(About!C:C,MATCH(Sheet1!B489,About!B:B,0),1)),"")</f>
        <v>Start Year Peak Electricity Load.xlsx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35">
      <c r="A490" t="s">
        <v>101</v>
      </c>
      <c r="B490" t="s">
        <v>1106</v>
      </c>
      <c r="C490" t="s">
        <v>1108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Start Year Peak Electricity Load.xlsx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35">
      <c r="A491" t="s">
        <v>101</v>
      </c>
      <c r="B491" t="s">
        <v>1109</v>
      </c>
      <c r="C491" t="s">
        <v>1110</v>
      </c>
      <c r="G491" t="str">
        <f t="shared" si="15"/>
        <v>xlsx</v>
      </c>
      <c r="H491" s="5" t="str">
        <f>IFERROR(IF(B491="FoPITY",INDEX(Customizations!$C$2:$C$19,MATCH(Sheet1!C491,Customizations!$B$2:$B$19,0),1),INDEX(About!C:C,MATCH(Sheet1!B491,About!B:B,0),1)),"")</f>
        <v>Start Year Seasonal Expected Hourly Electricity Capacity Factors.xlsx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35">
      <c r="A492" t="s">
        <v>101</v>
      </c>
      <c r="B492" t="s">
        <v>1109</v>
      </c>
      <c r="C492" t="s">
        <v>1111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Start Year Seasonal Expected Hourly Electricity Capacity Factors.xlsx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35">
      <c r="A493" t="s">
        <v>101</v>
      </c>
      <c r="B493" t="s">
        <v>1109</v>
      </c>
      <c r="C493" t="s">
        <v>1112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Start Year Seasonal Expected Hourly Electricity Capacity Factors.xlsx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35">
      <c r="A494" t="s">
        <v>101</v>
      </c>
      <c r="B494" t="s">
        <v>1109</v>
      </c>
      <c r="C494" t="s">
        <v>1113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Start Year Seasonal Expected Hourly Electricity Capacity Factors.xlsx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35">
      <c r="A495" t="s">
        <v>101</v>
      </c>
      <c r="B495" t="s">
        <v>1109</v>
      </c>
      <c r="C495" t="s">
        <v>1114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Start Year Seasonal Expected Hourly Electricity Capacity Factors.xlsx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35">
      <c r="A496" t="s">
        <v>101</v>
      </c>
      <c r="B496" t="s">
        <v>1109</v>
      </c>
      <c r="C496" t="s">
        <v>1115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Start Year Seasonal Expected Hourly Electricity Capacity Factors.xlsx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35">
      <c r="A497" t="s">
        <v>101</v>
      </c>
      <c r="B497" t="s">
        <v>1109</v>
      </c>
      <c r="C497" t="s">
        <v>1116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Start Year Seasonal Expected Hourly Electricity Capacity Factors.xlsx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35">
      <c r="A498" t="s">
        <v>101</v>
      </c>
      <c r="B498" t="s">
        <v>1109</v>
      </c>
      <c r="C498" t="s">
        <v>1117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Start Year Seasonal Expected Hourly Electricity Capacity Factors.xlsx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35">
      <c r="A499" t="s">
        <v>101</v>
      </c>
      <c r="B499" t="s">
        <v>1109</v>
      </c>
      <c r="C499" t="s">
        <v>1118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Start Year Seasonal Expected Hourly Electricity Capacity Factors.xlsx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35">
      <c r="A500" t="s">
        <v>101</v>
      </c>
      <c r="B500" t="s">
        <v>1109</v>
      </c>
      <c r="C500" t="s">
        <v>1119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Start Year Seasonal Expected Hourly Electricity Capacity Factors.xlsx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35">
      <c r="A501" t="s">
        <v>101</v>
      </c>
      <c r="B501" t="s">
        <v>1109</v>
      </c>
      <c r="C501" t="s">
        <v>1120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Start Year Seasonal Expected Hourly Electricity Capacity Factors.xlsx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35">
      <c r="A502" t="s">
        <v>101</v>
      </c>
      <c r="B502" t="s">
        <v>1109</v>
      </c>
      <c r="C502" t="s">
        <v>1243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Start Year Seasonal Expected Hourly Electricity Capacity Factors.xlsx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35">
      <c r="A503" t="s">
        <v>101</v>
      </c>
      <c r="B503" t="s">
        <v>1109</v>
      </c>
      <c r="C503" t="s">
        <v>1244</v>
      </c>
      <c r="G503" t="str">
        <f t="shared" ref="G503:G562" si="18">RIGHT(C503,"4")</f>
        <v>.csv</v>
      </c>
      <c r="H503" s="5" t="str">
        <f>IFERROR(IF(B503="FoPITY",INDEX(Customizations!$C$2:$C$19,MATCH(Sheet1!C503,Customizations!$B$2:$B$19,0),1),INDEX(About!C:C,MATCH(Sheet1!B503,About!B:B,0),1)),"")</f>
        <v>Start Year Seasonal Expected Hourly Electricity Capacity Factors.xlsx</v>
      </c>
      <c r="I503" s="5">
        <f>IFERROR(INDEX(About!$D:$D,MATCH(Sheet1!H503,About!$C:$C,0),1),0)</f>
        <v>0</v>
      </c>
      <c r="J503" s="6">
        <f t="shared" ref="J503:J562" si="19">IF(G503=".csv",1,0)*I503</f>
        <v>0</v>
      </c>
    </row>
    <row r="504" spans="1:10" x14ac:dyDescent="0.35">
      <c r="A504" t="s">
        <v>101</v>
      </c>
      <c r="B504" t="s">
        <v>1109</v>
      </c>
      <c r="C504" t="s">
        <v>1121</v>
      </c>
      <c r="G504" t="str">
        <f t="shared" si="18"/>
        <v>.csv</v>
      </c>
      <c r="H504" s="5" t="str">
        <f>IFERROR(IF(B504="FoPITY",INDEX(Customizations!$C$2:$C$19,MATCH(Sheet1!C504,Customizations!$B$2:$B$19,0),1),INDEX(About!C:C,MATCH(Sheet1!B504,About!B:B,0),1)),"")</f>
        <v>Start Year Seasonal Expected Hourly Electricity Capacity Factors.xlsx</v>
      </c>
      <c r="I504" s="5">
        <f>IFERROR(INDEX(About!$D:$D,MATCH(Sheet1!H504,About!$C:$C,0),1),0)</f>
        <v>0</v>
      </c>
      <c r="J504" s="6">
        <f t="shared" si="19"/>
        <v>0</v>
      </c>
    </row>
    <row r="505" spans="1:10" x14ac:dyDescent="0.35">
      <c r="A505" t="s">
        <v>101</v>
      </c>
      <c r="B505" t="s">
        <v>1109</v>
      </c>
      <c r="C505" t="s">
        <v>1122</v>
      </c>
      <c r="G505" t="str">
        <f t="shared" si="18"/>
        <v>.csv</v>
      </c>
      <c r="H505" s="5" t="str">
        <f>IFERROR(IF(B505="FoPITY",INDEX(Customizations!$C$2:$C$19,MATCH(Sheet1!C505,Customizations!$B$2:$B$19,0),1),INDEX(About!C:C,MATCH(Sheet1!B505,About!B:B,0),1)),"")</f>
        <v>Start Year Seasonal Expected Hourly Electricity Capacity Factors.xlsx</v>
      </c>
      <c r="I505" s="5">
        <f>IFERROR(INDEX(About!$D:$D,MATCH(Sheet1!H505,About!$C:$C,0),1),0)</f>
        <v>0</v>
      </c>
      <c r="J505" s="6">
        <f t="shared" si="19"/>
        <v>0</v>
      </c>
    </row>
    <row r="506" spans="1:10" x14ac:dyDescent="0.35">
      <c r="A506" t="s">
        <v>101</v>
      </c>
      <c r="B506" t="s">
        <v>1109</v>
      </c>
      <c r="C506" t="s">
        <v>1123</v>
      </c>
      <c r="G506" t="str">
        <f t="shared" si="18"/>
        <v>.csv</v>
      </c>
      <c r="H506" s="5" t="str">
        <f>IFERROR(IF(B506="FoPITY",INDEX(Customizations!$C$2:$C$19,MATCH(Sheet1!C506,Customizations!$B$2:$B$19,0),1),INDEX(About!C:C,MATCH(Sheet1!B506,About!B:B,0),1)),"")</f>
        <v>Start Year Seasonal Expected Hourly Electricity Capacity Factors.xlsx</v>
      </c>
      <c r="I506" s="5">
        <f>IFERROR(INDEX(About!$D:$D,MATCH(Sheet1!H506,About!$C:$C,0),1),0)</f>
        <v>0</v>
      </c>
      <c r="J506" s="6">
        <f t="shared" si="19"/>
        <v>0</v>
      </c>
    </row>
    <row r="507" spans="1:10" x14ac:dyDescent="0.35">
      <c r="A507" t="s">
        <v>101</v>
      </c>
      <c r="B507" t="s">
        <v>1109</v>
      </c>
      <c r="C507" t="s">
        <v>1124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Start Year Seasonal Expected Hourly Electricity Capacity Factors.xlsx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35">
      <c r="A508" t="s">
        <v>101</v>
      </c>
      <c r="B508" t="s">
        <v>1109</v>
      </c>
      <c r="C508" t="s">
        <v>1125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Start Year Seasonal Expected Hourly Electricity Capacity Factors.xlsx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35">
      <c r="A509" t="s">
        <v>101</v>
      </c>
      <c r="B509" t="s">
        <v>1109</v>
      </c>
      <c r="C509" t="s">
        <v>1126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Start Year Seasonal Expected Hourly Electricity Capacity Factors.xlsx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35">
      <c r="A510" t="s">
        <v>101</v>
      </c>
      <c r="B510" t="s">
        <v>1109</v>
      </c>
      <c r="C510" t="s">
        <v>1127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Start Year Seasonal Expected Hourly Electricity Capacity Factors.xlsx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35">
      <c r="A511" t="s">
        <v>101</v>
      </c>
      <c r="B511" t="s">
        <v>1109</v>
      </c>
      <c r="C511" t="s">
        <v>1128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Start Year Seasonal Expected Hourly Electricity Capacity Factors.xlsx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35">
      <c r="A512" t="s">
        <v>101</v>
      </c>
      <c r="B512" t="s">
        <v>1109</v>
      </c>
      <c r="C512" t="s">
        <v>1301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Start Year Seasonal Expected Hourly Electricity Capacity Factors.xlsx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35">
      <c r="A513" t="s">
        <v>101</v>
      </c>
      <c r="B513" t="s">
        <v>1109</v>
      </c>
      <c r="C513" t="s">
        <v>1129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Start Year Seasonal Expected Hourly Electricity Capacity Factors.xlsx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35">
      <c r="A514" t="s">
        <v>101</v>
      </c>
      <c r="B514" t="s">
        <v>1109</v>
      </c>
      <c r="C514" t="s">
        <v>1245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Start Year Seasonal Expected Hourly Electricity Capacity Factors.xlsx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35">
      <c r="A515" t="s">
        <v>101</v>
      </c>
      <c r="B515" t="s">
        <v>1109</v>
      </c>
      <c r="C515" t="s">
        <v>1130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Start Year Seasonal Expected Hourly Electricity Capacity Factors.xlsx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35">
      <c r="A516" t="s">
        <v>101</v>
      </c>
      <c r="B516" t="s">
        <v>1109</v>
      </c>
      <c r="C516" t="s">
        <v>1131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Start Year Seasonal Expected Hourly Electricity Capacity Factors.xlsx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35">
      <c r="A517" t="s">
        <v>101</v>
      </c>
      <c r="B517" t="s">
        <v>1109</v>
      </c>
      <c r="C517" t="s">
        <v>1132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Start Year Seasonal Expected Hourly Electricity Capacity Factors.xlsx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35">
      <c r="A518" t="s">
        <v>101</v>
      </c>
      <c r="B518" t="s">
        <v>1302</v>
      </c>
      <c r="C518" t="s">
        <v>1303</v>
      </c>
      <c r="G518" t="str">
        <f t="shared" si="18"/>
        <v>xlsx</v>
      </c>
      <c r="H518" s="5" t="str">
        <f>IFERROR(IF(B518="FoPITY",INDEX(Customizations!$C$2:$C$19,MATCH(Sheet1!C518,Customizations!$B$2:$B$19,0),1),INDEX(About!C:C,MATCH(Sheet1!B518,About!B:B,0),1)),"")</f>
        <v>Start Year Transmission and Distribution Costs.xlsx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35">
      <c r="A519" t="s">
        <v>101</v>
      </c>
      <c r="B519" t="s">
        <v>1302</v>
      </c>
      <c r="C519" t="s">
        <v>1304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Start Year Transmission and Distribution Costs.xlsx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35">
      <c r="A520" t="s">
        <v>101</v>
      </c>
      <c r="B520" t="s">
        <v>1302</v>
      </c>
      <c r="C520" t="s">
        <v>1305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Start Year Transmission and Distribution Costs.xlsx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35">
      <c r="A521" t="s">
        <v>101</v>
      </c>
      <c r="B521" t="s">
        <v>1302</v>
      </c>
      <c r="C521" t="s">
        <v>1306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Start Year Transmission and Distribution Costs.xlsx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35">
      <c r="A522" t="s">
        <v>101</v>
      </c>
      <c r="B522" t="s">
        <v>1302</v>
      </c>
      <c r="C522" t="s">
        <v>1307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Start Year Transmission and Distribution Costs.xlsx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35">
      <c r="A523" t="s">
        <v>101</v>
      </c>
      <c r="B523" t="s">
        <v>1840</v>
      </c>
      <c r="C523" t="s">
        <v>1841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Time Adjusted Capacity Factor Multiplier for Plants Built This Year.xlsx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35">
      <c r="A524" t="s">
        <v>101</v>
      </c>
      <c r="B524" t="s">
        <v>1840</v>
      </c>
      <c r="C524" t="s">
        <v>1842</v>
      </c>
      <c r="G524" t="str">
        <f t="shared" si="18"/>
        <v>xlsx</v>
      </c>
      <c r="H524" s="5" t="str">
        <f>IFERROR(IF(B524="FoPITY",INDEX(Customizations!$C$2:$C$19,MATCH(Sheet1!C524,Customizations!$B$2:$B$19,0),1),INDEX(About!C:C,MATCH(Sheet1!B524,About!B:B,0),1)),"")</f>
        <v>Time Adjusted Capacity Factor Multiplier for Plants Built This Year.xlsx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35">
      <c r="A525" t="s">
        <v>101</v>
      </c>
      <c r="B525" t="s">
        <v>1308</v>
      </c>
      <c r="C525" t="s">
        <v>1309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Trans Const Cost per Unit New Electricity Capacity.xlsx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35">
      <c r="A526" t="s">
        <v>101</v>
      </c>
      <c r="B526" t="s">
        <v>1308</v>
      </c>
      <c r="C526" t="s">
        <v>1310</v>
      </c>
      <c r="G526" t="str">
        <f t="shared" si="18"/>
        <v>xlsx</v>
      </c>
      <c r="H526" s="5" t="str">
        <f>IFERROR(IF(B526="FoPITY",INDEX(Customizations!$C$2:$C$19,MATCH(Sheet1!C526,Customizations!$B$2:$B$19,0),1),INDEX(About!C:C,MATCH(Sheet1!B526,About!B:B,0),1)),"")</f>
        <v>Trans Const Cost per Unit New Electricity Capacity.xlsx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35">
      <c r="A527" t="s">
        <v>101</v>
      </c>
      <c r="B527" t="s">
        <v>159</v>
      </c>
      <c r="C527" t="s">
        <v>160</v>
      </c>
      <c r="G527" t="str">
        <f t="shared" si="18"/>
        <v>xlsx</v>
      </c>
      <c r="H527" s="5" t="str">
        <f>IFERROR(IF(B527="FoPITY",INDEX(Customizations!$C$2:$C$19,MATCH(Sheet1!C527,Customizations!$B$2:$B$19,0),1),INDEX(About!C:C,MATCH(Sheet1!B527,About!B:B,0),1)),"")</f>
        <v>Water Use by Power Plant Type.xlsx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35">
      <c r="A528" t="s">
        <v>101</v>
      </c>
      <c r="B528" t="s">
        <v>159</v>
      </c>
      <c r="C528" t="s">
        <v>161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Water Use by Power Plant Type.xlsx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35">
      <c r="A529" t="s">
        <v>101</v>
      </c>
      <c r="B529" t="s">
        <v>159</v>
      </c>
      <c r="C529" t="s">
        <v>162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Water Use by Power Plant Type.xlsx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35">
      <c r="A530" t="s">
        <v>163</v>
      </c>
      <c r="B530" t="s">
        <v>164</v>
      </c>
      <c r="C530" t="s">
        <v>165</v>
      </c>
      <c r="G530" t="str">
        <f t="shared" si="18"/>
        <v>xlsx</v>
      </c>
      <c r="H530" s="5" t="str">
        <f>IFERROR(IF(B530="FoPITY",INDEX(Customizations!$C$2:$C$19,MATCH(Sheet1!C530,Customizations!$B$2:$B$19,0),1),INDEX(About!C:C,MATCH(Sheet1!B530,About!B:B,0),1)),"")</f>
        <v>BAU CO2 Sequestered Globally.xlsx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35">
      <c r="A531" t="s">
        <v>163</v>
      </c>
      <c r="B531" t="s">
        <v>164</v>
      </c>
      <c r="C531" t="s">
        <v>166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BAU CO2 Sequestered Globally.xlsx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35">
      <c r="A532" t="s">
        <v>163</v>
      </c>
      <c r="B532" t="s">
        <v>164</v>
      </c>
      <c r="C532" t="s">
        <v>1311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BAU CO2 Sequestered Globally.xlsx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35">
      <c r="A533" t="s">
        <v>163</v>
      </c>
      <c r="B533" t="s">
        <v>167</v>
      </c>
      <c r="C533" t="s">
        <v>168</v>
      </c>
      <c r="G533" t="str">
        <f t="shared" si="18"/>
        <v>xlsx</v>
      </c>
      <c r="H533" s="5" t="str">
        <f>IFERROR(IF(B533="FoPITY",INDEX(Customizations!$C$2:$C$19,MATCH(Sheet1!C533,Customizations!$B$2:$B$19,0),1),INDEX(About!C:C,MATCH(Sheet1!B533,About!B:B,0),1)),"")</f>
        <v>BAU Global Battery Storage Cap.xlsx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35">
      <c r="A534" t="s">
        <v>163</v>
      </c>
      <c r="B534" t="s">
        <v>167</v>
      </c>
      <c r="C534" t="s">
        <v>169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BAU Global Battery Storage Cap.xlsx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35">
      <c r="A535" t="s">
        <v>163</v>
      </c>
      <c r="B535" t="s">
        <v>167</v>
      </c>
      <c r="C535" t="s">
        <v>698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BAU Global Battery Storage Cap.xlsx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35">
      <c r="A536" t="s">
        <v>163</v>
      </c>
      <c r="B536" t="s">
        <v>170</v>
      </c>
      <c r="C536" t="s">
        <v>171</v>
      </c>
      <c r="G536" t="str">
        <f t="shared" si="18"/>
        <v>xlsx</v>
      </c>
      <c r="H536" s="5" t="str">
        <f>IFERROR(IF(B536="FoPITY",INDEX(Customizations!$C$2:$C$19,MATCH(Sheet1!C536,Customizations!$B$2:$B$19,0),1),INDEX(About!C:C,MATCH(Sheet1!B536,About!B:B,0),1)),"")</f>
        <v>BAU Global Solar and Wind Cap.xlsx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35">
      <c r="A537" t="s">
        <v>163</v>
      </c>
      <c r="B537" t="s">
        <v>170</v>
      </c>
      <c r="C537" t="s">
        <v>172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BAU Global Solar and Wind Cap.xlsx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35">
      <c r="A538" t="s">
        <v>163</v>
      </c>
      <c r="B538" t="s">
        <v>170</v>
      </c>
      <c r="C538" t="s">
        <v>1133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BAU Global Solar and Wind Cap.xlsx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35">
      <c r="A539" t="s">
        <v>163</v>
      </c>
      <c r="B539" t="s">
        <v>699</v>
      </c>
      <c r="C539" t="s">
        <v>700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Frac of Tech Outside Modeled Region Affecting Endo Learning.xlsx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35">
      <c r="A540" t="s">
        <v>163</v>
      </c>
      <c r="B540" t="s">
        <v>699</v>
      </c>
      <c r="C540" t="s">
        <v>701</v>
      </c>
      <c r="G540" t="str">
        <f t="shared" si="18"/>
        <v>xlsx</v>
      </c>
      <c r="H540" s="5" t="str">
        <f>IFERROR(IF(B540="FoPITY",INDEX(Customizations!$C$2:$C$19,MATCH(Sheet1!C540,Customizations!$B$2:$B$19,0),1),INDEX(About!C:C,MATCH(Sheet1!B540,About!B:B,0),1)),"")</f>
        <v>Frac of Tech Outside Modeled Region Affecting Endo Learning.xlsx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35">
      <c r="A541" t="s">
        <v>163</v>
      </c>
      <c r="B541" t="s">
        <v>173</v>
      </c>
      <c r="C541" t="s">
        <v>174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Perc Decline in Battery Cost per Doubling of Cap.xlsx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35">
      <c r="A542" t="s">
        <v>163</v>
      </c>
      <c r="B542" t="s">
        <v>173</v>
      </c>
      <c r="C542" t="s">
        <v>175</v>
      </c>
      <c r="G542" t="str">
        <f t="shared" si="18"/>
        <v>xlsx</v>
      </c>
      <c r="H542" s="5" t="str">
        <f>IFERROR(IF(B542="FoPITY",INDEX(Customizations!$C$2:$C$19,MATCH(Sheet1!C542,Customizations!$B$2:$B$19,0),1),INDEX(About!C:C,MATCH(Sheet1!B542,About!B:B,0),1)),"")</f>
        <v>Perc Decline in Battery Cost per Doubling of Cap.xlsx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35">
      <c r="A543" t="s">
        <v>163</v>
      </c>
      <c r="B543" t="s">
        <v>176</v>
      </c>
      <c r="C543" t="s">
        <v>177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Perc Decline in Cap Cost per Doubling of Cap.xlsx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35">
      <c r="A544" t="s">
        <v>163</v>
      </c>
      <c r="B544" t="s">
        <v>176</v>
      </c>
      <c r="C544" t="s">
        <v>178</v>
      </c>
      <c r="G544" t="str">
        <f t="shared" si="18"/>
        <v>xlsx</v>
      </c>
      <c r="H544" s="5" t="str">
        <f>IFERROR(IF(B544="FoPITY",INDEX(Customizations!$C$2:$C$19,MATCH(Sheet1!C544,Customizations!$B$2:$B$19,0),1),INDEX(About!C:C,MATCH(Sheet1!B544,About!B:B,0),1)),"")</f>
        <v>Perc Decline in Cap Cost per Doubling of Cap.xlsx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35">
      <c r="A545" t="s">
        <v>163</v>
      </c>
      <c r="B545" t="s">
        <v>179</v>
      </c>
      <c r="C545" t="s">
        <v>180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Perc Decline in CCS Eqpt Cost per Doubling of Capacity.xlsx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35">
      <c r="A546" t="s">
        <v>163</v>
      </c>
      <c r="B546" t="s">
        <v>179</v>
      </c>
      <c r="C546" t="s">
        <v>181</v>
      </c>
      <c r="G546" t="str">
        <f t="shared" si="18"/>
        <v>xlsx</v>
      </c>
      <c r="H546" s="5" t="str">
        <f>IFERROR(IF(B546="FoPITY",INDEX(Customizations!$C$2:$C$19,MATCH(Sheet1!C546,Customizations!$B$2:$B$19,0),1),INDEX(About!C:C,MATCH(Sheet1!B546,About!B:B,0),1)),"")</f>
        <v>Perc Decline in CCS Eqpt Cost per Doubling of Capacity.xlsx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35">
      <c r="A547" t="s">
        <v>182</v>
      </c>
      <c r="B547" t="s">
        <v>739</v>
      </c>
      <c r="C547" t="s">
        <v>740</v>
      </c>
      <c r="G547" t="str">
        <f t="shared" si="18"/>
        <v>xlsx</v>
      </c>
      <c r="H547" s="5" t="str">
        <f>IFERROR(IF(B547="FoPITY",INDEX(Customizations!$C$2:$C$19,MATCH(Sheet1!C547,Customizations!$B$2:$B$19,0),1),INDEX(About!C:C,MATCH(Sheet1!B547,About!B:B,0),1)),"")</f>
        <v>BAU Carbon Tax Rate.xlsx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35">
      <c r="A548" t="s">
        <v>182</v>
      </c>
      <c r="B548" t="s">
        <v>739</v>
      </c>
      <c r="C548" t="s">
        <v>741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BAU Carbon Tax Rate.xlsx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35">
      <c r="A549" t="s">
        <v>182</v>
      </c>
      <c r="B549" t="s">
        <v>1367</v>
      </c>
      <c r="C549" t="s">
        <v>1368</v>
      </c>
      <c r="G549" t="str">
        <f t="shared" si="18"/>
        <v>xlsx</v>
      </c>
      <c r="H549" s="5" t="str">
        <f>IFERROR(IF(B549="FoPITY",INDEX(Customizations!$C$2:$C$19,MATCH(Sheet1!C549,Customizations!$B$2:$B$19,0),1),INDEX(About!C:C,MATCH(Sheet1!B549,About!B:B,0),1)),"")</f>
        <v>BAU Fraction of Industry Covered by Carbon Tax Border Adjustment.xlsx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35">
      <c r="A550" t="s">
        <v>182</v>
      </c>
      <c r="B550" t="s">
        <v>1367</v>
      </c>
      <c r="C550" t="s">
        <v>1369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BAU Fraction of Industry Covered by Carbon Tax Border Adjustment.xlsx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35">
      <c r="A551" t="s">
        <v>182</v>
      </c>
      <c r="B551" t="s">
        <v>1370</v>
      </c>
      <c r="C551" t="s">
        <v>1371</v>
      </c>
      <c r="G551" t="str">
        <f t="shared" si="18"/>
        <v>xlsx</v>
      </c>
      <c r="H551" s="5" t="str">
        <f>IFERROR(IF(B551="FoPITY",INDEX(Customizations!$C$2:$C$19,MATCH(Sheet1!C551,Customizations!$B$2:$B$19,0),1),INDEX(About!C:C,MATCH(Sheet1!B551,About!B:B,0),1)),"")</f>
        <v>BAU Fraction of Industry Category Subject to Carbon Tax.xlsx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35">
      <c r="A552" t="s">
        <v>182</v>
      </c>
      <c r="B552" t="s">
        <v>1370</v>
      </c>
      <c r="C552" t="s">
        <v>1372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BAU Fraction of Industry Category Subject to Carbon Tax.xlsx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35">
      <c r="A553" t="s">
        <v>182</v>
      </c>
      <c r="B553" t="s">
        <v>1373</v>
      </c>
      <c r="C553" t="s">
        <v>1374</v>
      </c>
      <c r="G553" t="str">
        <f t="shared" si="18"/>
        <v>xlsx</v>
      </c>
      <c r="H553" s="5" t="str">
        <f>IFERROR(IF(B553="FoPITY",INDEX(Customizations!$C$2:$C$19,MATCH(Sheet1!C553,Customizations!$B$2:$B$19,0),1),INDEX(About!C:C,MATCH(Sheet1!B553,About!B:B,0),1)),"")</f>
        <v>BAU Fraction of Vehicle Types Subject to Carbon Tax.xlsx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35">
      <c r="A554" t="s">
        <v>182</v>
      </c>
      <c r="B554" t="s">
        <v>1373</v>
      </c>
      <c r="C554" t="s">
        <v>1375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BAU Fraction of Vehicle Types Subject to Carbon Tax.xlsx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35">
      <c r="A555" t="s">
        <v>182</v>
      </c>
      <c r="B555" t="s">
        <v>742</v>
      </c>
      <c r="C555" t="s">
        <v>743</v>
      </c>
      <c r="G555" t="str">
        <f t="shared" si="18"/>
        <v>xlsx</v>
      </c>
      <c r="H555" s="5" t="str">
        <f>IFERROR(IF(B555="FoPITY",INDEX(Customizations!$C$2:$C$19,MATCH(Sheet1!C555,Customizations!$B$2:$B$19,0),1),INDEX(About!C:C,MATCH(Sheet1!B555,About!B:B,0),1)),"")</f>
        <v>BAU Fuel Prices and Taxes.xlsx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35">
      <c r="A556" t="s">
        <v>182</v>
      </c>
      <c r="B556" t="s">
        <v>742</v>
      </c>
      <c r="C556" t="s">
        <v>750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BAU Fuel Prices and Taxes.xlsx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35">
      <c r="A557" t="s">
        <v>182</v>
      </c>
      <c r="B557" t="s">
        <v>742</v>
      </c>
      <c r="C557" t="s">
        <v>751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BAU Fuel Prices and Taxes.xlsx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35">
      <c r="A558" t="s">
        <v>182</v>
      </c>
      <c r="B558" t="s">
        <v>742</v>
      </c>
      <c r="C558" t="s">
        <v>752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BAU Fuel Prices and Taxes.xlsx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35">
      <c r="A559" t="s">
        <v>182</v>
      </c>
      <c r="B559" t="s">
        <v>742</v>
      </c>
      <c r="C559" t="s">
        <v>753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BAU Fuel Prices and Taxes.xlsx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35">
      <c r="A560" t="s">
        <v>182</v>
      </c>
      <c r="B560" t="s">
        <v>742</v>
      </c>
      <c r="C560" t="s">
        <v>754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BAU Fuel Prices and Taxes.xlsx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35">
      <c r="A561" t="s">
        <v>182</v>
      </c>
      <c r="B561" t="s">
        <v>742</v>
      </c>
      <c r="C561" t="s">
        <v>755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BAU Fuel Prices and Taxes.xlsx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35">
      <c r="A562" t="s">
        <v>182</v>
      </c>
      <c r="B562" t="s">
        <v>742</v>
      </c>
      <c r="C562" t="s">
        <v>756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BAU Fuel Prices and Taxes.xlsx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35">
      <c r="A563" t="s">
        <v>182</v>
      </c>
      <c r="B563" t="s">
        <v>742</v>
      </c>
      <c r="C563" t="s">
        <v>757</v>
      </c>
      <c r="G563" t="str">
        <f t="shared" ref="G563:G621" si="20">RIGHT(C563,"4")</f>
        <v>.csv</v>
      </c>
      <c r="H563" s="5" t="str">
        <f>IFERROR(IF(B563="FoPITY",INDEX(Customizations!$C$2:$C$19,MATCH(Sheet1!C563,Customizations!$B$2:$B$19,0),1),INDEX(About!C:C,MATCH(Sheet1!B563,About!B:B,0),1)),"")</f>
        <v>BAU Fuel Prices and Taxes.xlsx</v>
      </c>
      <c r="I563" s="5">
        <f>IFERROR(INDEX(About!$D:$D,MATCH(Sheet1!H563,About!$C:$C,0),1),0)</f>
        <v>0</v>
      </c>
      <c r="J563" s="6">
        <f t="shared" ref="J563:J621" si="21">IF(G563=".csv",1,0)*I563</f>
        <v>0</v>
      </c>
    </row>
    <row r="564" spans="1:10" x14ac:dyDescent="0.35">
      <c r="A564" t="s">
        <v>182</v>
      </c>
      <c r="B564" t="s">
        <v>742</v>
      </c>
      <c r="C564" t="s">
        <v>758</v>
      </c>
      <c r="G564" t="str">
        <f t="shared" si="20"/>
        <v>.csv</v>
      </c>
      <c r="H564" s="5" t="str">
        <f>IFERROR(IF(B564="FoPITY",INDEX(Customizations!$C$2:$C$19,MATCH(Sheet1!C564,Customizations!$B$2:$B$19,0),1),INDEX(About!C:C,MATCH(Sheet1!B564,About!B:B,0),1)),"")</f>
        <v>BAU Fuel Prices and Taxes.xlsx</v>
      </c>
      <c r="I564" s="5">
        <f>IFERROR(INDEX(About!$D:$D,MATCH(Sheet1!H564,About!$C:$C,0),1),0)</f>
        <v>0</v>
      </c>
      <c r="J564" s="6">
        <f t="shared" si="21"/>
        <v>0</v>
      </c>
    </row>
    <row r="565" spans="1:10" x14ac:dyDescent="0.35">
      <c r="A565" t="s">
        <v>182</v>
      </c>
      <c r="B565" t="s">
        <v>742</v>
      </c>
      <c r="C565" t="s">
        <v>759</v>
      </c>
      <c r="G565" t="str">
        <f t="shared" si="20"/>
        <v>.csv</v>
      </c>
      <c r="H565" s="5" t="str">
        <f>IFERROR(IF(B565="FoPITY",INDEX(Customizations!$C$2:$C$19,MATCH(Sheet1!C565,Customizations!$B$2:$B$19,0),1),INDEX(About!C:C,MATCH(Sheet1!B565,About!B:B,0),1)),"")</f>
        <v>BAU Fuel Prices and Taxes.xlsx</v>
      </c>
      <c r="I565" s="5">
        <f>IFERROR(INDEX(About!$D:$D,MATCH(Sheet1!H565,About!$C:$C,0),1),0)</f>
        <v>0</v>
      </c>
      <c r="J565" s="6">
        <f t="shared" si="21"/>
        <v>0</v>
      </c>
    </row>
    <row r="566" spans="1:10" x14ac:dyDescent="0.35">
      <c r="A566" t="s">
        <v>182</v>
      </c>
      <c r="B566" t="s">
        <v>742</v>
      </c>
      <c r="C566" t="s">
        <v>760</v>
      </c>
      <c r="G566" t="str">
        <f t="shared" si="20"/>
        <v>.csv</v>
      </c>
      <c r="H566" s="5" t="str">
        <f>IFERROR(IF(B566="FoPITY",INDEX(Customizations!$C$2:$C$19,MATCH(Sheet1!C566,Customizations!$B$2:$B$19,0),1),INDEX(About!C:C,MATCH(Sheet1!B566,About!B:B,0),1)),"")</f>
        <v>BAU Fuel Prices and Taxes.xlsx</v>
      </c>
      <c r="I566" s="5">
        <f>IFERROR(INDEX(About!$D:$D,MATCH(Sheet1!H566,About!$C:$C,0),1),0)</f>
        <v>0</v>
      </c>
      <c r="J566" s="6">
        <f t="shared" si="21"/>
        <v>0</v>
      </c>
    </row>
    <row r="567" spans="1:10" x14ac:dyDescent="0.35">
      <c r="A567" t="s">
        <v>182</v>
      </c>
      <c r="B567" t="s">
        <v>742</v>
      </c>
      <c r="C567" t="s">
        <v>761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BAU Fuel Prices and Taxes.xlsx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35">
      <c r="A568" t="s">
        <v>182</v>
      </c>
      <c r="B568" t="s">
        <v>742</v>
      </c>
      <c r="C568" t="s">
        <v>762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BAU Fuel Prices and Taxes.xlsx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35">
      <c r="A569" t="s">
        <v>182</v>
      </c>
      <c r="B569" t="s">
        <v>742</v>
      </c>
      <c r="C569" t="s">
        <v>763</v>
      </c>
      <c r="G569" t="str">
        <f t="shared" si="20"/>
        <v>.csv</v>
      </c>
      <c r="H569" s="5" t="str">
        <f>IFERROR(IF(B569="FoPITY",INDEX(Customizations!$C$2:$C$19,MATCH(Sheet1!C569,Customizations!$B$2:$B$19,0),1),INDEX(About!C:C,MATCH(Sheet1!B569,About!B:B,0),1)),"")</f>
        <v>BAU Fuel Prices and Taxes.xlsx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35">
      <c r="A570" t="s">
        <v>182</v>
      </c>
      <c r="B570" t="s">
        <v>742</v>
      </c>
      <c r="C570" t="s">
        <v>764</v>
      </c>
      <c r="G570" t="str">
        <f t="shared" si="20"/>
        <v>.csv</v>
      </c>
      <c r="H570" s="5" t="str">
        <f>IFERROR(IF(B570="FoPITY",INDEX(Customizations!$C$2:$C$19,MATCH(Sheet1!C570,Customizations!$B$2:$B$19,0),1),INDEX(About!C:C,MATCH(Sheet1!B570,About!B:B,0),1)),"")</f>
        <v>BAU Fuel Prices and Taxes.xlsx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35">
      <c r="A571" t="s">
        <v>182</v>
      </c>
      <c r="B571" t="s">
        <v>742</v>
      </c>
      <c r="C571" t="s">
        <v>765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BAU Fuel Prices and Taxes.xlsx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35">
      <c r="A572" t="s">
        <v>182</v>
      </c>
      <c r="B572" t="s">
        <v>742</v>
      </c>
      <c r="C572" t="s">
        <v>766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BAU Fuel Prices and Taxes.xlsx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35">
      <c r="A573" t="s">
        <v>182</v>
      </c>
      <c r="B573" t="s">
        <v>742</v>
      </c>
      <c r="C573" t="s">
        <v>767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BAU Fuel Prices and Taxes.xlsx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35">
      <c r="A574" t="s">
        <v>182</v>
      </c>
      <c r="B574" t="s">
        <v>742</v>
      </c>
      <c r="C574" t="s">
        <v>768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BAU Fuel Prices and Taxes.xlsx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35">
      <c r="A575" t="s">
        <v>182</v>
      </c>
      <c r="B575" t="s">
        <v>742</v>
      </c>
      <c r="C575" t="s">
        <v>769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BAU Fuel Prices and Taxes.xlsx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35">
      <c r="A576" t="s">
        <v>182</v>
      </c>
      <c r="B576" t="s">
        <v>742</v>
      </c>
      <c r="C576" t="s">
        <v>770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BAU Fuel Prices and Taxes.xlsx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35">
      <c r="A577" t="s">
        <v>182</v>
      </c>
      <c r="B577" t="s">
        <v>742</v>
      </c>
      <c r="C577" t="s">
        <v>771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BAU Fuel Prices and Taxes.xlsx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35">
      <c r="A578" t="s">
        <v>182</v>
      </c>
      <c r="B578" t="s">
        <v>742</v>
      </c>
      <c r="C578" t="s">
        <v>772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BAU Fuel Prices and Taxes.xlsx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35">
      <c r="A579" t="s">
        <v>182</v>
      </c>
      <c r="B579" t="s">
        <v>742</v>
      </c>
      <c r="C579" t="s">
        <v>773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BAU Fuel Prices and Taxes.xlsx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35">
      <c r="A580" t="s">
        <v>182</v>
      </c>
      <c r="B580" t="s">
        <v>742</v>
      </c>
      <c r="C580" t="s">
        <v>774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BAU Fuel Prices and Taxes.xlsx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35">
      <c r="A581" t="s">
        <v>182</v>
      </c>
      <c r="B581" t="s">
        <v>742</v>
      </c>
      <c r="C581" t="s">
        <v>775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BAU Fuel Prices and Taxes.xlsx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35">
      <c r="A582" t="s">
        <v>182</v>
      </c>
      <c r="B582" t="s">
        <v>742</v>
      </c>
      <c r="C582" t="s">
        <v>776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BAU Fuel Prices and Taxes.xlsx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35">
      <c r="A583" t="s">
        <v>182</v>
      </c>
      <c r="B583" t="s">
        <v>742</v>
      </c>
      <c r="C583" t="s">
        <v>777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BAU Fuel Prices and Taxes.xlsx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35">
      <c r="A584" t="s">
        <v>182</v>
      </c>
      <c r="B584" t="s">
        <v>742</v>
      </c>
      <c r="C584" t="s">
        <v>778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BAU Fuel Prices and Taxes.xlsx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35">
      <c r="A585" t="s">
        <v>182</v>
      </c>
      <c r="B585" t="s">
        <v>742</v>
      </c>
      <c r="C585" t="s">
        <v>779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BAU Fuel Prices and Taxes.xlsx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35">
      <c r="A586" t="s">
        <v>182</v>
      </c>
      <c r="B586" t="s">
        <v>742</v>
      </c>
      <c r="C586" t="s">
        <v>780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BAU Fuel Prices and Taxes.xlsx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35">
      <c r="A587" t="s">
        <v>182</v>
      </c>
      <c r="B587" t="s">
        <v>742</v>
      </c>
      <c r="C587" t="s">
        <v>781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BAU Fuel Prices and Taxes.xlsx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35">
      <c r="A588" t="s">
        <v>182</v>
      </c>
      <c r="B588" t="s">
        <v>742</v>
      </c>
      <c r="C588" t="s">
        <v>782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BAU Fuel Prices and Taxes.xlsx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35">
      <c r="A589" t="s">
        <v>182</v>
      </c>
      <c r="B589" t="s">
        <v>742</v>
      </c>
      <c r="C589" t="s">
        <v>783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BAU Fuel Prices and Taxes.xlsx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35">
      <c r="A590" t="s">
        <v>182</v>
      </c>
      <c r="B590" t="s">
        <v>742</v>
      </c>
      <c r="C590" t="s">
        <v>784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BAU Fuel Prices and Taxes.xlsx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35">
      <c r="A591" t="s">
        <v>182</v>
      </c>
      <c r="B591" t="s">
        <v>742</v>
      </c>
      <c r="C591" t="s">
        <v>785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BAU Fuel Prices and Taxes.xlsx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35">
      <c r="A592" t="s">
        <v>182</v>
      </c>
      <c r="B592" t="s">
        <v>742</v>
      </c>
      <c r="C592" t="s">
        <v>786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BAU Fuel Prices and Taxes.xlsx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35">
      <c r="A593" t="s">
        <v>182</v>
      </c>
      <c r="B593" t="s">
        <v>742</v>
      </c>
      <c r="C593" t="s">
        <v>787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BAU Fuel Prices and Taxes.xlsx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35">
      <c r="A594" t="s">
        <v>182</v>
      </c>
      <c r="B594" t="s">
        <v>742</v>
      </c>
      <c r="C594" t="s">
        <v>788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BAU Fuel Prices and Taxes.xlsx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35">
      <c r="A595" t="s">
        <v>182</v>
      </c>
      <c r="B595" t="s">
        <v>742</v>
      </c>
      <c r="C595" t="s">
        <v>789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BAU Fuel Prices and Taxes.xlsx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35">
      <c r="A596" t="s">
        <v>182</v>
      </c>
      <c r="B596" t="s">
        <v>742</v>
      </c>
      <c r="C596" t="s">
        <v>790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BAU Fuel Prices and Taxes.xlsx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35">
      <c r="A597" t="s">
        <v>182</v>
      </c>
      <c r="B597" t="s">
        <v>742</v>
      </c>
      <c r="C597" t="s">
        <v>791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BAU Fuel Prices and Taxes.xlsx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35">
      <c r="A598" t="s">
        <v>182</v>
      </c>
      <c r="B598" t="s">
        <v>742</v>
      </c>
      <c r="C598" t="s">
        <v>1843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BAU Fuel Prices and Taxes.xlsx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35">
      <c r="A599" t="s">
        <v>182</v>
      </c>
      <c r="B599" t="s">
        <v>183</v>
      </c>
      <c r="C599" t="s">
        <v>184</v>
      </c>
      <c r="G599" t="str">
        <f t="shared" si="20"/>
        <v>xlsx</v>
      </c>
      <c r="H599" s="5" t="str">
        <f>IFERROR(IF(B599="FoPITY",INDEX(Customizations!$C$2:$C$19,MATCH(Sheet1!C599,Customizations!$B$2:$B$19,0),1),INDEX(About!C:C,MATCH(Sheet1!B599,About!B:B,0),1)),"")</f>
        <v>BAU Fuel Production Imports and Exports.xlsx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35">
      <c r="A600" t="s">
        <v>182</v>
      </c>
      <c r="B600" t="s">
        <v>183</v>
      </c>
      <c r="C600" t="s">
        <v>185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BAU Fuel Production Imports and Exports.xlsx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35">
      <c r="A601" t="s">
        <v>182</v>
      </c>
      <c r="B601" t="s">
        <v>183</v>
      </c>
      <c r="C601" t="s">
        <v>186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BAU Fuel Production Imports and Exports.xlsx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35">
      <c r="A602" t="s">
        <v>182</v>
      </c>
      <c r="B602" t="s">
        <v>183</v>
      </c>
      <c r="C602" t="s">
        <v>187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BAU Fuel Production Imports and Exports.xlsx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35">
      <c r="A603" t="s">
        <v>182</v>
      </c>
      <c r="B603" t="s">
        <v>183</v>
      </c>
      <c r="C603" t="s">
        <v>1844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Fuel Production Imports and Exports.xlsx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35">
      <c r="A604" t="s">
        <v>182</v>
      </c>
      <c r="B604" t="s">
        <v>183</v>
      </c>
      <c r="C604" t="s">
        <v>1845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BAU Fuel Production Imports and Exports.xlsx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35">
      <c r="A605" t="s">
        <v>182</v>
      </c>
      <c r="B605" t="s">
        <v>1508</v>
      </c>
      <c r="C605" t="s">
        <v>1509</v>
      </c>
      <c r="G605" t="str">
        <f t="shared" si="20"/>
        <v>xlsx</v>
      </c>
      <c r="H605" s="5" t="str">
        <f>IFERROR(IF(B605="FoPITY",INDEX(Customizations!$C$2:$C$19,MATCH(Sheet1!C605,Customizations!$B$2:$B$19,0),1),INDEX(About!C:C,MATCH(Sheet1!B605,About!B:B,0),1)),"")</f>
        <v>BAU Pollutants Taxed by Carbon Pricing.xlsx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35">
      <c r="A606" t="s">
        <v>182</v>
      </c>
      <c r="B606" t="s">
        <v>1508</v>
      </c>
      <c r="C606" t="s">
        <v>1510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BAU Pollutants Taxed by Carbon Pricing.xlsx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35">
      <c r="A607" t="s">
        <v>182</v>
      </c>
      <c r="B607" t="s">
        <v>1508</v>
      </c>
      <c r="C607" t="s">
        <v>1511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BAU Pollutants Taxed by Carbon Pricing.xlsx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35">
      <c r="A608" t="s">
        <v>182</v>
      </c>
      <c r="B608" t="s">
        <v>1508</v>
      </c>
      <c r="C608" t="s">
        <v>1512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BAU Pollutants Taxed by Carbon Pricing.xlsx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35">
      <c r="A609" t="s">
        <v>182</v>
      </c>
      <c r="B609" t="s">
        <v>1508</v>
      </c>
      <c r="C609" t="s">
        <v>1513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BAU Pollutants Taxed by Carbon Pricing.xlsx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35">
      <c r="A610" t="s">
        <v>182</v>
      </c>
      <c r="B610" t="s">
        <v>1508</v>
      </c>
      <c r="C610" t="s">
        <v>1514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BAU Pollutants Taxed by Carbon Pricing.xlsx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35">
      <c r="A611" t="s">
        <v>182</v>
      </c>
      <c r="B611" t="s">
        <v>1508</v>
      </c>
      <c r="C611" t="s">
        <v>1515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BAU Pollutants Taxed by Carbon Pricing.xlsx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35">
      <c r="A612" t="s">
        <v>182</v>
      </c>
      <c r="B612" t="s">
        <v>188</v>
      </c>
      <c r="C612" t="s">
        <v>189</v>
      </c>
      <c r="G612" t="str">
        <f t="shared" si="20"/>
        <v>xlsx</v>
      </c>
      <c r="H612" s="5" t="str">
        <f>IFERROR(IF(B612="FoPITY",INDEX(Customizations!$C$2:$C$19,MATCH(Sheet1!C612,Customizations!$B$2:$B$19,0),1),INDEX(About!C:C,MATCH(Sheet1!B612,About!B:B,0),1)),"")</f>
        <v>BAU Subsidies.xlsx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35">
      <c r="A613" t="s">
        <v>182</v>
      </c>
      <c r="B613" t="s">
        <v>188</v>
      </c>
      <c r="C613" t="s">
        <v>1516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BAU Subsidies.xlsx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35">
      <c r="A614" t="s">
        <v>182</v>
      </c>
      <c r="B614" t="s">
        <v>188</v>
      </c>
      <c r="C614" t="s">
        <v>1517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BAU Subsidies.xlsx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35">
      <c r="A615" t="s">
        <v>182</v>
      </c>
      <c r="B615" t="s">
        <v>188</v>
      </c>
      <c r="C615" t="s">
        <v>1518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BAU Subsidies.xlsx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35">
      <c r="A616" t="s">
        <v>182</v>
      </c>
      <c r="B616" t="s">
        <v>188</v>
      </c>
      <c r="C616" t="s">
        <v>1519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BAU Subsidies.xlsx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35">
      <c r="A617" t="s">
        <v>182</v>
      </c>
      <c r="B617" t="s">
        <v>188</v>
      </c>
      <c r="C617" t="s">
        <v>1520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BAU Subsidies.xlsx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35">
      <c r="A618" t="s">
        <v>182</v>
      </c>
      <c r="B618" t="s">
        <v>188</v>
      </c>
      <c r="C618" t="s">
        <v>1521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BAU Subsidies.xlsx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35">
      <c r="A619" t="s">
        <v>182</v>
      </c>
      <c r="B619" t="s">
        <v>188</v>
      </c>
      <c r="C619" t="s">
        <v>1522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BAU Subsidies.xlsx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35">
      <c r="A620" t="s">
        <v>182</v>
      </c>
      <c r="B620" t="s">
        <v>188</v>
      </c>
      <c r="C620" t="s">
        <v>190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BAU Subsidies.xlsx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35">
      <c r="A621" t="s">
        <v>182</v>
      </c>
      <c r="B621" t="s">
        <v>188</v>
      </c>
      <c r="C621" t="s">
        <v>1134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BAU Subsidies.xlsx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35">
      <c r="A622" t="s">
        <v>182</v>
      </c>
      <c r="B622" t="s">
        <v>188</v>
      </c>
      <c r="C622" t="s">
        <v>1846</v>
      </c>
      <c r="G622" t="str">
        <f t="shared" ref="G622:G662" si="22">RIGHT(C622,"4")</f>
        <v>.csv</v>
      </c>
      <c r="H622" s="5" t="str">
        <f>IFERROR(IF(B622="FoPITY",INDEX(Customizations!$C$2:$C$19,MATCH(Sheet1!C622,Customizations!$B$2:$B$19,0),1),INDEX(About!C:C,MATCH(Sheet1!B622,About!B:B,0),1)),"")</f>
        <v>BAU Subsidies.xlsx</v>
      </c>
      <c r="I622" s="5">
        <f>IFERROR(INDEX(About!$D:$D,MATCH(Sheet1!H622,About!$C:$C,0),1),0)</f>
        <v>0</v>
      </c>
      <c r="J622" s="6">
        <f t="shared" ref="J622:J662" si="23">IF(G622=".csv",1,0)*I622</f>
        <v>0</v>
      </c>
    </row>
    <row r="623" spans="1:10" x14ac:dyDescent="0.35">
      <c r="A623" t="s">
        <v>182</v>
      </c>
      <c r="B623" t="s">
        <v>188</v>
      </c>
      <c r="C623" t="s">
        <v>1376</v>
      </c>
      <c r="G623" t="str">
        <f t="shared" si="22"/>
        <v>.csv</v>
      </c>
      <c r="H623" s="5" t="str">
        <f>IFERROR(IF(B623="FoPITY",INDEX(Customizations!$C$2:$C$19,MATCH(Sheet1!C623,Customizations!$B$2:$B$19,0),1),INDEX(About!C:C,MATCH(Sheet1!B623,About!B:B,0),1)),"")</f>
        <v>BAU Subsidies.xlsx</v>
      </c>
      <c r="I623" s="5">
        <f>IFERROR(INDEX(About!$D:$D,MATCH(Sheet1!H623,About!$C:$C,0),1),0)</f>
        <v>0</v>
      </c>
      <c r="J623" s="6">
        <f t="shared" si="23"/>
        <v>0</v>
      </c>
    </row>
    <row r="624" spans="1:10" x14ac:dyDescent="0.35">
      <c r="A624" t="s">
        <v>182</v>
      </c>
      <c r="B624" t="s">
        <v>191</v>
      </c>
      <c r="C624" t="s">
        <v>192</v>
      </c>
      <c r="G624" t="str">
        <f t="shared" si="22"/>
        <v>.csv</v>
      </c>
      <c r="H624" s="5" t="str">
        <f>IFERROR(IF(B624="FoPITY",INDEX(Customizations!$C$2:$C$19,MATCH(Sheet1!C624,Customizations!$B$2:$B$19,0),1),INDEX(About!C:C,MATCH(Sheet1!B624,About!B:B,0),1)),"")</f>
        <v>Export Tax Rate by Fuel.xlsx</v>
      </c>
      <c r="I624" s="5">
        <f>IFERROR(INDEX(About!$D:$D,MATCH(Sheet1!H624,About!$C:$C,0),1),0)</f>
        <v>0</v>
      </c>
      <c r="J624" s="6">
        <f t="shared" si="23"/>
        <v>0</v>
      </c>
    </row>
    <row r="625" spans="1:10" x14ac:dyDescent="0.35">
      <c r="A625" t="s">
        <v>182</v>
      </c>
      <c r="B625" t="s">
        <v>191</v>
      </c>
      <c r="C625" t="s">
        <v>193</v>
      </c>
      <c r="G625" t="str">
        <f t="shared" si="22"/>
        <v>xlsx</v>
      </c>
      <c r="H625" s="5" t="str">
        <f>IFERROR(IF(B625="FoPITY",INDEX(Customizations!$C$2:$C$19,MATCH(Sheet1!C625,Customizations!$B$2:$B$19,0),1),INDEX(About!C:C,MATCH(Sheet1!B625,About!B:B,0),1)),"")</f>
        <v>Export Tax Rate by Fuel.xlsx</v>
      </c>
      <c r="I625" s="5">
        <f>IFERROR(INDEX(About!$D:$D,MATCH(Sheet1!H625,About!$C:$C,0),1),0)</f>
        <v>0</v>
      </c>
      <c r="J625" s="6">
        <f t="shared" si="23"/>
        <v>0</v>
      </c>
    </row>
    <row r="626" spans="1:10" x14ac:dyDescent="0.35">
      <c r="A626" t="s">
        <v>182</v>
      </c>
      <c r="B626" t="s">
        <v>1267</v>
      </c>
      <c r="C626" t="s">
        <v>1268</v>
      </c>
      <c r="G626" t="str">
        <f t="shared" si="22"/>
        <v>.csv</v>
      </c>
      <c r="H626" s="5" t="str">
        <f>IFERROR(IF(B626="FoPITY",INDEX(Customizations!$C$2:$C$19,MATCH(Sheet1!C626,Customizations!$B$2:$B$19,0),1),INDEX(About!C:C,MATCH(Sheet1!B626,About!B:B,0),1)),"")</f>
        <v>Fraction of Industry Covered by Carbon Tax Border Adjustment.xlsx</v>
      </c>
      <c r="I626" s="5">
        <f>IFERROR(INDEX(About!$D:$D,MATCH(Sheet1!H626,About!$C:$C,0),1),0)</f>
        <v>0</v>
      </c>
      <c r="J626" s="6">
        <f t="shared" si="23"/>
        <v>0</v>
      </c>
    </row>
    <row r="627" spans="1:10" x14ac:dyDescent="0.35">
      <c r="A627" t="s">
        <v>182</v>
      </c>
      <c r="B627" t="s">
        <v>1267</v>
      </c>
      <c r="C627" t="s">
        <v>1269</v>
      </c>
      <c r="G627" t="str">
        <f t="shared" si="22"/>
        <v>xlsx</v>
      </c>
      <c r="H627" s="5" t="str">
        <f>IFERROR(IF(B627="FoPITY",INDEX(Customizations!$C$2:$C$19,MATCH(Sheet1!C627,Customizations!$B$2:$B$19,0),1),INDEX(About!C:C,MATCH(Sheet1!B627,About!B:B,0),1)),"")</f>
        <v>Fraction of Industry Covered by Carbon Tax Border Adjustment.xlsx</v>
      </c>
      <c r="I627" s="5">
        <f>IFERROR(INDEX(About!$D:$D,MATCH(Sheet1!H627,About!$C:$C,0),1),0)</f>
        <v>0</v>
      </c>
      <c r="J627" s="6">
        <f t="shared" si="23"/>
        <v>0</v>
      </c>
    </row>
    <row r="628" spans="1:10" x14ac:dyDescent="0.35">
      <c r="A628" t="s">
        <v>182</v>
      </c>
      <c r="B628" t="s">
        <v>1032</v>
      </c>
      <c r="C628" t="s">
        <v>1033</v>
      </c>
      <c r="G628" t="str">
        <f t="shared" si="22"/>
        <v>.csv</v>
      </c>
      <c r="H628" s="5" t="str">
        <f>IFERROR(IF(B628="FoPITY",INDEX(Customizations!$C$2:$C$19,MATCH(Sheet1!C628,Customizations!$B$2:$B$19,0),1),INDEX(About!C:C,MATCH(Sheet1!B628,About!B:B,0),1)),"")</f>
        <v>Fraction of Industry Category Subject to Carbon Tax.xlsx</v>
      </c>
      <c r="I628" s="5">
        <f>IFERROR(INDEX(About!$D:$D,MATCH(Sheet1!H628,About!$C:$C,0),1),0)</f>
        <v>0</v>
      </c>
      <c r="J628" s="6">
        <f t="shared" si="23"/>
        <v>0</v>
      </c>
    </row>
    <row r="629" spans="1:10" x14ac:dyDescent="0.35">
      <c r="A629" t="s">
        <v>182</v>
      </c>
      <c r="B629" t="s">
        <v>1032</v>
      </c>
      <c r="C629" t="s">
        <v>1034</v>
      </c>
      <c r="G629" t="str">
        <f t="shared" si="22"/>
        <v>xlsx</v>
      </c>
      <c r="H629" s="5" t="str">
        <f>IFERROR(IF(B629="FoPITY",INDEX(Customizations!$C$2:$C$19,MATCH(Sheet1!C629,Customizations!$B$2:$B$19,0),1),INDEX(About!C:C,MATCH(Sheet1!B629,About!B:B,0),1)),"")</f>
        <v>Fraction of Industry Category Subject to Carbon Tax.xlsx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35">
      <c r="A630" t="s">
        <v>182</v>
      </c>
      <c r="B630" t="s">
        <v>860</v>
      </c>
      <c r="C630" t="s">
        <v>861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Fractions of Products That are Fuels by ISIC Code.xlsx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35">
      <c r="A631" t="s">
        <v>182</v>
      </c>
      <c r="B631" t="s">
        <v>860</v>
      </c>
      <c r="C631" t="s">
        <v>862</v>
      </c>
      <c r="G631" t="str">
        <f t="shared" si="22"/>
        <v>xlsx</v>
      </c>
      <c r="H631" s="5" t="str">
        <f>IFERROR(IF(B631="FoPITY",INDEX(Customizations!$C$2:$C$19,MATCH(Sheet1!C631,Customizations!$B$2:$B$19,0),1),INDEX(About!C:C,MATCH(Sheet1!B631,About!B:B,0),1)),"")</f>
        <v>Fractions of Products That are Fuels by ISIC Code.xlsx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35">
      <c r="A632" t="s">
        <v>182</v>
      </c>
      <c r="B632" t="s">
        <v>1377</v>
      </c>
      <c r="C632" t="s">
        <v>1378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Fraction of Vehicle Types Subject to Carbon Tax.xlsx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35">
      <c r="A633" t="s">
        <v>182</v>
      </c>
      <c r="B633" t="s">
        <v>1377</v>
      </c>
      <c r="C633" t="s">
        <v>1270</v>
      </c>
      <c r="G633" t="str">
        <f t="shared" si="22"/>
        <v>xlsx</v>
      </c>
      <c r="H633" s="5" t="str">
        <f>IFERROR(IF(B633="FoPITY",INDEX(Customizations!$C$2:$C$19,MATCH(Sheet1!C633,Customizations!$B$2:$B$19,0),1),INDEX(About!C:C,MATCH(Sheet1!B633,About!B:B,0),1)),"")</f>
        <v>Fraction of Vehicle Types Subject to Carbon Tax.xlsx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35">
      <c r="A634" t="s">
        <v>182</v>
      </c>
      <c r="B634" t="s">
        <v>909</v>
      </c>
      <c r="C634" t="s">
        <v>910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Fuel Prod Imp Exp Balancing Priorities.xlsx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35">
      <c r="A635" t="s">
        <v>182</v>
      </c>
      <c r="B635" t="s">
        <v>909</v>
      </c>
      <c r="C635" t="s">
        <v>911</v>
      </c>
      <c r="G635" t="str">
        <f t="shared" si="22"/>
        <v>xlsx</v>
      </c>
      <c r="H635" s="5" t="str">
        <f>IFERROR(IF(B635="FoPITY",INDEX(Customizations!$C$2:$C$19,MATCH(Sheet1!C635,Customizations!$B$2:$B$19,0),1),INDEX(About!C:C,MATCH(Sheet1!B635,About!B:B,0),1)),"")</f>
        <v>Fuel Prod Imp Exp Balancing Priorities.xlsx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35">
      <c r="A636" t="s">
        <v>182</v>
      </c>
      <c r="B636" t="s">
        <v>1135</v>
      </c>
      <c r="C636" t="s">
        <v>1136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Fuel Surcharge Perc by Power Plant Type.xlsx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35">
      <c r="A637" t="s">
        <v>182</v>
      </c>
      <c r="B637" t="s">
        <v>1135</v>
      </c>
      <c r="C637" t="s">
        <v>1137</v>
      </c>
      <c r="G637" t="str">
        <f t="shared" si="22"/>
        <v>xlsx</v>
      </c>
      <c r="H637" s="5" t="str">
        <f>IFERROR(IF(B637="FoPITY",INDEX(Customizations!$C$2:$C$19,MATCH(Sheet1!C637,Customizations!$B$2:$B$19,0),1),INDEX(About!C:C,MATCH(Sheet1!B637,About!B:B,0),1)),"")</f>
        <v>Fuel Surcharge Perc by Power Plant Type.xlsx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35">
      <c r="A638" t="s">
        <v>182</v>
      </c>
      <c r="B638" t="s">
        <v>194</v>
      </c>
      <c r="C638" t="s">
        <v>195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GWP by Pollutant by Timeframe.xlsx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35">
      <c r="A639" t="s">
        <v>182</v>
      </c>
      <c r="B639" t="s">
        <v>194</v>
      </c>
      <c r="C639" t="s">
        <v>196</v>
      </c>
      <c r="G639" t="str">
        <f t="shared" si="22"/>
        <v>xlsx</v>
      </c>
      <c r="H639" s="5" t="str">
        <f>IFERROR(IF(B639="FoPITY",INDEX(Customizations!$C$2:$C$19,MATCH(Sheet1!C639,Customizations!$B$2:$B$19,0),1),INDEX(About!C:C,MATCH(Sheet1!B639,About!B:B,0),1)),"")</f>
        <v>GWP by Pollutant by Timeframe.xlsx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35">
      <c r="A640" t="s">
        <v>182</v>
      </c>
      <c r="B640" t="s">
        <v>197</v>
      </c>
      <c r="C640" t="s">
        <v>1847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Intnl Market Fuel Price by Fuel Type.xlsx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35">
      <c r="A641" t="s">
        <v>182</v>
      </c>
      <c r="B641" t="s">
        <v>197</v>
      </c>
      <c r="C641" t="s">
        <v>198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Intnl Market Fuel Price by Fuel Type.xlsx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35">
      <c r="A642" t="s">
        <v>182</v>
      </c>
      <c r="B642" t="s">
        <v>197</v>
      </c>
      <c r="C642" t="s">
        <v>199</v>
      </c>
      <c r="G642" t="str">
        <f t="shared" si="22"/>
        <v>xlsx</v>
      </c>
      <c r="H642" s="5" t="str">
        <f>IFERROR(IF(B642="FoPITY",INDEX(Customizations!$C$2:$C$19,MATCH(Sheet1!C642,Customizations!$B$2:$B$19,0),1),INDEX(About!C:C,MATCH(Sheet1!B642,About!B:B,0),1)),"")</f>
        <v>Intnl Market Fuel Price by Fuel Type.xlsx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35">
      <c r="A643" t="s">
        <v>182</v>
      </c>
      <c r="B643" t="s">
        <v>200</v>
      </c>
      <c r="C643" t="s">
        <v>201</v>
      </c>
      <c r="G643" t="str">
        <f t="shared" si="22"/>
        <v>xlsx</v>
      </c>
      <c r="H643" s="5" t="str">
        <f>IFERROR(IF(B643="FoPITY",INDEX(Customizations!$C$2:$C$19,MATCH(Sheet1!C643,Customizations!$B$2:$B$19,0),1),INDEX(About!C:C,MATCH(Sheet1!B643,About!B:B,0),1)),"")</f>
        <v>Max Perc Inc in Fuel Exports.xlsx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35">
      <c r="A644" t="s">
        <v>182</v>
      </c>
      <c r="B644" t="s">
        <v>200</v>
      </c>
      <c r="C644" t="s">
        <v>202</v>
      </c>
      <c r="G644" t="str">
        <f t="shared" si="22"/>
        <v>.csv</v>
      </c>
      <c r="H644" s="5" t="str">
        <f>IFERROR(IF(B644="FoPITY",INDEX(Customizations!$C$2:$C$19,MATCH(Sheet1!C644,Customizations!$B$2:$B$19,0),1),INDEX(About!C:C,MATCH(Sheet1!B644,About!B:B,0),1)),"")</f>
        <v>Max Perc Inc in Fuel Exports.xlsx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35">
      <c r="A645" t="s">
        <v>182</v>
      </c>
      <c r="B645" t="s">
        <v>203</v>
      </c>
      <c r="C645" t="s">
        <v>204</v>
      </c>
      <c r="G645" t="str">
        <f t="shared" si="22"/>
        <v>xlsx</v>
      </c>
      <c r="H645" s="5" t="str">
        <f>IFERROR(IF(B645="FoPITY",INDEX(Customizations!$C$2:$C$19,MATCH(Sheet1!C645,Customizations!$B$2:$B$19,0),1),INDEX(About!C:C,MATCH(Sheet1!B645,About!B:B,0),1)),"")</f>
        <v>Max Perc Inc in Fuel Imports.xlsx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35">
      <c r="A646" t="s">
        <v>182</v>
      </c>
      <c r="B646" t="s">
        <v>203</v>
      </c>
      <c r="C646" t="s">
        <v>205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Max Perc Inc in Fuel Imports.xlsx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35">
      <c r="A647" t="s">
        <v>182</v>
      </c>
      <c r="B647" t="s">
        <v>206</v>
      </c>
      <c r="C647" t="s">
        <v>207</v>
      </c>
      <c r="G647" t="str">
        <f t="shared" si="22"/>
        <v>xlsx</v>
      </c>
      <c r="H647" s="5" t="str">
        <f>IFERROR(IF(B647="FoPITY",INDEX(Customizations!$C$2:$C$19,MATCH(Sheet1!C647,Customizations!$B$2:$B$19,0),1),INDEX(About!C:C,MATCH(Sheet1!B647,About!B:B,0),1)),"")</f>
        <v>Max Perc Inc in Fuel Production.xlsx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35">
      <c r="A648" t="s">
        <v>182</v>
      </c>
      <c r="B648" t="s">
        <v>206</v>
      </c>
      <c r="C648" t="s">
        <v>208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Max Perc Inc in Fuel Production.xlsx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35">
      <c r="A649" t="s">
        <v>182</v>
      </c>
      <c r="B649" t="s">
        <v>209</v>
      </c>
      <c r="C649" t="s">
        <v>210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Pollutant Emissions Intensities.xlsx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35">
      <c r="A650" t="s">
        <v>182</v>
      </c>
      <c r="B650" t="s">
        <v>209</v>
      </c>
      <c r="C650" t="s">
        <v>211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Pollutant Emissions Intensities.xlsx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35">
      <c r="A651" t="s">
        <v>182</v>
      </c>
      <c r="B651" t="s">
        <v>209</v>
      </c>
      <c r="C651" t="s">
        <v>863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Pollutant Emissions Intensities.xlsx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35">
      <c r="A652" t="s">
        <v>182</v>
      </c>
      <c r="B652" t="s">
        <v>209</v>
      </c>
      <c r="C652" t="s">
        <v>212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Pollutant Emissions Intensities.xlsx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35">
      <c r="A653" t="s">
        <v>182</v>
      </c>
      <c r="B653" t="s">
        <v>209</v>
      </c>
      <c r="C653" t="s">
        <v>213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Pollutant Emissions Intensities.xlsx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35">
      <c r="A654" t="s">
        <v>182</v>
      </c>
      <c r="B654" t="s">
        <v>209</v>
      </c>
      <c r="C654" t="s">
        <v>214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Pollutant Emissions Intensities.xlsx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35">
      <c r="A655" t="s">
        <v>182</v>
      </c>
      <c r="B655" t="s">
        <v>209</v>
      </c>
      <c r="C655" t="s">
        <v>215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Pollutant Emissions Intensities.xlsx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35">
      <c r="A656" t="s">
        <v>182</v>
      </c>
      <c r="B656" t="s">
        <v>209</v>
      </c>
      <c r="C656" t="s">
        <v>216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Pollutant Emissions Intensities.xlsx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35">
      <c r="A657" t="s">
        <v>182</v>
      </c>
      <c r="B657" t="s">
        <v>209</v>
      </c>
      <c r="C657" t="s">
        <v>217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Pollutant Emissions Intensities.xlsx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35">
      <c r="A658" t="s">
        <v>182</v>
      </c>
      <c r="B658" t="s">
        <v>209</v>
      </c>
      <c r="C658" t="s">
        <v>218</v>
      </c>
      <c r="G658" t="str">
        <f t="shared" si="22"/>
        <v>xlsx</v>
      </c>
      <c r="H658" s="5" t="str">
        <f>IFERROR(IF(B658="FoPITY",INDEX(Customizations!$C$2:$C$19,MATCH(Sheet1!C658,Customizations!$B$2:$B$19,0),1),INDEX(About!C:C,MATCH(Sheet1!B658,About!B:B,0),1)),"")</f>
        <v>Pollutant Emissions Intensities.xlsx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35">
      <c r="A659" t="s">
        <v>182</v>
      </c>
      <c r="B659" t="s">
        <v>219</v>
      </c>
      <c r="C659" t="s">
        <v>220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Pollutant Emissions Intensity Improvement Rate.xlsx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35">
      <c r="A660" t="s">
        <v>182</v>
      </c>
      <c r="B660" t="s">
        <v>219</v>
      </c>
      <c r="C660" t="s">
        <v>221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Pollutant Emissions Intensity Improvement Rate.xlsx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35">
      <c r="A661" t="s">
        <v>182</v>
      </c>
      <c r="B661" t="s">
        <v>219</v>
      </c>
      <c r="C661" t="s">
        <v>864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Pollutant Emissions Intensity Improvement Rate.xlsx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35">
      <c r="A662" t="s">
        <v>182</v>
      </c>
      <c r="B662" t="s">
        <v>219</v>
      </c>
      <c r="C662" t="s">
        <v>222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Pollutant Emissions Intensity Improvement Rate.xlsx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35">
      <c r="A663" t="s">
        <v>182</v>
      </c>
      <c r="B663" t="s">
        <v>219</v>
      </c>
      <c r="C663" t="s">
        <v>223</v>
      </c>
      <c r="G663" t="str">
        <f t="shared" ref="G663:G726" si="24">RIGHT(C663,"4")</f>
        <v>.csv</v>
      </c>
      <c r="H663" s="5" t="str">
        <f>IFERROR(IF(B663="FoPITY",INDEX(Customizations!$C$2:$C$19,MATCH(Sheet1!C663,Customizations!$B$2:$B$19,0),1),INDEX(About!C:C,MATCH(Sheet1!B663,About!B:B,0),1)),"")</f>
        <v>Pollutant Emissions Intensity Improvement Rate.xlsx</v>
      </c>
      <c r="I663" s="5">
        <f>IFERROR(INDEX(About!$D:$D,MATCH(Sheet1!H663,About!$C:$C,0),1),0)</f>
        <v>0</v>
      </c>
      <c r="J663" s="6">
        <f t="shared" ref="J663:J726" si="25">IF(G663=".csv",1,0)*I663</f>
        <v>0</v>
      </c>
    </row>
    <row r="664" spans="1:10" x14ac:dyDescent="0.35">
      <c r="A664" t="s">
        <v>182</v>
      </c>
      <c r="B664" t="s">
        <v>219</v>
      </c>
      <c r="C664" t="s">
        <v>224</v>
      </c>
      <c r="G664" t="str">
        <f t="shared" si="24"/>
        <v>.csv</v>
      </c>
      <c r="H664" s="5" t="str">
        <f>IFERROR(IF(B664="FoPITY",INDEX(Customizations!$C$2:$C$19,MATCH(Sheet1!C664,Customizations!$B$2:$B$19,0),1),INDEX(About!C:C,MATCH(Sheet1!B664,About!B:B,0),1)),"")</f>
        <v>Pollutant Emissions Intensity Improvement Rate.xlsx</v>
      </c>
      <c r="I664" s="5">
        <f>IFERROR(INDEX(About!$D:$D,MATCH(Sheet1!H664,About!$C:$C,0),1),0)</f>
        <v>0</v>
      </c>
      <c r="J664" s="6">
        <f t="shared" si="25"/>
        <v>0</v>
      </c>
    </row>
    <row r="665" spans="1:10" x14ac:dyDescent="0.35">
      <c r="A665" t="s">
        <v>182</v>
      </c>
      <c r="B665" t="s">
        <v>219</v>
      </c>
      <c r="C665" t="s">
        <v>225</v>
      </c>
      <c r="G665" t="str">
        <f t="shared" si="24"/>
        <v>.csv</v>
      </c>
      <c r="H665" s="5" t="str">
        <f>IFERROR(IF(B665="FoPITY",INDEX(Customizations!$C$2:$C$19,MATCH(Sheet1!C665,Customizations!$B$2:$B$19,0),1),INDEX(About!C:C,MATCH(Sheet1!B665,About!B:B,0),1)),"")</f>
        <v>Pollutant Emissions Intensity Improvement Rate.xlsx</v>
      </c>
      <c r="I665" s="5">
        <f>IFERROR(INDEX(About!$D:$D,MATCH(Sheet1!H665,About!$C:$C,0),1),0)</f>
        <v>0</v>
      </c>
      <c r="J665" s="6">
        <f t="shared" si="25"/>
        <v>0</v>
      </c>
    </row>
    <row r="666" spans="1:10" x14ac:dyDescent="0.35">
      <c r="A666" t="s">
        <v>182</v>
      </c>
      <c r="B666" t="s">
        <v>219</v>
      </c>
      <c r="C666" t="s">
        <v>226</v>
      </c>
      <c r="G666" t="str">
        <f t="shared" si="24"/>
        <v>.csv</v>
      </c>
      <c r="H666" s="5" t="str">
        <f>IFERROR(IF(B666="FoPITY",INDEX(Customizations!$C$2:$C$19,MATCH(Sheet1!C666,Customizations!$B$2:$B$19,0),1),INDEX(About!C:C,MATCH(Sheet1!B666,About!B:B,0),1)),"")</f>
        <v>Pollutant Emissions Intensity Improvement Rate.xlsx</v>
      </c>
      <c r="I666" s="5">
        <f>IFERROR(INDEX(About!$D:$D,MATCH(Sheet1!H666,About!$C:$C,0),1),0)</f>
        <v>0</v>
      </c>
      <c r="J666" s="6">
        <f t="shared" si="25"/>
        <v>0</v>
      </c>
    </row>
    <row r="667" spans="1:10" x14ac:dyDescent="0.35">
      <c r="A667" t="s">
        <v>182</v>
      </c>
      <c r="B667" t="s">
        <v>219</v>
      </c>
      <c r="C667" t="s">
        <v>227</v>
      </c>
      <c r="G667" t="str">
        <f t="shared" si="24"/>
        <v>.csv</v>
      </c>
      <c r="H667" s="5" t="str">
        <f>IFERROR(IF(B667="FoPITY",INDEX(Customizations!$C$2:$C$19,MATCH(Sheet1!C667,Customizations!$B$2:$B$19,0),1),INDEX(About!C:C,MATCH(Sheet1!B667,About!B:B,0),1)),"")</f>
        <v>Pollutant Emissions Intensity Improvement Rate.xlsx</v>
      </c>
      <c r="I667" s="5">
        <f>IFERROR(INDEX(About!$D:$D,MATCH(Sheet1!H667,About!$C:$C,0),1),0)</f>
        <v>0</v>
      </c>
      <c r="J667" s="6">
        <f t="shared" si="25"/>
        <v>0</v>
      </c>
    </row>
    <row r="668" spans="1:10" x14ac:dyDescent="0.35">
      <c r="A668" t="s">
        <v>182</v>
      </c>
      <c r="B668" t="s">
        <v>219</v>
      </c>
      <c r="C668" t="s">
        <v>228</v>
      </c>
      <c r="G668" t="str">
        <f t="shared" si="24"/>
        <v>xlsx</v>
      </c>
      <c r="H668" s="5" t="str">
        <f>IFERROR(IF(B668="FoPITY",INDEX(Customizations!$C$2:$C$19,MATCH(Sheet1!C668,Customizations!$B$2:$B$19,0),1),INDEX(About!C:C,MATCH(Sheet1!B668,About!B:B,0),1)),"")</f>
        <v>Pollutant Emissions Intensity Improvement Rate.xlsx</v>
      </c>
      <c r="I668" s="5">
        <f>IFERROR(INDEX(About!$D:$D,MATCH(Sheet1!H668,About!$C:$C,0),1),0)</f>
        <v>0</v>
      </c>
      <c r="J668" s="6">
        <f t="shared" si="25"/>
        <v>0</v>
      </c>
    </row>
    <row r="669" spans="1:10" x14ac:dyDescent="0.35">
      <c r="A669" t="s">
        <v>182</v>
      </c>
      <c r="B669" t="s">
        <v>229</v>
      </c>
      <c r="C669" t="s">
        <v>230</v>
      </c>
      <c r="G669" t="str">
        <f t="shared" si="24"/>
        <v>xlsx</v>
      </c>
      <c r="H669" s="5" t="str">
        <f>IFERROR(IF(B669="FoPITY",INDEX(Customizations!$C$2:$C$19,MATCH(Sheet1!C669,Customizations!$B$2:$B$19,0),1),INDEX(About!C:C,MATCH(Sheet1!B669,About!B:B,0),1)),"")</f>
        <v>Perc of Fuel Demand Changes that Affect Exports.xlsx</v>
      </c>
      <c r="I669" s="5">
        <f>IFERROR(INDEX(About!$D:$D,MATCH(Sheet1!H669,About!$C:$C,0),1),0)</f>
        <v>0</v>
      </c>
      <c r="J669" s="6">
        <f t="shared" si="25"/>
        <v>0</v>
      </c>
    </row>
    <row r="670" spans="1:10" x14ac:dyDescent="0.35">
      <c r="A670" t="s">
        <v>182</v>
      </c>
      <c r="B670" t="s">
        <v>229</v>
      </c>
      <c r="C670" t="s">
        <v>231</v>
      </c>
      <c r="G670" t="str">
        <f t="shared" si="24"/>
        <v>.csv</v>
      </c>
      <c r="H670" s="5" t="str">
        <f>IFERROR(IF(B670="FoPITY",INDEX(Customizations!$C$2:$C$19,MATCH(Sheet1!C670,Customizations!$B$2:$B$19,0),1),INDEX(About!C:C,MATCH(Sheet1!B670,About!B:B,0),1)),"")</f>
        <v>Perc of Fuel Demand Changes that Affect Exports.xlsx</v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35">
      <c r="A671" t="s">
        <v>182</v>
      </c>
      <c r="B671" t="s">
        <v>1523</v>
      </c>
      <c r="C671" t="s">
        <v>1524</v>
      </c>
      <c r="G671" t="str">
        <f t="shared" si="24"/>
        <v>xlsx</v>
      </c>
      <c r="H671" s="5" t="str">
        <f>IFERROR(IF(B671="FoPITY",INDEX(Customizations!$C$2:$C$19,MATCH(Sheet1!C671,Customizations!$B$2:$B$19,0),1),INDEX(About!C:C,MATCH(Sheet1!B671,About!B:B,0),1)),"")</f>
        <v>Pollutants Taxed by Carbon Pricing.xlsx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35">
      <c r="A672" t="s">
        <v>182</v>
      </c>
      <c r="B672" t="s">
        <v>1523</v>
      </c>
      <c r="C672" t="s">
        <v>1525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Pollutants Taxed by Carbon Pricing.xlsx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35">
      <c r="A673" t="s">
        <v>182</v>
      </c>
      <c r="B673" t="s">
        <v>1523</v>
      </c>
      <c r="C673" t="s">
        <v>1526</v>
      </c>
      <c r="G673" t="str">
        <f t="shared" si="24"/>
        <v>.csv</v>
      </c>
      <c r="H673" s="5" t="str">
        <f>IFERROR(IF(B673="FoPITY",INDEX(Customizations!$C$2:$C$19,MATCH(Sheet1!C673,Customizations!$B$2:$B$19,0),1),INDEX(About!C:C,MATCH(Sheet1!B673,About!B:B,0),1)),"")</f>
        <v>Pollutants Taxed by Carbon Pricing.xlsx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35">
      <c r="A674" t="s">
        <v>182</v>
      </c>
      <c r="B674" t="s">
        <v>1523</v>
      </c>
      <c r="C674" t="s">
        <v>1527</v>
      </c>
      <c r="G674" t="str">
        <f t="shared" si="24"/>
        <v>.csv</v>
      </c>
      <c r="H674" s="5" t="str">
        <f>IFERROR(IF(B674="FoPITY",INDEX(Customizations!$C$2:$C$19,MATCH(Sheet1!C674,Customizations!$B$2:$B$19,0),1),INDEX(About!C:C,MATCH(Sheet1!B674,About!B:B,0),1)),"")</f>
        <v>Pollutants Taxed by Carbon Pricing.xlsx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35">
      <c r="A675" t="s">
        <v>182</v>
      </c>
      <c r="B675" t="s">
        <v>1523</v>
      </c>
      <c r="C675" t="s">
        <v>1528</v>
      </c>
      <c r="G675" t="str">
        <f t="shared" si="24"/>
        <v>.csv</v>
      </c>
      <c r="H675" s="5" t="str">
        <f>IFERROR(IF(B675="FoPITY",INDEX(Customizations!$C$2:$C$19,MATCH(Sheet1!C675,Customizations!$B$2:$B$19,0),1),INDEX(About!C:C,MATCH(Sheet1!B675,About!B:B,0),1)),"")</f>
        <v>Pollutants Taxed by Carbon Pricing.xlsx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35">
      <c r="A676" t="s">
        <v>182</v>
      </c>
      <c r="B676" t="s">
        <v>1523</v>
      </c>
      <c r="C676" t="s">
        <v>1529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Pollutants Taxed by Carbon Pricing.xlsx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35">
      <c r="A677" t="s">
        <v>182</v>
      </c>
      <c r="B677" t="s">
        <v>1523</v>
      </c>
      <c r="C677" t="s">
        <v>1530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Pollutants Taxed by Carbon Pricing.xlsx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35">
      <c r="A678" t="s">
        <v>182</v>
      </c>
      <c r="B678" t="s">
        <v>702</v>
      </c>
      <c r="C678" t="s">
        <v>703</v>
      </c>
      <c r="G678" t="str">
        <f t="shared" si="24"/>
        <v>.csv</v>
      </c>
      <c r="H678" s="5" t="str">
        <f>IFERROR(IF(B678="FoPITY",INDEX(Customizations!$C$2:$C$19,MATCH(Sheet1!C678,Customizations!$B$2:$B$19,0),1),INDEX(About!C:C,MATCH(Sheet1!B678,About!B:B,0),1)),"")</f>
        <v>Quantization Size for Energy.xlsx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35">
      <c r="A679" t="s">
        <v>182</v>
      </c>
      <c r="B679" t="s">
        <v>702</v>
      </c>
      <c r="C679" t="s">
        <v>704</v>
      </c>
      <c r="G679" t="str">
        <f t="shared" si="24"/>
        <v>xlsx</v>
      </c>
      <c r="H679" s="5" t="str">
        <f>IFERROR(IF(B679="FoPITY",INDEX(Customizations!$C$2:$C$19,MATCH(Sheet1!C679,Customizations!$B$2:$B$19,0),1),INDEX(About!C:C,MATCH(Sheet1!B679,About!B:B,0),1)),"")</f>
        <v>Quantization Size for Energy.xlsx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35">
      <c r="A680" t="s">
        <v>607</v>
      </c>
      <c r="B680" t="s">
        <v>608</v>
      </c>
      <c r="C680" t="s">
        <v>609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Direct Air Capture Data.xlsx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35">
      <c r="A681" t="s">
        <v>607</v>
      </c>
      <c r="B681" t="s">
        <v>608</v>
      </c>
      <c r="C681" t="s">
        <v>610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Direct Air Capture Data.xlsx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35">
      <c r="A682" t="s">
        <v>607</v>
      </c>
      <c r="B682" t="s">
        <v>608</v>
      </c>
      <c r="C682" t="s">
        <v>611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Direct Air Capture Data.xlsx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35">
      <c r="A683" t="s">
        <v>607</v>
      </c>
      <c r="B683" t="s">
        <v>608</v>
      </c>
      <c r="C683" t="s">
        <v>612</v>
      </c>
      <c r="G683" t="str">
        <f t="shared" si="24"/>
        <v>xlsx</v>
      </c>
      <c r="H683" s="5" t="str">
        <f>IFERROR(IF(B683="FoPITY",INDEX(Customizations!$C$2:$C$19,MATCH(Sheet1!C683,Customizations!$B$2:$B$19,0),1),INDEX(About!C:C,MATCH(Sheet1!B683,About!B:B,0),1)),"")</f>
        <v>Direct Air Capture Data.xlsx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35">
      <c r="A684" t="s">
        <v>607</v>
      </c>
      <c r="B684" t="s">
        <v>1379</v>
      </c>
      <c r="C684" t="s">
        <v>1380</v>
      </c>
      <c r="G684" t="str">
        <f t="shared" si="24"/>
        <v>xlsx</v>
      </c>
      <c r="H684" s="5" t="str">
        <f>IFERROR(IF(B684="FoPITY",INDEX(Customizations!$C$2:$C$19,MATCH(Sheet1!C684,Customizations!$B$2:$B$19,0),1),INDEX(About!C:C,MATCH(Sheet1!B684,About!B:B,0),1)),"")</f>
        <v>Enhanced Rock Weathering Data.xlsx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35">
      <c r="A685" t="s">
        <v>607</v>
      </c>
      <c r="B685" t="s">
        <v>1379</v>
      </c>
      <c r="C685" t="s">
        <v>1381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Enhanced Rock Weathering Data.xlsx</v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35">
      <c r="A686" t="s">
        <v>607</v>
      </c>
      <c r="B686" t="s">
        <v>1379</v>
      </c>
      <c r="C686" t="s">
        <v>1382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Enhanced Rock Weathering Data.xlsx</v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35">
      <c r="A687" t="s">
        <v>607</v>
      </c>
      <c r="B687" t="s">
        <v>1379</v>
      </c>
      <c r="C687" t="s">
        <v>1383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Enhanced Rock Weathering Data.xlsx</v>
      </c>
      <c r="I687" s="5">
        <f>IFERROR(INDEX(About!$D:$D,MATCH(Sheet1!H687,About!$C:$C,0),1),0)</f>
        <v>0</v>
      </c>
      <c r="J687" s="6">
        <f t="shared" si="25"/>
        <v>0</v>
      </c>
    </row>
    <row r="688" spans="1:10" x14ac:dyDescent="0.35">
      <c r="A688" t="s">
        <v>232</v>
      </c>
      <c r="B688" t="s">
        <v>1531</v>
      </c>
      <c r="C688" t="s">
        <v>1532</v>
      </c>
      <c r="G688" t="str">
        <f t="shared" si="24"/>
        <v>xlsx</v>
      </c>
      <c r="H688" s="5" t="str">
        <f>IFERROR(IF(B688="FoPITY",INDEX(Customizations!$C$2:$C$19,MATCH(Sheet1!C688,Customizations!$B$2:$B$19,0),1),INDEX(About!C:C,MATCH(Sheet1!B688,About!B:B,0),1)),"")</f>
        <v>BAU Cost of Hydrogen Sector Capital.xlsx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35">
      <c r="A689" t="s">
        <v>232</v>
      </c>
      <c r="B689" t="s">
        <v>1531</v>
      </c>
      <c r="C689" t="s">
        <v>1533</v>
      </c>
      <c r="G689" t="str">
        <f t="shared" si="24"/>
        <v>.csv</v>
      </c>
      <c r="H689" s="5" t="str">
        <f>IFERROR(IF(B689="FoPITY",INDEX(Customizations!$C$2:$C$19,MATCH(Sheet1!C689,Customizations!$B$2:$B$19,0),1),INDEX(About!C:C,MATCH(Sheet1!B689,About!B:B,0),1)),"")</f>
        <v>BAU Cost of Hydrogen Sector Capital.xlsx</v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35">
      <c r="A690" t="s">
        <v>232</v>
      </c>
      <c r="B690" t="s">
        <v>1848</v>
      </c>
      <c r="C690" t="s">
        <v>1849</v>
      </c>
      <c r="G690" t="str">
        <f t="shared" si="24"/>
        <v>xlsx</v>
      </c>
      <c r="H690" s="5" t="str">
        <f>IFERROR(IF(B690="FoPITY",INDEX(Customizations!$C$2:$C$19,MATCH(Sheet1!C690,Customizations!$B$2:$B$19,0),1),INDEX(About!C:C,MATCH(Sheet1!B690,About!B:B,0),1)),"")</f>
        <v>BAU Subsidy for Hydgn Prod by Pathway.xlsx</v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35">
      <c r="A691" t="s">
        <v>232</v>
      </c>
      <c r="B691" t="s">
        <v>1848</v>
      </c>
      <c r="C691" t="s">
        <v>1850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BAU Subsidy for Hydgn Prod by Pathway.xlsx</v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35">
      <c r="A692" t="s">
        <v>232</v>
      </c>
      <c r="B692" t="s">
        <v>233</v>
      </c>
      <c r="C692" t="s">
        <v>234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Electrolyzer Hydrogen Production per Unit Capacity.xlsx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35">
      <c r="A693" t="s">
        <v>232</v>
      </c>
      <c r="B693" t="s">
        <v>233</v>
      </c>
      <c r="C693" t="s">
        <v>235</v>
      </c>
      <c r="G693" t="str">
        <f t="shared" si="24"/>
        <v>xlsx</v>
      </c>
      <c r="H693" s="5" t="str">
        <f>IFERROR(IF(B693="FoPITY",INDEX(Customizations!$C$2:$C$19,MATCH(Sheet1!C693,Customizations!$B$2:$B$19,0),1),INDEX(About!C:C,MATCH(Sheet1!B693,About!B:B,0),1)),"")</f>
        <v>Electrolyzer Hydrogen Production per Unit Capacity.xlsx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35">
      <c r="A694" t="s">
        <v>232</v>
      </c>
      <c r="B694" t="s">
        <v>1534</v>
      </c>
      <c r="C694" t="s">
        <v>1535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Fuel Intensity of Hydrogen Production.xlsx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35">
      <c r="A695" t="s">
        <v>232</v>
      </c>
      <c r="B695" t="s">
        <v>1534</v>
      </c>
      <c r="C695" t="s">
        <v>1536</v>
      </c>
      <c r="G695" t="str">
        <f t="shared" si="24"/>
        <v>.csv</v>
      </c>
      <c r="H695" s="5" t="str">
        <f>IFERROR(IF(B695="FoPITY",INDEX(Customizations!$C$2:$C$19,MATCH(Sheet1!C695,Customizations!$B$2:$B$19,0),1),INDEX(About!C:C,MATCH(Sheet1!B695,About!B:B,0),1)),"")</f>
        <v>Fuel Intensity of Hydrogen Production.xlsx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35">
      <c r="A696" t="s">
        <v>232</v>
      </c>
      <c r="B696" t="s">
        <v>1534</v>
      </c>
      <c r="C696" t="s">
        <v>1537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Fuel Intensity of Hydrogen Production.xlsx</v>
      </c>
      <c r="I696" s="5">
        <f>IFERROR(INDEX(About!$D:$D,MATCH(Sheet1!H696,About!$C:$C,0),1),0)</f>
        <v>0</v>
      </c>
      <c r="J696" s="6">
        <f t="shared" si="25"/>
        <v>0</v>
      </c>
    </row>
    <row r="697" spans="1:10" x14ac:dyDescent="0.35">
      <c r="A697" t="s">
        <v>232</v>
      </c>
      <c r="B697" t="s">
        <v>1534</v>
      </c>
      <c r="C697" t="s">
        <v>1538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Fuel Intensity of Hydrogen Production.xlsx</v>
      </c>
      <c r="I697" s="5">
        <f>IFERROR(INDEX(About!$D:$D,MATCH(Sheet1!H697,About!$C:$C,0),1),0)</f>
        <v>0</v>
      </c>
      <c r="J697" s="6">
        <f t="shared" si="25"/>
        <v>0</v>
      </c>
    </row>
    <row r="698" spans="1:10" x14ac:dyDescent="0.35">
      <c r="A698" t="s">
        <v>232</v>
      </c>
      <c r="B698" t="s">
        <v>1534</v>
      </c>
      <c r="C698" t="s">
        <v>1539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Fuel Intensity of Hydrogen Production.xlsx</v>
      </c>
      <c r="I698" s="5">
        <f>IFERROR(INDEX(About!$D:$D,MATCH(Sheet1!H698,About!$C:$C,0),1),0)</f>
        <v>0</v>
      </c>
      <c r="J698" s="6">
        <f t="shared" si="25"/>
        <v>0</v>
      </c>
    </row>
    <row r="699" spans="1:10" x14ac:dyDescent="0.35">
      <c r="A699" t="s">
        <v>232</v>
      </c>
      <c r="B699" t="s">
        <v>1534</v>
      </c>
      <c r="C699" t="s">
        <v>1540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Fuel Intensity of Hydrogen Production.xlsx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35">
      <c r="A700" t="s">
        <v>232</v>
      </c>
      <c r="B700" t="s">
        <v>1534</v>
      </c>
      <c r="C700" t="s">
        <v>1541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Fuel Intensity of Hydrogen Production.xlsx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35">
      <c r="A701" t="s">
        <v>232</v>
      </c>
      <c r="B701" t="s">
        <v>1534</v>
      </c>
      <c r="C701" t="s">
        <v>1542</v>
      </c>
      <c r="G701" t="str">
        <f t="shared" si="24"/>
        <v>xlsx</v>
      </c>
      <c r="H701" s="5" t="str">
        <f>IFERROR(IF(B701="FoPITY",INDEX(Customizations!$C$2:$C$19,MATCH(Sheet1!C701,Customizations!$B$2:$B$19,0),1),INDEX(About!C:C,MATCH(Sheet1!B701,About!B:B,0),1)),"")</f>
        <v>Fuel Intensity of Hydrogen Production.xlsx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35">
      <c r="A702" t="s">
        <v>232</v>
      </c>
      <c r="B702" t="s">
        <v>1851</v>
      </c>
      <c r="C702" t="s">
        <v>1852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Frac of Hydgn Eqpt Retiring by Age.xlsx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35">
      <c r="A703" t="s">
        <v>232</v>
      </c>
      <c r="B703" t="s">
        <v>1851</v>
      </c>
      <c r="C703" t="s">
        <v>1853</v>
      </c>
      <c r="G703" t="str">
        <f t="shared" si="24"/>
        <v>xlsx</v>
      </c>
      <c r="H703" s="5" t="str">
        <f>IFERROR(IF(B703="FoPITY",INDEX(Customizations!$C$2:$C$19,MATCH(Sheet1!C703,Customizations!$B$2:$B$19,0),1),INDEX(About!C:C,MATCH(Sheet1!B703,About!B:B,0),1)),"")</f>
        <v>Frac of Hydgn Eqpt Retiring by Age.xlsx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35">
      <c r="A704" t="s">
        <v>232</v>
      </c>
      <c r="B704" t="s">
        <v>236</v>
      </c>
      <c r="C704" t="s">
        <v>237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Hydrogen Production Eqpt Costs.xlsx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35">
      <c r="A705" t="s">
        <v>232</v>
      </c>
      <c r="B705" t="s">
        <v>236</v>
      </c>
      <c r="C705" t="s">
        <v>238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Hydrogen Production Eqpt Costs.xlsx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35">
      <c r="A706" t="s">
        <v>232</v>
      </c>
      <c r="B706" t="s">
        <v>236</v>
      </c>
      <c r="C706" t="s">
        <v>239</v>
      </c>
      <c r="G706" t="str">
        <f t="shared" si="24"/>
        <v>xlsx</v>
      </c>
      <c r="H706" s="5" t="str">
        <f>IFERROR(IF(B706="FoPITY",INDEX(Customizations!$C$2:$C$19,MATCH(Sheet1!C706,Customizations!$B$2:$B$19,0),1),INDEX(About!C:C,MATCH(Sheet1!B706,About!B:B,0),1)),"")</f>
        <v>Hydrogen Production Eqpt Costs.xlsx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35">
      <c r="A707" t="s">
        <v>232</v>
      </c>
      <c r="B707" t="s">
        <v>236</v>
      </c>
      <c r="C707" t="s">
        <v>1854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Hydrogen Production Eqpt Costs.xlsx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35">
      <c r="A708" t="s">
        <v>232</v>
      </c>
      <c r="B708" t="s">
        <v>236</v>
      </c>
      <c r="C708" t="s">
        <v>1855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Hydrogen Production Eqpt Costs.xlsx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35">
      <c r="A709" t="s">
        <v>232</v>
      </c>
      <c r="B709" t="s">
        <v>1543</v>
      </c>
      <c r="C709" t="s">
        <v>1544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Hydrogen Production Logit Coefficient.xlsx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35">
      <c r="A710" t="s">
        <v>232</v>
      </c>
      <c r="B710" t="s">
        <v>1543</v>
      </c>
      <c r="C710" t="s">
        <v>1545</v>
      </c>
      <c r="G710" t="str">
        <f t="shared" si="24"/>
        <v>xlsx</v>
      </c>
      <c r="H710" s="5" t="str">
        <f>IFERROR(IF(B710="FoPITY",INDEX(Customizations!$C$2:$C$19,MATCH(Sheet1!C710,Customizations!$B$2:$B$19,0),1),INDEX(About!C:C,MATCH(Sheet1!B710,About!B:B,0),1)),"")</f>
        <v>Hydrogen Production Logit Coefficient.xlsx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35">
      <c r="A711" t="s">
        <v>232</v>
      </c>
      <c r="B711" t="s">
        <v>240</v>
      </c>
      <c r="C711" t="s">
        <v>241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Hydgn Prod Perc Excess Cap by Pathway.xlsx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35">
      <c r="A712" t="s">
        <v>232</v>
      </c>
      <c r="B712" t="s">
        <v>240</v>
      </c>
      <c r="C712" t="s">
        <v>242</v>
      </c>
      <c r="G712" t="str">
        <f t="shared" si="24"/>
        <v>xlsx</v>
      </c>
      <c r="H712" s="5" t="str">
        <f>IFERROR(IF(B712="FoPITY",INDEX(Customizations!$C$2:$C$19,MATCH(Sheet1!C712,Customizations!$B$2:$B$19,0),1),INDEX(About!C:C,MATCH(Sheet1!B712,About!B:B,0),1)),"")</f>
        <v>Hydgn Prod Perc Excess Cap by Pathway.xlsx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35">
      <c r="A713" t="s">
        <v>232</v>
      </c>
      <c r="B713" t="s">
        <v>1546</v>
      </c>
      <c r="C713" t="s">
        <v>1547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Hydrogen Production Shareweights.xlsx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35">
      <c r="A714" t="s">
        <v>232</v>
      </c>
      <c r="B714" t="s">
        <v>1546</v>
      </c>
      <c r="C714" t="s">
        <v>1548</v>
      </c>
      <c r="G714" t="str">
        <f t="shared" si="24"/>
        <v>xlsx</v>
      </c>
      <c r="H714" s="5" t="str">
        <f>IFERROR(IF(B714="FoPITY",INDEX(Customizations!$C$2:$C$19,MATCH(Sheet1!C714,Customizations!$B$2:$B$19,0),1),INDEX(About!C:C,MATCH(Sheet1!B714,About!B:B,0),1)),"")</f>
        <v>Hydrogen Production Shareweights.xlsx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35">
      <c r="A715" t="s">
        <v>232</v>
      </c>
      <c r="B715" t="s">
        <v>1856</v>
      </c>
      <c r="C715" t="s">
        <v>1857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Hydgn Prod Subsidy Duration.xlsx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35">
      <c r="A716" t="s">
        <v>232</v>
      </c>
      <c r="B716" t="s">
        <v>1856</v>
      </c>
      <c r="C716" t="s">
        <v>1858</v>
      </c>
      <c r="G716" t="str">
        <f t="shared" si="24"/>
        <v>xlsx</v>
      </c>
      <c r="H716" s="5" t="str">
        <f>IFERROR(IF(B716="FoPITY",INDEX(Customizations!$C$2:$C$19,MATCH(Sheet1!C716,Customizations!$B$2:$B$19,0),1),INDEX(About!C:C,MATCH(Sheet1!B716,About!B:B,0),1)),"")</f>
        <v>Hydgn Prod Subsidy Duration.xlsx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35">
      <c r="A717" t="s">
        <v>232</v>
      </c>
      <c r="B717" t="s">
        <v>1859</v>
      </c>
      <c r="C717" t="s">
        <v>1860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Preexisting Hydgn Eqpt Retirement Profiles.xlsx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35">
      <c r="A718" t="s">
        <v>232</v>
      </c>
      <c r="B718" t="s">
        <v>1859</v>
      </c>
      <c r="C718" t="s">
        <v>1861</v>
      </c>
      <c r="G718" t="str">
        <f t="shared" si="24"/>
        <v>xlsx</v>
      </c>
      <c r="H718" s="5" t="str">
        <f>IFERROR(IF(B718="FoPITY",INDEX(Customizations!$C$2:$C$19,MATCH(Sheet1!C718,Customizations!$B$2:$B$19,0),1),INDEX(About!C:C,MATCH(Sheet1!B718,About!B:B,0),1)),"")</f>
        <v>Preexisting Hydgn Eqpt Retirement Profiles.xlsx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35">
      <c r="A719" t="s">
        <v>232</v>
      </c>
      <c r="B719" t="s">
        <v>1549</v>
      </c>
      <c r="C719" t="s">
        <v>1550</v>
      </c>
      <c r="G719" t="str">
        <f t="shared" si="24"/>
        <v>xlsx</v>
      </c>
      <c r="H719" s="5" t="str">
        <f>IFERROR(IF(B719="FoPITY",INDEX(Customizations!$C$2:$C$19,MATCH(Sheet1!C719,Customizations!$B$2:$B$19,0),1),INDEX(About!C:C,MATCH(Sheet1!B719,About!B:B,0),1)),"")</f>
        <v>RPfFHSCC Repayment Period for Financed Hydgn Sector Capital Costs.xlsx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35">
      <c r="A720" t="s">
        <v>232</v>
      </c>
      <c r="B720" t="s">
        <v>1549</v>
      </c>
      <c r="C720" t="s">
        <v>1551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RPfFHSCC Repayment Period for Financed Hydgn Sector Capital Costs.xlsx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35">
      <c r="A721" t="s">
        <v>232</v>
      </c>
      <c r="B721" t="s">
        <v>1552</v>
      </c>
      <c r="C721" t="s">
        <v>1553</v>
      </c>
      <c r="G721" t="str">
        <f t="shared" si="24"/>
        <v>xlsx</v>
      </c>
      <c r="H721" s="5" t="str">
        <f>IFERROR(IF(B721="FoPITY",INDEX(Customizations!$C$2:$C$19,MATCH(Sheet1!C721,Customizations!$B$2:$B$19,0),1),INDEX(About!C:C,MATCH(Sheet1!B721,About!B:B,0),1)),"")</f>
        <v>Share of Hydgn Demand That is Green and Low Carbon by Sector.xlsx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35">
      <c r="A722" t="s">
        <v>232</v>
      </c>
      <c r="B722" t="s">
        <v>1552</v>
      </c>
      <c r="C722" t="s">
        <v>1554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Share of Hydgn Demand That is Green and Low Carbon by Sector.xlsx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35">
      <c r="A723" t="s">
        <v>232</v>
      </c>
      <c r="B723" t="s">
        <v>1552</v>
      </c>
      <c r="C723" t="s">
        <v>1555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Share of Hydgn Demand That is Green and Low Carbon by Sector.xlsx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35">
      <c r="A724" t="s">
        <v>232</v>
      </c>
      <c r="B724" t="s">
        <v>827</v>
      </c>
      <c r="C724" t="s">
        <v>828</v>
      </c>
      <c r="G724" t="str">
        <f t="shared" si="24"/>
        <v>xlsx</v>
      </c>
      <c r="H724" s="5" t="str">
        <f>IFERROR(IF(B724="FoPITY",INDEX(Customizations!$C$2:$C$19,MATCH(Sheet1!C724,Customizations!$B$2:$B$19,0),1),INDEX(About!C:C,MATCH(Sheet1!B724,About!B:B,0),1)),"")</f>
        <v>Share of Hydrogen Production Capital Costs by Recipient ISIC Code.xlsx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35">
      <c r="A725" t="s">
        <v>232</v>
      </c>
      <c r="B725" t="s">
        <v>827</v>
      </c>
      <c r="C725" t="s">
        <v>829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Share of Hydrogen Production Capital Costs by Recipient ISIC Code.xlsx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35">
      <c r="A726" t="s">
        <v>232</v>
      </c>
      <c r="B726" t="s">
        <v>1556</v>
      </c>
      <c r="C726" t="s">
        <v>1557</v>
      </c>
      <c r="G726" t="str">
        <f t="shared" si="24"/>
        <v>xlsx</v>
      </c>
      <c r="H726" s="5" t="str">
        <f>IFERROR(IF(B726="FoPITY",INDEX(Customizations!$C$2:$C$19,MATCH(Sheet1!C726,Customizations!$B$2:$B$19,0),1),INDEX(About!C:C,MATCH(Sheet1!B726,About!B:B,0),1)),"")</f>
        <v>Start Year Annual Hydrogen Production Capacity.xlsx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35">
      <c r="A727" t="s">
        <v>232</v>
      </c>
      <c r="B727" t="s">
        <v>1556</v>
      </c>
      <c r="C727" t="s">
        <v>1558</v>
      </c>
      <c r="G727" t="str">
        <f t="shared" ref="G727:G769" si="26">RIGHT(C727,"4")</f>
        <v>.csv</v>
      </c>
      <c r="H727" s="5" t="str">
        <f>IFERROR(IF(B727="FoPITY",INDEX(Customizations!$C$2:$C$19,MATCH(Sheet1!C727,Customizations!$B$2:$B$19,0),1),INDEX(About!C:C,MATCH(Sheet1!B727,About!B:B,0),1)),"")</f>
        <v>Start Year Annual Hydrogen Production Capacity.xlsx</v>
      </c>
      <c r="I727" s="5">
        <f>IFERROR(INDEX(About!$D:$D,MATCH(Sheet1!H727,About!$C:$C,0),1),0)</f>
        <v>0</v>
      </c>
      <c r="J727" s="6">
        <f t="shared" ref="J727:J769" si="27">IF(G727=".csv",1,0)*I727</f>
        <v>0</v>
      </c>
    </row>
    <row r="728" spans="1:10" x14ac:dyDescent="0.35">
      <c r="A728" t="s">
        <v>232</v>
      </c>
      <c r="B728" t="s">
        <v>1862</v>
      </c>
      <c r="C728" t="s">
        <v>1863</v>
      </c>
      <c r="G728" t="str">
        <f t="shared" si="26"/>
        <v>xlsx</v>
      </c>
      <c r="H728" s="5" t="str">
        <f>IFERROR(IF(B728="FoPITY",INDEX(Customizations!$C$2:$C$19,MATCH(Sheet1!C728,Customizations!$B$2:$B$19,0),1),INDEX(About!C:C,MATCH(Sheet1!B728,About!B:B,0),1)),"")</f>
        <v>Water Consumption of Hydgn Prod by Pathway.xlsx</v>
      </c>
      <c r="I728" s="5">
        <f>IFERROR(INDEX(About!$D:$D,MATCH(Sheet1!H728,About!$C:$C,0),1),0)</f>
        <v>0</v>
      </c>
      <c r="J728" s="6">
        <f t="shared" si="27"/>
        <v>0</v>
      </c>
    </row>
    <row r="729" spans="1:10" x14ac:dyDescent="0.35">
      <c r="A729" t="s">
        <v>232</v>
      </c>
      <c r="B729" t="s">
        <v>1862</v>
      </c>
      <c r="C729" t="s">
        <v>1864</v>
      </c>
      <c r="G729" t="str">
        <f t="shared" si="26"/>
        <v>.csv</v>
      </c>
      <c r="H729" s="5" t="str">
        <f>IFERROR(IF(B729="FoPITY",INDEX(Customizations!$C$2:$C$19,MATCH(Sheet1!C729,Customizations!$B$2:$B$19,0),1),INDEX(About!C:C,MATCH(Sheet1!B729,About!B:B,0),1)),"")</f>
        <v>Water Consumption of Hydgn Prod by Pathway.xlsx</v>
      </c>
      <c r="I729" s="5">
        <f>IFERROR(INDEX(About!$D:$D,MATCH(Sheet1!H729,About!$C:$C,0),1),0)</f>
        <v>0</v>
      </c>
      <c r="J729" s="6">
        <f t="shared" si="27"/>
        <v>0</v>
      </c>
    </row>
    <row r="730" spans="1:10" x14ac:dyDescent="0.35">
      <c r="A730" t="s">
        <v>243</v>
      </c>
      <c r="B730" t="s">
        <v>1559</v>
      </c>
      <c r="C730" t="s">
        <v>1560</v>
      </c>
      <c r="G730" t="str">
        <f t="shared" si="26"/>
        <v>xlsx</v>
      </c>
      <c r="H730" s="5" t="str">
        <f>IFERROR(IF(B730="FoPITY",INDEX(Customizations!$C$2:$C$19,MATCH(Sheet1!C730,Customizations!$B$2:$B$19,0),1),INDEX(About!C:C,MATCH(Sheet1!B730,About!B:B,0),1)),"")</f>
        <v>BAU Clean Heat PTC Duration.xlsx</v>
      </c>
      <c r="I730" s="5">
        <f>IFERROR(INDEX(About!$D:$D,MATCH(Sheet1!H730,About!$C:$C,0),1),0)</f>
        <v>0</v>
      </c>
      <c r="J730" s="6">
        <f t="shared" si="27"/>
        <v>0</v>
      </c>
    </row>
    <row r="731" spans="1:10" x14ac:dyDescent="0.35">
      <c r="A731" t="s">
        <v>243</v>
      </c>
      <c r="B731" t="s">
        <v>1559</v>
      </c>
      <c r="C731" t="s">
        <v>1561</v>
      </c>
      <c r="G731" t="str">
        <f t="shared" si="26"/>
        <v>.csv</v>
      </c>
      <c r="H731" s="5" t="str">
        <f>IFERROR(IF(B731="FoPITY",INDEX(Customizations!$C$2:$C$19,MATCH(Sheet1!C731,Customizations!$B$2:$B$19,0),1),INDEX(About!C:C,MATCH(Sheet1!B731,About!B:B,0),1)),"")</f>
        <v>BAU Clean Heat PTC Duration.xlsx</v>
      </c>
      <c r="I731" s="5">
        <f>IFERROR(INDEX(About!$D:$D,MATCH(Sheet1!H731,About!$C:$C,0),1),0)</f>
        <v>0</v>
      </c>
      <c r="J731" s="6">
        <f t="shared" si="27"/>
        <v>0</v>
      </c>
    </row>
    <row r="732" spans="1:10" x14ac:dyDescent="0.35">
      <c r="A732" t="s">
        <v>243</v>
      </c>
      <c r="B732" t="s">
        <v>1562</v>
      </c>
      <c r="C732" t="s">
        <v>1563</v>
      </c>
      <c r="G732" t="str">
        <f t="shared" si="26"/>
        <v>xlsx</v>
      </c>
      <c r="H732" s="5" t="str">
        <f>IFERROR(IF(B732="FoPITY",INDEX(Customizations!$C$2:$C$19,MATCH(Sheet1!C732,Customizations!$B$2:$B$19,0),1),INDEX(About!C:C,MATCH(Sheet1!B732,About!B:B,0),1)),"")</f>
        <v>BAU Clean Heat Subsidy Rate.xlsx</v>
      </c>
      <c r="I732" s="5">
        <f>IFERROR(INDEX(About!$D:$D,MATCH(Sheet1!H732,About!$C:$C,0),1),0)</f>
        <v>0</v>
      </c>
      <c r="J732" s="6">
        <f t="shared" si="27"/>
        <v>0</v>
      </c>
    </row>
    <row r="733" spans="1:10" x14ac:dyDescent="0.35">
      <c r="A733" t="s">
        <v>243</v>
      </c>
      <c r="B733" t="s">
        <v>1562</v>
      </c>
      <c r="C733" t="s">
        <v>1865</v>
      </c>
      <c r="G733" t="str">
        <f t="shared" si="26"/>
        <v>.csv</v>
      </c>
      <c r="H733" s="5" t="str">
        <f>IFERROR(IF(B733="FoPITY",INDEX(Customizations!$C$2:$C$19,MATCH(Sheet1!C733,Customizations!$B$2:$B$19,0),1),INDEX(About!C:C,MATCH(Sheet1!B733,About!B:B,0),1)),"")</f>
        <v>BAU Clean Heat Subsidy Rate.xlsx</v>
      </c>
      <c r="I733" s="5">
        <f>IFERROR(INDEX(About!$D:$D,MATCH(Sheet1!H733,About!$C:$C,0),1),0)</f>
        <v>0</v>
      </c>
      <c r="J733" s="6">
        <f t="shared" si="27"/>
        <v>0</v>
      </c>
    </row>
    <row r="734" spans="1:10" x14ac:dyDescent="0.35">
      <c r="A734" t="s">
        <v>243</v>
      </c>
      <c r="B734" t="s">
        <v>1562</v>
      </c>
      <c r="C734" t="s">
        <v>1866</v>
      </c>
      <c r="G734" t="str">
        <f t="shared" si="26"/>
        <v>.csv</v>
      </c>
      <c r="H734" s="5" t="str">
        <f>IFERROR(IF(B734="FoPITY",INDEX(Customizations!$C$2:$C$19,MATCH(Sheet1!C734,Customizations!$B$2:$B$19,0),1),INDEX(About!C:C,MATCH(Sheet1!B734,About!B:B,0),1)),"")</f>
        <v>BAU Clean Heat Subsidy Rate.xlsx</v>
      </c>
      <c r="I734" s="5">
        <f>IFERROR(INDEX(About!$D:$D,MATCH(Sheet1!H734,About!$C:$C,0),1),0)</f>
        <v>0</v>
      </c>
      <c r="J734" s="6">
        <f t="shared" si="27"/>
        <v>0</v>
      </c>
    </row>
    <row r="735" spans="1:10" x14ac:dyDescent="0.35">
      <c r="A735" t="s">
        <v>243</v>
      </c>
      <c r="B735" t="s">
        <v>1564</v>
      </c>
      <c r="C735" t="s">
        <v>1565</v>
      </c>
      <c r="G735" t="str">
        <f t="shared" si="26"/>
        <v>xlsx</v>
      </c>
      <c r="H735" s="5" t="str">
        <f>IFERROR(IF(B735="FoPITY",INDEX(Customizations!$C$2:$C$19,MATCH(Sheet1!C735,Customizations!$B$2:$B$19,0),1),INDEX(About!C:C,MATCH(Sheet1!B735,About!B:B,0),1)),"")</f>
        <v>BAU Cost of Industry Sector Capital.xlsx</v>
      </c>
      <c r="I735" s="5">
        <f>IFERROR(INDEX(About!$D:$D,MATCH(Sheet1!H735,About!$C:$C,0),1),0)</f>
        <v>0</v>
      </c>
      <c r="J735" s="6">
        <f t="shared" si="27"/>
        <v>0</v>
      </c>
    </row>
    <row r="736" spans="1:10" x14ac:dyDescent="0.35">
      <c r="A736" t="s">
        <v>243</v>
      </c>
      <c r="B736" t="s">
        <v>1564</v>
      </c>
      <c r="C736" t="s">
        <v>1566</v>
      </c>
      <c r="G736" t="str">
        <f t="shared" si="26"/>
        <v>.csv</v>
      </c>
      <c r="H736" s="5" t="str">
        <f>IFERROR(IF(B736="FoPITY",INDEX(Customizations!$C$2:$C$19,MATCH(Sheet1!C736,Customizations!$B$2:$B$19,0),1),INDEX(About!C:C,MATCH(Sheet1!B736,About!B:B,0),1)),"")</f>
        <v>BAU Cost of Industry Sector Capital.xlsx</v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35">
      <c r="A737" t="s">
        <v>243</v>
      </c>
      <c r="B737" t="s">
        <v>1564</v>
      </c>
      <c r="C737" t="s">
        <v>1567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>BAU Cost of Industry Sector Capital.xlsx</v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35">
      <c r="A738" t="s">
        <v>243</v>
      </c>
      <c r="B738" t="s">
        <v>1867</v>
      </c>
      <c r="C738" t="s">
        <v>1868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>Bool Does Govt Pay for Process Emissions Policies.xlsx</v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35">
      <c r="A739" t="s">
        <v>243</v>
      </c>
      <c r="B739" t="s">
        <v>1867</v>
      </c>
      <c r="C739" t="s">
        <v>1869</v>
      </c>
      <c r="G739" t="str">
        <f t="shared" si="26"/>
        <v>xlsx</v>
      </c>
      <c r="H739" s="5" t="str">
        <f>IFERROR(IF(B739="FoPITY",INDEX(Customizations!$C$2:$C$19,MATCH(Sheet1!C739,Customizations!$B$2:$B$19,0),1),INDEX(About!C:C,MATCH(Sheet1!B739,About!B:B,0),1)),"")</f>
        <v>Bool Does Govt Pay for Process Emissions Policies.xlsx</v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35">
      <c r="A740" t="s">
        <v>243</v>
      </c>
      <c r="B740" t="s">
        <v>1568</v>
      </c>
      <c r="C740" t="s">
        <v>1569</v>
      </c>
      <c r="G740" t="str">
        <f t="shared" si="26"/>
        <v>xlsx</v>
      </c>
      <c r="H740" s="5" t="str">
        <f>IFERROR(IF(B740="FoPITY",INDEX(Customizations!$C$2:$C$19,MATCH(Sheet1!C740,Customizations!$B$2:$B$19,0),1),INDEX(About!C:C,MATCH(Sheet1!B740,About!B:B,0),1)),"")</f>
        <v>BAU Industrial Equipment Efficiency Improvement.xlsx</v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35">
      <c r="A741" t="s">
        <v>243</v>
      </c>
      <c r="B741" t="s">
        <v>1568</v>
      </c>
      <c r="C741" t="s">
        <v>1570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BAU Industrial Equipment Efficiency Improvement.xlsx</v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35">
      <c r="A742" t="s">
        <v>243</v>
      </c>
      <c r="B742" t="s">
        <v>1568</v>
      </c>
      <c r="C742" t="s">
        <v>1571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>BAU Industrial Equipment Efficiency Improvement.xlsx</v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35">
      <c r="A743" t="s">
        <v>243</v>
      </c>
      <c r="B743" t="s">
        <v>1572</v>
      </c>
      <c r="C743" t="s">
        <v>1573</v>
      </c>
      <c r="G743" t="str">
        <f t="shared" si="26"/>
        <v>xlsx</v>
      </c>
      <c r="H743" s="5" t="str">
        <f>IFERROR(IF(B743="FoPITY",INDEX(Customizations!$C$2:$C$19,MATCH(Sheet1!C743,Customizations!$B$2:$B$19,0),1),INDEX(About!C:C,MATCH(Sheet1!B743,About!B:B,0),1)),"")</f>
        <v>BAU Industrial Energy Use Reduction from Process Efficiency Improvements.xlsx</v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35">
      <c r="A744" t="s">
        <v>243</v>
      </c>
      <c r="B744" t="s">
        <v>1572</v>
      </c>
      <c r="C744" t="s">
        <v>1574</v>
      </c>
      <c r="G744" t="str">
        <f t="shared" si="26"/>
        <v>.csv</v>
      </c>
      <c r="H744" s="5" t="str">
        <f>IFERROR(IF(B744="FoPITY",INDEX(Customizations!$C$2:$C$19,MATCH(Sheet1!C744,Customizations!$B$2:$B$19,0),1),INDEX(About!C:C,MATCH(Sheet1!B744,About!B:B,0),1)),"")</f>
        <v>BAU Industrial Energy Use Reduction from Process Efficiency Improvements.xlsx</v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35">
      <c r="A745" t="s">
        <v>243</v>
      </c>
      <c r="B745" t="s">
        <v>1572</v>
      </c>
      <c r="C745" t="s">
        <v>1575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>BAU Industrial Energy Use Reduction from Process Efficiency Improvements.xlsx</v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35">
      <c r="A746" t="s">
        <v>243</v>
      </c>
      <c r="B746" t="s">
        <v>1572</v>
      </c>
      <c r="C746" t="s">
        <v>1576</v>
      </c>
      <c r="G746" t="str">
        <f t="shared" si="26"/>
        <v>.csv</v>
      </c>
      <c r="H746" s="5" t="str">
        <f>IFERROR(IF(B746="FoPITY",INDEX(Customizations!$C$2:$C$19,MATCH(Sheet1!C746,Customizations!$B$2:$B$19,0),1),INDEX(About!C:C,MATCH(Sheet1!B746,About!B:B,0),1)),"")</f>
        <v>BAU Industrial Energy Use Reduction from Process Efficiency Improvements.xlsx</v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35">
      <c r="A747" t="s">
        <v>243</v>
      </c>
      <c r="B747" t="s">
        <v>1572</v>
      </c>
      <c r="C747" t="s">
        <v>1577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BAU Industrial Energy Use Reduction from Process Efficiency Improvements.xlsx</v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35">
      <c r="A748" t="s">
        <v>243</v>
      </c>
      <c r="B748" t="s">
        <v>1572</v>
      </c>
      <c r="C748" t="s">
        <v>1578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>BAU Industrial Energy Use Reduction from Process Efficiency Improvements.xlsx</v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35">
      <c r="A749" t="s">
        <v>243</v>
      </c>
      <c r="B749" t="s">
        <v>1572</v>
      </c>
      <c r="C749" t="s">
        <v>1579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>BAU Industrial Energy Use Reduction from Process Efficiency Improvements.xlsx</v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35">
      <c r="A750" t="s">
        <v>243</v>
      </c>
      <c r="B750" t="s">
        <v>1572</v>
      </c>
      <c r="C750" t="s">
        <v>1580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>BAU Industrial Energy Use Reduction from Process Efficiency Improvements.xlsx</v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35">
      <c r="A751" t="s">
        <v>243</v>
      </c>
      <c r="B751" t="s">
        <v>1572</v>
      </c>
      <c r="C751" t="s">
        <v>1581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>BAU Industrial Energy Use Reduction from Process Efficiency Improvements.xlsx</v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35">
      <c r="A752" t="s">
        <v>243</v>
      </c>
      <c r="B752" t="s">
        <v>1572</v>
      </c>
      <c r="C752" t="s">
        <v>1582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>BAU Industrial Energy Use Reduction from Process Efficiency Improvements.xlsx</v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35">
      <c r="A753" t="s">
        <v>243</v>
      </c>
      <c r="B753" t="s">
        <v>1572</v>
      </c>
      <c r="C753" t="s">
        <v>1583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BAU Industrial Energy Use Reduction from Process Efficiency Improvements.xlsx</v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35">
      <c r="A754" t="s">
        <v>243</v>
      </c>
      <c r="B754" t="s">
        <v>1572</v>
      </c>
      <c r="C754" t="s">
        <v>1584</v>
      </c>
      <c r="G754" t="str">
        <f t="shared" si="26"/>
        <v>.csv</v>
      </c>
      <c r="H754" s="5" t="str">
        <f>IFERROR(IF(B754="FoPITY",INDEX(Customizations!$C$2:$C$19,MATCH(Sheet1!C754,Customizations!$B$2:$B$19,0),1),INDEX(About!C:C,MATCH(Sheet1!B754,About!B:B,0),1)),"")</f>
        <v>BAU Industrial Energy Use Reduction from Process Efficiency Improvements.xlsx</v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35">
      <c r="A755" t="s">
        <v>243</v>
      </c>
      <c r="B755" t="s">
        <v>1572</v>
      </c>
      <c r="C755" t="s">
        <v>1585</v>
      </c>
      <c r="G755" t="str">
        <f t="shared" si="26"/>
        <v>.csv</v>
      </c>
      <c r="H755" s="5" t="str">
        <f>IFERROR(IF(B755="FoPITY",INDEX(Customizations!$C$2:$C$19,MATCH(Sheet1!C755,Customizations!$B$2:$B$19,0),1),INDEX(About!C:C,MATCH(Sheet1!B755,About!B:B,0),1)),"")</f>
        <v>BAU Industrial Energy Use Reduction from Process Efficiency Improvements.xlsx</v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35">
      <c r="A756" t="s">
        <v>243</v>
      </c>
      <c r="B756" t="s">
        <v>1586</v>
      </c>
      <c r="C756" t="s">
        <v>1587</v>
      </c>
      <c r="G756" t="str">
        <f t="shared" si="26"/>
        <v>xlsx</v>
      </c>
      <c r="H756" s="5" t="str">
        <f>IFERROR(IF(B756="FoPITY",INDEX(Customizations!$C$2:$C$19,MATCH(Sheet1!C756,Customizations!$B$2:$B$19,0),1),INDEX(About!C:C,MATCH(Sheet1!B756,About!B:B,0),1)),"")</f>
        <v>BAU Industrial Fuel Use.xlsx</v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35">
      <c r="A757" t="s">
        <v>243</v>
      </c>
      <c r="B757" t="s">
        <v>1586</v>
      </c>
      <c r="C757" t="s">
        <v>1870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>BAU Industrial Fuel Use.xlsx</v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35">
      <c r="A758" t="s">
        <v>243</v>
      </c>
      <c r="B758" t="s">
        <v>1586</v>
      </c>
      <c r="C758" t="s">
        <v>1588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>BAU Industrial Fuel Use.xlsx</v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35">
      <c r="A759" t="s">
        <v>243</v>
      </c>
      <c r="B759" t="s">
        <v>1586</v>
      </c>
      <c r="C759" t="s">
        <v>1589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BAU Industrial Fuel Use.xlsx</v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35">
      <c r="A760" t="s">
        <v>243</v>
      </c>
      <c r="B760" t="s">
        <v>1586</v>
      </c>
      <c r="C760" t="s">
        <v>1590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BAU Industrial Fuel Use.xlsx</v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35">
      <c r="A761" t="s">
        <v>243</v>
      </c>
      <c r="B761" t="s">
        <v>1586</v>
      </c>
      <c r="C761" t="s">
        <v>1591</v>
      </c>
      <c r="G761" t="str">
        <f t="shared" si="26"/>
        <v>.csv</v>
      </c>
      <c r="H761" s="5" t="str">
        <f>IFERROR(IF(B761="FoPITY",INDEX(Customizations!$C$2:$C$19,MATCH(Sheet1!C761,Customizations!$B$2:$B$19,0),1),INDEX(About!C:C,MATCH(Sheet1!B761,About!B:B,0),1)),"")</f>
        <v>BAU Industrial Fuel Use.xlsx</v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35">
      <c r="A762" t="s">
        <v>243</v>
      </c>
      <c r="B762" t="s">
        <v>1586</v>
      </c>
      <c r="C762" t="s">
        <v>1592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BAU Industrial Fuel Use.xlsx</v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35">
      <c r="A763" t="s">
        <v>243</v>
      </c>
      <c r="B763" t="s">
        <v>1586</v>
      </c>
      <c r="C763" t="s">
        <v>1593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BAU Industrial Fuel Use.xlsx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35">
      <c r="A764" t="s">
        <v>243</v>
      </c>
      <c r="B764" t="s">
        <v>1586</v>
      </c>
      <c r="C764" t="s">
        <v>1594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BAU Industrial Fuel Use.xlsx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35">
      <c r="A765" t="s">
        <v>243</v>
      </c>
      <c r="B765" t="s">
        <v>1586</v>
      </c>
      <c r="C765" t="s">
        <v>1595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BAU Industrial Fuel Use.xlsx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35">
      <c r="A766" t="s">
        <v>243</v>
      </c>
      <c r="B766" t="s">
        <v>1586</v>
      </c>
      <c r="C766" t="s">
        <v>1596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BAU Industrial Fuel Use.xlsx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35">
      <c r="A767" t="s">
        <v>243</v>
      </c>
      <c r="B767" t="s">
        <v>1586</v>
      </c>
      <c r="C767" t="s">
        <v>1597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BAU Industrial Fuel Use.xlsx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35">
      <c r="A768" t="s">
        <v>243</v>
      </c>
      <c r="B768" t="s">
        <v>1586</v>
      </c>
      <c r="C768" t="s">
        <v>1598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BAU Industrial Fuel Use.xlsx</v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35">
      <c r="A769" t="s">
        <v>243</v>
      </c>
      <c r="B769" t="s">
        <v>1586</v>
      </c>
      <c r="C769" t="s">
        <v>1599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BAU Industrial Fuel Use.xlsx</v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35">
      <c r="A770" t="s">
        <v>243</v>
      </c>
      <c r="B770" t="s">
        <v>1586</v>
      </c>
      <c r="C770" t="s">
        <v>1600</v>
      </c>
      <c r="G770" t="str">
        <f t="shared" ref="G770:G829" si="28">RIGHT(C770,"4")</f>
        <v>.csv</v>
      </c>
      <c r="H770" s="5" t="str">
        <f>IFERROR(IF(B770="FoPITY",INDEX(Customizations!$C$2:$C$19,MATCH(Sheet1!C770,Customizations!$B$2:$B$19,0),1),INDEX(About!C:C,MATCH(Sheet1!B770,About!B:B,0),1)),"")</f>
        <v>BAU Industrial Fuel Use.xlsx</v>
      </c>
      <c r="I770" s="5">
        <f>IFERROR(INDEX(About!$D:$D,MATCH(Sheet1!H770,About!$C:$C,0),1),0)</f>
        <v>0</v>
      </c>
      <c r="J770" s="6">
        <f t="shared" ref="J770:J829" si="29">IF(G770=".csv",1,0)*I770</f>
        <v>0</v>
      </c>
    </row>
    <row r="771" spans="1:10" x14ac:dyDescent="0.35">
      <c r="A771" t="s">
        <v>243</v>
      </c>
      <c r="B771" t="s">
        <v>1586</v>
      </c>
      <c r="C771" t="s">
        <v>1601</v>
      </c>
      <c r="G771" t="str">
        <f t="shared" si="28"/>
        <v>.csv</v>
      </c>
      <c r="H771" s="5" t="str">
        <f>IFERROR(IF(B771="FoPITY",INDEX(Customizations!$C$2:$C$19,MATCH(Sheet1!C771,Customizations!$B$2:$B$19,0),1),INDEX(About!C:C,MATCH(Sheet1!B771,About!B:B,0),1)),"")</f>
        <v>BAU Industrial Fuel Use.xlsx</v>
      </c>
      <c r="I771" s="5">
        <f>IFERROR(INDEX(About!$D:$D,MATCH(Sheet1!H771,About!$C:$C,0),1),0)</f>
        <v>0</v>
      </c>
      <c r="J771" s="6">
        <f t="shared" si="29"/>
        <v>0</v>
      </c>
    </row>
    <row r="772" spans="1:10" x14ac:dyDescent="0.35">
      <c r="A772" t="s">
        <v>243</v>
      </c>
      <c r="B772" t="s">
        <v>1586</v>
      </c>
      <c r="C772" t="s">
        <v>1602</v>
      </c>
      <c r="G772" t="str">
        <f t="shared" si="28"/>
        <v>.csv</v>
      </c>
      <c r="H772" s="5" t="str">
        <f>IFERROR(IF(B772="FoPITY",INDEX(Customizations!$C$2:$C$19,MATCH(Sheet1!C772,Customizations!$B$2:$B$19,0),1),INDEX(About!C:C,MATCH(Sheet1!B772,About!B:B,0),1)),"")</f>
        <v>BAU Industrial Fuel Use.xlsx</v>
      </c>
      <c r="I772" s="5">
        <f>IFERROR(INDEX(About!$D:$D,MATCH(Sheet1!H772,About!$C:$C,0),1),0)</f>
        <v>0</v>
      </c>
      <c r="J772" s="6">
        <f t="shared" si="29"/>
        <v>0</v>
      </c>
    </row>
    <row r="773" spans="1:10" x14ac:dyDescent="0.35">
      <c r="A773" t="s">
        <v>243</v>
      </c>
      <c r="B773" t="s">
        <v>1586</v>
      </c>
      <c r="C773" t="s">
        <v>1603</v>
      </c>
      <c r="G773" t="str">
        <f t="shared" si="28"/>
        <v>.csv</v>
      </c>
      <c r="H773" s="5" t="str">
        <f>IFERROR(IF(B773="FoPITY",INDEX(Customizations!$C$2:$C$19,MATCH(Sheet1!C773,Customizations!$B$2:$B$19,0),1),INDEX(About!C:C,MATCH(Sheet1!B773,About!B:B,0),1)),"")</f>
        <v>BAU Industrial Fuel Use.xlsx</v>
      </c>
      <c r="I773" s="5">
        <f>IFERROR(INDEX(About!$D:$D,MATCH(Sheet1!H773,About!$C:$C,0),1),0)</f>
        <v>0</v>
      </c>
      <c r="J773" s="6">
        <f t="shared" si="29"/>
        <v>0</v>
      </c>
    </row>
    <row r="774" spans="1:10" x14ac:dyDescent="0.35">
      <c r="A774" t="s">
        <v>243</v>
      </c>
      <c r="B774" t="s">
        <v>1586</v>
      </c>
      <c r="C774" t="s">
        <v>1604</v>
      </c>
      <c r="G774" t="str">
        <f t="shared" si="28"/>
        <v>.csv</v>
      </c>
      <c r="H774" s="5" t="str">
        <f>IFERROR(IF(B774="FoPITY",INDEX(Customizations!$C$2:$C$19,MATCH(Sheet1!C774,Customizations!$B$2:$B$19,0),1),INDEX(About!C:C,MATCH(Sheet1!B774,About!B:B,0),1)),"")</f>
        <v>BAU Industrial Fuel Use.xlsx</v>
      </c>
      <c r="I774" s="5">
        <f>IFERROR(INDEX(About!$D:$D,MATCH(Sheet1!H774,About!$C:$C,0),1),0)</f>
        <v>0</v>
      </c>
      <c r="J774" s="6">
        <f t="shared" si="29"/>
        <v>0</v>
      </c>
    </row>
    <row r="775" spans="1:10" x14ac:dyDescent="0.35">
      <c r="A775" t="s">
        <v>243</v>
      </c>
      <c r="B775" t="s">
        <v>1586</v>
      </c>
      <c r="C775" t="s">
        <v>1605</v>
      </c>
      <c r="G775" t="str">
        <f t="shared" si="28"/>
        <v>.csv</v>
      </c>
      <c r="H775" s="5" t="str">
        <f>IFERROR(IF(B775="FoPITY",INDEX(Customizations!$C$2:$C$19,MATCH(Sheet1!C775,Customizations!$B$2:$B$19,0),1),INDEX(About!C:C,MATCH(Sheet1!B775,About!B:B,0),1)),"")</f>
        <v>BAU Industrial Fuel Use.xlsx</v>
      </c>
      <c r="I775" s="5">
        <f>IFERROR(INDEX(About!$D:$D,MATCH(Sheet1!H775,About!$C:$C,0),1),0)</f>
        <v>0</v>
      </c>
      <c r="J775" s="6">
        <f t="shared" si="29"/>
        <v>0</v>
      </c>
    </row>
    <row r="776" spans="1:10" x14ac:dyDescent="0.35">
      <c r="A776" t="s">
        <v>243</v>
      </c>
      <c r="B776" t="s">
        <v>1586</v>
      </c>
      <c r="C776" t="s">
        <v>1606</v>
      </c>
      <c r="G776" t="str">
        <f t="shared" si="28"/>
        <v>.csv</v>
      </c>
      <c r="H776" s="5" t="str">
        <f>IFERROR(IF(B776="FoPITY",INDEX(Customizations!$C$2:$C$19,MATCH(Sheet1!C776,Customizations!$B$2:$B$19,0),1),INDEX(About!C:C,MATCH(Sheet1!B776,About!B:B,0),1)),"")</f>
        <v>BAU Industrial Fuel Use.xlsx</v>
      </c>
      <c r="I776" s="5">
        <f>IFERROR(INDEX(About!$D:$D,MATCH(Sheet1!H776,About!$C:$C,0),1),0)</f>
        <v>0</v>
      </c>
      <c r="J776" s="6">
        <f t="shared" si="29"/>
        <v>0</v>
      </c>
    </row>
    <row r="777" spans="1:10" x14ac:dyDescent="0.35">
      <c r="A777" t="s">
        <v>243</v>
      </c>
      <c r="B777" t="s">
        <v>1586</v>
      </c>
      <c r="C777" t="s">
        <v>1607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>BAU Industrial Fuel Use.xlsx</v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35">
      <c r="A778" t="s">
        <v>243</v>
      </c>
      <c r="B778" t="s">
        <v>1586</v>
      </c>
      <c r="C778" t="s">
        <v>1608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>BAU Industrial Fuel Use.xlsx</v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35">
      <c r="A779" t="s">
        <v>243</v>
      </c>
      <c r="B779" t="s">
        <v>1586</v>
      </c>
      <c r="C779" t="s">
        <v>1609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>BAU Industrial Fuel Use.xlsx</v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35">
      <c r="A780" t="s">
        <v>243</v>
      </c>
      <c r="B780" t="s">
        <v>1586</v>
      </c>
      <c r="C780" t="s">
        <v>1610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>BAU Industrial Fuel Use.xlsx</v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35">
      <c r="A781" t="s">
        <v>243</v>
      </c>
      <c r="B781" t="s">
        <v>1586</v>
      </c>
      <c r="C781" t="s">
        <v>1611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>BAU Industrial Fuel Use.xlsx</v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35">
      <c r="A782" t="s">
        <v>243</v>
      </c>
      <c r="B782" t="s">
        <v>1871</v>
      </c>
      <c r="C782" t="s">
        <v>1872</v>
      </c>
      <c r="G782" t="str">
        <f t="shared" si="28"/>
        <v>xlsx</v>
      </c>
      <c r="H782" s="5" t="str">
        <f>IFERROR(IF(B782="FoPITY",INDEX(Customizations!$C$2:$C$19,MATCH(Sheet1!C782,Customizations!$B$2:$B$19,0),1),INDEX(About!C:C,MATCH(Sheet1!B782,About!B:B,0),1)),"")</f>
        <v>BAU Individual Industrial Site Retirement Profiles.xlsx</v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35">
      <c r="A783" t="s">
        <v>243</v>
      </c>
      <c r="B783" t="s">
        <v>1871</v>
      </c>
      <c r="C783" t="s">
        <v>1873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>BAU Individual Industrial Site Retirement Profiles.xlsx</v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35">
      <c r="A784" t="s">
        <v>243</v>
      </c>
      <c r="B784" t="s">
        <v>1871</v>
      </c>
      <c r="C784" t="s">
        <v>1874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>BAU Individual Industrial Site Retirement Profiles.xlsx</v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35">
      <c r="A785" t="s">
        <v>243</v>
      </c>
      <c r="B785" t="s">
        <v>865</v>
      </c>
      <c r="C785" t="s">
        <v>866</v>
      </c>
      <c r="G785" t="str">
        <f t="shared" si="28"/>
        <v>xlsx</v>
      </c>
      <c r="H785" s="5" t="str">
        <f>IFERROR(IF(B785="FoPITY",INDEX(Customizations!$C$2:$C$19,MATCH(Sheet1!C785,Customizations!$B$2:$B$19,0),1),INDEX(About!C:C,MATCH(Sheet1!B785,About!B:B,0),1)),"")</f>
        <v>BAU Process Emissions.xlsx</v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35">
      <c r="A786" t="s">
        <v>243</v>
      </c>
      <c r="B786" t="s">
        <v>865</v>
      </c>
      <c r="C786" t="s">
        <v>867</v>
      </c>
      <c r="G786" t="str">
        <f t="shared" si="28"/>
        <v>.csv</v>
      </c>
      <c r="H786" s="5" t="str">
        <f>IFERROR(IF(B786="FoPITY",INDEX(Customizations!$C$2:$C$19,MATCH(Sheet1!C786,Customizations!$B$2:$B$19,0),1),INDEX(About!C:C,MATCH(Sheet1!B786,About!B:B,0),1)),"")</f>
        <v>BAU Process Emissions.xlsx</v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35">
      <c r="A787" t="s">
        <v>243</v>
      </c>
      <c r="B787" t="s">
        <v>865</v>
      </c>
      <c r="C787" t="s">
        <v>868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>BAU Process Emissions.xlsx</v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35">
      <c r="A788" t="s">
        <v>243</v>
      </c>
      <c r="B788" t="s">
        <v>865</v>
      </c>
      <c r="C788" t="s">
        <v>869</v>
      </c>
      <c r="G788" t="str">
        <f t="shared" si="28"/>
        <v>.csv</v>
      </c>
      <c r="H788" s="5" t="str">
        <f>IFERROR(IF(B788="FoPITY",INDEX(Customizations!$C$2:$C$19,MATCH(Sheet1!C788,Customizations!$B$2:$B$19,0),1),INDEX(About!C:C,MATCH(Sheet1!B788,About!B:B,0),1)),"")</f>
        <v>BAU Process Emissions.xlsx</v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35">
      <c r="A789" t="s">
        <v>243</v>
      </c>
      <c r="B789" t="s">
        <v>865</v>
      </c>
      <c r="C789" t="s">
        <v>870</v>
      </c>
      <c r="G789" t="str">
        <f t="shared" si="28"/>
        <v>.csv</v>
      </c>
      <c r="H789" s="5" t="str">
        <f>IFERROR(IF(B789="FoPITY",INDEX(Customizations!$C$2:$C$19,MATCH(Sheet1!C789,Customizations!$B$2:$B$19,0),1),INDEX(About!C:C,MATCH(Sheet1!B789,About!B:B,0),1)),"")</f>
        <v>BAU Process Emissions.xlsx</v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35">
      <c r="A790" t="s">
        <v>243</v>
      </c>
      <c r="B790" t="s">
        <v>865</v>
      </c>
      <c r="C790" t="s">
        <v>871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BAU Process Emissions.xlsx</v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35">
      <c r="A791" t="s">
        <v>243</v>
      </c>
      <c r="B791" t="s">
        <v>865</v>
      </c>
      <c r="C791" t="s">
        <v>872</v>
      </c>
      <c r="G791" t="str">
        <f t="shared" si="28"/>
        <v>.csv</v>
      </c>
      <c r="H791" s="5" t="str">
        <f>IFERROR(IF(B791="FoPITY",INDEX(Customizations!$C$2:$C$19,MATCH(Sheet1!C791,Customizations!$B$2:$B$19,0),1),INDEX(About!C:C,MATCH(Sheet1!B791,About!B:B,0),1)),"")</f>
        <v>BAU Process Emissions.xlsx</v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35">
      <c r="A792" t="s">
        <v>243</v>
      </c>
      <c r="B792" t="s">
        <v>865</v>
      </c>
      <c r="C792" t="s">
        <v>873</v>
      </c>
      <c r="G792" t="str">
        <f t="shared" si="28"/>
        <v>.csv</v>
      </c>
      <c r="H792" s="5" t="str">
        <f>IFERROR(IF(B792="FoPITY",INDEX(Customizations!$C$2:$C$19,MATCH(Sheet1!C792,Customizations!$B$2:$B$19,0),1),INDEX(About!C:C,MATCH(Sheet1!B792,About!B:B,0),1)),"")</f>
        <v>BAU Process Emissions.xlsx</v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35">
      <c r="A793" t="s">
        <v>243</v>
      </c>
      <c r="B793" t="s">
        <v>865</v>
      </c>
      <c r="C793" t="s">
        <v>874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BAU Process Emissions.xlsx</v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35">
      <c r="A794" t="s">
        <v>243</v>
      </c>
      <c r="B794" t="s">
        <v>865</v>
      </c>
      <c r="C794" t="s">
        <v>875</v>
      </c>
      <c r="G794" t="str">
        <f t="shared" si="28"/>
        <v>.csv</v>
      </c>
      <c r="H794" s="5" t="str">
        <f>IFERROR(IF(B794="FoPITY",INDEX(Customizations!$C$2:$C$19,MATCH(Sheet1!C794,Customizations!$B$2:$B$19,0),1),INDEX(About!C:C,MATCH(Sheet1!B794,About!B:B,0),1)),"")</f>
        <v>BAU Process Emissions.xlsx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35">
      <c r="A795" t="s">
        <v>243</v>
      </c>
      <c r="B795" t="s">
        <v>865</v>
      </c>
      <c r="C795" t="s">
        <v>876</v>
      </c>
      <c r="G795" t="str">
        <f t="shared" si="28"/>
        <v>.csv</v>
      </c>
      <c r="H795" s="5" t="str">
        <f>IFERROR(IF(B795="FoPITY",INDEX(Customizations!$C$2:$C$19,MATCH(Sheet1!C795,Customizations!$B$2:$B$19,0),1),INDEX(About!C:C,MATCH(Sheet1!B795,About!B:B,0),1)),"")</f>
        <v>BAU Process Emissions.xlsx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35">
      <c r="A796" t="s">
        <v>243</v>
      </c>
      <c r="B796" t="s">
        <v>865</v>
      </c>
      <c r="C796" t="s">
        <v>877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BAU Process Emissions.xlsx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35">
      <c r="A797" t="s">
        <v>243</v>
      </c>
      <c r="B797" t="s">
        <v>865</v>
      </c>
      <c r="C797" t="s">
        <v>878</v>
      </c>
      <c r="G797" t="str">
        <f t="shared" si="28"/>
        <v>.csv</v>
      </c>
      <c r="H797" s="5" t="str">
        <f>IFERROR(IF(B797="FoPITY",INDEX(Customizations!$C$2:$C$19,MATCH(Sheet1!C797,Customizations!$B$2:$B$19,0),1),INDEX(About!C:C,MATCH(Sheet1!B797,About!B:B,0),1)),"")</f>
        <v>BAU Process Emissions.xlsx</v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35">
      <c r="A798" t="s">
        <v>243</v>
      </c>
      <c r="B798" t="s">
        <v>865</v>
      </c>
      <c r="C798" t="s">
        <v>879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BAU Process Emissions.xlsx</v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35">
      <c r="A799" t="s">
        <v>243</v>
      </c>
      <c r="B799" t="s">
        <v>1138</v>
      </c>
      <c r="C799" t="s">
        <v>1139</v>
      </c>
      <c r="G799" t="str">
        <f t="shared" si="28"/>
        <v>xlsx</v>
      </c>
      <c r="H799" s="5" t="str">
        <f>IFERROR(IF(B799="FoPITY",INDEX(Customizations!$C$2:$C$19,MATCH(Sheet1!C799,Customizations!$B$2:$B$19,0),1),INDEX(About!C:C,MATCH(Sheet1!B799,About!B:B,0),1)),"")</f>
        <v>BAU Perc Fuel Use by Industrial Process.xlsx</v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35">
      <c r="A800" t="s">
        <v>243</v>
      </c>
      <c r="B800" t="s">
        <v>1138</v>
      </c>
      <c r="C800" t="s">
        <v>1612</v>
      </c>
      <c r="G800" t="str">
        <f t="shared" si="28"/>
        <v>.csv</v>
      </c>
      <c r="H800" s="5" t="str">
        <f>IFERROR(IF(B800="FoPITY",INDEX(Customizations!$C$2:$C$19,MATCH(Sheet1!C800,Customizations!$B$2:$B$19,0),1),INDEX(About!C:C,MATCH(Sheet1!B800,About!B:B,0),1)),"")</f>
        <v>BAU Perc Fuel Use by Industrial Process.xlsx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35">
      <c r="A801" t="s">
        <v>243</v>
      </c>
      <c r="B801" t="s">
        <v>1138</v>
      </c>
      <c r="C801" t="s">
        <v>1613</v>
      </c>
      <c r="G801" t="str">
        <f t="shared" si="28"/>
        <v>.csv</v>
      </c>
      <c r="H801" s="5" t="str">
        <f>IFERROR(IF(B801="FoPITY",INDEX(Customizations!$C$2:$C$19,MATCH(Sheet1!C801,Customizations!$B$2:$B$19,0),1),INDEX(About!C:C,MATCH(Sheet1!B801,About!B:B,0),1)),"")</f>
        <v>BAU Perc Fuel Use by Industrial Process.xlsx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35">
      <c r="A802" t="s">
        <v>243</v>
      </c>
      <c r="B802" t="s">
        <v>1138</v>
      </c>
      <c r="C802" t="s">
        <v>1312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BAU Perc Fuel Use by Industrial Process.xlsx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35">
      <c r="A803" t="s">
        <v>243</v>
      </c>
      <c r="B803" t="s">
        <v>1138</v>
      </c>
      <c r="C803" t="s">
        <v>1614</v>
      </c>
      <c r="G803" t="str">
        <f t="shared" si="28"/>
        <v>.csv</v>
      </c>
      <c r="H803" s="5" t="str">
        <f>IFERROR(IF(B803="FoPITY",INDEX(Customizations!$C$2:$C$19,MATCH(Sheet1!C803,Customizations!$B$2:$B$19,0),1),INDEX(About!C:C,MATCH(Sheet1!B803,About!B:B,0),1)),"")</f>
        <v>BAU Perc Fuel Use by Industrial Process.xlsx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35">
      <c r="A804" t="s">
        <v>243</v>
      </c>
      <c r="B804" t="s">
        <v>1138</v>
      </c>
      <c r="C804" t="s">
        <v>1615</v>
      </c>
      <c r="G804" t="str">
        <f t="shared" si="28"/>
        <v>.csv</v>
      </c>
      <c r="H804" s="5" t="str">
        <f>IFERROR(IF(B804="FoPITY",INDEX(Customizations!$C$2:$C$19,MATCH(Sheet1!C804,Customizations!$B$2:$B$19,0),1),INDEX(About!C:C,MATCH(Sheet1!B804,About!B:B,0),1)),"")</f>
        <v>BAU Perc Fuel Use by Industrial Process.xlsx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35">
      <c r="A805" t="s">
        <v>243</v>
      </c>
      <c r="B805" t="s">
        <v>1138</v>
      </c>
      <c r="C805" t="s">
        <v>1616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BAU Perc Fuel Use by Industrial Process.xlsx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35">
      <c r="A806" t="s">
        <v>243</v>
      </c>
      <c r="B806" t="s">
        <v>1138</v>
      </c>
      <c r="C806" t="s">
        <v>1617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BAU Perc Fuel Use by Industrial Process.xlsx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35">
      <c r="A807" t="s">
        <v>243</v>
      </c>
      <c r="B807" t="s">
        <v>1138</v>
      </c>
      <c r="C807" t="s">
        <v>1618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BAU Perc Fuel Use by Industrial Process.xlsx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35">
      <c r="A808" t="s">
        <v>243</v>
      </c>
      <c r="B808" t="s">
        <v>1138</v>
      </c>
      <c r="C808" t="s">
        <v>1619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BAU Perc Fuel Use by Industrial Process.xlsx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35">
      <c r="A809" t="s">
        <v>243</v>
      </c>
      <c r="B809" t="s">
        <v>1138</v>
      </c>
      <c r="C809" t="s">
        <v>1620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BAU Perc Fuel Use by Industrial Process.xlsx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35">
      <c r="A810" t="s">
        <v>243</v>
      </c>
      <c r="B810" t="s">
        <v>1138</v>
      </c>
      <c r="C810" t="s">
        <v>1621</v>
      </c>
      <c r="G810" t="str">
        <f t="shared" si="28"/>
        <v>.csv</v>
      </c>
      <c r="H810" s="5" t="str">
        <f>IFERROR(IF(B810="FoPITY",INDEX(Customizations!$C$2:$C$19,MATCH(Sheet1!C810,Customizations!$B$2:$B$19,0),1),INDEX(About!C:C,MATCH(Sheet1!B810,About!B:B,0),1)),"")</f>
        <v>BAU Perc Fuel Use by Industrial Process.xlsx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35">
      <c r="A811" t="s">
        <v>243</v>
      </c>
      <c r="B811" t="s">
        <v>1138</v>
      </c>
      <c r="C811" t="s">
        <v>1622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BAU Perc Fuel Use by Industrial Process.xlsx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35">
      <c r="A812" t="s">
        <v>243</v>
      </c>
      <c r="B812" t="s">
        <v>1138</v>
      </c>
      <c r="C812" t="s">
        <v>1623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BAU Perc Fuel Use by Industrial Process.xlsx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35">
      <c r="A813" t="s">
        <v>243</v>
      </c>
      <c r="B813" t="s">
        <v>1138</v>
      </c>
      <c r="C813" t="s">
        <v>1875</v>
      </c>
      <c r="G813" t="str">
        <f t="shared" si="28"/>
        <v>r.py</v>
      </c>
      <c r="H813" s="5" t="str">
        <f>IFERROR(IF(B813="FoPITY",INDEX(Customizations!$C$2:$C$19,MATCH(Sheet1!C813,Customizations!$B$2:$B$19,0),1),INDEX(About!C:C,MATCH(Sheet1!B813,About!B:B,0),1)),"")</f>
        <v>BAU Perc Fuel Use by Industrial Process.xlsx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35">
      <c r="A814" t="s">
        <v>243</v>
      </c>
      <c r="B814" t="s">
        <v>1138</v>
      </c>
      <c r="C814" t="s">
        <v>1876</v>
      </c>
      <c r="G814" t="str">
        <f t="shared" si="28"/>
        <v>xlsx</v>
      </c>
      <c r="H814" s="5" t="str">
        <f>IFERROR(IF(B814="FoPITY",INDEX(Customizations!$C$2:$C$19,MATCH(Sheet1!C814,Customizations!$B$2:$B$19,0),1),INDEX(About!C:C,MATCH(Sheet1!B814,About!B:B,0),1)),"")</f>
        <v>BAU Perc Fuel Use by Industrial Process.xlsx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35">
      <c r="A815" t="s">
        <v>243</v>
      </c>
      <c r="B815" t="s">
        <v>1138</v>
      </c>
      <c r="C815" t="s">
        <v>1877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BAU Perc Fuel Use by Industrial Process.xlsx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35">
      <c r="A816" t="s">
        <v>243</v>
      </c>
      <c r="B816" t="s">
        <v>244</v>
      </c>
      <c r="C816" t="s">
        <v>245</v>
      </c>
      <c r="G816" t="str">
        <f t="shared" si="28"/>
        <v>xlsx</v>
      </c>
      <c r="H816" s="5" t="str">
        <f>IFERROR(IF(B816="FoPITY",INDEX(Customizations!$C$2:$C$19,MATCH(Sheet1!C816,Customizations!$B$2:$B$19,0),1),INDEX(About!C:C,MATCH(Sheet1!B816,About!B:B,0),1)),"")</f>
        <v>BAU Shr of Ag Indst Going to Anml Prdcts.xlsx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35">
      <c r="A817" t="s">
        <v>243</v>
      </c>
      <c r="B817" t="s">
        <v>244</v>
      </c>
      <c r="C817" t="s">
        <v>246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>BAU Shr of Ag Indst Going to Anml Prdcts.xlsx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35">
      <c r="A818" t="s">
        <v>243</v>
      </c>
      <c r="B818" t="s">
        <v>830</v>
      </c>
      <c r="C818" t="s">
        <v>831</v>
      </c>
      <c r="G818" t="str">
        <f t="shared" si="28"/>
        <v>xlsx</v>
      </c>
      <c r="H818" s="5" t="str">
        <f>IFERROR(IF(B818="FoPITY",INDEX(Customizations!$C$2:$C$19,MATCH(Sheet1!C818,Customizations!$B$2:$B$19,0),1),INDEX(About!C:C,MATCH(Sheet1!B818,About!B:B,0),1)),"")</f>
        <v>Elasticities of Demand for Industrial Products.xlsx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35">
      <c r="A819" t="s">
        <v>243</v>
      </c>
      <c r="B819" t="s">
        <v>830</v>
      </c>
      <c r="C819" t="s">
        <v>832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Elasticities of Demand for Industrial Products.xlsx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35">
      <c r="A820" t="s">
        <v>243</v>
      </c>
      <c r="B820" t="s">
        <v>1624</v>
      </c>
      <c r="C820" t="s">
        <v>1625</v>
      </c>
      <c r="G820" t="str">
        <f t="shared" si="28"/>
        <v>xlsx</v>
      </c>
      <c r="H820" s="5" t="str">
        <f>IFERROR(IF(B820="FoPITY",INDEX(Customizations!$C$2:$C$19,MATCH(Sheet1!C820,Customizations!$B$2:$B$19,0),1),INDEX(About!C:C,MATCH(Sheet1!B820,About!B:B,0),1)),"")</f>
        <v>Elasticity of Ind Eqpt E Cons wrt E Cost.xlsx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35">
      <c r="A821" t="s">
        <v>243</v>
      </c>
      <c r="B821" t="s">
        <v>1624</v>
      </c>
      <c r="C821" t="s">
        <v>1626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Elasticity of Ind Eqpt E Cons wrt E Cost.xlsx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35">
      <c r="A822" t="s">
        <v>243</v>
      </c>
      <c r="B822" t="s">
        <v>1878</v>
      </c>
      <c r="C822" t="s">
        <v>1879</v>
      </c>
      <c r="G822" t="str">
        <f t="shared" si="28"/>
        <v>xlsx</v>
      </c>
      <c r="H822" s="5" t="str">
        <f>IFERROR(IF(B822="FoPITY",INDEX(Customizations!$C$2:$C$19,MATCH(Sheet1!C822,Customizations!$B$2:$B$19,0),1),INDEX(About!C:C,MATCH(Sheet1!B822,About!B:B,0),1)),"")</f>
        <v>Elasticity of Ind Eqpt Price wrt E Eff Improvements.xlsx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35">
      <c r="A823" t="s">
        <v>243</v>
      </c>
      <c r="B823" t="s">
        <v>1878</v>
      </c>
      <c r="C823" t="s">
        <v>1880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Elasticity of Ind Eqpt Price wrt E Eff Improvements.xlsx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35">
      <c r="A824" t="s">
        <v>243</v>
      </c>
      <c r="B824" t="s">
        <v>247</v>
      </c>
      <c r="C824" t="s">
        <v>248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Foreign Leakage Rate by Industry.xlsx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35">
      <c r="A825" t="s">
        <v>243</v>
      </c>
      <c r="B825" t="s">
        <v>247</v>
      </c>
      <c r="C825" t="s">
        <v>249</v>
      </c>
      <c r="G825" t="str">
        <f t="shared" si="28"/>
        <v>xlsx</v>
      </c>
      <c r="H825" s="5" t="str">
        <f>IFERROR(IF(B825="FoPITY",INDEX(Customizations!$C$2:$C$19,MATCH(Sheet1!C825,Customizations!$B$2:$B$19,0),1),INDEX(About!C:C,MATCH(Sheet1!B825,About!B:B,0),1)),"")</f>
        <v>Foreign Leakage Rate by Industry.xlsx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35">
      <c r="A826" t="s">
        <v>243</v>
      </c>
      <c r="B826" t="s">
        <v>1627</v>
      </c>
      <c r="C826" t="s">
        <v>1881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Indst Eqpt Cap Cost per Unit Ann E Use.xlsx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35">
      <c r="A827" t="s">
        <v>243</v>
      </c>
      <c r="B827" t="s">
        <v>1627</v>
      </c>
      <c r="C827" t="s">
        <v>1628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Indst Eqpt Cap Cost per Unit Ann E Use.xlsx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35">
      <c r="A828" t="s">
        <v>243</v>
      </c>
      <c r="B828" t="s">
        <v>1627</v>
      </c>
      <c r="C828" t="s">
        <v>1629</v>
      </c>
      <c r="G828" t="str">
        <f t="shared" si="28"/>
        <v>xlsx</v>
      </c>
      <c r="H828" s="5" t="str">
        <f>IFERROR(IF(B828="FoPITY",INDEX(Customizations!$C$2:$C$19,MATCH(Sheet1!C828,Customizations!$B$2:$B$19,0),1),INDEX(About!C:C,MATCH(Sheet1!B828,About!B:B,0),1)),"")</f>
        <v>Indst Eqpt Cap Cost per Unit Ann E Use.xlsx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35">
      <c r="A829" t="s">
        <v>243</v>
      </c>
      <c r="B829" t="s">
        <v>1627</v>
      </c>
      <c r="C829" t="s">
        <v>1882</v>
      </c>
      <c r="G829" t="str">
        <f t="shared" si="28"/>
        <v>xlsx</v>
      </c>
      <c r="H829" s="5" t="str">
        <f>IFERROR(IF(B829="FoPITY",INDEX(Customizations!$C$2:$C$19,MATCH(Sheet1!C829,Customizations!$B$2:$B$19,0),1),INDEX(About!C:C,MATCH(Sheet1!B829,About!B:B,0),1)),"")</f>
        <v>Indst Eqpt Cap Cost per Unit Ann E Use.xlsx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35">
      <c r="A830" t="s">
        <v>243</v>
      </c>
      <c r="B830" t="s">
        <v>1630</v>
      </c>
      <c r="C830" t="s">
        <v>1631</v>
      </c>
      <c r="G830" t="str">
        <f t="shared" ref="G830:G832" si="30">RIGHT(C830,"4")</f>
        <v>.csv</v>
      </c>
      <c r="H830" s="5" t="str">
        <f>IFERROR(IF(B830="FoPITY",INDEX(Customizations!$C$2:$C$19,MATCH(Sheet1!C830,Customizations!$B$2:$B$19,0),1),INDEX(About!C:C,MATCH(Sheet1!B830,About!B:B,0),1)),"")</f>
        <v>Industrial Eqpt Logit Coefficient.xlsx</v>
      </c>
      <c r="I830" s="5">
        <f>IFERROR(INDEX(About!$D:$D,MATCH(Sheet1!H830,About!$C:$C,0),1),0)</f>
        <v>0</v>
      </c>
      <c r="J830" s="6">
        <f t="shared" ref="J830:J832" si="31">IF(G830=".csv",1,0)*I830</f>
        <v>0</v>
      </c>
    </row>
    <row r="831" spans="1:10" x14ac:dyDescent="0.35">
      <c r="A831" t="s">
        <v>243</v>
      </c>
      <c r="B831" t="s">
        <v>1630</v>
      </c>
      <c r="C831" t="s">
        <v>1632</v>
      </c>
      <c r="G831" t="str">
        <f t="shared" si="30"/>
        <v>xlsx</v>
      </c>
      <c r="H831" s="5" t="str">
        <f>IFERROR(IF(B831="FoPITY",INDEX(Customizations!$C$2:$C$19,MATCH(Sheet1!C831,Customizations!$B$2:$B$19,0),1),INDEX(About!C:C,MATCH(Sheet1!B831,About!B:B,0),1)),"")</f>
        <v>Industrial Eqpt Logit Coefficient.xlsx</v>
      </c>
      <c r="I831" s="5">
        <f>IFERROR(INDEX(About!$D:$D,MATCH(Sheet1!H831,About!$C:$C,0),1),0)</f>
        <v>0</v>
      </c>
      <c r="J831" s="6">
        <f t="shared" si="31"/>
        <v>0</v>
      </c>
    </row>
    <row r="832" spans="1:10" x14ac:dyDescent="0.35">
      <c r="A832" t="s">
        <v>243</v>
      </c>
      <c r="B832" t="s">
        <v>1633</v>
      </c>
      <c r="C832" t="s">
        <v>1634</v>
      </c>
      <c r="G832" t="str">
        <f t="shared" si="30"/>
        <v>.csv</v>
      </c>
      <c r="H832" s="5" t="str">
        <f>IFERROR(IF(B832="FoPITY",INDEX(Customizations!$C$2:$C$19,MATCH(Sheet1!C832,Customizations!$B$2:$B$19,0),1),INDEX(About!C:C,MATCH(Sheet1!B832,About!B:B,0),1)),"")</f>
        <v>Indst Eqpt Min Unit E Factor.xlsx</v>
      </c>
      <c r="I832" s="5">
        <f>IFERROR(INDEX(About!$D:$D,MATCH(Sheet1!H832,About!$C:$C,0),1),0)</f>
        <v>0</v>
      </c>
      <c r="J832" s="6">
        <f t="shared" si="31"/>
        <v>0</v>
      </c>
    </row>
    <row r="833" spans="1:10" x14ac:dyDescent="0.35">
      <c r="A833" t="s">
        <v>243</v>
      </c>
      <c r="B833" t="s">
        <v>1633</v>
      </c>
      <c r="C833" t="s">
        <v>1883</v>
      </c>
      <c r="G833" t="str">
        <f t="shared" ref="G833:G896" si="32">RIGHT(C833,"4")</f>
        <v>xlsx</v>
      </c>
      <c r="H833" s="5" t="str">
        <f>IFERROR(IF(B833="FoPITY",INDEX(Customizations!$C$2:$C$19,MATCH(Sheet1!C833,Customizations!$B$2:$B$19,0),1),INDEX(About!C:C,MATCH(Sheet1!B833,About!B:B,0),1)),"")</f>
        <v>Indst Eqpt Min Unit E Factor.xlsx</v>
      </c>
      <c r="I833" s="5">
        <f>IFERROR(INDEX(About!$D:$D,MATCH(Sheet1!H833,About!$C:$C,0),1),0)</f>
        <v>0</v>
      </c>
      <c r="J833" s="6">
        <f t="shared" ref="J833:J896" si="33">IF(G833=".csv",1,0)*I833</f>
        <v>0</v>
      </c>
    </row>
    <row r="834" spans="1:10" x14ac:dyDescent="0.35">
      <c r="A834" t="s">
        <v>243</v>
      </c>
      <c r="B834" t="s">
        <v>1633</v>
      </c>
      <c r="C834" t="s">
        <v>1884</v>
      </c>
      <c r="G834" t="str">
        <f t="shared" si="32"/>
        <v>xlsx</v>
      </c>
      <c r="H834" s="5" t="str">
        <f>IFERROR(IF(B834="FoPITY",INDEX(Customizations!$C$2:$C$19,MATCH(Sheet1!C834,Customizations!$B$2:$B$19,0),1),INDEX(About!C:C,MATCH(Sheet1!B834,About!B:B,0),1)),"")</f>
        <v>Indst Eqpt Min Unit E Factor.xlsx</v>
      </c>
      <c r="I834" s="5">
        <f>IFERROR(INDEX(About!$D:$D,MATCH(Sheet1!H834,About!$C:$C,0),1),0)</f>
        <v>0</v>
      </c>
      <c r="J834" s="6">
        <f t="shared" si="33"/>
        <v>0</v>
      </c>
    </row>
    <row r="835" spans="1:10" x14ac:dyDescent="0.35">
      <c r="A835" t="s">
        <v>243</v>
      </c>
      <c r="B835" t="s">
        <v>1635</v>
      </c>
      <c r="C835" t="s">
        <v>1636</v>
      </c>
      <c r="G835" t="str">
        <f t="shared" si="32"/>
        <v>.csv</v>
      </c>
      <c r="H835" s="5" t="str">
        <f>IFERROR(IF(B835="FoPITY",INDEX(Customizations!$C$2:$C$19,MATCH(Sheet1!C835,Customizations!$B$2:$B$19,0),1),INDEX(About!C:C,MATCH(Sheet1!B835,About!B:B,0),1)),"")</f>
        <v>Industrial Equipment Shareweights.xlsm</v>
      </c>
      <c r="I835" s="5">
        <f>IFERROR(INDEX(About!$D:$D,MATCH(Sheet1!H835,About!$C:$C,0),1),0)</f>
        <v>1</v>
      </c>
      <c r="J835" s="6">
        <f t="shared" si="33"/>
        <v>1</v>
      </c>
    </row>
    <row r="836" spans="1:10" x14ac:dyDescent="0.35">
      <c r="A836" t="s">
        <v>243</v>
      </c>
      <c r="B836" t="s">
        <v>1635</v>
      </c>
      <c r="C836" t="s">
        <v>1637</v>
      </c>
      <c r="G836" t="str">
        <f t="shared" si="32"/>
        <v>.csv</v>
      </c>
      <c r="H836" s="5" t="str">
        <f>IFERROR(IF(B836="FoPITY",INDEX(Customizations!$C$2:$C$19,MATCH(Sheet1!C836,Customizations!$B$2:$B$19,0),1),INDEX(About!C:C,MATCH(Sheet1!B836,About!B:B,0),1)),"")</f>
        <v>Industrial Equipment Shareweights.xlsm</v>
      </c>
      <c r="I836" s="5">
        <f>IFERROR(INDEX(About!$D:$D,MATCH(Sheet1!H836,About!$C:$C,0),1),0)</f>
        <v>1</v>
      </c>
      <c r="J836" s="6">
        <f t="shared" si="33"/>
        <v>1</v>
      </c>
    </row>
    <row r="837" spans="1:10" x14ac:dyDescent="0.35">
      <c r="A837" t="s">
        <v>243</v>
      </c>
      <c r="B837" t="s">
        <v>1635</v>
      </c>
      <c r="C837" t="s">
        <v>1638</v>
      </c>
      <c r="G837" t="str">
        <f t="shared" si="32"/>
        <v>.csv</v>
      </c>
      <c r="H837" s="5" t="str">
        <f>IFERROR(IF(B837="FoPITY",INDEX(Customizations!$C$2:$C$19,MATCH(Sheet1!C837,Customizations!$B$2:$B$19,0),1),INDEX(About!C:C,MATCH(Sheet1!B837,About!B:B,0),1)),"")</f>
        <v>Industrial Equipment Shareweights.xlsm</v>
      </c>
      <c r="I837" s="5">
        <f>IFERROR(INDEX(About!$D:$D,MATCH(Sheet1!H837,About!$C:$C,0),1),0)</f>
        <v>1</v>
      </c>
      <c r="J837" s="6">
        <f t="shared" si="33"/>
        <v>1</v>
      </c>
    </row>
    <row r="838" spans="1:10" x14ac:dyDescent="0.35">
      <c r="A838" t="s">
        <v>243</v>
      </c>
      <c r="B838" t="s">
        <v>1635</v>
      </c>
      <c r="C838" t="s">
        <v>1639</v>
      </c>
      <c r="G838" t="str">
        <f t="shared" si="32"/>
        <v>.csv</v>
      </c>
      <c r="H838" s="5" t="str">
        <f>IFERROR(IF(B838="FoPITY",INDEX(Customizations!$C$2:$C$19,MATCH(Sheet1!C838,Customizations!$B$2:$B$19,0),1),INDEX(About!C:C,MATCH(Sheet1!B838,About!B:B,0),1)),"")</f>
        <v>Industrial Equipment Shareweights.xlsm</v>
      </c>
      <c r="I838" s="5">
        <f>IFERROR(INDEX(About!$D:$D,MATCH(Sheet1!H838,About!$C:$C,0),1),0)</f>
        <v>1</v>
      </c>
      <c r="J838" s="6">
        <f t="shared" si="33"/>
        <v>1</v>
      </c>
    </row>
    <row r="839" spans="1:10" x14ac:dyDescent="0.35">
      <c r="A839" t="s">
        <v>243</v>
      </c>
      <c r="B839" t="s">
        <v>1635</v>
      </c>
      <c r="C839" t="s">
        <v>1640</v>
      </c>
      <c r="G839" t="str">
        <f t="shared" si="32"/>
        <v>.csv</v>
      </c>
      <c r="H839" s="5" t="str">
        <f>IFERROR(IF(B839="FoPITY",INDEX(Customizations!$C$2:$C$19,MATCH(Sheet1!C839,Customizations!$B$2:$B$19,0),1),INDEX(About!C:C,MATCH(Sheet1!B839,About!B:B,0),1)),"")</f>
        <v>Industrial Equipment Shareweights.xlsm</v>
      </c>
      <c r="I839" s="5">
        <f>IFERROR(INDEX(About!$D:$D,MATCH(Sheet1!H839,About!$C:$C,0),1),0)</f>
        <v>1</v>
      </c>
      <c r="J839" s="6">
        <f t="shared" si="33"/>
        <v>1</v>
      </c>
    </row>
    <row r="840" spans="1:10" x14ac:dyDescent="0.35">
      <c r="A840" t="s">
        <v>243</v>
      </c>
      <c r="B840" t="s">
        <v>1635</v>
      </c>
      <c r="C840" t="s">
        <v>1641</v>
      </c>
      <c r="G840" t="str">
        <f t="shared" si="32"/>
        <v>.csv</v>
      </c>
      <c r="H840" s="5" t="str">
        <f>IFERROR(IF(B840="FoPITY",INDEX(Customizations!$C$2:$C$19,MATCH(Sheet1!C840,Customizations!$B$2:$B$19,0),1),INDEX(About!C:C,MATCH(Sheet1!B840,About!B:B,0),1)),"")</f>
        <v>Industrial Equipment Shareweights.xlsm</v>
      </c>
      <c r="I840" s="5">
        <f>IFERROR(INDEX(About!$D:$D,MATCH(Sheet1!H840,About!$C:$C,0),1),0)</f>
        <v>1</v>
      </c>
      <c r="J840" s="6">
        <f t="shared" si="33"/>
        <v>1</v>
      </c>
    </row>
    <row r="841" spans="1:10" x14ac:dyDescent="0.35">
      <c r="A841" t="s">
        <v>243</v>
      </c>
      <c r="B841" t="s">
        <v>1635</v>
      </c>
      <c r="C841" t="s">
        <v>1642</v>
      </c>
      <c r="G841" t="str">
        <f t="shared" si="32"/>
        <v>.csv</v>
      </c>
      <c r="H841" s="5" t="str">
        <f>IFERROR(IF(B841="FoPITY",INDEX(Customizations!$C$2:$C$19,MATCH(Sheet1!C841,Customizations!$B$2:$B$19,0),1),INDEX(About!C:C,MATCH(Sheet1!B841,About!B:B,0),1)),"")</f>
        <v>Industrial Equipment Shareweights.xlsm</v>
      </c>
      <c r="I841" s="5">
        <f>IFERROR(INDEX(About!$D:$D,MATCH(Sheet1!H841,About!$C:$C,0),1),0)</f>
        <v>1</v>
      </c>
      <c r="J841" s="6">
        <f t="shared" si="33"/>
        <v>1</v>
      </c>
    </row>
    <row r="842" spans="1:10" x14ac:dyDescent="0.35">
      <c r="A842" t="s">
        <v>243</v>
      </c>
      <c r="B842" t="s">
        <v>1635</v>
      </c>
      <c r="C842" t="s">
        <v>1643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>Industrial Equipment Shareweights.xlsm</v>
      </c>
      <c r="I842" s="5">
        <f>IFERROR(INDEX(About!$D:$D,MATCH(Sheet1!H842,About!$C:$C,0),1),0)</f>
        <v>1</v>
      </c>
      <c r="J842" s="6">
        <f t="shared" si="33"/>
        <v>1</v>
      </c>
    </row>
    <row r="843" spans="1:10" x14ac:dyDescent="0.35">
      <c r="A843" t="s">
        <v>243</v>
      </c>
      <c r="B843" t="s">
        <v>1635</v>
      </c>
      <c r="C843" t="s">
        <v>1644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Industrial Equipment Shareweights.xlsm</v>
      </c>
      <c r="I843" s="5">
        <f>IFERROR(INDEX(About!$D:$D,MATCH(Sheet1!H843,About!$C:$C,0),1),0)</f>
        <v>1</v>
      </c>
      <c r="J843" s="6">
        <f t="shared" si="33"/>
        <v>1</v>
      </c>
    </row>
    <row r="844" spans="1:10" x14ac:dyDescent="0.35">
      <c r="A844" t="s">
        <v>243</v>
      </c>
      <c r="B844" t="s">
        <v>1635</v>
      </c>
      <c r="C844" t="s">
        <v>1645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>Industrial Equipment Shareweights.xlsm</v>
      </c>
      <c r="I844" s="5">
        <f>IFERROR(INDEX(About!$D:$D,MATCH(Sheet1!H844,About!$C:$C,0),1),0)</f>
        <v>1</v>
      </c>
      <c r="J844" s="6">
        <f t="shared" si="33"/>
        <v>1</v>
      </c>
    </row>
    <row r="845" spans="1:10" x14ac:dyDescent="0.35">
      <c r="A845" t="s">
        <v>243</v>
      </c>
      <c r="B845" t="s">
        <v>1635</v>
      </c>
      <c r="C845" t="s">
        <v>1646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Industrial Equipment Shareweights.xlsm</v>
      </c>
      <c r="I845" s="5">
        <f>IFERROR(INDEX(About!$D:$D,MATCH(Sheet1!H845,About!$C:$C,0),1),0)</f>
        <v>1</v>
      </c>
      <c r="J845" s="6">
        <f t="shared" si="33"/>
        <v>1</v>
      </c>
    </row>
    <row r="846" spans="1:10" x14ac:dyDescent="0.35">
      <c r="A846" t="s">
        <v>243</v>
      </c>
      <c r="B846" t="s">
        <v>1635</v>
      </c>
      <c r="C846" t="s">
        <v>1647</v>
      </c>
      <c r="G846" t="str">
        <f t="shared" si="32"/>
        <v>.csv</v>
      </c>
      <c r="H846" s="5" t="str">
        <f>IFERROR(IF(B846="FoPITY",INDEX(Customizations!$C$2:$C$19,MATCH(Sheet1!C846,Customizations!$B$2:$B$19,0),1),INDEX(About!C:C,MATCH(Sheet1!B846,About!B:B,0),1)),"")</f>
        <v>Industrial Equipment Shareweights.xlsm</v>
      </c>
      <c r="I846" s="5">
        <f>IFERROR(INDEX(About!$D:$D,MATCH(Sheet1!H846,About!$C:$C,0),1),0)</f>
        <v>1</v>
      </c>
      <c r="J846" s="6">
        <f t="shared" si="33"/>
        <v>1</v>
      </c>
    </row>
    <row r="847" spans="1:10" x14ac:dyDescent="0.35">
      <c r="A847" t="s">
        <v>243</v>
      </c>
      <c r="B847" t="s">
        <v>1635</v>
      </c>
      <c r="C847" t="s">
        <v>1648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Industrial Equipment Shareweights.xlsm</v>
      </c>
      <c r="I847" s="5">
        <f>IFERROR(INDEX(About!$D:$D,MATCH(Sheet1!H847,About!$C:$C,0),1),0)</f>
        <v>1</v>
      </c>
      <c r="J847" s="6">
        <f t="shared" si="33"/>
        <v>1</v>
      </c>
    </row>
    <row r="848" spans="1:10" x14ac:dyDescent="0.35">
      <c r="A848" t="s">
        <v>243</v>
      </c>
      <c r="B848" t="s">
        <v>1635</v>
      </c>
      <c r="C848" t="s">
        <v>1649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Industrial Equipment Shareweights.xlsm</v>
      </c>
      <c r="I848" s="5">
        <f>IFERROR(INDEX(About!$D:$D,MATCH(Sheet1!H848,About!$C:$C,0),1),0)</f>
        <v>1</v>
      </c>
      <c r="J848" s="6">
        <f t="shared" si="33"/>
        <v>1</v>
      </c>
    </row>
    <row r="849" spans="1:10" x14ac:dyDescent="0.35">
      <c r="A849" t="s">
        <v>243</v>
      </c>
      <c r="B849" t="s">
        <v>1635</v>
      </c>
      <c r="C849" t="s">
        <v>1650</v>
      </c>
      <c r="G849" t="str">
        <f t="shared" si="32"/>
        <v>.csv</v>
      </c>
      <c r="H849" s="5" t="str">
        <f>IFERROR(IF(B849="FoPITY",INDEX(Customizations!$C$2:$C$19,MATCH(Sheet1!C849,Customizations!$B$2:$B$19,0),1),INDEX(About!C:C,MATCH(Sheet1!B849,About!B:B,0),1)),"")</f>
        <v>Industrial Equipment Shareweights.xlsm</v>
      </c>
      <c r="I849" s="5">
        <f>IFERROR(INDEX(About!$D:$D,MATCH(Sheet1!H849,About!$C:$C,0),1),0)</f>
        <v>1</v>
      </c>
      <c r="J849" s="6">
        <f t="shared" si="33"/>
        <v>1</v>
      </c>
    </row>
    <row r="850" spans="1:10" x14ac:dyDescent="0.35">
      <c r="A850" t="s">
        <v>243</v>
      </c>
      <c r="B850" t="s">
        <v>1635</v>
      </c>
      <c r="C850" t="s">
        <v>1651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Industrial Equipment Shareweights.xlsm</v>
      </c>
      <c r="I850" s="5">
        <f>IFERROR(INDEX(About!$D:$D,MATCH(Sheet1!H850,About!$C:$C,0),1),0)</f>
        <v>1</v>
      </c>
      <c r="J850" s="6">
        <f t="shared" si="33"/>
        <v>1</v>
      </c>
    </row>
    <row r="851" spans="1:10" x14ac:dyDescent="0.35">
      <c r="A851" t="s">
        <v>243</v>
      </c>
      <c r="B851" t="s">
        <v>1635</v>
      </c>
      <c r="C851" t="s">
        <v>1652</v>
      </c>
      <c r="G851" t="str">
        <f t="shared" si="32"/>
        <v>.csv</v>
      </c>
      <c r="H851" s="5" t="str">
        <f>IFERROR(IF(B851="FoPITY",INDEX(Customizations!$C$2:$C$19,MATCH(Sheet1!C851,Customizations!$B$2:$B$19,0),1),INDEX(About!C:C,MATCH(Sheet1!B851,About!B:B,0),1)),"")</f>
        <v>Industrial Equipment Shareweights.xlsm</v>
      </c>
      <c r="I851" s="5">
        <f>IFERROR(INDEX(About!$D:$D,MATCH(Sheet1!H851,About!$C:$C,0),1),0)</f>
        <v>1</v>
      </c>
      <c r="J851" s="6">
        <f t="shared" si="33"/>
        <v>1</v>
      </c>
    </row>
    <row r="852" spans="1:10" x14ac:dyDescent="0.35">
      <c r="A852" t="s">
        <v>243</v>
      </c>
      <c r="B852" t="s">
        <v>1635</v>
      </c>
      <c r="C852" t="s">
        <v>1653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Industrial Equipment Shareweights.xlsm</v>
      </c>
      <c r="I852" s="5">
        <f>IFERROR(INDEX(About!$D:$D,MATCH(Sheet1!H852,About!$C:$C,0),1),0)</f>
        <v>1</v>
      </c>
      <c r="J852" s="6">
        <f t="shared" si="33"/>
        <v>1</v>
      </c>
    </row>
    <row r="853" spans="1:10" x14ac:dyDescent="0.35">
      <c r="A853" t="s">
        <v>243</v>
      </c>
      <c r="B853" t="s">
        <v>1635</v>
      </c>
      <c r="C853" t="s">
        <v>1654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Industrial Equipment Shareweights.xlsm</v>
      </c>
      <c r="I853" s="5">
        <f>IFERROR(INDEX(About!$D:$D,MATCH(Sheet1!H853,About!$C:$C,0),1),0)</f>
        <v>1</v>
      </c>
      <c r="J853" s="6">
        <f t="shared" si="33"/>
        <v>1</v>
      </c>
    </row>
    <row r="854" spans="1:10" x14ac:dyDescent="0.35">
      <c r="A854" t="s">
        <v>243</v>
      </c>
      <c r="B854" t="s">
        <v>1635</v>
      </c>
      <c r="C854" t="s">
        <v>1655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Industrial Equipment Shareweights.xlsm</v>
      </c>
      <c r="I854" s="5">
        <f>IFERROR(INDEX(About!$D:$D,MATCH(Sheet1!H854,About!$C:$C,0),1),0)</f>
        <v>1</v>
      </c>
      <c r="J854" s="6">
        <f t="shared" si="33"/>
        <v>1</v>
      </c>
    </row>
    <row r="855" spans="1:10" x14ac:dyDescent="0.35">
      <c r="A855" t="s">
        <v>243</v>
      </c>
      <c r="B855" t="s">
        <v>1635</v>
      </c>
      <c r="C855" t="s">
        <v>1656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Industrial Equipment Shareweights.xlsm</v>
      </c>
      <c r="I855" s="5">
        <f>IFERROR(INDEX(About!$D:$D,MATCH(Sheet1!H855,About!$C:$C,0),1),0)</f>
        <v>1</v>
      </c>
      <c r="J855" s="6">
        <f t="shared" si="33"/>
        <v>1</v>
      </c>
    </row>
    <row r="856" spans="1:10" x14ac:dyDescent="0.35">
      <c r="A856" t="s">
        <v>243</v>
      </c>
      <c r="B856" t="s">
        <v>1635</v>
      </c>
      <c r="C856" t="s">
        <v>1657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Industrial Equipment Shareweights.xlsm</v>
      </c>
      <c r="I856" s="5">
        <f>IFERROR(INDEX(About!$D:$D,MATCH(Sheet1!H856,About!$C:$C,0),1),0)</f>
        <v>1</v>
      </c>
      <c r="J856" s="6">
        <f t="shared" si="33"/>
        <v>1</v>
      </c>
    </row>
    <row r="857" spans="1:10" x14ac:dyDescent="0.35">
      <c r="A857" t="s">
        <v>243</v>
      </c>
      <c r="B857" t="s">
        <v>1635</v>
      </c>
      <c r="C857" t="s">
        <v>1658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Industrial Equipment Shareweights.xlsm</v>
      </c>
      <c r="I857" s="5">
        <f>IFERROR(INDEX(About!$D:$D,MATCH(Sheet1!H857,About!$C:$C,0),1),0)</f>
        <v>1</v>
      </c>
      <c r="J857" s="6">
        <f t="shared" si="33"/>
        <v>1</v>
      </c>
    </row>
    <row r="858" spans="1:10" x14ac:dyDescent="0.35">
      <c r="A858" t="s">
        <v>243</v>
      </c>
      <c r="B858" t="s">
        <v>1635</v>
      </c>
      <c r="C858" t="s">
        <v>1659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Industrial Equipment Shareweights.xlsm</v>
      </c>
      <c r="I858" s="5">
        <f>IFERROR(INDEX(About!$D:$D,MATCH(Sheet1!H858,About!$C:$C,0),1),0)</f>
        <v>1</v>
      </c>
      <c r="J858" s="6">
        <f t="shared" si="33"/>
        <v>1</v>
      </c>
    </row>
    <row r="859" spans="1:10" x14ac:dyDescent="0.35">
      <c r="A859" t="s">
        <v>243</v>
      </c>
      <c r="B859" t="s">
        <v>1635</v>
      </c>
      <c r="C859" t="s">
        <v>1885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Industrial Equipment Shareweights.xlsm</v>
      </c>
      <c r="I859" s="5">
        <f>IFERROR(INDEX(About!$D:$D,MATCH(Sheet1!H859,About!$C:$C,0),1),0)</f>
        <v>1</v>
      </c>
      <c r="J859" s="6">
        <f t="shared" si="33"/>
        <v>1</v>
      </c>
    </row>
    <row r="860" spans="1:10" x14ac:dyDescent="0.35">
      <c r="A860" t="s">
        <v>243</v>
      </c>
      <c r="B860" t="s">
        <v>1635</v>
      </c>
      <c r="C860" t="s">
        <v>1886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Industrial Equipment Shareweights.xlsm</v>
      </c>
      <c r="I860" s="5">
        <f>IFERROR(INDEX(About!$D:$D,MATCH(Sheet1!H860,About!$C:$C,0),1),0)</f>
        <v>1</v>
      </c>
      <c r="J860" s="6">
        <f t="shared" si="33"/>
        <v>1</v>
      </c>
    </row>
    <row r="861" spans="1:10" x14ac:dyDescent="0.35">
      <c r="A861" t="s">
        <v>243</v>
      </c>
      <c r="B861" t="s">
        <v>1635</v>
      </c>
      <c r="C861" t="s">
        <v>1887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Industrial Equipment Shareweights.xlsm</v>
      </c>
      <c r="I861" s="5">
        <f>IFERROR(INDEX(About!$D:$D,MATCH(Sheet1!H861,About!$C:$C,0),1),0)</f>
        <v>1</v>
      </c>
      <c r="J861" s="6">
        <f t="shared" si="33"/>
        <v>1</v>
      </c>
    </row>
    <row r="862" spans="1:10" x14ac:dyDescent="0.35">
      <c r="A862" t="s">
        <v>243</v>
      </c>
      <c r="B862" t="s">
        <v>1635</v>
      </c>
      <c r="C862" t="s">
        <v>1888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Industrial Equipment Shareweights.xlsm</v>
      </c>
      <c r="I862" s="5">
        <f>IFERROR(INDEX(About!$D:$D,MATCH(Sheet1!H862,About!$C:$C,0),1),0)</f>
        <v>1</v>
      </c>
      <c r="J862" s="6">
        <f t="shared" si="33"/>
        <v>1</v>
      </c>
    </row>
    <row r="863" spans="1:10" x14ac:dyDescent="0.35">
      <c r="A863" t="s">
        <v>243</v>
      </c>
      <c r="B863" t="s">
        <v>1635</v>
      </c>
      <c r="C863" t="s">
        <v>1889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Industrial Equipment Shareweights.xlsm</v>
      </c>
      <c r="I863" s="5">
        <f>IFERROR(INDEX(About!$D:$D,MATCH(Sheet1!H863,About!$C:$C,0),1),0)</f>
        <v>1</v>
      </c>
      <c r="J863" s="6">
        <f t="shared" si="33"/>
        <v>1</v>
      </c>
    </row>
    <row r="864" spans="1:10" x14ac:dyDescent="0.35">
      <c r="A864" t="s">
        <v>243</v>
      </c>
      <c r="B864" t="s">
        <v>1635</v>
      </c>
      <c r="C864" t="s">
        <v>1890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Industrial Equipment Shareweights.xlsm</v>
      </c>
      <c r="I864" s="5">
        <f>IFERROR(INDEX(About!$D:$D,MATCH(Sheet1!H864,About!$C:$C,0),1),0)</f>
        <v>1</v>
      </c>
      <c r="J864" s="6">
        <f t="shared" si="33"/>
        <v>1</v>
      </c>
    </row>
    <row r="865" spans="1:10" x14ac:dyDescent="0.35">
      <c r="A865" t="s">
        <v>243</v>
      </c>
      <c r="B865" t="s">
        <v>1635</v>
      </c>
      <c r="C865" t="s">
        <v>1891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Industrial Equipment Shareweights.xlsm</v>
      </c>
      <c r="I865" s="5">
        <f>IFERROR(INDEX(About!$D:$D,MATCH(Sheet1!H865,About!$C:$C,0),1),0)</f>
        <v>1</v>
      </c>
      <c r="J865" s="6">
        <f t="shared" si="33"/>
        <v>1</v>
      </c>
    </row>
    <row r="866" spans="1:10" x14ac:dyDescent="0.35">
      <c r="A866" t="s">
        <v>243</v>
      </c>
      <c r="B866" t="s">
        <v>1635</v>
      </c>
      <c r="C866" t="s">
        <v>1892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Industrial Equipment Shareweights.xlsm</v>
      </c>
      <c r="I866" s="5">
        <f>IFERROR(INDEX(About!$D:$D,MATCH(Sheet1!H866,About!$C:$C,0),1),0)</f>
        <v>1</v>
      </c>
      <c r="J866" s="6">
        <f t="shared" si="33"/>
        <v>1</v>
      </c>
    </row>
    <row r="867" spans="1:10" x14ac:dyDescent="0.35">
      <c r="A867" t="s">
        <v>243</v>
      </c>
      <c r="B867" t="s">
        <v>1635</v>
      </c>
      <c r="C867" t="s">
        <v>1893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Industrial Equipment Shareweights.xlsm</v>
      </c>
      <c r="I867" s="5">
        <f>IFERROR(INDEX(About!$D:$D,MATCH(Sheet1!H867,About!$C:$C,0),1),0)</f>
        <v>1</v>
      </c>
      <c r="J867" s="6">
        <f t="shared" si="33"/>
        <v>1</v>
      </c>
    </row>
    <row r="868" spans="1:10" x14ac:dyDescent="0.35">
      <c r="A868" t="s">
        <v>243</v>
      </c>
      <c r="B868" t="s">
        <v>1635</v>
      </c>
      <c r="C868" t="s">
        <v>1894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Industrial Equipment Shareweights.xlsm</v>
      </c>
      <c r="I868" s="5">
        <f>IFERROR(INDEX(About!$D:$D,MATCH(Sheet1!H868,About!$C:$C,0),1),0)</f>
        <v>1</v>
      </c>
      <c r="J868" s="6">
        <f t="shared" si="33"/>
        <v>1</v>
      </c>
    </row>
    <row r="869" spans="1:10" x14ac:dyDescent="0.35">
      <c r="A869" t="s">
        <v>243</v>
      </c>
      <c r="B869" t="s">
        <v>1635</v>
      </c>
      <c r="C869" t="s">
        <v>1895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Industrial Equipment Shareweights.xlsm</v>
      </c>
      <c r="I869" s="5">
        <f>IFERROR(INDEX(About!$D:$D,MATCH(Sheet1!H869,About!$C:$C,0),1),0)</f>
        <v>1</v>
      </c>
      <c r="J869" s="6">
        <f t="shared" si="33"/>
        <v>1</v>
      </c>
    </row>
    <row r="870" spans="1:10" x14ac:dyDescent="0.35">
      <c r="A870" t="s">
        <v>243</v>
      </c>
      <c r="B870" t="s">
        <v>1635</v>
      </c>
      <c r="C870" t="s">
        <v>1896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Industrial Equipment Shareweights.xlsm</v>
      </c>
      <c r="I870" s="5">
        <f>IFERROR(INDEX(About!$D:$D,MATCH(Sheet1!H870,About!$C:$C,0),1),0)</f>
        <v>1</v>
      </c>
      <c r="J870" s="6">
        <f t="shared" si="33"/>
        <v>1</v>
      </c>
    </row>
    <row r="871" spans="1:10" x14ac:dyDescent="0.35">
      <c r="A871" t="s">
        <v>243</v>
      </c>
      <c r="B871" t="s">
        <v>1635</v>
      </c>
      <c r="C871" t="s">
        <v>1897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Industrial Equipment Shareweights.xlsm</v>
      </c>
      <c r="I871" s="5">
        <f>IFERROR(INDEX(About!$D:$D,MATCH(Sheet1!H871,About!$C:$C,0),1),0)</f>
        <v>1</v>
      </c>
      <c r="J871" s="6">
        <f t="shared" si="33"/>
        <v>1</v>
      </c>
    </row>
    <row r="872" spans="1:10" x14ac:dyDescent="0.35">
      <c r="A872" t="s">
        <v>243</v>
      </c>
      <c r="B872" t="s">
        <v>1635</v>
      </c>
      <c r="C872" t="s">
        <v>1898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Industrial Equipment Shareweights.xlsm</v>
      </c>
      <c r="I872" s="5">
        <f>IFERROR(INDEX(About!$D:$D,MATCH(Sheet1!H872,About!$C:$C,0),1),0)</f>
        <v>1</v>
      </c>
      <c r="J872" s="6">
        <f t="shared" si="33"/>
        <v>1</v>
      </c>
    </row>
    <row r="873" spans="1:10" x14ac:dyDescent="0.35">
      <c r="A873" t="s">
        <v>243</v>
      </c>
      <c r="B873" t="s">
        <v>1635</v>
      </c>
      <c r="C873" t="s">
        <v>1899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Industrial Equipment Shareweights.xlsm</v>
      </c>
      <c r="I873" s="5">
        <f>IFERROR(INDEX(About!$D:$D,MATCH(Sheet1!H873,About!$C:$C,0),1),0)</f>
        <v>1</v>
      </c>
      <c r="J873" s="6">
        <f t="shared" si="33"/>
        <v>1</v>
      </c>
    </row>
    <row r="874" spans="1:10" x14ac:dyDescent="0.35">
      <c r="A874" t="s">
        <v>243</v>
      </c>
      <c r="B874" t="s">
        <v>1635</v>
      </c>
      <c r="C874" t="s">
        <v>1900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Industrial Equipment Shareweights.xlsm</v>
      </c>
      <c r="I874" s="5">
        <f>IFERROR(INDEX(About!$D:$D,MATCH(Sheet1!H874,About!$C:$C,0),1),0)</f>
        <v>1</v>
      </c>
      <c r="J874" s="6">
        <f t="shared" si="33"/>
        <v>1</v>
      </c>
    </row>
    <row r="875" spans="1:10" x14ac:dyDescent="0.35">
      <c r="A875" t="s">
        <v>243</v>
      </c>
      <c r="B875" t="s">
        <v>1635</v>
      </c>
      <c r="C875" t="s">
        <v>1901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Industrial Equipment Shareweights.xlsm</v>
      </c>
      <c r="I875" s="5">
        <f>IFERROR(INDEX(About!$D:$D,MATCH(Sheet1!H875,About!$C:$C,0),1),0)</f>
        <v>1</v>
      </c>
      <c r="J875" s="6">
        <f t="shared" si="33"/>
        <v>1</v>
      </c>
    </row>
    <row r="876" spans="1:10" x14ac:dyDescent="0.35">
      <c r="A876" t="s">
        <v>243</v>
      </c>
      <c r="B876" t="s">
        <v>1635</v>
      </c>
      <c r="C876" t="s">
        <v>1902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Industrial Equipment Shareweights.xlsm</v>
      </c>
      <c r="I876" s="5">
        <f>IFERROR(INDEX(About!$D:$D,MATCH(Sheet1!H876,About!$C:$C,0),1),0)</f>
        <v>1</v>
      </c>
      <c r="J876" s="6">
        <f t="shared" si="33"/>
        <v>1</v>
      </c>
    </row>
    <row r="877" spans="1:10" x14ac:dyDescent="0.35">
      <c r="A877" t="s">
        <v>243</v>
      </c>
      <c r="B877" t="s">
        <v>1635</v>
      </c>
      <c r="C877" t="s">
        <v>1903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Industrial Equipment Shareweights.xlsm</v>
      </c>
      <c r="I877" s="5">
        <f>IFERROR(INDEX(About!$D:$D,MATCH(Sheet1!H877,About!$C:$C,0),1),0)</f>
        <v>1</v>
      </c>
      <c r="J877" s="6">
        <f t="shared" si="33"/>
        <v>1</v>
      </c>
    </row>
    <row r="878" spans="1:10" x14ac:dyDescent="0.35">
      <c r="A878" t="s">
        <v>243</v>
      </c>
      <c r="B878" t="s">
        <v>1635</v>
      </c>
      <c r="C878" t="s">
        <v>1904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Industrial Equipment Shareweights.xlsm</v>
      </c>
      <c r="I878" s="5">
        <f>IFERROR(INDEX(About!$D:$D,MATCH(Sheet1!H878,About!$C:$C,0),1),0)</f>
        <v>1</v>
      </c>
      <c r="J878" s="6">
        <f t="shared" si="33"/>
        <v>1</v>
      </c>
    </row>
    <row r="879" spans="1:10" x14ac:dyDescent="0.35">
      <c r="A879" t="s">
        <v>243</v>
      </c>
      <c r="B879" t="s">
        <v>1635</v>
      </c>
      <c r="C879" t="s">
        <v>1905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Industrial Equipment Shareweights.xlsm</v>
      </c>
      <c r="I879" s="5">
        <f>IFERROR(INDEX(About!$D:$D,MATCH(Sheet1!H879,About!$C:$C,0),1),0)</f>
        <v>1</v>
      </c>
      <c r="J879" s="6">
        <f t="shared" si="33"/>
        <v>1</v>
      </c>
    </row>
    <row r="880" spans="1:10" x14ac:dyDescent="0.35">
      <c r="A880" t="s">
        <v>243</v>
      </c>
      <c r="B880" t="s">
        <v>1635</v>
      </c>
      <c r="C880" t="s">
        <v>1906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Industrial Equipment Shareweights.xlsm</v>
      </c>
      <c r="I880" s="5">
        <f>IFERROR(INDEX(About!$D:$D,MATCH(Sheet1!H880,About!$C:$C,0),1),0)</f>
        <v>1</v>
      </c>
      <c r="J880" s="6">
        <f t="shared" si="33"/>
        <v>1</v>
      </c>
    </row>
    <row r="881" spans="1:10" x14ac:dyDescent="0.35">
      <c r="A881" t="s">
        <v>243</v>
      </c>
      <c r="B881" t="s">
        <v>1635</v>
      </c>
      <c r="C881" t="s">
        <v>1907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Industrial Equipment Shareweights.xlsm</v>
      </c>
      <c r="I881" s="5">
        <f>IFERROR(INDEX(About!$D:$D,MATCH(Sheet1!H881,About!$C:$C,0),1),0)</f>
        <v>1</v>
      </c>
      <c r="J881" s="6">
        <f t="shared" si="33"/>
        <v>1</v>
      </c>
    </row>
    <row r="882" spans="1:10" x14ac:dyDescent="0.35">
      <c r="A882" t="s">
        <v>243</v>
      </c>
      <c r="B882" t="s">
        <v>1635</v>
      </c>
      <c r="C882" t="s">
        <v>1908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Industrial Equipment Shareweights.xlsm</v>
      </c>
      <c r="I882" s="5">
        <f>IFERROR(INDEX(About!$D:$D,MATCH(Sheet1!H882,About!$C:$C,0),1),0)</f>
        <v>1</v>
      </c>
      <c r="J882" s="6">
        <f t="shared" si="33"/>
        <v>1</v>
      </c>
    </row>
    <row r="883" spans="1:10" x14ac:dyDescent="0.35">
      <c r="A883" t="s">
        <v>243</v>
      </c>
      <c r="B883" t="s">
        <v>1635</v>
      </c>
      <c r="C883" t="s">
        <v>1660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Industrial Equipment Shareweights.xlsm</v>
      </c>
      <c r="I883" s="5">
        <f>IFERROR(INDEX(About!$D:$D,MATCH(Sheet1!H883,About!$C:$C,0),1),0)</f>
        <v>1</v>
      </c>
      <c r="J883" s="6">
        <f t="shared" si="33"/>
        <v>1</v>
      </c>
    </row>
    <row r="884" spans="1:10" x14ac:dyDescent="0.35">
      <c r="A884" t="s">
        <v>243</v>
      </c>
      <c r="B884" t="s">
        <v>1635</v>
      </c>
      <c r="C884" t="s">
        <v>1661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Industrial Equipment Shareweights.xlsm</v>
      </c>
      <c r="I884" s="5">
        <f>IFERROR(INDEX(About!$D:$D,MATCH(Sheet1!H884,About!$C:$C,0),1),0)</f>
        <v>1</v>
      </c>
      <c r="J884" s="6">
        <f t="shared" si="33"/>
        <v>1</v>
      </c>
    </row>
    <row r="885" spans="1:10" x14ac:dyDescent="0.35">
      <c r="A885" t="s">
        <v>243</v>
      </c>
      <c r="B885" t="s">
        <v>1635</v>
      </c>
      <c r="C885" t="s">
        <v>1662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Industrial Equipment Shareweights.xlsm</v>
      </c>
      <c r="I885" s="5">
        <f>IFERROR(INDEX(About!$D:$D,MATCH(Sheet1!H885,About!$C:$C,0),1),0)</f>
        <v>1</v>
      </c>
      <c r="J885" s="6">
        <f t="shared" si="33"/>
        <v>1</v>
      </c>
    </row>
    <row r="886" spans="1:10" x14ac:dyDescent="0.35">
      <c r="A886" t="s">
        <v>243</v>
      </c>
      <c r="B886" t="s">
        <v>1635</v>
      </c>
      <c r="C886" t="s">
        <v>1663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Industrial Equipment Shareweights.xlsm</v>
      </c>
      <c r="I886" s="5">
        <f>IFERROR(INDEX(About!$D:$D,MATCH(Sheet1!H886,About!$C:$C,0),1),0)</f>
        <v>1</v>
      </c>
      <c r="J886" s="6">
        <f t="shared" si="33"/>
        <v>1</v>
      </c>
    </row>
    <row r="887" spans="1:10" x14ac:dyDescent="0.35">
      <c r="A887" t="s">
        <v>243</v>
      </c>
      <c r="B887" t="s">
        <v>1635</v>
      </c>
      <c r="C887" t="s">
        <v>1664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Industrial Equipment Shareweights.xlsm</v>
      </c>
      <c r="I887" s="5">
        <f>IFERROR(INDEX(About!$D:$D,MATCH(Sheet1!H887,About!$C:$C,0),1),0)</f>
        <v>1</v>
      </c>
      <c r="J887" s="6">
        <f t="shared" si="33"/>
        <v>1</v>
      </c>
    </row>
    <row r="888" spans="1:10" x14ac:dyDescent="0.35">
      <c r="A888" t="s">
        <v>243</v>
      </c>
      <c r="B888" t="s">
        <v>1635</v>
      </c>
      <c r="C888" t="s">
        <v>1665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Industrial Equipment Shareweights.xlsm</v>
      </c>
      <c r="I888" s="5">
        <f>IFERROR(INDEX(About!$D:$D,MATCH(Sheet1!H888,About!$C:$C,0),1),0)</f>
        <v>1</v>
      </c>
      <c r="J888" s="6">
        <f t="shared" si="33"/>
        <v>1</v>
      </c>
    </row>
    <row r="889" spans="1:10" x14ac:dyDescent="0.35">
      <c r="A889" t="s">
        <v>243</v>
      </c>
      <c r="B889" t="s">
        <v>1635</v>
      </c>
      <c r="C889" t="s">
        <v>1666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Industrial Equipment Shareweights.xlsm</v>
      </c>
      <c r="I889" s="5">
        <f>IFERROR(INDEX(About!$D:$D,MATCH(Sheet1!H889,About!$C:$C,0),1),0)</f>
        <v>1</v>
      </c>
      <c r="J889" s="6">
        <f t="shared" si="33"/>
        <v>1</v>
      </c>
    </row>
    <row r="890" spans="1:10" x14ac:dyDescent="0.35">
      <c r="A890" t="s">
        <v>243</v>
      </c>
      <c r="B890" t="s">
        <v>1635</v>
      </c>
      <c r="C890" t="s">
        <v>1667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Industrial Equipment Shareweights.xlsm</v>
      </c>
      <c r="I890" s="5">
        <f>IFERROR(INDEX(About!$D:$D,MATCH(Sheet1!H890,About!$C:$C,0),1),0)</f>
        <v>1</v>
      </c>
      <c r="J890" s="6">
        <f t="shared" si="33"/>
        <v>1</v>
      </c>
    </row>
    <row r="891" spans="1:10" x14ac:dyDescent="0.35">
      <c r="A891" t="s">
        <v>243</v>
      </c>
      <c r="B891" t="s">
        <v>1635</v>
      </c>
      <c r="C891" t="s">
        <v>1668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Industrial Equipment Shareweights.xlsm</v>
      </c>
      <c r="I891" s="5">
        <f>IFERROR(INDEX(About!$D:$D,MATCH(Sheet1!H891,About!$C:$C,0),1),0)</f>
        <v>1</v>
      </c>
      <c r="J891" s="6">
        <f t="shared" si="33"/>
        <v>1</v>
      </c>
    </row>
    <row r="892" spans="1:10" x14ac:dyDescent="0.35">
      <c r="A892" t="s">
        <v>243</v>
      </c>
      <c r="B892" t="s">
        <v>1635</v>
      </c>
      <c r="C892" t="s">
        <v>1669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Industrial Equipment Shareweights.xlsm</v>
      </c>
      <c r="I892" s="5">
        <f>IFERROR(INDEX(About!$D:$D,MATCH(Sheet1!H892,About!$C:$C,0),1),0)</f>
        <v>1</v>
      </c>
      <c r="J892" s="6">
        <f t="shared" si="33"/>
        <v>1</v>
      </c>
    </row>
    <row r="893" spans="1:10" x14ac:dyDescent="0.35">
      <c r="A893" t="s">
        <v>243</v>
      </c>
      <c r="B893" t="s">
        <v>1635</v>
      </c>
      <c r="C893" t="s">
        <v>1670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Industrial Equipment Shareweights.xlsm</v>
      </c>
      <c r="I893" s="5">
        <f>IFERROR(INDEX(About!$D:$D,MATCH(Sheet1!H893,About!$C:$C,0),1),0)</f>
        <v>1</v>
      </c>
      <c r="J893" s="6">
        <f t="shared" si="33"/>
        <v>1</v>
      </c>
    </row>
    <row r="894" spans="1:10" x14ac:dyDescent="0.35">
      <c r="A894" t="s">
        <v>243</v>
      </c>
      <c r="B894" t="s">
        <v>1635</v>
      </c>
      <c r="C894" t="s">
        <v>1671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Industrial Equipment Shareweights.xlsm</v>
      </c>
      <c r="I894" s="5">
        <f>IFERROR(INDEX(About!$D:$D,MATCH(Sheet1!H894,About!$C:$C,0),1),0)</f>
        <v>1</v>
      </c>
      <c r="J894" s="6">
        <f t="shared" si="33"/>
        <v>1</v>
      </c>
    </row>
    <row r="895" spans="1:10" x14ac:dyDescent="0.35">
      <c r="A895" t="s">
        <v>243</v>
      </c>
      <c r="B895" t="s">
        <v>1635</v>
      </c>
      <c r="C895" t="s">
        <v>1672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Industrial Equipment Shareweights.xlsm</v>
      </c>
      <c r="I895" s="5">
        <f>IFERROR(INDEX(About!$D:$D,MATCH(Sheet1!H895,About!$C:$C,0),1),0)</f>
        <v>1</v>
      </c>
      <c r="J895" s="6">
        <f t="shared" si="33"/>
        <v>1</v>
      </c>
    </row>
    <row r="896" spans="1:10" x14ac:dyDescent="0.35">
      <c r="A896" t="s">
        <v>243</v>
      </c>
      <c r="B896" t="s">
        <v>1635</v>
      </c>
      <c r="C896" t="s">
        <v>1673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Industrial Equipment Shareweights.xlsm</v>
      </c>
      <c r="I896" s="5">
        <f>IFERROR(INDEX(About!$D:$D,MATCH(Sheet1!H896,About!$C:$C,0),1),0)</f>
        <v>1</v>
      </c>
      <c r="J896" s="6">
        <f t="shared" si="33"/>
        <v>1</v>
      </c>
    </row>
    <row r="897" spans="1:10" x14ac:dyDescent="0.35">
      <c r="A897" t="s">
        <v>243</v>
      </c>
      <c r="B897" t="s">
        <v>1635</v>
      </c>
      <c r="C897" t="s">
        <v>1674</v>
      </c>
      <c r="G897" t="str">
        <f t="shared" ref="G897:G950" si="34">RIGHT(C897,"4")</f>
        <v>.csv</v>
      </c>
      <c r="H897" s="5" t="str">
        <f>IFERROR(IF(B897="FoPITY",INDEX(Customizations!$C$2:$C$19,MATCH(Sheet1!C897,Customizations!$B$2:$B$19,0),1),INDEX(About!C:C,MATCH(Sheet1!B897,About!B:B,0),1)),"")</f>
        <v>Industrial Equipment Shareweights.xlsm</v>
      </c>
      <c r="I897" s="5">
        <f>IFERROR(INDEX(About!$D:$D,MATCH(Sheet1!H897,About!$C:$C,0),1),0)</f>
        <v>1</v>
      </c>
      <c r="J897" s="6">
        <f t="shared" ref="J897:J950" si="35">IF(G897=".csv",1,0)*I897</f>
        <v>1</v>
      </c>
    </row>
    <row r="898" spans="1:10" x14ac:dyDescent="0.35">
      <c r="A898" t="s">
        <v>243</v>
      </c>
      <c r="B898" t="s">
        <v>1635</v>
      </c>
      <c r="C898" t="s">
        <v>1675</v>
      </c>
      <c r="G898" t="str">
        <f t="shared" si="34"/>
        <v>.csv</v>
      </c>
      <c r="H898" s="5" t="str">
        <f>IFERROR(IF(B898="FoPITY",INDEX(Customizations!$C$2:$C$19,MATCH(Sheet1!C898,Customizations!$B$2:$B$19,0),1),INDEX(About!C:C,MATCH(Sheet1!B898,About!B:B,0),1)),"")</f>
        <v>Industrial Equipment Shareweights.xlsm</v>
      </c>
      <c r="I898" s="5">
        <f>IFERROR(INDEX(About!$D:$D,MATCH(Sheet1!H898,About!$C:$C,0),1),0)</f>
        <v>1</v>
      </c>
      <c r="J898" s="6">
        <f t="shared" si="35"/>
        <v>1</v>
      </c>
    </row>
    <row r="899" spans="1:10" x14ac:dyDescent="0.35">
      <c r="A899" t="s">
        <v>243</v>
      </c>
      <c r="B899" t="s">
        <v>1635</v>
      </c>
      <c r="C899" t="s">
        <v>1676</v>
      </c>
      <c r="G899" t="str">
        <f t="shared" si="34"/>
        <v>.csv</v>
      </c>
      <c r="H899" s="5" t="str">
        <f>IFERROR(IF(B899="FoPITY",INDEX(Customizations!$C$2:$C$19,MATCH(Sheet1!C899,Customizations!$B$2:$B$19,0),1),INDEX(About!C:C,MATCH(Sheet1!B899,About!B:B,0),1)),"")</f>
        <v>Industrial Equipment Shareweights.xlsm</v>
      </c>
      <c r="I899" s="5">
        <f>IFERROR(INDEX(About!$D:$D,MATCH(Sheet1!H899,About!$C:$C,0),1),0)</f>
        <v>1</v>
      </c>
      <c r="J899" s="6">
        <f t="shared" si="35"/>
        <v>1</v>
      </c>
    </row>
    <row r="900" spans="1:10" x14ac:dyDescent="0.35">
      <c r="A900" t="s">
        <v>243</v>
      </c>
      <c r="B900" t="s">
        <v>1635</v>
      </c>
      <c r="C900" t="s">
        <v>1677</v>
      </c>
      <c r="G900" t="str">
        <f t="shared" si="34"/>
        <v>.csv</v>
      </c>
      <c r="H900" s="5" t="str">
        <f>IFERROR(IF(B900="FoPITY",INDEX(Customizations!$C$2:$C$19,MATCH(Sheet1!C900,Customizations!$B$2:$B$19,0),1),INDEX(About!C:C,MATCH(Sheet1!B900,About!B:B,0),1)),"")</f>
        <v>Industrial Equipment Shareweights.xlsm</v>
      </c>
      <c r="I900" s="5">
        <f>IFERROR(INDEX(About!$D:$D,MATCH(Sheet1!H900,About!$C:$C,0),1),0)</f>
        <v>1</v>
      </c>
      <c r="J900" s="6">
        <f t="shared" si="35"/>
        <v>1</v>
      </c>
    </row>
    <row r="901" spans="1:10" x14ac:dyDescent="0.35">
      <c r="A901" t="s">
        <v>243</v>
      </c>
      <c r="B901" t="s">
        <v>1635</v>
      </c>
      <c r="C901" t="s">
        <v>1678</v>
      </c>
      <c r="G901" t="str">
        <f t="shared" si="34"/>
        <v>.csv</v>
      </c>
      <c r="H901" s="5" t="str">
        <f>IFERROR(IF(B901="FoPITY",INDEX(Customizations!$C$2:$C$19,MATCH(Sheet1!C901,Customizations!$B$2:$B$19,0),1),INDEX(About!C:C,MATCH(Sheet1!B901,About!B:B,0),1)),"")</f>
        <v>Industrial Equipment Shareweights.xlsm</v>
      </c>
      <c r="I901" s="5">
        <f>IFERROR(INDEX(About!$D:$D,MATCH(Sheet1!H901,About!$C:$C,0),1),0)</f>
        <v>1</v>
      </c>
      <c r="J901" s="6">
        <f t="shared" si="35"/>
        <v>1</v>
      </c>
    </row>
    <row r="902" spans="1:10" x14ac:dyDescent="0.35">
      <c r="A902" t="s">
        <v>243</v>
      </c>
      <c r="B902" t="s">
        <v>1635</v>
      </c>
      <c r="C902" t="s">
        <v>1679</v>
      </c>
      <c r="G902" t="str">
        <f t="shared" si="34"/>
        <v>.csv</v>
      </c>
      <c r="H902" s="5" t="str">
        <f>IFERROR(IF(B902="FoPITY",INDEX(Customizations!$C$2:$C$19,MATCH(Sheet1!C902,Customizations!$B$2:$B$19,0),1),INDEX(About!C:C,MATCH(Sheet1!B902,About!B:B,0),1)),"")</f>
        <v>Industrial Equipment Shareweights.xlsm</v>
      </c>
      <c r="I902" s="5">
        <f>IFERROR(INDEX(About!$D:$D,MATCH(Sheet1!H902,About!$C:$C,0),1),0)</f>
        <v>1</v>
      </c>
      <c r="J902" s="6">
        <f t="shared" si="35"/>
        <v>1</v>
      </c>
    </row>
    <row r="903" spans="1:10" x14ac:dyDescent="0.35">
      <c r="A903" t="s">
        <v>243</v>
      </c>
      <c r="B903" t="s">
        <v>1635</v>
      </c>
      <c r="C903" t="s">
        <v>1680</v>
      </c>
      <c r="G903" t="str">
        <f t="shared" si="34"/>
        <v>.csv</v>
      </c>
      <c r="H903" s="5" t="str">
        <f>IFERROR(IF(B903="FoPITY",INDEX(Customizations!$C$2:$C$19,MATCH(Sheet1!C903,Customizations!$B$2:$B$19,0),1),INDEX(About!C:C,MATCH(Sheet1!B903,About!B:B,0),1)),"")</f>
        <v>Industrial Equipment Shareweights.xlsm</v>
      </c>
      <c r="I903" s="5">
        <f>IFERROR(INDEX(About!$D:$D,MATCH(Sheet1!H903,About!$C:$C,0),1),0)</f>
        <v>1</v>
      </c>
      <c r="J903" s="6">
        <f t="shared" si="35"/>
        <v>1</v>
      </c>
    </row>
    <row r="904" spans="1:10" x14ac:dyDescent="0.35">
      <c r="A904" t="s">
        <v>243</v>
      </c>
      <c r="B904" t="s">
        <v>1635</v>
      </c>
      <c r="C904" t="s">
        <v>1681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Industrial Equipment Shareweights.xlsm</v>
      </c>
      <c r="I904" s="5">
        <f>IFERROR(INDEX(About!$D:$D,MATCH(Sheet1!H904,About!$C:$C,0),1),0)</f>
        <v>1</v>
      </c>
      <c r="J904" s="6">
        <f t="shared" si="35"/>
        <v>1</v>
      </c>
    </row>
    <row r="905" spans="1:10" x14ac:dyDescent="0.35">
      <c r="A905" t="s">
        <v>243</v>
      </c>
      <c r="B905" t="s">
        <v>1635</v>
      </c>
      <c r="C905" t="s">
        <v>1682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Industrial Equipment Shareweights.xlsm</v>
      </c>
      <c r="I905" s="5">
        <f>IFERROR(INDEX(About!$D:$D,MATCH(Sheet1!H905,About!$C:$C,0),1),0)</f>
        <v>1</v>
      </c>
      <c r="J905" s="6">
        <f t="shared" si="35"/>
        <v>1</v>
      </c>
    </row>
    <row r="906" spans="1:10" x14ac:dyDescent="0.35">
      <c r="A906" t="s">
        <v>243</v>
      </c>
      <c r="B906" t="s">
        <v>1635</v>
      </c>
      <c r="C906" t="s">
        <v>1683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Industrial Equipment Shareweights.xlsm</v>
      </c>
      <c r="I906" s="5">
        <f>IFERROR(INDEX(About!$D:$D,MATCH(Sheet1!H906,About!$C:$C,0),1),0)</f>
        <v>1</v>
      </c>
      <c r="J906" s="6">
        <f t="shared" si="35"/>
        <v>1</v>
      </c>
    </row>
    <row r="907" spans="1:10" x14ac:dyDescent="0.35">
      <c r="A907" t="s">
        <v>243</v>
      </c>
      <c r="B907" t="s">
        <v>1635</v>
      </c>
      <c r="C907" t="s">
        <v>1684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Industrial Equipment Shareweights.xlsm</v>
      </c>
      <c r="I907" s="5">
        <f>IFERROR(INDEX(About!$D:$D,MATCH(Sheet1!H907,About!$C:$C,0),1),0)</f>
        <v>1</v>
      </c>
      <c r="J907" s="6">
        <f t="shared" si="35"/>
        <v>1</v>
      </c>
    </row>
    <row r="908" spans="1:10" x14ac:dyDescent="0.35">
      <c r="A908" t="s">
        <v>243</v>
      </c>
      <c r="B908" t="s">
        <v>1635</v>
      </c>
      <c r="C908" t="s">
        <v>1685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Industrial Equipment Shareweights.xlsm</v>
      </c>
      <c r="I908" s="5">
        <f>IFERROR(INDEX(About!$D:$D,MATCH(Sheet1!H908,About!$C:$C,0),1),0)</f>
        <v>1</v>
      </c>
      <c r="J908" s="6">
        <f t="shared" si="35"/>
        <v>1</v>
      </c>
    </row>
    <row r="909" spans="1:10" x14ac:dyDescent="0.35">
      <c r="A909" t="s">
        <v>243</v>
      </c>
      <c r="B909" t="s">
        <v>1635</v>
      </c>
      <c r="C909" t="s">
        <v>1686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Industrial Equipment Shareweights.xlsm</v>
      </c>
      <c r="I909" s="5">
        <f>IFERROR(INDEX(About!$D:$D,MATCH(Sheet1!H909,About!$C:$C,0),1),0)</f>
        <v>1</v>
      </c>
      <c r="J909" s="6">
        <f t="shared" si="35"/>
        <v>1</v>
      </c>
    </row>
    <row r="910" spans="1:10" x14ac:dyDescent="0.35">
      <c r="A910" t="s">
        <v>243</v>
      </c>
      <c r="B910" t="s">
        <v>1635</v>
      </c>
      <c r="C910" t="s">
        <v>1687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Industrial Equipment Shareweights.xlsm</v>
      </c>
      <c r="I910" s="5">
        <f>IFERROR(INDEX(About!$D:$D,MATCH(Sheet1!H910,About!$C:$C,0),1),0)</f>
        <v>1</v>
      </c>
      <c r="J910" s="6">
        <f t="shared" si="35"/>
        <v>1</v>
      </c>
    </row>
    <row r="911" spans="1:10" x14ac:dyDescent="0.35">
      <c r="A911" t="s">
        <v>243</v>
      </c>
      <c r="B911" t="s">
        <v>1635</v>
      </c>
      <c r="C911" t="s">
        <v>1688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Industrial Equipment Shareweights.xlsm</v>
      </c>
      <c r="I911" s="5">
        <f>IFERROR(INDEX(About!$D:$D,MATCH(Sheet1!H911,About!$C:$C,0),1),0)</f>
        <v>1</v>
      </c>
      <c r="J911" s="6">
        <f t="shared" si="35"/>
        <v>1</v>
      </c>
    </row>
    <row r="912" spans="1:10" x14ac:dyDescent="0.35">
      <c r="A912" t="s">
        <v>243</v>
      </c>
      <c r="B912" t="s">
        <v>1635</v>
      </c>
      <c r="C912" t="s">
        <v>1689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Industrial Equipment Shareweights.xlsm</v>
      </c>
      <c r="I912" s="5">
        <f>IFERROR(INDEX(About!$D:$D,MATCH(Sheet1!H912,About!$C:$C,0),1),0)</f>
        <v>1</v>
      </c>
      <c r="J912" s="6">
        <f t="shared" si="35"/>
        <v>1</v>
      </c>
    </row>
    <row r="913" spans="1:10" x14ac:dyDescent="0.35">
      <c r="A913" t="s">
        <v>243</v>
      </c>
      <c r="B913" t="s">
        <v>1635</v>
      </c>
      <c r="C913" t="s">
        <v>1690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Industrial Equipment Shareweights.xlsm</v>
      </c>
      <c r="I913" s="5">
        <f>IFERROR(INDEX(About!$D:$D,MATCH(Sheet1!H913,About!$C:$C,0),1),0)</f>
        <v>1</v>
      </c>
      <c r="J913" s="6">
        <f t="shared" si="35"/>
        <v>1</v>
      </c>
    </row>
    <row r="914" spans="1:10" x14ac:dyDescent="0.35">
      <c r="A914" t="s">
        <v>243</v>
      </c>
      <c r="B914" t="s">
        <v>1635</v>
      </c>
      <c r="C914" t="s">
        <v>1691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Industrial Equipment Shareweights.xlsm</v>
      </c>
      <c r="I914" s="5">
        <f>IFERROR(INDEX(About!$D:$D,MATCH(Sheet1!H914,About!$C:$C,0),1),0)</f>
        <v>1</v>
      </c>
      <c r="J914" s="6">
        <f t="shared" si="35"/>
        <v>1</v>
      </c>
    </row>
    <row r="915" spans="1:10" x14ac:dyDescent="0.35">
      <c r="A915" t="s">
        <v>243</v>
      </c>
      <c r="B915" t="s">
        <v>1635</v>
      </c>
      <c r="C915" t="s">
        <v>1692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Industrial Equipment Shareweights.xlsm</v>
      </c>
      <c r="I915" s="5">
        <f>IFERROR(INDEX(About!$D:$D,MATCH(Sheet1!H915,About!$C:$C,0),1),0)</f>
        <v>1</v>
      </c>
      <c r="J915" s="6">
        <f t="shared" si="35"/>
        <v>1</v>
      </c>
    </row>
    <row r="916" spans="1:10" x14ac:dyDescent="0.35">
      <c r="A916" t="s">
        <v>243</v>
      </c>
      <c r="B916" t="s">
        <v>1635</v>
      </c>
      <c r="C916" t="s">
        <v>1693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Industrial Equipment Shareweights.xlsm</v>
      </c>
      <c r="I916" s="5">
        <f>IFERROR(INDEX(About!$D:$D,MATCH(Sheet1!H916,About!$C:$C,0),1),0)</f>
        <v>1</v>
      </c>
      <c r="J916" s="6">
        <f t="shared" si="35"/>
        <v>1</v>
      </c>
    </row>
    <row r="917" spans="1:10" x14ac:dyDescent="0.35">
      <c r="A917" t="s">
        <v>243</v>
      </c>
      <c r="B917" t="s">
        <v>1635</v>
      </c>
      <c r="C917" t="s">
        <v>1694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Industrial Equipment Shareweights.xlsm</v>
      </c>
      <c r="I917" s="5">
        <f>IFERROR(INDEX(About!$D:$D,MATCH(Sheet1!H917,About!$C:$C,0),1),0)</f>
        <v>1</v>
      </c>
      <c r="J917" s="6">
        <f t="shared" si="35"/>
        <v>1</v>
      </c>
    </row>
    <row r="918" spans="1:10" x14ac:dyDescent="0.35">
      <c r="A918" t="s">
        <v>243</v>
      </c>
      <c r="B918" t="s">
        <v>1635</v>
      </c>
      <c r="C918" t="s">
        <v>1695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Industrial Equipment Shareweights.xlsm</v>
      </c>
      <c r="I918" s="5">
        <f>IFERROR(INDEX(About!$D:$D,MATCH(Sheet1!H918,About!$C:$C,0),1),0)</f>
        <v>1</v>
      </c>
      <c r="J918" s="6">
        <f t="shared" si="35"/>
        <v>1</v>
      </c>
    </row>
    <row r="919" spans="1:10" x14ac:dyDescent="0.35">
      <c r="A919" t="s">
        <v>243</v>
      </c>
      <c r="B919" t="s">
        <v>1635</v>
      </c>
      <c r="C919" t="s">
        <v>1696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Industrial Equipment Shareweights.xlsm</v>
      </c>
      <c r="I919" s="5">
        <f>IFERROR(INDEX(About!$D:$D,MATCH(Sheet1!H919,About!$C:$C,0),1),0)</f>
        <v>1</v>
      </c>
      <c r="J919" s="6">
        <f t="shared" si="35"/>
        <v>1</v>
      </c>
    </row>
    <row r="920" spans="1:10" x14ac:dyDescent="0.35">
      <c r="A920" t="s">
        <v>243</v>
      </c>
      <c r="B920" t="s">
        <v>1635</v>
      </c>
      <c r="C920" t="s">
        <v>1697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Industrial Equipment Shareweights.xlsm</v>
      </c>
      <c r="I920" s="5">
        <f>IFERROR(INDEX(About!$D:$D,MATCH(Sheet1!H920,About!$C:$C,0),1),0)</f>
        <v>1</v>
      </c>
      <c r="J920" s="6">
        <f t="shared" si="35"/>
        <v>1</v>
      </c>
    </row>
    <row r="921" spans="1:10" x14ac:dyDescent="0.35">
      <c r="A921" t="s">
        <v>243</v>
      </c>
      <c r="B921" t="s">
        <v>1635</v>
      </c>
      <c r="C921" t="s">
        <v>1698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Industrial Equipment Shareweights.xlsm</v>
      </c>
      <c r="I921" s="5">
        <f>IFERROR(INDEX(About!$D:$D,MATCH(Sheet1!H921,About!$C:$C,0),1),0)</f>
        <v>1</v>
      </c>
      <c r="J921" s="6">
        <f t="shared" si="35"/>
        <v>1</v>
      </c>
    </row>
    <row r="922" spans="1:10" x14ac:dyDescent="0.35">
      <c r="A922" t="s">
        <v>243</v>
      </c>
      <c r="B922" t="s">
        <v>1635</v>
      </c>
      <c r="C922" t="s">
        <v>1699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Industrial Equipment Shareweights.xlsm</v>
      </c>
      <c r="I922" s="5">
        <f>IFERROR(INDEX(About!$D:$D,MATCH(Sheet1!H922,About!$C:$C,0),1),0)</f>
        <v>1</v>
      </c>
      <c r="J922" s="6">
        <f t="shared" si="35"/>
        <v>1</v>
      </c>
    </row>
    <row r="923" spans="1:10" x14ac:dyDescent="0.35">
      <c r="A923" t="s">
        <v>243</v>
      </c>
      <c r="B923" t="s">
        <v>1635</v>
      </c>
      <c r="C923" t="s">
        <v>1700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Industrial Equipment Shareweights.xlsm</v>
      </c>
      <c r="I923" s="5">
        <f>IFERROR(INDEX(About!$D:$D,MATCH(Sheet1!H923,About!$C:$C,0),1),0)</f>
        <v>1</v>
      </c>
      <c r="J923" s="6">
        <f t="shared" si="35"/>
        <v>1</v>
      </c>
    </row>
    <row r="924" spans="1:10" x14ac:dyDescent="0.35">
      <c r="A924" t="s">
        <v>243</v>
      </c>
      <c r="B924" t="s">
        <v>1635</v>
      </c>
      <c r="C924" t="s">
        <v>1701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Industrial Equipment Shareweights.xlsm</v>
      </c>
      <c r="I924" s="5">
        <f>IFERROR(INDEX(About!$D:$D,MATCH(Sheet1!H924,About!$C:$C,0),1),0)</f>
        <v>1</v>
      </c>
      <c r="J924" s="6">
        <f t="shared" si="35"/>
        <v>1</v>
      </c>
    </row>
    <row r="925" spans="1:10" x14ac:dyDescent="0.35">
      <c r="A925" t="s">
        <v>243</v>
      </c>
      <c r="B925" t="s">
        <v>1635</v>
      </c>
      <c r="C925" t="s">
        <v>1702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Industrial Equipment Shareweights.xlsm</v>
      </c>
      <c r="I925" s="5">
        <f>IFERROR(INDEX(About!$D:$D,MATCH(Sheet1!H925,About!$C:$C,0),1),0)</f>
        <v>1</v>
      </c>
      <c r="J925" s="6">
        <f t="shared" si="35"/>
        <v>1</v>
      </c>
    </row>
    <row r="926" spans="1:10" x14ac:dyDescent="0.35">
      <c r="A926" t="s">
        <v>243</v>
      </c>
      <c r="B926" t="s">
        <v>1635</v>
      </c>
      <c r="C926" t="s">
        <v>1703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Industrial Equipment Shareweights.xlsm</v>
      </c>
      <c r="I926" s="5">
        <f>IFERROR(INDEX(About!$D:$D,MATCH(Sheet1!H926,About!$C:$C,0),1),0)</f>
        <v>1</v>
      </c>
      <c r="J926" s="6">
        <f t="shared" si="35"/>
        <v>1</v>
      </c>
    </row>
    <row r="927" spans="1:10" x14ac:dyDescent="0.35">
      <c r="A927" t="s">
        <v>243</v>
      </c>
      <c r="B927" t="s">
        <v>1635</v>
      </c>
      <c r="C927" t="s">
        <v>1704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Industrial Equipment Shareweights.xlsm</v>
      </c>
      <c r="I927" s="5">
        <f>IFERROR(INDEX(About!$D:$D,MATCH(Sheet1!H927,About!$C:$C,0),1),0)</f>
        <v>1</v>
      </c>
      <c r="J927" s="6">
        <f t="shared" si="35"/>
        <v>1</v>
      </c>
    </row>
    <row r="928" spans="1:10" x14ac:dyDescent="0.35">
      <c r="A928" t="s">
        <v>243</v>
      </c>
      <c r="B928" t="s">
        <v>1635</v>
      </c>
      <c r="C928" t="s">
        <v>1705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Industrial Equipment Shareweights.xlsm</v>
      </c>
      <c r="I928" s="5">
        <f>IFERROR(INDEX(About!$D:$D,MATCH(Sheet1!H928,About!$C:$C,0),1),0)</f>
        <v>1</v>
      </c>
      <c r="J928" s="6">
        <f t="shared" si="35"/>
        <v>1</v>
      </c>
    </row>
    <row r="929" spans="1:10" x14ac:dyDescent="0.35">
      <c r="A929" t="s">
        <v>243</v>
      </c>
      <c r="B929" t="s">
        <v>1635</v>
      </c>
      <c r="C929" t="s">
        <v>1706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Industrial Equipment Shareweights.xlsm</v>
      </c>
      <c r="I929" s="5">
        <f>IFERROR(INDEX(About!$D:$D,MATCH(Sheet1!H929,About!$C:$C,0),1),0)</f>
        <v>1</v>
      </c>
      <c r="J929" s="6">
        <f t="shared" si="35"/>
        <v>1</v>
      </c>
    </row>
    <row r="930" spans="1:10" x14ac:dyDescent="0.35">
      <c r="A930" t="s">
        <v>243</v>
      </c>
      <c r="B930" t="s">
        <v>1635</v>
      </c>
      <c r="C930" t="s">
        <v>1707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Industrial Equipment Shareweights.xlsm</v>
      </c>
      <c r="I930" s="5">
        <f>IFERROR(INDEX(About!$D:$D,MATCH(Sheet1!H930,About!$C:$C,0),1),0)</f>
        <v>1</v>
      </c>
      <c r="J930" s="6">
        <f t="shared" si="35"/>
        <v>1</v>
      </c>
    </row>
    <row r="931" spans="1:10" x14ac:dyDescent="0.35">
      <c r="A931" t="s">
        <v>243</v>
      </c>
      <c r="B931" t="s">
        <v>1635</v>
      </c>
      <c r="C931" t="s">
        <v>1909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Industrial Equipment Shareweights.xlsm</v>
      </c>
      <c r="I931" s="5">
        <f>IFERROR(INDEX(About!$D:$D,MATCH(Sheet1!H931,About!$C:$C,0),1),0)</f>
        <v>1</v>
      </c>
      <c r="J931" s="6">
        <f t="shared" si="35"/>
        <v>1</v>
      </c>
    </row>
    <row r="932" spans="1:10" x14ac:dyDescent="0.35">
      <c r="A932" t="s">
        <v>243</v>
      </c>
      <c r="B932" t="s">
        <v>1635</v>
      </c>
      <c r="C932" t="s">
        <v>1910</v>
      </c>
      <c r="G932" t="str">
        <f t="shared" si="34"/>
        <v>.csv</v>
      </c>
      <c r="H932" s="5" t="str">
        <f>IFERROR(IF(B932="FoPITY",INDEX(Customizations!$C$2:$C$19,MATCH(Sheet1!C932,Customizations!$B$2:$B$19,0),1),INDEX(About!C:C,MATCH(Sheet1!B932,About!B:B,0),1)),"")</f>
        <v>Industrial Equipment Shareweights.xlsm</v>
      </c>
      <c r="I932" s="5">
        <f>IFERROR(INDEX(About!$D:$D,MATCH(Sheet1!H932,About!$C:$C,0),1),0)</f>
        <v>1</v>
      </c>
      <c r="J932" s="6">
        <f t="shared" si="35"/>
        <v>1</v>
      </c>
    </row>
    <row r="933" spans="1:10" x14ac:dyDescent="0.35">
      <c r="A933" t="s">
        <v>243</v>
      </c>
      <c r="B933" t="s">
        <v>1635</v>
      </c>
      <c r="C933" t="s">
        <v>1911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Industrial Equipment Shareweights.xlsm</v>
      </c>
      <c r="I933" s="5">
        <f>IFERROR(INDEX(About!$D:$D,MATCH(Sheet1!H933,About!$C:$C,0),1),0)</f>
        <v>1</v>
      </c>
      <c r="J933" s="6">
        <f t="shared" si="35"/>
        <v>1</v>
      </c>
    </row>
    <row r="934" spans="1:10" x14ac:dyDescent="0.35">
      <c r="A934" t="s">
        <v>243</v>
      </c>
      <c r="B934" t="s">
        <v>1635</v>
      </c>
      <c r="C934" t="s">
        <v>1912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Industrial Equipment Shareweights.xlsm</v>
      </c>
      <c r="I934" s="5">
        <f>IFERROR(INDEX(About!$D:$D,MATCH(Sheet1!H934,About!$C:$C,0),1),0)</f>
        <v>1</v>
      </c>
      <c r="J934" s="6">
        <f t="shared" si="35"/>
        <v>1</v>
      </c>
    </row>
    <row r="935" spans="1:10" x14ac:dyDescent="0.35">
      <c r="A935" t="s">
        <v>243</v>
      </c>
      <c r="B935" t="s">
        <v>1635</v>
      </c>
      <c r="C935" t="s">
        <v>1913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Industrial Equipment Shareweights.xlsm</v>
      </c>
      <c r="I935" s="5">
        <f>IFERROR(INDEX(About!$D:$D,MATCH(Sheet1!H935,About!$C:$C,0),1),0)</f>
        <v>1</v>
      </c>
      <c r="J935" s="6">
        <f t="shared" si="35"/>
        <v>1</v>
      </c>
    </row>
    <row r="936" spans="1:10" x14ac:dyDescent="0.35">
      <c r="A936" t="s">
        <v>243</v>
      </c>
      <c r="B936" t="s">
        <v>1635</v>
      </c>
      <c r="C936" t="s">
        <v>1914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Industrial Equipment Shareweights.xlsm</v>
      </c>
      <c r="I936" s="5">
        <f>IFERROR(INDEX(About!$D:$D,MATCH(Sheet1!H936,About!$C:$C,0),1),0)</f>
        <v>1</v>
      </c>
      <c r="J936" s="6">
        <f t="shared" si="35"/>
        <v>1</v>
      </c>
    </row>
    <row r="937" spans="1:10" x14ac:dyDescent="0.35">
      <c r="A937" t="s">
        <v>243</v>
      </c>
      <c r="B937" t="s">
        <v>1635</v>
      </c>
      <c r="C937" t="s">
        <v>1915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Industrial Equipment Shareweights.xlsm</v>
      </c>
      <c r="I937" s="5">
        <f>IFERROR(INDEX(About!$D:$D,MATCH(Sheet1!H937,About!$C:$C,0),1),0)</f>
        <v>1</v>
      </c>
      <c r="J937" s="6">
        <f t="shared" si="35"/>
        <v>1</v>
      </c>
    </row>
    <row r="938" spans="1:10" x14ac:dyDescent="0.35">
      <c r="A938" t="s">
        <v>243</v>
      </c>
      <c r="B938" t="s">
        <v>1635</v>
      </c>
      <c r="C938" t="s">
        <v>1916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Industrial Equipment Shareweights.xlsm</v>
      </c>
      <c r="I938" s="5">
        <f>IFERROR(INDEX(About!$D:$D,MATCH(Sheet1!H938,About!$C:$C,0),1),0)</f>
        <v>1</v>
      </c>
      <c r="J938" s="6">
        <f t="shared" si="35"/>
        <v>1</v>
      </c>
    </row>
    <row r="939" spans="1:10" x14ac:dyDescent="0.35">
      <c r="A939" t="s">
        <v>243</v>
      </c>
      <c r="B939" t="s">
        <v>1635</v>
      </c>
      <c r="C939" t="s">
        <v>1917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Industrial Equipment Shareweights.xlsm</v>
      </c>
      <c r="I939" s="5">
        <f>IFERROR(INDEX(About!$D:$D,MATCH(Sheet1!H939,About!$C:$C,0),1),0)</f>
        <v>1</v>
      </c>
      <c r="J939" s="6">
        <f t="shared" si="35"/>
        <v>1</v>
      </c>
    </row>
    <row r="940" spans="1:10" x14ac:dyDescent="0.35">
      <c r="A940" t="s">
        <v>243</v>
      </c>
      <c r="B940" t="s">
        <v>1635</v>
      </c>
      <c r="C940" t="s">
        <v>1918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Industrial Equipment Shareweights.xlsm</v>
      </c>
      <c r="I940" s="5">
        <f>IFERROR(INDEX(About!$D:$D,MATCH(Sheet1!H940,About!$C:$C,0),1),0)</f>
        <v>1</v>
      </c>
      <c r="J940" s="6">
        <f t="shared" si="35"/>
        <v>1</v>
      </c>
    </row>
    <row r="941" spans="1:10" x14ac:dyDescent="0.35">
      <c r="A941" t="s">
        <v>243</v>
      </c>
      <c r="B941" t="s">
        <v>1635</v>
      </c>
      <c r="C941" t="s">
        <v>1919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Industrial Equipment Shareweights.xlsm</v>
      </c>
      <c r="I941" s="5">
        <f>IFERROR(INDEX(About!$D:$D,MATCH(Sheet1!H941,About!$C:$C,0),1),0)</f>
        <v>1</v>
      </c>
      <c r="J941" s="6">
        <f t="shared" si="35"/>
        <v>1</v>
      </c>
    </row>
    <row r="942" spans="1:10" x14ac:dyDescent="0.35">
      <c r="A942" t="s">
        <v>243</v>
      </c>
      <c r="B942" t="s">
        <v>1635</v>
      </c>
      <c r="C942" t="s">
        <v>1920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Industrial Equipment Shareweights.xlsm</v>
      </c>
      <c r="I942" s="5">
        <f>IFERROR(INDEX(About!$D:$D,MATCH(Sheet1!H942,About!$C:$C,0),1),0)</f>
        <v>1</v>
      </c>
      <c r="J942" s="6">
        <f t="shared" si="35"/>
        <v>1</v>
      </c>
    </row>
    <row r="943" spans="1:10" x14ac:dyDescent="0.35">
      <c r="A943" t="s">
        <v>243</v>
      </c>
      <c r="B943" t="s">
        <v>1635</v>
      </c>
      <c r="C943" t="s">
        <v>1708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Industrial Equipment Shareweights.xlsm</v>
      </c>
      <c r="I943" s="5">
        <f>IFERROR(INDEX(About!$D:$D,MATCH(Sheet1!H943,About!$C:$C,0),1),0)</f>
        <v>1</v>
      </c>
      <c r="J943" s="6">
        <f t="shared" si="35"/>
        <v>1</v>
      </c>
    </row>
    <row r="944" spans="1:10" x14ac:dyDescent="0.35">
      <c r="A944" t="s">
        <v>243</v>
      </c>
      <c r="B944" t="s">
        <v>1635</v>
      </c>
      <c r="C944" t="s">
        <v>1709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Industrial Equipment Shareweights.xlsm</v>
      </c>
      <c r="I944" s="5">
        <f>IFERROR(INDEX(About!$D:$D,MATCH(Sheet1!H944,About!$C:$C,0),1),0)</f>
        <v>1</v>
      </c>
      <c r="J944" s="6">
        <f t="shared" si="35"/>
        <v>1</v>
      </c>
    </row>
    <row r="945" spans="1:10" x14ac:dyDescent="0.35">
      <c r="A945" t="s">
        <v>243</v>
      </c>
      <c r="B945" t="s">
        <v>1635</v>
      </c>
      <c r="C945" t="s">
        <v>1710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Industrial Equipment Shareweights.xlsm</v>
      </c>
      <c r="I945" s="5">
        <f>IFERROR(INDEX(About!$D:$D,MATCH(Sheet1!H945,About!$C:$C,0),1),0)</f>
        <v>1</v>
      </c>
      <c r="J945" s="6">
        <f t="shared" si="35"/>
        <v>1</v>
      </c>
    </row>
    <row r="946" spans="1:10" x14ac:dyDescent="0.35">
      <c r="A946" t="s">
        <v>243</v>
      </c>
      <c r="B946" t="s">
        <v>1635</v>
      </c>
      <c r="C946" t="s">
        <v>1711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Industrial Equipment Shareweights.xlsm</v>
      </c>
      <c r="I946" s="5">
        <f>IFERROR(INDEX(About!$D:$D,MATCH(Sheet1!H946,About!$C:$C,0),1),0)</f>
        <v>1</v>
      </c>
      <c r="J946" s="6">
        <f t="shared" si="35"/>
        <v>1</v>
      </c>
    </row>
    <row r="947" spans="1:10" x14ac:dyDescent="0.35">
      <c r="A947" t="s">
        <v>243</v>
      </c>
      <c r="B947" t="s">
        <v>1635</v>
      </c>
      <c r="C947" t="s">
        <v>1712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Industrial Equipment Shareweights.xlsm</v>
      </c>
      <c r="I947" s="5">
        <f>IFERROR(INDEX(About!$D:$D,MATCH(Sheet1!H947,About!$C:$C,0),1),0)</f>
        <v>1</v>
      </c>
      <c r="J947" s="6">
        <f t="shared" si="35"/>
        <v>1</v>
      </c>
    </row>
    <row r="948" spans="1:10" x14ac:dyDescent="0.35">
      <c r="A948" t="s">
        <v>243</v>
      </c>
      <c r="B948" t="s">
        <v>1635</v>
      </c>
      <c r="C948" t="s">
        <v>1713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Industrial Equipment Shareweights.xlsm</v>
      </c>
      <c r="I948" s="5">
        <f>IFERROR(INDEX(About!$D:$D,MATCH(Sheet1!H948,About!$C:$C,0),1),0)</f>
        <v>1</v>
      </c>
      <c r="J948" s="6">
        <f t="shared" si="35"/>
        <v>1</v>
      </c>
    </row>
    <row r="949" spans="1:10" x14ac:dyDescent="0.35">
      <c r="A949" t="s">
        <v>243</v>
      </c>
      <c r="B949" t="s">
        <v>1635</v>
      </c>
      <c r="C949" t="s">
        <v>1714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Industrial Equipment Shareweights.xlsm</v>
      </c>
      <c r="I949" s="5">
        <f>IFERROR(INDEX(About!$D:$D,MATCH(Sheet1!H949,About!$C:$C,0),1),0)</f>
        <v>1</v>
      </c>
      <c r="J949" s="6">
        <f t="shared" si="35"/>
        <v>1</v>
      </c>
    </row>
    <row r="950" spans="1:10" x14ac:dyDescent="0.35">
      <c r="A950" t="s">
        <v>243</v>
      </c>
      <c r="B950" t="s">
        <v>1635</v>
      </c>
      <c r="C950" t="s">
        <v>1715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Industrial Equipment Shareweights.xlsm</v>
      </c>
      <c r="I950" s="5">
        <f>IFERROR(INDEX(About!$D:$D,MATCH(Sheet1!H950,About!$C:$C,0),1),0)</f>
        <v>1</v>
      </c>
      <c r="J950" s="6">
        <f t="shared" si="35"/>
        <v>1</v>
      </c>
    </row>
    <row r="951" spans="1:10" x14ac:dyDescent="0.35">
      <c r="A951" t="s">
        <v>243</v>
      </c>
      <c r="B951" t="s">
        <v>1635</v>
      </c>
      <c r="C951" t="s">
        <v>1716</v>
      </c>
      <c r="G951" t="str">
        <f t="shared" ref="G951:G1014" si="36">RIGHT(C951,"4")</f>
        <v>.csv</v>
      </c>
      <c r="H951" s="5" t="str">
        <f>IFERROR(IF(B951="FoPITY",INDEX(Customizations!$C$2:$C$19,MATCH(Sheet1!C951,Customizations!$B$2:$B$19,0),1),INDEX(About!C:C,MATCH(Sheet1!B951,About!B:B,0),1)),"")</f>
        <v>Industrial Equipment Shareweights.xlsm</v>
      </c>
      <c r="I951" s="5">
        <f>IFERROR(INDEX(About!$D:$D,MATCH(Sheet1!H951,About!$C:$C,0),1),0)</f>
        <v>1</v>
      </c>
      <c r="J951" s="6">
        <f t="shared" ref="J951:J1014" si="37">IF(G951=".csv",1,0)*I951</f>
        <v>1</v>
      </c>
    </row>
    <row r="952" spans="1:10" x14ac:dyDescent="0.35">
      <c r="A952" t="s">
        <v>243</v>
      </c>
      <c r="B952" t="s">
        <v>1635</v>
      </c>
      <c r="C952" t="s">
        <v>1717</v>
      </c>
      <c r="G952" t="str">
        <f t="shared" si="36"/>
        <v>.csv</v>
      </c>
      <c r="H952" s="5" t="str">
        <f>IFERROR(IF(B952="FoPITY",INDEX(Customizations!$C$2:$C$19,MATCH(Sheet1!C952,Customizations!$B$2:$B$19,0),1),INDEX(About!C:C,MATCH(Sheet1!B952,About!B:B,0),1)),"")</f>
        <v>Industrial Equipment Shareweights.xlsm</v>
      </c>
      <c r="I952" s="5">
        <f>IFERROR(INDEX(About!$D:$D,MATCH(Sheet1!H952,About!$C:$C,0),1),0)</f>
        <v>1</v>
      </c>
      <c r="J952" s="6">
        <f t="shared" si="37"/>
        <v>1</v>
      </c>
    </row>
    <row r="953" spans="1:10" x14ac:dyDescent="0.35">
      <c r="A953" t="s">
        <v>243</v>
      </c>
      <c r="B953" t="s">
        <v>1635</v>
      </c>
      <c r="C953" t="s">
        <v>1718</v>
      </c>
      <c r="G953" t="str">
        <f t="shared" si="36"/>
        <v>.csv</v>
      </c>
      <c r="H953" s="5" t="str">
        <f>IFERROR(IF(B953="FoPITY",INDEX(Customizations!$C$2:$C$19,MATCH(Sheet1!C953,Customizations!$B$2:$B$19,0),1),INDEX(About!C:C,MATCH(Sheet1!B953,About!B:B,0),1)),"")</f>
        <v>Industrial Equipment Shareweights.xlsm</v>
      </c>
      <c r="I953" s="5">
        <f>IFERROR(INDEX(About!$D:$D,MATCH(Sheet1!H953,About!$C:$C,0),1),0)</f>
        <v>1</v>
      </c>
      <c r="J953" s="6">
        <f t="shared" si="37"/>
        <v>1</v>
      </c>
    </row>
    <row r="954" spans="1:10" x14ac:dyDescent="0.35">
      <c r="A954" t="s">
        <v>243</v>
      </c>
      <c r="B954" t="s">
        <v>1635</v>
      </c>
      <c r="C954" t="s">
        <v>1719</v>
      </c>
      <c r="G954" t="str">
        <f t="shared" si="36"/>
        <v>.csv</v>
      </c>
      <c r="H954" s="5" t="str">
        <f>IFERROR(IF(B954="FoPITY",INDEX(Customizations!$C$2:$C$19,MATCH(Sheet1!C954,Customizations!$B$2:$B$19,0),1),INDEX(About!C:C,MATCH(Sheet1!B954,About!B:B,0),1)),"")</f>
        <v>Industrial Equipment Shareweights.xlsm</v>
      </c>
      <c r="I954" s="5">
        <f>IFERROR(INDEX(About!$D:$D,MATCH(Sheet1!H954,About!$C:$C,0),1),0)</f>
        <v>1</v>
      </c>
      <c r="J954" s="6">
        <f t="shared" si="37"/>
        <v>1</v>
      </c>
    </row>
    <row r="955" spans="1:10" x14ac:dyDescent="0.35">
      <c r="A955" t="s">
        <v>243</v>
      </c>
      <c r="B955" t="s">
        <v>1635</v>
      </c>
      <c r="C955" t="s">
        <v>1720</v>
      </c>
      <c r="G955" t="str">
        <f t="shared" si="36"/>
        <v>xlsm</v>
      </c>
      <c r="H955" s="5" t="str">
        <f>IFERROR(IF(B955="FoPITY",INDEX(Customizations!$C$2:$C$19,MATCH(Sheet1!C955,Customizations!$B$2:$B$19,0),1),INDEX(About!C:C,MATCH(Sheet1!B955,About!B:B,0),1)),"")</f>
        <v>Industrial Equipment Shareweights.xlsm</v>
      </c>
      <c r="I955" s="5">
        <f>IFERROR(INDEX(About!$D:$D,MATCH(Sheet1!H955,About!$C:$C,0),1),0)</f>
        <v>1</v>
      </c>
      <c r="J955" s="6">
        <f t="shared" si="37"/>
        <v>0</v>
      </c>
    </row>
    <row r="956" spans="1:10" x14ac:dyDescent="0.35">
      <c r="A956" t="s">
        <v>243</v>
      </c>
      <c r="B956" t="s">
        <v>1635</v>
      </c>
      <c r="C956" t="s">
        <v>1721</v>
      </c>
      <c r="G956" t="str">
        <f t="shared" si="36"/>
        <v>xlsx</v>
      </c>
      <c r="H956" s="5" t="str">
        <f>IFERROR(IF(B956="FoPITY",INDEX(Customizations!$C$2:$C$19,MATCH(Sheet1!C956,Customizations!$B$2:$B$19,0),1),INDEX(About!C:C,MATCH(Sheet1!B956,About!B:B,0),1)),"")</f>
        <v>Industrial Equipment Shareweights.xlsm</v>
      </c>
      <c r="I956" s="5">
        <f>IFERROR(INDEX(About!$D:$D,MATCH(Sheet1!H956,About!$C:$C,0),1),0)</f>
        <v>1</v>
      </c>
      <c r="J956" s="6">
        <f t="shared" si="37"/>
        <v>0</v>
      </c>
    </row>
    <row r="957" spans="1:10" x14ac:dyDescent="0.35">
      <c r="A957" t="s">
        <v>243</v>
      </c>
      <c r="B957" t="s">
        <v>1722</v>
      </c>
      <c r="C957" t="s">
        <v>1723</v>
      </c>
      <c r="G957" t="str">
        <f t="shared" si="36"/>
        <v>.csv</v>
      </c>
      <c r="H957" s="5" t="str">
        <f>IFERROR(IF(B957="FoPITY",INDEX(Customizations!$C$2:$C$19,MATCH(Sheet1!C957,Customizations!$B$2:$B$19,0),1),INDEX(About!C:C,MATCH(Sheet1!B957,About!B:B,0),1)),"")</f>
        <v>Industrial Equipment Survival Data.xlsx</v>
      </c>
      <c r="I957" s="5">
        <f>IFERROR(INDEX(About!$D:$D,MATCH(Sheet1!H957,About!$C:$C,0),1),0)</f>
        <v>0</v>
      </c>
      <c r="J957" s="6">
        <f t="shared" si="37"/>
        <v>0</v>
      </c>
    </row>
    <row r="958" spans="1:10" x14ac:dyDescent="0.35">
      <c r="A958" t="s">
        <v>243</v>
      </c>
      <c r="B958" t="s">
        <v>1722</v>
      </c>
      <c r="C958" t="s">
        <v>1724</v>
      </c>
      <c r="G958" t="str">
        <f t="shared" si="36"/>
        <v>.csv</v>
      </c>
      <c r="H958" s="5" t="str">
        <f>IFERROR(IF(B958="FoPITY",INDEX(Customizations!$C$2:$C$19,MATCH(Sheet1!C958,Customizations!$B$2:$B$19,0),1),INDEX(About!C:C,MATCH(Sheet1!B958,About!B:B,0),1)),"")</f>
        <v>Industrial Equipment Survival Data.xlsx</v>
      </c>
      <c r="I958" s="5">
        <f>IFERROR(INDEX(About!$D:$D,MATCH(Sheet1!H958,About!$C:$C,0),1),0)</f>
        <v>0</v>
      </c>
      <c r="J958" s="6">
        <f t="shared" si="37"/>
        <v>0</v>
      </c>
    </row>
    <row r="959" spans="1:10" x14ac:dyDescent="0.35">
      <c r="A959" t="s">
        <v>243</v>
      </c>
      <c r="B959" t="s">
        <v>1722</v>
      </c>
      <c r="C959" t="s">
        <v>1921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Industrial Equipment Survival Data.xlsx</v>
      </c>
      <c r="I959" s="5">
        <f>IFERROR(INDEX(About!$D:$D,MATCH(Sheet1!H959,About!$C:$C,0),1),0)</f>
        <v>0</v>
      </c>
      <c r="J959" s="6">
        <f t="shared" si="37"/>
        <v>0</v>
      </c>
    </row>
    <row r="960" spans="1:10" x14ac:dyDescent="0.35">
      <c r="A960" t="s">
        <v>243</v>
      </c>
      <c r="B960" t="s">
        <v>1722</v>
      </c>
      <c r="C960" t="s">
        <v>1725</v>
      </c>
      <c r="G960" t="str">
        <f t="shared" si="36"/>
        <v>xlsx</v>
      </c>
      <c r="H960" s="5" t="str">
        <f>IFERROR(IF(B960="FoPITY",INDEX(Customizations!$C$2:$C$19,MATCH(Sheet1!C960,Customizations!$B$2:$B$19,0),1),INDEX(About!C:C,MATCH(Sheet1!B960,About!B:B,0),1)),"")</f>
        <v>Industrial Equipment Survival Data.xlsx</v>
      </c>
      <c r="I960" s="5">
        <f>IFERROR(INDEX(About!$D:$D,MATCH(Sheet1!H960,About!$C:$C,0),1),0)</f>
        <v>0</v>
      </c>
      <c r="J960" s="6">
        <f t="shared" si="37"/>
        <v>0</v>
      </c>
    </row>
    <row r="961" spans="1:10" x14ac:dyDescent="0.35">
      <c r="A961" t="s">
        <v>243</v>
      </c>
      <c r="B961" t="s">
        <v>944</v>
      </c>
      <c r="C961" t="s">
        <v>945</v>
      </c>
      <c r="G961" t="str">
        <f t="shared" si="36"/>
        <v>xlsx</v>
      </c>
      <c r="H961" s="5" t="str">
        <f>IFERROR(IF(B961="FoPITY",INDEX(Customizations!$C$2:$C$19,MATCH(Sheet1!C961,Customizations!$B$2:$B$19,0),1),INDEX(About!C:C,MATCH(Sheet1!B961,About!B:B,0),1)),"")</f>
        <v>IESE Import Export Substitution Elasticities.xlsx</v>
      </c>
      <c r="I961" s="5">
        <f>IFERROR(INDEX(About!$D:$D,MATCH(Sheet1!H961,About!$C:$C,0),1),0)</f>
        <v>0</v>
      </c>
      <c r="J961" s="6">
        <f t="shared" si="37"/>
        <v>0</v>
      </c>
    </row>
    <row r="962" spans="1:10" x14ac:dyDescent="0.35">
      <c r="A962" t="s">
        <v>243</v>
      </c>
      <c r="B962" t="s">
        <v>944</v>
      </c>
      <c r="C962" t="s">
        <v>946</v>
      </c>
      <c r="G962" t="str">
        <f t="shared" si="36"/>
        <v>.csv</v>
      </c>
      <c r="H962" s="5" t="str">
        <f>IFERROR(IF(B962="FoPITY",INDEX(Customizations!$C$2:$C$19,MATCH(Sheet1!C962,Customizations!$B$2:$B$19,0),1),INDEX(About!C:C,MATCH(Sheet1!B962,About!B:B,0),1)),"")</f>
        <v>IESE Import Export Substitution Elasticities.xlsx</v>
      </c>
      <c r="I962" s="5">
        <f>IFERROR(INDEX(About!$D:$D,MATCH(Sheet1!H962,About!$C:$C,0),1),0)</f>
        <v>0</v>
      </c>
      <c r="J962" s="6">
        <f t="shared" si="37"/>
        <v>0</v>
      </c>
    </row>
    <row r="963" spans="1:10" x14ac:dyDescent="0.35">
      <c r="A963" t="s">
        <v>243</v>
      </c>
      <c r="B963" t="s">
        <v>1726</v>
      </c>
      <c r="C963" t="s">
        <v>1727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Industrial Fuel Shifting Ratio.xlsx</v>
      </c>
      <c r="I963" s="5">
        <f>IFERROR(INDEX(About!$D:$D,MATCH(Sheet1!H963,About!$C:$C,0),1),0)</f>
        <v>0</v>
      </c>
      <c r="J963" s="6">
        <f t="shared" si="37"/>
        <v>0</v>
      </c>
    </row>
    <row r="964" spans="1:10" x14ac:dyDescent="0.35">
      <c r="A964" t="s">
        <v>243</v>
      </c>
      <c r="B964" t="s">
        <v>1726</v>
      </c>
      <c r="C964" t="s">
        <v>1728</v>
      </c>
      <c r="G964" t="str">
        <f t="shared" si="36"/>
        <v>.csv</v>
      </c>
      <c r="H964" s="5" t="str">
        <f>IFERROR(IF(B964="FoPITY",INDEX(Customizations!$C$2:$C$19,MATCH(Sheet1!C964,Customizations!$B$2:$B$19,0),1),INDEX(About!C:C,MATCH(Sheet1!B964,About!B:B,0),1)),"")</f>
        <v>Industrial Fuel Shifting Ratio.xlsx</v>
      </c>
      <c r="I964" s="5">
        <f>IFERROR(INDEX(About!$D:$D,MATCH(Sheet1!H964,About!$C:$C,0),1),0)</f>
        <v>0</v>
      </c>
      <c r="J964" s="6">
        <f t="shared" si="37"/>
        <v>0</v>
      </c>
    </row>
    <row r="965" spans="1:10" x14ac:dyDescent="0.35">
      <c r="A965" t="s">
        <v>243</v>
      </c>
      <c r="B965" t="s">
        <v>1726</v>
      </c>
      <c r="C965" t="s">
        <v>1729</v>
      </c>
      <c r="G965" t="str">
        <f t="shared" si="36"/>
        <v>xlsx</v>
      </c>
      <c r="H965" s="5" t="str">
        <f>IFERROR(IF(B965="FoPITY",INDEX(Customizations!$C$2:$C$19,MATCH(Sheet1!C965,Customizations!$B$2:$B$19,0),1),INDEX(About!C:C,MATCH(Sheet1!B965,About!B:B,0),1)),"")</f>
        <v>Industrial Fuel Shifting Ratio.xlsx</v>
      </c>
      <c r="I965" s="5">
        <f>IFERROR(INDEX(About!$D:$D,MATCH(Sheet1!H965,About!$C:$C,0),1),0)</f>
        <v>0</v>
      </c>
      <c r="J965" s="6">
        <f t="shared" si="37"/>
        <v>0</v>
      </c>
    </row>
    <row r="966" spans="1:10" x14ac:dyDescent="0.35">
      <c r="A966" t="s">
        <v>243</v>
      </c>
      <c r="B966" t="s">
        <v>1730</v>
      </c>
      <c r="C966" t="s">
        <v>1731</v>
      </c>
      <c r="G966" t="str">
        <f t="shared" si="36"/>
        <v>.csv</v>
      </c>
      <c r="H966" s="5" t="str">
        <f>IFERROR(IF(B966="FoPITY",INDEX(Customizations!$C$2:$C$19,MATCH(Sheet1!C966,Customizations!$B$2:$B$19,0),1),INDEX(About!C:C,MATCH(Sheet1!B966,About!B:B,0),1)),"")</f>
        <v>Industrial Feedstock Switching Recipient Fuel.xlsx</v>
      </c>
      <c r="I966" s="5">
        <f>IFERROR(INDEX(About!$D:$D,MATCH(Sheet1!H966,About!$C:$C,0),1),0)</f>
        <v>0</v>
      </c>
      <c r="J966" s="6">
        <f t="shared" si="37"/>
        <v>0</v>
      </c>
    </row>
    <row r="967" spans="1:10" x14ac:dyDescent="0.35">
      <c r="A967" t="s">
        <v>243</v>
      </c>
      <c r="B967" t="s">
        <v>1730</v>
      </c>
      <c r="C967" t="s">
        <v>1732</v>
      </c>
      <c r="G967" t="str">
        <f t="shared" si="36"/>
        <v>xlsx</v>
      </c>
      <c r="H967" s="5" t="str">
        <f>IFERROR(IF(B967="FoPITY",INDEX(Customizations!$C$2:$C$19,MATCH(Sheet1!C967,Customizations!$B$2:$B$19,0),1),INDEX(About!C:C,MATCH(Sheet1!B967,About!B:B,0),1)),"")</f>
        <v>Industrial Feedstock Switching Recipient Fuel.xlsx</v>
      </c>
      <c r="I967" s="5">
        <f>IFERROR(INDEX(About!$D:$D,MATCH(Sheet1!H967,About!$C:$C,0),1),0)</f>
        <v>0</v>
      </c>
      <c r="J967" s="6">
        <f t="shared" si="37"/>
        <v>0</v>
      </c>
    </row>
    <row r="968" spans="1:10" x14ac:dyDescent="0.35">
      <c r="A968" t="s">
        <v>243</v>
      </c>
      <c r="B968" t="s">
        <v>1922</v>
      </c>
      <c r="C968" t="s">
        <v>1923</v>
      </c>
      <c r="G968" t="str">
        <f t="shared" si="36"/>
        <v>.csv</v>
      </c>
      <c r="H968" s="5" t="str">
        <f>IFERROR(IF(B968="FoPITY",INDEX(Customizations!$C$2:$C$19,MATCH(Sheet1!C968,Customizations!$B$2:$B$19,0),1),INDEX(About!C:C,MATCH(Sheet1!B968,About!B:B,0),1)),"")</f>
        <v>Indst Fuels Subject to Electrification.xlsx</v>
      </c>
      <c r="I968" s="5">
        <f>IFERROR(INDEX(About!$D:$D,MATCH(Sheet1!H968,About!$C:$C,0),1),0)</f>
        <v>0</v>
      </c>
      <c r="J968" s="6">
        <f t="shared" si="37"/>
        <v>0</v>
      </c>
    </row>
    <row r="969" spans="1:10" x14ac:dyDescent="0.35">
      <c r="A969" t="s">
        <v>243</v>
      </c>
      <c r="B969" t="s">
        <v>1922</v>
      </c>
      <c r="C969" t="s">
        <v>1924</v>
      </c>
      <c r="G969" t="str">
        <f t="shared" si="36"/>
        <v>xlsx</v>
      </c>
      <c r="H969" s="5" t="str">
        <f>IFERROR(IF(B969="FoPITY",INDEX(Customizations!$C$2:$C$19,MATCH(Sheet1!C969,Customizations!$B$2:$B$19,0),1),INDEX(About!C:C,MATCH(Sheet1!B969,About!B:B,0),1)),"")</f>
        <v>Indst Fuels Subject to Electrification.xlsx</v>
      </c>
      <c r="I969" s="5">
        <f>IFERROR(INDEX(About!$D:$D,MATCH(Sheet1!H969,About!$C:$C,0),1),0)</f>
        <v>0</v>
      </c>
      <c r="J969" s="6">
        <f t="shared" si="37"/>
        <v>0</v>
      </c>
    </row>
    <row r="970" spans="1:10" x14ac:dyDescent="0.35">
      <c r="A970" t="s">
        <v>243</v>
      </c>
      <c r="B970" t="s">
        <v>1925</v>
      </c>
      <c r="C970" t="s">
        <v>1926</v>
      </c>
      <c r="G970" t="str">
        <f t="shared" si="36"/>
        <v>.csv</v>
      </c>
      <c r="H970" s="5" t="str">
        <f>IFERROR(IF(B970="FoPITY",INDEX(Customizations!$C$2:$C$19,MATCH(Sheet1!C970,Customizations!$B$2:$B$19,0),1),INDEX(About!C:C,MATCH(Sheet1!B970,About!B:B,0),1)),"")</f>
        <v>Indst Fuel Types Qual for Early Eqpt Retirement Policy.xlsx</v>
      </c>
      <c r="I970" s="5">
        <f>IFERROR(INDEX(About!$D:$D,MATCH(Sheet1!H970,About!$C:$C,0),1),0)</f>
        <v>0</v>
      </c>
      <c r="J970" s="6">
        <f t="shared" si="37"/>
        <v>0</v>
      </c>
    </row>
    <row r="971" spans="1:10" x14ac:dyDescent="0.35">
      <c r="A971" t="s">
        <v>243</v>
      </c>
      <c r="B971" t="s">
        <v>1925</v>
      </c>
      <c r="C971" t="s">
        <v>1927</v>
      </c>
      <c r="G971" t="str">
        <f t="shared" si="36"/>
        <v>xlsx</v>
      </c>
      <c r="H971" s="5" t="str">
        <f>IFERROR(IF(B971="FoPITY",INDEX(Customizations!$C$2:$C$19,MATCH(Sheet1!C971,Customizations!$B$2:$B$19,0),1),INDEX(About!C:C,MATCH(Sheet1!B971,About!B:B,0),1)),"")</f>
        <v>Indst Fuel Types Qual for Early Eqpt Retirement Policy.xlsx</v>
      </c>
      <c r="I971" s="5">
        <f>IFERROR(INDEX(About!$D:$D,MATCH(Sheet1!H971,About!$C:$C,0),1),0)</f>
        <v>0</v>
      </c>
      <c r="J971" s="6">
        <f t="shared" si="37"/>
        <v>0</v>
      </c>
    </row>
    <row r="972" spans="1:10" x14ac:dyDescent="0.35">
      <c r="A972" t="s">
        <v>243</v>
      </c>
      <c r="B972" t="s">
        <v>1733</v>
      </c>
      <c r="C972" t="s">
        <v>1734</v>
      </c>
      <c r="G972" t="str">
        <f t="shared" si="36"/>
        <v>.csv</v>
      </c>
      <c r="H972" s="5" t="str">
        <f>IFERROR(IF(B972="FoPITY",INDEX(Customizations!$C$2:$C$19,MATCH(Sheet1!C972,Customizations!$B$2:$B$19,0),1),INDEX(About!C:C,MATCH(Sheet1!B972,About!B:B,0),1)),"")</f>
        <v>Indst Fuels Qualifying for Support.xlsx</v>
      </c>
      <c r="I972" s="5">
        <f>IFERROR(INDEX(About!$D:$D,MATCH(Sheet1!H972,About!$C:$C,0),1),0)</f>
        <v>0</v>
      </c>
      <c r="J972" s="6">
        <f t="shared" si="37"/>
        <v>0</v>
      </c>
    </row>
    <row r="973" spans="1:10" x14ac:dyDescent="0.35">
      <c r="A973" t="s">
        <v>243</v>
      </c>
      <c r="B973" t="s">
        <v>1733</v>
      </c>
      <c r="C973" t="s">
        <v>1735</v>
      </c>
      <c r="G973" t="str">
        <f t="shared" si="36"/>
        <v>.csv</v>
      </c>
      <c r="H973" s="5" t="str">
        <f>IFERROR(IF(B973="FoPITY",INDEX(Customizations!$C$2:$C$19,MATCH(Sheet1!C973,Customizations!$B$2:$B$19,0),1),INDEX(About!C:C,MATCH(Sheet1!B973,About!B:B,0),1)),"")</f>
        <v>Indst Fuels Qualifying for Support.xlsx</v>
      </c>
      <c r="I973" s="5">
        <f>IFERROR(INDEX(About!$D:$D,MATCH(Sheet1!H973,About!$C:$C,0),1),0)</f>
        <v>0</v>
      </c>
      <c r="J973" s="6">
        <f t="shared" si="37"/>
        <v>0</v>
      </c>
    </row>
    <row r="974" spans="1:10" x14ac:dyDescent="0.35">
      <c r="A974" t="s">
        <v>243</v>
      </c>
      <c r="B974" t="s">
        <v>1733</v>
      </c>
      <c r="C974" t="s">
        <v>1736</v>
      </c>
      <c r="G974" t="str">
        <f t="shared" si="36"/>
        <v>.csv</v>
      </c>
      <c r="H974" s="5" t="str">
        <f>IFERROR(IF(B974="FoPITY",INDEX(Customizations!$C$2:$C$19,MATCH(Sheet1!C974,Customizations!$B$2:$B$19,0),1),INDEX(About!C:C,MATCH(Sheet1!B974,About!B:B,0),1)),"")</f>
        <v>Indst Fuels Qualifying for Support.xlsx</v>
      </c>
      <c r="I974" s="5">
        <f>IFERROR(INDEX(About!$D:$D,MATCH(Sheet1!H974,About!$C:$C,0),1),0)</f>
        <v>0</v>
      </c>
      <c r="J974" s="6">
        <f t="shared" si="37"/>
        <v>0</v>
      </c>
    </row>
    <row r="975" spans="1:10" x14ac:dyDescent="0.35">
      <c r="A975" t="s">
        <v>243</v>
      </c>
      <c r="B975" t="s">
        <v>1733</v>
      </c>
      <c r="C975" t="s">
        <v>1737</v>
      </c>
      <c r="G975" t="str">
        <f t="shared" si="36"/>
        <v>xlsx</v>
      </c>
      <c r="H975" s="5" t="str">
        <f>IFERROR(IF(B975="FoPITY",INDEX(Customizations!$C$2:$C$19,MATCH(Sheet1!C975,Customizations!$B$2:$B$19,0),1),INDEX(About!C:C,MATCH(Sheet1!B975,About!B:B,0),1)),"")</f>
        <v>Indst Fuels Qualifying for Support.xlsx</v>
      </c>
      <c r="I975" s="5">
        <f>IFERROR(INDEX(About!$D:$D,MATCH(Sheet1!H975,About!$C:$C,0),1),0)</f>
        <v>0</v>
      </c>
      <c r="J975" s="6">
        <f t="shared" si="37"/>
        <v>0</v>
      </c>
    </row>
    <row r="976" spans="1:10" x14ac:dyDescent="0.35">
      <c r="A976" t="s">
        <v>243</v>
      </c>
      <c r="B976" t="s">
        <v>250</v>
      </c>
      <c r="C976" t="s">
        <v>251</v>
      </c>
      <c r="G976" t="str">
        <f t="shared" si="36"/>
        <v>xlsx</v>
      </c>
      <c r="H976" s="5" t="str">
        <f>IFERROR(IF(B976="FoPITY",INDEX(Customizations!$C$2:$C$19,MATCH(Sheet1!C976,Customizations!$B$2:$B$19,0),1),INDEX(About!C:C,MATCH(Sheet1!B976,About!B:B,0),1)),"")</f>
        <v>Methane Heating Value.xlsx</v>
      </c>
      <c r="I976" s="5">
        <f>IFERROR(INDEX(About!$D:$D,MATCH(Sheet1!H976,About!$C:$C,0),1),0)</f>
        <v>0</v>
      </c>
      <c r="J976" s="6">
        <f t="shared" si="37"/>
        <v>0</v>
      </c>
    </row>
    <row r="977" spans="1:10" x14ac:dyDescent="0.35">
      <c r="A977" t="s">
        <v>243</v>
      </c>
      <c r="B977" t="s">
        <v>250</v>
      </c>
      <c r="C977" t="s">
        <v>252</v>
      </c>
      <c r="G977" t="str">
        <f t="shared" si="36"/>
        <v>.csv</v>
      </c>
      <c r="H977" s="5" t="str">
        <f>IFERROR(IF(B977="FoPITY",INDEX(Customizations!$C$2:$C$19,MATCH(Sheet1!C977,Customizations!$B$2:$B$19,0),1),INDEX(About!C:C,MATCH(Sheet1!B977,About!B:B,0),1)),"")</f>
        <v>Methane Heating Value.xlsx</v>
      </c>
      <c r="I977" s="5">
        <f>IFERROR(INDEX(About!$D:$D,MATCH(Sheet1!H977,About!$C:$C,0),1),0)</f>
        <v>0</v>
      </c>
      <c r="J977" s="6">
        <f t="shared" si="37"/>
        <v>0</v>
      </c>
    </row>
    <row r="978" spans="1:10" x14ac:dyDescent="0.35">
      <c r="A978" t="s">
        <v>243</v>
      </c>
      <c r="B978" t="s">
        <v>1928</v>
      </c>
      <c r="C978" t="s">
        <v>1929</v>
      </c>
      <c r="G978" t="str">
        <f t="shared" si="36"/>
        <v>xlsx</v>
      </c>
      <c r="H978" s="5" t="str">
        <f>IFERROR(IF(B978="FoPITY",INDEX(Customizations!$C$2:$C$19,MATCH(Sheet1!C978,Customizations!$B$2:$B$19,0),1),INDEX(About!C:C,MATCH(Sheet1!B978,About!B:B,0),1)),"")</f>
        <v>New Indst Eqpt Alt Fuel Shifting Matrix.xlsx</v>
      </c>
      <c r="I978" s="5">
        <f>IFERROR(INDEX(About!$D:$D,MATCH(Sheet1!H978,About!$C:$C,0),1),0)</f>
        <v>0</v>
      </c>
      <c r="J978" s="6">
        <f t="shared" si="37"/>
        <v>0</v>
      </c>
    </row>
    <row r="979" spans="1:10" x14ac:dyDescent="0.35">
      <c r="A979" t="s">
        <v>243</v>
      </c>
      <c r="B979" t="s">
        <v>1928</v>
      </c>
      <c r="C979" t="s">
        <v>1930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New Indst Eqpt Alt Fuel Shifting Matrix.xlsx</v>
      </c>
      <c r="I979" s="5">
        <f>IFERROR(INDEX(About!$D:$D,MATCH(Sheet1!H979,About!$C:$C,0),1),0)</f>
        <v>0</v>
      </c>
      <c r="J979" s="6">
        <f t="shared" si="37"/>
        <v>0</v>
      </c>
    </row>
    <row r="980" spans="1:10" x14ac:dyDescent="0.35">
      <c r="A980" t="s">
        <v>243</v>
      </c>
      <c r="B980" t="s">
        <v>1738</v>
      </c>
      <c r="C980" t="s">
        <v>1739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Proc Emis Additions and Costs.xlsx</v>
      </c>
      <c r="I980" s="5">
        <f>IFERROR(INDEX(About!$D:$D,MATCH(Sheet1!H980,About!$C:$C,0),1),0)</f>
        <v>0</v>
      </c>
      <c r="J980" s="6">
        <f t="shared" si="37"/>
        <v>0</v>
      </c>
    </row>
    <row r="981" spans="1:10" x14ac:dyDescent="0.35">
      <c r="A981" t="s">
        <v>243</v>
      </c>
      <c r="B981" t="s">
        <v>1738</v>
      </c>
      <c r="C981" t="s">
        <v>1740</v>
      </c>
      <c r="G981" t="str">
        <f t="shared" si="36"/>
        <v>.csv</v>
      </c>
      <c r="H981" s="5" t="str">
        <f>IFERROR(IF(B981="FoPITY",INDEX(Customizations!$C$2:$C$19,MATCH(Sheet1!C981,Customizations!$B$2:$B$19,0),1),INDEX(About!C:C,MATCH(Sheet1!B981,About!B:B,0),1)),"")</f>
        <v>Proc Emis Additions and Costs.xlsx</v>
      </c>
      <c r="I981" s="5">
        <f>IFERROR(INDEX(About!$D:$D,MATCH(Sheet1!H981,About!$C:$C,0),1),0)</f>
        <v>0</v>
      </c>
      <c r="J981" s="6">
        <f t="shared" si="37"/>
        <v>0</v>
      </c>
    </row>
    <row r="982" spans="1:10" x14ac:dyDescent="0.35">
      <c r="A982" t="s">
        <v>243</v>
      </c>
      <c r="B982" t="s">
        <v>1738</v>
      </c>
      <c r="C982" t="s">
        <v>1741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Proc Emis Additions and Costs.xlsx</v>
      </c>
      <c r="I982" s="5">
        <f>IFERROR(INDEX(About!$D:$D,MATCH(Sheet1!H982,About!$C:$C,0),1),0)</f>
        <v>0</v>
      </c>
      <c r="J982" s="6">
        <f t="shared" si="37"/>
        <v>0</v>
      </c>
    </row>
    <row r="983" spans="1:10" x14ac:dyDescent="0.35">
      <c r="A983" t="s">
        <v>243</v>
      </c>
      <c r="B983" t="s">
        <v>1738</v>
      </c>
      <c r="C983" t="s">
        <v>1742</v>
      </c>
      <c r="G983" t="str">
        <f t="shared" si="36"/>
        <v>.csv</v>
      </c>
      <c r="H983" s="5" t="str">
        <f>IFERROR(IF(B983="FoPITY",INDEX(Customizations!$C$2:$C$19,MATCH(Sheet1!C983,Customizations!$B$2:$B$19,0),1),INDEX(About!C:C,MATCH(Sheet1!B983,About!B:B,0),1)),"")</f>
        <v>Proc Emis Additions and Costs.xlsx</v>
      </c>
      <c r="I983" s="5">
        <f>IFERROR(INDEX(About!$D:$D,MATCH(Sheet1!H983,About!$C:$C,0),1),0)</f>
        <v>0</v>
      </c>
      <c r="J983" s="6">
        <f t="shared" si="37"/>
        <v>0</v>
      </c>
    </row>
    <row r="984" spans="1:10" x14ac:dyDescent="0.35">
      <c r="A984" t="s">
        <v>243</v>
      </c>
      <c r="B984" t="s">
        <v>1738</v>
      </c>
      <c r="C984" t="s">
        <v>1743</v>
      </c>
      <c r="G984" t="str">
        <f t="shared" si="36"/>
        <v>.csv</v>
      </c>
      <c r="H984" s="5" t="str">
        <f>IFERROR(IF(B984="FoPITY",INDEX(Customizations!$C$2:$C$19,MATCH(Sheet1!C984,Customizations!$B$2:$B$19,0),1),INDEX(About!C:C,MATCH(Sheet1!B984,About!B:B,0),1)),"")</f>
        <v>Proc Emis Additions and Costs.xlsx</v>
      </c>
      <c r="I984" s="5">
        <f>IFERROR(INDEX(About!$D:$D,MATCH(Sheet1!H984,About!$C:$C,0),1),0)</f>
        <v>0</v>
      </c>
      <c r="J984" s="6">
        <f t="shared" si="37"/>
        <v>0</v>
      </c>
    </row>
    <row r="985" spans="1:10" x14ac:dyDescent="0.35">
      <c r="A985" t="s">
        <v>243</v>
      </c>
      <c r="B985" t="s">
        <v>1738</v>
      </c>
      <c r="C985" t="s">
        <v>1744</v>
      </c>
      <c r="G985" t="str">
        <f t="shared" si="36"/>
        <v>.csv</v>
      </c>
      <c r="H985" s="5" t="str">
        <f>IFERROR(IF(B985="FoPITY",INDEX(Customizations!$C$2:$C$19,MATCH(Sheet1!C985,Customizations!$B$2:$B$19,0),1),INDEX(About!C:C,MATCH(Sheet1!B985,About!B:B,0),1)),"")</f>
        <v>Proc Emis Additions and Costs.xlsx</v>
      </c>
      <c r="I985" s="5">
        <f>IFERROR(INDEX(About!$D:$D,MATCH(Sheet1!H985,About!$C:$C,0),1),0)</f>
        <v>0</v>
      </c>
      <c r="J985" s="6">
        <f t="shared" si="37"/>
        <v>0</v>
      </c>
    </row>
    <row r="986" spans="1:10" x14ac:dyDescent="0.35">
      <c r="A986" t="s">
        <v>243</v>
      </c>
      <c r="B986" t="s">
        <v>1738</v>
      </c>
      <c r="C986" t="s">
        <v>1745</v>
      </c>
      <c r="G986" t="str">
        <f t="shared" si="36"/>
        <v>.csv</v>
      </c>
      <c r="H986" s="5" t="str">
        <f>IFERROR(IF(B986="FoPITY",INDEX(Customizations!$C$2:$C$19,MATCH(Sheet1!C986,Customizations!$B$2:$B$19,0),1),INDEX(About!C:C,MATCH(Sheet1!B986,About!B:B,0),1)),"")</f>
        <v>Proc Emis Additions and Costs.xlsx</v>
      </c>
      <c r="I986" s="5">
        <f>IFERROR(INDEX(About!$D:$D,MATCH(Sheet1!H986,About!$C:$C,0),1),0)</f>
        <v>0</v>
      </c>
      <c r="J986" s="6">
        <f t="shared" si="37"/>
        <v>0</v>
      </c>
    </row>
    <row r="987" spans="1:10" x14ac:dyDescent="0.35">
      <c r="A987" t="s">
        <v>243</v>
      </c>
      <c r="B987" t="s">
        <v>1738</v>
      </c>
      <c r="C987" t="s">
        <v>1746</v>
      </c>
      <c r="G987" t="str">
        <f t="shared" si="36"/>
        <v>.csv</v>
      </c>
      <c r="H987" s="5" t="str">
        <f>IFERROR(IF(B987="FoPITY",INDEX(Customizations!$C$2:$C$19,MATCH(Sheet1!C987,Customizations!$B$2:$B$19,0),1),INDEX(About!C:C,MATCH(Sheet1!B987,About!B:B,0),1)),"")</f>
        <v>Proc Emis Additions and Costs.xlsx</v>
      </c>
      <c r="I987" s="5">
        <f>IFERROR(INDEX(About!$D:$D,MATCH(Sheet1!H987,About!$C:$C,0),1),0)</f>
        <v>0</v>
      </c>
      <c r="J987" s="6">
        <f t="shared" si="37"/>
        <v>0</v>
      </c>
    </row>
    <row r="988" spans="1:10" x14ac:dyDescent="0.35">
      <c r="A988" t="s">
        <v>243</v>
      </c>
      <c r="B988" t="s">
        <v>1738</v>
      </c>
      <c r="C988" t="s">
        <v>1747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Proc Emis Additions and Costs.xlsx</v>
      </c>
      <c r="I988" s="5">
        <f>IFERROR(INDEX(About!$D:$D,MATCH(Sheet1!H988,About!$C:$C,0),1),0)</f>
        <v>0</v>
      </c>
      <c r="J988" s="6">
        <f t="shared" si="37"/>
        <v>0</v>
      </c>
    </row>
    <row r="989" spans="1:10" x14ac:dyDescent="0.35">
      <c r="A989" t="s">
        <v>243</v>
      </c>
      <c r="B989" t="s">
        <v>1738</v>
      </c>
      <c r="C989" t="s">
        <v>1748</v>
      </c>
      <c r="G989" t="str">
        <f t="shared" si="36"/>
        <v>.csv</v>
      </c>
      <c r="H989" s="5" t="str">
        <f>IFERROR(IF(B989="FoPITY",INDEX(Customizations!$C$2:$C$19,MATCH(Sheet1!C989,Customizations!$B$2:$B$19,0),1),INDEX(About!C:C,MATCH(Sheet1!B989,About!B:B,0),1)),"")</f>
        <v>Proc Emis Additions and Costs.xlsx</v>
      </c>
      <c r="I989" s="5">
        <f>IFERROR(INDEX(About!$D:$D,MATCH(Sheet1!H989,About!$C:$C,0),1),0)</f>
        <v>0</v>
      </c>
      <c r="J989" s="6">
        <f t="shared" si="37"/>
        <v>0</v>
      </c>
    </row>
    <row r="990" spans="1:10" x14ac:dyDescent="0.35">
      <c r="A990" t="s">
        <v>243</v>
      </c>
      <c r="B990" t="s">
        <v>1738</v>
      </c>
      <c r="C990" t="s">
        <v>1749</v>
      </c>
      <c r="G990" t="str">
        <f t="shared" si="36"/>
        <v>.csv</v>
      </c>
      <c r="H990" s="5" t="str">
        <f>IFERROR(IF(B990="FoPITY",INDEX(Customizations!$C$2:$C$19,MATCH(Sheet1!C990,Customizations!$B$2:$B$19,0),1),INDEX(About!C:C,MATCH(Sheet1!B990,About!B:B,0),1)),"")</f>
        <v>Proc Emis Additions and Costs.xlsx</v>
      </c>
      <c r="I990" s="5">
        <f>IFERROR(INDEX(About!$D:$D,MATCH(Sheet1!H990,About!$C:$C,0),1),0)</f>
        <v>0</v>
      </c>
      <c r="J990" s="6">
        <f t="shared" si="37"/>
        <v>0</v>
      </c>
    </row>
    <row r="991" spans="1:10" x14ac:dyDescent="0.35">
      <c r="A991" t="s">
        <v>243</v>
      </c>
      <c r="B991" t="s">
        <v>1738</v>
      </c>
      <c r="C991" t="s">
        <v>1750</v>
      </c>
      <c r="G991" t="str">
        <f t="shared" si="36"/>
        <v>.csv</v>
      </c>
      <c r="H991" s="5" t="str">
        <f>IFERROR(IF(B991="FoPITY",INDEX(Customizations!$C$2:$C$19,MATCH(Sheet1!C991,Customizations!$B$2:$B$19,0),1),INDEX(About!C:C,MATCH(Sheet1!B991,About!B:B,0),1)),"")</f>
        <v>Proc Emis Additions and Costs.xlsx</v>
      </c>
      <c r="I991" s="5">
        <f>IFERROR(INDEX(About!$D:$D,MATCH(Sheet1!H991,About!$C:$C,0),1),0)</f>
        <v>0</v>
      </c>
      <c r="J991" s="6">
        <f t="shared" si="37"/>
        <v>0</v>
      </c>
    </row>
    <row r="992" spans="1:10" x14ac:dyDescent="0.35">
      <c r="A992" t="s">
        <v>243</v>
      </c>
      <c r="B992" t="s">
        <v>1738</v>
      </c>
      <c r="C992" t="s">
        <v>1751</v>
      </c>
      <c r="G992" t="str">
        <f t="shared" si="36"/>
        <v>.csv</v>
      </c>
      <c r="H992" s="5" t="str">
        <f>IFERROR(IF(B992="FoPITY",INDEX(Customizations!$C$2:$C$19,MATCH(Sheet1!C992,Customizations!$B$2:$B$19,0),1),INDEX(About!C:C,MATCH(Sheet1!B992,About!B:B,0),1)),"")</f>
        <v>Proc Emis Additions and Costs.xlsx</v>
      </c>
      <c r="I992" s="5">
        <f>IFERROR(INDEX(About!$D:$D,MATCH(Sheet1!H992,About!$C:$C,0),1),0)</f>
        <v>0</v>
      </c>
      <c r="J992" s="6">
        <f t="shared" si="37"/>
        <v>0</v>
      </c>
    </row>
    <row r="993" spans="1:10" x14ac:dyDescent="0.35">
      <c r="A993" t="s">
        <v>243</v>
      </c>
      <c r="B993" t="s">
        <v>1738</v>
      </c>
      <c r="C993" t="s">
        <v>1752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Proc Emis Additions and Costs.xlsx</v>
      </c>
      <c r="I993" s="5">
        <f>IFERROR(INDEX(About!$D:$D,MATCH(Sheet1!H993,About!$C:$C,0),1),0)</f>
        <v>0</v>
      </c>
      <c r="J993" s="6">
        <f t="shared" si="37"/>
        <v>0</v>
      </c>
    </row>
    <row r="994" spans="1:10" x14ac:dyDescent="0.35">
      <c r="A994" t="s">
        <v>243</v>
      </c>
      <c r="B994" t="s">
        <v>1738</v>
      </c>
      <c r="C994" t="s">
        <v>1753</v>
      </c>
      <c r="G994" t="str">
        <f t="shared" si="36"/>
        <v>.csv</v>
      </c>
      <c r="H994" s="5" t="str">
        <f>IFERROR(IF(B994="FoPITY",INDEX(Customizations!$C$2:$C$19,MATCH(Sheet1!C994,Customizations!$B$2:$B$19,0),1),INDEX(About!C:C,MATCH(Sheet1!B994,About!B:B,0),1)),"")</f>
        <v>Proc Emis Additions and Costs.xlsx</v>
      </c>
      <c r="I994" s="5">
        <f>IFERROR(INDEX(About!$D:$D,MATCH(Sheet1!H994,About!$C:$C,0),1),0)</f>
        <v>0</v>
      </c>
      <c r="J994" s="6">
        <f t="shared" si="37"/>
        <v>0</v>
      </c>
    </row>
    <row r="995" spans="1:10" x14ac:dyDescent="0.35">
      <c r="A995" t="s">
        <v>243</v>
      </c>
      <c r="B995" t="s">
        <v>1738</v>
      </c>
      <c r="C995" t="s">
        <v>1754</v>
      </c>
      <c r="G995" t="str">
        <f t="shared" si="36"/>
        <v>.csv</v>
      </c>
      <c r="H995" s="5" t="str">
        <f>IFERROR(IF(B995="FoPITY",INDEX(Customizations!$C$2:$C$19,MATCH(Sheet1!C995,Customizations!$B$2:$B$19,0),1),INDEX(About!C:C,MATCH(Sheet1!B995,About!B:B,0),1)),"")</f>
        <v>Proc Emis Additions and Costs.xlsx</v>
      </c>
      <c r="I995" s="5">
        <f>IFERROR(INDEX(About!$D:$D,MATCH(Sheet1!H995,About!$C:$C,0),1),0)</f>
        <v>0</v>
      </c>
      <c r="J995" s="6">
        <f t="shared" si="37"/>
        <v>0</v>
      </c>
    </row>
    <row r="996" spans="1:10" x14ac:dyDescent="0.35">
      <c r="A996" t="s">
        <v>243</v>
      </c>
      <c r="B996" t="s">
        <v>1738</v>
      </c>
      <c r="C996" t="s">
        <v>1755</v>
      </c>
      <c r="G996" t="str">
        <f t="shared" si="36"/>
        <v>.csv</v>
      </c>
      <c r="H996" s="5" t="str">
        <f>IFERROR(IF(B996="FoPITY",INDEX(Customizations!$C$2:$C$19,MATCH(Sheet1!C996,Customizations!$B$2:$B$19,0),1),INDEX(About!C:C,MATCH(Sheet1!B996,About!B:B,0),1)),"")</f>
        <v>Proc Emis Additions and Costs.xlsx</v>
      </c>
      <c r="I996" s="5">
        <f>IFERROR(INDEX(About!$D:$D,MATCH(Sheet1!H996,About!$C:$C,0),1),0)</f>
        <v>0</v>
      </c>
      <c r="J996" s="6">
        <f t="shared" si="37"/>
        <v>0</v>
      </c>
    </row>
    <row r="997" spans="1:10" x14ac:dyDescent="0.35">
      <c r="A997" t="s">
        <v>243</v>
      </c>
      <c r="B997" t="s">
        <v>1738</v>
      </c>
      <c r="C997" t="s">
        <v>1756</v>
      </c>
      <c r="G997" t="str">
        <f t="shared" si="36"/>
        <v>.csv</v>
      </c>
      <c r="H997" s="5" t="str">
        <f>IFERROR(IF(B997="FoPITY",INDEX(Customizations!$C$2:$C$19,MATCH(Sheet1!C997,Customizations!$B$2:$B$19,0),1),INDEX(About!C:C,MATCH(Sheet1!B997,About!B:B,0),1)),"")</f>
        <v>Proc Emis Additions and Costs.xlsx</v>
      </c>
      <c r="I997" s="5">
        <f>IFERROR(INDEX(About!$D:$D,MATCH(Sheet1!H997,About!$C:$C,0),1),0)</f>
        <v>0</v>
      </c>
      <c r="J997" s="6">
        <f t="shared" si="37"/>
        <v>0</v>
      </c>
    </row>
    <row r="998" spans="1:10" x14ac:dyDescent="0.35">
      <c r="A998" t="s">
        <v>243</v>
      </c>
      <c r="B998" t="s">
        <v>1738</v>
      </c>
      <c r="C998" t="s">
        <v>1757</v>
      </c>
      <c r="G998" t="str">
        <f t="shared" si="36"/>
        <v>xlsx</v>
      </c>
      <c r="H998" s="5" t="str">
        <f>IFERROR(IF(B998="FoPITY",INDEX(Customizations!$C$2:$C$19,MATCH(Sheet1!C998,Customizations!$B$2:$B$19,0),1),INDEX(About!C:C,MATCH(Sheet1!B998,About!B:B,0),1)),"")</f>
        <v>Proc Emis Additions and Costs.xlsx</v>
      </c>
      <c r="I998" s="5">
        <f>IFERROR(INDEX(About!$D:$D,MATCH(Sheet1!H998,About!$C:$C,0),1),0)</f>
        <v>0</v>
      </c>
      <c r="J998" s="6">
        <f t="shared" si="37"/>
        <v>0</v>
      </c>
    </row>
    <row r="999" spans="1:10" x14ac:dyDescent="0.35">
      <c r="A999" t="s">
        <v>243</v>
      </c>
      <c r="B999" t="s">
        <v>253</v>
      </c>
      <c r="C999" t="s">
        <v>947</v>
      </c>
      <c r="G999" t="str">
        <f t="shared" si="36"/>
        <v>.csv</v>
      </c>
      <c r="H999" s="5" t="str">
        <f>IFERROR(IF(B999="FoPITY",INDEX(Customizations!$C$2:$C$19,MATCH(Sheet1!C999,Customizations!$B$2:$B$19,0),1),INDEX(About!C:C,MATCH(Sheet1!B999,About!B:B,0),1)),"")</f>
        <v>Proc Emis Reductions and Costs.xlsx</v>
      </c>
      <c r="I999" s="5">
        <f>IFERROR(INDEX(About!$D:$D,MATCH(Sheet1!H999,About!$C:$C,0),1),0)</f>
        <v>0</v>
      </c>
      <c r="J999" s="6">
        <f t="shared" si="37"/>
        <v>0</v>
      </c>
    </row>
    <row r="1000" spans="1:10" x14ac:dyDescent="0.35">
      <c r="A1000" t="s">
        <v>243</v>
      </c>
      <c r="B1000" t="s">
        <v>253</v>
      </c>
      <c r="C1000" t="s">
        <v>613</v>
      </c>
      <c r="G1000" t="str">
        <f t="shared" si="36"/>
        <v>.csv</v>
      </c>
      <c r="H1000" s="5" t="str">
        <f>IFERROR(IF(B1000="FoPITY",INDEX(Customizations!$C$2:$C$19,MATCH(Sheet1!C1000,Customizations!$B$2:$B$19,0),1),INDEX(About!C:C,MATCH(Sheet1!B1000,About!B:B,0),1)),"")</f>
        <v>Proc Emis Reductions and Costs.xlsx</v>
      </c>
      <c r="I1000" s="5">
        <f>IFERROR(INDEX(About!$D:$D,MATCH(Sheet1!H1000,About!$C:$C,0),1),0)</f>
        <v>0</v>
      </c>
      <c r="J1000" s="6">
        <f t="shared" si="37"/>
        <v>0</v>
      </c>
    </row>
    <row r="1001" spans="1:10" x14ac:dyDescent="0.35">
      <c r="A1001" t="s">
        <v>243</v>
      </c>
      <c r="B1001" t="s">
        <v>253</v>
      </c>
      <c r="C1001" t="s">
        <v>948</v>
      </c>
      <c r="G1001" t="str">
        <f t="shared" si="36"/>
        <v>.csv</v>
      </c>
      <c r="H1001" s="5" t="str">
        <f>IFERROR(IF(B1001="FoPITY",INDEX(Customizations!$C$2:$C$19,MATCH(Sheet1!C1001,Customizations!$B$2:$B$19,0),1),INDEX(About!C:C,MATCH(Sheet1!B1001,About!B:B,0),1)),"")</f>
        <v>Proc Emis Reductions and Costs.xlsx</v>
      </c>
      <c r="I1001" s="5">
        <f>IFERROR(INDEX(About!$D:$D,MATCH(Sheet1!H1001,About!$C:$C,0),1),0)</f>
        <v>0</v>
      </c>
      <c r="J1001" s="6">
        <f t="shared" si="37"/>
        <v>0</v>
      </c>
    </row>
    <row r="1002" spans="1:10" x14ac:dyDescent="0.35">
      <c r="A1002" t="s">
        <v>243</v>
      </c>
      <c r="B1002" t="s">
        <v>253</v>
      </c>
      <c r="C1002" t="s">
        <v>912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Proc Emis Reductions and Costs.xlsx</v>
      </c>
      <c r="I1002" s="5">
        <f>IFERROR(INDEX(About!$D:$D,MATCH(Sheet1!H1002,About!$C:$C,0),1),0)</f>
        <v>0</v>
      </c>
      <c r="J1002" s="6">
        <f t="shared" si="37"/>
        <v>0</v>
      </c>
    </row>
    <row r="1003" spans="1:10" x14ac:dyDescent="0.35">
      <c r="A1003" t="s">
        <v>243</v>
      </c>
      <c r="B1003" t="s">
        <v>253</v>
      </c>
      <c r="C1003" t="s">
        <v>614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Proc Emis Reductions and Costs.xlsx</v>
      </c>
      <c r="I1003" s="5">
        <f>IFERROR(INDEX(About!$D:$D,MATCH(Sheet1!H1003,About!$C:$C,0),1),0)</f>
        <v>0</v>
      </c>
      <c r="J1003" s="6">
        <f t="shared" si="37"/>
        <v>0</v>
      </c>
    </row>
    <row r="1004" spans="1:10" x14ac:dyDescent="0.35">
      <c r="A1004" t="s">
        <v>243</v>
      </c>
      <c r="B1004" t="s">
        <v>253</v>
      </c>
      <c r="C1004" t="s">
        <v>615</v>
      </c>
      <c r="G1004" t="str">
        <f t="shared" si="36"/>
        <v>.csv</v>
      </c>
      <c r="H1004" s="5" t="str">
        <f>IFERROR(IF(B1004="FoPITY",INDEX(Customizations!$C$2:$C$19,MATCH(Sheet1!C1004,Customizations!$B$2:$B$19,0),1),INDEX(About!C:C,MATCH(Sheet1!B1004,About!B:B,0),1)),"")</f>
        <v>Proc Emis Reductions and Costs.xlsx</v>
      </c>
      <c r="I1004" s="5">
        <f>IFERROR(INDEX(About!$D:$D,MATCH(Sheet1!H1004,About!$C:$C,0),1),0)</f>
        <v>0</v>
      </c>
      <c r="J1004" s="6">
        <f t="shared" si="37"/>
        <v>0</v>
      </c>
    </row>
    <row r="1005" spans="1:10" x14ac:dyDescent="0.35">
      <c r="A1005" t="s">
        <v>243</v>
      </c>
      <c r="B1005" t="s">
        <v>253</v>
      </c>
      <c r="C1005" t="s">
        <v>616</v>
      </c>
      <c r="G1005" t="str">
        <f t="shared" si="36"/>
        <v>.csv</v>
      </c>
      <c r="H1005" s="5" t="str">
        <f>IFERROR(IF(B1005="FoPITY",INDEX(Customizations!$C$2:$C$19,MATCH(Sheet1!C1005,Customizations!$B$2:$B$19,0),1),INDEX(About!C:C,MATCH(Sheet1!B1005,About!B:B,0),1)),"")</f>
        <v>Proc Emis Reductions and Costs.xlsx</v>
      </c>
      <c r="I1005" s="5">
        <f>IFERROR(INDEX(About!$D:$D,MATCH(Sheet1!H1005,About!$C:$C,0),1),0)</f>
        <v>0</v>
      </c>
      <c r="J1005" s="6">
        <f t="shared" si="37"/>
        <v>0</v>
      </c>
    </row>
    <row r="1006" spans="1:10" x14ac:dyDescent="0.35">
      <c r="A1006" t="s">
        <v>243</v>
      </c>
      <c r="B1006" t="s">
        <v>253</v>
      </c>
      <c r="C1006" t="s">
        <v>617</v>
      </c>
      <c r="G1006" t="str">
        <f t="shared" si="36"/>
        <v>.csv</v>
      </c>
      <c r="H1006" s="5" t="str">
        <f>IFERROR(IF(B1006="FoPITY",INDEX(Customizations!$C$2:$C$19,MATCH(Sheet1!C1006,Customizations!$B$2:$B$19,0),1),INDEX(About!C:C,MATCH(Sheet1!B1006,About!B:B,0),1)),"")</f>
        <v>Proc Emis Reductions and Costs.xlsx</v>
      </c>
      <c r="I1006" s="5">
        <f>IFERROR(INDEX(About!$D:$D,MATCH(Sheet1!H1006,About!$C:$C,0),1),0)</f>
        <v>0</v>
      </c>
      <c r="J1006" s="6">
        <f t="shared" si="37"/>
        <v>0</v>
      </c>
    </row>
    <row r="1007" spans="1:10" x14ac:dyDescent="0.35">
      <c r="A1007" t="s">
        <v>243</v>
      </c>
      <c r="B1007" t="s">
        <v>253</v>
      </c>
      <c r="C1007" t="s">
        <v>618</v>
      </c>
      <c r="G1007" t="str">
        <f t="shared" si="36"/>
        <v>.csv</v>
      </c>
      <c r="H1007" s="5" t="str">
        <f>IFERROR(IF(B1007="FoPITY",INDEX(Customizations!$C$2:$C$19,MATCH(Sheet1!C1007,Customizations!$B$2:$B$19,0),1),INDEX(About!C:C,MATCH(Sheet1!B1007,About!B:B,0),1)),"")</f>
        <v>Proc Emis Reductions and Costs.xlsx</v>
      </c>
      <c r="I1007" s="5">
        <f>IFERROR(INDEX(About!$D:$D,MATCH(Sheet1!H1007,About!$C:$C,0),1),0)</f>
        <v>0</v>
      </c>
      <c r="J1007" s="6">
        <f t="shared" si="37"/>
        <v>0</v>
      </c>
    </row>
    <row r="1008" spans="1:10" x14ac:dyDescent="0.35">
      <c r="A1008" t="s">
        <v>243</v>
      </c>
      <c r="B1008" t="s">
        <v>253</v>
      </c>
      <c r="C1008" t="s">
        <v>619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Proc Emis Reductions and Costs.xlsx</v>
      </c>
      <c r="I1008" s="5">
        <f>IFERROR(INDEX(About!$D:$D,MATCH(Sheet1!H1008,About!$C:$C,0),1),0)</f>
        <v>0</v>
      </c>
      <c r="J1008" s="6">
        <f t="shared" si="37"/>
        <v>0</v>
      </c>
    </row>
    <row r="1009" spans="1:10" x14ac:dyDescent="0.35">
      <c r="A1009" t="s">
        <v>243</v>
      </c>
      <c r="B1009" t="s">
        <v>253</v>
      </c>
      <c r="C1009" t="s">
        <v>620</v>
      </c>
      <c r="G1009" t="str">
        <f t="shared" si="36"/>
        <v>.csv</v>
      </c>
      <c r="H1009" s="5" t="str">
        <f>IFERROR(IF(B1009="FoPITY",INDEX(Customizations!$C$2:$C$19,MATCH(Sheet1!C1009,Customizations!$B$2:$B$19,0),1),INDEX(About!C:C,MATCH(Sheet1!B1009,About!B:B,0),1)),"")</f>
        <v>Proc Emis Reductions and Costs.xlsx</v>
      </c>
      <c r="I1009" s="5">
        <f>IFERROR(INDEX(About!$D:$D,MATCH(Sheet1!H1009,About!$C:$C,0),1),0)</f>
        <v>0</v>
      </c>
      <c r="J1009" s="6">
        <f t="shared" si="37"/>
        <v>0</v>
      </c>
    </row>
    <row r="1010" spans="1:10" x14ac:dyDescent="0.35">
      <c r="A1010" t="s">
        <v>243</v>
      </c>
      <c r="B1010" t="s">
        <v>253</v>
      </c>
      <c r="C1010" t="s">
        <v>621</v>
      </c>
      <c r="G1010" t="str">
        <f t="shared" si="36"/>
        <v>.csv</v>
      </c>
      <c r="H1010" s="5" t="str">
        <f>IFERROR(IF(B1010="FoPITY",INDEX(Customizations!$C$2:$C$19,MATCH(Sheet1!C1010,Customizations!$B$2:$B$19,0),1),INDEX(About!C:C,MATCH(Sheet1!B1010,About!B:B,0),1)),"")</f>
        <v>Proc Emis Reductions and Costs.xlsx</v>
      </c>
      <c r="I1010" s="5">
        <f>IFERROR(INDEX(About!$D:$D,MATCH(Sheet1!H1010,About!$C:$C,0),1),0)</f>
        <v>0</v>
      </c>
      <c r="J1010" s="6">
        <f t="shared" si="37"/>
        <v>0</v>
      </c>
    </row>
    <row r="1011" spans="1:10" x14ac:dyDescent="0.35">
      <c r="A1011" t="s">
        <v>243</v>
      </c>
      <c r="B1011" t="s">
        <v>253</v>
      </c>
      <c r="C1011" t="s">
        <v>880</v>
      </c>
      <c r="G1011" t="str">
        <f t="shared" si="36"/>
        <v>.csv</v>
      </c>
      <c r="H1011" s="5" t="str">
        <f>IFERROR(IF(B1011="FoPITY",INDEX(Customizations!$C$2:$C$19,MATCH(Sheet1!C1011,Customizations!$B$2:$B$19,0),1),INDEX(About!C:C,MATCH(Sheet1!B1011,About!B:B,0),1)),"")</f>
        <v>Proc Emis Reductions and Costs.xlsx</v>
      </c>
      <c r="I1011" s="5">
        <f>IFERROR(INDEX(About!$D:$D,MATCH(Sheet1!H1011,About!$C:$C,0),1),0)</f>
        <v>0</v>
      </c>
      <c r="J1011" s="6">
        <f t="shared" si="37"/>
        <v>0</v>
      </c>
    </row>
    <row r="1012" spans="1:10" x14ac:dyDescent="0.35">
      <c r="A1012" t="s">
        <v>243</v>
      </c>
      <c r="B1012" t="s">
        <v>253</v>
      </c>
      <c r="C1012" t="s">
        <v>881</v>
      </c>
      <c r="G1012" t="str">
        <f t="shared" si="36"/>
        <v>.csv</v>
      </c>
      <c r="H1012" s="5" t="str">
        <f>IFERROR(IF(B1012="FoPITY",INDEX(Customizations!$C$2:$C$19,MATCH(Sheet1!C1012,Customizations!$B$2:$B$19,0),1),INDEX(About!C:C,MATCH(Sheet1!B1012,About!B:B,0),1)),"")</f>
        <v>Proc Emis Reductions and Costs.xlsx</v>
      </c>
      <c r="I1012" s="5">
        <f>IFERROR(INDEX(About!$D:$D,MATCH(Sheet1!H1012,About!$C:$C,0),1),0)</f>
        <v>0</v>
      </c>
      <c r="J1012" s="6">
        <f t="shared" si="37"/>
        <v>0</v>
      </c>
    </row>
    <row r="1013" spans="1:10" x14ac:dyDescent="0.35">
      <c r="A1013" t="s">
        <v>243</v>
      </c>
      <c r="B1013" t="s">
        <v>253</v>
      </c>
      <c r="C1013" t="s">
        <v>882</v>
      </c>
      <c r="G1013" t="str">
        <f t="shared" si="36"/>
        <v>.csv</v>
      </c>
      <c r="H1013" s="5" t="str">
        <f>IFERROR(IF(B1013="FoPITY",INDEX(Customizations!$C$2:$C$19,MATCH(Sheet1!C1013,Customizations!$B$2:$B$19,0),1),INDEX(About!C:C,MATCH(Sheet1!B1013,About!B:B,0),1)),"")</f>
        <v>Proc Emis Reductions and Costs.xlsx</v>
      </c>
      <c r="I1013" s="5">
        <f>IFERROR(INDEX(About!$D:$D,MATCH(Sheet1!H1013,About!$C:$C,0),1),0)</f>
        <v>0</v>
      </c>
      <c r="J1013" s="6">
        <f t="shared" si="37"/>
        <v>0</v>
      </c>
    </row>
    <row r="1014" spans="1:10" x14ac:dyDescent="0.35">
      <c r="A1014" t="s">
        <v>243</v>
      </c>
      <c r="B1014" t="s">
        <v>253</v>
      </c>
      <c r="C1014" t="s">
        <v>883</v>
      </c>
      <c r="G1014" t="str">
        <f t="shared" si="36"/>
        <v>.csv</v>
      </c>
      <c r="H1014" s="5" t="str">
        <f>IFERROR(IF(B1014="FoPITY",INDEX(Customizations!$C$2:$C$19,MATCH(Sheet1!C1014,Customizations!$B$2:$B$19,0),1),INDEX(About!C:C,MATCH(Sheet1!B1014,About!B:B,0),1)),"")</f>
        <v>Proc Emis Reductions and Costs.xlsx</v>
      </c>
      <c r="I1014" s="5">
        <f>IFERROR(INDEX(About!$D:$D,MATCH(Sheet1!H1014,About!$C:$C,0),1),0)</f>
        <v>0</v>
      </c>
      <c r="J1014" s="6">
        <f t="shared" si="37"/>
        <v>0</v>
      </c>
    </row>
    <row r="1015" spans="1:10" x14ac:dyDescent="0.35">
      <c r="A1015" t="s">
        <v>243</v>
      </c>
      <c r="B1015" t="s">
        <v>253</v>
      </c>
      <c r="C1015" t="s">
        <v>949</v>
      </c>
      <c r="G1015" t="str">
        <f t="shared" ref="G1015:G1078" si="38">RIGHT(C1015,"4")</f>
        <v>.csv</v>
      </c>
      <c r="H1015" s="5" t="str">
        <f>IFERROR(IF(B1015="FoPITY",INDEX(Customizations!$C$2:$C$19,MATCH(Sheet1!C1015,Customizations!$B$2:$B$19,0),1),INDEX(About!C:C,MATCH(Sheet1!B1015,About!B:B,0),1)),"")</f>
        <v>Proc Emis Reductions and Costs.xlsx</v>
      </c>
      <c r="I1015" s="5">
        <f>IFERROR(INDEX(About!$D:$D,MATCH(Sheet1!H1015,About!$C:$C,0),1),0)</f>
        <v>0</v>
      </c>
      <c r="J1015" s="6">
        <f t="shared" ref="J1015:J1078" si="39">IF(G1015=".csv",1,0)*I1015</f>
        <v>0</v>
      </c>
    </row>
    <row r="1016" spans="1:10" x14ac:dyDescent="0.35">
      <c r="A1016" t="s">
        <v>243</v>
      </c>
      <c r="B1016" t="s">
        <v>253</v>
      </c>
      <c r="C1016" t="s">
        <v>622</v>
      </c>
      <c r="G1016" t="str">
        <f t="shared" si="38"/>
        <v>.csv</v>
      </c>
      <c r="H1016" s="5" t="str">
        <f>IFERROR(IF(B1016="FoPITY",INDEX(Customizations!$C$2:$C$19,MATCH(Sheet1!C1016,Customizations!$B$2:$B$19,0),1),INDEX(About!C:C,MATCH(Sheet1!B1016,About!B:B,0),1)),"")</f>
        <v>Proc Emis Reductions and Costs.xlsx</v>
      </c>
      <c r="I1016" s="5">
        <f>IFERROR(INDEX(About!$D:$D,MATCH(Sheet1!H1016,About!$C:$C,0),1),0)</f>
        <v>0</v>
      </c>
      <c r="J1016" s="6">
        <f t="shared" si="39"/>
        <v>0</v>
      </c>
    </row>
    <row r="1017" spans="1:10" x14ac:dyDescent="0.35">
      <c r="A1017" t="s">
        <v>243</v>
      </c>
      <c r="B1017" t="s">
        <v>253</v>
      </c>
      <c r="C1017" t="s">
        <v>623</v>
      </c>
      <c r="G1017" t="str">
        <f t="shared" si="38"/>
        <v>.csv</v>
      </c>
      <c r="H1017" s="5" t="str">
        <f>IFERROR(IF(B1017="FoPITY",INDEX(Customizations!$C$2:$C$19,MATCH(Sheet1!C1017,Customizations!$B$2:$B$19,0),1),INDEX(About!C:C,MATCH(Sheet1!B1017,About!B:B,0),1)),"")</f>
        <v>Proc Emis Reductions and Costs.xlsx</v>
      </c>
      <c r="I1017" s="5">
        <f>IFERROR(INDEX(About!$D:$D,MATCH(Sheet1!H1017,About!$C:$C,0),1),0)</f>
        <v>0</v>
      </c>
      <c r="J1017" s="6">
        <f t="shared" si="39"/>
        <v>0</v>
      </c>
    </row>
    <row r="1018" spans="1:10" x14ac:dyDescent="0.35">
      <c r="A1018" t="s">
        <v>243</v>
      </c>
      <c r="B1018" t="s">
        <v>253</v>
      </c>
      <c r="C1018" t="s">
        <v>624</v>
      </c>
      <c r="G1018" t="str">
        <f t="shared" si="38"/>
        <v>xlsx</v>
      </c>
      <c r="H1018" s="5" t="str">
        <f>IFERROR(IF(B1018="FoPITY",INDEX(Customizations!$C$2:$C$19,MATCH(Sheet1!C1018,Customizations!$B$2:$B$19,0),1),INDEX(About!C:C,MATCH(Sheet1!B1018,About!B:B,0),1)),"")</f>
        <v>Proc Emis Reductions and Costs.xlsx</v>
      </c>
      <c r="I1018" s="5">
        <f>IFERROR(INDEX(About!$D:$D,MATCH(Sheet1!H1018,About!$C:$C,0),1),0)</f>
        <v>0</v>
      </c>
      <c r="J1018" s="6">
        <f t="shared" si="39"/>
        <v>0</v>
      </c>
    </row>
    <row r="1019" spans="1:10" x14ac:dyDescent="0.35">
      <c r="A1019" t="s">
        <v>243</v>
      </c>
      <c r="B1019" t="s">
        <v>254</v>
      </c>
      <c r="C1019" t="s">
        <v>255</v>
      </c>
      <c r="G1019" t="str">
        <f t="shared" si="38"/>
        <v>xlsx</v>
      </c>
      <c r="H1019" s="5" t="str">
        <f>IFERROR(IF(B1019="FoPITY",INDEX(Customizations!$C$2:$C$19,MATCH(Sheet1!C1019,Customizations!$B$2:$B$19,0),1),INDEX(About!C:C,MATCH(Sheet1!B1019,About!B:B,0),1)),"")</f>
        <v>Perc Indst Fuel Use Reduction for Elec.xlsx</v>
      </c>
      <c r="I1019" s="5">
        <f>IFERROR(INDEX(About!$D:$D,MATCH(Sheet1!H1019,About!$C:$C,0),1),0)</f>
        <v>0</v>
      </c>
      <c r="J1019" s="6">
        <f t="shared" si="39"/>
        <v>0</v>
      </c>
    </row>
    <row r="1020" spans="1:10" x14ac:dyDescent="0.35">
      <c r="A1020" t="s">
        <v>243</v>
      </c>
      <c r="B1020" t="s">
        <v>254</v>
      </c>
      <c r="C1020" t="s">
        <v>256</v>
      </c>
      <c r="G1020" t="str">
        <f t="shared" si="38"/>
        <v>.csv</v>
      </c>
      <c r="H1020" s="5" t="str">
        <f>IFERROR(IF(B1020="FoPITY",INDEX(Customizations!$C$2:$C$19,MATCH(Sheet1!C1020,Customizations!$B$2:$B$19,0),1),INDEX(About!C:C,MATCH(Sheet1!B1020,About!B:B,0),1)),"")</f>
        <v>Perc Indst Fuel Use Reduction for Elec.xlsx</v>
      </c>
      <c r="I1020" s="5">
        <f>IFERROR(INDEX(About!$D:$D,MATCH(Sheet1!H1020,About!$C:$C,0),1),0)</f>
        <v>0</v>
      </c>
      <c r="J1020" s="6">
        <f t="shared" si="39"/>
        <v>0</v>
      </c>
    </row>
    <row r="1021" spans="1:10" x14ac:dyDescent="0.35">
      <c r="A1021" t="s">
        <v>243</v>
      </c>
      <c r="B1021" t="s">
        <v>1931</v>
      </c>
      <c r="C1021" t="s">
        <v>1932</v>
      </c>
      <c r="G1021" t="str">
        <f t="shared" si="38"/>
        <v>xlsx</v>
      </c>
      <c r="H1021" s="5" t="str">
        <f>IFERROR(IF(B1021="FoPITY",INDEX(Customizations!$C$2:$C$19,MATCH(Sheet1!C1021,Customizations!$B$2:$B$19,0),1),INDEX(About!C:C,MATCH(Sheet1!B1021,About!B:B,0),1)),"")</f>
        <v>Perc of Other Proc Eqpt E Use That is Mobile Eqpt by Indst Cat.xlsx</v>
      </c>
      <c r="I1021" s="5">
        <f>IFERROR(INDEX(About!$D:$D,MATCH(Sheet1!H1021,About!$C:$C,0),1),0)</f>
        <v>0</v>
      </c>
      <c r="J1021" s="6">
        <f t="shared" si="39"/>
        <v>0</v>
      </c>
    </row>
    <row r="1022" spans="1:10" x14ac:dyDescent="0.35">
      <c r="A1022" t="s">
        <v>243</v>
      </c>
      <c r="B1022" t="s">
        <v>1931</v>
      </c>
      <c r="C1022" t="s">
        <v>1933</v>
      </c>
      <c r="G1022" t="str">
        <f t="shared" si="38"/>
        <v>.csv</v>
      </c>
      <c r="H1022" s="5" t="str">
        <f>IFERROR(IF(B1022="FoPITY",INDEX(Customizations!$C$2:$C$19,MATCH(Sheet1!C1022,Customizations!$B$2:$B$19,0),1),INDEX(About!C:C,MATCH(Sheet1!B1022,About!B:B,0),1)),"")</f>
        <v>Perc of Other Proc Eqpt E Use That is Mobile Eqpt by Indst Cat.xlsx</v>
      </c>
      <c r="I1022" s="5">
        <f>IFERROR(INDEX(About!$D:$D,MATCH(Sheet1!H1022,About!$C:$C,0),1),0)</f>
        <v>0</v>
      </c>
      <c r="J1022" s="6">
        <f t="shared" si="39"/>
        <v>0</v>
      </c>
    </row>
    <row r="1023" spans="1:10" x14ac:dyDescent="0.35">
      <c r="A1023" t="s">
        <v>243</v>
      </c>
      <c r="B1023" t="s">
        <v>1931</v>
      </c>
      <c r="C1023" t="s">
        <v>1934</v>
      </c>
      <c r="G1023" t="str">
        <f t="shared" si="38"/>
        <v>xlsx</v>
      </c>
      <c r="H1023" s="5" t="str">
        <f>IFERROR(IF(B1023="FoPITY",INDEX(Customizations!$C$2:$C$19,MATCH(Sheet1!C1023,Customizations!$B$2:$B$19,0),1),INDEX(About!C:C,MATCH(Sheet1!B1023,About!B:B,0),1)),"")</f>
        <v>Perc of Other Proc Eqpt E Use That is Mobile Eqpt by Indst Cat.xlsx</v>
      </c>
      <c r="I1023" s="5">
        <f>IFERROR(INDEX(About!$D:$D,MATCH(Sheet1!H1023,About!$C:$C,0),1),0)</f>
        <v>0</v>
      </c>
      <c r="J1023" s="6">
        <f t="shared" si="39"/>
        <v>0</v>
      </c>
    </row>
    <row r="1024" spans="1:10" x14ac:dyDescent="0.35">
      <c r="A1024" t="s">
        <v>243</v>
      </c>
      <c r="B1024" t="s">
        <v>950</v>
      </c>
      <c r="C1024" t="s">
        <v>951</v>
      </c>
      <c r="G1024" t="str">
        <f t="shared" si="38"/>
        <v>xlsx</v>
      </c>
      <c r="H1024" s="5" t="str">
        <f>IFERROR(IF(B1024="FoPITY",INDEX(Customizations!$C$2:$C$19,MATCH(Sheet1!C1024,Customizations!$B$2:$B$19,0),1),INDEX(About!C:C,MATCH(Sheet1!B1024,About!B:B,0),1)),"")</f>
        <v>Ratio of Nutr Eqiv Plant to Anim Products Prd per Unit Land Area.xlsx</v>
      </c>
      <c r="I1024" s="5">
        <f>IFERROR(INDEX(About!$D:$D,MATCH(Sheet1!H1024,About!$C:$C,0),1),0)</f>
        <v>0</v>
      </c>
      <c r="J1024" s="6">
        <f t="shared" si="39"/>
        <v>0</v>
      </c>
    </row>
    <row r="1025" spans="1:10" x14ac:dyDescent="0.35">
      <c r="A1025" t="s">
        <v>243</v>
      </c>
      <c r="B1025" t="s">
        <v>950</v>
      </c>
      <c r="C1025" t="s">
        <v>952</v>
      </c>
      <c r="G1025" t="str">
        <f t="shared" si="38"/>
        <v>.csv</v>
      </c>
      <c r="H1025" s="5" t="str">
        <f>IFERROR(IF(B1025="FoPITY",INDEX(Customizations!$C$2:$C$19,MATCH(Sheet1!C1025,Customizations!$B$2:$B$19,0),1),INDEX(About!C:C,MATCH(Sheet1!B1025,About!B:B,0),1)),"")</f>
        <v>Ratio of Nutr Eqiv Plant to Anim Products Prd per Unit Land Area.xlsx</v>
      </c>
      <c r="I1025" s="5">
        <f>IFERROR(INDEX(About!$D:$D,MATCH(Sheet1!H1025,About!$C:$C,0),1),0)</f>
        <v>0</v>
      </c>
      <c r="J1025" s="6">
        <f t="shared" si="39"/>
        <v>0</v>
      </c>
    </row>
    <row r="1026" spans="1:10" x14ac:dyDescent="0.35">
      <c r="A1026" t="s">
        <v>243</v>
      </c>
      <c r="B1026" t="s">
        <v>1758</v>
      </c>
      <c r="C1026" t="s">
        <v>1759</v>
      </c>
      <c r="G1026" t="str">
        <f t="shared" si="38"/>
        <v>xlsx</v>
      </c>
      <c r="H1026" s="5" t="str">
        <f>IFERROR(IF(B1026="FoPITY",INDEX(Customizations!$C$2:$C$19,MATCH(Sheet1!C1026,Customizations!$B$2:$B$19,0),1),INDEX(About!C:C,MATCH(Sheet1!B1026,About!B:B,0),1)),"")</f>
        <v>RPfFISCC Repayment Period for Financed Indst Sector Capital Costs.xlsx</v>
      </c>
      <c r="I1026" s="5">
        <f>IFERROR(INDEX(About!$D:$D,MATCH(Sheet1!H1026,About!$C:$C,0),1),0)</f>
        <v>0</v>
      </c>
      <c r="J1026" s="6">
        <f t="shared" si="39"/>
        <v>0</v>
      </c>
    </row>
    <row r="1027" spans="1:10" x14ac:dyDescent="0.35">
      <c r="A1027" t="s">
        <v>243</v>
      </c>
      <c r="B1027" t="s">
        <v>1758</v>
      </c>
      <c r="C1027" t="s">
        <v>1760</v>
      </c>
      <c r="G1027" t="str">
        <f t="shared" si="38"/>
        <v>.csv</v>
      </c>
      <c r="H1027" s="5" t="str">
        <f>IFERROR(IF(B1027="FoPITY",INDEX(Customizations!$C$2:$C$19,MATCH(Sheet1!C1027,Customizations!$B$2:$B$19,0),1),INDEX(About!C:C,MATCH(Sheet1!B1027,About!B:B,0),1)),"")</f>
        <v>RPfFISCC Repayment Period for Financed Indst Sector Capital Costs.xlsx</v>
      </c>
      <c r="I1027" s="5">
        <f>IFERROR(INDEX(About!$D:$D,MATCH(Sheet1!H1027,About!$C:$C,0),1),0)</f>
        <v>0</v>
      </c>
      <c r="J1027" s="6">
        <f t="shared" si="39"/>
        <v>0</v>
      </c>
    </row>
    <row r="1028" spans="1:10" x14ac:dyDescent="0.35">
      <c r="A1028" t="s">
        <v>243</v>
      </c>
      <c r="B1028" t="s">
        <v>812</v>
      </c>
      <c r="C1028" t="s">
        <v>813</v>
      </c>
      <c r="G1028" t="str">
        <f t="shared" si="38"/>
        <v>xlsx</v>
      </c>
      <c r="H1028" s="5" t="str">
        <f>IFERROR(IF(B1028="FoPITY",INDEX(Customizations!$C$2:$C$19,MATCH(Sheet1!C1028,Customizations!$B$2:$B$19,0),1),INDEX(About!C:C,MATCH(Sheet1!B1028,About!B:B,0),1)),"")</f>
        <v>Share of Capital and OM Spending by ISIC Code.xlsx</v>
      </c>
      <c r="I1028" s="5">
        <f>IFERROR(INDEX(About!$D:$D,MATCH(Sheet1!H1028,About!$C:$C,0),1),0)</f>
        <v>0</v>
      </c>
      <c r="J1028" s="6">
        <f t="shared" si="39"/>
        <v>0</v>
      </c>
    </row>
    <row r="1029" spans="1:10" x14ac:dyDescent="0.35">
      <c r="A1029" t="s">
        <v>243</v>
      </c>
      <c r="B1029" t="s">
        <v>812</v>
      </c>
      <c r="C1029" t="s">
        <v>814</v>
      </c>
      <c r="G1029" t="str">
        <f t="shared" si="38"/>
        <v>.csv</v>
      </c>
      <c r="H1029" s="5" t="str">
        <f>IFERROR(IF(B1029="FoPITY",INDEX(Customizations!$C$2:$C$19,MATCH(Sheet1!C1029,Customizations!$B$2:$B$19,0),1),INDEX(About!C:C,MATCH(Sheet1!B1029,About!B:B,0),1)),"")</f>
        <v>Share of Capital and OM Spending by ISIC Code.xlsx</v>
      </c>
      <c r="I1029" s="5">
        <f>IFERROR(INDEX(About!$D:$D,MATCH(Sheet1!H1029,About!$C:$C,0),1),0)</f>
        <v>0</v>
      </c>
      <c r="J1029" s="6">
        <f t="shared" si="39"/>
        <v>0</v>
      </c>
    </row>
    <row r="1030" spans="1:10" x14ac:dyDescent="0.35">
      <c r="A1030" t="s">
        <v>243</v>
      </c>
      <c r="B1030" t="s">
        <v>833</v>
      </c>
      <c r="C1030" t="s">
        <v>834</v>
      </c>
      <c r="G1030" t="str">
        <f t="shared" si="38"/>
        <v>xlsx</v>
      </c>
      <c r="H1030" s="5" t="str">
        <f>IFERROR(IF(B1030="FoPITY",INDEX(Customizations!$C$2:$C$19,MATCH(Sheet1!C1030,Customizations!$B$2:$B$19,0),1),INDEX(About!C:C,MATCH(Sheet1!B1030,About!B:B,0),1)),"")</f>
        <v>Shr of Cng in Indst Expenses Passed Thr to Buyers.xlsx</v>
      </c>
      <c r="I1030" s="5">
        <f>IFERROR(INDEX(About!$D:$D,MATCH(Sheet1!H1030,About!$C:$C,0),1),0)</f>
        <v>0</v>
      </c>
      <c r="J1030" s="6">
        <f t="shared" si="39"/>
        <v>0</v>
      </c>
    </row>
    <row r="1031" spans="1:10" x14ac:dyDescent="0.35">
      <c r="A1031" t="s">
        <v>243</v>
      </c>
      <c r="B1031" t="s">
        <v>833</v>
      </c>
      <c r="C1031" t="s">
        <v>835</v>
      </c>
      <c r="G1031" t="str">
        <f t="shared" si="38"/>
        <v>.csv</v>
      </c>
      <c r="H1031" s="5" t="str">
        <f>IFERROR(IF(B1031="FoPITY",INDEX(Customizations!$C$2:$C$19,MATCH(Sheet1!C1031,Customizations!$B$2:$B$19,0),1),INDEX(About!C:C,MATCH(Sheet1!B1031,About!B:B,0),1)),"")</f>
        <v>Shr of Cng in Indst Expenses Passed Thr to Buyers.xlsx</v>
      </c>
      <c r="I1031" s="5">
        <f>IFERROR(INDEX(About!$D:$D,MATCH(Sheet1!H1031,About!$C:$C,0),1),0)</f>
        <v>0</v>
      </c>
      <c r="J1031" s="6">
        <f t="shared" si="39"/>
        <v>0</v>
      </c>
    </row>
    <row r="1032" spans="1:10" x14ac:dyDescent="0.35">
      <c r="A1032" t="s">
        <v>243</v>
      </c>
      <c r="B1032" t="s">
        <v>1761</v>
      </c>
      <c r="C1032" t="s">
        <v>1762</v>
      </c>
      <c r="G1032" t="str">
        <f t="shared" si="38"/>
        <v>xlsx</v>
      </c>
      <c r="H1032" s="5" t="str">
        <f>IFERROR(IF(B1032="FoPITY",INDEX(Customizations!$C$2:$C$19,MATCH(Sheet1!C1032,Customizations!$B$2:$B$19,0),1),INDEX(About!C:C,MATCH(Sheet1!B1032,About!B:B,0),1)),"")</f>
        <v>Share of Fuel Cons that is Byproduct or Secondary Fuel by Indst.xlsx</v>
      </c>
      <c r="I1032" s="5">
        <f>IFERROR(INDEX(About!$D:$D,MATCH(Sheet1!H1032,About!$C:$C,0),1),0)</f>
        <v>0</v>
      </c>
      <c r="J1032" s="6">
        <f t="shared" si="39"/>
        <v>0</v>
      </c>
    </row>
    <row r="1033" spans="1:10" x14ac:dyDescent="0.35">
      <c r="A1033" t="s">
        <v>243</v>
      </c>
      <c r="B1033" t="s">
        <v>1761</v>
      </c>
      <c r="C1033" t="s">
        <v>1763</v>
      </c>
      <c r="G1033" t="str">
        <f t="shared" si="38"/>
        <v>.csv</v>
      </c>
      <c r="H1033" s="5" t="str">
        <f>IFERROR(IF(B1033="FoPITY",INDEX(Customizations!$C$2:$C$19,MATCH(Sheet1!C1033,Customizations!$B$2:$B$19,0),1),INDEX(About!C:C,MATCH(Sheet1!B1033,About!B:B,0),1)),"")</f>
        <v>Share of Fuel Cons that is Byproduct or Secondary Fuel by Indst.xlsx</v>
      </c>
      <c r="I1033" s="5">
        <f>IFERROR(INDEX(About!$D:$D,MATCH(Sheet1!H1033,About!$C:$C,0),1),0)</f>
        <v>0</v>
      </c>
      <c r="J1033" s="6">
        <f t="shared" si="39"/>
        <v>0</v>
      </c>
    </row>
    <row r="1034" spans="1:10" x14ac:dyDescent="0.35">
      <c r="A1034" t="s">
        <v>243</v>
      </c>
      <c r="B1034" t="s">
        <v>836</v>
      </c>
      <c r="C1034" t="s">
        <v>837</v>
      </c>
      <c r="G1034" t="str">
        <f t="shared" si="38"/>
        <v>xlsx</v>
      </c>
      <c r="H1034" s="5" t="str">
        <f>IFERROR(IF(B1034="FoPITY",INDEX(Customizations!$C$2:$C$19,MATCH(Sheet1!C1034,Customizations!$B$2:$B$19,0),1),INDEX(About!C:C,MATCH(Sheet1!B1034,About!B:B,0),1)),"")</f>
        <v>Share of Process Emis Abatement Spending by ISIC Code.xlsx</v>
      </c>
      <c r="I1034" s="5">
        <f>IFERROR(INDEX(About!$D:$D,MATCH(Sheet1!H1034,About!$C:$C,0),1),0)</f>
        <v>0</v>
      </c>
      <c r="J1034" s="6">
        <f t="shared" si="39"/>
        <v>0</v>
      </c>
    </row>
    <row r="1035" spans="1:10" x14ac:dyDescent="0.35">
      <c r="A1035" t="s">
        <v>243</v>
      </c>
      <c r="B1035" t="s">
        <v>836</v>
      </c>
      <c r="C1035" t="s">
        <v>838</v>
      </c>
      <c r="G1035" t="str">
        <f t="shared" si="38"/>
        <v>.csv</v>
      </c>
      <c r="H1035" s="5" t="str">
        <f>IFERROR(IF(B1035="FoPITY",INDEX(Customizations!$C$2:$C$19,MATCH(Sheet1!C1035,Customizations!$B$2:$B$19,0),1),INDEX(About!C:C,MATCH(Sheet1!B1035,About!B:B,0),1)),"")</f>
        <v>Share of Process Emis Abatement Spending by ISIC Code.xlsx</v>
      </c>
      <c r="I1035" s="5">
        <f>IFERROR(INDEX(About!$D:$D,MATCH(Sheet1!H1035,About!$C:$C,0),1),0)</f>
        <v>0</v>
      </c>
      <c r="J1035" s="6">
        <f t="shared" si="39"/>
        <v>0</v>
      </c>
    </row>
    <row r="1036" spans="1:10" x14ac:dyDescent="0.35">
      <c r="A1036" t="s">
        <v>243</v>
      </c>
      <c r="B1036" t="s">
        <v>1764</v>
      </c>
      <c r="C1036" t="s">
        <v>1765</v>
      </c>
      <c r="G1036" t="str">
        <f t="shared" si="38"/>
        <v>xlsx</v>
      </c>
      <c r="H1036" s="5" t="str">
        <f>IFERROR(IF(B1036="FoPITY",INDEX(Customizations!$C$2:$C$19,MATCH(Sheet1!C1036,Customizations!$B$2:$B$19,0),1),INDEX(About!C:C,MATCH(Sheet1!B1036,About!B:B,0),1)),"")</f>
        <v>Start Year Indst Eqpt Unit E Factor by Indst Proc and Fuel.xlsx</v>
      </c>
      <c r="I1036" s="5">
        <f>IFERROR(INDEX(About!$D:$D,MATCH(Sheet1!H1036,About!$C:$C,0),1),0)</f>
        <v>0</v>
      </c>
      <c r="J1036" s="6">
        <f t="shared" si="39"/>
        <v>0</v>
      </c>
    </row>
    <row r="1037" spans="1:10" x14ac:dyDescent="0.35">
      <c r="A1037" t="s">
        <v>243</v>
      </c>
      <c r="B1037" t="s">
        <v>1764</v>
      </c>
      <c r="C1037" t="s">
        <v>1766</v>
      </c>
      <c r="G1037" t="str">
        <f t="shared" si="38"/>
        <v>.csv</v>
      </c>
      <c r="H1037" s="5" t="str">
        <f>IFERROR(IF(B1037="FoPITY",INDEX(Customizations!$C$2:$C$19,MATCH(Sheet1!C1037,Customizations!$B$2:$B$19,0),1),INDEX(About!C:C,MATCH(Sheet1!B1037,About!B:B,0),1)),"")</f>
        <v>Start Year Indst Eqpt Unit E Factor by Indst Proc and Fuel.xlsx</v>
      </c>
      <c r="I1037" s="5">
        <f>IFERROR(INDEX(About!$D:$D,MATCH(Sheet1!H1037,About!$C:$C,0),1),0)</f>
        <v>0</v>
      </c>
      <c r="J1037" s="6">
        <f t="shared" si="39"/>
        <v>0</v>
      </c>
    </row>
    <row r="1038" spans="1:10" x14ac:dyDescent="0.35">
      <c r="A1038" t="s">
        <v>243</v>
      </c>
      <c r="B1038" t="s">
        <v>1935</v>
      </c>
      <c r="C1038" t="s">
        <v>1936</v>
      </c>
      <c r="G1038" t="str">
        <f t="shared" si="38"/>
        <v>xlsx</v>
      </c>
      <c r="H1038" s="5" t="str">
        <f>IFERROR(IF(B1038="FoPITY",INDEX(Customizations!$C$2:$C$19,MATCH(Sheet1!C1038,Customizations!$B$2:$B$19,0),1),INDEX(About!C:C,MATCH(Sheet1!B1038,About!B:B,0),1)),"")</f>
        <v>Waste Heat Recovery Capital Costs.xlsx</v>
      </c>
      <c r="I1038" s="5">
        <f>IFERROR(INDEX(About!$D:$D,MATCH(Sheet1!H1038,About!$C:$C,0),1),0)</f>
        <v>0</v>
      </c>
      <c r="J1038" s="6">
        <f t="shared" si="39"/>
        <v>0</v>
      </c>
    </row>
    <row r="1039" spans="1:10" x14ac:dyDescent="0.35">
      <c r="A1039" t="s">
        <v>243</v>
      </c>
      <c r="B1039" t="s">
        <v>1935</v>
      </c>
      <c r="C1039" t="s">
        <v>1937</v>
      </c>
      <c r="G1039" t="str">
        <f t="shared" si="38"/>
        <v>.csv</v>
      </c>
      <c r="H1039" s="5" t="str">
        <f>IFERROR(IF(B1039="FoPITY",INDEX(Customizations!$C$2:$C$19,MATCH(Sheet1!C1039,Customizations!$B$2:$B$19,0),1),INDEX(About!C:C,MATCH(Sheet1!B1039,About!B:B,0),1)),"")</f>
        <v>Waste Heat Recovery Capital Costs.xlsx</v>
      </c>
      <c r="I1039" s="5">
        <f>IFERROR(INDEX(About!$D:$D,MATCH(Sheet1!H1039,About!$C:$C,0),1),0)</f>
        <v>0</v>
      </c>
      <c r="J1039" s="6">
        <f t="shared" si="39"/>
        <v>0</v>
      </c>
    </row>
    <row r="1040" spans="1:10" x14ac:dyDescent="0.35">
      <c r="A1040" t="s">
        <v>243</v>
      </c>
      <c r="B1040" t="s">
        <v>1938</v>
      </c>
      <c r="C1040" t="s">
        <v>1939</v>
      </c>
      <c r="G1040" t="str">
        <f t="shared" si="38"/>
        <v>xlsx</v>
      </c>
      <c r="H1040" s="5" t="str">
        <f>IFERROR(IF(B1040="FoPITY",INDEX(Customizations!$C$2:$C$19,MATCH(Sheet1!C1040,Customizations!$B$2:$B$19,0),1),INDEX(About!C:C,MATCH(Sheet1!B1040,About!B:B,0),1)),"")</f>
        <v>Waste Heat Recovery Potl by Indst.xlsx</v>
      </c>
      <c r="I1040" s="5">
        <f>IFERROR(INDEX(About!$D:$D,MATCH(Sheet1!H1040,About!$C:$C,0),1),0)</f>
        <v>0</v>
      </c>
      <c r="J1040" s="6">
        <f t="shared" si="39"/>
        <v>0</v>
      </c>
    </row>
    <row r="1041" spans="1:10" x14ac:dyDescent="0.35">
      <c r="A1041" t="s">
        <v>243</v>
      </c>
      <c r="B1041" t="s">
        <v>1938</v>
      </c>
      <c r="C1041" t="s">
        <v>1940</v>
      </c>
      <c r="G1041" t="str">
        <f t="shared" si="38"/>
        <v>.csv</v>
      </c>
      <c r="H1041" s="5" t="str">
        <f>IFERROR(IF(B1041="FoPITY",INDEX(Customizations!$C$2:$C$19,MATCH(Sheet1!C1041,Customizations!$B$2:$B$19,0),1),INDEX(About!C:C,MATCH(Sheet1!B1041,About!B:B,0),1)),"")</f>
        <v>Waste Heat Recovery Potl by Indst.xlsx</v>
      </c>
      <c r="I1041" s="5">
        <f>IFERROR(INDEX(About!$D:$D,MATCH(Sheet1!H1041,About!$C:$C,0),1),0)</f>
        <v>0</v>
      </c>
      <c r="J1041" s="6">
        <f t="shared" si="39"/>
        <v>0</v>
      </c>
    </row>
    <row r="1042" spans="1:10" x14ac:dyDescent="0.35">
      <c r="A1042" t="s">
        <v>705</v>
      </c>
      <c r="B1042" t="s">
        <v>1384</v>
      </c>
      <c r="C1042" t="s">
        <v>1385</v>
      </c>
      <c r="G1042" t="str">
        <f t="shared" si="38"/>
        <v>.csv</v>
      </c>
      <c r="H1042" s="5" t="str">
        <f>IFERROR(IF(B1042="FoPITY",INDEX(Customizations!$C$2:$C$19,MATCH(Sheet1!C1042,Customizations!$B$2:$B$19,0),1),INDEX(About!C:C,MATCH(Sheet1!B1042,About!B:B,0),1)),"")</f>
        <v>Avg Corp Tax Rate.xlsx</v>
      </c>
      <c r="I1042" s="5">
        <f>IFERROR(INDEX(About!$D:$D,MATCH(Sheet1!H1042,About!$C:$C,0),1),0)</f>
        <v>0</v>
      </c>
      <c r="J1042" s="6">
        <f t="shared" si="39"/>
        <v>0</v>
      </c>
    </row>
    <row r="1043" spans="1:10" x14ac:dyDescent="0.35">
      <c r="A1043" t="s">
        <v>705</v>
      </c>
      <c r="B1043" t="s">
        <v>1384</v>
      </c>
      <c r="C1043" t="s">
        <v>1386</v>
      </c>
      <c r="G1043" t="str">
        <f t="shared" si="38"/>
        <v>xlsx</v>
      </c>
      <c r="H1043" s="5" t="str">
        <f>IFERROR(IF(B1043="FoPITY",INDEX(Customizations!$C$2:$C$19,MATCH(Sheet1!C1043,Customizations!$B$2:$B$19,0),1),INDEX(About!C:C,MATCH(Sheet1!B1043,About!B:B,0),1)),"")</f>
        <v>Avg Corp Tax Rate.xlsx</v>
      </c>
      <c r="I1043" s="5">
        <f>IFERROR(INDEX(About!$D:$D,MATCH(Sheet1!H1043,About!$C:$C,0),1),0)</f>
        <v>0</v>
      </c>
      <c r="J1043" s="6">
        <f t="shared" si="39"/>
        <v>0</v>
      </c>
    </row>
    <row r="1044" spans="1:10" x14ac:dyDescent="0.35">
      <c r="A1044" t="s">
        <v>705</v>
      </c>
      <c r="B1044" t="s">
        <v>953</v>
      </c>
      <c r="C1044" t="s">
        <v>954</v>
      </c>
      <c r="G1044" t="str">
        <f t="shared" si="38"/>
        <v>xlsx</v>
      </c>
      <c r="H1044" s="5" t="str">
        <f>IFERROR(IF(B1044="FoPITY",INDEX(Customizations!$C$2:$C$19,MATCH(Sheet1!C1044,Customizations!$B$2:$B$19,0),1),INDEX(About!C:C,MATCH(Sheet1!B1044,About!B:B,0),1)),"")</f>
        <v>BAU Dmst Cnt Shr of Cnsmptn and Exp Shr of Prdtn by ISIC Code.xlsx</v>
      </c>
      <c r="I1044" s="5">
        <f>IFERROR(INDEX(About!$D:$D,MATCH(Sheet1!H1044,About!$C:$C,0),1),0)</f>
        <v>0</v>
      </c>
      <c r="J1044" s="6">
        <f t="shared" si="39"/>
        <v>0</v>
      </c>
    </row>
    <row r="1045" spans="1:10" x14ac:dyDescent="0.35">
      <c r="A1045" t="s">
        <v>705</v>
      </c>
      <c r="B1045" t="s">
        <v>953</v>
      </c>
      <c r="C1045" t="s">
        <v>913</v>
      </c>
      <c r="G1045" t="str">
        <f t="shared" si="38"/>
        <v>.csv</v>
      </c>
      <c r="H1045" s="5" t="str">
        <f>IFERROR(IF(B1045="FoPITY",INDEX(Customizations!$C$2:$C$19,MATCH(Sheet1!C1045,Customizations!$B$2:$B$19,0),1),INDEX(About!C:C,MATCH(Sheet1!B1045,About!B:B,0),1)),"")</f>
        <v>BAU Dmst Cnt Shr of Cnsmptn and Exp Shr of Prdtn by ISIC Code.xlsx</v>
      </c>
      <c r="I1045" s="5">
        <f>IFERROR(INDEX(About!$D:$D,MATCH(Sheet1!H1045,About!$C:$C,0),1),0)</f>
        <v>0</v>
      </c>
      <c r="J1045" s="6">
        <f t="shared" si="39"/>
        <v>0</v>
      </c>
    </row>
    <row r="1046" spans="1:10" x14ac:dyDescent="0.35">
      <c r="A1046" t="s">
        <v>705</v>
      </c>
      <c r="B1046" t="s">
        <v>953</v>
      </c>
      <c r="C1046" t="s">
        <v>955</v>
      </c>
      <c r="G1046" t="str">
        <f t="shared" si="38"/>
        <v>.csv</v>
      </c>
      <c r="H1046" s="5" t="str">
        <f>IFERROR(IF(B1046="FoPITY",INDEX(Customizations!$C$2:$C$19,MATCH(Sheet1!C1046,Customizations!$B$2:$B$19,0),1),INDEX(About!C:C,MATCH(Sheet1!B1046,About!B:B,0),1)),"")</f>
        <v>BAU Dmst Cnt Shr of Cnsmptn and Exp Shr of Prdtn by ISIC Code.xlsx</v>
      </c>
      <c r="I1046" s="5">
        <f>IFERROR(INDEX(About!$D:$D,MATCH(Sheet1!H1046,About!$C:$C,0),1),0)</f>
        <v>0</v>
      </c>
      <c r="J1046" s="6">
        <f t="shared" si="39"/>
        <v>0</v>
      </c>
    </row>
    <row r="1047" spans="1:10" x14ac:dyDescent="0.35">
      <c r="A1047" t="s">
        <v>705</v>
      </c>
      <c r="B1047" t="s">
        <v>1313</v>
      </c>
      <c r="C1047" t="s">
        <v>1314</v>
      </c>
      <c r="G1047" t="str">
        <f t="shared" si="38"/>
        <v>xlsx</v>
      </c>
      <c r="H1047" s="5" t="str">
        <f>IFERROR(IF(B1047="FoPITY",INDEX(Customizations!$C$2:$C$19,MATCH(Sheet1!C1047,Customizations!$B$2:$B$19,0),1),INDEX(About!C:C,MATCH(Sheet1!B1047,About!B:B,0),1)),"")</f>
        <v>BAU Employment and Compensation Projections.xlsx</v>
      </c>
      <c r="I1047" s="5">
        <f>IFERROR(INDEX(About!$D:$D,MATCH(Sheet1!H1047,About!$C:$C,0),1),0)</f>
        <v>0</v>
      </c>
      <c r="J1047" s="6">
        <f t="shared" si="39"/>
        <v>0</v>
      </c>
    </row>
    <row r="1048" spans="1:10" x14ac:dyDescent="0.35">
      <c r="A1048" t="s">
        <v>705</v>
      </c>
      <c r="B1048" t="s">
        <v>1313</v>
      </c>
      <c r="C1048" t="s">
        <v>1315</v>
      </c>
      <c r="G1048" t="str">
        <f t="shared" si="38"/>
        <v>.csv</v>
      </c>
      <c r="H1048" s="5" t="str">
        <f>IFERROR(IF(B1048="FoPITY",INDEX(Customizations!$C$2:$C$19,MATCH(Sheet1!C1048,Customizations!$B$2:$B$19,0),1),INDEX(About!C:C,MATCH(Sheet1!B1048,About!B:B,0),1)),"")</f>
        <v>BAU Employment and Compensation Projections.xlsx</v>
      </c>
      <c r="I1048" s="5">
        <f>IFERROR(INDEX(About!$D:$D,MATCH(Sheet1!H1048,About!$C:$C,0),1),0)</f>
        <v>0</v>
      </c>
      <c r="J1048" s="6">
        <f t="shared" si="39"/>
        <v>0</v>
      </c>
    </row>
    <row r="1049" spans="1:10" x14ac:dyDescent="0.35">
      <c r="A1049" t="s">
        <v>705</v>
      </c>
      <c r="B1049" t="s">
        <v>1313</v>
      </c>
      <c r="C1049" t="s">
        <v>1316</v>
      </c>
      <c r="G1049" t="str">
        <f t="shared" si="38"/>
        <v>.csv</v>
      </c>
      <c r="H1049" s="5" t="str">
        <f>IFERROR(IF(B1049="FoPITY",INDEX(Customizations!$C$2:$C$19,MATCH(Sheet1!C1049,Customizations!$B$2:$B$19,0),1),INDEX(About!C:C,MATCH(Sheet1!B1049,About!B:B,0),1)),"")</f>
        <v>BAU Employment and Compensation Projections.xlsx</v>
      </c>
      <c r="I1049" s="5">
        <f>IFERROR(INDEX(About!$D:$D,MATCH(Sheet1!H1049,About!$C:$C,0),1),0)</f>
        <v>0</v>
      </c>
      <c r="J1049" s="6">
        <f t="shared" si="39"/>
        <v>0</v>
      </c>
    </row>
    <row r="1050" spans="1:10" x14ac:dyDescent="0.35">
      <c r="A1050" t="s">
        <v>705</v>
      </c>
      <c r="B1050" t="s">
        <v>706</v>
      </c>
      <c r="C1050" t="s">
        <v>707</v>
      </c>
      <c r="G1050" t="str">
        <f t="shared" si="38"/>
        <v>xlsx</v>
      </c>
      <c r="H1050" s="5" t="str">
        <f>IFERROR(IF(B1050="FoPITY",INDEX(Customizations!$C$2:$C$19,MATCH(Sheet1!C1050,Customizations!$B$2:$B$19,0),1),INDEX(About!C:C,MATCH(Sheet1!B1050,About!B:B,0),1)),"")</f>
        <v>BAU Employment by ISIC Code.xlsx</v>
      </c>
      <c r="I1050" s="5">
        <f>IFERROR(INDEX(About!$D:$D,MATCH(Sheet1!H1050,About!$C:$C,0),1),0)</f>
        <v>0</v>
      </c>
      <c r="J1050" s="6">
        <f t="shared" si="39"/>
        <v>0</v>
      </c>
    </row>
    <row r="1051" spans="1:10" x14ac:dyDescent="0.35">
      <c r="A1051" t="s">
        <v>705</v>
      </c>
      <c r="B1051" t="s">
        <v>706</v>
      </c>
      <c r="C1051" t="s">
        <v>708</v>
      </c>
      <c r="G1051" t="str">
        <f t="shared" si="38"/>
        <v>.csv</v>
      </c>
      <c r="H1051" s="5" t="str">
        <f>IFERROR(IF(B1051="FoPITY",INDEX(Customizations!$C$2:$C$19,MATCH(Sheet1!C1051,Customizations!$B$2:$B$19,0),1),INDEX(About!C:C,MATCH(Sheet1!B1051,About!B:B,0),1)),"")</f>
        <v>BAU Employment by ISIC Code.xlsx</v>
      </c>
      <c r="I1051" s="5">
        <f>IFERROR(INDEX(About!$D:$D,MATCH(Sheet1!H1051,About!$C:$C,0),1),0)</f>
        <v>0</v>
      </c>
      <c r="J1051" s="6">
        <f t="shared" si="39"/>
        <v>0</v>
      </c>
    </row>
    <row r="1052" spans="1:10" x14ac:dyDescent="0.35">
      <c r="A1052" t="s">
        <v>705</v>
      </c>
      <c r="B1052" t="s">
        <v>706</v>
      </c>
      <c r="C1052" t="s">
        <v>1941</v>
      </c>
      <c r="G1052" t="str">
        <f t="shared" si="38"/>
        <v>xlsx</v>
      </c>
      <c r="H1052" s="5" t="str">
        <f>IFERROR(IF(B1052="FoPITY",INDEX(Customizations!$C$2:$C$19,MATCH(Sheet1!C1052,Customizations!$B$2:$B$19,0),1),INDEX(About!C:C,MATCH(Sheet1!B1052,About!B:B,0),1)),"")</f>
        <v>BAU Employment by ISIC Code.xlsx</v>
      </c>
      <c r="I1052" s="5">
        <f>IFERROR(INDEX(About!$D:$D,MATCH(Sheet1!H1052,About!$C:$C,0),1),0)</f>
        <v>0</v>
      </c>
      <c r="J1052" s="6">
        <f t="shared" si="39"/>
        <v>0</v>
      </c>
    </row>
    <row r="1053" spans="1:10" x14ac:dyDescent="0.35">
      <c r="A1053" t="s">
        <v>705</v>
      </c>
      <c r="B1053" t="s">
        <v>709</v>
      </c>
      <c r="C1053" t="s">
        <v>710</v>
      </c>
      <c r="G1053" t="str">
        <f t="shared" si="38"/>
        <v>xlsx</v>
      </c>
      <c r="H1053" s="5" t="str">
        <f>IFERROR(IF(B1053="FoPITY",INDEX(Customizations!$C$2:$C$19,MATCH(Sheet1!C1053,Customizations!$B$2:$B$19,0),1),INDEX(About!C:C,MATCH(Sheet1!B1053,About!B:B,0),1)),"")</f>
        <v>BAU Employee Compensation by ISIC Code.xlsx</v>
      </c>
      <c r="I1053" s="5">
        <f>IFERROR(INDEX(About!$D:$D,MATCH(Sheet1!H1053,About!$C:$C,0),1),0)</f>
        <v>0</v>
      </c>
      <c r="J1053" s="6">
        <f t="shared" si="39"/>
        <v>0</v>
      </c>
    </row>
    <row r="1054" spans="1:10" x14ac:dyDescent="0.35">
      <c r="A1054" t="s">
        <v>705</v>
      </c>
      <c r="B1054" t="s">
        <v>709</v>
      </c>
      <c r="C1054" t="s">
        <v>711</v>
      </c>
      <c r="G1054" t="str">
        <f t="shared" si="38"/>
        <v>.csv</v>
      </c>
      <c r="H1054" s="5" t="str">
        <f>IFERROR(IF(B1054="FoPITY",INDEX(Customizations!$C$2:$C$19,MATCH(Sheet1!C1054,Customizations!$B$2:$B$19,0),1),INDEX(About!C:C,MATCH(Sheet1!B1054,About!B:B,0),1)),"")</f>
        <v>BAU Employee Compensation by ISIC Code.xlsx</v>
      </c>
      <c r="I1054" s="5">
        <f>IFERROR(INDEX(About!$D:$D,MATCH(Sheet1!H1054,About!$C:$C,0),1),0)</f>
        <v>0</v>
      </c>
      <c r="J1054" s="6">
        <f t="shared" si="39"/>
        <v>0</v>
      </c>
    </row>
    <row r="1055" spans="1:10" x14ac:dyDescent="0.35">
      <c r="A1055" t="s">
        <v>705</v>
      </c>
      <c r="B1055" t="s">
        <v>604</v>
      </c>
      <c r="C1055" t="s">
        <v>605</v>
      </c>
      <c r="G1055" t="str">
        <f t="shared" si="38"/>
        <v>xlsx</v>
      </c>
      <c r="H1055" s="5" t="str">
        <f>IFERROR(IF(B1055="FoPITY",INDEX(Customizations!$C$2:$C$19,MATCH(Sheet1!C1055,Customizations!$B$2:$B$19,0),1),INDEX(About!C:C,MATCH(Sheet1!B1055,About!B:B,0),1)),"")</f>
        <v>BAU GDP.xlsx</v>
      </c>
      <c r="I1055" s="5">
        <f>IFERROR(INDEX(About!$D:$D,MATCH(Sheet1!H1055,About!$C:$C,0),1),0)</f>
        <v>0</v>
      </c>
      <c r="J1055" s="6">
        <f t="shared" si="39"/>
        <v>0</v>
      </c>
    </row>
    <row r="1056" spans="1:10" x14ac:dyDescent="0.35">
      <c r="A1056" t="s">
        <v>705</v>
      </c>
      <c r="B1056" t="s">
        <v>604</v>
      </c>
      <c r="C1056" t="s">
        <v>606</v>
      </c>
      <c r="G1056" t="str">
        <f t="shared" si="38"/>
        <v>.csv</v>
      </c>
      <c r="H1056" s="5" t="str">
        <f>IFERROR(IF(B1056="FoPITY",INDEX(Customizations!$C$2:$C$19,MATCH(Sheet1!C1056,Customizations!$B$2:$B$19,0),1),INDEX(About!C:C,MATCH(Sheet1!B1056,About!B:B,0),1)),"")</f>
        <v>BAU GDP.xlsx</v>
      </c>
      <c r="I1056" s="5">
        <f>IFERROR(INDEX(About!$D:$D,MATCH(Sheet1!H1056,About!$C:$C,0),1),0)</f>
        <v>0</v>
      </c>
      <c r="J1056" s="6">
        <f t="shared" si="39"/>
        <v>0</v>
      </c>
    </row>
    <row r="1057" spans="1:10" x14ac:dyDescent="0.35">
      <c r="A1057" t="s">
        <v>705</v>
      </c>
      <c r="B1057" t="s">
        <v>712</v>
      </c>
      <c r="C1057" t="s">
        <v>713</v>
      </c>
      <c r="G1057" t="str">
        <f t="shared" si="38"/>
        <v>xlsx</v>
      </c>
      <c r="H1057" s="5" t="str">
        <f>IFERROR(IF(B1057="FoPITY",INDEX(Customizations!$C$2:$C$19,MATCH(Sheet1!C1057,Customizations!$B$2:$B$19,0),1),INDEX(About!C:C,MATCH(Sheet1!B1057,About!B:B,0),1)),"")</f>
        <v>BAU Output by ISIC Code.xlsx</v>
      </c>
      <c r="I1057" s="5">
        <f>IFERROR(INDEX(About!$D:$D,MATCH(Sheet1!H1057,About!$C:$C,0),1),0)</f>
        <v>0</v>
      </c>
      <c r="J1057" s="6">
        <f t="shared" si="39"/>
        <v>0</v>
      </c>
    </row>
    <row r="1058" spans="1:10" x14ac:dyDescent="0.35">
      <c r="A1058" t="s">
        <v>705</v>
      </c>
      <c r="B1058" t="s">
        <v>712</v>
      </c>
      <c r="C1058" t="s">
        <v>714</v>
      </c>
      <c r="G1058" t="str">
        <f t="shared" si="38"/>
        <v>.csv</v>
      </c>
      <c r="H1058" s="5" t="str">
        <f>IFERROR(IF(B1058="FoPITY",INDEX(Customizations!$C$2:$C$19,MATCH(Sheet1!C1058,Customizations!$B$2:$B$19,0),1),INDEX(About!C:C,MATCH(Sheet1!B1058,About!B:B,0),1)),"")</f>
        <v>BAU Output by ISIC Code.xlsx</v>
      </c>
      <c r="I1058" s="5">
        <f>IFERROR(INDEX(About!$D:$D,MATCH(Sheet1!H1058,About!$C:$C,0),1),0)</f>
        <v>0</v>
      </c>
      <c r="J1058" s="6">
        <f t="shared" si="39"/>
        <v>0</v>
      </c>
    </row>
    <row r="1059" spans="1:10" x14ac:dyDescent="0.35">
      <c r="A1059" t="s">
        <v>705</v>
      </c>
      <c r="B1059" t="s">
        <v>712</v>
      </c>
      <c r="C1059" t="s">
        <v>1942</v>
      </c>
      <c r="G1059" t="str">
        <f t="shared" si="38"/>
        <v>.csv</v>
      </c>
      <c r="H1059" s="5" t="str">
        <f>IFERROR(IF(B1059="FoPITY",INDEX(Customizations!$C$2:$C$19,MATCH(Sheet1!C1059,Customizations!$B$2:$B$19,0),1),INDEX(About!C:C,MATCH(Sheet1!B1059,About!B:B,0),1)),"")</f>
        <v>BAU Output by ISIC Code.xlsx</v>
      </c>
      <c r="I1059" s="5">
        <f>IFERROR(INDEX(About!$D:$D,MATCH(Sheet1!H1059,About!$C:$C,0),1),0)</f>
        <v>0</v>
      </c>
      <c r="J1059" s="6">
        <f t="shared" si="39"/>
        <v>0</v>
      </c>
    </row>
    <row r="1060" spans="1:10" x14ac:dyDescent="0.35">
      <c r="A1060" t="s">
        <v>705</v>
      </c>
      <c r="B1060" t="s">
        <v>712</v>
      </c>
      <c r="C1060" t="s">
        <v>1943</v>
      </c>
      <c r="G1060" t="str">
        <f t="shared" si="38"/>
        <v>xlsx</v>
      </c>
      <c r="H1060" s="5" t="str">
        <f>IFERROR(IF(B1060="FoPITY",INDEX(Customizations!$C$2:$C$19,MATCH(Sheet1!C1060,Customizations!$B$2:$B$19,0),1),INDEX(About!C:C,MATCH(Sheet1!B1060,About!B:B,0),1)),"")</f>
        <v>BAU Output by ISIC Code.xlsx</v>
      </c>
      <c r="I1060" s="5">
        <f>IFERROR(INDEX(About!$D:$D,MATCH(Sheet1!H1060,About!$C:$C,0),1),0)</f>
        <v>0</v>
      </c>
      <c r="J1060" s="6">
        <f t="shared" si="39"/>
        <v>0</v>
      </c>
    </row>
    <row r="1061" spans="1:10" x14ac:dyDescent="0.35">
      <c r="A1061" t="s">
        <v>705</v>
      </c>
      <c r="B1061" t="s">
        <v>1140</v>
      </c>
      <c r="C1061" t="s">
        <v>1141</v>
      </c>
      <c r="G1061" t="str">
        <f t="shared" si="38"/>
        <v>xlsx</v>
      </c>
      <c r="H1061" s="5" t="str">
        <f>IFERROR(IF(B1061="FoPITY",INDEX(Customizations!$C$2:$C$19,MATCH(Sheet1!C1061,Customizations!$B$2:$B$19,0),1),INDEX(About!C:C,MATCH(Sheet1!B1061,About!B:B,0),1)),"")</f>
        <v>BAU Perc Cng in Output and Domestic Content Share by ISIC Code.xlsx</v>
      </c>
      <c r="I1061" s="5">
        <f>IFERROR(INDEX(About!$D:$D,MATCH(Sheet1!H1061,About!$C:$C,0),1),0)</f>
        <v>0</v>
      </c>
      <c r="J1061" s="6">
        <f t="shared" si="39"/>
        <v>0</v>
      </c>
    </row>
    <row r="1062" spans="1:10" x14ac:dyDescent="0.35">
      <c r="A1062" t="s">
        <v>705</v>
      </c>
      <c r="B1062" t="s">
        <v>1140</v>
      </c>
      <c r="C1062" t="s">
        <v>1142</v>
      </c>
      <c r="G1062" t="str">
        <f t="shared" si="38"/>
        <v>.csv</v>
      </c>
      <c r="H1062" s="5" t="str">
        <f>IFERROR(IF(B1062="FoPITY",INDEX(Customizations!$C$2:$C$19,MATCH(Sheet1!C1062,Customizations!$B$2:$B$19,0),1),INDEX(About!C:C,MATCH(Sheet1!B1062,About!B:B,0),1)),"")</f>
        <v>BAU Perc Cng in Output and Domestic Content Share by ISIC Code.xlsx</v>
      </c>
      <c r="I1062" s="5">
        <f>IFERROR(INDEX(About!$D:$D,MATCH(Sheet1!H1062,About!$C:$C,0),1),0)</f>
        <v>0</v>
      </c>
      <c r="J1062" s="6">
        <f t="shared" si="39"/>
        <v>0</v>
      </c>
    </row>
    <row r="1063" spans="1:10" x14ac:dyDescent="0.35">
      <c r="A1063" t="s">
        <v>705</v>
      </c>
      <c r="B1063" t="s">
        <v>1140</v>
      </c>
      <c r="C1063" t="s">
        <v>914</v>
      </c>
      <c r="G1063" t="str">
        <f t="shared" si="38"/>
        <v>.csv</v>
      </c>
      <c r="H1063" s="5" t="str">
        <f>IFERROR(IF(B1063="FoPITY",INDEX(Customizations!$C$2:$C$19,MATCH(Sheet1!C1063,Customizations!$B$2:$B$19,0),1),INDEX(About!C:C,MATCH(Sheet1!B1063,About!B:B,0),1)),"")</f>
        <v>BAU Perc Cng in Output and Domestic Content Share by ISIC Code.xlsx</v>
      </c>
      <c r="I1063" s="5">
        <f>IFERROR(INDEX(About!$D:$D,MATCH(Sheet1!H1063,About!$C:$C,0),1),0)</f>
        <v>0</v>
      </c>
      <c r="J1063" s="6">
        <f t="shared" si="39"/>
        <v>0</v>
      </c>
    </row>
    <row r="1064" spans="1:10" x14ac:dyDescent="0.35">
      <c r="A1064" t="s">
        <v>705</v>
      </c>
      <c r="B1064" t="s">
        <v>715</v>
      </c>
      <c r="C1064" t="s">
        <v>716</v>
      </c>
      <c r="G1064" t="str">
        <f t="shared" si="38"/>
        <v>xlsx</v>
      </c>
      <c r="H1064" s="5" t="str">
        <f>IFERROR(IF(B1064="FoPITY",INDEX(Customizations!$C$2:$C$19,MATCH(Sheet1!C1064,Customizations!$B$2:$B$19,0),1),INDEX(About!C:C,MATCH(Sheet1!B1064,About!B:B,0),1)),"")</f>
        <v>BAU Value Added by ISIC Code.xlsx</v>
      </c>
      <c r="I1064" s="5">
        <f>IFERROR(INDEX(About!$D:$D,MATCH(Sheet1!H1064,About!$C:$C,0),1),0)</f>
        <v>0</v>
      </c>
      <c r="J1064" s="6">
        <f t="shared" si="39"/>
        <v>0</v>
      </c>
    </row>
    <row r="1065" spans="1:10" x14ac:dyDescent="0.35">
      <c r="A1065" t="s">
        <v>705</v>
      </c>
      <c r="B1065" t="s">
        <v>715</v>
      </c>
      <c r="C1065" t="s">
        <v>717</v>
      </c>
      <c r="G1065" t="str">
        <f t="shared" si="38"/>
        <v>.csv</v>
      </c>
      <c r="H1065" s="5" t="str">
        <f>IFERROR(IF(B1065="FoPITY",INDEX(Customizations!$C$2:$C$19,MATCH(Sheet1!C1065,Customizations!$B$2:$B$19,0),1),INDEX(About!C:C,MATCH(Sheet1!B1065,About!B:B,0),1)),"")</f>
        <v>BAU Value Added by ISIC Code.xlsx</v>
      </c>
      <c r="I1065" s="5">
        <f>IFERROR(INDEX(About!$D:$D,MATCH(Sheet1!H1065,About!$C:$C,0),1),0)</f>
        <v>0</v>
      </c>
      <c r="J1065" s="6">
        <f t="shared" si="39"/>
        <v>0</v>
      </c>
    </row>
    <row r="1066" spans="1:10" x14ac:dyDescent="0.35">
      <c r="A1066" t="s">
        <v>705</v>
      </c>
      <c r="B1066" t="s">
        <v>718</v>
      </c>
      <c r="C1066" t="s">
        <v>719</v>
      </c>
      <c r="G1066" t="str">
        <f t="shared" si="38"/>
        <v>.csv</v>
      </c>
      <c r="H1066" s="5" t="str">
        <f>IFERROR(IF(B1066="FoPITY",INDEX(Customizations!$C$2:$C$19,MATCH(Sheet1!C1066,Customizations!$B$2:$B$19,0),1),INDEX(About!C:C,MATCH(Sheet1!B1066,About!B:B,0),1)),"")</f>
        <v>Domestic Leontief Inverse Matrix.xlsx</v>
      </c>
      <c r="I1066" s="5">
        <f>IFERROR(INDEX(About!$D:$D,MATCH(Sheet1!H1066,About!$C:$C,0),1),0)</f>
        <v>0</v>
      </c>
      <c r="J1066" s="6">
        <f t="shared" si="39"/>
        <v>0</v>
      </c>
    </row>
    <row r="1067" spans="1:10" x14ac:dyDescent="0.35">
      <c r="A1067" t="s">
        <v>705</v>
      </c>
      <c r="B1067" t="s">
        <v>718</v>
      </c>
      <c r="C1067" t="s">
        <v>720</v>
      </c>
      <c r="G1067" t="str">
        <f t="shared" si="38"/>
        <v>xlsx</v>
      </c>
      <c r="H1067" s="5" t="str">
        <f>IFERROR(IF(B1067="FoPITY",INDEX(Customizations!$C$2:$C$19,MATCH(Sheet1!C1067,Customizations!$B$2:$B$19,0),1),INDEX(About!C:C,MATCH(Sheet1!B1067,About!B:B,0),1)),"")</f>
        <v>Domestic Leontief Inverse Matrix.xlsx</v>
      </c>
      <c r="I1067" s="5">
        <f>IFERROR(INDEX(About!$D:$D,MATCH(Sheet1!H1067,About!$C:$C,0),1),0)</f>
        <v>0</v>
      </c>
      <c r="J1067" s="6">
        <f t="shared" si="39"/>
        <v>0</v>
      </c>
    </row>
    <row r="1068" spans="1:10" x14ac:dyDescent="0.35">
      <c r="A1068" t="s">
        <v>705</v>
      </c>
      <c r="B1068" t="s">
        <v>915</v>
      </c>
      <c r="C1068" t="s">
        <v>916</v>
      </c>
      <c r="G1068" t="str">
        <f t="shared" si="38"/>
        <v>xlsx</v>
      </c>
      <c r="H1068" s="5" t="str">
        <f>IFERROR(IF(B1068="FoPITY",INDEX(Customizations!$C$2:$C$19,MATCH(Sheet1!C1068,Customizations!$B$2:$B$19,0),1),INDEX(About!C:C,MATCH(Sheet1!B1068,About!B:B,0),1)),"")</f>
        <v>Demographics of Employees by ISIC Code.xlsx</v>
      </c>
      <c r="I1068" s="5">
        <f>IFERROR(INDEX(About!$D:$D,MATCH(Sheet1!H1068,About!$C:$C,0),1),0)</f>
        <v>0</v>
      </c>
      <c r="J1068" s="6">
        <f t="shared" si="39"/>
        <v>0</v>
      </c>
    </row>
    <row r="1069" spans="1:10" x14ac:dyDescent="0.35">
      <c r="A1069" t="s">
        <v>705</v>
      </c>
      <c r="B1069" t="s">
        <v>915</v>
      </c>
      <c r="C1069" t="s">
        <v>917</v>
      </c>
      <c r="G1069" t="str">
        <f t="shared" si="38"/>
        <v>.csv</v>
      </c>
      <c r="H1069" s="5" t="str">
        <f>IFERROR(IF(B1069="FoPITY",INDEX(Customizations!$C$2:$C$19,MATCH(Sheet1!C1069,Customizations!$B$2:$B$19,0),1),INDEX(About!C:C,MATCH(Sheet1!B1069,About!B:B,0),1)),"")</f>
        <v>Demographics of Employees by ISIC Code.xlsx</v>
      </c>
      <c r="I1069" s="5">
        <f>IFERROR(INDEX(About!$D:$D,MATCH(Sheet1!H1069,About!$C:$C,0),1),0)</f>
        <v>0</v>
      </c>
      <c r="J1069" s="6">
        <f t="shared" si="39"/>
        <v>0</v>
      </c>
    </row>
    <row r="1070" spans="1:10" x14ac:dyDescent="0.35">
      <c r="A1070" t="s">
        <v>705</v>
      </c>
      <c r="B1070" t="s">
        <v>915</v>
      </c>
      <c r="C1070" t="s">
        <v>918</v>
      </c>
      <c r="G1070" t="str">
        <f t="shared" si="38"/>
        <v>.csv</v>
      </c>
      <c r="H1070" s="5" t="str">
        <f>IFERROR(IF(B1070="FoPITY",INDEX(Customizations!$C$2:$C$19,MATCH(Sheet1!C1070,Customizations!$B$2:$B$19,0),1),INDEX(About!C:C,MATCH(Sheet1!B1070,About!B:B,0),1)),"")</f>
        <v>Demographics of Employees by ISIC Code.xlsx</v>
      </c>
      <c r="I1070" s="5">
        <f>IFERROR(INDEX(About!$D:$D,MATCH(Sheet1!H1070,About!$C:$C,0),1),0)</f>
        <v>0</v>
      </c>
      <c r="J1070" s="6">
        <f t="shared" si="39"/>
        <v>0</v>
      </c>
    </row>
    <row r="1071" spans="1:10" x14ac:dyDescent="0.35">
      <c r="A1071" t="s">
        <v>705</v>
      </c>
      <c r="B1071" t="s">
        <v>915</v>
      </c>
      <c r="C1071" t="s">
        <v>919</v>
      </c>
      <c r="G1071" t="str">
        <f t="shared" si="38"/>
        <v>.csv</v>
      </c>
      <c r="H1071" s="5" t="str">
        <f>IFERROR(IF(B1071="FoPITY",INDEX(Customizations!$C$2:$C$19,MATCH(Sheet1!C1071,Customizations!$B$2:$B$19,0),1),INDEX(About!C:C,MATCH(Sheet1!B1071,About!B:B,0),1)),"")</f>
        <v>Demographics of Employees by ISIC Code.xlsx</v>
      </c>
      <c r="I1071" s="5">
        <f>IFERROR(INDEX(About!$D:$D,MATCH(Sheet1!H1071,About!$C:$C,0),1),0)</f>
        <v>0</v>
      </c>
      <c r="J1071" s="6">
        <f t="shared" si="39"/>
        <v>0</v>
      </c>
    </row>
    <row r="1072" spans="1:10" x14ac:dyDescent="0.35">
      <c r="A1072" t="s">
        <v>705</v>
      </c>
      <c r="B1072" t="s">
        <v>915</v>
      </c>
      <c r="C1072" t="s">
        <v>920</v>
      </c>
      <c r="G1072" t="str">
        <f t="shared" si="38"/>
        <v>.csv</v>
      </c>
      <c r="H1072" s="5" t="str">
        <f>IFERROR(IF(B1072="FoPITY",INDEX(Customizations!$C$2:$C$19,MATCH(Sheet1!C1072,Customizations!$B$2:$B$19,0),1),INDEX(About!C:C,MATCH(Sheet1!B1072,About!B:B,0),1)),"")</f>
        <v>Demographics of Employees by ISIC Code.xlsx</v>
      </c>
      <c r="I1072" s="5">
        <f>IFERROR(INDEX(About!$D:$D,MATCH(Sheet1!H1072,About!$C:$C,0),1),0)</f>
        <v>0</v>
      </c>
      <c r="J1072" s="6">
        <f t="shared" si="39"/>
        <v>0</v>
      </c>
    </row>
    <row r="1073" spans="1:10" x14ac:dyDescent="0.35">
      <c r="A1073" t="s">
        <v>705</v>
      </c>
      <c r="B1073" t="s">
        <v>915</v>
      </c>
      <c r="C1073" t="s">
        <v>921</v>
      </c>
      <c r="G1073" t="str">
        <f t="shared" si="38"/>
        <v>.csv</v>
      </c>
      <c r="H1073" s="5" t="str">
        <f>IFERROR(IF(B1073="FoPITY",INDEX(Customizations!$C$2:$C$19,MATCH(Sheet1!C1073,Customizations!$B$2:$B$19,0),1),INDEX(About!C:C,MATCH(Sheet1!B1073,About!B:B,0),1)),"")</f>
        <v>Demographics of Employees by ISIC Code.xlsx</v>
      </c>
      <c r="I1073" s="5">
        <f>IFERROR(INDEX(About!$D:$D,MATCH(Sheet1!H1073,About!$C:$C,0),1),0)</f>
        <v>0</v>
      </c>
      <c r="J1073" s="6">
        <f t="shared" si="39"/>
        <v>0</v>
      </c>
    </row>
    <row r="1074" spans="1:10" x14ac:dyDescent="0.35">
      <c r="A1074" t="s">
        <v>705</v>
      </c>
      <c r="B1074" t="s">
        <v>915</v>
      </c>
      <c r="C1074" t="s">
        <v>922</v>
      </c>
      <c r="G1074" t="str">
        <f t="shared" si="38"/>
        <v>.csv</v>
      </c>
      <c r="H1074" s="5" t="str">
        <f>IFERROR(IF(B1074="FoPITY",INDEX(Customizations!$C$2:$C$19,MATCH(Sheet1!C1074,Customizations!$B$2:$B$19,0),1),INDEX(About!C:C,MATCH(Sheet1!B1074,About!B:B,0),1)),"")</f>
        <v>Demographics of Employees by ISIC Code.xlsx</v>
      </c>
      <c r="I1074" s="5">
        <f>IFERROR(INDEX(About!$D:$D,MATCH(Sheet1!H1074,About!$C:$C,0),1),0)</f>
        <v>0</v>
      </c>
      <c r="J1074" s="6">
        <f t="shared" si="39"/>
        <v>0</v>
      </c>
    </row>
    <row r="1075" spans="1:10" x14ac:dyDescent="0.35">
      <c r="A1075" t="s">
        <v>705</v>
      </c>
      <c r="B1075" t="s">
        <v>915</v>
      </c>
      <c r="C1075" t="s">
        <v>923</v>
      </c>
      <c r="G1075" t="str">
        <f t="shared" si="38"/>
        <v>.csv</v>
      </c>
      <c r="H1075" s="5" t="str">
        <f>IFERROR(IF(B1075="FoPITY",INDEX(Customizations!$C$2:$C$19,MATCH(Sheet1!C1075,Customizations!$B$2:$B$19,0),1),INDEX(About!C:C,MATCH(Sheet1!B1075,About!B:B,0),1)),"")</f>
        <v>Demographics of Employees by ISIC Code.xlsx</v>
      </c>
      <c r="I1075" s="5">
        <f>IFERROR(INDEX(About!$D:$D,MATCH(Sheet1!H1075,About!$C:$C,0),1),0)</f>
        <v>0</v>
      </c>
      <c r="J1075" s="6">
        <f t="shared" si="39"/>
        <v>0</v>
      </c>
    </row>
    <row r="1076" spans="1:10" x14ac:dyDescent="0.35">
      <c r="A1076" t="s">
        <v>705</v>
      </c>
      <c r="B1076" t="s">
        <v>915</v>
      </c>
      <c r="C1076" t="s">
        <v>924</v>
      </c>
      <c r="G1076" t="str">
        <f t="shared" si="38"/>
        <v>.csv</v>
      </c>
      <c r="H1076" s="5" t="str">
        <f>IFERROR(IF(B1076="FoPITY",INDEX(Customizations!$C$2:$C$19,MATCH(Sheet1!C1076,Customizations!$B$2:$B$19,0),1),INDEX(About!C:C,MATCH(Sheet1!B1076,About!B:B,0),1)),"")</f>
        <v>Demographics of Employees by ISIC Code.xlsx</v>
      </c>
      <c r="I1076" s="5">
        <f>IFERROR(INDEX(About!$D:$D,MATCH(Sheet1!H1076,About!$C:$C,0),1),0)</f>
        <v>0</v>
      </c>
      <c r="J1076" s="6">
        <f t="shared" si="39"/>
        <v>0</v>
      </c>
    </row>
    <row r="1077" spans="1:10" x14ac:dyDescent="0.35">
      <c r="A1077" t="s">
        <v>705</v>
      </c>
      <c r="B1077" t="s">
        <v>915</v>
      </c>
      <c r="C1077" t="s">
        <v>925</v>
      </c>
      <c r="G1077" t="str">
        <f t="shared" si="38"/>
        <v>.csv</v>
      </c>
      <c r="H1077" s="5" t="str">
        <f>IFERROR(IF(B1077="FoPITY",INDEX(Customizations!$C$2:$C$19,MATCH(Sheet1!C1077,Customizations!$B$2:$B$19,0),1),INDEX(About!C:C,MATCH(Sheet1!B1077,About!B:B,0),1)),"")</f>
        <v>Demographics of Employees by ISIC Code.xlsx</v>
      </c>
      <c r="I1077" s="5">
        <f>IFERROR(INDEX(About!$D:$D,MATCH(Sheet1!H1077,About!$C:$C,0),1),0)</f>
        <v>0</v>
      </c>
      <c r="J1077" s="6">
        <f t="shared" si="39"/>
        <v>0</v>
      </c>
    </row>
    <row r="1078" spans="1:10" x14ac:dyDescent="0.35">
      <c r="A1078" t="s">
        <v>705</v>
      </c>
      <c r="B1078" t="s">
        <v>915</v>
      </c>
      <c r="C1078" t="s">
        <v>926</v>
      </c>
      <c r="G1078" t="str">
        <f t="shared" si="38"/>
        <v>.csv</v>
      </c>
      <c r="H1078" s="5" t="str">
        <f>IFERROR(IF(B1078="FoPITY",INDEX(Customizations!$C$2:$C$19,MATCH(Sheet1!C1078,Customizations!$B$2:$B$19,0),1),INDEX(About!C:C,MATCH(Sheet1!B1078,About!B:B,0),1)),"")</f>
        <v>Demographics of Employees by ISIC Code.xlsx</v>
      </c>
      <c r="I1078" s="5">
        <f>IFERROR(INDEX(About!$D:$D,MATCH(Sheet1!H1078,About!$C:$C,0),1),0)</f>
        <v>0</v>
      </c>
      <c r="J1078" s="6">
        <f t="shared" si="39"/>
        <v>0</v>
      </c>
    </row>
    <row r="1079" spans="1:10" x14ac:dyDescent="0.35">
      <c r="A1079" t="s">
        <v>705</v>
      </c>
      <c r="B1079" t="s">
        <v>915</v>
      </c>
      <c r="C1079" t="s">
        <v>927</v>
      </c>
      <c r="G1079" t="str">
        <f t="shared" ref="G1079:G1142" si="40">RIGHT(C1079,"4")</f>
        <v>.csv</v>
      </c>
      <c r="H1079" s="5" t="str">
        <f>IFERROR(IF(B1079="FoPITY",INDEX(Customizations!$C$2:$C$19,MATCH(Sheet1!C1079,Customizations!$B$2:$B$19,0),1),INDEX(About!C:C,MATCH(Sheet1!B1079,About!B:B,0),1)),"")</f>
        <v>Demographics of Employees by ISIC Code.xlsx</v>
      </c>
      <c r="I1079" s="5">
        <f>IFERROR(INDEX(About!$D:$D,MATCH(Sheet1!H1079,About!$C:$C,0),1),0)</f>
        <v>0</v>
      </c>
      <c r="J1079" s="6">
        <f t="shared" ref="J1079:J1142" si="41">IF(G1079=".csv",1,0)*I1079</f>
        <v>0</v>
      </c>
    </row>
    <row r="1080" spans="1:10" x14ac:dyDescent="0.35">
      <c r="A1080" t="s">
        <v>705</v>
      </c>
      <c r="B1080" t="s">
        <v>915</v>
      </c>
      <c r="C1080" t="s">
        <v>928</v>
      </c>
      <c r="G1080" t="str">
        <f t="shared" si="40"/>
        <v>.csv</v>
      </c>
      <c r="H1080" s="5" t="str">
        <f>IFERROR(IF(B1080="FoPITY",INDEX(Customizations!$C$2:$C$19,MATCH(Sheet1!C1080,Customizations!$B$2:$B$19,0),1),INDEX(About!C:C,MATCH(Sheet1!B1080,About!B:B,0),1)),"")</f>
        <v>Demographics of Employees by ISIC Code.xlsx</v>
      </c>
      <c r="I1080" s="5">
        <f>IFERROR(INDEX(About!$D:$D,MATCH(Sheet1!H1080,About!$C:$C,0),1),0)</f>
        <v>0</v>
      </c>
      <c r="J1080" s="6">
        <f t="shared" si="41"/>
        <v>0</v>
      </c>
    </row>
    <row r="1081" spans="1:10" x14ac:dyDescent="0.35">
      <c r="A1081" t="s">
        <v>705</v>
      </c>
      <c r="B1081" t="s">
        <v>915</v>
      </c>
      <c r="C1081" t="s">
        <v>929</v>
      </c>
      <c r="G1081" t="str">
        <f t="shared" si="40"/>
        <v>.csv</v>
      </c>
      <c r="H1081" s="5" t="str">
        <f>IFERROR(IF(B1081="FoPITY",INDEX(Customizations!$C$2:$C$19,MATCH(Sheet1!C1081,Customizations!$B$2:$B$19,0),1),INDEX(About!C:C,MATCH(Sheet1!B1081,About!B:B,0),1)),"")</f>
        <v>Demographics of Employees by ISIC Code.xlsx</v>
      </c>
      <c r="I1081" s="5">
        <f>IFERROR(INDEX(About!$D:$D,MATCH(Sheet1!H1081,About!$C:$C,0),1),0)</f>
        <v>0</v>
      </c>
      <c r="J1081" s="6">
        <f t="shared" si="41"/>
        <v>0</v>
      </c>
    </row>
    <row r="1082" spans="1:10" x14ac:dyDescent="0.35">
      <c r="A1082" t="s">
        <v>705</v>
      </c>
      <c r="B1082" t="s">
        <v>915</v>
      </c>
      <c r="C1082" t="s">
        <v>930</v>
      </c>
      <c r="G1082" t="str">
        <f t="shared" si="40"/>
        <v>.csv</v>
      </c>
      <c r="H1082" s="5" t="str">
        <f>IFERROR(IF(B1082="FoPITY",INDEX(Customizations!$C$2:$C$19,MATCH(Sheet1!C1082,Customizations!$B$2:$B$19,0),1),INDEX(About!C:C,MATCH(Sheet1!B1082,About!B:B,0),1)),"")</f>
        <v>Demographics of Employees by ISIC Code.xlsx</v>
      </c>
      <c r="I1082" s="5">
        <f>IFERROR(INDEX(About!$D:$D,MATCH(Sheet1!H1082,About!$C:$C,0),1),0)</f>
        <v>0</v>
      </c>
      <c r="J1082" s="6">
        <f t="shared" si="41"/>
        <v>0</v>
      </c>
    </row>
    <row r="1083" spans="1:10" x14ac:dyDescent="0.35">
      <c r="A1083" t="s">
        <v>705</v>
      </c>
      <c r="B1083" t="s">
        <v>915</v>
      </c>
      <c r="C1083" t="s">
        <v>931</v>
      </c>
      <c r="G1083" t="str">
        <f t="shared" si="40"/>
        <v>.csv</v>
      </c>
      <c r="H1083" s="5" t="str">
        <f>IFERROR(IF(B1083="FoPITY",INDEX(Customizations!$C$2:$C$19,MATCH(Sheet1!C1083,Customizations!$B$2:$B$19,0),1),INDEX(About!C:C,MATCH(Sheet1!B1083,About!B:B,0),1)),"")</f>
        <v>Demographics of Employees by ISIC Code.xlsx</v>
      </c>
      <c r="I1083" s="5">
        <f>IFERROR(INDEX(About!$D:$D,MATCH(Sheet1!H1083,About!$C:$C,0),1),0)</f>
        <v>0</v>
      </c>
      <c r="J1083" s="6">
        <f t="shared" si="41"/>
        <v>0</v>
      </c>
    </row>
    <row r="1084" spans="1:10" x14ac:dyDescent="0.35">
      <c r="A1084" t="s">
        <v>705</v>
      </c>
      <c r="B1084" t="s">
        <v>815</v>
      </c>
      <c r="C1084" t="s">
        <v>816</v>
      </c>
      <c r="G1084" t="str">
        <f t="shared" si="40"/>
        <v>.csv</v>
      </c>
      <c r="H1084" s="5" t="str">
        <f>IFERROR(IF(B1084="FoPITY",INDEX(Customizations!$C$2:$C$19,MATCH(Sheet1!C1084,Customizations!$B$2:$B$19,0),1),INDEX(About!C:C,MATCH(Sheet1!B1084,About!B:B,0),1)),"")</f>
        <v>Frac of Goods Purchased by Entity and ISIC Code.xlsx</v>
      </c>
      <c r="I1084" s="5">
        <f>IFERROR(INDEX(About!$D:$D,MATCH(Sheet1!H1084,About!$C:$C,0),1),0)</f>
        <v>0</v>
      </c>
      <c r="J1084" s="6">
        <f t="shared" si="41"/>
        <v>0</v>
      </c>
    </row>
    <row r="1085" spans="1:10" x14ac:dyDescent="0.35">
      <c r="A1085" t="s">
        <v>705</v>
      </c>
      <c r="B1085" t="s">
        <v>815</v>
      </c>
      <c r="C1085" t="s">
        <v>817</v>
      </c>
      <c r="G1085" t="str">
        <f t="shared" si="40"/>
        <v>.csv</v>
      </c>
      <c r="H1085" s="5" t="str">
        <f>IFERROR(IF(B1085="FoPITY",INDEX(Customizations!$C$2:$C$19,MATCH(Sheet1!C1085,Customizations!$B$2:$B$19,0),1),INDEX(About!C:C,MATCH(Sheet1!B1085,About!B:B,0),1)),"")</f>
        <v>Frac of Goods Purchased by Entity and ISIC Code.xlsx</v>
      </c>
      <c r="I1085" s="5">
        <f>IFERROR(INDEX(About!$D:$D,MATCH(Sheet1!H1085,About!$C:$C,0),1),0)</f>
        <v>0</v>
      </c>
      <c r="J1085" s="6">
        <f t="shared" si="41"/>
        <v>0</v>
      </c>
    </row>
    <row r="1086" spans="1:10" x14ac:dyDescent="0.35">
      <c r="A1086" t="s">
        <v>705</v>
      </c>
      <c r="B1086" t="s">
        <v>815</v>
      </c>
      <c r="C1086" t="s">
        <v>842</v>
      </c>
      <c r="G1086" t="str">
        <f t="shared" si="40"/>
        <v>xlsx</v>
      </c>
      <c r="H1086" s="5" t="str">
        <f>IFERROR(IF(B1086="FoPITY",INDEX(Customizations!$C$2:$C$19,MATCH(Sheet1!C1086,Customizations!$B$2:$B$19,0),1),INDEX(About!C:C,MATCH(Sheet1!B1086,About!B:B,0),1)),"")</f>
        <v>Frac of Goods Purchased by Entity and ISIC Code.xlsx</v>
      </c>
      <c r="I1086" s="5">
        <f>IFERROR(INDEX(About!$D:$D,MATCH(Sheet1!H1086,About!$C:$C,0),1),0)</f>
        <v>0</v>
      </c>
      <c r="J1086" s="6">
        <f t="shared" si="41"/>
        <v>0</v>
      </c>
    </row>
    <row r="1087" spans="1:10" x14ac:dyDescent="0.35">
      <c r="A1087" t="s">
        <v>705</v>
      </c>
      <c r="B1087" t="s">
        <v>884</v>
      </c>
      <c r="C1087" t="s">
        <v>885</v>
      </c>
      <c r="G1087" t="str">
        <f t="shared" si="40"/>
        <v>.csv</v>
      </c>
      <c r="H1087" s="5" t="str">
        <f>IFERROR(IF(B1087="FoPITY",INDEX(Customizations!$C$2:$C$19,MATCH(Sheet1!C1087,Customizations!$B$2:$B$19,0),1),INDEX(About!C:C,MATCH(Sheet1!B1087,About!B:B,0),1)),"")</f>
        <v>Fuel to Producing ISIC Code Map.xlsx</v>
      </c>
      <c r="I1087" s="5">
        <f>IFERROR(INDEX(About!$D:$D,MATCH(Sheet1!H1087,About!$C:$C,0),1),0)</f>
        <v>0</v>
      </c>
      <c r="J1087" s="6">
        <f t="shared" si="41"/>
        <v>0</v>
      </c>
    </row>
    <row r="1088" spans="1:10" x14ac:dyDescent="0.35">
      <c r="A1088" t="s">
        <v>705</v>
      </c>
      <c r="B1088" t="s">
        <v>884</v>
      </c>
      <c r="C1088" t="s">
        <v>886</v>
      </c>
      <c r="G1088" t="str">
        <f t="shared" si="40"/>
        <v>xlsx</v>
      </c>
      <c r="H1088" s="5" t="str">
        <f>IFERROR(IF(B1088="FoPITY",INDEX(Customizations!$C$2:$C$19,MATCH(Sheet1!C1088,Customizations!$B$2:$B$19,0),1),INDEX(About!C:C,MATCH(Sheet1!B1088,About!B:B,0),1)),"")</f>
        <v>Fuel to Producing ISIC Code Map.xlsx</v>
      </c>
      <c r="I1088" s="5">
        <f>IFERROR(INDEX(About!$D:$D,MATCH(Sheet1!H1088,About!$C:$C,0),1),0)</f>
        <v>0</v>
      </c>
      <c r="J1088" s="6">
        <f t="shared" si="41"/>
        <v>0</v>
      </c>
    </row>
    <row r="1089" spans="1:10" x14ac:dyDescent="0.35">
      <c r="A1089" t="s">
        <v>705</v>
      </c>
      <c r="B1089" t="s">
        <v>843</v>
      </c>
      <c r="C1089" t="s">
        <v>844</v>
      </c>
      <c r="G1089" t="str">
        <f t="shared" si="40"/>
        <v>.csv</v>
      </c>
      <c r="H1089" s="5" t="str">
        <f>IFERROR(IF(B1089="FoPITY",INDEX(Customizations!$C$2:$C$19,MATCH(Sheet1!C1089,Customizations!$B$2:$B$19,0),1),INDEX(About!C:C,MATCH(Sheet1!B1089,About!B:B,0),1)),"")</f>
        <v>Govt and Hhld Expenditures by ISIC Code.xlsx</v>
      </c>
      <c r="I1089" s="5">
        <f>IFERROR(INDEX(About!$D:$D,MATCH(Sheet1!H1089,About!$C:$C,0),1),0)</f>
        <v>0</v>
      </c>
      <c r="J1089" s="6">
        <f t="shared" si="41"/>
        <v>0</v>
      </c>
    </row>
    <row r="1090" spans="1:10" x14ac:dyDescent="0.35">
      <c r="A1090" t="s">
        <v>705</v>
      </c>
      <c r="B1090" t="s">
        <v>843</v>
      </c>
      <c r="C1090" t="s">
        <v>845</v>
      </c>
      <c r="G1090" t="str">
        <f t="shared" si="40"/>
        <v>.csv</v>
      </c>
      <c r="H1090" s="5" t="str">
        <f>IFERROR(IF(B1090="FoPITY",INDEX(Customizations!$C$2:$C$19,MATCH(Sheet1!C1090,Customizations!$B$2:$B$19,0),1),INDEX(About!C:C,MATCH(Sheet1!B1090,About!B:B,0),1)),"")</f>
        <v>Govt and Hhld Expenditures by ISIC Code.xlsx</v>
      </c>
      <c r="I1090" s="5">
        <f>IFERROR(INDEX(About!$D:$D,MATCH(Sheet1!H1090,About!$C:$C,0),1),0)</f>
        <v>0</v>
      </c>
      <c r="J1090" s="6">
        <f t="shared" si="41"/>
        <v>0</v>
      </c>
    </row>
    <row r="1091" spans="1:10" x14ac:dyDescent="0.35">
      <c r="A1091" t="s">
        <v>705</v>
      </c>
      <c r="B1091" t="s">
        <v>843</v>
      </c>
      <c r="C1091" t="s">
        <v>846</v>
      </c>
      <c r="G1091" t="str">
        <f t="shared" si="40"/>
        <v>xlsx</v>
      </c>
      <c r="H1091" s="5" t="str">
        <f>IFERROR(IF(B1091="FoPITY",INDEX(Customizations!$C$2:$C$19,MATCH(Sheet1!C1091,Customizations!$B$2:$B$19,0),1),INDEX(About!C:C,MATCH(Sheet1!B1091,About!B:B,0),1)),"")</f>
        <v>Govt and Hhld Expenditures by ISIC Code.xlsx</v>
      </c>
      <c r="I1091" s="5">
        <f>IFERROR(INDEX(About!$D:$D,MATCH(Sheet1!H1091,About!$C:$C,0),1),0)</f>
        <v>0</v>
      </c>
      <c r="J1091" s="6">
        <f t="shared" si="41"/>
        <v>0</v>
      </c>
    </row>
    <row r="1092" spans="1:10" x14ac:dyDescent="0.35">
      <c r="A1092" t="s">
        <v>705</v>
      </c>
      <c r="B1092" t="s">
        <v>839</v>
      </c>
      <c r="C1092" t="s">
        <v>840</v>
      </c>
      <c r="G1092" t="str">
        <f t="shared" si="40"/>
        <v>xlsx</v>
      </c>
      <c r="H1092" s="5" t="str">
        <f>IFERROR(IF(B1092="FoPITY",INDEX(Customizations!$C$2:$C$19,MATCH(Sheet1!C1092,Customizations!$B$2:$B$19,0),1),INDEX(About!C:C,MATCH(Sheet1!B1092,About!B:B,0),1)),"")</f>
        <v>Household Savings Rate.xlsx</v>
      </c>
      <c r="I1092" s="5">
        <f>IFERROR(INDEX(About!$D:$D,MATCH(Sheet1!H1092,About!$C:$C,0),1),0)</f>
        <v>0</v>
      </c>
      <c r="J1092" s="6">
        <f t="shared" si="41"/>
        <v>0</v>
      </c>
    </row>
    <row r="1093" spans="1:10" x14ac:dyDescent="0.35">
      <c r="A1093" t="s">
        <v>705</v>
      </c>
      <c r="B1093" t="s">
        <v>839</v>
      </c>
      <c r="C1093" t="s">
        <v>841</v>
      </c>
      <c r="G1093" t="str">
        <f t="shared" si="40"/>
        <v>.csv</v>
      </c>
      <c r="H1093" s="5" t="str">
        <f>IFERROR(IF(B1093="FoPITY",INDEX(Customizations!$C$2:$C$19,MATCH(Sheet1!C1093,Customizations!$B$2:$B$19,0),1),INDEX(About!C:C,MATCH(Sheet1!B1093,About!B:B,0),1)),"")</f>
        <v>Household Savings Rate.xlsx</v>
      </c>
      <c r="I1093" s="5">
        <f>IFERROR(INDEX(About!$D:$D,MATCH(Sheet1!H1093,About!$C:$C,0),1),0)</f>
        <v>0</v>
      </c>
      <c r="J1093" s="6">
        <f t="shared" si="41"/>
        <v>0</v>
      </c>
    </row>
    <row r="1094" spans="1:10" x14ac:dyDescent="0.35">
      <c r="A1094" t="s">
        <v>705</v>
      </c>
      <c r="B1094" t="s">
        <v>744</v>
      </c>
      <c r="C1094" t="s">
        <v>745</v>
      </c>
      <c r="G1094" t="str">
        <f t="shared" si="40"/>
        <v>xlsx</v>
      </c>
      <c r="H1094" s="5" t="str">
        <f>IFERROR(IF(B1094="FoPITY",INDEX(Customizations!$C$2:$C$19,MATCH(Sheet1!C1094,Customizations!$B$2:$B$19,0),1),INDEX(About!C:C,MATCH(Sheet1!B1094,About!B:B,0),1)),"")</f>
        <v>Interest Rate on National Debt.xlsx</v>
      </c>
      <c r="I1094" s="5">
        <f>IFERROR(INDEX(About!$D:$D,MATCH(Sheet1!H1094,About!$C:$C,0),1),0)</f>
        <v>0</v>
      </c>
      <c r="J1094" s="6">
        <f t="shared" si="41"/>
        <v>0</v>
      </c>
    </row>
    <row r="1095" spans="1:10" x14ac:dyDescent="0.35">
      <c r="A1095" t="s">
        <v>705</v>
      </c>
      <c r="B1095" t="s">
        <v>744</v>
      </c>
      <c r="C1095" t="s">
        <v>746</v>
      </c>
      <c r="G1095" t="str">
        <f t="shared" si="40"/>
        <v>.csv</v>
      </c>
      <c r="H1095" s="5" t="str">
        <f>IFERROR(IF(B1095="FoPITY",INDEX(Customizations!$C$2:$C$19,MATCH(Sheet1!C1095,Customizations!$B$2:$B$19,0),1),INDEX(About!C:C,MATCH(Sheet1!B1095,About!B:B,0),1)),"")</f>
        <v>Interest Rate on National Debt.xlsx</v>
      </c>
      <c r="I1095" s="5">
        <f>IFERROR(INDEX(About!$D:$D,MATCH(Sheet1!H1095,About!$C:$C,0),1),0)</f>
        <v>0</v>
      </c>
      <c r="J1095" s="6">
        <f t="shared" si="41"/>
        <v>0</v>
      </c>
    </row>
    <row r="1096" spans="1:10" x14ac:dyDescent="0.35">
      <c r="A1096" t="s">
        <v>705</v>
      </c>
      <c r="B1096" t="s">
        <v>721</v>
      </c>
      <c r="C1096" t="s">
        <v>722</v>
      </c>
      <c r="G1096" t="str">
        <f t="shared" si="40"/>
        <v>xlsx</v>
      </c>
      <c r="H1096" s="5" t="str">
        <f>IFERROR(IF(B1096="FoPITY",INDEX(Customizations!$C$2:$C$19,MATCH(Sheet1!C1096,Customizations!$B$2:$B$19,0),1),INDEX(About!C:C,MATCH(Sheet1!B1096,About!B:B,0),1)),"")</f>
        <v>Labor Productivity Growth Rate by ISIC Code.xlsx</v>
      </c>
      <c r="I1096" s="5">
        <f>IFERROR(INDEX(About!$D:$D,MATCH(Sheet1!H1096,About!$C:$C,0),1),0)</f>
        <v>0</v>
      </c>
      <c r="J1096" s="6">
        <f t="shared" si="41"/>
        <v>0</v>
      </c>
    </row>
    <row r="1097" spans="1:10" x14ac:dyDescent="0.35">
      <c r="A1097" t="s">
        <v>705</v>
      </c>
      <c r="B1097" t="s">
        <v>721</v>
      </c>
      <c r="C1097" t="s">
        <v>723</v>
      </c>
      <c r="G1097" t="str">
        <f t="shared" si="40"/>
        <v>.csv</v>
      </c>
      <c r="H1097" s="5" t="str">
        <f>IFERROR(IF(B1097="FoPITY",INDEX(Customizations!$C$2:$C$19,MATCH(Sheet1!C1097,Customizations!$B$2:$B$19,0),1),INDEX(About!C:C,MATCH(Sheet1!B1097,About!B:B,0),1)),"")</f>
        <v>Labor Productivity Growth Rate by ISIC Code.xlsx</v>
      </c>
      <c r="I1097" s="5">
        <f>IFERROR(INDEX(About!$D:$D,MATCH(Sheet1!H1097,About!$C:$C,0),1),0)</f>
        <v>0</v>
      </c>
      <c r="J1097" s="6">
        <f t="shared" si="41"/>
        <v>0</v>
      </c>
    </row>
    <row r="1098" spans="1:10" x14ac:dyDescent="0.35">
      <c r="A1098" t="s">
        <v>705</v>
      </c>
      <c r="B1098" t="s">
        <v>747</v>
      </c>
      <c r="C1098" t="s">
        <v>748</v>
      </c>
      <c r="G1098" t="str">
        <f t="shared" si="40"/>
        <v>xlsx</v>
      </c>
      <c r="H1098" s="5" t="str">
        <f>IFERROR(IF(B1098="FoPITY",INDEX(Customizations!$C$2:$C$19,MATCH(Sheet1!C1098,Customizations!$B$2:$B$19,0),1),INDEX(About!C:C,MATCH(Sheet1!B1098,About!B:B,0),1)),"")</f>
        <v>Perc of National Debt Held by Entity.xlsx</v>
      </c>
      <c r="I1098" s="5">
        <f>IFERROR(INDEX(About!$D:$D,MATCH(Sheet1!H1098,About!$C:$C,0),1),0)</f>
        <v>0</v>
      </c>
      <c r="J1098" s="6">
        <f t="shared" si="41"/>
        <v>0</v>
      </c>
    </row>
    <row r="1099" spans="1:10" x14ac:dyDescent="0.35">
      <c r="A1099" t="s">
        <v>705</v>
      </c>
      <c r="B1099" t="s">
        <v>747</v>
      </c>
      <c r="C1099" t="s">
        <v>749</v>
      </c>
      <c r="G1099" t="str">
        <f t="shared" si="40"/>
        <v>.csv</v>
      </c>
      <c r="H1099" s="5" t="str">
        <f>IFERROR(IF(B1099="FoPITY",INDEX(Customizations!$C$2:$C$19,MATCH(Sheet1!C1099,Customizations!$B$2:$B$19,0),1),INDEX(About!C:C,MATCH(Sheet1!B1099,About!B:B,0),1)),"")</f>
        <v>Perc of National Debt Held by Entity.xlsx</v>
      </c>
      <c r="I1099" s="5">
        <f>IFERROR(INDEX(About!$D:$D,MATCH(Sheet1!H1099,About!$C:$C,0),1),0)</f>
        <v>0</v>
      </c>
      <c r="J1099" s="6">
        <f t="shared" si="41"/>
        <v>0</v>
      </c>
    </row>
    <row r="1100" spans="1:10" x14ac:dyDescent="0.35">
      <c r="A1100" t="s">
        <v>705</v>
      </c>
      <c r="B1100" t="s">
        <v>932</v>
      </c>
      <c r="C1100" t="s">
        <v>933</v>
      </c>
      <c r="G1100" t="str">
        <f t="shared" si="40"/>
        <v>.csv</v>
      </c>
      <c r="H1100" s="5" t="str">
        <f>IFERROR(IF(B1100="FoPITY",INDEX(Customizations!$C$2:$C$19,MATCH(Sheet1!C1100,Customizations!$B$2:$B$19,0),1),INDEX(About!C:C,MATCH(Sheet1!B1100,About!B:B,0),1)),"")</f>
        <v>Total Leontief Inverse Matrix.xlsx</v>
      </c>
      <c r="I1100" s="5">
        <f>IFERROR(INDEX(About!$D:$D,MATCH(Sheet1!H1100,About!$C:$C,0),1),0)</f>
        <v>0</v>
      </c>
      <c r="J1100" s="6">
        <f t="shared" si="41"/>
        <v>0</v>
      </c>
    </row>
    <row r="1101" spans="1:10" x14ac:dyDescent="0.35">
      <c r="A1101" t="s">
        <v>705</v>
      </c>
      <c r="B1101" t="s">
        <v>932</v>
      </c>
      <c r="C1101" t="s">
        <v>934</v>
      </c>
      <c r="G1101" t="str">
        <f t="shared" si="40"/>
        <v>xlsx</v>
      </c>
      <c r="H1101" s="5" t="str">
        <f>IFERROR(IF(B1101="FoPITY",INDEX(Customizations!$C$2:$C$19,MATCH(Sheet1!C1101,Customizations!$B$2:$B$19,0),1),INDEX(About!C:C,MATCH(Sheet1!B1101,About!B:B,0),1)),"")</f>
        <v>Total Leontief Inverse Matrix.xlsx</v>
      </c>
      <c r="I1101" s="5">
        <f>IFERROR(INDEX(About!$D:$D,MATCH(Sheet1!H1101,About!$C:$C,0),1),0)</f>
        <v>0</v>
      </c>
      <c r="J1101" s="6">
        <f t="shared" si="41"/>
        <v>0</v>
      </c>
    </row>
    <row r="1102" spans="1:10" x14ac:dyDescent="0.35">
      <c r="A1102" t="s">
        <v>705</v>
      </c>
      <c r="B1102" t="s">
        <v>724</v>
      </c>
      <c r="C1102" t="s">
        <v>725</v>
      </c>
      <c r="G1102" t="str">
        <f t="shared" si="40"/>
        <v>xlsx</v>
      </c>
      <c r="H1102" s="5" t="str">
        <f>IFERROR(IF(B1102="FoPITY",INDEX(Customizations!$C$2:$C$19,MATCH(Sheet1!C1102,Customizations!$B$2:$B$19,0),1),INDEX(About!C:C,MATCH(Sheet1!B1102,About!B:B,0),1)),"")</f>
        <v>Union Representation Perc by ISIC Code.xlsx</v>
      </c>
      <c r="I1102" s="5">
        <f>IFERROR(INDEX(About!$D:$D,MATCH(Sheet1!H1102,About!$C:$C,0),1),0)</f>
        <v>0</v>
      </c>
      <c r="J1102" s="6">
        <f t="shared" si="41"/>
        <v>0</v>
      </c>
    </row>
    <row r="1103" spans="1:10" x14ac:dyDescent="0.35">
      <c r="A1103" t="s">
        <v>705</v>
      </c>
      <c r="B1103" t="s">
        <v>724</v>
      </c>
      <c r="C1103" t="s">
        <v>726</v>
      </c>
      <c r="G1103" t="str">
        <f t="shared" si="40"/>
        <v>.csv</v>
      </c>
      <c r="H1103" s="5" t="str">
        <f>IFERROR(IF(B1103="FoPITY",INDEX(Customizations!$C$2:$C$19,MATCH(Sheet1!C1103,Customizations!$B$2:$B$19,0),1),INDEX(About!C:C,MATCH(Sheet1!B1103,About!B:B,0),1)),"")</f>
        <v>Union Representation Perc by ISIC Code.xlsx</v>
      </c>
      <c r="I1103" s="5">
        <f>IFERROR(INDEX(About!$D:$D,MATCH(Sheet1!H1103,About!$C:$C,0),1),0)</f>
        <v>0</v>
      </c>
      <c r="J1103" s="6">
        <f t="shared" si="41"/>
        <v>0</v>
      </c>
    </row>
    <row r="1104" spans="1:10" x14ac:dyDescent="0.35">
      <c r="A1104" t="s">
        <v>705</v>
      </c>
      <c r="B1104" t="s">
        <v>956</v>
      </c>
      <c r="C1104" t="s">
        <v>957</v>
      </c>
      <c r="G1104" t="str">
        <f t="shared" si="40"/>
        <v>xlsx</v>
      </c>
      <c r="H1104" s="5" t="str">
        <f>IFERROR(IF(B1104="FoPITY",INDEX(Customizations!$C$2:$C$19,MATCH(Sheet1!C1104,Customizations!$B$2:$B$19,0),1),INDEX(About!C:C,MATCH(Sheet1!B1104,About!B:B,0),1)),"")</f>
        <v>VAT or Sales Tax Rate.xlsx</v>
      </c>
      <c r="I1104" s="5">
        <f>IFERROR(INDEX(About!$D:$D,MATCH(Sheet1!H1104,About!$C:$C,0),1),0)</f>
        <v>0</v>
      </c>
      <c r="J1104" s="6">
        <f t="shared" si="41"/>
        <v>0</v>
      </c>
    </row>
    <row r="1105" spans="1:10" x14ac:dyDescent="0.35">
      <c r="A1105" t="s">
        <v>705</v>
      </c>
      <c r="B1105" t="s">
        <v>956</v>
      </c>
      <c r="C1105" t="s">
        <v>958</v>
      </c>
      <c r="G1105" t="str">
        <f t="shared" si="40"/>
        <v>.csv</v>
      </c>
      <c r="H1105" s="5" t="str">
        <f>IFERROR(IF(B1105="FoPITY",INDEX(Customizations!$C$2:$C$19,MATCH(Sheet1!C1105,Customizations!$B$2:$B$19,0),1),INDEX(About!C:C,MATCH(Sheet1!B1105,About!B:B,0),1)),"")</f>
        <v>VAT or Sales Tax Rate.xlsx</v>
      </c>
      <c r="I1105" s="5">
        <f>IFERROR(INDEX(About!$D:$D,MATCH(Sheet1!H1105,About!$C:$C,0),1),0)</f>
        <v>0</v>
      </c>
      <c r="J1105" s="6">
        <f t="shared" si="41"/>
        <v>0</v>
      </c>
    </row>
    <row r="1106" spans="1:10" x14ac:dyDescent="0.35">
      <c r="A1106" t="s">
        <v>705</v>
      </c>
      <c r="B1106" t="s">
        <v>257</v>
      </c>
      <c r="C1106" t="s">
        <v>258</v>
      </c>
      <c r="G1106" t="str">
        <f t="shared" si="40"/>
        <v>.csv</v>
      </c>
      <c r="H1106" s="5" t="str">
        <f>IFERROR(IF(B1106="FoPITY",INDEX(Customizations!$C$2:$C$19,MATCH(Sheet1!C1106,Customizations!$B$2:$B$19,0),1),INDEX(About!C:C,MATCH(Sheet1!B1106,About!B:B,0),1)),"")</f>
        <v>Worker Marg Income Tax Rate.xlsx</v>
      </c>
      <c r="I1106" s="5">
        <f>IFERROR(INDEX(About!$D:$D,MATCH(Sheet1!H1106,About!$C:$C,0),1),0)</f>
        <v>0</v>
      </c>
      <c r="J1106" s="6">
        <f t="shared" si="41"/>
        <v>0</v>
      </c>
    </row>
    <row r="1107" spans="1:10" x14ac:dyDescent="0.35">
      <c r="A1107" t="s">
        <v>705</v>
      </c>
      <c r="B1107" t="s">
        <v>257</v>
      </c>
      <c r="C1107" t="s">
        <v>259</v>
      </c>
      <c r="G1107" t="str">
        <f t="shared" si="40"/>
        <v>xlsx</v>
      </c>
      <c r="H1107" s="5" t="str">
        <f>IFERROR(IF(B1107="FoPITY",INDEX(Customizations!$C$2:$C$19,MATCH(Sheet1!C1107,Customizations!$B$2:$B$19,0),1),INDEX(About!C:C,MATCH(Sheet1!B1107,About!B:B,0),1)),"")</f>
        <v>Worker Marg Income Tax Rate.xlsx</v>
      </c>
      <c r="I1107" s="5">
        <f>IFERROR(INDEX(About!$D:$D,MATCH(Sheet1!H1107,About!$C:$C,0),1),0)</f>
        <v>0</v>
      </c>
      <c r="J1107" s="6">
        <f t="shared" si="41"/>
        <v>0</v>
      </c>
    </row>
    <row r="1108" spans="1:10" x14ac:dyDescent="0.35">
      <c r="A1108" t="s">
        <v>260</v>
      </c>
      <c r="B1108" t="s">
        <v>261</v>
      </c>
      <c r="C1108" t="s">
        <v>262</v>
      </c>
      <c r="G1108" t="str">
        <f t="shared" si="40"/>
        <v>xlsx</v>
      </c>
      <c r="H1108" s="5" t="str">
        <f>IFERROR(IF(B1108="FoPITY",INDEX(Customizations!$C$2:$C$19,MATCH(Sheet1!C1108,Customizations!$B$2:$B$19,0),1),INDEX(About!C:C,MATCH(Sheet1!B1108,About!B:B,0),1)),"")</f>
        <v>Annual Ongoing Cost of Land Use Pol per Unit Area.xlsx</v>
      </c>
      <c r="I1108" s="5">
        <f>IFERROR(INDEX(About!$D:$D,MATCH(Sheet1!H1108,About!$C:$C,0),1),0)</f>
        <v>0</v>
      </c>
      <c r="J1108" s="6">
        <f t="shared" si="41"/>
        <v>0</v>
      </c>
    </row>
    <row r="1109" spans="1:10" x14ac:dyDescent="0.35">
      <c r="A1109" t="s">
        <v>260</v>
      </c>
      <c r="B1109" t="s">
        <v>261</v>
      </c>
      <c r="C1109" t="s">
        <v>263</v>
      </c>
      <c r="G1109" t="str">
        <f t="shared" si="40"/>
        <v>.csv</v>
      </c>
      <c r="H1109" s="5" t="str">
        <f>IFERROR(IF(B1109="FoPITY",INDEX(Customizations!$C$2:$C$19,MATCH(Sheet1!C1109,Customizations!$B$2:$B$19,0),1),INDEX(About!C:C,MATCH(Sheet1!B1109,About!B:B,0),1)),"")</f>
        <v>Annual Ongoing Cost of Land Use Pol per Unit Area.xlsx</v>
      </c>
      <c r="I1109" s="5">
        <f>IFERROR(INDEX(About!$D:$D,MATCH(Sheet1!H1109,About!$C:$C,0),1),0)</f>
        <v>0</v>
      </c>
      <c r="J1109" s="6">
        <f t="shared" si="41"/>
        <v>0</v>
      </c>
    </row>
    <row r="1110" spans="1:10" x14ac:dyDescent="0.35">
      <c r="A1110" t="s">
        <v>260</v>
      </c>
      <c r="B1110" t="s">
        <v>264</v>
      </c>
      <c r="C1110" t="s">
        <v>265</v>
      </c>
      <c r="G1110" t="str">
        <f t="shared" si="40"/>
        <v>xlsx</v>
      </c>
      <c r="H1110" s="5" t="str">
        <f>IFERROR(IF(B1110="FoPITY",INDEX(Customizations!$C$2:$C$19,MATCH(Sheet1!C1110,Customizations!$B$2:$B$19,0),1),INDEX(About!C:C,MATCH(Sheet1!B1110,About!B:B,0),1)),"")</f>
        <v>BAU LULUCF Anthro Pollutant Emis.xlsx</v>
      </c>
      <c r="I1110" s="5">
        <f>IFERROR(INDEX(About!$D:$D,MATCH(Sheet1!H1110,About!$C:$C,0),1),0)</f>
        <v>0</v>
      </c>
      <c r="J1110" s="6">
        <f t="shared" si="41"/>
        <v>0</v>
      </c>
    </row>
    <row r="1111" spans="1:10" x14ac:dyDescent="0.35">
      <c r="A1111" t="s">
        <v>260</v>
      </c>
      <c r="B1111" t="s">
        <v>264</v>
      </c>
      <c r="C1111" t="s">
        <v>266</v>
      </c>
      <c r="G1111" t="str">
        <f t="shared" si="40"/>
        <v>.csv</v>
      </c>
      <c r="H1111" s="5" t="str">
        <f>IFERROR(IF(B1111="FoPITY",INDEX(Customizations!$C$2:$C$19,MATCH(Sheet1!C1111,Customizations!$B$2:$B$19,0),1),INDEX(About!C:C,MATCH(Sheet1!B1111,About!B:B,0),1)),"")</f>
        <v>BAU LULUCF Anthro Pollutant Emis.xlsx</v>
      </c>
      <c r="I1111" s="5">
        <f>IFERROR(INDEX(About!$D:$D,MATCH(Sheet1!H1111,About!$C:$C,0),1),0)</f>
        <v>0</v>
      </c>
      <c r="J1111" s="6">
        <f t="shared" si="41"/>
        <v>0</v>
      </c>
    </row>
    <row r="1112" spans="1:10" x14ac:dyDescent="0.35">
      <c r="A1112" t="s">
        <v>260</v>
      </c>
      <c r="B1112" t="s">
        <v>267</v>
      </c>
      <c r="C1112" t="s">
        <v>268</v>
      </c>
      <c r="G1112" t="str">
        <f t="shared" si="40"/>
        <v>.csv</v>
      </c>
      <c r="H1112" s="5" t="str">
        <f>IFERROR(IF(B1112="FoPITY",INDEX(Customizations!$C$2:$C$19,MATCH(Sheet1!C1112,Customizations!$B$2:$B$19,0),1),INDEX(About!C:C,MATCH(Sheet1!B1112,About!B:B,0),1)),"")</f>
        <v>CO2 Abated per Unit Land Area by Impr For Mgmt.xlsx</v>
      </c>
      <c r="I1112" s="5">
        <f>IFERROR(INDEX(About!$D:$D,MATCH(Sheet1!H1112,About!$C:$C,0),1),0)</f>
        <v>0</v>
      </c>
      <c r="J1112" s="6">
        <f t="shared" si="41"/>
        <v>0</v>
      </c>
    </row>
    <row r="1113" spans="1:10" x14ac:dyDescent="0.35">
      <c r="A1113" t="s">
        <v>260</v>
      </c>
      <c r="B1113" t="s">
        <v>267</v>
      </c>
      <c r="C1113" t="s">
        <v>269</v>
      </c>
      <c r="G1113" t="str">
        <f t="shared" si="40"/>
        <v>xlsx</v>
      </c>
      <c r="H1113" s="5" t="str">
        <f>IFERROR(IF(B1113="FoPITY",INDEX(Customizations!$C$2:$C$19,MATCH(Sheet1!C1113,Customizations!$B$2:$B$19,0),1),INDEX(About!C:C,MATCH(Sheet1!B1113,About!B:B,0),1)),"")</f>
        <v>CO2 Abated per Unit Land Area by Impr For Mgmt.xlsx</v>
      </c>
      <c r="I1113" s="5">
        <f>IFERROR(INDEX(About!$D:$D,MATCH(Sheet1!H1113,About!$C:$C,0),1),0)</f>
        <v>0</v>
      </c>
      <c r="J1113" s="6">
        <f t="shared" si="41"/>
        <v>0</v>
      </c>
    </row>
    <row r="1114" spans="1:10" x14ac:dyDescent="0.35">
      <c r="A1114" t="s">
        <v>260</v>
      </c>
      <c r="B1114" t="s">
        <v>270</v>
      </c>
      <c r="C1114" t="s">
        <v>271</v>
      </c>
      <c r="G1114" t="str">
        <f t="shared" si="40"/>
        <v>xlsx</v>
      </c>
      <c r="H1114" s="5" t="str">
        <f>IFERROR(IF(B1114="FoPITY",INDEX(Customizations!$C$2:$C$19,MATCH(Sheet1!C1114,Customizations!$B$2:$B$19,0),1),INDEX(About!C:C,MATCH(Sheet1!B1114,About!B:B,0),1)),"")</f>
        <v>Chg in Land Val per Unit Area Affected by Pol.xlsx</v>
      </c>
      <c r="I1114" s="5">
        <f>IFERROR(INDEX(About!$D:$D,MATCH(Sheet1!H1114,About!$C:$C,0),1),0)</f>
        <v>0</v>
      </c>
      <c r="J1114" s="6">
        <f t="shared" si="41"/>
        <v>0</v>
      </c>
    </row>
    <row r="1115" spans="1:10" x14ac:dyDescent="0.35">
      <c r="A1115" t="s">
        <v>260</v>
      </c>
      <c r="B1115" t="s">
        <v>270</v>
      </c>
      <c r="C1115" t="s">
        <v>272</v>
      </c>
      <c r="G1115" t="str">
        <f t="shared" si="40"/>
        <v>.csv</v>
      </c>
      <c r="H1115" s="5" t="str">
        <f>IFERROR(IF(B1115="FoPITY",INDEX(Customizations!$C$2:$C$19,MATCH(Sheet1!C1115,Customizations!$B$2:$B$19,0),1),INDEX(About!C:C,MATCH(Sheet1!B1115,About!B:B,0),1)),"")</f>
        <v>Chg in Land Val per Unit Area Affected by Pol.xlsx</v>
      </c>
      <c r="I1115" s="5">
        <f>IFERROR(INDEX(About!$D:$D,MATCH(Sheet1!H1115,About!$C:$C,0),1),0)</f>
        <v>0</v>
      </c>
      <c r="J1115" s="6">
        <f t="shared" si="41"/>
        <v>0</v>
      </c>
    </row>
    <row r="1116" spans="1:10" x14ac:dyDescent="0.35">
      <c r="A1116" t="s">
        <v>260</v>
      </c>
      <c r="B1116" t="s">
        <v>273</v>
      </c>
      <c r="C1116" t="s">
        <v>274</v>
      </c>
      <c r="G1116" t="str">
        <f t="shared" si="40"/>
        <v>xlsx</v>
      </c>
      <c r="H1116" s="5" t="str">
        <f>IFERROR(IF(B1116="FoPITY",INDEX(Customizations!$C$2:$C$19,MATCH(Sheet1!C1116,Customizations!$B$2:$B$19,0),1),INDEX(About!C:C,MATCH(Sheet1!B1116,About!B:B,0),1)),"")</f>
        <v>CO2 Sequestered per Unit Land Area per Year by Pol.xlsx</v>
      </c>
      <c r="I1116" s="5">
        <f>IFERROR(INDEX(About!$D:$D,MATCH(Sheet1!H1116,About!$C:$C,0),1),0)</f>
        <v>0</v>
      </c>
      <c r="J1116" s="6">
        <f t="shared" si="41"/>
        <v>0</v>
      </c>
    </row>
    <row r="1117" spans="1:10" x14ac:dyDescent="0.35">
      <c r="A1117" t="s">
        <v>260</v>
      </c>
      <c r="B1117" t="s">
        <v>273</v>
      </c>
      <c r="C1117" t="s">
        <v>275</v>
      </c>
      <c r="G1117" t="str">
        <f t="shared" si="40"/>
        <v>.csv</v>
      </c>
      <c r="H1117" s="5" t="str">
        <f>IFERROR(IF(B1117="FoPITY",INDEX(Customizations!$C$2:$C$19,MATCH(Sheet1!C1117,Customizations!$B$2:$B$19,0),1),INDEX(About!C:C,MATCH(Sheet1!B1117,About!B:B,0),1)),"")</f>
        <v>CO2 Sequestered per Unit Land Area per Year by Pol.xlsx</v>
      </c>
      <c r="I1117" s="5">
        <f>IFERROR(INDEX(About!$D:$D,MATCH(Sheet1!H1117,About!$C:$C,0),1),0)</f>
        <v>0</v>
      </c>
      <c r="J1117" s="6">
        <f t="shared" si="41"/>
        <v>0</v>
      </c>
    </row>
    <row r="1118" spans="1:10" x14ac:dyDescent="0.35">
      <c r="A1118" t="s">
        <v>260</v>
      </c>
      <c r="B1118" t="s">
        <v>276</v>
      </c>
      <c r="C1118" t="s">
        <v>277</v>
      </c>
      <c r="G1118" t="str">
        <f t="shared" si="40"/>
        <v>.csv</v>
      </c>
      <c r="H1118" s="5" t="str">
        <f>IFERROR(IF(B1118="FoPITY",INDEX(Customizations!$C$2:$C$19,MATCH(Sheet1!C1118,Customizations!$B$2:$B$19,0),1),INDEX(About!C:C,MATCH(Sheet1!B1118,About!B:B,0),1)),"")</f>
        <v>Fraction of Forests Owned by Entity.xlsx</v>
      </c>
      <c r="I1118" s="5">
        <f>IFERROR(INDEX(About!$D:$D,MATCH(Sheet1!H1118,About!$C:$C,0),1),0)</f>
        <v>0</v>
      </c>
      <c r="J1118" s="6">
        <f t="shared" si="41"/>
        <v>0</v>
      </c>
    </row>
    <row r="1119" spans="1:10" x14ac:dyDescent="0.35">
      <c r="A1119" t="s">
        <v>260</v>
      </c>
      <c r="B1119" t="s">
        <v>276</v>
      </c>
      <c r="C1119" t="s">
        <v>278</v>
      </c>
      <c r="G1119" t="str">
        <f t="shared" si="40"/>
        <v>xlsx</v>
      </c>
      <c r="H1119" s="5" t="str">
        <f>IFERROR(IF(B1119="FoPITY",INDEX(Customizations!$C$2:$C$19,MATCH(Sheet1!C1119,Customizations!$B$2:$B$19,0),1),INDEX(About!C:C,MATCH(Sheet1!B1119,About!B:B,0),1)),"")</f>
        <v>Fraction of Forests Owned by Entity.xlsx</v>
      </c>
      <c r="I1119" s="5">
        <f>IFERROR(INDEX(About!$D:$D,MATCH(Sheet1!H1119,About!$C:$C,0),1),0)</f>
        <v>0</v>
      </c>
      <c r="J1119" s="6">
        <f t="shared" si="41"/>
        <v>0</v>
      </c>
    </row>
    <row r="1120" spans="1:10" x14ac:dyDescent="0.35">
      <c r="A1120" t="s">
        <v>260</v>
      </c>
      <c r="B1120" t="s">
        <v>279</v>
      </c>
      <c r="C1120" t="s">
        <v>280</v>
      </c>
      <c r="G1120" t="str">
        <f t="shared" si="40"/>
        <v>.csv</v>
      </c>
      <c r="H1120" s="5" t="str">
        <f>IFERROR(IF(B1120="FoPITY",INDEX(Customizations!$C$2:$C$19,MATCH(Sheet1!C1120,Customizations!$B$2:$B$19,0),1),INDEX(About!C:C,MATCH(Sheet1!B1120,About!B:B,0),1)),"")</f>
        <v>Impl Cost of Land Use Policies per Unit Area.xlsx</v>
      </c>
      <c r="I1120" s="5">
        <f>IFERROR(INDEX(About!$D:$D,MATCH(Sheet1!H1120,About!$C:$C,0),1),0)</f>
        <v>0</v>
      </c>
      <c r="J1120" s="6">
        <f t="shared" si="41"/>
        <v>0</v>
      </c>
    </row>
    <row r="1121" spans="1:10" x14ac:dyDescent="0.35">
      <c r="A1121" t="s">
        <v>260</v>
      </c>
      <c r="B1121" t="s">
        <v>279</v>
      </c>
      <c r="C1121" t="s">
        <v>281</v>
      </c>
      <c r="G1121" t="str">
        <f t="shared" si="40"/>
        <v>xlsx</v>
      </c>
      <c r="H1121" s="5" t="str">
        <f>IFERROR(IF(B1121="FoPITY",INDEX(Customizations!$C$2:$C$19,MATCH(Sheet1!C1121,Customizations!$B$2:$B$19,0),1),INDEX(About!C:C,MATCH(Sheet1!B1121,About!B:B,0),1)),"")</f>
        <v>Impl Cost of Land Use Policies per Unit Area.xlsx</v>
      </c>
      <c r="I1121" s="5">
        <f>IFERROR(INDEX(About!$D:$D,MATCH(Sheet1!H1121,About!$C:$C,0),1),0)</f>
        <v>0</v>
      </c>
      <c r="J1121" s="6">
        <f t="shared" si="41"/>
        <v>0</v>
      </c>
    </row>
    <row r="1122" spans="1:10" x14ac:dyDescent="0.35">
      <c r="A1122" t="s">
        <v>260</v>
      </c>
      <c r="B1122" t="s">
        <v>282</v>
      </c>
      <c r="C1122" t="s">
        <v>283</v>
      </c>
      <c r="G1122" t="str">
        <f t="shared" si="40"/>
        <v>.csv</v>
      </c>
      <c r="H1122" s="5" t="str">
        <f>IFERROR(IF(B1122="FoPITY",INDEX(Customizations!$C$2:$C$19,MATCH(Sheet1!C1122,Customizations!$B$2:$B$19,0),1),INDEX(About!C:C,MATCH(Sheet1!B1122,About!B:B,0),1)),"")</f>
        <v>Potential Land Area Newly Affected by Pol in a Single Yr.xlsx</v>
      </c>
      <c r="I1122" s="5">
        <f>IFERROR(INDEX(About!$D:$D,MATCH(Sheet1!H1122,About!$C:$C,0),1),0)</f>
        <v>0</v>
      </c>
      <c r="J1122" s="6">
        <f t="shared" si="41"/>
        <v>0</v>
      </c>
    </row>
    <row r="1123" spans="1:10" x14ac:dyDescent="0.35">
      <c r="A1123" t="s">
        <v>260</v>
      </c>
      <c r="B1123" t="s">
        <v>282</v>
      </c>
      <c r="C1123" t="s">
        <v>284</v>
      </c>
      <c r="G1123" t="str">
        <f t="shared" si="40"/>
        <v>xlsx</v>
      </c>
      <c r="H1123" s="5" t="str">
        <f>IFERROR(IF(B1123="FoPITY",INDEX(Customizations!$C$2:$C$19,MATCH(Sheet1!C1123,Customizations!$B$2:$B$19,0),1),INDEX(About!C:C,MATCH(Sheet1!B1123,About!B:B,0),1)),"")</f>
        <v>Potential Land Area Newly Affected by Pol in a Single Yr.xlsx</v>
      </c>
      <c r="I1123" s="5">
        <f>IFERROR(INDEX(About!$D:$D,MATCH(Sheet1!H1123,About!$C:$C,0),1),0)</f>
        <v>0</v>
      </c>
      <c r="J1123" s="6">
        <f t="shared" si="41"/>
        <v>0</v>
      </c>
    </row>
    <row r="1124" spans="1:10" x14ac:dyDescent="0.35">
      <c r="A1124" t="s">
        <v>260</v>
      </c>
      <c r="B1124" t="s">
        <v>285</v>
      </c>
      <c r="C1124" t="s">
        <v>286</v>
      </c>
      <c r="G1124" t="str">
        <f t="shared" si="40"/>
        <v>xlsx</v>
      </c>
      <c r="H1124" s="5" t="str">
        <f>IFERROR(IF(B1124="FoPITY",INDEX(Customizations!$C$2:$C$19,MATCH(Sheet1!C1124,Customizations!$B$2:$B$19,0),1),INDEX(About!C:C,MATCH(Sheet1!B1124,About!B:B,0),1)),"")</f>
        <v>Rebound Pol Emis per Unit Avoided CO2 Emis.xlsx</v>
      </c>
      <c r="I1124" s="5">
        <f>IFERROR(INDEX(About!$D:$D,MATCH(Sheet1!H1124,About!$C:$C,0),1),0)</f>
        <v>0</v>
      </c>
      <c r="J1124" s="6">
        <f t="shared" si="41"/>
        <v>0</v>
      </c>
    </row>
    <row r="1125" spans="1:10" x14ac:dyDescent="0.35">
      <c r="A1125" t="s">
        <v>260</v>
      </c>
      <c r="B1125" t="s">
        <v>285</v>
      </c>
      <c r="C1125" t="s">
        <v>287</v>
      </c>
      <c r="G1125" t="str">
        <f t="shared" si="40"/>
        <v>.csv</v>
      </c>
      <c r="H1125" s="5" t="str">
        <f>IFERROR(IF(B1125="FoPITY",INDEX(Customizations!$C$2:$C$19,MATCH(Sheet1!C1125,Customizations!$B$2:$B$19,0),1),INDEX(About!C:C,MATCH(Sheet1!B1125,About!B:B,0),1)),"")</f>
        <v>Rebound Pol Emis per Unit Avoided CO2 Emis.xlsx</v>
      </c>
      <c r="I1125" s="5">
        <f>IFERROR(INDEX(About!$D:$D,MATCH(Sheet1!H1125,About!$C:$C,0),1),0)</f>
        <v>0</v>
      </c>
      <c r="J1125" s="6">
        <f t="shared" si="41"/>
        <v>0</v>
      </c>
    </row>
    <row r="1126" spans="1:10" x14ac:dyDescent="0.35">
      <c r="A1126" t="s">
        <v>301</v>
      </c>
      <c r="B1126" t="s">
        <v>986</v>
      </c>
      <c r="C1126" t="s">
        <v>1143</v>
      </c>
      <c r="G1126" t="str">
        <f t="shared" si="40"/>
        <v>l.py</v>
      </c>
      <c r="H1126" s="5" t="str">
        <f>IFERROR(IF(B1126="FoPITY",INDEX(Customizations!$C$2:$C$19,MATCH(Sheet1!C1126,Customizations!$B$2:$B$19,0),1),INDEX(About!C:C,MATCH(Sheet1!B1126,About!B:B,0),1)),"")</f>
        <v/>
      </c>
      <c r="I1126" s="5">
        <f>IFERROR(INDEX(About!$D:$D,MATCH(Sheet1!H1126,About!$C:$C,0),1),0)</f>
        <v>0</v>
      </c>
      <c r="J1126" s="6">
        <f t="shared" si="41"/>
        <v>0</v>
      </c>
    </row>
    <row r="1127" spans="1:10" x14ac:dyDescent="0.35">
      <c r="A1127" t="s">
        <v>301</v>
      </c>
      <c r="B1127" t="s">
        <v>986</v>
      </c>
      <c r="C1127" t="s">
        <v>1944</v>
      </c>
      <c r="G1127" t="str">
        <f t="shared" si="40"/>
        <v>k.py</v>
      </c>
      <c r="H1127" s="5" t="str">
        <f>IFERROR(IF(B1127="FoPITY",INDEX(Customizations!$C$2:$C$19,MATCH(Sheet1!C1127,Customizations!$B$2:$B$19,0),1),INDEX(About!C:C,MATCH(Sheet1!B1127,About!B:B,0),1)),"")</f>
        <v/>
      </c>
      <c r="I1127" s="5">
        <f>IFERROR(INDEX(About!$D:$D,MATCH(Sheet1!H1127,About!$C:$C,0),1),0)</f>
        <v>0</v>
      </c>
      <c r="J1127" s="6">
        <f t="shared" si="41"/>
        <v>0</v>
      </c>
    </row>
    <row r="1128" spans="1:10" x14ac:dyDescent="0.35">
      <c r="A1128" t="s">
        <v>301</v>
      </c>
      <c r="B1128" t="s">
        <v>986</v>
      </c>
      <c r="C1128" t="s">
        <v>1945</v>
      </c>
      <c r="G1128" t="str">
        <f t="shared" si="40"/>
        <v>.txt</v>
      </c>
      <c r="H1128" s="5" t="str">
        <f>IFERROR(IF(B1128="FoPITY",INDEX(Customizations!$C$2:$C$19,MATCH(Sheet1!C1128,Customizations!$B$2:$B$19,0),1),INDEX(About!C:C,MATCH(Sheet1!B1128,About!B:B,0),1)),"")</f>
        <v/>
      </c>
      <c r="I1128" s="5">
        <f>IFERROR(INDEX(About!$D:$D,MATCH(Sheet1!H1128,About!$C:$C,0),1),0)</f>
        <v>0</v>
      </c>
      <c r="J1128" s="6">
        <f t="shared" si="41"/>
        <v>0</v>
      </c>
    </row>
    <row r="1129" spans="1:10" x14ac:dyDescent="0.35">
      <c r="A1129" t="s">
        <v>301</v>
      </c>
      <c r="B1129" t="s">
        <v>986</v>
      </c>
      <c r="C1129" t="s">
        <v>987</v>
      </c>
      <c r="G1129" t="str">
        <f t="shared" si="40"/>
        <v>.csv</v>
      </c>
      <c r="H1129" s="5" t="str">
        <f>IFERROR(IF(B1129="FoPITY",INDEX(Customizations!$C$2:$C$19,MATCH(Sheet1!C1129,Customizations!$B$2:$B$19,0),1),INDEX(About!C:C,MATCH(Sheet1!B1129,About!B:B,0),1)),"")</f>
        <v/>
      </c>
      <c r="I1129" s="5">
        <f>IFERROR(INDEX(About!$D:$D,MATCH(Sheet1!H1129,About!$C:$C,0),1),0)</f>
        <v>0</v>
      </c>
      <c r="J1129" s="6">
        <f t="shared" si="41"/>
        <v>0</v>
      </c>
    </row>
    <row r="1130" spans="1:10" x14ac:dyDescent="0.35">
      <c r="A1130" t="s">
        <v>301</v>
      </c>
      <c r="B1130" t="s">
        <v>986</v>
      </c>
      <c r="C1130" t="s">
        <v>988</v>
      </c>
      <c r="G1130" t="str">
        <f t="shared" si="40"/>
        <v>.csv</v>
      </c>
      <c r="H1130" s="5" t="str">
        <f>IFERROR(IF(B1130="FoPITY",INDEX(Customizations!$C$2:$C$19,MATCH(Sheet1!C1130,Customizations!$B$2:$B$19,0),1),INDEX(About!C:C,MATCH(Sheet1!B1130,About!B:B,0),1)),"")</f>
        <v/>
      </c>
      <c r="I1130" s="5">
        <f>IFERROR(INDEX(About!$D:$D,MATCH(Sheet1!H1130,About!$C:$C,0),1),0)</f>
        <v>0</v>
      </c>
      <c r="J1130" s="6">
        <f t="shared" si="41"/>
        <v>0</v>
      </c>
    </row>
    <row r="1131" spans="1:10" x14ac:dyDescent="0.35">
      <c r="A1131" t="s">
        <v>301</v>
      </c>
      <c r="B1131" t="s">
        <v>986</v>
      </c>
      <c r="C1131" t="s">
        <v>989</v>
      </c>
      <c r="G1131" t="str">
        <f t="shared" si="40"/>
        <v>.csv</v>
      </c>
      <c r="H1131" s="5" t="str">
        <f>IFERROR(IF(B1131="FoPITY",INDEX(Customizations!$C$2:$C$19,MATCH(Sheet1!C1131,Customizations!$B$2:$B$19,0),1),INDEX(About!C:C,MATCH(Sheet1!B1131,About!B:B,0),1)),"")</f>
        <v/>
      </c>
      <c r="I1131" s="5">
        <f>IFERROR(INDEX(About!$D:$D,MATCH(Sheet1!H1131,About!$C:$C,0),1),0)</f>
        <v>0</v>
      </c>
      <c r="J1131" s="6">
        <f t="shared" si="41"/>
        <v>0</v>
      </c>
    </row>
    <row r="1132" spans="1:10" x14ac:dyDescent="0.35">
      <c r="A1132" t="s">
        <v>301</v>
      </c>
      <c r="B1132" t="s">
        <v>986</v>
      </c>
      <c r="C1132" t="s">
        <v>990</v>
      </c>
      <c r="G1132" t="str">
        <f t="shared" si="40"/>
        <v>.csv</v>
      </c>
      <c r="H1132" s="5" t="str">
        <f>IFERROR(IF(B1132="FoPITY",INDEX(Customizations!$C$2:$C$19,MATCH(Sheet1!C1132,Customizations!$B$2:$B$19,0),1),INDEX(About!C:C,MATCH(Sheet1!B1132,About!B:B,0),1)),"")</f>
        <v/>
      </c>
      <c r="I1132" s="5">
        <f>IFERROR(INDEX(About!$D:$D,MATCH(Sheet1!H1132,About!$C:$C,0),1),0)</f>
        <v>0</v>
      </c>
      <c r="J1132" s="6">
        <f t="shared" si="41"/>
        <v>0</v>
      </c>
    </row>
    <row r="1133" spans="1:10" x14ac:dyDescent="0.35">
      <c r="A1133" t="s">
        <v>301</v>
      </c>
      <c r="B1133" t="s">
        <v>986</v>
      </c>
      <c r="C1133" t="s">
        <v>991</v>
      </c>
      <c r="G1133" t="str">
        <f t="shared" si="40"/>
        <v>.csv</v>
      </c>
      <c r="H1133" s="5" t="str">
        <f>IFERROR(IF(B1133="FoPITY",INDEX(Customizations!$C$2:$C$19,MATCH(Sheet1!C1133,Customizations!$B$2:$B$19,0),1),INDEX(About!C:C,MATCH(Sheet1!B1133,About!B:B,0),1)),"")</f>
        <v/>
      </c>
      <c r="I1133" s="5">
        <f>IFERROR(INDEX(About!$D:$D,MATCH(Sheet1!H1133,About!$C:$C,0),1),0)</f>
        <v>0</v>
      </c>
      <c r="J1133" s="6">
        <f t="shared" si="41"/>
        <v>0</v>
      </c>
    </row>
    <row r="1134" spans="1:10" x14ac:dyDescent="0.35">
      <c r="A1134" t="s">
        <v>301</v>
      </c>
      <c r="B1134" t="s">
        <v>986</v>
      </c>
      <c r="C1134" t="s">
        <v>992</v>
      </c>
      <c r="G1134" t="str">
        <f t="shared" si="40"/>
        <v>.csv</v>
      </c>
      <c r="H1134" s="5" t="str">
        <f>IFERROR(IF(B1134="FoPITY",INDEX(Customizations!$C$2:$C$19,MATCH(Sheet1!C1134,Customizations!$B$2:$B$19,0),1),INDEX(About!C:C,MATCH(Sheet1!B1134,About!B:B,0),1)),"")</f>
        <v/>
      </c>
      <c r="I1134" s="5">
        <f>IFERROR(INDEX(About!$D:$D,MATCH(Sheet1!H1134,About!$C:$C,0),1),0)</f>
        <v>0</v>
      </c>
      <c r="J1134" s="6">
        <f t="shared" si="41"/>
        <v>0</v>
      </c>
    </row>
    <row r="1135" spans="1:10" x14ac:dyDescent="0.35">
      <c r="A1135" t="s">
        <v>301</v>
      </c>
      <c r="B1135" t="s">
        <v>986</v>
      </c>
      <c r="C1135" t="s">
        <v>993</v>
      </c>
      <c r="G1135" t="str">
        <f t="shared" si="40"/>
        <v>.csv</v>
      </c>
      <c r="H1135" s="5" t="str">
        <f>IFERROR(IF(B1135="FoPITY",INDEX(Customizations!$C$2:$C$19,MATCH(Sheet1!C1135,Customizations!$B$2:$B$19,0),1),INDEX(About!C:C,MATCH(Sheet1!B1135,About!B:B,0),1)),"")</f>
        <v/>
      </c>
      <c r="I1135" s="5">
        <f>IFERROR(INDEX(About!$D:$D,MATCH(Sheet1!H1135,About!$C:$C,0),1),0)</f>
        <v>0</v>
      </c>
      <c r="J1135" s="6">
        <f t="shared" si="41"/>
        <v>0</v>
      </c>
    </row>
    <row r="1136" spans="1:10" x14ac:dyDescent="0.35">
      <c r="A1136" t="s">
        <v>301</v>
      </c>
      <c r="B1136" t="s">
        <v>986</v>
      </c>
      <c r="C1136" t="s">
        <v>994</v>
      </c>
      <c r="G1136" t="str">
        <f t="shared" si="40"/>
        <v>.csv</v>
      </c>
      <c r="H1136" s="5" t="str">
        <f>IFERROR(IF(B1136="FoPITY",INDEX(Customizations!$C$2:$C$19,MATCH(Sheet1!C1136,Customizations!$B$2:$B$19,0),1),INDEX(About!C:C,MATCH(Sheet1!B1136,About!B:B,0),1)),"")</f>
        <v/>
      </c>
      <c r="I1136" s="5">
        <f>IFERROR(INDEX(About!$D:$D,MATCH(Sheet1!H1136,About!$C:$C,0),1),0)</f>
        <v>0</v>
      </c>
      <c r="J1136" s="6">
        <f t="shared" si="41"/>
        <v>0</v>
      </c>
    </row>
    <row r="1137" spans="1:10" x14ac:dyDescent="0.35">
      <c r="A1137" t="s">
        <v>301</v>
      </c>
      <c r="B1137" t="s">
        <v>986</v>
      </c>
      <c r="C1137" t="s">
        <v>995</v>
      </c>
      <c r="G1137" t="str">
        <f t="shared" si="40"/>
        <v>.csv</v>
      </c>
      <c r="H1137" s="5" t="str">
        <f>IFERROR(IF(B1137="FoPITY",INDEX(Customizations!$C$2:$C$19,MATCH(Sheet1!C1137,Customizations!$B$2:$B$19,0),1),INDEX(About!C:C,MATCH(Sheet1!B1137,About!B:B,0),1)),"")</f>
        <v/>
      </c>
      <c r="I1137" s="5">
        <f>IFERROR(INDEX(About!$D:$D,MATCH(Sheet1!H1137,About!$C:$C,0),1),0)</f>
        <v>0</v>
      </c>
      <c r="J1137" s="6">
        <f t="shared" si="41"/>
        <v>0</v>
      </c>
    </row>
    <row r="1138" spans="1:10" x14ac:dyDescent="0.35">
      <c r="A1138" t="s">
        <v>301</v>
      </c>
      <c r="B1138" t="s">
        <v>986</v>
      </c>
      <c r="C1138" t="s">
        <v>996</v>
      </c>
      <c r="G1138" t="str">
        <f t="shared" si="40"/>
        <v>.csv</v>
      </c>
      <c r="H1138" s="5" t="str">
        <f>IFERROR(IF(B1138="FoPITY",INDEX(Customizations!$C$2:$C$19,MATCH(Sheet1!C1138,Customizations!$B$2:$B$19,0),1),INDEX(About!C:C,MATCH(Sheet1!B1138,About!B:B,0),1)),"")</f>
        <v/>
      </c>
      <c r="I1138" s="5">
        <f>IFERROR(INDEX(About!$D:$D,MATCH(Sheet1!H1138,About!$C:$C,0),1),0)</f>
        <v>0</v>
      </c>
      <c r="J1138" s="6">
        <f t="shared" si="41"/>
        <v>0</v>
      </c>
    </row>
    <row r="1139" spans="1:10" x14ac:dyDescent="0.35">
      <c r="A1139" t="s">
        <v>301</v>
      </c>
      <c r="B1139" t="s">
        <v>986</v>
      </c>
      <c r="C1139" t="s">
        <v>997</v>
      </c>
      <c r="G1139" t="str">
        <f t="shared" si="40"/>
        <v>.csv</v>
      </c>
      <c r="H1139" s="5" t="str">
        <f>IFERROR(IF(B1139="FoPITY",INDEX(Customizations!$C$2:$C$19,MATCH(Sheet1!C1139,Customizations!$B$2:$B$19,0),1),INDEX(About!C:C,MATCH(Sheet1!B1139,About!B:B,0),1)),"")</f>
        <v/>
      </c>
      <c r="I1139" s="5">
        <f>IFERROR(INDEX(About!$D:$D,MATCH(Sheet1!H1139,About!$C:$C,0),1),0)</f>
        <v>0</v>
      </c>
      <c r="J1139" s="6">
        <f t="shared" si="41"/>
        <v>0</v>
      </c>
    </row>
    <row r="1140" spans="1:10" x14ac:dyDescent="0.35">
      <c r="A1140" t="s">
        <v>301</v>
      </c>
      <c r="B1140" t="s">
        <v>986</v>
      </c>
      <c r="C1140" t="s">
        <v>998</v>
      </c>
      <c r="G1140" t="str">
        <f t="shared" si="40"/>
        <v>.csv</v>
      </c>
      <c r="H1140" s="5" t="str">
        <f>IFERROR(IF(B1140="FoPITY",INDEX(Customizations!$C$2:$C$19,MATCH(Sheet1!C1140,Customizations!$B$2:$B$19,0),1),INDEX(About!C:C,MATCH(Sheet1!B1140,About!B:B,0),1)),"")</f>
        <v/>
      </c>
      <c r="I1140" s="5">
        <f>IFERROR(INDEX(About!$D:$D,MATCH(Sheet1!H1140,About!$C:$C,0),1),0)</f>
        <v>0</v>
      </c>
      <c r="J1140" s="6">
        <f t="shared" si="41"/>
        <v>0</v>
      </c>
    </row>
    <row r="1141" spans="1:10" x14ac:dyDescent="0.35">
      <c r="A1141" t="s">
        <v>301</v>
      </c>
      <c r="B1141" t="s">
        <v>986</v>
      </c>
      <c r="C1141" t="s">
        <v>999</v>
      </c>
      <c r="G1141" t="str">
        <f t="shared" si="40"/>
        <v>.csv</v>
      </c>
      <c r="H1141" s="5" t="str">
        <f>IFERROR(IF(B1141="FoPITY",INDEX(Customizations!$C$2:$C$19,MATCH(Sheet1!C1141,Customizations!$B$2:$B$19,0),1),INDEX(About!C:C,MATCH(Sheet1!B1141,About!B:B,0),1)),"")</f>
        <v/>
      </c>
      <c r="I1141" s="5">
        <f>IFERROR(INDEX(About!$D:$D,MATCH(Sheet1!H1141,About!$C:$C,0),1),0)</f>
        <v>0</v>
      </c>
      <c r="J1141" s="6">
        <f t="shared" si="41"/>
        <v>0</v>
      </c>
    </row>
    <row r="1142" spans="1:10" x14ac:dyDescent="0.35">
      <c r="A1142" t="s">
        <v>301</v>
      </c>
      <c r="B1142" t="s">
        <v>986</v>
      </c>
      <c r="C1142" t="s">
        <v>1000</v>
      </c>
      <c r="G1142" t="str">
        <f t="shared" si="40"/>
        <v>.csv</v>
      </c>
      <c r="H1142" s="5" t="str">
        <f>IFERROR(IF(B1142="FoPITY",INDEX(Customizations!$C$2:$C$19,MATCH(Sheet1!C1142,Customizations!$B$2:$B$19,0),1),INDEX(About!C:C,MATCH(Sheet1!B1142,About!B:B,0),1)),"")</f>
        <v/>
      </c>
      <c r="I1142" s="5">
        <f>IFERROR(INDEX(About!$D:$D,MATCH(Sheet1!H1142,About!$C:$C,0),1),0)</f>
        <v>0</v>
      </c>
      <c r="J1142" s="6">
        <f t="shared" si="41"/>
        <v>0</v>
      </c>
    </row>
    <row r="1143" spans="1:10" x14ac:dyDescent="0.35">
      <c r="A1143" t="s">
        <v>301</v>
      </c>
      <c r="B1143" t="s">
        <v>986</v>
      </c>
      <c r="C1143" t="s">
        <v>1001</v>
      </c>
      <c r="G1143" t="str">
        <f t="shared" ref="G1143:G1151" si="42">RIGHT(C1143,"4")</f>
        <v>.csv</v>
      </c>
      <c r="H1143" s="5" t="str">
        <f>IFERROR(IF(B1143="FoPITY",INDEX(Customizations!$C$2:$C$19,MATCH(Sheet1!C1143,Customizations!$B$2:$B$19,0),1),INDEX(About!C:C,MATCH(Sheet1!B1143,About!B:B,0),1)),"")</f>
        <v/>
      </c>
      <c r="I1143" s="5">
        <f>IFERROR(INDEX(About!$D:$D,MATCH(Sheet1!H1143,About!$C:$C,0),1),0)</f>
        <v>0</v>
      </c>
      <c r="J1143" s="6">
        <f t="shared" ref="J1143:J1151" si="43">IF(G1143=".csv",1,0)*I1143</f>
        <v>0</v>
      </c>
    </row>
    <row r="1144" spans="1:10" x14ac:dyDescent="0.35">
      <c r="A1144" t="s">
        <v>301</v>
      </c>
      <c r="B1144" t="s">
        <v>986</v>
      </c>
      <c r="C1144" t="s">
        <v>1002</v>
      </c>
      <c r="G1144" t="str">
        <f t="shared" si="42"/>
        <v>.csv</v>
      </c>
      <c r="H1144" s="5" t="str">
        <f>IFERROR(IF(B1144="FoPITY",INDEX(Customizations!$C$2:$C$19,MATCH(Sheet1!C1144,Customizations!$B$2:$B$19,0),1),INDEX(About!C:C,MATCH(Sheet1!B1144,About!B:B,0),1)),"")</f>
        <v/>
      </c>
      <c r="I1144" s="5">
        <f>IFERROR(INDEX(About!$D:$D,MATCH(Sheet1!H1144,About!$C:$C,0),1),0)</f>
        <v>0</v>
      </c>
      <c r="J1144" s="6">
        <f t="shared" si="43"/>
        <v>0</v>
      </c>
    </row>
    <row r="1145" spans="1:10" x14ac:dyDescent="0.35">
      <c r="A1145" t="s">
        <v>301</v>
      </c>
      <c r="B1145" t="s">
        <v>986</v>
      </c>
      <c r="C1145" t="s">
        <v>1003</v>
      </c>
      <c r="G1145" t="str">
        <f t="shared" si="42"/>
        <v>.csv</v>
      </c>
      <c r="H1145" s="5" t="str">
        <f>IFERROR(IF(B1145="FoPITY",INDEX(Customizations!$C$2:$C$19,MATCH(Sheet1!C1145,Customizations!$B$2:$B$19,0),1),INDEX(About!C:C,MATCH(Sheet1!B1145,About!B:B,0),1)),"")</f>
        <v/>
      </c>
      <c r="I1145" s="5">
        <f>IFERROR(INDEX(About!$D:$D,MATCH(Sheet1!H1145,About!$C:$C,0),1),0)</f>
        <v>0</v>
      </c>
      <c r="J1145" s="6">
        <f t="shared" si="43"/>
        <v>0</v>
      </c>
    </row>
    <row r="1146" spans="1:10" x14ac:dyDescent="0.35">
      <c r="A1146" t="s">
        <v>301</v>
      </c>
      <c r="B1146" t="s">
        <v>986</v>
      </c>
      <c r="C1146" t="s">
        <v>1004</v>
      </c>
      <c r="G1146" t="str">
        <f t="shared" si="42"/>
        <v>.csv</v>
      </c>
      <c r="H1146" s="5" t="str">
        <f>IFERROR(IF(B1146="FoPITY",INDEX(Customizations!$C$2:$C$19,MATCH(Sheet1!C1146,Customizations!$B$2:$B$19,0),1),INDEX(About!C:C,MATCH(Sheet1!B1146,About!B:B,0),1)),"")</f>
        <v/>
      </c>
      <c r="I1146" s="5">
        <f>IFERROR(INDEX(About!$D:$D,MATCH(Sheet1!H1146,About!$C:$C,0),1),0)</f>
        <v>0</v>
      </c>
      <c r="J1146" s="6">
        <f t="shared" si="43"/>
        <v>0</v>
      </c>
    </row>
    <row r="1147" spans="1:10" x14ac:dyDescent="0.35">
      <c r="A1147" t="s">
        <v>301</v>
      </c>
      <c r="B1147" t="s">
        <v>986</v>
      </c>
      <c r="C1147" t="s">
        <v>1005</v>
      </c>
      <c r="G1147" t="str">
        <f t="shared" si="42"/>
        <v>.csv</v>
      </c>
      <c r="H1147" s="5" t="str">
        <f>IFERROR(IF(B1147="FoPITY",INDEX(Customizations!$C$2:$C$19,MATCH(Sheet1!C1147,Customizations!$B$2:$B$19,0),1),INDEX(About!C:C,MATCH(Sheet1!B1147,About!B:B,0),1)),"")</f>
        <v/>
      </c>
      <c r="I1147" s="5">
        <f>IFERROR(INDEX(About!$D:$D,MATCH(Sheet1!H1147,About!$C:$C,0),1),0)</f>
        <v>0</v>
      </c>
      <c r="J1147" s="6">
        <f t="shared" si="43"/>
        <v>0</v>
      </c>
    </row>
    <row r="1148" spans="1:10" x14ac:dyDescent="0.35">
      <c r="A1148" t="s">
        <v>301</v>
      </c>
      <c r="B1148" t="s">
        <v>986</v>
      </c>
      <c r="C1148" t="s">
        <v>1767</v>
      </c>
      <c r="G1148" t="str">
        <f t="shared" si="42"/>
        <v>xlsx</v>
      </c>
      <c r="H1148" s="5" t="str">
        <f>IFERROR(IF(B1148="FoPITY",INDEX(Customizations!$C$2:$C$19,MATCH(Sheet1!C1148,Customizations!$B$2:$B$19,0),1),INDEX(About!C:C,MATCH(Sheet1!B1148,About!B:B,0),1)),"")</f>
        <v/>
      </c>
      <c r="I1148" s="5">
        <f>IFERROR(INDEX(About!$D:$D,MATCH(Sheet1!H1148,About!$C:$C,0),1),0)</f>
        <v>0</v>
      </c>
      <c r="J1148" s="6">
        <f t="shared" si="43"/>
        <v>0</v>
      </c>
    </row>
    <row r="1149" spans="1:10" x14ac:dyDescent="0.35">
      <c r="A1149" t="s">
        <v>301</v>
      </c>
      <c r="B1149" t="s">
        <v>986</v>
      </c>
      <c r="C1149" t="s">
        <v>1006</v>
      </c>
      <c r="G1149" t="str">
        <f t="shared" si="42"/>
        <v>r.py</v>
      </c>
      <c r="H1149" s="5" t="str">
        <f>IFERROR(IF(B1149="FoPITY",INDEX(Customizations!$C$2:$C$19,MATCH(Sheet1!C1149,Customizations!$B$2:$B$19,0),1),INDEX(About!C:C,MATCH(Sheet1!B1149,About!B:B,0),1)),"")</f>
        <v/>
      </c>
      <c r="I1149" s="5">
        <f>IFERROR(INDEX(About!$D:$D,MATCH(Sheet1!H1149,About!$C:$C,0),1),0)</f>
        <v>0</v>
      </c>
      <c r="J1149" s="6">
        <f t="shared" si="43"/>
        <v>0</v>
      </c>
    </row>
    <row r="1150" spans="1:10" x14ac:dyDescent="0.35">
      <c r="A1150" t="s">
        <v>301</v>
      </c>
      <c r="B1150" t="s">
        <v>986</v>
      </c>
      <c r="C1150" t="s">
        <v>1946</v>
      </c>
      <c r="G1150" t="str">
        <f t="shared" si="42"/>
        <v>w.py</v>
      </c>
      <c r="H1150" s="5" t="str">
        <f>IFERROR(IF(B1150="FoPITY",INDEX(Customizations!$C$2:$C$19,MATCH(Sheet1!C1150,Customizations!$B$2:$B$19,0),1),INDEX(About!C:C,MATCH(Sheet1!B1150,About!B:B,0),1)),"")</f>
        <v/>
      </c>
      <c r="I1150" s="5">
        <f>IFERROR(INDEX(About!$D:$D,MATCH(Sheet1!H1150,About!$C:$C,0),1),0)</f>
        <v>0</v>
      </c>
      <c r="J1150" s="6">
        <f t="shared" si="43"/>
        <v>0</v>
      </c>
    </row>
    <row r="1151" spans="1:10" x14ac:dyDescent="0.35">
      <c r="A1151" t="s">
        <v>301</v>
      </c>
      <c r="B1151" t="s">
        <v>986</v>
      </c>
      <c r="C1151" t="s">
        <v>1007</v>
      </c>
      <c r="G1151" t="str">
        <f t="shared" si="42"/>
        <v>xlsx</v>
      </c>
      <c r="H1151" s="5" t="str">
        <f>IFERROR(IF(B1151="FoPITY",INDEX(Customizations!$C$2:$C$19,MATCH(Sheet1!C1151,Customizations!$B$2:$B$19,0),1),INDEX(About!C:C,MATCH(Sheet1!B1151,About!B:B,0),1)),"")</f>
        <v/>
      </c>
      <c r="I1151" s="5">
        <f>IFERROR(INDEX(About!$D:$D,MATCH(Sheet1!H1151,About!$C:$C,0),1),0)</f>
        <v>0</v>
      </c>
      <c r="J1151" s="6">
        <f t="shared" si="43"/>
        <v>0</v>
      </c>
    </row>
    <row r="1152" spans="1:10" x14ac:dyDescent="0.35">
      <c r="A1152" t="s">
        <v>301</v>
      </c>
      <c r="B1152" t="s">
        <v>302</v>
      </c>
      <c r="C1152" t="s">
        <v>303</v>
      </c>
    </row>
    <row r="1153" spans="1:3" x14ac:dyDescent="0.35">
      <c r="A1153" t="s">
        <v>301</v>
      </c>
      <c r="B1153" t="s">
        <v>302</v>
      </c>
      <c r="C1153" t="s">
        <v>304</v>
      </c>
    </row>
    <row r="1154" spans="1:3" x14ac:dyDescent="0.35">
      <c r="A1154" t="s">
        <v>301</v>
      </c>
      <c r="B1154" t="s">
        <v>1317</v>
      </c>
      <c r="C1154" t="s">
        <v>1768</v>
      </c>
    </row>
    <row r="1155" spans="1:3" x14ac:dyDescent="0.35">
      <c r="A1155" t="s">
        <v>301</v>
      </c>
      <c r="B1155" t="s">
        <v>1317</v>
      </c>
      <c r="C1155" t="s">
        <v>1318</v>
      </c>
    </row>
    <row r="1156" spans="1:3" x14ac:dyDescent="0.35">
      <c r="A1156" t="s">
        <v>301</v>
      </c>
      <c r="B1156" t="s">
        <v>1317</v>
      </c>
      <c r="C1156" t="s">
        <v>1319</v>
      </c>
    </row>
    <row r="1157" spans="1:3" x14ac:dyDescent="0.35">
      <c r="A1157" t="s">
        <v>301</v>
      </c>
      <c r="B1157" t="s">
        <v>305</v>
      </c>
      <c r="C1157" t="s">
        <v>306</v>
      </c>
    </row>
    <row r="1158" spans="1:3" x14ac:dyDescent="0.35">
      <c r="A1158" t="s">
        <v>301</v>
      </c>
      <c r="B1158" t="s">
        <v>305</v>
      </c>
      <c r="C1158" t="s">
        <v>307</v>
      </c>
    </row>
    <row r="1159" spans="1:3" x14ac:dyDescent="0.35">
      <c r="A1159" t="s">
        <v>301</v>
      </c>
      <c r="B1159" t="s">
        <v>1769</v>
      </c>
      <c r="C1159" t="s">
        <v>1770</v>
      </c>
    </row>
    <row r="1160" spans="1:3" x14ac:dyDescent="0.35">
      <c r="A1160" t="s">
        <v>301</v>
      </c>
      <c r="B1160" t="s">
        <v>1769</v>
      </c>
      <c r="C1160" t="s">
        <v>1771</v>
      </c>
    </row>
    <row r="1161" spans="1:3" x14ac:dyDescent="0.35">
      <c r="A1161" t="s">
        <v>301</v>
      </c>
      <c r="B1161" t="s">
        <v>1769</v>
      </c>
      <c r="C1161" t="s">
        <v>1947</v>
      </c>
    </row>
    <row r="1162" spans="1:3" x14ac:dyDescent="0.35">
      <c r="A1162" t="s">
        <v>301</v>
      </c>
      <c r="B1162" t="s">
        <v>1769</v>
      </c>
      <c r="C1162" t="s">
        <v>1772</v>
      </c>
    </row>
    <row r="1163" spans="1:3" x14ac:dyDescent="0.35">
      <c r="A1163" t="s">
        <v>301</v>
      </c>
      <c r="B1163" t="s">
        <v>1769</v>
      </c>
      <c r="C1163" t="s">
        <v>1773</v>
      </c>
    </row>
    <row r="1164" spans="1:3" x14ac:dyDescent="0.35">
      <c r="A1164" t="s">
        <v>301</v>
      </c>
      <c r="B1164" t="s">
        <v>1769</v>
      </c>
      <c r="C1164" t="s">
        <v>1774</v>
      </c>
    </row>
    <row r="1165" spans="1:3" x14ac:dyDescent="0.35">
      <c r="A1165" t="s">
        <v>308</v>
      </c>
      <c r="B1165" t="s">
        <v>1144</v>
      </c>
      <c r="C1165" t="s">
        <v>1145</v>
      </c>
    </row>
    <row r="1166" spans="1:3" x14ac:dyDescent="0.35">
      <c r="A1166" t="s">
        <v>308</v>
      </c>
      <c r="B1166" t="s">
        <v>1144</v>
      </c>
      <c r="C1166" t="s">
        <v>1146</v>
      </c>
    </row>
    <row r="1167" spans="1:3" x14ac:dyDescent="0.35">
      <c r="A1167" t="s">
        <v>308</v>
      </c>
      <c r="B1167" t="s">
        <v>1144</v>
      </c>
      <c r="C1167" t="s">
        <v>1147</v>
      </c>
    </row>
    <row r="1168" spans="1:3" x14ac:dyDescent="0.35">
      <c r="A1168" t="s">
        <v>308</v>
      </c>
      <c r="B1168" t="s">
        <v>1144</v>
      </c>
      <c r="C1168" t="s">
        <v>1148</v>
      </c>
    </row>
    <row r="1169" spans="1:3" x14ac:dyDescent="0.35">
      <c r="A1169" t="s">
        <v>308</v>
      </c>
      <c r="B1169" t="s">
        <v>1144</v>
      </c>
      <c r="C1169" t="s">
        <v>1149</v>
      </c>
    </row>
    <row r="1170" spans="1:3" x14ac:dyDescent="0.35">
      <c r="A1170" t="s">
        <v>308</v>
      </c>
      <c r="B1170" t="s">
        <v>959</v>
      </c>
      <c r="C1170" t="s">
        <v>960</v>
      </c>
    </row>
    <row r="1171" spans="1:3" x14ac:dyDescent="0.35">
      <c r="A1171" t="s">
        <v>308</v>
      </c>
      <c r="B1171" t="s">
        <v>959</v>
      </c>
      <c r="C1171" t="s">
        <v>961</v>
      </c>
    </row>
    <row r="1172" spans="1:3" x14ac:dyDescent="0.35">
      <c r="A1172" t="s">
        <v>308</v>
      </c>
      <c r="B1172" t="s">
        <v>309</v>
      </c>
      <c r="C1172" t="s">
        <v>310</v>
      </c>
    </row>
    <row r="1173" spans="1:3" x14ac:dyDescent="0.35">
      <c r="A1173" t="s">
        <v>308</v>
      </c>
      <c r="B1173" t="s">
        <v>309</v>
      </c>
      <c r="C1173" t="s">
        <v>311</v>
      </c>
    </row>
    <row r="1174" spans="1:3" x14ac:dyDescent="0.35">
      <c r="A1174" t="s">
        <v>308</v>
      </c>
      <c r="B1174" t="s">
        <v>312</v>
      </c>
      <c r="C1174" t="s">
        <v>313</v>
      </c>
    </row>
    <row r="1175" spans="1:3" x14ac:dyDescent="0.35">
      <c r="A1175" t="s">
        <v>308</v>
      </c>
      <c r="B1175" t="s">
        <v>312</v>
      </c>
      <c r="C1175" t="s">
        <v>314</v>
      </c>
    </row>
    <row r="1176" spans="1:3" x14ac:dyDescent="0.35">
      <c r="A1176" t="s">
        <v>308</v>
      </c>
      <c r="B1176" t="s">
        <v>312</v>
      </c>
      <c r="C1176" t="s">
        <v>315</v>
      </c>
    </row>
    <row r="1177" spans="1:3" x14ac:dyDescent="0.35">
      <c r="A1177" t="s">
        <v>308</v>
      </c>
      <c r="B1177" t="s">
        <v>312</v>
      </c>
      <c r="C1177" t="s">
        <v>1320</v>
      </c>
    </row>
    <row r="1178" spans="1:3" x14ac:dyDescent="0.35">
      <c r="A1178" t="s">
        <v>308</v>
      </c>
      <c r="B1178" t="s">
        <v>312</v>
      </c>
      <c r="C1178" t="s">
        <v>1321</v>
      </c>
    </row>
    <row r="1179" spans="1:3" x14ac:dyDescent="0.35">
      <c r="A1179" t="s">
        <v>308</v>
      </c>
      <c r="B1179" t="s">
        <v>962</v>
      </c>
      <c r="C1179" t="s">
        <v>963</v>
      </c>
    </row>
    <row r="1180" spans="1:3" x14ac:dyDescent="0.35">
      <c r="A1180" t="s">
        <v>308</v>
      </c>
      <c r="B1180" t="s">
        <v>962</v>
      </c>
      <c r="C1180" t="s">
        <v>964</v>
      </c>
    </row>
    <row r="1181" spans="1:3" x14ac:dyDescent="0.35">
      <c r="A1181" t="s">
        <v>308</v>
      </c>
      <c r="B1181" t="s">
        <v>642</v>
      </c>
      <c r="C1181" t="s">
        <v>643</v>
      </c>
    </row>
    <row r="1182" spans="1:3" x14ac:dyDescent="0.35">
      <c r="A1182" t="s">
        <v>308</v>
      </c>
      <c r="B1182" t="s">
        <v>642</v>
      </c>
      <c r="C1182" t="s">
        <v>644</v>
      </c>
    </row>
    <row r="1183" spans="1:3" x14ac:dyDescent="0.35">
      <c r="A1183" t="s">
        <v>308</v>
      </c>
      <c r="B1183" t="s">
        <v>642</v>
      </c>
      <c r="C1183" t="s">
        <v>645</v>
      </c>
    </row>
    <row r="1184" spans="1:3" x14ac:dyDescent="0.35">
      <c r="A1184" t="s">
        <v>308</v>
      </c>
      <c r="B1184" t="s">
        <v>1246</v>
      </c>
      <c r="C1184" t="s">
        <v>1247</v>
      </c>
    </row>
    <row r="1185" spans="1:3" x14ac:dyDescent="0.35">
      <c r="A1185" t="s">
        <v>308</v>
      </c>
      <c r="B1185" t="s">
        <v>1246</v>
      </c>
      <c r="C1185" t="s">
        <v>1248</v>
      </c>
    </row>
    <row r="1186" spans="1:3" x14ac:dyDescent="0.35">
      <c r="A1186" t="s">
        <v>308</v>
      </c>
      <c r="B1186" t="s">
        <v>965</v>
      </c>
      <c r="C1186" t="s">
        <v>966</v>
      </c>
    </row>
    <row r="1187" spans="1:3" x14ac:dyDescent="0.35">
      <c r="A1187" t="s">
        <v>308</v>
      </c>
      <c r="B1187" t="s">
        <v>965</v>
      </c>
      <c r="C1187" t="s">
        <v>967</v>
      </c>
    </row>
    <row r="1188" spans="1:3" x14ac:dyDescent="0.35">
      <c r="A1188" t="s">
        <v>308</v>
      </c>
      <c r="B1188" t="s">
        <v>316</v>
      </c>
      <c r="C1188" t="s">
        <v>317</v>
      </c>
    </row>
    <row r="1189" spans="1:3" x14ac:dyDescent="0.35">
      <c r="A1189" t="s">
        <v>308</v>
      </c>
      <c r="B1189" t="s">
        <v>316</v>
      </c>
      <c r="C1189" t="s">
        <v>318</v>
      </c>
    </row>
    <row r="1190" spans="1:3" x14ac:dyDescent="0.35">
      <c r="A1190" t="s">
        <v>308</v>
      </c>
      <c r="B1190" t="s">
        <v>316</v>
      </c>
      <c r="C1190" t="s">
        <v>319</v>
      </c>
    </row>
    <row r="1191" spans="1:3" x14ac:dyDescent="0.35">
      <c r="A1191" t="s">
        <v>308</v>
      </c>
      <c r="B1191" t="s">
        <v>316</v>
      </c>
      <c r="C1191" t="s">
        <v>1322</v>
      </c>
    </row>
    <row r="1192" spans="1:3" x14ac:dyDescent="0.35">
      <c r="A1192" t="s">
        <v>308</v>
      </c>
      <c r="B1192" t="s">
        <v>316</v>
      </c>
      <c r="C1192" t="s">
        <v>1323</v>
      </c>
    </row>
    <row r="1193" spans="1:3" x14ac:dyDescent="0.35">
      <c r="A1193" t="s">
        <v>308</v>
      </c>
      <c r="B1193" t="s">
        <v>320</v>
      </c>
      <c r="C1193" t="s">
        <v>321</v>
      </c>
    </row>
    <row r="1194" spans="1:3" x14ac:dyDescent="0.35">
      <c r="A1194" t="s">
        <v>308</v>
      </c>
      <c r="B1194" t="s">
        <v>320</v>
      </c>
      <c r="C1194" t="s">
        <v>322</v>
      </c>
    </row>
    <row r="1195" spans="1:3" x14ac:dyDescent="0.35">
      <c r="A1195" t="s">
        <v>308</v>
      </c>
      <c r="B1195" t="s">
        <v>320</v>
      </c>
      <c r="C1195" t="s">
        <v>323</v>
      </c>
    </row>
    <row r="1196" spans="1:3" x14ac:dyDescent="0.35">
      <c r="A1196" t="s">
        <v>308</v>
      </c>
      <c r="B1196" t="s">
        <v>324</v>
      </c>
      <c r="C1196" t="s">
        <v>325</v>
      </c>
    </row>
    <row r="1197" spans="1:3" x14ac:dyDescent="0.35">
      <c r="A1197" t="s">
        <v>308</v>
      </c>
      <c r="B1197" t="s">
        <v>324</v>
      </c>
      <c r="C1197" t="s">
        <v>326</v>
      </c>
    </row>
    <row r="1198" spans="1:3" x14ac:dyDescent="0.35">
      <c r="A1198" t="s">
        <v>308</v>
      </c>
      <c r="B1198" t="s">
        <v>324</v>
      </c>
      <c r="C1198" t="s">
        <v>327</v>
      </c>
    </row>
    <row r="1199" spans="1:3" x14ac:dyDescent="0.35">
      <c r="A1199" t="s">
        <v>308</v>
      </c>
      <c r="B1199" t="s">
        <v>324</v>
      </c>
      <c r="C1199" t="s">
        <v>328</v>
      </c>
    </row>
    <row r="1200" spans="1:3" x14ac:dyDescent="0.35">
      <c r="A1200" t="s">
        <v>308</v>
      </c>
      <c r="B1200" t="s">
        <v>324</v>
      </c>
      <c r="C1200" t="s">
        <v>329</v>
      </c>
    </row>
    <row r="1201" spans="1:3" x14ac:dyDescent="0.35">
      <c r="A1201" t="s">
        <v>308</v>
      </c>
      <c r="B1201" t="s">
        <v>324</v>
      </c>
      <c r="C1201" t="s">
        <v>330</v>
      </c>
    </row>
    <row r="1202" spans="1:3" x14ac:dyDescent="0.35">
      <c r="A1202" t="s">
        <v>308</v>
      </c>
      <c r="B1202" t="s">
        <v>324</v>
      </c>
      <c r="C1202" t="s">
        <v>331</v>
      </c>
    </row>
    <row r="1203" spans="1:3" x14ac:dyDescent="0.35">
      <c r="A1203" t="s">
        <v>308</v>
      </c>
      <c r="B1203" t="s">
        <v>324</v>
      </c>
      <c r="C1203" t="s">
        <v>332</v>
      </c>
    </row>
    <row r="1204" spans="1:3" x14ac:dyDescent="0.35">
      <c r="A1204" t="s">
        <v>308</v>
      </c>
      <c r="B1204" t="s">
        <v>324</v>
      </c>
      <c r="C1204" t="s">
        <v>333</v>
      </c>
    </row>
    <row r="1205" spans="1:3" x14ac:dyDescent="0.35">
      <c r="A1205" t="s">
        <v>308</v>
      </c>
      <c r="B1205" t="s">
        <v>324</v>
      </c>
      <c r="C1205" t="s">
        <v>334</v>
      </c>
    </row>
    <row r="1206" spans="1:3" x14ac:dyDescent="0.35">
      <c r="A1206" t="s">
        <v>308</v>
      </c>
      <c r="B1206" t="s">
        <v>324</v>
      </c>
      <c r="C1206" t="s">
        <v>335</v>
      </c>
    </row>
    <row r="1207" spans="1:3" x14ac:dyDescent="0.35">
      <c r="A1207" t="s">
        <v>308</v>
      </c>
      <c r="B1207" t="s">
        <v>324</v>
      </c>
      <c r="C1207" t="s">
        <v>336</v>
      </c>
    </row>
    <row r="1208" spans="1:3" x14ac:dyDescent="0.35">
      <c r="A1208" t="s">
        <v>308</v>
      </c>
      <c r="B1208" t="s">
        <v>324</v>
      </c>
      <c r="C1208" t="s">
        <v>337</v>
      </c>
    </row>
    <row r="1209" spans="1:3" x14ac:dyDescent="0.35">
      <c r="A1209" t="s">
        <v>308</v>
      </c>
      <c r="B1209" t="s">
        <v>338</v>
      </c>
      <c r="C1209" t="s">
        <v>339</v>
      </c>
    </row>
    <row r="1210" spans="1:3" x14ac:dyDescent="0.35">
      <c r="A1210" t="s">
        <v>308</v>
      </c>
      <c r="B1210" t="s">
        <v>338</v>
      </c>
      <c r="C1210" t="s">
        <v>340</v>
      </c>
    </row>
    <row r="1211" spans="1:3" x14ac:dyDescent="0.35">
      <c r="A1211" t="s">
        <v>308</v>
      </c>
      <c r="B1211" t="s">
        <v>1150</v>
      </c>
      <c r="C1211" t="s">
        <v>1151</v>
      </c>
    </row>
    <row r="1212" spans="1:3" x14ac:dyDescent="0.35">
      <c r="A1212" t="s">
        <v>308</v>
      </c>
      <c r="B1212" t="s">
        <v>1150</v>
      </c>
      <c r="C1212" t="s">
        <v>1152</v>
      </c>
    </row>
    <row r="1213" spans="1:3" x14ac:dyDescent="0.35">
      <c r="A1213" t="s">
        <v>308</v>
      </c>
      <c r="B1213" t="s">
        <v>1153</v>
      </c>
      <c r="C1213" t="s">
        <v>1154</v>
      </c>
    </row>
    <row r="1214" spans="1:3" x14ac:dyDescent="0.35">
      <c r="A1214" t="s">
        <v>308</v>
      </c>
      <c r="B1214" t="s">
        <v>1153</v>
      </c>
      <c r="C1214" t="s">
        <v>1155</v>
      </c>
    </row>
    <row r="1215" spans="1:3" x14ac:dyDescent="0.35">
      <c r="A1215" t="s">
        <v>308</v>
      </c>
      <c r="B1215" t="s">
        <v>341</v>
      </c>
      <c r="C1215" t="s">
        <v>342</v>
      </c>
    </row>
    <row r="1216" spans="1:3" x14ac:dyDescent="0.35">
      <c r="A1216" t="s">
        <v>308</v>
      </c>
      <c r="B1216" t="s">
        <v>341</v>
      </c>
      <c r="C1216" t="s">
        <v>343</v>
      </c>
    </row>
    <row r="1217" spans="1:3" x14ac:dyDescent="0.35">
      <c r="A1217" t="s">
        <v>308</v>
      </c>
      <c r="B1217" t="s">
        <v>341</v>
      </c>
      <c r="C1217" t="s">
        <v>344</v>
      </c>
    </row>
    <row r="1218" spans="1:3" x14ac:dyDescent="0.35">
      <c r="A1218" t="s">
        <v>308</v>
      </c>
      <c r="B1218" t="s">
        <v>341</v>
      </c>
      <c r="C1218" t="s">
        <v>345</v>
      </c>
    </row>
    <row r="1219" spans="1:3" x14ac:dyDescent="0.35">
      <c r="A1219" t="s">
        <v>308</v>
      </c>
      <c r="B1219" t="s">
        <v>341</v>
      </c>
      <c r="C1219" t="s">
        <v>346</v>
      </c>
    </row>
    <row r="1220" spans="1:3" x14ac:dyDescent="0.35">
      <c r="A1220" t="s">
        <v>308</v>
      </c>
      <c r="B1220" t="s">
        <v>341</v>
      </c>
      <c r="C1220" t="s">
        <v>347</v>
      </c>
    </row>
    <row r="1221" spans="1:3" x14ac:dyDescent="0.35">
      <c r="A1221" t="s">
        <v>308</v>
      </c>
      <c r="B1221" t="s">
        <v>341</v>
      </c>
      <c r="C1221" t="s">
        <v>348</v>
      </c>
    </row>
    <row r="1222" spans="1:3" x14ac:dyDescent="0.35">
      <c r="A1222" t="s">
        <v>308</v>
      </c>
      <c r="B1222" t="s">
        <v>341</v>
      </c>
      <c r="C1222" t="s">
        <v>349</v>
      </c>
    </row>
    <row r="1223" spans="1:3" x14ac:dyDescent="0.35">
      <c r="A1223" t="s">
        <v>308</v>
      </c>
      <c r="B1223" t="s">
        <v>341</v>
      </c>
      <c r="C1223" t="s">
        <v>350</v>
      </c>
    </row>
    <row r="1224" spans="1:3" x14ac:dyDescent="0.35">
      <c r="A1224" t="s">
        <v>308</v>
      </c>
      <c r="B1224" t="s">
        <v>341</v>
      </c>
      <c r="C1224" t="s">
        <v>351</v>
      </c>
    </row>
    <row r="1225" spans="1:3" x14ac:dyDescent="0.35">
      <c r="A1225" t="s">
        <v>308</v>
      </c>
      <c r="B1225" t="s">
        <v>341</v>
      </c>
      <c r="C1225" t="s">
        <v>352</v>
      </c>
    </row>
    <row r="1226" spans="1:3" x14ac:dyDescent="0.35">
      <c r="A1226" t="s">
        <v>308</v>
      </c>
      <c r="B1226" t="s">
        <v>341</v>
      </c>
      <c r="C1226" t="s">
        <v>353</v>
      </c>
    </row>
    <row r="1227" spans="1:3" x14ac:dyDescent="0.35">
      <c r="A1227" t="s">
        <v>308</v>
      </c>
      <c r="B1227" t="s">
        <v>341</v>
      </c>
      <c r="C1227" t="s">
        <v>354</v>
      </c>
    </row>
    <row r="1228" spans="1:3" x14ac:dyDescent="0.35">
      <c r="A1228" t="s">
        <v>308</v>
      </c>
      <c r="B1228" t="s">
        <v>355</v>
      </c>
      <c r="C1228" t="s">
        <v>356</v>
      </c>
    </row>
    <row r="1229" spans="1:3" x14ac:dyDescent="0.35">
      <c r="A1229" t="s">
        <v>308</v>
      </c>
      <c r="B1229" t="s">
        <v>355</v>
      </c>
      <c r="C1229" t="s">
        <v>357</v>
      </c>
    </row>
    <row r="1230" spans="1:3" x14ac:dyDescent="0.35">
      <c r="A1230" t="s">
        <v>308</v>
      </c>
      <c r="B1230" t="s">
        <v>355</v>
      </c>
      <c r="C1230" t="s">
        <v>358</v>
      </c>
    </row>
    <row r="1231" spans="1:3" x14ac:dyDescent="0.35">
      <c r="A1231" t="s">
        <v>308</v>
      </c>
      <c r="B1231" t="s">
        <v>355</v>
      </c>
      <c r="C1231" t="s">
        <v>359</v>
      </c>
    </row>
    <row r="1232" spans="1:3" x14ac:dyDescent="0.35">
      <c r="A1232" t="s">
        <v>308</v>
      </c>
      <c r="B1232" t="s">
        <v>355</v>
      </c>
      <c r="C1232" t="s">
        <v>360</v>
      </c>
    </row>
    <row r="1233" spans="1:3" x14ac:dyDescent="0.35">
      <c r="A1233" t="s">
        <v>308</v>
      </c>
      <c r="B1233" t="s">
        <v>355</v>
      </c>
      <c r="C1233" t="s">
        <v>361</v>
      </c>
    </row>
    <row r="1234" spans="1:3" x14ac:dyDescent="0.35">
      <c r="A1234" t="s">
        <v>308</v>
      </c>
      <c r="B1234" t="s">
        <v>355</v>
      </c>
      <c r="C1234" t="s">
        <v>362</v>
      </c>
    </row>
    <row r="1235" spans="1:3" x14ac:dyDescent="0.35">
      <c r="A1235" t="s">
        <v>308</v>
      </c>
      <c r="B1235" t="s">
        <v>355</v>
      </c>
      <c r="C1235" t="s">
        <v>363</v>
      </c>
    </row>
    <row r="1236" spans="1:3" x14ac:dyDescent="0.35">
      <c r="A1236" t="s">
        <v>308</v>
      </c>
      <c r="B1236" t="s">
        <v>355</v>
      </c>
      <c r="C1236" t="s">
        <v>364</v>
      </c>
    </row>
    <row r="1237" spans="1:3" x14ac:dyDescent="0.35">
      <c r="A1237" t="s">
        <v>308</v>
      </c>
      <c r="B1237" t="s">
        <v>355</v>
      </c>
      <c r="C1237" t="s">
        <v>365</v>
      </c>
    </row>
    <row r="1238" spans="1:3" x14ac:dyDescent="0.35">
      <c r="A1238" t="s">
        <v>308</v>
      </c>
      <c r="B1238" t="s">
        <v>355</v>
      </c>
      <c r="C1238" t="s">
        <v>366</v>
      </c>
    </row>
    <row r="1239" spans="1:3" x14ac:dyDescent="0.35">
      <c r="A1239" t="s">
        <v>308</v>
      </c>
      <c r="B1239" t="s">
        <v>355</v>
      </c>
      <c r="C1239" t="s">
        <v>367</v>
      </c>
    </row>
    <row r="1240" spans="1:3" x14ac:dyDescent="0.35">
      <c r="A1240" t="s">
        <v>308</v>
      </c>
      <c r="B1240" t="s">
        <v>355</v>
      </c>
      <c r="C1240" t="s">
        <v>368</v>
      </c>
    </row>
    <row r="1241" spans="1:3" x14ac:dyDescent="0.35">
      <c r="A1241" t="s">
        <v>308</v>
      </c>
      <c r="B1241" t="s">
        <v>355</v>
      </c>
      <c r="C1241" t="s">
        <v>369</v>
      </c>
    </row>
    <row r="1242" spans="1:3" x14ac:dyDescent="0.35">
      <c r="A1242" t="s">
        <v>308</v>
      </c>
      <c r="B1242" t="s">
        <v>355</v>
      </c>
      <c r="C1242" t="s">
        <v>370</v>
      </c>
    </row>
    <row r="1243" spans="1:3" x14ac:dyDescent="0.35">
      <c r="A1243" t="s">
        <v>308</v>
      </c>
      <c r="B1243" t="s">
        <v>355</v>
      </c>
      <c r="C1243" t="s">
        <v>371</v>
      </c>
    </row>
    <row r="1244" spans="1:3" x14ac:dyDescent="0.35">
      <c r="A1244" t="s">
        <v>308</v>
      </c>
      <c r="B1244" t="s">
        <v>355</v>
      </c>
      <c r="C1244" t="s">
        <v>372</v>
      </c>
    </row>
    <row r="1245" spans="1:3" x14ac:dyDescent="0.35">
      <c r="A1245" t="s">
        <v>308</v>
      </c>
      <c r="B1245" t="s">
        <v>355</v>
      </c>
      <c r="C1245" t="s">
        <v>373</v>
      </c>
    </row>
    <row r="1246" spans="1:3" x14ac:dyDescent="0.35">
      <c r="A1246" t="s">
        <v>308</v>
      </c>
      <c r="B1246" t="s">
        <v>355</v>
      </c>
      <c r="C1246" t="s">
        <v>374</v>
      </c>
    </row>
    <row r="1247" spans="1:3" x14ac:dyDescent="0.35">
      <c r="A1247" t="s">
        <v>308</v>
      </c>
      <c r="B1247" t="s">
        <v>355</v>
      </c>
      <c r="C1247" t="s">
        <v>375</v>
      </c>
    </row>
    <row r="1248" spans="1:3" x14ac:dyDescent="0.35">
      <c r="A1248" t="s">
        <v>308</v>
      </c>
      <c r="B1248" t="s">
        <v>355</v>
      </c>
      <c r="C1248" t="s">
        <v>376</v>
      </c>
    </row>
    <row r="1249" spans="1:3" x14ac:dyDescent="0.35">
      <c r="A1249" t="s">
        <v>308</v>
      </c>
      <c r="B1249" t="s">
        <v>355</v>
      </c>
      <c r="C1249" t="s">
        <v>377</v>
      </c>
    </row>
    <row r="1250" spans="1:3" x14ac:dyDescent="0.35">
      <c r="A1250" t="s">
        <v>308</v>
      </c>
      <c r="B1250" t="s">
        <v>355</v>
      </c>
      <c r="C1250" t="s">
        <v>378</v>
      </c>
    </row>
    <row r="1251" spans="1:3" x14ac:dyDescent="0.35">
      <c r="A1251" t="s">
        <v>308</v>
      </c>
      <c r="B1251" t="s">
        <v>355</v>
      </c>
      <c r="C1251" t="s">
        <v>379</v>
      </c>
    </row>
    <row r="1252" spans="1:3" x14ac:dyDescent="0.35">
      <c r="A1252" t="s">
        <v>308</v>
      </c>
      <c r="B1252" t="s">
        <v>355</v>
      </c>
      <c r="C1252" t="s">
        <v>380</v>
      </c>
    </row>
    <row r="1253" spans="1:3" x14ac:dyDescent="0.35">
      <c r="A1253" t="s">
        <v>308</v>
      </c>
      <c r="B1253" t="s">
        <v>355</v>
      </c>
      <c r="C1253" t="s">
        <v>381</v>
      </c>
    </row>
    <row r="1254" spans="1:3" x14ac:dyDescent="0.35">
      <c r="A1254" t="s">
        <v>308</v>
      </c>
      <c r="B1254" t="s">
        <v>355</v>
      </c>
      <c r="C1254" t="s">
        <v>382</v>
      </c>
    </row>
    <row r="1255" spans="1:3" x14ac:dyDescent="0.35">
      <c r="A1255" t="s">
        <v>308</v>
      </c>
      <c r="B1255" t="s">
        <v>355</v>
      </c>
      <c r="C1255" t="s">
        <v>383</v>
      </c>
    </row>
    <row r="1256" spans="1:3" x14ac:dyDescent="0.35">
      <c r="A1256" t="s">
        <v>308</v>
      </c>
      <c r="B1256" t="s">
        <v>355</v>
      </c>
      <c r="C1256" t="s">
        <v>384</v>
      </c>
    </row>
    <row r="1257" spans="1:3" x14ac:dyDescent="0.35">
      <c r="A1257" t="s">
        <v>308</v>
      </c>
      <c r="B1257" t="s">
        <v>355</v>
      </c>
      <c r="C1257" t="s">
        <v>385</v>
      </c>
    </row>
    <row r="1258" spans="1:3" x14ac:dyDescent="0.35">
      <c r="A1258" t="s">
        <v>308</v>
      </c>
      <c r="B1258" t="s">
        <v>355</v>
      </c>
      <c r="C1258" t="s">
        <v>386</v>
      </c>
    </row>
    <row r="1259" spans="1:3" x14ac:dyDescent="0.35">
      <c r="A1259" t="s">
        <v>308</v>
      </c>
      <c r="B1259" t="s">
        <v>355</v>
      </c>
      <c r="C1259" t="s">
        <v>387</v>
      </c>
    </row>
    <row r="1260" spans="1:3" x14ac:dyDescent="0.35">
      <c r="A1260" t="s">
        <v>308</v>
      </c>
      <c r="B1260" t="s">
        <v>355</v>
      </c>
      <c r="C1260" t="s">
        <v>388</v>
      </c>
    </row>
    <row r="1261" spans="1:3" x14ac:dyDescent="0.35">
      <c r="A1261" t="s">
        <v>308</v>
      </c>
      <c r="B1261" t="s">
        <v>355</v>
      </c>
      <c r="C1261" t="s">
        <v>389</v>
      </c>
    </row>
    <row r="1262" spans="1:3" x14ac:dyDescent="0.35">
      <c r="A1262" t="s">
        <v>308</v>
      </c>
      <c r="B1262" t="s">
        <v>355</v>
      </c>
      <c r="C1262" t="s">
        <v>390</v>
      </c>
    </row>
    <row r="1263" spans="1:3" x14ac:dyDescent="0.35">
      <c r="A1263" t="s">
        <v>308</v>
      </c>
      <c r="B1263" t="s">
        <v>355</v>
      </c>
      <c r="C1263" t="s">
        <v>391</v>
      </c>
    </row>
    <row r="1264" spans="1:3" x14ac:dyDescent="0.35">
      <c r="A1264" t="s">
        <v>308</v>
      </c>
      <c r="B1264" t="s">
        <v>355</v>
      </c>
      <c r="C1264" t="s">
        <v>392</v>
      </c>
    </row>
    <row r="1265" spans="1:3" x14ac:dyDescent="0.35">
      <c r="A1265" t="s">
        <v>308</v>
      </c>
      <c r="B1265" t="s">
        <v>355</v>
      </c>
      <c r="C1265" t="s">
        <v>393</v>
      </c>
    </row>
    <row r="1266" spans="1:3" x14ac:dyDescent="0.35">
      <c r="A1266" t="s">
        <v>308</v>
      </c>
      <c r="B1266" t="s">
        <v>355</v>
      </c>
      <c r="C1266" t="s">
        <v>394</v>
      </c>
    </row>
    <row r="1267" spans="1:3" x14ac:dyDescent="0.35">
      <c r="A1267" t="s">
        <v>308</v>
      </c>
      <c r="B1267" t="s">
        <v>355</v>
      </c>
      <c r="C1267" t="s">
        <v>395</v>
      </c>
    </row>
    <row r="1268" spans="1:3" x14ac:dyDescent="0.35">
      <c r="A1268" t="s">
        <v>308</v>
      </c>
      <c r="B1268" t="s">
        <v>355</v>
      </c>
      <c r="C1268" t="s">
        <v>396</v>
      </c>
    </row>
    <row r="1269" spans="1:3" x14ac:dyDescent="0.35">
      <c r="A1269" t="s">
        <v>308</v>
      </c>
      <c r="B1269" t="s">
        <v>355</v>
      </c>
      <c r="C1269" t="s">
        <v>397</v>
      </c>
    </row>
    <row r="1270" spans="1:3" x14ac:dyDescent="0.35">
      <c r="A1270" t="s">
        <v>308</v>
      </c>
      <c r="B1270" t="s">
        <v>355</v>
      </c>
      <c r="C1270" t="s">
        <v>398</v>
      </c>
    </row>
    <row r="1271" spans="1:3" x14ac:dyDescent="0.35">
      <c r="A1271" t="s">
        <v>308</v>
      </c>
      <c r="B1271" t="s">
        <v>355</v>
      </c>
      <c r="C1271" t="s">
        <v>399</v>
      </c>
    </row>
    <row r="1272" spans="1:3" x14ac:dyDescent="0.35">
      <c r="A1272" t="s">
        <v>308</v>
      </c>
      <c r="B1272" t="s">
        <v>355</v>
      </c>
      <c r="C1272" t="s">
        <v>400</v>
      </c>
    </row>
    <row r="1273" spans="1:3" x14ac:dyDescent="0.35">
      <c r="A1273" t="s">
        <v>308</v>
      </c>
      <c r="B1273" t="s">
        <v>355</v>
      </c>
      <c r="C1273" t="s">
        <v>401</v>
      </c>
    </row>
    <row r="1274" spans="1:3" x14ac:dyDescent="0.35">
      <c r="A1274" t="s">
        <v>308</v>
      </c>
      <c r="B1274" t="s">
        <v>355</v>
      </c>
      <c r="C1274" t="s">
        <v>402</v>
      </c>
    </row>
    <row r="1275" spans="1:3" x14ac:dyDescent="0.35">
      <c r="A1275" t="s">
        <v>308</v>
      </c>
      <c r="B1275" t="s">
        <v>355</v>
      </c>
      <c r="C1275" t="s">
        <v>403</v>
      </c>
    </row>
    <row r="1276" spans="1:3" x14ac:dyDescent="0.35">
      <c r="A1276" t="s">
        <v>308</v>
      </c>
      <c r="B1276" t="s">
        <v>355</v>
      </c>
      <c r="C1276" t="s">
        <v>404</v>
      </c>
    </row>
    <row r="1277" spans="1:3" x14ac:dyDescent="0.35">
      <c r="A1277" t="s">
        <v>308</v>
      </c>
      <c r="B1277" t="s">
        <v>355</v>
      </c>
      <c r="C1277" t="s">
        <v>405</v>
      </c>
    </row>
    <row r="1278" spans="1:3" x14ac:dyDescent="0.35">
      <c r="A1278" t="s">
        <v>308</v>
      </c>
      <c r="B1278" t="s">
        <v>355</v>
      </c>
      <c r="C1278" t="s">
        <v>406</v>
      </c>
    </row>
    <row r="1279" spans="1:3" x14ac:dyDescent="0.35">
      <c r="A1279" t="s">
        <v>308</v>
      </c>
      <c r="B1279" t="s">
        <v>355</v>
      </c>
      <c r="C1279" t="s">
        <v>407</v>
      </c>
    </row>
    <row r="1280" spans="1:3" x14ac:dyDescent="0.35">
      <c r="A1280" t="s">
        <v>308</v>
      </c>
      <c r="B1280" t="s">
        <v>355</v>
      </c>
      <c r="C1280" t="s">
        <v>408</v>
      </c>
    </row>
    <row r="1281" spans="1:3" x14ac:dyDescent="0.35">
      <c r="A1281" t="s">
        <v>308</v>
      </c>
      <c r="B1281" t="s">
        <v>355</v>
      </c>
      <c r="C1281" t="s">
        <v>409</v>
      </c>
    </row>
    <row r="1282" spans="1:3" x14ac:dyDescent="0.35">
      <c r="A1282" t="s">
        <v>308</v>
      </c>
      <c r="B1282" t="s">
        <v>355</v>
      </c>
      <c r="C1282" t="s">
        <v>410</v>
      </c>
    </row>
    <row r="1283" spans="1:3" x14ac:dyDescent="0.35">
      <c r="A1283" t="s">
        <v>308</v>
      </c>
      <c r="B1283" t="s">
        <v>355</v>
      </c>
      <c r="C1283" t="s">
        <v>411</v>
      </c>
    </row>
    <row r="1284" spans="1:3" x14ac:dyDescent="0.35">
      <c r="A1284" t="s">
        <v>308</v>
      </c>
      <c r="B1284" t="s">
        <v>355</v>
      </c>
      <c r="C1284" t="s">
        <v>412</v>
      </c>
    </row>
    <row r="1285" spans="1:3" x14ac:dyDescent="0.35">
      <c r="A1285" t="s">
        <v>308</v>
      </c>
      <c r="B1285" t="s">
        <v>355</v>
      </c>
      <c r="C1285" t="s">
        <v>413</v>
      </c>
    </row>
    <row r="1286" spans="1:3" x14ac:dyDescent="0.35">
      <c r="A1286" t="s">
        <v>308</v>
      </c>
      <c r="B1286" t="s">
        <v>355</v>
      </c>
      <c r="C1286" t="s">
        <v>414</v>
      </c>
    </row>
    <row r="1287" spans="1:3" x14ac:dyDescent="0.35">
      <c r="A1287" t="s">
        <v>308</v>
      </c>
      <c r="B1287" t="s">
        <v>355</v>
      </c>
      <c r="C1287" t="s">
        <v>415</v>
      </c>
    </row>
    <row r="1288" spans="1:3" x14ac:dyDescent="0.35">
      <c r="A1288" t="s">
        <v>308</v>
      </c>
      <c r="B1288" t="s">
        <v>355</v>
      </c>
      <c r="C1288" t="s">
        <v>416</v>
      </c>
    </row>
    <row r="1289" spans="1:3" x14ac:dyDescent="0.35">
      <c r="A1289" t="s">
        <v>308</v>
      </c>
      <c r="B1289" t="s">
        <v>355</v>
      </c>
      <c r="C1289" t="s">
        <v>417</v>
      </c>
    </row>
    <row r="1290" spans="1:3" x14ac:dyDescent="0.35">
      <c r="A1290" t="s">
        <v>308</v>
      </c>
      <c r="B1290" t="s">
        <v>355</v>
      </c>
      <c r="C1290" t="s">
        <v>418</v>
      </c>
    </row>
    <row r="1291" spans="1:3" x14ac:dyDescent="0.35">
      <c r="A1291" t="s">
        <v>308</v>
      </c>
      <c r="B1291" t="s">
        <v>355</v>
      </c>
      <c r="C1291" t="s">
        <v>419</v>
      </c>
    </row>
    <row r="1292" spans="1:3" x14ac:dyDescent="0.35">
      <c r="A1292" t="s">
        <v>308</v>
      </c>
      <c r="B1292" t="s">
        <v>355</v>
      </c>
      <c r="C1292" t="s">
        <v>420</v>
      </c>
    </row>
    <row r="1293" spans="1:3" x14ac:dyDescent="0.35">
      <c r="A1293" t="s">
        <v>308</v>
      </c>
      <c r="B1293" t="s">
        <v>355</v>
      </c>
      <c r="C1293" t="s">
        <v>421</v>
      </c>
    </row>
    <row r="1294" spans="1:3" x14ac:dyDescent="0.35">
      <c r="A1294" t="s">
        <v>308</v>
      </c>
      <c r="B1294" t="s">
        <v>355</v>
      </c>
      <c r="C1294" t="s">
        <v>422</v>
      </c>
    </row>
    <row r="1295" spans="1:3" x14ac:dyDescent="0.35">
      <c r="A1295" t="s">
        <v>308</v>
      </c>
      <c r="B1295" t="s">
        <v>355</v>
      </c>
      <c r="C1295" t="s">
        <v>423</v>
      </c>
    </row>
    <row r="1296" spans="1:3" x14ac:dyDescent="0.35">
      <c r="A1296" t="s">
        <v>308</v>
      </c>
      <c r="B1296" t="s">
        <v>355</v>
      </c>
      <c r="C1296" t="s">
        <v>424</v>
      </c>
    </row>
    <row r="1297" spans="1:3" x14ac:dyDescent="0.35">
      <c r="A1297" t="s">
        <v>308</v>
      </c>
      <c r="B1297" t="s">
        <v>355</v>
      </c>
      <c r="C1297" t="s">
        <v>425</v>
      </c>
    </row>
    <row r="1298" spans="1:3" x14ac:dyDescent="0.35">
      <c r="A1298" t="s">
        <v>308</v>
      </c>
      <c r="B1298" t="s">
        <v>355</v>
      </c>
      <c r="C1298" t="s">
        <v>426</v>
      </c>
    </row>
    <row r="1299" spans="1:3" x14ac:dyDescent="0.35">
      <c r="A1299" t="s">
        <v>308</v>
      </c>
      <c r="B1299" t="s">
        <v>355</v>
      </c>
      <c r="C1299" t="s">
        <v>427</v>
      </c>
    </row>
    <row r="1300" spans="1:3" x14ac:dyDescent="0.35">
      <c r="A1300" t="s">
        <v>308</v>
      </c>
      <c r="B1300" t="s">
        <v>355</v>
      </c>
      <c r="C1300" t="s">
        <v>428</v>
      </c>
    </row>
    <row r="1301" spans="1:3" x14ac:dyDescent="0.35">
      <c r="A1301" t="s">
        <v>308</v>
      </c>
      <c r="B1301" t="s">
        <v>1156</v>
      </c>
      <c r="C1301" t="s">
        <v>1157</v>
      </c>
    </row>
    <row r="1302" spans="1:3" x14ac:dyDescent="0.35">
      <c r="A1302" t="s">
        <v>308</v>
      </c>
      <c r="B1302" t="s">
        <v>1156</v>
      </c>
      <c r="C1302" t="s">
        <v>1158</v>
      </c>
    </row>
    <row r="1303" spans="1:3" x14ac:dyDescent="0.35">
      <c r="A1303" t="s">
        <v>308</v>
      </c>
      <c r="B1303" t="s">
        <v>1156</v>
      </c>
      <c r="C1303" t="s">
        <v>1159</v>
      </c>
    </row>
    <row r="1304" spans="1:3" x14ac:dyDescent="0.35">
      <c r="A1304" t="s">
        <v>308</v>
      </c>
      <c r="B1304" t="s">
        <v>1160</v>
      </c>
      <c r="C1304" t="s">
        <v>1161</v>
      </c>
    </row>
    <row r="1305" spans="1:3" x14ac:dyDescent="0.35">
      <c r="A1305" t="s">
        <v>308</v>
      </c>
      <c r="B1305" t="s">
        <v>1160</v>
      </c>
      <c r="C1305" t="s">
        <v>1162</v>
      </c>
    </row>
    <row r="1306" spans="1:3" x14ac:dyDescent="0.35">
      <c r="A1306" t="s">
        <v>308</v>
      </c>
      <c r="B1306" t="s">
        <v>1775</v>
      </c>
      <c r="C1306" t="s">
        <v>1776</v>
      </c>
    </row>
    <row r="1307" spans="1:3" x14ac:dyDescent="0.35">
      <c r="A1307" t="s">
        <v>308</v>
      </c>
      <c r="B1307" t="s">
        <v>1775</v>
      </c>
      <c r="C1307" t="s">
        <v>1777</v>
      </c>
    </row>
    <row r="1308" spans="1:3" x14ac:dyDescent="0.35">
      <c r="A1308" t="s">
        <v>308</v>
      </c>
      <c r="B1308" t="s">
        <v>1775</v>
      </c>
      <c r="C1308" t="s">
        <v>1778</v>
      </c>
    </row>
    <row r="1309" spans="1:3" x14ac:dyDescent="0.35">
      <c r="A1309" t="s">
        <v>308</v>
      </c>
      <c r="B1309" t="s">
        <v>1008</v>
      </c>
      <c r="C1309" t="s">
        <v>1009</v>
      </c>
    </row>
    <row r="1310" spans="1:3" x14ac:dyDescent="0.35">
      <c r="A1310" t="s">
        <v>308</v>
      </c>
      <c r="B1310" t="s">
        <v>1008</v>
      </c>
      <c r="C1310" t="s">
        <v>1324</v>
      </c>
    </row>
    <row r="1311" spans="1:3" x14ac:dyDescent="0.35">
      <c r="A1311" t="s">
        <v>308</v>
      </c>
      <c r="B1311" t="s">
        <v>1008</v>
      </c>
      <c r="C1311" t="s">
        <v>1010</v>
      </c>
    </row>
    <row r="1312" spans="1:3" x14ac:dyDescent="0.35">
      <c r="A1312" t="s">
        <v>308</v>
      </c>
      <c r="B1312" t="s">
        <v>1008</v>
      </c>
      <c r="C1312" t="s">
        <v>1011</v>
      </c>
    </row>
    <row r="1313" spans="1:3" x14ac:dyDescent="0.35">
      <c r="A1313" t="s">
        <v>308</v>
      </c>
      <c r="B1313" t="s">
        <v>1008</v>
      </c>
      <c r="C1313" t="s">
        <v>1012</v>
      </c>
    </row>
    <row r="1314" spans="1:3" x14ac:dyDescent="0.35">
      <c r="A1314" t="s">
        <v>308</v>
      </c>
      <c r="B1314" t="s">
        <v>1008</v>
      </c>
      <c r="C1314" t="s">
        <v>1325</v>
      </c>
    </row>
    <row r="1315" spans="1:3" x14ac:dyDescent="0.35">
      <c r="A1315" t="s">
        <v>308</v>
      </c>
      <c r="B1315" t="s">
        <v>1008</v>
      </c>
      <c r="C1315" t="s">
        <v>1326</v>
      </c>
    </row>
    <row r="1316" spans="1:3" x14ac:dyDescent="0.35">
      <c r="A1316" t="s">
        <v>308</v>
      </c>
      <c r="B1316" t="s">
        <v>1008</v>
      </c>
      <c r="C1316" t="s">
        <v>1327</v>
      </c>
    </row>
    <row r="1317" spans="1:3" x14ac:dyDescent="0.35">
      <c r="A1317" t="s">
        <v>308</v>
      </c>
      <c r="B1317" t="s">
        <v>1008</v>
      </c>
      <c r="C1317" t="s">
        <v>1013</v>
      </c>
    </row>
    <row r="1318" spans="1:3" x14ac:dyDescent="0.35">
      <c r="A1318" t="s">
        <v>308</v>
      </c>
      <c r="B1318" t="s">
        <v>1008</v>
      </c>
      <c r="C1318" t="s">
        <v>1014</v>
      </c>
    </row>
    <row r="1319" spans="1:3" x14ac:dyDescent="0.35">
      <c r="A1319" t="s">
        <v>308</v>
      </c>
      <c r="B1319" t="s">
        <v>1008</v>
      </c>
      <c r="C1319" t="s">
        <v>1015</v>
      </c>
    </row>
    <row r="1320" spans="1:3" x14ac:dyDescent="0.35">
      <c r="A1320" t="s">
        <v>308</v>
      </c>
      <c r="B1320" t="s">
        <v>1008</v>
      </c>
      <c r="C1320" t="s">
        <v>1328</v>
      </c>
    </row>
    <row r="1321" spans="1:3" x14ac:dyDescent="0.35">
      <c r="A1321" t="s">
        <v>308</v>
      </c>
      <c r="B1321" t="s">
        <v>1008</v>
      </c>
      <c r="C1321" t="s">
        <v>1329</v>
      </c>
    </row>
    <row r="1322" spans="1:3" x14ac:dyDescent="0.35">
      <c r="A1322" t="s">
        <v>308</v>
      </c>
      <c r="B1322" t="s">
        <v>1163</v>
      </c>
      <c r="C1322" t="s">
        <v>1164</v>
      </c>
    </row>
    <row r="1323" spans="1:3" x14ac:dyDescent="0.35">
      <c r="A1323" t="s">
        <v>308</v>
      </c>
      <c r="B1323" t="s">
        <v>1163</v>
      </c>
      <c r="C1323" t="s">
        <v>1165</v>
      </c>
    </row>
    <row r="1324" spans="1:3" x14ac:dyDescent="0.35">
      <c r="A1324" t="s">
        <v>308</v>
      </c>
      <c r="B1324" t="s">
        <v>1166</v>
      </c>
      <c r="C1324" t="s">
        <v>1167</v>
      </c>
    </row>
    <row r="1325" spans="1:3" x14ac:dyDescent="0.35">
      <c r="A1325" t="s">
        <v>308</v>
      </c>
      <c r="B1325" t="s">
        <v>1166</v>
      </c>
      <c r="C1325" t="s">
        <v>1168</v>
      </c>
    </row>
    <row r="1326" spans="1:3" x14ac:dyDescent="0.35">
      <c r="A1326" t="s">
        <v>308</v>
      </c>
      <c r="B1326" t="s">
        <v>1166</v>
      </c>
      <c r="C1326" t="s">
        <v>1169</v>
      </c>
    </row>
    <row r="1327" spans="1:3" x14ac:dyDescent="0.35">
      <c r="A1327" t="s">
        <v>308</v>
      </c>
      <c r="B1327" t="s">
        <v>1166</v>
      </c>
      <c r="C1327" t="s">
        <v>1170</v>
      </c>
    </row>
    <row r="1328" spans="1:3" x14ac:dyDescent="0.35">
      <c r="A1328" t="s">
        <v>308</v>
      </c>
      <c r="B1328" t="s">
        <v>1166</v>
      </c>
      <c r="C1328" t="s">
        <v>1171</v>
      </c>
    </row>
    <row r="1329" spans="1:3" x14ac:dyDescent="0.35">
      <c r="A1329" t="s">
        <v>308</v>
      </c>
      <c r="B1329" t="s">
        <v>1166</v>
      </c>
      <c r="C1329" t="s">
        <v>1172</v>
      </c>
    </row>
    <row r="1330" spans="1:3" x14ac:dyDescent="0.35">
      <c r="A1330" t="s">
        <v>308</v>
      </c>
      <c r="B1330" t="s">
        <v>1166</v>
      </c>
      <c r="C1330" t="s">
        <v>1173</v>
      </c>
    </row>
    <row r="1331" spans="1:3" x14ac:dyDescent="0.35">
      <c r="A1331" t="s">
        <v>308</v>
      </c>
      <c r="B1331" t="s">
        <v>1166</v>
      </c>
      <c r="C1331" t="s">
        <v>1174</v>
      </c>
    </row>
    <row r="1332" spans="1:3" x14ac:dyDescent="0.35">
      <c r="A1332" t="s">
        <v>308</v>
      </c>
      <c r="B1332" t="s">
        <v>1166</v>
      </c>
      <c r="C1332" t="s">
        <v>1175</v>
      </c>
    </row>
    <row r="1333" spans="1:3" x14ac:dyDescent="0.35">
      <c r="A1333" t="s">
        <v>308</v>
      </c>
      <c r="B1333" t="s">
        <v>1166</v>
      </c>
      <c r="C1333" t="s">
        <v>1176</v>
      </c>
    </row>
    <row r="1334" spans="1:3" x14ac:dyDescent="0.35">
      <c r="A1334" t="s">
        <v>308</v>
      </c>
      <c r="B1334" t="s">
        <v>1166</v>
      </c>
      <c r="C1334" t="s">
        <v>1177</v>
      </c>
    </row>
    <row r="1335" spans="1:3" x14ac:dyDescent="0.35">
      <c r="A1335" t="s">
        <v>308</v>
      </c>
      <c r="B1335" t="s">
        <v>1166</v>
      </c>
      <c r="C1335" t="s">
        <v>1178</v>
      </c>
    </row>
    <row r="1336" spans="1:3" x14ac:dyDescent="0.35">
      <c r="A1336" t="s">
        <v>308</v>
      </c>
      <c r="B1336" t="s">
        <v>1166</v>
      </c>
      <c r="C1336" t="s">
        <v>1179</v>
      </c>
    </row>
    <row r="1337" spans="1:3" x14ac:dyDescent="0.35">
      <c r="A1337" t="s">
        <v>308</v>
      </c>
      <c r="B1337" t="s">
        <v>1016</v>
      </c>
      <c r="C1337" t="s">
        <v>1017</v>
      </c>
    </row>
    <row r="1338" spans="1:3" x14ac:dyDescent="0.35">
      <c r="A1338" t="s">
        <v>308</v>
      </c>
      <c r="B1338" t="s">
        <v>1016</v>
      </c>
      <c r="C1338" t="s">
        <v>1779</v>
      </c>
    </row>
    <row r="1339" spans="1:3" x14ac:dyDescent="0.35">
      <c r="A1339" t="s">
        <v>308</v>
      </c>
      <c r="B1339" t="s">
        <v>1016</v>
      </c>
      <c r="C1339" t="s">
        <v>1780</v>
      </c>
    </row>
    <row r="1340" spans="1:3" x14ac:dyDescent="0.35">
      <c r="A1340" t="s">
        <v>308</v>
      </c>
      <c r="B1340" t="s">
        <v>1016</v>
      </c>
      <c r="C1340" t="s">
        <v>1781</v>
      </c>
    </row>
    <row r="1341" spans="1:3" x14ac:dyDescent="0.35">
      <c r="A1341" t="s">
        <v>308</v>
      </c>
      <c r="B1341" t="s">
        <v>1016</v>
      </c>
      <c r="C1341" t="s">
        <v>1782</v>
      </c>
    </row>
    <row r="1342" spans="1:3" x14ac:dyDescent="0.35">
      <c r="A1342" t="s">
        <v>308</v>
      </c>
      <c r="B1342" t="s">
        <v>1016</v>
      </c>
      <c r="C1342" t="s">
        <v>1783</v>
      </c>
    </row>
    <row r="1343" spans="1:3" x14ac:dyDescent="0.35">
      <c r="A1343" t="s">
        <v>308</v>
      </c>
      <c r="B1343" t="s">
        <v>1016</v>
      </c>
      <c r="C1343" t="s">
        <v>1784</v>
      </c>
    </row>
    <row r="1344" spans="1:3" x14ac:dyDescent="0.35">
      <c r="A1344" t="s">
        <v>308</v>
      </c>
      <c r="B1344" t="s">
        <v>429</v>
      </c>
      <c r="C1344" t="s">
        <v>430</v>
      </c>
    </row>
    <row r="1345" spans="1:3" x14ac:dyDescent="0.35">
      <c r="A1345" t="s">
        <v>308</v>
      </c>
      <c r="B1345" t="s">
        <v>429</v>
      </c>
      <c r="C1345" t="s">
        <v>431</v>
      </c>
    </row>
    <row r="1346" spans="1:3" x14ac:dyDescent="0.35">
      <c r="A1346" t="s">
        <v>308</v>
      </c>
      <c r="B1346" t="s">
        <v>432</v>
      </c>
      <c r="C1346" t="s">
        <v>433</v>
      </c>
    </row>
    <row r="1347" spans="1:3" x14ac:dyDescent="0.35">
      <c r="A1347" t="s">
        <v>308</v>
      </c>
      <c r="B1347" t="s">
        <v>432</v>
      </c>
      <c r="C1347" t="s">
        <v>434</v>
      </c>
    </row>
    <row r="1348" spans="1:3" x14ac:dyDescent="0.35">
      <c r="A1348" t="s">
        <v>308</v>
      </c>
      <c r="B1348" t="s">
        <v>435</v>
      </c>
      <c r="C1348" t="s">
        <v>436</v>
      </c>
    </row>
    <row r="1349" spans="1:3" x14ac:dyDescent="0.35">
      <c r="A1349" t="s">
        <v>308</v>
      </c>
      <c r="B1349" t="s">
        <v>435</v>
      </c>
      <c r="C1349" t="s">
        <v>437</v>
      </c>
    </row>
    <row r="1350" spans="1:3" x14ac:dyDescent="0.35">
      <c r="A1350" t="s">
        <v>308</v>
      </c>
      <c r="B1350" t="s">
        <v>438</v>
      </c>
      <c r="C1350" t="s">
        <v>439</v>
      </c>
    </row>
    <row r="1351" spans="1:3" x14ac:dyDescent="0.35">
      <c r="A1351" t="s">
        <v>308</v>
      </c>
      <c r="B1351" t="s">
        <v>438</v>
      </c>
      <c r="C1351" t="s">
        <v>440</v>
      </c>
    </row>
    <row r="1352" spans="1:3" x14ac:dyDescent="0.35">
      <c r="A1352" t="s">
        <v>308</v>
      </c>
      <c r="B1352" t="s">
        <v>441</v>
      </c>
      <c r="C1352" t="s">
        <v>442</v>
      </c>
    </row>
    <row r="1353" spans="1:3" x14ac:dyDescent="0.35">
      <c r="A1353" t="s">
        <v>308</v>
      </c>
      <c r="B1353" t="s">
        <v>441</v>
      </c>
      <c r="C1353" t="s">
        <v>443</v>
      </c>
    </row>
    <row r="1354" spans="1:3" x14ac:dyDescent="0.35">
      <c r="A1354" t="s">
        <v>308</v>
      </c>
      <c r="B1354" t="s">
        <v>441</v>
      </c>
      <c r="C1354" t="s">
        <v>444</v>
      </c>
    </row>
    <row r="1355" spans="1:3" x14ac:dyDescent="0.35">
      <c r="A1355" t="s">
        <v>308</v>
      </c>
      <c r="B1355" t="s">
        <v>441</v>
      </c>
      <c r="C1355" t="s">
        <v>445</v>
      </c>
    </row>
    <row r="1356" spans="1:3" x14ac:dyDescent="0.35">
      <c r="A1356" t="s">
        <v>308</v>
      </c>
      <c r="B1356" t="s">
        <v>441</v>
      </c>
      <c r="C1356" t="s">
        <v>446</v>
      </c>
    </row>
    <row r="1357" spans="1:3" x14ac:dyDescent="0.35">
      <c r="A1357" t="s">
        <v>308</v>
      </c>
      <c r="B1357" t="s">
        <v>441</v>
      </c>
      <c r="C1357" t="s">
        <v>447</v>
      </c>
    </row>
    <row r="1358" spans="1:3" x14ac:dyDescent="0.35">
      <c r="A1358" t="s">
        <v>308</v>
      </c>
      <c r="B1358" t="s">
        <v>441</v>
      </c>
      <c r="C1358" t="s">
        <v>448</v>
      </c>
    </row>
    <row r="1359" spans="1:3" x14ac:dyDescent="0.35">
      <c r="A1359" t="s">
        <v>308</v>
      </c>
      <c r="B1359" t="s">
        <v>449</v>
      </c>
      <c r="C1359" t="s">
        <v>450</v>
      </c>
    </row>
    <row r="1360" spans="1:3" x14ac:dyDescent="0.35">
      <c r="A1360" t="s">
        <v>308</v>
      </c>
      <c r="B1360" t="s">
        <v>449</v>
      </c>
      <c r="C1360" t="s">
        <v>451</v>
      </c>
    </row>
    <row r="1361" spans="1:3" x14ac:dyDescent="0.35">
      <c r="A1361" t="s">
        <v>308</v>
      </c>
      <c r="B1361" t="s">
        <v>1180</v>
      </c>
      <c r="C1361" t="s">
        <v>1181</v>
      </c>
    </row>
    <row r="1362" spans="1:3" x14ac:dyDescent="0.35">
      <c r="A1362" t="s">
        <v>308</v>
      </c>
      <c r="B1362" t="s">
        <v>1180</v>
      </c>
      <c r="C1362" t="s">
        <v>1182</v>
      </c>
    </row>
    <row r="1363" spans="1:3" x14ac:dyDescent="0.35">
      <c r="A1363" t="s">
        <v>308</v>
      </c>
      <c r="B1363" t="s">
        <v>1180</v>
      </c>
      <c r="C1363" t="s">
        <v>1183</v>
      </c>
    </row>
    <row r="1364" spans="1:3" x14ac:dyDescent="0.35">
      <c r="A1364" t="s">
        <v>308</v>
      </c>
      <c r="B1364" t="s">
        <v>727</v>
      </c>
      <c r="C1364" t="s">
        <v>728</v>
      </c>
    </row>
    <row r="1365" spans="1:3" x14ac:dyDescent="0.35">
      <c r="A1365" t="s">
        <v>308</v>
      </c>
      <c r="B1365" t="s">
        <v>727</v>
      </c>
      <c r="C1365" t="s">
        <v>729</v>
      </c>
    </row>
    <row r="1366" spans="1:3" x14ac:dyDescent="0.35">
      <c r="A1366" t="s">
        <v>308</v>
      </c>
      <c r="B1366" t="s">
        <v>818</v>
      </c>
      <c r="C1366" t="s">
        <v>819</v>
      </c>
    </row>
    <row r="1367" spans="1:3" x14ac:dyDescent="0.35">
      <c r="A1367" t="s">
        <v>308</v>
      </c>
      <c r="B1367" t="s">
        <v>818</v>
      </c>
      <c r="C1367" t="s">
        <v>820</v>
      </c>
    </row>
    <row r="1368" spans="1:3" x14ac:dyDescent="0.35">
      <c r="A1368" t="s">
        <v>308</v>
      </c>
      <c r="B1368" t="s">
        <v>1184</v>
      </c>
      <c r="C1368" t="s">
        <v>1185</v>
      </c>
    </row>
    <row r="1369" spans="1:3" x14ac:dyDescent="0.35">
      <c r="A1369" t="s">
        <v>308</v>
      </c>
      <c r="B1369" t="s">
        <v>1184</v>
      </c>
      <c r="C1369" t="s">
        <v>1186</v>
      </c>
    </row>
    <row r="1370" spans="1:3" x14ac:dyDescent="0.35">
      <c r="A1370" t="s">
        <v>308</v>
      </c>
      <c r="B1370" t="s">
        <v>1187</v>
      </c>
      <c r="C1370" t="s">
        <v>1188</v>
      </c>
    </row>
    <row r="1371" spans="1:3" x14ac:dyDescent="0.35">
      <c r="A1371" t="s">
        <v>308</v>
      </c>
      <c r="B1371" t="s">
        <v>1187</v>
      </c>
      <c r="C1371" t="s">
        <v>1189</v>
      </c>
    </row>
    <row r="1372" spans="1:3" x14ac:dyDescent="0.35">
      <c r="A1372" t="s">
        <v>308</v>
      </c>
      <c r="B1372" t="s">
        <v>452</v>
      </c>
      <c r="C1372" t="s">
        <v>453</v>
      </c>
    </row>
    <row r="1373" spans="1:3" x14ac:dyDescent="0.35">
      <c r="A1373" t="s">
        <v>308</v>
      </c>
      <c r="B1373" t="s">
        <v>452</v>
      </c>
      <c r="C1373" t="s">
        <v>454</v>
      </c>
    </row>
    <row r="1374" spans="1:3" x14ac:dyDescent="0.35">
      <c r="A1374" t="s">
        <v>308</v>
      </c>
      <c r="B1374" t="s">
        <v>452</v>
      </c>
      <c r="C1374" t="s">
        <v>455</v>
      </c>
    </row>
    <row r="1375" spans="1:3" x14ac:dyDescent="0.35">
      <c r="A1375" t="s">
        <v>308</v>
      </c>
      <c r="B1375" t="s">
        <v>968</v>
      </c>
      <c r="C1375" t="s">
        <v>969</v>
      </c>
    </row>
    <row r="1376" spans="1:3" x14ac:dyDescent="0.35">
      <c r="A1376" t="s">
        <v>308</v>
      </c>
      <c r="B1376" t="s">
        <v>968</v>
      </c>
      <c r="C1376" t="s">
        <v>970</v>
      </c>
    </row>
    <row r="1377" spans="1:3" x14ac:dyDescent="0.35">
      <c r="A1377" t="s">
        <v>308</v>
      </c>
      <c r="B1377" t="s">
        <v>968</v>
      </c>
      <c r="C1377" t="s">
        <v>971</v>
      </c>
    </row>
    <row r="1378" spans="1:3" x14ac:dyDescent="0.35">
      <c r="A1378" t="s">
        <v>308</v>
      </c>
      <c r="B1378" t="s">
        <v>456</v>
      </c>
      <c r="C1378" t="s">
        <v>457</v>
      </c>
    </row>
    <row r="1379" spans="1:3" x14ac:dyDescent="0.35">
      <c r="A1379" t="s">
        <v>308</v>
      </c>
      <c r="B1379" t="s">
        <v>456</v>
      </c>
      <c r="C1379" t="s">
        <v>458</v>
      </c>
    </row>
    <row r="1380" spans="1:3" x14ac:dyDescent="0.35">
      <c r="A1380" t="s">
        <v>308</v>
      </c>
      <c r="B1380" t="s">
        <v>459</v>
      </c>
      <c r="C1380" t="s">
        <v>460</v>
      </c>
    </row>
    <row r="1381" spans="1:3" x14ac:dyDescent="0.35">
      <c r="A1381" t="s">
        <v>308</v>
      </c>
      <c r="B1381" t="s">
        <v>459</v>
      </c>
      <c r="C1381" t="s">
        <v>461</v>
      </c>
    </row>
    <row r="1382" spans="1:3" x14ac:dyDescent="0.35">
      <c r="A1382" t="s">
        <v>308</v>
      </c>
      <c r="B1382" t="s">
        <v>462</v>
      </c>
      <c r="C1382" t="s">
        <v>463</v>
      </c>
    </row>
    <row r="1383" spans="1:3" x14ac:dyDescent="0.35">
      <c r="A1383" t="s">
        <v>308</v>
      </c>
      <c r="B1383" t="s">
        <v>462</v>
      </c>
      <c r="C1383" t="s">
        <v>464</v>
      </c>
    </row>
    <row r="1384" spans="1:3" x14ac:dyDescent="0.35">
      <c r="A1384" t="s">
        <v>308</v>
      </c>
      <c r="B1384" t="s">
        <v>465</v>
      </c>
      <c r="C1384" t="s">
        <v>466</v>
      </c>
    </row>
    <row r="1385" spans="1:3" x14ac:dyDescent="0.35">
      <c r="A1385" t="s">
        <v>308</v>
      </c>
      <c r="B1385" t="s">
        <v>465</v>
      </c>
      <c r="C1385" t="s">
        <v>467</v>
      </c>
    </row>
    <row r="1386" spans="1:3" x14ac:dyDescent="0.35">
      <c r="A1386" t="s">
        <v>308</v>
      </c>
      <c r="B1386" t="s">
        <v>465</v>
      </c>
      <c r="C1386" t="s">
        <v>468</v>
      </c>
    </row>
    <row r="1387" spans="1:3" x14ac:dyDescent="0.35">
      <c r="A1387" t="s">
        <v>308</v>
      </c>
      <c r="B1387" t="s">
        <v>465</v>
      </c>
      <c r="C1387" t="s">
        <v>469</v>
      </c>
    </row>
    <row r="1388" spans="1:3" x14ac:dyDescent="0.35">
      <c r="A1388" t="s">
        <v>308</v>
      </c>
      <c r="B1388" t="s">
        <v>465</v>
      </c>
      <c r="C1388" t="s">
        <v>470</v>
      </c>
    </row>
    <row r="1389" spans="1:3" x14ac:dyDescent="0.35">
      <c r="A1389" t="s">
        <v>308</v>
      </c>
      <c r="B1389" t="s">
        <v>465</v>
      </c>
      <c r="C1389" t="s">
        <v>471</v>
      </c>
    </row>
    <row r="1390" spans="1:3" x14ac:dyDescent="0.35">
      <c r="A1390" t="s">
        <v>308</v>
      </c>
      <c r="B1390" t="s">
        <v>465</v>
      </c>
      <c r="C1390" t="s">
        <v>472</v>
      </c>
    </row>
    <row r="1391" spans="1:3" x14ac:dyDescent="0.35">
      <c r="A1391" t="s">
        <v>308</v>
      </c>
      <c r="B1391" t="s">
        <v>465</v>
      </c>
      <c r="C1391" t="s">
        <v>473</v>
      </c>
    </row>
    <row r="1392" spans="1:3" x14ac:dyDescent="0.35">
      <c r="A1392" t="s">
        <v>308</v>
      </c>
      <c r="B1392" t="s">
        <v>465</v>
      </c>
      <c r="C1392" t="s">
        <v>474</v>
      </c>
    </row>
    <row r="1393" spans="1:3" x14ac:dyDescent="0.35">
      <c r="A1393" t="s">
        <v>308</v>
      </c>
      <c r="B1393" t="s">
        <v>465</v>
      </c>
      <c r="C1393" t="s">
        <v>475</v>
      </c>
    </row>
    <row r="1394" spans="1:3" x14ac:dyDescent="0.35">
      <c r="A1394" t="s">
        <v>308</v>
      </c>
      <c r="B1394" t="s">
        <v>465</v>
      </c>
      <c r="C1394" t="s">
        <v>476</v>
      </c>
    </row>
    <row r="1395" spans="1:3" x14ac:dyDescent="0.35">
      <c r="A1395" t="s">
        <v>308</v>
      </c>
      <c r="B1395" t="s">
        <v>465</v>
      </c>
      <c r="C1395" t="s">
        <v>477</v>
      </c>
    </row>
    <row r="1396" spans="1:3" x14ac:dyDescent="0.35">
      <c r="A1396" t="s">
        <v>308</v>
      </c>
      <c r="B1396" t="s">
        <v>465</v>
      </c>
      <c r="C1396" t="s">
        <v>478</v>
      </c>
    </row>
    <row r="1397" spans="1:3" x14ac:dyDescent="0.35">
      <c r="A1397" t="s">
        <v>308</v>
      </c>
      <c r="B1397" t="s">
        <v>465</v>
      </c>
      <c r="C1397" t="s">
        <v>479</v>
      </c>
    </row>
    <row r="1398" spans="1:3" x14ac:dyDescent="0.35">
      <c r="A1398" t="s">
        <v>308</v>
      </c>
      <c r="B1398" t="s">
        <v>465</v>
      </c>
      <c r="C1398" t="s">
        <v>480</v>
      </c>
    </row>
    <row r="1399" spans="1:3" x14ac:dyDescent="0.35">
      <c r="A1399" t="s">
        <v>308</v>
      </c>
      <c r="B1399" t="s">
        <v>465</v>
      </c>
      <c r="C1399" t="s">
        <v>481</v>
      </c>
    </row>
    <row r="1400" spans="1:3" x14ac:dyDescent="0.35">
      <c r="A1400" t="s">
        <v>308</v>
      </c>
      <c r="B1400" t="s">
        <v>465</v>
      </c>
      <c r="C1400" t="s">
        <v>482</v>
      </c>
    </row>
    <row r="1401" spans="1:3" x14ac:dyDescent="0.35">
      <c r="A1401" t="s">
        <v>308</v>
      </c>
      <c r="B1401" t="s">
        <v>465</v>
      </c>
      <c r="C1401" t="s">
        <v>483</v>
      </c>
    </row>
    <row r="1402" spans="1:3" x14ac:dyDescent="0.35">
      <c r="A1402" t="s">
        <v>308</v>
      </c>
      <c r="B1402" t="s">
        <v>465</v>
      </c>
      <c r="C1402" t="s">
        <v>484</v>
      </c>
    </row>
    <row r="1403" spans="1:3" x14ac:dyDescent="0.35">
      <c r="A1403" t="s">
        <v>308</v>
      </c>
      <c r="B1403" t="s">
        <v>465</v>
      </c>
      <c r="C1403" t="s">
        <v>485</v>
      </c>
    </row>
    <row r="1404" spans="1:3" x14ac:dyDescent="0.35">
      <c r="A1404" t="s">
        <v>308</v>
      </c>
      <c r="B1404" t="s">
        <v>465</v>
      </c>
      <c r="C1404" t="s">
        <v>486</v>
      </c>
    </row>
    <row r="1405" spans="1:3" x14ac:dyDescent="0.35">
      <c r="A1405" t="s">
        <v>308</v>
      </c>
      <c r="B1405" t="s">
        <v>465</v>
      </c>
      <c r="C1405" t="s">
        <v>487</v>
      </c>
    </row>
    <row r="1406" spans="1:3" x14ac:dyDescent="0.35">
      <c r="A1406" t="s">
        <v>308</v>
      </c>
      <c r="B1406" t="s">
        <v>465</v>
      </c>
      <c r="C1406" t="s">
        <v>488</v>
      </c>
    </row>
    <row r="1407" spans="1:3" x14ac:dyDescent="0.35">
      <c r="A1407" t="s">
        <v>308</v>
      </c>
      <c r="B1407" t="s">
        <v>465</v>
      </c>
      <c r="C1407" t="s">
        <v>489</v>
      </c>
    </row>
    <row r="1408" spans="1:3" x14ac:dyDescent="0.35">
      <c r="A1408" t="s">
        <v>308</v>
      </c>
      <c r="B1408" t="s">
        <v>465</v>
      </c>
      <c r="C1408" t="s">
        <v>490</v>
      </c>
    </row>
    <row r="1409" spans="1:3" x14ac:dyDescent="0.35">
      <c r="A1409" t="s">
        <v>308</v>
      </c>
      <c r="B1409" t="s">
        <v>465</v>
      </c>
      <c r="C1409" t="s">
        <v>491</v>
      </c>
    </row>
    <row r="1410" spans="1:3" x14ac:dyDescent="0.35">
      <c r="A1410" t="s">
        <v>308</v>
      </c>
      <c r="B1410" t="s">
        <v>465</v>
      </c>
      <c r="C1410" t="s">
        <v>492</v>
      </c>
    </row>
    <row r="1411" spans="1:3" x14ac:dyDescent="0.35">
      <c r="A1411" t="s">
        <v>308</v>
      </c>
      <c r="B1411" t="s">
        <v>465</v>
      </c>
      <c r="C1411" t="s">
        <v>493</v>
      </c>
    </row>
    <row r="1412" spans="1:3" x14ac:dyDescent="0.35">
      <c r="A1412" t="s">
        <v>308</v>
      </c>
      <c r="B1412" t="s">
        <v>465</v>
      </c>
      <c r="C1412" t="s">
        <v>494</v>
      </c>
    </row>
    <row r="1413" spans="1:3" x14ac:dyDescent="0.35">
      <c r="A1413" t="s">
        <v>308</v>
      </c>
      <c r="B1413" t="s">
        <v>465</v>
      </c>
      <c r="C1413" t="s">
        <v>495</v>
      </c>
    </row>
    <row r="1414" spans="1:3" x14ac:dyDescent="0.35">
      <c r="A1414" t="s">
        <v>308</v>
      </c>
      <c r="B1414" t="s">
        <v>465</v>
      </c>
      <c r="C1414" t="s">
        <v>496</v>
      </c>
    </row>
    <row r="1415" spans="1:3" x14ac:dyDescent="0.35">
      <c r="A1415" t="s">
        <v>308</v>
      </c>
      <c r="B1415" t="s">
        <v>465</v>
      </c>
      <c r="C1415" t="s">
        <v>497</v>
      </c>
    </row>
    <row r="1416" spans="1:3" x14ac:dyDescent="0.35">
      <c r="A1416" t="s">
        <v>308</v>
      </c>
      <c r="B1416" t="s">
        <v>465</v>
      </c>
      <c r="C1416" t="s">
        <v>498</v>
      </c>
    </row>
    <row r="1417" spans="1:3" x14ac:dyDescent="0.35">
      <c r="A1417" t="s">
        <v>308</v>
      </c>
      <c r="B1417" t="s">
        <v>465</v>
      </c>
      <c r="C1417" t="s">
        <v>499</v>
      </c>
    </row>
    <row r="1418" spans="1:3" x14ac:dyDescent="0.35">
      <c r="A1418" t="s">
        <v>308</v>
      </c>
      <c r="B1418" t="s">
        <v>465</v>
      </c>
      <c r="C1418" t="s">
        <v>500</v>
      </c>
    </row>
    <row r="1419" spans="1:3" x14ac:dyDescent="0.35">
      <c r="A1419" t="s">
        <v>308</v>
      </c>
      <c r="B1419" t="s">
        <v>465</v>
      </c>
      <c r="C1419" t="s">
        <v>501</v>
      </c>
    </row>
    <row r="1420" spans="1:3" x14ac:dyDescent="0.35">
      <c r="A1420" t="s">
        <v>308</v>
      </c>
      <c r="B1420" t="s">
        <v>465</v>
      </c>
      <c r="C1420" t="s">
        <v>502</v>
      </c>
    </row>
    <row r="1421" spans="1:3" x14ac:dyDescent="0.35">
      <c r="A1421" t="s">
        <v>308</v>
      </c>
      <c r="B1421" t="s">
        <v>465</v>
      </c>
      <c r="C1421" t="s">
        <v>503</v>
      </c>
    </row>
    <row r="1422" spans="1:3" x14ac:dyDescent="0.35">
      <c r="A1422" t="s">
        <v>308</v>
      </c>
      <c r="B1422" t="s">
        <v>465</v>
      </c>
      <c r="C1422" t="s">
        <v>504</v>
      </c>
    </row>
    <row r="1423" spans="1:3" x14ac:dyDescent="0.35">
      <c r="A1423" t="s">
        <v>308</v>
      </c>
      <c r="B1423" t="s">
        <v>465</v>
      </c>
      <c r="C1423" t="s">
        <v>505</v>
      </c>
    </row>
    <row r="1424" spans="1:3" x14ac:dyDescent="0.35">
      <c r="A1424" t="s">
        <v>308</v>
      </c>
      <c r="B1424" t="s">
        <v>465</v>
      </c>
      <c r="C1424" t="s">
        <v>506</v>
      </c>
    </row>
    <row r="1425" spans="1:3" x14ac:dyDescent="0.35">
      <c r="A1425" t="s">
        <v>308</v>
      </c>
      <c r="B1425" t="s">
        <v>465</v>
      </c>
      <c r="C1425" t="s">
        <v>507</v>
      </c>
    </row>
    <row r="1426" spans="1:3" x14ac:dyDescent="0.35">
      <c r="A1426" t="s">
        <v>308</v>
      </c>
      <c r="B1426" t="s">
        <v>465</v>
      </c>
      <c r="C1426" t="s">
        <v>508</v>
      </c>
    </row>
    <row r="1427" spans="1:3" x14ac:dyDescent="0.35">
      <c r="A1427" t="s">
        <v>308</v>
      </c>
      <c r="B1427" t="s">
        <v>465</v>
      </c>
      <c r="C1427" t="s">
        <v>509</v>
      </c>
    </row>
    <row r="1428" spans="1:3" x14ac:dyDescent="0.35">
      <c r="A1428" t="s">
        <v>308</v>
      </c>
      <c r="B1428" t="s">
        <v>465</v>
      </c>
      <c r="C1428" t="s">
        <v>510</v>
      </c>
    </row>
    <row r="1429" spans="1:3" x14ac:dyDescent="0.35">
      <c r="A1429" t="s">
        <v>308</v>
      </c>
      <c r="B1429" t="s">
        <v>465</v>
      </c>
      <c r="C1429" t="s">
        <v>511</v>
      </c>
    </row>
    <row r="1430" spans="1:3" x14ac:dyDescent="0.35">
      <c r="A1430" t="s">
        <v>308</v>
      </c>
      <c r="B1430" t="s">
        <v>465</v>
      </c>
      <c r="C1430" t="s">
        <v>512</v>
      </c>
    </row>
    <row r="1431" spans="1:3" x14ac:dyDescent="0.35">
      <c r="A1431" t="s">
        <v>308</v>
      </c>
      <c r="B1431" t="s">
        <v>465</v>
      </c>
      <c r="C1431" t="s">
        <v>513</v>
      </c>
    </row>
    <row r="1432" spans="1:3" x14ac:dyDescent="0.35">
      <c r="A1432" t="s">
        <v>308</v>
      </c>
      <c r="B1432" t="s">
        <v>465</v>
      </c>
      <c r="C1432" t="s">
        <v>514</v>
      </c>
    </row>
    <row r="1433" spans="1:3" x14ac:dyDescent="0.35">
      <c r="A1433" t="s">
        <v>308</v>
      </c>
      <c r="B1433" t="s">
        <v>465</v>
      </c>
      <c r="C1433" t="s">
        <v>515</v>
      </c>
    </row>
    <row r="1434" spans="1:3" x14ac:dyDescent="0.35">
      <c r="A1434" t="s">
        <v>308</v>
      </c>
      <c r="B1434" t="s">
        <v>465</v>
      </c>
      <c r="C1434" t="s">
        <v>516</v>
      </c>
    </row>
    <row r="1435" spans="1:3" x14ac:dyDescent="0.35">
      <c r="A1435" t="s">
        <v>308</v>
      </c>
      <c r="B1435" t="s">
        <v>465</v>
      </c>
      <c r="C1435" t="s">
        <v>517</v>
      </c>
    </row>
    <row r="1436" spans="1:3" x14ac:dyDescent="0.35">
      <c r="A1436" t="s">
        <v>308</v>
      </c>
      <c r="B1436" t="s">
        <v>465</v>
      </c>
      <c r="C1436" t="s">
        <v>518</v>
      </c>
    </row>
    <row r="1437" spans="1:3" x14ac:dyDescent="0.35">
      <c r="A1437" t="s">
        <v>308</v>
      </c>
      <c r="B1437" t="s">
        <v>465</v>
      </c>
      <c r="C1437" t="s">
        <v>519</v>
      </c>
    </row>
    <row r="1438" spans="1:3" x14ac:dyDescent="0.35">
      <c r="A1438" t="s">
        <v>308</v>
      </c>
      <c r="B1438" t="s">
        <v>465</v>
      </c>
      <c r="C1438" t="s">
        <v>520</v>
      </c>
    </row>
    <row r="1439" spans="1:3" x14ac:dyDescent="0.35">
      <c r="A1439" t="s">
        <v>308</v>
      </c>
      <c r="B1439" t="s">
        <v>465</v>
      </c>
      <c r="C1439" t="s">
        <v>521</v>
      </c>
    </row>
    <row r="1440" spans="1:3" x14ac:dyDescent="0.35">
      <c r="A1440" t="s">
        <v>308</v>
      </c>
      <c r="B1440" t="s">
        <v>465</v>
      </c>
      <c r="C1440" t="s">
        <v>522</v>
      </c>
    </row>
    <row r="1441" spans="1:3" x14ac:dyDescent="0.35">
      <c r="A1441" t="s">
        <v>308</v>
      </c>
      <c r="B1441" t="s">
        <v>465</v>
      </c>
      <c r="C1441" t="s">
        <v>523</v>
      </c>
    </row>
    <row r="1442" spans="1:3" x14ac:dyDescent="0.35">
      <c r="A1442" t="s">
        <v>308</v>
      </c>
      <c r="B1442" t="s">
        <v>465</v>
      </c>
      <c r="C1442" t="s">
        <v>524</v>
      </c>
    </row>
    <row r="1443" spans="1:3" x14ac:dyDescent="0.35">
      <c r="A1443" t="s">
        <v>308</v>
      </c>
      <c r="B1443" t="s">
        <v>465</v>
      </c>
      <c r="C1443" t="s">
        <v>525</v>
      </c>
    </row>
    <row r="1444" spans="1:3" x14ac:dyDescent="0.35">
      <c r="A1444" t="s">
        <v>308</v>
      </c>
      <c r="B1444" t="s">
        <v>465</v>
      </c>
      <c r="C1444" t="s">
        <v>526</v>
      </c>
    </row>
    <row r="1445" spans="1:3" x14ac:dyDescent="0.35">
      <c r="A1445" t="s">
        <v>308</v>
      </c>
      <c r="B1445" t="s">
        <v>465</v>
      </c>
      <c r="C1445" t="s">
        <v>527</v>
      </c>
    </row>
    <row r="1446" spans="1:3" x14ac:dyDescent="0.35">
      <c r="A1446" t="s">
        <v>308</v>
      </c>
      <c r="B1446" t="s">
        <v>465</v>
      </c>
      <c r="C1446" t="s">
        <v>528</v>
      </c>
    </row>
    <row r="1447" spans="1:3" x14ac:dyDescent="0.35">
      <c r="A1447" t="s">
        <v>308</v>
      </c>
      <c r="B1447" t="s">
        <v>465</v>
      </c>
      <c r="C1447" t="s">
        <v>529</v>
      </c>
    </row>
    <row r="1448" spans="1:3" x14ac:dyDescent="0.35">
      <c r="A1448" t="s">
        <v>308</v>
      </c>
      <c r="B1448" t="s">
        <v>465</v>
      </c>
      <c r="C1448" t="s">
        <v>530</v>
      </c>
    </row>
    <row r="1449" spans="1:3" x14ac:dyDescent="0.35">
      <c r="A1449" t="s">
        <v>308</v>
      </c>
      <c r="B1449" t="s">
        <v>465</v>
      </c>
      <c r="C1449" t="s">
        <v>531</v>
      </c>
    </row>
    <row r="1450" spans="1:3" x14ac:dyDescent="0.35">
      <c r="A1450" t="s">
        <v>308</v>
      </c>
      <c r="B1450" t="s">
        <v>465</v>
      </c>
      <c r="C1450" t="s">
        <v>532</v>
      </c>
    </row>
    <row r="1451" spans="1:3" x14ac:dyDescent="0.35">
      <c r="A1451" t="s">
        <v>308</v>
      </c>
      <c r="B1451" t="s">
        <v>465</v>
      </c>
      <c r="C1451" t="s">
        <v>533</v>
      </c>
    </row>
    <row r="1452" spans="1:3" x14ac:dyDescent="0.35">
      <c r="A1452" t="s">
        <v>308</v>
      </c>
      <c r="B1452" t="s">
        <v>465</v>
      </c>
      <c r="C1452" t="s">
        <v>534</v>
      </c>
    </row>
    <row r="1453" spans="1:3" x14ac:dyDescent="0.35">
      <c r="A1453" t="s">
        <v>308</v>
      </c>
      <c r="B1453" t="s">
        <v>465</v>
      </c>
      <c r="C1453" t="s">
        <v>535</v>
      </c>
    </row>
    <row r="1454" spans="1:3" x14ac:dyDescent="0.35">
      <c r="A1454" t="s">
        <v>308</v>
      </c>
      <c r="B1454" t="s">
        <v>465</v>
      </c>
      <c r="C1454" t="s">
        <v>536</v>
      </c>
    </row>
    <row r="1455" spans="1:3" x14ac:dyDescent="0.35">
      <c r="A1455" t="s">
        <v>308</v>
      </c>
      <c r="B1455" t="s">
        <v>465</v>
      </c>
      <c r="C1455" t="s">
        <v>537</v>
      </c>
    </row>
    <row r="1456" spans="1:3" x14ac:dyDescent="0.35">
      <c r="A1456" t="s">
        <v>308</v>
      </c>
      <c r="B1456" t="s">
        <v>465</v>
      </c>
      <c r="C1456" t="s">
        <v>538</v>
      </c>
    </row>
    <row r="1457" spans="1:3" x14ac:dyDescent="0.35">
      <c r="A1457" t="s">
        <v>308</v>
      </c>
      <c r="B1457" t="s">
        <v>1330</v>
      </c>
      <c r="C1457" t="s">
        <v>1331</v>
      </c>
    </row>
    <row r="1458" spans="1:3" x14ac:dyDescent="0.35">
      <c r="A1458" t="s">
        <v>308</v>
      </c>
      <c r="B1458" t="s">
        <v>1330</v>
      </c>
      <c r="C1458" t="s">
        <v>1332</v>
      </c>
    </row>
    <row r="1459" spans="1:3" x14ac:dyDescent="0.35">
      <c r="A1459" t="s">
        <v>308</v>
      </c>
      <c r="B1459" t="s">
        <v>1330</v>
      </c>
      <c r="C1459" t="s">
        <v>1333</v>
      </c>
    </row>
    <row r="1460" spans="1:3" x14ac:dyDescent="0.35">
      <c r="A1460" t="s">
        <v>308</v>
      </c>
      <c r="B1460" t="s">
        <v>1330</v>
      </c>
      <c r="C1460" t="s">
        <v>1334</v>
      </c>
    </row>
    <row r="1461" spans="1:3" x14ac:dyDescent="0.35">
      <c r="A1461" t="s">
        <v>308</v>
      </c>
      <c r="B1461" t="s">
        <v>1330</v>
      </c>
      <c r="C1461" t="s">
        <v>1335</v>
      </c>
    </row>
    <row r="1462" spans="1:3" x14ac:dyDescent="0.35">
      <c r="A1462" t="s">
        <v>308</v>
      </c>
      <c r="B1462" t="s">
        <v>1330</v>
      </c>
      <c r="C1462" t="s">
        <v>1336</v>
      </c>
    </row>
    <row r="1463" spans="1:3" x14ac:dyDescent="0.35">
      <c r="A1463" t="s">
        <v>308</v>
      </c>
      <c r="B1463" t="s">
        <v>1330</v>
      </c>
      <c r="C1463" t="s">
        <v>1337</v>
      </c>
    </row>
    <row r="1464" spans="1:3" x14ac:dyDescent="0.35">
      <c r="A1464" t="s">
        <v>308</v>
      </c>
      <c r="B1464" t="s">
        <v>1330</v>
      </c>
      <c r="C1464" t="s">
        <v>1338</v>
      </c>
    </row>
    <row r="1465" spans="1:3" x14ac:dyDescent="0.35">
      <c r="A1465" t="s">
        <v>308</v>
      </c>
      <c r="B1465" t="s">
        <v>1330</v>
      </c>
      <c r="C1465" t="s">
        <v>1339</v>
      </c>
    </row>
    <row r="1466" spans="1:3" x14ac:dyDescent="0.35">
      <c r="A1466" t="s">
        <v>308</v>
      </c>
      <c r="B1466" t="s">
        <v>1330</v>
      </c>
      <c r="C1466" t="s">
        <v>1340</v>
      </c>
    </row>
    <row r="1467" spans="1:3" x14ac:dyDescent="0.35">
      <c r="A1467" t="s">
        <v>308</v>
      </c>
      <c r="B1467" t="s">
        <v>1330</v>
      </c>
      <c r="C1467" t="s">
        <v>1341</v>
      </c>
    </row>
    <row r="1468" spans="1:3" x14ac:dyDescent="0.35">
      <c r="A1468" t="s">
        <v>308</v>
      </c>
      <c r="B1468" t="s">
        <v>1330</v>
      </c>
      <c r="C1468" t="s">
        <v>1342</v>
      </c>
    </row>
    <row r="1469" spans="1:3" x14ac:dyDescent="0.35">
      <c r="A1469" t="s">
        <v>308</v>
      </c>
      <c r="B1469" t="s">
        <v>1330</v>
      </c>
      <c r="C1469" t="s">
        <v>1343</v>
      </c>
    </row>
    <row r="1470" spans="1:3" x14ac:dyDescent="0.35">
      <c r="A1470" t="s">
        <v>308</v>
      </c>
      <c r="B1470" t="s">
        <v>539</v>
      </c>
      <c r="C1470" t="s">
        <v>540</v>
      </c>
    </row>
    <row r="1471" spans="1:3" x14ac:dyDescent="0.35">
      <c r="A1471" t="s">
        <v>308</v>
      </c>
      <c r="B1471" t="s">
        <v>539</v>
      </c>
      <c r="C1471" t="s">
        <v>541</v>
      </c>
    </row>
    <row r="1472" spans="1:3" x14ac:dyDescent="0.35">
      <c r="A1472" t="s">
        <v>308</v>
      </c>
      <c r="B1472" t="s">
        <v>1344</v>
      </c>
      <c r="C1472" t="s">
        <v>1345</v>
      </c>
    </row>
    <row r="1473" spans="1:3" x14ac:dyDescent="0.35">
      <c r="A1473" t="s">
        <v>308</v>
      </c>
      <c r="B1473" t="s">
        <v>1344</v>
      </c>
      <c r="C1473" t="s">
        <v>1346</v>
      </c>
    </row>
    <row r="1474" spans="1:3" x14ac:dyDescent="0.35">
      <c r="A1474" t="s">
        <v>308</v>
      </c>
      <c r="B1474" t="s">
        <v>730</v>
      </c>
      <c r="C1474" t="s">
        <v>731</v>
      </c>
    </row>
    <row r="1475" spans="1:3" x14ac:dyDescent="0.35">
      <c r="A1475" t="s">
        <v>308</v>
      </c>
      <c r="B1475" t="s">
        <v>730</v>
      </c>
      <c r="C1475" t="s">
        <v>732</v>
      </c>
    </row>
    <row r="1476" spans="1:3" x14ac:dyDescent="0.35">
      <c r="A1476" t="s">
        <v>308</v>
      </c>
      <c r="B1476" t="s">
        <v>1190</v>
      </c>
      <c r="C1476" t="s">
        <v>1191</v>
      </c>
    </row>
    <row r="1477" spans="1:3" x14ac:dyDescent="0.35">
      <c r="A1477" t="s">
        <v>308</v>
      </c>
      <c r="B1477" t="s">
        <v>1190</v>
      </c>
      <c r="C1477" t="s">
        <v>1192</v>
      </c>
    </row>
    <row r="1478" spans="1:3" x14ac:dyDescent="0.35">
      <c r="A1478" t="s">
        <v>308</v>
      </c>
      <c r="B1478" t="s">
        <v>856</v>
      </c>
      <c r="C1478" t="s">
        <v>857</v>
      </c>
    </row>
    <row r="1479" spans="1:3" x14ac:dyDescent="0.35">
      <c r="A1479" t="s">
        <v>308</v>
      </c>
      <c r="B1479" t="s">
        <v>856</v>
      </c>
      <c r="C1479" t="s">
        <v>858</v>
      </c>
    </row>
    <row r="1480" spans="1:3" x14ac:dyDescent="0.35">
      <c r="A1480" t="s">
        <v>308</v>
      </c>
      <c r="B1480" t="s">
        <v>856</v>
      </c>
      <c r="C1480" t="s">
        <v>859</v>
      </c>
    </row>
    <row r="1481" spans="1:3" x14ac:dyDescent="0.35">
      <c r="A1481" t="s">
        <v>308</v>
      </c>
      <c r="B1481" t="s">
        <v>1785</v>
      </c>
      <c r="C1481" t="s">
        <v>1786</v>
      </c>
    </row>
    <row r="1482" spans="1:3" x14ac:dyDescent="0.35">
      <c r="A1482" t="s">
        <v>308</v>
      </c>
      <c r="B1482" t="s">
        <v>1785</v>
      </c>
      <c r="C1482" t="s">
        <v>1787</v>
      </c>
    </row>
    <row r="1483" spans="1:3" x14ac:dyDescent="0.35">
      <c r="A1483" t="s">
        <v>308</v>
      </c>
      <c r="B1483" t="s">
        <v>1785</v>
      </c>
      <c r="C1483" t="s">
        <v>1788</v>
      </c>
    </row>
    <row r="1484" spans="1:3" x14ac:dyDescent="0.35">
      <c r="A1484" t="s">
        <v>308</v>
      </c>
      <c r="B1484" t="s">
        <v>1785</v>
      </c>
      <c r="C1484" t="s">
        <v>1789</v>
      </c>
    </row>
    <row r="1485" spans="1:3" x14ac:dyDescent="0.35">
      <c r="A1485" t="s">
        <v>308</v>
      </c>
      <c r="B1485" t="s">
        <v>1785</v>
      </c>
      <c r="C1485" t="s">
        <v>1790</v>
      </c>
    </row>
    <row r="1486" spans="1:3" x14ac:dyDescent="0.35">
      <c r="A1486" t="s">
        <v>308</v>
      </c>
      <c r="B1486" t="s">
        <v>1785</v>
      </c>
      <c r="C1486" t="s">
        <v>1791</v>
      </c>
    </row>
    <row r="1487" spans="1:3" x14ac:dyDescent="0.35">
      <c r="A1487" t="s">
        <v>308</v>
      </c>
      <c r="B1487" t="s">
        <v>1785</v>
      </c>
      <c r="C1487" t="s">
        <v>1792</v>
      </c>
    </row>
    <row r="1488" spans="1:3" x14ac:dyDescent="0.35">
      <c r="A1488" t="s">
        <v>308</v>
      </c>
      <c r="B1488" t="s">
        <v>1785</v>
      </c>
      <c r="C1488" t="s">
        <v>1793</v>
      </c>
    </row>
    <row r="1489" spans="1:3" x14ac:dyDescent="0.35">
      <c r="A1489" t="s">
        <v>308</v>
      </c>
      <c r="B1489" t="s">
        <v>1785</v>
      </c>
      <c r="C1489" t="s">
        <v>1794</v>
      </c>
    </row>
    <row r="1490" spans="1:3" x14ac:dyDescent="0.35">
      <c r="A1490" t="s">
        <v>308</v>
      </c>
      <c r="B1490" t="s">
        <v>1785</v>
      </c>
      <c r="C1490" t="s">
        <v>1795</v>
      </c>
    </row>
    <row r="1491" spans="1:3" x14ac:dyDescent="0.35">
      <c r="A1491" t="s">
        <v>308</v>
      </c>
      <c r="B1491" t="s">
        <v>1785</v>
      </c>
      <c r="C1491" t="s">
        <v>1796</v>
      </c>
    </row>
    <row r="1492" spans="1:3" x14ac:dyDescent="0.35">
      <c r="A1492" t="s">
        <v>308</v>
      </c>
      <c r="B1492" t="s">
        <v>1785</v>
      </c>
      <c r="C1492" t="s">
        <v>1797</v>
      </c>
    </row>
    <row r="1493" spans="1:3" x14ac:dyDescent="0.35">
      <c r="A1493" t="s">
        <v>308</v>
      </c>
      <c r="B1493" t="s">
        <v>1785</v>
      </c>
      <c r="C1493" t="s">
        <v>1798</v>
      </c>
    </row>
    <row r="1494" spans="1:3" x14ac:dyDescent="0.35">
      <c r="A1494" t="s">
        <v>308</v>
      </c>
      <c r="B1494" t="s">
        <v>542</v>
      </c>
      <c r="C1494" t="s">
        <v>543</v>
      </c>
    </row>
    <row r="1495" spans="1:3" x14ac:dyDescent="0.35">
      <c r="A1495" t="s">
        <v>308</v>
      </c>
      <c r="B1495" t="s">
        <v>542</v>
      </c>
      <c r="C1495" t="s">
        <v>625</v>
      </c>
    </row>
    <row r="1496" spans="1:3" x14ac:dyDescent="0.35">
      <c r="A1496" t="s">
        <v>308</v>
      </c>
      <c r="B1496" t="s">
        <v>542</v>
      </c>
      <c r="C1496" t="s">
        <v>626</v>
      </c>
    </row>
    <row r="1497" spans="1:3" x14ac:dyDescent="0.35">
      <c r="A1497" t="s">
        <v>308</v>
      </c>
      <c r="B1497" t="s">
        <v>544</v>
      </c>
      <c r="C1497" t="s">
        <v>545</v>
      </c>
    </row>
    <row r="1498" spans="1:3" x14ac:dyDescent="0.35">
      <c r="A1498" t="s">
        <v>308</v>
      </c>
      <c r="B1498" t="s">
        <v>544</v>
      </c>
      <c r="C1498" t="s">
        <v>546</v>
      </c>
    </row>
    <row r="1499" spans="1:3" x14ac:dyDescent="0.35">
      <c r="A1499" t="s">
        <v>308</v>
      </c>
      <c r="B1499" t="s">
        <v>1193</v>
      </c>
      <c r="C1499" t="s">
        <v>1194</v>
      </c>
    </row>
    <row r="1500" spans="1:3" x14ac:dyDescent="0.35">
      <c r="A1500" t="s">
        <v>308</v>
      </c>
      <c r="B1500" t="s">
        <v>1193</v>
      </c>
      <c r="C1500" t="s">
        <v>1195</v>
      </c>
    </row>
    <row r="1501" spans="1:3" x14ac:dyDescent="0.35">
      <c r="A1501" t="s">
        <v>308</v>
      </c>
      <c r="B1501" t="s">
        <v>1193</v>
      </c>
      <c r="C1501" t="s">
        <v>1196</v>
      </c>
    </row>
    <row r="1502" spans="1:3" x14ac:dyDescent="0.35">
      <c r="A1502" t="s">
        <v>308</v>
      </c>
      <c r="B1502" t="s">
        <v>547</v>
      </c>
      <c r="C1502" t="s">
        <v>548</v>
      </c>
    </row>
    <row r="1503" spans="1:3" x14ac:dyDescent="0.35">
      <c r="A1503" t="s">
        <v>308</v>
      </c>
      <c r="B1503" t="s">
        <v>547</v>
      </c>
      <c r="C1503" t="s">
        <v>549</v>
      </c>
    </row>
    <row r="1504" spans="1:3" x14ac:dyDescent="0.35">
      <c r="A1504" t="s">
        <v>308</v>
      </c>
      <c r="B1504" t="s">
        <v>547</v>
      </c>
      <c r="C1504" t="s">
        <v>550</v>
      </c>
    </row>
    <row r="1505" spans="1:3" x14ac:dyDescent="0.35">
      <c r="A1505" t="s">
        <v>308</v>
      </c>
      <c r="B1505" t="s">
        <v>1197</v>
      </c>
      <c r="C1505" t="s">
        <v>1198</v>
      </c>
    </row>
    <row r="1506" spans="1:3" x14ac:dyDescent="0.35">
      <c r="A1506" t="s">
        <v>308</v>
      </c>
      <c r="B1506" t="s">
        <v>1197</v>
      </c>
      <c r="C1506" t="s">
        <v>1199</v>
      </c>
    </row>
    <row r="1507" spans="1:3" x14ac:dyDescent="0.35">
      <c r="A1507" t="s">
        <v>308</v>
      </c>
      <c r="B1507" t="s">
        <v>551</v>
      </c>
      <c r="C1507" t="s">
        <v>552</v>
      </c>
    </row>
    <row r="1508" spans="1:3" x14ac:dyDescent="0.35">
      <c r="A1508" t="s">
        <v>308</v>
      </c>
      <c r="B1508" t="s">
        <v>551</v>
      </c>
      <c r="C1508" t="s">
        <v>553</v>
      </c>
    </row>
    <row r="1509" spans="1:3" x14ac:dyDescent="0.35">
      <c r="A1509" t="s">
        <v>308</v>
      </c>
      <c r="B1509" t="s">
        <v>551</v>
      </c>
      <c r="C1509" t="s">
        <v>554</v>
      </c>
    </row>
    <row r="1510" spans="1:3" x14ac:dyDescent="0.35">
      <c r="A1510" t="s">
        <v>308</v>
      </c>
      <c r="B1510" t="s">
        <v>887</v>
      </c>
      <c r="C1510" t="s">
        <v>888</v>
      </c>
    </row>
    <row r="1511" spans="1:3" x14ac:dyDescent="0.35">
      <c r="A1511" t="s">
        <v>308</v>
      </c>
      <c r="B1511" t="s">
        <v>887</v>
      </c>
      <c r="C1511" t="s">
        <v>889</v>
      </c>
    </row>
    <row r="1512" spans="1:3" x14ac:dyDescent="0.35">
      <c r="A1512" t="s">
        <v>308</v>
      </c>
      <c r="B1512" t="s">
        <v>890</v>
      </c>
      <c r="C1512" t="s">
        <v>891</v>
      </c>
    </row>
    <row r="1513" spans="1:3" x14ac:dyDescent="0.35">
      <c r="A1513" t="s">
        <v>308</v>
      </c>
      <c r="B1513" t="s">
        <v>890</v>
      </c>
      <c r="C1513" t="s">
        <v>892</v>
      </c>
    </row>
    <row r="1514" spans="1:3" x14ac:dyDescent="0.35">
      <c r="A1514" t="s">
        <v>308</v>
      </c>
      <c r="B1514" t="s">
        <v>890</v>
      </c>
      <c r="C1514" t="s">
        <v>893</v>
      </c>
    </row>
    <row r="1515" spans="1:3" x14ac:dyDescent="0.35">
      <c r="A1515" t="s">
        <v>308</v>
      </c>
      <c r="B1515" t="s">
        <v>890</v>
      </c>
      <c r="C1515" t="s">
        <v>894</v>
      </c>
    </row>
    <row r="1516" spans="1:3" x14ac:dyDescent="0.35">
      <c r="A1516" t="s">
        <v>308</v>
      </c>
      <c r="B1516" t="s">
        <v>890</v>
      </c>
      <c r="C1516" t="s">
        <v>895</v>
      </c>
    </row>
    <row r="1517" spans="1:3" x14ac:dyDescent="0.35">
      <c r="A1517" t="s">
        <v>308</v>
      </c>
      <c r="B1517" t="s">
        <v>890</v>
      </c>
      <c r="C1517" t="s">
        <v>896</v>
      </c>
    </row>
    <row r="1518" spans="1:3" x14ac:dyDescent="0.35">
      <c r="A1518" t="s">
        <v>308</v>
      </c>
      <c r="B1518" t="s">
        <v>890</v>
      </c>
      <c r="C1518" t="s">
        <v>897</v>
      </c>
    </row>
    <row r="1519" spans="1:3" x14ac:dyDescent="0.35">
      <c r="A1519" t="s">
        <v>308</v>
      </c>
      <c r="B1519" t="s">
        <v>890</v>
      </c>
      <c r="C1519" t="s">
        <v>898</v>
      </c>
    </row>
    <row r="1520" spans="1:3" x14ac:dyDescent="0.35">
      <c r="A1520" t="s">
        <v>308</v>
      </c>
      <c r="B1520" t="s">
        <v>890</v>
      </c>
      <c r="C1520" t="s">
        <v>899</v>
      </c>
    </row>
    <row r="1521" spans="1:3" x14ac:dyDescent="0.35">
      <c r="A1521" t="s">
        <v>308</v>
      </c>
      <c r="B1521" t="s">
        <v>890</v>
      </c>
      <c r="C1521" t="s">
        <v>900</v>
      </c>
    </row>
    <row r="1522" spans="1:3" x14ac:dyDescent="0.35">
      <c r="A1522" t="s">
        <v>308</v>
      </c>
      <c r="B1522" t="s">
        <v>890</v>
      </c>
      <c r="C1522" t="s">
        <v>901</v>
      </c>
    </row>
    <row r="1523" spans="1:3" x14ac:dyDescent="0.35">
      <c r="A1523" t="s">
        <v>308</v>
      </c>
      <c r="B1523" t="s">
        <v>890</v>
      </c>
      <c r="C1523" t="s">
        <v>902</v>
      </c>
    </row>
    <row r="1524" spans="1:3" x14ac:dyDescent="0.35">
      <c r="A1524" t="s">
        <v>308</v>
      </c>
      <c r="B1524" t="s">
        <v>890</v>
      </c>
      <c r="C1524" t="s">
        <v>903</v>
      </c>
    </row>
    <row r="1525" spans="1:3" x14ac:dyDescent="0.35">
      <c r="A1525" t="s">
        <v>308</v>
      </c>
      <c r="B1525" t="s">
        <v>555</v>
      </c>
      <c r="C1525" t="s">
        <v>556</v>
      </c>
    </row>
    <row r="1526" spans="1:3" x14ac:dyDescent="0.35">
      <c r="A1526" t="s">
        <v>308</v>
      </c>
      <c r="B1526" t="s">
        <v>555</v>
      </c>
      <c r="C1526" t="s">
        <v>557</v>
      </c>
    </row>
    <row r="1527" spans="1:3" x14ac:dyDescent="0.35">
      <c r="A1527" t="s">
        <v>308</v>
      </c>
      <c r="B1527" t="s">
        <v>1200</v>
      </c>
      <c r="C1527" t="s">
        <v>1201</v>
      </c>
    </row>
    <row r="1528" spans="1:3" x14ac:dyDescent="0.35">
      <c r="A1528" t="s">
        <v>308</v>
      </c>
      <c r="B1528" t="s">
        <v>1200</v>
      </c>
      <c r="C1528" t="s">
        <v>1202</v>
      </c>
    </row>
    <row r="1529" spans="1:3" x14ac:dyDescent="0.35">
      <c r="A1529" t="s">
        <v>308</v>
      </c>
      <c r="B1529" t="s">
        <v>1018</v>
      </c>
      <c r="C1529" t="s">
        <v>1019</v>
      </c>
    </row>
    <row r="1530" spans="1:3" x14ac:dyDescent="0.35">
      <c r="A1530" t="s">
        <v>308</v>
      </c>
      <c r="B1530" t="s">
        <v>1018</v>
      </c>
      <c r="C1530" t="s">
        <v>1020</v>
      </c>
    </row>
    <row r="1531" spans="1:3" x14ac:dyDescent="0.35">
      <c r="A1531" t="s">
        <v>308</v>
      </c>
      <c r="B1531" t="s">
        <v>1018</v>
      </c>
      <c r="C1531" t="s">
        <v>1021</v>
      </c>
    </row>
    <row r="1532" spans="1:3" x14ac:dyDescent="0.35">
      <c r="A1532" t="s">
        <v>308</v>
      </c>
      <c r="B1532" t="s">
        <v>1022</v>
      </c>
      <c r="C1532" t="s">
        <v>1023</v>
      </c>
    </row>
    <row r="1533" spans="1:3" x14ac:dyDescent="0.35">
      <c r="A1533" t="s">
        <v>308</v>
      </c>
      <c r="B1533" t="s">
        <v>1022</v>
      </c>
      <c r="C1533" t="s">
        <v>1799</v>
      </c>
    </row>
    <row r="1534" spans="1:3" x14ac:dyDescent="0.35">
      <c r="A1534" t="s">
        <v>308</v>
      </c>
      <c r="B1534" t="s">
        <v>1022</v>
      </c>
      <c r="C1534" t="s">
        <v>1800</v>
      </c>
    </row>
    <row r="1535" spans="1:3" x14ac:dyDescent="0.35">
      <c r="A1535" t="s">
        <v>308</v>
      </c>
      <c r="B1535" t="s">
        <v>1022</v>
      </c>
      <c r="C1535" t="s">
        <v>1801</v>
      </c>
    </row>
    <row r="1536" spans="1:3" x14ac:dyDescent="0.35">
      <c r="A1536" t="s">
        <v>308</v>
      </c>
      <c r="B1536" t="s">
        <v>1022</v>
      </c>
      <c r="C1536" t="s">
        <v>1802</v>
      </c>
    </row>
    <row r="1537" spans="1:3" x14ac:dyDescent="0.35">
      <c r="A1537" t="s">
        <v>308</v>
      </c>
      <c r="B1537" t="s">
        <v>1022</v>
      </c>
      <c r="C1537" t="s">
        <v>1803</v>
      </c>
    </row>
    <row r="1538" spans="1:3" x14ac:dyDescent="0.35">
      <c r="A1538" t="s">
        <v>308</v>
      </c>
      <c r="B1538" t="s">
        <v>1022</v>
      </c>
      <c r="C1538" t="s">
        <v>1804</v>
      </c>
    </row>
    <row r="1539" spans="1:3" x14ac:dyDescent="0.35">
      <c r="A1539" t="s">
        <v>308</v>
      </c>
      <c r="B1539" t="s">
        <v>558</v>
      </c>
      <c r="C1539" t="s">
        <v>559</v>
      </c>
    </row>
    <row r="1540" spans="1:3" x14ac:dyDescent="0.35">
      <c r="A1540" t="s">
        <v>308</v>
      </c>
      <c r="B1540" t="s">
        <v>558</v>
      </c>
      <c r="C1540" t="s">
        <v>560</v>
      </c>
    </row>
    <row r="1541" spans="1:3" x14ac:dyDescent="0.35">
      <c r="A1541" t="s">
        <v>561</v>
      </c>
      <c r="B1541" t="s">
        <v>562</v>
      </c>
      <c r="C1541" t="s">
        <v>563</v>
      </c>
    </row>
    <row r="1542" spans="1:3" x14ac:dyDescent="0.35">
      <c r="A1542" t="s">
        <v>561</v>
      </c>
      <c r="B1542" t="s">
        <v>562</v>
      </c>
      <c r="C1542" t="s">
        <v>564</v>
      </c>
    </row>
    <row r="1543" spans="1:3" x14ac:dyDescent="0.35">
      <c r="A1543" t="s">
        <v>561</v>
      </c>
      <c r="B1543" t="s">
        <v>562</v>
      </c>
      <c r="C1543" t="s">
        <v>1347</v>
      </c>
    </row>
    <row r="1544" spans="1:3" x14ac:dyDescent="0.35">
      <c r="A1544" t="s">
        <v>561</v>
      </c>
      <c r="B1544" t="s">
        <v>562</v>
      </c>
      <c r="C1544" t="s">
        <v>565</v>
      </c>
    </row>
    <row r="1545" spans="1:3" x14ac:dyDescent="0.35">
      <c r="A1545" t="s">
        <v>561</v>
      </c>
      <c r="B1545" t="s">
        <v>562</v>
      </c>
      <c r="C1545" t="s">
        <v>566</v>
      </c>
    </row>
    <row r="1546" spans="1:3" x14ac:dyDescent="0.35">
      <c r="A1546" t="s">
        <v>561</v>
      </c>
      <c r="B1546" t="s">
        <v>562</v>
      </c>
      <c r="C1546" t="s">
        <v>567</v>
      </c>
    </row>
    <row r="1547" spans="1:3" x14ac:dyDescent="0.35">
      <c r="A1547" t="s">
        <v>561</v>
      </c>
      <c r="B1547" t="s">
        <v>568</v>
      </c>
      <c r="C1547" t="s">
        <v>627</v>
      </c>
    </row>
    <row r="1548" spans="1:3" x14ac:dyDescent="0.35">
      <c r="A1548" t="s">
        <v>561</v>
      </c>
      <c r="B1548" t="s">
        <v>568</v>
      </c>
      <c r="C1548" t="s">
        <v>1805</v>
      </c>
    </row>
    <row r="1549" spans="1:3" x14ac:dyDescent="0.35">
      <c r="A1549" t="s">
        <v>561</v>
      </c>
      <c r="B1549" t="s">
        <v>568</v>
      </c>
      <c r="C1549" t="s">
        <v>628</v>
      </c>
    </row>
    <row r="1550" spans="1:3" x14ac:dyDescent="0.35">
      <c r="A1550" t="s">
        <v>561</v>
      </c>
      <c r="B1550" t="s">
        <v>568</v>
      </c>
      <c r="C1550" t="s">
        <v>569</v>
      </c>
    </row>
    <row r="1551" spans="1:3" x14ac:dyDescent="0.35">
      <c r="A1551" t="s">
        <v>561</v>
      </c>
      <c r="B1551" t="s">
        <v>570</v>
      </c>
      <c r="C1551" t="s">
        <v>571</v>
      </c>
    </row>
    <row r="1552" spans="1:3" x14ac:dyDescent="0.35">
      <c r="A1552" t="s">
        <v>561</v>
      </c>
      <c r="B1552" t="s">
        <v>570</v>
      </c>
      <c r="C1552" t="s">
        <v>572</v>
      </c>
    </row>
    <row r="1553" spans="1:3" x14ac:dyDescent="0.35">
      <c r="A1553" t="s">
        <v>561</v>
      </c>
      <c r="B1553" t="s">
        <v>570</v>
      </c>
      <c r="C1553" t="s">
        <v>573</v>
      </c>
    </row>
    <row r="1554" spans="1:3" x14ac:dyDescent="0.35">
      <c r="A1554" t="s">
        <v>561</v>
      </c>
      <c r="B1554" t="s">
        <v>1387</v>
      </c>
      <c r="C1554" t="s">
        <v>1388</v>
      </c>
    </row>
    <row r="1555" spans="1:3" x14ac:dyDescent="0.35">
      <c r="A1555" t="s">
        <v>561</v>
      </c>
      <c r="B1555" t="s">
        <v>574</v>
      </c>
      <c r="C1555" t="s">
        <v>575</v>
      </c>
    </row>
    <row r="1556" spans="1:3" x14ac:dyDescent="0.35">
      <c r="A1556" t="s">
        <v>561</v>
      </c>
      <c r="B1556" t="s">
        <v>574</v>
      </c>
      <c r="C1556" t="s">
        <v>576</v>
      </c>
    </row>
    <row r="1557" spans="1:3" x14ac:dyDescent="0.35">
      <c r="A1557" t="s">
        <v>561</v>
      </c>
      <c r="B1557" t="s">
        <v>972</v>
      </c>
      <c r="C1557" t="s">
        <v>973</v>
      </c>
    </row>
    <row r="1558" spans="1:3" x14ac:dyDescent="0.35">
      <c r="A1558" t="s">
        <v>561</v>
      </c>
      <c r="B1558" t="s">
        <v>972</v>
      </c>
      <c r="C1558" t="s">
        <v>974</v>
      </c>
    </row>
    <row r="1559" spans="1:3" x14ac:dyDescent="0.35">
      <c r="A1559" t="s">
        <v>561</v>
      </c>
      <c r="B1559" t="s">
        <v>972</v>
      </c>
      <c r="C1559" t="s">
        <v>975</v>
      </c>
    </row>
    <row r="1560" spans="1:3" x14ac:dyDescent="0.35">
      <c r="A1560" t="s">
        <v>561</v>
      </c>
      <c r="B1560" t="s">
        <v>577</v>
      </c>
      <c r="C1560" t="s">
        <v>578</v>
      </c>
    </row>
    <row r="1561" spans="1:3" x14ac:dyDescent="0.35">
      <c r="A1561" t="s">
        <v>561</v>
      </c>
      <c r="B1561" t="s">
        <v>577</v>
      </c>
      <c r="C1561" t="s">
        <v>579</v>
      </c>
    </row>
    <row r="1562" spans="1:3" x14ac:dyDescent="0.35">
      <c r="A1562" t="s">
        <v>561</v>
      </c>
      <c r="B1562" t="s">
        <v>577</v>
      </c>
      <c r="C1562" t="s">
        <v>580</v>
      </c>
    </row>
    <row r="1563" spans="1:3" x14ac:dyDescent="0.35">
      <c r="A1563" t="s">
        <v>561</v>
      </c>
      <c r="B1563" t="s">
        <v>577</v>
      </c>
      <c r="C1563" t="s">
        <v>581</v>
      </c>
    </row>
    <row r="1564" spans="1:3" x14ac:dyDescent="0.35">
      <c r="A1564" t="s">
        <v>561</v>
      </c>
      <c r="B1564" t="s">
        <v>577</v>
      </c>
      <c r="C1564" t="s">
        <v>581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4.5" x14ac:dyDescent="0.35"/>
  <cols>
    <col min="2" max="2" width="53.269531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Dan O'Brien</cp:lastModifiedBy>
  <dcterms:created xsi:type="dcterms:W3CDTF">2019-09-06T15:21:18Z</dcterms:created>
  <dcterms:modified xsi:type="dcterms:W3CDTF">2026-02-03T11:53:16Z</dcterms:modified>
</cp:coreProperties>
</file>